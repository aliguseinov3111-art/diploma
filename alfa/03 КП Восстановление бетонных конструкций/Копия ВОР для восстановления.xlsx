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masharipov\Desktop\"/>
    </mc:Choice>
  </mc:AlternateContent>
  <xr:revisionPtr revIDLastSave="0" documentId="13_ncr:1_{FF97FA42-F779-45A9-A33A-C047D8A0AE2A}" xr6:coauthVersionLast="47" xr6:coauthVersionMax="47" xr10:uidLastSave="{00000000-0000-0000-0000-000000000000}"/>
  <bookViews>
    <workbookView xWindow="-28920" yWindow="-6405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4" i="1" l="1"/>
  <c r="Q13" i="1"/>
  <c r="P13" i="1"/>
  <c r="O13" i="1"/>
  <c r="N13" i="1"/>
  <c r="Q10" i="1"/>
  <c r="O10" i="1"/>
  <c r="P12" i="1"/>
  <c r="P11" i="1"/>
  <c r="P10" i="1"/>
  <c r="N12" i="1"/>
  <c r="N11" i="1"/>
  <c r="N10" i="1"/>
  <c r="L11" i="1"/>
  <c r="L12" i="1"/>
  <c r="L10" i="1"/>
  <c r="L3" i="1"/>
  <c r="N3" i="1" s="1"/>
  <c r="L9" i="1"/>
  <c r="N9" i="1" s="1"/>
  <c r="L8" i="1"/>
  <c r="N8" i="1" s="1"/>
  <c r="F8" i="1"/>
  <c r="H8" i="1" s="1"/>
  <c r="O8" i="1" s="1"/>
  <c r="F6" i="1"/>
  <c r="H6" i="1" s="1"/>
  <c r="O6" i="1" s="1"/>
  <c r="L7" i="1"/>
  <c r="N7" i="1" s="1"/>
  <c r="L6" i="1"/>
  <c r="N6" i="1" s="1"/>
  <c r="F2" i="1"/>
  <c r="H2" i="1" s="1"/>
  <c r="O2" i="1" s="1"/>
  <c r="F4" i="1"/>
  <c r="H4" i="1" s="1"/>
  <c r="O4" i="1" s="1"/>
  <c r="L4" i="1"/>
  <c r="N4" i="1" s="1"/>
  <c r="L5" i="1"/>
  <c r="N5" i="1" s="1"/>
  <c r="L2" i="1"/>
  <c r="N2" i="1" s="1"/>
  <c r="P2" i="1" s="1"/>
  <c r="P6" i="1" l="1"/>
  <c r="P9" i="1"/>
  <c r="P8" i="1"/>
  <c r="P7" i="1"/>
  <c r="Q6" i="1" s="1"/>
  <c r="P5" i="1"/>
  <c r="P4" i="1"/>
  <c r="Q4" i="1" s="1"/>
  <c r="Q8" i="1" l="1"/>
  <c r="P3" i="1" l="1"/>
  <c r="Q2" i="1" s="1"/>
  <c r="G13" i="1"/>
  <c r="H13" i="1"/>
  <c r="H10" i="1" l="1"/>
</calcChain>
</file>

<file path=xl/sharedStrings.xml><?xml version="1.0" encoding="utf-8"?>
<sst xmlns="http://schemas.openxmlformats.org/spreadsheetml/2006/main" count="70" uniqueCount="53">
  <si>
    <t>№</t>
  </si>
  <si>
    <t>Вид работ</t>
  </si>
  <si>
    <t>Наименование работ (укрупнённо)</t>
  </si>
  <si>
    <t>Ед. изм.</t>
  </si>
  <si>
    <t>Объём на 1 место</t>
  </si>
  <si>
    <t>Кол-во мест</t>
  </si>
  <si>
    <t>Вид 1</t>
  </si>
  <si>
    <t>Вид 2</t>
  </si>
  <si>
    <t>Вид 3</t>
  </si>
  <si>
    <t>№ этапа</t>
  </si>
  <si>
    <t>Материалы по рекомендации НИИ ПТЭС</t>
  </si>
  <si>
    <t>Восстановление фундаментной плиты (400×400 мм.) с подготовкой поверхности, очисткой и обработкой арматуры, укладкой безусадочной быстротвердеющей смеси слоем до 80 мм и уходом за бетоном</t>
  </si>
  <si>
    <t>Восстановление стяжки (400х400 мм.) с очисткой и грунтовкой поверхности, установкой фиксаторов, укладкой арматурной сетки с вязкой с существующей, укладкой безусадочной быстротвердеющей смеси слоем до 250 мм. и затиркой поверхности</t>
  </si>
  <si>
    <t>Устройство полимербетонного покрытия (400х400 мм.) с подготовкой поверхности и нанесением эпоксидной грунтовки QTP 1000 с кварцевым песком и нанесением финишного эпоксидного наливного слоя QTP 1040 вровень с существующим покрытием</t>
  </si>
  <si>
    <t>Расход материала на 1 м2</t>
  </si>
  <si>
    <t>Восстановление стяжки (150×150 мм.) толщиной до 250 мм. с подготовкой поверхностей, очисткой и обработкой арматуры, укладкой безусадочной наливной смеси вровень с полом и затиркой «в ноль»</t>
  </si>
  <si>
    <t>Восстановление вертикальных ЖБ конструкций (500×500 мм.) толщиной до 50 мм. с подготовкой поверхности, очисткой и обработкой арматуры, укладкой тиксотропного ремонтного состава слоем до 50 мм. и заглаживанием заподлицо</t>
  </si>
  <si>
    <t>* Примечание: 
В данном ВОР каждый вид работ представлен одной укрупнённой позицией, включающей все технологические этапы:
1) подготовка поверхности (очистка, обеспыливание);
2) для вида 1 и 3 очистка и обработка арматуры (при наличии);
3) для Вида 3 дополнительно укладку арматурной сетки;
4) укладка ремонтного состава заданной толщины;
5) для Вида 2 и 3 устройство полимерного покрытия;</t>
  </si>
  <si>
    <t>м2</t>
  </si>
  <si>
    <t>21,5 кг/м2 (на 10 мм. слоя)</t>
  </si>
  <si>
    <t>Вид 4</t>
  </si>
  <si>
    <t>Устройство защитного покрытия мест вскрытия металлическим оцинкованным листом 0,5 - 1мм</t>
  </si>
  <si>
    <t>Металлический оцинкованный лист 0,9-3,6 м2 на один участок;
Дюбель-гвоздь по бетону 4 шт. на один участок</t>
  </si>
  <si>
    <t>Металлический оцинкованный лист 0,5 мм. + дюбель-гвоздь по бетону</t>
  </si>
  <si>
    <t>Цена 1 кг. Материала</t>
  </si>
  <si>
    <t>Материал 1 мешок</t>
  </si>
  <si>
    <t>Работы цена за ед., руб.</t>
  </si>
  <si>
    <t>Материал цена за ед., руб/м2</t>
  </si>
  <si>
    <t>Работы Итого руб.</t>
  </si>
  <si>
    <t>Материал Итого руб.</t>
  </si>
  <si>
    <t>Всего сумма руб.</t>
  </si>
  <si>
    <t>Mapefer 1K (антикоррозионный состав для арматуры)</t>
  </si>
  <si>
    <t>Безусадочная быстротвердеющая ремонтная смесь наливного типа, содержащая полимерную фибру Mapei Mapegrout Hi-Flow 10 или аналоги;</t>
  </si>
  <si>
    <t>QTP 1000 (эпоксидная грунтовка)</t>
  </si>
  <si>
    <t>Кварцевый песок</t>
  </si>
  <si>
    <t>QTP 1040 (эпоксидный наливной состав с повышенной химстойкостью)</t>
  </si>
  <si>
    <t>QTP 1000 0,25-0,35 кг/м2 (на 0,5 мм. слоя)</t>
  </si>
  <si>
    <t xml:space="preserve">Кварцевый песок 0,25-0,35 кг/м2 </t>
  </si>
  <si>
    <t>QTP 1040 0,4-0,6 кг/м2 (на 0,6 мм. слоя)</t>
  </si>
  <si>
    <t>0,9 ÷ 3,6</t>
  </si>
  <si>
    <t>Итого</t>
  </si>
  <si>
    <t>Общая площадь, м2</t>
  </si>
  <si>
    <t>* Примечание:
1) Цены на работы и метарила является ориентировочными.</t>
  </si>
  <si>
    <t>Ссылка на материалы</t>
  </si>
  <si>
    <t>https://www.albia.ru/sukhiye-stroitelnyye-smesi/tiksotropnogo-tipa/remontnaya-smes-mapei-mapegrout-hi-flow-10-25-kg/?ysclid=mt1iuar5nv637768155#characteristics</t>
  </si>
  <si>
    <t>250 г/м</t>
  </si>
  <si>
    <t>https://mpkm.org/ingibitor-korrozii/mapefer-1k/?utm_source=yandex&amp;utm_medium=cpc&amp;utm_campaign=709270474&amp;utm_content=gbid_5744565604.ad_1907904417258333877.pos_other_1.dev_desktop.reg_213.src_search.match_&amp;utm_term=---autotargeting&amp;direct_matched=&amp;yclid=1267233373066100735&amp;etext=2202.-EOK51GuQ2ppzJaTYiX6pGlndXVkZHVrdnF1dXllbng.2e478761d8e5cf753cc0a8d83db02c00da429c23</t>
  </si>
  <si>
    <t>Mapefer 1K</t>
  </si>
  <si>
    <t>Mapei Mapegrout Hi-Flow 10</t>
  </si>
  <si>
    <t>https://mpkm.org/gruntovka/qtp-1000/?ysclid=mt1j7oeuz2602445448</t>
  </si>
  <si>
    <t>QTP 1000</t>
  </si>
  <si>
    <t>https://mpkm.org/polimernye-poly/qtp-1050/?ysclid=mt1jglozen622814962</t>
  </si>
  <si>
    <t>QTP 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</si>
</sst>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4" fontId="0" fillId="0" borderId="5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" fontId="0" fillId="0" borderId="1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2" fillId="0" borderId="1" xfId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pkm.org/gruntovka/qtp-1000/?ysclid=mt1j7oeuz2602445448" TargetMode="External"/><Relationship Id="rId2" Type="http://schemas.openxmlformats.org/officeDocument/2006/relationships/hyperlink" Target="https://mpkm.org/ingibitor-korrozii/mapefer-1k/?utm_source=yandex&amp;utm_medium=cpc&amp;utm_campaign=709270474&amp;utm_content=gbid_5744565604.ad_1907904417258333877.pos_other_1.dev_desktop.reg_213.src_search.match_&amp;utm_term=---autotargeting&amp;direct_matched=&amp;yclid=1267233373066100735&amp;etext=2202.-EOK51GuQ2ppzJaTYiX6pGlndXVkZHVrdnF1dXllbng.2e478761d8e5cf753cc0a8d83db02c00da429c23" TargetMode="External"/><Relationship Id="rId1" Type="http://schemas.openxmlformats.org/officeDocument/2006/relationships/hyperlink" Target="https://www.albia.ru/sukhiye-stroitelnyye-smesi/tiksotropnogo-tipa/remontnaya-smes-mapei-mapegrout-hi-flow-10-25-kg/?ysclid=mt1iuar5nv63776815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pkm.org/polimernye-poly/qtp-1050/?ysclid=mt1jglozen6228149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7"/>
  <sheetViews>
    <sheetView tabSelected="1" zoomScale="70" zoomScaleNormal="70" workbookViewId="0">
      <selection activeCell="I13" sqref="I13"/>
    </sheetView>
  </sheetViews>
  <sheetFormatPr defaultRowHeight="14.4" x14ac:dyDescent="0.3"/>
  <cols>
    <col min="1" max="1" width="5.6640625" style="2" customWidth="1"/>
    <col min="2" max="2" width="10.6640625" style="2" customWidth="1"/>
    <col min="3" max="3" width="10.6640625" style="5" customWidth="1"/>
    <col min="4" max="4" width="55.6640625" style="2" customWidth="1"/>
    <col min="5" max="8" width="10.6640625" style="2" customWidth="1"/>
    <col min="9" max="9" width="50.6640625" style="2" customWidth="1"/>
    <col min="10" max="10" width="28" style="6" customWidth="1"/>
    <col min="11" max="11" width="13.33203125" style="6" customWidth="1"/>
    <col min="12" max="12" width="10.44140625" style="6" customWidth="1"/>
    <col min="13" max="13" width="12.88671875" customWidth="1"/>
    <col min="14" max="14" width="14.109375" customWidth="1"/>
    <col min="15" max="17" width="15.6640625" customWidth="1"/>
    <col min="18" max="18" width="20.77734375" customWidth="1"/>
    <col min="19" max="19" width="15.77734375" customWidth="1"/>
  </cols>
  <sheetData>
    <row r="1" spans="1:19" ht="86.25" customHeight="1" x14ac:dyDescent="0.3">
      <c r="A1" s="3" t="s">
        <v>0</v>
      </c>
      <c r="B1" s="4" t="s">
        <v>1</v>
      </c>
      <c r="C1" s="4" t="s">
        <v>9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41</v>
      </c>
      <c r="I1" s="4" t="s">
        <v>10</v>
      </c>
      <c r="J1" s="4" t="s">
        <v>14</v>
      </c>
      <c r="K1" s="4" t="s">
        <v>25</v>
      </c>
      <c r="L1" s="4" t="s">
        <v>24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24" t="s">
        <v>43</v>
      </c>
      <c r="S1" s="25"/>
    </row>
    <row r="2" spans="1:19" ht="14.4" customHeight="1" x14ac:dyDescent="0.3">
      <c r="A2" s="21">
        <v>1</v>
      </c>
      <c r="B2" s="18" t="s">
        <v>6</v>
      </c>
      <c r="C2" s="18">
        <v>1</v>
      </c>
      <c r="D2" s="18" t="s">
        <v>16</v>
      </c>
      <c r="E2" s="18" t="s">
        <v>18</v>
      </c>
      <c r="F2" s="18">
        <f>0.5*0.5</f>
        <v>0.25</v>
      </c>
      <c r="G2" s="18">
        <v>33</v>
      </c>
      <c r="H2" s="18">
        <f>F2*G2</f>
        <v>8.25</v>
      </c>
      <c r="I2" s="9" t="s">
        <v>31</v>
      </c>
      <c r="J2" s="9" t="s">
        <v>45</v>
      </c>
      <c r="K2" s="12">
        <v>1800</v>
      </c>
      <c r="L2" s="12">
        <f>K2/5</f>
        <v>360</v>
      </c>
      <c r="M2" s="19">
        <v>3500</v>
      </c>
      <c r="N2" s="12">
        <f>L2*19*0.5</f>
        <v>3420</v>
      </c>
      <c r="O2" s="19">
        <f>H2*M2</f>
        <v>28875</v>
      </c>
      <c r="P2" s="12">
        <f>N2*H2</f>
        <v>28215</v>
      </c>
      <c r="Q2" s="19">
        <f>O2+P2+P3</f>
        <v>127011.22499999999</v>
      </c>
      <c r="R2" s="23" t="s">
        <v>44</v>
      </c>
      <c r="S2" s="26" t="s">
        <v>48</v>
      </c>
    </row>
    <row r="3" spans="1:19" ht="43.2" x14ac:dyDescent="0.3">
      <c r="A3" s="21"/>
      <c r="B3" s="18"/>
      <c r="C3" s="18"/>
      <c r="D3" s="18"/>
      <c r="E3" s="18"/>
      <c r="F3" s="18"/>
      <c r="G3" s="18"/>
      <c r="H3" s="18"/>
      <c r="I3" s="9" t="s">
        <v>32</v>
      </c>
      <c r="J3" s="9" t="s">
        <v>19</v>
      </c>
      <c r="K3" s="12">
        <v>2190</v>
      </c>
      <c r="L3" s="12">
        <f>K3/25</f>
        <v>87.6</v>
      </c>
      <c r="M3" s="19"/>
      <c r="N3" s="12">
        <f>L3*21.5*4.5</f>
        <v>8475.2999999999993</v>
      </c>
      <c r="O3" s="19"/>
      <c r="P3" s="12">
        <f>N3*H2</f>
        <v>69921.224999999991</v>
      </c>
      <c r="Q3" s="19"/>
      <c r="R3" s="23"/>
      <c r="S3" s="27"/>
    </row>
    <row r="4" spans="1:19" x14ac:dyDescent="0.3">
      <c r="A4" s="21">
        <v>2</v>
      </c>
      <c r="B4" s="18" t="s">
        <v>7</v>
      </c>
      <c r="C4" s="18">
        <v>1</v>
      </c>
      <c r="D4" s="18" t="s">
        <v>15</v>
      </c>
      <c r="E4" s="18" t="s">
        <v>18</v>
      </c>
      <c r="F4" s="18">
        <f>0.15*0.15</f>
        <v>2.2499999999999999E-2</v>
      </c>
      <c r="G4" s="18">
        <v>16</v>
      </c>
      <c r="H4" s="18">
        <f>F4*G4</f>
        <v>0.36</v>
      </c>
      <c r="I4" s="9" t="s">
        <v>31</v>
      </c>
      <c r="J4" s="9" t="s">
        <v>45</v>
      </c>
      <c r="K4" s="12">
        <v>1800</v>
      </c>
      <c r="L4" s="12">
        <f>K4/5</f>
        <v>360</v>
      </c>
      <c r="M4" s="19">
        <v>2500</v>
      </c>
      <c r="N4" s="12">
        <f>L4*19*1</f>
        <v>6840</v>
      </c>
      <c r="O4" s="19">
        <f>H4*M4</f>
        <v>900</v>
      </c>
      <c r="P4" s="12">
        <f>N4*H4</f>
        <v>2462.4</v>
      </c>
      <c r="Q4" s="19">
        <f>O4+P4+P5</f>
        <v>19634.975999999999</v>
      </c>
      <c r="R4" s="23"/>
      <c r="S4" s="27"/>
    </row>
    <row r="5" spans="1:19" ht="43.2" x14ac:dyDescent="0.3">
      <c r="A5" s="21"/>
      <c r="B5" s="18"/>
      <c r="C5" s="18"/>
      <c r="D5" s="18"/>
      <c r="E5" s="18"/>
      <c r="F5" s="18"/>
      <c r="G5" s="18"/>
      <c r="H5" s="18"/>
      <c r="I5" s="9" t="s">
        <v>32</v>
      </c>
      <c r="J5" s="9" t="s">
        <v>19</v>
      </c>
      <c r="K5" s="12">
        <v>2190</v>
      </c>
      <c r="L5" s="12">
        <f>K5/25</f>
        <v>87.6</v>
      </c>
      <c r="M5" s="19"/>
      <c r="N5" s="12">
        <f>L5*21.5*24</f>
        <v>45201.599999999999</v>
      </c>
      <c r="O5" s="19"/>
      <c r="P5" s="12">
        <f>N5*H4</f>
        <v>16272.575999999999</v>
      </c>
      <c r="Q5" s="19"/>
      <c r="R5" s="23"/>
      <c r="S5" s="28"/>
    </row>
    <row r="6" spans="1:19" x14ac:dyDescent="0.3">
      <c r="A6" s="21">
        <v>3</v>
      </c>
      <c r="B6" s="18" t="s">
        <v>8</v>
      </c>
      <c r="C6" s="18">
        <v>1</v>
      </c>
      <c r="D6" s="18" t="s">
        <v>11</v>
      </c>
      <c r="E6" s="18" t="s">
        <v>18</v>
      </c>
      <c r="F6" s="18">
        <f>0.4*0.4</f>
        <v>0.16000000000000003</v>
      </c>
      <c r="G6" s="18">
        <v>22</v>
      </c>
      <c r="H6" s="18">
        <f>F6*G6</f>
        <v>3.5200000000000005</v>
      </c>
      <c r="I6" s="9" t="s">
        <v>31</v>
      </c>
      <c r="J6" s="9" t="s">
        <v>45</v>
      </c>
      <c r="K6" s="12">
        <v>1800</v>
      </c>
      <c r="L6" s="12">
        <f>K6/5</f>
        <v>360</v>
      </c>
      <c r="M6" s="19">
        <v>3000</v>
      </c>
      <c r="N6" s="12">
        <f>L6*19*1</f>
        <v>6840</v>
      </c>
      <c r="O6" s="19">
        <f>H6*M6</f>
        <v>10560.000000000002</v>
      </c>
      <c r="P6" s="12">
        <f>N6*H6</f>
        <v>24076.800000000003</v>
      </c>
      <c r="Q6" s="19">
        <f>O6+P6+P7</f>
        <v>81043.776000000013</v>
      </c>
      <c r="R6" s="23" t="s">
        <v>46</v>
      </c>
      <c r="S6" s="26" t="s">
        <v>47</v>
      </c>
    </row>
    <row r="7" spans="1:19" ht="43.2" x14ac:dyDescent="0.3">
      <c r="A7" s="21"/>
      <c r="B7" s="18"/>
      <c r="C7" s="18"/>
      <c r="D7" s="18"/>
      <c r="E7" s="18"/>
      <c r="F7" s="18"/>
      <c r="G7" s="18"/>
      <c r="H7" s="18"/>
      <c r="I7" s="9" t="s">
        <v>32</v>
      </c>
      <c r="J7" s="9" t="s">
        <v>19</v>
      </c>
      <c r="K7" s="12">
        <v>2190</v>
      </c>
      <c r="L7" s="12">
        <f>K7/25</f>
        <v>87.6</v>
      </c>
      <c r="M7" s="19"/>
      <c r="N7" s="12">
        <f>L7*21.5*7</f>
        <v>13183.8</v>
      </c>
      <c r="O7" s="19"/>
      <c r="P7" s="12">
        <f>N7*H6</f>
        <v>46406.976000000002</v>
      </c>
      <c r="Q7" s="19"/>
      <c r="R7" s="23"/>
      <c r="S7" s="27"/>
    </row>
    <row r="8" spans="1:19" x14ac:dyDescent="0.3">
      <c r="A8" s="21"/>
      <c r="B8" s="18"/>
      <c r="C8" s="18">
        <v>2</v>
      </c>
      <c r="D8" s="18" t="s">
        <v>12</v>
      </c>
      <c r="E8" s="18" t="s">
        <v>18</v>
      </c>
      <c r="F8" s="18">
        <f>0.4*0.4</f>
        <v>0.16000000000000003</v>
      </c>
      <c r="G8" s="18">
        <v>22</v>
      </c>
      <c r="H8" s="18">
        <f>F8*G8</f>
        <v>3.5200000000000005</v>
      </c>
      <c r="I8" s="9" t="s">
        <v>31</v>
      </c>
      <c r="J8" s="9" t="s">
        <v>45</v>
      </c>
      <c r="K8" s="12">
        <v>1800</v>
      </c>
      <c r="L8" s="12">
        <f>K8/5</f>
        <v>360</v>
      </c>
      <c r="M8" s="19">
        <v>2500</v>
      </c>
      <c r="N8" s="12">
        <f>L8*19*1</f>
        <v>6840</v>
      </c>
      <c r="O8" s="19">
        <f>M8*H8</f>
        <v>8800.0000000000018</v>
      </c>
      <c r="P8" s="12">
        <f>N8*H8</f>
        <v>24076.800000000003</v>
      </c>
      <c r="Q8" s="19">
        <f>O8+P8+P9</f>
        <v>191986.43200000003</v>
      </c>
      <c r="R8" s="23"/>
      <c r="S8" s="27"/>
    </row>
    <row r="9" spans="1:19" ht="43.2" x14ac:dyDescent="0.3">
      <c r="A9" s="21"/>
      <c r="B9" s="18"/>
      <c r="C9" s="18"/>
      <c r="D9" s="18"/>
      <c r="E9" s="18"/>
      <c r="F9" s="18"/>
      <c r="G9" s="18"/>
      <c r="H9" s="18"/>
      <c r="I9" s="9" t="s">
        <v>32</v>
      </c>
      <c r="J9" s="9" t="s">
        <v>19</v>
      </c>
      <c r="K9" s="12">
        <v>2190</v>
      </c>
      <c r="L9" s="12">
        <f>K9/25</f>
        <v>87.6</v>
      </c>
      <c r="M9" s="19"/>
      <c r="N9" s="12">
        <f>L9*21.5*24</f>
        <v>45201.599999999999</v>
      </c>
      <c r="O9" s="19"/>
      <c r="P9" s="12">
        <f>N9*H8</f>
        <v>159109.63200000001</v>
      </c>
      <c r="Q9" s="19"/>
      <c r="R9" s="23"/>
      <c r="S9" s="28"/>
    </row>
    <row r="10" spans="1:19" ht="57.6" x14ac:dyDescent="0.3">
      <c r="A10" s="21"/>
      <c r="B10" s="18"/>
      <c r="C10" s="18">
        <v>3</v>
      </c>
      <c r="D10" s="18" t="s">
        <v>13</v>
      </c>
      <c r="E10" s="18" t="s">
        <v>18</v>
      </c>
      <c r="F10" s="18">
        <v>0.16</v>
      </c>
      <c r="G10" s="18">
        <v>22</v>
      </c>
      <c r="H10" s="18">
        <f>F10*G10</f>
        <v>3.52</v>
      </c>
      <c r="I10" s="9" t="s">
        <v>33</v>
      </c>
      <c r="J10" s="9" t="s">
        <v>36</v>
      </c>
      <c r="K10" s="12">
        <v>34730</v>
      </c>
      <c r="L10" s="12">
        <f>K10/24.4</f>
        <v>1423.360655737705</v>
      </c>
      <c r="M10" s="19">
        <v>2000</v>
      </c>
      <c r="N10" s="12">
        <f>L10*0.3</f>
        <v>427.00819672131149</v>
      </c>
      <c r="O10" s="20">
        <f>H10*M10</f>
        <v>7040</v>
      </c>
      <c r="P10" s="12">
        <f>H10*N10</f>
        <v>1503.0688524590164</v>
      </c>
      <c r="Q10" s="19">
        <f>O10+P10+P11+P12</f>
        <v>11946.448052459016</v>
      </c>
      <c r="R10" s="29" t="s">
        <v>49</v>
      </c>
      <c r="S10" s="30" t="s">
        <v>50</v>
      </c>
    </row>
    <row r="11" spans="1:19" ht="28.8" x14ac:dyDescent="0.3">
      <c r="A11" s="21"/>
      <c r="B11" s="18"/>
      <c r="C11" s="18"/>
      <c r="D11" s="18"/>
      <c r="E11" s="18"/>
      <c r="F11" s="18"/>
      <c r="G11" s="18"/>
      <c r="H11" s="18"/>
      <c r="I11" s="9" t="s">
        <v>34</v>
      </c>
      <c r="J11" s="9" t="s">
        <v>37</v>
      </c>
      <c r="K11" s="12">
        <v>3200</v>
      </c>
      <c r="L11" s="12">
        <f>K11/1000</f>
        <v>3.2</v>
      </c>
      <c r="M11" s="19"/>
      <c r="N11" s="12">
        <f>L11*0.3</f>
        <v>0.96</v>
      </c>
      <c r="O11" s="20"/>
      <c r="P11" s="12">
        <f>H10*N11</f>
        <v>3.3792</v>
      </c>
      <c r="Q11" s="19"/>
      <c r="R11" s="9"/>
      <c r="S11" s="30"/>
    </row>
    <row r="12" spans="1:19" ht="57.6" x14ac:dyDescent="0.3">
      <c r="A12" s="21"/>
      <c r="B12" s="18"/>
      <c r="C12" s="18"/>
      <c r="D12" s="18"/>
      <c r="E12" s="18"/>
      <c r="F12" s="18"/>
      <c r="G12" s="18"/>
      <c r="H12" s="18"/>
      <c r="I12" s="9" t="s">
        <v>35</v>
      </c>
      <c r="J12" s="9" t="s">
        <v>38</v>
      </c>
      <c r="K12" s="12">
        <v>42500</v>
      </c>
      <c r="L12" s="12">
        <f>K12/22</f>
        <v>1931.8181818181818</v>
      </c>
      <c r="M12" s="19"/>
      <c r="N12" s="12">
        <f>L12*0.5</f>
        <v>965.90909090909088</v>
      </c>
      <c r="O12" s="20"/>
      <c r="P12" s="12">
        <f>H10*N12</f>
        <v>3400</v>
      </c>
      <c r="Q12" s="19"/>
      <c r="R12" s="29" t="s">
        <v>51</v>
      </c>
      <c r="S12" s="30" t="s">
        <v>52</v>
      </c>
    </row>
    <row r="13" spans="1:19" ht="109.95" customHeight="1" thickBot="1" x14ac:dyDescent="0.35">
      <c r="A13" s="7">
        <v>4</v>
      </c>
      <c r="B13" s="8" t="s">
        <v>20</v>
      </c>
      <c r="C13" s="8">
        <v>1</v>
      </c>
      <c r="D13" s="8" t="s">
        <v>21</v>
      </c>
      <c r="E13" s="8" t="s">
        <v>18</v>
      </c>
      <c r="F13" s="8" t="s">
        <v>39</v>
      </c>
      <c r="G13" s="8">
        <f>SUM(G4:G6)</f>
        <v>38</v>
      </c>
      <c r="H13" s="8">
        <f>(0.9*16)+(3.6*22)</f>
        <v>93.600000000000009</v>
      </c>
      <c r="I13" s="8" t="s">
        <v>23</v>
      </c>
      <c r="J13" s="8" t="s">
        <v>22</v>
      </c>
      <c r="K13" s="13"/>
      <c r="L13" s="13"/>
      <c r="M13" s="13">
        <v>1500</v>
      </c>
      <c r="N13" s="13">
        <f>560+20</f>
        <v>580</v>
      </c>
      <c r="O13" s="13">
        <f>H13*M13</f>
        <v>140400</v>
      </c>
      <c r="P13" s="13">
        <f>N13*H13</f>
        <v>54288.000000000007</v>
      </c>
      <c r="Q13" s="13">
        <f>O13+P13</f>
        <v>194688</v>
      </c>
      <c r="R13" s="8"/>
      <c r="S13" s="22"/>
    </row>
    <row r="14" spans="1:19" ht="25.2" customHeight="1" thickBot="1" x14ac:dyDescent="0.3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1"/>
      <c r="L14" s="11"/>
      <c r="M14" s="10"/>
      <c r="N14" s="10"/>
      <c r="O14" s="10"/>
      <c r="P14" s="16" t="s">
        <v>40</v>
      </c>
      <c r="Q14" s="17">
        <f>SUM(Q2:Q13)</f>
        <v>626310.85705245903</v>
      </c>
    </row>
    <row r="16" spans="1:19" ht="14.4" customHeight="1" x14ac:dyDescent="0.3">
      <c r="A16" s="15" t="s">
        <v>17</v>
      </c>
      <c r="B16" s="15"/>
      <c r="C16" s="15"/>
      <c r="D16" s="15"/>
      <c r="E16" s="15"/>
      <c r="F16" s="15"/>
      <c r="G16" s="15"/>
      <c r="H16" s="15"/>
      <c r="I16" s="15"/>
      <c r="J16" s="15"/>
      <c r="K16" s="11"/>
      <c r="L16" s="11"/>
      <c r="M16" s="15" t="s">
        <v>42</v>
      </c>
      <c r="N16" s="15"/>
      <c r="O16" s="15"/>
      <c r="P16" s="15"/>
      <c r="Q16" s="15"/>
    </row>
    <row r="17" spans="1:17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1"/>
      <c r="L17" s="11"/>
      <c r="M17" s="15"/>
      <c r="N17" s="15"/>
      <c r="O17" s="15"/>
      <c r="P17" s="15"/>
      <c r="Q17" s="15"/>
    </row>
    <row r="18" spans="1:17" ht="14.4" customHeight="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1"/>
      <c r="L18" s="11"/>
      <c r="M18" s="15"/>
      <c r="N18" s="15"/>
      <c r="O18" s="15"/>
      <c r="P18" s="15"/>
      <c r="Q18" s="15"/>
    </row>
    <row r="19" spans="1:17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1"/>
      <c r="L19" s="11"/>
      <c r="M19" s="15"/>
      <c r="N19" s="15"/>
      <c r="O19" s="15"/>
      <c r="P19" s="15"/>
      <c r="Q19" s="15"/>
    </row>
    <row r="20" spans="1:17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1"/>
      <c r="L20" s="11"/>
      <c r="M20" s="15"/>
      <c r="N20" s="15"/>
      <c r="O20" s="15"/>
      <c r="P20" s="15"/>
      <c r="Q20" s="15"/>
    </row>
    <row r="21" spans="1:17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1"/>
      <c r="L21" s="11"/>
      <c r="M21" s="15"/>
      <c r="N21" s="15"/>
      <c r="O21" s="15"/>
      <c r="P21" s="15"/>
      <c r="Q21" s="15"/>
    </row>
    <row r="22" spans="1:17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1"/>
      <c r="L22" s="11"/>
      <c r="M22" s="15"/>
      <c r="N22" s="15"/>
      <c r="O22" s="15"/>
      <c r="P22" s="15"/>
      <c r="Q22" s="15"/>
    </row>
    <row r="23" spans="1:17" x14ac:dyDescent="0.3">
      <c r="D23" s="1"/>
      <c r="E23" s="1"/>
      <c r="F23" s="1"/>
      <c r="G23" s="1"/>
      <c r="H23" s="1"/>
      <c r="I23" s="1"/>
    </row>
    <row r="27" spans="1:17" x14ac:dyDescent="0.3">
      <c r="H27" s="14"/>
    </row>
  </sheetData>
  <mergeCells count="58">
    <mergeCell ref="S2:S5"/>
    <mergeCell ref="S6:S9"/>
    <mergeCell ref="R1:S1"/>
    <mergeCell ref="R2:R5"/>
    <mergeCell ref="R6:R9"/>
    <mergeCell ref="A6:A12"/>
    <mergeCell ref="M10:M12"/>
    <mergeCell ref="O10:O12"/>
    <mergeCell ref="Q10:Q12"/>
    <mergeCell ref="C10:C12"/>
    <mergeCell ref="B6:B12"/>
    <mergeCell ref="D10:D12"/>
    <mergeCell ref="E10:E12"/>
    <mergeCell ref="F10:F12"/>
    <mergeCell ref="G10:G12"/>
    <mergeCell ref="H10:H12"/>
    <mergeCell ref="M6:M7"/>
    <mergeCell ref="O6:O7"/>
    <mergeCell ref="Q6:Q7"/>
    <mergeCell ref="D8:D9"/>
    <mergeCell ref="C8:C9"/>
    <mergeCell ref="E8:E9"/>
    <mergeCell ref="F8:F9"/>
    <mergeCell ref="G8:G9"/>
    <mergeCell ref="H8:H9"/>
    <mergeCell ref="M8:M9"/>
    <mergeCell ref="C6:C7"/>
    <mergeCell ref="E6:E7"/>
    <mergeCell ref="F6:F7"/>
    <mergeCell ref="G6:G7"/>
    <mergeCell ref="H6:H7"/>
    <mergeCell ref="G2:G3"/>
    <mergeCell ref="H2:H3"/>
    <mergeCell ref="M2:M3"/>
    <mergeCell ref="O2:O3"/>
    <mergeCell ref="Q2:Q3"/>
    <mergeCell ref="D2:D3"/>
    <mergeCell ref="C2:C3"/>
    <mergeCell ref="B2:B3"/>
    <mergeCell ref="A2:A3"/>
    <mergeCell ref="F2:F3"/>
    <mergeCell ref="E2:E3"/>
    <mergeCell ref="A16:J22"/>
    <mergeCell ref="M16:Q22"/>
    <mergeCell ref="D4:D5"/>
    <mergeCell ref="C4:C5"/>
    <mergeCell ref="B4:B5"/>
    <mergeCell ref="A4:A5"/>
    <mergeCell ref="E4:E5"/>
    <mergeCell ref="F4:F5"/>
    <mergeCell ref="H4:H5"/>
    <mergeCell ref="G4:G5"/>
    <mergeCell ref="M4:M5"/>
    <mergeCell ref="Q4:Q5"/>
    <mergeCell ref="O4:O5"/>
    <mergeCell ref="D6:D7"/>
    <mergeCell ref="O8:O9"/>
    <mergeCell ref="Q8:Q9"/>
  </mergeCells>
  <hyperlinks>
    <hyperlink ref="R2" r:id="rId1" location="characteristics" xr:uid="{1655FA57-3F75-4665-8A4E-A19FD01636AD}"/>
    <hyperlink ref="R6" r:id="rId2" display="https://mpkm.org/ingibitor-korrozii/mapefer-1k/?utm_source=yandex&amp;utm_medium=cpc&amp;utm_campaign=709270474&amp;utm_content=gbid_5744565604.ad_1907904417258333877.pos_other_1.dev_desktop.reg_213.src_search.match_&amp;utm_term=---autotargeting&amp;direct_matched=&amp;yclid=1267233373066100735&amp;etext=2202.-EOK51GuQ2ppzJaTYiX6pGlndXVkZHVrdnF1dXllbng.2e478761d8e5cf753cc0a8d83db02c00da429c23" xr:uid="{C8BD530D-B3E2-4393-A003-516D1EF961A3}"/>
    <hyperlink ref="R10" r:id="rId3" xr:uid="{33FEFE34-5CC3-4587-8C55-9A5F7826FF0C}"/>
    <hyperlink ref="R12" r:id="rId4" xr:uid="{3881FAD7-89CE-4EEE-9FEB-C4BA961D525E}"/>
  </hyperlinks>
  <pageMargins left="0.7" right="0.7" top="0.75" bottom="0.75" header="0.3" footer="0.3"/>
  <pageSetup paperSize="9" scale="66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Машарипов Амир Юсупович</dc:creator>
  <cp:lastModifiedBy>Машарипов Амир</cp:lastModifiedBy>
  <cp:lastPrinted>2026-08-18T10:34:42Z</cp:lastPrinted>
  <dcterms:created xsi:type="dcterms:W3CDTF">2015-06-05T18:19:34Z</dcterms:created>
  <dcterms:modified xsi:type="dcterms:W3CDTF">2026-08-24T10:13:39Z</dcterms:modified>
</cp:coreProperties>
</file>