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ploma\alfa\03 смета\"/>
    </mc:Choice>
  </mc:AlternateContent>
  <xr:revisionPtr revIDLastSave="0" documentId="13_ncr:1_{ABDBD391-BFB7-485F-83B3-BDBFC3C9F7DE}" xr6:coauthVersionLast="45" xr6:coauthVersionMax="45" xr10:uidLastSave="{00000000-0000-0000-0000-000000000000}"/>
  <bookViews>
    <workbookView xWindow="-108" yWindow="-108" windowWidth="23256" windowHeight="12576" xr2:uid="{95513885-58A4-49EB-BB9D-8245577E2829}"/>
  </bookViews>
  <sheets>
    <sheet name="Смета ЕР (общ) 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__PwC1" hidden="1">{#N/A,#N/A,FALSE,"NBU rates 1999"}</definedName>
    <definedName name="__PwC1" hidden="1">{#N/A,#N/A,FALSE,"NBU rates 1999"}</definedName>
    <definedName name="_FD2" hidden="1">#REF!</definedName>
    <definedName name="_Fill" hidden="1">'[1]Subfed SpB'!$V$1:$V$49</definedName>
    <definedName name="_Key1" hidden="1">#REF!</definedName>
    <definedName name="_Order1" hidden="1">255</definedName>
    <definedName name="_Order2" hidden="1">255</definedName>
    <definedName name="_Parse_In" hidden="1">#REF!</definedName>
    <definedName name="_pin" hidden="1">#REF!</definedName>
    <definedName name="_PwC1" hidden="1">{#N/A,#N/A,FALSE,"NBU rates 1999"}</definedName>
    <definedName name="_Sort" hidden="1">#REF!</definedName>
    <definedName name="_xlnm._FilterDatabase" localSheetId="0" hidden="1">'Смета ЕР (общ) '!$A$14:$P$1709</definedName>
    <definedName name="_xlnm._FilterDatabase" hidden="1">#REF!</definedName>
    <definedName name="ABH_BD" hidden="1">{#N/A,#N/A,TRUE,"Лист1"}</definedName>
    <definedName name="AS2DocOpenMode" hidden="1">"AS2DocumentEdit"</definedName>
    <definedName name="AS2NamedRange" hidden="1">3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dsa" hidden="1">#REF!</definedName>
    <definedName name="bb" hidden="1">{#N/A,#N/A,TRUE,"Лист1"}</definedName>
    <definedName name="BG_Del" hidden="1">15</definedName>
    <definedName name="BG_Ins" hidden="1">4</definedName>
    <definedName name="BG_Mod" hidden="1">6</definedName>
    <definedName name="dfgh" hidden="1">#REF!</definedName>
    <definedName name="ewrw" hidden="1">'[2]GAAP 0302'!$A$1:$A$1480</definedName>
    <definedName name="Final_2006" hidden="1">{#N/A,#N/A,FALSE,"NBU rates 1999"}</definedName>
    <definedName name="hjhgjgj" hidden="1">{#N/A,#N/A,TRUE,"Лист1"}</definedName>
    <definedName name="HTML_CodePage" hidden="1">1251</definedName>
    <definedName name="HTML_Control" hidden="1">{"'Котировки'!$A$10:$E$131"}</definedName>
    <definedName name="HTML_Description" hidden="1">""</definedName>
    <definedName name="HTML_Email" hidden="1">""</definedName>
    <definedName name="HTML_Header" hidden="1">"Поступления"</definedName>
    <definedName name="HTML_LastUpdate" hidden="1">"08.10.98"</definedName>
    <definedName name="HTML_LineAfter" hidden="1">TRUE</definedName>
    <definedName name="HTML_LineBefore" hidden="1">TRUE</definedName>
    <definedName name="HTML_Name" hidden="1">"dmitriev"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"S:\SITE\Kot_vek.htm"</definedName>
    <definedName name="HTML_PathTemplate" hidden="1">"G:\TEMP\Котировки векселей.htm"</definedName>
    <definedName name="HTML_Title" hidden="1">"Свод 1998"</definedName>
    <definedName name="iosdjklfvijgaeop" hidden="1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38804.6174189815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gjhg" hidden="1">#REF!</definedName>
    <definedName name="jiogfx" hidden="1">{#N/A,#N/A,TRUE,"Лист1"}</definedName>
    <definedName name="jm" hidden="1">{#N/A,#N/A,TRUE,"Лист1"}</definedName>
    <definedName name="k" hidden="1">{#N/A,#N/A,TRUE,"Лист1"}</definedName>
    <definedName name="kiopiop5454" hidden="1">{#N/A,#N/A,FALSE,"NBU rates 1999"}</definedName>
    <definedName name="nos_op_ACCOUNT" hidden="1">[3]XLR_NoRangeSheet!$D$6</definedName>
    <definedName name="nos_op_DEP" hidden="1">[3]XLR_NoRangeSheet!$F$6</definedName>
    <definedName name="nos_op_MONTH" hidden="1">[3]XLR_NoRangeSheet!$B$6</definedName>
    <definedName name="nos_op_PODP1" hidden="1">[3]XLR_NoRangeSheet!$G$6</definedName>
    <definedName name="nos_op_PODP1_FIO" hidden="1">[3]XLR_NoRangeSheet!$H$6</definedName>
    <definedName name="nos_op_PODP2" hidden="1">[3]XLR_NoRangeSheet!$I$6</definedName>
    <definedName name="nos_op_PODP2_FIO" hidden="1">[3]XLR_NoRangeSheet!$J$6</definedName>
    <definedName name="nos_op_S10000" hidden="1">[3]XLR_NoRangeSheet!$E$6</definedName>
    <definedName name="nos_op_YEAR" hidden="1">[3]XLR_NoRangeSheet!$C$6</definedName>
    <definedName name="nos_vedd_DATE" hidden="1">#REF!</definedName>
    <definedName name="nos_vedd_DEP" hidden="1">#REF!</definedName>
    <definedName name="OLD" hidden="1">{#N/A,#N/A,TRUE,"Лист1"}</definedName>
    <definedName name="P" hidden="1">"dunstan"</definedName>
    <definedName name="pil" hidden="1">#REF!</definedName>
    <definedName name="pp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PwC" hidden="1">{#N/A,#N/A,FALSE,"NBU rates 1999"}</definedName>
    <definedName name="pws" hidden="1">{#N/A,#N/A,FALSE,"NBU rates 1999"}</definedName>
    <definedName name="QDATE_RDATE" hidden="1">[4]XLRpt_TempSheet!$B$13</definedName>
    <definedName name="qq" hidden="1">{#N/A,#N/A,TRUE,"Лист1"}</definedName>
    <definedName name="qwe" hidden="1">#REF!</definedName>
    <definedName name="qwert" hidden="1">#REF!</definedName>
    <definedName name="SAPBEXdnldView" hidden="1">"42NX8LOWPFQSO8JGCDJXG5MVQ"</definedName>
    <definedName name="SAPBEXhrIndnt" hidden="1">3</definedName>
    <definedName name="SAPBEXrevision" hidden="1">19</definedName>
    <definedName name="SAPBEXsysID" hidden="1">"PBW"</definedName>
    <definedName name="SAPBEXwbID" hidden="1">"8FKYDYVBV72AO73LRJJMO9M0P"</definedName>
    <definedName name="sdf" hidden="1">#REF!</definedName>
    <definedName name="sdsss" hidden="1">#REF!</definedName>
    <definedName name="TextRefCopyRangeCount" hidden="1">11</definedName>
    <definedName name="tmp" hidden="1">{#N/A,#N/A,FALSE,"NBU rates 1999"}</definedName>
    <definedName name="trert" hidden="1">{#N/A,#N/A,TRUE,"Лист1"}</definedName>
    <definedName name="uytrr" hidden="1">{#N/A,#N/A,TRUE,"Лист1"}</definedName>
    <definedName name="vv" hidden="1">{#N/A,#N/A,TRUE,"Лист1"}</definedName>
    <definedName name="wrn" hidden="1">{#N/A,#N/A,TRUE,"Лист1"}</definedName>
    <definedName name="wrn.Aging._.and._.Trend._.Analysis." hidden="1">{#N/A,#N/A,FALSE,"Aging Summary";#N/A,#N/A,FALSE,"Ratio Analysis";#N/A,#N/A,FALSE,"Test 120 Day Accts";#N/A,#N/A,FALSE,"Tickmarks"}</definedName>
    <definedName name="wrn.ex." hidden="1">{#N/A,#N/A,FALSE,"NBU rates 1999"}</definedName>
    <definedName name="wrn.PL._.Report." hidden="1">{"Page1",#N/A,TRUE,"P&amp;LREP";"PAge 2",#N/A,TRUE,"P&amp;LREP";"Page3",#N/A,TRUE,"P&amp;LREP";"Page4",#N/A,TRUE,"P&amp;LREP"}</definedName>
    <definedName name="wrn.proba." hidden="1">{#N/A,#N/A,FALSE,"Ф_10";#N/A,#N/A,FALSE,"Ф_10v"}</definedName>
    <definedName name="wrn.SVERKA.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БЕЛЕБЕЕВСКИЙ._.МОЛОЧНЫЙ._.КОМБИНАТ." hidden="1">{#N/A,#N/A,TRUE,"Лист1"}</definedName>
    <definedName name="wrn.остаток._.по._.822._.счету." hidden="1">{#N/A,#N/A,FALSE,"Лист1"}</definedName>
    <definedName name="XLR_VERSION" hidden="1">[5]XLR_NoRangeSheet!$A$5</definedName>
    <definedName name="XLRPARAMS_ACCOUNT_NUM" hidden="1">[5]XLR_NoRangeSheet!$F$6</definedName>
    <definedName name="XLRPARAMS_ALL_SUM_NAT_AMOUNT" hidden="1">[6]XLR_NoRangeSheet!$X$6</definedName>
    <definedName name="XLRPARAMS_BALBEG" hidden="1">[7]XLR_NoRangeSheet!$Q$6</definedName>
    <definedName name="XLRPARAMS_BALEND" hidden="1">[7]XLR_NoRangeSheet!$R$6</definedName>
    <definedName name="XLRPARAMS_Beg_Date" hidden="1">[8]XLR_NoRangeSheet!$B$6</definedName>
    <definedName name="XLRPARAMS_BEG_REPORT_DATE" hidden="1">[9]XLR_NoRangeSheet!$Q$6</definedName>
    <definedName name="XLRPARAMS_EMPL_NAME" hidden="1">[10]XLR_NoRangeSheet!$U$6</definedName>
    <definedName name="XLRPARAMS_End_Date" hidden="1">[8]XLR_NoRangeSheet!$C$6</definedName>
    <definedName name="XLRPARAMS_END_REPORT_DATE" hidden="1">[9]XLR_NoRangeSheet!$R$6</definedName>
    <definedName name="XLRPARAMS_OP_DATE" hidden="1">[11]XLR_NoRangeSheet!$AC$6</definedName>
    <definedName name="XLRPARAMS_OUR_BANK_FULL_NAME" hidden="1">[5]XLR_NoRangeSheet!$D$6</definedName>
    <definedName name="XLRPARAMS_OUR_BANK_NAME" hidden="1">[5]XLR_NoRangeSheet!$C$6</definedName>
    <definedName name="XLRPARAMS_REAL_USER_NAME" hidden="1">[11]XLR_NoRangeSheet!$B$6</definedName>
    <definedName name="XLRPARAMS_REP_DATE" hidden="1">[12]XLR_NoRangeSheet!$Q$6</definedName>
    <definedName name="XLRPARAMS_REP_DATE_STR" hidden="1">[5]XLR_NoRangeSheet!$M$6</definedName>
    <definedName name="XLRPARAMS_REPORT_DATE" hidden="1">[10]XLR_NoRangeSheet!$T$6</definedName>
    <definedName name="XLRPARAMS_SELECT_DATE" hidden="1">[13]XLR_NoRangeSheet!$M$6</definedName>
    <definedName name="XLRPARAMS_TYPE_NAME" hidden="1">[7]XLR_NoRangeSheet!$P$6</definedName>
    <definedName name="XLRPARAMS_VDATEYEAR" hidden="1">[5]XLR_NoRangeSheet!$N$6</definedName>
    <definedName name="XLRPARAMS_VEUR_COURSE" hidden="1">[5]XLR_NoRangeSheet!$P$6</definedName>
    <definedName name="XLRPARAMS_VUSD_COURSE" hidden="1">[5]XLR_NoRangeSheet!$Q$6</definedName>
    <definedName name="XRefCopy1" hidden="1">#REF!</definedName>
    <definedName name="XRefCopyRangeCount" hidden="1">1</definedName>
    <definedName name="yre\szccvvlll_ffff" hidden="1">{#N/A,#N/A,TRUE,"Лист1"}</definedName>
    <definedName name="yyyyyyy" hidden="1">{#N/A,#N/A,FALSE,"NBU rates 1999"}</definedName>
    <definedName name="Z_54F8E40F_201A_4EA4_854E_99CC4C9C88BC_.wvu.FilterData" hidden="1">#N/A</definedName>
    <definedName name="Z_54F8E40F_201A_4EA4_854E_99CC4C9C88BC_.wvu.PrintArea" hidden="1">#N/A</definedName>
    <definedName name="Z_54F8E40F_201A_4EA4_854E_99CC4C9C88BC_.wvu.PrintTitles" hidden="1">#N/A</definedName>
    <definedName name="Z_54F8E40F_201A_4EA4_854E_99CC4C9C88BC_.wvu.Rows" hidden="1">#N/A</definedName>
    <definedName name="Z_85B0ED75_B773_44FF_B36D_C46A7C8175E9_.wvu.PrintArea" hidden="1">#REF!</definedName>
    <definedName name="Z_85B0ED75_B773_44FF_B36D_C46A7C8175E9_.wvu.PrintTitles" hidden="1">#REF!</definedName>
    <definedName name="вваыв" hidden="1">#REF!</definedName>
    <definedName name="ирп" hidden="1">{#N/A,#N/A,FALSE,"NBU rates 1999"}</definedName>
    <definedName name="классификатор" hidden="1">{#N/A,#N/A,TRUE,"Лист1"}</definedName>
    <definedName name="п" hidden="1">{"'Поступления'!$A$5:$L$302"}</definedName>
    <definedName name="ПРД1" hidden="1">{"'Поступления'!$A$5:$L$302"}</definedName>
    <definedName name="р" hidden="1">#REF!</definedName>
    <definedName name="роп" hidden="1">{0,0,0,0}</definedName>
    <definedName name="рпр" hidden="1">{#N/A,#N/A,TRUE,"Лист1"}</definedName>
    <definedName name="укк" hidden="1">#REF!</definedName>
    <definedName name="фцв" hidden="1">#REF!</definedName>
    <definedName name="щз" hidden="1">{#N/A,#N/A,TRUE,"Лист1"}</definedName>
    <definedName name="ЫВВЫВЫВ" hidden="1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704" i="1" l="1"/>
  <c r="O1704" i="1" s="1"/>
  <c r="L1704" i="1"/>
  <c r="N1704" i="1" s="1"/>
  <c r="E1704" i="1"/>
  <c r="M1703" i="1"/>
  <c r="O1703" i="1" s="1"/>
  <c r="L1703" i="1"/>
  <c r="N1703" i="1" s="1"/>
  <c r="E1703" i="1"/>
  <c r="M1702" i="1"/>
  <c r="O1702" i="1" s="1"/>
  <c r="L1702" i="1"/>
  <c r="N1702" i="1" s="1"/>
  <c r="E1702" i="1"/>
  <c r="M1701" i="1"/>
  <c r="O1701" i="1" s="1"/>
  <c r="L1701" i="1"/>
  <c r="N1701" i="1" s="1"/>
  <c r="E1701" i="1"/>
  <c r="M1700" i="1"/>
  <c r="O1700" i="1" s="1"/>
  <c r="L1700" i="1"/>
  <c r="N1700" i="1" s="1"/>
  <c r="E1700" i="1"/>
  <c r="M1699" i="1"/>
  <c r="O1699" i="1" s="1"/>
  <c r="L1699" i="1"/>
  <c r="N1699" i="1" s="1"/>
  <c r="E1699" i="1"/>
  <c r="M1698" i="1"/>
  <c r="O1698" i="1" s="1"/>
  <c r="L1698" i="1"/>
  <c r="N1698" i="1" s="1"/>
  <c r="E1698" i="1"/>
  <c r="M1697" i="1"/>
  <c r="O1697" i="1" s="1"/>
  <c r="L1697" i="1"/>
  <c r="N1697" i="1" s="1"/>
  <c r="E1697" i="1"/>
  <c r="M1696" i="1"/>
  <c r="O1696" i="1" s="1"/>
  <c r="L1696" i="1"/>
  <c r="N1696" i="1" s="1"/>
  <c r="E1696" i="1"/>
  <c r="M1695" i="1"/>
  <c r="O1695" i="1" s="1"/>
  <c r="L1695" i="1"/>
  <c r="N1695" i="1" s="1"/>
  <c r="E1695" i="1"/>
  <c r="M1694" i="1"/>
  <c r="O1694" i="1" s="1"/>
  <c r="L1694" i="1"/>
  <c r="N1694" i="1" s="1"/>
  <c r="E1694" i="1"/>
  <c r="M1693" i="1"/>
  <c r="O1693" i="1" s="1"/>
  <c r="L1693" i="1"/>
  <c r="N1693" i="1" s="1"/>
  <c r="E1693" i="1"/>
  <c r="M1692" i="1"/>
  <c r="O1692" i="1" s="1"/>
  <c r="L1692" i="1"/>
  <c r="N1692" i="1" s="1"/>
  <c r="E1692" i="1"/>
  <c r="M1691" i="1"/>
  <c r="O1691" i="1" s="1"/>
  <c r="L1691" i="1"/>
  <c r="N1691" i="1" s="1"/>
  <c r="E1691" i="1"/>
  <c r="M1690" i="1"/>
  <c r="O1690" i="1" s="1"/>
  <c r="L1690" i="1"/>
  <c r="N1690" i="1" s="1"/>
  <c r="E1690" i="1"/>
  <c r="M1689" i="1"/>
  <c r="O1689" i="1" s="1"/>
  <c r="L1689" i="1"/>
  <c r="N1689" i="1" s="1"/>
  <c r="E1689" i="1"/>
  <c r="M1688" i="1"/>
  <c r="O1688" i="1" s="1"/>
  <c r="L1688" i="1"/>
  <c r="N1688" i="1" s="1"/>
  <c r="E1688" i="1"/>
  <c r="M1687" i="1"/>
  <c r="O1687" i="1" s="1"/>
  <c r="L1687" i="1"/>
  <c r="N1687" i="1" s="1"/>
  <c r="E1687" i="1"/>
  <c r="M1686" i="1"/>
  <c r="O1686" i="1" s="1"/>
  <c r="L1686" i="1"/>
  <c r="N1686" i="1" s="1"/>
  <c r="E1686" i="1"/>
  <c r="M1685" i="1"/>
  <c r="O1685" i="1" s="1"/>
  <c r="L1685" i="1"/>
  <c r="N1685" i="1" s="1"/>
  <c r="E1685" i="1"/>
  <c r="M1684" i="1"/>
  <c r="O1684" i="1" s="1"/>
  <c r="L1684" i="1"/>
  <c r="N1684" i="1" s="1"/>
  <c r="E1684" i="1"/>
  <c r="M1683" i="1"/>
  <c r="O1683" i="1" s="1"/>
  <c r="L1683" i="1"/>
  <c r="N1683" i="1" s="1"/>
  <c r="E1683" i="1"/>
  <c r="M1682" i="1"/>
  <c r="O1682" i="1" s="1"/>
  <c r="L1682" i="1"/>
  <c r="N1682" i="1" s="1"/>
  <c r="E1682" i="1"/>
  <c r="E1681" i="1"/>
  <c r="E1680" i="1"/>
  <c r="M1679" i="1"/>
  <c r="O1679" i="1" s="1"/>
  <c r="L1679" i="1"/>
  <c r="N1679" i="1" s="1"/>
  <c r="K1679" i="1"/>
  <c r="E1679" i="1"/>
  <c r="M1678" i="1"/>
  <c r="O1678" i="1" s="1"/>
  <c r="L1678" i="1"/>
  <c r="N1678" i="1" s="1"/>
  <c r="K1678" i="1"/>
  <c r="E1678" i="1"/>
  <c r="M1677" i="1"/>
  <c r="O1677" i="1" s="1"/>
  <c r="L1677" i="1"/>
  <c r="N1677" i="1" s="1"/>
  <c r="K1677" i="1"/>
  <c r="E1677" i="1"/>
  <c r="M1676" i="1"/>
  <c r="O1676" i="1" s="1"/>
  <c r="L1676" i="1"/>
  <c r="N1676" i="1" s="1"/>
  <c r="K1676" i="1"/>
  <c r="E1676" i="1"/>
  <c r="L1675" i="1"/>
  <c r="N1675" i="1" s="1"/>
  <c r="K1675" i="1"/>
  <c r="M1675" i="1" s="1"/>
  <c r="O1675" i="1" s="1"/>
  <c r="E1675" i="1"/>
  <c r="L1674" i="1"/>
  <c r="N1674" i="1" s="1"/>
  <c r="K1674" i="1"/>
  <c r="M1674" i="1" s="1"/>
  <c r="O1674" i="1" s="1"/>
  <c r="E1674" i="1"/>
  <c r="M1673" i="1"/>
  <c r="O1673" i="1" s="1"/>
  <c r="L1673" i="1"/>
  <c r="N1673" i="1" s="1"/>
  <c r="K1673" i="1"/>
  <c r="E1673" i="1"/>
  <c r="M1672" i="1"/>
  <c r="O1672" i="1" s="1"/>
  <c r="L1672" i="1"/>
  <c r="N1672" i="1" s="1"/>
  <c r="K1672" i="1"/>
  <c r="E1672" i="1"/>
  <c r="M1671" i="1"/>
  <c r="O1671" i="1" s="1"/>
  <c r="L1671" i="1"/>
  <c r="N1671" i="1" s="1"/>
  <c r="K1671" i="1"/>
  <c r="E1671" i="1"/>
  <c r="M1670" i="1"/>
  <c r="O1670" i="1" s="1"/>
  <c r="L1670" i="1"/>
  <c r="N1670" i="1" s="1"/>
  <c r="K1670" i="1"/>
  <c r="E1670" i="1"/>
  <c r="L1669" i="1"/>
  <c r="N1669" i="1" s="1"/>
  <c r="K1669" i="1"/>
  <c r="M1669" i="1" s="1"/>
  <c r="O1669" i="1" s="1"/>
  <c r="E1669" i="1"/>
  <c r="L1668" i="1"/>
  <c r="N1668" i="1" s="1"/>
  <c r="K1668" i="1"/>
  <c r="M1668" i="1" s="1"/>
  <c r="O1668" i="1" s="1"/>
  <c r="E1668" i="1"/>
  <c r="E1667" i="1"/>
  <c r="M1666" i="1"/>
  <c r="O1666" i="1" s="1"/>
  <c r="L1666" i="1"/>
  <c r="N1666" i="1" s="1"/>
  <c r="E1666" i="1"/>
  <c r="M1665" i="1"/>
  <c r="O1665" i="1" s="1"/>
  <c r="L1665" i="1"/>
  <c r="N1665" i="1" s="1"/>
  <c r="E1665" i="1"/>
  <c r="M1664" i="1"/>
  <c r="O1664" i="1" s="1"/>
  <c r="L1664" i="1"/>
  <c r="N1664" i="1" s="1"/>
  <c r="E1664" i="1"/>
  <c r="M1663" i="1"/>
  <c r="O1663" i="1" s="1"/>
  <c r="L1663" i="1"/>
  <c r="N1663" i="1" s="1"/>
  <c r="E1663" i="1"/>
  <c r="M1662" i="1"/>
  <c r="O1662" i="1" s="1"/>
  <c r="L1662" i="1"/>
  <c r="N1662" i="1" s="1"/>
  <c r="E1662" i="1"/>
  <c r="M1661" i="1"/>
  <c r="O1661" i="1" s="1"/>
  <c r="L1661" i="1"/>
  <c r="N1661" i="1" s="1"/>
  <c r="E1661" i="1"/>
  <c r="M1660" i="1"/>
  <c r="O1660" i="1" s="1"/>
  <c r="L1660" i="1"/>
  <c r="N1660" i="1" s="1"/>
  <c r="E1660" i="1"/>
  <c r="M1659" i="1"/>
  <c r="O1659" i="1" s="1"/>
  <c r="L1659" i="1"/>
  <c r="N1659" i="1" s="1"/>
  <c r="E1659" i="1"/>
  <c r="M1658" i="1"/>
  <c r="O1658" i="1" s="1"/>
  <c r="L1658" i="1"/>
  <c r="N1658" i="1" s="1"/>
  <c r="E1658" i="1"/>
  <c r="M1657" i="1"/>
  <c r="O1657" i="1" s="1"/>
  <c r="L1657" i="1"/>
  <c r="N1657" i="1" s="1"/>
  <c r="E1657" i="1"/>
  <c r="M1656" i="1"/>
  <c r="O1656" i="1" s="1"/>
  <c r="L1656" i="1"/>
  <c r="N1656" i="1" s="1"/>
  <c r="E1656" i="1"/>
  <c r="M1655" i="1"/>
  <c r="O1655" i="1" s="1"/>
  <c r="L1655" i="1"/>
  <c r="N1655" i="1" s="1"/>
  <c r="E1655" i="1"/>
  <c r="M1654" i="1"/>
  <c r="O1654" i="1" s="1"/>
  <c r="L1654" i="1"/>
  <c r="N1654" i="1" s="1"/>
  <c r="E1654" i="1"/>
  <c r="M1653" i="1"/>
  <c r="O1653" i="1" s="1"/>
  <c r="L1653" i="1"/>
  <c r="N1653" i="1" s="1"/>
  <c r="E1653" i="1"/>
  <c r="M1652" i="1"/>
  <c r="O1652" i="1" s="1"/>
  <c r="L1652" i="1"/>
  <c r="N1652" i="1" s="1"/>
  <c r="E1652" i="1"/>
  <c r="M1651" i="1"/>
  <c r="O1651" i="1" s="1"/>
  <c r="L1651" i="1"/>
  <c r="N1651" i="1" s="1"/>
  <c r="E1651" i="1"/>
  <c r="M1650" i="1"/>
  <c r="O1650" i="1" s="1"/>
  <c r="L1650" i="1"/>
  <c r="N1650" i="1" s="1"/>
  <c r="E1650" i="1"/>
  <c r="M1649" i="1"/>
  <c r="O1649" i="1" s="1"/>
  <c r="L1649" i="1"/>
  <c r="N1649" i="1" s="1"/>
  <c r="E1649" i="1"/>
  <c r="M1648" i="1"/>
  <c r="O1648" i="1" s="1"/>
  <c r="L1648" i="1"/>
  <c r="N1648" i="1" s="1"/>
  <c r="E1648" i="1"/>
  <c r="M1647" i="1"/>
  <c r="O1647" i="1" s="1"/>
  <c r="L1647" i="1"/>
  <c r="N1647" i="1" s="1"/>
  <c r="E1647" i="1"/>
  <c r="M1646" i="1"/>
  <c r="O1646" i="1" s="1"/>
  <c r="L1646" i="1"/>
  <c r="N1646" i="1" s="1"/>
  <c r="E1646" i="1"/>
  <c r="M1645" i="1"/>
  <c r="O1645" i="1" s="1"/>
  <c r="L1645" i="1"/>
  <c r="N1645" i="1" s="1"/>
  <c r="E1645" i="1"/>
  <c r="E1644" i="1"/>
  <c r="L1643" i="1"/>
  <c r="N1643" i="1" s="1"/>
  <c r="K1643" i="1"/>
  <c r="M1643" i="1" s="1"/>
  <c r="O1643" i="1" s="1"/>
  <c r="E1643" i="1"/>
  <c r="L1642" i="1"/>
  <c r="N1642" i="1" s="1"/>
  <c r="K1642" i="1"/>
  <c r="M1642" i="1" s="1"/>
  <c r="O1642" i="1" s="1"/>
  <c r="E1642" i="1"/>
  <c r="E1641" i="1"/>
  <c r="M1640" i="1"/>
  <c r="O1640" i="1" s="1"/>
  <c r="L1640" i="1"/>
  <c r="N1640" i="1" s="1"/>
  <c r="E1640" i="1"/>
  <c r="M1639" i="1"/>
  <c r="O1639" i="1" s="1"/>
  <c r="L1639" i="1"/>
  <c r="N1639" i="1" s="1"/>
  <c r="E1639" i="1"/>
  <c r="M1638" i="1"/>
  <c r="O1638" i="1" s="1"/>
  <c r="L1638" i="1"/>
  <c r="N1638" i="1" s="1"/>
  <c r="E1638" i="1"/>
  <c r="L1637" i="1"/>
  <c r="N1637" i="1" s="1"/>
  <c r="K1637" i="1"/>
  <c r="M1637" i="1" s="1"/>
  <c r="O1637" i="1" s="1"/>
  <c r="E1637" i="1"/>
  <c r="M1636" i="1"/>
  <c r="O1636" i="1" s="1"/>
  <c r="L1636" i="1"/>
  <c r="N1636" i="1" s="1"/>
  <c r="E1636" i="1"/>
  <c r="M1635" i="1"/>
  <c r="O1635" i="1" s="1"/>
  <c r="L1635" i="1"/>
  <c r="N1635" i="1" s="1"/>
  <c r="E1635" i="1"/>
  <c r="M1634" i="1"/>
  <c r="O1634" i="1" s="1"/>
  <c r="L1634" i="1"/>
  <c r="N1634" i="1" s="1"/>
  <c r="E1634" i="1"/>
  <c r="M1633" i="1"/>
  <c r="O1633" i="1" s="1"/>
  <c r="L1633" i="1"/>
  <c r="N1633" i="1" s="1"/>
  <c r="E1633" i="1"/>
  <c r="M1632" i="1"/>
  <c r="O1632" i="1" s="1"/>
  <c r="L1632" i="1"/>
  <c r="N1632" i="1" s="1"/>
  <c r="E1632" i="1"/>
  <c r="M1631" i="1"/>
  <c r="O1631" i="1" s="1"/>
  <c r="L1631" i="1"/>
  <c r="N1631" i="1" s="1"/>
  <c r="E1631" i="1"/>
  <c r="M1630" i="1"/>
  <c r="O1630" i="1" s="1"/>
  <c r="L1630" i="1"/>
  <c r="N1630" i="1" s="1"/>
  <c r="E1630" i="1"/>
  <c r="M1629" i="1"/>
  <c r="O1629" i="1" s="1"/>
  <c r="L1629" i="1"/>
  <c r="N1629" i="1" s="1"/>
  <c r="E1629" i="1"/>
  <c r="M1628" i="1"/>
  <c r="O1628" i="1" s="1"/>
  <c r="L1628" i="1"/>
  <c r="N1628" i="1" s="1"/>
  <c r="E1628" i="1"/>
  <c r="M1627" i="1"/>
  <c r="O1627" i="1" s="1"/>
  <c r="L1627" i="1"/>
  <c r="N1627" i="1" s="1"/>
  <c r="E1627" i="1"/>
  <c r="M1626" i="1"/>
  <c r="O1626" i="1" s="1"/>
  <c r="L1626" i="1"/>
  <c r="N1626" i="1" s="1"/>
  <c r="E1626" i="1"/>
  <c r="M1625" i="1"/>
  <c r="O1625" i="1" s="1"/>
  <c r="L1625" i="1"/>
  <c r="N1625" i="1" s="1"/>
  <c r="E1625" i="1"/>
  <c r="M1624" i="1"/>
  <c r="O1624" i="1" s="1"/>
  <c r="L1624" i="1"/>
  <c r="N1624" i="1" s="1"/>
  <c r="E1624" i="1"/>
  <c r="M1623" i="1"/>
  <c r="O1623" i="1" s="1"/>
  <c r="L1623" i="1"/>
  <c r="N1623" i="1" s="1"/>
  <c r="E1623" i="1"/>
  <c r="M1622" i="1"/>
  <c r="O1622" i="1" s="1"/>
  <c r="L1622" i="1"/>
  <c r="N1622" i="1" s="1"/>
  <c r="E1622" i="1"/>
  <c r="M1621" i="1"/>
  <c r="O1621" i="1" s="1"/>
  <c r="L1621" i="1"/>
  <c r="N1621" i="1" s="1"/>
  <c r="E1621" i="1"/>
  <c r="M1620" i="1"/>
  <c r="O1620" i="1" s="1"/>
  <c r="L1620" i="1"/>
  <c r="N1620" i="1" s="1"/>
  <c r="E1620" i="1"/>
  <c r="M1619" i="1"/>
  <c r="O1619" i="1" s="1"/>
  <c r="L1619" i="1"/>
  <c r="N1619" i="1" s="1"/>
  <c r="E1619" i="1"/>
  <c r="M1618" i="1"/>
  <c r="O1618" i="1" s="1"/>
  <c r="L1618" i="1"/>
  <c r="N1618" i="1" s="1"/>
  <c r="E1618" i="1"/>
  <c r="M1617" i="1"/>
  <c r="O1617" i="1" s="1"/>
  <c r="L1617" i="1"/>
  <c r="N1617" i="1" s="1"/>
  <c r="E1617" i="1"/>
  <c r="M1616" i="1"/>
  <c r="O1616" i="1" s="1"/>
  <c r="L1616" i="1"/>
  <c r="N1616" i="1" s="1"/>
  <c r="E1616" i="1"/>
  <c r="M1615" i="1"/>
  <c r="O1615" i="1" s="1"/>
  <c r="L1615" i="1"/>
  <c r="N1615" i="1" s="1"/>
  <c r="E1615" i="1"/>
  <c r="M1614" i="1"/>
  <c r="O1614" i="1" s="1"/>
  <c r="L1614" i="1"/>
  <c r="N1614" i="1" s="1"/>
  <c r="E1614" i="1"/>
  <c r="M1613" i="1"/>
  <c r="O1613" i="1" s="1"/>
  <c r="L1613" i="1"/>
  <c r="N1613" i="1" s="1"/>
  <c r="E1613" i="1"/>
  <c r="M1612" i="1"/>
  <c r="O1612" i="1" s="1"/>
  <c r="L1612" i="1"/>
  <c r="N1612" i="1" s="1"/>
  <c r="E1612" i="1"/>
  <c r="O1611" i="1"/>
  <c r="N1611" i="1"/>
  <c r="E1611" i="1"/>
  <c r="O1610" i="1"/>
  <c r="N1610" i="1"/>
  <c r="E1610" i="1"/>
  <c r="O1609" i="1"/>
  <c r="N1609" i="1"/>
  <c r="E1609" i="1"/>
  <c r="O1608" i="1"/>
  <c r="N1608" i="1"/>
  <c r="E1608" i="1"/>
  <c r="O1607" i="1"/>
  <c r="N1607" i="1"/>
  <c r="E1607" i="1"/>
  <c r="O1606" i="1"/>
  <c r="N1606" i="1"/>
  <c r="E1606" i="1"/>
  <c r="O1605" i="1"/>
  <c r="N1605" i="1"/>
  <c r="E1605" i="1"/>
  <c r="O1604" i="1"/>
  <c r="N1604" i="1"/>
  <c r="E1604" i="1"/>
  <c r="O1603" i="1"/>
  <c r="N1603" i="1"/>
  <c r="E1603" i="1"/>
  <c r="O1602" i="1"/>
  <c r="N1602" i="1"/>
  <c r="E1602" i="1"/>
  <c r="O1601" i="1"/>
  <c r="N1601" i="1"/>
  <c r="E1601" i="1"/>
  <c r="O1600" i="1"/>
  <c r="N1600" i="1"/>
  <c r="E1600" i="1"/>
  <c r="O1599" i="1"/>
  <c r="N1599" i="1"/>
  <c r="E1599" i="1"/>
  <c r="O1598" i="1"/>
  <c r="N1598" i="1"/>
  <c r="E1598" i="1"/>
  <c r="O1597" i="1"/>
  <c r="N1597" i="1"/>
  <c r="E1597" i="1"/>
  <c r="O1596" i="1"/>
  <c r="N1596" i="1"/>
  <c r="E1596" i="1"/>
  <c r="O1595" i="1"/>
  <c r="N1595" i="1"/>
  <c r="E1595" i="1"/>
  <c r="O1594" i="1"/>
  <c r="N1594" i="1"/>
  <c r="E1594" i="1"/>
  <c r="M1593" i="1"/>
  <c r="O1593" i="1" s="1"/>
  <c r="L1593" i="1"/>
  <c r="N1593" i="1" s="1"/>
  <c r="E1593" i="1"/>
  <c r="K1592" i="1"/>
  <c r="E1592" i="1"/>
  <c r="M1591" i="1"/>
  <c r="O1591" i="1" s="1"/>
  <c r="K1591" i="1"/>
  <c r="J1591" i="1"/>
  <c r="L1591" i="1" s="1"/>
  <c r="N1591" i="1" s="1"/>
  <c r="E1591" i="1"/>
  <c r="K1590" i="1"/>
  <c r="M1590" i="1" s="1"/>
  <c r="O1590" i="1" s="1"/>
  <c r="J1590" i="1"/>
  <c r="L1590" i="1" s="1"/>
  <c r="N1590" i="1" s="1"/>
  <c r="E1590" i="1"/>
  <c r="K1589" i="1"/>
  <c r="E1589" i="1"/>
  <c r="M1588" i="1"/>
  <c r="O1588" i="1" s="1"/>
  <c r="K1588" i="1"/>
  <c r="J1588" i="1"/>
  <c r="L1588" i="1" s="1"/>
  <c r="N1588" i="1" s="1"/>
  <c r="E1588" i="1"/>
  <c r="K1587" i="1"/>
  <c r="M1587" i="1" s="1"/>
  <c r="O1587" i="1" s="1"/>
  <c r="J1587" i="1"/>
  <c r="L1587" i="1" s="1"/>
  <c r="N1587" i="1" s="1"/>
  <c r="E1587" i="1"/>
  <c r="K1586" i="1"/>
  <c r="E1586" i="1"/>
  <c r="M1585" i="1"/>
  <c r="O1585" i="1" s="1"/>
  <c r="K1585" i="1"/>
  <c r="J1585" i="1"/>
  <c r="L1585" i="1" s="1"/>
  <c r="N1585" i="1" s="1"/>
  <c r="E1585" i="1"/>
  <c r="K1584" i="1"/>
  <c r="M1584" i="1" s="1"/>
  <c r="O1584" i="1" s="1"/>
  <c r="J1584" i="1"/>
  <c r="L1584" i="1" s="1"/>
  <c r="N1584" i="1" s="1"/>
  <c r="E1584" i="1"/>
  <c r="K1583" i="1"/>
  <c r="E1583" i="1"/>
  <c r="M1582" i="1"/>
  <c r="O1582" i="1" s="1"/>
  <c r="K1582" i="1"/>
  <c r="J1582" i="1"/>
  <c r="L1582" i="1" s="1"/>
  <c r="N1582" i="1" s="1"/>
  <c r="E1582" i="1"/>
  <c r="K1581" i="1"/>
  <c r="M1581" i="1" s="1"/>
  <c r="O1581" i="1" s="1"/>
  <c r="J1581" i="1"/>
  <c r="L1581" i="1" s="1"/>
  <c r="N1581" i="1" s="1"/>
  <c r="E1581" i="1"/>
  <c r="K1580" i="1"/>
  <c r="E1580" i="1"/>
  <c r="M1579" i="1"/>
  <c r="O1579" i="1" s="1"/>
  <c r="K1579" i="1"/>
  <c r="J1579" i="1"/>
  <c r="L1579" i="1" s="1"/>
  <c r="N1579" i="1" s="1"/>
  <c r="E1579" i="1"/>
  <c r="K1578" i="1"/>
  <c r="M1578" i="1" s="1"/>
  <c r="O1578" i="1" s="1"/>
  <c r="J1578" i="1"/>
  <c r="L1578" i="1" s="1"/>
  <c r="N1578" i="1" s="1"/>
  <c r="E1578" i="1"/>
  <c r="K1577" i="1"/>
  <c r="E1577" i="1"/>
  <c r="M1576" i="1"/>
  <c r="O1576" i="1" s="1"/>
  <c r="K1576" i="1"/>
  <c r="J1576" i="1"/>
  <c r="L1576" i="1" s="1"/>
  <c r="N1576" i="1" s="1"/>
  <c r="E1576" i="1"/>
  <c r="K1575" i="1"/>
  <c r="M1575" i="1" s="1"/>
  <c r="O1575" i="1" s="1"/>
  <c r="J1575" i="1"/>
  <c r="L1575" i="1" s="1"/>
  <c r="N1575" i="1" s="1"/>
  <c r="E1575" i="1"/>
  <c r="K1574" i="1"/>
  <c r="E1574" i="1"/>
  <c r="M1573" i="1"/>
  <c r="O1573" i="1" s="1"/>
  <c r="K1573" i="1"/>
  <c r="J1573" i="1"/>
  <c r="L1573" i="1" s="1"/>
  <c r="N1573" i="1" s="1"/>
  <c r="E1573" i="1"/>
  <c r="K1572" i="1"/>
  <c r="M1572" i="1" s="1"/>
  <c r="O1572" i="1" s="1"/>
  <c r="J1572" i="1"/>
  <c r="L1572" i="1" s="1"/>
  <c r="N1572" i="1" s="1"/>
  <c r="E1572" i="1"/>
  <c r="K1571" i="1"/>
  <c r="E1571" i="1"/>
  <c r="M1570" i="1"/>
  <c r="O1570" i="1" s="1"/>
  <c r="K1570" i="1"/>
  <c r="J1570" i="1"/>
  <c r="L1570" i="1" s="1"/>
  <c r="N1570" i="1" s="1"/>
  <c r="E1570" i="1"/>
  <c r="K1569" i="1"/>
  <c r="M1569" i="1" s="1"/>
  <c r="O1569" i="1" s="1"/>
  <c r="J1569" i="1"/>
  <c r="L1569" i="1" s="1"/>
  <c r="N1569" i="1" s="1"/>
  <c r="E1569" i="1"/>
  <c r="K1568" i="1"/>
  <c r="E1568" i="1"/>
  <c r="M1567" i="1"/>
  <c r="O1567" i="1" s="1"/>
  <c r="K1567" i="1"/>
  <c r="J1567" i="1"/>
  <c r="L1567" i="1" s="1"/>
  <c r="N1567" i="1" s="1"/>
  <c r="E1567" i="1"/>
  <c r="K1566" i="1"/>
  <c r="M1566" i="1" s="1"/>
  <c r="O1566" i="1" s="1"/>
  <c r="J1566" i="1"/>
  <c r="L1566" i="1" s="1"/>
  <c r="N1566" i="1" s="1"/>
  <c r="E1566" i="1"/>
  <c r="K1565" i="1"/>
  <c r="E1565" i="1"/>
  <c r="K1564" i="1"/>
  <c r="M1564" i="1" s="1"/>
  <c r="O1564" i="1" s="1"/>
  <c r="E1564" i="1"/>
  <c r="K1563" i="1"/>
  <c r="M1563" i="1" s="1"/>
  <c r="O1563" i="1" s="1"/>
  <c r="J1563" i="1"/>
  <c r="L1563" i="1" s="1"/>
  <c r="N1563" i="1" s="1"/>
  <c r="E1563" i="1"/>
  <c r="K1562" i="1"/>
  <c r="E1562" i="1"/>
  <c r="M1561" i="1"/>
  <c r="O1561" i="1" s="1"/>
  <c r="K1561" i="1"/>
  <c r="J1561" i="1"/>
  <c r="L1561" i="1" s="1"/>
  <c r="N1561" i="1" s="1"/>
  <c r="E1561" i="1"/>
  <c r="K1560" i="1"/>
  <c r="M1560" i="1" s="1"/>
  <c r="O1560" i="1" s="1"/>
  <c r="J1560" i="1"/>
  <c r="L1560" i="1" s="1"/>
  <c r="N1560" i="1" s="1"/>
  <c r="E1560" i="1"/>
  <c r="K1559" i="1"/>
  <c r="E1559" i="1"/>
  <c r="M1558" i="1"/>
  <c r="O1558" i="1" s="1"/>
  <c r="K1558" i="1"/>
  <c r="J1558" i="1"/>
  <c r="L1558" i="1" s="1"/>
  <c r="N1558" i="1" s="1"/>
  <c r="E1558" i="1"/>
  <c r="M1557" i="1"/>
  <c r="O1557" i="1" s="1"/>
  <c r="K1557" i="1"/>
  <c r="J1557" i="1" s="1"/>
  <c r="L1557" i="1" s="1"/>
  <c r="N1557" i="1" s="1"/>
  <c r="E1557" i="1"/>
  <c r="K1556" i="1"/>
  <c r="E1556" i="1"/>
  <c r="K1555" i="1"/>
  <c r="M1555" i="1" s="1"/>
  <c r="O1555" i="1" s="1"/>
  <c r="E1555" i="1"/>
  <c r="M1554" i="1"/>
  <c r="O1554" i="1" s="1"/>
  <c r="K1554" i="1"/>
  <c r="J1554" i="1" s="1"/>
  <c r="L1554" i="1" s="1"/>
  <c r="N1554" i="1" s="1"/>
  <c r="E1554" i="1"/>
  <c r="K1553" i="1"/>
  <c r="E1553" i="1"/>
  <c r="K1552" i="1"/>
  <c r="M1552" i="1" s="1"/>
  <c r="O1552" i="1" s="1"/>
  <c r="E1552" i="1"/>
  <c r="M1551" i="1"/>
  <c r="O1551" i="1" s="1"/>
  <c r="K1551" i="1"/>
  <c r="J1551" i="1" s="1"/>
  <c r="L1551" i="1" s="1"/>
  <c r="N1551" i="1" s="1"/>
  <c r="E1551" i="1"/>
  <c r="K1550" i="1"/>
  <c r="E1550" i="1"/>
  <c r="K1549" i="1"/>
  <c r="M1549" i="1" s="1"/>
  <c r="O1549" i="1" s="1"/>
  <c r="E1549" i="1"/>
  <c r="M1548" i="1"/>
  <c r="O1548" i="1" s="1"/>
  <c r="K1548" i="1"/>
  <c r="J1548" i="1"/>
  <c r="L1548" i="1" s="1"/>
  <c r="N1548" i="1" s="1"/>
  <c r="E1548" i="1"/>
  <c r="K1547" i="1"/>
  <c r="E1547" i="1"/>
  <c r="K1546" i="1"/>
  <c r="M1546" i="1" s="1"/>
  <c r="O1546" i="1" s="1"/>
  <c r="E1546" i="1"/>
  <c r="K1545" i="1"/>
  <c r="M1545" i="1" s="1"/>
  <c r="O1545" i="1" s="1"/>
  <c r="J1545" i="1"/>
  <c r="L1545" i="1" s="1"/>
  <c r="N1545" i="1" s="1"/>
  <c r="E1545" i="1"/>
  <c r="K1544" i="1"/>
  <c r="E1544" i="1"/>
  <c r="K1543" i="1"/>
  <c r="M1543" i="1" s="1"/>
  <c r="O1543" i="1" s="1"/>
  <c r="J1543" i="1"/>
  <c r="L1543" i="1" s="1"/>
  <c r="N1543" i="1" s="1"/>
  <c r="E1543" i="1"/>
  <c r="K1542" i="1"/>
  <c r="M1542" i="1" s="1"/>
  <c r="O1542" i="1" s="1"/>
  <c r="J1542" i="1"/>
  <c r="L1542" i="1" s="1"/>
  <c r="N1542" i="1" s="1"/>
  <c r="E1542" i="1"/>
  <c r="K1541" i="1"/>
  <c r="E1541" i="1"/>
  <c r="K1540" i="1"/>
  <c r="M1540" i="1" s="1"/>
  <c r="O1540" i="1" s="1"/>
  <c r="J1540" i="1"/>
  <c r="L1540" i="1" s="1"/>
  <c r="N1540" i="1" s="1"/>
  <c r="E1540" i="1"/>
  <c r="M1539" i="1"/>
  <c r="O1539" i="1" s="1"/>
  <c r="K1539" i="1"/>
  <c r="J1539" i="1"/>
  <c r="L1539" i="1" s="1"/>
  <c r="N1539" i="1" s="1"/>
  <c r="E1539" i="1"/>
  <c r="K1538" i="1"/>
  <c r="E1538" i="1"/>
  <c r="K1537" i="1"/>
  <c r="M1537" i="1" s="1"/>
  <c r="O1537" i="1" s="1"/>
  <c r="E1537" i="1"/>
  <c r="M1536" i="1"/>
  <c r="O1536" i="1" s="1"/>
  <c r="K1536" i="1"/>
  <c r="J1536" i="1"/>
  <c r="L1536" i="1" s="1"/>
  <c r="N1536" i="1" s="1"/>
  <c r="E1536" i="1"/>
  <c r="K1535" i="1"/>
  <c r="E1535" i="1"/>
  <c r="K1534" i="1"/>
  <c r="M1534" i="1" s="1"/>
  <c r="O1534" i="1" s="1"/>
  <c r="E1534" i="1"/>
  <c r="K1533" i="1"/>
  <c r="M1533" i="1" s="1"/>
  <c r="O1533" i="1" s="1"/>
  <c r="J1533" i="1"/>
  <c r="L1533" i="1" s="1"/>
  <c r="N1533" i="1" s="1"/>
  <c r="E1533" i="1"/>
  <c r="K1532" i="1"/>
  <c r="E1532" i="1"/>
  <c r="K1531" i="1"/>
  <c r="M1531" i="1" s="1"/>
  <c r="O1531" i="1" s="1"/>
  <c r="E1531" i="1"/>
  <c r="K1530" i="1"/>
  <c r="J1530" i="1" s="1"/>
  <c r="L1530" i="1" s="1"/>
  <c r="N1530" i="1" s="1"/>
  <c r="E1530" i="1"/>
  <c r="K1529" i="1"/>
  <c r="E1529" i="1"/>
  <c r="K1528" i="1"/>
  <c r="J1528" i="1" s="1"/>
  <c r="L1528" i="1" s="1"/>
  <c r="N1528" i="1" s="1"/>
  <c r="E1528" i="1"/>
  <c r="K1527" i="1"/>
  <c r="M1527" i="1" s="1"/>
  <c r="O1527" i="1" s="1"/>
  <c r="E1527" i="1"/>
  <c r="K1526" i="1"/>
  <c r="E1526" i="1"/>
  <c r="K1525" i="1"/>
  <c r="M1525" i="1" s="1"/>
  <c r="O1525" i="1" s="1"/>
  <c r="E1525" i="1"/>
  <c r="K1524" i="1"/>
  <c r="M1524" i="1" s="1"/>
  <c r="O1524" i="1" s="1"/>
  <c r="E1524" i="1"/>
  <c r="K1523" i="1"/>
  <c r="E1523" i="1"/>
  <c r="K1522" i="1"/>
  <c r="M1522" i="1" s="1"/>
  <c r="O1522" i="1" s="1"/>
  <c r="J1522" i="1"/>
  <c r="L1522" i="1" s="1"/>
  <c r="N1522" i="1" s="1"/>
  <c r="E1522" i="1"/>
  <c r="K1521" i="1"/>
  <c r="M1521" i="1" s="1"/>
  <c r="O1521" i="1" s="1"/>
  <c r="E1521" i="1"/>
  <c r="K1520" i="1"/>
  <c r="E1520" i="1"/>
  <c r="K1519" i="1"/>
  <c r="M1519" i="1" s="1"/>
  <c r="O1519" i="1" s="1"/>
  <c r="E1519" i="1"/>
  <c r="K1518" i="1"/>
  <c r="M1518" i="1" s="1"/>
  <c r="O1518" i="1" s="1"/>
  <c r="E1518" i="1"/>
  <c r="K1517" i="1"/>
  <c r="E1517" i="1"/>
  <c r="M1516" i="1"/>
  <c r="O1516" i="1" s="1"/>
  <c r="K1516" i="1"/>
  <c r="J1516" i="1"/>
  <c r="L1516" i="1" s="1"/>
  <c r="N1516" i="1" s="1"/>
  <c r="E1516" i="1"/>
  <c r="K1515" i="1"/>
  <c r="M1515" i="1" s="1"/>
  <c r="O1515" i="1" s="1"/>
  <c r="E1515" i="1"/>
  <c r="K1514" i="1"/>
  <c r="E1514" i="1"/>
  <c r="M1513" i="1"/>
  <c r="O1513" i="1" s="1"/>
  <c r="K1513" i="1"/>
  <c r="J1513" i="1"/>
  <c r="L1513" i="1" s="1"/>
  <c r="N1513" i="1" s="1"/>
  <c r="E1513" i="1"/>
  <c r="K1512" i="1"/>
  <c r="M1512" i="1" s="1"/>
  <c r="O1512" i="1" s="1"/>
  <c r="E1512" i="1"/>
  <c r="K1511" i="1"/>
  <c r="E1511" i="1"/>
  <c r="K1510" i="1"/>
  <c r="M1510" i="1" s="1"/>
  <c r="O1510" i="1" s="1"/>
  <c r="J1510" i="1"/>
  <c r="L1510" i="1" s="1"/>
  <c r="N1510" i="1" s="1"/>
  <c r="E1510" i="1"/>
  <c r="K1509" i="1"/>
  <c r="M1509" i="1" s="1"/>
  <c r="O1509" i="1" s="1"/>
  <c r="E1509" i="1"/>
  <c r="K1508" i="1"/>
  <c r="J1508" i="1" s="1"/>
  <c r="L1508" i="1" s="1"/>
  <c r="N1508" i="1" s="1"/>
  <c r="E1508" i="1"/>
  <c r="K1507" i="1"/>
  <c r="J1507" i="1" s="1"/>
  <c r="L1507" i="1" s="1"/>
  <c r="N1507" i="1" s="1"/>
  <c r="E1507" i="1"/>
  <c r="K1506" i="1"/>
  <c r="E1506" i="1"/>
  <c r="K1505" i="1"/>
  <c r="E1505" i="1"/>
  <c r="K1504" i="1"/>
  <c r="M1504" i="1" s="1"/>
  <c r="O1504" i="1" s="1"/>
  <c r="E1504" i="1"/>
  <c r="K1503" i="1"/>
  <c r="E1503" i="1"/>
  <c r="K1502" i="1"/>
  <c r="J1502" i="1" s="1"/>
  <c r="L1502" i="1" s="1"/>
  <c r="N1502" i="1" s="1"/>
  <c r="E1502" i="1"/>
  <c r="M1501" i="1"/>
  <c r="O1501" i="1" s="1"/>
  <c r="K1501" i="1"/>
  <c r="J1501" i="1"/>
  <c r="L1501" i="1" s="1"/>
  <c r="N1501" i="1" s="1"/>
  <c r="E1501" i="1"/>
  <c r="K1500" i="1"/>
  <c r="E1500" i="1"/>
  <c r="K1499" i="1"/>
  <c r="E1499" i="1"/>
  <c r="K1498" i="1"/>
  <c r="J1498" i="1" s="1"/>
  <c r="L1498" i="1" s="1"/>
  <c r="N1498" i="1" s="1"/>
  <c r="E1498" i="1"/>
  <c r="K1497" i="1"/>
  <c r="E1497" i="1"/>
  <c r="K1496" i="1"/>
  <c r="J1496" i="1" s="1"/>
  <c r="L1496" i="1" s="1"/>
  <c r="N1496" i="1" s="1"/>
  <c r="E1496" i="1"/>
  <c r="K1495" i="1"/>
  <c r="M1495" i="1" s="1"/>
  <c r="O1495" i="1" s="1"/>
  <c r="E1495" i="1"/>
  <c r="K1494" i="1"/>
  <c r="E1494" i="1"/>
  <c r="K1493" i="1"/>
  <c r="E1493" i="1"/>
  <c r="M1492" i="1"/>
  <c r="O1492" i="1" s="1"/>
  <c r="K1492" i="1"/>
  <c r="J1492" i="1"/>
  <c r="L1492" i="1" s="1"/>
  <c r="N1492" i="1" s="1"/>
  <c r="E1492" i="1"/>
  <c r="K1491" i="1"/>
  <c r="E1491" i="1"/>
  <c r="K1490" i="1"/>
  <c r="J1490" i="1" s="1"/>
  <c r="L1490" i="1" s="1"/>
  <c r="N1490" i="1" s="1"/>
  <c r="E1490" i="1"/>
  <c r="K1489" i="1"/>
  <c r="J1489" i="1" s="1"/>
  <c r="L1489" i="1" s="1"/>
  <c r="N1489" i="1" s="1"/>
  <c r="E1489" i="1"/>
  <c r="K1488" i="1"/>
  <c r="E1488" i="1"/>
  <c r="K1487" i="1"/>
  <c r="E1487" i="1"/>
  <c r="K1486" i="1"/>
  <c r="M1486" i="1" s="1"/>
  <c r="O1486" i="1" s="1"/>
  <c r="E1486" i="1"/>
  <c r="K1485" i="1"/>
  <c r="E1485" i="1"/>
  <c r="K1484" i="1"/>
  <c r="J1484" i="1" s="1"/>
  <c r="L1484" i="1" s="1"/>
  <c r="N1484" i="1" s="1"/>
  <c r="E1484" i="1"/>
  <c r="M1483" i="1"/>
  <c r="O1483" i="1" s="1"/>
  <c r="K1483" i="1"/>
  <c r="J1483" i="1"/>
  <c r="L1483" i="1" s="1"/>
  <c r="N1483" i="1" s="1"/>
  <c r="E1483" i="1"/>
  <c r="K1482" i="1"/>
  <c r="E1482" i="1"/>
  <c r="K1481" i="1"/>
  <c r="E1481" i="1"/>
  <c r="K1480" i="1"/>
  <c r="J1480" i="1" s="1"/>
  <c r="L1480" i="1" s="1"/>
  <c r="N1480" i="1" s="1"/>
  <c r="E1480" i="1"/>
  <c r="K1479" i="1"/>
  <c r="E1479" i="1"/>
  <c r="K1478" i="1"/>
  <c r="J1478" i="1" s="1"/>
  <c r="L1478" i="1" s="1"/>
  <c r="N1478" i="1" s="1"/>
  <c r="E1478" i="1"/>
  <c r="K1477" i="1"/>
  <c r="M1477" i="1" s="1"/>
  <c r="O1477" i="1" s="1"/>
  <c r="E1477" i="1"/>
  <c r="K1476" i="1"/>
  <c r="E1476" i="1"/>
  <c r="K1475" i="1"/>
  <c r="E1475" i="1"/>
  <c r="M1474" i="1"/>
  <c r="O1474" i="1" s="1"/>
  <c r="K1474" i="1"/>
  <c r="J1474" i="1"/>
  <c r="L1474" i="1" s="1"/>
  <c r="N1474" i="1" s="1"/>
  <c r="E1474" i="1"/>
  <c r="K1473" i="1"/>
  <c r="E1473" i="1"/>
  <c r="K1472" i="1"/>
  <c r="M1472" i="1" s="1"/>
  <c r="O1472" i="1" s="1"/>
  <c r="E1472" i="1"/>
  <c r="M1471" i="1"/>
  <c r="O1471" i="1" s="1"/>
  <c r="K1471" i="1"/>
  <c r="J1471" i="1" s="1"/>
  <c r="L1471" i="1" s="1"/>
  <c r="N1471" i="1" s="1"/>
  <c r="E1471" i="1"/>
  <c r="K1470" i="1"/>
  <c r="E1470" i="1"/>
  <c r="K1469" i="1"/>
  <c r="M1469" i="1" s="1"/>
  <c r="O1469" i="1" s="1"/>
  <c r="E1469" i="1"/>
  <c r="M1468" i="1"/>
  <c r="O1468" i="1" s="1"/>
  <c r="K1468" i="1"/>
  <c r="J1468" i="1"/>
  <c r="L1468" i="1" s="1"/>
  <c r="N1468" i="1" s="1"/>
  <c r="E1468" i="1"/>
  <c r="K1467" i="1"/>
  <c r="J1467" i="1" s="1"/>
  <c r="L1467" i="1" s="1"/>
  <c r="N1467" i="1" s="1"/>
  <c r="E1467" i="1"/>
  <c r="K1466" i="1"/>
  <c r="M1466" i="1" s="1"/>
  <c r="O1466" i="1" s="1"/>
  <c r="E1466" i="1"/>
  <c r="M1465" i="1"/>
  <c r="O1465" i="1" s="1"/>
  <c r="K1465" i="1"/>
  <c r="J1465" i="1"/>
  <c r="L1465" i="1" s="1"/>
  <c r="N1465" i="1" s="1"/>
  <c r="E1465" i="1"/>
  <c r="K1464" i="1"/>
  <c r="J1464" i="1" s="1"/>
  <c r="L1464" i="1" s="1"/>
  <c r="N1464" i="1" s="1"/>
  <c r="E1464" i="1"/>
  <c r="L1463" i="1"/>
  <c r="N1463" i="1" s="1"/>
  <c r="K1463" i="1"/>
  <c r="M1463" i="1" s="1"/>
  <c r="O1463" i="1" s="1"/>
  <c r="E1463" i="1"/>
  <c r="L1462" i="1"/>
  <c r="N1462" i="1" s="1"/>
  <c r="K1462" i="1"/>
  <c r="M1462" i="1" s="1"/>
  <c r="O1462" i="1" s="1"/>
  <c r="E1462" i="1"/>
  <c r="M1461" i="1"/>
  <c r="O1461" i="1" s="1"/>
  <c r="L1461" i="1"/>
  <c r="N1461" i="1" s="1"/>
  <c r="K1461" i="1"/>
  <c r="E1461" i="1"/>
  <c r="O1460" i="1"/>
  <c r="N1460" i="1"/>
  <c r="L1460" i="1"/>
  <c r="K1460" i="1"/>
  <c r="M1460" i="1" s="1"/>
  <c r="E1460" i="1"/>
  <c r="L1459" i="1"/>
  <c r="N1459" i="1" s="1"/>
  <c r="K1459" i="1"/>
  <c r="M1459" i="1" s="1"/>
  <c r="O1459" i="1" s="1"/>
  <c r="E1459" i="1"/>
  <c r="O1458" i="1"/>
  <c r="N1458" i="1"/>
  <c r="L1458" i="1"/>
  <c r="K1458" i="1"/>
  <c r="M1458" i="1" s="1"/>
  <c r="E1458" i="1"/>
  <c r="O1457" i="1"/>
  <c r="N1457" i="1"/>
  <c r="L1457" i="1"/>
  <c r="K1457" i="1"/>
  <c r="M1457" i="1" s="1"/>
  <c r="E1457" i="1"/>
  <c r="O1456" i="1"/>
  <c r="N1456" i="1"/>
  <c r="L1456" i="1"/>
  <c r="K1456" i="1"/>
  <c r="M1456" i="1" s="1"/>
  <c r="E1456" i="1"/>
  <c r="O1455" i="1"/>
  <c r="N1455" i="1"/>
  <c r="L1455" i="1"/>
  <c r="K1455" i="1"/>
  <c r="M1455" i="1" s="1"/>
  <c r="E1455" i="1"/>
  <c r="O1454" i="1"/>
  <c r="N1454" i="1"/>
  <c r="M1454" i="1"/>
  <c r="L1454" i="1"/>
  <c r="K1454" i="1"/>
  <c r="E1454" i="1"/>
  <c r="O1453" i="1"/>
  <c r="N1453" i="1"/>
  <c r="L1453" i="1"/>
  <c r="K1453" i="1"/>
  <c r="M1453" i="1" s="1"/>
  <c r="E1453" i="1"/>
  <c r="O1452" i="1"/>
  <c r="N1452" i="1"/>
  <c r="L1452" i="1"/>
  <c r="K1452" i="1"/>
  <c r="M1452" i="1" s="1"/>
  <c r="E1452" i="1"/>
  <c r="O1451" i="1"/>
  <c r="N1451" i="1"/>
  <c r="M1451" i="1"/>
  <c r="L1451" i="1"/>
  <c r="K1451" i="1"/>
  <c r="E1451" i="1"/>
  <c r="O1450" i="1"/>
  <c r="N1450" i="1"/>
  <c r="L1450" i="1"/>
  <c r="K1450" i="1"/>
  <c r="M1450" i="1" s="1"/>
  <c r="E1450" i="1"/>
  <c r="O1449" i="1"/>
  <c r="N1449" i="1"/>
  <c r="L1449" i="1"/>
  <c r="K1449" i="1"/>
  <c r="M1449" i="1" s="1"/>
  <c r="E1449" i="1"/>
  <c r="O1448" i="1"/>
  <c r="N1448" i="1"/>
  <c r="L1448" i="1"/>
  <c r="K1448" i="1"/>
  <c r="M1448" i="1" s="1"/>
  <c r="E1448" i="1"/>
  <c r="O1447" i="1"/>
  <c r="N1447" i="1"/>
  <c r="L1447" i="1"/>
  <c r="K1447" i="1"/>
  <c r="M1447" i="1" s="1"/>
  <c r="E1447" i="1"/>
  <c r="O1446" i="1"/>
  <c r="N1446" i="1"/>
  <c r="L1446" i="1"/>
  <c r="K1446" i="1"/>
  <c r="M1446" i="1" s="1"/>
  <c r="E1446" i="1"/>
  <c r="O1445" i="1"/>
  <c r="N1445" i="1"/>
  <c r="M1445" i="1"/>
  <c r="L1445" i="1"/>
  <c r="K1445" i="1"/>
  <c r="E1445" i="1"/>
  <c r="O1444" i="1"/>
  <c r="N1444" i="1"/>
  <c r="L1444" i="1"/>
  <c r="K1444" i="1"/>
  <c r="M1444" i="1" s="1"/>
  <c r="E1444" i="1"/>
  <c r="O1443" i="1"/>
  <c r="N1443" i="1"/>
  <c r="L1443" i="1"/>
  <c r="K1443" i="1"/>
  <c r="M1443" i="1" s="1"/>
  <c r="E1443" i="1"/>
  <c r="O1442" i="1"/>
  <c r="N1442" i="1"/>
  <c r="M1442" i="1"/>
  <c r="L1442" i="1"/>
  <c r="K1442" i="1"/>
  <c r="E1442" i="1"/>
  <c r="M1441" i="1"/>
  <c r="O1441" i="1" s="1"/>
  <c r="L1441" i="1"/>
  <c r="N1441" i="1" s="1"/>
  <c r="E1441" i="1"/>
  <c r="M1440" i="1"/>
  <c r="O1440" i="1" s="1"/>
  <c r="L1440" i="1"/>
  <c r="N1440" i="1" s="1"/>
  <c r="E1440" i="1"/>
  <c r="M1439" i="1"/>
  <c r="O1439" i="1" s="1"/>
  <c r="L1439" i="1"/>
  <c r="N1439" i="1" s="1"/>
  <c r="E1439" i="1"/>
  <c r="M1438" i="1"/>
  <c r="O1438" i="1" s="1"/>
  <c r="L1438" i="1"/>
  <c r="N1438" i="1" s="1"/>
  <c r="E1438" i="1"/>
  <c r="M1437" i="1"/>
  <c r="O1437" i="1" s="1"/>
  <c r="L1437" i="1"/>
  <c r="N1437" i="1" s="1"/>
  <c r="E1437" i="1"/>
  <c r="M1436" i="1"/>
  <c r="O1436" i="1" s="1"/>
  <c r="L1436" i="1"/>
  <c r="N1436" i="1" s="1"/>
  <c r="E1436" i="1"/>
  <c r="M1435" i="1"/>
  <c r="O1435" i="1" s="1"/>
  <c r="L1435" i="1"/>
  <c r="N1435" i="1" s="1"/>
  <c r="E1435" i="1"/>
  <c r="M1434" i="1"/>
  <c r="O1434" i="1" s="1"/>
  <c r="L1434" i="1"/>
  <c r="N1434" i="1" s="1"/>
  <c r="E1434" i="1"/>
  <c r="M1433" i="1"/>
  <c r="O1433" i="1" s="1"/>
  <c r="L1433" i="1"/>
  <c r="N1433" i="1" s="1"/>
  <c r="E1433" i="1"/>
  <c r="M1432" i="1"/>
  <c r="O1432" i="1" s="1"/>
  <c r="L1432" i="1"/>
  <c r="N1432" i="1" s="1"/>
  <c r="E1432" i="1"/>
  <c r="M1431" i="1"/>
  <c r="O1431" i="1" s="1"/>
  <c r="L1431" i="1"/>
  <c r="N1431" i="1" s="1"/>
  <c r="E1431" i="1"/>
  <c r="M1430" i="1"/>
  <c r="O1430" i="1" s="1"/>
  <c r="L1430" i="1"/>
  <c r="N1430" i="1" s="1"/>
  <c r="E1430" i="1"/>
  <c r="M1429" i="1"/>
  <c r="O1429" i="1" s="1"/>
  <c r="L1429" i="1"/>
  <c r="N1429" i="1" s="1"/>
  <c r="E1429" i="1"/>
  <c r="M1428" i="1"/>
  <c r="O1428" i="1" s="1"/>
  <c r="L1428" i="1"/>
  <c r="N1428" i="1" s="1"/>
  <c r="E1428" i="1"/>
  <c r="M1427" i="1"/>
  <c r="O1427" i="1" s="1"/>
  <c r="L1427" i="1"/>
  <c r="N1427" i="1" s="1"/>
  <c r="E1427" i="1"/>
  <c r="M1426" i="1"/>
  <c r="O1426" i="1" s="1"/>
  <c r="L1426" i="1"/>
  <c r="N1426" i="1" s="1"/>
  <c r="E1426" i="1"/>
  <c r="M1425" i="1"/>
  <c r="O1425" i="1" s="1"/>
  <c r="L1425" i="1"/>
  <c r="N1425" i="1" s="1"/>
  <c r="E1425" i="1"/>
  <c r="M1424" i="1"/>
  <c r="O1424" i="1" s="1"/>
  <c r="L1424" i="1"/>
  <c r="N1424" i="1" s="1"/>
  <c r="E1424" i="1"/>
  <c r="M1423" i="1"/>
  <c r="O1423" i="1" s="1"/>
  <c r="L1423" i="1"/>
  <c r="N1423" i="1" s="1"/>
  <c r="E1423" i="1"/>
  <c r="M1422" i="1"/>
  <c r="O1422" i="1" s="1"/>
  <c r="L1422" i="1"/>
  <c r="N1422" i="1" s="1"/>
  <c r="E1422" i="1"/>
  <c r="M1421" i="1"/>
  <c r="O1421" i="1" s="1"/>
  <c r="L1421" i="1"/>
  <c r="N1421" i="1" s="1"/>
  <c r="E1421" i="1"/>
  <c r="M1420" i="1"/>
  <c r="O1420" i="1" s="1"/>
  <c r="L1420" i="1"/>
  <c r="N1420" i="1" s="1"/>
  <c r="E1420" i="1"/>
  <c r="M1419" i="1"/>
  <c r="O1419" i="1" s="1"/>
  <c r="L1419" i="1"/>
  <c r="N1419" i="1" s="1"/>
  <c r="E1419" i="1"/>
  <c r="M1418" i="1"/>
  <c r="O1418" i="1" s="1"/>
  <c r="L1418" i="1"/>
  <c r="N1418" i="1" s="1"/>
  <c r="E1418" i="1"/>
  <c r="M1417" i="1"/>
  <c r="O1417" i="1" s="1"/>
  <c r="L1417" i="1"/>
  <c r="N1417" i="1" s="1"/>
  <c r="E1417" i="1"/>
  <c r="M1416" i="1"/>
  <c r="O1416" i="1" s="1"/>
  <c r="L1416" i="1"/>
  <c r="N1416" i="1" s="1"/>
  <c r="E1416" i="1"/>
  <c r="M1415" i="1"/>
  <c r="O1415" i="1" s="1"/>
  <c r="L1415" i="1"/>
  <c r="N1415" i="1" s="1"/>
  <c r="E1415" i="1"/>
  <c r="M1414" i="1"/>
  <c r="O1414" i="1" s="1"/>
  <c r="L1414" i="1"/>
  <c r="N1414" i="1" s="1"/>
  <c r="E1414" i="1"/>
  <c r="M1413" i="1"/>
  <c r="O1413" i="1" s="1"/>
  <c r="L1413" i="1"/>
  <c r="N1413" i="1" s="1"/>
  <c r="E1413" i="1"/>
  <c r="M1412" i="1"/>
  <c r="O1412" i="1" s="1"/>
  <c r="L1412" i="1"/>
  <c r="N1412" i="1" s="1"/>
  <c r="E1412" i="1"/>
  <c r="M1411" i="1"/>
  <c r="O1411" i="1" s="1"/>
  <c r="L1411" i="1"/>
  <c r="N1411" i="1" s="1"/>
  <c r="E1411" i="1"/>
  <c r="M1410" i="1"/>
  <c r="O1410" i="1" s="1"/>
  <c r="L1410" i="1"/>
  <c r="N1410" i="1" s="1"/>
  <c r="E1410" i="1"/>
  <c r="L1409" i="1"/>
  <c r="N1409" i="1" s="1"/>
  <c r="K1409" i="1"/>
  <c r="M1409" i="1" s="1"/>
  <c r="O1409" i="1" s="1"/>
  <c r="E1409" i="1"/>
  <c r="L1408" i="1"/>
  <c r="N1408" i="1" s="1"/>
  <c r="K1408" i="1"/>
  <c r="M1408" i="1" s="1"/>
  <c r="O1408" i="1" s="1"/>
  <c r="E1408" i="1"/>
  <c r="M1407" i="1"/>
  <c r="O1407" i="1" s="1"/>
  <c r="L1407" i="1"/>
  <c r="N1407" i="1" s="1"/>
  <c r="E1407" i="1"/>
  <c r="M1406" i="1"/>
  <c r="O1406" i="1" s="1"/>
  <c r="L1406" i="1"/>
  <c r="N1406" i="1" s="1"/>
  <c r="E1406" i="1"/>
  <c r="M1405" i="1"/>
  <c r="O1405" i="1" s="1"/>
  <c r="L1405" i="1"/>
  <c r="N1405" i="1" s="1"/>
  <c r="E1405" i="1"/>
  <c r="M1404" i="1"/>
  <c r="O1404" i="1" s="1"/>
  <c r="L1404" i="1"/>
  <c r="N1404" i="1" s="1"/>
  <c r="E1404" i="1"/>
  <c r="M1403" i="1"/>
  <c r="O1403" i="1" s="1"/>
  <c r="L1403" i="1"/>
  <c r="N1403" i="1" s="1"/>
  <c r="E1403" i="1"/>
  <c r="M1402" i="1"/>
  <c r="O1402" i="1" s="1"/>
  <c r="L1402" i="1"/>
  <c r="N1402" i="1" s="1"/>
  <c r="E1402" i="1"/>
  <c r="M1401" i="1"/>
  <c r="O1401" i="1" s="1"/>
  <c r="L1401" i="1"/>
  <c r="N1401" i="1" s="1"/>
  <c r="E1401" i="1"/>
  <c r="M1400" i="1"/>
  <c r="O1400" i="1" s="1"/>
  <c r="L1400" i="1"/>
  <c r="N1400" i="1" s="1"/>
  <c r="E1400" i="1"/>
  <c r="M1399" i="1"/>
  <c r="O1399" i="1" s="1"/>
  <c r="L1399" i="1"/>
  <c r="N1399" i="1" s="1"/>
  <c r="K1399" i="1"/>
  <c r="E1399" i="1"/>
  <c r="L1398" i="1"/>
  <c r="N1398" i="1" s="1"/>
  <c r="K1398" i="1"/>
  <c r="M1398" i="1" s="1"/>
  <c r="O1398" i="1" s="1"/>
  <c r="E1398" i="1"/>
  <c r="M1397" i="1"/>
  <c r="O1397" i="1" s="1"/>
  <c r="L1397" i="1"/>
  <c r="N1397" i="1" s="1"/>
  <c r="E1397" i="1"/>
  <c r="M1396" i="1"/>
  <c r="O1396" i="1" s="1"/>
  <c r="L1396" i="1"/>
  <c r="N1396" i="1" s="1"/>
  <c r="E1396" i="1"/>
  <c r="M1395" i="1"/>
  <c r="O1395" i="1" s="1"/>
  <c r="L1395" i="1"/>
  <c r="N1395" i="1" s="1"/>
  <c r="E1395" i="1"/>
  <c r="M1394" i="1"/>
  <c r="O1394" i="1" s="1"/>
  <c r="L1394" i="1"/>
  <c r="N1394" i="1" s="1"/>
  <c r="E1394" i="1"/>
  <c r="M1393" i="1"/>
  <c r="O1393" i="1" s="1"/>
  <c r="L1393" i="1"/>
  <c r="N1393" i="1" s="1"/>
  <c r="E1393" i="1"/>
  <c r="M1392" i="1"/>
  <c r="O1392" i="1" s="1"/>
  <c r="L1392" i="1"/>
  <c r="N1392" i="1" s="1"/>
  <c r="E1392" i="1"/>
  <c r="M1391" i="1"/>
  <c r="O1391" i="1" s="1"/>
  <c r="L1391" i="1"/>
  <c r="N1391" i="1" s="1"/>
  <c r="E1391" i="1"/>
  <c r="M1390" i="1"/>
  <c r="O1390" i="1" s="1"/>
  <c r="L1390" i="1"/>
  <c r="N1390" i="1" s="1"/>
  <c r="E1390" i="1"/>
  <c r="M1389" i="1"/>
  <c r="O1389" i="1" s="1"/>
  <c r="L1389" i="1"/>
  <c r="N1389" i="1" s="1"/>
  <c r="E1389" i="1"/>
  <c r="M1388" i="1"/>
  <c r="O1388" i="1" s="1"/>
  <c r="L1388" i="1"/>
  <c r="N1388" i="1" s="1"/>
  <c r="E1388" i="1"/>
  <c r="M1387" i="1"/>
  <c r="O1387" i="1" s="1"/>
  <c r="L1387" i="1"/>
  <c r="N1387" i="1" s="1"/>
  <c r="E1387" i="1"/>
  <c r="M1386" i="1"/>
  <c r="O1386" i="1" s="1"/>
  <c r="L1386" i="1"/>
  <c r="N1386" i="1" s="1"/>
  <c r="E1386" i="1"/>
  <c r="M1385" i="1"/>
  <c r="O1385" i="1" s="1"/>
  <c r="L1385" i="1"/>
  <c r="N1385" i="1" s="1"/>
  <c r="E1385" i="1"/>
  <c r="M1384" i="1"/>
  <c r="O1384" i="1" s="1"/>
  <c r="L1384" i="1"/>
  <c r="N1384" i="1" s="1"/>
  <c r="E1384" i="1"/>
  <c r="M1383" i="1"/>
  <c r="O1383" i="1" s="1"/>
  <c r="L1383" i="1"/>
  <c r="N1383" i="1" s="1"/>
  <c r="E1383" i="1"/>
  <c r="M1382" i="1"/>
  <c r="O1382" i="1" s="1"/>
  <c r="L1382" i="1"/>
  <c r="N1382" i="1" s="1"/>
  <c r="E1382" i="1"/>
  <c r="M1381" i="1"/>
  <c r="O1381" i="1" s="1"/>
  <c r="L1381" i="1"/>
  <c r="N1381" i="1" s="1"/>
  <c r="E1381" i="1"/>
  <c r="M1380" i="1"/>
  <c r="O1380" i="1" s="1"/>
  <c r="L1380" i="1"/>
  <c r="N1380" i="1" s="1"/>
  <c r="E1380" i="1"/>
  <c r="M1379" i="1"/>
  <c r="O1379" i="1" s="1"/>
  <c r="L1379" i="1"/>
  <c r="N1379" i="1" s="1"/>
  <c r="E1379" i="1"/>
  <c r="M1378" i="1"/>
  <c r="O1378" i="1" s="1"/>
  <c r="L1378" i="1"/>
  <c r="N1378" i="1" s="1"/>
  <c r="E1378" i="1"/>
  <c r="M1377" i="1"/>
  <c r="O1377" i="1" s="1"/>
  <c r="L1377" i="1"/>
  <c r="N1377" i="1" s="1"/>
  <c r="E1377" i="1"/>
  <c r="M1376" i="1"/>
  <c r="O1376" i="1" s="1"/>
  <c r="L1376" i="1"/>
  <c r="N1376" i="1" s="1"/>
  <c r="E1376" i="1"/>
  <c r="M1375" i="1"/>
  <c r="O1375" i="1" s="1"/>
  <c r="L1375" i="1"/>
  <c r="N1375" i="1" s="1"/>
  <c r="E1375" i="1"/>
  <c r="M1374" i="1"/>
  <c r="O1374" i="1" s="1"/>
  <c r="L1374" i="1"/>
  <c r="N1374" i="1" s="1"/>
  <c r="E1374" i="1"/>
  <c r="M1373" i="1"/>
  <c r="O1373" i="1" s="1"/>
  <c r="L1373" i="1"/>
  <c r="N1373" i="1" s="1"/>
  <c r="E1373" i="1"/>
  <c r="M1372" i="1"/>
  <c r="O1372" i="1" s="1"/>
  <c r="L1372" i="1"/>
  <c r="N1372" i="1" s="1"/>
  <c r="E1372" i="1"/>
  <c r="M1371" i="1"/>
  <c r="O1371" i="1" s="1"/>
  <c r="L1371" i="1"/>
  <c r="N1371" i="1" s="1"/>
  <c r="E1371" i="1"/>
  <c r="M1370" i="1"/>
  <c r="O1370" i="1" s="1"/>
  <c r="L1370" i="1"/>
  <c r="N1370" i="1" s="1"/>
  <c r="E1370" i="1"/>
  <c r="M1369" i="1"/>
  <c r="O1369" i="1" s="1"/>
  <c r="L1369" i="1"/>
  <c r="N1369" i="1" s="1"/>
  <c r="E1369" i="1"/>
  <c r="M1368" i="1"/>
  <c r="O1368" i="1" s="1"/>
  <c r="L1368" i="1"/>
  <c r="N1368" i="1" s="1"/>
  <c r="E1368" i="1"/>
  <c r="M1367" i="1"/>
  <c r="O1367" i="1" s="1"/>
  <c r="L1367" i="1"/>
  <c r="N1367" i="1" s="1"/>
  <c r="E1367" i="1"/>
  <c r="M1366" i="1"/>
  <c r="O1366" i="1" s="1"/>
  <c r="L1366" i="1"/>
  <c r="N1366" i="1" s="1"/>
  <c r="E1366" i="1"/>
  <c r="M1365" i="1"/>
  <c r="O1365" i="1" s="1"/>
  <c r="L1365" i="1"/>
  <c r="N1365" i="1" s="1"/>
  <c r="E1365" i="1"/>
  <c r="M1364" i="1"/>
  <c r="O1364" i="1" s="1"/>
  <c r="L1364" i="1"/>
  <c r="N1364" i="1" s="1"/>
  <c r="E1364" i="1"/>
  <c r="M1363" i="1"/>
  <c r="O1363" i="1" s="1"/>
  <c r="L1363" i="1"/>
  <c r="N1363" i="1" s="1"/>
  <c r="E1363" i="1"/>
  <c r="M1362" i="1"/>
  <c r="O1362" i="1" s="1"/>
  <c r="L1362" i="1"/>
  <c r="N1362" i="1" s="1"/>
  <c r="E1362" i="1"/>
  <c r="O1361" i="1"/>
  <c r="M1361" i="1"/>
  <c r="L1361" i="1"/>
  <c r="N1361" i="1" s="1"/>
  <c r="E1361" i="1"/>
  <c r="M1360" i="1"/>
  <c r="O1360" i="1" s="1"/>
  <c r="L1360" i="1"/>
  <c r="N1360" i="1" s="1"/>
  <c r="E1360" i="1"/>
  <c r="M1359" i="1"/>
  <c r="O1359" i="1" s="1"/>
  <c r="L1359" i="1"/>
  <c r="N1359" i="1" s="1"/>
  <c r="E1359" i="1"/>
  <c r="M1358" i="1"/>
  <c r="O1358" i="1" s="1"/>
  <c r="L1358" i="1"/>
  <c r="N1358" i="1" s="1"/>
  <c r="E1358" i="1"/>
  <c r="M1357" i="1"/>
  <c r="O1357" i="1" s="1"/>
  <c r="L1357" i="1"/>
  <c r="N1357" i="1" s="1"/>
  <c r="E1357" i="1"/>
  <c r="M1356" i="1"/>
  <c r="O1356" i="1" s="1"/>
  <c r="L1356" i="1"/>
  <c r="N1356" i="1" s="1"/>
  <c r="E1356" i="1"/>
  <c r="M1355" i="1"/>
  <c r="O1355" i="1" s="1"/>
  <c r="L1355" i="1"/>
  <c r="N1355" i="1" s="1"/>
  <c r="E1355" i="1"/>
  <c r="M1354" i="1"/>
  <c r="O1354" i="1" s="1"/>
  <c r="L1354" i="1"/>
  <c r="N1354" i="1" s="1"/>
  <c r="E1354" i="1"/>
  <c r="M1353" i="1"/>
  <c r="O1353" i="1" s="1"/>
  <c r="L1353" i="1"/>
  <c r="N1353" i="1" s="1"/>
  <c r="E1353" i="1"/>
  <c r="M1352" i="1"/>
  <c r="O1352" i="1" s="1"/>
  <c r="L1352" i="1"/>
  <c r="N1352" i="1" s="1"/>
  <c r="E1352" i="1"/>
  <c r="M1351" i="1"/>
  <c r="O1351" i="1" s="1"/>
  <c r="L1351" i="1"/>
  <c r="N1351" i="1" s="1"/>
  <c r="E1351" i="1"/>
  <c r="M1350" i="1"/>
  <c r="O1350" i="1" s="1"/>
  <c r="L1350" i="1"/>
  <c r="N1350" i="1" s="1"/>
  <c r="E1350" i="1"/>
  <c r="M1349" i="1"/>
  <c r="O1349" i="1" s="1"/>
  <c r="L1349" i="1"/>
  <c r="N1349" i="1" s="1"/>
  <c r="E1349" i="1"/>
  <c r="M1348" i="1"/>
  <c r="O1348" i="1" s="1"/>
  <c r="L1348" i="1"/>
  <c r="N1348" i="1" s="1"/>
  <c r="E1348" i="1"/>
  <c r="M1347" i="1"/>
  <c r="O1347" i="1" s="1"/>
  <c r="L1347" i="1"/>
  <c r="N1347" i="1" s="1"/>
  <c r="E1347" i="1"/>
  <c r="M1346" i="1"/>
  <c r="O1346" i="1" s="1"/>
  <c r="L1346" i="1"/>
  <c r="N1346" i="1" s="1"/>
  <c r="E1346" i="1"/>
  <c r="M1345" i="1"/>
  <c r="O1345" i="1" s="1"/>
  <c r="L1345" i="1"/>
  <c r="N1345" i="1" s="1"/>
  <c r="E1345" i="1"/>
  <c r="M1344" i="1"/>
  <c r="O1344" i="1" s="1"/>
  <c r="L1344" i="1"/>
  <c r="N1344" i="1" s="1"/>
  <c r="E1344" i="1"/>
  <c r="M1343" i="1"/>
  <c r="O1343" i="1" s="1"/>
  <c r="L1343" i="1"/>
  <c r="N1343" i="1" s="1"/>
  <c r="E1343" i="1"/>
  <c r="M1342" i="1"/>
  <c r="O1342" i="1" s="1"/>
  <c r="L1342" i="1"/>
  <c r="N1342" i="1" s="1"/>
  <c r="E1342" i="1"/>
  <c r="M1341" i="1"/>
  <c r="O1341" i="1" s="1"/>
  <c r="L1341" i="1"/>
  <c r="N1341" i="1" s="1"/>
  <c r="E1341" i="1"/>
  <c r="M1340" i="1"/>
  <c r="O1340" i="1" s="1"/>
  <c r="L1340" i="1"/>
  <c r="N1340" i="1" s="1"/>
  <c r="E1340" i="1"/>
  <c r="M1339" i="1"/>
  <c r="O1339" i="1" s="1"/>
  <c r="L1339" i="1"/>
  <c r="N1339" i="1" s="1"/>
  <c r="E1339" i="1"/>
  <c r="M1338" i="1"/>
  <c r="O1338" i="1" s="1"/>
  <c r="L1338" i="1"/>
  <c r="N1338" i="1" s="1"/>
  <c r="E1338" i="1"/>
  <c r="M1337" i="1"/>
  <c r="O1337" i="1" s="1"/>
  <c r="L1337" i="1"/>
  <c r="N1337" i="1" s="1"/>
  <c r="E1337" i="1"/>
  <c r="M1336" i="1"/>
  <c r="O1336" i="1" s="1"/>
  <c r="L1336" i="1"/>
  <c r="N1336" i="1" s="1"/>
  <c r="E1336" i="1"/>
  <c r="M1335" i="1"/>
  <c r="O1335" i="1" s="1"/>
  <c r="L1335" i="1"/>
  <c r="N1335" i="1" s="1"/>
  <c r="E1335" i="1"/>
  <c r="M1334" i="1"/>
  <c r="O1334" i="1" s="1"/>
  <c r="L1334" i="1"/>
  <c r="N1334" i="1" s="1"/>
  <c r="E1334" i="1"/>
  <c r="M1333" i="1"/>
  <c r="O1333" i="1" s="1"/>
  <c r="L1333" i="1"/>
  <c r="N1333" i="1" s="1"/>
  <c r="E1333" i="1"/>
  <c r="M1332" i="1"/>
  <c r="O1332" i="1" s="1"/>
  <c r="L1332" i="1"/>
  <c r="N1332" i="1" s="1"/>
  <c r="E1332" i="1"/>
  <c r="M1331" i="1"/>
  <c r="O1331" i="1" s="1"/>
  <c r="L1331" i="1"/>
  <c r="N1331" i="1" s="1"/>
  <c r="E1331" i="1"/>
  <c r="M1330" i="1"/>
  <c r="O1330" i="1" s="1"/>
  <c r="L1330" i="1"/>
  <c r="N1330" i="1" s="1"/>
  <c r="E1330" i="1"/>
  <c r="M1329" i="1"/>
  <c r="O1329" i="1" s="1"/>
  <c r="L1329" i="1"/>
  <c r="N1329" i="1" s="1"/>
  <c r="E1329" i="1"/>
  <c r="M1328" i="1"/>
  <c r="O1328" i="1" s="1"/>
  <c r="L1328" i="1"/>
  <c r="N1328" i="1" s="1"/>
  <c r="E1328" i="1"/>
  <c r="M1327" i="1"/>
  <c r="O1327" i="1" s="1"/>
  <c r="L1327" i="1"/>
  <c r="N1327" i="1" s="1"/>
  <c r="E1327" i="1"/>
  <c r="M1326" i="1"/>
  <c r="O1326" i="1" s="1"/>
  <c r="L1326" i="1"/>
  <c r="N1326" i="1" s="1"/>
  <c r="E1326" i="1"/>
  <c r="M1325" i="1"/>
  <c r="O1325" i="1" s="1"/>
  <c r="L1325" i="1"/>
  <c r="N1325" i="1" s="1"/>
  <c r="E1325" i="1"/>
  <c r="M1324" i="1"/>
  <c r="O1324" i="1" s="1"/>
  <c r="L1324" i="1"/>
  <c r="N1324" i="1" s="1"/>
  <c r="E1324" i="1"/>
  <c r="M1323" i="1"/>
  <c r="O1323" i="1" s="1"/>
  <c r="L1323" i="1"/>
  <c r="N1323" i="1" s="1"/>
  <c r="E1323" i="1"/>
  <c r="M1322" i="1"/>
  <c r="O1322" i="1" s="1"/>
  <c r="L1322" i="1"/>
  <c r="N1322" i="1" s="1"/>
  <c r="E1322" i="1"/>
  <c r="M1321" i="1"/>
  <c r="O1321" i="1" s="1"/>
  <c r="L1321" i="1"/>
  <c r="N1321" i="1" s="1"/>
  <c r="E1321" i="1"/>
  <c r="M1320" i="1"/>
  <c r="O1320" i="1" s="1"/>
  <c r="L1320" i="1"/>
  <c r="N1320" i="1" s="1"/>
  <c r="E1320" i="1"/>
  <c r="M1319" i="1"/>
  <c r="O1319" i="1" s="1"/>
  <c r="L1319" i="1"/>
  <c r="N1319" i="1" s="1"/>
  <c r="E1319" i="1"/>
  <c r="M1318" i="1"/>
  <c r="O1318" i="1" s="1"/>
  <c r="L1318" i="1"/>
  <c r="N1318" i="1" s="1"/>
  <c r="E1318" i="1"/>
  <c r="M1317" i="1"/>
  <c r="O1317" i="1" s="1"/>
  <c r="L1317" i="1"/>
  <c r="N1317" i="1" s="1"/>
  <c r="E1317" i="1"/>
  <c r="M1316" i="1"/>
  <c r="O1316" i="1" s="1"/>
  <c r="L1316" i="1"/>
  <c r="N1316" i="1" s="1"/>
  <c r="E1316" i="1"/>
  <c r="M1315" i="1"/>
  <c r="O1315" i="1" s="1"/>
  <c r="L1315" i="1"/>
  <c r="N1315" i="1" s="1"/>
  <c r="E1315" i="1"/>
  <c r="M1314" i="1"/>
  <c r="O1314" i="1" s="1"/>
  <c r="L1314" i="1"/>
  <c r="N1314" i="1" s="1"/>
  <c r="E1314" i="1"/>
  <c r="M1313" i="1"/>
  <c r="O1313" i="1" s="1"/>
  <c r="L1313" i="1"/>
  <c r="N1313" i="1" s="1"/>
  <c r="E1313" i="1"/>
  <c r="M1312" i="1"/>
  <c r="O1312" i="1" s="1"/>
  <c r="L1312" i="1"/>
  <c r="N1312" i="1" s="1"/>
  <c r="E1312" i="1"/>
  <c r="M1311" i="1"/>
  <c r="O1311" i="1" s="1"/>
  <c r="L1311" i="1"/>
  <c r="N1311" i="1" s="1"/>
  <c r="E1311" i="1"/>
  <c r="M1310" i="1"/>
  <c r="O1310" i="1" s="1"/>
  <c r="L1310" i="1"/>
  <c r="N1310" i="1" s="1"/>
  <c r="E1310" i="1"/>
  <c r="M1309" i="1"/>
  <c r="O1309" i="1" s="1"/>
  <c r="L1309" i="1"/>
  <c r="N1309" i="1" s="1"/>
  <c r="E1309" i="1"/>
  <c r="M1308" i="1"/>
  <c r="O1308" i="1" s="1"/>
  <c r="L1308" i="1"/>
  <c r="N1308" i="1" s="1"/>
  <c r="E1308" i="1"/>
  <c r="M1307" i="1"/>
  <c r="O1307" i="1" s="1"/>
  <c r="L1307" i="1"/>
  <c r="N1307" i="1" s="1"/>
  <c r="E1307" i="1"/>
  <c r="M1306" i="1"/>
  <c r="O1306" i="1" s="1"/>
  <c r="L1306" i="1"/>
  <c r="N1306" i="1" s="1"/>
  <c r="E1306" i="1"/>
  <c r="M1305" i="1"/>
  <c r="O1305" i="1" s="1"/>
  <c r="L1305" i="1"/>
  <c r="N1305" i="1" s="1"/>
  <c r="E1305" i="1"/>
  <c r="M1304" i="1"/>
  <c r="O1304" i="1" s="1"/>
  <c r="L1304" i="1"/>
  <c r="N1304" i="1" s="1"/>
  <c r="E1304" i="1"/>
  <c r="M1303" i="1"/>
  <c r="O1303" i="1" s="1"/>
  <c r="L1303" i="1"/>
  <c r="N1303" i="1" s="1"/>
  <c r="E1303" i="1"/>
  <c r="M1302" i="1"/>
  <c r="O1302" i="1" s="1"/>
  <c r="L1302" i="1"/>
  <c r="N1302" i="1" s="1"/>
  <c r="E1302" i="1"/>
  <c r="M1301" i="1"/>
  <c r="O1301" i="1" s="1"/>
  <c r="L1301" i="1"/>
  <c r="N1301" i="1" s="1"/>
  <c r="E1301" i="1"/>
  <c r="M1300" i="1"/>
  <c r="O1300" i="1" s="1"/>
  <c r="L1300" i="1"/>
  <c r="N1300" i="1" s="1"/>
  <c r="E1300" i="1"/>
  <c r="M1299" i="1"/>
  <c r="O1299" i="1" s="1"/>
  <c r="L1299" i="1"/>
  <c r="N1299" i="1" s="1"/>
  <c r="E1299" i="1"/>
  <c r="M1298" i="1"/>
  <c r="O1298" i="1" s="1"/>
  <c r="L1298" i="1"/>
  <c r="N1298" i="1" s="1"/>
  <c r="E1298" i="1"/>
  <c r="M1297" i="1"/>
  <c r="O1297" i="1" s="1"/>
  <c r="L1297" i="1"/>
  <c r="N1297" i="1" s="1"/>
  <c r="E1297" i="1"/>
  <c r="M1296" i="1"/>
  <c r="O1296" i="1" s="1"/>
  <c r="L1296" i="1"/>
  <c r="N1296" i="1" s="1"/>
  <c r="E1296" i="1"/>
  <c r="M1295" i="1"/>
  <c r="O1295" i="1" s="1"/>
  <c r="L1295" i="1"/>
  <c r="N1295" i="1" s="1"/>
  <c r="E1295" i="1"/>
  <c r="M1294" i="1"/>
  <c r="O1294" i="1" s="1"/>
  <c r="L1294" i="1"/>
  <c r="N1294" i="1" s="1"/>
  <c r="E1294" i="1"/>
  <c r="M1293" i="1"/>
  <c r="O1293" i="1" s="1"/>
  <c r="L1293" i="1"/>
  <c r="N1293" i="1" s="1"/>
  <c r="E1293" i="1"/>
  <c r="M1292" i="1"/>
  <c r="O1292" i="1" s="1"/>
  <c r="L1292" i="1"/>
  <c r="N1292" i="1" s="1"/>
  <c r="E1292" i="1"/>
  <c r="M1291" i="1"/>
  <c r="O1291" i="1" s="1"/>
  <c r="L1291" i="1"/>
  <c r="N1291" i="1" s="1"/>
  <c r="E1291" i="1"/>
  <c r="M1290" i="1"/>
  <c r="O1290" i="1" s="1"/>
  <c r="L1290" i="1"/>
  <c r="N1290" i="1" s="1"/>
  <c r="E1290" i="1"/>
  <c r="M1289" i="1"/>
  <c r="O1289" i="1" s="1"/>
  <c r="L1289" i="1"/>
  <c r="N1289" i="1" s="1"/>
  <c r="E1289" i="1"/>
  <c r="M1288" i="1"/>
  <c r="O1288" i="1" s="1"/>
  <c r="L1288" i="1"/>
  <c r="N1288" i="1" s="1"/>
  <c r="E1288" i="1"/>
  <c r="M1287" i="1"/>
  <c r="O1287" i="1" s="1"/>
  <c r="L1287" i="1"/>
  <c r="N1287" i="1" s="1"/>
  <c r="E1287" i="1"/>
  <c r="M1286" i="1"/>
  <c r="O1286" i="1" s="1"/>
  <c r="L1286" i="1"/>
  <c r="N1286" i="1" s="1"/>
  <c r="E1286" i="1"/>
  <c r="M1285" i="1"/>
  <c r="O1285" i="1" s="1"/>
  <c r="L1285" i="1"/>
  <c r="N1285" i="1" s="1"/>
  <c r="E1285" i="1"/>
  <c r="M1284" i="1"/>
  <c r="O1284" i="1" s="1"/>
  <c r="L1284" i="1"/>
  <c r="N1284" i="1" s="1"/>
  <c r="E1284" i="1"/>
  <c r="M1283" i="1"/>
  <c r="O1283" i="1" s="1"/>
  <c r="L1283" i="1"/>
  <c r="N1283" i="1" s="1"/>
  <c r="E1283" i="1"/>
  <c r="M1282" i="1"/>
  <c r="O1282" i="1" s="1"/>
  <c r="L1282" i="1"/>
  <c r="N1282" i="1" s="1"/>
  <c r="E1282" i="1"/>
  <c r="M1281" i="1"/>
  <c r="O1281" i="1" s="1"/>
  <c r="L1281" i="1"/>
  <c r="N1281" i="1" s="1"/>
  <c r="E1281" i="1"/>
  <c r="M1280" i="1"/>
  <c r="O1280" i="1" s="1"/>
  <c r="L1280" i="1"/>
  <c r="N1280" i="1" s="1"/>
  <c r="E1280" i="1"/>
  <c r="M1279" i="1"/>
  <c r="O1279" i="1" s="1"/>
  <c r="L1279" i="1"/>
  <c r="N1279" i="1" s="1"/>
  <c r="E1279" i="1"/>
  <c r="M1278" i="1"/>
  <c r="O1278" i="1" s="1"/>
  <c r="L1278" i="1"/>
  <c r="N1278" i="1" s="1"/>
  <c r="E1278" i="1"/>
  <c r="M1277" i="1"/>
  <c r="O1277" i="1" s="1"/>
  <c r="L1277" i="1"/>
  <c r="N1277" i="1" s="1"/>
  <c r="E1277" i="1"/>
  <c r="M1276" i="1"/>
  <c r="O1276" i="1" s="1"/>
  <c r="L1276" i="1"/>
  <c r="N1276" i="1" s="1"/>
  <c r="E1276" i="1"/>
  <c r="M1275" i="1"/>
  <c r="O1275" i="1" s="1"/>
  <c r="L1275" i="1"/>
  <c r="N1275" i="1" s="1"/>
  <c r="E1275" i="1"/>
  <c r="M1274" i="1"/>
  <c r="O1274" i="1" s="1"/>
  <c r="L1274" i="1"/>
  <c r="N1274" i="1" s="1"/>
  <c r="E1274" i="1"/>
  <c r="M1273" i="1"/>
  <c r="O1273" i="1" s="1"/>
  <c r="L1273" i="1"/>
  <c r="N1273" i="1" s="1"/>
  <c r="E1273" i="1"/>
  <c r="M1272" i="1"/>
  <c r="O1272" i="1" s="1"/>
  <c r="L1272" i="1"/>
  <c r="N1272" i="1" s="1"/>
  <c r="E1272" i="1"/>
  <c r="M1271" i="1"/>
  <c r="O1271" i="1" s="1"/>
  <c r="L1271" i="1"/>
  <c r="N1271" i="1" s="1"/>
  <c r="E1271" i="1"/>
  <c r="M1270" i="1"/>
  <c r="O1270" i="1" s="1"/>
  <c r="L1270" i="1"/>
  <c r="N1270" i="1" s="1"/>
  <c r="E1270" i="1"/>
  <c r="M1269" i="1"/>
  <c r="O1269" i="1" s="1"/>
  <c r="L1269" i="1"/>
  <c r="N1269" i="1" s="1"/>
  <c r="E1269" i="1"/>
  <c r="M1268" i="1"/>
  <c r="O1268" i="1" s="1"/>
  <c r="L1268" i="1"/>
  <c r="N1268" i="1" s="1"/>
  <c r="E1268" i="1"/>
  <c r="M1267" i="1"/>
  <c r="O1267" i="1" s="1"/>
  <c r="L1267" i="1"/>
  <c r="N1267" i="1" s="1"/>
  <c r="E1267" i="1"/>
  <c r="M1266" i="1"/>
  <c r="O1266" i="1" s="1"/>
  <c r="L1266" i="1"/>
  <c r="N1266" i="1" s="1"/>
  <c r="E1266" i="1"/>
  <c r="M1265" i="1"/>
  <c r="O1265" i="1" s="1"/>
  <c r="L1265" i="1"/>
  <c r="N1265" i="1" s="1"/>
  <c r="E1265" i="1"/>
  <c r="M1264" i="1"/>
  <c r="O1264" i="1" s="1"/>
  <c r="L1264" i="1"/>
  <c r="N1264" i="1" s="1"/>
  <c r="E1264" i="1"/>
  <c r="M1263" i="1"/>
  <c r="O1263" i="1" s="1"/>
  <c r="L1263" i="1"/>
  <c r="N1263" i="1" s="1"/>
  <c r="E1263" i="1"/>
  <c r="M1262" i="1"/>
  <c r="O1262" i="1" s="1"/>
  <c r="L1262" i="1"/>
  <c r="N1262" i="1" s="1"/>
  <c r="E1262" i="1"/>
  <c r="M1261" i="1"/>
  <c r="O1261" i="1" s="1"/>
  <c r="L1261" i="1"/>
  <c r="N1261" i="1" s="1"/>
  <c r="E1261" i="1"/>
  <c r="M1260" i="1"/>
  <c r="O1260" i="1" s="1"/>
  <c r="L1260" i="1"/>
  <c r="N1260" i="1" s="1"/>
  <c r="E1260" i="1"/>
  <c r="M1259" i="1"/>
  <c r="O1259" i="1" s="1"/>
  <c r="L1259" i="1"/>
  <c r="N1259" i="1" s="1"/>
  <c r="E1259" i="1"/>
  <c r="M1258" i="1"/>
  <c r="O1258" i="1" s="1"/>
  <c r="L1258" i="1"/>
  <c r="N1258" i="1" s="1"/>
  <c r="E1258" i="1"/>
  <c r="M1257" i="1"/>
  <c r="O1257" i="1" s="1"/>
  <c r="L1257" i="1"/>
  <c r="N1257" i="1" s="1"/>
  <c r="E1257" i="1"/>
  <c r="M1256" i="1"/>
  <c r="O1256" i="1" s="1"/>
  <c r="L1256" i="1"/>
  <c r="N1256" i="1" s="1"/>
  <c r="E1256" i="1"/>
  <c r="M1255" i="1"/>
  <c r="O1255" i="1" s="1"/>
  <c r="L1255" i="1"/>
  <c r="N1255" i="1" s="1"/>
  <c r="E1255" i="1"/>
  <c r="M1254" i="1"/>
  <c r="O1254" i="1" s="1"/>
  <c r="L1254" i="1"/>
  <c r="N1254" i="1" s="1"/>
  <c r="E1254" i="1"/>
  <c r="M1253" i="1"/>
  <c r="O1253" i="1" s="1"/>
  <c r="L1253" i="1"/>
  <c r="N1253" i="1" s="1"/>
  <c r="E1253" i="1"/>
  <c r="M1252" i="1"/>
  <c r="O1252" i="1" s="1"/>
  <c r="L1252" i="1"/>
  <c r="N1252" i="1" s="1"/>
  <c r="E1252" i="1"/>
  <c r="M1251" i="1"/>
  <c r="O1251" i="1" s="1"/>
  <c r="L1251" i="1"/>
  <c r="N1251" i="1" s="1"/>
  <c r="E1251" i="1"/>
  <c r="M1250" i="1"/>
  <c r="O1250" i="1" s="1"/>
  <c r="L1250" i="1"/>
  <c r="N1250" i="1" s="1"/>
  <c r="E1250" i="1"/>
  <c r="M1249" i="1"/>
  <c r="O1249" i="1" s="1"/>
  <c r="L1249" i="1"/>
  <c r="N1249" i="1" s="1"/>
  <c r="E1249" i="1"/>
  <c r="M1248" i="1"/>
  <c r="O1248" i="1" s="1"/>
  <c r="L1248" i="1"/>
  <c r="N1248" i="1" s="1"/>
  <c r="E1248" i="1"/>
  <c r="M1247" i="1"/>
  <c r="O1247" i="1" s="1"/>
  <c r="L1247" i="1"/>
  <c r="N1247" i="1" s="1"/>
  <c r="E1247" i="1"/>
  <c r="M1246" i="1"/>
  <c r="O1246" i="1" s="1"/>
  <c r="L1246" i="1"/>
  <c r="N1246" i="1" s="1"/>
  <c r="E1246" i="1"/>
  <c r="M1245" i="1"/>
  <c r="O1245" i="1" s="1"/>
  <c r="L1245" i="1"/>
  <c r="N1245" i="1" s="1"/>
  <c r="E1245" i="1"/>
  <c r="M1244" i="1"/>
  <c r="O1244" i="1" s="1"/>
  <c r="L1244" i="1"/>
  <c r="N1244" i="1" s="1"/>
  <c r="E1244" i="1"/>
  <c r="M1243" i="1"/>
  <c r="O1243" i="1" s="1"/>
  <c r="L1243" i="1"/>
  <c r="N1243" i="1" s="1"/>
  <c r="E1243" i="1"/>
  <c r="M1242" i="1"/>
  <c r="O1242" i="1" s="1"/>
  <c r="L1242" i="1"/>
  <c r="N1242" i="1" s="1"/>
  <c r="E1242" i="1"/>
  <c r="M1241" i="1"/>
  <c r="O1241" i="1" s="1"/>
  <c r="L1241" i="1"/>
  <c r="N1241" i="1" s="1"/>
  <c r="E1241" i="1"/>
  <c r="M1240" i="1"/>
  <c r="O1240" i="1" s="1"/>
  <c r="L1240" i="1"/>
  <c r="N1240" i="1" s="1"/>
  <c r="E1240" i="1"/>
  <c r="M1239" i="1"/>
  <c r="O1239" i="1" s="1"/>
  <c r="L1239" i="1"/>
  <c r="N1239" i="1" s="1"/>
  <c r="E1239" i="1"/>
  <c r="M1238" i="1"/>
  <c r="O1238" i="1" s="1"/>
  <c r="L1238" i="1"/>
  <c r="N1238" i="1" s="1"/>
  <c r="E1238" i="1"/>
  <c r="M1237" i="1"/>
  <c r="O1237" i="1" s="1"/>
  <c r="L1237" i="1"/>
  <c r="N1237" i="1" s="1"/>
  <c r="E1237" i="1"/>
  <c r="M1236" i="1"/>
  <c r="O1236" i="1" s="1"/>
  <c r="L1236" i="1"/>
  <c r="N1236" i="1" s="1"/>
  <c r="E1236" i="1"/>
  <c r="M1235" i="1"/>
  <c r="O1235" i="1" s="1"/>
  <c r="L1235" i="1"/>
  <c r="N1235" i="1" s="1"/>
  <c r="E1235" i="1"/>
  <c r="M1234" i="1"/>
  <c r="O1234" i="1" s="1"/>
  <c r="L1234" i="1"/>
  <c r="N1234" i="1" s="1"/>
  <c r="E1234" i="1"/>
  <c r="M1233" i="1"/>
  <c r="O1233" i="1" s="1"/>
  <c r="L1233" i="1"/>
  <c r="N1233" i="1" s="1"/>
  <c r="E1233" i="1"/>
  <c r="M1232" i="1"/>
  <c r="O1232" i="1" s="1"/>
  <c r="L1232" i="1"/>
  <c r="N1232" i="1" s="1"/>
  <c r="E1232" i="1"/>
  <c r="M1231" i="1"/>
  <c r="O1231" i="1" s="1"/>
  <c r="L1231" i="1"/>
  <c r="N1231" i="1" s="1"/>
  <c r="E1231" i="1"/>
  <c r="M1230" i="1"/>
  <c r="O1230" i="1" s="1"/>
  <c r="L1230" i="1"/>
  <c r="N1230" i="1" s="1"/>
  <c r="E1230" i="1"/>
  <c r="M1229" i="1"/>
  <c r="O1229" i="1" s="1"/>
  <c r="L1229" i="1"/>
  <c r="N1229" i="1" s="1"/>
  <c r="E1229" i="1"/>
  <c r="M1228" i="1"/>
  <c r="O1228" i="1" s="1"/>
  <c r="L1228" i="1"/>
  <c r="N1228" i="1" s="1"/>
  <c r="E1228" i="1"/>
  <c r="M1227" i="1"/>
  <c r="O1227" i="1" s="1"/>
  <c r="L1227" i="1"/>
  <c r="N1227" i="1" s="1"/>
  <c r="E1227" i="1"/>
  <c r="M1226" i="1"/>
  <c r="O1226" i="1" s="1"/>
  <c r="L1226" i="1"/>
  <c r="N1226" i="1" s="1"/>
  <c r="E1226" i="1"/>
  <c r="M1225" i="1"/>
  <c r="O1225" i="1" s="1"/>
  <c r="L1225" i="1"/>
  <c r="N1225" i="1" s="1"/>
  <c r="E1225" i="1"/>
  <c r="M1224" i="1"/>
  <c r="O1224" i="1" s="1"/>
  <c r="L1224" i="1"/>
  <c r="N1224" i="1" s="1"/>
  <c r="E1224" i="1"/>
  <c r="M1223" i="1"/>
  <c r="O1223" i="1" s="1"/>
  <c r="L1223" i="1"/>
  <c r="N1223" i="1" s="1"/>
  <c r="E1223" i="1"/>
  <c r="M1222" i="1"/>
  <c r="O1222" i="1" s="1"/>
  <c r="L1222" i="1"/>
  <c r="N1222" i="1" s="1"/>
  <c r="E1222" i="1"/>
  <c r="M1221" i="1"/>
  <c r="O1221" i="1" s="1"/>
  <c r="L1221" i="1"/>
  <c r="N1221" i="1" s="1"/>
  <c r="E1221" i="1"/>
  <c r="M1220" i="1"/>
  <c r="O1220" i="1" s="1"/>
  <c r="L1220" i="1"/>
  <c r="N1220" i="1" s="1"/>
  <c r="E1220" i="1"/>
  <c r="M1219" i="1"/>
  <c r="O1219" i="1" s="1"/>
  <c r="L1219" i="1"/>
  <c r="N1219" i="1" s="1"/>
  <c r="E1219" i="1"/>
  <c r="M1218" i="1"/>
  <c r="O1218" i="1" s="1"/>
  <c r="L1218" i="1"/>
  <c r="N1218" i="1" s="1"/>
  <c r="E1218" i="1"/>
  <c r="M1217" i="1"/>
  <c r="O1217" i="1" s="1"/>
  <c r="L1217" i="1"/>
  <c r="N1217" i="1" s="1"/>
  <c r="E1217" i="1"/>
  <c r="M1216" i="1"/>
  <c r="O1216" i="1" s="1"/>
  <c r="L1216" i="1"/>
  <c r="N1216" i="1" s="1"/>
  <c r="E1216" i="1"/>
  <c r="M1215" i="1"/>
  <c r="O1215" i="1" s="1"/>
  <c r="L1215" i="1"/>
  <c r="N1215" i="1" s="1"/>
  <c r="E1215" i="1"/>
  <c r="M1214" i="1"/>
  <c r="O1214" i="1" s="1"/>
  <c r="L1214" i="1"/>
  <c r="N1214" i="1" s="1"/>
  <c r="E1214" i="1"/>
  <c r="M1213" i="1"/>
  <c r="O1213" i="1" s="1"/>
  <c r="L1213" i="1"/>
  <c r="N1213" i="1" s="1"/>
  <c r="E1213" i="1"/>
  <c r="M1212" i="1"/>
  <c r="O1212" i="1" s="1"/>
  <c r="L1212" i="1"/>
  <c r="N1212" i="1" s="1"/>
  <c r="E1212" i="1"/>
  <c r="M1211" i="1"/>
  <c r="O1211" i="1" s="1"/>
  <c r="L1211" i="1"/>
  <c r="N1211" i="1" s="1"/>
  <c r="E1211" i="1"/>
  <c r="M1210" i="1"/>
  <c r="O1210" i="1" s="1"/>
  <c r="L1210" i="1"/>
  <c r="N1210" i="1" s="1"/>
  <c r="E1210" i="1"/>
  <c r="M1209" i="1"/>
  <c r="O1209" i="1" s="1"/>
  <c r="L1209" i="1"/>
  <c r="N1209" i="1" s="1"/>
  <c r="E1209" i="1"/>
  <c r="M1208" i="1"/>
  <c r="O1208" i="1" s="1"/>
  <c r="L1208" i="1"/>
  <c r="N1208" i="1" s="1"/>
  <c r="E1208" i="1"/>
  <c r="M1207" i="1"/>
  <c r="O1207" i="1" s="1"/>
  <c r="L1207" i="1"/>
  <c r="N1207" i="1" s="1"/>
  <c r="E1207" i="1"/>
  <c r="M1206" i="1"/>
  <c r="O1206" i="1" s="1"/>
  <c r="L1206" i="1"/>
  <c r="N1206" i="1" s="1"/>
  <c r="E1206" i="1"/>
  <c r="M1205" i="1"/>
  <c r="O1205" i="1" s="1"/>
  <c r="L1205" i="1"/>
  <c r="N1205" i="1" s="1"/>
  <c r="E1205" i="1"/>
  <c r="M1204" i="1"/>
  <c r="O1204" i="1" s="1"/>
  <c r="L1204" i="1"/>
  <c r="N1204" i="1" s="1"/>
  <c r="E1204" i="1"/>
  <c r="M1203" i="1"/>
  <c r="O1203" i="1" s="1"/>
  <c r="L1203" i="1"/>
  <c r="N1203" i="1" s="1"/>
  <c r="E1203" i="1"/>
  <c r="M1202" i="1"/>
  <c r="O1202" i="1" s="1"/>
  <c r="L1202" i="1"/>
  <c r="N1202" i="1" s="1"/>
  <c r="E1202" i="1"/>
  <c r="M1201" i="1"/>
  <c r="O1201" i="1" s="1"/>
  <c r="L1201" i="1"/>
  <c r="N1201" i="1" s="1"/>
  <c r="E1201" i="1"/>
  <c r="M1200" i="1"/>
  <c r="O1200" i="1" s="1"/>
  <c r="L1200" i="1"/>
  <c r="N1200" i="1" s="1"/>
  <c r="E1200" i="1"/>
  <c r="M1199" i="1"/>
  <c r="O1199" i="1" s="1"/>
  <c r="L1199" i="1"/>
  <c r="N1199" i="1" s="1"/>
  <c r="E1199" i="1"/>
  <c r="M1198" i="1"/>
  <c r="O1198" i="1" s="1"/>
  <c r="L1198" i="1"/>
  <c r="N1198" i="1" s="1"/>
  <c r="E1198" i="1"/>
  <c r="M1197" i="1"/>
  <c r="O1197" i="1" s="1"/>
  <c r="L1197" i="1"/>
  <c r="N1197" i="1" s="1"/>
  <c r="E1197" i="1"/>
  <c r="M1196" i="1"/>
  <c r="O1196" i="1" s="1"/>
  <c r="L1196" i="1"/>
  <c r="N1196" i="1" s="1"/>
  <c r="E1196" i="1"/>
  <c r="M1195" i="1"/>
  <c r="O1195" i="1" s="1"/>
  <c r="L1195" i="1"/>
  <c r="N1195" i="1" s="1"/>
  <c r="E1195" i="1"/>
  <c r="M1194" i="1"/>
  <c r="O1194" i="1" s="1"/>
  <c r="L1194" i="1"/>
  <c r="N1194" i="1" s="1"/>
  <c r="E1194" i="1"/>
  <c r="M1193" i="1"/>
  <c r="O1193" i="1" s="1"/>
  <c r="L1193" i="1"/>
  <c r="N1193" i="1" s="1"/>
  <c r="E1193" i="1"/>
  <c r="M1192" i="1"/>
  <c r="O1192" i="1" s="1"/>
  <c r="L1192" i="1"/>
  <c r="N1192" i="1" s="1"/>
  <c r="E1192" i="1"/>
  <c r="M1191" i="1"/>
  <c r="O1191" i="1" s="1"/>
  <c r="L1191" i="1"/>
  <c r="N1191" i="1" s="1"/>
  <c r="E1191" i="1"/>
  <c r="M1190" i="1"/>
  <c r="O1190" i="1" s="1"/>
  <c r="L1190" i="1"/>
  <c r="N1190" i="1" s="1"/>
  <c r="E1190" i="1"/>
  <c r="M1189" i="1"/>
  <c r="O1189" i="1" s="1"/>
  <c r="L1189" i="1"/>
  <c r="N1189" i="1" s="1"/>
  <c r="E1189" i="1"/>
  <c r="M1188" i="1"/>
  <c r="O1188" i="1" s="1"/>
  <c r="L1188" i="1"/>
  <c r="N1188" i="1" s="1"/>
  <c r="E1188" i="1"/>
  <c r="M1187" i="1"/>
  <c r="O1187" i="1" s="1"/>
  <c r="L1187" i="1"/>
  <c r="N1187" i="1" s="1"/>
  <c r="E1187" i="1"/>
  <c r="M1186" i="1"/>
  <c r="O1186" i="1" s="1"/>
  <c r="L1186" i="1"/>
  <c r="N1186" i="1" s="1"/>
  <c r="E1186" i="1"/>
  <c r="M1185" i="1"/>
  <c r="O1185" i="1" s="1"/>
  <c r="L1185" i="1"/>
  <c r="N1185" i="1" s="1"/>
  <c r="E1185" i="1"/>
  <c r="M1184" i="1"/>
  <c r="O1184" i="1" s="1"/>
  <c r="L1184" i="1"/>
  <c r="N1184" i="1" s="1"/>
  <c r="E1184" i="1"/>
  <c r="M1183" i="1"/>
  <c r="O1183" i="1" s="1"/>
  <c r="L1183" i="1"/>
  <c r="N1183" i="1" s="1"/>
  <c r="E1183" i="1"/>
  <c r="M1182" i="1"/>
  <c r="O1182" i="1" s="1"/>
  <c r="L1182" i="1"/>
  <c r="N1182" i="1" s="1"/>
  <c r="E1182" i="1"/>
  <c r="M1181" i="1"/>
  <c r="O1181" i="1" s="1"/>
  <c r="L1181" i="1"/>
  <c r="N1181" i="1" s="1"/>
  <c r="E1181" i="1"/>
  <c r="M1180" i="1"/>
  <c r="O1180" i="1" s="1"/>
  <c r="L1180" i="1"/>
  <c r="N1180" i="1" s="1"/>
  <c r="E1180" i="1"/>
  <c r="M1179" i="1"/>
  <c r="O1179" i="1" s="1"/>
  <c r="L1179" i="1"/>
  <c r="N1179" i="1" s="1"/>
  <c r="E1179" i="1"/>
  <c r="M1178" i="1"/>
  <c r="O1178" i="1" s="1"/>
  <c r="L1178" i="1"/>
  <c r="N1178" i="1" s="1"/>
  <c r="E1178" i="1"/>
  <c r="M1177" i="1"/>
  <c r="O1177" i="1" s="1"/>
  <c r="L1177" i="1"/>
  <c r="N1177" i="1" s="1"/>
  <c r="E1177" i="1"/>
  <c r="M1176" i="1"/>
  <c r="O1176" i="1" s="1"/>
  <c r="L1176" i="1"/>
  <c r="N1176" i="1" s="1"/>
  <c r="E1176" i="1"/>
  <c r="M1175" i="1"/>
  <c r="O1175" i="1" s="1"/>
  <c r="L1175" i="1"/>
  <c r="N1175" i="1" s="1"/>
  <c r="E1175" i="1"/>
  <c r="M1174" i="1"/>
  <c r="O1174" i="1" s="1"/>
  <c r="L1174" i="1"/>
  <c r="N1174" i="1" s="1"/>
  <c r="E1174" i="1"/>
  <c r="M1173" i="1"/>
  <c r="O1173" i="1" s="1"/>
  <c r="L1173" i="1"/>
  <c r="N1173" i="1" s="1"/>
  <c r="E1173" i="1"/>
  <c r="M1172" i="1"/>
  <c r="O1172" i="1" s="1"/>
  <c r="L1172" i="1"/>
  <c r="N1172" i="1" s="1"/>
  <c r="E1172" i="1"/>
  <c r="M1171" i="1"/>
  <c r="O1171" i="1" s="1"/>
  <c r="L1171" i="1"/>
  <c r="N1171" i="1" s="1"/>
  <c r="E1171" i="1"/>
  <c r="M1170" i="1"/>
  <c r="O1170" i="1" s="1"/>
  <c r="L1170" i="1"/>
  <c r="N1170" i="1" s="1"/>
  <c r="E1170" i="1"/>
  <c r="M1169" i="1"/>
  <c r="O1169" i="1" s="1"/>
  <c r="L1169" i="1"/>
  <c r="N1169" i="1" s="1"/>
  <c r="E1169" i="1"/>
  <c r="M1168" i="1"/>
  <c r="O1168" i="1" s="1"/>
  <c r="L1168" i="1"/>
  <c r="N1168" i="1" s="1"/>
  <c r="E1168" i="1"/>
  <c r="M1167" i="1"/>
  <c r="O1167" i="1" s="1"/>
  <c r="L1167" i="1"/>
  <c r="N1167" i="1" s="1"/>
  <c r="E1167" i="1"/>
  <c r="M1166" i="1"/>
  <c r="O1166" i="1" s="1"/>
  <c r="L1166" i="1"/>
  <c r="N1166" i="1" s="1"/>
  <c r="E1166" i="1"/>
  <c r="M1165" i="1"/>
  <c r="O1165" i="1" s="1"/>
  <c r="L1165" i="1"/>
  <c r="N1165" i="1" s="1"/>
  <c r="E1165" i="1"/>
  <c r="M1164" i="1"/>
  <c r="O1164" i="1" s="1"/>
  <c r="L1164" i="1"/>
  <c r="N1164" i="1" s="1"/>
  <c r="E1164" i="1"/>
  <c r="M1163" i="1"/>
  <c r="O1163" i="1" s="1"/>
  <c r="L1163" i="1"/>
  <c r="N1163" i="1" s="1"/>
  <c r="E1163" i="1"/>
  <c r="M1162" i="1"/>
  <c r="O1162" i="1" s="1"/>
  <c r="L1162" i="1"/>
  <c r="N1162" i="1" s="1"/>
  <c r="E1162" i="1"/>
  <c r="M1161" i="1"/>
  <c r="O1161" i="1" s="1"/>
  <c r="L1161" i="1"/>
  <c r="N1161" i="1" s="1"/>
  <c r="E1161" i="1"/>
  <c r="M1160" i="1"/>
  <c r="O1160" i="1" s="1"/>
  <c r="L1160" i="1"/>
  <c r="N1160" i="1" s="1"/>
  <c r="E1160" i="1"/>
  <c r="M1159" i="1"/>
  <c r="O1159" i="1" s="1"/>
  <c r="L1159" i="1"/>
  <c r="N1159" i="1" s="1"/>
  <c r="E1159" i="1"/>
  <c r="M1158" i="1"/>
  <c r="O1158" i="1" s="1"/>
  <c r="L1158" i="1"/>
  <c r="N1158" i="1" s="1"/>
  <c r="E1158" i="1"/>
  <c r="M1157" i="1"/>
  <c r="O1157" i="1" s="1"/>
  <c r="L1157" i="1"/>
  <c r="N1157" i="1" s="1"/>
  <c r="E1157" i="1"/>
  <c r="M1156" i="1"/>
  <c r="O1156" i="1" s="1"/>
  <c r="L1156" i="1"/>
  <c r="N1156" i="1" s="1"/>
  <c r="E1156" i="1"/>
  <c r="M1155" i="1"/>
  <c r="O1155" i="1" s="1"/>
  <c r="L1155" i="1"/>
  <c r="N1155" i="1" s="1"/>
  <c r="E1155" i="1"/>
  <c r="M1154" i="1"/>
  <c r="O1154" i="1" s="1"/>
  <c r="L1154" i="1"/>
  <c r="N1154" i="1" s="1"/>
  <c r="E1154" i="1"/>
  <c r="M1153" i="1"/>
  <c r="O1153" i="1" s="1"/>
  <c r="L1153" i="1"/>
  <c r="N1153" i="1" s="1"/>
  <c r="E1153" i="1"/>
  <c r="M1152" i="1"/>
  <c r="O1152" i="1" s="1"/>
  <c r="L1152" i="1"/>
  <c r="N1152" i="1" s="1"/>
  <c r="E1152" i="1"/>
  <c r="M1151" i="1"/>
  <c r="O1151" i="1" s="1"/>
  <c r="L1151" i="1"/>
  <c r="N1151" i="1" s="1"/>
  <c r="E1151" i="1"/>
  <c r="M1150" i="1"/>
  <c r="O1150" i="1" s="1"/>
  <c r="L1150" i="1"/>
  <c r="N1150" i="1" s="1"/>
  <c r="E1150" i="1"/>
  <c r="M1149" i="1"/>
  <c r="O1149" i="1" s="1"/>
  <c r="L1149" i="1"/>
  <c r="N1149" i="1" s="1"/>
  <c r="E1149" i="1"/>
  <c r="M1148" i="1"/>
  <c r="O1148" i="1" s="1"/>
  <c r="L1148" i="1"/>
  <c r="N1148" i="1" s="1"/>
  <c r="E1148" i="1"/>
  <c r="M1147" i="1"/>
  <c r="O1147" i="1" s="1"/>
  <c r="L1147" i="1"/>
  <c r="N1147" i="1" s="1"/>
  <c r="E1147" i="1"/>
  <c r="M1146" i="1"/>
  <c r="O1146" i="1" s="1"/>
  <c r="L1146" i="1"/>
  <c r="N1146" i="1" s="1"/>
  <c r="E1146" i="1"/>
  <c r="M1145" i="1"/>
  <c r="O1145" i="1" s="1"/>
  <c r="L1145" i="1"/>
  <c r="N1145" i="1" s="1"/>
  <c r="E1145" i="1"/>
  <c r="M1144" i="1"/>
  <c r="O1144" i="1" s="1"/>
  <c r="L1144" i="1"/>
  <c r="N1144" i="1" s="1"/>
  <c r="E1144" i="1"/>
  <c r="M1143" i="1"/>
  <c r="O1143" i="1" s="1"/>
  <c r="L1143" i="1"/>
  <c r="N1143" i="1" s="1"/>
  <c r="E1143" i="1"/>
  <c r="M1142" i="1"/>
  <c r="O1142" i="1" s="1"/>
  <c r="L1142" i="1"/>
  <c r="N1142" i="1" s="1"/>
  <c r="E1142" i="1"/>
  <c r="M1141" i="1"/>
  <c r="O1141" i="1" s="1"/>
  <c r="L1141" i="1"/>
  <c r="N1141" i="1" s="1"/>
  <c r="E1141" i="1"/>
  <c r="M1140" i="1"/>
  <c r="O1140" i="1" s="1"/>
  <c r="L1140" i="1"/>
  <c r="N1140" i="1" s="1"/>
  <c r="E1140" i="1"/>
  <c r="M1139" i="1"/>
  <c r="O1139" i="1" s="1"/>
  <c r="L1139" i="1"/>
  <c r="N1139" i="1" s="1"/>
  <c r="E1139" i="1"/>
  <c r="M1138" i="1"/>
  <c r="O1138" i="1" s="1"/>
  <c r="L1138" i="1"/>
  <c r="N1138" i="1" s="1"/>
  <c r="E1138" i="1"/>
  <c r="M1137" i="1"/>
  <c r="O1137" i="1" s="1"/>
  <c r="L1137" i="1"/>
  <c r="N1137" i="1" s="1"/>
  <c r="E1137" i="1"/>
  <c r="M1136" i="1"/>
  <c r="O1136" i="1" s="1"/>
  <c r="L1136" i="1"/>
  <c r="N1136" i="1" s="1"/>
  <c r="E1136" i="1"/>
  <c r="M1135" i="1"/>
  <c r="O1135" i="1" s="1"/>
  <c r="L1135" i="1"/>
  <c r="N1135" i="1" s="1"/>
  <c r="E1135" i="1"/>
  <c r="M1134" i="1"/>
  <c r="O1134" i="1" s="1"/>
  <c r="L1134" i="1"/>
  <c r="N1134" i="1" s="1"/>
  <c r="E1134" i="1"/>
  <c r="M1133" i="1"/>
  <c r="O1133" i="1" s="1"/>
  <c r="L1133" i="1"/>
  <c r="N1133" i="1" s="1"/>
  <c r="E1133" i="1"/>
  <c r="M1132" i="1"/>
  <c r="O1132" i="1" s="1"/>
  <c r="L1132" i="1"/>
  <c r="N1132" i="1" s="1"/>
  <c r="E1132" i="1"/>
  <c r="M1131" i="1"/>
  <c r="O1131" i="1" s="1"/>
  <c r="L1131" i="1"/>
  <c r="N1131" i="1" s="1"/>
  <c r="E1131" i="1"/>
  <c r="M1130" i="1"/>
  <c r="O1130" i="1" s="1"/>
  <c r="L1130" i="1"/>
  <c r="N1130" i="1" s="1"/>
  <c r="E1130" i="1"/>
  <c r="M1129" i="1"/>
  <c r="O1129" i="1" s="1"/>
  <c r="L1129" i="1"/>
  <c r="N1129" i="1" s="1"/>
  <c r="E1129" i="1"/>
  <c r="M1128" i="1"/>
  <c r="O1128" i="1" s="1"/>
  <c r="L1128" i="1"/>
  <c r="N1128" i="1" s="1"/>
  <c r="E1128" i="1"/>
  <c r="M1127" i="1"/>
  <c r="O1127" i="1" s="1"/>
  <c r="L1127" i="1"/>
  <c r="N1127" i="1" s="1"/>
  <c r="E1127" i="1"/>
  <c r="M1126" i="1"/>
  <c r="O1126" i="1" s="1"/>
  <c r="L1126" i="1"/>
  <c r="N1126" i="1" s="1"/>
  <c r="E1126" i="1"/>
  <c r="M1125" i="1"/>
  <c r="O1125" i="1" s="1"/>
  <c r="L1125" i="1"/>
  <c r="N1125" i="1" s="1"/>
  <c r="E1125" i="1"/>
  <c r="M1124" i="1"/>
  <c r="O1124" i="1" s="1"/>
  <c r="L1124" i="1"/>
  <c r="N1124" i="1" s="1"/>
  <c r="E1124" i="1"/>
  <c r="M1123" i="1"/>
  <c r="O1123" i="1" s="1"/>
  <c r="L1123" i="1"/>
  <c r="N1123" i="1" s="1"/>
  <c r="E1123" i="1"/>
  <c r="M1122" i="1"/>
  <c r="O1122" i="1" s="1"/>
  <c r="L1122" i="1"/>
  <c r="N1122" i="1" s="1"/>
  <c r="E1122" i="1"/>
  <c r="M1121" i="1"/>
  <c r="O1121" i="1" s="1"/>
  <c r="L1121" i="1"/>
  <c r="N1121" i="1" s="1"/>
  <c r="E1121" i="1"/>
  <c r="M1120" i="1"/>
  <c r="O1120" i="1" s="1"/>
  <c r="L1120" i="1"/>
  <c r="N1120" i="1" s="1"/>
  <c r="E1120" i="1"/>
  <c r="M1119" i="1"/>
  <c r="O1119" i="1" s="1"/>
  <c r="L1119" i="1"/>
  <c r="N1119" i="1" s="1"/>
  <c r="E1119" i="1"/>
  <c r="M1118" i="1"/>
  <c r="O1118" i="1" s="1"/>
  <c r="L1118" i="1"/>
  <c r="N1118" i="1" s="1"/>
  <c r="E1118" i="1"/>
  <c r="M1117" i="1"/>
  <c r="O1117" i="1" s="1"/>
  <c r="L1117" i="1"/>
  <c r="N1117" i="1" s="1"/>
  <c r="E1117" i="1"/>
  <c r="M1116" i="1"/>
  <c r="O1116" i="1" s="1"/>
  <c r="L1116" i="1"/>
  <c r="N1116" i="1" s="1"/>
  <c r="E1116" i="1"/>
  <c r="M1115" i="1"/>
  <c r="O1115" i="1" s="1"/>
  <c r="L1115" i="1"/>
  <c r="N1115" i="1" s="1"/>
  <c r="E1115" i="1"/>
  <c r="M1114" i="1"/>
  <c r="O1114" i="1" s="1"/>
  <c r="L1114" i="1"/>
  <c r="N1114" i="1" s="1"/>
  <c r="E1114" i="1"/>
  <c r="M1113" i="1"/>
  <c r="O1113" i="1" s="1"/>
  <c r="L1113" i="1"/>
  <c r="N1113" i="1" s="1"/>
  <c r="E1113" i="1"/>
  <c r="M1112" i="1"/>
  <c r="O1112" i="1" s="1"/>
  <c r="L1112" i="1"/>
  <c r="N1112" i="1" s="1"/>
  <c r="E1112" i="1"/>
  <c r="M1111" i="1"/>
  <c r="O1111" i="1" s="1"/>
  <c r="L1111" i="1"/>
  <c r="N1111" i="1" s="1"/>
  <c r="E1111" i="1"/>
  <c r="M1110" i="1"/>
  <c r="O1110" i="1" s="1"/>
  <c r="L1110" i="1"/>
  <c r="N1110" i="1" s="1"/>
  <c r="E1110" i="1"/>
  <c r="M1109" i="1"/>
  <c r="O1109" i="1" s="1"/>
  <c r="L1109" i="1"/>
  <c r="N1109" i="1" s="1"/>
  <c r="E1109" i="1"/>
  <c r="M1108" i="1"/>
  <c r="O1108" i="1" s="1"/>
  <c r="L1108" i="1"/>
  <c r="N1108" i="1" s="1"/>
  <c r="E1108" i="1"/>
  <c r="E1107" i="1"/>
  <c r="M1106" i="1"/>
  <c r="O1106" i="1" s="1"/>
  <c r="L1106" i="1"/>
  <c r="N1106" i="1" s="1"/>
  <c r="K1106" i="1"/>
  <c r="E1106" i="1"/>
  <c r="L1105" i="1"/>
  <c r="N1105" i="1" s="1"/>
  <c r="K1105" i="1"/>
  <c r="M1105" i="1" s="1"/>
  <c r="O1105" i="1" s="1"/>
  <c r="E1105" i="1"/>
  <c r="L1104" i="1"/>
  <c r="N1104" i="1" s="1"/>
  <c r="K1104" i="1"/>
  <c r="M1104" i="1" s="1"/>
  <c r="O1104" i="1" s="1"/>
  <c r="E1104" i="1"/>
  <c r="L1103" i="1"/>
  <c r="N1103" i="1" s="1"/>
  <c r="K1103" i="1"/>
  <c r="M1103" i="1" s="1"/>
  <c r="O1103" i="1" s="1"/>
  <c r="E1103" i="1"/>
  <c r="M1102" i="1"/>
  <c r="O1102" i="1" s="1"/>
  <c r="L1102" i="1"/>
  <c r="N1102" i="1" s="1"/>
  <c r="K1102" i="1"/>
  <c r="E1102" i="1"/>
  <c r="L1101" i="1"/>
  <c r="N1101" i="1" s="1"/>
  <c r="K1101" i="1"/>
  <c r="M1101" i="1" s="1"/>
  <c r="O1101" i="1" s="1"/>
  <c r="E1101" i="1"/>
  <c r="L1100" i="1"/>
  <c r="N1100" i="1" s="1"/>
  <c r="K1100" i="1"/>
  <c r="M1100" i="1" s="1"/>
  <c r="O1100" i="1" s="1"/>
  <c r="E1100" i="1"/>
  <c r="L1099" i="1"/>
  <c r="N1099" i="1" s="1"/>
  <c r="K1099" i="1"/>
  <c r="M1099" i="1" s="1"/>
  <c r="O1099" i="1" s="1"/>
  <c r="E1099" i="1"/>
  <c r="L1098" i="1"/>
  <c r="N1098" i="1" s="1"/>
  <c r="K1098" i="1"/>
  <c r="M1098" i="1" s="1"/>
  <c r="O1098" i="1" s="1"/>
  <c r="E1098" i="1"/>
  <c r="E1097" i="1"/>
  <c r="E1096" i="1"/>
  <c r="M1095" i="1"/>
  <c r="O1095" i="1" s="1"/>
  <c r="L1095" i="1"/>
  <c r="N1095" i="1" s="1"/>
  <c r="E1095" i="1"/>
  <c r="M1094" i="1"/>
  <c r="O1094" i="1" s="1"/>
  <c r="L1094" i="1"/>
  <c r="N1094" i="1" s="1"/>
  <c r="E1094" i="1"/>
  <c r="M1093" i="1"/>
  <c r="O1093" i="1" s="1"/>
  <c r="L1093" i="1"/>
  <c r="N1093" i="1" s="1"/>
  <c r="E1093" i="1"/>
  <c r="M1092" i="1"/>
  <c r="O1092" i="1" s="1"/>
  <c r="L1092" i="1"/>
  <c r="N1092" i="1" s="1"/>
  <c r="E1092" i="1"/>
  <c r="M1091" i="1"/>
  <c r="O1091" i="1" s="1"/>
  <c r="L1091" i="1"/>
  <c r="N1091" i="1" s="1"/>
  <c r="E1091" i="1"/>
  <c r="M1090" i="1"/>
  <c r="O1090" i="1" s="1"/>
  <c r="L1090" i="1"/>
  <c r="N1090" i="1" s="1"/>
  <c r="E1090" i="1"/>
  <c r="M1089" i="1"/>
  <c r="O1089" i="1" s="1"/>
  <c r="L1089" i="1"/>
  <c r="N1089" i="1" s="1"/>
  <c r="E1089" i="1"/>
  <c r="M1088" i="1"/>
  <c r="O1088" i="1" s="1"/>
  <c r="L1088" i="1"/>
  <c r="N1088" i="1" s="1"/>
  <c r="E1088" i="1"/>
  <c r="M1087" i="1"/>
  <c r="O1087" i="1" s="1"/>
  <c r="L1087" i="1"/>
  <c r="N1087" i="1" s="1"/>
  <c r="E1087" i="1"/>
  <c r="M1086" i="1"/>
  <c r="O1086" i="1" s="1"/>
  <c r="L1086" i="1"/>
  <c r="N1086" i="1" s="1"/>
  <c r="E1086" i="1"/>
  <c r="M1085" i="1"/>
  <c r="O1085" i="1" s="1"/>
  <c r="L1085" i="1"/>
  <c r="N1085" i="1" s="1"/>
  <c r="E1085" i="1"/>
  <c r="M1084" i="1"/>
  <c r="O1084" i="1" s="1"/>
  <c r="L1084" i="1"/>
  <c r="N1084" i="1" s="1"/>
  <c r="E1084" i="1"/>
  <c r="M1083" i="1"/>
  <c r="O1083" i="1" s="1"/>
  <c r="L1083" i="1"/>
  <c r="N1083" i="1" s="1"/>
  <c r="E1083" i="1"/>
  <c r="M1082" i="1"/>
  <c r="O1082" i="1" s="1"/>
  <c r="L1082" i="1"/>
  <c r="N1082" i="1" s="1"/>
  <c r="E1082" i="1"/>
  <c r="M1081" i="1"/>
  <c r="O1081" i="1" s="1"/>
  <c r="L1081" i="1"/>
  <c r="N1081" i="1" s="1"/>
  <c r="E1081" i="1"/>
  <c r="M1080" i="1"/>
  <c r="O1080" i="1" s="1"/>
  <c r="L1080" i="1"/>
  <c r="N1080" i="1" s="1"/>
  <c r="E1080" i="1"/>
  <c r="M1079" i="1"/>
  <c r="O1079" i="1" s="1"/>
  <c r="L1079" i="1"/>
  <c r="N1079" i="1" s="1"/>
  <c r="K1079" i="1"/>
  <c r="E1079" i="1"/>
  <c r="L1078" i="1"/>
  <c r="N1078" i="1" s="1"/>
  <c r="K1078" i="1"/>
  <c r="M1078" i="1" s="1"/>
  <c r="O1078" i="1" s="1"/>
  <c r="E1078" i="1"/>
  <c r="L1077" i="1"/>
  <c r="N1077" i="1" s="1"/>
  <c r="K1077" i="1"/>
  <c r="M1077" i="1" s="1"/>
  <c r="O1077" i="1" s="1"/>
  <c r="E1077" i="1"/>
  <c r="L1076" i="1"/>
  <c r="N1076" i="1" s="1"/>
  <c r="K1076" i="1"/>
  <c r="M1076" i="1" s="1"/>
  <c r="O1076" i="1" s="1"/>
  <c r="E1076" i="1"/>
  <c r="L1075" i="1"/>
  <c r="N1075" i="1" s="1"/>
  <c r="K1075" i="1"/>
  <c r="M1075" i="1" s="1"/>
  <c r="O1075" i="1" s="1"/>
  <c r="E1075" i="1"/>
  <c r="L1074" i="1"/>
  <c r="N1074" i="1" s="1"/>
  <c r="K1074" i="1"/>
  <c r="M1074" i="1" s="1"/>
  <c r="O1074" i="1" s="1"/>
  <c r="E1074" i="1"/>
  <c r="L1073" i="1"/>
  <c r="N1073" i="1" s="1"/>
  <c r="K1073" i="1"/>
  <c r="M1073" i="1" s="1"/>
  <c r="O1073" i="1" s="1"/>
  <c r="E1073" i="1"/>
  <c r="L1072" i="1"/>
  <c r="N1072" i="1" s="1"/>
  <c r="K1072" i="1"/>
  <c r="M1072" i="1" s="1"/>
  <c r="O1072" i="1" s="1"/>
  <c r="E1072" i="1"/>
  <c r="L1071" i="1"/>
  <c r="N1071" i="1" s="1"/>
  <c r="K1071" i="1"/>
  <c r="M1071" i="1" s="1"/>
  <c r="O1071" i="1" s="1"/>
  <c r="E1071" i="1"/>
  <c r="L1070" i="1"/>
  <c r="N1070" i="1" s="1"/>
  <c r="K1070" i="1"/>
  <c r="M1070" i="1" s="1"/>
  <c r="O1070" i="1" s="1"/>
  <c r="E1070" i="1"/>
  <c r="L1069" i="1"/>
  <c r="N1069" i="1" s="1"/>
  <c r="K1069" i="1"/>
  <c r="M1069" i="1" s="1"/>
  <c r="O1069" i="1" s="1"/>
  <c r="E1069" i="1"/>
  <c r="L1068" i="1"/>
  <c r="N1068" i="1" s="1"/>
  <c r="K1068" i="1"/>
  <c r="M1068" i="1" s="1"/>
  <c r="O1068" i="1" s="1"/>
  <c r="E1068" i="1"/>
  <c r="L1067" i="1"/>
  <c r="N1067" i="1" s="1"/>
  <c r="K1067" i="1"/>
  <c r="M1067" i="1" s="1"/>
  <c r="O1067" i="1" s="1"/>
  <c r="E1067" i="1"/>
  <c r="L1066" i="1"/>
  <c r="N1066" i="1" s="1"/>
  <c r="K1066" i="1"/>
  <c r="M1066" i="1" s="1"/>
  <c r="O1066" i="1" s="1"/>
  <c r="E1066" i="1"/>
  <c r="L1065" i="1"/>
  <c r="N1065" i="1" s="1"/>
  <c r="K1065" i="1"/>
  <c r="M1065" i="1" s="1"/>
  <c r="O1065" i="1" s="1"/>
  <c r="E1065" i="1"/>
  <c r="L1064" i="1"/>
  <c r="N1064" i="1" s="1"/>
  <c r="K1064" i="1"/>
  <c r="M1064" i="1" s="1"/>
  <c r="O1064" i="1" s="1"/>
  <c r="E1064" i="1"/>
  <c r="L1063" i="1"/>
  <c r="N1063" i="1" s="1"/>
  <c r="K1063" i="1"/>
  <c r="M1063" i="1" s="1"/>
  <c r="O1063" i="1" s="1"/>
  <c r="E1063" i="1"/>
  <c r="L1062" i="1"/>
  <c r="N1062" i="1" s="1"/>
  <c r="K1062" i="1"/>
  <c r="M1062" i="1" s="1"/>
  <c r="O1062" i="1" s="1"/>
  <c r="E1062" i="1"/>
  <c r="M1061" i="1"/>
  <c r="O1061" i="1" s="1"/>
  <c r="L1061" i="1"/>
  <c r="N1061" i="1" s="1"/>
  <c r="K1061" i="1"/>
  <c r="E1061" i="1"/>
  <c r="L1060" i="1"/>
  <c r="N1060" i="1" s="1"/>
  <c r="K1060" i="1"/>
  <c r="M1060" i="1" s="1"/>
  <c r="O1060" i="1" s="1"/>
  <c r="E1060" i="1"/>
  <c r="L1059" i="1"/>
  <c r="N1059" i="1" s="1"/>
  <c r="K1059" i="1"/>
  <c r="M1059" i="1" s="1"/>
  <c r="O1059" i="1" s="1"/>
  <c r="E1059" i="1"/>
  <c r="L1058" i="1"/>
  <c r="N1058" i="1" s="1"/>
  <c r="K1058" i="1"/>
  <c r="M1058" i="1" s="1"/>
  <c r="O1058" i="1" s="1"/>
  <c r="E1058" i="1"/>
  <c r="L1057" i="1"/>
  <c r="N1057" i="1" s="1"/>
  <c r="K1057" i="1"/>
  <c r="M1057" i="1" s="1"/>
  <c r="O1057" i="1" s="1"/>
  <c r="E1057" i="1"/>
  <c r="L1056" i="1"/>
  <c r="N1056" i="1" s="1"/>
  <c r="K1056" i="1"/>
  <c r="M1056" i="1" s="1"/>
  <c r="O1056" i="1" s="1"/>
  <c r="E1056" i="1"/>
  <c r="L1055" i="1"/>
  <c r="N1055" i="1" s="1"/>
  <c r="K1055" i="1"/>
  <c r="M1055" i="1" s="1"/>
  <c r="O1055" i="1" s="1"/>
  <c r="E1055" i="1"/>
  <c r="M1054" i="1"/>
  <c r="O1054" i="1" s="1"/>
  <c r="L1054" i="1"/>
  <c r="N1054" i="1" s="1"/>
  <c r="K1054" i="1"/>
  <c r="E1054" i="1"/>
  <c r="L1053" i="1"/>
  <c r="N1053" i="1" s="1"/>
  <c r="K1053" i="1"/>
  <c r="M1053" i="1" s="1"/>
  <c r="O1053" i="1" s="1"/>
  <c r="E1053" i="1"/>
  <c r="M1052" i="1"/>
  <c r="O1052" i="1" s="1"/>
  <c r="L1052" i="1"/>
  <c r="N1052" i="1" s="1"/>
  <c r="K1052" i="1"/>
  <c r="E1052" i="1"/>
  <c r="L1051" i="1"/>
  <c r="N1051" i="1" s="1"/>
  <c r="K1051" i="1"/>
  <c r="M1051" i="1" s="1"/>
  <c r="O1051" i="1" s="1"/>
  <c r="E1051" i="1"/>
  <c r="L1050" i="1"/>
  <c r="N1050" i="1" s="1"/>
  <c r="K1050" i="1"/>
  <c r="M1050" i="1" s="1"/>
  <c r="O1050" i="1" s="1"/>
  <c r="E1050" i="1"/>
  <c r="M1049" i="1"/>
  <c r="O1049" i="1" s="1"/>
  <c r="L1049" i="1"/>
  <c r="N1049" i="1" s="1"/>
  <c r="K1049" i="1"/>
  <c r="E1049" i="1"/>
  <c r="M1048" i="1"/>
  <c r="O1048" i="1" s="1"/>
  <c r="L1048" i="1"/>
  <c r="N1048" i="1" s="1"/>
  <c r="K1048" i="1"/>
  <c r="E1048" i="1"/>
  <c r="L1047" i="1"/>
  <c r="N1047" i="1" s="1"/>
  <c r="K1047" i="1"/>
  <c r="M1047" i="1" s="1"/>
  <c r="O1047" i="1" s="1"/>
  <c r="E1047" i="1"/>
  <c r="L1046" i="1"/>
  <c r="N1046" i="1" s="1"/>
  <c r="K1046" i="1"/>
  <c r="M1046" i="1" s="1"/>
  <c r="O1046" i="1" s="1"/>
  <c r="E1046" i="1"/>
  <c r="M1045" i="1"/>
  <c r="O1045" i="1" s="1"/>
  <c r="L1045" i="1"/>
  <c r="N1045" i="1" s="1"/>
  <c r="K1045" i="1"/>
  <c r="E1045" i="1"/>
  <c r="L1044" i="1"/>
  <c r="N1044" i="1" s="1"/>
  <c r="K1044" i="1"/>
  <c r="M1044" i="1" s="1"/>
  <c r="O1044" i="1" s="1"/>
  <c r="E1044" i="1"/>
  <c r="M1043" i="1"/>
  <c r="O1043" i="1" s="1"/>
  <c r="L1043" i="1"/>
  <c r="N1043" i="1" s="1"/>
  <c r="K1043" i="1"/>
  <c r="E1043" i="1"/>
  <c r="L1042" i="1"/>
  <c r="N1042" i="1" s="1"/>
  <c r="K1042" i="1"/>
  <c r="M1042" i="1" s="1"/>
  <c r="O1042" i="1" s="1"/>
  <c r="E1042" i="1"/>
  <c r="L1041" i="1"/>
  <c r="N1041" i="1" s="1"/>
  <c r="K1041" i="1"/>
  <c r="M1041" i="1" s="1"/>
  <c r="O1041" i="1" s="1"/>
  <c r="E1041" i="1"/>
  <c r="M1040" i="1"/>
  <c r="O1040" i="1" s="1"/>
  <c r="L1040" i="1"/>
  <c r="N1040" i="1" s="1"/>
  <c r="K1040" i="1"/>
  <c r="E1040" i="1"/>
  <c r="L1039" i="1"/>
  <c r="N1039" i="1" s="1"/>
  <c r="K1039" i="1"/>
  <c r="M1039" i="1" s="1"/>
  <c r="O1039" i="1" s="1"/>
  <c r="E1039" i="1"/>
  <c r="L1038" i="1"/>
  <c r="N1038" i="1" s="1"/>
  <c r="K1038" i="1"/>
  <c r="M1038" i="1" s="1"/>
  <c r="O1038" i="1" s="1"/>
  <c r="E1038" i="1"/>
  <c r="L1037" i="1"/>
  <c r="N1037" i="1" s="1"/>
  <c r="K1037" i="1"/>
  <c r="M1037" i="1" s="1"/>
  <c r="O1037" i="1" s="1"/>
  <c r="E1037" i="1"/>
  <c r="M1036" i="1"/>
  <c r="O1036" i="1" s="1"/>
  <c r="L1036" i="1"/>
  <c r="N1036" i="1" s="1"/>
  <c r="K1036" i="1"/>
  <c r="E1036" i="1"/>
  <c r="L1035" i="1"/>
  <c r="N1035" i="1" s="1"/>
  <c r="K1035" i="1"/>
  <c r="M1035" i="1" s="1"/>
  <c r="O1035" i="1" s="1"/>
  <c r="E1035" i="1"/>
  <c r="M1034" i="1"/>
  <c r="O1034" i="1" s="1"/>
  <c r="L1034" i="1"/>
  <c r="N1034" i="1" s="1"/>
  <c r="K1034" i="1"/>
  <c r="E1034" i="1"/>
  <c r="L1033" i="1"/>
  <c r="N1033" i="1" s="1"/>
  <c r="K1033" i="1"/>
  <c r="M1033" i="1" s="1"/>
  <c r="O1033" i="1" s="1"/>
  <c r="E1033" i="1"/>
  <c r="L1032" i="1"/>
  <c r="N1032" i="1" s="1"/>
  <c r="K1032" i="1"/>
  <c r="M1032" i="1" s="1"/>
  <c r="O1032" i="1" s="1"/>
  <c r="E1032" i="1"/>
  <c r="M1031" i="1"/>
  <c r="O1031" i="1" s="1"/>
  <c r="L1031" i="1"/>
  <c r="N1031" i="1" s="1"/>
  <c r="K1031" i="1"/>
  <c r="E1031" i="1"/>
  <c r="L1030" i="1"/>
  <c r="N1030" i="1" s="1"/>
  <c r="K1030" i="1"/>
  <c r="M1030" i="1" s="1"/>
  <c r="O1030" i="1" s="1"/>
  <c r="E1030" i="1"/>
  <c r="L1029" i="1"/>
  <c r="N1029" i="1" s="1"/>
  <c r="K1029" i="1"/>
  <c r="M1029" i="1" s="1"/>
  <c r="O1029" i="1" s="1"/>
  <c r="E1029" i="1"/>
  <c r="L1028" i="1"/>
  <c r="N1028" i="1" s="1"/>
  <c r="K1028" i="1"/>
  <c r="M1028" i="1" s="1"/>
  <c r="O1028" i="1" s="1"/>
  <c r="E1028" i="1"/>
  <c r="L1027" i="1"/>
  <c r="N1027" i="1" s="1"/>
  <c r="K1027" i="1"/>
  <c r="M1027" i="1" s="1"/>
  <c r="O1027" i="1" s="1"/>
  <c r="E1027" i="1"/>
  <c r="L1026" i="1"/>
  <c r="N1026" i="1" s="1"/>
  <c r="K1026" i="1"/>
  <c r="M1026" i="1" s="1"/>
  <c r="O1026" i="1" s="1"/>
  <c r="E1026" i="1"/>
  <c r="M1025" i="1"/>
  <c r="O1025" i="1" s="1"/>
  <c r="L1025" i="1"/>
  <c r="N1025" i="1" s="1"/>
  <c r="K1025" i="1"/>
  <c r="E1025" i="1"/>
  <c r="L1024" i="1"/>
  <c r="N1024" i="1" s="1"/>
  <c r="K1024" i="1"/>
  <c r="M1024" i="1" s="1"/>
  <c r="O1024" i="1" s="1"/>
  <c r="E1024" i="1"/>
  <c r="L1023" i="1"/>
  <c r="N1023" i="1" s="1"/>
  <c r="K1023" i="1"/>
  <c r="M1023" i="1" s="1"/>
  <c r="O1023" i="1" s="1"/>
  <c r="E1023" i="1"/>
  <c r="L1022" i="1"/>
  <c r="N1022" i="1" s="1"/>
  <c r="K1022" i="1"/>
  <c r="M1022" i="1" s="1"/>
  <c r="O1022" i="1" s="1"/>
  <c r="E1022" i="1"/>
  <c r="L1021" i="1"/>
  <c r="N1021" i="1" s="1"/>
  <c r="K1021" i="1"/>
  <c r="M1021" i="1" s="1"/>
  <c r="O1021" i="1" s="1"/>
  <c r="E1021" i="1"/>
  <c r="L1020" i="1"/>
  <c r="N1020" i="1" s="1"/>
  <c r="K1020" i="1"/>
  <c r="M1020" i="1" s="1"/>
  <c r="O1020" i="1" s="1"/>
  <c r="E1020" i="1"/>
  <c r="M1019" i="1"/>
  <c r="O1019" i="1" s="1"/>
  <c r="L1019" i="1"/>
  <c r="N1019" i="1" s="1"/>
  <c r="K1019" i="1"/>
  <c r="E1019" i="1"/>
  <c r="L1018" i="1"/>
  <c r="N1018" i="1" s="1"/>
  <c r="K1018" i="1"/>
  <c r="M1018" i="1" s="1"/>
  <c r="O1018" i="1" s="1"/>
  <c r="E1018" i="1"/>
  <c r="L1017" i="1"/>
  <c r="N1017" i="1" s="1"/>
  <c r="K1017" i="1"/>
  <c r="M1017" i="1" s="1"/>
  <c r="O1017" i="1" s="1"/>
  <c r="E1017" i="1"/>
  <c r="E1016" i="1"/>
  <c r="M1015" i="1"/>
  <c r="O1015" i="1" s="1"/>
  <c r="L1015" i="1"/>
  <c r="N1015" i="1" s="1"/>
  <c r="E1015" i="1"/>
  <c r="M1014" i="1"/>
  <c r="O1014" i="1" s="1"/>
  <c r="L1014" i="1"/>
  <c r="N1014" i="1" s="1"/>
  <c r="E1014" i="1"/>
  <c r="M1013" i="1"/>
  <c r="O1013" i="1" s="1"/>
  <c r="L1013" i="1"/>
  <c r="N1013" i="1" s="1"/>
  <c r="K1013" i="1"/>
  <c r="E1013" i="1"/>
  <c r="L1012" i="1"/>
  <c r="N1012" i="1" s="1"/>
  <c r="K1012" i="1"/>
  <c r="M1012" i="1" s="1"/>
  <c r="O1012" i="1" s="1"/>
  <c r="E1012" i="1"/>
  <c r="L1011" i="1"/>
  <c r="N1011" i="1" s="1"/>
  <c r="K1011" i="1"/>
  <c r="M1011" i="1" s="1"/>
  <c r="O1011" i="1" s="1"/>
  <c r="E1011" i="1"/>
  <c r="L1010" i="1"/>
  <c r="N1010" i="1" s="1"/>
  <c r="K1010" i="1"/>
  <c r="M1010" i="1" s="1"/>
  <c r="O1010" i="1" s="1"/>
  <c r="E1010" i="1"/>
  <c r="M1009" i="1"/>
  <c r="O1009" i="1" s="1"/>
  <c r="L1009" i="1"/>
  <c r="N1009" i="1" s="1"/>
  <c r="K1009" i="1"/>
  <c r="E1009" i="1"/>
  <c r="E1008" i="1"/>
  <c r="E1007" i="1"/>
  <c r="M1006" i="1"/>
  <c r="O1006" i="1" s="1"/>
  <c r="L1006" i="1"/>
  <c r="N1006" i="1" s="1"/>
  <c r="E1006" i="1"/>
  <c r="M1005" i="1"/>
  <c r="O1005" i="1" s="1"/>
  <c r="L1005" i="1"/>
  <c r="N1005" i="1" s="1"/>
  <c r="E1005" i="1"/>
  <c r="M1004" i="1"/>
  <c r="O1004" i="1" s="1"/>
  <c r="L1004" i="1"/>
  <c r="N1004" i="1" s="1"/>
  <c r="E1004" i="1"/>
  <c r="M1003" i="1"/>
  <c r="O1003" i="1" s="1"/>
  <c r="L1003" i="1"/>
  <c r="N1003" i="1" s="1"/>
  <c r="E1003" i="1"/>
  <c r="M1002" i="1"/>
  <c r="O1002" i="1" s="1"/>
  <c r="L1002" i="1"/>
  <c r="N1002" i="1" s="1"/>
  <c r="E1002" i="1"/>
  <c r="M1001" i="1"/>
  <c r="O1001" i="1" s="1"/>
  <c r="L1001" i="1"/>
  <c r="N1001" i="1" s="1"/>
  <c r="E1001" i="1"/>
  <c r="E1000" i="1"/>
  <c r="M999" i="1"/>
  <c r="O999" i="1" s="1"/>
  <c r="L999" i="1"/>
  <c r="N999" i="1" s="1"/>
  <c r="E999" i="1"/>
  <c r="M998" i="1"/>
  <c r="O998" i="1" s="1"/>
  <c r="L998" i="1"/>
  <c r="N998" i="1" s="1"/>
  <c r="M997" i="1"/>
  <c r="O997" i="1" s="1"/>
  <c r="L997" i="1"/>
  <c r="N997" i="1" s="1"/>
  <c r="M996" i="1"/>
  <c r="O996" i="1" s="1"/>
  <c r="L996" i="1"/>
  <c r="N996" i="1" s="1"/>
  <c r="M995" i="1"/>
  <c r="O995" i="1" s="1"/>
  <c r="L995" i="1"/>
  <c r="N995" i="1" s="1"/>
  <c r="M994" i="1"/>
  <c r="O994" i="1" s="1"/>
  <c r="L994" i="1"/>
  <c r="N994" i="1" s="1"/>
  <c r="M993" i="1"/>
  <c r="O993" i="1" s="1"/>
  <c r="L993" i="1"/>
  <c r="N993" i="1" s="1"/>
  <c r="M992" i="1"/>
  <c r="O992" i="1" s="1"/>
  <c r="L992" i="1"/>
  <c r="N992" i="1" s="1"/>
  <c r="M991" i="1"/>
  <c r="O991" i="1" s="1"/>
  <c r="L991" i="1"/>
  <c r="N991" i="1" s="1"/>
  <c r="M990" i="1"/>
  <c r="O990" i="1" s="1"/>
  <c r="L990" i="1"/>
  <c r="N990" i="1" s="1"/>
  <c r="M989" i="1"/>
  <c r="O989" i="1" s="1"/>
  <c r="L989" i="1"/>
  <c r="N989" i="1" s="1"/>
  <c r="M988" i="1"/>
  <c r="O988" i="1" s="1"/>
  <c r="L988" i="1"/>
  <c r="N988" i="1" s="1"/>
  <c r="M987" i="1"/>
  <c r="O987" i="1" s="1"/>
  <c r="L987" i="1"/>
  <c r="N987" i="1" s="1"/>
  <c r="M986" i="1"/>
  <c r="O986" i="1" s="1"/>
  <c r="L986" i="1"/>
  <c r="N986" i="1" s="1"/>
  <c r="M985" i="1"/>
  <c r="O985" i="1" s="1"/>
  <c r="L985" i="1"/>
  <c r="N985" i="1" s="1"/>
  <c r="M984" i="1"/>
  <c r="O984" i="1" s="1"/>
  <c r="L984" i="1"/>
  <c r="N984" i="1" s="1"/>
  <c r="M983" i="1"/>
  <c r="O983" i="1" s="1"/>
  <c r="L983" i="1"/>
  <c r="N983" i="1" s="1"/>
  <c r="M982" i="1"/>
  <c r="O982" i="1" s="1"/>
  <c r="L982" i="1"/>
  <c r="N982" i="1" s="1"/>
  <c r="M981" i="1"/>
  <c r="O981" i="1" s="1"/>
  <c r="L981" i="1"/>
  <c r="N981" i="1" s="1"/>
  <c r="M980" i="1"/>
  <c r="O980" i="1" s="1"/>
  <c r="L980" i="1"/>
  <c r="N980" i="1" s="1"/>
  <c r="M979" i="1"/>
  <c r="O979" i="1" s="1"/>
  <c r="L979" i="1"/>
  <c r="N979" i="1" s="1"/>
  <c r="M978" i="1"/>
  <c r="O978" i="1" s="1"/>
  <c r="L978" i="1"/>
  <c r="N978" i="1" s="1"/>
  <c r="M977" i="1"/>
  <c r="O977" i="1" s="1"/>
  <c r="L977" i="1"/>
  <c r="N977" i="1" s="1"/>
  <c r="M976" i="1"/>
  <c r="O976" i="1" s="1"/>
  <c r="L976" i="1"/>
  <c r="N976" i="1" s="1"/>
  <c r="M975" i="1"/>
  <c r="O975" i="1" s="1"/>
  <c r="L975" i="1"/>
  <c r="N975" i="1" s="1"/>
  <c r="M974" i="1"/>
  <c r="O974" i="1" s="1"/>
  <c r="L974" i="1"/>
  <c r="N974" i="1" s="1"/>
  <c r="M973" i="1"/>
  <c r="O973" i="1" s="1"/>
  <c r="L973" i="1"/>
  <c r="N973" i="1" s="1"/>
  <c r="M972" i="1"/>
  <c r="O972" i="1" s="1"/>
  <c r="L972" i="1"/>
  <c r="N972" i="1" s="1"/>
  <c r="M971" i="1"/>
  <c r="O971" i="1" s="1"/>
  <c r="L971" i="1"/>
  <c r="N971" i="1" s="1"/>
  <c r="M970" i="1"/>
  <c r="O970" i="1" s="1"/>
  <c r="L970" i="1"/>
  <c r="N970" i="1" s="1"/>
  <c r="M969" i="1"/>
  <c r="O969" i="1" s="1"/>
  <c r="L969" i="1"/>
  <c r="N969" i="1" s="1"/>
  <c r="M968" i="1"/>
  <c r="O968" i="1" s="1"/>
  <c r="L968" i="1"/>
  <c r="N968" i="1" s="1"/>
  <c r="M967" i="1"/>
  <c r="O967" i="1" s="1"/>
  <c r="L967" i="1"/>
  <c r="N967" i="1" s="1"/>
  <c r="M966" i="1"/>
  <c r="O966" i="1" s="1"/>
  <c r="L966" i="1"/>
  <c r="N966" i="1" s="1"/>
  <c r="M965" i="1"/>
  <c r="O965" i="1" s="1"/>
  <c r="L965" i="1"/>
  <c r="N965" i="1" s="1"/>
  <c r="M964" i="1"/>
  <c r="O964" i="1" s="1"/>
  <c r="L964" i="1"/>
  <c r="N964" i="1" s="1"/>
  <c r="M963" i="1"/>
  <c r="O963" i="1" s="1"/>
  <c r="L963" i="1"/>
  <c r="N963" i="1" s="1"/>
  <c r="M962" i="1"/>
  <c r="O962" i="1" s="1"/>
  <c r="L962" i="1"/>
  <c r="N962" i="1" s="1"/>
  <c r="M961" i="1"/>
  <c r="O961" i="1" s="1"/>
  <c r="L961" i="1"/>
  <c r="N961" i="1" s="1"/>
  <c r="M960" i="1"/>
  <c r="O960" i="1" s="1"/>
  <c r="L960" i="1"/>
  <c r="N960" i="1" s="1"/>
  <c r="M959" i="1"/>
  <c r="O959" i="1" s="1"/>
  <c r="L959" i="1"/>
  <c r="N959" i="1" s="1"/>
  <c r="M958" i="1"/>
  <c r="O958" i="1" s="1"/>
  <c r="L958" i="1"/>
  <c r="N958" i="1" s="1"/>
  <c r="M957" i="1"/>
  <c r="O957" i="1" s="1"/>
  <c r="L957" i="1"/>
  <c r="N957" i="1" s="1"/>
  <c r="M956" i="1"/>
  <c r="O956" i="1" s="1"/>
  <c r="L956" i="1"/>
  <c r="N956" i="1" s="1"/>
  <c r="M955" i="1"/>
  <c r="O955" i="1" s="1"/>
  <c r="L955" i="1"/>
  <c r="N955" i="1" s="1"/>
  <c r="M954" i="1"/>
  <c r="O954" i="1" s="1"/>
  <c r="L954" i="1"/>
  <c r="N954" i="1" s="1"/>
  <c r="M953" i="1"/>
  <c r="O953" i="1" s="1"/>
  <c r="L953" i="1"/>
  <c r="N953" i="1" s="1"/>
  <c r="M952" i="1"/>
  <c r="O952" i="1" s="1"/>
  <c r="L952" i="1"/>
  <c r="N952" i="1" s="1"/>
  <c r="M951" i="1"/>
  <c r="O951" i="1" s="1"/>
  <c r="L951" i="1"/>
  <c r="N951" i="1" s="1"/>
  <c r="M950" i="1"/>
  <c r="O950" i="1" s="1"/>
  <c r="L950" i="1"/>
  <c r="N950" i="1" s="1"/>
  <c r="M949" i="1"/>
  <c r="O949" i="1" s="1"/>
  <c r="L949" i="1"/>
  <c r="N949" i="1" s="1"/>
  <c r="M948" i="1"/>
  <c r="O948" i="1" s="1"/>
  <c r="L948" i="1"/>
  <c r="N948" i="1" s="1"/>
  <c r="M947" i="1"/>
  <c r="O947" i="1" s="1"/>
  <c r="L947" i="1"/>
  <c r="N947" i="1" s="1"/>
  <c r="M946" i="1"/>
  <c r="O946" i="1" s="1"/>
  <c r="L946" i="1"/>
  <c r="N946" i="1" s="1"/>
  <c r="M945" i="1"/>
  <c r="O945" i="1" s="1"/>
  <c r="L945" i="1"/>
  <c r="N945" i="1" s="1"/>
  <c r="M944" i="1"/>
  <c r="O944" i="1" s="1"/>
  <c r="L944" i="1"/>
  <c r="N944" i="1" s="1"/>
  <c r="M943" i="1"/>
  <c r="O943" i="1" s="1"/>
  <c r="L943" i="1"/>
  <c r="N943" i="1" s="1"/>
  <c r="M942" i="1"/>
  <c r="O942" i="1" s="1"/>
  <c r="L942" i="1"/>
  <c r="N942" i="1" s="1"/>
  <c r="M941" i="1"/>
  <c r="O941" i="1" s="1"/>
  <c r="L941" i="1"/>
  <c r="N941" i="1" s="1"/>
  <c r="M940" i="1"/>
  <c r="O940" i="1" s="1"/>
  <c r="L940" i="1"/>
  <c r="N940" i="1" s="1"/>
  <c r="M939" i="1"/>
  <c r="O939" i="1" s="1"/>
  <c r="L939" i="1"/>
  <c r="N939" i="1" s="1"/>
  <c r="M938" i="1"/>
  <c r="O938" i="1" s="1"/>
  <c r="L938" i="1"/>
  <c r="N938" i="1" s="1"/>
  <c r="M937" i="1"/>
  <c r="O937" i="1" s="1"/>
  <c r="L937" i="1"/>
  <c r="N937" i="1" s="1"/>
  <c r="M936" i="1"/>
  <c r="O936" i="1" s="1"/>
  <c r="L936" i="1"/>
  <c r="N936" i="1" s="1"/>
  <c r="M935" i="1"/>
  <c r="O935" i="1" s="1"/>
  <c r="L935" i="1"/>
  <c r="N935" i="1" s="1"/>
  <c r="M934" i="1"/>
  <c r="O934" i="1" s="1"/>
  <c r="L934" i="1"/>
  <c r="N934" i="1" s="1"/>
  <c r="M933" i="1"/>
  <c r="O933" i="1" s="1"/>
  <c r="L933" i="1"/>
  <c r="N933" i="1" s="1"/>
  <c r="M932" i="1"/>
  <c r="O932" i="1" s="1"/>
  <c r="L932" i="1"/>
  <c r="N932" i="1" s="1"/>
  <c r="D932" i="1"/>
  <c r="D933" i="1" s="1"/>
  <c r="M931" i="1"/>
  <c r="O931" i="1" s="1"/>
  <c r="L931" i="1"/>
  <c r="N931" i="1" s="1"/>
  <c r="E931" i="1"/>
  <c r="M930" i="1"/>
  <c r="O930" i="1" s="1"/>
  <c r="L930" i="1"/>
  <c r="N930" i="1" s="1"/>
  <c r="E930" i="1"/>
  <c r="M929" i="1"/>
  <c r="O929" i="1" s="1"/>
  <c r="L929" i="1"/>
  <c r="N929" i="1" s="1"/>
  <c r="E929" i="1"/>
  <c r="M928" i="1"/>
  <c r="O928" i="1" s="1"/>
  <c r="L928" i="1"/>
  <c r="N928" i="1" s="1"/>
  <c r="E928" i="1"/>
  <c r="M927" i="1"/>
  <c r="O927" i="1" s="1"/>
  <c r="L927" i="1"/>
  <c r="N927" i="1" s="1"/>
  <c r="E927" i="1"/>
  <c r="M926" i="1"/>
  <c r="O926" i="1" s="1"/>
  <c r="L926" i="1"/>
  <c r="N926" i="1" s="1"/>
  <c r="E926" i="1"/>
  <c r="M925" i="1"/>
  <c r="O925" i="1" s="1"/>
  <c r="L925" i="1"/>
  <c r="N925" i="1" s="1"/>
  <c r="E925" i="1"/>
  <c r="M924" i="1"/>
  <c r="O924" i="1" s="1"/>
  <c r="L924" i="1"/>
  <c r="N924" i="1" s="1"/>
  <c r="E924" i="1"/>
  <c r="M923" i="1"/>
  <c r="O923" i="1" s="1"/>
  <c r="L923" i="1"/>
  <c r="N923" i="1" s="1"/>
  <c r="E923" i="1"/>
  <c r="M922" i="1"/>
  <c r="O922" i="1" s="1"/>
  <c r="L922" i="1"/>
  <c r="N922" i="1" s="1"/>
  <c r="E922" i="1"/>
  <c r="M921" i="1"/>
  <c r="O921" i="1" s="1"/>
  <c r="L921" i="1"/>
  <c r="N921" i="1" s="1"/>
  <c r="E921" i="1"/>
  <c r="M920" i="1"/>
  <c r="O920" i="1" s="1"/>
  <c r="L920" i="1"/>
  <c r="N920" i="1" s="1"/>
  <c r="E920" i="1"/>
  <c r="M919" i="1"/>
  <c r="O919" i="1" s="1"/>
  <c r="L919" i="1"/>
  <c r="N919" i="1" s="1"/>
  <c r="E919" i="1"/>
  <c r="M918" i="1"/>
  <c r="O918" i="1" s="1"/>
  <c r="L918" i="1"/>
  <c r="N918" i="1" s="1"/>
  <c r="E918" i="1"/>
  <c r="M917" i="1"/>
  <c r="O917" i="1" s="1"/>
  <c r="L917" i="1"/>
  <c r="N917" i="1" s="1"/>
  <c r="E917" i="1"/>
  <c r="M916" i="1"/>
  <c r="O916" i="1" s="1"/>
  <c r="L916" i="1"/>
  <c r="N916" i="1" s="1"/>
  <c r="E916" i="1"/>
  <c r="M915" i="1"/>
  <c r="O915" i="1" s="1"/>
  <c r="L915" i="1"/>
  <c r="N915" i="1" s="1"/>
  <c r="E915" i="1"/>
  <c r="M914" i="1"/>
  <c r="O914" i="1" s="1"/>
  <c r="L914" i="1"/>
  <c r="N914" i="1" s="1"/>
  <c r="E914" i="1"/>
  <c r="M913" i="1"/>
  <c r="O913" i="1" s="1"/>
  <c r="L913" i="1"/>
  <c r="N913" i="1" s="1"/>
  <c r="E913" i="1"/>
  <c r="M912" i="1"/>
  <c r="O912" i="1" s="1"/>
  <c r="L912" i="1"/>
  <c r="N912" i="1" s="1"/>
  <c r="E912" i="1"/>
  <c r="M911" i="1"/>
  <c r="O911" i="1" s="1"/>
  <c r="L911" i="1"/>
  <c r="N911" i="1" s="1"/>
  <c r="E911" i="1"/>
  <c r="M910" i="1"/>
  <c r="O910" i="1" s="1"/>
  <c r="L910" i="1"/>
  <c r="N910" i="1" s="1"/>
  <c r="E910" i="1"/>
  <c r="M909" i="1"/>
  <c r="O909" i="1" s="1"/>
  <c r="L909" i="1"/>
  <c r="N909" i="1" s="1"/>
  <c r="E909" i="1"/>
  <c r="L908" i="1"/>
  <c r="N908" i="1" s="1"/>
  <c r="K908" i="1"/>
  <c r="M908" i="1" s="1"/>
  <c r="O908" i="1" s="1"/>
  <c r="E908" i="1"/>
  <c r="L907" i="1"/>
  <c r="N907" i="1" s="1"/>
  <c r="K907" i="1"/>
  <c r="M907" i="1" s="1"/>
  <c r="O907" i="1" s="1"/>
  <c r="E907" i="1"/>
  <c r="L906" i="1"/>
  <c r="N906" i="1" s="1"/>
  <c r="K906" i="1"/>
  <c r="M906" i="1" s="1"/>
  <c r="O906" i="1" s="1"/>
  <c r="E906" i="1"/>
  <c r="L905" i="1"/>
  <c r="N905" i="1" s="1"/>
  <c r="K905" i="1"/>
  <c r="M905" i="1" s="1"/>
  <c r="O905" i="1" s="1"/>
  <c r="E905" i="1"/>
  <c r="L904" i="1"/>
  <c r="N904" i="1" s="1"/>
  <c r="K904" i="1"/>
  <c r="M904" i="1" s="1"/>
  <c r="O904" i="1" s="1"/>
  <c r="E904" i="1"/>
  <c r="L903" i="1"/>
  <c r="N903" i="1" s="1"/>
  <c r="K903" i="1"/>
  <c r="M903" i="1" s="1"/>
  <c r="O903" i="1" s="1"/>
  <c r="E903" i="1"/>
  <c r="M902" i="1"/>
  <c r="O902" i="1" s="1"/>
  <c r="L902" i="1"/>
  <c r="N902" i="1" s="1"/>
  <c r="K902" i="1"/>
  <c r="E902" i="1"/>
  <c r="L901" i="1"/>
  <c r="N901" i="1" s="1"/>
  <c r="K901" i="1"/>
  <c r="M901" i="1" s="1"/>
  <c r="O901" i="1" s="1"/>
  <c r="E901" i="1"/>
  <c r="L900" i="1"/>
  <c r="N900" i="1" s="1"/>
  <c r="K900" i="1"/>
  <c r="M900" i="1" s="1"/>
  <c r="O900" i="1" s="1"/>
  <c r="E900" i="1"/>
  <c r="E899" i="1"/>
  <c r="E898" i="1"/>
  <c r="M897" i="1"/>
  <c r="O897" i="1" s="1"/>
  <c r="L897" i="1"/>
  <c r="N897" i="1" s="1"/>
  <c r="E897" i="1"/>
  <c r="M896" i="1"/>
  <c r="O896" i="1" s="1"/>
  <c r="L896" i="1"/>
  <c r="N896" i="1" s="1"/>
  <c r="E896" i="1"/>
  <c r="M895" i="1"/>
  <c r="O895" i="1" s="1"/>
  <c r="L895" i="1"/>
  <c r="N895" i="1" s="1"/>
  <c r="E895" i="1"/>
  <c r="M894" i="1"/>
  <c r="O894" i="1" s="1"/>
  <c r="L894" i="1"/>
  <c r="N894" i="1" s="1"/>
  <c r="E894" i="1"/>
  <c r="M893" i="1"/>
  <c r="O893" i="1" s="1"/>
  <c r="L893" i="1"/>
  <c r="N893" i="1" s="1"/>
  <c r="E893" i="1"/>
  <c r="M892" i="1"/>
  <c r="O892" i="1" s="1"/>
  <c r="L892" i="1"/>
  <c r="N892" i="1" s="1"/>
  <c r="E892" i="1"/>
  <c r="M891" i="1"/>
  <c r="O891" i="1" s="1"/>
  <c r="L891" i="1"/>
  <c r="N891" i="1" s="1"/>
  <c r="E891" i="1"/>
  <c r="M890" i="1"/>
  <c r="O890" i="1" s="1"/>
  <c r="L890" i="1"/>
  <c r="N890" i="1" s="1"/>
  <c r="E890" i="1"/>
  <c r="M889" i="1"/>
  <c r="O889" i="1" s="1"/>
  <c r="L889" i="1"/>
  <c r="N889" i="1" s="1"/>
  <c r="E889" i="1"/>
  <c r="M888" i="1"/>
  <c r="O888" i="1" s="1"/>
  <c r="L888" i="1"/>
  <c r="N888" i="1" s="1"/>
  <c r="E888" i="1"/>
  <c r="M887" i="1"/>
  <c r="O887" i="1" s="1"/>
  <c r="L887" i="1"/>
  <c r="N887" i="1" s="1"/>
  <c r="E887" i="1"/>
  <c r="M886" i="1"/>
  <c r="O886" i="1" s="1"/>
  <c r="L886" i="1"/>
  <c r="N886" i="1" s="1"/>
  <c r="E886" i="1"/>
  <c r="M885" i="1"/>
  <c r="O885" i="1" s="1"/>
  <c r="L885" i="1"/>
  <c r="N885" i="1" s="1"/>
  <c r="E885" i="1"/>
  <c r="M884" i="1"/>
  <c r="O884" i="1" s="1"/>
  <c r="L884" i="1"/>
  <c r="N884" i="1" s="1"/>
  <c r="E884" i="1"/>
  <c r="M883" i="1"/>
  <c r="O883" i="1" s="1"/>
  <c r="L883" i="1"/>
  <c r="N883" i="1" s="1"/>
  <c r="E883" i="1"/>
  <c r="M882" i="1"/>
  <c r="O882" i="1" s="1"/>
  <c r="L882" i="1"/>
  <c r="N882" i="1" s="1"/>
  <c r="E882" i="1"/>
  <c r="M881" i="1"/>
  <c r="O881" i="1" s="1"/>
  <c r="L881" i="1"/>
  <c r="N881" i="1" s="1"/>
  <c r="E881" i="1"/>
  <c r="M880" i="1"/>
  <c r="O880" i="1" s="1"/>
  <c r="L880" i="1"/>
  <c r="N880" i="1" s="1"/>
  <c r="E880" i="1"/>
  <c r="M879" i="1"/>
  <c r="O879" i="1" s="1"/>
  <c r="L879" i="1"/>
  <c r="N879" i="1" s="1"/>
  <c r="E879" i="1"/>
  <c r="M878" i="1"/>
  <c r="O878" i="1" s="1"/>
  <c r="L878" i="1"/>
  <c r="N878" i="1" s="1"/>
  <c r="E878" i="1"/>
  <c r="M877" i="1"/>
  <c r="O877" i="1" s="1"/>
  <c r="L877" i="1"/>
  <c r="N877" i="1" s="1"/>
  <c r="E877" i="1"/>
  <c r="M876" i="1"/>
  <c r="O876" i="1" s="1"/>
  <c r="L876" i="1"/>
  <c r="N876" i="1" s="1"/>
  <c r="E876" i="1"/>
  <c r="M875" i="1"/>
  <c r="O875" i="1" s="1"/>
  <c r="L875" i="1"/>
  <c r="N875" i="1" s="1"/>
  <c r="E875" i="1"/>
  <c r="M874" i="1"/>
  <c r="O874" i="1" s="1"/>
  <c r="L874" i="1"/>
  <c r="N874" i="1" s="1"/>
  <c r="E874" i="1"/>
  <c r="M873" i="1"/>
  <c r="O873" i="1" s="1"/>
  <c r="L873" i="1"/>
  <c r="N873" i="1" s="1"/>
  <c r="E873" i="1"/>
  <c r="M872" i="1"/>
  <c r="O872" i="1" s="1"/>
  <c r="L872" i="1"/>
  <c r="N872" i="1" s="1"/>
  <c r="E872" i="1"/>
  <c r="M871" i="1"/>
  <c r="O871" i="1" s="1"/>
  <c r="L871" i="1"/>
  <c r="N871" i="1" s="1"/>
  <c r="E871" i="1"/>
  <c r="M870" i="1"/>
  <c r="O870" i="1" s="1"/>
  <c r="L870" i="1"/>
  <c r="N870" i="1" s="1"/>
  <c r="E870" i="1"/>
  <c r="M869" i="1"/>
  <c r="O869" i="1" s="1"/>
  <c r="L869" i="1"/>
  <c r="N869" i="1" s="1"/>
  <c r="E869" i="1"/>
  <c r="M868" i="1"/>
  <c r="O868" i="1" s="1"/>
  <c r="L868" i="1"/>
  <c r="N868" i="1" s="1"/>
  <c r="E868" i="1"/>
  <c r="M867" i="1"/>
  <c r="O867" i="1" s="1"/>
  <c r="L867" i="1"/>
  <c r="N867" i="1" s="1"/>
  <c r="E867" i="1"/>
  <c r="M866" i="1"/>
  <c r="O866" i="1" s="1"/>
  <c r="L866" i="1"/>
  <c r="N866" i="1" s="1"/>
  <c r="E866" i="1"/>
  <c r="M865" i="1"/>
  <c r="O865" i="1" s="1"/>
  <c r="L865" i="1"/>
  <c r="N865" i="1" s="1"/>
  <c r="E865" i="1"/>
  <c r="M864" i="1"/>
  <c r="O864" i="1" s="1"/>
  <c r="L864" i="1"/>
  <c r="N864" i="1" s="1"/>
  <c r="E864" i="1"/>
  <c r="M863" i="1"/>
  <c r="O863" i="1" s="1"/>
  <c r="L863" i="1"/>
  <c r="N863" i="1" s="1"/>
  <c r="E863" i="1"/>
  <c r="M862" i="1"/>
  <c r="O862" i="1" s="1"/>
  <c r="L862" i="1"/>
  <c r="N862" i="1" s="1"/>
  <c r="E862" i="1"/>
  <c r="M861" i="1"/>
  <c r="O861" i="1" s="1"/>
  <c r="L861" i="1"/>
  <c r="N861" i="1" s="1"/>
  <c r="E861" i="1"/>
  <c r="M860" i="1"/>
  <c r="O860" i="1" s="1"/>
  <c r="L860" i="1"/>
  <c r="N860" i="1" s="1"/>
  <c r="E860" i="1"/>
  <c r="M859" i="1"/>
  <c r="O859" i="1" s="1"/>
  <c r="L859" i="1"/>
  <c r="N859" i="1" s="1"/>
  <c r="E859" i="1"/>
  <c r="M858" i="1"/>
  <c r="O858" i="1" s="1"/>
  <c r="L858" i="1"/>
  <c r="N858" i="1" s="1"/>
  <c r="E858" i="1"/>
  <c r="M857" i="1"/>
  <c r="O857" i="1" s="1"/>
  <c r="L857" i="1"/>
  <c r="N857" i="1" s="1"/>
  <c r="E857" i="1"/>
  <c r="M856" i="1"/>
  <c r="O856" i="1" s="1"/>
  <c r="L856" i="1"/>
  <c r="N856" i="1" s="1"/>
  <c r="E856" i="1"/>
  <c r="M855" i="1"/>
  <c r="O855" i="1" s="1"/>
  <c r="L855" i="1"/>
  <c r="N855" i="1" s="1"/>
  <c r="E855" i="1"/>
  <c r="M854" i="1"/>
  <c r="O854" i="1" s="1"/>
  <c r="L854" i="1"/>
  <c r="N854" i="1" s="1"/>
  <c r="E854" i="1"/>
  <c r="M853" i="1"/>
  <c r="O853" i="1" s="1"/>
  <c r="L853" i="1"/>
  <c r="N853" i="1" s="1"/>
  <c r="E853" i="1"/>
  <c r="M852" i="1"/>
  <c r="O852" i="1" s="1"/>
  <c r="L852" i="1"/>
  <c r="N852" i="1" s="1"/>
  <c r="E852" i="1"/>
  <c r="M851" i="1"/>
  <c r="O851" i="1" s="1"/>
  <c r="L851" i="1"/>
  <c r="N851" i="1" s="1"/>
  <c r="E851" i="1"/>
  <c r="M850" i="1"/>
  <c r="O850" i="1" s="1"/>
  <c r="L850" i="1"/>
  <c r="N850" i="1" s="1"/>
  <c r="E850" i="1"/>
  <c r="M849" i="1"/>
  <c r="O849" i="1" s="1"/>
  <c r="L849" i="1"/>
  <c r="N849" i="1" s="1"/>
  <c r="E849" i="1"/>
  <c r="M848" i="1"/>
  <c r="O848" i="1" s="1"/>
  <c r="L848" i="1"/>
  <c r="N848" i="1" s="1"/>
  <c r="E848" i="1"/>
  <c r="M847" i="1"/>
  <c r="O847" i="1" s="1"/>
  <c r="L847" i="1"/>
  <c r="N847" i="1" s="1"/>
  <c r="E847" i="1"/>
  <c r="M846" i="1"/>
  <c r="O846" i="1" s="1"/>
  <c r="L846" i="1"/>
  <c r="N846" i="1" s="1"/>
  <c r="E846" i="1"/>
  <c r="M845" i="1"/>
  <c r="O845" i="1" s="1"/>
  <c r="L845" i="1"/>
  <c r="N845" i="1" s="1"/>
  <c r="E845" i="1"/>
  <c r="M844" i="1"/>
  <c r="O844" i="1" s="1"/>
  <c r="L844" i="1"/>
  <c r="N844" i="1" s="1"/>
  <c r="E844" i="1"/>
  <c r="M843" i="1"/>
  <c r="O843" i="1" s="1"/>
  <c r="L843" i="1"/>
  <c r="N843" i="1" s="1"/>
  <c r="E843" i="1"/>
  <c r="M842" i="1"/>
  <c r="O842" i="1" s="1"/>
  <c r="L842" i="1"/>
  <c r="N842" i="1" s="1"/>
  <c r="E842" i="1"/>
  <c r="M841" i="1"/>
  <c r="O841" i="1" s="1"/>
  <c r="L841" i="1"/>
  <c r="N841" i="1" s="1"/>
  <c r="E841" i="1"/>
  <c r="M840" i="1"/>
  <c r="O840" i="1" s="1"/>
  <c r="L840" i="1"/>
  <c r="N840" i="1" s="1"/>
  <c r="E840" i="1"/>
  <c r="M839" i="1"/>
  <c r="O839" i="1" s="1"/>
  <c r="L839" i="1"/>
  <c r="N839" i="1" s="1"/>
  <c r="E839" i="1"/>
  <c r="M838" i="1"/>
  <c r="O838" i="1" s="1"/>
  <c r="L838" i="1"/>
  <c r="N838" i="1" s="1"/>
  <c r="E838" i="1"/>
  <c r="M837" i="1"/>
  <c r="O837" i="1" s="1"/>
  <c r="L837" i="1"/>
  <c r="N837" i="1" s="1"/>
  <c r="E837" i="1"/>
  <c r="M836" i="1"/>
  <c r="O836" i="1" s="1"/>
  <c r="L836" i="1"/>
  <c r="N836" i="1" s="1"/>
  <c r="E836" i="1"/>
  <c r="M835" i="1"/>
  <c r="O835" i="1" s="1"/>
  <c r="L835" i="1"/>
  <c r="N835" i="1" s="1"/>
  <c r="E835" i="1"/>
  <c r="M834" i="1"/>
  <c r="O834" i="1" s="1"/>
  <c r="L834" i="1"/>
  <c r="N834" i="1" s="1"/>
  <c r="E834" i="1"/>
  <c r="M833" i="1"/>
  <c r="O833" i="1" s="1"/>
  <c r="L833" i="1"/>
  <c r="N833" i="1" s="1"/>
  <c r="E833" i="1"/>
  <c r="M832" i="1"/>
  <c r="O832" i="1" s="1"/>
  <c r="L832" i="1"/>
  <c r="N832" i="1" s="1"/>
  <c r="E832" i="1"/>
  <c r="K831" i="1"/>
  <c r="M831" i="1" s="1"/>
  <c r="O831" i="1" s="1"/>
  <c r="J831" i="1"/>
  <c r="L831" i="1" s="1"/>
  <c r="N831" i="1" s="1"/>
  <c r="E831" i="1"/>
  <c r="M830" i="1"/>
  <c r="O830" i="1" s="1"/>
  <c r="K830" i="1"/>
  <c r="J830" i="1"/>
  <c r="L830" i="1" s="1"/>
  <c r="N830" i="1" s="1"/>
  <c r="E830" i="1"/>
  <c r="K829" i="1"/>
  <c r="M829" i="1" s="1"/>
  <c r="O829" i="1" s="1"/>
  <c r="J829" i="1"/>
  <c r="L829" i="1" s="1"/>
  <c r="N829" i="1" s="1"/>
  <c r="E829" i="1"/>
  <c r="K828" i="1"/>
  <c r="M828" i="1" s="1"/>
  <c r="O828" i="1" s="1"/>
  <c r="J828" i="1"/>
  <c r="L828" i="1" s="1"/>
  <c r="N828" i="1" s="1"/>
  <c r="E828" i="1"/>
  <c r="M827" i="1"/>
  <c r="O827" i="1" s="1"/>
  <c r="K827" i="1"/>
  <c r="J827" i="1"/>
  <c r="L827" i="1" s="1"/>
  <c r="N827" i="1" s="1"/>
  <c r="E827" i="1"/>
  <c r="K826" i="1"/>
  <c r="M826" i="1" s="1"/>
  <c r="O826" i="1" s="1"/>
  <c r="J826" i="1"/>
  <c r="L826" i="1" s="1"/>
  <c r="N826" i="1" s="1"/>
  <c r="E826" i="1"/>
  <c r="K825" i="1"/>
  <c r="M825" i="1" s="1"/>
  <c r="O825" i="1" s="1"/>
  <c r="J825" i="1"/>
  <c r="L825" i="1" s="1"/>
  <c r="N825" i="1" s="1"/>
  <c r="E825" i="1"/>
  <c r="M824" i="1"/>
  <c r="O824" i="1" s="1"/>
  <c r="K824" i="1"/>
  <c r="J824" i="1"/>
  <c r="L824" i="1" s="1"/>
  <c r="N824" i="1" s="1"/>
  <c r="E824" i="1"/>
  <c r="K823" i="1"/>
  <c r="M823" i="1" s="1"/>
  <c r="O823" i="1" s="1"/>
  <c r="J823" i="1"/>
  <c r="L823" i="1" s="1"/>
  <c r="N823" i="1" s="1"/>
  <c r="E823" i="1"/>
  <c r="K822" i="1"/>
  <c r="M822" i="1" s="1"/>
  <c r="O822" i="1" s="1"/>
  <c r="J822" i="1"/>
  <c r="L822" i="1" s="1"/>
  <c r="N822" i="1" s="1"/>
  <c r="E822" i="1"/>
  <c r="M821" i="1"/>
  <c r="O821" i="1" s="1"/>
  <c r="K821" i="1"/>
  <c r="J821" i="1"/>
  <c r="L821" i="1" s="1"/>
  <c r="N821" i="1" s="1"/>
  <c r="E821" i="1"/>
  <c r="K820" i="1"/>
  <c r="M820" i="1" s="1"/>
  <c r="O820" i="1" s="1"/>
  <c r="J820" i="1"/>
  <c r="L820" i="1" s="1"/>
  <c r="N820" i="1" s="1"/>
  <c r="E820" i="1"/>
  <c r="K819" i="1"/>
  <c r="M819" i="1" s="1"/>
  <c r="O819" i="1" s="1"/>
  <c r="J819" i="1"/>
  <c r="L819" i="1" s="1"/>
  <c r="N819" i="1" s="1"/>
  <c r="E819" i="1"/>
  <c r="M818" i="1"/>
  <c r="O818" i="1" s="1"/>
  <c r="K818" i="1"/>
  <c r="J818" i="1"/>
  <c r="L818" i="1" s="1"/>
  <c r="N818" i="1" s="1"/>
  <c r="E818" i="1"/>
  <c r="K817" i="1"/>
  <c r="M817" i="1" s="1"/>
  <c r="O817" i="1" s="1"/>
  <c r="J817" i="1"/>
  <c r="L817" i="1" s="1"/>
  <c r="N817" i="1" s="1"/>
  <c r="E817" i="1"/>
  <c r="K816" i="1"/>
  <c r="M816" i="1" s="1"/>
  <c r="O816" i="1" s="1"/>
  <c r="J816" i="1"/>
  <c r="L816" i="1" s="1"/>
  <c r="N816" i="1" s="1"/>
  <c r="E816" i="1"/>
  <c r="K815" i="1"/>
  <c r="M815" i="1" s="1"/>
  <c r="O815" i="1" s="1"/>
  <c r="J815" i="1"/>
  <c r="L815" i="1" s="1"/>
  <c r="N815" i="1" s="1"/>
  <c r="E815" i="1"/>
  <c r="K814" i="1"/>
  <c r="M814" i="1" s="1"/>
  <c r="O814" i="1" s="1"/>
  <c r="J814" i="1"/>
  <c r="L814" i="1" s="1"/>
  <c r="N814" i="1" s="1"/>
  <c r="E814" i="1"/>
  <c r="K813" i="1"/>
  <c r="M813" i="1" s="1"/>
  <c r="O813" i="1" s="1"/>
  <c r="J813" i="1"/>
  <c r="L813" i="1" s="1"/>
  <c r="N813" i="1" s="1"/>
  <c r="E813" i="1"/>
  <c r="K812" i="1"/>
  <c r="M812" i="1" s="1"/>
  <c r="O812" i="1" s="1"/>
  <c r="J812" i="1"/>
  <c r="L812" i="1" s="1"/>
  <c r="N812" i="1" s="1"/>
  <c r="E812" i="1"/>
  <c r="K811" i="1"/>
  <c r="M811" i="1" s="1"/>
  <c r="O811" i="1" s="1"/>
  <c r="J811" i="1"/>
  <c r="L811" i="1" s="1"/>
  <c r="N811" i="1" s="1"/>
  <c r="E811" i="1"/>
  <c r="K810" i="1"/>
  <c r="M810" i="1" s="1"/>
  <c r="O810" i="1" s="1"/>
  <c r="J810" i="1"/>
  <c r="L810" i="1" s="1"/>
  <c r="N810" i="1" s="1"/>
  <c r="E810" i="1"/>
  <c r="M809" i="1"/>
  <c r="O809" i="1" s="1"/>
  <c r="K809" i="1"/>
  <c r="J809" i="1"/>
  <c r="L809" i="1" s="1"/>
  <c r="N809" i="1" s="1"/>
  <c r="E809" i="1"/>
  <c r="K808" i="1"/>
  <c r="M808" i="1" s="1"/>
  <c r="O808" i="1" s="1"/>
  <c r="J808" i="1"/>
  <c r="L808" i="1" s="1"/>
  <c r="N808" i="1" s="1"/>
  <c r="E808" i="1"/>
  <c r="K807" i="1"/>
  <c r="M807" i="1" s="1"/>
  <c r="O807" i="1" s="1"/>
  <c r="J807" i="1"/>
  <c r="L807" i="1" s="1"/>
  <c r="N807" i="1" s="1"/>
  <c r="E807" i="1"/>
  <c r="M806" i="1"/>
  <c r="O806" i="1" s="1"/>
  <c r="K806" i="1"/>
  <c r="J806" i="1"/>
  <c r="L806" i="1" s="1"/>
  <c r="N806" i="1" s="1"/>
  <c r="E806" i="1"/>
  <c r="K805" i="1"/>
  <c r="M805" i="1" s="1"/>
  <c r="O805" i="1" s="1"/>
  <c r="J805" i="1"/>
  <c r="L805" i="1" s="1"/>
  <c r="N805" i="1" s="1"/>
  <c r="E805" i="1"/>
  <c r="K804" i="1"/>
  <c r="M804" i="1" s="1"/>
  <c r="O804" i="1" s="1"/>
  <c r="J804" i="1"/>
  <c r="L804" i="1" s="1"/>
  <c r="N804" i="1" s="1"/>
  <c r="E804" i="1"/>
  <c r="M803" i="1"/>
  <c r="O803" i="1" s="1"/>
  <c r="K803" i="1"/>
  <c r="J803" i="1"/>
  <c r="L803" i="1" s="1"/>
  <c r="N803" i="1" s="1"/>
  <c r="E803" i="1"/>
  <c r="K802" i="1"/>
  <c r="M802" i="1" s="1"/>
  <c r="O802" i="1" s="1"/>
  <c r="J802" i="1"/>
  <c r="L802" i="1" s="1"/>
  <c r="N802" i="1" s="1"/>
  <c r="E802" i="1"/>
  <c r="K801" i="1"/>
  <c r="M801" i="1" s="1"/>
  <c r="O801" i="1" s="1"/>
  <c r="J801" i="1"/>
  <c r="L801" i="1" s="1"/>
  <c r="N801" i="1" s="1"/>
  <c r="E801" i="1"/>
  <c r="M800" i="1"/>
  <c r="O800" i="1" s="1"/>
  <c r="K800" i="1"/>
  <c r="J800" i="1"/>
  <c r="L800" i="1" s="1"/>
  <c r="N800" i="1" s="1"/>
  <c r="E800" i="1"/>
  <c r="K799" i="1"/>
  <c r="M799" i="1" s="1"/>
  <c r="O799" i="1" s="1"/>
  <c r="J799" i="1"/>
  <c r="L799" i="1" s="1"/>
  <c r="N799" i="1" s="1"/>
  <c r="E799" i="1"/>
  <c r="L798" i="1"/>
  <c r="N798" i="1" s="1"/>
  <c r="K798" i="1"/>
  <c r="M798" i="1" s="1"/>
  <c r="O798" i="1" s="1"/>
  <c r="E798" i="1"/>
  <c r="L797" i="1"/>
  <c r="N797" i="1" s="1"/>
  <c r="K797" i="1"/>
  <c r="M797" i="1" s="1"/>
  <c r="O797" i="1" s="1"/>
  <c r="E797" i="1"/>
  <c r="L796" i="1"/>
  <c r="N796" i="1" s="1"/>
  <c r="K796" i="1"/>
  <c r="M796" i="1" s="1"/>
  <c r="O796" i="1" s="1"/>
  <c r="E796" i="1"/>
  <c r="L795" i="1"/>
  <c r="N795" i="1" s="1"/>
  <c r="K795" i="1"/>
  <c r="M795" i="1" s="1"/>
  <c r="O795" i="1" s="1"/>
  <c r="E795" i="1"/>
  <c r="L794" i="1"/>
  <c r="N794" i="1" s="1"/>
  <c r="K794" i="1"/>
  <c r="M794" i="1" s="1"/>
  <c r="O794" i="1" s="1"/>
  <c r="E794" i="1"/>
  <c r="L793" i="1"/>
  <c r="K793" i="1"/>
  <c r="M793" i="1" s="1"/>
  <c r="E793" i="1"/>
  <c r="L792" i="1"/>
  <c r="N792" i="1" s="1"/>
  <c r="K792" i="1"/>
  <c r="M792" i="1" s="1"/>
  <c r="O792" i="1" s="1"/>
  <c r="E792" i="1"/>
  <c r="M791" i="1"/>
  <c r="O791" i="1" s="1"/>
  <c r="L791" i="1"/>
  <c r="N791" i="1" s="1"/>
  <c r="K791" i="1"/>
  <c r="E791" i="1"/>
  <c r="L790" i="1"/>
  <c r="N790" i="1" s="1"/>
  <c r="K790" i="1"/>
  <c r="M790" i="1" s="1"/>
  <c r="O790" i="1" s="1"/>
  <c r="E790" i="1"/>
  <c r="L789" i="1"/>
  <c r="N789" i="1" s="1"/>
  <c r="K789" i="1"/>
  <c r="M789" i="1" s="1"/>
  <c r="O789" i="1" s="1"/>
  <c r="E789" i="1"/>
  <c r="L788" i="1"/>
  <c r="N788" i="1" s="1"/>
  <c r="K788" i="1"/>
  <c r="M788" i="1" s="1"/>
  <c r="O788" i="1" s="1"/>
  <c r="E788" i="1"/>
  <c r="L787" i="1"/>
  <c r="N787" i="1" s="1"/>
  <c r="K787" i="1"/>
  <c r="M787" i="1" s="1"/>
  <c r="O787" i="1" s="1"/>
  <c r="E787" i="1"/>
  <c r="L786" i="1"/>
  <c r="N786" i="1" s="1"/>
  <c r="K786" i="1"/>
  <c r="M786" i="1" s="1"/>
  <c r="O786" i="1" s="1"/>
  <c r="E786" i="1"/>
  <c r="L785" i="1"/>
  <c r="N785" i="1" s="1"/>
  <c r="K785" i="1"/>
  <c r="M785" i="1" s="1"/>
  <c r="O785" i="1" s="1"/>
  <c r="E785" i="1"/>
  <c r="L784" i="1"/>
  <c r="K784" i="1"/>
  <c r="M784" i="1" s="1"/>
  <c r="E784" i="1"/>
  <c r="L783" i="1"/>
  <c r="N783" i="1" s="1"/>
  <c r="K783" i="1"/>
  <c r="M783" i="1" s="1"/>
  <c r="O783" i="1" s="1"/>
  <c r="E783" i="1"/>
  <c r="L782" i="1"/>
  <c r="N782" i="1" s="1"/>
  <c r="K782" i="1"/>
  <c r="M782" i="1" s="1"/>
  <c r="O782" i="1" s="1"/>
  <c r="E782" i="1"/>
  <c r="L781" i="1"/>
  <c r="N781" i="1" s="1"/>
  <c r="K781" i="1"/>
  <c r="M781" i="1" s="1"/>
  <c r="O781" i="1" s="1"/>
  <c r="E781" i="1"/>
  <c r="M780" i="1"/>
  <c r="O780" i="1" s="1"/>
  <c r="L780" i="1"/>
  <c r="N780" i="1" s="1"/>
  <c r="K780" i="1"/>
  <c r="E780" i="1"/>
  <c r="L779" i="1"/>
  <c r="N779" i="1" s="1"/>
  <c r="K779" i="1"/>
  <c r="M779" i="1" s="1"/>
  <c r="O779" i="1" s="1"/>
  <c r="E779" i="1"/>
  <c r="L778" i="1"/>
  <c r="N778" i="1" s="1"/>
  <c r="K778" i="1"/>
  <c r="M778" i="1" s="1"/>
  <c r="O778" i="1" s="1"/>
  <c r="E778" i="1"/>
  <c r="L777" i="1"/>
  <c r="K777" i="1"/>
  <c r="M777" i="1" s="1"/>
  <c r="E777" i="1"/>
  <c r="L776" i="1"/>
  <c r="N776" i="1" s="1"/>
  <c r="K776" i="1"/>
  <c r="M776" i="1" s="1"/>
  <c r="O776" i="1" s="1"/>
  <c r="E776" i="1"/>
  <c r="L775" i="1"/>
  <c r="N775" i="1" s="1"/>
  <c r="K775" i="1"/>
  <c r="M775" i="1" s="1"/>
  <c r="O775" i="1" s="1"/>
  <c r="E775" i="1"/>
  <c r="L774" i="1"/>
  <c r="N774" i="1" s="1"/>
  <c r="K774" i="1"/>
  <c r="M774" i="1" s="1"/>
  <c r="O774" i="1" s="1"/>
  <c r="E774" i="1"/>
  <c r="M773" i="1"/>
  <c r="O773" i="1" s="1"/>
  <c r="L773" i="1"/>
  <c r="N773" i="1" s="1"/>
  <c r="E773" i="1"/>
  <c r="M772" i="1"/>
  <c r="O772" i="1" s="1"/>
  <c r="L772" i="1"/>
  <c r="N772" i="1" s="1"/>
  <c r="E772" i="1"/>
  <c r="E771" i="1"/>
  <c r="E770" i="1"/>
  <c r="M769" i="1"/>
  <c r="O769" i="1" s="1"/>
  <c r="L769" i="1"/>
  <c r="N769" i="1" s="1"/>
  <c r="E769" i="1"/>
  <c r="M768" i="1"/>
  <c r="O768" i="1" s="1"/>
  <c r="L768" i="1"/>
  <c r="N768" i="1" s="1"/>
  <c r="E768" i="1"/>
  <c r="E767" i="1"/>
  <c r="M766" i="1"/>
  <c r="O766" i="1" s="1"/>
  <c r="L766" i="1"/>
  <c r="N766" i="1" s="1"/>
  <c r="E766" i="1"/>
  <c r="M765" i="1"/>
  <c r="O765" i="1" s="1"/>
  <c r="L765" i="1"/>
  <c r="N765" i="1" s="1"/>
  <c r="E765" i="1"/>
  <c r="M764" i="1"/>
  <c r="O764" i="1" s="1"/>
  <c r="L764" i="1"/>
  <c r="N764" i="1" s="1"/>
  <c r="E764" i="1"/>
  <c r="M763" i="1"/>
  <c r="O763" i="1" s="1"/>
  <c r="L763" i="1"/>
  <c r="N763" i="1" s="1"/>
  <c r="E763" i="1"/>
  <c r="M762" i="1"/>
  <c r="O762" i="1" s="1"/>
  <c r="L762" i="1"/>
  <c r="N762" i="1" s="1"/>
  <c r="E762" i="1"/>
  <c r="M761" i="1"/>
  <c r="O761" i="1" s="1"/>
  <c r="L761" i="1"/>
  <c r="N761" i="1" s="1"/>
  <c r="E761" i="1"/>
  <c r="M760" i="1"/>
  <c r="O760" i="1" s="1"/>
  <c r="L760" i="1"/>
  <c r="N760" i="1" s="1"/>
  <c r="E760" i="1"/>
  <c r="M759" i="1"/>
  <c r="O759" i="1" s="1"/>
  <c r="L759" i="1"/>
  <c r="N759" i="1" s="1"/>
  <c r="E759" i="1"/>
  <c r="E758" i="1"/>
  <c r="M757" i="1"/>
  <c r="O757" i="1" s="1"/>
  <c r="L757" i="1"/>
  <c r="N757" i="1" s="1"/>
  <c r="E757" i="1"/>
  <c r="M756" i="1"/>
  <c r="O756" i="1" s="1"/>
  <c r="L756" i="1"/>
  <c r="N756" i="1" s="1"/>
  <c r="E756" i="1"/>
  <c r="M755" i="1"/>
  <c r="O755" i="1" s="1"/>
  <c r="L755" i="1"/>
  <c r="N755" i="1" s="1"/>
  <c r="E755" i="1"/>
  <c r="M754" i="1"/>
  <c r="O754" i="1" s="1"/>
  <c r="L754" i="1"/>
  <c r="N754" i="1" s="1"/>
  <c r="E754" i="1"/>
  <c r="M753" i="1"/>
  <c r="O753" i="1" s="1"/>
  <c r="L753" i="1"/>
  <c r="N753" i="1" s="1"/>
  <c r="E753" i="1"/>
  <c r="E752" i="1"/>
  <c r="M751" i="1"/>
  <c r="O751" i="1" s="1"/>
  <c r="L751" i="1"/>
  <c r="N751" i="1" s="1"/>
  <c r="E751" i="1"/>
  <c r="M750" i="1"/>
  <c r="O750" i="1" s="1"/>
  <c r="L750" i="1"/>
  <c r="N750" i="1" s="1"/>
  <c r="E750" i="1"/>
  <c r="M749" i="1"/>
  <c r="O749" i="1" s="1"/>
  <c r="L749" i="1"/>
  <c r="N749" i="1" s="1"/>
  <c r="E749" i="1"/>
  <c r="M748" i="1"/>
  <c r="O748" i="1" s="1"/>
  <c r="L748" i="1"/>
  <c r="N748" i="1" s="1"/>
  <c r="E748" i="1"/>
  <c r="M747" i="1"/>
  <c r="O747" i="1" s="1"/>
  <c r="L747" i="1"/>
  <c r="N747" i="1" s="1"/>
  <c r="E747" i="1"/>
  <c r="M746" i="1"/>
  <c r="O746" i="1" s="1"/>
  <c r="L746" i="1"/>
  <c r="N746" i="1" s="1"/>
  <c r="E746" i="1"/>
  <c r="M745" i="1"/>
  <c r="O745" i="1" s="1"/>
  <c r="L745" i="1"/>
  <c r="N745" i="1" s="1"/>
  <c r="E745" i="1"/>
  <c r="M744" i="1"/>
  <c r="O744" i="1" s="1"/>
  <c r="L744" i="1"/>
  <c r="N744" i="1" s="1"/>
  <c r="E744" i="1"/>
  <c r="M743" i="1"/>
  <c r="O743" i="1" s="1"/>
  <c r="L743" i="1"/>
  <c r="N743" i="1" s="1"/>
  <c r="E743" i="1"/>
  <c r="M742" i="1"/>
  <c r="O742" i="1" s="1"/>
  <c r="L742" i="1"/>
  <c r="N742" i="1" s="1"/>
  <c r="E742" i="1"/>
  <c r="M741" i="1"/>
  <c r="O741" i="1" s="1"/>
  <c r="L741" i="1"/>
  <c r="N741" i="1" s="1"/>
  <c r="E741" i="1"/>
  <c r="M740" i="1"/>
  <c r="O740" i="1" s="1"/>
  <c r="L740" i="1"/>
  <c r="N740" i="1" s="1"/>
  <c r="E740" i="1"/>
  <c r="M739" i="1"/>
  <c r="O739" i="1" s="1"/>
  <c r="L739" i="1"/>
  <c r="N739" i="1" s="1"/>
  <c r="E739" i="1"/>
  <c r="M738" i="1"/>
  <c r="O738" i="1" s="1"/>
  <c r="L738" i="1"/>
  <c r="N738" i="1" s="1"/>
  <c r="E738" i="1"/>
  <c r="M737" i="1"/>
  <c r="O737" i="1" s="1"/>
  <c r="L737" i="1"/>
  <c r="N737" i="1" s="1"/>
  <c r="E737" i="1"/>
  <c r="M736" i="1"/>
  <c r="O736" i="1" s="1"/>
  <c r="L736" i="1"/>
  <c r="N736" i="1" s="1"/>
  <c r="E736" i="1"/>
  <c r="M735" i="1"/>
  <c r="O735" i="1" s="1"/>
  <c r="L735" i="1"/>
  <c r="N735" i="1" s="1"/>
  <c r="E735" i="1"/>
  <c r="M734" i="1"/>
  <c r="O734" i="1" s="1"/>
  <c r="L734" i="1"/>
  <c r="N734" i="1" s="1"/>
  <c r="E734" i="1"/>
  <c r="M733" i="1"/>
  <c r="O733" i="1" s="1"/>
  <c r="L733" i="1"/>
  <c r="N733" i="1" s="1"/>
  <c r="E733" i="1"/>
  <c r="M732" i="1"/>
  <c r="O732" i="1" s="1"/>
  <c r="L732" i="1"/>
  <c r="N732" i="1" s="1"/>
  <c r="E732" i="1"/>
  <c r="M731" i="1"/>
  <c r="O731" i="1" s="1"/>
  <c r="L731" i="1"/>
  <c r="N731" i="1" s="1"/>
  <c r="E731" i="1"/>
  <c r="M730" i="1"/>
  <c r="O730" i="1" s="1"/>
  <c r="L730" i="1"/>
  <c r="N730" i="1" s="1"/>
  <c r="E730" i="1"/>
  <c r="M729" i="1"/>
  <c r="O729" i="1" s="1"/>
  <c r="L729" i="1"/>
  <c r="N729" i="1" s="1"/>
  <c r="E729" i="1"/>
  <c r="M728" i="1"/>
  <c r="O728" i="1" s="1"/>
  <c r="L728" i="1"/>
  <c r="N728" i="1" s="1"/>
  <c r="E728" i="1"/>
  <c r="M727" i="1"/>
  <c r="O727" i="1" s="1"/>
  <c r="L727" i="1"/>
  <c r="N727" i="1" s="1"/>
  <c r="E727" i="1"/>
  <c r="M726" i="1"/>
  <c r="O726" i="1" s="1"/>
  <c r="L726" i="1"/>
  <c r="N726" i="1" s="1"/>
  <c r="E726" i="1"/>
  <c r="M725" i="1"/>
  <c r="O725" i="1" s="1"/>
  <c r="L725" i="1"/>
  <c r="N725" i="1" s="1"/>
  <c r="E725" i="1"/>
  <c r="M724" i="1"/>
  <c r="O724" i="1" s="1"/>
  <c r="L724" i="1"/>
  <c r="N724" i="1" s="1"/>
  <c r="E724" i="1"/>
  <c r="M723" i="1"/>
  <c r="O723" i="1" s="1"/>
  <c r="L723" i="1"/>
  <c r="N723" i="1" s="1"/>
  <c r="E723" i="1"/>
  <c r="M722" i="1"/>
  <c r="O722" i="1" s="1"/>
  <c r="L722" i="1"/>
  <c r="N722" i="1" s="1"/>
  <c r="E722" i="1"/>
  <c r="M721" i="1"/>
  <c r="O721" i="1" s="1"/>
  <c r="L721" i="1"/>
  <c r="N721" i="1" s="1"/>
  <c r="E721" i="1"/>
  <c r="M720" i="1"/>
  <c r="O720" i="1" s="1"/>
  <c r="L720" i="1"/>
  <c r="N720" i="1" s="1"/>
  <c r="E720" i="1"/>
  <c r="M719" i="1"/>
  <c r="O719" i="1" s="1"/>
  <c r="L719" i="1"/>
  <c r="N719" i="1" s="1"/>
  <c r="E719" i="1"/>
  <c r="M718" i="1"/>
  <c r="O718" i="1" s="1"/>
  <c r="L718" i="1"/>
  <c r="N718" i="1" s="1"/>
  <c r="E718" i="1"/>
  <c r="M717" i="1"/>
  <c r="O717" i="1" s="1"/>
  <c r="L717" i="1"/>
  <c r="N717" i="1" s="1"/>
  <c r="E717" i="1"/>
  <c r="M716" i="1"/>
  <c r="O716" i="1" s="1"/>
  <c r="L716" i="1"/>
  <c r="N716" i="1" s="1"/>
  <c r="E716" i="1"/>
  <c r="M715" i="1"/>
  <c r="O715" i="1" s="1"/>
  <c r="L715" i="1"/>
  <c r="N715" i="1" s="1"/>
  <c r="E715" i="1"/>
  <c r="M714" i="1"/>
  <c r="O714" i="1" s="1"/>
  <c r="L714" i="1"/>
  <c r="N714" i="1" s="1"/>
  <c r="E714" i="1"/>
  <c r="M713" i="1"/>
  <c r="O713" i="1" s="1"/>
  <c r="L713" i="1"/>
  <c r="N713" i="1" s="1"/>
  <c r="E713" i="1"/>
  <c r="M712" i="1"/>
  <c r="O712" i="1" s="1"/>
  <c r="L712" i="1"/>
  <c r="N712" i="1" s="1"/>
  <c r="E712" i="1"/>
  <c r="M711" i="1"/>
  <c r="O711" i="1" s="1"/>
  <c r="L711" i="1"/>
  <c r="N711" i="1" s="1"/>
  <c r="E711" i="1"/>
  <c r="M710" i="1"/>
  <c r="O710" i="1" s="1"/>
  <c r="L710" i="1"/>
  <c r="N710" i="1" s="1"/>
  <c r="E710" i="1"/>
  <c r="M709" i="1"/>
  <c r="O709" i="1" s="1"/>
  <c r="L709" i="1"/>
  <c r="N709" i="1" s="1"/>
  <c r="E709" i="1"/>
  <c r="M708" i="1"/>
  <c r="O708" i="1" s="1"/>
  <c r="L708" i="1"/>
  <c r="N708" i="1" s="1"/>
  <c r="E708" i="1"/>
  <c r="M707" i="1"/>
  <c r="O707" i="1" s="1"/>
  <c r="L707" i="1"/>
  <c r="N707" i="1" s="1"/>
  <c r="E707" i="1"/>
  <c r="M706" i="1"/>
  <c r="O706" i="1" s="1"/>
  <c r="L706" i="1"/>
  <c r="N706" i="1" s="1"/>
  <c r="E706" i="1"/>
  <c r="M705" i="1"/>
  <c r="O705" i="1" s="1"/>
  <c r="L705" i="1"/>
  <c r="N705" i="1" s="1"/>
  <c r="E705" i="1"/>
  <c r="M704" i="1"/>
  <c r="O704" i="1" s="1"/>
  <c r="L704" i="1"/>
  <c r="N704" i="1" s="1"/>
  <c r="E704" i="1"/>
  <c r="M703" i="1"/>
  <c r="O703" i="1" s="1"/>
  <c r="L703" i="1"/>
  <c r="N703" i="1" s="1"/>
  <c r="E703" i="1"/>
  <c r="M702" i="1"/>
  <c r="O702" i="1" s="1"/>
  <c r="L702" i="1"/>
  <c r="N702" i="1" s="1"/>
  <c r="E702" i="1"/>
  <c r="M701" i="1"/>
  <c r="O701" i="1" s="1"/>
  <c r="L701" i="1"/>
  <c r="N701" i="1" s="1"/>
  <c r="E701" i="1"/>
  <c r="M700" i="1"/>
  <c r="O700" i="1" s="1"/>
  <c r="L700" i="1"/>
  <c r="N700" i="1" s="1"/>
  <c r="E700" i="1"/>
  <c r="M699" i="1"/>
  <c r="O699" i="1" s="1"/>
  <c r="L699" i="1"/>
  <c r="N699" i="1" s="1"/>
  <c r="E699" i="1"/>
  <c r="M698" i="1"/>
  <c r="O698" i="1" s="1"/>
  <c r="L698" i="1"/>
  <c r="N698" i="1" s="1"/>
  <c r="E698" i="1"/>
  <c r="M697" i="1"/>
  <c r="O697" i="1" s="1"/>
  <c r="L697" i="1"/>
  <c r="N697" i="1" s="1"/>
  <c r="E697" i="1"/>
  <c r="M696" i="1"/>
  <c r="O696" i="1" s="1"/>
  <c r="L696" i="1"/>
  <c r="N696" i="1" s="1"/>
  <c r="E696" i="1"/>
  <c r="M695" i="1"/>
  <c r="O695" i="1" s="1"/>
  <c r="L695" i="1"/>
  <c r="N695" i="1" s="1"/>
  <c r="E695" i="1"/>
  <c r="M694" i="1"/>
  <c r="O694" i="1" s="1"/>
  <c r="L694" i="1"/>
  <c r="N694" i="1" s="1"/>
  <c r="E694" i="1"/>
  <c r="M693" i="1"/>
  <c r="O693" i="1" s="1"/>
  <c r="L693" i="1"/>
  <c r="N693" i="1" s="1"/>
  <c r="E693" i="1"/>
  <c r="M692" i="1"/>
  <c r="O692" i="1" s="1"/>
  <c r="L692" i="1"/>
  <c r="N692" i="1" s="1"/>
  <c r="E692" i="1"/>
  <c r="M691" i="1"/>
  <c r="O691" i="1" s="1"/>
  <c r="L691" i="1"/>
  <c r="N691" i="1" s="1"/>
  <c r="E691" i="1"/>
  <c r="M690" i="1"/>
  <c r="O690" i="1" s="1"/>
  <c r="L690" i="1"/>
  <c r="N690" i="1" s="1"/>
  <c r="E690" i="1"/>
  <c r="M689" i="1"/>
  <c r="O689" i="1" s="1"/>
  <c r="L689" i="1"/>
  <c r="N689" i="1" s="1"/>
  <c r="E689" i="1"/>
  <c r="M688" i="1"/>
  <c r="O688" i="1" s="1"/>
  <c r="L688" i="1"/>
  <c r="N688" i="1" s="1"/>
  <c r="E688" i="1"/>
  <c r="L687" i="1"/>
  <c r="N687" i="1" s="1"/>
  <c r="K687" i="1"/>
  <c r="M687" i="1" s="1"/>
  <c r="O687" i="1" s="1"/>
  <c r="E687" i="1"/>
  <c r="L686" i="1"/>
  <c r="N686" i="1" s="1"/>
  <c r="K686" i="1"/>
  <c r="M686" i="1" s="1"/>
  <c r="O686" i="1" s="1"/>
  <c r="E686" i="1"/>
  <c r="M685" i="1"/>
  <c r="O685" i="1" s="1"/>
  <c r="L685" i="1"/>
  <c r="N685" i="1" s="1"/>
  <c r="K685" i="1"/>
  <c r="E685" i="1"/>
  <c r="M684" i="1"/>
  <c r="O684" i="1" s="1"/>
  <c r="L684" i="1"/>
  <c r="N684" i="1" s="1"/>
  <c r="E684" i="1"/>
  <c r="L683" i="1"/>
  <c r="N683" i="1" s="1"/>
  <c r="K683" i="1"/>
  <c r="M683" i="1" s="1"/>
  <c r="O683" i="1" s="1"/>
  <c r="E683" i="1"/>
  <c r="L682" i="1"/>
  <c r="N682" i="1" s="1"/>
  <c r="K682" i="1"/>
  <c r="M682" i="1" s="1"/>
  <c r="O682" i="1" s="1"/>
  <c r="E682" i="1"/>
  <c r="L681" i="1"/>
  <c r="N681" i="1" s="1"/>
  <c r="K681" i="1"/>
  <c r="M681" i="1" s="1"/>
  <c r="O681" i="1" s="1"/>
  <c r="E681" i="1"/>
  <c r="M680" i="1"/>
  <c r="O680" i="1" s="1"/>
  <c r="L680" i="1"/>
  <c r="N680" i="1" s="1"/>
  <c r="K680" i="1"/>
  <c r="E680" i="1"/>
  <c r="M679" i="1"/>
  <c r="O679" i="1" s="1"/>
  <c r="L679" i="1"/>
  <c r="N679" i="1" s="1"/>
  <c r="E679" i="1"/>
  <c r="L678" i="1"/>
  <c r="N678" i="1" s="1"/>
  <c r="K678" i="1"/>
  <c r="M678" i="1" s="1"/>
  <c r="O678" i="1" s="1"/>
  <c r="E678" i="1"/>
  <c r="L677" i="1"/>
  <c r="N677" i="1" s="1"/>
  <c r="K677" i="1"/>
  <c r="M677" i="1" s="1"/>
  <c r="O677" i="1" s="1"/>
  <c r="E677" i="1"/>
  <c r="L676" i="1"/>
  <c r="N676" i="1" s="1"/>
  <c r="K676" i="1"/>
  <c r="M676" i="1" s="1"/>
  <c r="O676" i="1" s="1"/>
  <c r="E676" i="1"/>
  <c r="L675" i="1"/>
  <c r="N675" i="1" s="1"/>
  <c r="K675" i="1"/>
  <c r="M675" i="1" s="1"/>
  <c r="O675" i="1" s="1"/>
  <c r="E675" i="1"/>
  <c r="L674" i="1"/>
  <c r="N674" i="1" s="1"/>
  <c r="K674" i="1"/>
  <c r="M674" i="1" s="1"/>
  <c r="O674" i="1" s="1"/>
  <c r="E674" i="1"/>
  <c r="L673" i="1"/>
  <c r="N673" i="1" s="1"/>
  <c r="K673" i="1"/>
  <c r="M673" i="1" s="1"/>
  <c r="O673" i="1" s="1"/>
  <c r="E673" i="1"/>
  <c r="M672" i="1"/>
  <c r="O672" i="1" s="1"/>
  <c r="L672" i="1"/>
  <c r="N672" i="1" s="1"/>
  <c r="K672" i="1"/>
  <c r="E672" i="1"/>
  <c r="M671" i="1"/>
  <c r="O671" i="1" s="1"/>
  <c r="L671" i="1"/>
  <c r="N671" i="1" s="1"/>
  <c r="K671" i="1"/>
  <c r="E671" i="1"/>
  <c r="M670" i="1"/>
  <c r="O670" i="1" s="1"/>
  <c r="L670" i="1"/>
  <c r="N670" i="1" s="1"/>
  <c r="K670" i="1"/>
  <c r="E670" i="1"/>
  <c r="M669" i="1"/>
  <c r="O669" i="1" s="1"/>
  <c r="L669" i="1"/>
  <c r="N669" i="1" s="1"/>
  <c r="K669" i="1"/>
  <c r="E669" i="1"/>
  <c r="M668" i="1"/>
  <c r="O668" i="1" s="1"/>
  <c r="L668" i="1"/>
  <c r="N668" i="1" s="1"/>
  <c r="E668" i="1"/>
  <c r="M667" i="1"/>
  <c r="O667" i="1" s="1"/>
  <c r="L667" i="1"/>
  <c r="N667" i="1" s="1"/>
  <c r="E667" i="1"/>
  <c r="M666" i="1"/>
  <c r="O666" i="1" s="1"/>
  <c r="L666" i="1"/>
  <c r="N666" i="1" s="1"/>
  <c r="E666" i="1"/>
  <c r="M665" i="1"/>
  <c r="O665" i="1" s="1"/>
  <c r="L665" i="1"/>
  <c r="N665" i="1" s="1"/>
  <c r="E665" i="1"/>
  <c r="M664" i="1"/>
  <c r="O664" i="1" s="1"/>
  <c r="L664" i="1"/>
  <c r="N664" i="1" s="1"/>
  <c r="E664" i="1"/>
  <c r="M663" i="1"/>
  <c r="O663" i="1" s="1"/>
  <c r="L663" i="1"/>
  <c r="N663" i="1" s="1"/>
  <c r="E663" i="1"/>
  <c r="M662" i="1"/>
  <c r="O662" i="1" s="1"/>
  <c r="L662" i="1"/>
  <c r="N662" i="1" s="1"/>
  <c r="E662" i="1"/>
  <c r="M661" i="1"/>
  <c r="O661" i="1" s="1"/>
  <c r="L661" i="1"/>
  <c r="N661" i="1" s="1"/>
  <c r="E661" i="1"/>
  <c r="M660" i="1"/>
  <c r="O660" i="1" s="1"/>
  <c r="L660" i="1"/>
  <c r="N660" i="1" s="1"/>
  <c r="E660" i="1"/>
  <c r="E659" i="1"/>
  <c r="E658" i="1"/>
  <c r="M657" i="1"/>
  <c r="O657" i="1" s="1"/>
  <c r="L657" i="1"/>
  <c r="N657" i="1" s="1"/>
  <c r="E657" i="1"/>
  <c r="M656" i="1"/>
  <c r="O656" i="1" s="1"/>
  <c r="L656" i="1"/>
  <c r="N656" i="1" s="1"/>
  <c r="E656" i="1"/>
  <c r="M655" i="1"/>
  <c r="O655" i="1" s="1"/>
  <c r="L655" i="1"/>
  <c r="N655" i="1" s="1"/>
  <c r="E655" i="1"/>
  <c r="M654" i="1"/>
  <c r="O654" i="1" s="1"/>
  <c r="L654" i="1"/>
  <c r="N654" i="1" s="1"/>
  <c r="E654" i="1"/>
  <c r="M653" i="1"/>
  <c r="O653" i="1" s="1"/>
  <c r="L653" i="1"/>
  <c r="N653" i="1" s="1"/>
  <c r="E653" i="1"/>
  <c r="M652" i="1"/>
  <c r="O652" i="1" s="1"/>
  <c r="L652" i="1"/>
  <c r="N652" i="1" s="1"/>
  <c r="E652" i="1"/>
  <c r="M651" i="1"/>
  <c r="O651" i="1" s="1"/>
  <c r="L651" i="1"/>
  <c r="N651" i="1" s="1"/>
  <c r="E651" i="1"/>
  <c r="M650" i="1"/>
  <c r="O650" i="1" s="1"/>
  <c r="L650" i="1"/>
  <c r="N650" i="1" s="1"/>
  <c r="E650" i="1"/>
  <c r="M649" i="1"/>
  <c r="O649" i="1" s="1"/>
  <c r="L649" i="1"/>
  <c r="N649" i="1" s="1"/>
  <c r="E649" i="1"/>
  <c r="M648" i="1"/>
  <c r="O648" i="1" s="1"/>
  <c r="L648" i="1"/>
  <c r="N648" i="1" s="1"/>
  <c r="E648" i="1"/>
  <c r="M647" i="1"/>
  <c r="O647" i="1" s="1"/>
  <c r="L647" i="1"/>
  <c r="N647" i="1" s="1"/>
  <c r="E647" i="1"/>
  <c r="M646" i="1"/>
  <c r="O646" i="1" s="1"/>
  <c r="L646" i="1"/>
  <c r="N646" i="1" s="1"/>
  <c r="E646" i="1"/>
  <c r="M645" i="1"/>
  <c r="O645" i="1" s="1"/>
  <c r="L645" i="1"/>
  <c r="N645" i="1" s="1"/>
  <c r="E645" i="1"/>
  <c r="M644" i="1"/>
  <c r="O644" i="1" s="1"/>
  <c r="L644" i="1"/>
  <c r="N644" i="1" s="1"/>
  <c r="E644" i="1"/>
  <c r="M643" i="1"/>
  <c r="O643" i="1" s="1"/>
  <c r="L643" i="1"/>
  <c r="N643" i="1" s="1"/>
  <c r="E643" i="1"/>
  <c r="M642" i="1"/>
  <c r="O642" i="1" s="1"/>
  <c r="L642" i="1"/>
  <c r="N642" i="1" s="1"/>
  <c r="E642" i="1"/>
  <c r="M641" i="1"/>
  <c r="O641" i="1" s="1"/>
  <c r="L641" i="1"/>
  <c r="N641" i="1" s="1"/>
  <c r="E641" i="1"/>
  <c r="E640" i="1"/>
  <c r="M639" i="1"/>
  <c r="O639" i="1" s="1"/>
  <c r="L639" i="1"/>
  <c r="N639" i="1" s="1"/>
  <c r="E639" i="1"/>
  <c r="M638" i="1"/>
  <c r="O638" i="1" s="1"/>
  <c r="L638" i="1"/>
  <c r="N638" i="1" s="1"/>
  <c r="E638" i="1"/>
  <c r="M637" i="1"/>
  <c r="O637" i="1" s="1"/>
  <c r="L637" i="1"/>
  <c r="N637" i="1" s="1"/>
  <c r="E637" i="1"/>
  <c r="M636" i="1"/>
  <c r="O636" i="1" s="1"/>
  <c r="L636" i="1"/>
  <c r="N636" i="1" s="1"/>
  <c r="E636" i="1"/>
  <c r="M635" i="1"/>
  <c r="O635" i="1" s="1"/>
  <c r="L635" i="1"/>
  <c r="N635" i="1" s="1"/>
  <c r="E635" i="1"/>
  <c r="M634" i="1"/>
  <c r="O634" i="1" s="1"/>
  <c r="L634" i="1"/>
  <c r="N634" i="1" s="1"/>
  <c r="E634" i="1"/>
  <c r="E633" i="1"/>
  <c r="M632" i="1"/>
  <c r="O632" i="1" s="1"/>
  <c r="L632" i="1"/>
  <c r="N632" i="1" s="1"/>
  <c r="E632" i="1"/>
  <c r="M631" i="1"/>
  <c r="O631" i="1" s="1"/>
  <c r="L631" i="1"/>
  <c r="N631" i="1" s="1"/>
  <c r="E631" i="1"/>
  <c r="M630" i="1"/>
  <c r="O630" i="1" s="1"/>
  <c r="L630" i="1"/>
  <c r="N630" i="1" s="1"/>
  <c r="E630" i="1"/>
  <c r="M629" i="1"/>
  <c r="O629" i="1" s="1"/>
  <c r="L629" i="1"/>
  <c r="N629" i="1" s="1"/>
  <c r="E629" i="1"/>
  <c r="M628" i="1"/>
  <c r="O628" i="1" s="1"/>
  <c r="L628" i="1"/>
  <c r="N628" i="1" s="1"/>
  <c r="E628" i="1"/>
  <c r="M627" i="1"/>
  <c r="O627" i="1" s="1"/>
  <c r="L627" i="1"/>
  <c r="N627" i="1" s="1"/>
  <c r="E627" i="1"/>
  <c r="M626" i="1"/>
  <c r="O626" i="1" s="1"/>
  <c r="L626" i="1"/>
  <c r="N626" i="1" s="1"/>
  <c r="E626" i="1"/>
  <c r="M625" i="1"/>
  <c r="O625" i="1" s="1"/>
  <c r="L625" i="1"/>
  <c r="N625" i="1" s="1"/>
  <c r="E625" i="1"/>
  <c r="M624" i="1"/>
  <c r="O624" i="1" s="1"/>
  <c r="L624" i="1"/>
  <c r="N624" i="1" s="1"/>
  <c r="E624" i="1"/>
  <c r="M623" i="1"/>
  <c r="O623" i="1" s="1"/>
  <c r="L623" i="1"/>
  <c r="N623" i="1" s="1"/>
  <c r="E623" i="1"/>
  <c r="M622" i="1"/>
  <c r="O622" i="1" s="1"/>
  <c r="L622" i="1"/>
  <c r="N622" i="1" s="1"/>
  <c r="E622" i="1"/>
  <c r="M621" i="1"/>
  <c r="O621" i="1" s="1"/>
  <c r="L621" i="1"/>
  <c r="N621" i="1" s="1"/>
  <c r="E621" i="1"/>
  <c r="M620" i="1"/>
  <c r="O620" i="1" s="1"/>
  <c r="L620" i="1"/>
  <c r="N620" i="1" s="1"/>
  <c r="E620" i="1"/>
  <c r="M619" i="1"/>
  <c r="O619" i="1" s="1"/>
  <c r="L619" i="1"/>
  <c r="N619" i="1" s="1"/>
  <c r="E619" i="1"/>
  <c r="M618" i="1"/>
  <c r="O618" i="1" s="1"/>
  <c r="L618" i="1"/>
  <c r="N618" i="1" s="1"/>
  <c r="E618" i="1"/>
  <c r="M617" i="1"/>
  <c r="O617" i="1" s="1"/>
  <c r="L617" i="1"/>
  <c r="N617" i="1" s="1"/>
  <c r="E617" i="1"/>
  <c r="M616" i="1"/>
  <c r="O616" i="1" s="1"/>
  <c r="L616" i="1"/>
  <c r="N616" i="1" s="1"/>
  <c r="E616" i="1"/>
  <c r="M615" i="1"/>
  <c r="O615" i="1" s="1"/>
  <c r="L615" i="1"/>
  <c r="N615" i="1" s="1"/>
  <c r="E615" i="1"/>
  <c r="M614" i="1"/>
  <c r="O614" i="1" s="1"/>
  <c r="L614" i="1"/>
  <c r="N614" i="1" s="1"/>
  <c r="E614" i="1"/>
  <c r="M613" i="1"/>
  <c r="O613" i="1" s="1"/>
  <c r="L613" i="1"/>
  <c r="N613" i="1" s="1"/>
  <c r="E613" i="1"/>
  <c r="M612" i="1"/>
  <c r="O612" i="1" s="1"/>
  <c r="L612" i="1"/>
  <c r="N612" i="1" s="1"/>
  <c r="E612" i="1"/>
  <c r="M611" i="1"/>
  <c r="O611" i="1" s="1"/>
  <c r="L611" i="1"/>
  <c r="N611" i="1" s="1"/>
  <c r="E611" i="1"/>
  <c r="M610" i="1"/>
  <c r="O610" i="1" s="1"/>
  <c r="L610" i="1"/>
  <c r="N610" i="1" s="1"/>
  <c r="E610" i="1"/>
  <c r="M609" i="1"/>
  <c r="O609" i="1" s="1"/>
  <c r="L609" i="1"/>
  <c r="N609" i="1" s="1"/>
  <c r="E609" i="1"/>
  <c r="M608" i="1"/>
  <c r="O608" i="1" s="1"/>
  <c r="L608" i="1"/>
  <c r="N608" i="1" s="1"/>
  <c r="E608" i="1"/>
  <c r="M607" i="1"/>
  <c r="O607" i="1" s="1"/>
  <c r="L607" i="1"/>
  <c r="N607" i="1" s="1"/>
  <c r="E607" i="1"/>
  <c r="E606" i="1"/>
  <c r="M605" i="1"/>
  <c r="O605" i="1" s="1"/>
  <c r="L605" i="1"/>
  <c r="N605" i="1" s="1"/>
  <c r="E605" i="1"/>
  <c r="M604" i="1"/>
  <c r="O604" i="1" s="1"/>
  <c r="L604" i="1"/>
  <c r="N604" i="1" s="1"/>
  <c r="E604" i="1"/>
  <c r="M603" i="1"/>
  <c r="O603" i="1" s="1"/>
  <c r="L603" i="1"/>
  <c r="N603" i="1" s="1"/>
  <c r="E603" i="1"/>
  <c r="M602" i="1"/>
  <c r="O602" i="1" s="1"/>
  <c r="L602" i="1"/>
  <c r="N602" i="1" s="1"/>
  <c r="E602" i="1"/>
  <c r="M601" i="1"/>
  <c r="O601" i="1" s="1"/>
  <c r="L601" i="1"/>
  <c r="N601" i="1" s="1"/>
  <c r="E601" i="1"/>
  <c r="M600" i="1"/>
  <c r="O600" i="1" s="1"/>
  <c r="L600" i="1"/>
  <c r="N600" i="1" s="1"/>
  <c r="E600" i="1"/>
  <c r="M599" i="1"/>
  <c r="O599" i="1" s="1"/>
  <c r="L599" i="1"/>
  <c r="N599" i="1" s="1"/>
  <c r="E599" i="1"/>
  <c r="M598" i="1"/>
  <c r="O598" i="1" s="1"/>
  <c r="L598" i="1"/>
  <c r="N598" i="1" s="1"/>
  <c r="E598" i="1"/>
  <c r="M597" i="1"/>
  <c r="O597" i="1" s="1"/>
  <c r="L597" i="1"/>
  <c r="N597" i="1" s="1"/>
  <c r="E597" i="1"/>
  <c r="M596" i="1"/>
  <c r="O596" i="1" s="1"/>
  <c r="L596" i="1"/>
  <c r="N596" i="1" s="1"/>
  <c r="E596" i="1"/>
  <c r="M595" i="1"/>
  <c r="O595" i="1" s="1"/>
  <c r="L595" i="1"/>
  <c r="N595" i="1" s="1"/>
  <c r="E595" i="1"/>
  <c r="M594" i="1"/>
  <c r="O594" i="1" s="1"/>
  <c r="L594" i="1"/>
  <c r="N594" i="1" s="1"/>
  <c r="E594" i="1"/>
  <c r="E593" i="1"/>
  <c r="E592" i="1"/>
  <c r="M591" i="1"/>
  <c r="O591" i="1" s="1"/>
  <c r="L591" i="1"/>
  <c r="N591" i="1" s="1"/>
  <c r="E591" i="1"/>
  <c r="M590" i="1"/>
  <c r="O590" i="1" s="1"/>
  <c r="L590" i="1"/>
  <c r="N590" i="1" s="1"/>
  <c r="E590" i="1"/>
  <c r="M589" i="1"/>
  <c r="O589" i="1" s="1"/>
  <c r="L589" i="1"/>
  <c r="N589" i="1" s="1"/>
  <c r="E589" i="1"/>
  <c r="M588" i="1"/>
  <c r="O588" i="1" s="1"/>
  <c r="L588" i="1"/>
  <c r="N588" i="1" s="1"/>
  <c r="E588" i="1"/>
  <c r="M587" i="1"/>
  <c r="O587" i="1" s="1"/>
  <c r="L587" i="1"/>
  <c r="N587" i="1" s="1"/>
  <c r="E587" i="1"/>
  <c r="M586" i="1"/>
  <c r="O586" i="1" s="1"/>
  <c r="L586" i="1"/>
  <c r="N586" i="1" s="1"/>
  <c r="E586" i="1"/>
  <c r="M585" i="1"/>
  <c r="O585" i="1" s="1"/>
  <c r="L585" i="1"/>
  <c r="N585" i="1" s="1"/>
  <c r="E585" i="1"/>
  <c r="M584" i="1"/>
  <c r="O584" i="1" s="1"/>
  <c r="L584" i="1"/>
  <c r="N584" i="1" s="1"/>
  <c r="E584" i="1"/>
  <c r="M583" i="1"/>
  <c r="O583" i="1" s="1"/>
  <c r="L583" i="1"/>
  <c r="N583" i="1" s="1"/>
  <c r="E583" i="1"/>
  <c r="M582" i="1"/>
  <c r="O582" i="1" s="1"/>
  <c r="L582" i="1"/>
  <c r="N582" i="1" s="1"/>
  <c r="E582" i="1"/>
  <c r="M581" i="1"/>
  <c r="O581" i="1" s="1"/>
  <c r="L581" i="1"/>
  <c r="N581" i="1" s="1"/>
  <c r="E581" i="1"/>
  <c r="M580" i="1"/>
  <c r="O580" i="1" s="1"/>
  <c r="L580" i="1"/>
  <c r="N580" i="1" s="1"/>
  <c r="E580" i="1"/>
  <c r="M579" i="1"/>
  <c r="O579" i="1" s="1"/>
  <c r="L579" i="1"/>
  <c r="N579" i="1" s="1"/>
  <c r="E579" i="1"/>
  <c r="M578" i="1"/>
  <c r="O578" i="1" s="1"/>
  <c r="L578" i="1"/>
  <c r="N578" i="1" s="1"/>
  <c r="E578" i="1"/>
  <c r="M577" i="1"/>
  <c r="O577" i="1" s="1"/>
  <c r="L577" i="1"/>
  <c r="N577" i="1" s="1"/>
  <c r="E577" i="1"/>
  <c r="M576" i="1"/>
  <c r="O576" i="1" s="1"/>
  <c r="L576" i="1"/>
  <c r="N576" i="1" s="1"/>
  <c r="E576" i="1"/>
  <c r="M575" i="1"/>
  <c r="O575" i="1" s="1"/>
  <c r="L575" i="1"/>
  <c r="N575" i="1" s="1"/>
  <c r="E575" i="1"/>
  <c r="M574" i="1"/>
  <c r="O574" i="1" s="1"/>
  <c r="L574" i="1"/>
  <c r="N574" i="1" s="1"/>
  <c r="E574" i="1"/>
  <c r="M573" i="1"/>
  <c r="O573" i="1" s="1"/>
  <c r="L573" i="1"/>
  <c r="N573" i="1" s="1"/>
  <c r="E573" i="1"/>
  <c r="M572" i="1"/>
  <c r="O572" i="1" s="1"/>
  <c r="L572" i="1"/>
  <c r="N572" i="1" s="1"/>
  <c r="E572" i="1"/>
  <c r="M571" i="1"/>
  <c r="O571" i="1" s="1"/>
  <c r="L571" i="1"/>
  <c r="N571" i="1" s="1"/>
  <c r="E571" i="1"/>
  <c r="M570" i="1"/>
  <c r="O570" i="1" s="1"/>
  <c r="L570" i="1"/>
  <c r="N570" i="1" s="1"/>
  <c r="E570" i="1"/>
  <c r="M569" i="1"/>
  <c r="O569" i="1" s="1"/>
  <c r="L569" i="1"/>
  <c r="N569" i="1" s="1"/>
  <c r="E569" i="1"/>
  <c r="M568" i="1"/>
  <c r="O568" i="1" s="1"/>
  <c r="L568" i="1"/>
  <c r="N568" i="1" s="1"/>
  <c r="E568" i="1"/>
  <c r="M567" i="1"/>
  <c r="O567" i="1" s="1"/>
  <c r="L567" i="1"/>
  <c r="N567" i="1" s="1"/>
  <c r="E567" i="1"/>
  <c r="M566" i="1"/>
  <c r="O566" i="1" s="1"/>
  <c r="L566" i="1"/>
  <c r="N566" i="1" s="1"/>
  <c r="E566" i="1"/>
  <c r="M565" i="1"/>
  <c r="O565" i="1" s="1"/>
  <c r="L565" i="1"/>
  <c r="N565" i="1" s="1"/>
  <c r="E565" i="1"/>
  <c r="M564" i="1"/>
  <c r="O564" i="1" s="1"/>
  <c r="L564" i="1"/>
  <c r="N564" i="1" s="1"/>
  <c r="E564" i="1"/>
  <c r="M563" i="1"/>
  <c r="O563" i="1" s="1"/>
  <c r="L563" i="1"/>
  <c r="N563" i="1" s="1"/>
  <c r="E563" i="1"/>
  <c r="M562" i="1"/>
  <c r="O562" i="1" s="1"/>
  <c r="L562" i="1"/>
  <c r="N562" i="1" s="1"/>
  <c r="E562" i="1"/>
  <c r="M561" i="1"/>
  <c r="O561" i="1" s="1"/>
  <c r="L561" i="1"/>
  <c r="N561" i="1" s="1"/>
  <c r="E561" i="1"/>
  <c r="E560" i="1"/>
  <c r="M559" i="1"/>
  <c r="O559" i="1" s="1"/>
  <c r="L559" i="1"/>
  <c r="N559" i="1" s="1"/>
  <c r="E559" i="1"/>
  <c r="E558" i="1"/>
  <c r="L557" i="1"/>
  <c r="N557" i="1" s="1"/>
  <c r="K557" i="1"/>
  <c r="M557" i="1" s="1"/>
  <c r="O557" i="1" s="1"/>
  <c r="E557" i="1"/>
  <c r="L556" i="1"/>
  <c r="N556" i="1" s="1"/>
  <c r="K556" i="1"/>
  <c r="M556" i="1" s="1"/>
  <c r="O556" i="1" s="1"/>
  <c r="E556" i="1"/>
  <c r="L555" i="1"/>
  <c r="N555" i="1" s="1"/>
  <c r="K555" i="1"/>
  <c r="M555" i="1" s="1"/>
  <c r="O555" i="1" s="1"/>
  <c r="E555" i="1"/>
  <c r="M554" i="1"/>
  <c r="O554" i="1" s="1"/>
  <c r="L554" i="1"/>
  <c r="N554" i="1" s="1"/>
  <c r="E554" i="1"/>
  <c r="L553" i="1"/>
  <c r="N553" i="1" s="1"/>
  <c r="K553" i="1"/>
  <c r="M553" i="1" s="1"/>
  <c r="O553" i="1" s="1"/>
  <c r="E553" i="1"/>
  <c r="L552" i="1"/>
  <c r="N552" i="1" s="1"/>
  <c r="K552" i="1"/>
  <c r="M552" i="1" s="1"/>
  <c r="O552" i="1" s="1"/>
  <c r="E552" i="1"/>
  <c r="M551" i="1"/>
  <c r="O551" i="1" s="1"/>
  <c r="L551" i="1"/>
  <c r="N551" i="1" s="1"/>
  <c r="K551" i="1"/>
  <c r="E551" i="1"/>
  <c r="L550" i="1"/>
  <c r="N550" i="1" s="1"/>
  <c r="K550" i="1"/>
  <c r="M550" i="1" s="1"/>
  <c r="O550" i="1" s="1"/>
  <c r="E550" i="1"/>
  <c r="L549" i="1"/>
  <c r="N549" i="1" s="1"/>
  <c r="K549" i="1"/>
  <c r="M549" i="1" s="1"/>
  <c r="O549" i="1" s="1"/>
  <c r="E549" i="1"/>
  <c r="M548" i="1"/>
  <c r="O548" i="1" s="1"/>
  <c r="L548" i="1"/>
  <c r="N548" i="1" s="1"/>
  <c r="E548" i="1"/>
  <c r="M547" i="1"/>
  <c r="O547" i="1" s="1"/>
  <c r="L547" i="1"/>
  <c r="N547" i="1" s="1"/>
  <c r="E547" i="1"/>
  <c r="M546" i="1"/>
  <c r="O546" i="1" s="1"/>
  <c r="L546" i="1"/>
  <c r="N546" i="1" s="1"/>
  <c r="E546" i="1"/>
  <c r="M545" i="1"/>
  <c r="O545" i="1" s="1"/>
  <c r="L545" i="1"/>
  <c r="N545" i="1" s="1"/>
  <c r="E545" i="1"/>
  <c r="M544" i="1"/>
  <c r="O544" i="1" s="1"/>
  <c r="L544" i="1"/>
  <c r="N544" i="1" s="1"/>
  <c r="E544" i="1"/>
  <c r="M543" i="1"/>
  <c r="O543" i="1" s="1"/>
  <c r="L543" i="1"/>
  <c r="N543" i="1" s="1"/>
  <c r="E543" i="1"/>
  <c r="L542" i="1"/>
  <c r="N542" i="1" s="1"/>
  <c r="K542" i="1"/>
  <c r="M542" i="1" s="1"/>
  <c r="O542" i="1" s="1"/>
  <c r="E542" i="1"/>
  <c r="L541" i="1"/>
  <c r="N541" i="1" s="1"/>
  <c r="K541" i="1"/>
  <c r="M541" i="1" s="1"/>
  <c r="O541" i="1" s="1"/>
  <c r="E541" i="1"/>
  <c r="L540" i="1"/>
  <c r="N540" i="1" s="1"/>
  <c r="K540" i="1"/>
  <c r="M540" i="1" s="1"/>
  <c r="O540" i="1" s="1"/>
  <c r="E540" i="1"/>
  <c r="M539" i="1"/>
  <c r="O539" i="1" s="1"/>
  <c r="L539" i="1"/>
  <c r="N539" i="1" s="1"/>
  <c r="K539" i="1"/>
  <c r="E539" i="1"/>
  <c r="E538" i="1"/>
  <c r="M537" i="1"/>
  <c r="O537" i="1" s="1"/>
  <c r="L537" i="1"/>
  <c r="N537" i="1" s="1"/>
  <c r="M536" i="1"/>
  <c r="O536" i="1" s="1"/>
  <c r="L536" i="1"/>
  <c r="N536" i="1" s="1"/>
  <c r="M535" i="1"/>
  <c r="O535" i="1" s="1"/>
  <c r="L535" i="1"/>
  <c r="N535" i="1" s="1"/>
  <c r="M534" i="1"/>
  <c r="O534" i="1" s="1"/>
  <c r="L534" i="1"/>
  <c r="N534" i="1" s="1"/>
  <c r="M533" i="1"/>
  <c r="O533" i="1" s="1"/>
  <c r="L533" i="1"/>
  <c r="N533" i="1" s="1"/>
  <c r="M532" i="1"/>
  <c r="O532" i="1" s="1"/>
  <c r="L532" i="1"/>
  <c r="N532" i="1" s="1"/>
  <c r="M531" i="1"/>
  <c r="O531" i="1" s="1"/>
  <c r="L531" i="1"/>
  <c r="N531" i="1" s="1"/>
  <c r="L530" i="1"/>
  <c r="N530" i="1" s="1"/>
  <c r="K530" i="1"/>
  <c r="M530" i="1" s="1"/>
  <c r="O530" i="1" s="1"/>
  <c r="E530" i="1"/>
  <c r="L529" i="1"/>
  <c r="N529" i="1" s="1"/>
  <c r="K529" i="1"/>
  <c r="M529" i="1" s="1"/>
  <c r="O529" i="1" s="1"/>
  <c r="M528" i="1"/>
  <c r="O528" i="1" s="1"/>
  <c r="L528" i="1"/>
  <c r="N528" i="1" s="1"/>
  <c r="M527" i="1"/>
  <c r="O527" i="1" s="1"/>
  <c r="L527" i="1"/>
  <c r="N527" i="1" s="1"/>
  <c r="M526" i="1"/>
  <c r="O526" i="1" s="1"/>
  <c r="L526" i="1"/>
  <c r="N526" i="1" s="1"/>
  <c r="M525" i="1"/>
  <c r="O525" i="1" s="1"/>
  <c r="L525" i="1"/>
  <c r="N525" i="1" s="1"/>
  <c r="M524" i="1"/>
  <c r="O524" i="1" s="1"/>
  <c r="L524" i="1"/>
  <c r="N524" i="1" s="1"/>
  <c r="M523" i="1"/>
  <c r="O523" i="1" s="1"/>
  <c r="L523" i="1"/>
  <c r="N523" i="1" s="1"/>
  <c r="M522" i="1"/>
  <c r="O522" i="1" s="1"/>
  <c r="L522" i="1"/>
  <c r="N522" i="1" s="1"/>
  <c r="M521" i="1"/>
  <c r="O521" i="1" s="1"/>
  <c r="L521" i="1"/>
  <c r="N521" i="1" s="1"/>
  <c r="M520" i="1"/>
  <c r="O520" i="1" s="1"/>
  <c r="L520" i="1"/>
  <c r="N520" i="1" s="1"/>
  <c r="M519" i="1"/>
  <c r="O519" i="1" s="1"/>
  <c r="L519" i="1"/>
  <c r="N519" i="1" s="1"/>
  <c r="M518" i="1"/>
  <c r="O518" i="1" s="1"/>
  <c r="L518" i="1"/>
  <c r="N518" i="1" s="1"/>
  <c r="M517" i="1"/>
  <c r="O517" i="1" s="1"/>
  <c r="L517" i="1"/>
  <c r="N517" i="1" s="1"/>
  <c r="M516" i="1"/>
  <c r="O516" i="1" s="1"/>
  <c r="L516" i="1"/>
  <c r="N516" i="1" s="1"/>
  <c r="M515" i="1"/>
  <c r="O515" i="1" s="1"/>
  <c r="L515" i="1"/>
  <c r="N515" i="1" s="1"/>
  <c r="M514" i="1"/>
  <c r="O514" i="1" s="1"/>
  <c r="L514" i="1"/>
  <c r="N514" i="1" s="1"/>
  <c r="M513" i="1"/>
  <c r="O513" i="1" s="1"/>
  <c r="L513" i="1"/>
  <c r="N513" i="1" s="1"/>
  <c r="M512" i="1"/>
  <c r="O512" i="1" s="1"/>
  <c r="L512" i="1"/>
  <c r="N512" i="1" s="1"/>
  <c r="M511" i="1"/>
  <c r="O511" i="1" s="1"/>
  <c r="L511" i="1"/>
  <c r="N511" i="1" s="1"/>
  <c r="M510" i="1"/>
  <c r="O510" i="1" s="1"/>
  <c r="L510" i="1"/>
  <c r="N510" i="1" s="1"/>
  <c r="M509" i="1"/>
  <c r="O509" i="1" s="1"/>
  <c r="L509" i="1"/>
  <c r="N509" i="1" s="1"/>
  <c r="M508" i="1"/>
  <c r="O508" i="1" s="1"/>
  <c r="L508" i="1"/>
  <c r="N508" i="1" s="1"/>
  <c r="M507" i="1"/>
  <c r="O507" i="1" s="1"/>
  <c r="L507" i="1"/>
  <c r="N507" i="1" s="1"/>
  <c r="M506" i="1"/>
  <c r="O506" i="1" s="1"/>
  <c r="L506" i="1"/>
  <c r="N506" i="1" s="1"/>
  <c r="M505" i="1"/>
  <c r="O505" i="1" s="1"/>
  <c r="L505" i="1"/>
  <c r="N505" i="1" s="1"/>
  <c r="M504" i="1"/>
  <c r="O504" i="1" s="1"/>
  <c r="L504" i="1"/>
  <c r="N504" i="1" s="1"/>
  <c r="M503" i="1"/>
  <c r="O503" i="1" s="1"/>
  <c r="L503" i="1"/>
  <c r="N503" i="1" s="1"/>
  <c r="M502" i="1"/>
  <c r="O502" i="1" s="1"/>
  <c r="L502" i="1"/>
  <c r="N502" i="1" s="1"/>
  <c r="L501" i="1"/>
  <c r="N501" i="1" s="1"/>
  <c r="K501" i="1"/>
  <c r="M501" i="1" s="1"/>
  <c r="O501" i="1" s="1"/>
  <c r="L500" i="1"/>
  <c r="N500" i="1" s="1"/>
  <c r="K500" i="1"/>
  <c r="M500" i="1" s="1"/>
  <c r="O500" i="1" s="1"/>
  <c r="L499" i="1"/>
  <c r="N499" i="1" s="1"/>
  <c r="K499" i="1"/>
  <c r="M499" i="1" s="1"/>
  <c r="O499" i="1" s="1"/>
  <c r="L498" i="1"/>
  <c r="N498" i="1" s="1"/>
  <c r="K498" i="1"/>
  <c r="M498" i="1" s="1"/>
  <c r="O498" i="1" s="1"/>
  <c r="L497" i="1"/>
  <c r="N497" i="1" s="1"/>
  <c r="K497" i="1"/>
  <c r="M497" i="1" s="1"/>
  <c r="O497" i="1" s="1"/>
  <c r="M496" i="1"/>
  <c r="O496" i="1" s="1"/>
  <c r="L496" i="1"/>
  <c r="N496" i="1" s="1"/>
  <c r="M495" i="1"/>
  <c r="O495" i="1" s="1"/>
  <c r="L495" i="1"/>
  <c r="N495" i="1" s="1"/>
  <c r="M494" i="1"/>
  <c r="O494" i="1" s="1"/>
  <c r="L494" i="1"/>
  <c r="N494" i="1" s="1"/>
  <c r="L493" i="1"/>
  <c r="N493" i="1" s="1"/>
  <c r="K493" i="1"/>
  <c r="M493" i="1" s="1"/>
  <c r="O493" i="1" s="1"/>
  <c r="M492" i="1"/>
  <c r="O492" i="1" s="1"/>
  <c r="L492" i="1"/>
  <c r="N492" i="1" s="1"/>
  <c r="M491" i="1"/>
  <c r="O491" i="1" s="1"/>
  <c r="L491" i="1"/>
  <c r="N491" i="1" s="1"/>
  <c r="M490" i="1"/>
  <c r="O490" i="1" s="1"/>
  <c r="L490" i="1"/>
  <c r="N490" i="1" s="1"/>
  <c r="M489" i="1"/>
  <c r="O489" i="1" s="1"/>
  <c r="L489" i="1"/>
  <c r="N489" i="1" s="1"/>
  <c r="M488" i="1"/>
  <c r="O488" i="1" s="1"/>
  <c r="L488" i="1"/>
  <c r="N488" i="1" s="1"/>
  <c r="M487" i="1"/>
  <c r="O487" i="1" s="1"/>
  <c r="L487" i="1"/>
  <c r="N487" i="1" s="1"/>
  <c r="M486" i="1"/>
  <c r="O486" i="1" s="1"/>
  <c r="L486" i="1"/>
  <c r="N486" i="1" s="1"/>
  <c r="M485" i="1"/>
  <c r="O485" i="1" s="1"/>
  <c r="L485" i="1"/>
  <c r="N485" i="1" s="1"/>
  <c r="M484" i="1"/>
  <c r="O484" i="1" s="1"/>
  <c r="L484" i="1"/>
  <c r="N484" i="1" s="1"/>
  <c r="M483" i="1"/>
  <c r="O483" i="1" s="1"/>
  <c r="L483" i="1"/>
  <c r="N483" i="1" s="1"/>
  <c r="M482" i="1"/>
  <c r="O482" i="1" s="1"/>
  <c r="L482" i="1"/>
  <c r="N482" i="1" s="1"/>
  <c r="M481" i="1"/>
  <c r="O481" i="1" s="1"/>
  <c r="L481" i="1"/>
  <c r="N481" i="1" s="1"/>
  <c r="M480" i="1"/>
  <c r="O480" i="1" s="1"/>
  <c r="L480" i="1"/>
  <c r="N480" i="1" s="1"/>
  <c r="D480" i="1"/>
  <c r="D481" i="1" s="1"/>
  <c r="E481" i="1" s="1"/>
  <c r="M479" i="1"/>
  <c r="O479" i="1" s="1"/>
  <c r="L479" i="1"/>
  <c r="N479" i="1" s="1"/>
  <c r="E479" i="1"/>
  <c r="E478" i="1"/>
  <c r="M477" i="1"/>
  <c r="O477" i="1" s="1"/>
  <c r="L477" i="1"/>
  <c r="N477" i="1" s="1"/>
  <c r="E477" i="1"/>
  <c r="M476" i="1"/>
  <c r="O476" i="1" s="1"/>
  <c r="L476" i="1"/>
  <c r="N476" i="1" s="1"/>
  <c r="E476" i="1"/>
  <c r="M475" i="1"/>
  <c r="O475" i="1" s="1"/>
  <c r="L475" i="1"/>
  <c r="N475" i="1" s="1"/>
  <c r="E475" i="1"/>
  <c r="M474" i="1"/>
  <c r="O474" i="1" s="1"/>
  <c r="L474" i="1"/>
  <c r="N474" i="1" s="1"/>
  <c r="E474" i="1"/>
  <c r="O472" i="1"/>
  <c r="N472" i="1"/>
  <c r="M472" i="1"/>
  <c r="L472" i="1"/>
  <c r="O471" i="1"/>
  <c r="N471" i="1"/>
  <c r="M471" i="1"/>
  <c r="L471" i="1"/>
  <c r="O470" i="1"/>
  <c r="N470" i="1"/>
  <c r="M470" i="1"/>
  <c r="L470" i="1"/>
  <c r="O469" i="1"/>
  <c r="N469" i="1"/>
  <c r="M469" i="1"/>
  <c r="L469" i="1"/>
  <c r="O468" i="1"/>
  <c r="N468" i="1"/>
  <c r="M468" i="1"/>
  <c r="L468" i="1"/>
  <c r="O467" i="1"/>
  <c r="N467" i="1"/>
  <c r="M467" i="1"/>
  <c r="L467" i="1"/>
  <c r="O466" i="1"/>
  <c r="N466" i="1"/>
  <c r="M466" i="1"/>
  <c r="L466" i="1"/>
  <c r="O465" i="1"/>
  <c r="N465" i="1"/>
  <c r="M465" i="1"/>
  <c r="L465" i="1"/>
  <c r="O464" i="1"/>
  <c r="N464" i="1"/>
  <c r="M464" i="1"/>
  <c r="L464" i="1"/>
  <c r="O463" i="1"/>
  <c r="N463" i="1"/>
  <c r="M463" i="1"/>
  <c r="L463" i="1"/>
  <c r="F463" i="1"/>
  <c r="F464" i="1" s="1"/>
  <c r="F465" i="1" s="1"/>
  <c r="F466" i="1" s="1"/>
  <c r="F467" i="1" s="1"/>
  <c r="F468" i="1" s="1"/>
  <c r="F469" i="1" s="1"/>
  <c r="F470" i="1" s="1"/>
  <c r="F471" i="1" s="1"/>
  <c r="F472" i="1" s="1"/>
  <c r="O462" i="1"/>
  <c r="N462" i="1"/>
  <c r="M462" i="1"/>
  <c r="L462" i="1"/>
  <c r="M461" i="1"/>
  <c r="O461" i="1" s="1"/>
  <c r="L461" i="1"/>
  <c r="N461" i="1" s="1"/>
  <c r="E461" i="1"/>
  <c r="M460" i="1"/>
  <c r="O460" i="1" s="1"/>
  <c r="L460" i="1"/>
  <c r="N460" i="1" s="1"/>
  <c r="M459" i="1"/>
  <c r="O459" i="1" s="1"/>
  <c r="L459" i="1"/>
  <c r="N459" i="1" s="1"/>
  <c r="M458" i="1"/>
  <c r="O458" i="1" s="1"/>
  <c r="L458" i="1"/>
  <c r="N458" i="1" s="1"/>
  <c r="M457" i="1"/>
  <c r="O457" i="1" s="1"/>
  <c r="L457" i="1"/>
  <c r="N457" i="1" s="1"/>
  <c r="M456" i="1"/>
  <c r="O456" i="1" s="1"/>
  <c r="L456" i="1"/>
  <c r="N456" i="1" s="1"/>
  <c r="M455" i="1"/>
  <c r="O455" i="1" s="1"/>
  <c r="L455" i="1"/>
  <c r="N455" i="1" s="1"/>
  <c r="E455" i="1"/>
  <c r="M454" i="1"/>
  <c r="O454" i="1" s="1"/>
  <c r="L454" i="1"/>
  <c r="N454" i="1" s="1"/>
  <c r="E454" i="1"/>
  <c r="M453" i="1"/>
  <c r="O453" i="1" s="1"/>
  <c r="L453" i="1"/>
  <c r="N453" i="1" s="1"/>
  <c r="E453" i="1"/>
  <c r="M452" i="1"/>
  <c r="O452" i="1" s="1"/>
  <c r="L452" i="1"/>
  <c r="N452" i="1" s="1"/>
  <c r="E452" i="1"/>
  <c r="M451" i="1"/>
  <c r="O451" i="1" s="1"/>
  <c r="L451" i="1"/>
  <c r="N451" i="1" s="1"/>
  <c r="E451" i="1"/>
  <c r="M450" i="1"/>
  <c r="O450" i="1" s="1"/>
  <c r="L450" i="1"/>
  <c r="N450" i="1" s="1"/>
  <c r="E450" i="1"/>
  <c r="M449" i="1"/>
  <c r="O449" i="1" s="1"/>
  <c r="L449" i="1"/>
  <c r="N449" i="1" s="1"/>
  <c r="E449" i="1"/>
  <c r="E448" i="1"/>
  <c r="E447" i="1"/>
  <c r="M446" i="1"/>
  <c r="O446" i="1" s="1"/>
  <c r="L446" i="1"/>
  <c r="N446" i="1" s="1"/>
  <c r="E446" i="1"/>
  <c r="M445" i="1"/>
  <c r="O445" i="1" s="1"/>
  <c r="L445" i="1"/>
  <c r="N445" i="1" s="1"/>
  <c r="E445" i="1"/>
  <c r="M444" i="1"/>
  <c r="O444" i="1" s="1"/>
  <c r="L444" i="1"/>
  <c r="N444" i="1" s="1"/>
  <c r="E444" i="1"/>
  <c r="M443" i="1"/>
  <c r="O443" i="1" s="1"/>
  <c r="L443" i="1"/>
  <c r="N443" i="1" s="1"/>
  <c r="E443" i="1"/>
  <c r="M442" i="1"/>
  <c r="O442" i="1" s="1"/>
  <c r="L442" i="1"/>
  <c r="N442" i="1" s="1"/>
  <c r="E442" i="1"/>
  <c r="M441" i="1"/>
  <c r="O441" i="1" s="1"/>
  <c r="L441" i="1"/>
  <c r="N441" i="1" s="1"/>
  <c r="K441" i="1"/>
  <c r="E441" i="1"/>
  <c r="L440" i="1"/>
  <c r="N440" i="1" s="1"/>
  <c r="K440" i="1"/>
  <c r="M440" i="1" s="1"/>
  <c r="O440" i="1" s="1"/>
  <c r="E440" i="1"/>
  <c r="L439" i="1"/>
  <c r="N439" i="1" s="1"/>
  <c r="K439" i="1"/>
  <c r="M439" i="1" s="1"/>
  <c r="O439" i="1" s="1"/>
  <c r="E439" i="1"/>
  <c r="L438" i="1"/>
  <c r="N438" i="1" s="1"/>
  <c r="K438" i="1"/>
  <c r="M438" i="1" s="1"/>
  <c r="O438" i="1" s="1"/>
  <c r="E438" i="1"/>
  <c r="L437" i="1"/>
  <c r="N437" i="1" s="1"/>
  <c r="K437" i="1"/>
  <c r="M437" i="1" s="1"/>
  <c r="O437" i="1" s="1"/>
  <c r="E437" i="1"/>
  <c r="M436" i="1"/>
  <c r="O436" i="1" s="1"/>
  <c r="L436" i="1"/>
  <c r="N436" i="1" s="1"/>
  <c r="E436" i="1"/>
  <c r="M435" i="1"/>
  <c r="O435" i="1" s="1"/>
  <c r="L435" i="1"/>
  <c r="N435" i="1" s="1"/>
  <c r="E435" i="1"/>
  <c r="M434" i="1"/>
  <c r="O434" i="1" s="1"/>
  <c r="L434" i="1"/>
  <c r="N434" i="1" s="1"/>
  <c r="E434" i="1"/>
  <c r="M433" i="1"/>
  <c r="O433" i="1" s="1"/>
  <c r="L433" i="1"/>
  <c r="N433" i="1" s="1"/>
  <c r="E433" i="1"/>
  <c r="M432" i="1"/>
  <c r="O432" i="1" s="1"/>
  <c r="L432" i="1"/>
  <c r="N432" i="1" s="1"/>
  <c r="E432" i="1"/>
  <c r="M431" i="1"/>
  <c r="O431" i="1" s="1"/>
  <c r="L431" i="1"/>
  <c r="N431" i="1" s="1"/>
  <c r="E431" i="1"/>
  <c r="M430" i="1"/>
  <c r="O430" i="1" s="1"/>
  <c r="L430" i="1"/>
  <c r="N430" i="1" s="1"/>
  <c r="E430" i="1"/>
  <c r="M429" i="1"/>
  <c r="O429" i="1" s="1"/>
  <c r="L429" i="1"/>
  <c r="N429" i="1" s="1"/>
  <c r="E429" i="1"/>
  <c r="M428" i="1"/>
  <c r="O428" i="1" s="1"/>
  <c r="L428" i="1"/>
  <c r="N428" i="1" s="1"/>
  <c r="E428" i="1"/>
  <c r="M427" i="1"/>
  <c r="O427" i="1" s="1"/>
  <c r="L427" i="1"/>
  <c r="N427" i="1" s="1"/>
  <c r="E427" i="1"/>
  <c r="M426" i="1"/>
  <c r="O426" i="1" s="1"/>
  <c r="L426" i="1"/>
  <c r="N426" i="1" s="1"/>
  <c r="E426" i="1"/>
  <c r="M425" i="1"/>
  <c r="O425" i="1" s="1"/>
  <c r="L425" i="1"/>
  <c r="N425" i="1" s="1"/>
  <c r="E425" i="1"/>
  <c r="M424" i="1"/>
  <c r="O424" i="1" s="1"/>
  <c r="L424" i="1"/>
  <c r="N424" i="1" s="1"/>
  <c r="E424" i="1"/>
  <c r="M423" i="1"/>
  <c r="O423" i="1" s="1"/>
  <c r="L423" i="1"/>
  <c r="N423" i="1" s="1"/>
  <c r="E423" i="1"/>
  <c r="M422" i="1"/>
  <c r="O422" i="1" s="1"/>
  <c r="L422" i="1"/>
  <c r="N422" i="1" s="1"/>
  <c r="E422" i="1"/>
  <c r="M421" i="1"/>
  <c r="O421" i="1" s="1"/>
  <c r="L421" i="1"/>
  <c r="N421" i="1" s="1"/>
  <c r="E421" i="1"/>
  <c r="M420" i="1"/>
  <c r="O420" i="1" s="1"/>
  <c r="L420" i="1"/>
  <c r="N420" i="1" s="1"/>
  <c r="E420" i="1"/>
  <c r="M419" i="1"/>
  <c r="O419" i="1" s="1"/>
  <c r="L419" i="1"/>
  <c r="N419" i="1" s="1"/>
  <c r="E419" i="1"/>
  <c r="M418" i="1"/>
  <c r="O418" i="1" s="1"/>
  <c r="L418" i="1"/>
  <c r="N418" i="1" s="1"/>
  <c r="E418" i="1"/>
  <c r="M417" i="1"/>
  <c r="O417" i="1" s="1"/>
  <c r="L417" i="1"/>
  <c r="N417" i="1" s="1"/>
  <c r="E417" i="1"/>
  <c r="M416" i="1"/>
  <c r="O416" i="1" s="1"/>
  <c r="L416" i="1"/>
  <c r="N416" i="1" s="1"/>
  <c r="E416" i="1"/>
  <c r="M415" i="1"/>
  <c r="O415" i="1" s="1"/>
  <c r="L415" i="1"/>
  <c r="N415" i="1" s="1"/>
  <c r="E415" i="1"/>
  <c r="M414" i="1"/>
  <c r="O414" i="1" s="1"/>
  <c r="L414" i="1"/>
  <c r="N414" i="1" s="1"/>
  <c r="E414" i="1"/>
  <c r="E413" i="1"/>
  <c r="M412" i="1"/>
  <c r="O412" i="1" s="1"/>
  <c r="L412" i="1"/>
  <c r="N412" i="1" s="1"/>
  <c r="E412" i="1"/>
  <c r="M411" i="1"/>
  <c r="O411" i="1" s="1"/>
  <c r="L411" i="1"/>
  <c r="N411" i="1" s="1"/>
  <c r="E411" i="1"/>
  <c r="M410" i="1"/>
  <c r="O410" i="1" s="1"/>
  <c r="L410" i="1"/>
  <c r="N410" i="1" s="1"/>
  <c r="E410" i="1"/>
  <c r="M409" i="1"/>
  <c r="O409" i="1" s="1"/>
  <c r="L409" i="1"/>
  <c r="N409" i="1" s="1"/>
  <c r="E409" i="1"/>
  <c r="M408" i="1"/>
  <c r="O408" i="1" s="1"/>
  <c r="L408" i="1"/>
  <c r="N408" i="1" s="1"/>
  <c r="E408" i="1"/>
  <c r="M407" i="1"/>
  <c r="O407" i="1" s="1"/>
  <c r="L407" i="1"/>
  <c r="N407" i="1" s="1"/>
  <c r="E407" i="1"/>
  <c r="M406" i="1"/>
  <c r="O406" i="1" s="1"/>
  <c r="L406" i="1"/>
  <c r="N406" i="1" s="1"/>
  <c r="E406" i="1"/>
  <c r="M405" i="1"/>
  <c r="O405" i="1" s="1"/>
  <c r="L405" i="1"/>
  <c r="N405" i="1" s="1"/>
  <c r="E405" i="1"/>
  <c r="M404" i="1"/>
  <c r="O404" i="1" s="1"/>
  <c r="L404" i="1"/>
  <c r="N404" i="1" s="1"/>
  <c r="E404" i="1"/>
  <c r="M403" i="1"/>
  <c r="O403" i="1" s="1"/>
  <c r="L403" i="1"/>
  <c r="N403" i="1" s="1"/>
  <c r="E403" i="1"/>
  <c r="M402" i="1"/>
  <c r="O402" i="1" s="1"/>
  <c r="L402" i="1"/>
  <c r="N402" i="1" s="1"/>
  <c r="E402" i="1"/>
  <c r="M401" i="1"/>
  <c r="O401" i="1" s="1"/>
  <c r="L401" i="1"/>
  <c r="N401" i="1" s="1"/>
  <c r="E401" i="1"/>
  <c r="M400" i="1"/>
  <c r="O400" i="1" s="1"/>
  <c r="L400" i="1"/>
  <c r="N400" i="1" s="1"/>
  <c r="E400" i="1"/>
  <c r="M399" i="1"/>
  <c r="O399" i="1" s="1"/>
  <c r="L399" i="1"/>
  <c r="N399" i="1" s="1"/>
  <c r="E399" i="1"/>
  <c r="M398" i="1"/>
  <c r="O398" i="1" s="1"/>
  <c r="L398" i="1"/>
  <c r="N398" i="1" s="1"/>
  <c r="E398" i="1"/>
  <c r="M397" i="1"/>
  <c r="O397" i="1" s="1"/>
  <c r="L397" i="1"/>
  <c r="N397" i="1" s="1"/>
  <c r="E397" i="1"/>
  <c r="M396" i="1"/>
  <c r="O396" i="1" s="1"/>
  <c r="L396" i="1"/>
  <c r="N396" i="1" s="1"/>
  <c r="E396" i="1"/>
  <c r="M395" i="1"/>
  <c r="O395" i="1" s="1"/>
  <c r="L395" i="1"/>
  <c r="N395" i="1" s="1"/>
  <c r="E395" i="1"/>
  <c r="M394" i="1"/>
  <c r="O394" i="1" s="1"/>
  <c r="L394" i="1"/>
  <c r="N394" i="1" s="1"/>
  <c r="E394" i="1"/>
  <c r="E393" i="1"/>
  <c r="M392" i="1"/>
  <c r="O392" i="1" s="1"/>
  <c r="L392" i="1"/>
  <c r="N392" i="1" s="1"/>
  <c r="E392" i="1"/>
  <c r="M391" i="1"/>
  <c r="O391" i="1" s="1"/>
  <c r="L391" i="1"/>
  <c r="N391" i="1" s="1"/>
  <c r="E391" i="1"/>
  <c r="M390" i="1"/>
  <c r="O390" i="1" s="1"/>
  <c r="L390" i="1"/>
  <c r="N390" i="1" s="1"/>
  <c r="E390" i="1"/>
  <c r="M389" i="1"/>
  <c r="O389" i="1" s="1"/>
  <c r="L389" i="1"/>
  <c r="N389" i="1" s="1"/>
  <c r="E389" i="1"/>
  <c r="L388" i="1"/>
  <c r="N388" i="1" s="1"/>
  <c r="K388" i="1"/>
  <c r="M388" i="1" s="1"/>
  <c r="O388" i="1" s="1"/>
  <c r="E388" i="1"/>
  <c r="M387" i="1"/>
  <c r="O387" i="1" s="1"/>
  <c r="L387" i="1"/>
  <c r="N387" i="1" s="1"/>
  <c r="E387" i="1"/>
  <c r="L386" i="1"/>
  <c r="N386" i="1" s="1"/>
  <c r="K386" i="1"/>
  <c r="M386" i="1" s="1"/>
  <c r="O386" i="1" s="1"/>
  <c r="E386" i="1"/>
  <c r="L385" i="1"/>
  <c r="N385" i="1" s="1"/>
  <c r="K385" i="1"/>
  <c r="M385" i="1" s="1"/>
  <c r="O385" i="1" s="1"/>
  <c r="E385" i="1"/>
  <c r="M384" i="1"/>
  <c r="O384" i="1" s="1"/>
  <c r="L384" i="1"/>
  <c r="N384" i="1" s="1"/>
  <c r="E384" i="1"/>
  <c r="M383" i="1"/>
  <c r="O383" i="1" s="1"/>
  <c r="L383" i="1"/>
  <c r="N383" i="1" s="1"/>
  <c r="E383" i="1"/>
  <c r="M382" i="1"/>
  <c r="O382" i="1" s="1"/>
  <c r="L382" i="1"/>
  <c r="N382" i="1" s="1"/>
  <c r="E382" i="1"/>
  <c r="M381" i="1"/>
  <c r="O381" i="1" s="1"/>
  <c r="L381" i="1"/>
  <c r="N381" i="1" s="1"/>
  <c r="E381" i="1"/>
  <c r="E380" i="1"/>
  <c r="M379" i="1"/>
  <c r="O379" i="1" s="1"/>
  <c r="L379" i="1"/>
  <c r="N379" i="1" s="1"/>
  <c r="E379" i="1"/>
  <c r="M378" i="1"/>
  <c r="O378" i="1" s="1"/>
  <c r="L378" i="1"/>
  <c r="N378" i="1" s="1"/>
  <c r="E378" i="1"/>
  <c r="E377" i="1"/>
  <c r="M376" i="1"/>
  <c r="O376" i="1" s="1"/>
  <c r="L376" i="1"/>
  <c r="N376" i="1" s="1"/>
  <c r="E376" i="1"/>
  <c r="M375" i="1"/>
  <c r="O375" i="1" s="1"/>
  <c r="L375" i="1"/>
  <c r="N375" i="1" s="1"/>
  <c r="E375" i="1"/>
  <c r="M374" i="1"/>
  <c r="O374" i="1" s="1"/>
  <c r="L374" i="1"/>
  <c r="N374" i="1" s="1"/>
  <c r="E374" i="1"/>
  <c r="M373" i="1"/>
  <c r="O373" i="1" s="1"/>
  <c r="L373" i="1"/>
  <c r="N373" i="1" s="1"/>
  <c r="E373" i="1"/>
  <c r="M372" i="1"/>
  <c r="O372" i="1" s="1"/>
  <c r="L372" i="1"/>
  <c r="N372" i="1" s="1"/>
  <c r="E372" i="1"/>
  <c r="M371" i="1"/>
  <c r="O371" i="1" s="1"/>
  <c r="L371" i="1"/>
  <c r="N371" i="1" s="1"/>
  <c r="E371" i="1"/>
  <c r="M370" i="1"/>
  <c r="O370" i="1" s="1"/>
  <c r="L370" i="1"/>
  <c r="N370" i="1" s="1"/>
  <c r="E370" i="1"/>
  <c r="M369" i="1"/>
  <c r="O369" i="1" s="1"/>
  <c r="L369" i="1"/>
  <c r="N369" i="1" s="1"/>
  <c r="E369" i="1"/>
  <c r="E368" i="1"/>
  <c r="K367" i="1"/>
  <c r="M367" i="1" s="1"/>
  <c r="O367" i="1" s="1"/>
  <c r="J367" i="1"/>
  <c r="L367" i="1" s="1"/>
  <c r="N367" i="1" s="1"/>
  <c r="E367" i="1"/>
  <c r="L366" i="1"/>
  <c r="N366" i="1" s="1"/>
  <c r="K366" i="1"/>
  <c r="M366" i="1" s="1"/>
  <c r="O366" i="1" s="1"/>
  <c r="E366" i="1"/>
  <c r="L365" i="1"/>
  <c r="N365" i="1" s="1"/>
  <c r="K365" i="1"/>
  <c r="M365" i="1" s="1"/>
  <c r="O365" i="1" s="1"/>
  <c r="E365" i="1"/>
  <c r="L364" i="1"/>
  <c r="N364" i="1" s="1"/>
  <c r="K364" i="1"/>
  <c r="M364" i="1" s="1"/>
  <c r="O364" i="1" s="1"/>
  <c r="E364" i="1"/>
  <c r="L363" i="1"/>
  <c r="N363" i="1" s="1"/>
  <c r="K363" i="1"/>
  <c r="M363" i="1" s="1"/>
  <c r="O363" i="1" s="1"/>
  <c r="E363" i="1"/>
  <c r="E362" i="1"/>
  <c r="L361" i="1"/>
  <c r="N361" i="1" s="1"/>
  <c r="K361" i="1"/>
  <c r="M361" i="1" s="1"/>
  <c r="O361" i="1" s="1"/>
  <c r="E361" i="1"/>
  <c r="M360" i="1"/>
  <c r="O360" i="1" s="1"/>
  <c r="L360" i="1"/>
  <c r="N360" i="1" s="1"/>
  <c r="K360" i="1"/>
  <c r="E360" i="1"/>
  <c r="L359" i="1"/>
  <c r="N359" i="1" s="1"/>
  <c r="K359" i="1"/>
  <c r="M359" i="1" s="1"/>
  <c r="O359" i="1" s="1"/>
  <c r="E359" i="1"/>
  <c r="E358" i="1"/>
  <c r="M357" i="1"/>
  <c r="O357" i="1" s="1"/>
  <c r="L357" i="1"/>
  <c r="N357" i="1" s="1"/>
  <c r="E357" i="1"/>
  <c r="L356" i="1"/>
  <c r="N356" i="1" s="1"/>
  <c r="K356" i="1"/>
  <c r="M356" i="1" s="1"/>
  <c r="O356" i="1" s="1"/>
  <c r="E356" i="1"/>
  <c r="L355" i="1"/>
  <c r="N355" i="1" s="1"/>
  <c r="K355" i="1"/>
  <c r="M355" i="1" s="1"/>
  <c r="O355" i="1" s="1"/>
  <c r="E355" i="1"/>
  <c r="M354" i="1"/>
  <c r="O354" i="1" s="1"/>
  <c r="L354" i="1"/>
  <c r="N354" i="1" s="1"/>
  <c r="E354" i="1"/>
  <c r="E353" i="1"/>
  <c r="L352" i="1"/>
  <c r="N352" i="1" s="1"/>
  <c r="K352" i="1"/>
  <c r="M352" i="1" s="1"/>
  <c r="O352" i="1" s="1"/>
  <c r="E352" i="1"/>
  <c r="M351" i="1"/>
  <c r="O351" i="1" s="1"/>
  <c r="L351" i="1"/>
  <c r="N351" i="1" s="1"/>
  <c r="K351" i="1"/>
  <c r="E351" i="1"/>
  <c r="L350" i="1"/>
  <c r="N350" i="1" s="1"/>
  <c r="K350" i="1"/>
  <c r="M350" i="1" s="1"/>
  <c r="O350" i="1" s="1"/>
  <c r="E350" i="1"/>
  <c r="L349" i="1"/>
  <c r="N349" i="1" s="1"/>
  <c r="K349" i="1"/>
  <c r="M349" i="1" s="1"/>
  <c r="O349" i="1" s="1"/>
  <c r="E349" i="1"/>
  <c r="E348" i="1"/>
  <c r="E347" i="1"/>
  <c r="M346" i="1"/>
  <c r="O346" i="1" s="1"/>
  <c r="L346" i="1"/>
  <c r="N346" i="1" s="1"/>
  <c r="E346" i="1"/>
  <c r="M345" i="1"/>
  <c r="O345" i="1" s="1"/>
  <c r="L345" i="1"/>
  <c r="N345" i="1" s="1"/>
  <c r="E345" i="1"/>
  <c r="M344" i="1"/>
  <c r="O343" i="1" s="1"/>
  <c r="L344" i="1"/>
  <c r="N344" i="1" s="1"/>
  <c r="E344" i="1"/>
  <c r="M343" i="1"/>
  <c r="L343" i="1"/>
  <c r="N343" i="1" s="1"/>
  <c r="E343" i="1"/>
  <c r="M342" i="1"/>
  <c r="O342" i="1" s="1"/>
  <c r="L342" i="1"/>
  <c r="N342" i="1" s="1"/>
  <c r="E342" i="1"/>
  <c r="M341" i="1"/>
  <c r="O341" i="1" s="1"/>
  <c r="L341" i="1"/>
  <c r="N341" i="1" s="1"/>
  <c r="E341" i="1"/>
  <c r="M340" i="1"/>
  <c r="O340" i="1" s="1"/>
  <c r="L340" i="1"/>
  <c r="N340" i="1" s="1"/>
  <c r="E340" i="1"/>
  <c r="M339" i="1"/>
  <c r="O339" i="1" s="1"/>
  <c r="L339" i="1"/>
  <c r="N339" i="1" s="1"/>
  <c r="E339" i="1"/>
  <c r="M338" i="1"/>
  <c r="O338" i="1" s="1"/>
  <c r="L338" i="1"/>
  <c r="N338" i="1" s="1"/>
  <c r="E338" i="1"/>
  <c r="M337" i="1"/>
  <c r="O337" i="1" s="1"/>
  <c r="L337" i="1"/>
  <c r="N337" i="1" s="1"/>
  <c r="E337" i="1"/>
  <c r="M336" i="1"/>
  <c r="O336" i="1" s="1"/>
  <c r="L336" i="1"/>
  <c r="N336" i="1" s="1"/>
  <c r="E336" i="1"/>
  <c r="M335" i="1"/>
  <c r="O335" i="1" s="1"/>
  <c r="L335" i="1"/>
  <c r="N335" i="1" s="1"/>
  <c r="E335" i="1"/>
  <c r="M334" i="1"/>
  <c r="O334" i="1" s="1"/>
  <c r="L334" i="1"/>
  <c r="N334" i="1" s="1"/>
  <c r="E334" i="1"/>
  <c r="M333" i="1"/>
  <c r="O333" i="1" s="1"/>
  <c r="L333" i="1"/>
  <c r="N333" i="1" s="1"/>
  <c r="E333" i="1"/>
  <c r="L332" i="1"/>
  <c r="N332" i="1" s="1"/>
  <c r="K332" i="1"/>
  <c r="M332" i="1" s="1"/>
  <c r="O332" i="1" s="1"/>
  <c r="E332" i="1"/>
  <c r="L331" i="1"/>
  <c r="N331" i="1" s="1"/>
  <c r="K331" i="1"/>
  <c r="M331" i="1" s="1"/>
  <c r="O331" i="1" s="1"/>
  <c r="E331" i="1"/>
  <c r="M330" i="1"/>
  <c r="O330" i="1" s="1"/>
  <c r="L330" i="1"/>
  <c r="N330" i="1" s="1"/>
  <c r="K330" i="1"/>
  <c r="E330" i="1"/>
  <c r="L329" i="1"/>
  <c r="N329" i="1" s="1"/>
  <c r="K329" i="1"/>
  <c r="M329" i="1" s="1"/>
  <c r="O329" i="1" s="1"/>
  <c r="E329" i="1"/>
  <c r="L328" i="1"/>
  <c r="N328" i="1" s="1"/>
  <c r="K328" i="1"/>
  <c r="M328" i="1" s="1"/>
  <c r="O328" i="1" s="1"/>
  <c r="E328" i="1"/>
  <c r="L327" i="1"/>
  <c r="N327" i="1" s="1"/>
  <c r="K327" i="1"/>
  <c r="M327" i="1" s="1"/>
  <c r="O327" i="1" s="1"/>
  <c r="E327" i="1"/>
  <c r="L326" i="1"/>
  <c r="N326" i="1" s="1"/>
  <c r="K326" i="1"/>
  <c r="M326" i="1" s="1"/>
  <c r="O326" i="1" s="1"/>
  <c r="E326" i="1"/>
  <c r="L325" i="1"/>
  <c r="N325" i="1" s="1"/>
  <c r="K325" i="1"/>
  <c r="M325" i="1" s="1"/>
  <c r="O325" i="1" s="1"/>
  <c r="E325" i="1"/>
  <c r="M324" i="1"/>
  <c r="O324" i="1" s="1"/>
  <c r="L324" i="1"/>
  <c r="N324" i="1" s="1"/>
  <c r="K324" i="1"/>
  <c r="E324" i="1"/>
  <c r="M323" i="1"/>
  <c r="O323" i="1" s="1"/>
  <c r="L323" i="1"/>
  <c r="N323" i="1" s="1"/>
  <c r="E323" i="1"/>
  <c r="L322" i="1"/>
  <c r="N322" i="1" s="1"/>
  <c r="K322" i="1"/>
  <c r="M322" i="1" s="1"/>
  <c r="O322" i="1" s="1"/>
  <c r="E322" i="1"/>
  <c r="M321" i="1"/>
  <c r="O321" i="1" s="1"/>
  <c r="L321" i="1"/>
  <c r="N321" i="1" s="1"/>
  <c r="E321" i="1"/>
  <c r="M320" i="1"/>
  <c r="O320" i="1" s="1"/>
  <c r="L320" i="1"/>
  <c r="N320" i="1" s="1"/>
  <c r="E320" i="1"/>
  <c r="M319" i="1"/>
  <c r="O319" i="1" s="1"/>
  <c r="L319" i="1"/>
  <c r="N319" i="1" s="1"/>
  <c r="E319" i="1"/>
  <c r="M318" i="1"/>
  <c r="O318" i="1" s="1"/>
  <c r="L318" i="1"/>
  <c r="N318" i="1" s="1"/>
  <c r="E318" i="1"/>
  <c r="M317" i="1"/>
  <c r="O317" i="1" s="1"/>
  <c r="L317" i="1"/>
  <c r="N317" i="1" s="1"/>
  <c r="E317" i="1"/>
  <c r="M316" i="1"/>
  <c r="O316" i="1" s="1"/>
  <c r="L316" i="1"/>
  <c r="N316" i="1" s="1"/>
  <c r="E316" i="1"/>
  <c r="M315" i="1"/>
  <c r="O315" i="1" s="1"/>
  <c r="L315" i="1"/>
  <c r="N315" i="1" s="1"/>
  <c r="E315" i="1"/>
  <c r="M314" i="1"/>
  <c r="O314" i="1" s="1"/>
  <c r="L314" i="1"/>
  <c r="N314" i="1" s="1"/>
  <c r="E314" i="1"/>
  <c r="M313" i="1"/>
  <c r="O313" i="1" s="1"/>
  <c r="L313" i="1"/>
  <c r="N313" i="1" s="1"/>
  <c r="E313" i="1"/>
  <c r="M312" i="1"/>
  <c r="O312" i="1" s="1"/>
  <c r="L312" i="1"/>
  <c r="N312" i="1" s="1"/>
  <c r="E312" i="1"/>
  <c r="E311" i="1"/>
  <c r="M310" i="1"/>
  <c r="O310" i="1" s="1"/>
  <c r="L310" i="1"/>
  <c r="N310" i="1" s="1"/>
  <c r="K310" i="1"/>
  <c r="E310" i="1"/>
  <c r="L309" i="1"/>
  <c r="N309" i="1" s="1"/>
  <c r="K309" i="1"/>
  <c r="M309" i="1" s="1"/>
  <c r="O309" i="1" s="1"/>
  <c r="E309" i="1"/>
  <c r="L308" i="1"/>
  <c r="N308" i="1" s="1"/>
  <c r="K308" i="1"/>
  <c r="M308" i="1" s="1"/>
  <c r="O308" i="1" s="1"/>
  <c r="E308" i="1"/>
  <c r="L307" i="1"/>
  <c r="N307" i="1" s="1"/>
  <c r="K307" i="1"/>
  <c r="M307" i="1" s="1"/>
  <c r="O307" i="1" s="1"/>
  <c r="E307" i="1"/>
  <c r="L306" i="1"/>
  <c r="N306" i="1" s="1"/>
  <c r="K306" i="1"/>
  <c r="M306" i="1" s="1"/>
  <c r="O306" i="1" s="1"/>
  <c r="E306" i="1"/>
  <c r="M305" i="1"/>
  <c r="O305" i="1" s="1"/>
  <c r="L305" i="1"/>
  <c r="N305" i="1" s="1"/>
  <c r="K305" i="1"/>
  <c r="E305" i="1"/>
  <c r="M304" i="1"/>
  <c r="O304" i="1" s="1"/>
  <c r="L304" i="1"/>
  <c r="N304" i="1" s="1"/>
  <c r="E304" i="1"/>
  <c r="M303" i="1"/>
  <c r="O303" i="1" s="1"/>
  <c r="L303" i="1"/>
  <c r="N303" i="1" s="1"/>
  <c r="E303" i="1"/>
  <c r="M302" i="1"/>
  <c r="O302" i="1" s="1"/>
  <c r="L302" i="1"/>
  <c r="N302" i="1" s="1"/>
  <c r="E302" i="1"/>
  <c r="L301" i="1"/>
  <c r="N301" i="1" s="1"/>
  <c r="K301" i="1"/>
  <c r="M301" i="1" s="1"/>
  <c r="O301" i="1" s="1"/>
  <c r="E301" i="1"/>
  <c r="M300" i="1"/>
  <c r="O300" i="1" s="1"/>
  <c r="L300" i="1"/>
  <c r="N300" i="1" s="1"/>
  <c r="E300" i="1"/>
  <c r="M299" i="1"/>
  <c r="O299" i="1" s="1"/>
  <c r="L299" i="1"/>
  <c r="N299" i="1" s="1"/>
  <c r="E299" i="1"/>
  <c r="L298" i="1"/>
  <c r="N298" i="1" s="1"/>
  <c r="K298" i="1"/>
  <c r="M298" i="1" s="1"/>
  <c r="O298" i="1" s="1"/>
  <c r="E298" i="1"/>
  <c r="M297" i="1"/>
  <c r="O297" i="1" s="1"/>
  <c r="L297" i="1"/>
  <c r="N297" i="1" s="1"/>
  <c r="K297" i="1"/>
  <c r="E297" i="1"/>
  <c r="E296" i="1"/>
  <c r="M295" i="1"/>
  <c r="O295" i="1" s="1"/>
  <c r="L295" i="1"/>
  <c r="N295" i="1" s="1"/>
  <c r="E295" i="1"/>
  <c r="M294" i="1"/>
  <c r="O294" i="1" s="1"/>
  <c r="L294" i="1"/>
  <c r="N294" i="1" s="1"/>
  <c r="E294" i="1"/>
  <c r="M293" i="1"/>
  <c r="O293" i="1" s="1"/>
  <c r="L293" i="1"/>
  <c r="N293" i="1" s="1"/>
  <c r="E293" i="1"/>
  <c r="M292" i="1"/>
  <c r="O292" i="1" s="1"/>
  <c r="L292" i="1"/>
  <c r="N292" i="1" s="1"/>
  <c r="E292" i="1"/>
  <c r="M291" i="1"/>
  <c r="O291" i="1" s="1"/>
  <c r="L291" i="1"/>
  <c r="N291" i="1" s="1"/>
  <c r="E291" i="1"/>
  <c r="M290" i="1"/>
  <c r="O290" i="1" s="1"/>
  <c r="L290" i="1"/>
  <c r="N290" i="1" s="1"/>
  <c r="E290" i="1"/>
  <c r="M289" i="1"/>
  <c r="O289" i="1" s="1"/>
  <c r="L289" i="1"/>
  <c r="N289" i="1" s="1"/>
  <c r="E289" i="1"/>
  <c r="M288" i="1"/>
  <c r="O288" i="1" s="1"/>
  <c r="L288" i="1"/>
  <c r="N288" i="1" s="1"/>
  <c r="E288" i="1"/>
  <c r="M287" i="1"/>
  <c r="O287" i="1" s="1"/>
  <c r="L287" i="1"/>
  <c r="N287" i="1" s="1"/>
  <c r="E287" i="1"/>
  <c r="M286" i="1"/>
  <c r="O286" i="1" s="1"/>
  <c r="L286" i="1"/>
  <c r="N286" i="1" s="1"/>
  <c r="E286" i="1"/>
  <c r="M285" i="1"/>
  <c r="O285" i="1" s="1"/>
  <c r="L285" i="1"/>
  <c r="N285" i="1" s="1"/>
  <c r="E285" i="1"/>
  <c r="M284" i="1"/>
  <c r="O284" i="1" s="1"/>
  <c r="L284" i="1"/>
  <c r="N284" i="1" s="1"/>
  <c r="E284" i="1"/>
  <c r="M283" i="1"/>
  <c r="O283" i="1" s="1"/>
  <c r="L283" i="1"/>
  <c r="N283" i="1" s="1"/>
  <c r="E283" i="1"/>
  <c r="M282" i="1"/>
  <c r="O282" i="1" s="1"/>
  <c r="L282" i="1"/>
  <c r="N282" i="1" s="1"/>
  <c r="E282" i="1"/>
  <c r="M281" i="1"/>
  <c r="O281" i="1" s="1"/>
  <c r="L281" i="1"/>
  <c r="N281" i="1" s="1"/>
  <c r="E281" i="1"/>
  <c r="M280" i="1"/>
  <c r="O280" i="1" s="1"/>
  <c r="L280" i="1"/>
  <c r="N280" i="1" s="1"/>
  <c r="E280" i="1"/>
  <c r="M279" i="1"/>
  <c r="O279" i="1" s="1"/>
  <c r="L279" i="1"/>
  <c r="N279" i="1" s="1"/>
  <c r="E279" i="1"/>
  <c r="M278" i="1"/>
  <c r="O278" i="1" s="1"/>
  <c r="L278" i="1"/>
  <c r="N278" i="1" s="1"/>
  <c r="E278" i="1"/>
  <c r="M277" i="1"/>
  <c r="O277" i="1" s="1"/>
  <c r="L277" i="1"/>
  <c r="N277" i="1" s="1"/>
  <c r="E277" i="1"/>
  <c r="M276" i="1"/>
  <c r="O276" i="1" s="1"/>
  <c r="L276" i="1"/>
  <c r="N276" i="1" s="1"/>
  <c r="E276" i="1"/>
  <c r="M275" i="1"/>
  <c r="O275" i="1" s="1"/>
  <c r="L275" i="1"/>
  <c r="N275" i="1" s="1"/>
  <c r="E275" i="1"/>
  <c r="M274" i="1"/>
  <c r="O274" i="1" s="1"/>
  <c r="L274" i="1"/>
  <c r="N274" i="1" s="1"/>
  <c r="E274" i="1"/>
  <c r="M273" i="1"/>
  <c r="O273" i="1" s="1"/>
  <c r="L273" i="1"/>
  <c r="N273" i="1" s="1"/>
  <c r="E273" i="1"/>
  <c r="M272" i="1"/>
  <c r="O272" i="1" s="1"/>
  <c r="L272" i="1"/>
  <c r="N272" i="1" s="1"/>
  <c r="E272" i="1"/>
  <c r="M271" i="1"/>
  <c r="O271" i="1" s="1"/>
  <c r="L271" i="1"/>
  <c r="N271" i="1" s="1"/>
  <c r="E271" i="1"/>
  <c r="M270" i="1"/>
  <c r="O270" i="1" s="1"/>
  <c r="L270" i="1"/>
  <c r="N270" i="1" s="1"/>
  <c r="E270" i="1"/>
  <c r="M269" i="1"/>
  <c r="O269" i="1" s="1"/>
  <c r="L269" i="1"/>
  <c r="N269" i="1" s="1"/>
  <c r="E269" i="1"/>
  <c r="M268" i="1"/>
  <c r="O268" i="1" s="1"/>
  <c r="L268" i="1"/>
  <c r="N268" i="1" s="1"/>
  <c r="E268" i="1"/>
  <c r="M267" i="1"/>
  <c r="O267" i="1" s="1"/>
  <c r="L267" i="1"/>
  <c r="N267" i="1" s="1"/>
  <c r="E267" i="1"/>
  <c r="M266" i="1"/>
  <c r="O266" i="1" s="1"/>
  <c r="L266" i="1"/>
  <c r="N266" i="1" s="1"/>
  <c r="E266" i="1"/>
  <c r="M265" i="1"/>
  <c r="O265" i="1" s="1"/>
  <c r="L265" i="1"/>
  <c r="N265" i="1" s="1"/>
  <c r="E265" i="1"/>
  <c r="M264" i="1"/>
  <c r="O264" i="1" s="1"/>
  <c r="L264" i="1"/>
  <c r="N264" i="1" s="1"/>
  <c r="E264" i="1"/>
  <c r="M263" i="1"/>
  <c r="O263" i="1" s="1"/>
  <c r="L263" i="1"/>
  <c r="N263" i="1" s="1"/>
  <c r="E263" i="1"/>
  <c r="M262" i="1"/>
  <c r="O262" i="1" s="1"/>
  <c r="L262" i="1"/>
  <c r="N262" i="1" s="1"/>
  <c r="E262" i="1"/>
  <c r="M261" i="1"/>
  <c r="O261" i="1" s="1"/>
  <c r="L261" i="1"/>
  <c r="N261" i="1" s="1"/>
  <c r="E261" i="1"/>
  <c r="M260" i="1"/>
  <c r="O260" i="1" s="1"/>
  <c r="L260" i="1"/>
  <c r="N260" i="1" s="1"/>
  <c r="E260" i="1"/>
  <c r="M259" i="1"/>
  <c r="O259" i="1" s="1"/>
  <c r="L259" i="1"/>
  <c r="N259" i="1" s="1"/>
  <c r="E259" i="1"/>
  <c r="M258" i="1"/>
  <c r="O258" i="1" s="1"/>
  <c r="L258" i="1"/>
  <c r="N258" i="1" s="1"/>
  <c r="E258" i="1"/>
  <c r="M257" i="1"/>
  <c r="O257" i="1" s="1"/>
  <c r="L257" i="1"/>
  <c r="N257" i="1" s="1"/>
  <c r="E257" i="1"/>
  <c r="M256" i="1"/>
  <c r="O256" i="1" s="1"/>
  <c r="L256" i="1"/>
  <c r="N256" i="1" s="1"/>
  <c r="M255" i="1"/>
  <c r="O255" i="1" s="1"/>
  <c r="L255" i="1"/>
  <c r="N255" i="1" s="1"/>
  <c r="E255" i="1"/>
  <c r="E254" i="1"/>
  <c r="E253" i="1"/>
  <c r="M252" i="1"/>
  <c r="O252" i="1" s="1"/>
  <c r="L252" i="1"/>
  <c r="N252" i="1" s="1"/>
  <c r="E252" i="1"/>
  <c r="M251" i="1"/>
  <c r="O251" i="1" s="1"/>
  <c r="L251" i="1"/>
  <c r="N251" i="1" s="1"/>
  <c r="E251" i="1"/>
  <c r="M250" i="1"/>
  <c r="O250" i="1" s="1"/>
  <c r="L250" i="1"/>
  <c r="N250" i="1" s="1"/>
  <c r="E250" i="1"/>
  <c r="M249" i="1"/>
  <c r="O249" i="1" s="1"/>
  <c r="L249" i="1"/>
  <c r="N249" i="1" s="1"/>
  <c r="E249" i="1"/>
  <c r="M248" i="1"/>
  <c r="O248" i="1" s="1"/>
  <c r="L248" i="1"/>
  <c r="N248" i="1" s="1"/>
  <c r="E248" i="1"/>
  <c r="M247" i="1"/>
  <c r="O247" i="1" s="1"/>
  <c r="L247" i="1"/>
  <c r="N247" i="1" s="1"/>
  <c r="E247" i="1"/>
  <c r="M246" i="1"/>
  <c r="O246" i="1" s="1"/>
  <c r="L246" i="1"/>
  <c r="N246" i="1" s="1"/>
  <c r="E246" i="1"/>
  <c r="M245" i="1"/>
  <c r="O245" i="1" s="1"/>
  <c r="L245" i="1"/>
  <c r="N245" i="1" s="1"/>
  <c r="E245" i="1"/>
  <c r="E244" i="1"/>
  <c r="M243" i="1"/>
  <c r="O243" i="1" s="1"/>
  <c r="L243" i="1"/>
  <c r="N243" i="1" s="1"/>
  <c r="E243" i="1"/>
  <c r="M242" i="1"/>
  <c r="O242" i="1" s="1"/>
  <c r="L242" i="1"/>
  <c r="N242" i="1" s="1"/>
  <c r="E242" i="1"/>
  <c r="M241" i="1"/>
  <c r="O241" i="1" s="1"/>
  <c r="L241" i="1"/>
  <c r="N241" i="1" s="1"/>
  <c r="E241" i="1"/>
  <c r="M240" i="1"/>
  <c r="O240" i="1" s="1"/>
  <c r="L240" i="1"/>
  <c r="N240" i="1" s="1"/>
  <c r="E240" i="1"/>
  <c r="M239" i="1"/>
  <c r="O239" i="1" s="1"/>
  <c r="L239" i="1"/>
  <c r="N239" i="1" s="1"/>
  <c r="E239" i="1"/>
  <c r="M238" i="1"/>
  <c r="O238" i="1" s="1"/>
  <c r="L238" i="1"/>
  <c r="N238" i="1" s="1"/>
  <c r="E238" i="1"/>
  <c r="M237" i="1"/>
  <c r="O237" i="1" s="1"/>
  <c r="L237" i="1"/>
  <c r="N237" i="1" s="1"/>
  <c r="E237" i="1"/>
  <c r="M236" i="1"/>
  <c r="O236" i="1" s="1"/>
  <c r="L236" i="1"/>
  <c r="N236" i="1" s="1"/>
  <c r="E236" i="1"/>
  <c r="E235" i="1"/>
  <c r="M234" i="1"/>
  <c r="O234" i="1" s="1"/>
  <c r="L234" i="1"/>
  <c r="N234" i="1" s="1"/>
  <c r="E234" i="1"/>
  <c r="M233" i="1"/>
  <c r="O233" i="1" s="1"/>
  <c r="L233" i="1"/>
  <c r="N233" i="1" s="1"/>
  <c r="E233" i="1"/>
  <c r="M232" i="1"/>
  <c r="O232" i="1" s="1"/>
  <c r="L232" i="1"/>
  <c r="N232" i="1" s="1"/>
  <c r="E232" i="1"/>
  <c r="M231" i="1"/>
  <c r="O231" i="1" s="1"/>
  <c r="L231" i="1"/>
  <c r="N231" i="1" s="1"/>
  <c r="E231" i="1"/>
  <c r="M230" i="1"/>
  <c r="O230" i="1" s="1"/>
  <c r="L230" i="1"/>
  <c r="N230" i="1" s="1"/>
  <c r="E230" i="1"/>
  <c r="M229" i="1"/>
  <c r="O229" i="1" s="1"/>
  <c r="L229" i="1"/>
  <c r="N229" i="1" s="1"/>
  <c r="E229" i="1"/>
  <c r="M228" i="1"/>
  <c r="O228" i="1" s="1"/>
  <c r="L228" i="1"/>
  <c r="N228" i="1" s="1"/>
  <c r="E228" i="1"/>
  <c r="M227" i="1"/>
  <c r="O227" i="1" s="1"/>
  <c r="L227" i="1"/>
  <c r="N227" i="1" s="1"/>
  <c r="E227" i="1"/>
  <c r="M226" i="1"/>
  <c r="O226" i="1" s="1"/>
  <c r="L226" i="1"/>
  <c r="N226" i="1" s="1"/>
  <c r="E226" i="1"/>
  <c r="M225" i="1"/>
  <c r="O225" i="1" s="1"/>
  <c r="L225" i="1"/>
  <c r="N225" i="1" s="1"/>
  <c r="E225" i="1"/>
  <c r="M224" i="1"/>
  <c r="O224" i="1" s="1"/>
  <c r="L224" i="1"/>
  <c r="N224" i="1" s="1"/>
  <c r="E224" i="1"/>
  <c r="M223" i="1"/>
  <c r="O223" i="1" s="1"/>
  <c r="L223" i="1"/>
  <c r="N223" i="1" s="1"/>
  <c r="E223" i="1"/>
  <c r="M222" i="1"/>
  <c r="O222" i="1" s="1"/>
  <c r="L222" i="1"/>
  <c r="N222" i="1" s="1"/>
  <c r="E222" i="1"/>
  <c r="E221" i="1"/>
  <c r="M220" i="1"/>
  <c r="O220" i="1" s="1"/>
  <c r="L220" i="1"/>
  <c r="N220" i="1" s="1"/>
  <c r="E220" i="1"/>
  <c r="M219" i="1"/>
  <c r="O219" i="1" s="1"/>
  <c r="L219" i="1"/>
  <c r="N219" i="1" s="1"/>
  <c r="E219" i="1"/>
  <c r="M218" i="1"/>
  <c r="O218" i="1" s="1"/>
  <c r="L218" i="1"/>
  <c r="N218" i="1" s="1"/>
  <c r="E218" i="1"/>
  <c r="M217" i="1"/>
  <c r="O217" i="1" s="1"/>
  <c r="L217" i="1"/>
  <c r="N217" i="1" s="1"/>
  <c r="E217" i="1"/>
  <c r="M216" i="1"/>
  <c r="O216" i="1" s="1"/>
  <c r="L216" i="1"/>
  <c r="N216" i="1" s="1"/>
  <c r="E216" i="1"/>
  <c r="E215" i="1"/>
  <c r="M214" i="1"/>
  <c r="O214" i="1" s="1"/>
  <c r="L214" i="1"/>
  <c r="N214" i="1" s="1"/>
  <c r="E214" i="1"/>
  <c r="M213" i="1"/>
  <c r="O213" i="1" s="1"/>
  <c r="L213" i="1"/>
  <c r="N213" i="1" s="1"/>
  <c r="E213" i="1"/>
  <c r="M212" i="1"/>
  <c r="O212" i="1" s="1"/>
  <c r="L212" i="1"/>
  <c r="N212" i="1" s="1"/>
  <c r="E212" i="1"/>
  <c r="M211" i="1"/>
  <c r="O211" i="1" s="1"/>
  <c r="L211" i="1"/>
  <c r="N211" i="1" s="1"/>
  <c r="E211" i="1"/>
  <c r="M210" i="1"/>
  <c r="O210" i="1" s="1"/>
  <c r="L210" i="1"/>
  <c r="N210" i="1" s="1"/>
  <c r="E210" i="1"/>
  <c r="M209" i="1"/>
  <c r="O209" i="1" s="1"/>
  <c r="L209" i="1"/>
  <c r="N209" i="1" s="1"/>
  <c r="E209" i="1"/>
  <c r="M208" i="1"/>
  <c r="O208" i="1" s="1"/>
  <c r="L208" i="1"/>
  <c r="N208" i="1" s="1"/>
  <c r="E208" i="1"/>
  <c r="M207" i="1"/>
  <c r="O207" i="1" s="1"/>
  <c r="L207" i="1"/>
  <c r="N207" i="1" s="1"/>
  <c r="E207" i="1"/>
  <c r="M206" i="1"/>
  <c r="O206" i="1" s="1"/>
  <c r="L206" i="1"/>
  <c r="N206" i="1" s="1"/>
  <c r="E206" i="1"/>
  <c r="E205" i="1"/>
  <c r="M204" i="1"/>
  <c r="O204" i="1" s="1"/>
  <c r="L204" i="1"/>
  <c r="N204" i="1" s="1"/>
  <c r="E204" i="1"/>
  <c r="M203" i="1"/>
  <c r="O203" i="1" s="1"/>
  <c r="L203" i="1"/>
  <c r="N203" i="1" s="1"/>
  <c r="E203" i="1"/>
  <c r="M202" i="1"/>
  <c r="O202" i="1" s="1"/>
  <c r="L202" i="1"/>
  <c r="N202" i="1" s="1"/>
  <c r="E202" i="1"/>
  <c r="M201" i="1"/>
  <c r="O201" i="1" s="1"/>
  <c r="L201" i="1"/>
  <c r="N201" i="1" s="1"/>
  <c r="E201" i="1"/>
  <c r="M200" i="1"/>
  <c r="O200" i="1" s="1"/>
  <c r="L200" i="1"/>
  <c r="N200" i="1" s="1"/>
  <c r="E200" i="1"/>
  <c r="M199" i="1"/>
  <c r="O199" i="1" s="1"/>
  <c r="L199" i="1"/>
  <c r="N199" i="1" s="1"/>
  <c r="E199" i="1"/>
  <c r="M198" i="1"/>
  <c r="O198" i="1" s="1"/>
  <c r="L198" i="1"/>
  <c r="N198" i="1" s="1"/>
  <c r="E198" i="1"/>
  <c r="M197" i="1"/>
  <c r="O197" i="1" s="1"/>
  <c r="L197" i="1"/>
  <c r="N197" i="1" s="1"/>
  <c r="E197" i="1"/>
  <c r="M196" i="1"/>
  <c r="O196" i="1" s="1"/>
  <c r="L196" i="1"/>
  <c r="N196" i="1" s="1"/>
  <c r="E196" i="1"/>
  <c r="M195" i="1"/>
  <c r="O195" i="1" s="1"/>
  <c r="L195" i="1"/>
  <c r="N195" i="1" s="1"/>
  <c r="E195" i="1"/>
  <c r="M194" i="1"/>
  <c r="O194" i="1" s="1"/>
  <c r="L194" i="1"/>
  <c r="N194" i="1" s="1"/>
  <c r="E194" i="1"/>
  <c r="M193" i="1"/>
  <c r="O193" i="1" s="1"/>
  <c r="L193" i="1"/>
  <c r="N193" i="1" s="1"/>
  <c r="E193" i="1"/>
  <c r="M192" i="1"/>
  <c r="O192" i="1" s="1"/>
  <c r="L192" i="1"/>
  <c r="N192" i="1" s="1"/>
  <c r="E192" i="1"/>
  <c r="M191" i="1"/>
  <c r="O191" i="1" s="1"/>
  <c r="L191" i="1"/>
  <c r="N191" i="1" s="1"/>
  <c r="E191" i="1"/>
  <c r="E190" i="1"/>
  <c r="M189" i="1"/>
  <c r="O189" i="1" s="1"/>
  <c r="L189" i="1"/>
  <c r="N189" i="1" s="1"/>
  <c r="E189" i="1"/>
  <c r="M188" i="1"/>
  <c r="O188" i="1" s="1"/>
  <c r="L188" i="1"/>
  <c r="N188" i="1" s="1"/>
  <c r="E188" i="1"/>
  <c r="M187" i="1"/>
  <c r="O187" i="1" s="1"/>
  <c r="L187" i="1"/>
  <c r="N187" i="1" s="1"/>
  <c r="E187" i="1"/>
  <c r="M186" i="1"/>
  <c r="O186" i="1" s="1"/>
  <c r="L186" i="1"/>
  <c r="N186" i="1" s="1"/>
  <c r="E186" i="1"/>
  <c r="M185" i="1"/>
  <c r="O185" i="1" s="1"/>
  <c r="L185" i="1"/>
  <c r="N185" i="1" s="1"/>
  <c r="E185" i="1"/>
  <c r="E184" i="1"/>
  <c r="M183" i="1"/>
  <c r="O183" i="1" s="1"/>
  <c r="L183" i="1"/>
  <c r="N183" i="1" s="1"/>
  <c r="E183" i="1"/>
  <c r="M182" i="1"/>
  <c r="O182" i="1" s="1"/>
  <c r="L182" i="1"/>
  <c r="N182" i="1" s="1"/>
  <c r="E182" i="1"/>
  <c r="M181" i="1"/>
  <c r="O181" i="1" s="1"/>
  <c r="L181" i="1"/>
  <c r="N181" i="1" s="1"/>
  <c r="E181" i="1"/>
  <c r="M180" i="1"/>
  <c r="O180" i="1" s="1"/>
  <c r="L180" i="1"/>
  <c r="N180" i="1" s="1"/>
  <c r="E180" i="1"/>
  <c r="M179" i="1"/>
  <c r="O179" i="1" s="1"/>
  <c r="L179" i="1"/>
  <c r="N179" i="1" s="1"/>
  <c r="E179" i="1"/>
  <c r="M178" i="1"/>
  <c r="O178" i="1" s="1"/>
  <c r="L178" i="1"/>
  <c r="N178" i="1" s="1"/>
  <c r="E178" i="1"/>
  <c r="M177" i="1"/>
  <c r="O177" i="1" s="1"/>
  <c r="L177" i="1"/>
  <c r="N177" i="1" s="1"/>
  <c r="E177" i="1"/>
  <c r="M176" i="1"/>
  <c r="O176" i="1" s="1"/>
  <c r="L176" i="1"/>
  <c r="N176" i="1" s="1"/>
  <c r="E176" i="1"/>
  <c r="M175" i="1"/>
  <c r="O175" i="1" s="1"/>
  <c r="L175" i="1"/>
  <c r="N175" i="1" s="1"/>
  <c r="E175" i="1"/>
  <c r="E174" i="1"/>
  <c r="M173" i="1"/>
  <c r="O173" i="1" s="1"/>
  <c r="L173" i="1"/>
  <c r="N173" i="1" s="1"/>
  <c r="E173" i="1"/>
  <c r="M172" i="1"/>
  <c r="O172" i="1" s="1"/>
  <c r="L172" i="1"/>
  <c r="N172" i="1" s="1"/>
  <c r="E172" i="1"/>
  <c r="M171" i="1"/>
  <c r="O171" i="1" s="1"/>
  <c r="L171" i="1"/>
  <c r="N171" i="1" s="1"/>
  <c r="E171" i="1"/>
  <c r="M170" i="1"/>
  <c r="O170" i="1" s="1"/>
  <c r="L170" i="1"/>
  <c r="N170" i="1" s="1"/>
  <c r="E170" i="1"/>
  <c r="M169" i="1"/>
  <c r="O169" i="1" s="1"/>
  <c r="L169" i="1"/>
  <c r="N169" i="1" s="1"/>
  <c r="E169" i="1"/>
  <c r="M168" i="1"/>
  <c r="O168" i="1" s="1"/>
  <c r="L168" i="1"/>
  <c r="N168" i="1" s="1"/>
  <c r="E168" i="1"/>
  <c r="M167" i="1"/>
  <c r="O167" i="1" s="1"/>
  <c r="L167" i="1"/>
  <c r="N167" i="1" s="1"/>
  <c r="E167" i="1"/>
  <c r="M166" i="1"/>
  <c r="O166" i="1" s="1"/>
  <c r="L166" i="1"/>
  <c r="N166" i="1" s="1"/>
  <c r="E166" i="1"/>
  <c r="M165" i="1"/>
  <c r="O165" i="1" s="1"/>
  <c r="L165" i="1"/>
  <c r="N165" i="1" s="1"/>
  <c r="E165" i="1"/>
  <c r="E164" i="1"/>
  <c r="M163" i="1"/>
  <c r="O163" i="1" s="1"/>
  <c r="L163" i="1"/>
  <c r="N163" i="1" s="1"/>
  <c r="E163" i="1"/>
  <c r="M162" i="1"/>
  <c r="O162" i="1" s="1"/>
  <c r="L162" i="1"/>
  <c r="N162" i="1" s="1"/>
  <c r="E162" i="1"/>
  <c r="M161" i="1"/>
  <c r="O161" i="1" s="1"/>
  <c r="L161" i="1"/>
  <c r="N161" i="1" s="1"/>
  <c r="E161" i="1"/>
  <c r="M160" i="1"/>
  <c r="O160" i="1" s="1"/>
  <c r="L160" i="1"/>
  <c r="N160" i="1" s="1"/>
  <c r="E160" i="1"/>
  <c r="M159" i="1"/>
  <c r="O159" i="1" s="1"/>
  <c r="L159" i="1"/>
  <c r="N159" i="1" s="1"/>
  <c r="E159" i="1"/>
  <c r="M158" i="1"/>
  <c r="O158" i="1" s="1"/>
  <c r="L158" i="1"/>
  <c r="N158" i="1" s="1"/>
  <c r="E158" i="1"/>
  <c r="M157" i="1"/>
  <c r="O157" i="1" s="1"/>
  <c r="L157" i="1"/>
  <c r="N157" i="1" s="1"/>
  <c r="E157" i="1"/>
  <c r="M156" i="1"/>
  <c r="O156" i="1" s="1"/>
  <c r="L156" i="1"/>
  <c r="N156" i="1" s="1"/>
  <c r="E156" i="1"/>
  <c r="M155" i="1"/>
  <c r="O155" i="1" s="1"/>
  <c r="L155" i="1"/>
  <c r="N155" i="1" s="1"/>
  <c r="E155" i="1"/>
  <c r="M154" i="1"/>
  <c r="O154" i="1" s="1"/>
  <c r="L154" i="1"/>
  <c r="N154" i="1" s="1"/>
  <c r="E154" i="1"/>
  <c r="M153" i="1"/>
  <c r="O153" i="1" s="1"/>
  <c r="L153" i="1"/>
  <c r="N153" i="1" s="1"/>
  <c r="E153" i="1"/>
  <c r="M152" i="1"/>
  <c r="O152" i="1" s="1"/>
  <c r="L152" i="1"/>
  <c r="N152" i="1" s="1"/>
  <c r="E152" i="1"/>
  <c r="M151" i="1"/>
  <c r="O151" i="1" s="1"/>
  <c r="L151" i="1"/>
  <c r="N151" i="1" s="1"/>
  <c r="E151" i="1"/>
  <c r="M150" i="1"/>
  <c r="O150" i="1" s="1"/>
  <c r="L150" i="1"/>
  <c r="N150" i="1" s="1"/>
  <c r="E150" i="1"/>
  <c r="M149" i="1"/>
  <c r="O149" i="1" s="1"/>
  <c r="L149" i="1"/>
  <c r="N149" i="1" s="1"/>
  <c r="E149" i="1"/>
  <c r="M148" i="1"/>
  <c r="O148" i="1" s="1"/>
  <c r="L148" i="1"/>
  <c r="N148" i="1" s="1"/>
  <c r="E148" i="1"/>
  <c r="M147" i="1"/>
  <c r="O147" i="1" s="1"/>
  <c r="L147" i="1"/>
  <c r="N147" i="1" s="1"/>
  <c r="E147" i="1"/>
  <c r="E146" i="1"/>
  <c r="M145" i="1"/>
  <c r="O145" i="1" s="1"/>
  <c r="L145" i="1"/>
  <c r="N145" i="1" s="1"/>
  <c r="E145" i="1"/>
  <c r="M144" i="1"/>
  <c r="O144" i="1" s="1"/>
  <c r="L144" i="1"/>
  <c r="N144" i="1" s="1"/>
  <c r="E144" i="1"/>
  <c r="M143" i="1"/>
  <c r="O143" i="1" s="1"/>
  <c r="L143" i="1"/>
  <c r="N143" i="1" s="1"/>
  <c r="E143" i="1"/>
  <c r="M142" i="1"/>
  <c r="O142" i="1" s="1"/>
  <c r="L142" i="1"/>
  <c r="N142" i="1" s="1"/>
  <c r="E142" i="1"/>
  <c r="M141" i="1"/>
  <c r="O141" i="1" s="1"/>
  <c r="L141" i="1"/>
  <c r="N141" i="1" s="1"/>
  <c r="E141" i="1"/>
  <c r="M140" i="1"/>
  <c r="O140" i="1" s="1"/>
  <c r="L140" i="1"/>
  <c r="N140" i="1" s="1"/>
  <c r="E140" i="1"/>
  <c r="M139" i="1"/>
  <c r="O139" i="1" s="1"/>
  <c r="L139" i="1"/>
  <c r="N139" i="1" s="1"/>
  <c r="E139" i="1"/>
  <c r="M138" i="1"/>
  <c r="O138" i="1" s="1"/>
  <c r="L138" i="1"/>
  <c r="N138" i="1" s="1"/>
  <c r="E138" i="1"/>
  <c r="M137" i="1"/>
  <c r="O137" i="1" s="1"/>
  <c r="L137" i="1"/>
  <c r="N137" i="1" s="1"/>
  <c r="E137" i="1"/>
  <c r="M136" i="1"/>
  <c r="O136" i="1" s="1"/>
  <c r="L136" i="1"/>
  <c r="N136" i="1" s="1"/>
  <c r="E136" i="1"/>
  <c r="M135" i="1"/>
  <c r="O135" i="1" s="1"/>
  <c r="L135" i="1"/>
  <c r="N135" i="1" s="1"/>
  <c r="E135" i="1"/>
  <c r="M134" i="1"/>
  <c r="O134" i="1" s="1"/>
  <c r="L134" i="1"/>
  <c r="N134" i="1" s="1"/>
  <c r="E134" i="1"/>
  <c r="M133" i="1"/>
  <c r="O133" i="1" s="1"/>
  <c r="L133" i="1"/>
  <c r="N133" i="1" s="1"/>
  <c r="E133" i="1"/>
  <c r="M132" i="1"/>
  <c r="O132" i="1" s="1"/>
  <c r="L132" i="1"/>
  <c r="N132" i="1" s="1"/>
  <c r="E132" i="1"/>
  <c r="M131" i="1"/>
  <c r="O131" i="1" s="1"/>
  <c r="L131" i="1"/>
  <c r="N131" i="1" s="1"/>
  <c r="E131" i="1"/>
  <c r="M130" i="1"/>
  <c r="O130" i="1" s="1"/>
  <c r="L130" i="1"/>
  <c r="N130" i="1" s="1"/>
  <c r="E130" i="1"/>
  <c r="M129" i="1"/>
  <c r="O129" i="1" s="1"/>
  <c r="L129" i="1"/>
  <c r="N129" i="1" s="1"/>
  <c r="E129" i="1"/>
  <c r="E128" i="1"/>
  <c r="M127" i="1"/>
  <c r="O127" i="1" s="1"/>
  <c r="L127" i="1"/>
  <c r="N127" i="1" s="1"/>
  <c r="E127" i="1"/>
  <c r="M126" i="1"/>
  <c r="O126" i="1" s="1"/>
  <c r="L126" i="1"/>
  <c r="N126" i="1" s="1"/>
  <c r="E126" i="1"/>
  <c r="M125" i="1"/>
  <c r="O125" i="1" s="1"/>
  <c r="L125" i="1"/>
  <c r="N125" i="1" s="1"/>
  <c r="E125" i="1"/>
  <c r="M124" i="1"/>
  <c r="O124" i="1" s="1"/>
  <c r="L124" i="1"/>
  <c r="N124" i="1" s="1"/>
  <c r="E124" i="1"/>
  <c r="M123" i="1"/>
  <c r="O123" i="1" s="1"/>
  <c r="L123" i="1"/>
  <c r="N123" i="1" s="1"/>
  <c r="E123" i="1"/>
  <c r="M122" i="1"/>
  <c r="O122" i="1" s="1"/>
  <c r="L122" i="1"/>
  <c r="N122" i="1" s="1"/>
  <c r="E122" i="1"/>
  <c r="M121" i="1"/>
  <c r="O121" i="1" s="1"/>
  <c r="L121" i="1"/>
  <c r="N121" i="1" s="1"/>
  <c r="E121" i="1"/>
  <c r="M120" i="1"/>
  <c r="O120" i="1" s="1"/>
  <c r="L120" i="1"/>
  <c r="N120" i="1" s="1"/>
  <c r="E120" i="1"/>
  <c r="M119" i="1"/>
  <c r="O119" i="1" s="1"/>
  <c r="L119" i="1"/>
  <c r="N119" i="1" s="1"/>
  <c r="E119" i="1"/>
  <c r="M118" i="1"/>
  <c r="O118" i="1" s="1"/>
  <c r="L118" i="1"/>
  <c r="N118" i="1" s="1"/>
  <c r="E118" i="1"/>
  <c r="M117" i="1"/>
  <c r="O117" i="1" s="1"/>
  <c r="L117" i="1"/>
  <c r="N117" i="1" s="1"/>
  <c r="E117" i="1"/>
  <c r="M116" i="1"/>
  <c r="O116" i="1" s="1"/>
  <c r="L116" i="1"/>
  <c r="N116" i="1" s="1"/>
  <c r="E116" i="1"/>
  <c r="M115" i="1"/>
  <c r="O115" i="1" s="1"/>
  <c r="L115" i="1"/>
  <c r="N115" i="1" s="1"/>
  <c r="E115" i="1"/>
  <c r="M114" i="1"/>
  <c r="O114" i="1" s="1"/>
  <c r="L114" i="1"/>
  <c r="N114" i="1" s="1"/>
  <c r="E114" i="1"/>
  <c r="M113" i="1"/>
  <c r="O113" i="1" s="1"/>
  <c r="L113" i="1"/>
  <c r="N113" i="1" s="1"/>
  <c r="E113" i="1"/>
  <c r="E112" i="1"/>
  <c r="M111" i="1"/>
  <c r="O111" i="1" s="1"/>
  <c r="O110" i="1" s="1"/>
  <c r="L111" i="1"/>
  <c r="N111" i="1" s="1"/>
  <c r="N110" i="1" s="1"/>
  <c r="E111" i="1"/>
  <c r="E110" i="1"/>
  <c r="E109" i="1"/>
  <c r="M108" i="1"/>
  <c r="O108" i="1" s="1"/>
  <c r="L108" i="1"/>
  <c r="N108" i="1" s="1"/>
  <c r="E108" i="1"/>
  <c r="M107" i="1"/>
  <c r="O107" i="1" s="1"/>
  <c r="L107" i="1"/>
  <c r="N107" i="1" s="1"/>
  <c r="E107" i="1"/>
  <c r="M106" i="1"/>
  <c r="O106" i="1" s="1"/>
  <c r="L106" i="1"/>
  <c r="N106" i="1" s="1"/>
  <c r="E106" i="1"/>
  <c r="M105" i="1"/>
  <c r="O105" i="1" s="1"/>
  <c r="L105" i="1"/>
  <c r="N105" i="1" s="1"/>
  <c r="E105" i="1"/>
  <c r="M104" i="1"/>
  <c r="O104" i="1" s="1"/>
  <c r="L104" i="1"/>
  <c r="N104" i="1" s="1"/>
  <c r="E104" i="1"/>
  <c r="M103" i="1"/>
  <c r="O103" i="1" s="1"/>
  <c r="L103" i="1"/>
  <c r="N103" i="1" s="1"/>
  <c r="E103" i="1"/>
  <c r="M102" i="1"/>
  <c r="O102" i="1" s="1"/>
  <c r="L102" i="1"/>
  <c r="N102" i="1" s="1"/>
  <c r="E102" i="1"/>
  <c r="M101" i="1"/>
  <c r="O101" i="1" s="1"/>
  <c r="L101" i="1"/>
  <c r="N101" i="1" s="1"/>
  <c r="E101" i="1"/>
  <c r="M100" i="1"/>
  <c r="O100" i="1" s="1"/>
  <c r="L100" i="1"/>
  <c r="N100" i="1" s="1"/>
  <c r="E100" i="1"/>
  <c r="M99" i="1"/>
  <c r="O99" i="1" s="1"/>
  <c r="L99" i="1"/>
  <c r="N99" i="1" s="1"/>
  <c r="E99" i="1"/>
  <c r="M98" i="1"/>
  <c r="O98" i="1" s="1"/>
  <c r="L98" i="1"/>
  <c r="N98" i="1" s="1"/>
  <c r="E98" i="1"/>
  <c r="M97" i="1"/>
  <c r="O97" i="1" s="1"/>
  <c r="L97" i="1"/>
  <c r="N97" i="1" s="1"/>
  <c r="E97" i="1"/>
  <c r="M96" i="1"/>
  <c r="O96" i="1" s="1"/>
  <c r="L96" i="1"/>
  <c r="N96" i="1" s="1"/>
  <c r="E96" i="1"/>
  <c r="M95" i="1"/>
  <c r="O95" i="1" s="1"/>
  <c r="L95" i="1"/>
  <c r="N95" i="1" s="1"/>
  <c r="E95" i="1"/>
  <c r="M94" i="1"/>
  <c r="O94" i="1" s="1"/>
  <c r="L94" i="1"/>
  <c r="N94" i="1" s="1"/>
  <c r="E94" i="1"/>
  <c r="M93" i="1"/>
  <c r="O93" i="1" s="1"/>
  <c r="L93" i="1"/>
  <c r="N93" i="1" s="1"/>
  <c r="E93" i="1"/>
  <c r="M92" i="1"/>
  <c r="O92" i="1" s="1"/>
  <c r="L92" i="1"/>
  <c r="N92" i="1" s="1"/>
  <c r="E92" i="1"/>
  <c r="M91" i="1"/>
  <c r="O91" i="1" s="1"/>
  <c r="L91" i="1"/>
  <c r="N91" i="1" s="1"/>
  <c r="E91" i="1"/>
  <c r="M90" i="1"/>
  <c r="O90" i="1" s="1"/>
  <c r="L90" i="1"/>
  <c r="N90" i="1" s="1"/>
  <c r="E90" i="1"/>
  <c r="M89" i="1"/>
  <c r="O89" i="1" s="1"/>
  <c r="L89" i="1"/>
  <c r="N89" i="1" s="1"/>
  <c r="E89" i="1"/>
  <c r="M88" i="1"/>
  <c r="O88" i="1" s="1"/>
  <c r="L88" i="1"/>
  <c r="N88" i="1" s="1"/>
  <c r="E88" i="1"/>
  <c r="M87" i="1"/>
  <c r="O87" i="1" s="1"/>
  <c r="L87" i="1"/>
  <c r="N87" i="1" s="1"/>
  <c r="E87" i="1"/>
  <c r="M86" i="1"/>
  <c r="O86" i="1" s="1"/>
  <c r="L86" i="1"/>
  <c r="N86" i="1" s="1"/>
  <c r="E86" i="1"/>
  <c r="M85" i="1"/>
  <c r="O85" i="1" s="1"/>
  <c r="L85" i="1"/>
  <c r="N85" i="1" s="1"/>
  <c r="E85" i="1"/>
  <c r="M84" i="1"/>
  <c r="O84" i="1" s="1"/>
  <c r="L84" i="1"/>
  <c r="N84" i="1" s="1"/>
  <c r="E84" i="1"/>
  <c r="M83" i="1"/>
  <c r="O83" i="1" s="1"/>
  <c r="L83" i="1"/>
  <c r="N83" i="1" s="1"/>
  <c r="E83" i="1"/>
  <c r="M82" i="1"/>
  <c r="O82" i="1" s="1"/>
  <c r="L82" i="1"/>
  <c r="N82" i="1" s="1"/>
  <c r="E82" i="1"/>
  <c r="M81" i="1"/>
  <c r="O81" i="1" s="1"/>
  <c r="L81" i="1"/>
  <c r="N81" i="1" s="1"/>
  <c r="E81" i="1"/>
  <c r="M80" i="1"/>
  <c r="O80" i="1" s="1"/>
  <c r="L80" i="1"/>
  <c r="N80" i="1" s="1"/>
  <c r="E80" i="1"/>
  <c r="M79" i="1"/>
  <c r="O79" i="1" s="1"/>
  <c r="L79" i="1"/>
  <c r="N79" i="1" s="1"/>
  <c r="E79" i="1"/>
  <c r="M78" i="1"/>
  <c r="O78" i="1" s="1"/>
  <c r="L78" i="1"/>
  <c r="N78" i="1" s="1"/>
  <c r="E78" i="1"/>
  <c r="M77" i="1"/>
  <c r="O77" i="1" s="1"/>
  <c r="L77" i="1"/>
  <c r="N77" i="1" s="1"/>
  <c r="E77" i="1"/>
  <c r="M76" i="1"/>
  <c r="O76" i="1" s="1"/>
  <c r="J76" i="1"/>
  <c r="L76" i="1" s="1"/>
  <c r="N76" i="1" s="1"/>
  <c r="E76" i="1"/>
  <c r="M75" i="1"/>
  <c r="O75" i="1" s="1"/>
  <c r="J75" i="1"/>
  <c r="L75" i="1" s="1"/>
  <c r="N75" i="1" s="1"/>
  <c r="E75" i="1"/>
  <c r="M74" i="1"/>
  <c r="O74" i="1" s="1"/>
  <c r="L74" i="1"/>
  <c r="N74" i="1" s="1"/>
  <c r="J74" i="1"/>
  <c r="E74" i="1"/>
  <c r="M73" i="1"/>
  <c r="O73" i="1" s="1"/>
  <c r="J73" i="1"/>
  <c r="L73" i="1" s="1"/>
  <c r="N73" i="1" s="1"/>
  <c r="E73" i="1"/>
  <c r="M72" i="1"/>
  <c r="O72" i="1" s="1"/>
  <c r="J72" i="1"/>
  <c r="L72" i="1" s="1"/>
  <c r="N72" i="1" s="1"/>
  <c r="E72" i="1"/>
  <c r="M71" i="1"/>
  <c r="O71" i="1" s="1"/>
  <c r="J71" i="1"/>
  <c r="L71" i="1" s="1"/>
  <c r="N71" i="1" s="1"/>
  <c r="E71" i="1"/>
  <c r="M70" i="1"/>
  <c r="O70" i="1" s="1"/>
  <c r="J70" i="1"/>
  <c r="L70" i="1" s="1"/>
  <c r="N70" i="1" s="1"/>
  <c r="E70" i="1"/>
  <c r="M69" i="1"/>
  <c r="O69" i="1" s="1"/>
  <c r="J69" i="1"/>
  <c r="L69" i="1" s="1"/>
  <c r="N69" i="1" s="1"/>
  <c r="E69" i="1"/>
  <c r="M68" i="1"/>
  <c r="O68" i="1" s="1"/>
  <c r="J68" i="1"/>
  <c r="L68" i="1" s="1"/>
  <c r="N68" i="1" s="1"/>
  <c r="E68" i="1"/>
  <c r="M67" i="1"/>
  <c r="O67" i="1" s="1"/>
  <c r="J67" i="1"/>
  <c r="L67" i="1" s="1"/>
  <c r="N67" i="1" s="1"/>
  <c r="E67" i="1"/>
  <c r="M66" i="1"/>
  <c r="O66" i="1" s="1"/>
  <c r="J66" i="1"/>
  <c r="L66" i="1" s="1"/>
  <c r="N66" i="1" s="1"/>
  <c r="E66" i="1"/>
  <c r="M65" i="1"/>
  <c r="O65" i="1" s="1"/>
  <c r="J65" i="1"/>
  <c r="L65" i="1" s="1"/>
  <c r="N65" i="1" s="1"/>
  <c r="E65" i="1"/>
  <c r="M64" i="1"/>
  <c r="O64" i="1" s="1"/>
  <c r="J64" i="1"/>
  <c r="L64" i="1" s="1"/>
  <c r="N64" i="1" s="1"/>
  <c r="E64" i="1"/>
  <c r="M63" i="1"/>
  <c r="O63" i="1" s="1"/>
  <c r="J63" i="1"/>
  <c r="L63" i="1" s="1"/>
  <c r="N63" i="1" s="1"/>
  <c r="E63" i="1"/>
  <c r="M62" i="1"/>
  <c r="O62" i="1" s="1"/>
  <c r="L62" i="1"/>
  <c r="N62" i="1" s="1"/>
  <c r="J62" i="1"/>
  <c r="E62" i="1"/>
  <c r="M61" i="1"/>
  <c r="O61" i="1" s="1"/>
  <c r="J61" i="1"/>
  <c r="L61" i="1" s="1"/>
  <c r="N61" i="1" s="1"/>
  <c r="E61" i="1"/>
  <c r="M60" i="1"/>
  <c r="O60" i="1" s="1"/>
  <c r="J60" i="1"/>
  <c r="L60" i="1" s="1"/>
  <c r="N60" i="1" s="1"/>
  <c r="E60" i="1"/>
  <c r="M59" i="1"/>
  <c r="O59" i="1" s="1"/>
  <c r="J59" i="1"/>
  <c r="L59" i="1" s="1"/>
  <c r="N59" i="1" s="1"/>
  <c r="E59" i="1"/>
  <c r="M58" i="1"/>
  <c r="O58" i="1" s="1"/>
  <c r="J58" i="1"/>
  <c r="L58" i="1" s="1"/>
  <c r="N58" i="1" s="1"/>
  <c r="E58" i="1"/>
  <c r="M57" i="1"/>
  <c r="O57" i="1" s="1"/>
  <c r="J57" i="1"/>
  <c r="L57" i="1" s="1"/>
  <c r="N57" i="1" s="1"/>
  <c r="E57" i="1"/>
  <c r="M56" i="1"/>
  <c r="O56" i="1" s="1"/>
  <c r="J56" i="1"/>
  <c r="L56" i="1" s="1"/>
  <c r="N56" i="1" s="1"/>
  <c r="E56" i="1"/>
  <c r="M55" i="1"/>
  <c r="O55" i="1" s="1"/>
  <c r="J55" i="1"/>
  <c r="L55" i="1" s="1"/>
  <c r="N55" i="1" s="1"/>
  <c r="E55" i="1"/>
  <c r="M54" i="1"/>
  <c r="O54" i="1" s="1"/>
  <c r="L54" i="1"/>
  <c r="N54" i="1" s="1"/>
  <c r="J54" i="1"/>
  <c r="E54" i="1"/>
  <c r="M53" i="1"/>
  <c r="O53" i="1" s="1"/>
  <c r="J53" i="1"/>
  <c r="L53" i="1" s="1"/>
  <c r="N53" i="1" s="1"/>
  <c r="E53" i="1"/>
  <c r="M52" i="1"/>
  <c r="O52" i="1" s="1"/>
  <c r="J52" i="1"/>
  <c r="L52" i="1" s="1"/>
  <c r="N52" i="1" s="1"/>
  <c r="E52" i="1"/>
  <c r="M51" i="1"/>
  <c r="O51" i="1" s="1"/>
  <c r="J51" i="1"/>
  <c r="L51" i="1" s="1"/>
  <c r="N51" i="1" s="1"/>
  <c r="E51" i="1"/>
  <c r="M50" i="1"/>
  <c r="O50" i="1" s="1"/>
  <c r="J50" i="1"/>
  <c r="L50" i="1" s="1"/>
  <c r="N50" i="1" s="1"/>
  <c r="E50" i="1"/>
  <c r="M49" i="1"/>
  <c r="O49" i="1" s="1"/>
  <c r="J49" i="1"/>
  <c r="L49" i="1" s="1"/>
  <c r="N49" i="1" s="1"/>
  <c r="E49" i="1"/>
  <c r="M48" i="1"/>
  <c r="O48" i="1" s="1"/>
  <c r="J48" i="1"/>
  <c r="L48" i="1" s="1"/>
  <c r="N48" i="1" s="1"/>
  <c r="E48" i="1"/>
  <c r="M47" i="1"/>
  <c r="O47" i="1" s="1"/>
  <c r="L47" i="1"/>
  <c r="N47" i="1" s="1"/>
  <c r="J47" i="1"/>
  <c r="E47" i="1"/>
  <c r="M46" i="1"/>
  <c r="O46" i="1" s="1"/>
  <c r="J46" i="1"/>
  <c r="L46" i="1" s="1"/>
  <c r="N46" i="1" s="1"/>
  <c r="E46" i="1"/>
  <c r="M45" i="1"/>
  <c r="O45" i="1" s="1"/>
  <c r="L45" i="1"/>
  <c r="N45" i="1" s="1"/>
  <c r="J45" i="1"/>
  <c r="E45" i="1"/>
  <c r="M44" i="1"/>
  <c r="O44" i="1" s="1"/>
  <c r="L44" i="1"/>
  <c r="N44" i="1" s="1"/>
  <c r="J44" i="1"/>
  <c r="E44" i="1"/>
  <c r="M43" i="1"/>
  <c r="O43" i="1" s="1"/>
  <c r="J43" i="1"/>
  <c r="L43" i="1" s="1"/>
  <c r="N43" i="1" s="1"/>
  <c r="E43" i="1"/>
  <c r="M42" i="1"/>
  <c r="O42" i="1" s="1"/>
  <c r="J42" i="1"/>
  <c r="L42" i="1" s="1"/>
  <c r="N42" i="1" s="1"/>
  <c r="E42" i="1"/>
  <c r="M41" i="1"/>
  <c r="O41" i="1" s="1"/>
  <c r="L41" i="1"/>
  <c r="N41" i="1" s="1"/>
  <c r="J41" i="1"/>
  <c r="E41" i="1"/>
  <c r="M40" i="1"/>
  <c r="O40" i="1" s="1"/>
  <c r="J40" i="1"/>
  <c r="L40" i="1" s="1"/>
  <c r="N40" i="1" s="1"/>
  <c r="E40" i="1"/>
  <c r="M39" i="1"/>
  <c r="O39" i="1" s="1"/>
  <c r="J39" i="1"/>
  <c r="L39" i="1" s="1"/>
  <c r="N39" i="1" s="1"/>
  <c r="E39" i="1"/>
  <c r="M38" i="1"/>
  <c r="O38" i="1" s="1"/>
  <c r="J38" i="1"/>
  <c r="L38" i="1" s="1"/>
  <c r="N38" i="1" s="1"/>
  <c r="E38" i="1"/>
  <c r="M37" i="1"/>
  <c r="O37" i="1" s="1"/>
  <c r="J37" i="1"/>
  <c r="L37" i="1" s="1"/>
  <c r="N37" i="1" s="1"/>
  <c r="E37" i="1"/>
  <c r="M36" i="1"/>
  <c r="O36" i="1" s="1"/>
  <c r="L36" i="1"/>
  <c r="N36" i="1" s="1"/>
  <c r="J36" i="1"/>
  <c r="E36" i="1"/>
  <c r="M35" i="1"/>
  <c r="O35" i="1" s="1"/>
  <c r="J35" i="1"/>
  <c r="L35" i="1" s="1"/>
  <c r="N35" i="1" s="1"/>
  <c r="E35" i="1"/>
  <c r="M34" i="1"/>
  <c r="O34" i="1" s="1"/>
  <c r="J34" i="1"/>
  <c r="L34" i="1" s="1"/>
  <c r="N34" i="1" s="1"/>
  <c r="E34" i="1"/>
  <c r="M33" i="1"/>
  <c r="O33" i="1" s="1"/>
  <c r="J33" i="1"/>
  <c r="L33" i="1" s="1"/>
  <c r="N33" i="1" s="1"/>
  <c r="E33" i="1"/>
  <c r="M32" i="1"/>
  <c r="O32" i="1" s="1"/>
  <c r="L32" i="1"/>
  <c r="N32" i="1" s="1"/>
  <c r="J32" i="1"/>
  <c r="E32" i="1"/>
  <c r="M31" i="1"/>
  <c r="O31" i="1" s="1"/>
  <c r="J31" i="1"/>
  <c r="L31" i="1" s="1"/>
  <c r="N31" i="1" s="1"/>
  <c r="E31" i="1"/>
  <c r="M30" i="1"/>
  <c r="O30" i="1" s="1"/>
  <c r="L30" i="1"/>
  <c r="N30" i="1" s="1"/>
  <c r="J30" i="1"/>
  <c r="E30" i="1"/>
  <c r="M29" i="1"/>
  <c r="O29" i="1" s="1"/>
  <c r="J29" i="1"/>
  <c r="L29" i="1" s="1"/>
  <c r="N29" i="1" s="1"/>
  <c r="E29" i="1"/>
  <c r="M28" i="1"/>
  <c r="O28" i="1" s="1"/>
  <c r="J28" i="1"/>
  <c r="L28" i="1" s="1"/>
  <c r="N28" i="1" s="1"/>
  <c r="E28" i="1"/>
  <c r="M27" i="1"/>
  <c r="O27" i="1" s="1"/>
  <c r="L27" i="1"/>
  <c r="N27" i="1" s="1"/>
  <c r="J27" i="1"/>
  <c r="E27" i="1"/>
  <c r="M26" i="1"/>
  <c r="O26" i="1" s="1"/>
  <c r="J26" i="1"/>
  <c r="L26" i="1" s="1"/>
  <c r="N26" i="1" s="1"/>
  <c r="E26" i="1"/>
  <c r="M25" i="1"/>
  <c r="O25" i="1" s="1"/>
  <c r="J25" i="1"/>
  <c r="L25" i="1" s="1"/>
  <c r="N25" i="1" s="1"/>
  <c r="E25" i="1"/>
  <c r="M24" i="1"/>
  <c r="O24" i="1" s="1"/>
  <c r="J24" i="1"/>
  <c r="L24" i="1" s="1"/>
  <c r="N24" i="1" s="1"/>
  <c r="E24" i="1"/>
  <c r="M23" i="1"/>
  <c r="O23" i="1" s="1"/>
  <c r="L23" i="1"/>
  <c r="N23" i="1" s="1"/>
  <c r="J23" i="1"/>
  <c r="E23" i="1"/>
  <c r="M22" i="1"/>
  <c r="O22" i="1" s="1"/>
  <c r="J22" i="1"/>
  <c r="L22" i="1" s="1"/>
  <c r="N22" i="1" s="1"/>
  <c r="E22" i="1"/>
  <c r="M21" i="1"/>
  <c r="O21" i="1" s="1"/>
  <c r="J21" i="1"/>
  <c r="L21" i="1" s="1"/>
  <c r="N21" i="1" s="1"/>
  <c r="E21" i="1"/>
  <c r="M20" i="1"/>
  <c r="O20" i="1" s="1"/>
  <c r="L20" i="1"/>
  <c r="N20" i="1" s="1"/>
  <c r="J20" i="1"/>
  <c r="E20" i="1"/>
  <c r="M19" i="1"/>
  <c r="O19" i="1" s="1"/>
  <c r="J19" i="1"/>
  <c r="L19" i="1" s="1"/>
  <c r="N19" i="1" s="1"/>
  <c r="E19" i="1"/>
  <c r="M18" i="1"/>
  <c r="O18" i="1" s="1"/>
  <c r="J18" i="1"/>
  <c r="L18" i="1" s="1"/>
  <c r="N18" i="1" s="1"/>
  <c r="E18" i="1"/>
  <c r="M17" i="1"/>
  <c r="O17" i="1" s="1"/>
  <c r="L17" i="1"/>
  <c r="N17" i="1" s="1"/>
  <c r="J17" i="1"/>
  <c r="E17" i="1"/>
  <c r="F16" i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E16" i="1"/>
  <c r="E15" i="1"/>
  <c r="N767" i="1" l="1"/>
  <c r="N784" i="1"/>
  <c r="O793" i="1"/>
  <c r="O777" i="1"/>
  <c r="O146" i="1"/>
  <c r="N752" i="1"/>
  <c r="O174" i="1"/>
  <c r="N1641" i="1"/>
  <c r="O558" i="1"/>
  <c r="N633" i="1"/>
  <c r="O215" i="1"/>
  <c r="N393" i="1"/>
  <c r="N221" i="1"/>
  <c r="O633" i="1"/>
  <c r="N244" i="1"/>
  <c r="O758" i="1"/>
  <c r="O235" i="1"/>
  <c r="O358" i="1"/>
  <c r="N606" i="1"/>
  <c r="N1097" i="1"/>
  <c r="O784" i="1"/>
  <c r="N190" i="1"/>
  <c r="N128" i="1"/>
  <c r="N205" i="1"/>
  <c r="O205" i="1"/>
  <c r="N112" i="1"/>
  <c r="N174" i="1"/>
  <c r="N254" i="1"/>
  <c r="I254" i="1" s="1"/>
  <c r="O606" i="1"/>
  <c r="O393" i="1"/>
  <c r="N593" i="1"/>
  <c r="O593" i="1"/>
  <c r="O128" i="1"/>
  <c r="N164" i="1"/>
  <c r="N353" i="1"/>
  <c r="N362" i="1"/>
  <c r="O1681" i="1"/>
  <c r="O1680" i="1" s="1"/>
  <c r="N538" i="1"/>
  <c r="O254" i="1"/>
  <c r="N558" i="1"/>
  <c r="N1681" i="1"/>
  <c r="N1680" i="1" s="1"/>
  <c r="N348" i="1"/>
  <c r="N368" i="1"/>
  <c r="N478" i="1"/>
  <c r="N1000" i="1"/>
  <c r="N358" i="1"/>
  <c r="O1000" i="1"/>
  <c r="N777" i="1"/>
  <c r="N1008" i="1"/>
  <c r="N793" i="1"/>
  <c r="O1644" i="1"/>
  <c r="O478" i="1"/>
  <c r="O1016" i="1"/>
  <c r="M1480" i="1"/>
  <c r="O1480" i="1" s="1"/>
  <c r="M1489" i="1"/>
  <c r="O1489" i="1" s="1"/>
  <c r="M1498" i="1"/>
  <c r="O1498" i="1" s="1"/>
  <c r="M1507" i="1"/>
  <c r="O1507" i="1" s="1"/>
  <c r="M1528" i="1"/>
  <c r="O1528" i="1" s="1"/>
  <c r="M1530" i="1"/>
  <c r="O1530" i="1" s="1"/>
  <c r="J1466" i="1"/>
  <c r="L1466" i="1" s="1"/>
  <c r="N1466" i="1" s="1"/>
  <c r="J1477" i="1"/>
  <c r="L1477" i="1" s="1"/>
  <c r="N1477" i="1" s="1"/>
  <c r="J1486" i="1"/>
  <c r="L1486" i="1" s="1"/>
  <c r="N1486" i="1" s="1"/>
  <c r="J1495" i="1"/>
  <c r="L1495" i="1" s="1"/>
  <c r="N1495" i="1" s="1"/>
  <c r="J1504" i="1"/>
  <c r="L1504" i="1" s="1"/>
  <c r="N1504" i="1" s="1"/>
  <c r="J1519" i="1"/>
  <c r="L1519" i="1" s="1"/>
  <c r="N1519" i="1" s="1"/>
  <c r="J1525" i="1"/>
  <c r="L1525" i="1" s="1"/>
  <c r="N1525" i="1" s="1"/>
  <c r="J1549" i="1"/>
  <c r="L1549" i="1" s="1"/>
  <c r="N1549" i="1" s="1"/>
  <c r="J1552" i="1"/>
  <c r="L1552" i="1" s="1"/>
  <c r="N1552" i="1" s="1"/>
  <c r="O448" i="1"/>
  <c r="F96" i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95" i="1"/>
  <c r="N16" i="1"/>
  <c r="N15" i="1" s="1"/>
  <c r="O16" i="1"/>
  <c r="O15" i="1" s="1"/>
  <c r="N296" i="1"/>
  <c r="O244" i="1"/>
  <c r="N311" i="1"/>
  <c r="O353" i="1"/>
  <c r="N413" i="1"/>
  <c r="N184" i="1"/>
  <c r="N215" i="1"/>
  <c r="O221" i="1"/>
  <c r="N235" i="1"/>
  <c r="O296" i="1"/>
  <c r="N380" i="1"/>
  <c r="O413" i="1"/>
  <c r="O190" i="1"/>
  <c r="O368" i="1"/>
  <c r="O380" i="1"/>
  <c r="O184" i="1"/>
  <c r="O112" i="1"/>
  <c r="N146" i="1"/>
  <c r="O164" i="1"/>
  <c r="O348" i="1"/>
  <c r="O362" i="1"/>
  <c r="N448" i="1"/>
  <c r="D482" i="1"/>
  <c r="O640" i="1"/>
  <c r="N640" i="1"/>
  <c r="O344" i="1"/>
  <c r="O311" i="1" s="1"/>
  <c r="F474" i="1"/>
  <c r="F475" i="1" s="1"/>
  <c r="F476" i="1" s="1"/>
  <c r="F477" i="1" s="1"/>
  <c r="N659" i="1"/>
  <c r="O538" i="1"/>
  <c r="O659" i="1"/>
  <c r="O899" i="1"/>
  <c r="O752" i="1"/>
  <c r="O767" i="1"/>
  <c r="E480" i="1"/>
  <c r="N758" i="1"/>
  <c r="O1008" i="1"/>
  <c r="N899" i="1"/>
  <c r="N1016" i="1"/>
  <c r="D934" i="1"/>
  <c r="E933" i="1"/>
  <c r="E932" i="1"/>
  <c r="O1097" i="1"/>
  <c r="J1487" i="1"/>
  <c r="L1487" i="1" s="1"/>
  <c r="N1487" i="1" s="1"/>
  <c r="M1487" i="1"/>
  <c r="O1487" i="1" s="1"/>
  <c r="J1505" i="1"/>
  <c r="L1505" i="1" s="1"/>
  <c r="N1505" i="1" s="1"/>
  <c r="M1505" i="1"/>
  <c r="O1505" i="1" s="1"/>
  <c r="J1481" i="1"/>
  <c r="L1481" i="1" s="1"/>
  <c r="N1481" i="1" s="1"/>
  <c r="M1481" i="1"/>
  <c r="O1481" i="1" s="1"/>
  <c r="J1499" i="1"/>
  <c r="L1499" i="1" s="1"/>
  <c r="N1499" i="1" s="1"/>
  <c r="M1499" i="1"/>
  <c r="O1499" i="1" s="1"/>
  <c r="J1475" i="1"/>
  <c r="L1475" i="1" s="1"/>
  <c r="N1475" i="1" s="1"/>
  <c r="M1475" i="1"/>
  <c r="O1475" i="1" s="1"/>
  <c r="J1493" i="1"/>
  <c r="L1493" i="1" s="1"/>
  <c r="N1493" i="1" s="1"/>
  <c r="M1493" i="1"/>
  <c r="O1493" i="1" s="1"/>
  <c r="J1517" i="1"/>
  <c r="L1517" i="1" s="1"/>
  <c r="N1517" i="1" s="1"/>
  <c r="M1517" i="1"/>
  <c r="O1517" i="1" s="1"/>
  <c r="J1526" i="1"/>
  <c r="L1526" i="1" s="1"/>
  <c r="N1526" i="1" s="1"/>
  <c r="M1526" i="1"/>
  <c r="O1526" i="1" s="1"/>
  <c r="M1464" i="1"/>
  <c r="O1464" i="1" s="1"/>
  <c r="M1467" i="1"/>
  <c r="O1467" i="1" s="1"/>
  <c r="J1469" i="1"/>
  <c r="L1469" i="1" s="1"/>
  <c r="N1469" i="1" s="1"/>
  <c r="M1470" i="1"/>
  <c r="O1470" i="1" s="1"/>
  <c r="J1470" i="1"/>
  <c r="L1470" i="1" s="1"/>
  <c r="N1470" i="1" s="1"/>
  <c r="J1472" i="1"/>
  <c r="L1472" i="1" s="1"/>
  <c r="N1472" i="1" s="1"/>
  <c r="M1473" i="1"/>
  <c r="O1473" i="1" s="1"/>
  <c r="J1473" i="1"/>
  <c r="L1473" i="1" s="1"/>
  <c r="N1473" i="1" s="1"/>
  <c r="J1589" i="1"/>
  <c r="L1589" i="1" s="1"/>
  <c r="N1589" i="1" s="1"/>
  <c r="M1589" i="1"/>
  <c r="O1589" i="1" s="1"/>
  <c r="M1479" i="1"/>
  <c r="O1479" i="1" s="1"/>
  <c r="J1479" i="1"/>
  <c r="L1479" i="1" s="1"/>
  <c r="N1479" i="1" s="1"/>
  <c r="M1485" i="1"/>
  <c r="O1485" i="1" s="1"/>
  <c r="J1485" i="1"/>
  <c r="L1485" i="1" s="1"/>
  <c r="N1485" i="1" s="1"/>
  <c r="M1491" i="1"/>
  <c r="O1491" i="1" s="1"/>
  <c r="J1491" i="1"/>
  <c r="L1491" i="1" s="1"/>
  <c r="N1491" i="1" s="1"/>
  <c r="M1497" i="1"/>
  <c r="O1497" i="1" s="1"/>
  <c r="J1497" i="1"/>
  <c r="L1497" i="1" s="1"/>
  <c r="N1497" i="1" s="1"/>
  <c r="M1503" i="1"/>
  <c r="O1503" i="1" s="1"/>
  <c r="J1503" i="1"/>
  <c r="L1503" i="1" s="1"/>
  <c r="N1503" i="1" s="1"/>
  <c r="J1514" i="1"/>
  <c r="L1514" i="1" s="1"/>
  <c r="N1514" i="1" s="1"/>
  <c r="M1514" i="1"/>
  <c r="O1514" i="1" s="1"/>
  <c r="J1523" i="1"/>
  <c r="L1523" i="1" s="1"/>
  <c r="N1523" i="1" s="1"/>
  <c r="M1523" i="1"/>
  <c r="O1523" i="1" s="1"/>
  <c r="M1478" i="1"/>
  <c r="O1478" i="1" s="1"/>
  <c r="M1484" i="1"/>
  <c r="O1484" i="1" s="1"/>
  <c r="M1490" i="1"/>
  <c r="O1490" i="1" s="1"/>
  <c r="M1496" i="1"/>
  <c r="O1496" i="1" s="1"/>
  <c r="M1502" i="1"/>
  <c r="O1502" i="1" s="1"/>
  <c r="M1508" i="1"/>
  <c r="O1508" i="1" s="1"/>
  <c r="J1511" i="1"/>
  <c r="L1511" i="1" s="1"/>
  <c r="N1511" i="1" s="1"/>
  <c r="M1511" i="1"/>
  <c r="O1511" i="1" s="1"/>
  <c r="J1520" i="1"/>
  <c r="L1520" i="1" s="1"/>
  <c r="N1520" i="1" s="1"/>
  <c r="M1520" i="1"/>
  <c r="O1520" i="1" s="1"/>
  <c r="M1529" i="1"/>
  <c r="O1529" i="1" s="1"/>
  <c r="J1529" i="1"/>
  <c r="L1529" i="1" s="1"/>
  <c r="N1529" i="1" s="1"/>
  <c r="M1476" i="1"/>
  <c r="O1476" i="1" s="1"/>
  <c r="J1476" i="1"/>
  <c r="L1476" i="1" s="1"/>
  <c r="N1476" i="1" s="1"/>
  <c r="M1482" i="1"/>
  <c r="O1482" i="1" s="1"/>
  <c r="J1482" i="1"/>
  <c r="L1482" i="1" s="1"/>
  <c r="N1482" i="1" s="1"/>
  <c r="M1488" i="1"/>
  <c r="O1488" i="1" s="1"/>
  <c r="J1488" i="1"/>
  <c r="L1488" i="1" s="1"/>
  <c r="N1488" i="1" s="1"/>
  <c r="M1494" i="1"/>
  <c r="O1494" i="1" s="1"/>
  <c r="J1494" i="1"/>
  <c r="L1494" i="1" s="1"/>
  <c r="N1494" i="1" s="1"/>
  <c r="M1500" i="1"/>
  <c r="O1500" i="1" s="1"/>
  <c r="J1500" i="1"/>
  <c r="L1500" i="1" s="1"/>
  <c r="N1500" i="1" s="1"/>
  <c r="M1506" i="1"/>
  <c r="O1506" i="1" s="1"/>
  <c r="J1506" i="1"/>
  <c r="L1506" i="1" s="1"/>
  <c r="N1506" i="1" s="1"/>
  <c r="J1509" i="1"/>
  <c r="L1509" i="1" s="1"/>
  <c r="N1509" i="1" s="1"/>
  <c r="J1512" i="1"/>
  <c r="L1512" i="1" s="1"/>
  <c r="N1512" i="1" s="1"/>
  <c r="J1515" i="1"/>
  <c r="L1515" i="1" s="1"/>
  <c r="N1515" i="1" s="1"/>
  <c r="J1518" i="1"/>
  <c r="L1518" i="1" s="1"/>
  <c r="N1518" i="1" s="1"/>
  <c r="J1521" i="1"/>
  <c r="L1521" i="1" s="1"/>
  <c r="N1521" i="1" s="1"/>
  <c r="J1524" i="1"/>
  <c r="L1524" i="1" s="1"/>
  <c r="N1524" i="1" s="1"/>
  <c r="J1527" i="1"/>
  <c r="L1527" i="1" s="1"/>
  <c r="N1527" i="1" s="1"/>
  <c r="J1531" i="1"/>
  <c r="L1531" i="1" s="1"/>
  <c r="N1531" i="1" s="1"/>
  <c r="J1538" i="1"/>
  <c r="L1538" i="1" s="1"/>
  <c r="N1538" i="1" s="1"/>
  <c r="M1538" i="1"/>
  <c r="O1538" i="1" s="1"/>
  <c r="J1547" i="1"/>
  <c r="L1547" i="1" s="1"/>
  <c r="N1547" i="1" s="1"/>
  <c r="M1547" i="1"/>
  <c r="O1547" i="1" s="1"/>
  <c r="J1556" i="1"/>
  <c r="L1556" i="1" s="1"/>
  <c r="N1556" i="1" s="1"/>
  <c r="M1556" i="1"/>
  <c r="O1556" i="1" s="1"/>
  <c r="J1565" i="1"/>
  <c r="L1565" i="1" s="1"/>
  <c r="N1565" i="1" s="1"/>
  <c r="M1565" i="1"/>
  <c r="O1565" i="1" s="1"/>
  <c r="J1574" i="1"/>
  <c r="L1574" i="1" s="1"/>
  <c r="N1574" i="1" s="1"/>
  <c r="M1574" i="1"/>
  <c r="O1574" i="1" s="1"/>
  <c r="J1592" i="1"/>
  <c r="L1592" i="1" s="1"/>
  <c r="N1592" i="1" s="1"/>
  <c r="M1592" i="1"/>
  <c r="O1592" i="1" s="1"/>
  <c r="J1532" i="1"/>
  <c r="L1532" i="1" s="1"/>
  <c r="N1532" i="1" s="1"/>
  <c r="M1532" i="1"/>
  <c r="O1532" i="1" s="1"/>
  <c r="J1534" i="1"/>
  <c r="L1534" i="1" s="1"/>
  <c r="N1534" i="1" s="1"/>
  <c r="J1535" i="1"/>
  <c r="L1535" i="1" s="1"/>
  <c r="N1535" i="1" s="1"/>
  <c r="M1535" i="1"/>
  <c r="O1535" i="1" s="1"/>
  <c r="J1537" i="1"/>
  <c r="L1537" i="1" s="1"/>
  <c r="N1537" i="1" s="1"/>
  <c r="J1546" i="1"/>
  <c r="L1546" i="1" s="1"/>
  <c r="N1546" i="1" s="1"/>
  <c r="J1555" i="1"/>
  <c r="L1555" i="1" s="1"/>
  <c r="N1555" i="1" s="1"/>
  <c r="J1564" i="1"/>
  <c r="L1564" i="1" s="1"/>
  <c r="N1564" i="1" s="1"/>
  <c r="J1577" i="1"/>
  <c r="L1577" i="1" s="1"/>
  <c r="N1577" i="1" s="1"/>
  <c r="M1577" i="1"/>
  <c r="O1577" i="1" s="1"/>
  <c r="J1544" i="1"/>
  <c r="L1544" i="1" s="1"/>
  <c r="N1544" i="1" s="1"/>
  <c r="M1544" i="1"/>
  <c r="O1544" i="1" s="1"/>
  <c r="J1553" i="1"/>
  <c r="L1553" i="1" s="1"/>
  <c r="N1553" i="1" s="1"/>
  <c r="M1553" i="1"/>
  <c r="O1553" i="1" s="1"/>
  <c r="J1562" i="1"/>
  <c r="L1562" i="1" s="1"/>
  <c r="N1562" i="1" s="1"/>
  <c r="M1562" i="1"/>
  <c r="O1562" i="1" s="1"/>
  <c r="J1568" i="1"/>
  <c r="L1568" i="1" s="1"/>
  <c r="N1568" i="1" s="1"/>
  <c r="M1568" i="1"/>
  <c r="O1568" i="1" s="1"/>
  <c r="J1580" i="1"/>
  <c r="L1580" i="1" s="1"/>
  <c r="N1580" i="1" s="1"/>
  <c r="M1580" i="1"/>
  <c r="O1580" i="1" s="1"/>
  <c r="J1583" i="1"/>
  <c r="L1583" i="1" s="1"/>
  <c r="N1583" i="1" s="1"/>
  <c r="M1583" i="1"/>
  <c r="O1583" i="1" s="1"/>
  <c r="J1541" i="1"/>
  <c r="L1541" i="1" s="1"/>
  <c r="N1541" i="1" s="1"/>
  <c r="M1541" i="1"/>
  <c r="O1541" i="1" s="1"/>
  <c r="J1550" i="1"/>
  <c r="L1550" i="1" s="1"/>
  <c r="N1550" i="1" s="1"/>
  <c r="M1550" i="1"/>
  <c r="O1550" i="1" s="1"/>
  <c r="J1559" i="1"/>
  <c r="L1559" i="1" s="1"/>
  <c r="N1559" i="1" s="1"/>
  <c r="M1559" i="1"/>
  <c r="O1559" i="1" s="1"/>
  <c r="J1571" i="1"/>
  <c r="L1571" i="1" s="1"/>
  <c r="N1571" i="1" s="1"/>
  <c r="M1571" i="1"/>
  <c r="O1571" i="1" s="1"/>
  <c r="J1586" i="1"/>
  <c r="L1586" i="1" s="1"/>
  <c r="N1586" i="1" s="1"/>
  <c r="M1586" i="1"/>
  <c r="O1586" i="1" s="1"/>
  <c r="O1641" i="1"/>
  <c r="N1644" i="1"/>
  <c r="O1667" i="1"/>
  <c r="N1667" i="1"/>
  <c r="O898" i="1" l="1"/>
  <c r="O771" i="1"/>
  <c r="O770" i="1" s="1"/>
  <c r="O1007" i="1"/>
  <c r="O447" i="1"/>
  <c r="N771" i="1"/>
  <c r="N770" i="1" s="1"/>
  <c r="O592" i="1"/>
  <c r="F478" i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109" i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N1007" i="1"/>
  <c r="N109" i="1"/>
  <c r="N347" i="1"/>
  <c r="O1107" i="1"/>
  <c r="O1096" i="1" s="1"/>
  <c r="N1107" i="1"/>
  <c r="N1096" i="1" s="1"/>
  <c r="O253" i="1"/>
  <c r="D935" i="1"/>
  <c r="E934" i="1"/>
  <c r="I448" i="1"/>
  <c r="N447" i="1"/>
  <c r="I447" i="1" s="1"/>
  <c r="O109" i="1"/>
  <c r="N658" i="1"/>
  <c r="O658" i="1"/>
  <c r="D483" i="1"/>
  <c r="E482" i="1"/>
  <c r="N898" i="1"/>
  <c r="N592" i="1"/>
  <c r="O347" i="1"/>
  <c r="F530" i="1" l="1"/>
  <c r="N1706" i="1"/>
  <c r="N1707" i="1" s="1"/>
  <c r="N253" i="1"/>
  <c r="F565" i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563" i="1"/>
  <c r="F564" i="1" s="1"/>
  <c r="D936" i="1"/>
  <c r="E935" i="1"/>
  <c r="D484" i="1"/>
  <c r="E483" i="1"/>
  <c r="N1705" i="1" l="1"/>
  <c r="N1708" i="1" s="1"/>
  <c r="H11" i="1" s="1"/>
  <c r="I253" i="1"/>
  <c r="F253" i="1" s="1"/>
  <c r="F254" i="1" s="1"/>
  <c r="F255" i="1" s="1"/>
  <c r="F256" i="1" s="1"/>
  <c r="F795" i="1"/>
  <c r="F796" i="1" s="1"/>
  <c r="F797" i="1" s="1"/>
  <c r="F798" i="1" s="1"/>
  <c r="F799" i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D937" i="1"/>
  <c r="E936" i="1"/>
  <c r="D485" i="1"/>
  <c r="E484" i="1"/>
  <c r="F257" i="1" l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D486" i="1"/>
  <c r="E485" i="1"/>
  <c r="D938" i="1"/>
  <c r="E937" i="1"/>
  <c r="F865" i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864" i="1"/>
  <c r="F333" i="1" l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906" i="1"/>
  <c r="F911" i="1"/>
  <c r="D939" i="1"/>
  <c r="E938" i="1"/>
  <c r="D487" i="1"/>
  <c r="E486" i="1"/>
  <c r="D488" i="1" l="1"/>
  <c r="E487" i="1"/>
  <c r="D940" i="1"/>
  <c r="E939" i="1"/>
  <c r="F912" i="1"/>
  <c r="F907" i="1"/>
  <c r="F913" i="1" l="1"/>
  <c r="F908" i="1"/>
  <c r="D941" i="1"/>
  <c r="E940" i="1"/>
  <c r="D489" i="1"/>
  <c r="E488" i="1"/>
  <c r="D490" i="1" l="1"/>
  <c r="E489" i="1"/>
  <c r="D942" i="1"/>
  <c r="E941" i="1"/>
  <c r="F914" i="1"/>
  <c r="F909" i="1"/>
  <c r="D943" i="1" l="1"/>
  <c r="E942" i="1"/>
  <c r="F915" i="1"/>
  <c r="F910" i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F1603" i="1" s="1"/>
  <c r="F1604" i="1" s="1"/>
  <c r="F1605" i="1" s="1"/>
  <c r="F1606" i="1" s="1"/>
  <c r="F1607" i="1" s="1"/>
  <c r="F1608" i="1" s="1"/>
  <c r="F1609" i="1" s="1"/>
  <c r="F1610" i="1" s="1"/>
  <c r="F1611" i="1" s="1"/>
  <c r="F1612" i="1" s="1"/>
  <c r="F1613" i="1" s="1"/>
  <c r="F1614" i="1" s="1"/>
  <c r="F1615" i="1" s="1"/>
  <c r="F1616" i="1" s="1"/>
  <c r="F1617" i="1" s="1"/>
  <c r="F1618" i="1" s="1"/>
  <c r="F1619" i="1" s="1"/>
  <c r="F1620" i="1" s="1"/>
  <c r="F1621" i="1" s="1"/>
  <c r="F1622" i="1" s="1"/>
  <c r="F1623" i="1" s="1"/>
  <c r="F1624" i="1" s="1"/>
  <c r="F1625" i="1" s="1"/>
  <c r="F1626" i="1" s="1"/>
  <c r="F1627" i="1" s="1"/>
  <c r="F1628" i="1" s="1"/>
  <c r="F1629" i="1" s="1"/>
  <c r="F1630" i="1" s="1"/>
  <c r="F1631" i="1" s="1"/>
  <c r="F1632" i="1" s="1"/>
  <c r="F1633" i="1" s="1"/>
  <c r="F1634" i="1" s="1"/>
  <c r="F1635" i="1" s="1"/>
  <c r="F1636" i="1" s="1"/>
  <c r="F1637" i="1" s="1"/>
  <c r="F1638" i="1" s="1"/>
  <c r="F1639" i="1" s="1"/>
  <c r="F1640" i="1" s="1"/>
  <c r="F1641" i="1" s="1"/>
  <c r="F1642" i="1" s="1"/>
  <c r="F1643" i="1" s="1"/>
  <c r="F1644" i="1" s="1"/>
  <c r="F1645" i="1" s="1"/>
  <c r="F1646" i="1" s="1"/>
  <c r="F1647" i="1" s="1"/>
  <c r="F1648" i="1" s="1"/>
  <c r="F1649" i="1" s="1"/>
  <c r="F1650" i="1" s="1"/>
  <c r="F1651" i="1" s="1"/>
  <c r="F1652" i="1" s="1"/>
  <c r="F1653" i="1" s="1"/>
  <c r="F1654" i="1" s="1"/>
  <c r="F1655" i="1" s="1"/>
  <c r="F1656" i="1" s="1"/>
  <c r="F1657" i="1" s="1"/>
  <c r="F1658" i="1" s="1"/>
  <c r="F1659" i="1" s="1"/>
  <c r="F1660" i="1" s="1"/>
  <c r="F1661" i="1" s="1"/>
  <c r="F1662" i="1" s="1"/>
  <c r="F1663" i="1" s="1"/>
  <c r="F1664" i="1" s="1"/>
  <c r="F1665" i="1" s="1"/>
  <c r="F1666" i="1" s="1"/>
  <c r="D491" i="1"/>
  <c r="E490" i="1"/>
  <c r="F1680" i="1" l="1"/>
  <c r="F1681" i="1" s="1"/>
  <c r="F1682" i="1" s="1"/>
  <c r="F1683" i="1" s="1"/>
  <c r="F1684" i="1" s="1"/>
  <c r="F1685" i="1" s="1"/>
  <c r="F1686" i="1" s="1"/>
  <c r="F1687" i="1" s="1"/>
  <c r="F1688" i="1" s="1"/>
  <c r="F1689" i="1" s="1"/>
  <c r="F1690" i="1" s="1"/>
  <c r="F1691" i="1" s="1"/>
  <c r="F1692" i="1" s="1"/>
  <c r="F1693" i="1" s="1"/>
  <c r="F1694" i="1" s="1"/>
  <c r="F1695" i="1" s="1"/>
  <c r="F1696" i="1" s="1"/>
  <c r="F1697" i="1" s="1"/>
  <c r="F1698" i="1" s="1"/>
  <c r="F1699" i="1" s="1"/>
  <c r="F1700" i="1" s="1"/>
  <c r="F1701" i="1" s="1"/>
  <c r="F1702" i="1" s="1"/>
  <c r="F1703" i="1" s="1"/>
  <c r="F1704" i="1" s="1"/>
  <c r="F1667" i="1"/>
  <c r="F1668" i="1" s="1"/>
  <c r="F1669" i="1" s="1"/>
  <c r="F1670" i="1" s="1"/>
  <c r="F1671" i="1" s="1"/>
  <c r="F1672" i="1" s="1"/>
  <c r="F1673" i="1" s="1"/>
  <c r="F1674" i="1" s="1"/>
  <c r="F1675" i="1" s="1"/>
  <c r="F1676" i="1" s="1"/>
  <c r="F1677" i="1" s="1"/>
  <c r="F1678" i="1" s="1"/>
  <c r="F1679" i="1" s="1"/>
  <c r="D492" i="1"/>
  <c r="E491" i="1"/>
  <c r="D944" i="1"/>
  <c r="E943" i="1"/>
  <c r="D945" i="1" l="1"/>
  <c r="E944" i="1"/>
  <c r="D493" i="1"/>
  <c r="E492" i="1"/>
  <c r="D494" i="1" l="1"/>
  <c r="E493" i="1"/>
  <c r="D946" i="1"/>
  <c r="E945" i="1"/>
  <c r="D947" i="1" l="1"/>
  <c r="E946" i="1"/>
  <c r="D495" i="1"/>
  <c r="E494" i="1"/>
  <c r="D496" i="1" l="1"/>
  <c r="E495" i="1"/>
  <c r="D948" i="1"/>
  <c r="E947" i="1"/>
  <c r="D949" i="1" l="1"/>
  <c r="E948" i="1"/>
  <c r="D497" i="1"/>
  <c r="E496" i="1"/>
  <c r="E497" i="1" l="1"/>
  <c r="D498" i="1"/>
  <c r="D950" i="1"/>
  <c r="E949" i="1"/>
  <c r="D951" i="1" l="1"/>
  <c r="E950" i="1"/>
  <c r="D499" i="1"/>
  <c r="E498" i="1"/>
  <c r="D500" i="1" l="1"/>
  <c r="E499" i="1"/>
  <c r="D952" i="1"/>
  <c r="E951" i="1"/>
  <c r="D953" i="1" l="1"/>
  <c r="E952" i="1"/>
  <c r="E500" i="1"/>
  <c r="D501" i="1"/>
  <c r="D502" i="1" l="1"/>
  <c r="E501" i="1"/>
  <c r="D954" i="1"/>
  <c r="E953" i="1"/>
  <c r="D955" i="1" l="1"/>
  <c r="E954" i="1"/>
  <c r="D503" i="1"/>
  <c r="E502" i="1"/>
  <c r="D504" i="1" l="1"/>
  <c r="E503" i="1"/>
  <c r="D956" i="1"/>
  <c r="E955" i="1"/>
  <c r="D957" i="1" l="1"/>
  <c r="E956" i="1"/>
  <c r="D505" i="1"/>
  <c r="E504" i="1"/>
  <c r="E505" i="1" l="1"/>
  <c r="D506" i="1"/>
  <c r="D958" i="1"/>
  <c r="E957" i="1"/>
  <c r="D959" i="1" l="1"/>
  <c r="E958" i="1"/>
  <c r="D507" i="1"/>
  <c r="E506" i="1"/>
  <c r="D508" i="1" l="1"/>
  <c r="E507" i="1"/>
  <c r="D960" i="1"/>
  <c r="E959" i="1"/>
  <c r="D961" i="1" l="1"/>
  <c r="E960" i="1"/>
  <c r="D509" i="1"/>
  <c r="E508" i="1"/>
  <c r="D510" i="1" l="1"/>
  <c r="E509" i="1"/>
  <c r="D962" i="1"/>
  <c r="E961" i="1"/>
  <c r="D963" i="1" l="1"/>
  <c r="E962" i="1"/>
  <c r="D511" i="1"/>
  <c r="E510" i="1"/>
  <c r="D512" i="1" l="1"/>
  <c r="E511" i="1"/>
  <c r="D964" i="1"/>
  <c r="E963" i="1"/>
  <c r="D965" i="1" l="1"/>
  <c r="E964" i="1"/>
  <c r="D513" i="1"/>
  <c r="E512" i="1"/>
  <c r="D514" i="1" l="1"/>
  <c r="E513" i="1"/>
  <c r="D966" i="1"/>
  <c r="E965" i="1"/>
  <c r="D967" i="1" l="1"/>
  <c r="E966" i="1"/>
  <c r="D515" i="1"/>
  <c r="E514" i="1"/>
  <c r="D516" i="1" l="1"/>
  <c r="E515" i="1"/>
  <c r="D968" i="1"/>
  <c r="E967" i="1"/>
  <c r="D969" i="1" l="1"/>
  <c r="E968" i="1"/>
  <c r="D517" i="1"/>
  <c r="E516" i="1"/>
  <c r="E517" i="1" l="1"/>
  <c r="D518" i="1"/>
  <c r="D970" i="1"/>
  <c r="E969" i="1"/>
  <c r="D971" i="1" l="1"/>
  <c r="E970" i="1"/>
  <c r="D519" i="1"/>
  <c r="E518" i="1"/>
  <c r="D520" i="1" l="1"/>
  <c r="E519" i="1"/>
  <c r="D972" i="1"/>
  <c r="E971" i="1"/>
  <c r="D973" i="1" l="1"/>
  <c r="E972" i="1"/>
  <c r="D521" i="1"/>
  <c r="E520" i="1"/>
  <c r="D522" i="1" l="1"/>
  <c r="E521" i="1"/>
  <c r="D974" i="1"/>
  <c r="E973" i="1"/>
  <c r="D975" i="1" l="1"/>
  <c r="E974" i="1"/>
  <c r="D523" i="1"/>
  <c r="E522" i="1"/>
  <c r="D524" i="1" l="1"/>
  <c r="E523" i="1"/>
  <c r="D976" i="1"/>
  <c r="E975" i="1"/>
  <c r="D977" i="1" l="1"/>
  <c r="E976" i="1"/>
  <c r="D525" i="1"/>
  <c r="E524" i="1"/>
  <c r="D526" i="1" l="1"/>
  <c r="E525" i="1"/>
  <c r="D978" i="1"/>
  <c r="E977" i="1"/>
  <c r="D979" i="1" l="1"/>
  <c r="E978" i="1"/>
  <c r="D527" i="1"/>
  <c r="E526" i="1"/>
  <c r="D528" i="1" l="1"/>
  <c r="E527" i="1"/>
  <c r="D980" i="1"/>
  <c r="E979" i="1"/>
  <c r="D981" i="1" l="1"/>
  <c r="E980" i="1"/>
  <c r="D529" i="1"/>
  <c r="E528" i="1"/>
  <c r="D531" i="1" l="1"/>
  <c r="E529" i="1"/>
  <c r="D982" i="1"/>
  <c r="E981" i="1"/>
  <c r="D983" i="1" l="1"/>
  <c r="E982" i="1"/>
  <c r="D532" i="1"/>
  <c r="E531" i="1"/>
  <c r="D533" i="1" l="1"/>
  <c r="E532" i="1"/>
  <c r="D984" i="1"/>
  <c r="E983" i="1"/>
  <c r="D985" i="1" l="1"/>
  <c r="E984" i="1"/>
  <c r="D534" i="1"/>
  <c r="E533" i="1"/>
  <c r="E534" i="1" l="1"/>
  <c r="D535" i="1"/>
  <c r="D986" i="1"/>
  <c r="E985" i="1"/>
  <c r="D987" i="1" l="1"/>
  <c r="E986" i="1"/>
  <c r="D536" i="1"/>
  <c r="E535" i="1"/>
  <c r="D537" i="1" l="1"/>
  <c r="E537" i="1" s="1"/>
  <c r="E536" i="1"/>
  <c r="D988" i="1"/>
  <c r="E987" i="1"/>
  <c r="D989" i="1" l="1"/>
  <c r="E988" i="1"/>
  <c r="D990" i="1" l="1"/>
  <c r="E989" i="1"/>
  <c r="D991" i="1" l="1"/>
  <c r="E990" i="1"/>
  <c r="D992" i="1" l="1"/>
  <c r="E991" i="1"/>
  <c r="D993" i="1" l="1"/>
  <c r="E992" i="1"/>
  <c r="D994" i="1" l="1"/>
  <c r="E993" i="1"/>
  <c r="D995" i="1" l="1"/>
  <c r="E994" i="1"/>
  <c r="D996" i="1" l="1"/>
  <c r="E995" i="1"/>
  <c r="D997" i="1" l="1"/>
  <c r="E996" i="1"/>
  <c r="D998" i="1" l="1"/>
  <c r="E998" i="1" s="1"/>
  <c r="E99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Konstantin Shangin</author>
    <author>Кузнецов Сергей Петрович</author>
  </authors>
  <commentList>
    <comment ref="Q776" authorId="0" shapeId="0" xr:uid="{DDDDED48-77C3-4044-9391-68E28A7ACB50}">
      <text>
        <r>
          <rPr>
            <b/>
            <sz val="9"/>
            <color indexed="81"/>
            <rFont val="Tahoma"/>
            <family val="2"/>
            <charset val="204"/>
          </rPr>
          <t>Konstantin Shangin:</t>
        </r>
        <r>
          <rPr>
            <sz val="9"/>
            <color indexed="81"/>
            <rFont val="Tahoma"/>
            <family val="2"/>
            <charset val="204"/>
          </rPr>
          <t xml:space="preserve">
К29с2</t>
        </r>
      </text>
    </comment>
    <comment ref="Q1385" authorId="1" shapeId="0" xr:uid="{B9A7D1F5-6B29-4EC9-BEAE-C4DA5B4B9A9B}">
      <text>
        <r>
          <rPr>
            <b/>
            <sz val="9"/>
            <color indexed="81"/>
            <rFont val="Tahoma"/>
            <family val="2"/>
            <charset val="204"/>
          </rPr>
          <t>Кузнецов Сергей Петрович:</t>
        </r>
        <r>
          <rPr>
            <sz val="9"/>
            <color indexed="81"/>
            <rFont val="Tahoma"/>
            <family val="2"/>
            <charset val="204"/>
          </rPr>
          <t xml:space="preserve">
Статистика 3-х объектов: Нск, К29, Крнд
</t>
        </r>
      </text>
    </comment>
  </commentList>
</comments>
</file>

<file path=xl/sharedStrings.xml><?xml version="1.0" encoding="utf-8"?>
<sst xmlns="http://schemas.openxmlformats.org/spreadsheetml/2006/main" count="5511" uniqueCount="1750">
  <si>
    <t>Формат объекта</t>
  </si>
  <si>
    <t>курс $</t>
  </si>
  <si>
    <t xml:space="preserve">дверной </t>
  </si>
  <si>
    <t>Адрес объекта:</t>
  </si>
  <si>
    <t>г. Москва, ул. Маши Порываевой, д. 34</t>
  </si>
  <si>
    <t>курс Евро</t>
  </si>
  <si>
    <t>Плoщадь объекта (м.кв.):</t>
  </si>
  <si>
    <t>Плащадь объекта:</t>
  </si>
  <si>
    <t>-</t>
  </si>
  <si>
    <t>Дисконт по тендеру</t>
  </si>
  <si>
    <t xml:space="preserve">Срок проведения работ </t>
  </si>
  <si>
    <t>Согласно план-графику производства работ</t>
  </si>
  <si>
    <t>курс Юань</t>
  </si>
  <si>
    <t>ПОДРЯДЧИК:</t>
  </si>
  <si>
    <t>Юридический адрес:</t>
  </si>
  <si>
    <t>Электронный адрес:</t>
  </si>
  <si>
    <t>Контактное лицо  (Ф.И.О.) :</t>
  </si>
  <si>
    <t>Контактный телефон:</t>
  </si>
  <si>
    <t>Реквизиты:</t>
  </si>
  <si>
    <t>Сумма по смете:</t>
  </si>
  <si>
    <t>Раздел</t>
  </si>
  <si>
    <t>Подраздел</t>
  </si>
  <si>
    <t>Подраздел подраздела</t>
  </si>
  <si>
    <t>Пункт подраздела</t>
  </si>
  <si>
    <t>Новый номенклатурный номер</t>
  </si>
  <si>
    <t>№</t>
  </si>
  <si>
    <t>Наименование работ и затрат</t>
  </si>
  <si>
    <t>Един. изм.</t>
  </si>
  <si>
    <t>Кол - во. (объем)</t>
  </si>
  <si>
    <t>ЕР цена работ, руб.*</t>
  </si>
  <si>
    <t>ЕР цена материалов и оборудования, руб.*</t>
  </si>
  <si>
    <t>Цена работ, руб. *</t>
  </si>
  <si>
    <t>Цена материалов и оборудования, руб. *</t>
  </si>
  <si>
    <t>Стоимость работ, руб. *</t>
  </si>
  <si>
    <t>Стоимость материалов и оборудования руб. *</t>
  </si>
  <si>
    <t>Примечание</t>
  </si>
  <si>
    <t>Р1</t>
  </si>
  <si>
    <t>Раздел №1. Проектные работы и согласования</t>
  </si>
  <si>
    <t>1.1.0 Проектные работы и согласования</t>
  </si>
  <si>
    <r>
      <t xml:space="preserve">Техническое обследование состояния несущих конструкций помещения с подготовкой рекомендаций по усилению (Техничесекое заключение о конструктиве - </t>
    </r>
    <r>
      <rPr>
        <b/>
        <sz val="9"/>
        <rFont val="Calibri"/>
        <family val="2"/>
        <charset val="204"/>
      </rPr>
      <t>"ТЗК</t>
    </r>
    <r>
      <rPr>
        <sz val="9"/>
        <rFont val="Calibri"/>
        <family val="2"/>
        <charset val="204"/>
      </rPr>
      <t>") (для помещений от 100 до  450 м.кв)</t>
    </r>
  </si>
  <si>
    <t>м2</t>
  </si>
  <si>
    <r>
      <t xml:space="preserve">Эскизный проект фасада и </t>
    </r>
    <r>
      <rPr>
        <b/>
        <sz val="9"/>
        <rFont val="Calibri"/>
        <family val="2"/>
        <charset val="204"/>
      </rPr>
      <t>Колористический паспорт</t>
    </r>
    <r>
      <rPr>
        <sz val="9"/>
        <rFont val="Calibri"/>
        <family val="2"/>
        <charset val="204"/>
      </rPr>
      <t xml:space="preserve"> с указанием ведомости отделки и проектным решением со спецификацией элементов (крыльцо, пандус, навесы, колонны и т.д.)(для фасадов от 100 до  450 м.кв)</t>
    </r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</si>
  <si>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</si>
  <si>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</si>
  <si>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</si>
  <si>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</si>
  <si>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</si>
  <si>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от 100 до  450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</si>
  <si>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</si>
  <si>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от 100 до  450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</si>
  <si>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</si>
  <si>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</si>
  <si>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Рабочая документация "Автоматическая пожарная сигнализация" </t>
    </r>
    <r>
      <rPr>
        <b/>
        <sz val="10"/>
        <rFont val="Calibri"/>
        <family val="2"/>
      </rPr>
      <t>(АПС)</t>
    </r>
  </si>
  <si>
    <r>
      <t xml:space="preserve">Рабочая документация "Система оповещения и управления эвакуацией людей при пожаре" </t>
    </r>
    <r>
      <rPr>
        <b/>
        <sz val="10"/>
        <rFont val="Calibri"/>
        <family val="2"/>
      </rPr>
      <t>(СОУЭ)</t>
    </r>
  </si>
  <si>
    <r>
      <t xml:space="preserve">Рабочая документация "Автоматизация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</si>
  <si>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r>
      <t xml:space="preserve">Рабочая документация "Автоматизация системы противодымной вентиляции </t>
    </r>
    <r>
      <rPr>
        <b/>
        <i/>
        <sz val="10"/>
        <rFont val="Calibri"/>
        <family val="2"/>
      </rPr>
      <t>(ПДВ")"</t>
    </r>
  </si>
  <si>
    <r>
      <t xml:space="preserve">Рабочая документация "Автоматизация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(ОВиК)"</t>
    </r>
  </si>
  <si>
    <r>
      <t xml:space="preserve">Рабочая документация "Автоматизация  Системы аварийного освещения </t>
    </r>
    <r>
      <rPr>
        <b/>
        <i/>
        <sz val="10"/>
        <rFont val="Calibri"/>
        <family val="2"/>
      </rPr>
      <t>(АО)"</t>
    </r>
  </si>
  <si>
    <t>Рабочая документация "Автоматизации лифтовового хозяйства"</t>
  </si>
  <si>
    <r>
      <t xml:space="preserve">Рабочая документация "Автоматизации Системы контроля управления доступом </t>
    </r>
    <r>
      <rPr>
        <b/>
        <i/>
        <sz val="10"/>
        <rFont val="Calibri"/>
        <family val="2"/>
      </rPr>
      <t>(СКУД)"</t>
    </r>
  </si>
  <si>
    <r>
      <t xml:space="preserve"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заключение о конструктиве - </t>
    </r>
    <r>
      <rPr>
        <b/>
        <sz val="9"/>
        <rFont val="Calibri"/>
        <family val="2"/>
        <charset val="204"/>
      </rPr>
      <t>"ТЗК"</t>
    </r>
    <r>
      <rPr>
        <sz val="9"/>
        <rFont val="Calibri"/>
        <family val="2"/>
        <charset val="204"/>
      </rPr>
      <t>)(для помещений менее 100 м.кв)</t>
    </r>
  </si>
  <si>
    <r>
      <t xml:space="preserve"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</t>
    </r>
    <r>
      <rPr>
        <b/>
        <sz val="9"/>
        <rFont val="Calibri"/>
        <family val="2"/>
        <charset val="204"/>
      </rPr>
      <t>фасадов</t>
    </r>
    <r>
      <rPr>
        <sz val="9"/>
        <rFont val="Calibri"/>
        <family val="2"/>
        <charset val="204"/>
      </rPr>
      <t xml:space="preserve"> менее 100 м.кв)</t>
    </r>
  </si>
  <si>
    <t>кв.м.площади фасада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</si>
  <si>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</si>
  <si>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t>компл.</t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</si>
  <si>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</si>
  <si>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</si>
  <si>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</si>
  <si>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</si>
  <si>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менее 100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</si>
  <si>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</si>
  <si>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менее 100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</si>
  <si>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</si>
  <si>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</si>
  <si>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t>Исполнительная документация по усилению/устройству несущих конструкций ("КР"), включая пояснительную записку  (для объектов более 100 кв.м.)</t>
  </si>
  <si>
    <t>Исполнительная документация "Архитектурные решения" ("АР"), включая пояснительную записку  (для объектов более 100 кв.м.)</t>
  </si>
  <si>
    <t>Исполнительная документация по электроснабжению и электроосвещению ("ЭОМ"), включая пояснительную записку (для объектов более 100 кв.м.)</t>
  </si>
  <si>
    <t>Исполнительная документация Системы вентиляции ("ОВиК-В"), включая пояснительную записку  (для объектов более 100 кв.м.)</t>
  </si>
  <si>
    <t>Исполнительная документация Системы кондиционирования ("ОВиК-К"), включая пояснительную записку  (для объектов более 100 кв.м.)</t>
  </si>
  <si>
    <t>Исполнительная документация Системы отопления ("ОВиК-О"), включая Пояснительную записку и Теплотехнический расчет  (для объектов более 100 кв.м.)</t>
  </si>
  <si>
    <t>Исполнительная документация Системы водоснабжения и канализации ("ВК"), включая пояснительную записку  (для объектов более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</si>
  <si>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более 100 кв.м.)</t>
  </si>
  <si>
    <t>Исполнительная документация Системы Внутреннего противопожарного водопровода ("ВПВ"), включая пояснительную записку  (для объектов более 100 кв.м.)</t>
  </si>
  <si>
    <t>Исполнительная документация Системы дымоудаления ("ДУ"), включая пояснительную записку  (для объектов более 100 кв.м.)</t>
  </si>
  <si>
    <t>Исполнительная документация по усилению/устройству несущих конструкций ("КР"), включая пояснительную записку (для объектов менее 100 кв.м.)</t>
  </si>
  <si>
    <t>Исполнительная документация "Архитектурные решения" ("АР"), включая пояснительную записку (для объектов менее 100 кв.м.)</t>
  </si>
  <si>
    <t>Исполнительная документация по электроснабжению и электроосвещению ("ЭОМ"), включая пояснительную записку (для объектов менее 100 кв.м.)</t>
  </si>
  <si>
    <t>Исполнительная документация Системы вентиляции ("ОВиК-В"), включая пояснительную записку (для объектов менее 100 кв.м.)</t>
  </si>
  <si>
    <t>Исполнительная документация Системы кондиционирования ("ОВиК-К"), включая пояснительную записку (для объектов менее 100 кв.м.)</t>
  </si>
  <si>
    <t>Исполнительная документация Системы отопления ("ОВиК-О"), включая Пояснительную записку и Теплотехнический расчет (для объектов менее 100 кв.м.)</t>
  </si>
  <si>
    <t>Исполнительная документация Системы водоснабжения и канализации ("ВК"), включая пояснительную записку (для объектов менее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</si>
  <si>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менее 100 кв.м.)</t>
  </si>
  <si>
    <t>Исполнительная документация Системы Внутреннего противопожарного водопровода ("ВПВ"), включая пояснительную записку (для объектов менее 100 кв.м.)</t>
  </si>
  <si>
    <t>Исполнительная документация Системы дымоудаления ("ДУ"), включая пояснительную записку (для объектов менее 100 кв.м.)</t>
  </si>
  <si>
    <t>Стоимость согласования проекта перепланировки/реставрации объекта культурного наследия  в соответствии с нормативными актами г.______________.</t>
  </si>
  <si>
    <t>цена по КП</t>
  </si>
  <si>
    <t>Стоимость согласования проекта перепланировки/реконструкции объекта   в соответствии с нормативными актами г.______________.</t>
  </si>
  <si>
    <t>Получение паспорта БТИ (в черных линиях)</t>
  </si>
  <si>
    <t>Сертификация помещения для совершения операций с ценностями, хранение ценностей  по (2)  классу вломостойкости и (3) классу пулестойкости</t>
  </si>
  <si>
    <t>Сертификация помещения для совершения операций с ценностями, хранение ценностей  по 3  классу вломостойкости и 3 классу пулестойкости</t>
  </si>
  <si>
    <t xml:space="preserve">Сертификация помещения для совершения операций с ценностями, хранение ценностей  по (5)  классу вломостойкости </t>
  </si>
  <si>
    <t>Технический отчет электролаборатории для помещений более 100 м.кв.</t>
  </si>
  <si>
    <t>Технический отчет электролаборатории для помещений менее 100 м.кв.</t>
  </si>
  <si>
    <t>Стоимость согласования проекта изменения фасада  согласно нормативных и законодательных актов г. ___________ и РФ.</t>
  </si>
  <si>
    <t>Разработка  дизайн-проекта интерьера</t>
  </si>
  <si>
    <t>Экспертиза и согласование проекта ЭОМ в Ростехнадзоре</t>
  </si>
  <si>
    <t xml:space="preserve">Проект системы водоотведения </t>
  </si>
  <si>
    <t>Рабочая документация Системы ливневой канализации</t>
  </si>
  <si>
    <t>Получение Технических условий (при необходимости)</t>
  </si>
  <si>
    <t>Расчет категории пожарной опасности помещений</t>
  </si>
  <si>
    <r>
      <t>Рабочая документация Системы оповещения и управления эвакуацией в части световых указателей (</t>
    </r>
    <r>
      <rPr>
        <b/>
        <sz val="9"/>
        <rFont val="Calibri"/>
        <family val="2"/>
        <charset val="204"/>
      </rPr>
      <t>"СОУЭ"</t>
    </r>
    <r>
      <rPr>
        <sz val="9"/>
        <rFont val="Calibri"/>
        <family val="2"/>
        <charset val="204"/>
      </rPr>
      <t>)</t>
    </r>
  </si>
  <si>
    <t>Согласование проекта Системы водоотведения  и получения тех условий (при необходимости)</t>
  </si>
  <si>
    <t>Испытание лестниц 3 типа с предоставлением актов</t>
  </si>
  <si>
    <t xml:space="preserve"> Испытания системы внутреннего противопожарного водопровода аккредитованной организацией (ВПВ и АУПТ).</t>
  </si>
  <si>
    <t>Мероприятия по обеспечению доступа инвалидов</t>
  </si>
  <si>
    <t>Расчет пожарного риска</t>
  </si>
  <si>
    <t>Подготовка и постановка на учет Независимой оценки пожарного риска (пожарный аудит), включая Расчет пожарного риска</t>
  </si>
  <si>
    <t>Разработка проекта огнезащиты</t>
  </si>
  <si>
    <t>шт.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</si>
  <si>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 1000 м кв.  металлоконструкций)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</si>
  <si>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 1000 м кв.  металлоконструкций)</t>
  </si>
  <si>
    <t>Акустический расчет инженерных систем ОВиК (предоставление в Роспотребнадзор) электронный и бумажный вариант</t>
  </si>
  <si>
    <t>согласование памятников архитектуры</t>
  </si>
  <si>
    <r>
      <t>Стоимость согласования проекта приспособления объекта культурного наследия  в соответствии с нормативными актами Министерства культуры</t>
    </r>
    <r>
      <rPr>
        <sz val="9"/>
        <color rgb="FFFF0000"/>
        <rFont val="Calibri"/>
        <family val="2"/>
        <charset val="204"/>
      </rPr>
      <t xml:space="preserve"> и КГИОП г._Санкт-Петербурга_</t>
    </r>
    <r>
      <rPr>
        <sz val="9"/>
        <rFont val="Calibri"/>
        <family val="2"/>
        <charset val="204"/>
      </rPr>
      <t>. ( включая проведение историко-культурной экспертизы проекта приспособления ОКН). Получение разрешения на работы.</t>
    </r>
  </si>
  <si>
    <t>Стоимость согласования проекта перепланировки/реконструкции объекта   в соответствии с нормативными актами г. ______________</t>
  </si>
  <si>
    <t>кв.м.площади офиса</t>
  </si>
  <si>
    <t>Ведение авторского надзора в период проведения РСР по приспособлению объекта культурного наследия( в соответствии с условиями ТЗ)</t>
  </si>
  <si>
    <t>Подготовка и сдача в _______научного отчета</t>
  </si>
  <si>
    <t>Сопровождение проектной документации в МВК, ОГПН МЧС, ФГУЗ «ЦГиЭ», КГИОП  и прочих при необходимости. Ввод объекта в эксплуатацию в КГИОП И МВК</t>
  </si>
  <si>
    <t>Р2</t>
  </si>
  <si>
    <t>Раздел №2. Демонтажные работы.</t>
  </si>
  <si>
    <t>2.13.0 Демонтажные работы до состояния shell-and-core</t>
  </si>
  <si>
    <t>Демонтажные работы до состояния shell-and-core</t>
  </si>
  <si>
    <t>Позиция применяется при полном демонтаже. Демонтаж бронированных касс и депозитариев оценивается дополнительно согласно ТЗ</t>
  </si>
  <si>
    <t>2.1.0 Потолки</t>
  </si>
  <si>
    <t>Демонтаж подвесных потолков типа "Армстронг"</t>
  </si>
  <si>
    <t>Демонтаж подвесных потолков "Армстронг"
с сохранением</t>
  </si>
  <si>
    <t>Демонтаж  одноуровневых потолков из ГКЛ</t>
  </si>
  <si>
    <t>Демонтаж  двухуровневых потолков из ГКЛ</t>
  </si>
  <si>
    <t>Демонтаж  реечного потолка</t>
  </si>
  <si>
    <t>Демонтаж плитки потолочной из экструдированного полистирола.</t>
  </si>
  <si>
    <t>Демонтаж потолков из ПВХ вагонки</t>
  </si>
  <si>
    <t>Демонтаж потолков из деревянной вагонки</t>
  </si>
  <si>
    <t>Демонтаж утеплителя потолков из минераловатных плит</t>
  </si>
  <si>
    <t>м3</t>
  </si>
  <si>
    <t>Демонтаж утеплителя потолков из пенополистирола</t>
  </si>
  <si>
    <t>Демонтаж потолочного плинтуса, карниза, элементов декора.</t>
  </si>
  <si>
    <t>м.п.</t>
  </si>
  <si>
    <t>Демонтаж потолочного плинтуса, карниза, элементов декора с сохранением.</t>
  </si>
  <si>
    <t>Демонтаж натяжных потолков</t>
  </si>
  <si>
    <t>Демонтаж щтукатурки потолка толщиной до 50 мм.</t>
  </si>
  <si>
    <t>Демонтаж подвесных потолков типа "Грильято"</t>
  </si>
  <si>
    <t>2.2.0 Полы</t>
  </si>
  <si>
    <t>Демонтаж цементно-песчаной стяжки толщиной до 50 мм</t>
  </si>
  <si>
    <t>Демонтаж цементно-песчаной стяжки толщиной до 100 мм</t>
  </si>
  <si>
    <t>Демонтаж цементно-песчаной стяжки армированной толщиной до 50 мм</t>
  </si>
  <si>
    <t>Демонтаж цементно-песчаной стяжки армированной толщиной до 100 мм</t>
  </si>
  <si>
    <t>Демонтаж полов из гранитных и мраморных плит толщиной 30 мм</t>
  </si>
  <si>
    <t>Демонтаж покрытия полов из керамогранита и кераимческих плиток</t>
  </si>
  <si>
    <t xml:space="preserve">Демонтаж покрытия полов цементных с мраморной крошкой </t>
  </si>
  <si>
    <t>Расшивка швов поверхности пола из плитки керамической</t>
  </si>
  <si>
    <t>Демонтаж покрытия полов: из линолеума, ковролина</t>
  </si>
  <si>
    <t>Демонтаж покрытия полов: из паркетной доски (ламината)</t>
  </si>
  <si>
    <t>Демонтаж фальшпола</t>
  </si>
  <si>
    <t>Демонтаж деревянных полов на деревянных лагах</t>
  </si>
  <si>
    <t>Демонтаж плинтусов:  из керамической плитки</t>
  </si>
  <si>
    <t>Демонтаж плинтусов: деревянных, пвх</t>
  </si>
  <si>
    <t>Демонтаж ЖБ плит перекрытия.</t>
  </si>
  <si>
    <t>Демонтаж деревянных балок перекрытия</t>
  </si>
  <si>
    <t>Демонтаж плиточного клея</t>
  </si>
  <si>
    <t>2.3.0 Стены и перегородки</t>
  </si>
  <si>
    <t>Демонтаж кирпичных перегородок (в 1/2 кирпича)</t>
  </si>
  <si>
    <t>Демонтаж кирпичных перегородок (в 1/2 кирпича) с армированием ( d16 яч. 150Х150)</t>
  </si>
  <si>
    <t xml:space="preserve">Демонтаж кирпичных стен </t>
  </si>
  <si>
    <t>Демонтаж стен из пенобетонных блоков</t>
  </si>
  <si>
    <t>Демонтаж утеплителя стен из минераловатных плит</t>
  </si>
  <si>
    <t>Демонтаж утеплителя стен из пенополистирола</t>
  </si>
  <si>
    <t>Демонтаж облицовки стен листами ГКЛ по металлическому каркасу</t>
  </si>
  <si>
    <t xml:space="preserve">Демонтаж облицовки стен из МДФ панелей </t>
  </si>
  <si>
    <t>Демонтаж каркасных деревянных перегородок с облицовкой панелями МДФ</t>
  </si>
  <si>
    <t>Демонтаж перегородок по металлическому каркасу с облицовкой панелями МДФ</t>
  </si>
  <si>
    <t>Отбивка штукатурки стен толщиной до 30 мм</t>
  </si>
  <si>
    <t>Снятие обоев</t>
  </si>
  <si>
    <t>Демонтаж облицовки стен из плитки керамической, мрамора.</t>
  </si>
  <si>
    <t>Демонтаж стеклянных перегородок</t>
  </si>
  <si>
    <t>Демонтаж бронепанелей</t>
  </si>
  <si>
    <t>Демонтаж обшивки стен мебельными панелями</t>
  </si>
  <si>
    <t>Разборка перегородок из ГКЛ по металлическому каркасу</t>
  </si>
  <si>
    <t>2.4.0 Двери</t>
  </si>
  <si>
    <t>Демонтаж дверных блоков деревянных (межкомнатные)</t>
  </si>
  <si>
    <t>Демонтаж дверных блоков из ПВХ профиля</t>
  </si>
  <si>
    <t>Демонтаж дверных блоков металлических</t>
  </si>
  <si>
    <t>Демонтаж дверных блоков   (стеклопакет в алюминиевой обвязке)</t>
  </si>
  <si>
    <t>Демонтаж дверных блоков бронированных</t>
  </si>
  <si>
    <t>Демонтаж решетчатой двери (распашные, гармошка).</t>
  </si>
  <si>
    <t>Демонтаж дверей гаражных</t>
  </si>
  <si>
    <t>Демонтаж рольставни</t>
  </si>
  <si>
    <t>Демонтаж дверных блоков  с сохранением</t>
  </si>
  <si>
    <t>2.5.0 Окна</t>
  </si>
  <si>
    <t>Демонтаж деревянных оконных блоков</t>
  </si>
  <si>
    <t>Демонтаж оконных блоков из ПВХ профиля</t>
  </si>
  <si>
    <t>Демонтаж оконных блоков в алюминиевом профиле</t>
  </si>
  <si>
    <t>Демонтаж бронеокон</t>
  </si>
  <si>
    <t>Демонтаж подоконных досок деревянных</t>
  </si>
  <si>
    <t>Демонтаж подоконников из ПВХ</t>
  </si>
  <si>
    <t>Демонтаж подоконных досок бетонных</t>
  </si>
  <si>
    <t>Демонтаж отливов из оцинкованной стали</t>
  </si>
  <si>
    <t>Демонтаж откосов ПВХ</t>
  </si>
  <si>
    <t>2.6.0 Кровля</t>
  </si>
  <si>
    <t>Демонтаж рулонной кровли из оклеечных изоляционных материалов в два слоя</t>
  </si>
  <si>
    <t>Демонтаж покрытия кровли из профлиста, металлочерепицы, андулина, металла.</t>
  </si>
  <si>
    <t>Демонтаж стропильной части кровли включая обрешетку</t>
  </si>
  <si>
    <t>Демонтаж утеплителя кровли</t>
  </si>
  <si>
    <t>Демонтаж отливов, водостоков.</t>
  </si>
  <si>
    <t>2.7.0 Фасад, прилегающая территория</t>
  </si>
  <si>
    <t>Разборка тротуарной плитки</t>
  </si>
  <si>
    <t>Разборка асфальтового покрытия</t>
  </si>
  <si>
    <t>Разборка бетонированного покрытия</t>
  </si>
  <si>
    <t>Выемка грунта</t>
  </si>
  <si>
    <t>Демонтаж бордюрного, тротуарного,дорожного камня.</t>
  </si>
  <si>
    <t>Демонтаж перил ограждения</t>
  </si>
  <si>
    <t>Демонтаж козырьков</t>
  </si>
  <si>
    <t xml:space="preserve">Демонтаж облицовки цоколя, фасада (плитка керамическая, камень натуральный) </t>
  </si>
  <si>
    <t>Демонтаж штукатурки фасада</t>
  </si>
  <si>
    <t>Расшивка швов поверхности фасада</t>
  </si>
  <si>
    <t>Демонтаж фасада из композитных панелей "Алюкобонд" с подсистемой, навесных фасадов (металл, керамогранит)</t>
  </si>
  <si>
    <t>Демонтаж информационной, рекламной конструкции на фасаде здания</t>
  </si>
  <si>
    <t>Демонтаж ограждающих конструкций из профлиста</t>
  </si>
  <si>
    <t>Демонтаж сварных металлических конструкций</t>
  </si>
  <si>
    <t>тн.</t>
  </si>
  <si>
    <t>2.8.0 Электро и слаботочные системы</t>
  </si>
  <si>
    <t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</t>
  </si>
  <si>
    <t>Демонтаж скрытой электропроводки (проложенной в перегородках, за подвесными потолками, под фальшполами и в других конструктивных элементах зданий)</t>
  </si>
  <si>
    <t>Демонтаж выключателей, розеток</t>
  </si>
  <si>
    <t>Демонтаж светильников</t>
  </si>
  <si>
    <t>Демонтаж электрощитов распределительных</t>
  </si>
  <si>
    <t>Демонтаж щитов ВРУ</t>
  </si>
  <si>
    <t>Демонтаж вводных кабелей высоковольтных</t>
  </si>
  <si>
    <t>Демонтаж светильников с сохранением</t>
  </si>
  <si>
    <t xml:space="preserve">Демонтаж кабель канала </t>
  </si>
  <si>
    <t>2.9.0 Вентиляция и кондиционирование</t>
  </si>
  <si>
    <t>Демонтаж воздуховодов системы вентиляциии и охлаждения воздуха</t>
  </si>
  <si>
    <t>Демонтаж кондиционера (сплит система, внешний и внутренний блоки с трассами фреонопровода и межблочными кабельными линиями)</t>
  </si>
  <si>
    <t>Демонтаж кондиционера (сплит система, внешний и внутренний блоки) с сохранением</t>
  </si>
  <si>
    <t>Демонтаж вент машин</t>
  </si>
  <si>
    <t>Демонтаж вент машин с сохранением</t>
  </si>
  <si>
    <t>2.10.0 Отопление, водоснабжение, канализация</t>
  </si>
  <si>
    <t>Демонтаж унитаза</t>
  </si>
  <si>
    <t>Демонтаж  раковины</t>
  </si>
  <si>
    <t>Демонтаж смесителя</t>
  </si>
  <si>
    <t>Демонтаж ванн, душевых кабин.</t>
  </si>
  <si>
    <t xml:space="preserve">Демонтаж радиаторов отопления с запорной арматурой </t>
  </si>
  <si>
    <t>Демонтаж труб системы отопления</t>
  </si>
  <si>
    <t>Демонтаж труб водоснабжения и канализации диаметром до 50 мм</t>
  </si>
  <si>
    <t>Демонтаж труб канализации и водоснабжения диаметром до 110 мм</t>
  </si>
  <si>
    <t>Демонтаж запорной арматуры белее 50 мм</t>
  </si>
  <si>
    <t>Демонтаж запорной арматуры диаметром до 50 мм</t>
  </si>
  <si>
    <t>Демонтаж  циркуляционных насосов</t>
  </si>
  <si>
    <t>Демонтаж регистров отопления</t>
  </si>
  <si>
    <t xml:space="preserve">Демонтаж панельного радиатора </t>
  </si>
  <si>
    <t>2.11.0 Вывоз мусора и уборка</t>
  </si>
  <si>
    <t>Вывоз мусора (бункер 5т - 8м3)</t>
  </si>
  <si>
    <t>Вывоз мусора (бункер 27 м3)</t>
  </si>
  <si>
    <t>Вывоз мусора (бункер 24 м3)</t>
  </si>
  <si>
    <t>Вывоз мусора (бункер 20 м3)</t>
  </si>
  <si>
    <t>Перемещение вручную строительных материалов, мусора на расстоянии свыше 50 м от объекта</t>
  </si>
  <si>
    <t>позиция применяется только если реально грузить мусор более  50 м. Если менее -не применять</t>
  </si>
  <si>
    <t>Уборка послестроительная</t>
  </si>
  <si>
    <t>Поддерживающая уборка  в течении недели перед открытием</t>
  </si>
  <si>
    <t>Клининговая уборка перед открытием (включая ночные работы).</t>
  </si>
  <si>
    <t>2.12.0 Прочее</t>
  </si>
  <si>
    <t>Демонтаж мебельных конструкций</t>
  </si>
  <si>
    <t>Демонтаж шлюза инкосаторского</t>
  </si>
  <si>
    <t>Удаление старого огнезащитного покрытия</t>
  </si>
  <si>
    <t>Демонтаж жалюзей</t>
  </si>
  <si>
    <t>Демонтаж металлоконструкций</t>
  </si>
  <si>
    <t>Демонтаж наборных ступеней ЛС 90 с выломкой четвертей</t>
  </si>
  <si>
    <t>Демонтаж лифта включая Двери, двигатели, тросы, уловители,ограничители.</t>
  </si>
  <si>
    <t>Подготовка бетонных поверхностей к покраске - пескоструйная обработка. 
В состав работ и матриалов входит доставка песка, временное сооружение для песка и его обогрев, доставка и работа компрессора. 
К площадям относятся все поверхности потолка общего, потолка антресоли и колонны, высотные работы, развертки перемычек и проч.</t>
  </si>
  <si>
    <t>Р3</t>
  </si>
  <si>
    <t>Раздел №3.  Внутренние строительные работы</t>
  </si>
  <si>
    <t>3.1.0 Стены и перегородки</t>
  </si>
  <si>
    <t xml:space="preserve">Кладка перегородок  толщиной в 1/2 кирпича </t>
  </si>
  <si>
    <t>Кладка перегородок армированных толщиной в 1 кирпич</t>
  </si>
  <si>
    <t>Кладка перегородок из пеноблоков (600*300*200)</t>
  </si>
  <si>
    <t xml:space="preserve">Заделка проемов в кирпичных стенах </t>
  </si>
  <si>
    <t>Усиление проемов металлическим профилем из уголка 50*3</t>
  </si>
  <si>
    <t>Усиление перегородок UA  профилем Кнауф</t>
  </si>
  <si>
    <t>Усиление проемов металлическим профилем из уголка 100*100*10</t>
  </si>
  <si>
    <r>
      <t xml:space="preserve">Устройство перегородок из ГКЛ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однослойной обшивкой</t>
    </r>
    <r>
      <rPr>
        <sz val="9"/>
        <rFont val="Calibri"/>
        <family val="2"/>
        <charset val="204"/>
      </rPr>
      <t xml:space="preserve"> с обеих сторон (включая перфорированные уголки на внешние углы)</t>
    </r>
  </si>
  <si>
    <r>
      <t>Устройство перегородок из ГКЛ толщ. 12 мм. "Кнауф" с одинарным металлическим каркасом и</t>
    </r>
    <r>
      <rPr>
        <sz val="9"/>
        <color rgb="FFFF0000"/>
        <rFont val="Calibri"/>
        <family val="2"/>
        <charset val="204"/>
      </rPr>
      <t xml:space="preserve"> двухслойной обшивкой </t>
    </r>
    <r>
      <rPr>
        <sz val="9"/>
        <rFont val="Calibri"/>
        <family val="2"/>
        <charset val="204"/>
      </rPr>
      <t>с обеих сторон (включая перфорированные уголки на внешние углы)</t>
    </r>
  </si>
  <si>
    <t>использовать 2 х слойную перегородку</t>
  </si>
  <si>
    <r>
      <t>Облицовка стен по одинарному металлическому каркасу "Кнауф" из  профиля гипсокартонными листами (ГКЛ) толщ. 12 мм. "Кнауф"</t>
    </r>
    <r>
      <rPr>
        <sz val="9"/>
        <color rgb="FFFF0000"/>
        <rFont val="Calibri"/>
        <family val="2"/>
        <charset val="204"/>
      </rPr>
      <t xml:space="preserve"> одним слоем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</si>
  <si>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t>использовать 1 слойныую облицовку стен, внешние стены прокладывать минватой</t>
  </si>
  <si>
    <r>
      <t xml:space="preserve">Облицовка стен по одинарному металлическому каркасу "Кнауф" из  профиля гипсокартонными листами (ГКЛ) толщ. 12 мм. "Кнауф" </t>
    </r>
    <r>
      <rPr>
        <sz val="9"/>
        <color rgb="FFFF0000"/>
        <rFont val="Calibri"/>
        <family val="2"/>
        <charset val="204"/>
      </rPr>
      <t>двумя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</si>
  <si>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Облицовка стен по одинарному металлическому каркасу "Кнауф" из  профиля гипсокартонными листами (ГКЛВ) толщ. 12 мм. "Кнауф" </t>
    </r>
    <r>
      <rPr>
        <sz val="9"/>
        <color rgb="FFFF0000"/>
        <rFont val="Calibri"/>
        <family val="2"/>
        <charset val="204"/>
      </rPr>
      <t xml:space="preserve">одним слоем </t>
    </r>
    <r>
      <rPr>
        <sz val="9"/>
        <rFont val="Calibri"/>
        <family val="2"/>
        <charset val="204"/>
      </rPr>
      <t>(включая перфорированные уголки на внешние углы)</t>
    </r>
  </si>
  <si>
    <r>
      <t xml:space="preserve">Устройство перегородок из </t>
    </r>
    <r>
      <rPr>
        <b/>
        <sz val="9"/>
        <rFont val="Calibri"/>
        <family val="2"/>
        <charset val="204"/>
      </rPr>
      <t>ГКЛ-В</t>
    </r>
    <r>
      <rPr>
        <sz val="9"/>
        <rFont val="Calibri"/>
        <family val="2"/>
        <charset val="204"/>
      </rPr>
      <t xml:space="preserve">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двухслойной</t>
    </r>
    <r>
      <rPr>
        <sz val="9"/>
        <rFont val="Calibri"/>
        <family val="2"/>
        <charset val="204"/>
      </rPr>
      <t xml:space="preserve"> обшивкой с обеих сторон (включая перфорированные уголки на внешние углы)</t>
    </r>
  </si>
  <si>
    <r>
      <t>Облицовка стен по одинарному металлическому каркасу из  профиля влагостойкими гипсокартонными листами (ГКЛВ) "Кнауф" толщ. 12 мм. д</t>
    </r>
    <r>
      <rPr>
        <sz val="9"/>
        <color rgb="FFFF0000"/>
        <rFont val="Calibri"/>
        <family val="2"/>
        <charset val="204"/>
      </rPr>
      <t>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</si>
  <si>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гипсокартонными листами (ГКЛ) "Кнауф"</t>
    </r>
    <r>
      <rPr>
        <sz val="9"/>
        <color rgb="FFFF0000"/>
        <rFont val="Calibri"/>
        <family val="2"/>
        <charset val="204"/>
      </rPr>
      <t xml:space="preserve"> в один слой на клее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</si>
  <si>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t>Устройство оконных откосов из ГКЛВ толщ. 12 мм.</t>
  </si>
  <si>
    <t>Тепло- и звукоизоляция стен из минеральных материалов</t>
  </si>
  <si>
    <t xml:space="preserve">Штукатурка  стен  </t>
  </si>
  <si>
    <t xml:space="preserve">Устройство закладной из стальной  профильной трубы 100х100 в теле опуска ГКЛ для закрепления стеклянных перегородок </t>
  </si>
  <si>
    <t>Устройство штроб в кирпичных стенах</t>
  </si>
  <si>
    <t>Устройство штроб в конструкциях газосиликатных, керамзитобетонных, шлакобетонных, пенобетонных.</t>
  </si>
  <si>
    <t xml:space="preserve">Пробивка отверстий в кирпичных стенах фасада, внутренних перегородках под прокладку труб ОВиК, электролотков, </t>
  </si>
  <si>
    <t>Пробивка отверстий в бетоных стенах фасада, внутренних перегородках под прокладку труб ОВиК, электролотков.</t>
  </si>
  <si>
    <t>Запенивание противопожарной пеной тех. отверстий прохода транзитных коммуникаций</t>
  </si>
  <si>
    <t>Пробивка проемов в стенах из пенобетонных блоков</t>
  </si>
  <si>
    <t>Пробивка проемов в стенах из кирпича</t>
  </si>
  <si>
    <t>Алмазное сверление отверстий в стенах Ø50-100 мм</t>
  </si>
  <si>
    <t>см.</t>
  </si>
  <si>
    <t>Алмазное сверление отверстий в стенах Ø101-200 мм</t>
  </si>
  <si>
    <t>Алмазное сверление отверстий в стенах Ø201-300 мм</t>
  </si>
  <si>
    <t>Алмазное сверление отверстий в стенах Ø301-400 мм</t>
  </si>
  <si>
    <t>Монтаж закладных из фанеры 12мм под шкафы  обработанная составом "NEOMID 450-1".</t>
  </si>
  <si>
    <t xml:space="preserve">Монтаж закладных из листа оцинкованной стали 0,5 </t>
  </si>
  <si>
    <t>Устройство ниши ГКЛ по м/к под монтаж приборов отопления</t>
  </si>
  <si>
    <t>Устройство пароизоляции из полиэтиленовой пленки до 100 мкр.</t>
  </si>
  <si>
    <t xml:space="preserve">Усиление проемов деревянным антисептированным бруском 50*50 </t>
  </si>
  <si>
    <t>Люк скрытый нажимной 300*300</t>
  </si>
  <si>
    <t>Люк скрытый нажимной 400*600</t>
  </si>
  <si>
    <t>Люк скрытый нажимной 500*600</t>
  </si>
  <si>
    <t>Люк скрытый нажимной 600*600</t>
  </si>
  <si>
    <t>Устройство коробов из ГКЛ до 600 мм шириной (для обшивки ригелей, балок колонн и т.д.)</t>
  </si>
  <si>
    <t>3.2.0 Стеклянные перегородки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</si>
  <si>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charset val="204"/>
      </rPr>
      <t>цвета матовая нержавеющая сталь</t>
    </r>
  </si>
  <si>
    <t>см.лист "Бескаркасные двери и перегородки"</t>
  </si>
  <si>
    <t xml:space="preserve">Устройство стеклянной перегородки в алюминиевом профиле по RAL. Стекло закаленное 6 мм. </t>
  </si>
  <si>
    <t xml:space="preserve">Устройство стеклянной перегородки в пластиковом профиле. Стекло закаленное 6 мм. </t>
  </si>
  <si>
    <t xml:space="preserve">Оклейка стеклянных перегородок декоративной пленкой (перфорированной) с фоторисунком </t>
  </si>
  <si>
    <t>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</si>
  <si>
    <t>Стекл. перегородки'!A1</t>
  </si>
  <si>
    <t>Перегородка цельностеклянная Versal-Duplex 72х25 мм либо аналог. H-3000mm Заполнение: стекло двойное 10 мм, закаленное. Pilkington Optiwhite с полированными кромками Профиль цвет 9017. Стекло заподлицо с коридором. Укрепление стекла пленкой К4 с одной стороны, или аналог. Пленка должна быть заведена под профиль, заводского изготовления. Rw-45dB. высота 3000мм (Высоты дополнительно согласовать с Заказчиком и Архитектором</t>
  </si>
  <si>
    <t>Раздвижная стеклянная перегородка Dorma, профильRAL 9017. Rw-45dB 
Под фальшполом предусмотреть звукоизоляционную отсечку</t>
  </si>
  <si>
    <t>Замок для трансформируемой перегородки  типа «Т-009 PSS»</t>
  </si>
  <si>
    <t>Трансформируемая перегородка  цельностеклянная, закаленое стекло 10 мм.  высотой до 3000мм в проем до 5 м²</t>
  </si>
  <si>
    <t>см. лист "Трансф. перег."</t>
  </si>
  <si>
    <t>Трансформируемая перегородка  цельностеклянная, закаленое стекло 10 мм.  высотой до 3000мм в проемв  от 5 до 10 м²</t>
  </si>
  <si>
    <t>Трансформируемая перегородка  цельностеклянная, закаленое стекло 10 мм. высотой до 3000мм в проемв  от 10 до 15 м²</t>
  </si>
  <si>
    <t>Трансформируемая перегородка  цельностеклянная, закаленое стекло 10 мм.  высотой до 3000мм в проемв  от от 15 м²</t>
  </si>
  <si>
    <t xml:space="preserve">Цилиндр с заверткой для нижнего замка </t>
  </si>
  <si>
    <t>Цилиндр с заверткой для среднего замка</t>
  </si>
  <si>
    <t>3.3.0 Поверхность стен</t>
  </si>
  <si>
    <t>Обработка стен, поврежденных грибком антисептическим раствором за 2 раза</t>
  </si>
  <si>
    <t xml:space="preserve">Шпатлевка швов, саморезов и примыканий стен и перегородок из ГКЛ </t>
  </si>
  <si>
    <t>позиция только для стен выше подвесного потолка.</t>
  </si>
  <si>
    <t xml:space="preserve">Шпатлевка стен </t>
  </si>
  <si>
    <t>позиция только для стен, не обшитых ГКЛ</t>
  </si>
  <si>
    <t>Шпатлевка стен по стеклохолсту</t>
  </si>
  <si>
    <t xml:space="preserve">Сплошное выравние стен составами "Ветонит" толщиной до 10 мм </t>
  </si>
  <si>
    <t>Грунтовка поверхности стен и перегородок за 2 раза</t>
  </si>
  <si>
    <t>Окраска стен за 2 раза краской Tikkurila EURO 7 (колерованная)</t>
  </si>
  <si>
    <t xml:space="preserve">Оклейка стен стеклообоями типа "Паутинка" (нефактурными) </t>
  </si>
  <si>
    <t>Ремонт штукатурки стен с расшивкой швов, отдельными местами до 1 м.кв.</t>
  </si>
  <si>
    <t>Облицовка стен керамической плиткой  с затиркой швов.</t>
  </si>
  <si>
    <t>Облицовка стен керамической плиткой 200*500  Amsterdam graphite  " Ctramica Konskie" с затиркой швов.</t>
  </si>
  <si>
    <t>вкладка Плитка СУ</t>
  </si>
  <si>
    <t>Облицовка стен керамической плиткой 200*500 "Graphit" коллекциии "Oxford" " Ctramica Konskie" с затиркой швов.</t>
  </si>
  <si>
    <t>Облицовка стен керамической плиткой Mountain silver 25х50 с затиркой швов.</t>
  </si>
  <si>
    <t>Облицовка стен керамической плиткой Frida gray 30х60 с затиркой швов.</t>
  </si>
  <si>
    <t>Atlas Concorde Rin. Grey 60x120/Ринашенте Грей 60X120 с затиркой швов</t>
  </si>
  <si>
    <t>Керамогранит</t>
  </si>
  <si>
    <t>1 м.кв.</t>
  </si>
  <si>
    <t>Atlas Concorde Rin. Grey 80x80/Ринашенте Грей 80X80 с затиркой швов</t>
  </si>
  <si>
    <t>Atlas Concorde Rinascente SMOKE 600х1200х9 с затиркой швов.</t>
  </si>
  <si>
    <t>Atlas Concorde Rinascente PEARL 600х1200х9 с затиркой швов.</t>
  </si>
  <si>
    <t>Atlas Concorde Rinascente IVORY 600х1200х9 с затиркой швов.</t>
  </si>
  <si>
    <t>Atlas Concorde  Forte dei Marmi Rock Tiffany White 60x120 Mat с затиркой швов</t>
  </si>
  <si>
    <t>Atlas Concorde Аллюр Джойя Ret 60x120 - снят с производства </t>
  </si>
  <si>
    <t>Atlas Concorde  Forte dei Marmi Rock Tiffany White 80x160 Mat с затиркой швов</t>
  </si>
  <si>
    <t>Atlas Concorde Аллюр Джойя Ret 80x80 -  снят с производства </t>
  </si>
  <si>
    <t>Бордюр 500*15 "Szklana T40"  коллекциии "Oxford" " Ctramica Konskie" с затиркой швов.</t>
  </si>
  <si>
    <t xml:space="preserve">Установка пластиковых уголков на наружные углы колонн и стен </t>
  </si>
  <si>
    <t xml:space="preserve">Установка металлических уголков на наружные углы колонн и стен </t>
  </si>
  <si>
    <t>Облицовка стен декоративной штукатуркой</t>
  </si>
  <si>
    <t>Нанесение известковой декоративной штукатурки TRAVERTINO ITALIANO с коллеровкой в RAL  7047*</t>
  </si>
  <si>
    <t>Оклейка стен стеклообоями типа "Рогожка"</t>
  </si>
  <si>
    <t>Декоративные крашенные МДФ ПАНЕЛИ 20ММ, ЦВЕТ RAL 7040, Швы - черный, П-образный
профиль 10мм</t>
  </si>
  <si>
    <t>Аккустическая панель из Войлока, максимальные размери 1200X2400см, клеиться на стену</t>
  </si>
  <si>
    <t>ДЕКОРАТИВНЫЕ АКУСТИЧЕСКИЕ ОБОИ Цвет: FE Light blue 60</t>
  </si>
  <si>
    <t>Стеновые декоративные панели из ЛДСП Egger Дуб Гладстоун песочный H3309 ST28,  Швы - черный П-образный профиль 10мм</t>
  </si>
  <si>
    <t>Плитка Керама Марацци 6304 Ломбардиа 25*40 - h=2400</t>
  </si>
  <si>
    <t>Оклейка поверхностей  стен и перегородок  Обои Голландские обои Eijffinger, коллекция Ibiza, артикул 330203</t>
  </si>
  <si>
    <t>Оклейка поверхностей  стен и перегородок  бумажными обоями (рисунок обоев выполняется "на заказ")</t>
  </si>
  <si>
    <t>3.4.0.0 Двери, Окна.</t>
  </si>
  <si>
    <t>3.4.1.0 Двери входные</t>
  </si>
  <si>
    <t>Монтаж однопольного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стеклопакет, стекла закаленные и/или трипликс 6 мм.</t>
  </si>
  <si>
    <t>Вкладка "Стекл двери а алюм."</t>
  </si>
  <si>
    <t>Монтаж полуторапольного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 стекла закаленные и/или трипликс 6 мм.</t>
  </si>
  <si>
    <t>Монтаж двупольного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«хром»). Размер "в свету"  1800*2100. Однокамерный стеклопакет, стекла закаленные и/или трипликс 6 мм.</t>
  </si>
  <si>
    <t>Установка дверного доводчика  штанга рычажная  на входные двери (210 кг)</t>
  </si>
  <si>
    <t>3.4.2.0 Двери запасного входа</t>
  </si>
  <si>
    <t>Установка дверного блока размером 900х2100 мм запасного выхода (контурный, металлический с утепленнием минплитой, наружного исполнения)</t>
  </si>
  <si>
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Порог 40 мм. Порошковая покраска цвет RAL- согласовать с заказчиком.</t>
  </si>
  <si>
    <t>вкладка "Броня"</t>
  </si>
  <si>
    <t>Доводчик на рабочую створку  NOTEDO DC-025-095 (со скользящим каналом). Доводчик на паразитную створку NOTEDO  DC-070 (паук)</t>
  </si>
  <si>
    <t>Установка металлической  двери-решетчатой гармошки с замком 900х2100 мм (запасной выход)</t>
  </si>
  <si>
    <t>3.4.3.0 Двери стеклянные бескаркасные</t>
  </si>
  <si>
    <r>
      <t xml:space="preserve">Установка стеклянного однопольного дверного блока 900х2100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</si>
  <si>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полуторопольного дверного блока 1400х2100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</si>
  <si>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двупольного дверного блока 1800х2400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</si>
  <si>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3.4.4.0 Двери стеклянные в алюминиевом профиле внутренние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</si>
  <si>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в "свету"  900х2100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</si>
  <si>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1200х2100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</si>
  <si>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фурнитурой белого матового металла. ручка из нержавеющей стали типа «труба» со смещением креплений диаметром 32 мм, длиной 1000 мм</t>
  </si>
  <si>
    <t>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900мм.  Цвет: RAL 9005 муар. Фурнитура: на раб.створке замок "Профи 30.11Р.24" ригель с роликовой защелкой, цилиндр к/к, ручка прямая со смещением Titan T-671(L=1800мм), петли карточные, трехсекционные 3 шт на створку. Цвет фурнитуры: матовая нерж. сталь.  Доводчик скрытый Hafele DCL34.</t>
  </si>
  <si>
    <t>Стекл. двери один в перегородку'!A1</t>
  </si>
  <si>
    <t>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ЛДСП 16 мм. Цвет: EGGER муар. Цвет: RAL 9005 муар. Фурнитура:на раб.створке замок "Профи 30.11Р.24" ригель с роликовой защелкой, цилиндр к/к,  на пассивной створке шпингалеты, на обе створки установлены  ручки прямые со смещением Titan T-671(L=1800мм), петли карточные, трехсекционные 3 шт на створку. Цвет фурнитуры: матовая нерж. сталь. Световой проем при открытой (ых) створках на 90* не менее 2100х1200/800. Доводчик полозковый Dorma TS92 на обе створки (цвет черный). 2 штуки на каждую створку по доводчику.</t>
  </si>
  <si>
    <t>Стекл. дв. полут в проем '!A1</t>
  </si>
  <si>
    <t>3.4.5.0 Двери противопожарные</t>
  </si>
  <si>
    <t>Установка противопожарного однопольного дверного блока , min EI60 с фурнитурой 1000х2100мм</t>
  </si>
  <si>
    <t>Установка противопожарного  однопольного дверного блока, min EI60 с фурнитурой 1200х2100мм</t>
  </si>
  <si>
    <t>Установка противопожарного  двухпольного дверного блока , min EI60 с фурнитурой 1300х2100мм</t>
  </si>
  <si>
    <t>Установка противопожарного  двухпольного дверного блока , min EI60 с фурнитурой 1800х2100мм</t>
  </si>
  <si>
    <t>Установка противопожарного  двухпольного дверного блока , min EI60 с фурнитурой 1600х2350мм</t>
  </si>
  <si>
    <t>Установка дверного доводчика к мет дверям</t>
  </si>
  <si>
    <t>фрезеровка под Eff-Eff 34 12 V DC (34-E91) с длинными планками Eff-Eff HZ (021 35) (-------02135-01) (предоставляет заказчик), защищенный стальной гибкий переход для кабеля, прокладка кабеля внутри дверной коробки и полотна.</t>
  </si>
  <si>
    <t>Комплект антипаника Doorlock на активную створку DL PD800FR-BAR (или аналог по согласованию заказчика)</t>
  </si>
  <si>
    <t>Установка однопольного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</si>
  <si>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>Установка полуторапольногоо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</si>
  <si>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>3.4.6.0 Двери внутренние деревянные</t>
  </si>
  <si>
    <t>Установка деревянного дверного блока 900х2100 мм, типа Alavus с фурнитурой,добором и наличниками</t>
  </si>
  <si>
    <t>Установка деревянного дверного блока  900х2100 мм, типа Arki 3 Финляндия с фурнитурой,добором и наличниками. Цвет согласовать с Заказчиком</t>
  </si>
  <si>
    <t>Установка деревянных, дверных блоков 900х2100 мм, типа Arki 6 со стеклом Финляндия с фурнитурой,добором и наличниками. Цвет согласовать с Заказчиком</t>
  </si>
  <si>
    <t>Установка деревянного дверного блоков 900х2100 мм, типа Толедо с фурнитурой,добором и наличниками. Цвет согласовать с Заказчиком</t>
  </si>
  <si>
    <t xml:space="preserve">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9005 муар. Коробка алюминиевая скрытая. Цвет RAL 9005 муар. Фальш-фрамуга с одной стороны (см. разрез) от отм. 2100 мм. до отм. 2500 мм, ламинированные. Цвет: Egger U999 ST19, направление: вертикальное. Добор и наличник с двух сторон, ламинированные. Цвет: Egger U999 ST19. Фурнитура: замок магнитный, ручка нажимная и накладка Hafele Sandra, цилиндр DL Standart 40х45, петли скрытые Kubica K2760 х 3 шт., ограничитель DS-0014, скрытый доводчик типа DL 700 ITS. Цвет фурнитуры: черный, ограничитель открывания DS-0014. </t>
  </si>
  <si>
    <t>Дерев. гл. скр. двери в проем'!A1</t>
  </si>
  <si>
    <t>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Коробка:алюминиевая телескопическая (наличник 60/72 мм). Цвет: RAL 9005. Фурнитура: ручка нажимная Hafele PZ арт. 903.92.556 (матовая нерж. сталь), замок ригельный, цилиндр DL 40х45, петли скрытые Kubica K2780 - 3 шт.,  скрытый доводчик типа DL 700 ITS., ограничитель открывания DS-0014. Цвет фурнитуры: матовая нержавеющая сталь</t>
  </si>
  <si>
    <t>Дерев. гл. двери в проем'!A1</t>
  </si>
  <si>
    <t>Установка деревянного дверного блоков 900х2100 мм, типа Граффити-5 BRAVO с фурнитурой, добором и наличниками. Цвет согласовать с Заказчиком</t>
  </si>
  <si>
    <t>Установка деревянного дверного блоков 900х2100 мм, Kapelli Classic светло серый RAL 7035 с фурнитурой, добором, усилением под доводчик  и наличниками. Ручка V44L-2.</t>
  </si>
  <si>
    <t>см. лист "Двери Kapelli"</t>
  </si>
  <si>
    <t xml:space="preserve">Установка дверного доводчика к деревянным дверям </t>
  </si>
  <si>
    <t>Установка дверного доводчика к дверям Dorma TS-93 (B/G)</t>
  </si>
  <si>
    <t>бб</t>
  </si>
  <si>
    <t>Установка стопора дверного Standers, 3.5х3.2 см, нержавеющая сталь</t>
  </si>
  <si>
    <t>Установка ограничителей движения двери (упор напольный)</t>
  </si>
  <si>
    <t>3.4.7.0 Окна</t>
  </si>
  <si>
    <t>Монтаж оконного блока алюминиевый профиль с двухкамерным стеклопакетом, RAL</t>
  </si>
  <si>
    <t xml:space="preserve">Монтаж оконного блока ПВХ с двухкамерным стеклопакетом </t>
  </si>
  <si>
    <t xml:space="preserve">Установка металлических окрашенных (цвет белый) распашных решеток на оконные блоки </t>
  </si>
  <si>
    <t>Установка рулонных штор</t>
  </si>
  <si>
    <t>Установка жалюзи вертикальных серии Line</t>
  </si>
  <si>
    <t>Установка подоконных досок из ПВХ белого цвета шириной до 600 мм</t>
  </si>
  <si>
    <t>Установка подоконных досок из ПВХ белого цвета шириной от 600 до 1200 мм</t>
  </si>
  <si>
    <t>Установка конвекционных решеток в подоконную доску из ПВХ 450*90 мм</t>
  </si>
  <si>
    <t xml:space="preserve">Установка оконных отливов с окраской по RAL </t>
  </si>
  <si>
    <t xml:space="preserve">Оклейка окон, стеклянных поверхностей дверных полотен пленкой класса защиты А3 </t>
  </si>
  <si>
    <t xml:space="preserve">Оклейка окон, стеклянных поверхностей дверных полотен пленкой класса защиты А1 </t>
  </si>
  <si>
    <t>Оклейка окон, стеклянных поверхностей дверных полотен плёнкой класса защиты К4</t>
  </si>
  <si>
    <t>Оклейка окон, стеклянных поверхностей дверных полотен пленкой матированной</t>
  </si>
  <si>
    <t>Оклейка окон, стеклянных поверхностей ПВХ-пленкой. Печать рисунка - градиент от RAL 9010 до прозрачного</t>
  </si>
  <si>
    <t>Оклейка окон, стеклянных поверхностей дверных полотен пленкой ORACAL 641000М</t>
  </si>
  <si>
    <t>Оклейка окон, стеклянных поверхностей дверных полотен пленкой теплоотражающей</t>
  </si>
  <si>
    <t>Алюминиевые конструкции для остекления фасада. Стеклопакет двухкамерный 32 мм. Цвет согласовать с заказчиком.</t>
  </si>
  <si>
    <t xml:space="preserve"> ПВХ конструкции для остекления фасада.  Стеклопакет двухкамерный 32 мм. Цвет согласовать с заказчиком.</t>
  </si>
  <si>
    <t>Механизм открывания фрамуги естественного проветривания (дистанционный, ручной)</t>
  </si>
  <si>
    <t xml:space="preserve">3.5.0  Потолки </t>
  </si>
  <si>
    <t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XL/TL 15, крепление подвесов металлическим крепежным элементом.</t>
  </si>
  <si>
    <t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крепление подвесов металлическим крепежным элементом.</t>
  </si>
  <si>
    <t xml:space="preserve">Устройство подвесных потолков OWA типа «Sinfonia» A, панель 600 х 600, кромка   S 15 А , цвет белый на подвесной системе OWA, крепление подвесов металлическим крепежным элементом.
</t>
  </si>
  <si>
    <t>Замена потолочных плит  OWA «Sinfonia»</t>
  </si>
  <si>
    <t>Устройство подвесных потолков: одноуровневых из ГКЛ по металлическому каркасу, крепление подвесов металлическим крепежным элементом.</t>
  </si>
  <si>
    <t>Устройство подвесных потолков: многоуровневых их ГКЛ  по металлическому каркасу, крепление подвесов металлическим крепежным элементом.</t>
  </si>
  <si>
    <t>Устройство подвесных потолков: одноуровневых их ГКЛВ (П113) по металлическому каркасу, крепление подвесов металлическим крепежным элементом.</t>
  </si>
  <si>
    <t>Устройство подвесных потолков: грильято 100*100 Н-40 толщ 0,3 RAL 3020, крепление подвесов металлическим крепежным элементом.</t>
  </si>
  <si>
    <t>Устройство подвесных потолков: грильято 50*50 Н-40 толщ 0,3 RAL 3020, крепление подвесов металлическим крепежным элементом.</t>
  </si>
  <si>
    <t>Устройство подвесных потолков: грильято 100*100 Н-40 толщ 0,4 RAL 3020, крепление подвесов металлическим крепежным элементом.</t>
  </si>
  <si>
    <t>Устройство подвесных потолков: грильято50*50 Н-40 толщ 0,4 RAL 3020, крепление подвесов металлическим крепежным элементом.</t>
  </si>
  <si>
    <t>Реечный потолок, кубообразная рейка 30х70мм</t>
  </si>
  <si>
    <t>Устройство ГКЛ перфорированного акустического потолка с рассеянным рисунком перфорации С3-КР по технологии Knauf П113, окраска по RAL 9010 (белый)</t>
  </si>
  <si>
    <t xml:space="preserve">Маркерное белое стекло цвет: RAL 9010 </t>
  </si>
  <si>
    <t xml:space="preserve">Облицовка деревяных потолков ГКЛО </t>
  </si>
  <si>
    <t>Устройство подвесных потолков: одноуровневых из ГКЛО  по металлическому каркасу, крепление подвесов металлическим крепежным элементом.</t>
  </si>
  <si>
    <t>Штукатурка потолка цемено-песчаным раствором толщ. до 20 мм.</t>
  </si>
  <si>
    <t xml:space="preserve">Устройство тепло- и звукоизоляции перекрытия минеральной ватой с устройством пароизоляции </t>
  </si>
  <si>
    <t>Вата применяется во всех перегородках и в обшивке стен, граничащих с улицей.</t>
  </si>
  <si>
    <t>Шпатлевка потолка</t>
  </si>
  <si>
    <t>Грунтовка потолка за два раза</t>
  </si>
  <si>
    <t>Оклейка потолков стеклообоями типа "Паутинка" (не фактурные)</t>
  </si>
  <si>
    <t>Окраска потолков за 2 раза краской Tikkurila EURO 7 (колерованная)</t>
  </si>
  <si>
    <t>Окраска потолков за 2 раза  краской с классом пожарной опасности  КМ 1 (колерованная)</t>
  </si>
  <si>
    <t>Потолочный акустический остров  1195*1530*40мм цвет: белый, форма под заказ (форма яйцо)в комплекте с подвесами</t>
  </si>
  <si>
    <t>Акустические потолки'!A1</t>
  </si>
  <si>
    <t>Потолочный акустический остров 1365*840*40мм цвет: белый, форма под заказ (форма троугольник с закругленими углами) в комплекте с подвесами</t>
  </si>
  <si>
    <t>Потолочный акустический остров цвет: белый, форма круг D=1200мм, толщ. 40мм, в комплекте с подвесами</t>
  </si>
  <si>
    <t>Потолочный акустический остров цвет: белый, форма круг D=750мм, толщ. 40мм, в комплекте с подвесами</t>
  </si>
  <si>
    <t>Потолочный акустический остров цвет: белый,  форма прямоугольник, размеры 1190 х 293 мм., толщ. 40мм, в комплекте с подвесами</t>
  </si>
  <si>
    <t>Подготовка и обеспылевание потолка поверхности и коммуникаций  под покраску . (воздуховоды, лотки эл. и т.д.)</t>
  </si>
  <si>
    <t>Окраска потолка и инженерных коммуникаций за 2 раза в проекции потолка   краскойTikkurila EURO 7  (колерованная) цвет согласовать с заказчиком. (воздуховоды, лотки эл. и т.д.)</t>
  </si>
  <si>
    <t>Устройство потолков реечных алюминиевых, крепление подвесов металлическим крепежным элементом.</t>
  </si>
  <si>
    <t>Замена потолочных плит  Армстронг</t>
  </si>
  <si>
    <t xml:space="preserve">Запенивание  швов между плитами </t>
  </si>
  <si>
    <t>3.6.0.0  Полы</t>
  </si>
  <si>
    <t>Р3.6.1.0 Основание пола</t>
  </si>
  <si>
    <t xml:space="preserve">Устройство подсыпки пола из керамзита </t>
  </si>
  <si>
    <t>Устройство стяжек цементно-песчаных толщиной 20 мм (добавляется на каждые 20  мм стяжки)</t>
  </si>
  <si>
    <t>Устройство стяжек цементно-песчаных толщиной более 50 мм (добавляется на каждые 50  мм стяжки)</t>
  </si>
  <si>
    <t>Устройство самовыравнивающейся стяжки типа Vetonit (толщина 5 мм)</t>
  </si>
  <si>
    <t>Укладка дорожной металлической сетки 100х100 диаметром 4мм</t>
  </si>
  <si>
    <t>Грунтовка пола за два раза</t>
  </si>
  <si>
    <t>Обработка поверхности  составом "Бетоноконтакт"</t>
  </si>
  <si>
    <t>Устройство защитного покрытия мест вскрытия металлическим оцинкованным листом 0,5 - 1мм</t>
  </si>
  <si>
    <t>Устройство горизонтальной обмазочной гидроизоляции  с захлестом на стены на 15см</t>
  </si>
  <si>
    <t>Подготовка под устройство гидроизоляции (просушка, шлифовка адгезионная, локальный ремонт)</t>
  </si>
  <si>
    <t>Нанесение обмазочной гидроизоляции на пол в 2 слоя</t>
  </si>
  <si>
    <t>Нанесение обмазочной гидроизоляции на стены  3 слоя на высоту до 0,5 метров</t>
  </si>
  <si>
    <t>Укладка ПВХ плёнки 400 мкм</t>
  </si>
  <si>
    <t>Заливка мелкозернистого бетона М350, армированного металлической фиброй 
Dramix 3D 20 кг/м3 с усилением арматурными стержнями участков наружних 
углов, перегородок и колон.</t>
  </si>
  <si>
    <t>Затирка бетоноотделочными машинами с внесением сухого упрочнителя 4 кг/м2</t>
  </si>
  <si>
    <t xml:space="preserve"> Шлифовка поверхности пола, нанесение жидкого упрочнителя  и полировка до 
степени от 50 до 1500 грит</t>
  </si>
  <si>
    <t>Нарезка швов и гермитизация шаг швов 3х3м</t>
  </si>
  <si>
    <t>Разметка стоянок под автомобили ( нанесение пластиковой разметки  по 
праковочным местам с утройством колесоотбойников)</t>
  </si>
  <si>
    <t>Монтаж иньекционного пакера</t>
  </si>
  <si>
    <t>Монтаж гидропломбы</t>
  </si>
  <si>
    <t xml:space="preserve">Устройство каркаса из бруса 100*200 </t>
  </si>
  <si>
    <t>подиум в кассу</t>
  </si>
  <si>
    <t>Устройство лаг 75*75</t>
  </si>
  <si>
    <t>Устройство пола в кассу из фанеры 1500*1500*12</t>
  </si>
  <si>
    <t>Устройство ЖБ перекрытий ( профлист Н100 по металлокаркасу с армированием и заливкой бетоном) толщиной 220 мм. и несущей способностью не менее 800 кг.м2.</t>
  </si>
  <si>
    <t>Р3.6.1.0 Покрытие пола</t>
  </si>
  <si>
    <t xml:space="preserve">Облицовка полов керамогранитом TU602800R Арена серый обрезной 600*600 мм. с затиркой швовов </t>
  </si>
  <si>
    <t xml:space="preserve">Облицовка полов керамогранитом Кераммо марацци Кедр 420х420 с затиркой швовов </t>
  </si>
  <si>
    <t xml:space="preserve">Облицовка полов керамогранитом КЕRАМА MARAZZI Агатти беж 40.2х40.2 с затиркой швовов </t>
  </si>
  <si>
    <t xml:space="preserve">Облицовка пола керамогранитом Керама Марацци DD601200R | Про Дабл серый светлый обрезной 600x600x11 </t>
  </si>
  <si>
    <t xml:space="preserve">Облицовка пола керамогранитомт Керама Марацци DD601200R | Про Дабл серый светлый обрезной 600x600x11 </t>
  </si>
  <si>
    <t xml:space="preserve">Облицовка полов керамогранитом  Grasaro Bamboo G-155M 600х600 с затиркой швовов </t>
  </si>
  <si>
    <t xml:space="preserve">Облицовка полов керамогранитом  Grasaro Bamboo G-154M 600х600 с затиркой швовов </t>
  </si>
  <si>
    <t>Облицовка полов керамогранитом п/дерево 165*1000 мм La Faenza Amazzonia GLP тип С</t>
  </si>
  <si>
    <t xml:space="preserve">Облицовка полов керамогранитом "Уральский гранит" CT 03 600*600 мм. с затиркой швовов </t>
  </si>
  <si>
    <t xml:space="preserve">Облицовка полов керамогранитом Unicolore Casalgrande Padana Verde 30*30 натуральный  300 х300 мм с затиркой швовов </t>
  </si>
  <si>
    <t>Облицовка полов керамической плиткой 333*333 "Dalia" коллекциии "Oxford" " Ctramica Konskie" с затиркой швов.</t>
  </si>
  <si>
    <t xml:space="preserve">Облицовка полов керамогранитом Italon CONTEMPORA PURE 600*600 с затиркой швовов </t>
  </si>
  <si>
    <t>ЦИК</t>
  </si>
  <si>
    <t xml:space="preserve">Облицовка полов керамогранитом  Estima Cerami Brigantinaca серый BG 06. 150*600 мм. с затиркой швовов </t>
  </si>
  <si>
    <t xml:space="preserve">Облицовка полов керамогранитом  Estima Cerami Brigantinaca серый BG 06. 194*1200 мм. с затиркой швовов </t>
  </si>
  <si>
    <t>Облицовка полов керамогранитом  КЕРАМА МАРАЦЦИ SG632400R 600*600 ТЕРРАЦЦО СЕРЫЙ СВЕТЛЫЙ с затиркой швов</t>
  </si>
  <si>
    <t>см. лист "Kerama Marazzi"</t>
  </si>
  <si>
    <t>Облицовка полов керамогранитом  Creto Style Ivory 600*600 с затиркой швов</t>
  </si>
  <si>
    <t xml:space="preserve">ББ (аналог терраццо в случае его отсутствия.) возможна закупка у поставщика сантехники </t>
  </si>
  <si>
    <t>Установка плинтуса алюминиевого из уголка 50х25 с покраской по RAL , цвет согласовать с заказчиком.</t>
  </si>
  <si>
    <t xml:space="preserve">Устройство плинтусов из керамогранита h=40 мм с установкой раскладки из пластика на торец в цвет плинтуса с затиркой швовов </t>
  </si>
  <si>
    <t>Ковровая плитка Desso Grezzo AB64 9027 (серый светлый) КМ3, с учетом клея фиксатора</t>
  </si>
  <si>
    <t>Ковровая плитка'!A1</t>
  </si>
  <si>
    <t>Ковровая плитка Desso Grezzo AB64 9033 (серый темный) КМ3, с учетом клея фиксатора и подрезки 10%</t>
  </si>
  <si>
    <t>Ковровая плитка'!A2</t>
  </si>
  <si>
    <t>Ковровая плитка Desso Grezzo AB64 8904 (cиний) КМ3, с учетом клея фиксатора и подрезки 10%</t>
  </si>
  <si>
    <t>Ковровая плитка'!A3</t>
  </si>
  <si>
    <t>Ковровая плитка Desso Grezzo AB64 7923 (зеленый) КМ3, с учетом клея фиксатора и подорезки 10%</t>
  </si>
  <si>
    <t>Ковровая плитка'!A4</t>
  </si>
  <si>
    <t>Коммерческая ПВХ плитка KBS Dark Cocrete, толщина 4мм или 5мм, размер 600Х600мм, КМ2 с учетом клея фиксатора и подрезки</t>
  </si>
  <si>
    <t>ПВХ</t>
  </si>
  <si>
    <t xml:space="preserve">Устройство плинтусов из керамогранита h=100 мм с установкой раскладки из пластика на торец в цвет плинтуса с затиркой швовов </t>
  </si>
  <si>
    <t>Затирка швов поверхности пола, плитка керамическая</t>
  </si>
  <si>
    <t>позиция только для уже существующей плитки. Для новой -в комплекте с укладкой.</t>
  </si>
  <si>
    <t>Устройство полов из модульной ковровой плитки типа Escom Object LINE 2924</t>
  </si>
  <si>
    <t>Устройство полов из модульной ковровой плитки типа  "Modulyss first lines 176"</t>
  </si>
  <si>
    <t>Устройство полов из модульной ковровой плитки типа "Modulyss first lines 856"</t>
  </si>
  <si>
    <t>Устройство полов из модульной ковровой плитки типа  Modulyss Pixel 957</t>
  </si>
  <si>
    <t>Устройство полов из модульной ковровой плитки типа  Modulyss Pixel 610</t>
  </si>
  <si>
    <t>Устройство полов из модульной ковровой плитки типа  Desso Essence Structure - Essence Structure AA92 7017</t>
  </si>
  <si>
    <t>Устройство полов из модульной ковровой плитки типа  Desso Essence Maze - Essence Maze AA93 9505</t>
  </si>
  <si>
    <t>Устройство полов из ПВХ-плитки Gerflor Creation 70 CLIFTON 0556</t>
  </si>
  <si>
    <t>Устройство полов из ПВХ-плитки  ADO Stona Series 4010 Mastro, толщина 5мм, размер 610Х610мм</t>
  </si>
  <si>
    <t>Устройство полов из модульной ковровой плитки типа Desso Libra 9950</t>
  </si>
  <si>
    <t>Устройство полов из модульной ковровой плитки типа ACCENT 49430</t>
  </si>
  <si>
    <t>Устройство полов из модульной ковровой плитки типа Escom Jetset 50645</t>
  </si>
  <si>
    <t xml:space="preserve">Устройство  плинтусов пластиковых </t>
  </si>
  <si>
    <t>Устройство  плинтусов пластиковых с ковровым заполнением высотой 55 мм</t>
  </si>
  <si>
    <t>Устройство покрытия пола из полу коммерческого линолеума типа "Таркет" цвет согласовать с Заказчиком</t>
  </si>
  <si>
    <t>Устройство  плинтусов МДФ, высотой 100 мм</t>
  </si>
  <si>
    <t>Установка  плинтуса алюминиевого Metal Line 90 h=40мм, покраска, черный матовый, гнущийся по радиусу</t>
  </si>
  <si>
    <t>Установка  плинтуса алюминиевого h80 мм, Fezard  2500*80*10 c соединителями и углами или аналог.</t>
  </si>
  <si>
    <t xml:space="preserve">возможна закупка у поставщика сантехники </t>
  </si>
  <si>
    <t>Устройство стыка "плитка-ковролин"из алюминиевого уголка</t>
  </si>
  <si>
    <t>Устройство ниши в покрытии из керамогранита для укладки грязезащитного коврика</t>
  </si>
  <si>
    <t>Монтаж грязезащитного коврика СИТИТОП Сити резина + текстиль + скребок)</t>
  </si>
  <si>
    <t>Устройство штроб в цементно-песчаной стяжке пола</t>
  </si>
  <si>
    <t>Заделка штроб в полу цементно-песчаным р-ром</t>
  </si>
  <si>
    <t xml:space="preserve">Укрытие полов листами ДВП на время производства работ  </t>
  </si>
  <si>
    <t xml:space="preserve">Укрытие полов пленкой полиэтиленовой 200 мкм на время производства работ  </t>
  </si>
  <si>
    <t>Установка фальшпола 600*600*38мм, тип 38 AL/ST, с учетом подрезки 10%</t>
  </si>
  <si>
    <t>вкладка Фальшпол</t>
  </si>
  <si>
    <t>Установка  фальшпола из сульфата кальция 600*600*30,5mm с учетом подрезки 10%</t>
  </si>
  <si>
    <t>антистатическим покрытием) ANKER тип BRIKK N28ST/PVC Emerald Plus 5092, с учетом подрезки 10%</t>
  </si>
  <si>
    <t>Устройство противоскользящих уголков на ступени</t>
  </si>
  <si>
    <t>Укладка паркетной доски 200*2000 Solid Floor Piraness</t>
  </si>
  <si>
    <t>Шлифовка бетонного основания мозаично-шлифовальными машинами  с алмазными сегментами</t>
  </si>
  <si>
    <t>Выравнивание бетонного основания полимерными компаундами с кварцевым песком, толщиной до 4 мм</t>
  </si>
  <si>
    <t>Устройство полимерного наливного пола  FEIDAL</t>
  </si>
  <si>
    <t>Устройство антистатического контура</t>
  </si>
  <si>
    <t>3.7.0 Тех укрепленность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</si>
  <si>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</si>
  <si>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</si>
  <si>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</t>
    </r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</si>
  <si>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900х2100 мм по раме. </t>
    </r>
  </si>
  <si>
    <t>Установка металлического дверного блока размером 900х2100 мм в СОКР (включая окно и лоток, в соответствии с ТЗ)</t>
  </si>
  <si>
    <t>Установка доводчиков на бронированных металлических  дверях</t>
  </si>
  <si>
    <t>Укрепление стен, перегородок и потолка арматурой или прутом  диаметром 10 мм, ячейкой 150х150 мм с анкерным креплением из арматуры</t>
  </si>
  <si>
    <t>Укрепление стен, перегородок и потолка арматурой или прутом  диаметром 10 мм, ячейкой 100х100 мм с анкерным креплением из арматуры</t>
  </si>
  <si>
    <t>Укрепление стен, перегородок и потолка арматурой или прутом  диаметром 12 мм, ячейкой 150х150 мм с анкерным креплением из арматуры</t>
  </si>
  <si>
    <t>Укрепление стен, перегородок и потолка арматурой или прутом  диаметром 16 мм, ячейкой 150х150 мм (по 2 классу на взлом) с анкерным креплением из арматуры</t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</si>
  <si>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>По раме 1090х1090 мм без учета лотка.</t>
    </r>
  </si>
  <si>
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</si>
  <si>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 xml:space="preserve"> Бронестекло ПУз-Бр3  (1090*1335 мм. ). В одной раме с лотком. 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</si>
  <si>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r>
      <t xml:space="preserve"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 xml:space="preserve">ЛИСТ 4. </t>
    </r>
  </si>
  <si>
    <r>
      <t xml:space="preserve"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7.</t>
    </r>
  </si>
  <si>
    <t>Монтаж переговорного устройство DD-205T</t>
  </si>
  <si>
    <t>Панели защитные, стеновые кл. Бр-2 по пулестойкости и II класс взломостойкости, сварное соединение, облегченные, Покраска грунт</t>
  </si>
  <si>
    <t>Панели защитные, стеновые кл. Бр-3 по пулестойкости и III класс взломостойкости, сварное соединение, облегченные, Покраска грунт</t>
  </si>
  <si>
    <t>Панели защитные, стеновые V класс взломостойкости, сварное соединение, бетонно-заливная. Покраска грунт</t>
  </si>
  <si>
    <t>3.8.0 Прочие работы</t>
  </si>
  <si>
    <t>Мобилизация обьекта (более 300 кв.м.)</t>
  </si>
  <si>
    <t>обьект</t>
  </si>
  <si>
    <t>Мобилизация обьекта (менее 300 кв.м.)</t>
  </si>
  <si>
    <t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основания мет. конструкций и грунтовку</t>
  </si>
  <si>
    <r>
      <t>Нанесение вспучивающихся огнезащитных составов (красок) типа</t>
    </r>
    <r>
      <rPr>
        <sz val="9"/>
        <color rgb="FFFF0000"/>
        <rFont val="Arial"/>
        <family val="2"/>
        <charset val="204"/>
      </rPr>
      <t xml:space="preserve"> Ecofire</t>
    </r>
    <r>
      <rPr>
        <sz val="9"/>
        <rFont val="Arial"/>
        <family val="2"/>
        <charset val="204"/>
      </rPr>
      <t xml:space="preserve"> на несущие металлические конструкции, включая подготовку(очистку, обеспыливание и обезжиривание поверхности) основания мет. конструкций и грунтовку до предела огнестойкости R 120 включительно </t>
    </r>
  </si>
  <si>
    <t>(применение красок не допускается для обеспечения требуемого предела огнестойкости несущих элементов зданий I и II степеней огнестойкости, за исключением стальных конструкций с приведенной толщиной металла по ГОСТ Р 53295 не менее 5,8 мм.)</t>
  </si>
  <si>
    <t>Нанесение вспучивающихся огнезащитных составов (красок) типа "Огнетитан Р" на несущие металлические конструкции с приведенной толщиной металла по ГОСТ Р 53295 не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Производство завода ООО "Гермоизол" (Москва).</t>
  </si>
  <si>
    <t>Данный материал выбирается для увеличения предела огнестойкости несущих металлических конструкций, которые остаются открытыми на потолках (учитывать ТЗ заказчика), увеличения преела огнестойкости несущихьметаллических конструкций антресолей и т.п.</t>
  </si>
  <si>
    <t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Двуслойная конструктивная огнезащитная система, которая состоит из теплоизоляционного покрытия "Огнетитан РТ" и вспучивающегося огнезащитного состава "Огнетитан Р". Производство завода ООО "Гермоизол" (Москва).</t>
  </si>
  <si>
    <t>Масляная окраска стальных труб  с учетом подготовки</t>
  </si>
  <si>
    <t xml:space="preserve">Устройство ограждения из нержавеющей стали (стойка и поручень) </t>
  </si>
  <si>
    <t>Установка отбойной доски из ламинированного ДСП, шириной  до 600мм</t>
  </si>
  <si>
    <t xml:space="preserve">Установка рольставни с электроприводом </t>
  </si>
  <si>
    <t>Установка  алюминиевой рольставни</t>
  </si>
  <si>
    <t>Заливка бетона М150</t>
  </si>
  <si>
    <t>Монтаж металлического листа толщ. 4 мм</t>
  </si>
  <si>
    <t>Изготовление и монтаж металлоконструкций</t>
  </si>
  <si>
    <t>Устройство технологических проходов над помещениями из профильной трубы и просечной сетки.</t>
  </si>
  <si>
    <t>Монтаж мобильных лесов или тура</t>
  </si>
  <si>
    <t>Укрытие мебели и перегородок пленкой полиэтиленовой на время производства работ</t>
  </si>
  <si>
    <t>Монтаж экрана из поликарбоната.</t>
  </si>
  <si>
    <t>Лючки ревизии потайные</t>
  </si>
  <si>
    <t>Окраска по металлу  с учетом подготовки</t>
  </si>
  <si>
    <t>Пробивка отверстий в ЖБ плитах перекрытия толщиной до 250 мм.</t>
  </si>
  <si>
    <t>Обшивка стен листовой нержавеющей сталью толщиной 1 мм.</t>
  </si>
  <si>
    <t>Обшивка каркаса лестничного марша ГКЛВ</t>
  </si>
  <si>
    <t>Устройство каркаса лестничного марша под крепление сэндвич- панелей из металоконструкций</t>
  </si>
  <si>
    <t>Обшивка каркаса лестничного марша сэндвич - панелями Ruukki ( RE 90)</t>
  </si>
  <si>
    <t>Заделка рустов в фундаментных блоках примыканий стена-пол смесью типа "Gidro S2"</t>
  </si>
  <si>
    <t>Обработка поверхности стен составом "Gidro +"  2 раза</t>
  </si>
  <si>
    <t>Установка конвекционных решеток   из ПВХ 600*900 мм</t>
  </si>
  <si>
    <t>Устройство косоуров под наборные ступени лестничного марша</t>
  </si>
  <si>
    <t xml:space="preserve">Армирование  площадки   арматурой АIII </t>
  </si>
  <si>
    <t>Монтаж наборных ступеней ЛС 13-14</t>
  </si>
  <si>
    <t xml:space="preserve"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 </t>
  </si>
  <si>
    <t>Установка подъемно трансформируемого устройства (ПТУ - 001) с радиоуправляемым пультом и доплнительным ограждением</t>
  </si>
  <si>
    <t>Р4</t>
  </si>
  <si>
    <t>Раздел №4.  Наружные строительные работы</t>
  </si>
  <si>
    <t>4.1.0 Устройство кровли</t>
  </si>
  <si>
    <r>
      <t>Частичный ремонт цементно-песчаной стяжки под устройсво рулонной кровли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толщиной 50 мм</t>
    </r>
  </si>
  <si>
    <t>Устройство рулонной мягкой кровли в 2 слоя с нахлестом на поребрик (мастика, стеклогидроизол, газовая горелка)</t>
  </si>
  <si>
    <t xml:space="preserve">Устройство примыкания (шва) между кровлей и стеной </t>
  </si>
  <si>
    <t>Устройство кровли из профлиста, металлочерепицы по деревянной обрешетке</t>
  </si>
  <si>
    <t>Грунтовка битумной мастикой примыканий и поверхности ремонтируемой кровли</t>
  </si>
  <si>
    <t>Монтаж водоотводных воронок с грязеуловителями</t>
  </si>
  <si>
    <t>Заделка стыков морозоустойчивым герметиком</t>
  </si>
  <si>
    <t>Ревизия кровли и водосточных систем с подготовкой акта</t>
  </si>
  <si>
    <t>Устройство мелких покрытий (брандмауэры, парапеты, свесы и т.р.) из листовой оцинкованной стали</t>
  </si>
  <si>
    <t>Подъем материалов на крышу здания</t>
  </si>
  <si>
    <t>Устройство фартука из оцинкованной стали</t>
  </si>
  <si>
    <t>Устройство эл подогрева воронок и кровли вокруг низ не менее 1 п.м от воронки</t>
  </si>
  <si>
    <t>4.2.0 Фасадные работы</t>
  </si>
  <si>
    <t>Устройство основания под штукатурку из металлической сетки по кирпичным и бетонным поверхностям</t>
  </si>
  <si>
    <t>Штукатурка фасада по сетке морозоустройчивыми смесями с устройством "рисунка" согласно архитектуры фасада здания</t>
  </si>
  <si>
    <t>Ремонт штукатурки гладких фасадов по камню и бетону цементно-известковым раствором толщиной слоя до 20 мм</t>
  </si>
  <si>
    <t>Частичный ремонт фасада (расшивка и заделка трещин на штукарке, шпатлевка выбоин, сколов)</t>
  </si>
  <si>
    <t>Грунтовка фасада глубопроникающей грунтовкой за два раза</t>
  </si>
  <si>
    <t xml:space="preserve">Шпатлевка фасада смесями Vetonit VH </t>
  </si>
  <si>
    <t>Окраска перхлорвиниловыми красками по подготовленной поверхности фасадов простых за 2 раза</t>
  </si>
  <si>
    <t xml:space="preserve">Установка и разборка лесов </t>
  </si>
  <si>
    <t>Монтаж фасада из композитных панелей "Алюкобонд" с подсистемой без утеплителя</t>
  </si>
  <si>
    <t>Монтаж фасада из композитных панелей "Алюкобонд" с подсистемой с утеплителем 100 мм. и ветровлагозащиткая  мембраной (негорючая).</t>
  </si>
  <si>
    <t>Монтаж фасада из кассетного профиля (оцинкованный лист окрашенный) без утеплителя</t>
  </si>
  <si>
    <t>Монтаж фасада из кассетного профиля (оцинкованный лист окрашенный) с утеплением</t>
  </si>
  <si>
    <t>Изоляция покрытий теплоизоляционными матами URSA</t>
  </si>
  <si>
    <t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</si>
  <si>
    <t>Облицовка оконных и дверных откосов планкой из оцинкованной стали с полимерным покрытием с устройством водоотлива и наличником.</t>
  </si>
  <si>
    <t>Устройство пароизоляции</t>
  </si>
  <si>
    <t>Очистка фасада от пыли грязи, навесных и монтажных элементов</t>
  </si>
  <si>
    <t>Облицовка ступеней крыльца керамогранитом  300х300 мм.</t>
  </si>
  <si>
    <t>Облицовка крыльца клинкерной плиткой</t>
  </si>
  <si>
    <t>Крепление Г-образных алюминиевых с резиновой вставкой противоскользящик порогов на ступени-25*45</t>
  </si>
  <si>
    <t xml:space="preserve">Окраска металлических ограждений в стационарных условиях краской по металлу типа Hammerite </t>
  </si>
  <si>
    <t>Устройство козырьков на основе профтрубы (с грунтовкой и покраской) из поликарбоната</t>
  </si>
  <si>
    <t>Монтаж ветрозащиты (пароизоляции) негорючей</t>
  </si>
  <si>
    <t>Козырёк из триплекса на подвесах, габариты 1000*1500</t>
  </si>
  <si>
    <t>Козырёк из триплекса на подвесах, габариты 1000*2000</t>
  </si>
  <si>
    <t>Козырёк из триплекса на подвесах, габариты 1000*1000</t>
  </si>
  <si>
    <t xml:space="preserve">4.3.0 Устройство временной ограждающей конструкции в зимний период (тепляк) </t>
  </si>
  <si>
    <t>Устройство каркаса из бруса (брус 100х50, 50х50, доска 150х15, саморезы, скобы, гвозди) с последующим демантажом</t>
  </si>
  <si>
    <t>Устройство защитного шатра из полиэтиленовой пленкой до 100 мкр., с последующим демонтажом</t>
  </si>
  <si>
    <t>Устройство защитного полотна из сетки строительной фасадной (зеленая мелкоячеистая) с последующим демантажом</t>
  </si>
  <si>
    <t>Отопление временных конструкций в зимний период  (электрическая пушка)</t>
  </si>
  <si>
    <t>м/час</t>
  </si>
  <si>
    <t>Отопление временных конструкций в зимний период  (дизельная пушка)</t>
  </si>
  <si>
    <t>Отопление временных конструкций в зимний период  (газовая пушка)</t>
  </si>
  <si>
    <t>4.5.0 Работы по благоустройству прилегающей территории</t>
  </si>
  <si>
    <t>Разработка грунта вручную</t>
  </si>
  <si>
    <t>Обратная засыпка грунта вручную</t>
  </si>
  <si>
    <t>Подготовка подстилающих слоев вручную с уплотнением</t>
  </si>
  <si>
    <t>Установка подъемно секционных ворот автоматических  3000Х3000 мм</t>
  </si>
  <si>
    <t>Установка подъемно секционных ворот автоматических  4500Х3000 мм</t>
  </si>
  <si>
    <t xml:space="preserve">Установка автоматического шлагбаума GARD 4000-кр </t>
  </si>
  <si>
    <t>Устройство ограждения прилегающей территории ( Н - 2м. Проф-труба 60Х40 мм. с шагом 100 мм. Порошковая окраска - цвет черный).</t>
  </si>
  <si>
    <t>Разметка стоянок под автомобили</t>
  </si>
  <si>
    <t>Облицовка фасада профлистом крашенным по RAL</t>
  </si>
  <si>
    <t>Устройство отмостки здания</t>
  </si>
  <si>
    <t>Устройство приямков</t>
  </si>
  <si>
    <t>Укладка геотекстиля</t>
  </si>
  <si>
    <t>Укладка  тротуарной плитки (толщину и цвет согласовать с заказчиком)</t>
  </si>
  <si>
    <t>Устройство бордюра тротуарного</t>
  </si>
  <si>
    <t>Устройство асфальтового покрытия</t>
  </si>
  <si>
    <t xml:space="preserve"> Устройство козырька</t>
  </si>
  <si>
    <t xml:space="preserve">Устройство пандуса СНиП 35-01-2001 СП 59.13330.2012 ГОСТ Р 51261-2017
Материалы 
Каркас — нержавеющая сталь AISI 304. 
Настил — алюминиевый рифленый лист «Квинтет»
Перила — нержавеющая сталь AISI 304
Пандусы должны иметь двухстороннее ограждение с поручнями на высоте 0,9 и 0,7 м с учетом технических требований к опорным стационарным устройствам. Расстояние между поручнями пандуса одностороннего движения должно быть в пределах 0,9-1,0 м. По продольным краям марша пандуса следует устанавливать бортики высотой не менее 0,05 м.
Верхний и нижний поручни пандуса должны быть расположены в одной вертикальной плоскости.
Поручни округлого сечения диаметром от 0,03 до 0,05 м. 
</t>
  </si>
  <si>
    <t>Р5</t>
  </si>
  <si>
    <t>Раздел №5.  Водоснабжение и Канализация</t>
  </si>
  <si>
    <t>5.3.0. Бытовое водоснабжение и канализация</t>
  </si>
  <si>
    <t>Установка унитаза пр-во  JIKA BALTIC(в комплекте с бачком, сиденьем, запорной арматурой)</t>
  </si>
  <si>
    <t>Установка умывальника JIKA ZETA (в комплекте с пъедесталом JIKA, включая смеситель и гибкие подводки , сифон, кронштейны)</t>
  </si>
  <si>
    <t>Установка унитаза Jacob Delafon Escale 19038(в комплекте с бачком, сиденьем, запорной арматурой)</t>
  </si>
  <si>
    <t>Установка умывальника Jacob Delafon Escale E1211  гибкие подводки , сифон, кронштейны)</t>
  </si>
  <si>
    <t>Установка системы инсталяции Geberit Duofix UP320 111.300.00.5</t>
  </si>
  <si>
    <t xml:space="preserve">Установка унитаза подвесного AlBANO BB120CHR, безободкового с креплением P-trap, с сиденьем ALBANO BB120SC и кнопкой слива GEBERIT </t>
  </si>
  <si>
    <r>
      <t>Установка раковины Catalano Premium 40*32, белая. Арт. 140VP00. в комплекте с сифоном AlcaPlast A400 Black</t>
    </r>
    <r>
      <rPr>
        <sz val="9"/>
        <color theme="1"/>
        <rFont val="Calibri"/>
        <family val="2"/>
        <charset val="204"/>
      </rPr>
      <t>, подводкой и крепежом.</t>
    </r>
  </si>
  <si>
    <t xml:space="preserve">Установка унитаза подвесногоPure 36,5х54 см Арт. 8204230000001, сиденье для унитаза Pure дюропласт, с микролифтом  и кнопкой слива GEBERIT </t>
  </si>
  <si>
    <r>
      <t>Установка раковины Catalano Cubito 45х34х15,5 см, белая. Арт. 811422000104. в комплекте с сифоном из нержавеющей стали</t>
    </r>
    <r>
      <rPr>
        <sz val="9"/>
        <color theme="1"/>
        <rFont val="Calibri"/>
        <family val="2"/>
        <charset val="204"/>
      </rPr>
      <t>, подводкой и крепежом.</t>
    </r>
  </si>
  <si>
    <t xml:space="preserve">Унитаз подвесной безободковый (сиденье микролифт) SL-5007 </t>
  </si>
  <si>
    <t>см. лист "Сантехника"</t>
  </si>
  <si>
    <t>Смеситель сенсорный Swedbe Europe 6000-220.</t>
  </si>
  <si>
    <t>CN6014 Умывальник чаша накладная круглая Element 435*435*135мм</t>
  </si>
  <si>
    <t>ES3300 CREAVIT Кран для писсуара сенсорный</t>
  </si>
  <si>
    <t>Раковина Creavit Next NX242-00CB00E-0000 белая   (Ширина: 500 мм,  Высота: 130 мм, Глубина: 400 мм)</t>
  </si>
  <si>
    <t>HB80 Сифон для раковины Haiba хром</t>
  </si>
  <si>
    <t>HB66 Донный клапан для раковины Haiba без перелива, хром</t>
  </si>
  <si>
    <t>E253701 i.life Писсуар, задняя подводка, с крепежами и фитингами в комплекте. Безободковая чаша без</t>
  </si>
  <si>
    <t>R016367 Универсальная рама для монтажа писсуара Ideal Standard PROSYS</t>
  </si>
  <si>
    <t>Инсталляция для подвесного унитаза Aquatek Standart 37 INS-0000017, кнопка Акватек KDI-0000016 хром, KKI-0000002 Комплект крепления</t>
  </si>
  <si>
    <t xml:space="preserve">Установка  Умывальника SantiLine SL-2005  в комплекте с сифоном из нержавеющей стали  Viega 100674 Хром </t>
  </si>
  <si>
    <t>Установка смесителя для раковины  IDEAL STANDARD CERALINE BC193AA однорычажный, хром</t>
  </si>
  <si>
    <t>Инсталляция для подвесного унитаза Aquatek Standart 37 INS-0000017, кнопка Акватек KDI-0000016 хром</t>
  </si>
  <si>
    <t>Установка смеситетеля  гигиенического Ideal Standart DB130AA</t>
  </si>
  <si>
    <t xml:space="preserve">Установка смесителя для раковины Damixa Jupiter 770230001 с гигиеническим душем, хром </t>
  </si>
  <si>
    <t>смеситель Swedbe Europe 6000-220.</t>
  </si>
  <si>
    <t xml:space="preserve">Рама для монтажа PROSYS R016367 писсуара с задней подводкой
</t>
  </si>
  <si>
    <t>LEMARK Смывное устройство для писсуара, сенсорное, встраиваемое</t>
  </si>
  <si>
    <t>Установка умывальника пр-во Россия (согласовать с Заказчиком)</t>
  </si>
  <si>
    <t>Установка смесителя встраиваемого Paffoni Light 175мм, черный матовый. Арт. LIG006NO70  (скрытый монтаж)</t>
  </si>
  <si>
    <t>Установка смеситетеля с гигиеническим ручным душем IDDIS матовый черный, Арт. 003BLR0i08 (скрытый монтаж)</t>
  </si>
  <si>
    <t>Установка смесителя Kvart однорычажное упр., неповоротный излив, без донного клапана Арт. Артикул: 3111I10041101</t>
  </si>
  <si>
    <t>Смеситель GROHE Eurosmart</t>
  </si>
  <si>
    <t>Смеситель пр-во Россия (согласовать с Заказчиком)</t>
  </si>
  <si>
    <t>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</t>
  </si>
  <si>
    <t xml:space="preserve">Монтаж трубопроводов из полипропилена диаметром до 32 мм фасонные детали </t>
  </si>
  <si>
    <t xml:space="preserve">Монтаж трубопроводов из полипропилена диаметром до 25 мм фасонные детали </t>
  </si>
  <si>
    <t xml:space="preserve">Монтаж трубопроводов из полипропилена диаметром до 20 мм фасонные детали </t>
  </si>
  <si>
    <t>Кран шаровой Ду15</t>
  </si>
  <si>
    <t>Кран шаровой Ду20</t>
  </si>
  <si>
    <t>Кран шаровой Ду25</t>
  </si>
  <si>
    <t>Кран шаровой Ду32</t>
  </si>
  <si>
    <t>Фильтр грубой очистки Ду15</t>
  </si>
  <si>
    <t>Клапан обратный Ду15</t>
  </si>
  <si>
    <t xml:space="preserve">Монтаж трубопроводов канализации из полипропиленовых труб диаметром 50 мм </t>
  </si>
  <si>
    <t>Прокладка канализации Ду50  (Труба канализационная чугунная безраструбная Duker SML Ду50)</t>
  </si>
  <si>
    <t>Прокладка канализации Ду50 скрыто в штробах и коробах (Труба канализационная раструбная ПНД Ду50)</t>
  </si>
  <si>
    <t xml:space="preserve">Монтаж трубопроводов канализации из полипропиленовых труб диаметром 110 мм </t>
  </si>
  <si>
    <t>Прокладка сетей холодного и горячего водопровода ДУ15 скрыто в штробах и коробах (Труба сшитый полипропилен Ду15)</t>
  </si>
  <si>
    <t>Подводка гибкая сантехническая</t>
  </si>
  <si>
    <t>Труба PPR PN10 ф20</t>
  </si>
  <si>
    <t>Прокладка сетей холодного и горячего водопровода ДУ15 в подвале открыто (Труба водопроводная сшитый полипропилен + Изоляция Thermoflex Ду 15)</t>
  </si>
  <si>
    <t>Изоляция Thermoflex Ду 32</t>
  </si>
  <si>
    <t>Изоляция Thermoflex Ду 25</t>
  </si>
  <si>
    <t>Изоляция Thermoflex Ду 20</t>
  </si>
  <si>
    <t>Изоляция Thermoflex Ду 15</t>
  </si>
  <si>
    <t>Проход стояков 2хДу15 через перекрытие в гильзах</t>
  </si>
  <si>
    <t>Установка счетчиков на горячее и холодное водоснабжение</t>
  </si>
  <si>
    <t>Врезка в существующие сети ГВС/ХВС</t>
  </si>
  <si>
    <t>Врезка в существующие сети канализации</t>
  </si>
  <si>
    <t>Врезка Ду20 в существующие трубопроводы водопровода Ду63 с установкой запорной арматуры</t>
  </si>
  <si>
    <t>Врезка Ду50 в существующие трубопроводы канализации</t>
  </si>
  <si>
    <t>Установка водонагревателя  15л</t>
  </si>
  <si>
    <t>Установка водонагревателя   30л</t>
  </si>
  <si>
    <t>Установка водонагревателя   10л</t>
  </si>
  <si>
    <t>Капельная воронка HL 21</t>
  </si>
  <si>
    <t>Ревизия системы водоснабжения и канализации</t>
  </si>
  <si>
    <t>Установка душевой кабины River Neva 90/18 (сидение, зеркало, полки, душевая лейка, смеситель)</t>
  </si>
  <si>
    <t>Сололифт Grundfos Sololift</t>
  </si>
  <si>
    <t>Установка унитаза Ideal Standard Connect Cube E 8036 01 + Е7970 01 ( с крышкой дюропласт E 7128 01) в комплекте</t>
  </si>
  <si>
    <t>Установка унитаза Ideal Standard TONIC II (Напольный пристенный унитаз для монтажа с бачком, с сидением и крышкой стандарт в комплекте)</t>
  </si>
  <si>
    <t>Монтаж раковины ЛИЛЛОНГЕН (с настенными кронштейнами Артикульный номер: 698.940.59)</t>
  </si>
  <si>
    <t>Монтаж раковины Jacob Delafon Struktura 65x48 см фарфор, цвет белый (в комплекте с крепежом и сифоном хром)</t>
  </si>
  <si>
    <t>Монтаж смесителя для раковины  ДАЛЬШЕР с выпуском, хромированного ( Артикульный номер: 901.350.33)</t>
  </si>
  <si>
    <t>Монтаж смесителя Hansgrohe Focus S 31764 для душа, скрытого монтажа, однозахватного (комплект)</t>
  </si>
  <si>
    <t>Монтаж гигиенического ручного душа Hansgrohe, шланг 1,6м, настенный держатель ( арт.3212800)</t>
  </si>
  <si>
    <t>Установка писсуара Jika DOMINO без сенсора с отв.для распылителя 4110.1(в комплекте с  запорной арматурой)</t>
  </si>
  <si>
    <t>Установка моек из нержавеющей стали 600*600*1,2 с сифоном</t>
  </si>
  <si>
    <t>Монтаж металлического трубопровода D 110 мм (водоснабжение и канализация)</t>
  </si>
  <si>
    <t>Монтаж металлического трубопровода D 63 мм</t>
  </si>
  <si>
    <t>Монтаж задвижек 30с64нж Ду100 (водоснабжение и канализация)</t>
  </si>
  <si>
    <t>Монтаж задвижек 30с64нж Ду50</t>
  </si>
  <si>
    <t>Монтаж фланцев D 100 мм  (водоснабжение и канализация)</t>
  </si>
  <si>
    <t>Монтаж фланцев D 50мм</t>
  </si>
  <si>
    <t>Монтаж отводов D 110 мм (водоснабжение и канализация)</t>
  </si>
  <si>
    <t>Монтаж металлических гильз</t>
  </si>
  <si>
    <t>Клапан обратный 50 мм</t>
  </si>
  <si>
    <t>Клапан обратный 100 мм</t>
  </si>
  <si>
    <t>Монтаж Трубы ПВХ для систем наружной канализации   ТУ 2248-057-72311668-2007 из ПВХ оранжевого цвета диаметром от 150 мм классом жесткости SN 4</t>
  </si>
  <si>
    <t>Прокладка трубы D 76 мм</t>
  </si>
  <si>
    <t xml:space="preserve">Установка задвижки серии KR11 с обрезиненным клином, PN 10, </t>
  </si>
  <si>
    <t>Фланцевое соединение (водоснабжение и канализация)</t>
  </si>
  <si>
    <t>5.1.0 Внутренний противопожарный водопровод (ВПВ)</t>
  </si>
  <si>
    <t>Установка пожарного шкафа в комлекте с пожарным рукавом 20 м и огнетушителем</t>
  </si>
  <si>
    <t>Установка пожарного шкафа двойного в комлекте с пожарными рукавами 20м- 2шт. и огнетушителями-2шт. ШПК-03-12</t>
  </si>
  <si>
    <t>Врезка в существующий пожарный водопрвод</t>
  </si>
  <si>
    <t>Установка пожарных кранов</t>
  </si>
  <si>
    <t>Монтаж трубы электросварной д 50 мм</t>
  </si>
  <si>
    <t>5.2.0 Аксесуары</t>
  </si>
  <si>
    <t>Установка Крючка для вещей и одежды. Merida MHW31 матовый</t>
  </si>
  <si>
    <t xml:space="preserve">Установка корзины для использованных бумажных полотенец на 27 литров. Merida KSM 101. Матовый.  </t>
  </si>
  <si>
    <t>Установка кассета-держателя для бумажных полотенец. Merida ASM201</t>
  </si>
  <si>
    <t xml:space="preserve">Установка дозатора жидкого мыла "MERIDA-VIP" ( 0,300 л.). Merida D44S. Матовый. </t>
  </si>
  <si>
    <t>Установка щетки санитарной. Merida TAS02 (364747). Матовый.</t>
  </si>
  <si>
    <t>Установка корзины с педалью 5 литров. Merida B4A. Матовый</t>
  </si>
  <si>
    <t>Установка держателя туалетных подкладок. Merida GSM 001. Матовый.</t>
  </si>
  <si>
    <t>Ревизия и установка Люстр заказчика (без стоимости люстры) с заменой ламп</t>
  </si>
  <si>
    <t>5.4.0 АУВПТ (спринкерные системы)</t>
  </si>
  <si>
    <t>Перенос оросителя спринклера</t>
  </si>
  <si>
    <t>Устройство спринкерной системы пожаротушения  ( в том числе гибкие подводки, оросители и т.д)</t>
  </si>
  <si>
    <t>Р6</t>
  </si>
  <si>
    <t>Раздел №6.  Отопление</t>
  </si>
  <si>
    <t>6.1.0. Отопление</t>
  </si>
  <si>
    <t>Отключение стояков отопления</t>
  </si>
  <si>
    <t>Заполнение системы центрального отопления, для дальнейшего функционирования системы отопления</t>
  </si>
  <si>
    <t>Установка радиаторов отопления RIFAR BASE 200</t>
  </si>
  <si>
    <t>секц.</t>
  </si>
  <si>
    <t>вкладка "Радиаторы"</t>
  </si>
  <si>
    <t>Установка радиаторов отопления RIFAR BASE 350</t>
  </si>
  <si>
    <t>Установка радиаторов отопления RIFAR BASE 500</t>
  </si>
  <si>
    <t>Автоматический терморегулятор RIFAR (термоголовка)</t>
  </si>
  <si>
    <t>1 на радиатор</t>
  </si>
  <si>
    <t>Монтажный комплект RIFAR 1/2</t>
  </si>
  <si>
    <t>Если радиатор с нижней подводкой, данная позиция не учитывается</t>
  </si>
  <si>
    <t>Монтажный комплект RIFAR 3/4</t>
  </si>
  <si>
    <t>Монтажный комплект RIFAR 3/4 для радиаторов MONOLIT/SUPReMO</t>
  </si>
  <si>
    <t>Монтажный комплект RIFAR 3/4 для радиаторов MONOLIT/SUPReMO Хром</t>
  </si>
  <si>
    <t>Узел нижней подводки "RIFAR" двойной прямой евроконус G 3/4"</t>
  </si>
  <si>
    <t>Узел нижнего подключения RIFAR для 2-трубных систем угловой G3/4"</t>
  </si>
  <si>
    <t>Кронштейн регулируемый RIFAR (комплект 2 шт.)</t>
  </si>
  <si>
    <t>Кронштейн напольный RIFAR (комплект 2 шт.)</t>
  </si>
  <si>
    <t>твек.10.1. Кронштейн напольный "RIFAR"</t>
  </si>
  <si>
    <t>твек. 6.3. Кронштейн "RIFAR" штырьевой бел. плоский 8х180</t>
  </si>
  <si>
    <t>твек. 6.7. Кронштейн "DUETTO" штырьевой бел. плоский 9х220</t>
  </si>
  <si>
    <t>твек. 6.7.01 Кронштейн  штырьевой бел. плоский 9х260</t>
  </si>
  <si>
    <t>твек. 6.8. Кронштейн SIRA RS штырьевой белый плоский 1,8 9х220</t>
  </si>
  <si>
    <t>твек. 7.3. Кронштейн угл. универс. бел. "ЭЛЕГАНС" (2,0)</t>
  </si>
  <si>
    <t>твек. 7.8. Кронштейн усил. угловой универсальный белый "Элеганс" 1,7</t>
  </si>
  <si>
    <t>КОМПЛЕКТ МОНТАЖНЫЙ 1/2 универсальный белый без кронштейнов</t>
  </si>
  <si>
    <t>КОМПЛЕКТ МОНТАЖНЫЙ 3/4 универсальный белый без кронштейнов</t>
  </si>
  <si>
    <t>Наценка на радиатор с нп Комплектация для радиатора с НП ( клапан термостатический с комплектующими , монтажный комплект</t>
  </si>
  <si>
    <t>Узел подключения радиатора H-образный Arrowhead Element, прямой, 3/4"- 3/4" (без ниппелей)</t>
  </si>
  <si>
    <t>1 на радиатор с нижней подводкой</t>
  </si>
  <si>
    <t>Трубка РЕХАУ из. нерж. стали для подкл. радиатора, Г-образная 16/250</t>
  </si>
  <si>
    <t>2 на радиатор с нижней подводкой</t>
  </si>
  <si>
    <t>Резьбозажимное соединение РЕХАУ для металлической трубки G 3/4 -15</t>
  </si>
  <si>
    <t>3 на радиатор с нижней подводкой</t>
  </si>
  <si>
    <t>Радиатор биметаллический RIFAR MONOLIT Ventil 300 04 секц. нижн. прав.</t>
  </si>
  <si>
    <t>Радиатор биметаллический RIFAR MONOLIT Ventil 300 05 секц. нижн. прав.</t>
  </si>
  <si>
    <t>Радиатор биметаллический RIFAR MONOLIT Ventil 300 06 секц. нижн. прав.</t>
  </si>
  <si>
    <t>Радиатор биметаллический RIFAR MONOLIT Ventil 300 07 секц. нижн. прав.</t>
  </si>
  <si>
    <t>Радиатор биметаллический RIFAR MONOLIT Ventil 300 08 секц. нижн. прав.</t>
  </si>
  <si>
    <t>Радиатор биметаллический RIFAR MONOLIT Ventil 300 09 секц. нижн. прав.</t>
  </si>
  <si>
    <t>Радиатор биметаллический RIFAR MONOLIT Ventil 300 10 секц. нижн. прав.</t>
  </si>
  <si>
    <t>Радиатор биметаллический RIFAR MONOLIT Ventil 300 11 секц. нижн. прав.</t>
  </si>
  <si>
    <t>Радиатор биметаллический RIFAR MONOLIT Ventil 300 12 секц. нижн. прав.</t>
  </si>
  <si>
    <t>Радиатор биметаллический RIFAR MONOLIT Ventil 300 13 секц. нижн. прав.</t>
  </si>
  <si>
    <t>Радиатор биметаллический RIFAR MONOLIT Ventil 300 14 секц. нижн. прав.</t>
  </si>
  <si>
    <t>Радиатор биметаллический RIFAR MONOLIT Ventil 350 04 секц. нижн. прав.</t>
  </si>
  <si>
    <t>Радиатор биметаллический RIFAR MONOLIT Ventil 350 05 секц. нижн. прав.</t>
  </si>
  <si>
    <t>Радиатор биметаллический RIFAR MONOLIT Ventil 350 06 секц. нижн. прав.</t>
  </si>
  <si>
    <t>Радиатор биметаллический RIFAR MONOLIT Ventil 350 07 секц. нижн. прав.</t>
  </si>
  <si>
    <t>Радиатор биметаллический RIFAR MONOLIT Ventil 350 08 секц. нижн. прав.</t>
  </si>
  <si>
    <t>Радиатор биметаллический RIFAR MONOLIT Ventil 350 09 секц. нижн. прав.</t>
  </si>
  <si>
    <t>Радиатор биметаллический RIFAR MONOLIT Ventil 350 10 секц. нижн. прав.</t>
  </si>
  <si>
    <t>Радиатор биметаллический RIFAR MONOLIT Ventil 350 11 секц. нижн. прав.</t>
  </si>
  <si>
    <t>Радиатор биметаллический RIFAR MONOLIT Ventil 350 12 секц. нижн. прав.</t>
  </si>
  <si>
    <t>Радиатор биметаллический RIFAR MONOLIT Ventil 350 13 секц. нижн. прав.</t>
  </si>
  <si>
    <t>Радиатор биметаллический RIFAR MONOLIT Ventil 350 14 секц. нижн. прав.</t>
  </si>
  <si>
    <t>Радиатор биметаллический RIFAR MONOLIT Ventil 500 04 секц. нижн. прав.</t>
  </si>
  <si>
    <t>Радиатор биметаллический RIFAR MONOLIT Ventil 500 05 секц. нижн. прав.</t>
  </si>
  <si>
    <t>Радиатор биметаллический RIFAR MONOLIT Ventil 500 06 секц. нижн. прав.</t>
  </si>
  <si>
    <t>Радиатор биметаллический RIFAR MONOLIT Ventil 500 07 секц. нижн. прав.</t>
  </si>
  <si>
    <t>Радиатор биметаллический RIFAR MONOLIT Ventil 500 08 секц. нижн. прав.</t>
  </si>
  <si>
    <t>Радиатор биметаллический RIFAR MONOLIT Ventil 500 09 секц. нижн. прав.</t>
  </si>
  <si>
    <t>Радиатор биметаллический RIFAR MONOLIT Ventil 500 10 секц. нижн. прав.</t>
  </si>
  <si>
    <t>Радиатор биметаллический RIFAR MONOLIT Ventil 500 11 секц. нижн. прав.</t>
  </si>
  <si>
    <t>Радиатор биметаллический RIFAR MONOLIT Ventil 500 12 секц. нижн. прав.</t>
  </si>
  <si>
    <t>Радиатор биметаллический RIFAR MONOLIT Ventil 500 13 секц. нижн. прав.</t>
  </si>
  <si>
    <t>Радиатор биметаллический RIFAR MONOLIT Ventil 500 14 секц. нижн. прав.</t>
  </si>
  <si>
    <t xml:space="preserve">Циркуляционный насос VALTEC 25-60 (VRS.256.13.0) DN25 </t>
  </si>
  <si>
    <t xml:space="preserve">Циркуляционный насос OASIS 25/4  </t>
  </si>
  <si>
    <t>Радиатор стальной с нижним подключением Kermi Profil-V, в комплекте с кронштейнами Type11 500x500</t>
  </si>
  <si>
    <t>Радиатор стальной с нижним подключением Kermi Profil-V, в комплекте с кронштейнами Type11 1000x500</t>
  </si>
  <si>
    <t>Радиатор стальной с нижним подключением Kermi Profil-V, в комплекте с кронштейнами Type11 1200x500</t>
  </si>
  <si>
    <t>Радиатор стальной с нижним подключением Kermi Profil-V, в комплекте с кронштейнами Type11 1500x500</t>
  </si>
  <si>
    <t>Радиатор стальной с нижним подключением Royal Thermo, в комплекте с кронштейнами Ventil COMPACT VC 500x500</t>
  </si>
  <si>
    <t>Радиатор стальной с нижним подключением Royal Thermo, в комплекте с кронштейнами Ventil COMPACT VC 1000x500</t>
  </si>
  <si>
    <t>Радиатор стальной с нижним подключением Royal Thermo, в комплекте с кронштейнами Ventil COMPACT VC 1200x500</t>
  </si>
  <si>
    <t>Радиатор стальной с нижним подключением Royal Thermo, в комплекте с кронштейнами Ventil COMPACT VC 1500x500</t>
  </si>
  <si>
    <t>Конвектор электрический Ballu с электронным термостатом 500 Вт</t>
  </si>
  <si>
    <t>Конвектор электрический Ballu с электронным термостатом 1000 Вт</t>
  </si>
  <si>
    <t>Конвектор электрический Ballu с электронным термостатом 1500 Вт</t>
  </si>
  <si>
    <t>Электрический Обогреватель ТеплЭко. (указать типоразмер)</t>
  </si>
  <si>
    <t>Демонтаж радиаторов отопления с сохранением</t>
  </si>
  <si>
    <t>Монтаж радиатора чугунного Радиаторы МС-140</t>
  </si>
  <si>
    <t>Термоголовка Watts SE 148</t>
  </si>
  <si>
    <t>Термоголовка (диапазон регулировки 6,5-27,5 С) твердотельная VALTEC VT.1000.0.0</t>
  </si>
  <si>
    <t>Труба полипропиленовая, армированная PN-25 Pilsatherm 50х8.3мм. с фитингами</t>
  </si>
  <si>
    <t>Труба полипропиленовая, армированная PN-25 Pilsatherm 40х6.7мм. с фитингами</t>
  </si>
  <si>
    <t>Труба полипропиленовая, армированная PN-25 Pilsatherm 32х5.4мм. с фитингами</t>
  </si>
  <si>
    <t>Труба полипропиленовая, армированная PN-25 Pilsatherm 25х4.2мм. с фитингами</t>
  </si>
  <si>
    <t>Труба полипропиленовая, армированная PN-25 Pilsatherm 20х3.4мм. с фитингами</t>
  </si>
  <si>
    <t>Труба металлопластик Henco 16x2 с фитингами</t>
  </si>
  <si>
    <t>Труба металлопластик Henco 20x3 с фитингами</t>
  </si>
  <si>
    <t>Труба металлопластик Uponor 25x2.25 unipipe MLC с фитигнгами</t>
  </si>
  <si>
    <t>Клапан VALTEC ручной, прямой 3/4 VT.008.LN.05</t>
  </si>
  <si>
    <t>Клапан термостатический VALTEC прямой 3/4 VT.032.N.05</t>
  </si>
  <si>
    <t>Кронштейн телескопический для алюминиевых радиаторов</t>
  </si>
  <si>
    <t>Опрессовка системы отопления до 450 м.кв</t>
  </si>
  <si>
    <t>Опрессовка системы отопления от  450 м.кв</t>
  </si>
  <si>
    <t>Вырезка участка стояковых труб</t>
  </si>
  <si>
    <t>Врезка в существующую систему отопления</t>
  </si>
  <si>
    <t>Установка крестовин стояковых труб (труба 32, отвод 16)</t>
  </si>
  <si>
    <t>Кран маевского Watts Dy15</t>
  </si>
  <si>
    <t>Монтаж конвекторов электрических NOBO C2F  10 XSC 0,75 кВт с встроенным термостатом R80 XSC</t>
  </si>
  <si>
    <t>Монтаж конвекторов электрических NOBO C4F  07 XSC 0,75 кВт с встроенным термостатом R80 XSC</t>
  </si>
  <si>
    <t>Монтаж конвекторов электрических Noirot spot 1500</t>
  </si>
  <si>
    <t>Монтаж труб отопления из стальных водогазопроводных труб, диаметр до 16мм</t>
  </si>
  <si>
    <t>Монтаж труб отопления из стальных водогазопроводных труб, диаметр до 25мм</t>
  </si>
  <si>
    <t>Монтаж труб отопления из стальных водогазопроводных труб, диаметр до 32мм</t>
  </si>
  <si>
    <t>Монтаж трубопровода из труб металлопластиковых диаметр до 16мм</t>
  </si>
  <si>
    <t>Монтаж трубопровода из труб металлопластиковых диаметр до 25мм</t>
  </si>
  <si>
    <t>Монтаж трубопровода из труб металлопластиковых диаметр до 32мм</t>
  </si>
  <si>
    <t xml:space="preserve">Ревизия отопительных приборов </t>
  </si>
  <si>
    <t>Ревизия системы трубопроводов и запорно-регулирующей арматуры</t>
  </si>
  <si>
    <t>Вентиль на обратную подводку угловой, 1/2"</t>
  </si>
  <si>
    <t>Монтаж трубы из сшитого полиэтилена Pex-b EVOH d16×2,0, с фитингами</t>
  </si>
  <si>
    <t>Монтаж трубы  металлополимерной Pex-b/Al/Pex-b d25×4,0, с фитингами</t>
  </si>
  <si>
    <t>Монтаж трубы из металлополимернаой Pex-b/Al/Pex-b d32×4,0, бухта 25 м</t>
  </si>
  <si>
    <t>Узел нижнего подключения прямой для двухтрубных систем  3/4" НГ - 3/4" НР</t>
  </si>
  <si>
    <t>Адаптер для узлов нижнего подключения 3/4" НР - 1/2" НР</t>
  </si>
  <si>
    <t>Коллектор в сборе универсальный 1" ВР-3/4" НР, 12 выходов</t>
  </si>
  <si>
    <t>Коллектор в сборе универсальный 1" ВР-3/4" НР, 10 выходов</t>
  </si>
  <si>
    <t>Коллектор в сборе универсальный 1" ВР-3/4" НР, 8 выходов</t>
  </si>
  <si>
    <t>Соединение прямое с внутренней резьбой 16 (накидная гайка, евроконус)</t>
  </si>
  <si>
    <t>Пресс-втулка для универсальной металлополимерной трубы 16</t>
  </si>
  <si>
    <t>Монтаж задвижек 30с64нж Ду100 (отопление)</t>
  </si>
  <si>
    <t>Монтаж фланцев D 100 мм (отопление)</t>
  </si>
  <si>
    <t>Монтаж отводов D 110 мм (отопление)</t>
  </si>
  <si>
    <t>Монтаж металлического трубопровода D 110 мм (отопление)</t>
  </si>
  <si>
    <t>Расходные и крепежные материалы</t>
  </si>
  <si>
    <t>перевод на м.кв. из расчета на SB 250 м.кв.</t>
  </si>
  <si>
    <t xml:space="preserve">Ревизия газовых котлов отопления </t>
  </si>
  <si>
    <t xml:space="preserve">Установка сантехнического люка доступа </t>
  </si>
  <si>
    <t>Р7</t>
  </si>
  <si>
    <t>Раздел №7.  Вентиляция</t>
  </si>
  <si>
    <t>7.1.0 Вентиляция бытовая</t>
  </si>
  <si>
    <t>Приточно-вытяжная установка Globalvent  iСLIMATE-038+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</si>
  <si>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см. вкладку "вентмашины"</t>
  </si>
  <si>
    <t>Приточно-вытяжная установка Globalvent  iСLIMATE-042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</si>
  <si>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iСLIMATE-042+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</si>
  <si>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</si>
  <si>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iСLIMATE-050i+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</si>
  <si>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Компактная воздушно-тепловая завеса КЭВ-3П1154Е с пультом</t>
  </si>
  <si>
    <t>см. вкладку Тепловые завесы</t>
  </si>
  <si>
    <t>Компактная воздушно-тепловая завеса КЭВ-6П2212E с пультом</t>
  </si>
  <si>
    <t>Компактная воздушно-тепловая завеса КЭВ-9П3012E с пультом</t>
  </si>
  <si>
    <t>Компактная воздушно-тепловая завеса КЭВ-12П3042E с пультом</t>
  </si>
  <si>
    <t>Приточный очиститель воздуха Тион Бризер 4S Magic</t>
  </si>
  <si>
    <t>Для формата Микро</t>
  </si>
  <si>
    <t>Подставка под ПВУ сборная , усиленная - (уголок металлический, окрашеный)</t>
  </si>
  <si>
    <t xml:space="preserve">Привод для клапана вентмашины </t>
  </si>
  <si>
    <t>Клапан 600х300 вентмашины</t>
  </si>
  <si>
    <t>Клапан 700х400 вентмашины</t>
  </si>
  <si>
    <t>Гибкая вставка 600х300 вентмашины</t>
  </si>
  <si>
    <t>Гибкая вставка 700х400 вентмашины</t>
  </si>
  <si>
    <t>Вентилятор IN 10/4 T O.Erre с таймером на выключение (санузел)</t>
  </si>
  <si>
    <t>Вентилятор Systemair K125M с таймером</t>
  </si>
  <si>
    <t>Тепловая завеса Frico с термостатом и пультом</t>
  </si>
  <si>
    <t>Пусконаладочные работы системы вентиляции</t>
  </si>
  <si>
    <t>Противопожарный клапан (с электромеханическим приводом Belimo с возвратной пружиной) НО 500*300</t>
  </si>
  <si>
    <t>клапан используется в поз Р7.0.17</t>
  </si>
  <si>
    <t>Монтаж тепло-шумоизоляции  K-FLEX K-Flex Air 25мм самоклеющаяся (или Энергофлекс) воздуховодов согласно ТЗ</t>
  </si>
  <si>
    <t>Монтаж тепло-шумоизоляции  K-FLEX K-Flex Air 6мм самоклеющаяся (или Энергофлекс) воздуховодов согласно ТЗ</t>
  </si>
  <si>
    <t>Монтаж ленты K-FLEX ST Н50х3х15 самоклеющаяся для изоляции стыков. </t>
  </si>
  <si>
    <t>Монтаж теплоизоляции  K-FLEX (или Энергофлекс) воздуховодов согласно ТЗ</t>
  </si>
  <si>
    <t>м2 (по площади помещения)</t>
  </si>
  <si>
    <t>Декоративная щелевая решетка с адаптером из стали, размер 1000х40</t>
  </si>
  <si>
    <t>в SB ставим круглые</t>
  </si>
  <si>
    <t>Декоративная щелевая решетка с адаптером из стали, размер 500х40</t>
  </si>
  <si>
    <t>Вентилятор канальный с регулятором скорости СК 125 А, в комплекте с регулятором расхода воздуха и хомут для круглых воздуховодов</t>
  </si>
  <si>
    <t>Вентилятор канальный с регулятором скорости СК 125 С, в комплекте с регулятором расхода воздуха и хомут для круглых воздуховодов</t>
  </si>
  <si>
    <t>Вентилятор канальный с регулятором скорости СК 160 В, в комплекте с регулятором расхода воздуха и хомут для круглых воздуховодов</t>
  </si>
  <si>
    <t>Вентилятор канальный с регулятором скорости СК 160 С, в комплекте с регулятором расхода воздуха и хомут для круглых воздуховодов</t>
  </si>
  <si>
    <t>Вентилятор канальный с регулятором скорости СК 200 В, в комплекте с регулятором расхода воздуха и хомут для круглых воздуховодов</t>
  </si>
  <si>
    <t>Вентилятор канальный с регулятором скорости СК 250 В, в комплекте с регулятором расхода воздуха и хомут для круглых воздуховодов</t>
  </si>
  <si>
    <t>Канальный вентилятор TD-160/100 silent,  в комплекте с регулятором расхода воздуха и хомут для круглых воздуховодов</t>
  </si>
  <si>
    <t>Канальный вентилятор TD-250/100 silent,  в комплекте с регулятором расхода воздуха и хомут для круглых воздуховодов</t>
  </si>
  <si>
    <t>LDRC 100-500, шумоглушитель прямоугольный</t>
  </si>
  <si>
    <t>LDRC 125-1000, шумоглушитель прямоугольный</t>
  </si>
  <si>
    <t>LDRC 160-1000, шумоглушитель прямоугольный</t>
  </si>
  <si>
    <t>LDRC 160-500, шумоглушитель прямоугольный</t>
  </si>
  <si>
    <t>LDRC 200-1000, шумоглушитель прямоугольный</t>
  </si>
  <si>
    <t>LDRC 200-500, шумоглушитель прямоугольный</t>
  </si>
  <si>
    <t>LDRC 250-1000, шумоглушитель прямоугольный</t>
  </si>
  <si>
    <t>LDRC 250-500, шумоглушитель прямоугольный</t>
  </si>
  <si>
    <t>Шумоглушитель прямоугольный пластинчатый 300x250-1000</t>
  </si>
  <si>
    <t>Шумоглушитель прямоугольный пластинчатый 300x300-1000</t>
  </si>
  <si>
    <t>Шумоглушитель прямоугольный пластинчатый 400x250-1000</t>
  </si>
  <si>
    <t>Шумоглушитель прямоугольный пластинчатый 400x300-1000</t>
  </si>
  <si>
    <t>Шумоглушитель прямоугольный пластинчатый 400x400-1000</t>
  </si>
  <si>
    <t>Шумоглушитель прямоугольный пластинчатый 500x250-1000</t>
  </si>
  <si>
    <t>Шумоглушитель прямоугольный пластинчатый 500x300-1000</t>
  </si>
  <si>
    <t>Шумоглушитель прямоугольный пластинчатый 500x400-1000</t>
  </si>
  <si>
    <t>Шумоглушитель прямоугольный пластинчатый 600x150-1000</t>
  </si>
  <si>
    <t>Шумоглушитель прямоугольный пластинчатый 600x300-1000</t>
  </si>
  <si>
    <t>Шумоглушитель прямоугольный пластинчатый 600x350-1000</t>
  </si>
  <si>
    <t>Шумоглушитель прямоугольный пластинчатый 600x400-1000</t>
  </si>
  <si>
    <t>Шумоглушитель прямоугольный пластинчатый 600x500-1000</t>
  </si>
  <si>
    <t>Шумоглушитель прямоугольный пластинчатый 800x300-1000</t>
  </si>
  <si>
    <t>Шумоглушитель прямоугольный пластинчатый 900x400-1000</t>
  </si>
  <si>
    <t>Шумоглушитель прямоугольный пластинчатый 900x900-1000</t>
  </si>
  <si>
    <t>Шумоглушитель прямоугольный пластинчатый 1000x400-1000</t>
  </si>
  <si>
    <t>Шумоглушитель прямоугольный пластинчатый 1000x600-1000</t>
  </si>
  <si>
    <t>Шумоглушитель прямоугольный пластинчатый 1200x400-1000</t>
  </si>
  <si>
    <t>Шумоглушитель прямоугольный пластинчатый 1200x500-1000</t>
  </si>
  <si>
    <t>Шумоглушитель прямоугольный пластинчатый 1200x600-1000</t>
  </si>
  <si>
    <t>Шумоглушитель прямоугольный пластинчатый 1300x600-1000</t>
  </si>
  <si>
    <t>Шумоглушитель прямоугольный пластинчатый 1400x500-1000</t>
  </si>
  <si>
    <t>Шумоглушитель прямоугольный пластинчатый 1500x500-1000</t>
  </si>
  <si>
    <t>Шумоглушитель RSA-700х400/1000</t>
  </si>
  <si>
    <t>Шумоглушитель RSA-600х300/1000</t>
  </si>
  <si>
    <t>Шумоглушитель RSA-500х250/1000</t>
  </si>
  <si>
    <t>Шумоглушитель CSA-200/600</t>
  </si>
  <si>
    <t>Шумоглушитель CSA-125/900</t>
  </si>
  <si>
    <t>Шумоглушитель CSA-160/900</t>
  </si>
  <si>
    <t>Шумоглушитель CSA-200/900</t>
  </si>
  <si>
    <t>RSK 100, обратный клапан  для круглых каналов</t>
  </si>
  <si>
    <t>RSK 125, обратный клапан  для круглых каналов</t>
  </si>
  <si>
    <t>RSK 160, обратный клапан для круглых каналов</t>
  </si>
  <si>
    <t>RSK 200, обратный клапан для круглых каналов</t>
  </si>
  <si>
    <t>RSK 250, обратный клапан для круглых каналов</t>
  </si>
  <si>
    <t>Решетка алюминиевая двухрядная регулируемая АДН 200x100</t>
  </si>
  <si>
    <t>Решетка алюминиевая двухрядная регулируемая АДН 300x100</t>
  </si>
  <si>
    <t>Решетка алюминиевая однорядная регулируемая с клапаном расхода воздуха АМР 150x150</t>
  </si>
  <si>
    <t>Решетка алюминиевая однорядная регулируемая с клапаном расхода воздуха АМР 200х100</t>
  </si>
  <si>
    <t>Решетка алюминиевая однорядная регулируемая с клапаном расхода воздуха АМР 300x150</t>
  </si>
  <si>
    <t>Решетка алюминиевая однорядная регулируемая с клапаном расхода воздуха АМР 500x150</t>
  </si>
  <si>
    <t>Решетка алюминиевая однорядная регулируемая с клапаном расхода воздуха АМР 600x200</t>
  </si>
  <si>
    <t>Решетка алюминиевая однорядная регулируемая с клапаном расхода воздуха АМР 1000х250</t>
  </si>
  <si>
    <t>Решетка алюминиевая однорядная регулируемая с клапаном расхода воздуха АМР 1000х300</t>
  </si>
  <si>
    <t>Решетка алюминиевая однорядная регулируемая с клапаном расхода воздуха  АМР 1000х400</t>
  </si>
  <si>
    <t>Диффузор прямоугольный с камерой статического давления 4АПН-С 450х450 + 3КСД М</t>
  </si>
  <si>
    <t>Диффузор прямоугольный с камерой статического давления 4АПН-С 600х600 + 3КСД М</t>
  </si>
  <si>
    <t>Диффузор конический ДКУ 250</t>
  </si>
  <si>
    <t>Диффузор конический с камерой статического давления ДКУ 250 + 4КСД</t>
  </si>
  <si>
    <t>Решетка выброса воздуха CG-100</t>
  </si>
  <si>
    <t>Решетка выброса воздуха CG-125</t>
  </si>
  <si>
    <t>Решетка выброса воздуха CG-160</t>
  </si>
  <si>
    <t>Решетка наружняя АРН-С 700-300</t>
  </si>
  <si>
    <t>Решетка алюминиевая однорядная регулируемая АМН 300x150</t>
  </si>
  <si>
    <t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t>
  </si>
  <si>
    <t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расходных и крепежных материалов и т.д.) Согласно ТЗ</t>
  </si>
  <si>
    <t>7.2.0 Дымоудаление</t>
  </si>
  <si>
    <t>Вентилятор дымоудаления Systemair DVV 400D4-6/F400 в комплекте со щитом автоматики.</t>
  </si>
  <si>
    <t>Монтаж матов теплоизоляционных из минеральной ваты, фольгированные S=50мм ISOVER KIM-Light-Al 50 мм</t>
  </si>
  <si>
    <t>Огнезащитоное покрытие базальтовое фольгированное с пределом огнестойкости EI60 S=5мм</t>
  </si>
  <si>
    <t>Огнезащитоное покрытие базальтовое фольгированное с пределом огнестойкости EI150 S=50мм</t>
  </si>
  <si>
    <t>Клапан противопожарный нормально закрытый, с пределом огнестойкости EI60, реверсивный эл. привод на 220 В в комплекте с декоративной решеткой</t>
  </si>
  <si>
    <t xml:space="preserve">Комплект воздуховодов сварных из черной стали ГОСТ 19903-74   в огнезащитном покрытии EI60 (огнезащитное покрытие для воздуховодов  ФАЙРЕКС), дымоприемные устройста (решетки), расходные и крепежные материалы согласно ТЗ. 
</t>
  </si>
  <si>
    <t>Р8</t>
  </si>
  <si>
    <t>Раздел №8. Кондиционирование</t>
  </si>
  <si>
    <t>8.1.0 Кондиционирование технологическое</t>
  </si>
  <si>
    <t>Сплит система настенная MDV 07 MDSAJ-07HRN8 / MDOAJ-07HN8 (либо аналог согласно ТЗ. Замену согласовать с заказчиком)</t>
  </si>
  <si>
    <t xml:space="preserve">см. вкладку кондиционеры бытовые </t>
  </si>
  <si>
    <t>Сплит система настенная MDV 09 MDSAJ-09HRN8 / MDOAJ-09HN8 (либо аналог согласно ТЗ. Замену согласовать с заказчиком)</t>
  </si>
  <si>
    <t>Сплит система настенная MDV 12 MDSAJ-12HRN8 / MDOAJ-12HN8 (либо аналог согласно ТЗ. Замену согласовать с заказчиком)</t>
  </si>
  <si>
    <t>Сплит система настенная MDV 18 MDSAJ-18HRN8 / MDOAJ-18HN8 (либо аналог согласно ТЗ. Замену согласовать с заказчиком)</t>
  </si>
  <si>
    <t>Сплит система настенная MDV 24 MDSAJ-24HRN8 / MDOAJ-24HN8 (либо аналог согласно ТЗ. Замену согласовать с заказчиком)</t>
  </si>
  <si>
    <t>СБР02 Проводной контроллер для серверных помещений (Включая Модуль управления кондиционером СБР02-М - 2 шт)</t>
  </si>
  <si>
    <t>Блок сопряжения кондиционеров</t>
  </si>
  <si>
    <t>8.2.0 Кондиционирование бытовое</t>
  </si>
  <si>
    <t>Сплит система настенная Haier 07 HSU-07HPL103/R3(IN)/HSU-07HPL03/R3(OUT) (либо аналог согласно ТЗ. Замену согласовать с заказчиком)</t>
  </si>
  <si>
    <t>Сплит система настенная Haier 09  HSU-09HPL103/R3(IN)/HSU-09HPL03/R3(OUT) (либо аналог согласно ТЗ. Замену согласовать с заказчиком)</t>
  </si>
  <si>
    <t>Сплит система настенная Haier 12  HSU-12HPL103/R3(IN)/HSU-12HPL03/R3(OUT) (либо аналог согласно ТЗ. Замену согласовать с заказчиком)</t>
  </si>
  <si>
    <t>Сплит система настенная Haier 18  HSU-18HPL103/R3(IN)/HSU-18HPL3/R3(OUT) (либо аналог согласно ТЗ. Замену согласовать с заказчиком)</t>
  </si>
  <si>
    <t>Сплит система настенная Haier 24 HSU-24HPL103/R3(IN)/HSU-24HPL03/R3(OUT) (либо аналог согласно ТЗ. Замену согласовать с заказчиком)</t>
  </si>
  <si>
    <t>Канальный кондиционер MDV 24  MDTJ2-24HWN1 / MDOU3-24HN1-L+пульт  (либо аналог согласно ТЗ. Замену согласовать с заказчиком)</t>
  </si>
  <si>
    <t>Канальный кондиционер MDV 36 MDUE2-36HRN1 / MDOU3-36HN1-L+пульт  (либо аналог согласно ТЗ. Замену согласовать с заказчиком)</t>
  </si>
  <si>
    <t>Канальный кондиционер MDV 48 MDTJ2-48HWN1 / MDOU3-48HN1-L+пульт  (либо аналог согласно ТЗ. Замену согласовать с заказчиком)</t>
  </si>
  <si>
    <t>Канальный кондиционер MDV 60 MDTJ2-60HWN1 / MDOU3-60HN1-L+пульт  (либо аналог согласно ТЗ. Замену согласовать с заказчиком)</t>
  </si>
  <si>
    <t>Кассетный кондиционер MDV 12 MDCA6-12HRN1 / T-MBQ4-03B / MDOU3-12HN1-L+пульт (либо аналог согласно ТЗ. Замену согласовать с заказчиком)</t>
  </si>
  <si>
    <t>Кассетный кондиционер MDV 18 MDCA6-18HRN1 / T-MBQ4-03B / MDOU3-18HN1-L+пульт (либо аналог согласно ТЗ. Замену согласовать с заказчиком)</t>
  </si>
  <si>
    <t>Кассетный кондиционер MDV 24 MDCF-24HRN1 / T-MBQ4-04B / MDOU3-24HN1-L+пульт (либо аналог согласно ТЗ. Замену согласовать с заказчиком)</t>
  </si>
  <si>
    <t>Кассетный кондиционер MDV 36 MDCF2-36HRN1 / T-MBQ4-04B / MDOU3-36HN1-L+пульт (либо аналог согласно ТЗ. Замену согласовать с заказчиком)</t>
  </si>
  <si>
    <t>Кассетный кондиционер MDV 48 MDCF-48HRN1 / T-MBQ4-04B / MDOU3-48HN1-L+пульт (либо аналог согласно ТЗ. Замену согласовать с заказчиком)</t>
  </si>
  <si>
    <t>Кассетный кондиционер MDV 60 MDCF2-60HRN1 / T-MBQ4-04B / MDOU3-60HN1-L+пульт (либо аналог согласно ТЗ. Замену согласовать с заказчиком)</t>
  </si>
  <si>
    <t>Внутр. блок настенного типа мультизональной системы кондиционирования HAIER VRF включая пульт YR-HRS01 AS052MNERA</t>
  </si>
  <si>
    <t>Кондиционеры Haier VRF</t>
  </si>
  <si>
    <t>Внутр. блок настенного типа мультизональной системы кондиционирования HAIER VRF включая пульт YR-HRS01 AS072MNERA</t>
  </si>
  <si>
    <t>Внутр. блок настенного типа мультизональной системы кондиционирования HAIER VRF включая пульт YR-HRS01 AS092MNERA</t>
  </si>
  <si>
    <t>Внутр. блок настенного типа мультизональной системы кондиционирования HAIER VRF включая пульт YR-HRS01 AS122MNERA</t>
  </si>
  <si>
    <t>Внутр. блок настенного типа мультизональной системы кондиционирования HAIER VRF включая пульт YR-HRS01 AS162MNERA</t>
  </si>
  <si>
    <t>Внутр. блок настенного типа мультизональной системы кондиционирования HAIER VRF включая пульт YR-HRS01 AS182MNERA</t>
  </si>
  <si>
    <t>Внутр. блок настенного типа мультизональной системы кондиционирования HAIER VRF включая пульт YR-HRS01 AS242MNERA</t>
  </si>
  <si>
    <t>Внутр. блок настенного типа мультизональной системы кондиционирования HAIER VRF включая пульт YR-HRS01 AS052MFERA</t>
  </si>
  <si>
    <t>Внутр. блок настенного типа мультизональной системы кондиционирования HAIER VRF включая пульт YR-HRS01 AS072MFERA</t>
  </si>
  <si>
    <t>Внутр. блок настенного типа мультизональной системы кондиционирования HAIER VRF включая пульт YR-HRS01 AS092MFERA</t>
  </si>
  <si>
    <t>Внутр. блок настенного типа мультизональной системы кондиционирования HAIER VRF включая пульт YR-HRS01 AS122MFERA</t>
  </si>
  <si>
    <t>Внутр. блок настенного типа мультизональной системы кондиционирования HAIER VRF включая пульт YR-HRS01 AS162MFERA</t>
  </si>
  <si>
    <t>Внутр. блок настенного типа мультизональной системы кондиционирования HAIER VRF включая пульт YR-HRS01 AS182MFERA</t>
  </si>
  <si>
    <t>Внутр. блок настенного типа мультизональной системы кондиционирования HAIER VRF включая пульт YR-HRS01 AS242MFERA</t>
  </si>
  <si>
    <t>Внутр. блок настенного типа мультизональной системы кондиционирования MDV VRF включая пульт RM12F1 MDVI3-15WMVR12D</t>
  </si>
  <si>
    <t>Кондиционеры MDV VRF</t>
  </si>
  <si>
    <t>Внутр. блок настенного типа мультизональной системы кондиционирования MDV VRF включая пульт RM12F1 MDVI3-22WMVR12D</t>
  </si>
  <si>
    <t>Внутр. блок настенного типа мультизональной системы кондиционирования MDV VRF включая пульт RM12F1 MDVI3-28WMVR12D</t>
  </si>
  <si>
    <t>Внутр. блок настенного типа мультизональной системы кондиционирования MDV VRF включая пульт RM12F1 MDVI3-36WMVR12D</t>
  </si>
  <si>
    <t>Внутр. блок настенного типа мультизональной системы кондиционирования MDV VRF включая пульт RM12F1 MDVI3-45WMVR12D</t>
  </si>
  <si>
    <t>Внутр. блок настенного типа мультизональной системы кондиционирования MDV VRF включая пульт RM12F1 MDVI3-56WMVR12D</t>
  </si>
  <si>
    <t>Внутр. блок настенного типа мультизональной системы кондиционирования MDV VRF включая пульт RM12F1MDVI3-71WMVR12D</t>
  </si>
  <si>
    <t>Внутр. блок настенного типа мультизональной системы кондиционирования MDV VRF включая пульт RM12F1 MDVI3-80WMVR12D</t>
  </si>
  <si>
    <t>Внутр. Блок кассетного типа мультизональной системы кондиционирования MDV VRF + включая панель MDV-MBQ4-8PC/проводной пульт WDC3-86S MDVI3-28C4VR12D</t>
  </si>
  <si>
    <t>Внутр. Блок кассетного типа мультизональной системы кондиционирования MDV VRF + включая панель MDV-MBQ4-8PC/проводной пульт WDC3-86S MDVI3-36C4VR12D</t>
  </si>
  <si>
    <t>Внутр. Блок кассетного типа мультизональной системы кондиционирования MDV VRF + включая панель MDV-MBQ4-8PC/проводной пульт WDC3-86S MDVI3-45C4VR12D</t>
  </si>
  <si>
    <t>Внутр. Блок кассетного типа мультизональной системы кондиционирования MDV VRF + включая панель MDV-MBQ4-8PC/проводной пульт WDC3-86S MDVI3-56C4VR12D</t>
  </si>
  <si>
    <t>Внутр. Блок кассетного типа мультизональной системы кондиционирования MDV VRF + включая панель MDV-MBQ4-8PC/проводной пульт WDC3-86S MDVI3-71C4VR12D</t>
  </si>
  <si>
    <t>Внутр. Блок кассетного типа мультизональной системы кондиционирования MDV VRF + включая панель MDV-MBQ4-8PC/проводной пульт WDC3-86S MDVI3-80C4VR12D</t>
  </si>
  <si>
    <t>Внутр. Блок кассетного типа мультизональной системы кондиционирования MDV VRF + включая панель MDV-MBQ4-8PC/проводной пульт WDC3-86S MDVI3-90C4VR12D</t>
  </si>
  <si>
    <t>Внутр. Блок кассетного типа мультизональной системы кондиционирования MDV VRF + включая панель MDV-MBQ4-8PC/проводной пульт WDC3-86S MDVI3-100C4VR12D</t>
  </si>
  <si>
    <t xml:space="preserve">Наружный блок мультизональной системы кондиционирования HAIER VRF AU08NFKERA  </t>
  </si>
  <si>
    <t xml:space="preserve">Наружный блок мультизональной системы кондиционирования HAIER VRF AU10NFKERA </t>
  </si>
  <si>
    <t>Наружный блок мультизональной системы кондиционирования HAIER VRF AU12NFKERA</t>
  </si>
  <si>
    <t>Наружный блок мультизональной системы кондиционирования MDV VRF MDV-Vi252V2R1A</t>
  </si>
  <si>
    <t>Наружный блок мультизональной системы кондиционирования MDV VRF MDV-Vi280V2R1A</t>
  </si>
  <si>
    <t>Наружный блок мультизональной системы кондиционирования MDV VRF MDV-Vi335V2R1A</t>
  </si>
  <si>
    <t>Разветвитель FQG-B335A</t>
  </si>
  <si>
    <t>Разветвитель FQG-B506A</t>
  </si>
  <si>
    <t>Разветвитель FQZHN-01D MDV</t>
  </si>
  <si>
    <t>Разветвитель FQZHN-02D MDV</t>
  </si>
  <si>
    <t>Разветвитель FQZHN-03D MDV</t>
  </si>
  <si>
    <t>Разветвитель FQZHN-04D MDV</t>
  </si>
  <si>
    <t>Разветвитель FQZHN-05D MDV</t>
  </si>
  <si>
    <t>Экран для потолочного (кассетного) кондиционера из ударопрочного стекла</t>
  </si>
  <si>
    <t>Экран для настенного кондиционера из ударопрочного стекла</t>
  </si>
  <si>
    <t>Вентиль шаровый под пайку для внутреннего блока</t>
  </si>
  <si>
    <t>Фильтр осушитель Danfoss DCR включая сменный сердечник</t>
  </si>
  <si>
    <t>Регенерация, заправка хладагентом, Фреон  R407C, R410A R 32</t>
  </si>
  <si>
    <t>кг</t>
  </si>
  <si>
    <t>Дренажный насос Aqua mini blue, ASPEN</t>
  </si>
  <si>
    <t>Дренажный насос мини Orang</t>
  </si>
  <si>
    <t>Антивандальные решетки с козырьком для внешних блоков</t>
  </si>
  <si>
    <t>Пусконаладочные работы систем кондиционирования</t>
  </si>
  <si>
    <t>Зимний комплект к кондиционерам</t>
  </si>
  <si>
    <t>Помпа дренажная Si 1805</t>
  </si>
  <si>
    <t>Помпа дренажная Si 82</t>
  </si>
  <si>
    <t>Помпа дренажная Si 27</t>
  </si>
  <si>
    <t>Прокладка 1м.п трассы для системы кондиционирования (фреоно трассы, трубы холодоснабжения,  теплоизоляция, крепежные детали, межблочный кабель, дренаж и т.д.) Согласно ТЗ</t>
  </si>
  <si>
    <t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под размещение наружных блоков</t>
  </si>
  <si>
    <t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</si>
  <si>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Р9</t>
  </si>
  <si>
    <t>Раздел №9.  Электротехнические работы</t>
  </si>
  <si>
    <t>9.1.0 Щиты в сборе</t>
  </si>
  <si>
    <t>ГРЩ(1)</t>
  </si>
  <si>
    <t>см. вкладку Щиты в сборе</t>
  </si>
  <si>
    <t>ГРЩ(2)</t>
  </si>
  <si>
    <t>ЩС(1)</t>
  </si>
  <si>
    <t>ЩС(2)</t>
  </si>
  <si>
    <t>ЩСБ</t>
  </si>
  <si>
    <t>ЩИБП</t>
  </si>
  <si>
    <t>ППУ</t>
  </si>
  <si>
    <t xml:space="preserve">ЩР (НАНО 1-ф) </t>
  </si>
  <si>
    <t xml:space="preserve">ЩР (НАНО 3-ф) </t>
  </si>
  <si>
    <t>9.2.0 Электротехнические работы</t>
  </si>
  <si>
    <t>Щит  12 модулей, IP43, ABB или Legrand, с замком в комплекте с DIN-рейками, перемычками, шинами РЕ и N</t>
  </si>
  <si>
    <t>Щит  18 модулей, IP43, ABB или Legrand, с замком в комплекте с DIN-рейками, перемычками, шинами РЕ и N</t>
  </si>
  <si>
    <t>Щит  36 модулей, IP43, ABB или Legrand, с замком в комплекте с DIN-рейками, перемычками, шинами РЕ и N</t>
  </si>
  <si>
    <t>Щит  48 модулей, IP43, ABB или Legrand, с замком в комплекте с DIN-рейками, перемычками, шинами РЕ и N</t>
  </si>
  <si>
    <t>Щит  54 модулей, IP43, ABB или Legrand, с замком в комплекте с DIN-рейками, перемычками, шинами РЕ и N</t>
  </si>
  <si>
    <t>Щит  72 модулей, IP43, ABB или Legrand, с замком в комплекте с DIN-рейками, перемычками, шинами РЕ и N</t>
  </si>
  <si>
    <t>Щит  96 модулей, IP43, ABB или Legrand, с замком в комплекте с DIN-рейками, перемычками, шинами РЕ и N</t>
  </si>
  <si>
    <t>Щит  144 модулей, IP43, ABB или Legrand, с замком в комплекте с DIN-рейками, перемычками, шинами РЕ и N</t>
  </si>
  <si>
    <t>Щит  168 модулей, IP43, ABB или Legrand, с замком в комплекте с DIN-рейками, перемычками, шинами РЕ и N</t>
  </si>
  <si>
    <t>.Шкаф 168 М навесн. 1100x550x160 CA27VZRU (2CPX052536R9999</t>
  </si>
  <si>
    <t>Щит ППУ 8-12 мод IP 65 красный металлический</t>
  </si>
  <si>
    <t>Автоматический ввод резерва 63А, 380В в сборе</t>
  </si>
  <si>
    <t>Автоматический ввод резерва 80А, 380В в сборе</t>
  </si>
  <si>
    <t>Автоматический ввод резерва 125А, 380В в сборе</t>
  </si>
  <si>
    <t>Выключатель нагрузки OT40E3, 40А, ABB</t>
  </si>
  <si>
    <t>Выключатель нагрузки OT45E3, 45А, ABB</t>
  </si>
  <si>
    <t>Выключатель нагрузки OT63E3, 63А, ABB</t>
  </si>
  <si>
    <t>Выключатель нагрузки OT80F3, 80А, ABB</t>
  </si>
  <si>
    <t>Счетчик электроэнергии, Меркурий 231 АТ 01 (двухтарифный, 3-х фазный, 63А)</t>
  </si>
  <si>
    <t>Счетчик электроэнергии, Меркурий 231 АТ 01 с трансформаторами тока (двухтарифный, 3-х фазный, 63А)</t>
  </si>
  <si>
    <t>Счетчик электроэнергии, Меркурий 230 ART-02 CN (многотарифный, 3-х фазный, 100А)</t>
  </si>
  <si>
    <t>Устройство защитного отключения 2пол. тип A 16A 10mA F202 A-16/0,01 ABB</t>
  </si>
  <si>
    <t>Устройство защитного отключения 2пол. тип A 25A 30mA F202 A-25/0,03 АВВ</t>
  </si>
  <si>
    <t>Устройство защитного отключения 2пол. тип A 40A 30mA F202 A-40/0,03 АВВ</t>
  </si>
  <si>
    <t>Устройство защитного отключения 2пол. тип AC 16A 10mA F202 AC-16/0,01 ABB</t>
  </si>
  <si>
    <t>Устройство защитного отключения 2пол. тип AC 25A 300mA F202 AC-25/0,3 ABB</t>
  </si>
  <si>
    <t>Устройство защитного отключения 2пол. тип AC 25A 30mA F202 AC-25/0,03 АВВ</t>
  </si>
  <si>
    <t>Устройство защитного отключения 2пол. тип AC 25A 30mA FH202 AC-25/0,03 АВВ</t>
  </si>
  <si>
    <t>Устройство защитного отключения 2пол. тип AC 40A 100mA F202 AC-40/0,1 ABB</t>
  </si>
  <si>
    <t>Устройство защитного отключения 2пол. тип AC 40A 30mA F202 AC-40/0,03 АВВ</t>
  </si>
  <si>
    <t>Устройство защитного отключения 2пол. тип AC 40A 30mA FH202 AC-40/0,03 АВВ</t>
  </si>
  <si>
    <t>Устройство защитного отключения 2пол. тип AC 63A 100mA F202 AC-63/0,1 АВВ</t>
  </si>
  <si>
    <t>Устройство защитного отключения 2пол. тип AC 63A 300mA F202 AC-63/0,3 ABB</t>
  </si>
  <si>
    <t>Устройство защитного отключения 2пол. тип AC 63A 30mA FH202 AC-63/0,03 АВВ</t>
  </si>
  <si>
    <t>Устройство защитного отключения 4пол. F204 AC-40/0,1 ABB</t>
  </si>
  <si>
    <t>Устройство защитного отключения 4пол. тип A 25A 30mA F204 A-25/0,03 АВВ</t>
  </si>
  <si>
    <t>Устройство защитного отключения 4пол. тип AC 25A 30mA F204 AC-25/0,03 АВВ</t>
  </si>
  <si>
    <t>Устройство защитного отключения 4пол. тип AC 25A 30mA FH204 AC-25/0,03 АВВ</t>
  </si>
  <si>
    <t>Устройство защитного отключения 4пол. тип AC 40A 300mA F204 AC-40/0,3 ABB</t>
  </si>
  <si>
    <t>Устройство защитного отключения 4пол. тип AC 40A 30mA F204 AC-40/0,03 АВВ</t>
  </si>
  <si>
    <t>Устройство защитного отключения 4пол. тип AC 40A 30mA FH204 AC-40/0,03 АВВ</t>
  </si>
  <si>
    <t>Устройство защитного отключения 4пол. тип AC 63A 100mA F204 AC-63/0,1 ABB</t>
  </si>
  <si>
    <t>Устройство защитного отключения 4пол. тип AC 63A 300mA F204 AC-63/0,3 ABB</t>
  </si>
  <si>
    <t>Устройство защитного отключения 4пол. тип AC 63A 30mA F204 AC-63/0,03 АВВ</t>
  </si>
  <si>
    <t>Устройство защитного отключения 4пол. тип AC 63A 30mA FH204 AC-63/0,03 АВВ</t>
  </si>
  <si>
    <t>Устройство защитного отключения 4пол. тип AC 80A 300mA F204 AC-80/0,3 ABB</t>
  </si>
  <si>
    <t>Устройство защитного отключения 4пол. тип AC 100A 300mA F204 AC-100/0,3 ABB</t>
  </si>
  <si>
    <t>Устройство защитного отключения 4пол. тип AC 125A 300mA F204 AC-125/0,3 ABB</t>
  </si>
  <si>
    <t>Автомат.выкл-ль АВВ 1-полюсный S201 B6А</t>
  </si>
  <si>
    <t>Автомат.выкл-ль АВВ 1-полюсный S201 B10А</t>
  </si>
  <si>
    <t>Автомат.выкл-ль АВВ 1-полюсный S201 B20А</t>
  </si>
  <si>
    <t>Автомат.выкл-ль АВВ 1-полюсный S201 B25А</t>
  </si>
  <si>
    <t>Автомат.выкл-ль АВВ 1-полюсный S201 B32А</t>
  </si>
  <si>
    <t>Автомат.выкл-ль АВВ 1-полюсный S201 B40А</t>
  </si>
  <si>
    <t>Автомат.выкл-ль АВВ 1-полюсный S201 C6А</t>
  </si>
  <si>
    <t>Автомат.выкл-ль АВВ 1-полюсный S201 C10А</t>
  </si>
  <si>
    <t>Автомат.выкл-ль АВВ 1-полюсный S201 C16А</t>
  </si>
  <si>
    <t>Автомат.выкл-ль АВВ 1-полюсный S201 C20А</t>
  </si>
  <si>
    <t>Автомат.выкл-ль АВВ 1-полюсный S201 C25А</t>
  </si>
  <si>
    <t>Автомат.выкл-ль АВВ 1-полюсный S201 C32А</t>
  </si>
  <si>
    <t>Автомат.выкл-ль АВВ 1-полюсный S201 C40А</t>
  </si>
  <si>
    <t>Автомат.выкл-ль АВВ 1-полюсный S201 B50А</t>
  </si>
  <si>
    <t>Автомат.выкл-ль АВВ 1-полюсный SH201L C6А</t>
  </si>
  <si>
    <t>Автомат.выкл-ль АВВ 1-полюсный SH201L C10А</t>
  </si>
  <si>
    <t>Автомат.выкл-ль АВВ 1-полюсный SH201L C16А</t>
  </si>
  <si>
    <t>Автомат.выкл-ль АВВ 1-полюсный SH201L C20А</t>
  </si>
  <si>
    <t>Автомат.выкл-ль АВВ 1-полюсный SH201L C25А</t>
  </si>
  <si>
    <t>Автомат.выкл-ль АВВ 1-полюсный SH201L C32А</t>
  </si>
  <si>
    <t>Автомат.выкл-ль АВВ 1-полюсный SH201L C40А</t>
  </si>
  <si>
    <t>Автомат.выкл-ль АВВ 1-полюсный SH201L C50А</t>
  </si>
  <si>
    <t>Автомат.выкл-ль АВВ 2-полюсный S202 B6А</t>
  </si>
  <si>
    <t>Автомат.выкл-ль АВВ 2-полюсный S202 B10А</t>
  </si>
  <si>
    <t>Автомат.выкл-ль АВВ 2-полюсный S202 B16А</t>
  </si>
  <si>
    <t>Автомат.выкл-ль АВВ 2-полюсный S202 B20А</t>
  </si>
  <si>
    <t>Автомат.выкл-ль АВВ 2-полюсный S202 B25А</t>
  </si>
  <si>
    <t>Автомат.выкл-ль АВВ 2-полюсный S202 B32А</t>
  </si>
  <si>
    <t>Автомат.выкл-ль АВВ 2-полюсный S202 B40А</t>
  </si>
  <si>
    <t>Автомат.выкл-ль АВВ 2-полюсный S202 B50А</t>
  </si>
  <si>
    <t>Автомат.выкл-ль АВВ 2-полюсный S202 C6А</t>
  </si>
  <si>
    <t>Автомат.выкл-ль АВВ 2-полюсный S202 C10А</t>
  </si>
  <si>
    <t>Автомат.выкл-ль АВВ 2-полюсный S202 C16А</t>
  </si>
  <si>
    <t>Автомат.выкл-ль АВВ 2-полюсный S202 C20А</t>
  </si>
  <si>
    <t>Автомат.выкл-ль АВВ 2-полюсный S202 C25А</t>
  </si>
  <si>
    <t>Автомат.выкл-ль АВВ 2-полюсный S202 C32А</t>
  </si>
  <si>
    <t>Автомат.выкл-ль АВВ 2-полюсный S202 C40А</t>
  </si>
  <si>
    <t>Автомат.выкл-ль АВВ 2-полюсный S202 C50А</t>
  </si>
  <si>
    <t>Автомат.выкл-ль АВВ 2-полюсный SH202L C6А</t>
  </si>
  <si>
    <t>Автомат.выкл-ль АВВ 2-полюсный SH202L C10А</t>
  </si>
  <si>
    <t>Автомат.выкл-ль АВВ 2-полюсный SH202L C16А</t>
  </si>
  <si>
    <t>Автомат.выкл-ль АВВ 2-полюсный SH202L C20А</t>
  </si>
  <si>
    <t>Автомат.выкл-ль АВВ 2-полюсный SH202L C25А</t>
  </si>
  <si>
    <t>Автомат.выкл-ль АВВ 2-полюсный SH202L C32А</t>
  </si>
  <si>
    <t>Автомат.выкл-ль АВВ 2-полюсный SH202L C40А</t>
  </si>
  <si>
    <t>Автомат.выкл-ль АВВ 2-полюсный SH202L C50А</t>
  </si>
  <si>
    <t>Автомат.выкл-ль АВВ 3-полюсный S203 B16А</t>
  </si>
  <si>
    <t>Автомат.выкл-ль АВВ 3-полюсный S203 B20А</t>
  </si>
  <si>
    <t>Автомат.выкл-ль АВВ 3-полюсный S203 B25А</t>
  </si>
  <si>
    <t>Автомат.выкл-ль АВВ 3-полюсный S203 B32А</t>
  </si>
  <si>
    <t>Автомат.выкл-ль АВВ 3-полюсный S203 B40А</t>
  </si>
  <si>
    <t>Автомат.выкл-ль АВВ 3-полюсный S203 В50А</t>
  </si>
  <si>
    <t>Автомат.выкл-ль АВВ 3-полюсный S203 C6А</t>
  </si>
  <si>
    <t>Автомат.выкл-ль АВВ 3-полюсный S203 C10А</t>
  </si>
  <si>
    <t>Автомат.выкл-ль АВВ 3-полюсный S203 C16А</t>
  </si>
  <si>
    <t>Автомат.выкл-ль АВВ 3-полюсный S203 C20А</t>
  </si>
  <si>
    <t>Автомат.выкл-ль АВВ 3-полюсный S203 C25А</t>
  </si>
  <si>
    <t>Автомат.выкл-ль АВВ 3-полюсный S203 C32А</t>
  </si>
  <si>
    <t>Автомат.выкл-ль АВВ 3-полюсный S203 C40А</t>
  </si>
  <si>
    <t>Автомат.выкл-ль АВВ 3-полюсный S203 C50А</t>
  </si>
  <si>
    <t>Автомат.выкл-ль АВВ 3-полюсный S203 C63А</t>
  </si>
  <si>
    <t>Автомат.выкл-ль АВВ 3-полюсный SH203L C6А</t>
  </si>
  <si>
    <t>Автомат.выкл-ль АВВ 3-полюсный SH203L C10А</t>
  </si>
  <si>
    <t>Автомат.выкл-ль АВВ 3-полюсный SH203L C16А</t>
  </si>
  <si>
    <t>Автомат.выкл-ль АВВ 3-полюсный SH203L C20А</t>
  </si>
  <si>
    <t>Автомат.выкл-ль АВВ 3-полюсный SH203L C25А</t>
  </si>
  <si>
    <t>Автомат.выкл-ль АВВ 3-полюсный SH203L C32А</t>
  </si>
  <si>
    <t>Автомат.выкл-ль АВВ 3-полюсный SH203L C40А</t>
  </si>
  <si>
    <t>Автомат.выкл-ль АВВ 3-полюсный SH203L C50А</t>
  </si>
  <si>
    <t>Автомат.выкл-ль АВВ 4-полюсный S204 B16А</t>
  </si>
  <si>
    <t>Автомат.выкл-ль АВВ 4-полюсный S204 B25А</t>
  </si>
  <si>
    <t>Автомат.выкл-ль АВВ 4-полюсный S204 C16А</t>
  </si>
  <si>
    <t>Автомат.выкл-ль АВВ 4-полюсный S204 C20А</t>
  </si>
  <si>
    <t>Автомат.выкл-ль АВВ 4-полюсный S204 C25А</t>
  </si>
  <si>
    <t>Автомат.выкл-ль АВВ 4-полюсный S204 C32А</t>
  </si>
  <si>
    <t>Автомат.выкл-ль АВВ 4-полюсный S204 C40А</t>
  </si>
  <si>
    <t>Автомат.выкл-ль АВВ 4-полюсный SH204L C40А</t>
  </si>
  <si>
    <t>Автомат.выкл-ль АВВ Т1В160 40А</t>
  </si>
  <si>
    <t>Автомат.выкл-ль АВВ Т1В160 32А</t>
  </si>
  <si>
    <t>Автомат.выкл-ль АВВ Т1В160 25А</t>
  </si>
  <si>
    <t>Автомат.выкл-ль АВВ Т1В160 63А</t>
  </si>
  <si>
    <t>Автомат.выкл-ль АВВ Т1В160 50А</t>
  </si>
  <si>
    <t>Автомат.выкл-ль АВВ Т1В160 80А</t>
  </si>
  <si>
    <t>Автомат.выкл-ль АВВ Т1В160 100А</t>
  </si>
  <si>
    <t>Автомат.выкл-ль АВВ Т1В160 125А</t>
  </si>
  <si>
    <t>Монтажная площадка для Т1В 160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</si>
  <si>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В6 1P 6A (В) 6kA тип AC 30mA (2мод.)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</si>
  <si>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В10 1P 10A (В)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</si>
  <si>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В16 1P 16A (В)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</si>
  <si>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В20 1P 20A (В)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</si>
  <si>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В25 1P 25A (В)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</si>
  <si>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В32 1P 32A (В) 6kA тип AC 30mA (2мод.)</t>
    </r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</si>
  <si>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C6 1P 6A (C) 6kA тип AC 30mA (2мод.)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</si>
  <si>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C10 1P 10A (C)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</si>
  <si>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C16 1P 16A (C)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</si>
  <si>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C20 1P 20A (C)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</si>
  <si>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C25 1P 25A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</si>
  <si>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C32 1P 32A (C) 6kA тип AC 30mA (2мод.) (2CSR255040R1324)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</si>
  <si>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C40 1P 40A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</si>
  <si>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</si>
  <si>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10A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</si>
  <si>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</si>
  <si>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20A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</si>
  <si>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25A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</si>
  <si>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32A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</si>
  <si>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40A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</si>
  <si>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C10 2P 10А (C) 6kA тип AC 30mA (4мод.)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</si>
  <si>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C16 2P 16А (C) 6kA тип AC 30mA (4мод.)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</si>
  <si>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DS202</t>
    </r>
    <r>
      <rPr>
        <sz val="9"/>
        <rFont val="Calibri"/>
        <family val="2"/>
        <charset val="204"/>
      </rPr>
      <t xml:space="preserve"> C20 2P 20А (C) 6kA тип AC 30mA (4мод.) 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</si>
  <si>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C25 2P 25А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</si>
  <si>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C32 2P 32А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</si>
  <si>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 xml:space="preserve">DS204 </t>
    </r>
    <r>
      <rPr>
        <sz val="9"/>
        <rFont val="Calibri"/>
        <family val="2"/>
        <charset val="204"/>
      </rPr>
      <t xml:space="preserve">C10 4P 10А (C) 6kA тип AC 30mA (6мод.)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</si>
  <si>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C16 4P 16А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</si>
  <si>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С20 4P 20А (С) 6kA тип АС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</si>
  <si>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C25 4P 25А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</si>
  <si>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C32 4P 32А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</si>
  <si>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C63 4P 63А (C) 6kA тип AC 30mA (6мод.)</t>
    </r>
  </si>
  <si>
    <t>АВДТ с защитой от сверхтоков OptiDin D63-22C10-A-УХЛ4 (2Р, С10, 30mA)</t>
  </si>
  <si>
    <t>АВДТ с защитой от сверхтоков OptiDin D63-22C16-A-УХЛ4 (2Р, С16, 30mA)</t>
  </si>
  <si>
    <t>АВДТ с защитой от сверхтоков OptiDin D63-22C20-A-УХЛ4 (2Р, С20, 30mA)</t>
  </si>
  <si>
    <t>АВДТ с защитой от сверхтоков OptiDin D63-22C25-A-УХЛ4 (2Р, С25, 30mA)</t>
  </si>
  <si>
    <t>АВДТ с защитой от сверхтоков OptiDin D63-22C32-A-УХЛ4 (2Р, С32, 30mA)</t>
  </si>
  <si>
    <t>АВДТ с защитой от сверхтоков OptiDin D63-22C40-A-УХЛ4 (2Р, С40, 30mA)</t>
  </si>
  <si>
    <t xml:space="preserve"> АВДТ с защитой от сверхтоков OptiDin D6322C16AУЗ 6кА (2Р, С16, 30mA)</t>
  </si>
  <si>
    <t>АВДТ с защитой от сверхтоков OptiDin D63-22C20-A-УЗ 6кА (2Р, С20, 30mA)</t>
  </si>
  <si>
    <t>АВДТ с защитой от сверхтоков OptiDin D63-22C25-A-УЗ 6кА (2Р, С25, 30mA)</t>
  </si>
  <si>
    <t>АВДТ с защитой от сверхтоков OptiDin D63-22C32-A-УЗ 6кА (2Р, С32, 30mA)</t>
  </si>
  <si>
    <t>АВДТ с защитой от сверхтоков OptiDin D63-22C40-A-УЗ 6кА (2Р, С40, 30mA)</t>
  </si>
  <si>
    <t>Выключатель нагрузки модульный OptiDin BM63PL-120-УХЛ3 (ВМ63P)</t>
  </si>
  <si>
    <t>Выключатель нагрузки модульный OptiDin BM63PL-132-УХЛ3 (ВМ63PL)</t>
  </si>
  <si>
    <t>Выключатель нагрузки модульный OptiDin BM63PL-140-УХЛ3 (ВМ63PL)</t>
  </si>
  <si>
    <t>Выключатель нагрузки модульный OptiDin BM63PL-3100-УХЛ3 (ВМ63PL)</t>
  </si>
  <si>
    <t>Выключатель нагрузки модульный OptiDin BM63PL-3125-УХЛ3 (ВМ63PL)</t>
  </si>
  <si>
    <t xml:space="preserve">  Выключатель нагрузки модульный OptiDin BM63PL 380 УХЛ3 (ВМ63PL)</t>
  </si>
  <si>
    <t xml:space="preserve">  Выключатель нагрузки модульный OptiDin BM63PL 363 УХЛ3 (ВМ63PL)</t>
  </si>
  <si>
    <t xml:space="preserve">  Выключатель нагрузки модульный OptiDin BM63PL 350 УХЛ3 (ВМ63PL)</t>
  </si>
  <si>
    <t xml:space="preserve">  Выключатель нагрузки модульный OptiDin BM63PL 340 УХЛ3 (ВМ63PL)</t>
  </si>
  <si>
    <t xml:space="preserve">  Выключатель нагрузки модульный OptiDin BM63PL 332 УХЛ3 (ВМ63PL)</t>
  </si>
  <si>
    <t xml:space="preserve">  Выключатель автоматический модульный OptiDin BM63 1C10 УХЛ3</t>
  </si>
  <si>
    <t xml:space="preserve">  Выключатель автоматический модульный OptiDin BM63 1C16 УХЛ3</t>
  </si>
  <si>
    <t xml:space="preserve">  Выключатель автоматический модульный OptiDin BM63 1C20 УХЛ3</t>
  </si>
  <si>
    <t xml:space="preserve">  Выключатель автоматический модульный OptiDin BM63 1C25 УХЛ3</t>
  </si>
  <si>
    <t xml:space="preserve">  Выключатель автоматический модульный OptiDin BM63 1C32 УХЛ3</t>
  </si>
  <si>
    <t xml:space="preserve">  Выключатель автоматический модульный OptiDin BM63 1C40 УХЛ3</t>
  </si>
  <si>
    <t xml:space="preserve">  Выключатель автоматический модульный OptiDin BM63 1C50 УХЛ3</t>
  </si>
  <si>
    <t xml:space="preserve">  Выключатель автоматический модульный OptiDin BM63 1C63 УХЛ3</t>
  </si>
  <si>
    <t xml:space="preserve">  Выключатель автоматический модульный OptiDin BM63 1B6 УХЛ3</t>
  </si>
  <si>
    <t xml:space="preserve">  Выключатель автоматический модульный OptiDin BM63 1B10 УХЛ3</t>
  </si>
  <si>
    <t xml:space="preserve">  Выключатель автоматический модульный OptiDin BM63 1B16 УХЛ3</t>
  </si>
  <si>
    <t xml:space="preserve">  Выключатель автоматический модульный OptiDin BM63 1B20 УХЛ3</t>
  </si>
  <si>
    <t xml:space="preserve">  Выключатель автоматический модульный OptiDin BM63 1B25 УХЛ3</t>
  </si>
  <si>
    <t xml:space="preserve">  Выключатель автоматический модульный OptiDin BM63 3C16 УХЛ3</t>
  </si>
  <si>
    <t xml:space="preserve">  Выключатель автоматический модульный OptiDin BM63 3C20 УХЛ3</t>
  </si>
  <si>
    <t xml:space="preserve">  Выключатель автоматический модульный OptiDin BM63 3C25 УХЛ3</t>
  </si>
  <si>
    <t xml:space="preserve">  Выключатель автоматический модульный OptiDin BM63 3C32 УХЛ3</t>
  </si>
  <si>
    <t xml:space="preserve">  Выключатель автоматический модульный OptiDin BM63 3C40 УХЛ3</t>
  </si>
  <si>
    <t xml:space="preserve">  Выключатель автоматический модульный OptiDin BM63 3C50 УХЛ3</t>
  </si>
  <si>
    <t xml:space="preserve">  Выключатель автоматический модульный OptiDin BM63 3C63 УХЛ3</t>
  </si>
  <si>
    <t xml:space="preserve">  Выключатель автоматический модульный OptiDin BM63 3C80 УХЛ3</t>
  </si>
  <si>
    <t xml:space="preserve">  Выключатель автоматический модульный OptiDin BM63 3C100 УХЛ3</t>
  </si>
  <si>
    <t>Выключатель автоматический однополюсный (АВ) С 10А 1P 6kA 230В City9 Set C9F36125 Systeme Electric</t>
  </si>
  <si>
    <t>Выключатель автоматический однополюсный (АВ) С 16А 1P 6kA 230В City9 Set C9F36125 Systeme Electric</t>
  </si>
  <si>
    <t>Выключатель автоматический однополюсный (АВ) С 20А 1P 6kA 230В City9 Set C9F36125 Systeme Electric</t>
  </si>
  <si>
    <t>Выключатель автоматический однополюсный (АВ) С 25A 1P 6kA 230В City9 Set C9F36125 Systeme Electric</t>
  </si>
  <si>
    <t>Выключатель автоматический однополюсный (АВ) С 32A 1P 6kA 230В City9 Set C9F36125 Systeme Electric</t>
  </si>
  <si>
    <t>Выключатель автоматический однополюсный 10А B 4.5kA 230В City9 Set C9F14125 Systeme Electric</t>
  </si>
  <si>
    <t>Выключатель автоматический однополюсный 16А B 4.5kA 230В City9 Set C9F14125 Systeme Electric</t>
  </si>
  <si>
    <t>Выключатель автоматический однополюсный 25А B 4.5kA 230В City9 Set C9F14125 Systeme Electric</t>
  </si>
  <si>
    <t>Выключатель автоматический трехполюсный 16А С 4.5kA 400В City9 Set C9F34306 Systeme Electric</t>
  </si>
  <si>
    <t>Выключатель автоматический трехполюсный 20А С 4.5kA 400В City9 Set C9F34306 Systeme Electric</t>
  </si>
  <si>
    <t>Выключатель автоматический трехполюсный 25А С 4.5kA 400В City9 Set C9F34306 Systeme Electric</t>
  </si>
  <si>
    <t>Выключатель автоматический трехполюсный 32А С 4.5kA 400В City9 Set C9F34306 Systeme Electric</t>
  </si>
  <si>
    <t>Выключатель автоматический трехполюсный 40А С 4.5kA 400В City9 Set C9F34306 Systeme Electric</t>
  </si>
  <si>
    <t>Выключатель автоматический трехполюсный 50А С 4.5kA 400В City9 Set C9F34306 Systeme Electric</t>
  </si>
  <si>
    <t>Выключатель автоматический трехполюсный 63А С 4.5kA 400В City9 Set C9F34306 Systeme Electric</t>
  </si>
  <si>
    <t>Выключатель автоматический дифференциального тока (АВДТ) 1P+N С 16А 4.5kA 30мА Тип-A 230В City9 Set C9D55616 Systeme Electric</t>
  </si>
  <si>
    <t>Выключатель автоматический дифференциального тока (АВДТ) 1P+N С 20А 4.5kA 30мА Тип-A 230В City9 Set C9D55616 Systeme Electric</t>
  </si>
  <si>
    <t>Выключатель автоматический дифференциального тока (АВДТ) 1P+N С 25А 4.5kA 30мА Тип-A 230В City9 Set C9D55616 Systeme Electric</t>
  </si>
  <si>
    <t>Выключатель автоматический дифференциального тока (АВДТ) 1P+N С 32А 4.5kA 30мА Тип-A 230В City9 Set C9D55616 Systeme Electric</t>
  </si>
  <si>
    <t>Контактор модульный ABB ESB20-11 1НО+1НЗ</t>
  </si>
  <si>
    <t>Контактор модульный ABB ESB20-11 2НО</t>
  </si>
  <si>
    <t>Контактор модульный ABB ESB20-20</t>
  </si>
  <si>
    <t>Контактор модульный ABB ESB24-31</t>
  </si>
  <si>
    <t>Контактор модульный ABB ESB40-40</t>
  </si>
  <si>
    <t>Контактор модульный ABB ESB63-40</t>
  </si>
  <si>
    <t>Реле времени недельное ABB ATS</t>
  </si>
  <si>
    <t>Реле освещенности ABB TW, Датчик освещенности ABB LS-SP</t>
  </si>
  <si>
    <t>Реле управления нагрузкой LSS1/2 230В ,90А (АВВ)</t>
  </si>
  <si>
    <t>Реле максимального тока STT6 114  E 451 5,7A</t>
  </si>
  <si>
    <t xml:space="preserve">Трансформатор 230В/24В понижающий однофазный 160ВА , на din -рейку, </t>
  </si>
  <si>
    <t>Устройство отключения неприоритетных цепей Legrand 038 13</t>
  </si>
  <si>
    <t>Реле переключения нагрузок АВВ Е451</t>
  </si>
  <si>
    <t>Реле времени АВВ CT-ERD.12</t>
  </si>
  <si>
    <t>Независимый расцепитель, S2C-A2</t>
  </si>
  <si>
    <t>Электромеханический  недельный таймер ABB</t>
  </si>
  <si>
    <t>Выключатель нагрузки  Legrand 04345, 32А, 3-полюсный</t>
  </si>
  <si>
    <t>Выключатель нагрузки  Legrand 04350, 63А, 3-полюсный</t>
  </si>
  <si>
    <t>Светильник эвакуационный с аккумуляторной батареей</t>
  </si>
  <si>
    <t>Светильник эвакуационный без аккумуляторной батареи</t>
  </si>
  <si>
    <t>Светильник эвакуационный Flip Advanced 3Вт IP40 3ч аварийный VARTON V1-EM-70432-02A01-4000365</t>
  </si>
  <si>
    <t>Монтаж Светильника аварийного светодиодного iTECH M2 302 M ST, 2W/1LED, IP65, 115 Lm, 3 часа, постоянного действия, ручное тестирование</t>
  </si>
  <si>
    <t>Монтаж светильника аварийного потолочного  Навигатор  серии NEF-07 - 3 Вт, режим работы: постоянный/непостоянный, время работы от аккум. - 3 ч.</t>
  </si>
  <si>
    <t>Монтаж светильника аварийного потолочного  ИЕК  ДПА 5043-3 постоянного действия 10-24/220В 3ч IP54 - 4 Вт, режим работы: постоянный/непостоянный, время работы от аккум. - 3 ч.</t>
  </si>
  <si>
    <t>Монтаж светильника аварийного потолочного  Starlet External SC Intelight 3 Вт, режим работы: постоянный/непостоянный, время работы от аккум. - 3 ч.</t>
  </si>
  <si>
    <t>Монтаж Светильника аварийного потолочного  светильник PL CL 1.0 Pelastus</t>
  </si>
  <si>
    <t>Светильник светодиодный OWP OPTIMA LED 595 IP54/IP54 4000K mat Световые Технологии</t>
  </si>
  <si>
    <t>депозитарий</t>
  </si>
  <si>
    <t>Светильник с зеркалом и SPC-RNG-600-LED-TCH, 12W, 220-240V, 600x30с подсветкой  и сенсорным выключателем belbagno арт. SPC-RNG-600-LED-TCH</t>
  </si>
  <si>
    <t>Гофрированная ПВХ труба ∅ 50</t>
  </si>
  <si>
    <t>Гофрированная ПВХ труба ∅ 40</t>
  </si>
  <si>
    <t>Гофрированная ПВХ труба ∅ 32</t>
  </si>
  <si>
    <t>Гофрированная ПВХ труба ∅ 25</t>
  </si>
  <si>
    <t>Гофрированная ПВХ труба ∅ 20</t>
  </si>
  <si>
    <t>Гофрированная ПВХ труба ∅ 16</t>
  </si>
  <si>
    <t>Труба гладкая жесткая ПВХ 20 мм легкая серая (3м) в комплекте с углами, крепежами,переходниками и расходными материалами</t>
  </si>
  <si>
    <t>на офис на 200 м.кв.</t>
  </si>
  <si>
    <t>Труба гладкая жесткая ПВХ 32 мм легкая серая (3м) в комплекте с углами, крепежами,переходниками и расходными материалами</t>
  </si>
  <si>
    <t xml:space="preserve">Труба гофрированная ПНД HF d20мм с протяжкой, безгалогенная оранжевая </t>
  </si>
  <si>
    <t xml:space="preserve">Труба гофрированная ПНД HF d25мм с протяжкой, безгалогенная оранжевая </t>
  </si>
  <si>
    <t>Гладкая труба ∅ 40 ПНД</t>
  </si>
  <si>
    <t>Поворот 90° для  ПВХ-трубы ∅ 40</t>
  </si>
  <si>
    <t>Кабель-канал DLP 105х50 мм Legrand, включая заглушки, уголки и разделители.</t>
  </si>
  <si>
    <t>Кабель-канал 200х80 мм  TA-GN INLiner, включая заглушки, уголки и разделители.</t>
  </si>
  <si>
    <t>Кабель-канал 100х80 мм  TA-GN INLiner, включая заглушки, уголки и разделители.</t>
  </si>
  <si>
    <t>Консоль с опорой ML 100 мм облегченная</t>
  </si>
  <si>
    <t>комплект подвесов и консолей для лотков на офис 200 м.кв.</t>
  </si>
  <si>
    <t>Консоль 400 мм BBH-60 усиленная</t>
  </si>
  <si>
    <t>Консоль усиленная 200мм</t>
  </si>
  <si>
    <t>Консоль усиленная 300мм усиленная ВВН6030 DKC</t>
  </si>
  <si>
    <t>Подвес вертикальный одиночный L=600мм</t>
  </si>
  <si>
    <t>Подвес вертикальный двойной 41х21 L 600</t>
  </si>
  <si>
    <t>Подвес вертикальный одиночный 41х21 L 800</t>
  </si>
  <si>
    <t>Подвес вертикальный двойной 41х21 L 800</t>
  </si>
  <si>
    <t>Лоток металлический неперфорированный 100х50х3000 0.7мм S3 с углами вертикальными (45-90), горизонтальными, крышками, переходниками,  ответвителями и расходными материалами.</t>
  </si>
  <si>
    <t>Лоток металлический неперфорированный 200х50х3000 0.7мм S3 с углами вертикальными (45-90), горизонтальными, крышками, переходниками,  ответвителями и расходными материалами.</t>
  </si>
  <si>
    <t>Лоток металлический неперфорированный 300х50х3000 0.6мм S3  с углами вертикальными (45-90), горизонтальными, крышками, переходниками, ответвителями и расходными материалами</t>
  </si>
  <si>
    <t>Лоток металлический неперфорированный 400х50х3000 0.6мм S3  с углами вертикальными (45-90), горизонтальными, крышками, переходниками, ответвителями и расходными материалами</t>
  </si>
  <si>
    <t>Лоток металлический неперфорированный 500х50х3000 0.6мм S3  с углами вертикальными (45-90), горизонтальными, крышками, переходниками, ответвителями и расходными материалами</t>
  </si>
  <si>
    <t>Лоток проволочный 100х50х3000</t>
  </si>
  <si>
    <t>Лоток проволочный 200х50х3000</t>
  </si>
  <si>
    <t>Лоток проволочный 300х50х3000</t>
  </si>
  <si>
    <t>Лоток проволочный 400х50х3000</t>
  </si>
  <si>
    <t>Лоток проволочный 500х50х3000</t>
  </si>
  <si>
    <t>Установка штепсельной розетки с заземлением  "Legrand" Mozaik ,  суппортом и рамкой (красная или белая).</t>
  </si>
  <si>
    <t xml:space="preserve">Установка розетки двойной накладной в запотолочном пространстве  Schneider </t>
  </si>
  <si>
    <t>Установка розетки двойной Schneider Electric Blanca с заземлением, открытый монтаж, цвет – Алюминий</t>
  </si>
  <si>
    <t>Формат НАНО</t>
  </si>
  <si>
    <r>
      <t xml:space="preserve">Установка штепсельной розетки с заземлением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 (арт. 4400003), с супортом и рамкой "Белое облако"</t>
    </r>
  </si>
  <si>
    <t>см.розекти ДКС</t>
  </si>
  <si>
    <r>
      <t xml:space="preserve">Установка штепсельной розетки с заземлением 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"Красный квадрат" (арт. 4401003),  с супортом и рамкой "Белое облако"</t>
    </r>
  </si>
  <si>
    <t>Установка штепсельной розетки с заземлением в стену, 2P+E, с з/ш, Legrand "Etika", с супортом и рамкой "Белая"</t>
  </si>
  <si>
    <t>Установка штепсельной розетки с заземлением в стену, 2P+E, с з/ш, Legrand "Etika", с супортом и рамкой "Антрацит"</t>
  </si>
  <si>
    <t>Установка одноклавишных выключателей  "Legrand"  VALENA  с суппортом и  установочной коробкой Batibox</t>
  </si>
  <si>
    <t xml:space="preserve">Установка одноклавишных выключателей  Schneider Electric BLANCA О/У 1-клавишный, 10А, 250B, цвет – Алюминий </t>
  </si>
  <si>
    <t xml:space="preserve">Установка двухклавишных выключателей  "Legrand"  VALENA  с суппортом и  установочной коробкой Batibox </t>
  </si>
  <si>
    <t>Штепсельная розетка JUNG одинарная, с заземлением, без шторок, 16A, 250В (механизм + накладка, без рамки). Серия LS990 Материал- дуропласт Цвет- светло-серый</t>
  </si>
  <si>
    <t>Выключатель 1-клавишный. Механизм. (однополюсный) 10A 250V с Клавишей 1-ой для выключателей и кнопок без подсветки.JUNG  Серия LS990 Материал- дуропласт Цвет- светло-серый</t>
  </si>
  <si>
    <t>Выключатель 2-клавишный. Механизм. 10A 250V с Клавишей 2-ой для выключателей и кнопок без подсветки.  JUNGСерия LS990 Материал- дуропласт Цвет- светло-серый</t>
  </si>
  <si>
    <r>
      <t xml:space="preserve">Выключатель одноклавишный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4400103</t>
    </r>
  </si>
  <si>
    <r>
      <t xml:space="preserve">Выключатель двухклавишный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4400104</t>
    </r>
  </si>
  <si>
    <t xml:space="preserve">Выключатель двухклавишный, автоматические клеммы 10 AX 250 В, антрацит ETIKA с рамкой и  установочной коробкой Batibox </t>
  </si>
  <si>
    <t xml:space="preserve">Выключатель одноклавишный, автоматические клеммы 10 AX 250В, антрацит ETIKA  с рамкой и  установочной коробкой Batibox </t>
  </si>
  <si>
    <t>Переключатель одноклавишный, автоматические клеммы 10 AX 250В, антрацит ETIKA  с рамкой и  установочной коробкой Batibox  (проходной выключатель)</t>
  </si>
  <si>
    <t>Установка одноклавишных выключателей  "Legrand" Этика  с суппортом и  установочной коробкой Batibox</t>
  </si>
  <si>
    <t>Установка выключателя с ключом двухпозиционного</t>
  </si>
  <si>
    <t>Установка точечных светодиодных светильников R63 12 Вт в мебельные конструкции (холодное свечение)</t>
  </si>
  <si>
    <t>Установка св-ка встраиваемого "Lival mony" 2*24 Вт белый с лампами</t>
  </si>
  <si>
    <t>Установка светильника тонкий встраиваемый UNIEL GX70/H5 Белый с лампой.</t>
  </si>
  <si>
    <t>Установка светильников для складских помещений</t>
  </si>
  <si>
    <t>Светильник с люминесцентными лампами встраиваемый PRBLUX -600х600(касса)</t>
  </si>
  <si>
    <t>Светильник противопожарный с люминесцентными лампами встраиваемый стекло матовое 600х600(серверная)</t>
  </si>
  <si>
    <r>
      <t xml:space="preserve">Установка светильника встраиваемого частично,
цвет - белый, хром. Производитель </t>
    </r>
    <r>
      <rPr>
        <b/>
        <sz val="9"/>
        <rFont val="Calibri"/>
        <family val="2"/>
        <charset val="204"/>
      </rPr>
      <t>SLV Glass tube E27</t>
    </r>
    <r>
      <rPr>
        <sz val="9"/>
        <rFont val="Calibri"/>
        <family val="2"/>
        <charset val="204"/>
      </rPr>
      <t xml:space="preserve"> (арт. 111592)</t>
    </r>
  </si>
  <si>
    <t>Лампа DULUXSTAR MICRO TWIST 23W/840</t>
  </si>
  <si>
    <t>Пуско-наладочные работы</t>
  </si>
  <si>
    <t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t>
  </si>
  <si>
    <t xml:space="preserve">средние </t>
  </si>
  <si>
    <t>Установка коробки напольной 18 модульн Mosaik с  нерж крышкой (суппорта в комплекте )</t>
  </si>
  <si>
    <t>Блок аварийного питания INTERLUX ES-1 ( 6-58Ц)</t>
  </si>
  <si>
    <t xml:space="preserve">Монтаж светильников типа Модульный подвесной REGO (Световые Технологии) </t>
  </si>
  <si>
    <t>Встраиваемый блок розеток EVOLINE FlipTop Medium</t>
  </si>
  <si>
    <t>Устнаовка СВЕТОДИОДНОГО ПОДВЕСНОГО СВЕТИЛЬНИКА MAYTONI NOLA MOD807-PL-02-60-W</t>
  </si>
  <si>
    <t>Светодиодная лента, IP65 Источник света: LED,14Вт/м, 4200К (основной свет в переговорных)</t>
  </si>
  <si>
    <t xml:space="preserve"> Блок питания, 60Вт IP20 светодиодной ленты</t>
  </si>
  <si>
    <t>Алюминиевый профиль встраевыемый в гипсокартон для светодиодной ленты</t>
  </si>
  <si>
    <t>Распред коробка legrand</t>
  </si>
  <si>
    <t>Коробка распределительная  240х195х90мм</t>
  </si>
  <si>
    <t>Установка светильникака  94 838 NDL-P1-25W-840-WH-LED (аналог Downlight КЛЛ 2х26) Navigator 4607136948389</t>
  </si>
  <si>
    <t>Светильник светодиодный 19 Вт, Navigator NLP-S1-19W-840-WH-LED(225x225)</t>
  </si>
  <si>
    <t>Светильник светодиодный 18 Вт, Navigator 71 761 NLP-R1-18W-R220-840-WH-LED</t>
  </si>
  <si>
    <t>Установка светильника  94 836 NDL-P1-10W-840-WH-LED (аналог R80 100Вт) Navigator 4607136948365</t>
  </si>
  <si>
    <t>Светильник светодиодный 5 Вт IP44, Navigator 71 366 NDL-P2-5W-830-CH-LED</t>
  </si>
  <si>
    <t>Установка люстры ARSTID, 3-х рожковая с лампами э/сберег.</t>
  </si>
  <si>
    <t xml:space="preserve">Светодиодный светильник OFL 0240 36 595 4000 К  "Hazadr Light" </t>
  </si>
  <si>
    <t>Подвес LGD-4TR-HANG-2-WH ©</t>
  </si>
  <si>
    <t>ООО "ЭТМ"</t>
  </si>
  <si>
    <t>Коннектор прямой LGD-4TR-CON-LONG-WH</t>
  </si>
  <si>
    <t>Светильник светодиодный трековый LGD-GERA-4TR-R74-20W Day4000 (WH, 24 deg, 230V) КРАСНЫЙ RAL3020</t>
  </si>
  <si>
    <t>Трек LGD-4TR-TRACK-3000-WH-M  КРАСНЫЙ RAL3020</t>
  </si>
  <si>
    <t>Трек LGD-4TR-TRACK-2000-WH-M КРАСНЫЙ RAL3020</t>
  </si>
  <si>
    <t>Трек LGD-4TR-TRACK-1000-WH-M КРАСНЫЙ RAL3020</t>
  </si>
  <si>
    <t xml:space="preserve">Коннектор питания LGD-4TR-CON-POWER-L-WH </t>
  </si>
  <si>
    <t>Заглушка LGD-4TR-CAP-WH</t>
  </si>
  <si>
    <t>Коннектор внутренний LGD-4TR-CON-MINI-WH ©</t>
  </si>
  <si>
    <t>Зажим LGD-4TR-CLIP-WH ©</t>
  </si>
  <si>
    <t>Светильник светодиодный линейный CSVT FLORA-50 27 993х50х70 CRI80 4000 microprisma IP40 красный AB (в комплекте с подвесом и заглушками)</t>
  </si>
  <si>
    <t>Светильник светодиодный линейный CSVT FLORA-50 36 1540х50х70 CRI80 4000 microprisma IP40 красный AB (в комплекте с подвесом и заглушками)</t>
  </si>
  <si>
    <t>Светильник светодиодный линейный CSVT FLORA-50 52 1985х50х70 CRI80 4000 microprisma IP40 красный AB (в комплекте с подвесом и заглушками)</t>
  </si>
  <si>
    <t>Светильник светодиодный линейный CSVT FLORA-50 70 3040х50х70 CRI80 4000 microprisma IP40 красный AB (в комплекте с подвесом и заглушками)</t>
  </si>
  <si>
    <t>ORTUS SORES 650 св-к накладной LED 53W/4000K (СЕРЫЙ RAL 7047 МАТОВЫЙ)</t>
  </si>
  <si>
    <t>ООО ОКТАНТ (ТД ПРОФЛЕД)</t>
  </si>
  <si>
    <t>ORTUS SORES 650 св-к подвесной LED 53W/4000K подвес 1,5м (СЕРЫЙ RAL 7047 МАТОВЫЙ)</t>
  </si>
  <si>
    <t>Лайтбокс  LED Высота114 мм.Диаметр 1000 мм RAL 3020,ORTUS SORES 1000 DIMM 0-10V, c функцией диммрования, производство ООО "Профлед"</t>
  </si>
  <si>
    <t>Лайтбокс  LED Высота114 мм.Диаметр 1000 мм RAL 3020,ORTUS SORES 1000 DIMM 0-10V, без диммера, производство ООО "Профлед"</t>
  </si>
  <si>
    <t>Лайтбокс  LED Высота114 мм.Диаметр 1500 мм RAL 3020, ORTUS SORES 1500 DIMM 0-10V c функцией диммрования, производство ООО "Профлед"</t>
  </si>
  <si>
    <t>Лайтбокс  LED Высота114 мм.Диаметр 2000 мм RAL 3020, ORTUS SORES 2000 DIMM 0-10V c функцией диммрования, производство ООО "Профлед"</t>
  </si>
  <si>
    <t>Лайтбокс  LED Высота114 мм.Диаметр 2500 мм RAL 3020, ORTUS SORES 2500 DIMM 0-10V c функцией диммрования, производство ООО "Профлед"</t>
  </si>
  <si>
    <t>Пульт дистанционного управления SMART-R10-DIM для лайтбоксов Профлед</t>
  </si>
  <si>
    <t>Rota D1000 MP ECO 42W-4000K CRI 90 Susp WHI - Светильник</t>
  </si>
  <si>
    <t>Освещение Рефлекта</t>
  </si>
  <si>
    <t>Rota D1000 MP ECO 42W-4000K CRI 90 Susp WHI Emerg- Светильник</t>
  </si>
  <si>
    <t>Rota D1000 MP ECO 54W-4000K CRI 90 L24 Reduced Susp WHI - Светильник</t>
  </si>
  <si>
    <t xml:space="preserve">Rota D1000 MP ECO 54W-4000K CRI 90 L24 Reduced Susp WHI - Светильник + Acc. Emergency kit 1,8-3,5W {1-5L12/0,5-2,5L24} EM1H (18-35V, max 100V) BOX I - Аварийный блок </t>
  </si>
  <si>
    <t>Rota Triangle DI MP ECO 42W-4000K CRI 90 Susp WHI - Светильник</t>
  </si>
  <si>
    <t>Rota Triangle DI MP ECO 42W-4000K CRI 90 Susp WHI Emerg - Светильник</t>
  </si>
  <si>
    <t>Rota Triangle DI MP ECO 54W-4000K CRI 90 L24 Reduced Susp - Светильник</t>
  </si>
  <si>
    <t xml:space="preserve">Rota Triangle DI MP ECO 54W-4000K CRI 90 L24 Reduced Susp WHI - Светильник + Acc. Emergency kit 1,8-3,5W {1-5L12/0,5-2,5L24} EM1H (18-35V, max 100V) BOX I - Аварийный блок </t>
  </si>
  <si>
    <t>Rota Egg DI MP ECO 40W-4000K CRI 90 Susp WHI - Светильник</t>
  </si>
  <si>
    <t>Rota Egg DI MP ECO 40W-4000K CRI 90 Susp WHI Emerg - Светильник</t>
  </si>
  <si>
    <t>Rota Egg DI MP ECO 54W-4000K CRI 90 L24 Reduced Susp - Светильник</t>
  </si>
  <si>
    <t>Rota Egg DI MP ECO 54W-4000K CRI 90 L24 Reduced Susp - Светильник + Acc. Emergency kit 1,8-3,5W {1-5L12/0,5-2,5L24} EM1H (18-35V, max 100V) BOX I - Аварийный блок</t>
  </si>
  <si>
    <t>Quark IN SHE D70 Lens 8W-3000K CRI 90 Recess WHI IP65 - Светильник</t>
  </si>
  <si>
    <t>Quark IN IT D70 REF 45` 8W-4000K CRI 90 Recess WHI - Светильник</t>
  </si>
  <si>
    <t>Quark IN IT D70 REF 60` 8W-4000K CRI 90 Recess WHI - Светильник</t>
  </si>
  <si>
    <t>Quark IN IT D70 REF 60` 12W-4000K CRI 90 Recess WHI - Светильник</t>
  </si>
  <si>
    <t xml:space="preserve">Quark IN IT D70 REF 60` 12W-4000K CRI 90 Recess WHI - Светильник + Acc. Emergency kit 0,72-1,4W 20-45V {COBx1, {1xL12/0,5-1xL24} EM1H (18-35V, max 40V) BOX I - Аварийный блок </t>
  </si>
  <si>
    <t>MICA D190 14W-4000K CRI 90 Recess MP ECO WHI - Светильник</t>
  </si>
  <si>
    <t>Quark IN HE D70 Lens 8W-4000K CRI 90  Recess WHI - Светильник</t>
  </si>
  <si>
    <t>FAT Comfort 8W-4000K CRI 90 H130 MP Susp BLK - Светильник</t>
  </si>
  <si>
    <t xml:space="preserve">FAT Comfort 8W-4000K CRI 90 H130 MP Susp BLK Emerg - Светильник + Acc. Emergency kit 0,72-1,4W 20-45V {COBx1, {1xL12/0,5-1xL24} EM1H (18-35V, max 40V) BOX I - Аварийный блок </t>
  </si>
  <si>
    <t>FAT Comfort 12W-4000K CRI 90 H130 MP Susp BLK - Светильник</t>
  </si>
  <si>
    <t>FAT Comfort 12W-4000K CRI 90 H130 MP Susp BLK Emerg - Светильник</t>
  </si>
  <si>
    <t>Quark AIR IT MP D70 12W-4000K CRI 90 H210 Susp WHI - Светильник</t>
  </si>
  <si>
    <t xml:space="preserve">Quark AIR IT MP D70 12W-4000K CRI 90 H210 Susp WHI Emerg - Светильник + Acc. Emergency kit 0,72-1,4W 20-45V {COBx1, {1xL12/0,5-1xL24} EM1H (18-35V, max 40V) BOX I - Аварийный блок </t>
  </si>
  <si>
    <t>Quark AIR IT Lens D70 8W-4000K CRI 90 H210 Susp WHI- Светильник</t>
  </si>
  <si>
    <t>Quark AIR IT MP D70 8W-4000K CRI 90 H210 Susp BLK - Светильник</t>
  </si>
  <si>
    <t>Quark AIR IT Ref 60` D70 6W-4000K CRI 90 H210 Susp WHI - Светильник</t>
  </si>
  <si>
    <t xml:space="preserve">Quark AIR IT Ref 60` D70 6W-4000K CRI 90 H210 Susp WHI Emerg - Светильник + Acc. Emergency kit 0,72-1,4W 20-45V {COBx1, {1xL12/0,5-1xL24} EM1H (18-35V, max 40V) BOX I - Аварийный блок </t>
  </si>
  <si>
    <t>Quark AIR IT MP D45 12W-4000K CRI 90 H210 Susp - Светильник + NECK Q45 IT - Декоративная насадка</t>
  </si>
  <si>
    <t>Agat D80 31W/mt-4000K CRI 90 ROW Susp WHI - Светильник</t>
  </si>
  <si>
    <t>Ray IN D750 49W-4000K CRI 90 Reduced Susp BLK - Светильник</t>
  </si>
  <si>
    <t xml:space="preserve">Ray IN D750 69W-4000K CRI 90 Susp WHI - Светильник + Acc. Emergency kit 1,8-3,5W {1-5L12/0,5-2,5L24} EM1H (18-35V, max 100V) BOX I - Аварийный блок </t>
  </si>
  <si>
    <t>Rota D650 MP ECO 28W-4000K CRI 90 Susp BLK - Светильник</t>
  </si>
  <si>
    <t>Longa 61 46W-4000K CRI 90 MP 2xL24 Reduced M1200 Susp BLK - Светильник</t>
  </si>
  <si>
    <t>Longa 61 35W-4000K CRI 90 MP M1200 Susp BLK - Светильник</t>
  </si>
  <si>
    <t xml:space="preserve">Longa 61 35W-4000K CRI 90 MP M1200 Susp BLK- Светильник + Acc. Emergency kit 1,8-3,5W {1-5L12/0,5-2,5L24} EM1H (18-35V, max 100V) BOX I - Аварийный блок </t>
  </si>
  <si>
    <t>Longa 40 DI 22W/mt-4000K CRI 90  ROW Reduced Susp BLK - Светильник</t>
  </si>
  <si>
    <t>Longa 40 DI 25W-4000K CRI 90  M1200 Reduced Susp WHI  - Светильник</t>
  </si>
  <si>
    <t xml:space="preserve">Longa 40 DI 25W-4000K CRI 90  M1200 Reduced Susp WHI Emerg  - Светильник + Acc. Emergency kit 1,8-3,5W {1-5L12/0,5-2,5L24} EM1H (18-35V, max 100V) BOX I - Аварийный блок </t>
  </si>
  <si>
    <t>Longa 40 DI 39W-4000K CRI 90  M1400 Susp WHI, L=1392mm - Светильник</t>
  </si>
  <si>
    <t>Ray line 31W/mt-4000K CRI 90  ROW Recess - Светильник</t>
  </si>
  <si>
    <t>Ray line.U-kit - Крепёж в потолок 1 шт.</t>
  </si>
  <si>
    <t>Longa 40 DI 22W/mt-4000K CRI 90  ROW Reduced Susp BLK, L=3928mm - Светильник</t>
  </si>
  <si>
    <t>Ray line 31W/mt-4000K CRI 90 ROW Susp BLK, L=931mm - Светильник</t>
  </si>
  <si>
    <t>Ray line 20W/mt-3500K  ROW  270mA Susp BLK, L=2314mm  - Светильник</t>
  </si>
  <si>
    <t>Ray line 20W/mt-3500K  ROW  270mA Susp BLK, L=3697mm  - Светильник</t>
  </si>
  <si>
    <t>Ray line 33W-4000K CRI 90 M1200 Susp BLK - Светильник</t>
  </si>
  <si>
    <t>Ray line 31W/mt-4000K CRI 90 ROW Susp BLK, L=2084mm - Светильник</t>
  </si>
  <si>
    <t>Ray line 15W/mt-4000K CRI 90  ROW 175mA Susp, L=3006mm - Светильник</t>
  </si>
  <si>
    <t>Ray line 31W/mt-4000K CRI 90 ROW Susp BLK, L=3006mm - Светильник</t>
  </si>
  <si>
    <t>Ray line 15W/mt-4000K CRI 90  ROW 175mA Susp, L=3236mm - Светильник</t>
  </si>
  <si>
    <t>Ray line 31W/mt-4000K CRI 90 ROW Susp BLK, L=3236mm - Светильник</t>
  </si>
  <si>
    <t>Ray line 15W/mt-4000K CRI 90  ROW 175mA Susp, L=3928mm - Светильник</t>
  </si>
  <si>
    <t>Ray line 15W/mt-4000K CRI 90  ROW 175mA Susp, L=5080mm - Светильник</t>
  </si>
  <si>
    <t>Ray line 31W/mt-4000K CRI 90 ROW Susp BLK, L=5311mm - Светильник</t>
  </si>
  <si>
    <t>Ray line 31W/mt-4000K CRI 90 ROW Susp BLK, L=5541mm - Светильник</t>
  </si>
  <si>
    <t>Ray line 15W/mt-4000K CRI 90  ROW 175mA Susp, L=5772mm - Светильник</t>
  </si>
  <si>
    <t>Ray line 15W/mt-4000K CRI 90  ROW 175mA Susp, L=6694mm - Светильник</t>
  </si>
  <si>
    <t>Ray line 31W/mt-4000K CRI 90 ROW Susp BLK, L=6924mm - Светильник</t>
  </si>
  <si>
    <t>Ray line 15W/mt-4000K CRI 90  ROW 175mA Susp, L=7846mm - Светильник</t>
  </si>
  <si>
    <t>Ray line 15W/mt-4000K CRI 90  ROW 175mA Susp, L=8077mm - Светильник</t>
  </si>
  <si>
    <t>Ray line 15W/mt-4000K CRI 90  ROW 175mA Susp, L=8307mm - Светильник</t>
  </si>
  <si>
    <t>Ray line 15W/mt-4000K CRI 90  ROW 175mA Susp, L=8999mm - Светильник</t>
  </si>
  <si>
    <t>IEK Светильник ДСП 1318 48Вт 4500К IP65 1500мм</t>
  </si>
  <si>
    <t>IEK Светильник ДСП 1318 48Вт 4500К IP65 1500мм Emerg</t>
  </si>
  <si>
    <t>Acc. Wire ↓ suspension 1500mm - Тросовый подвес с регулировкой внизу, 1 шт.</t>
  </si>
  <si>
    <t>LED strip N2835 11W/m 24V 120led/m 1220Lm/m 4000K CRI90 IP20 5m</t>
  </si>
  <si>
    <t>Led driver  N24V45W</t>
  </si>
  <si>
    <t>Led driver  N24V60W</t>
  </si>
  <si>
    <t>Led driver  N24V80W</t>
  </si>
  <si>
    <t>Longa 16 L=2000 mm h=12 ANO - Профиль накладной алюминиевый анодированный, цена за 2 п.м.</t>
  </si>
  <si>
    <t>Longa 15/16/22 L=2000 mm PC Clear - Рассеиватель прозрачный</t>
  </si>
  <si>
    <t>Шинопровод 3м (черный) (белый)</t>
  </si>
  <si>
    <t>Внутренний стык к шинопроводу (черный) (белый)</t>
  </si>
  <si>
    <t>Усилитель стыка, (черный) (белый)</t>
  </si>
  <si>
    <t>Левый токоподвод к шинопроводу (черный) (белый)</t>
  </si>
  <si>
    <t>Скоба крепления к шинопроводу (черный) (белый)</t>
  </si>
  <si>
    <t>Tросик 1,5м (серебро)</t>
  </si>
  <si>
    <t>Колпачок к шинопроводу (черный)</t>
  </si>
  <si>
    <t>Q45 Track 8W-4000K CRI 90 BLK / WHI - Прожектор</t>
  </si>
  <si>
    <t>Угол к шинопроводу (черный)</t>
  </si>
  <si>
    <t>Колпачок к шинопроводу (черный) (белый)</t>
  </si>
  <si>
    <t>Шинопровод 1м (черный) (белый)</t>
  </si>
  <si>
    <t>Заглушка, (черная, белая)</t>
  </si>
  <si>
    <t>Шинопровод 2м (белый)</t>
  </si>
  <si>
    <t>Silent acoustic D380x230x(h)500 mm, 1xE27, one side colour Susp (белый внутри, серый снаружи)- Светильник</t>
  </si>
  <si>
    <t>Silent acoustic D200-100x(h)300 mm, 1xE27, one side colour Susp  Серый- Светильник</t>
  </si>
  <si>
    <t>Silent acoustic D800-400x(h)400 mm, 3xE27, one side colour Susp RED - Светильник</t>
  </si>
  <si>
    <t>Grata Slim SL D750 MP ECO 50W-4000K CRI 90 Reduced Susp BLK - Светильник</t>
  </si>
  <si>
    <t xml:space="preserve">LED лампа 13W/827 FR DIM E27 1521 lm </t>
  </si>
  <si>
    <t xml:space="preserve">Longa 40 DI 26W-4000K CRI 90  M900 WALL WHI - Светильник </t>
  </si>
  <si>
    <t>Байпасная блокировка АВВ</t>
  </si>
  <si>
    <t xml:space="preserve">Кабель ВВГнг-LS 5х16 </t>
  </si>
  <si>
    <t>Кабель ВВГнг-LS 5х10</t>
  </si>
  <si>
    <t>Кабель ВВГнг-LS 5х6</t>
  </si>
  <si>
    <t>Кабель ВВГнг-LS 5х4</t>
  </si>
  <si>
    <t>Кабель ВВГнг-LS 5х2,5</t>
  </si>
  <si>
    <t>Кабель ВВГнг-LS 5х1,5</t>
  </si>
  <si>
    <t>Кабель ВВГнг-LS 4х2,5</t>
  </si>
  <si>
    <t>Кабель ВВГнг-LS 4х1,5</t>
  </si>
  <si>
    <t>Кабель ВВГнг-LS 3х2,5</t>
  </si>
  <si>
    <t>Кабель ВВГнг-LS 3х1,5</t>
  </si>
  <si>
    <t>Кабель ВВГнг-LS 3х0,75</t>
  </si>
  <si>
    <t>Кабель ВВГнг-LS 2х2,5</t>
  </si>
  <si>
    <t>Кабель ВВГнг-LS 2х1,5</t>
  </si>
  <si>
    <t>Кабель ВВГнг-FRLS 3х1,5</t>
  </si>
  <si>
    <t>Кабель ВВГнг-FRLS 3х2,5</t>
  </si>
  <si>
    <t>Провод ПВ1 1х6 (красный/голубой/желтый/зеленый/желто-зеленый)</t>
  </si>
  <si>
    <t>Провод ПВ1 1х2,5 (красный/голубой/желтый/зеленый/желто-зеленый)</t>
  </si>
  <si>
    <t>Кабель ППГнг(А)-HF 5х35</t>
  </si>
  <si>
    <t>Кабель ППГнг(А)-HF 5х25</t>
  </si>
  <si>
    <t>Кабель ППГнг(А)-HF 5х16</t>
  </si>
  <si>
    <t>Кабель ППГнг(А)-HF 5х10</t>
  </si>
  <si>
    <t>Кабель ППГнг(А)-HF 5х6</t>
  </si>
  <si>
    <t>Кабель ППГнг(А)-HF 5х4</t>
  </si>
  <si>
    <t>Кабель ППГнг(А)-HF 5х2,5</t>
  </si>
  <si>
    <t>Кабель ППГнг(А)-HF 5х1,5</t>
  </si>
  <si>
    <t>Кабель ППГнг(А)-HF 3х6,0</t>
  </si>
  <si>
    <t>Кабель ППГнг(А)-HF 3х2,5</t>
  </si>
  <si>
    <t>Кабель ППГнг(А)-HF 3x1,5</t>
  </si>
  <si>
    <t>Кабель ППГнг(А)-HF 3x4</t>
  </si>
  <si>
    <t>Кабель ППГнг(А)-FRHF 3х2,5</t>
  </si>
  <si>
    <t>Кабель ППГнг(А)-FRHF 3х1,5</t>
  </si>
  <si>
    <t>Кабель ППГнг(А)-FRHF 3х4</t>
  </si>
  <si>
    <t>Кабель ППГнг(А)-FRHF 5х1,5</t>
  </si>
  <si>
    <t>Кабель ППГнг(А)-FRHF 5х2,5</t>
  </si>
  <si>
    <t>Кабель монтажный МКЭШ 2х0,75 ТРТС</t>
  </si>
  <si>
    <t>Кабель (провод) Parlan U/UTP Cat5eZHнг(А)-HF 4х2х0,52</t>
  </si>
  <si>
    <t>Кабельная проходка ОГНЕЗА-ПМ-К/50 (муфта)</t>
  </si>
  <si>
    <t>Кабельная проходка ОГНЕЗА-ПМ-К/125 (муфта)</t>
  </si>
  <si>
    <t>Напольная коробка 18 модулей Legrand арт. 089611</t>
  </si>
  <si>
    <t>Напольный люк из нержавеющей стали квадратной формы для стяжки KR-SQ-4 на 4 розетки или 8 модулей Legrand</t>
  </si>
  <si>
    <t>Напольный люк из нержавеющей стали квадратной формы для стяжки KR-SQ-6на 6 розетки или 12 модулей Legrand</t>
  </si>
  <si>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Лючок напольный c изменяемой глубиной, 16 модулей
88316</t>
    </r>
  </si>
  <si>
    <t>Лючок напольный SEG-Lux 250x250x100мм на 16 модуля арт. ALFB16M с розетками 2К+3 красного(Legrand Mozaic 077218) 4 шт. и белого(Legrand Mozaic 077211) 2 шт. цвета</t>
  </si>
  <si>
    <t>вкладка "Лючек напольный"</t>
  </si>
  <si>
    <r>
      <t xml:space="preserve">Сертифицированная линия ОКЛ (включая кабель, соединительные коробки, клеммы, лотки, крепежные элементы, гофрированная труба) </t>
    </r>
    <r>
      <rPr>
        <sz val="9"/>
        <color rgb="FFFF0000"/>
        <rFont val="Calibri"/>
        <family val="2"/>
        <charset val="204"/>
      </rPr>
      <t>Сертифицированная под окраску водно-дисперсионной краской. Производитель "ЕАЕ ЭЛЕКТРИК".</t>
    </r>
  </si>
  <si>
    <t>Подушка огнестойкая 120х200х30</t>
  </si>
  <si>
    <t xml:space="preserve">Обработка проходов кабелей через перегородки огнезой с 2 сторон  </t>
  </si>
  <si>
    <t>9.3.0 Щиты в сборе МИКРО</t>
  </si>
  <si>
    <t>ВРЩ(микро)</t>
  </si>
  <si>
    <t>см вкладку щиты  сборе</t>
  </si>
  <si>
    <t>ППУ(микро)</t>
  </si>
  <si>
    <t>9.4.0 Электротехнические работы МИКРО</t>
  </si>
  <si>
    <t>Зажим 773-302 безвинтовой 6х (0,75-2,5) кв. мм для меди и алюминия (Wago)</t>
  </si>
  <si>
    <t>Провод ПВ1 1х4 (красный/голубой/желтый/зеленый/желто-зеленый)</t>
  </si>
  <si>
    <t>9.5.0 Молниезащита</t>
  </si>
  <si>
    <t>Полоса 40х5 горячеоцинкованная NC2405 DKC</t>
  </si>
  <si>
    <t>Пруток 8 мм горячеоцинкованный NC1008 DKC</t>
  </si>
  <si>
    <t>Зажим угловой коньковый 100мм ND2202 DKC</t>
  </si>
  <si>
    <t>Держатель металлический для плоской кровли 100мм ND2106 DKC</t>
  </si>
  <si>
    <t>Держатель фасадный 100мм ND2307 DKC</t>
  </si>
  <si>
    <t>Заземлитель вертикальный из уголка 50х50х5мм 3м NE5503 DKC</t>
  </si>
  <si>
    <t>Соединитель универсальный NG3103 DKC</t>
  </si>
  <si>
    <t>Зажим параллельный D8-10мм NG3108 DKC</t>
  </si>
  <si>
    <t>Держатель прутка на водостоке с болтом ND2308 DKC</t>
  </si>
  <si>
    <t>Соединитель пруток - полоса, 80х80 мм NG3101 DKC</t>
  </si>
  <si>
    <t>Скоба-держатель полосы с болтом ND2312 DKC</t>
  </si>
  <si>
    <t>Коробка уравнивания потенциалов 85х85х40 КУП2603-И HEGEL</t>
  </si>
  <si>
    <t>Р10</t>
  </si>
  <si>
    <t>Раздел №10.  Адаптация объекта для МГН</t>
  </si>
  <si>
    <t>10.1.0 Адаптация объекта для МГН</t>
  </si>
  <si>
    <t>ООО "Юнилифт" поставщик</t>
  </si>
  <si>
    <t>Проектирование подъемной платформы для МГН, проведение полного технического освидетельствования, постановка на учет в органе Ростехнадзора</t>
  </si>
  <si>
    <t xml:space="preserve">Установка подъемной платформы для МГН с наклонным перемещением БК 350 (Брянск, Россия). </t>
  </si>
  <si>
    <t xml:space="preserve">Звонок - Кнопка вызова с приемником. Стационарная система. Питание электрическая сеть. Кнопка: антивандальная всепогодная (диметр 120 мм, диаметр зоны нажатия - 60 мм. (позволяет нажимать культей, локтем, костылем и пр.), с звуковым и световым сигналом подтверждения нажатия, антивандальный корпус, с шрифтом Брайля).
Приемник: звуковой, световой.
</t>
  </si>
  <si>
    <t>Беспроводная система. Питание батарейки. Кнопка со световым сигналом подтверждения нажатия.  Приемник: звуковой.</t>
  </si>
  <si>
    <t xml:space="preserve">Накладки на ступени материал: AL, резина тип указателя: обозначение крайних ступеней (полоса) цвет вставки: желтый (для первой и последней ступеней).
</t>
  </si>
  <si>
    <t>Откидной пандус. Конструкция из двух рельс (аппарелей), которые соединены между собой направляющими (до 2,5 м)</t>
  </si>
  <si>
    <t>Мини пандус из листового метала. Выполнен из алюминиевого рифленого листа на металлическом каркасе (900х350х50 мм).</t>
  </si>
  <si>
    <t>Мини пандус из листового метала. Выполнен из алюминиевого рифленого листа на металлическом каркасе (900х350х100 мм).</t>
  </si>
  <si>
    <t>Мини пандус из листового метала. Выполнен из алюминиевого рифленого листа на металлическом каркасе (900х700х50 мм).</t>
  </si>
  <si>
    <t>Мини пандус из листового метала. Выполнен из алюминиевого рифленого листа на металлическом каркасе (900х1000х100 мм).</t>
  </si>
  <si>
    <t>Наклейка на дверь круг. Самоклеящаяся, виниловая, желтого цвета, размер 200мм.</t>
  </si>
  <si>
    <t>Визуальный знак. Доступность для инвалидов всех категорий.(200*200)</t>
  </si>
  <si>
    <t>Визуальный знак. Доступность для инвалидов в креслах-колясках.(200*200)</t>
  </si>
  <si>
    <t>Визуальный знак. Доступность для инвалидов по слуху.(200*200)</t>
  </si>
  <si>
    <t>Визуальный знак. Доступность для инвалидов по зрению.(200*200)</t>
  </si>
  <si>
    <t>Визуальный знак. Вход в помещение.(200*200)</t>
  </si>
  <si>
    <t>Визуальный знак. Кнопка вызова.(200*200)</t>
  </si>
  <si>
    <t>Тактильный знак (рельефный пластик). Доступность для инвалидов всех категорий. (200*200)</t>
  </si>
  <si>
    <t>Тактильный знак (рельефный пластик). Доступность для инвалидов в креслах-колясках.(200*200)</t>
  </si>
  <si>
    <t>Тактильный знак (рельефный пластик). Доступность для инвалидов по слуху.</t>
  </si>
  <si>
    <t>Тактильный знак (рельефный пластик). Доступность для инвалидов по зрению.(200*200)</t>
  </si>
  <si>
    <t>Тактильный знак (рельефный пластик). Вход в помещение.(200*200)</t>
  </si>
  <si>
    <t>Тактильный знак (рельефный пластик). Кнопка вызова.(200*200)</t>
  </si>
  <si>
    <t>Итого работы:</t>
  </si>
  <si>
    <t>руб.</t>
  </si>
  <si>
    <t>Итого материалы:</t>
  </si>
  <si>
    <t>Тр*</t>
  </si>
  <si>
    <t>Транспортные расходы (% от стоимости  материалов):</t>
  </si>
  <si>
    <t>%</t>
  </si>
  <si>
    <t>ВСЕГО*:</t>
  </si>
  <si>
    <t>* с учетом всех налогов, сборов и пошлин, предусмотренных действующим законодательством РФ</t>
  </si>
  <si>
    <t>Восстановление вертикальных ЖБ конструкций (500×500 мм.) толщиной до 50 мм. с подготовкой поверхности, очисткой и обработкой арматуры, укладкой тиксотропного ремонтного состава слоем до 50 мм. и заглаживанием заподлицо
Материалы: 
- Mapefer 1K (антикоррозионный состав для арматуры);
- Безусадочная быстротвердеющая ремонтная смесь наливного типа, содержащая полимерную фибру Mapei Mapegrout Hi-Flow 10.</t>
  </si>
  <si>
    <t>Восстановление стяжки (150×150 мм.) толщиной до 250 мм. с подготовкой поверхностей, очисткой и обработкой арматуры, укладкой безусадочной наливной смеси вровень с полом и затиркой «в ноль»
Материалы: 
- Mapefer 1K (антикоррозионный состав для арматуры);
- Безусадочная быстротвердеющая ремонтная смесь наливного типа, содержащая полимерную фибру Mapei Mapegrout Hi-Flow 10.</t>
  </si>
  <si>
    <t>Восстановление фундаментной плиты (400×400 мм.) с подготовкой поверхности, очисткой и обработкой арматуры, укладкой безусадочной быстротвердеющей смеси слоем до 80 мм и уходом за бетоном
Материалы: 
- Mapefer 1K (антикоррозионный состав для арматуры);
- Безусадочная быстротвердеющая ремонтная смесь наливного типа, содержащая полимерную фибру Mapei Mapegrout Hi-Flow 10.</t>
  </si>
  <si>
    <t>Восстановление стяжки (400х400 мм.) с очисткой и грунтовкой поверхности, установкой фиксаторов, укладкой арматурной сетки с вязкой с существующей, укладкой безусадочной быстротвердеющей смеси слоем до 250 мм. и затиркой поверхности
Материалы: 
- Mapefer 1K (антикоррозионный состав для арматуры);
- Безусадочная быстротвердеющая ремонтная смесь наливного типа, содержащая полимерную фибру Mapei Mapegrout Hi-Flow 10.</t>
  </si>
  <si>
    <t>Устройство полимербетонного покрытия (400х400 мм.) с подготовкой поверхности и нанесением эпоксидной грунтовки QTP 1000 с кварцевым песком и нанесением финишного эпоксидного наливного слоя QTP 1040 вровень с существующим покрытием
Материалы: 
- QTP 1000 (эпоксидная грунтовка);
- Кварцевый песок;
- QTP 1040 (эпоксидный наливной состав с повышенной химстойкостью).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</si>
</sst>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0.0"/>
    <numFmt numFmtId="166" formatCode="_-* #,##0.00\ _₽_-;\-* #,##0.00\ _₽_-;_-* &quot;-&quot;??\ _₽_-;_-@_-"/>
  </numFmts>
  <fonts count="4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</font>
    <font>
      <b/>
      <sz val="9"/>
      <color theme="0"/>
      <name val="Calibri"/>
      <family val="2"/>
      <charset val="204"/>
    </font>
    <font>
      <sz val="9"/>
      <color rgb="FFFF0000"/>
      <name val="Calibri"/>
      <family val="2"/>
      <charset val="204"/>
    </font>
    <font>
      <sz val="8"/>
      <color theme="1"/>
      <name val="Calibri"/>
      <family val="2"/>
      <charset val="204"/>
      <scheme val="minor"/>
    </font>
    <font>
      <sz val="9"/>
      <name val="Calibri"/>
      <family val="2"/>
      <charset val="204"/>
    </font>
    <font>
      <sz val="9"/>
      <color theme="1"/>
      <name val="Calibri"/>
      <family val="2"/>
      <charset val="204"/>
    </font>
    <font>
      <b/>
      <sz val="9"/>
      <color theme="1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9"/>
      <name val="Calibri"/>
      <family val="2"/>
      <charset val="204"/>
    </font>
    <font>
      <sz val="12"/>
      <name val="Times New Roman Cyr"/>
      <charset val="204"/>
    </font>
    <font>
      <sz val="9"/>
      <color theme="1"/>
      <name val="Calibri"/>
      <family val="2"/>
      <charset val="204"/>
      <scheme val="minor"/>
    </font>
    <font>
      <b/>
      <sz val="9"/>
      <color theme="0" tint="-0.249977111117893"/>
      <name val="Calibri"/>
      <family val="2"/>
      <charset val="204"/>
    </font>
    <font>
      <sz val="10"/>
      <name val="Calibri"/>
      <family val="2"/>
    </font>
    <font>
      <b/>
      <sz val="10"/>
      <name val="Calibri"/>
      <family val="2"/>
    </font>
    <font>
      <b/>
      <i/>
      <sz val="10"/>
      <name val="Calibri"/>
      <family val="2"/>
    </font>
    <font>
      <sz val="9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name val="Arial"/>
      <family val="2"/>
      <charset val="204"/>
    </font>
    <font>
      <u/>
      <sz val="9"/>
      <color theme="1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9"/>
      <color theme="0" tint="-4.9989318521683403E-2"/>
      <name val="Calibri"/>
      <family val="2"/>
      <charset val="204"/>
    </font>
    <font>
      <sz val="10"/>
      <name val="Arial Cyr"/>
      <charset val="204"/>
    </font>
    <font>
      <sz val="8"/>
      <name val="Calibri"/>
      <family val="2"/>
      <charset val="204"/>
    </font>
    <font>
      <sz val="10"/>
      <name val="Century Gothic"/>
      <family val="2"/>
      <charset val="204"/>
    </font>
    <font>
      <sz val="9"/>
      <name val="Calibri"/>
      <family val="2"/>
    </font>
    <font>
      <sz val="9"/>
      <name val="Calibri"/>
      <family val="2"/>
      <scheme val="minor"/>
    </font>
    <font>
      <sz val="9"/>
      <color rgb="FFFF0000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charset val="204"/>
      <scheme val="minor"/>
    </font>
    <font>
      <sz val="9"/>
      <color rgb="FFFF0000"/>
      <name val="Arial"/>
      <family val="2"/>
      <charset val="204"/>
    </font>
    <font>
      <sz val="9"/>
      <name val="Arial"/>
      <family val="2"/>
      <charset val="204"/>
    </font>
    <font>
      <sz val="8"/>
      <name val="Arial"/>
      <family val="2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10"/>
      <color theme="0"/>
      <name val="Calibri"/>
      <family val="2"/>
      <charset val="204"/>
    </font>
    <font>
      <sz val="10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 tint="-0.249977111117893"/>
        <bgColor theme="6" tint="0.79998168889431442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/>
    <xf numFmtId="0" fontId="19" fillId="0" borderId="0"/>
    <xf numFmtId="166" fontId="1" fillId="0" borderId="0" applyFont="0" applyFill="0" applyBorder="0" applyAlignment="0" applyProtection="0"/>
    <xf numFmtId="0" fontId="24" fillId="0" borderId="0"/>
    <xf numFmtId="0" fontId="1" fillId="0" borderId="0"/>
    <xf numFmtId="0" fontId="19" fillId="0" borderId="0"/>
  </cellStyleXfs>
  <cellXfs count="179">
    <xf numFmtId="0" fontId="0" fillId="0" borderId="0" xfId="0"/>
    <xf numFmtId="0" fontId="2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164" fontId="6" fillId="0" borderId="3" xfId="2" applyNumberFormat="1" applyFont="1" applyFill="1" applyBorder="1" applyAlignment="1" applyProtection="1"/>
    <xf numFmtId="0" fontId="7" fillId="0" borderId="0" xfId="0" applyFont="1" applyAlignment="1">
      <alignment wrapText="1"/>
    </xf>
    <xf numFmtId="0" fontId="7" fillId="0" borderId="0" xfId="0" applyFont="1"/>
    <xf numFmtId="0" fontId="5" fillId="0" borderId="0" xfId="0" applyFont="1" applyAlignment="1">
      <alignment horizontal="left"/>
    </xf>
    <xf numFmtId="4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1" fontId="10" fillId="4" borderId="3" xfId="0" applyNumberFormat="1" applyFont="1" applyFill="1" applyBorder="1" applyAlignment="1">
      <alignment horizontal="center" vertical="center" wrapText="1"/>
    </xf>
    <xf numFmtId="165" fontId="10" fillId="4" borderId="3" xfId="4" applyNumberFormat="1" applyFont="1" applyFill="1" applyBorder="1" applyAlignment="1">
      <alignment horizontal="left" vertical="center" wrapText="1"/>
    </xf>
    <xf numFmtId="165" fontId="10" fillId="4" borderId="3" xfId="4" applyNumberFormat="1" applyFont="1" applyFill="1" applyBorder="1" applyAlignment="1">
      <alignment horizontal="center" vertical="center" wrapText="1"/>
    </xf>
    <xf numFmtId="4" fontId="10" fillId="4" borderId="3" xfId="4" applyNumberFormat="1" applyFont="1" applyFill="1" applyBorder="1" applyAlignment="1">
      <alignment horizontal="center" vertical="center" wrapText="1"/>
    </xf>
    <xf numFmtId="4" fontId="10" fillId="0" borderId="3" xfId="4" applyNumberFormat="1" applyFont="1" applyBorder="1" applyAlignment="1">
      <alignment horizontal="center" vertical="center" wrapText="1"/>
    </xf>
    <xf numFmtId="0" fontId="12" fillId="0" borderId="0" xfId="0" applyFont="1"/>
    <xf numFmtId="43" fontId="0" fillId="0" borderId="0" xfId="1" applyFont="1" applyFill="1" applyProtection="1"/>
    <xf numFmtId="1" fontId="10" fillId="5" borderId="3" xfId="4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165" fontId="10" fillId="5" borderId="3" xfId="4" applyNumberFormat="1" applyFont="1" applyFill="1" applyBorder="1" applyAlignment="1">
      <alignment horizontal="left" vertical="center" wrapText="1"/>
    </xf>
    <xf numFmtId="165" fontId="13" fillId="5" borderId="3" xfId="4" applyNumberFormat="1" applyFont="1" applyFill="1" applyBorder="1" applyAlignment="1">
      <alignment horizontal="center" vertical="center" wrapText="1"/>
    </xf>
    <xf numFmtId="4" fontId="13" fillId="5" borderId="3" xfId="4" applyNumberFormat="1" applyFont="1" applyFill="1" applyBorder="1" applyAlignment="1">
      <alignment horizontal="center" vertical="center" wrapText="1"/>
    </xf>
    <xf numFmtId="43" fontId="10" fillId="5" borderId="3" xfId="1" applyFont="1" applyFill="1" applyBorder="1" applyAlignment="1" applyProtection="1">
      <alignment horizontal="center" vertical="center" wrapText="1"/>
    </xf>
    <xf numFmtId="4" fontId="10" fillId="5" borderId="3" xfId="4" applyNumberFormat="1" applyFont="1" applyFill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4" fontId="6" fillId="0" borderId="3" xfId="0" applyNumberFormat="1" applyFont="1" applyBorder="1" applyAlignment="1">
      <alignment horizontal="center" vertical="center" wrapText="1"/>
    </xf>
    <xf numFmtId="4" fontId="6" fillId="0" borderId="3" xfId="4" applyNumberFormat="1" applyFont="1" applyBorder="1" applyAlignment="1">
      <alignment horizontal="center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vertical="center" wrapText="1"/>
    </xf>
    <xf numFmtId="49" fontId="6" fillId="0" borderId="3" xfId="0" applyNumberFormat="1" applyFont="1" applyBorder="1" applyAlignment="1">
      <alignment horizontal="left" vertical="center" wrapText="1"/>
    </xf>
    <xf numFmtId="4" fontId="6" fillId="3" borderId="3" xfId="4" applyNumberFormat="1" applyFont="1" applyFill="1" applyBorder="1" applyAlignment="1">
      <alignment horizontal="center" vertical="center" wrapText="1"/>
    </xf>
    <xf numFmtId="0" fontId="18" fillId="0" borderId="0" xfId="0" applyFont="1"/>
    <xf numFmtId="4" fontId="10" fillId="6" borderId="3" xfId="4" applyNumberFormat="1" applyFont="1" applyFill="1" applyBorder="1" applyAlignment="1">
      <alignment horizontal="center" vertical="center" wrapText="1"/>
    </xf>
    <xf numFmtId="1" fontId="10" fillId="5" borderId="3" xfId="0" applyNumberFormat="1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left" vertical="center" wrapText="1"/>
    </xf>
    <xf numFmtId="1" fontId="6" fillId="0" borderId="3" xfId="4" applyNumberFormat="1" applyFont="1" applyBorder="1" applyAlignment="1">
      <alignment horizontal="center" vertical="center" wrapText="1"/>
    </xf>
    <xf numFmtId="2" fontId="6" fillId="0" borderId="3" xfId="4" applyNumberFormat="1" applyFont="1" applyBorder="1" applyAlignment="1">
      <alignment horizontal="left" vertical="center" wrapText="1"/>
    </xf>
    <xf numFmtId="2" fontId="6" fillId="0" borderId="3" xfId="0" applyNumberFormat="1" applyFont="1" applyBorder="1" applyAlignment="1">
      <alignment horizontal="left" vertical="center" wrapText="1"/>
    </xf>
    <xf numFmtId="2" fontId="6" fillId="0" borderId="3" xfId="0" applyNumberFormat="1" applyFont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wrapText="1"/>
    </xf>
    <xf numFmtId="1" fontId="6" fillId="7" borderId="3" xfId="0" applyNumberFormat="1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4" fontId="6" fillId="7" borderId="3" xfId="0" applyNumberFormat="1" applyFont="1" applyFill="1" applyBorder="1" applyAlignment="1">
      <alignment horizontal="center" vertical="center" wrapText="1"/>
    </xf>
    <xf numFmtId="4" fontId="6" fillId="7" borderId="3" xfId="4" applyNumberFormat="1" applyFont="1" applyFill="1" applyBorder="1" applyAlignment="1">
      <alignment horizontal="center" vertical="center" wrapText="1"/>
    </xf>
    <xf numFmtId="1" fontId="6" fillId="0" borderId="3" xfId="5" applyNumberFormat="1" applyFont="1" applyBorder="1" applyAlignment="1">
      <alignment horizontal="center" vertical="center" wrapText="1"/>
    </xf>
    <xf numFmtId="0" fontId="6" fillId="0" borderId="3" xfId="5" applyFont="1" applyBorder="1" applyAlignment="1">
      <alignment horizontal="left" vertical="center" wrapText="1"/>
    </xf>
    <xf numFmtId="0" fontId="6" fillId="0" borderId="3" xfId="5" applyFont="1" applyBorder="1" applyAlignment="1">
      <alignment horizontal="center" vertical="center" wrapText="1"/>
    </xf>
    <xf numFmtId="4" fontId="6" fillId="8" borderId="3" xfId="4" applyNumberFormat="1" applyFont="1" applyFill="1" applyBorder="1" applyAlignment="1">
      <alignment horizontal="center" vertical="center" wrapText="1"/>
    </xf>
    <xf numFmtId="0" fontId="20" fillId="0" borderId="3" xfId="3" applyFont="1" applyBorder="1" applyAlignment="1" applyProtection="1">
      <alignment wrapText="1"/>
    </xf>
    <xf numFmtId="4" fontId="12" fillId="0" borderId="0" xfId="0" applyNumberFormat="1" applyFont="1"/>
    <xf numFmtId="0" fontId="20" fillId="0" borderId="3" xfId="3" quotePrefix="1" applyFont="1" applyBorder="1" applyAlignment="1" applyProtection="1">
      <alignment wrapText="1"/>
    </xf>
    <xf numFmtId="2" fontId="6" fillId="7" borderId="3" xfId="0" applyNumberFormat="1" applyFont="1" applyFill="1" applyBorder="1" applyAlignment="1">
      <alignment horizontal="left" vertical="center" wrapText="1"/>
    </xf>
    <xf numFmtId="4" fontId="6" fillId="9" borderId="3" xfId="4" applyNumberFormat="1" applyFont="1" applyFill="1" applyBorder="1" applyAlignment="1">
      <alignment horizontal="center" vertical="center" wrapText="1"/>
    </xf>
    <xf numFmtId="2" fontId="6" fillId="7" borderId="3" xfId="0" applyNumberFormat="1" applyFont="1" applyFill="1" applyBorder="1" applyAlignment="1">
      <alignment horizontal="center" vertical="center" wrapText="1"/>
    </xf>
    <xf numFmtId="0" fontId="9" fillId="0" borderId="3" xfId="3" applyBorder="1" applyAlignment="1" applyProtection="1">
      <alignment wrapText="1"/>
    </xf>
    <xf numFmtId="0" fontId="0" fillId="0" borderId="0" xfId="0" applyAlignment="1">
      <alignment wrapText="1"/>
    </xf>
    <xf numFmtId="43" fontId="0" fillId="0" borderId="0" xfId="0" applyNumberFormat="1"/>
    <xf numFmtId="0" fontId="0" fillId="0" borderId="2" xfId="0" applyBorder="1"/>
    <xf numFmtId="2" fontId="0" fillId="0" borderId="0" xfId="0" applyNumberFormat="1"/>
    <xf numFmtId="0" fontId="18" fillId="0" borderId="0" xfId="0" applyFont="1" applyAlignment="1">
      <alignment wrapText="1"/>
    </xf>
    <xf numFmtId="0" fontId="0" fillId="0" borderId="4" xfId="0" applyBorder="1"/>
    <xf numFmtId="43" fontId="0" fillId="0" borderId="0" xfId="6" applyNumberFormat="1" applyFont="1" applyBorder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wrapText="1"/>
    </xf>
    <xf numFmtId="1" fontId="10" fillId="10" borderId="3" xfId="0" applyNumberFormat="1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left" vertical="center" wrapText="1"/>
    </xf>
    <xf numFmtId="0" fontId="10" fillId="10" borderId="3" xfId="0" applyFont="1" applyFill="1" applyBorder="1" applyAlignment="1">
      <alignment horizontal="center" vertical="center" wrapText="1"/>
    </xf>
    <xf numFmtId="4" fontId="23" fillId="10" borderId="3" xfId="4" applyNumberFormat="1" applyFont="1" applyFill="1" applyBorder="1" applyAlignment="1">
      <alignment horizontal="center" vertical="center" wrapText="1"/>
    </xf>
    <xf numFmtId="4" fontId="10" fillId="11" borderId="3" xfId="4" applyNumberFormat="1" applyFont="1" applyFill="1" applyBorder="1" applyAlignment="1">
      <alignment horizontal="center" vertical="center" wrapText="1"/>
    </xf>
    <xf numFmtId="4" fontId="10" fillId="10" borderId="3" xfId="4" applyNumberFormat="1" applyFont="1" applyFill="1" applyBorder="1" applyAlignment="1">
      <alignment horizontal="center" vertical="center" wrapText="1"/>
    </xf>
    <xf numFmtId="1" fontId="10" fillId="12" borderId="3" xfId="0" applyNumberFormat="1" applyFont="1" applyFill="1" applyBorder="1" applyAlignment="1">
      <alignment horizontal="center" vertical="center" wrapText="1"/>
    </xf>
    <xf numFmtId="2" fontId="10" fillId="12" borderId="3" xfId="0" applyNumberFormat="1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4" fontId="10" fillId="12" borderId="3" xfId="4" applyNumberFormat="1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left" vertical="center" wrapText="1"/>
    </xf>
    <xf numFmtId="1" fontId="6" fillId="0" borderId="3" xfId="7" applyNumberFormat="1" applyFont="1" applyBorder="1" applyAlignment="1">
      <alignment horizontal="center" vertical="center" wrapText="1"/>
    </xf>
    <xf numFmtId="2" fontId="6" fillId="0" borderId="3" xfId="7" applyNumberFormat="1" applyFont="1" applyBorder="1" applyAlignment="1">
      <alignment horizontal="left" vertical="center" wrapText="1"/>
    </xf>
    <xf numFmtId="2" fontId="10" fillId="12" borderId="3" xfId="0" applyNumberFormat="1" applyFont="1" applyFill="1" applyBorder="1" applyAlignment="1">
      <alignment horizontal="center" vertical="center" wrapText="1"/>
    </xf>
    <xf numFmtId="2" fontId="6" fillId="0" borderId="3" xfId="7" applyNumberFormat="1" applyFont="1" applyBorder="1" applyAlignment="1">
      <alignment horizontal="center" vertical="center" wrapText="1"/>
    </xf>
    <xf numFmtId="0" fontId="12" fillId="7" borderId="3" xfId="0" applyFont="1" applyFill="1" applyBorder="1" applyAlignment="1">
      <alignment wrapText="1"/>
    </xf>
    <xf numFmtId="4" fontId="26" fillId="0" borderId="3" xfId="4" applyNumberFormat="1" applyFont="1" applyBorder="1" applyAlignment="1">
      <alignment horizontal="center" vertical="center" wrapText="1"/>
    </xf>
    <xf numFmtId="1" fontId="27" fillId="7" borderId="3" xfId="8" applyNumberFormat="1" applyFont="1" applyFill="1" applyBorder="1" applyAlignment="1">
      <alignment horizontal="center" vertical="center" wrapText="1"/>
    </xf>
    <xf numFmtId="0" fontId="27" fillId="7" borderId="3" xfId="8" applyFont="1" applyFill="1" applyBorder="1" applyAlignment="1">
      <alignment horizontal="left" vertical="center" wrapText="1"/>
    </xf>
    <xf numFmtId="4" fontId="10" fillId="13" borderId="3" xfId="4" applyNumberFormat="1" applyFont="1" applyFill="1" applyBorder="1" applyAlignment="1">
      <alignment horizontal="center" vertical="center" wrapText="1"/>
    </xf>
    <xf numFmtId="4" fontId="12" fillId="0" borderId="3" xfId="0" applyNumberFormat="1" applyFont="1" applyBorder="1" applyAlignment="1">
      <alignment wrapText="1"/>
    </xf>
    <xf numFmtId="2" fontId="10" fillId="10" borderId="3" xfId="0" applyNumberFormat="1" applyFont="1" applyFill="1" applyBorder="1" applyAlignment="1">
      <alignment horizontal="left" vertical="center" wrapText="1"/>
    </xf>
    <xf numFmtId="1" fontId="27" fillId="0" borderId="3" xfId="0" applyNumberFormat="1" applyFont="1" applyBorder="1" applyAlignment="1">
      <alignment horizontal="center" vertical="center" wrapText="1"/>
    </xf>
    <xf numFmtId="2" fontId="27" fillId="0" borderId="3" xfId="0" applyNumberFormat="1" applyFont="1" applyBorder="1" applyAlignment="1">
      <alignment horizontal="left" vertical="center" wrapText="1"/>
    </xf>
    <xf numFmtId="0" fontId="27" fillId="0" borderId="3" xfId="0" applyFont="1" applyBorder="1" applyAlignment="1">
      <alignment horizontal="center" vertical="center" wrapText="1"/>
    </xf>
    <xf numFmtId="0" fontId="9" fillId="0" borderId="3" xfId="3" quotePrefix="1" applyBorder="1" applyAlignment="1" applyProtection="1">
      <alignment wrapText="1"/>
    </xf>
    <xf numFmtId="1" fontId="28" fillId="0" borderId="3" xfId="0" applyNumberFormat="1" applyFont="1" applyBorder="1" applyAlignment="1">
      <alignment horizontal="center" vertical="center" wrapText="1"/>
    </xf>
    <xf numFmtId="2" fontId="28" fillId="0" borderId="3" xfId="0" applyNumberFormat="1" applyFont="1" applyBorder="1" applyAlignment="1">
      <alignment horizontal="left" vertical="center" wrapText="1"/>
    </xf>
    <xf numFmtId="1" fontId="28" fillId="7" borderId="3" xfId="0" applyNumberFormat="1" applyFont="1" applyFill="1" applyBorder="1" applyAlignment="1">
      <alignment horizontal="center" vertical="center" wrapText="1"/>
    </xf>
    <xf numFmtId="2" fontId="28" fillId="7" borderId="3" xfId="0" applyNumberFormat="1" applyFont="1" applyFill="1" applyBorder="1" applyAlignment="1">
      <alignment horizontal="left" vertical="center" wrapText="1"/>
    </xf>
    <xf numFmtId="1" fontId="6" fillId="7" borderId="3" xfId="7" applyNumberFormat="1" applyFont="1" applyFill="1" applyBorder="1" applyAlignment="1">
      <alignment horizontal="center" vertical="center" wrapText="1"/>
    </xf>
    <xf numFmtId="0" fontId="6" fillId="7" borderId="3" xfId="7" applyFont="1" applyFill="1" applyBorder="1" applyAlignment="1">
      <alignment horizontal="left" vertical="center" wrapText="1"/>
    </xf>
    <xf numFmtId="1" fontId="30" fillId="0" borderId="3" xfId="0" applyNumberFormat="1" applyFont="1" applyBorder="1" applyAlignment="1">
      <alignment horizontal="center" vertical="center" wrapText="1"/>
    </xf>
    <xf numFmtId="0" fontId="30" fillId="0" borderId="3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left" vertical="center" wrapText="1"/>
    </xf>
    <xf numFmtId="1" fontId="30" fillId="7" borderId="3" xfId="0" applyNumberFormat="1" applyFont="1" applyFill="1" applyBorder="1" applyAlignment="1">
      <alignment horizontal="center" vertical="center" wrapText="1"/>
    </xf>
    <xf numFmtId="0" fontId="30" fillId="7" borderId="3" xfId="0" applyFont="1" applyFill="1" applyBorder="1" applyAlignment="1">
      <alignment horizontal="left" vertical="center" wrapText="1"/>
    </xf>
    <xf numFmtId="2" fontId="6" fillId="7" borderId="3" xfId="7" applyNumberFormat="1" applyFont="1" applyFill="1" applyBorder="1" applyAlignment="1">
      <alignment horizontal="center" vertical="center" wrapText="1"/>
    </xf>
    <xf numFmtId="1" fontId="10" fillId="5" borderId="3" xfId="0" applyNumberFormat="1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left" vertical="center"/>
    </xf>
    <xf numFmtId="0" fontId="6" fillId="0" borderId="3" xfId="7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7" borderId="0" xfId="0" applyFill="1"/>
    <xf numFmtId="2" fontId="10" fillId="5" borderId="3" xfId="0" applyNumberFormat="1" applyFont="1" applyFill="1" applyBorder="1" applyAlignment="1">
      <alignment horizontal="left" vertical="center" wrapText="1"/>
    </xf>
    <xf numFmtId="0" fontId="0" fillId="3" borderId="0" xfId="0" applyFill="1"/>
    <xf numFmtId="4" fontId="12" fillId="3" borderId="0" xfId="0" applyNumberFormat="1" applyFont="1" applyFill="1"/>
    <xf numFmtId="0" fontId="6" fillId="3" borderId="3" xfId="0" applyFont="1" applyFill="1" applyBorder="1" applyAlignment="1">
      <alignment horizontal="left" vertical="center" wrapText="1"/>
    </xf>
    <xf numFmtId="2" fontId="6" fillId="3" borderId="3" xfId="0" applyNumberFormat="1" applyFont="1" applyFill="1" applyBorder="1" applyAlignment="1">
      <alignment horizontal="left" vertical="center" wrapText="1"/>
    </xf>
    <xf numFmtId="1" fontId="7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10" fillId="13" borderId="3" xfId="0" applyFont="1" applyFill="1" applyBorder="1" applyAlignment="1">
      <alignment horizontal="center" vertical="center" wrapText="1"/>
    </xf>
    <xf numFmtId="4" fontId="13" fillId="13" borderId="3" xfId="0" applyNumberFormat="1" applyFont="1" applyFill="1" applyBorder="1" applyAlignment="1">
      <alignment horizontal="center" vertical="center" wrapText="1"/>
    </xf>
    <xf numFmtId="1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8" fillId="7" borderId="0" xfId="0" applyFont="1" applyFill="1"/>
    <xf numFmtId="0" fontId="30" fillId="0" borderId="3" xfId="0" applyFont="1" applyBorder="1" applyAlignment="1">
      <alignment vertical="center" wrapText="1"/>
    </xf>
    <xf numFmtId="0" fontId="34" fillId="0" borderId="3" xfId="0" applyFont="1" applyBorder="1" applyAlignment="1">
      <alignment horizontal="left" vertical="center" wrapText="1"/>
    </xf>
    <xf numFmtId="0" fontId="34" fillId="3" borderId="3" xfId="0" applyFont="1" applyFill="1" applyBorder="1" applyAlignment="1">
      <alignment horizontal="left" vertical="center" wrapText="1"/>
    </xf>
    <xf numFmtId="1" fontId="6" fillId="0" borderId="3" xfId="0" applyNumberFormat="1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 wrapText="1"/>
    </xf>
    <xf numFmtId="1" fontId="6" fillId="0" borderId="3" xfId="9" applyNumberFormat="1" applyFont="1" applyBorder="1" applyAlignment="1">
      <alignment horizontal="center" vertical="center" wrapText="1"/>
    </xf>
    <xf numFmtId="2" fontId="6" fillId="0" borderId="3" xfId="9" applyNumberFormat="1" applyFont="1" applyBorder="1" applyAlignment="1">
      <alignment horizontal="left" vertical="center" wrapText="1"/>
    </xf>
    <xf numFmtId="1" fontId="7" fillId="0" borderId="3" xfId="0" applyNumberFormat="1" applyFont="1" applyBorder="1" applyAlignment="1">
      <alignment horizontal="center"/>
    </xf>
    <xf numFmtId="0" fontId="35" fillId="0" borderId="3" xfId="0" applyFont="1" applyBorder="1" applyAlignment="1">
      <alignment horizontal="left" vertical="center" wrapText="1"/>
    </xf>
    <xf numFmtId="0" fontId="36" fillId="0" borderId="3" xfId="0" applyFont="1" applyBorder="1" applyAlignment="1">
      <alignment horizontal="center" vertical="center" wrapText="1"/>
    </xf>
    <xf numFmtId="0" fontId="37" fillId="0" borderId="3" xfId="0" applyFont="1" applyBorder="1" applyAlignment="1">
      <alignment vertical="center" wrapText="1"/>
    </xf>
    <xf numFmtId="4" fontId="35" fillId="0" borderId="3" xfId="0" applyNumberFormat="1" applyFont="1" applyBorder="1" applyAlignment="1">
      <alignment horizontal="center" vertical="center" wrapText="1"/>
    </xf>
    <xf numFmtId="0" fontId="35" fillId="0" borderId="3" xfId="0" applyFont="1" applyBorder="1" applyAlignment="1">
      <alignment horizontal="left" vertical="center"/>
    </xf>
    <xf numFmtId="0" fontId="38" fillId="0" borderId="3" xfId="0" applyFont="1" applyBorder="1" applyAlignment="1">
      <alignment horizontal="center" wrapText="1"/>
    </xf>
    <xf numFmtId="4" fontId="39" fillId="0" borderId="3" xfId="0" applyNumberFormat="1" applyFont="1" applyBorder="1" applyAlignment="1">
      <alignment horizontal="center" vertical="center" wrapText="1"/>
    </xf>
    <xf numFmtId="0" fontId="36" fillId="0" borderId="3" xfId="0" applyFont="1" applyBorder="1" applyAlignment="1">
      <alignment horizontal="center" wrapText="1"/>
    </xf>
    <xf numFmtId="0" fontId="37" fillId="0" borderId="3" xfId="0" applyFont="1" applyBorder="1"/>
    <xf numFmtId="1" fontId="8" fillId="14" borderId="3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41" fillId="0" borderId="0" xfId="0" applyFont="1"/>
    <xf numFmtId="4" fontId="35" fillId="0" borderId="3" xfId="0" applyNumberFormat="1" applyFont="1" applyBorder="1" applyAlignment="1">
      <alignment horizontal="center" vertical="center" wrapText="1"/>
    </xf>
    <xf numFmtId="4" fontId="39" fillId="0" borderId="3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/>
    </xf>
    <xf numFmtId="4" fontId="7" fillId="0" borderId="3" xfId="0" applyNumberFormat="1" applyFont="1" applyBorder="1" applyAlignment="1">
      <alignment horizontal="left"/>
    </xf>
    <xf numFmtId="0" fontId="9" fillId="3" borderId="3" xfId="3" applyFill="1" applyBorder="1" applyAlignment="1" applyProtection="1">
      <alignment horizontal="left"/>
    </xf>
    <xf numFmtId="0" fontId="7" fillId="0" borderId="3" xfId="0" applyFont="1" applyBorder="1" applyAlignment="1">
      <alignment horizontal="left"/>
    </xf>
    <xf numFmtId="0" fontId="8" fillId="3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/>
    </xf>
    <xf numFmtId="4" fontId="6" fillId="0" borderId="3" xfId="0" applyNumberFormat="1" applyFont="1" applyFill="1" applyBorder="1" applyAlignment="1">
      <alignment horizontal="center" vertical="center" wrapText="1"/>
    </xf>
    <xf numFmtId="4" fontId="6" fillId="0" borderId="3" xfId="4" applyNumberFormat="1" applyFont="1" applyFill="1" applyBorder="1" applyAlignment="1">
      <alignment horizontal="center" vertical="center" wrapText="1"/>
    </xf>
    <xf numFmtId="2" fontId="6" fillId="0" borderId="3" xfId="0" applyNumberFormat="1" applyFont="1" applyFill="1" applyBorder="1" applyAlignment="1">
      <alignment horizontal="center" vertical="center" wrapText="1"/>
    </xf>
    <xf numFmtId="4" fontId="27" fillId="0" borderId="3" xfId="0" applyNumberFormat="1" applyFont="1" applyFill="1" applyBorder="1" applyAlignment="1">
      <alignment horizontal="center" vertical="center" wrapText="1"/>
    </xf>
    <xf numFmtId="4" fontId="18" fillId="0" borderId="3" xfId="0" applyNumberFormat="1" applyFont="1" applyFill="1" applyBorder="1"/>
    <xf numFmtId="4" fontId="6" fillId="0" borderId="3" xfId="0" applyNumberFormat="1" applyFont="1" applyFill="1" applyBorder="1" applyAlignment="1">
      <alignment horizontal="center" vertical="center"/>
    </xf>
    <xf numFmtId="4" fontId="25" fillId="0" borderId="3" xfId="0" applyNumberFormat="1" applyFont="1" applyFill="1" applyBorder="1" applyAlignment="1">
      <alignment horizontal="center" vertical="center" wrapText="1"/>
    </xf>
    <xf numFmtId="4" fontId="27" fillId="0" borderId="3" xfId="8" applyNumberFormat="1" applyFont="1" applyFill="1" applyBorder="1" applyAlignment="1">
      <alignment horizontal="center" vertical="center" wrapText="1"/>
    </xf>
    <xf numFmtId="0" fontId="12" fillId="0" borderId="3" xfId="0" applyFont="1" applyBorder="1"/>
    <xf numFmtId="0" fontId="17" fillId="0" borderId="3" xfId="0" applyFont="1" applyBorder="1" applyAlignment="1">
      <alignment wrapText="1"/>
    </xf>
    <xf numFmtId="4" fontId="4" fillId="0" borderId="3" xfId="0" applyNumberFormat="1" applyFont="1" applyBorder="1" applyAlignment="1">
      <alignment horizontal="center" vertical="center" wrapText="1"/>
    </xf>
    <xf numFmtId="0" fontId="12" fillId="3" borderId="3" xfId="0" applyFont="1" applyFill="1" applyBorder="1" applyAlignment="1">
      <alignment wrapText="1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Fill="1" applyBorder="1" applyAlignment="1">
      <alignment wrapText="1"/>
    </xf>
    <xf numFmtId="0" fontId="29" fillId="0" borderId="3" xfId="0" applyFont="1" applyBorder="1" applyAlignment="1">
      <alignment wrapText="1"/>
    </xf>
    <xf numFmtId="0" fontId="20" fillId="7" borderId="3" xfId="3" applyFont="1" applyFill="1" applyBorder="1" applyAlignment="1" applyProtection="1">
      <alignment wrapText="1"/>
    </xf>
    <xf numFmtId="1" fontId="34" fillId="7" borderId="3" xfId="0" applyNumberFormat="1" applyFont="1" applyFill="1" applyBorder="1" applyAlignment="1">
      <alignment horizontal="center" vertical="top" wrapText="1"/>
    </xf>
    <xf numFmtId="1" fontId="34" fillId="0" borderId="3" xfId="0" applyNumberFormat="1" applyFont="1" applyBorder="1" applyAlignment="1">
      <alignment horizontal="center" vertical="top" wrapText="1"/>
    </xf>
    <xf numFmtId="0" fontId="40" fillId="14" borderId="3" xfId="0" applyFont="1" applyFill="1" applyBorder="1" applyAlignment="1">
      <alignment horizontal="left" vertical="center" wrapText="1"/>
    </xf>
    <xf numFmtId="4" fontId="4" fillId="0" borderId="3" xfId="0" applyNumberFormat="1" applyFont="1" applyFill="1" applyBorder="1" applyAlignment="1">
      <alignment horizontal="center" vertical="center" wrapText="1"/>
    </xf>
    <xf numFmtId="9" fontId="36" fillId="3" borderId="3" xfId="0" applyNumberFormat="1" applyFont="1" applyFill="1" applyBorder="1" applyAlignment="1">
      <alignment horizontal="center" vertical="center"/>
    </xf>
  </cellXfs>
  <cellStyles count="10">
    <cellStyle name="Гиперссылка" xfId="3" builtinId="8"/>
    <cellStyle name="Обычный" xfId="0" builtinId="0"/>
    <cellStyle name="Обычный 2" xfId="7" xr:uid="{BD91CBC7-664A-4101-8E03-A98FA428E80D}"/>
    <cellStyle name="Обычный 33" xfId="8" xr:uid="{C17CD32F-AC6F-45B2-8F61-944ABA3A21E2}"/>
    <cellStyle name="Обычный_4FFF1F62" xfId="5" xr:uid="{5A539008-75D1-4345-83A7-A954606B7EBD}"/>
    <cellStyle name="Обычный_Лист1" xfId="9" xr:uid="{C576BBEC-DA7F-4F73-8493-BD6A445AFDCF}"/>
    <cellStyle name="Обычный_Смета_динамо" xfId="4" xr:uid="{504D13DD-BEBE-40BF-95D4-B9E56267F7DE}"/>
    <cellStyle name="Процентный" xfId="2" builtinId="5"/>
    <cellStyle name="Финансовый" xfId="1" builtinId="3"/>
    <cellStyle name="Финансовый 2" xfId="6" xr:uid="{F682DAAA-97E2-4C64-821D-CCAB1F54B190}"/>
  </cellStyles>
  <dxfs count="151"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1691</xdr:row>
          <xdr:rowOff>45720</xdr:rowOff>
        </xdr:from>
        <xdr:to>
          <xdr:col>15</xdr:col>
          <xdr:colOff>396240</xdr:colOff>
          <xdr:row>1691</xdr:row>
          <xdr:rowOff>327660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91440</xdr:colOff>
          <xdr:row>1694</xdr:row>
          <xdr:rowOff>30480</xdr:rowOff>
        </xdr:from>
        <xdr:to>
          <xdr:col>15</xdr:col>
          <xdr:colOff>381000</xdr:colOff>
          <xdr:row>1694</xdr:row>
          <xdr:rowOff>327660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1694</xdr:row>
          <xdr:rowOff>327660</xdr:rowOff>
        </xdr:from>
        <xdr:to>
          <xdr:col>15</xdr:col>
          <xdr:colOff>403860</xdr:colOff>
          <xdr:row>1695</xdr:row>
          <xdr:rowOff>335280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moscow\msfs\COMMON\AUDIT%202004\30.06.04\Conversion_ABH_30_06_04\REP2004\IAS%2001.07.02\Conversion\Sec_Quot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%20GAAP\GAAP%200902\Programme%20GAAP%2009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77;&#1076;&#1086;&#1084;&#1086;&#1089;&#1090;&#1100;%20&#1072;&#1084;&#1086;&#1088;&#1090;&#1080;&#1079;&#1072;&#1094;&#1080;&#1080;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RUWMSKSBERBANK\aws\windows\TEMP\&#1055;&#1088;&#1080;&#1083;&#1086;&#1078;&#1077;&#1085;&#1080;&#1077;%20&#8470;%2017%20&#1089;%201.06.2002&#1075;.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56;&#1072;&#1089;&#1095;&#1077;&#1090;%20&#1087;&#1077;&#1088;&#1077;&#1086;&#1094;&#1077;&#1085;&#1082;&#1080;%20&#1087;&#1086;%20&#1089;&#1086;&#1073;&#1089;&#1090;&#1074;&#1077;&#1085;&#1099;&#1084;%20&#1074;&#1077;&#1082;&#1089;&#1077;&#1083;&#1103;&#1084;%20&#1041;&#1072;&#1085;&#1082;&#1072;%20%20&#1079;&#1072;%2031-1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5;&#1088;&#1080;&#1074;&#1083;&#1077;&#1095;&#1077;&#1085;&#1085;&#1099;&#1077;%20&#1080;%20&#1074;&#1099;&#1076;&#1072;&#1085;&#1085;&#1099;&#1077;%20&#1084;&#1077;&#1078;&#1073;&#1072;&#1085;&#1082;&#1086;&#1074;&#1089;&#1082;&#1080;&#1077;%20&#1082;&#1088;&#1077;&#1076;&#1080;&#1090;&#1099;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notes6030C8\&#1054;&#1089;&#1090;&#1072;&#1090;&#1082;&#1080;%20&#1074;%20&#1088;&#1072;&#1079;&#1088;&#1077;&#1079;&#1077;%20&#1089;&#1095;&#1077;&#1090;&#1086;&#1074;%20&#1087;&#1086;%20&#1079;&#1072;&#1076;&#1072;&#1085;&#1085;&#1086;&#1084;&#1091;%20&#1090;&#1080;&#1087;&#1091;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MSFO\2006_3\&#1054;&#1090;%20&#1087;&#1086;&#1076;&#1088;&#1072;&#1079;&#1076;&#1077;&#1083;&#1077;&#1085;&#1080;&#1081;\&#1044;&#1045;&#1055;&#1054;&#1047;&#1048;&#1058;&#1067;\&#1054;&#1089;&#1090;&#1072;&#1090;&#1082;&#1080;%20&#1087;&#1086;%20&#1055;&#1050;%20(&#1092;40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dziyadetdi001\My%20Documents\Projects\Absolut\OBF\&#1054;&#1090;&#1095;&#1077;&#1090;%20&#1087;&#1086;%20&#1082;&#1086;&#1084;&#1080;&#1089;&#1089;&#1080;&#1103;&#1084;_31.12.20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&#1044;&#1072;&#1085;&#1085;&#1099;&#1077;%20&#1076;&#1083;&#1103;%20&#1086;&#1090;&#1095;&#1077;&#1090;&#1086;&#1074;\2006\12\31\&#1102;&#1088;&#1044;&#1077;&#1087;\&#1055;&#1088;&#1086;&#1094;&#1077;&#1085;&#1090;&#1099;%20&#1082;%20&#1091;&#1087;&#1083;&#1072;&#1090;&#107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44;&#1080;&#1089;&#1082;&#1086;&#1085;&#1090;%20&#1079;&#1072;%2031-1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olap1\Common\&#1055;&#1088;&#1077;&#1079;&#1077;&#1085;&#1090;&#1072;&#1094;&#1080;&#1086;&#1085;&#1085;&#1072;&#1103;%20&#1086;&#1090;&#1095;&#1077;&#1090;&#1085;&#1086;&#1089;&#1090;&#1100;\PWC_2005\&#1056;&#1072;&#1073;&#1086;&#1095;&#1080;&#1077;%20&#1092;&#1072;&#1081;&#1083;&#1099;\From%20Client\&#1045;&#1078;&#1077;&#1076;&#1085;&#1077;&#1074;&#1085;&#1072;&#1103;%20&#1086;&#1090;&#1095;&#1077;&#1090;&#1085;&#1086;&#1089;&#1090;&#1100;\&#1055;&#1088;&#1080;&#1083;%20&#8470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nt\temp\notes6030C8\&#1058;&#1086;&#1090;%20&#1078;&#1077;%20&#1086;&#1090;&#1095;&#1077;&#1090;%20&#1080;&#1079;%20&#1073;&#1072;&#1079;&#109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wnloads/&#1058;&#1057;_&#1045;&#1056;_03_07_26_&#1075;&#1080;&#1076;&#1088;&#1086;&#1080;&#1079;&#1086;&#1083;&#1103;&#1094;&#1080;_&#1080;_&#1089;&#1090;&#1103;&#1078;&#1082;&#1072;_&#1087;&#1072;&#1088;&#1082;&#1080;&#1085;&#1075;&#1072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T\&#1059;&#1054;&#1057;\&#1058;&#1077;&#1082;&#1091;&#1097;&#1080;&#1077;%20&#1076;&#1086;&#1082;&#1091;&#1084;&#1077;&#1085;&#1090;&#1099;\&#1050;&#1086;&#1085;&#1082;&#1091;&#1088;&#1089;%20&#1085;&#1072;%20&#1056;&#1057;&#1056;%202025\&#1058;&#1080;&#1087;&#1086;&#1074;&#1072;&#1103;%20&#1089;&#1084;&#1077;&#1090;&#1072;%20%20&#1045;&#1056;%2012.11.24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T\&#1059;&#1054;&#1057;\&#1064;&#1072;&#1085;&#1100;&#1075;&#1080;&#1085;\&#1055;&#1086;&#1076;&#1075;&#1086;&#1090;&#1086;&#1074;&#1082;&#1072;%20&#1045;&#1056;%20&#1076;&#1083;&#1103;%20&#1082;&#1086;&#1085;&#1082;&#1091;&#1088;&#1089;&#1072;%20&#1087;&#1086;%20&#1056;&#1057;&#1056;%202025\&#1058;&#1080;&#1087;&#1086;&#1074;&#1072;&#1103;%20&#1089;&#1084;&#1077;&#1090;&#1072;%20&#1085;&#1086;&#1074;%20&#1045;&#1056;%2006.06.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екселя"/>
      <sheetName val="State"/>
      <sheetName val="Eurobonds"/>
      <sheetName val="Subfed_Mos"/>
      <sheetName val="Subfed SpB"/>
      <sheetName val="MFB"/>
      <sheetName val="RTS"/>
      <sheetName val="MICEX_Corp_&amp;_Reg_Bonds"/>
      <sheetName val="MICEX_Corp_Shares"/>
      <sheetName val="RUS FED 18 LIFO"/>
      <sheetName val="переброска"/>
      <sheetName val="Sheet2"/>
      <sheetName val="#ССЫЛКА"/>
      <sheetName val="BA-аванс"/>
      <sheetName val="Откр_поз"/>
      <sheetName val="Реализация"/>
      <sheetName val="SA-курс"/>
      <sheetName val="BA-курс"/>
      <sheetName val="РУБ_счет"/>
      <sheetName val="ВАЛ_счет"/>
      <sheetName val="баланс"/>
      <sheetName val="SA-задолж"/>
      <sheetName val="ВА-задолж"/>
      <sheetName val="MICEX_Corp___Reg_Bonds"/>
      <sheetName val="_ССЫЛКА"/>
      <sheetName val="BA_аванс"/>
      <sheetName val="~Sys"/>
      <sheetName val="ФОТ_AFF"/>
      <sheetName val="ФОТ_ММБ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s"/>
      <sheetName val="GAAP 0302"/>
      <sheetName val="GAAP 0602"/>
      <sheetName val="GAAP 0902"/>
      <sheetName val="Lukoil 0902"/>
      <sheetName val="P&amp;L Quar"/>
      <sheetName val="CashFlow 0602"/>
      <sheetName val="Subfed SpB"/>
      <sheetName val="Non-Statistical Sampling"/>
      <sheetName val="AR Drop Downs"/>
      <sheetName val="Currency"/>
      <sheetName val="DropDown"/>
      <sheetName val="ccy"/>
      <sheetName val="Non-Statistical Sampling Master"/>
      <sheetName val="quotes"/>
      <sheetName val="Standing Data"/>
      <sheetName val="Forecasts"/>
      <sheetName val="IR Pvbp Details"/>
      <sheetName val="PARAM"/>
      <sheetName val="GAAP_0302"/>
      <sheetName val="GAAP_0602"/>
      <sheetName val="GAAP_0902"/>
      <sheetName val="Lukoil_0902"/>
      <sheetName val="P&amp;L_Quar"/>
      <sheetName val="CashFlow_0602"/>
      <sheetName val="Subfed_SpB"/>
      <sheetName val="Non-Statistical_Sampling"/>
      <sheetName val="AR_Drop_Downs"/>
      <sheetName val="Non-Statistical_Sampling_Master"/>
      <sheetName val="Standing_Data"/>
      <sheetName val="IR_Pvbp_Details"/>
      <sheetName val="impaired FA"/>
      <sheetName val="Отчет Дилера (ГКО и ОФЗ)"/>
      <sheetName val="SME"/>
      <sheetName val="SME.Micro"/>
      <sheetName val="Programme GAAP 0902"/>
      <sheetName val="Assumptions"/>
    </sheetNames>
    <sheetDataSet>
      <sheetData sheetId="0" refreshError="1"/>
      <sheetData sheetId="1" refreshError="1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  <row r="2">
          <cell r="A2">
            <v>1</v>
          </cell>
        </row>
        <row r="3">
          <cell r="A3">
            <v>1</v>
          </cell>
        </row>
        <row r="4">
          <cell r="A4">
            <v>1</v>
          </cell>
        </row>
        <row r="5">
          <cell r="A5">
            <v>1</v>
          </cell>
        </row>
        <row r="14">
          <cell r="A14">
            <v>1</v>
          </cell>
        </row>
        <row r="29">
          <cell r="A29">
            <v>1</v>
          </cell>
        </row>
        <row r="130">
          <cell r="A130">
            <v>1</v>
          </cell>
        </row>
        <row r="484">
          <cell r="A484">
            <v>1</v>
          </cell>
        </row>
        <row r="515">
          <cell r="A515">
            <v>1</v>
          </cell>
        </row>
        <row r="594">
          <cell r="A594">
            <v>1</v>
          </cell>
        </row>
        <row r="598">
          <cell r="A598">
            <v>1</v>
          </cell>
        </row>
        <row r="612">
          <cell r="A612">
            <v>1</v>
          </cell>
        </row>
        <row r="613">
          <cell r="A613">
            <v>1</v>
          </cell>
        </row>
        <row r="648">
          <cell r="A648">
            <v>1</v>
          </cell>
        </row>
        <row r="650">
          <cell r="A650">
            <v>1</v>
          </cell>
        </row>
        <row r="730">
          <cell r="A730">
            <v>1</v>
          </cell>
        </row>
        <row r="731">
          <cell r="A731">
            <v>1</v>
          </cell>
        </row>
        <row r="732">
          <cell r="A732">
            <v>1</v>
          </cell>
        </row>
        <row r="733">
          <cell r="A733">
            <v>1</v>
          </cell>
        </row>
        <row r="734">
          <cell r="A734">
            <v>1</v>
          </cell>
        </row>
        <row r="735">
          <cell r="A735">
            <v>1</v>
          </cell>
        </row>
        <row r="818">
          <cell r="A818">
            <v>1</v>
          </cell>
        </row>
        <row r="1172">
          <cell r="A1172">
            <v>1</v>
          </cell>
        </row>
        <row r="1212">
          <cell r="A1212">
            <v>1</v>
          </cell>
        </row>
        <row r="1213">
          <cell r="A1213">
            <v>1</v>
          </cell>
        </row>
        <row r="1214">
          <cell r="A1214">
            <v>1</v>
          </cell>
        </row>
        <row r="1268">
          <cell r="A1268">
            <v>1</v>
          </cell>
        </row>
        <row r="1270">
          <cell r="A1270">
            <v>1</v>
          </cell>
        </row>
        <row r="1298">
          <cell r="A1298">
            <v>1</v>
          </cell>
        </row>
        <row r="1304">
          <cell r="A1304">
            <v>1</v>
          </cell>
        </row>
        <row r="1305">
          <cell r="A1305">
            <v>1</v>
          </cell>
        </row>
        <row r="1308">
          <cell r="A1308">
            <v>1</v>
          </cell>
        </row>
        <row r="1339">
          <cell r="A1339">
            <v>1</v>
          </cell>
        </row>
        <row r="1340">
          <cell r="A1340">
            <v>1</v>
          </cell>
        </row>
        <row r="1341">
          <cell r="A1341">
            <v>1</v>
          </cell>
        </row>
        <row r="1342">
          <cell r="A1342">
            <v>1</v>
          </cell>
        </row>
        <row r="1343">
          <cell r="A1343">
            <v>1</v>
          </cell>
        </row>
        <row r="1344">
          <cell r="A1344">
            <v>1</v>
          </cell>
        </row>
        <row r="1345">
          <cell r="A1345">
            <v>1</v>
          </cell>
        </row>
        <row r="1352">
          <cell r="A1352">
            <v>1</v>
          </cell>
        </row>
        <row r="1357">
          <cell r="A1357">
            <v>1</v>
          </cell>
        </row>
        <row r="1365">
          <cell r="A1365">
            <v>1</v>
          </cell>
        </row>
        <row r="1372">
          <cell r="A1372">
            <v>1</v>
          </cell>
        </row>
        <row r="1373">
          <cell r="A1373">
            <v>1</v>
          </cell>
        </row>
        <row r="1378">
          <cell r="A1378">
            <v>1</v>
          </cell>
        </row>
        <row r="1379">
          <cell r="A1379">
            <v>1</v>
          </cell>
        </row>
        <row r="1382">
          <cell r="A1382">
            <v>1</v>
          </cell>
        </row>
        <row r="1384">
          <cell r="A1384">
            <v>1</v>
          </cell>
        </row>
        <row r="1394">
          <cell r="A1394">
            <v>1</v>
          </cell>
        </row>
        <row r="1400">
          <cell r="A1400">
            <v>1</v>
          </cell>
        </row>
        <row r="1413">
          <cell r="A1413">
            <v>1</v>
          </cell>
        </row>
        <row r="1434">
          <cell r="A1434">
            <v>1</v>
          </cell>
        </row>
        <row r="1435">
          <cell r="A1435">
            <v>1</v>
          </cell>
        </row>
        <row r="1442">
          <cell r="A1442">
            <v>1</v>
          </cell>
        </row>
        <row r="1466">
          <cell r="A1466">
            <v>1</v>
          </cell>
        </row>
        <row r="1469">
          <cell r="A1469">
            <v>1</v>
          </cell>
        </row>
        <row r="1470">
          <cell r="A1470">
            <v>1</v>
          </cell>
        </row>
        <row r="1473">
          <cell r="A1473">
            <v>1</v>
          </cell>
        </row>
        <row r="1477">
          <cell r="A1477">
            <v>1</v>
          </cell>
        </row>
        <row r="1478">
          <cell r="A1478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"/>
      <sheetName val="XLR_NoRangeSheet"/>
      <sheetName val="Справочники"/>
      <sheetName val="N_11_95"/>
      <sheetName val="industry"/>
      <sheetName val="Calculation base"/>
      <sheetName val="Дебиторы"/>
      <sheetName val="Лист2"/>
      <sheetName val="Library procedures"/>
      <sheetName val="Процедуры из библиотеки"/>
      <sheetName val="nBG"/>
      <sheetName val="Sheet2"/>
      <sheetName val="Ratings_table"/>
      <sheetName val="N_SVOD"/>
      <sheetName val="Feuil1"/>
    </sheetNames>
    <sheetDataSet>
      <sheetData sheetId="0">
        <row r="6">
          <cell r="B6" t="str">
            <v>июль</v>
          </cell>
        </row>
      </sheetData>
      <sheetData sheetId="1" refreshError="1">
        <row r="6">
          <cell r="B6" t="str">
            <v>июль</v>
          </cell>
          <cell r="C6" t="str">
            <v>2004</v>
          </cell>
          <cell r="D6" t="str">
            <v>для ОС, учитываемых на счете 60401810300140000001</v>
          </cell>
          <cell r="E6">
            <v>0</v>
          </cell>
          <cell r="F6">
            <v>0</v>
          </cell>
          <cell r="G6" t="str">
            <v>Зам.гл.бухгалтера</v>
          </cell>
          <cell r="H6" t="str">
            <v>Науменко Е.Н.</v>
          </cell>
          <cell r="I6" t="str">
            <v>Ст.бухгалтер</v>
          </cell>
          <cell r="J6" t="str">
            <v>Шульц Л.В.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LRpt_TempSheet"/>
      <sheetName val="Приложение_17"/>
      <sheetName val="Приложение_17(свод)"/>
      <sheetName val="Сводный_баланс"/>
      <sheetName val="УУиКБО"/>
      <sheetName val="Баланс(УУиКБО)"/>
      <sheetName val="УУиКРО"/>
      <sheetName val="Баланс(УУиКРО)"/>
      <sheetName val="ГРЦ"/>
      <sheetName val="Баланс(ГРЦ)"/>
      <sheetName val="УБУиО"/>
      <sheetName val="Баланс(УБУиО)"/>
      <sheetName val="GAAP 0302"/>
      <sheetName val="XREF"/>
      <sheetName val="Provision_group"/>
    </sheetNames>
    <sheetDataSet>
      <sheetData sheetId="0" refreshError="1">
        <row r="13">
          <cell r="B13" t="str">
            <v>по состоянию на 01.05.2002 года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Расчет переоценки по собственым"/>
      <sheetName val="L1"/>
      <sheetName val="A"/>
      <sheetName val="payab_receiv"/>
      <sheetName val="Data"/>
    </sheetNames>
    <sheetDataSet>
      <sheetData sheetId="0" refreshError="1"/>
      <sheetData sheetId="1">
        <row r="5">
          <cell r="A5" t="str">
            <v>4.2, Developer  (build 122-D5)</v>
          </cell>
        </row>
        <row r="6">
          <cell r="C6" t="str">
            <v>АКБ "АБСОЛЮТ БАНК" (ЗАО)</v>
          </cell>
          <cell r="D6" t="str">
            <v>АКЦИОНЕРНЫЙ КОММЕРЧЕСКИЙ БАНК "АБСОЛЮТ БАНК" (ЗАКРЫТОЕ АКЦИОНЕРНОЕ ОБЩЕСТВО)</v>
          </cell>
          <cell r="F6" t="str">
            <v>52305840820000022283</v>
          </cell>
          <cell r="M6" t="str">
            <v>31.12.2007</v>
          </cell>
          <cell r="N6">
            <v>39083</v>
          </cell>
          <cell r="P6">
            <v>35.933199999999999</v>
          </cell>
          <cell r="Q6">
            <v>24.546199999999999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чет"/>
      <sheetName val="Лист3"/>
      <sheetName val="XLR_NoRangeSheet"/>
      <sheetName val="Валюта"/>
      <sheetName val="Расчет КПЭ"/>
      <sheetName val="XLRpt_TempSheet"/>
      <sheetName val="A"/>
      <sheetName val="Tabelle2"/>
      <sheetName val="Data"/>
      <sheetName val="Статьи"/>
      <sheetName val="Adj2002"/>
      <sheetName val="N-16_reserve"/>
      <sheetName val="int. exp_reconciliation"/>
      <sheetName val="2.1"/>
      <sheetName val="hCheck"/>
      <sheetName val="Результат"/>
    </sheetNames>
    <sheetDataSet>
      <sheetData sheetId="0" refreshError="1"/>
      <sheetData sheetId="1" refreshError="1"/>
      <sheetData sheetId="2" refreshError="1">
        <row r="6">
          <cell r="X6">
            <v>11637766324.08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heet1"/>
    </sheetNames>
    <sheetDataSet>
      <sheetData sheetId="0" refreshError="1"/>
      <sheetData sheetId="1" refreshError="1">
        <row r="6">
          <cell r="P6" t="str">
            <v>Евроноты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ubfed SpB"/>
    </sheetNames>
    <sheetDataSet>
      <sheetData sheetId="0" refreshError="1"/>
      <sheetData sheetId="1" refreshError="1">
        <row r="6">
          <cell r="B6" t="str">
            <v>01.09.2006</v>
          </cell>
          <cell r="C6" t="str">
            <v>30.09.2006</v>
          </cell>
        </row>
      </sheetData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01.01.2006</v>
          </cell>
          <cell r="R6" t="str">
            <v>15.12.2006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енты к уплате"/>
      <sheetName val="XLR_NoRangeSheet"/>
      <sheetName val="Проценты_к_уплате"/>
    </sheetNames>
    <sheetDataSet>
      <sheetData sheetId="0" refreshError="1"/>
      <sheetData sheetId="1" refreshError="1">
        <row r="6">
          <cell r="T6" t="str">
            <v>31.12.2006</v>
          </cell>
          <cell r="U6" t="str">
            <v>НИКУЛИЧЕВА Ю.Ю.</v>
          </cell>
        </row>
      </sheetData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</sheetNames>
    <sheetDataSet>
      <sheetData sheetId="0" refreshError="1"/>
      <sheetData sheetId="1">
        <row r="6">
          <cell r="B6" t="str">
            <v>Булатова М.Е.</v>
          </cell>
          <cell r="AC6" t="str">
            <v>31.12.2007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  <sheetName val="актив"/>
      <sheetName val="крупные"/>
      <sheetName val="МБК ВЫДАННЫЕ"/>
      <sheetName val="Лист5"/>
      <sheetName val="пассив"/>
      <sheetName val="%пассив"/>
      <sheetName val="МБК ПРИВЛЕЧЕННЫЕ"/>
      <sheetName val="блок"/>
      <sheetName val="БЛОКИРОВКА"/>
      <sheetName val="Лист4"/>
      <sheetName val="СДЕЛКИ ПОСТФИНАНСИРОВАНИЯ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01.07.2005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>
        <row r="6">
          <cell r="M6" t="str">
            <v>31.12.2004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ЕР (общ) "/>
      <sheetName val="Радиаторы"/>
      <sheetName val="Лючек напольный."/>
      <sheetName val="Проектирование до 100"/>
      <sheetName val="Проектирование 100-450"/>
      <sheetName val="Список и контакты поставщиков"/>
      <sheetName val="АПС, СОУЭ, ППА"/>
      <sheetName val="Освещение Рефлекта"/>
      <sheetName val="Светильники ЭТМ"/>
      <sheetName val="Сантехника"/>
      <sheetName val="Светильники Профдед н"/>
      <sheetName val="Двери Kapelli"/>
      <sheetName val="Броня"/>
      <sheetName val="Плитка СУ"/>
      <sheetName val="Бескаркасные двери и перегородк"/>
      <sheetName val="Kerama Marazzi"/>
      <sheetName val="Трансформируемая перегородка"/>
      <sheetName val="Стекл двери в алюм. (2)"/>
      <sheetName val="Щиты в сборе"/>
      <sheetName val="Розетки ДКС"/>
      <sheetName val="Тепловые завесы"/>
      <sheetName val=" Кондиционеры бытовые"/>
      <sheetName val="Кондиционеры Haier VRF"/>
      <sheetName val="Кондиционеры MDV VRF"/>
      <sheetName val="Вентмашины"/>
      <sheetName val="Для калькулятора"/>
      <sheetName val="ККО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Дерев. гл. двери в проем"/>
      <sheetName val="Акустические потолки"/>
      <sheetName val="Ковровая плитка"/>
      <sheetName val="ПВХ"/>
      <sheetName val="ПВХ "/>
      <sheetName val="Фальшпол"/>
      <sheetName val="Керамогранит"/>
      <sheetName val="Освещение"/>
      <sheetName val="Лист1"/>
    </sheetNames>
    <sheetDataSet>
      <sheetData sheetId="0"/>
      <sheetData sheetId="1">
        <row r="32">
          <cell r="BC32">
            <v>9712.5</v>
          </cell>
        </row>
        <row r="33">
          <cell r="BC33">
            <v>9933</v>
          </cell>
        </row>
        <row r="34">
          <cell r="BC34">
            <v>10143</v>
          </cell>
        </row>
        <row r="103">
          <cell r="BC103">
            <v>6585.6</v>
          </cell>
        </row>
        <row r="104">
          <cell r="BC104">
            <v>7695.45</v>
          </cell>
        </row>
        <row r="105">
          <cell r="BC105">
            <v>8805.2999999999993</v>
          </cell>
        </row>
        <row r="106">
          <cell r="BC106">
            <v>9915.15</v>
          </cell>
        </row>
        <row r="107">
          <cell r="BC107">
            <v>11025</v>
          </cell>
        </row>
        <row r="108">
          <cell r="BC108">
            <v>12134.85</v>
          </cell>
        </row>
        <row r="109">
          <cell r="BC109">
            <v>13244.7</v>
          </cell>
        </row>
        <row r="110">
          <cell r="BC110">
            <v>14354.55</v>
          </cell>
        </row>
        <row r="111">
          <cell r="BC111">
            <v>15464.4</v>
          </cell>
        </row>
        <row r="112">
          <cell r="BC112">
            <v>16574.25</v>
          </cell>
        </row>
        <row r="113">
          <cell r="BC113">
            <v>17684.099999999999</v>
          </cell>
        </row>
        <row r="114">
          <cell r="BC114">
            <v>6673.8</v>
          </cell>
        </row>
        <row r="115">
          <cell r="BC115">
            <v>7805.7</v>
          </cell>
        </row>
        <row r="116">
          <cell r="BC116">
            <v>8937.6</v>
          </cell>
        </row>
        <row r="117">
          <cell r="BC117">
            <v>10069.5</v>
          </cell>
        </row>
        <row r="118">
          <cell r="BC118">
            <v>11201.4</v>
          </cell>
        </row>
        <row r="119">
          <cell r="BC119">
            <v>12333.3</v>
          </cell>
        </row>
        <row r="120">
          <cell r="BC120">
            <v>13465.2</v>
          </cell>
        </row>
        <row r="121">
          <cell r="BC121">
            <v>14597.1</v>
          </cell>
        </row>
        <row r="122">
          <cell r="BC122">
            <v>15729</v>
          </cell>
        </row>
        <row r="123">
          <cell r="BC123">
            <v>16860.900000000001</v>
          </cell>
        </row>
        <row r="124">
          <cell r="BC124">
            <v>17992.8</v>
          </cell>
        </row>
        <row r="125">
          <cell r="BC125">
            <v>6757.8</v>
          </cell>
        </row>
        <row r="126">
          <cell r="BC126">
            <v>7910.7</v>
          </cell>
        </row>
        <row r="127">
          <cell r="BC127">
            <v>9063.6</v>
          </cell>
        </row>
        <row r="128">
          <cell r="BC128">
            <v>10216.5</v>
          </cell>
        </row>
        <row r="129">
          <cell r="BC129">
            <v>11369.4</v>
          </cell>
        </row>
        <row r="130">
          <cell r="BC130">
            <v>12522.3</v>
          </cell>
        </row>
        <row r="131">
          <cell r="BC131">
            <v>13675.2</v>
          </cell>
        </row>
        <row r="132">
          <cell r="BC132">
            <v>14828.1</v>
          </cell>
        </row>
        <row r="133">
          <cell r="BC133">
            <v>15981</v>
          </cell>
        </row>
        <row r="134">
          <cell r="BC134">
            <v>17133.900000000001</v>
          </cell>
        </row>
        <row r="135">
          <cell r="BC135">
            <v>18286.8</v>
          </cell>
        </row>
        <row r="171">
          <cell r="BC171">
            <v>985.95</v>
          </cell>
        </row>
        <row r="172">
          <cell r="BC172">
            <v>985.95</v>
          </cell>
        </row>
        <row r="173">
          <cell r="BC173">
            <v>1009.05</v>
          </cell>
        </row>
        <row r="174">
          <cell r="BC174">
            <v>418.95</v>
          </cell>
        </row>
        <row r="175">
          <cell r="BC175">
            <v>515.54999999999995</v>
          </cell>
        </row>
        <row r="176">
          <cell r="BC176">
            <v>1382.85</v>
          </cell>
        </row>
        <row r="177">
          <cell r="BC177">
            <v>1442.7</v>
          </cell>
        </row>
        <row r="178">
          <cell r="BC178">
            <v>546</v>
          </cell>
        </row>
        <row r="179">
          <cell r="BC179">
            <v>1292.55</v>
          </cell>
        </row>
        <row r="180">
          <cell r="BC180">
            <v>400.68</v>
          </cell>
        </row>
        <row r="181">
          <cell r="BC181">
            <v>20.220000000000002</v>
          </cell>
        </row>
        <row r="182">
          <cell r="BC182">
            <v>32.130000000000003</v>
          </cell>
        </row>
        <row r="183">
          <cell r="BC183">
            <v>37.489999999999995</v>
          </cell>
        </row>
        <row r="184">
          <cell r="BC184">
            <v>37.799999999999997</v>
          </cell>
        </row>
        <row r="185">
          <cell r="BC185">
            <v>24.950000000000003</v>
          </cell>
        </row>
        <row r="186">
          <cell r="BC186">
            <v>37.93</v>
          </cell>
        </row>
        <row r="187">
          <cell r="BC187">
            <v>712.95</v>
          </cell>
        </row>
        <row r="190">
          <cell r="BC190">
            <v>681.45</v>
          </cell>
        </row>
        <row r="191">
          <cell r="BC191">
            <v>1846.95</v>
          </cell>
        </row>
        <row r="192">
          <cell r="BC192">
            <v>626.85</v>
          </cell>
        </row>
        <row r="193">
          <cell r="BC193">
            <v>1246.8799999999999</v>
          </cell>
        </row>
        <row r="194">
          <cell r="BC194">
            <v>411.96999999999997</v>
          </cell>
        </row>
      </sheetData>
      <sheetData sheetId="2">
        <row r="15">
          <cell r="G15">
            <v>9303.8700000000008</v>
          </cell>
        </row>
      </sheetData>
      <sheetData sheetId="3">
        <row r="17">
          <cell r="E17">
            <v>10000</v>
          </cell>
        </row>
        <row r="18">
          <cell r="E18">
            <v>19750</v>
          </cell>
        </row>
        <row r="19">
          <cell r="E19">
            <v>19750</v>
          </cell>
        </row>
        <row r="20">
          <cell r="E20">
            <v>14850</v>
          </cell>
        </row>
        <row r="21">
          <cell r="E21">
            <v>9900</v>
          </cell>
        </row>
        <row r="22">
          <cell r="E22">
            <v>9900</v>
          </cell>
        </row>
        <row r="23">
          <cell r="E23">
            <v>9900</v>
          </cell>
        </row>
        <row r="24">
          <cell r="E24">
            <v>14850</v>
          </cell>
        </row>
        <row r="25">
          <cell r="E25">
            <v>9900</v>
          </cell>
        </row>
        <row r="26">
          <cell r="E26">
            <v>14850</v>
          </cell>
        </row>
        <row r="35">
          <cell r="E35">
            <v>3500</v>
          </cell>
        </row>
        <row r="36">
          <cell r="E36">
            <v>7450</v>
          </cell>
        </row>
      </sheetData>
      <sheetData sheetId="4">
        <row r="18">
          <cell r="E18">
            <v>129</v>
          </cell>
        </row>
        <row r="19">
          <cell r="E19">
            <v>371</v>
          </cell>
        </row>
        <row r="20">
          <cell r="E20">
            <v>246</v>
          </cell>
        </row>
        <row r="21">
          <cell r="E21">
            <v>193</v>
          </cell>
        </row>
        <row r="22">
          <cell r="E22">
            <v>151.88999999999999</v>
          </cell>
        </row>
        <row r="23">
          <cell r="E23">
            <v>118</v>
          </cell>
        </row>
        <row r="24">
          <cell r="E24">
            <v>124</v>
          </cell>
        </row>
        <row r="25">
          <cell r="E25">
            <v>87.31</v>
          </cell>
        </row>
        <row r="26">
          <cell r="E26">
            <v>87.31</v>
          </cell>
        </row>
        <row r="27">
          <cell r="E27">
            <v>99</v>
          </cell>
        </row>
        <row r="36">
          <cell r="E36">
            <v>3500</v>
          </cell>
        </row>
        <row r="37">
          <cell r="E37">
            <v>7450</v>
          </cell>
        </row>
      </sheetData>
      <sheetData sheetId="5"/>
      <sheetData sheetId="6">
        <row r="13">
          <cell r="F13">
            <v>67</v>
          </cell>
        </row>
        <row r="14">
          <cell r="F14">
            <v>39</v>
          </cell>
        </row>
        <row r="16">
          <cell r="F16">
            <v>8</v>
          </cell>
        </row>
        <row r="17">
          <cell r="F17">
            <v>25</v>
          </cell>
        </row>
        <row r="18">
          <cell r="F18">
            <v>3</v>
          </cell>
        </row>
        <row r="19">
          <cell r="F19">
            <v>1</v>
          </cell>
        </row>
        <row r="20">
          <cell r="F20">
            <v>1</v>
          </cell>
        </row>
        <row r="21">
          <cell r="F21">
            <v>1</v>
          </cell>
        </row>
      </sheetData>
      <sheetData sheetId="7"/>
      <sheetData sheetId="8">
        <row r="7">
          <cell r="L7">
            <v>361.01</v>
          </cell>
        </row>
        <row r="8">
          <cell r="L8">
            <v>614.36</v>
          </cell>
        </row>
        <row r="9">
          <cell r="L9">
            <v>3679.83</v>
          </cell>
        </row>
        <row r="10">
          <cell r="L10">
            <v>5655.93</v>
          </cell>
        </row>
        <row r="11">
          <cell r="L11">
            <v>3895.16</v>
          </cell>
        </row>
        <row r="12">
          <cell r="L12">
            <v>1897.27</v>
          </cell>
        </row>
        <row r="15">
          <cell r="L15">
            <v>418.03</v>
          </cell>
        </row>
        <row r="16">
          <cell r="L16">
            <v>133.01</v>
          </cell>
        </row>
        <row r="17">
          <cell r="L17">
            <v>360.63</v>
          </cell>
        </row>
        <row r="18">
          <cell r="L18">
            <v>361.01</v>
          </cell>
        </row>
        <row r="19">
          <cell r="L19">
            <v>2671.12</v>
          </cell>
        </row>
        <row r="20">
          <cell r="L20">
            <v>3421.85</v>
          </cell>
        </row>
        <row r="21">
          <cell r="L21">
            <v>5283.02</v>
          </cell>
        </row>
        <row r="22">
          <cell r="L22">
            <v>6902.28</v>
          </cell>
        </row>
      </sheetData>
      <sheetData sheetId="9">
        <row r="2">
          <cell r="J2">
            <v>12789</v>
          </cell>
        </row>
        <row r="3">
          <cell r="J3">
            <v>7245</v>
          </cell>
        </row>
        <row r="4">
          <cell r="J4">
            <v>8284.5</v>
          </cell>
        </row>
        <row r="5">
          <cell r="J5">
            <v>11445</v>
          </cell>
        </row>
        <row r="6">
          <cell r="J6">
            <v>3223.5</v>
          </cell>
        </row>
        <row r="7">
          <cell r="J7">
            <v>13782.3</v>
          </cell>
        </row>
        <row r="8">
          <cell r="J8">
            <v>12117</v>
          </cell>
        </row>
        <row r="9">
          <cell r="J9">
            <v>9345</v>
          </cell>
        </row>
        <row r="10">
          <cell r="J10">
            <v>20359.5</v>
          </cell>
        </row>
        <row r="11">
          <cell r="J11">
            <v>15634.5</v>
          </cell>
        </row>
        <row r="30">
          <cell r="J30">
            <v>15498</v>
          </cell>
        </row>
        <row r="31">
          <cell r="J31">
            <v>29431.5</v>
          </cell>
        </row>
        <row r="32">
          <cell r="J32">
            <v>10909.5</v>
          </cell>
        </row>
        <row r="33">
          <cell r="J33">
            <v>1029</v>
          </cell>
        </row>
        <row r="34">
          <cell r="J34">
            <v>1354.5</v>
          </cell>
        </row>
        <row r="35">
          <cell r="J35">
            <v>23478</v>
          </cell>
        </row>
      </sheetData>
      <sheetData sheetId="10">
        <row r="4">
          <cell r="I4">
            <v>18332.150000000001</v>
          </cell>
        </row>
        <row r="5">
          <cell r="I5">
            <v>18332.150000000001</v>
          </cell>
        </row>
        <row r="6">
          <cell r="I6">
            <v>27954.93</v>
          </cell>
        </row>
        <row r="7">
          <cell r="I7">
            <v>31734.38</v>
          </cell>
        </row>
        <row r="8">
          <cell r="I8">
            <v>62344.71</v>
          </cell>
        </row>
        <row r="9">
          <cell r="I9">
            <v>83288.09</v>
          </cell>
        </row>
        <row r="10">
          <cell r="I10">
            <v>100755.48</v>
          </cell>
        </row>
        <row r="11">
          <cell r="I11">
            <v>3020.08</v>
          </cell>
        </row>
      </sheetData>
      <sheetData sheetId="11">
        <row r="12">
          <cell r="E12">
            <v>19441.8</v>
          </cell>
        </row>
      </sheetData>
      <sheetData sheetId="12">
        <row r="7">
          <cell r="F7">
            <v>52500</v>
          </cell>
        </row>
        <row r="8">
          <cell r="F8">
            <v>39900</v>
          </cell>
        </row>
        <row r="9">
          <cell r="F9">
            <v>105000</v>
          </cell>
        </row>
        <row r="10">
          <cell r="F10">
            <v>99750</v>
          </cell>
        </row>
        <row r="13">
          <cell r="F13">
            <v>78750</v>
          </cell>
        </row>
        <row r="16">
          <cell r="F16">
            <v>14700</v>
          </cell>
        </row>
        <row r="18">
          <cell r="F18">
            <v>17535</v>
          </cell>
        </row>
        <row r="20">
          <cell r="F20">
            <v>15750</v>
          </cell>
        </row>
        <row r="21">
          <cell r="F21">
            <v>88725</v>
          </cell>
        </row>
        <row r="22">
          <cell r="F22">
            <v>87150</v>
          </cell>
        </row>
        <row r="23">
          <cell r="F23">
            <v>148575</v>
          </cell>
        </row>
        <row r="24">
          <cell r="F24">
            <v>223650</v>
          </cell>
        </row>
        <row r="30">
          <cell r="F30">
            <v>110250</v>
          </cell>
        </row>
        <row r="31">
          <cell r="F31">
            <v>8400</v>
          </cell>
        </row>
      </sheetData>
      <sheetData sheetId="13">
        <row r="3">
          <cell r="E3">
            <v>2338.6755000000007</v>
          </cell>
        </row>
        <row r="22">
          <cell r="E22">
            <v>1685.1555000000001</v>
          </cell>
        </row>
        <row r="23">
          <cell r="E23">
            <v>1622.1555000000001</v>
          </cell>
        </row>
      </sheetData>
      <sheetData sheetId="14">
        <row r="6">
          <cell r="E6">
            <v>46510.8</v>
          </cell>
        </row>
        <row r="7">
          <cell r="E7">
            <v>72350.25</v>
          </cell>
        </row>
        <row r="8">
          <cell r="E8">
            <v>106310.39999999999</v>
          </cell>
        </row>
        <row r="10">
          <cell r="E10">
            <v>8190</v>
          </cell>
        </row>
        <row r="11">
          <cell r="E11">
            <v>7875</v>
          </cell>
        </row>
      </sheetData>
      <sheetData sheetId="15">
        <row r="9">
          <cell r="C9">
            <v>2044.7280000000003</v>
          </cell>
        </row>
      </sheetData>
      <sheetData sheetId="16">
        <row r="3">
          <cell r="F3">
            <v>37170</v>
          </cell>
        </row>
        <row r="4">
          <cell r="F4">
            <v>34230</v>
          </cell>
        </row>
        <row r="5">
          <cell r="F5">
            <v>33295.5</v>
          </cell>
        </row>
        <row r="6">
          <cell r="F6">
            <v>32235</v>
          </cell>
        </row>
        <row r="11">
          <cell r="F11">
            <v>1323</v>
          </cell>
        </row>
        <row r="12">
          <cell r="F12">
            <v>1659</v>
          </cell>
        </row>
      </sheetData>
      <sheetData sheetId="17">
        <row r="6">
          <cell r="D6">
            <v>51219</v>
          </cell>
        </row>
        <row r="7">
          <cell r="D7">
            <v>73572.45</v>
          </cell>
        </row>
        <row r="8">
          <cell r="D8">
            <v>89201.7</v>
          </cell>
        </row>
        <row r="9">
          <cell r="C9">
            <v>5500</v>
          </cell>
        </row>
        <row r="11">
          <cell r="D11">
            <v>43806</v>
          </cell>
        </row>
        <row r="12">
          <cell r="D12">
            <v>63349.65</v>
          </cell>
        </row>
        <row r="13">
          <cell r="D13">
            <v>76440</v>
          </cell>
        </row>
      </sheetData>
      <sheetData sheetId="18">
        <row r="24">
          <cell r="M24">
            <v>124007.1</v>
          </cell>
        </row>
        <row r="25">
          <cell r="M25">
            <v>311104.5</v>
          </cell>
        </row>
        <row r="26">
          <cell r="M26">
            <v>348886.65</v>
          </cell>
        </row>
        <row r="27">
          <cell r="M27">
            <v>348616.8</v>
          </cell>
        </row>
        <row r="28">
          <cell r="M28">
            <v>12020.4</v>
          </cell>
        </row>
        <row r="29">
          <cell r="M29">
            <v>22568.7</v>
          </cell>
        </row>
        <row r="30">
          <cell r="M30">
            <v>24994.2</v>
          </cell>
        </row>
        <row r="31">
          <cell r="M31">
            <v>187951.05</v>
          </cell>
        </row>
        <row r="32">
          <cell r="M32">
            <v>22705.200000000001</v>
          </cell>
        </row>
        <row r="33">
          <cell r="M33">
            <v>62745.9</v>
          </cell>
        </row>
        <row r="34">
          <cell r="M34">
            <v>136832.85</v>
          </cell>
        </row>
      </sheetData>
      <sheetData sheetId="19">
        <row r="3">
          <cell r="D3">
            <v>375.74</v>
          </cell>
        </row>
        <row r="4">
          <cell r="D4">
            <v>474.98999999999995</v>
          </cell>
        </row>
        <row r="11">
          <cell r="D11">
            <v>385.51</v>
          </cell>
        </row>
        <row r="12">
          <cell r="D12">
            <v>532.30999999999995</v>
          </cell>
        </row>
      </sheetData>
      <sheetData sheetId="20">
        <row r="4">
          <cell r="F4">
            <v>12056.63</v>
          </cell>
        </row>
        <row r="5">
          <cell r="F5">
            <v>25452</v>
          </cell>
        </row>
        <row r="6">
          <cell r="F6">
            <v>44730</v>
          </cell>
        </row>
        <row r="7">
          <cell r="F7">
            <v>49888.13</v>
          </cell>
        </row>
      </sheetData>
      <sheetData sheetId="21">
        <row r="5">
          <cell r="K5">
            <v>219.45000000000002</v>
          </cell>
          <cell r="N5">
            <v>239.4</v>
          </cell>
        </row>
        <row r="6">
          <cell r="K6">
            <v>242.55</v>
          </cell>
          <cell r="N6">
            <v>266.7</v>
          </cell>
        </row>
        <row r="7">
          <cell r="K7">
            <v>306.60000000000002</v>
          </cell>
          <cell r="N7">
            <v>328.65000000000003</v>
          </cell>
        </row>
        <row r="8">
          <cell r="K8">
            <v>501.90000000000003</v>
          </cell>
          <cell r="N8">
            <v>522.9</v>
          </cell>
        </row>
        <row r="9">
          <cell r="K9">
            <v>666.75</v>
          </cell>
          <cell r="N9">
            <v>701.4</v>
          </cell>
        </row>
        <row r="10">
          <cell r="N10">
            <v>563.85</v>
          </cell>
        </row>
        <row r="11">
          <cell r="N11">
            <v>616.35</v>
          </cell>
        </row>
        <row r="12">
          <cell r="N12">
            <v>807.45</v>
          </cell>
        </row>
        <row r="14">
          <cell r="N14">
            <v>1117.2</v>
          </cell>
        </row>
        <row r="15">
          <cell r="N15">
            <v>1275.75</v>
          </cell>
        </row>
        <row r="16">
          <cell r="N16">
            <v>1631.7</v>
          </cell>
        </row>
        <row r="23">
          <cell r="N23">
            <v>794.85</v>
          </cell>
        </row>
        <row r="24">
          <cell r="N24">
            <v>1145.55</v>
          </cell>
        </row>
        <row r="25">
          <cell r="N25">
            <v>1398.6000000000001</v>
          </cell>
        </row>
        <row r="26">
          <cell r="N26">
            <v>1620.15</v>
          </cell>
        </row>
      </sheetData>
      <sheetData sheetId="22">
        <row r="15">
          <cell r="J15">
            <v>3198.3</v>
          </cell>
        </row>
        <row r="16">
          <cell r="J16">
            <v>3265.5</v>
          </cell>
        </row>
        <row r="17">
          <cell r="J17">
            <v>3378.9</v>
          </cell>
        </row>
        <row r="28">
          <cell r="J28">
            <v>267.75</v>
          </cell>
        </row>
        <row r="29">
          <cell r="J29">
            <v>269.85000000000002</v>
          </cell>
        </row>
        <row r="30">
          <cell r="J30">
            <v>271.95</v>
          </cell>
        </row>
        <row r="31">
          <cell r="J31">
            <v>278.25</v>
          </cell>
        </row>
        <row r="32">
          <cell r="J32">
            <v>305.55</v>
          </cell>
        </row>
        <row r="33">
          <cell r="J33">
            <v>326.55</v>
          </cell>
        </row>
        <row r="34">
          <cell r="J34">
            <v>349.65000000000003</v>
          </cell>
        </row>
        <row r="37">
          <cell r="J37">
            <v>308.7</v>
          </cell>
        </row>
        <row r="38">
          <cell r="J38">
            <v>310.8</v>
          </cell>
        </row>
        <row r="39">
          <cell r="J39">
            <v>312.90000000000003</v>
          </cell>
        </row>
        <row r="40">
          <cell r="J40">
            <v>317.10000000000002</v>
          </cell>
        </row>
        <row r="41">
          <cell r="J41">
            <v>357</v>
          </cell>
        </row>
        <row r="42">
          <cell r="J42">
            <v>373.8</v>
          </cell>
        </row>
        <row r="43">
          <cell r="J43">
            <v>396.90000000000003</v>
          </cell>
        </row>
        <row r="170">
          <cell r="J170">
            <v>51.45</v>
          </cell>
        </row>
        <row r="171">
          <cell r="J171">
            <v>58.800000000000004</v>
          </cell>
        </row>
      </sheetData>
      <sheetData sheetId="23">
        <row r="75">
          <cell r="J75">
            <v>6199.1860000000015</v>
          </cell>
        </row>
        <row r="76">
          <cell r="J76">
            <v>6533.9540000000006</v>
          </cell>
        </row>
        <row r="77">
          <cell r="J77">
            <v>7177.0160000000024</v>
          </cell>
        </row>
        <row r="111">
          <cell r="J111">
            <v>619.57700000000011</v>
          </cell>
        </row>
        <row r="112">
          <cell r="J112">
            <v>629.82500000000005</v>
          </cell>
        </row>
        <row r="113">
          <cell r="J113">
            <v>664.83900000000017</v>
          </cell>
        </row>
        <row r="114">
          <cell r="J114">
            <v>703.69600000000014</v>
          </cell>
        </row>
        <row r="115">
          <cell r="J115">
            <v>897.12700000000029</v>
          </cell>
        </row>
        <row r="116">
          <cell r="J116">
            <v>925.30900000000008</v>
          </cell>
        </row>
        <row r="117">
          <cell r="J117">
            <v>942.81600000000014</v>
          </cell>
        </row>
        <row r="118">
          <cell r="J118">
            <v>1014.1250000000001</v>
          </cell>
        </row>
        <row r="124">
          <cell r="J124">
            <v>176.35100000000003</v>
          </cell>
        </row>
        <row r="190">
          <cell r="J190">
            <v>424.86500000000001</v>
          </cell>
        </row>
        <row r="191">
          <cell r="J191">
            <v>432.12400000000002</v>
          </cell>
        </row>
        <row r="192">
          <cell r="J192">
            <v>455.60900000000004</v>
          </cell>
        </row>
        <row r="193">
          <cell r="J193">
            <v>505.14100000000008</v>
          </cell>
        </row>
        <row r="194">
          <cell r="J194">
            <v>572.18000000000006</v>
          </cell>
        </row>
        <row r="195">
          <cell r="J195">
            <v>586.27100000000019</v>
          </cell>
        </row>
        <row r="196">
          <cell r="J196">
            <v>632.81400000000008</v>
          </cell>
        </row>
        <row r="197">
          <cell r="J197">
            <v>644.34300000000007</v>
          </cell>
        </row>
        <row r="272">
          <cell r="J272">
            <v>46.116000000000014</v>
          </cell>
        </row>
        <row r="273">
          <cell r="J273">
            <v>48.678000000000004</v>
          </cell>
        </row>
        <row r="274">
          <cell r="J274">
            <v>110.59300000000002</v>
          </cell>
        </row>
        <row r="275">
          <cell r="J275">
            <v>161.833</v>
          </cell>
        </row>
        <row r="276">
          <cell r="J276">
            <v>170.37300000000002</v>
          </cell>
        </row>
        <row r="293">
          <cell r="J293">
            <v>119.98700000000001</v>
          </cell>
        </row>
      </sheetData>
      <sheetData sheetId="24">
        <row r="9">
          <cell r="Q9">
            <v>906916.5</v>
          </cell>
        </row>
        <row r="10">
          <cell r="Q10">
            <v>1165342.5</v>
          </cell>
        </row>
        <row r="11">
          <cell r="Q11">
            <v>1206502.5</v>
          </cell>
        </row>
        <row r="12">
          <cell r="Q12">
            <v>1507705.5</v>
          </cell>
        </row>
        <row r="13">
          <cell r="Q13">
            <v>1835736</v>
          </cell>
        </row>
      </sheetData>
      <sheetData sheetId="25"/>
      <sheetData sheetId="26"/>
      <sheetData sheetId="27"/>
      <sheetData sheetId="28">
        <row r="8">
          <cell r="G8">
            <v>15250</v>
          </cell>
        </row>
      </sheetData>
      <sheetData sheetId="29">
        <row r="8">
          <cell r="G8">
            <v>95950</v>
          </cell>
        </row>
      </sheetData>
      <sheetData sheetId="30">
        <row r="8">
          <cell r="G8">
            <v>161350</v>
          </cell>
        </row>
      </sheetData>
      <sheetData sheetId="31">
        <row r="8">
          <cell r="G8">
            <v>88300</v>
          </cell>
        </row>
      </sheetData>
      <sheetData sheetId="32">
        <row r="8">
          <cell r="G8">
            <v>93350</v>
          </cell>
        </row>
      </sheetData>
      <sheetData sheetId="33">
        <row r="7">
          <cell r="G7">
            <v>15947.9</v>
          </cell>
        </row>
        <row r="8">
          <cell r="G8">
            <v>9988.7000000000007</v>
          </cell>
        </row>
        <row r="9">
          <cell r="G9">
            <v>9988.7000000000007</v>
          </cell>
        </row>
        <row r="10">
          <cell r="G10">
            <v>9988.7000000000007</v>
          </cell>
        </row>
        <row r="11">
          <cell r="G11">
            <v>3473.2</v>
          </cell>
        </row>
      </sheetData>
      <sheetData sheetId="34">
        <row r="23">
          <cell r="F23">
            <v>4070.6111249999999</v>
          </cell>
        </row>
        <row r="32">
          <cell r="F32">
            <v>4070.6111249999999</v>
          </cell>
        </row>
      </sheetData>
      <sheetData sheetId="35"/>
      <sheetData sheetId="36">
        <row r="19">
          <cell r="F19">
            <v>3175.6567500000001</v>
          </cell>
        </row>
      </sheetData>
      <sheetData sheetId="37">
        <row r="17">
          <cell r="J17">
            <v>3245.3546973106791</v>
          </cell>
        </row>
        <row r="31">
          <cell r="J31">
            <v>11955.231240520556</v>
          </cell>
        </row>
      </sheetData>
      <sheetData sheetId="38">
        <row r="3">
          <cell r="E3">
            <v>4387.8868950000005</v>
          </cell>
        </row>
        <row r="4">
          <cell r="E4">
            <v>4699.438905</v>
          </cell>
        </row>
        <row r="5">
          <cell r="E5">
            <v>4057.4529450000005</v>
          </cell>
        </row>
        <row r="6">
          <cell r="E6">
            <v>4387.8868950000005</v>
          </cell>
        </row>
        <row r="7">
          <cell r="E7">
            <v>4057.4529450000005</v>
          </cell>
        </row>
        <row r="8">
          <cell r="E8">
            <v>3769.5033600000006</v>
          </cell>
        </row>
        <row r="9">
          <cell r="E9">
            <v>4576.706295</v>
          </cell>
        </row>
      </sheetData>
      <sheetData sheetId="39">
        <row r="14">
          <cell r="H14">
            <v>32428.620000000003</v>
          </cell>
        </row>
        <row r="15">
          <cell r="H15">
            <v>37564.695</v>
          </cell>
        </row>
        <row r="16">
          <cell r="H16">
            <v>33572.07</v>
          </cell>
        </row>
        <row r="17">
          <cell r="H17">
            <v>38708.145000000004</v>
          </cell>
        </row>
        <row r="18">
          <cell r="H18">
            <v>32428.620000000003</v>
          </cell>
        </row>
        <row r="19">
          <cell r="H19">
            <v>37564.695</v>
          </cell>
        </row>
        <row r="20">
          <cell r="H20">
            <v>33572.07</v>
          </cell>
        </row>
        <row r="21">
          <cell r="H21">
            <v>38708.145000000004</v>
          </cell>
        </row>
        <row r="22">
          <cell r="H22">
            <v>32428.620000000003</v>
          </cell>
        </row>
        <row r="23">
          <cell r="H23">
            <v>37564.695</v>
          </cell>
        </row>
        <row r="24">
          <cell r="H24">
            <v>33572.07</v>
          </cell>
        </row>
        <row r="25">
          <cell r="H25">
            <v>38708.145000000004</v>
          </cell>
        </row>
        <row r="26">
          <cell r="H26">
            <v>5712.5250000000005</v>
          </cell>
        </row>
        <row r="27">
          <cell r="H27">
            <v>7072.380000000001</v>
          </cell>
        </row>
        <row r="28">
          <cell r="H28">
            <v>7072.380000000001</v>
          </cell>
        </row>
        <row r="29">
          <cell r="H29">
            <v>7072.380000000001</v>
          </cell>
        </row>
        <row r="30">
          <cell r="H30">
            <v>12936.105000000001</v>
          </cell>
        </row>
        <row r="31">
          <cell r="H31">
            <v>5145.5250000000005</v>
          </cell>
        </row>
        <row r="32">
          <cell r="H32">
            <v>5712.5250000000005</v>
          </cell>
        </row>
        <row r="33">
          <cell r="H33">
            <v>8576.82</v>
          </cell>
        </row>
        <row r="34">
          <cell r="H34">
            <v>14440.545</v>
          </cell>
        </row>
        <row r="35">
          <cell r="H35">
            <v>8576.82</v>
          </cell>
        </row>
        <row r="36">
          <cell r="H36">
            <v>14440.545</v>
          </cell>
        </row>
        <row r="37">
          <cell r="H37">
            <v>8103.375</v>
          </cell>
        </row>
        <row r="38">
          <cell r="H38">
            <v>13967.1</v>
          </cell>
        </row>
        <row r="39">
          <cell r="H39">
            <v>7358.7150000000001</v>
          </cell>
        </row>
        <row r="40">
          <cell r="H40">
            <v>7143.255000000001</v>
          </cell>
        </row>
        <row r="41">
          <cell r="H41">
            <v>8103.375</v>
          </cell>
        </row>
        <row r="42">
          <cell r="H42">
            <v>13967.1</v>
          </cell>
        </row>
        <row r="43">
          <cell r="H43">
            <v>8383.0949999999993</v>
          </cell>
        </row>
        <row r="44">
          <cell r="H44">
            <v>31982.579999999998</v>
          </cell>
        </row>
        <row r="45">
          <cell r="H45">
            <v>25462.079999999998</v>
          </cell>
        </row>
        <row r="46">
          <cell r="H46">
            <v>30598.154999999999</v>
          </cell>
        </row>
        <row r="47">
          <cell r="H47">
            <v>25106.760000000002</v>
          </cell>
        </row>
        <row r="48">
          <cell r="H48">
            <v>18379.305</v>
          </cell>
        </row>
        <row r="49">
          <cell r="H49">
            <v>13953.87</v>
          </cell>
        </row>
        <row r="50">
          <cell r="H50">
            <v>19089.945000000003</v>
          </cell>
        </row>
        <row r="51">
          <cell r="H51">
            <v>56579.985000000001</v>
          </cell>
        </row>
        <row r="52">
          <cell r="H52">
            <v>14234.535000000002</v>
          </cell>
        </row>
        <row r="53">
          <cell r="H53">
            <v>19370.61</v>
          </cell>
        </row>
        <row r="54">
          <cell r="H54">
            <v>17052.525000000001</v>
          </cell>
        </row>
        <row r="55">
          <cell r="H55">
            <v>51176.474999999999</v>
          </cell>
        </row>
        <row r="56">
          <cell r="H56">
            <v>660.55500000000006</v>
          </cell>
        </row>
        <row r="57">
          <cell r="H57">
            <v>48116.565000000002</v>
          </cell>
        </row>
        <row r="58">
          <cell r="H58">
            <v>8999.2350000000006</v>
          </cell>
        </row>
        <row r="59">
          <cell r="H59">
            <v>22365.314999999999</v>
          </cell>
        </row>
        <row r="60">
          <cell r="H60">
            <v>35730.450000000004</v>
          </cell>
        </row>
        <row r="61">
          <cell r="H61">
            <v>10784.34</v>
          </cell>
        </row>
        <row r="62">
          <cell r="H62">
            <v>20142.674999999999</v>
          </cell>
        </row>
        <row r="63">
          <cell r="H63">
            <v>29052.135000000002</v>
          </cell>
        </row>
        <row r="64">
          <cell r="H64">
            <v>29052.135000000002</v>
          </cell>
        </row>
        <row r="65">
          <cell r="H65">
            <v>31274.775000000001</v>
          </cell>
        </row>
        <row r="66">
          <cell r="H66">
            <v>31274.775000000001</v>
          </cell>
        </row>
        <row r="67">
          <cell r="H67">
            <v>37962.540000000008</v>
          </cell>
        </row>
        <row r="68">
          <cell r="H68">
            <v>49096.53</v>
          </cell>
        </row>
        <row r="69">
          <cell r="H69">
            <v>51327.675000000003</v>
          </cell>
        </row>
        <row r="70">
          <cell r="H70">
            <v>53551.26</v>
          </cell>
        </row>
        <row r="71">
          <cell r="H71">
            <v>55784.295000000006</v>
          </cell>
        </row>
        <row r="72">
          <cell r="H72">
            <v>64693.755000000005</v>
          </cell>
        </row>
        <row r="73">
          <cell r="H73">
            <v>66916.395000000004</v>
          </cell>
        </row>
        <row r="74">
          <cell r="H74">
            <v>75828.69</v>
          </cell>
        </row>
        <row r="75">
          <cell r="H75">
            <v>78059.835000000006</v>
          </cell>
        </row>
        <row r="76">
          <cell r="H76">
            <v>80282.475000000006</v>
          </cell>
        </row>
        <row r="77">
          <cell r="H77">
            <v>86971.184999999998</v>
          </cell>
        </row>
        <row r="78">
          <cell r="H78">
            <v>4923.45</v>
          </cell>
        </row>
        <row r="79">
          <cell r="H79">
            <v>10059.525</v>
          </cell>
        </row>
        <row r="80">
          <cell r="H80">
            <v>917.59500000000003</v>
          </cell>
        </row>
        <row r="81">
          <cell r="H81">
            <v>3898.125</v>
          </cell>
        </row>
        <row r="82">
          <cell r="H82">
            <v>2393.6849999999999</v>
          </cell>
        </row>
        <row r="83">
          <cell r="H83">
            <v>3092.9850000000001</v>
          </cell>
        </row>
        <row r="84">
          <cell r="H84">
            <v>3468.15</v>
          </cell>
        </row>
        <row r="85">
          <cell r="H85">
            <v>1253.0700000000002</v>
          </cell>
        </row>
        <row r="86">
          <cell r="H86">
            <v>243.81</v>
          </cell>
        </row>
        <row r="87">
          <cell r="H87">
            <v>5005.665</v>
          </cell>
        </row>
        <row r="88">
          <cell r="H88">
            <v>665.28000000000009</v>
          </cell>
        </row>
        <row r="89">
          <cell r="H89">
            <v>223.02</v>
          </cell>
        </row>
        <row r="90">
          <cell r="H90">
            <v>916.65000000000009</v>
          </cell>
        </row>
        <row r="91">
          <cell r="H91">
            <v>174.82500000000002</v>
          </cell>
        </row>
        <row r="92">
          <cell r="H92">
            <v>517.86</v>
          </cell>
        </row>
        <row r="93">
          <cell r="H93">
            <v>279.71999999999997</v>
          </cell>
        </row>
        <row r="94">
          <cell r="H94">
            <v>7937.0550000000003</v>
          </cell>
        </row>
        <row r="95">
          <cell r="H95">
            <v>1777.5450000000001</v>
          </cell>
        </row>
        <row r="96">
          <cell r="H96">
            <v>5005.665</v>
          </cell>
        </row>
        <row r="97">
          <cell r="H97">
            <v>174.82500000000002</v>
          </cell>
        </row>
        <row r="98">
          <cell r="H98">
            <v>517.86</v>
          </cell>
        </row>
        <row r="99">
          <cell r="H99">
            <v>279.71999999999997</v>
          </cell>
        </row>
        <row r="100">
          <cell r="H100">
            <v>7937.0550000000003</v>
          </cell>
        </row>
        <row r="101">
          <cell r="H101">
            <v>5005.665</v>
          </cell>
        </row>
        <row r="102">
          <cell r="H102">
            <v>1668.8700000000001</v>
          </cell>
        </row>
        <row r="103">
          <cell r="H103">
            <v>665.28000000000009</v>
          </cell>
        </row>
        <row r="104">
          <cell r="H104">
            <v>916.65000000000009</v>
          </cell>
        </row>
        <row r="105">
          <cell r="H105">
            <v>40.635000000000005</v>
          </cell>
        </row>
        <row r="106">
          <cell r="H106">
            <v>174.82500000000002</v>
          </cell>
        </row>
        <row r="107">
          <cell r="H107">
            <v>517.86</v>
          </cell>
        </row>
        <row r="108">
          <cell r="H108">
            <v>279.71999999999997</v>
          </cell>
        </row>
        <row r="109">
          <cell r="H109">
            <v>7937.0550000000003</v>
          </cell>
        </row>
        <row r="110">
          <cell r="H110">
            <v>5005.665</v>
          </cell>
        </row>
        <row r="111">
          <cell r="H111">
            <v>1668.8700000000001</v>
          </cell>
        </row>
        <row r="112">
          <cell r="H112">
            <v>665.28000000000009</v>
          </cell>
        </row>
        <row r="113">
          <cell r="H113">
            <v>916.65000000000009</v>
          </cell>
        </row>
        <row r="114">
          <cell r="H114">
            <v>40.635000000000005</v>
          </cell>
        </row>
        <row r="115">
          <cell r="H115">
            <v>174.82500000000002</v>
          </cell>
        </row>
        <row r="116">
          <cell r="H116">
            <v>517.86</v>
          </cell>
        </row>
        <row r="117">
          <cell r="H117">
            <v>279.71999999999997</v>
          </cell>
        </row>
        <row r="118">
          <cell r="H118">
            <v>7937.0550000000003</v>
          </cell>
        </row>
        <row r="119">
          <cell r="H119">
            <v>5005.665</v>
          </cell>
        </row>
        <row r="120">
          <cell r="H120">
            <v>3729.9150000000004</v>
          </cell>
        </row>
        <row r="121">
          <cell r="H121">
            <v>665.28000000000009</v>
          </cell>
        </row>
        <row r="122">
          <cell r="H122">
            <v>916.65000000000009</v>
          </cell>
        </row>
        <row r="123">
          <cell r="H123">
            <v>40.635000000000005</v>
          </cell>
        </row>
        <row r="124">
          <cell r="H124">
            <v>174.82500000000002</v>
          </cell>
        </row>
        <row r="125">
          <cell r="H125">
            <v>517.86</v>
          </cell>
        </row>
        <row r="126">
          <cell r="H126">
            <v>279.71999999999997</v>
          </cell>
        </row>
        <row r="127">
          <cell r="H127">
            <v>7937.0550000000003</v>
          </cell>
        </row>
        <row r="128">
          <cell r="H128">
            <v>5005.665</v>
          </cell>
        </row>
        <row r="129">
          <cell r="H129">
            <v>916.65000000000009</v>
          </cell>
        </row>
        <row r="130">
          <cell r="H130">
            <v>40.635000000000005</v>
          </cell>
        </row>
        <row r="131">
          <cell r="H131">
            <v>174.82500000000002</v>
          </cell>
        </row>
        <row r="132">
          <cell r="H132">
            <v>517.86</v>
          </cell>
        </row>
        <row r="133">
          <cell r="H133">
            <v>279.71999999999997</v>
          </cell>
        </row>
        <row r="134">
          <cell r="H134">
            <v>7937.0550000000003</v>
          </cell>
        </row>
        <row r="135">
          <cell r="H135">
            <v>28961.415000000001</v>
          </cell>
        </row>
        <row r="136">
          <cell r="H136">
            <v>12093.164999999999</v>
          </cell>
        </row>
        <row r="137">
          <cell r="H137">
            <v>23427.495000000003</v>
          </cell>
        </row>
        <row r="138">
          <cell r="H138">
            <v>35535.78</v>
          </cell>
        </row>
        <row r="139">
          <cell r="H139">
            <v>276.88499999999999</v>
          </cell>
        </row>
        <row r="140">
          <cell r="H140">
            <v>276.88499999999999</v>
          </cell>
        </row>
        <row r="141">
          <cell r="H141">
            <v>276.88499999999999</v>
          </cell>
        </row>
        <row r="142">
          <cell r="H142">
            <v>12010.005000000001</v>
          </cell>
        </row>
      </sheetData>
      <sheetData sheetId="4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"/>
      <sheetName val="Светильники Профдед н"/>
      <sheetName val="Светильники ЭТМ"/>
      <sheetName val="Список и контакты поставщиков"/>
      <sheetName val="Стекл двери в алюм."/>
      <sheetName val=" "/>
      <sheetName val="Радиаторы "/>
      <sheetName val="Потолок Грильято"/>
      <sheetName val="Сантехника"/>
      <sheetName val="Плитка СУ"/>
      <sheetName val="Трансформируемая перегородка"/>
      <sheetName val="Щиты в сборе"/>
      <sheetName val="Розетки ДКС"/>
      <sheetName val="Тепловые завесы"/>
      <sheetName val="Двери Kapelli"/>
      <sheetName val=" Кондиционеры бытовые"/>
      <sheetName val="Кондиционеры Haier VRF"/>
      <sheetName val="Кондиционеры серверная"/>
      <sheetName val="Вентмашины"/>
      <sheetName val="Kerama Marazzi"/>
      <sheetName val="МДМ Лайтбоксы"/>
      <sheetName val="Для калькулятора"/>
      <sheetName val="ККО"/>
      <sheetName val="Инфраструктура"/>
      <sheetName val="Ковролин"/>
      <sheetName val="свод_исходн"/>
      <sheetName val="Смета ЕР (общ) "/>
      <sheetName val="Проектирование до 100"/>
      <sheetName val="Проектирование 100-450"/>
      <sheetName val="АПС, СОУЭ, ППА"/>
      <sheetName val="Освещение Рефлекта"/>
      <sheetName val="Броня"/>
      <sheetName val="Радиаторы"/>
      <sheetName val="Бескаркасные двери и перегородк"/>
      <sheetName val="Стекл двери в алюм. (2)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Дерев. гл. двери в проем"/>
      <sheetName val="Акустические потолки"/>
      <sheetName val="Ковровая плитка"/>
      <sheetName val="ПВХ"/>
      <sheetName val="ПВХ аналог"/>
      <sheetName val="Фальшпол"/>
      <sheetName val="Сантехника инф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232">
          <cell r="J1232">
            <v>577.62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новым ценам (3)"/>
      <sheetName val="Проектирование до 100"/>
      <sheetName val="Проектирование 100-450"/>
      <sheetName val="АПС, СОУЭ, ППА"/>
      <sheetName val="Светильники ЭТМ"/>
      <sheetName val="Сантехника"/>
      <sheetName val="Светильники Профдед н"/>
      <sheetName val="Двери Kapelli"/>
      <sheetName val="Броня"/>
      <sheetName val="Плитка СУ"/>
      <sheetName val="Радиаторы"/>
      <sheetName val="Бескаркасные двери и перегородк"/>
      <sheetName val="Kerama Marazzi"/>
      <sheetName val="Трансформируемая перегородка"/>
      <sheetName val="Стекл двери в алюм. (2)"/>
      <sheetName val="Щиты в сборе"/>
      <sheetName val="Розетки ДКС"/>
      <sheetName val="Тепловые завесы"/>
      <sheetName val=" Кондиционеры бытовые"/>
      <sheetName val="Кондиционеры Haier VRF"/>
      <sheetName val="Кондиционеры серверная"/>
      <sheetName val="Вентмашины"/>
      <sheetName val="Для калькулятора"/>
      <sheetName val="ККО"/>
      <sheetName val="Инфраструктура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Список и контакты поставщиков"/>
      <sheetName val="Дерев. гл. двери в проем"/>
      <sheetName val="Акустические потолки"/>
      <sheetName val="Ковровая плитка"/>
      <sheetName val="ПВХ"/>
      <sheetName val="ПВХ аналог"/>
      <sheetName val="Фальшпол"/>
      <sheetName val="Сантехника инфр"/>
      <sheetName val="Смета ЕР (общ) "/>
      <sheetName val="Закрытие 1"/>
      <sheetName val="СО1"/>
      <sheetName val="СО2"/>
      <sheetName val="СО3"/>
      <sheetName val="СО4"/>
      <sheetName val="Освещение Рефлекта"/>
    </sheetNames>
    <sheetDataSet>
      <sheetData sheetId="0">
        <row r="1351">
          <cell r="J1351">
            <v>0</v>
          </cell>
          <cell r="M1351">
            <v>2000</v>
          </cell>
          <cell r="N1351">
            <v>6902.28</v>
          </cell>
        </row>
        <row r="1352">
          <cell r="J1352">
            <v>0</v>
          </cell>
          <cell r="M1352">
            <v>5225</v>
          </cell>
          <cell r="N1352">
            <v>18332.150000000001</v>
          </cell>
        </row>
        <row r="1353">
          <cell r="J1353">
            <v>0</v>
          </cell>
          <cell r="M1353">
            <v>5225</v>
          </cell>
          <cell r="N1353">
            <v>18332.150000000001</v>
          </cell>
        </row>
        <row r="1355">
          <cell r="J1355">
            <v>0</v>
          </cell>
          <cell r="M1355">
            <v>8119.83</v>
          </cell>
          <cell r="N1355">
            <v>31734.38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10" Type="http://schemas.openxmlformats.org/officeDocument/2006/relationships/comments" Target="../comments1.xml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15308-8C70-4EF8-8FA2-FC330E1F863D}">
  <sheetPr filterMode="1">
    <tabColor rgb="FF00B050"/>
    <pageSetUpPr fitToPage="1"/>
  </sheetPr>
  <dimension ref="A1:V1709"/>
  <sheetViews>
    <sheetView showGridLines="0" tabSelected="1" zoomScale="66" zoomScaleNormal="115" workbookViewId="0"/>
  </sheetViews>
  <sheetFormatPr defaultColWidth="9.109375" defaultRowHeight="18" customHeight="1" x14ac:dyDescent="0.3"/>
  <cols>
    <col min="1" max="1" width="10.44140625" customWidth="1"/>
    <col min="2" max="3" width="10.44140625" hidden="1" customWidth="1"/>
    <col min="4" max="4" width="7.5546875" hidden="1" customWidth="1"/>
    <col min="5" max="5" width="11.88671875" hidden="1" customWidth="1"/>
    <col min="6" max="6" width="10.44140625" customWidth="1"/>
    <col min="7" max="7" width="59" style="144" customWidth="1"/>
    <col min="8" max="8" width="9.44140625" customWidth="1"/>
    <col min="9" max="9" width="13.44140625" style="145" customWidth="1"/>
    <col min="10" max="10" width="9.6640625" customWidth="1"/>
    <col min="11" max="13" width="12" customWidth="1"/>
    <col min="14" max="14" width="12.109375" customWidth="1"/>
    <col min="15" max="15" width="11.33203125" customWidth="1"/>
    <col min="16" max="16" width="46.88671875" style="20" customWidth="1"/>
    <col min="17" max="17" width="8.44140625" style="17" customWidth="1"/>
    <col min="18" max="18" width="13" customWidth="1"/>
    <col min="19" max="19" width="9.109375" customWidth="1"/>
    <col min="20" max="20" width="9.109375" hidden="1" customWidth="1"/>
  </cols>
  <sheetData>
    <row r="1" spans="1:20" s="4" customFormat="1" ht="12.75" customHeight="1" x14ac:dyDescent="0.25">
      <c r="A1" s="1"/>
      <c r="B1" s="1"/>
      <c r="C1" s="1"/>
      <c r="D1" s="1"/>
      <c r="E1" s="1"/>
      <c r="F1" s="155" t="s">
        <v>0</v>
      </c>
      <c r="G1" s="156"/>
      <c r="H1" s="157"/>
      <c r="I1" s="157"/>
      <c r="J1" s="157"/>
      <c r="K1" s="157"/>
      <c r="L1" s="157"/>
      <c r="M1" s="157"/>
      <c r="N1" s="157"/>
      <c r="O1" s="157"/>
      <c r="P1" s="2" t="s">
        <v>1</v>
      </c>
      <c r="Q1" s="3">
        <v>81</v>
      </c>
    </row>
    <row r="2" spans="1:20" s="4" customFormat="1" ht="12.75" customHeight="1" x14ac:dyDescent="0.25">
      <c r="A2" s="1"/>
      <c r="B2" s="1"/>
      <c r="C2" s="1"/>
      <c r="D2" s="1"/>
      <c r="E2" s="1"/>
      <c r="F2" s="148" t="s">
        <v>2</v>
      </c>
      <c r="G2" s="149" t="s">
        <v>3</v>
      </c>
      <c r="H2" s="153" t="s">
        <v>4</v>
      </c>
      <c r="I2" s="153"/>
      <c r="J2" s="153"/>
      <c r="K2" s="153"/>
      <c r="L2" s="153"/>
      <c r="M2" s="153"/>
      <c r="N2" s="153"/>
      <c r="O2" s="153"/>
      <c r="P2" s="2" t="s">
        <v>5</v>
      </c>
      <c r="Q2" s="3">
        <v>95</v>
      </c>
    </row>
    <row r="3" spans="1:20" s="4" customFormat="1" ht="12.75" customHeight="1" x14ac:dyDescent="0.25">
      <c r="A3" s="1"/>
      <c r="B3" s="1"/>
      <c r="C3" s="1"/>
      <c r="D3" s="1"/>
      <c r="E3" s="1"/>
      <c r="F3" s="148" t="s">
        <v>6</v>
      </c>
      <c r="G3" s="149" t="s">
        <v>7</v>
      </c>
      <c r="H3" s="153" t="s">
        <v>8</v>
      </c>
      <c r="I3" s="153"/>
      <c r="J3" s="153"/>
      <c r="K3" s="153"/>
      <c r="L3" s="153"/>
      <c r="M3" s="153"/>
      <c r="N3" s="153"/>
      <c r="O3" s="153"/>
      <c r="P3" s="2" t="s">
        <v>9</v>
      </c>
      <c r="Q3" s="5">
        <v>0</v>
      </c>
    </row>
    <row r="4" spans="1:20" s="4" customFormat="1" ht="12.75" customHeight="1" x14ac:dyDescent="0.25">
      <c r="A4" s="1"/>
      <c r="B4" s="1"/>
      <c r="C4" s="1"/>
      <c r="D4" s="1"/>
      <c r="E4" s="1"/>
      <c r="F4" s="148" t="s">
        <v>10</v>
      </c>
      <c r="G4" s="149" t="s">
        <v>10</v>
      </c>
      <c r="H4" s="153" t="s">
        <v>11</v>
      </c>
      <c r="I4" s="153"/>
      <c r="J4" s="153"/>
      <c r="K4" s="153"/>
      <c r="L4" s="153"/>
      <c r="M4" s="153"/>
      <c r="N4" s="153"/>
      <c r="O4" s="153"/>
      <c r="P4" s="2" t="s">
        <v>12</v>
      </c>
      <c r="Q4" s="3">
        <v>10.94</v>
      </c>
    </row>
    <row r="5" spans="1:20" s="4" customFormat="1" ht="12.75" customHeight="1" x14ac:dyDescent="0.25">
      <c r="A5" s="1"/>
      <c r="B5" s="1"/>
      <c r="C5" s="1"/>
      <c r="D5" s="1"/>
      <c r="E5" s="1"/>
      <c r="F5" s="148" t="s">
        <v>13</v>
      </c>
      <c r="G5" s="149" t="s">
        <v>13</v>
      </c>
      <c r="H5" s="154"/>
      <c r="I5" s="154"/>
      <c r="J5" s="154"/>
      <c r="K5" s="154"/>
      <c r="L5" s="154"/>
      <c r="M5" s="154"/>
      <c r="N5" s="154"/>
      <c r="O5" s="154"/>
      <c r="P5" s="6"/>
      <c r="Q5" s="7"/>
    </row>
    <row r="6" spans="1:20" s="4" customFormat="1" ht="12.75" customHeight="1" x14ac:dyDescent="0.25">
      <c r="A6" s="1"/>
      <c r="B6" s="1"/>
      <c r="C6" s="1"/>
      <c r="D6" s="1"/>
      <c r="E6" s="1"/>
      <c r="F6" s="148" t="s">
        <v>14</v>
      </c>
      <c r="G6" s="149" t="s">
        <v>14</v>
      </c>
      <c r="H6" s="150"/>
      <c r="I6" s="150"/>
      <c r="J6" s="150"/>
      <c r="K6" s="150"/>
      <c r="L6" s="150"/>
      <c r="M6" s="150"/>
      <c r="N6" s="150"/>
      <c r="O6" s="150"/>
      <c r="P6" s="6"/>
      <c r="Q6" s="7"/>
      <c r="R6" s="8"/>
    </row>
    <row r="7" spans="1:20" s="4" customFormat="1" ht="12.75" customHeight="1" x14ac:dyDescent="0.3">
      <c r="A7" s="1"/>
      <c r="B7" s="1"/>
      <c r="C7" s="1"/>
      <c r="D7" s="1"/>
      <c r="E7" s="1"/>
      <c r="F7" s="148" t="s">
        <v>15</v>
      </c>
      <c r="G7" s="149" t="s">
        <v>15</v>
      </c>
      <c r="H7" s="152"/>
      <c r="I7" s="150"/>
      <c r="J7" s="150"/>
      <c r="K7" s="150"/>
      <c r="L7" s="150"/>
      <c r="M7" s="150"/>
      <c r="N7" s="150"/>
      <c r="O7" s="150"/>
      <c r="P7" s="6"/>
      <c r="Q7" s="7"/>
      <c r="R7" s="8"/>
    </row>
    <row r="8" spans="1:20" s="4" customFormat="1" ht="12.75" customHeight="1" x14ac:dyDescent="0.25">
      <c r="A8" s="1"/>
      <c r="B8" s="1"/>
      <c r="C8" s="1"/>
      <c r="D8" s="1"/>
      <c r="E8" s="1"/>
      <c r="F8" s="148" t="s">
        <v>16</v>
      </c>
      <c r="G8" s="149" t="s">
        <v>16</v>
      </c>
      <c r="H8" s="150"/>
      <c r="I8" s="150"/>
      <c r="J8" s="150"/>
      <c r="K8" s="150"/>
      <c r="L8" s="150"/>
      <c r="M8" s="150"/>
      <c r="N8" s="150"/>
      <c r="O8" s="150"/>
      <c r="P8" s="6"/>
      <c r="Q8" s="7"/>
      <c r="R8" s="8"/>
    </row>
    <row r="9" spans="1:20" s="4" customFormat="1" ht="12.75" customHeight="1" x14ac:dyDescent="0.25">
      <c r="A9" s="1"/>
      <c r="B9" s="1"/>
      <c r="C9" s="1"/>
      <c r="D9" s="1"/>
      <c r="E9" s="1"/>
      <c r="F9" s="148" t="s">
        <v>17</v>
      </c>
      <c r="G9" s="149" t="s">
        <v>17</v>
      </c>
      <c r="H9" s="150"/>
      <c r="I9" s="150"/>
      <c r="J9" s="150"/>
      <c r="K9" s="150"/>
      <c r="L9" s="150"/>
      <c r="M9" s="150"/>
      <c r="N9" s="150"/>
      <c r="O9" s="150"/>
      <c r="P9" s="6"/>
      <c r="Q9" s="7"/>
      <c r="R9" s="8"/>
    </row>
    <row r="10" spans="1:20" s="4" customFormat="1" ht="12.75" customHeight="1" x14ac:dyDescent="0.25">
      <c r="A10" s="1"/>
      <c r="B10" s="1"/>
      <c r="C10" s="1"/>
      <c r="D10" s="1"/>
      <c r="E10" s="1"/>
      <c r="F10" s="148" t="s">
        <v>18</v>
      </c>
      <c r="G10" s="149" t="s">
        <v>18</v>
      </c>
      <c r="H10" s="150"/>
      <c r="I10" s="150"/>
      <c r="J10" s="150"/>
      <c r="K10" s="150"/>
      <c r="L10" s="150"/>
      <c r="M10" s="150"/>
      <c r="N10" s="150"/>
      <c r="O10" s="150"/>
      <c r="P10" s="6"/>
      <c r="Q10" s="7"/>
    </row>
    <row r="11" spans="1:20" s="4" customFormat="1" ht="12.75" customHeight="1" x14ac:dyDescent="0.25">
      <c r="A11" s="1"/>
      <c r="B11" s="1"/>
      <c r="C11" s="1"/>
      <c r="D11" s="1"/>
      <c r="E11" s="1"/>
      <c r="F11" s="148" t="s">
        <v>19</v>
      </c>
      <c r="G11" s="149" t="s">
        <v>19</v>
      </c>
      <c r="H11" s="151">
        <f>N1708</f>
        <v>0</v>
      </c>
      <c r="I11" s="151"/>
      <c r="J11" s="151"/>
      <c r="K11" s="151"/>
      <c r="L11" s="151"/>
      <c r="M11" s="151"/>
      <c r="N11" s="151"/>
      <c r="O11" s="151"/>
      <c r="P11" s="6"/>
    </row>
    <row r="12" spans="1:20" s="4" customFormat="1" ht="9" customHeight="1" x14ac:dyDescent="0.25">
      <c r="L12" s="9"/>
      <c r="M12" s="9"/>
      <c r="N12" s="9"/>
      <c r="O12" s="9"/>
      <c r="P12" s="6"/>
    </row>
    <row r="13" spans="1:20" s="4" customFormat="1" ht="12.75" hidden="1" customHeight="1" x14ac:dyDescent="0.25">
      <c r="L13" s="10"/>
      <c r="M13" s="10"/>
      <c r="N13" s="10"/>
      <c r="O13" s="10"/>
      <c r="P13" s="11"/>
    </row>
    <row r="14" spans="1:20" ht="61.5" customHeight="1" x14ac:dyDescent="0.3">
      <c r="A14" s="12" t="s">
        <v>20</v>
      </c>
      <c r="B14" s="12" t="s">
        <v>21</v>
      </c>
      <c r="C14" s="12" t="s">
        <v>22</v>
      </c>
      <c r="D14" s="12" t="s">
        <v>23</v>
      </c>
      <c r="E14" s="12" t="s">
        <v>24</v>
      </c>
      <c r="F14" s="12" t="s">
        <v>25</v>
      </c>
      <c r="G14" s="13" t="s">
        <v>26</v>
      </c>
      <c r="H14" s="14" t="s">
        <v>27</v>
      </c>
      <c r="I14" s="15" t="s">
        <v>28</v>
      </c>
      <c r="J14" s="16" t="s">
        <v>29</v>
      </c>
      <c r="K14" s="16" t="s">
        <v>30</v>
      </c>
      <c r="L14" s="15" t="s">
        <v>31</v>
      </c>
      <c r="M14" s="15" t="s">
        <v>32</v>
      </c>
      <c r="N14" s="15" t="s">
        <v>33</v>
      </c>
      <c r="O14" s="15" t="s">
        <v>34</v>
      </c>
      <c r="P14" s="15" t="s">
        <v>35</v>
      </c>
      <c r="R14" s="18"/>
      <c r="T14" t="s">
        <v>28</v>
      </c>
    </row>
    <row r="15" spans="1:20" ht="14.4" hidden="1" x14ac:dyDescent="0.3">
      <c r="A15" s="19" t="s">
        <v>36</v>
      </c>
      <c r="B15" s="19">
        <v>0</v>
      </c>
      <c r="C15" s="19"/>
      <c r="D15" s="19">
        <v>0</v>
      </c>
      <c r="E15" s="19" t="str">
        <f>CONCATENATE('Смета ЕР (общ) '!$A15,".",'Смета ЕР (общ) '!$B15,".",'Смета ЕР (общ) '!$D15)</f>
        <v>Р1.0.0</v>
      </c>
      <c r="F15" s="19">
        <v>1</v>
      </c>
      <c r="G15" s="21" t="s">
        <v>37</v>
      </c>
      <c r="H15" s="22"/>
      <c r="I15" s="23"/>
      <c r="J15" s="24"/>
      <c r="K15" s="24"/>
      <c r="L15" s="25"/>
      <c r="M15" s="25"/>
      <c r="N15" s="25">
        <f>ROUND(N16,2)</f>
        <v>0</v>
      </c>
      <c r="O15" s="25">
        <f>ROUND(O16,2)</f>
        <v>0</v>
      </c>
      <c r="P15" s="45"/>
      <c r="T15">
        <v>1498</v>
      </c>
    </row>
    <row r="16" spans="1:20" ht="14.4" hidden="1" x14ac:dyDescent="0.3">
      <c r="A16" s="19" t="s">
        <v>36</v>
      </c>
      <c r="B16" s="19">
        <v>1</v>
      </c>
      <c r="C16" s="19"/>
      <c r="D16" s="19">
        <v>0</v>
      </c>
      <c r="E16" s="19" t="str">
        <f>CONCATENATE('Смета ЕР (общ) '!$A16,".",'Смета ЕР (общ) '!$B16,".",'Смета ЕР (общ) '!$D16)</f>
        <v>Р1.1.0</v>
      </c>
      <c r="F16" s="19">
        <f>IF(I16&gt;0,F15+1,F15)</f>
        <v>1</v>
      </c>
      <c r="G16" s="21" t="s">
        <v>38</v>
      </c>
      <c r="H16" s="22"/>
      <c r="I16" s="23"/>
      <c r="J16" s="24"/>
      <c r="K16" s="24"/>
      <c r="L16" s="25"/>
      <c r="M16" s="25"/>
      <c r="N16" s="25">
        <f>SUM(N17:N108)</f>
        <v>0</v>
      </c>
      <c r="O16" s="25">
        <f>SUM(O17:O108)</f>
        <v>0</v>
      </c>
      <c r="P16" s="45"/>
      <c r="T16">
        <v>1498</v>
      </c>
    </row>
    <row r="17" spans="1:20" ht="36" hidden="1" x14ac:dyDescent="0.3">
      <c r="A17" s="26" t="s">
        <v>36</v>
      </c>
      <c r="B17" s="26">
        <v>1</v>
      </c>
      <c r="C17" s="26"/>
      <c r="D17" s="26">
        <v>1</v>
      </c>
      <c r="E17" s="26" t="str">
        <f>CONCATENATE('Смета ЕР (общ) '!$A17,".",'Смета ЕР (общ) '!$B17,".",'Смета ЕР (общ) '!$D17)</f>
        <v>Р1.1.1</v>
      </c>
      <c r="F17" s="26">
        <f t="shared" ref="F17:F80" si="0">IF(I17&gt;0,F16+1,F16)</f>
        <v>1</v>
      </c>
      <c r="G17" s="27" t="s">
        <v>39</v>
      </c>
      <c r="H17" s="28" t="s">
        <v>40</v>
      </c>
      <c r="I17" s="158"/>
      <c r="J17" s="30">
        <f>'[14]Проектирование 100-450'!E36*1.05</f>
        <v>3675</v>
      </c>
      <c r="K17" s="30">
        <v>0</v>
      </c>
      <c r="L17" s="30">
        <f t="shared" ref="L17:M32" si="1">ROUND(J17-J17*$Q$3,2)</f>
        <v>3675</v>
      </c>
      <c r="M17" s="30">
        <f t="shared" si="1"/>
        <v>0</v>
      </c>
      <c r="N17" s="30">
        <f>ROUND('Смета ЕР (общ) '!$I17*'Смета ЕР (общ) '!$L17,2)</f>
        <v>0</v>
      </c>
      <c r="O17" s="30">
        <f>ROUND('Смета ЕР (общ) '!$I17*'Смета ЕР (общ) '!$M17,2)</f>
        <v>0</v>
      </c>
      <c r="P17" s="45"/>
    </row>
    <row r="18" spans="1:20" ht="36" hidden="1" x14ac:dyDescent="0.3">
      <c r="A18" s="26" t="s">
        <v>36</v>
      </c>
      <c r="B18" s="26">
        <v>1</v>
      </c>
      <c r="C18" s="26"/>
      <c r="D18" s="26">
        <v>44</v>
      </c>
      <c r="E18" s="26" t="str">
        <f>CONCATENATE('Смета ЕР (общ) '!$A18,".",'Смета ЕР (общ) '!$B18,".",'Смета ЕР (общ) '!$D18)</f>
        <v>Р1.1.44</v>
      </c>
      <c r="F18" s="26">
        <f t="shared" si="0"/>
        <v>1</v>
      </c>
      <c r="G18" s="27" t="s">
        <v>41</v>
      </c>
      <c r="H18" s="28" t="s">
        <v>40</v>
      </c>
      <c r="I18" s="158"/>
      <c r="J18" s="30">
        <f>'[14]Проектирование 100-450'!E37*1.05</f>
        <v>7822.5</v>
      </c>
      <c r="K18" s="30">
        <v>0</v>
      </c>
      <c r="L18" s="30">
        <f t="shared" si="1"/>
        <v>7822.5</v>
      </c>
      <c r="M18" s="30">
        <f t="shared" si="1"/>
        <v>0</v>
      </c>
      <c r="N18" s="30">
        <f>ROUND('Смета ЕР (общ) '!$I18*'Смета ЕР (общ) '!$L18,2)</f>
        <v>0</v>
      </c>
      <c r="O18" s="30">
        <f>ROUND('Смета ЕР (общ) '!$I18*'Смета ЕР (общ) '!$M18,2)</f>
        <v>0</v>
      </c>
      <c r="P18" s="45"/>
    </row>
    <row r="19" spans="1:20" ht="24" hidden="1" x14ac:dyDescent="0.3">
      <c r="A19" s="26" t="s">
        <v>36</v>
      </c>
      <c r="B19" s="26">
        <v>1</v>
      </c>
      <c r="C19" s="26"/>
      <c r="D19" s="26">
        <v>2</v>
      </c>
      <c r="E19" s="26" t="str">
        <f>CONCATENATE('Смета ЕР (общ) '!$A19,".",'Смета ЕР (общ) '!$B19,".",'Смета ЕР (общ) '!$D19)</f>
        <v>Р1.1.2</v>
      </c>
      <c r="F19" s="26">
        <f t="shared" si="0"/>
        <v>1</v>
      </c>
      <c r="G19" s="27" t="s">
        <v>42</v>
      </c>
      <c r="H19" s="28" t="s">
        <v>40</v>
      </c>
      <c r="I19" s="158"/>
      <c r="J19" s="30">
        <f>'[14]Проектирование 100-450'!E18*1.05</f>
        <v>135.45000000000002</v>
      </c>
      <c r="K19" s="30">
        <v>0</v>
      </c>
      <c r="L19" s="30">
        <f t="shared" si="1"/>
        <v>135.44999999999999</v>
      </c>
      <c r="M19" s="30">
        <f t="shared" si="1"/>
        <v>0</v>
      </c>
      <c r="N19" s="30">
        <f>ROUND('Смета ЕР (общ) '!$I19*'Смета ЕР (общ) '!$L19,2)</f>
        <v>0</v>
      </c>
      <c r="O19" s="30">
        <f>ROUND('Смета ЕР (общ) '!$I19*'Смета ЕР (общ) '!$M19,2)</f>
        <v>0</v>
      </c>
      <c r="P19" s="45"/>
    </row>
    <row r="20" spans="1:20" ht="24" hidden="1" x14ac:dyDescent="0.3">
      <c r="A20" s="26" t="s">
        <v>36</v>
      </c>
      <c r="B20" s="26">
        <v>1</v>
      </c>
      <c r="C20" s="26"/>
      <c r="D20" s="26">
        <v>3</v>
      </c>
      <c r="E20" s="26" t="str">
        <f>CONCATENATE('Смета ЕР (общ) '!$A20,".",'Смета ЕР (общ) '!$B20,".",'Смета ЕР (общ) '!$D20)</f>
        <v>Р1.1.3</v>
      </c>
      <c r="F20" s="26">
        <f t="shared" si="0"/>
        <v>1</v>
      </c>
      <c r="G20" s="27" t="s">
        <v>43</v>
      </c>
      <c r="H20" s="28" t="s">
        <v>40</v>
      </c>
      <c r="I20" s="158"/>
      <c r="J20" s="30">
        <f>'[14]Проектирование 100-450'!E19*1.05</f>
        <v>389.55</v>
      </c>
      <c r="K20" s="30">
        <v>0</v>
      </c>
      <c r="L20" s="30">
        <f t="shared" si="1"/>
        <v>389.55</v>
      </c>
      <c r="M20" s="30">
        <f t="shared" si="1"/>
        <v>0</v>
      </c>
      <c r="N20" s="30">
        <f>ROUND('Смета ЕР (общ) '!$I20*'Смета ЕР (общ) '!$L20,2)</f>
        <v>0</v>
      </c>
      <c r="O20" s="30">
        <f>ROUND('Смета ЕР (общ) '!$I20*'Смета ЕР (общ) '!$M20,2)</f>
        <v>0</v>
      </c>
      <c r="P20" s="45"/>
      <c r="T20">
        <v>214</v>
      </c>
    </row>
    <row r="21" spans="1:20" ht="24" hidden="1" x14ac:dyDescent="0.3">
      <c r="A21" s="26" t="s">
        <v>36</v>
      </c>
      <c r="B21" s="26">
        <v>1</v>
      </c>
      <c r="C21" s="26"/>
      <c r="D21" s="26">
        <v>4</v>
      </c>
      <c r="E21" s="26" t="str">
        <f>CONCATENATE('Смета ЕР (общ) '!$A21,".",'Смета ЕР (общ) '!$B21,".",'Смета ЕР (общ) '!$D21)</f>
        <v>Р1.1.4</v>
      </c>
      <c r="F21" s="26">
        <f t="shared" si="0"/>
        <v>1</v>
      </c>
      <c r="G21" s="27" t="s">
        <v>44</v>
      </c>
      <c r="H21" s="28" t="s">
        <v>40</v>
      </c>
      <c r="I21" s="158"/>
      <c r="J21" s="30">
        <f>'[14]Проектирование 100-450'!E20*1.05</f>
        <v>258.3</v>
      </c>
      <c r="K21" s="30">
        <v>0</v>
      </c>
      <c r="L21" s="30">
        <f t="shared" si="1"/>
        <v>258.3</v>
      </c>
      <c r="M21" s="30">
        <f t="shared" si="1"/>
        <v>0</v>
      </c>
      <c r="N21" s="30">
        <f>ROUND('Смета ЕР (общ) '!$I21*'Смета ЕР (общ) '!$L21,2)</f>
        <v>0</v>
      </c>
      <c r="O21" s="30">
        <f>ROUND('Смета ЕР (общ) '!$I21*'Смета ЕР (общ) '!$M21,2)</f>
        <v>0</v>
      </c>
      <c r="P21" s="45"/>
      <c r="T21">
        <v>214</v>
      </c>
    </row>
    <row r="22" spans="1:20" ht="24" hidden="1" x14ac:dyDescent="0.3">
      <c r="A22" s="26" t="s">
        <v>36</v>
      </c>
      <c r="B22" s="26">
        <v>1</v>
      </c>
      <c r="C22" s="26"/>
      <c r="D22" s="26">
        <v>5</v>
      </c>
      <c r="E22" s="26" t="str">
        <f>CONCATENATE('Смета ЕР (общ) '!$A22,".",'Смета ЕР (общ) '!$B22,".",'Смета ЕР (общ) '!$D22)</f>
        <v>Р1.1.5</v>
      </c>
      <c r="F22" s="26">
        <f t="shared" si="0"/>
        <v>1</v>
      </c>
      <c r="G22" s="27" t="s">
        <v>45</v>
      </c>
      <c r="H22" s="28" t="s">
        <v>40</v>
      </c>
      <c r="I22" s="158"/>
      <c r="J22" s="30">
        <f>'[14]Проектирование 100-450'!E21*1.05</f>
        <v>202.65</v>
      </c>
      <c r="K22" s="30">
        <v>0</v>
      </c>
      <c r="L22" s="30">
        <f t="shared" si="1"/>
        <v>202.65</v>
      </c>
      <c r="M22" s="30">
        <f t="shared" si="1"/>
        <v>0</v>
      </c>
      <c r="N22" s="30">
        <f>ROUND('Смета ЕР (общ) '!$I22*'Смета ЕР (общ) '!$L22,2)</f>
        <v>0</v>
      </c>
      <c r="O22" s="30">
        <f>ROUND('Смета ЕР (общ) '!$I22*'Смета ЕР (общ) '!$M22,2)</f>
        <v>0</v>
      </c>
      <c r="P22" s="45"/>
      <c r="T22">
        <v>214</v>
      </c>
    </row>
    <row r="23" spans="1:20" ht="24" hidden="1" x14ac:dyDescent="0.3">
      <c r="A23" s="26" t="s">
        <v>36</v>
      </c>
      <c r="B23" s="26">
        <v>1</v>
      </c>
      <c r="C23" s="26"/>
      <c r="D23" s="26">
        <v>6</v>
      </c>
      <c r="E23" s="26" t="str">
        <f>CONCATENATE('Смета ЕР (общ) '!$A23,".",'Смета ЕР (общ) '!$B23,".",'Смета ЕР (общ) '!$D23)</f>
        <v>Р1.1.6</v>
      </c>
      <c r="F23" s="26">
        <f t="shared" si="0"/>
        <v>1</v>
      </c>
      <c r="G23" s="27" t="s">
        <v>46</v>
      </c>
      <c r="H23" s="28" t="s">
        <v>40</v>
      </c>
      <c r="I23" s="158"/>
      <c r="J23" s="30">
        <f>'[14]Проектирование 100-450'!E22*1.05</f>
        <v>159.4845</v>
      </c>
      <c r="K23" s="30">
        <v>0</v>
      </c>
      <c r="L23" s="30">
        <f t="shared" si="1"/>
        <v>159.47999999999999</v>
      </c>
      <c r="M23" s="30">
        <f t="shared" si="1"/>
        <v>0</v>
      </c>
      <c r="N23" s="30">
        <f>ROUND('Смета ЕР (общ) '!$I23*'Смета ЕР (общ) '!$L23,2)</f>
        <v>0</v>
      </c>
      <c r="O23" s="30">
        <f>ROUND('Смета ЕР (общ) '!$I23*'Смета ЕР (общ) '!$M23,2)</f>
        <v>0</v>
      </c>
      <c r="P23" s="45"/>
      <c r="T23">
        <v>214</v>
      </c>
    </row>
    <row r="24" spans="1:20" ht="36" hidden="1" x14ac:dyDescent="0.3">
      <c r="A24" s="26" t="s">
        <v>36</v>
      </c>
      <c r="B24" s="26">
        <v>1</v>
      </c>
      <c r="C24" s="26"/>
      <c r="D24" s="26">
        <v>7</v>
      </c>
      <c r="E24" s="26" t="str">
        <f>CONCATENATE('Смета ЕР (общ) '!$A24,".",'Смета ЕР (общ) '!$B24,".",'Смета ЕР (общ) '!$D24)</f>
        <v>Р1.1.7</v>
      </c>
      <c r="F24" s="26">
        <f t="shared" si="0"/>
        <v>1</v>
      </c>
      <c r="G24" s="27" t="s">
        <v>47</v>
      </c>
      <c r="H24" s="28" t="s">
        <v>40</v>
      </c>
      <c r="I24" s="158"/>
      <c r="J24" s="30">
        <f>'[14]Проектирование 100-450'!E23*1.05</f>
        <v>123.9</v>
      </c>
      <c r="K24" s="30">
        <v>0</v>
      </c>
      <c r="L24" s="30">
        <f t="shared" si="1"/>
        <v>123.9</v>
      </c>
      <c r="M24" s="30">
        <f t="shared" si="1"/>
        <v>0</v>
      </c>
      <c r="N24" s="30">
        <f>ROUND('Смета ЕР (общ) '!$I24*'Смета ЕР (общ) '!$L24,2)</f>
        <v>0</v>
      </c>
      <c r="O24" s="30">
        <f>ROUND('Смета ЕР (общ) '!$I24*'Смета ЕР (общ) '!$M24,2)</f>
        <v>0</v>
      </c>
      <c r="P24" s="45"/>
      <c r="T24">
        <v>214</v>
      </c>
    </row>
    <row r="25" spans="1:20" ht="24" hidden="1" x14ac:dyDescent="0.3">
      <c r="A25" s="26" t="s">
        <v>36</v>
      </c>
      <c r="B25" s="26">
        <v>1</v>
      </c>
      <c r="C25" s="26"/>
      <c r="D25" s="26">
        <v>8</v>
      </c>
      <c r="E25" s="26" t="str">
        <f>CONCATENATE('Смета ЕР (общ) '!$A25,".",'Смета ЕР (общ) '!$B25,".",'Смета ЕР (общ) '!$D25)</f>
        <v>Р1.1.8</v>
      </c>
      <c r="F25" s="26">
        <f t="shared" si="0"/>
        <v>1</v>
      </c>
      <c r="G25" s="27" t="s">
        <v>48</v>
      </c>
      <c r="H25" s="28" t="s">
        <v>40</v>
      </c>
      <c r="I25" s="158"/>
      <c r="J25" s="30">
        <f>'[14]Проектирование 100-450'!E24*1.05</f>
        <v>130.20000000000002</v>
      </c>
      <c r="K25" s="30">
        <v>0</v>
      </c>
      <c r="L25" s="30">
        <f t="shared" si="1"/>
        <v>130.19999999999999</v>
      </c>
      <c r="M25" s="30">
        <f t="shared" si="1"/>
        <v>0</v>
      </c>
      <c r="N25" s="30">
        <f>ROUND('Смета ЕР (общ) '!$I25*'Смета ЕР (общ) '!$L25,2)</f>
        <v>0</v>
      </c>
      <c r="O25" s="30">
        <f>ROUND('Смета ЕР (общ) '!$I25*'Смета ЕР (общ) '!$M25,2)</f>
        <v>0</v>
      </c>
      <c r="P25" s="45"/>
      <c r="T25">
        <v>214</v>
      </c>
    </row>
    <row r="26" spans="1:20" ht="36" hidden="1" x14ac:dyDescent="0.3">
      <c r="A26" s="26" t="s">
        <v>36</v>
      </c>
      <c r="B26" s="26">
        <v>1</v>
      </c>
      <c r="C26" s="26"/>
      <c r="D26" s="26">
        <v>9</v>
      </c>
      <c r="E26" s="26" t="str">
        <f>CONCATENATE('Смета ЕР (общ) '!$A26,".",'Смета ЕР (общ) '!$B26,".",'Смета ЕР (общ) '!$D26)</f>
        <v>Р1.1.9</v>
      </c>
      <c r="F26" s="26">
        <f t="shared" si="0"/>
        <v>1</v>
      </c>
      <c r="G26" s="27" t="s">
        <v>49</v>
      </c>
      <c r="H26" s="28" t="s">
        <v>40</v>
      </c>
      <c r="I26" s="158"/>
      <c r="J26" s="30">
        <f>'[14]Проектирование 100-450'!E25*1.05</f>
        <v>91.6755</v>
      </c>
      <c r="K26" s="30">
        <v>0</v>
      </c>
      <c r="L26" s="30">
        <f t="shared" si="1"/>
        <v>91.68</v>
      </c>
      <c r="M26" s="30">
        <f t="shared" si="1"/>
        <v>0</v>
      </c>
      <c r="N26" s="30">
        <f>ROUND('Смета ЕР (общ) '!$I26*'Смета ЕР (общ) '!$L26,2)</f>
        <v>0</v>
      </c>
      <c r="O26" s="30">
        <f>ROUND('Смета ЕР (общ) '!$I26*'Смета ЕР (общ) '!$M26,2)</f>
        <v>0</v>
      </c>
      <c r="P26" s="166"/>
    </row>
    <row r="27" spans="1:20" ht="24" hidden="1" x14ac:dyDescent="0.3">
      <c r="A27" s="26" t="s">
        <v>36</v>
      </c>
      <c r="B27" s="26">
        <v>1</v>
      </c>
      <c r="C27" s="26"/>
      <c r="D27" s="26">
        <v>43</v>
      </c>
      <c r="E27" s="26" t="str">
        <f>CONCATENATE('Смета ЕР (общ) '!$A27,".",'Смета ЕР (общ) '!$B27,".",'Смета ЕР (общ) '!$D27)</f>
        <v>Р1.1.43</v>
      </c>
      <c r="F27" s="26">
        <f t="shared" si="0"/>
        <v>1</v>
      </c>
      <c r="G27" s="27" t="s">
        <v>50</v>
      </c>
      <c r="H27" s="28" t="s">
        <v>40</v>
      </c>
      <c r="I27" s="158"/>
      <c r="J27" s="30">
        <f>'[14]Проектирование 100-450'!E26*1.05</f>
        <v>91.6755</v>
      </c>
      <c r="K27" s="30">
        <v>0</v>
      </c>
      <c r="L27" s="30">
        <f t="shared" si="1"/>
        <v>91.68</v>
      </c>
      <c r="M27" s="30">
        <f t="shared" si="1"/>
        <v>0</v>
      </c>
      <c r="N27" s="30">
        <f>ROUND('Смета ЕР (общ) '!$I27*'Смета ЕР (общ) '!$L27,2)</f>
        <v>0</v>
      </c>
      <c r="O27" s="30">
        <f>ROUND('Смета ЕР (общ) '!$I27*'Смета ЕР (общ) '!$M27,2)</f>
        <v>0</v>
      </c>
      <c r="P27" s="166"/>
    </row>
    <row r="28" spans="1:20" ht="24" hidden="1" x14ac:dyDescent="0.3">
      <c r="A28" s="26" t="s">
        <v>36</v>
      </c>
      <c r="B28" s="26">
        <v>1</v>
      </c>
      <c r="C28" s="26"/>
      <c r="D28" s="26">
        <v>10</v>
      </c>
      <c r="E28" s="26" t="str">
        <f>CONCATENATE('Смета ЕР (общ) '!$A28,".",'Смета ЕР (общ) '!$B28,".",'Смета ЕР (общ) '!$D28)</f>
        <v>Р1.1.10</v>
      </c>
      <c r="F28" s="26">
        <f t="shared" si="0"/>
        <v>1</v>
      </c>
      <c r="G28" s="27" t="s">
        <v>51</v>
      </c>
      <c r="H28" s="28" t="s">
        <v>40</v>
      </c>
      <c r="I28" s="158"/>
      <c r="J28" s="30">
        <f>'[14]Проектирование 100-450'!E27*1.05</f>
        <v>103.95</v>
      </c>
      <c r="K28" s="30">
        <v>0</v>
      </c>
      <c r="L28" s="30">
        <f t="shared" si="1"/>
        <v>103.95</v>
      </c>
      <c r="M28" s="30">
        <f t="shared" si="1"/>
        <v>0</v>
      </c>
      <c r="N28" s="30">
        <f>ROUND('Смета ЕР (общ) '!$I28*'Смета ЕР (общ) '!$L28,2)</f>
        <v>0</v>
      </c>
      <c r="O28" s="30">
        <f>ROUND('Смета ЕР (общ) '!$I28*'Смета ЕР (общ) '!$M28,2)</f>
        <v>0</v>
      </c>
      <c r="P28" s="166"/>
    </row>
    <row r="29" spans="1:20" ht="40.5" hidden="1" customHeight="1" x14ac:dyDescent="0.3">
      <c r="A29" s="31" t="s">
        <v>36</v>
      </c>
      <c r="B29" s="31">
        <v>1</v>
      </c>
      <c r="C29" s="31"/>
      <c r="D29" s="31">
        <v>11</v>
      </c>
      <c r="E29" s="31" t="str">
        <f>CONCATENATE('Смета ЕР (общ) '!$A29,".",'Смета ЕР (общ) '!$B29,".",'Смета ЕР (общ) '!$D29)</f>
        <v>Р1.1.11</v>
      </c>
      <c r="F29" s="31">
        <f t="shared" si="0"/>
        <v>1</v>
      </c>
      <c r="G29" s="32" t="s">
        <v>52</v>
      </c>
      <c r="H29" s="28" t="s">
        <v>40</v>
      </c>
      <c r="I29" s="158"/>
      <c r="J29" s="30">
        <f>'[14]АПС, СОУЭ, ППА'!F13*1.05*0.1</f>
        <v>7.035000000000001</v>
      </c>
      <c r="K29" s="30">
        <v>0</v>
      </c>
      <c r="L29" s="30">
        <f t="shared" si="1"/>
        <v>7.04</v>
      </c>
      <c r="M29" s="30">
        <f t="shared" si="1"/>
        <v>0</v>
      </c>
      <c r="N29" s="30">
        <f>ROUND('Смета ЕР (общ) '!$I29*'Смета ЕР (общ) '!$L29,2)</f>
        <v>0</v>
      </c>
      <c r="O29" s="30">
        <f>ROUND('Смета ЕР (общ) '!$I29*'Смета ЕР (общ) '!$M29,2)</f>
        <v>0</v>
      </c>
      <c r="P29" s="45"/>
      <c r="Q29" s="20"/>
      <c r="R29" s="20"/>
    </row>
    <row r="30" spans="1:20" ht="40.5" hidden="1" customHeight="1" x14ac:dyDescent="0.3">
      <c r="A30" s="26" t="s">
        <v>36</v>
      </c>
      <c r="B30" s="26">
        <v>1</v>
      </c>
      <c r="C30" s="26"/>
      <c r="D30" s="26">
        <v>25</v>
      </c>
      <c r="E30" s="26" t="str">
        <f>CONCATENATE('Смета ЕР (общ) '!$A30,".",'Смета ЕР (общ) '!$B30,".",'Смета ЕР (общ) '!$D30)</f>
        <v>Р1.1.25</v>
      </c>
      <c r="F30" s="26">
        <f t="shared" si="0"/>
        <v>1</v>
      </c>
      <c r="G30" s="27" t="s">
        <v>53</v>
      </c>
      <c r="H30" s="28" t="s">
        <v>40</v>
      </c>
      <c r="I30" s="158"/>
      <c r="J30" s="30">
        <f>'[14]АПС, СОУЭ, ППА'!F14*1.05*0.1</f>
        <v>4.0950000000000006</v>
      </c>
      <c r="K30" s="30">
        <v>0</v>
      </c>
      <c r="L30" s="30">
        <f t="shared" si="1"/>
        <v>4.0999999999999996</v>
      </c>
      <c r="M30" s="30">
        <f t="shared" si="1"/>
        <v>0</v>
      </c>
      <c r="N30" s="30">
        <f>ROUND('Смета ЕР (общ) '!$I30*'Смета ЕР (общ) '!$L30,2)</f>
        <v>0</v>
      </c>
      <c r="O30" s="30">
        <f>ROUND('Смета ЕР (общ) '!$I30*'Смета ЕР (общ) '!$M30,2)</f>
        <v>0</v>
      </c>
      <c r="P30" s="45"/>
      <c r="Q30" s="20"/>
      <c r="R30" s="20"/>
    </row>
    <row r="31" spans="1:20" ht="40.5" hidden="1" customHeight="1" x14ac:dyDescent="0.3">
      <c r="A31" s="26" t="s">
        <v>36</v>
      </c>
      <c r="B31" s="26">
        <v>1</v>
      </c>
      <c r="C31" s="26"/>
      <c r="D31" s="26">
        <v>26</v>
      </c>
      <c r="E31" s="26" t="str">
        <f>CONCATENATE('Смета ЕР (общ) '!$A31,".",'Смета ЕР (общ) '!$B31,".",'Смета ЕР (общ) '!$D31)</f>
        <v>Р1.1.26</v>
      </c>
      <c r="F31" s="26">
        <f t="shared" si="0"/>
        <v>1</v>
      </c>
      <c r="G31" s="27" t="s">
        <v>54</v>
      </c>
      <c r="H31" s="28" t="s">
        <v>40</v>
      </c>
      <c r="I31" s="158"/>
      <c r="J31" s="30">
        <f>'[14]АПС, СОУЭ, ППА'!F16*1.05*0.1</f>
        <v>0.84000000000000008</v>
      </c>
      <c r="K31" s="30">
        <v>0</v>
      </c>
      <c r="L31" s="30">
        <f t="shared" si="1"/>
        <v>0.84</v>
      </c>
      <c r="M31" s="30">
        <f t="shared" si="1"/>
        <v>0</v>
      </c>
      <c r="N31" s="30">
        <f>ROUND('Смета ЕР (общ) '!$I31*'Смета ЕР (общ) '!$L31,2)</f>
        <v>0</v>
      </c>
      <c r="O31" s="30">
        <f>ROUND('Смета ЕР (общ) '!$I31*'Смета ЕР (общ) '!$M31,2)</f>
        <v>0</v>
      </c>
      <c r="P31" s="45"/>
      <c r="Q31" s="20"/>
      <c r="R31" s="20"/>
    </row>
    <row r="32" spans="1:20" ht="40.5" hidden="1" customHeight="1" x14ac:dyDescent="0.3">
      <c r="A32" s="26" t="s">
        <v>36</v>
      </c>
      <c r="B32" s="26">
        <v>1</v>
      </c>
      <c r="C32" s="26"/>
      <c r="D32" s="26">
        <v>29</v>
      </c>
      <c r="E32" s="26" t="str">
        <f>CONCATENATE('Смета ЕР (общ) '!$A32,".",'Смета ЕР (общ) '!$B32,".",'Смета ЕР (общ) '!$D32)</f>
        <v>Р1.1.29</v>
      </c>
      <c r="F32" s="26">
        <f t="shared" si="0"/>
        <v>1</v>
      </c>
      <c r="G32" s="27" t="s">
        <v>55</v>
      </c>
      <c r="H32" s="28" t="s">
        <v>40</v>
      </c>
      <c r="I32" s="158"/>
      <c r="J32" s="30">
        <f>'[14]АПС, СОУЭ, ППА'!F17*1.05*0.1</f>
        <v>2.625</v>
      </c>
      <c r="K32" s="30">
        <v>0</v>
      </c>
      <c r="L32" s="30">
        <f t="shared" si="1"/>
        <v>2.63</v>
      </c>
      <c r="M32" s="30">
        <f t="shared" si="1"/>
        <v>0</v>
      </c>
      <c r="N32" s="30">
        <f>ROUND('Смета ЕР (общ) '!$I32*'Смета ЕР (общ) '!$L32,2)</f>
        <v>0</v>
      </c>
      <c r="O32" s="30">
        <f>ROUND('Смета ЕР (общ) '!$I32*'Смета ЕР (общ) '!$M32,2)</f>
        <v>0</v>
      </c>
      <c r="P32" s="45"/>
      <c r="Q32" s="20"/>
      <c r="R32" s="20"/>
    </row>
    <row r="33" spans="1:18" ht="40.5" hidden="1" customHeight="1" x14ac:dyDescent="0.3">
      <c r="A33" s="26" t="s">
        <v>36</v>
      </c>
      <c r="B33" s="26">
        <v>1</v>
      </c>
      <c r="C33" s="26"/>
      <c r="D33" s="26">
        <v>30</v>
      </c>
      <c r="E33" s="26" t="str">
        <f>CONCATENATE('Смета ЕР (общ) '!$A33,".",'Смета ЕР (общ) '!$B33,".",'Смета ЕР (общ) '!$D33)</f>
        <v>Р1.1.30</v>
      </c>
      <c r="F33" s="26">
        <f t="shared" si="0"/>
        <v>1</v>
      </c>
      <c r="G33" s="27" t="s">
        <v>56</v>
      </c>
      <c r="H33" s="28" t="s">
        <v>40</v>
      </c>
      <c r="I33" s="158"/>
      <c r="J33" s="30">
        <f>'[14]АПС, СОУЭ, ППА'!F18*1.05*0.1</f>
        <v>0.31500000000000006</v>
      </c>
      <c r="K33" s="30">
        <v>0</v>
      </c>
      <c r="L33" s="30">
        <f t="shared" ref="L33:M48" si="2">ROUND(J33-J33*$Q$3,2)</f>
        <v>0.32</v>
      </c>
      <c r="M33" s="30">
        <f t="shared" si="2"/>
        <v>0</v>
      </c>
      <c r="N33" s="30">
        <f>ROUND('Смета ЕР (общ) '!$I33*'Смета ЕР (общ) '!$L33,2)</f>
        <v>0</v>
      </c>
      <c r="O33" s="30">
        <f>ROUND('Смета ЕР (общ) '!$I33*'Смета ЕР (общ) '!$M33,2)</f>
        <v>0</v>
      </c>
      <c r="P33" s="45"/>
      <c r="Q33" s="20"/>
      <c r="R33" s="20"/>
    </row>
    <row r="34" spans="1:18" ht="40.5" hidden="1" customHeight="1" x14ac:dyDescent="0.3">
      <c r="A34" s="26" t="s">
        <v>36</v>
      </c>
      <c r="B34" s="26">
        <v>1</v>
      </c>
      <c r="C34" s="26"/>
      <c r="D34" s="26">
        <v>31</v>
      </c>
      <c r="E34" s="26" t="str">
        <f>CONCATENATE('Смета ЕР (общ) '!$A34,".",'Смета ЕР (общ) '!$B34,".",'Смета ЕР (общ) '!$D34)</f>
        <v>Р1.1.31</v>
      </c>
      <c r="F34" s="26">
        <f t="shared" si="0"/>
        <v>1</v>
      </c>
      <c r="G34" s="27" t="s">
        <v>57</v>
      </c>
      <c r="H34" s="28" t="s">
        <v>40</v>
      </c>
      <c r="I34" s="158"/>
      <c r="J34" s="30">
        <f>'[14]АПС, СОУЭ, ППА'!F19*1.05*0.1</f>
        <v>0.10500000000000001</v>
      </c>
      <c r="K34" s="30">
        <v>0</v>
      </c>
      <c r="L34" s="30">
        <f t="shared" si="2"/>
        <v>0.11</v>
      </c>
      <c r="M34" s="30">
        <f t="shared" si="2"/>
        <v>0</v>
      </c>
      <c r="N34" s="30">
        <f>ROUND('Смета ЕР (общ) '!$I34*'Смета ЕР (общ) '!$L34,2)</f>
        <v>0</v>
      </c>
      <c r="O34" s="30">
        <f>ROUND('Смета ЕР (общ) '!$I34*'Смета ЕР (общ) '!$M34,2)</f>
        <v>0</v>
      </c>
      <c r="P34" s="45"/>
      <c r="Q34" s="20"/>
      <c r="R34" s="20"/>
    </row>
    <row r="35" spans="1:18" ht="40.5" hidden="1" customHeight="1" x14ac:dyDescent="0.3">
      <c r="A35" s="26" t="s">
        <v>36</v>
      </c>
      <c r="B35" s="26">
        <v>1</v>
      </c>
      <c r="C35" s="26"/>
      <c r="D35" s="26">
        <v>33</v>
      </c>
      <c r="E35" s="26" t="str">
        <f>CONCATENATE('Смета ЕР (общ) '!$A35,".",'Смета ЕР (общ) '!$B35,".",'Смета ЕР (общ) '!$D35)</f>
        <v>Р1.1.33</v>
      </c>
      <c r="F35" s="26">
        <f t="shared" si="0"/>
        <v>1</v>
      </c>
      <c r="G35" s="27" t="s">
        <v>58</v>
      </c>
      <c r="H35" s="28" t="s">
        <v>40</v>
      </c>
      <c r="I35" s="158"/>
      <c r="J35" s="30">
        <f>'[14]АПС, СОУЭ, ППА'!F20*1.05*0.1</f>
        <v>0.10500000000000001</v>
      </c>
      <c r="K35" s="30">
        <v>0</v>
      </c>
      <c r="L35" s="30">
        <f t="shared" si="2"/>
        <v>0.11</v>
      </c>
      <c r="M35" s="30">
        <f t="shared" si="2"/>
        <v>0</v>
      </c>
      <c r="N35" s="30">
        <f>ROUND('Смета ЕР (общ) '!$I35*'Смета ЕР (общ) '!$L35,2)</f>
        <v>0</v>
      </c>
      <c r="O35" s="30">
        <f>ROUND('Смета ЕР (общ) '!$I35*'Смета ЕР (общ) '!$M35,2)</f>
        <v>0</v>
      </c>
      <c r="P35" s="45"/>
      <c r="Q35" s="20"/>
      <c r="R35" s="20"/>
    </row>
    <row r="36" spans="1:18" ht="40.5" hidden="1" customHeight="1" x14ac:dyDescent="0.3">
      <c r="A36" s="26" t="s">
        <v>36</v>
      </c>
      <c r="B36" s="26">
        <v>1</v>
      </c>
      <c r="C36" s="26"/>
      <c r="D36" s="26">
        <v>36</v>
      </c>
      <c r="E36" s="26" t="str">
        <f>CONCATENATE('Смета ЕР (общ) '!$A36,".",'Смета ЕР (общ) '!$B36,".",'Смета ЕР (общ) '!$D36)</f>
        <v>Р1.1.36</v>
      </c>
      <c r="F36" s="26">
        <f t="shared" si="0"/>
        <v>1</v>
      </c>
      <c r="G36" s="27" t="s">
        <v>59</v>
      </c>
      <c r="H36" s="28" t="s">
        <v>40</v>
      </c>
      <c r="I36" s="158"/>
      <c r="J36" s="30">
        <f>'[14]АПС, СОУЭ, ППА'!F21*1.05*0.1</f>
        <v>0.10500000000000001</v>
      </c>
      <c r="K36" s="30">
        <v>0</v>
      </c>
      <c r="L36" s="30">
        <f t="shared" si="2"/>
        <v>0.11</v>
      </c>
      <c r="M36" s="30">
        <f t="shared" si="2"/>
        <v>0</v>
      </c>
      <c r="N36" s="30">
        <f>ROUND('Смета ЕР (общ) '!$I36*'Смета ЕР (общ) '!$L36,2)</f>
        <v>0</v>
      </c>
      <c r="O36" s="30">
        <f>ROUND('Смета ЕР (общ) '!$I36*'Смета ЕР (общ) '!$M36,2)</f>
        <v>0</v>
      </c>
      <c r="P36" s="45"/>
      <c r="Q36" s="20"/>
      <c r="R36" s="20"/>
    </row>
    <row r="37" spans="1:18" ht="40.5" hidden="1" customHeight="1" x14ac:dyDescent="0.3">
      <c r="A37" s="26" t="s">
        <v>36</v>
      </c>
      <c r="B37" s="26">
        <v>1</v>
      </c>
      <c r="C37" s="26"/>
      <c r="D37" s="26">
        <v>37</v>
      </c>
      <c r="E37" s="26" t="str">
        <f>CONCATENATE('Смета ЕР (общ) '!$A37,".",'Смета ЕР (общ) '!$B37,".",'Смета ЕР (общ) '!$D37)</f>
        <v>Р1.1.37</v>
      </c>
      <c r="F37" s="26">
        <f t="shared" si="0"/>
        <v>1</v>
      </c>
      <c r="G37" s="27" t="s">
        <v>60</v>
      </c>
      <c r="H37" s="28" t="s">
        <v>40</v>
      </c>
      <c r="I37" s="158"/>
      <c r="J37" s="30">
        <f>'[14]Проектирование до 100'!E35*1.05</f>
        <v>3675</v>
      </c>
      <c r="K37" s="30">
        <v>0</v>
      </c>
      <c r="L37" s="30">
        <f t="shared" si="2"/>
        <v>3675</v>
      </c>
      <c r="M37" s="30">
        <f t="shared" si="2"/>
        <v>0</v>
      </c>
      <c r="N37" s="30">
        <f>ROUND('Смета ЕР (общ) '!$I37*'Смета ЕР (общ) '!$L37,2)</f>
        <v>0</v>
      </c>
      <c r="O37" s="30">
        <f>ROUND('Смета ЕР (общ) '!$I37*'Смета ЕР (общ) '!$M37,2)</f>
        <v>0</v>
      </c>
      <c r="P37" s="45"/>
      <c r="Q37" s="20"/>
      <c r="R37" s="20"/>
    </row>
    <row r="38" spans="1:18" ht="40.5" hidden="1" customHeight="1" x14ac:dyDescent="0.3">
      <c r="A38" s="26" t="s">
        <v>36</v>
      </c>
      <c r="B38" s="26">
        <v>1</v>
      </c>
      <c r="C38" s="26"/>
      <c r="D38" s="26">
        <v>45</v>
      </c>
      <c r="E38" s="26" t="str">
        <f>CONCATENATE('Смета ЕР (общ) '!$A38,".",'Смета ЕР (общ) '!$B38,".",'Смета ЕР (общ) '!$D38)</f>
        <v>Р1.1.45</v>
      </c>
      <c r="F38" s="26">
        <f t="shared" si="0"/>
        <v>1</v>
      </c>
      <c r="G38" s="27" t="s">
        <v>61</v>
      </c>
      <c r="H38" s="28" t="s">
        <v>62</v>
      </c>
      <c r="I38" s="158"/>
      <c r="J38" s="30">
        <f>'[14]Проектирование до 100'!E36*1.05</f>
        <v>7822.5</v>
      </c>
      <c r="K38" s="30">
        <v>0</v>
      </c>
      <c r="L38" s="30">
        <f t="shared" si="2"/>
        <v>7822.5</v>
      </c>
      <c r="M38" s="30">
        <f t="shared" si="2"/>
        <v>0</v>
      </c>
      <c r="N38" s="30">
        <f>ROUND('Смета ЕР (общ) '!$I38*'Смета ЕР (общ) '!$L38,2)</f>
        <v>0</v>
      </c>
      <c r="O38" s="30">
        <f>ROUND('Смета ЕР (общ) '!$I38*'Смета ЕР (общ) '!$M38,2)</f>
        <v>0</v>
      </c>
      <c r="P38" s="166"/>
      <c r="Q38"/>
    </row>
    <row r="39" spans="1:18" ht="40.5" hidden="1" customHeight="1" x14ac:dyDescent="0.3">
      <c r="A39" s="26" t="s">
        <v>36</v>
      </c>
      <c r="B39" s="26">
        <v>1</v>
      </c>
      <c r="C39" s="26"/>
      <c r="D39" s="26">
        <v>46</v>
      </c>
      <c r="E39" s="26" t="str">
        <f>CONCATENATE('Смета ЕР (общ) '!$A39,".",'Смета ЕР (общ) '!$B39,".",'Смета ЕР (общ) '!$D39)</f>
        <v>Р1.1.46</v>
      </c>
      <c r="F39" s="26">
        <f t="shared" si="0"/>
        <v>1</v>
      </c>
      <c r="G39" s="27" t="s">
        <v>63</v>
      </c>
      <c r="H39" s="28" t="s">
        <v>64</v>
      </c>
      <c r="I39" s="158"/>
      <c r="J39" s="30">
        <f>'[14]Проектирование до 100'!E17*1.05</f>
        <v>10500</v>
      </c>
      <c r="K39" s="30">
        <v>0</v>
      </c>
      <c r="L39" s="30">
        <f t="shared" si="2"/>
        <v>10500</v>
      </c>
      <c r="M39" s="30">
        <f t="shared" si="2"/>
        <v>0</v>
      </c>
      <c r="N39" s="30">
        <f>ROUND('Смета ЕР (общ) '!$I39*'Смета ЕР (общ) '!$L39,2)</f>
        <v>0</v>
      </c>
      <c r="O39" s="30">
        <f>ROUND('Смета ЕР (общ) '!$I39*'Смета ЕР (общ) '!$M39,2)</f>
        <v>0</v>
      </c>
      <c r="P39" s="45"/>
    </row>
    <row r="40" spans="1:18" ht="40.5" hidden="1" customHeight="1" x14ac:dyDescent="0.3">
      <c r="A40" s="26" t="s">
        <v>36</v>
      </c>
      <c r="B40" s="26">
        <v>1</v>
      </c>
      <c r="C40" s="26"/>
      <c r="D40" s="26">
        <v>47</v>
      </c>
      <c r="E40" s="26" t="str">
        <f>CONCATENATE('Смета ЕР (общ) '!$A40,".",'Смета ЕР (общ) '!$B40,".",'Смета ЕР (общ) '!$D40)</f>
        <v>Р1.1.47</v>
      </c>
      <c r="F40" s="26">
        <f t="shared" si="0"/>
        <v>1</v>
      </c>
      <c r="G40" s="27" t="s">
        <v>65</v>
      </c>
      <c r="H40" s="28" t="s">
        <v>64</v>
      </c>
      <c r="I40" s="158"/>
      <c r="J40" s="30">
        <f>'[14]Проектирование до 100'!E18*1.05</f>
        <v>20737.5</v>
      </c>
      <c r="K40" s="30">
        <v>0</v>
      </c>
      <c r="L40" s="30">
        <f t="shared" si="2"/>
        <v>20737.5</v>
      </c>
      <c r="M40" s="30">
        <f t="shared" si="2"/>
        <v>0</v>
      </c>
      <c r="N40" s="30">
        <f>ROUND('Смета ЕР (общ) '!$I40*'Смета ЕР (общ) '!$L40,2)</f>
        <v>0</v>
      </c>
      <c r="O40" s="30">
        <f>ROUND('Смета ЕР (общ) '!$I40*'Смета ЕР (общ) '!$M40,2)</f>
        <v>0</v>
      </c>
      <c r="P40" s="45"/>
    </row>
    <row r="41" spans="1:18" ht="40.5" hidden="1" customHeight="1" x14ac:dyDescent="0.3">
      <c r="A41" s="26" t="s">
        <v>36</v>
      </c>
      <c r="B41" s="26">
        <v>1</v>
      </c>
      <c r="C41" s="26"/>
      <c r="D41" s="26">
        <v>48</v>
      </c>
      <c r="E41" s="26" t="str">
        <f>CONCATENATE('Смета ЕР (общ) '!$A41,".",'Смета ЕР (общ) '!$B41,".",'Смета ЕР (общ) '!$D41)</f>
        <v>Р1.1.48</v>
      </c>
      <c r="F41" s="26">
        <f t="shared" si="0"/>
        <v>1</v>
      </c>
      <c r="G41" s="27" t="s">
        <v>66</v>
      </c>
      <c r="H41" s="28" t="s">
        <v>64</v>
      </c>
      <c r="I41" s="158"/>
      <c r="J41" s="30">
        <f>'[14]Проектирование до 100'!E19*1.05</f>
        <v>20737.5</v>
      </c>
      <c r="K41" s="30">
        <v>0</v>
      </c>
      <c r="L41" s="30">
        <f t="shared" si="2"/>
        <v>20737.5</v>
      </c>
      <c r="M41" s="30">
        <f t="shared" si="2"/>
        <v>0</v>
      </c>
      <c r="N41" s="30">
        <f>ROUND('Смета ЕР (общ) '!$I41*'Смета ЕР (общ) '!$L41,2)</f>
        <v>0</v>
      </c>
      <c r="O41" s="30">
        <f>ROUND('Смета ЕР (общ) '!$I41*'Смета ЕР (общ) '!$M41,2)</f>
        <v>0</v>
      </c>
      <c r="P41" s="45"/>
    </row>
    <row r="42" spans="1:18" ht="40.5" hidden="1" customHeight="1" x14ac:dyDescent="0.3">
      <c r="A42" s="26" t="s">
        <v>36</v>
      </c>
      <c r="B42" s="26">
        <v>1</v>
      </c>
      <c r="C42" s="26"/>
      <c r="D42" s="26">
        <v>49</v>
      </c>
      <c r="E42" s="26" t="str">
        <f>CONCATENATE('Смета ЕР (общ) '!$A42,".",'Смета ЕР (общ) '!$B42,".",'Смета ЕР (общ) '!$D42)</f>
        <v>Р1.1.49</v>
      </c>
      <c r="F42" s="26">
        <f t="shared" si="0"/>
        <v>1</v>
      </c>
      <c r="G42" s="27" t="s">
        <v>67</v>
      </c>
      <c r="H42" s="28" t="s">
        <v>64</v>
      </c>
      <c r="I42" s="158"/>
      <c r="J42" s="30">
        <f>'[14]Проектирование до 100'!E20*1.05</f>
        <v>15592.5</v>
      </c>
      <c r="K42" s="30">
        <v>0</v>
      </c>
      <c r="L42" s="30">
        <f t="shared" si="2"/>
        <v>15592.5</v>
      </c>
      <c r="M42" s="30">
        <f t="shared" si="2"/>
        <v>0</v>
      </c>
      <c r="N42" s="30">
        <f>ROUND('Смета ЕР (общ) '!$I42*'Смета ЕР (общ) '!$L42,2)</f>
        <v>0</v>
      </c>
      <c r="O42" s="30">
        <f>ROUND('Смета ЕР (общ) '!$I42*'Смета ЕР (общ) '!$M42,2)</f>
        <v>0</v>
      </c>
      <c r="P42" s="45"/>
    </row>
    <row r="43" spans="1:18" ht="40.5" hidden="1" customHeight="1" x14ac:dyDescent="0.3">
      <c r="A43" s="26" t="s">
        <v>36</v>
      </c>
      <c r="B43" s="26">
        <v>1</v>
      </c>
      <c r="C43" s="26"/>
      <c r="D43" s="26">
        <v>50</v>
      </c>
      <c r="E43" s="26" t="str">
        <f>CONCATENATE('Смета ЕР (общ) '!$A43,".",'Смета ЕР (общ) '!$B43,".",'Смета ЕР (общ) '!$D43)</f>
        <v>Р1.1.50</v>
      </c>
      <c r="F43" s="26">
        <f t="shared" si="0"/>
        <v>1</v>
      </c>
      <c r="G43" s="27" t="s">
        <v>68</v>
      </c>
      <c r="H43" s="28" t="s">
        <v>64</v>
      </c>
      <c r="I43" s="158"/>
      <c r="J43" s="30">
        <f>'[14]Проектирование до 100'!E21*1.05</f>
        <v>10395</v>
      </c>
      <c r="K43" s="30">
        <v>0</v>
      </c>
      <c r="L43" s="30">
        <f t="shared" si="2"/>
        <v>10395</v>
      </c>
      <c r="M43" s="30">
        <f t="shared" si="2"/>
        <v>0</v>
      </c>
      <c r="N43" s="30">
        <f>ROUND('Смета ЕР (общ) '!$I43*'Смета ЕР (общ) '!$L43,2)</f>
        <v>0</v>
      </c>
      <c r="O43" s="30">
        <f>ROUND('Смета ЕР (общ) '!$I43*'Смета ЕР (общ) '!$M43,2)</f>
        <v>0</v>
      </c>
      <c r="P43" s="45"/>
    </row>
    <row r="44" spans="1:18" ht="40.5" hidden="1" customHeight="1" x14ac:dyDescent="0.3">
      <c r="A44" s="26" t="s">
        <v>36</v>
      </c>
      <c r="B44" s="26">
        <v>1</v>
      </c>
      <c r="C44" s="26"/>
      <c r="D44" s="26">
        <v>51</v>
      </c>
      <c r="E44" s="26" t="str">
        <f>CONCATENATE('Смета ЕР (общ) '!$A44,".",'Смета ЕР (общ) '!$B44,".",'Смета ЕР (общ) '!$D44)</f>
        <v>Р1.1.51</v>
      </c>
      <c r="F44" s="26">
        <f t="shared" si="0"/>
        <v>1</v>
      </c>
      <c r="G44" s="27" t="s">
        <v>69</v>
      </c>
      <c r="H44" s="28" t="s">
        <v>64</v>
      </c>
      <c r="I44" s="158"/>
      <c r="J44" s="30">
        <f>'[14]Проектирование до 100'!E22*1.05</f>
        <v>10395</v>
      </c>
      <c r="K44" s="30">
        <v>0</v>
      </c>
      <c r="L44" s="30">
        <f t="shared" si="2"/>
        <v>10395</v>
      </c>
      <c r="M44" s="30">
        <f t="shared" si="2"/>
        <v>0</v>
      </c>
      <c r="N44" s="30">
        <f>ROUND('Смета ЕР (общ) '!$I44*'Смета ЕР (общ) '!$L44,2)</f>
        <v>0</v>
      </c>
      <c r="O44" s="30">
        <f>ROUND('Смета ЕР (общ) '!$I44*'Смета ЕР (общ) '!$M44,2)</f>
        <v>0</v>
      </c>
      <c r="P44" s="45"/>
    </row>
    <row r="45" spans="1:18" ht="40.5" hidden="1" customHeight="1" x14ac:dyDescent="0.3">
      <c r="A45" s="26" t="s">
        <v>36</v>
      </c>
      <c r="B45" s="26">
        <v>1</v>
      </c>
      <c r="C45" s="26"/>
      <c r="D45" s="26">
        <v>52</v>
      </c>
      <c r="E45" s="26" t="str">
        <f>CONCATENATE('Смета ЕР (общ) '!$A45,".",'Смета ЕР (общ) '!$B45,".",'Смета ЕР (общ) '!$D45)</f>
        <v>Р1.1.52</v>
      </c>
      <c r="F45" s="26">
        <f t="shared" si="0"/>
        <v>1</v>
      </c>
      <c r="G45" s="27" t="s">
        <v>70</v>
      </c>
      <c r="H45" s="28" t="s">
        <v>64</v>
      </c>
      <c r="I45" s="158"/>
      <c r="J45" s="30">
        <f>'[14]Проектирование до 100'!E23*1.05</f>
        <v>10395</v>
      </c>
      <c r="K45" s="30">
        <v>0</v>
      </c>
      <c r="L45" s="30">
        <f t="shared" si="2"/>
        <v>10395</v>
      </c>
      <c r="M45" s="30">
        <f t="shared" si="2"/>
        <v>0</v>
      </c>
      <c r="N45" s="30">
        <f>ROUND('Смета ЕР (общ) '!$I45*'Смета ЕР (общ) '!$L45,2)</f>
        <v>0</v>
      </c>
      <c r="O45" s="30">
        <f>ROUND('Смета ЕР (общ) '!$I45*'Смета ЕР (общ) '!$M45,2)</f>
        <v>0</v>
      </c>
      <c r="P45" s="45"/>
    </row>
    <row r="46" spans="1:18" ht="40.5" hidden="1" customHeight="1" x14ac:dyDescent="0.3">
      <c r="A46" s="26" t="s">
        <v>36</v>
      </c>
      <c r="B46" s="26">
        <v>1</v>
      </c>
      <c r="C46" s="26"/>
      <c r="D46" s="26">
        <v>53</v>
      </c>
      <c r="E46" s="26" t="str">
        <f>CONCATENATE('Смета ЕР (общ) '!$A46,".",'Смета ЕР (общ) '!$B46,".",'Смета ЕР (общ) '!$D46)</f>
        <v>Р1.1.53</v>
      </c>
      <c r="F46" s="26">
        <f t="shared" si="0"/>
        <v>1</v>
      </c>
      <c r="G46" s="27" t="s">
        <v>71</v>
      </c>
      <c r="H46" s="28" t="s">
        <v>64</v>
      </c>
      <c r="I46" s="158"/>
      <c r="J46" s="30">
        <f>'[14]Проектирование до 100'!E24*1.05</f>
        <v>15592.5</v>
      </c>
      <c r="K46" s="30">
        <v>0</v>
      </c>
      <c r="L46" s="30">
        <f t="shared" si="2"/>
        <v>15592.5</v>
      </c>
      <c r="M46" s="30">
        <f t="shared" si="2"/>
        <v>0</v>
      </c>
      <c r="N46" s="30">
        <f>ROUND('Смета ЕР (общ) '!$I46*'Смета ЕР (общ) '!$L46,2)</f>
        <v>0</v>
      </c>
      <c r="O46" s="30">
        <f>ROUND('Смета ЕР (общ) '!$I46*'Смета ЕР (общ) '!$M46,2)</f>
        <v>0</v>
      </c>
      <c r="P46" s="45"/>
    </row>
    <row r="47" spans="1:18" ht="24" hidden="1" x14ac:dyDescent="0.3">
      <c r="A47" s="26" t="s">
        <v>36</v>
      </c>
      <c r="B47" s="26">
        <v>1</v>
      </c>
      <c r="C47" s="26"/>
      <c r="D47" s="26">
        <v>54</v>
      </c>
      <c r="E47" s="26" t="str">
        <f>CONCATENATE('Смета ЕР (общ) '!$A47,".",'Смета ЕР (общ) '!$B47,".",'Смета ЕР (общ) '!$D47)</f>
        <v>Р1.1.54</v>
      </c>
      <c r="F47" s="26">
        <f t="shared" si="0"/>
        <v>1</v>
      </c>
      <c r="G47" s="27" t="s">
        <v>72</v>
      </c>
      <c r="H47" s="28" t="s">
        <v>64</v>
      </c>
      <c r="I47" s="158"/>
      <c r="J47" s="30">
        <f>'[14]Проектирование до 100'!E25*1.05</f>
        <v>10395</v>
      </c>
      <c r="K47" s="30">
        <v>0</v>
      </c>
      <c r="L47" s="30">
        <f t="shared" si="2"/>
        <v>10395</v>
      </c>
      <c r="M47" s="30">
        <f t="shared" si="2"/>
        <v>0</v>
      </c>
      <c r="N47" s="30">
        <f>ROUND('Смета ЕР (общ) '!$I47*'Смета ЕР (общ) '!$L47,2)</f>
        <v>0</v>
      </c>
      <c r="O47" s="30">
        <f>ROUND('Смета ЕР (общ) '!$I47*'Смета ЕР (общ) '!$M47,2)</f>
        <v>0</v>
      </c>
      <c r="P47" s="45"/>
    </row>
    <row r="48" spans="1:18" ht="24" hidden="1" x14ac:dyDescent="0.3">
      <c r="A48" s="26" t="s">
        <v>36</v>
      </c>
      <c r="B48" s="26">
        <v>1</v>
      </c>
      <c r="C48" s="26"/>
      <c r="D48" s="26">
        <v>55</v>
      </c>
      <c r="E48" s="26" t="str">
        <f>CONCATENATE('Смета ЕР (общ) '!$A48,".",'Смета ЕР (общ) '!$B48,".",'Смета ЕР (общ) '!$D48)</f>
        <v>Р1.1.55</v>
      </c>
      <c r="F48" s="26">
        <f t="shared" si="0"/>
        <v>1</v>
      </c>
      <c r="G48" s="27" t="s">
        <v>73</v>
      </c>
      <c r="H48" s="28" t="s">
        <v>64</v>
      </c>
      <c r="I48" s="158"/>
      <c r="J48" s="30">
        <f>'[14]Проектирование до 100'!E26*1.05</f>
        <v>15592.5</v>
      </c>
      <c r="K48" s="30">
        <v>0</v>
      </c>
      <c r="L48" s="30">
        <f t="shared" si="2"/>
        <v>15592.5</v>
      </c>
      <c r="M48" s="30">
        <f t="shared" si="2"/>
        <v>0</v>
      </c>
      <c r="N48" s="30">
        <f>ROUND('Смета ЕР (общ) '!$I48*'Смета ЕР (общ) '!$L48,2)</f>
        <v>0</v>
      </c>
      <c r="O48" s="30">
        <f>ROUND('Смета ЕР (общ) '!$I48*'Смета ЕР (общ) '!$M48,2)</f>
        <v>0</v>
      </c>
      <c r="P48" s="45"/>
    </row>
    <row r="49" spans="1:16" ht="24" hidden="1" x14ac:dyDescent="0.3">
      <c r="A49" s="26" t="s">
        <v>36</v>
      </c>
      <c r="B49" s="26">
        <v>1</v>
      </c>
      <c r="C49" s="26"/>
      <c r="D49" s="26">
        <v>56</v>
      </c>
      <c r="E49" s="26" t="str">
        <f>CONCATENATE('Смета ЕР (общ) '!$A49,".",'Смета ЕР (общ) '!$B49,".",'Смета ЕР (общ) '!$D49)</f>
        <v>Р1.1.56</v>
      </c>
      <c r="F49" s="26">
        <f t="shared" si="0"/>
        <v>1</v>
      </c>
      <c r="G49" s="33" t="s">
        <v>74</v>
      </c>
      <c r="H49" s="28" t="s">
        <v>40</v>
      </c>
      <c r="I49" s="158"/>
      <c r="J49" s="30">
        <f>'[14]Проектирование 100-450'!E18*1.05*0.1</f>
        <v>13.545000000000002</v>
      </c>
      <c r="K49" s="30">
        <v>0</v>
      </c>
      <c r="L49" s="30">
        <f t="shared" ref="L49:M91" si="3">ROUND(J49-J49*$Q$3,2)</f>
        <v>13.55</v>
      </c>
      <c r="M49" s="30">
        <f t="shared" si="3"/>
        <v>0</v>
      </c>
      <c r="N49" s="30">
        <f>ROUND('Смета ЕР (общ) '!$I49*'Смета ЕР (общ) '!$L49,2)</f>
        <v>0</v>
      </c>
      <c r="O49" s="30">
        <f>ROUND('Смета ЕР (общ) '!$I49*'Смета ЕР (общ) '!$M49,2)</f>
        <v>0</v>
      </c>
      <c r="P49" s="45"/>
    </row>
    <row r="50" spans="1:16" ht="24" hidden="1" x14ac:dyDescent="0.3">
      <c r="A50" s="26" t="s">
        <v>36</v>
      </c>
      <c r="B50" s="26">
        <v>1</v>
      </c>
      <c r="C50" s="26"/>
      <c r="D50" s="26">
        <v>57</v>
      </c>
      <c r="E50" s="26" t="str">
        <f>CONCATENATE('Смета ЕР (общ) '!$A50,".",'Смета ЕР (общ) '!$B50,".",'Смета ЕР (общ) '!$D50)</f>
        <v>Р1.1.57</v>
      </c>
      <c r="F50" s="26">
        <f t="shared" si="0"/>
        <v>1</v>
      </c>
      <c r="G50" s="33" t="s">
        <v>75</v>
      </c>
      <c r="H50" s="28" t="s">
        <v>40</v>
      </c>
      <c r="I50" s="158"/>
      <c r="J50" s="30">
        <f>'[14]Проектирование 100-450'!E19*1.05*0.1</f>
        <v>38.955000000000005</v>
      </c>
      <c r="K50" s="30">
        <v>0</v>
      </c>
      <c r="L50" s="30">
        <f t="shared" si="3"/>
        <v>38.96</v>
      </c>
      <c r="M50" s="30">
        <f t="shared" si="3"/>
        <v>0</v>
      </c>
      <c r="N50" s="30">
        <f>ROUND('Смета ЕР (общ) '!$I50*'Смета ЕР (общ) '!$L50,2)</f>
        <v>0</v>
      </c>
      <c r="O50" s="30">
        <f>ROUND('Смета ЕР (общ) '!$I50*'Смета ЕР (общ) '!$M50,2)</f>
        <v>0</v>
      </c>
      <c r="P50" s="45"/>
    </row>
    <row r="51" spans="1:16" ht="24" hidden="1" x14ac:dyDescent="0.3">
      <c r="A51" s="26" t="s">
        <v>36</v>
      </c>
      <c r="B51" s="26">
        <v>1</v>
      </c>
      <c r="C51" s="26"/>
      <c r="D51" s="26">
        <v>58</v>
      </c>
      <c r="E51" s="26" t="str">
        <f>CONCATENATE('Смета ЕР (общ) '!$A51,".",'Смета ЕР (общ) '!$B51,".",'Смета ЕР (общ) '!$D51)</f>
        <v>Р1.1.58</v>
      </c>
      <c r="F51" s="26">
        <f t="shared" si="0"/>
        <v>1</v>
      </c>
      <c r="G51" s="33" t="s">
        <v>76</v>
      </c>
      <c r="H51" s="28" t="s">
        <v>40</v>
      </c>
      <c r="I51" s="158"/>
      <c r="J51" s="30">
        <f>'[14]Проектирование 100-450'!E20*1.05*0.1</f>
        <v>25.830000000000002</v>
      </c>
      <c r="K51" s="30">
        <v>0</v>
      </c>
      <c r="L51" s="30">
        <f t="shared" si="3"/>
        <v>25.83</v>
      </c>
      <c r="M51" s="30">
        <f t="shared" si="3"/>
        <v>0</v>
      </c>
      <c r="N51" s="30">
        <f>ROUND('Смета ЕР (общ) '!$I51*'Смета ЕР (общ) '!$L51,2)</f>
        <v>0</v>
      </c>
      <c r="O51" s="30">
        <f>ROUND('Смета ЕР (общ) '!$I51*'Смета ЕР (общ) '!$M51,2)</f>
        <v>0</v>
      </c>
      <c r="P51" s="45"/>
    </row>
    <row r="52" spans="1:16" ht="24" hidden="1" x14ac:dyDescent="0.3">
      <c r="A52" s="26" t="s">
        <v>36</v>
      </c>
      <c r="B52" s="26">
        <v>1</v>
      </c>
      <c r="C52" s="26"/>
      <c r="D52" s="26">
        <v>59</v>
      </c>
      <c r="E52" s="26" t="str">
        <f>CONCATENATE('Смета ЕР (общ) '!$A52,".",'Смета ЕР (общ) '!$B52,".",'Смета ЕР (общ) '!$D52)</f>
        <v>Р1.1.59</v>
      </c>
      <c r="F52" s="26">
        <f t="shared" si="0"/>
        <v>1</v>
      </c>
      <c r="G52" s="33" t="s">
        <v>77</v>
      </c>
      <c r="H52" s="28" t="s">
        <v>40</v>
      </c>
      <c r="I52" s="158"/>
      <c r="J52" s="30">
        <f>'[14]Проектирование 100-450'!E21*1.05*0.1</f>
        <v>20.265000000000001</v>
      </c>
      <c r="K52" s="30">
        <v>0</v>
      </c>
      <c r="L52" s="30">
        <f t="shared" si="3"/>
        <v>20.27</v>
      </c>
      <c r="M52" s="30">
        <f t="shared" si="3"/>
        <v>0</v>
      </c>
      <c r="N52" s="30">
        <f>ROUND('Смета ЕР (общ) '!$I52*'Смета ЕР (общ) '!$L52,2)</f>
        <v>0</v>
      </c>
      <c r="O52" s="30">
        <f>ROUND('Смета ЕР (общ) '!$I52*'Смета ЕР (общ) '!$M52,2)</f>
        <v>0</v>
      </c>
      <c r="P52" s="45"/>
    </row>
    <row r="53" spans="1:16" ht="24" hidden="1" x14ac:dyDescent="0.3">
      <c r="A53" s="26" t="s">
        <v>36</v>
      </c>
      <c r="B53" s="26">
        <v>1</v>
      </c>
      <c r="C53" s="26"/>
      <c r="D53" s="26">
        <v>60</v>
      </c>
      <c r="E53" s="26" t="str">
        <f>CONCATENATE('Смета ЕР (общ) '!$A53,".",'Смета ЕР (общ) '!$B53,".",'Смета ЕР (общ) '!$D53)</f>
        <v>Р1.1.60</v>
      </c>
      <c r="F53" s="26">
        <f t="shared" si="0"/>
        <v>1</v>
      </c>
      <c r="G53" s="33" t="s">
        <v>78</v>
      </c>
      <c r="H53" s="28" t="s">
        <v>40</v>
      </c>
      <c r="I53" s="158"/>
      <c r="J53" s="30">
        <f>'[14]Проектирование 100-450'!E22*1.05*0.1</f>
        <v>15.948450000000001</v>
      </c>
      <c r="K53" s="30">
        <v>0</v>
      </c>
      <c r="L53" s="30">
        <f t="shared" si="3"/>
        <v>15.95</v>
      </c>
      <c r="M53" s="30">
        <f t="shared" si="3"/>
        <v>0</v>
      </c>
      <c r="N53" s="30">
        <f>ROUND('Смета ЕР (общ) '!$I53*'Смета ЕР (общ) '!$L53,2)</f>
        <v>0</v>
      </c>
      <c r="O53" s="30">
        <f>ROUND('Смета ЕР (общ) '!$I53*'Смета ЕР (общ) '!$M53,2)</f>
        <v>0</v>
      </c>
      <c r="P53" s="45"/>
    </row>
    <row r="54" spans="1:16" ht="36" hidden="1" x14ac:dyDescent="0.3">
      <c r="A54" s="26" t="s">
        <v>36</v>
      </c>
      <c r="B54" s="26">
        <v>1</v>
      </c>
      <c r="C54" s="26"/>
      <c r="D54" s="26">
        <v>61</v>
      </c>
      <c r="E54" s="26" t="str">
        <f>CONCATENATE('Смета ЕР (общ) '!$A54,".",'Смета ЕР (общ) '!$B54,".",'Смета ЕР (общ) '!$D54)</f>
        <v>Р1.1.61</v>
      </c>
      <c r="F54" s="26">
        <f t="shared" si="0"/>
        <v>1</v>
      </c>
      <c r="G54" s="33" t="s">
        <v>79</v>
      </c>
      <c r="H54" s="28" t="s">
        <v>40</v>
      </c>
      <c r="I54" s="158"/>
      <c r="J54" s="30">
        <f>'[14]Проектирование 100-450'!E23*1.05*0.1</f>
        <v>12.39</v>
      </c>
      <c r="K54" s="30">
        <v>0</v>
      </c>
      <c r="L54" s="30">
        <f t="shared" si="3"/>
        <v>12.39</v>
      </c>
      <c r="M54" s="30">
        <f t="shared" si="3"/>
        <v>0</v>
      </c>
      <c r="N54" s="30">
        <f>ROUND('Смета ЕР (общ) '!$I54*'Смета ЕР (общ) '!$L54,2)</f>
        <v>0</v>
      </c>
      <c r="O54" s="30">
        <f>ROUND('Смета ЕР (общ) '!$I54*'Смета ЕР (общ) '!$M54,2)</f>
        <v>0</v>
      </c>
      <c r="P54" s="45"/>
    </row>
    <row r="55" spans="1:16" ht="24" hidden="1" x14ac:dyDescent="0.3">
      <c r="A55" s="26" t="s">
        <v>36</v>
      </c>
      <c r="B55" s="26">
        <v>1</v>
      </c>
      <c r="C55" s="26"/>
      <c r="D55" s="26">
        <v>62</v>
      </c>
      <c r="E55" s="26" t="str">
        <f>CONCATENATE('Смета ЕР (общ) '!$A55,".",'Смета ЕР (общ) '!$B55,".",'Смета ЕР (общ) '!$D55)</f>
        <v>Р1.1.62</v>
      </c>
      <c r="F55" s="26">
        <f t="shared" si="0"/>
        <v>1</v>
      </c>
      <c r="G55" s="33" t="s">
        <v>80</v>
      </c>
      <c r="H55" s="28" t="s">
        <v>40</v>
      </c>
      <c r="I55" s="158"/>
      <c r="J55" s="30">
        <f>'[14]Проектирование 100-450'!E24*1.05*0.1</f>
        <v>13.020000000000003</v>
      </c>
      <c r="K55" s="30">
        <v>0</v>
      </c>
      <c r="L55" s="30">
        <f t="shared" si="3"/>
        <v>13.02</v>
      </c>
      <c r="M55" s="30">
        <f t="shared" si="3"/>
        <v>0</v>
      </c>
      <c r="N55" s="30">
        <f>ROUND('Смета ЕР (общ) '!$I55*'Смета ЕР (общ) '!$L55,2)</f>
        <v>0</v>
      </c>
      <c r="O55" s="30">
        <f>ROUND('Смета ЕР (общ) '!$I55*'Смета ЕР (общ) '!$M55,2)</f>
        <v>0</v>
      </c>
      <c r="P55" s="45"/>
    </row>
    <row r="56" spans="1:16" ht="36" hidden="1" x14ac:dyDescent="0.3">
      <c r="A56" s="26" t="s">
        <v>36</v>
      </c>
      <c r="B56" s="26">
        <v>1</v>
      </c>
      <c r="C56" s="26"/>
      <c r="D56" s="26">
        <v>63</v>
      </c>
      <c r="E56" s="26" t="str">
        <f>CONCATENATE('Смета ЕР (общ) '!$A56,".",'Смета ЕР (общ) '!$B56,".",'Смета ЕР (общ) '!$D56)</f>
        <v>Р1.1.63</v>
      </c>
      <c r="F56" s="26">
        <f t="shared" si="0"/>
        <v>1</v>
      </c>
      <c r="G56" s="33" t="s">
        <v>81</v>
      </c>
      <c r="H56" s="28" t="s">
        <v>40</v>
      </c>
      <c r="I56" s="158"/>
      <c r="J56" s="30">
        <f>'[14]Проектирование 100-450'!E25*1.05*0.1</f>
        <v>9.1675500000000003</v>
      </c>
      <c r="K56" s="30">
        <v>0</v>
      </c>
      <c r="L56" s="30">
        <f t="shared" si="3"/>
        <v>9.17</v>
      </c>
      <c r="M56" s="30">
        <f t="shared" si="3"/>
        <v>0</v>
      </c>
      <c r="N56" s="30">
        <f>ROUND('Смета ЕР (общ) '!$I56*'Смета ЕР (общ) '!$L56,2)</f>
        <v>0</v>
      </c>
      <c r="O56" s="30">
        <f>ROUND('Смета ЕР (общ) '!$I56*'Смета ЕР (общ) '!$M56,2)</f>
        <v>0</v>
      </c>
      <c r="P56" s="45"/>
    </row>
    <row r="57" spans="1:16" ht="36" hidden="1" x14ac:dyDescent="0.3">
      <c r="A57" s="26" t="s">
        <v>36</v>
      </c>
      <c r="B57" s="26">
        <v>1</v>
      </c>
      <c r="C57" s="26"/>
      <c r="D57" s="26">
        <v>64</v>
      </c>
      <c r="E57" s="26" t="str">
        <f>CONCATENATE('Смета ЕР (общ) '!$A57,".",'Смета ЕР (общ) '!$B57,".",'Смета ЕР (общ) '!$D57)</f>
        <v>Р1.1.64</v>
      </c>
      <c r="F57" s="26">
        <f t="shared" si="0"/>
        <v>1</v>
      </c>
      <c r="G57" s="33" t="s">
        <v>82</v>
      </c>
      <c r="H57" s="28" t="s">
        <v>40</v>
      </c>
      <c r="I57" s="158"/>
      <c r="J57" s="30">
        <f>'[14]Проектирование 100-450'!E26*1.05*0.1</f>
        <v>9.1675500000000003</v>
      </c>
      <c r="K57" s="30">
        <v>0</v>
      </c>
      <c r="L57" s="30">
        <f t="shared" si="3"/>
        <v>9.17</v>
      </c>
      <c r="M57" s="30">
        <f t="shared" si="3"/>
        <v>0</v>
      </c>
      <c r="N57" s="30">
        <f>ROUND('Смета ЕР (общ) '!$I57*'Смета ЕР (общ) '!$L57,2)</f>
        <v>0</v>
      </c>
      <c r="O57" s="30">
        <f>ROUND('Смета ЕР (общ) '!$I57*'Смета ЕР (общ) '!$M57,2)</f>
        <v>0</v>
      </c>
      <c r="P57" s="45"/>
    </row>
    <row r="58" spans="1:16" ht="24" hidden="1" x14ac:dyDescent="0.3">
      <c r="A58" s="26" t="s">
        <v>36</v>
      </c>
      <c r="B58" s="26">
        <v>1</v>
      </c>
      <c r="C58" s="26"/>
      <c r="D58" s="26">
        <v>65</v>
      </c>
      <c r="E58" s="26" t="str">
        <f>CONCATENATE('Смета ЕР (общ) '!$A58,".",'Смета ЕР (общ) '!$B58,".",'Смета ЕР (общ) '!$D58)</f>
        <v>Р1.1.65</v>
      </c>
      <c r="F58" s="26">
        <f t="shared" si="0"/>
        <v>1</v>
      </c>
      <c r="G58" s="33" t="s">
        <v>83</v>
      </c>
      <c r="H58" s="28" t="s">
        <v>40</v>
      </c>
      <c r="I58" s="158"/>
      <c r="J58" s="30">
        <f>'[14]Проектирование 100-450'!E27*1.05*0.1</f>
        <v>10.395000000000001</v>
      </c>
      <c r="K58" s="30">
        <v>0</v>
      </c>
      <c r="L58" s="30">
        <f t="shared" si="3"/>
        <v>10.4</v>
      </c>
      <c r="M58" s="30">
        <f t="shared" si="3"/>
        <v>0</v>
      </c>
      <c r="N58" s="30">
        <f>ROUND('Смета ЕР (общ) '!$I58*'Смета ЕР (общ) '!$L58,2)</f>
        <v>0</v>
      </c>
      <c r="O58" s="30">
        <f>ROUND('Смета ЕР (общ) '!$I58*'Смета ЕР (общ) '!$M58,2)</f>
        <v>0</v>
      </c>
      <c r="P58" s="45"/>
    </row>
    <row r="59" spans="1:16" ht="24" hidden="1" x14ac:dyDescent="0.3">
      <c r="A59" s="26" t="s">
        <v>36</v>
      </c>
      <c r="B59" s="26">
        <v>1</v>
      </c>
      <c r="C59" s="26"/>
      <c r="D59" s="26">
        <v>66</v>
      </c>
      <c r="E59" s="26" t="str">
        <f>CONCATENATE('Смета ЕР (общ) '!$A59,".",'Смета ЕР (общ) '!$B59,".",'Смета ЕР (общ) '!$D59)</f>
        <v>Р1.1.66</v>
      </c>
      <c r="F59" s="26">
        <f t="shared" si="0"/>
        <v>1</v>
      </c>
      <c r="G59" s="33" t="s">
        <v>84</v>
      </c>
      <c r="H59" s="28" t="s">
        <v>64</v>
      </c>
      <c r="I59" s="158"/>
      <c r="J59" s="30">
        <f>'[14]Проектирование до 100'!E17*1.05*0.1</f>
        <v>1050</v>
      </c>
      <c r="K59" s="30">
        <v>0</v>
      </c>
      <c r="L59" s="30">
        <f t="shared" si="3"/>
        <v>1050</v>
      </c>
      <c r="M59" s="30">
        <f t="shared" si="3"/>
        <v>0</v>
      </c>
      <c r="N59" s="30">
        <f>ROUND('Смета ЕР (общ) '!$I59*'Смета ЕР (общ) '!$L59,2)</f>
        <v>0</v>
      </c>
      <c r="O59" s="30">
        <f>ROUND('Смета ЕР (общ) '!$I59*'Смета ЕР (общ) '!$M59,2)</f>
        <v>0</v>
      </c>
      <c r="P59" s="45"/>
    </row>
    <row r="60" spans="1:16" ht="24" hidden="1" x14ac:dyDescent="0.3">
      <c r="A60" s="26" t="s">
        <v>36</v>
      </c>
      <c r="B60" s="26">
        <v>1</v>
      </c>
      <c r="C60" s="26"/>
      <c r="D60" s="26">
        <v>67</v>
      </c>
      <c r="E60" s="26" t="str">
        <f>CONCATENATE('Смета ЕР (общ) '!$A60,".",'Смета ЕР (общ) '!$B60,".",'Смета ЕР (общ) '!$D60)</f>
        <v>Р1.1.67</v>
      </c>
      <c r="F60" s="26">
        <f t="shared" si="0"/>
        <v>1</v>
      </c>
      <c r="G60" s="33" t="s">
        <v>85</v>
      </c>
      <c r="H60" s="28" t="s">
        <v>64</v>
      </c>
      <c r="I60" s="158"/>
      <c r="J60" s="30">
        <f>'[14]Проектирование до 100'!E18*1.05*0.1</f>
        <v>2073.75</v>
      </c>
      <c r="K60" s="30">
        <v>0</v>
      </c>
      <c r="L60" s="30">
        <f t="shared" si="3"/>
        <v>2073.75</v>
      </c>
      <c r="M60" s="30">
        <f t="shared" si="3"/>
        <v>0</v>
      </c>
      <c r="N60" s="30">
        <f>ROUND('Смета ЕР (общ) '!$I60*'Смета ЕР (общ) '!$L60,2)</f>
        <v>0</v>
      </c>
      <c r="O60" s="30">
        <f>ROUND('Смета ЕР (общ) '!$I60*'Смета ЕР (общ) '!$M60,2)</f>
        <v>0</v>
      </c>
      <c r="P60" s="45"/>
    </row>
    <row r="61" spans="1:16" ht="24" hidden="1" x14ac:dyDescent="0.3">
      <c r="A61" s="26" t="s">
        <v>36</v>
      </c>
      <c r="B61" s="26">
        <v>1</v>
      </c>
      <c r="C61" s="26"/>
      <c r="D61" s="26">
        <v>68</v>
      </c>
      <c r="E61" s="26" t="str">
        <f>CONCATENATE('Смета ЕР (общ) '!$A61,".",'Смета ЕР (общ) '!$B61,".",'Смета ЕР (общ) '!$D61)</f>
        <v>Р1.1.68</v>
      </c>
      <c r="F61" s="26">
        <f t="shared" si="0"/>
        <v>1</v>
      </c>
      <c r="G61" s="33" t="s">
        <v>86</v>
      </c>
      <c r="H61" s="28" t="s">
        <v>64</v>
      </c>
      <c r="I61" s="158"/>
      <c r="J61" s="30">
        <f>'[14]Проектирование до 100'!E19*1.05*0.1</f>
        <v>2073.75</v>
      </c>
      <c r="K61" s="30">
        <v>0</v>
      </c>
      <c r="L61" s="30">
        <f t="shared" si="3"/>
        <v>2073.75</v>
      </c>
      <c r="M61" s="30">
        <f t="shared" si="3"/>
        <v>0</v>
      </c>
      <c r="N61" s="30">
        <f>ROUND('Смета ЕР (общ) '!$I61*'Смета ЕР (общ) '!$L61,2)</f>
        <v>0</v>
      </c>
      <c r="O61" s="30">
        <f>ROUND('Смета ЕР (общ) '!$I61*'Смета ЕР (общ) '!$M61,2)</f>
        <v>0</v>
      </c>
      <c r="P61" s="45"/>
    </row>
    <row r="62" spans="1:16" ht="24" hidden="1" x14ac:dyDescent="0.3">
      <c r="A62" s="26" t="s">
        <v>36</v>
      </c>
      <c r="B62" s="26">
        <v>1</v>
      </c>
      <c r="C62" s="26"/>
      <c r="D62" s="26">
        <v>69</v>
      </c>
      <c r="E62" s="26" t="str">
        <f>CONCATENATE('Смета ЕР (общ) '!$A62,".",'Смета ЕР (общ) '!$B62,".",'Смета ЕР (общ) '!$D62)</f>
        <v>Р1.1.69</v>
      </c>
      <c r="F62" s="26">
        <f t="shared" si="0"/>
        <v>1</v>
      </c>
      <c r="G62" s="33" t="s">
        <v>87</v>
      </c>
      <c r="H62" s="28" t="s">
        <v>64</v>
      </c>
      <c r="I62" s="158"/>
      <c r="J62" s="30">
        <f>'[14]Проектирование до 100'!E20*1.05*0.1</f>
        <v>1559.25</v>
      </c>
      <c r="K62" s="30">
        <v>0</v>
      </c>
      <c r="L62" s="30">
        <f t="shared" si="3"/>
        <v>1559.25</v>
      </c>
      <c r="M62" s="30">
        <f t="shared" si="3"/>
        <v>0</v>
      </c>
      <c r="N62" s="30">
        <f>ROUND('Смета ЕР (общ) '!$I62*'Смета ЕР (общ) '!$L62,2)</f>
        <v>0</v>
      </c>
      <c r="O62" s="30">
        <f>ROUND('Смета ЕР (общ) '!$I62*'Смета ЕР (общ) '!$M62,2)</f>
        <v>0</v>
      </c>
      <c r="P62" s="45"/>
    </row>
    <row r="63" spans="1:16" ht="24" hidden="1" x14ac:dyDescent="0.3">
      <c r="A63" s="26" t="s">
        <v>36</v>
      </c>
      <c r="B63" s="26">
        <v>1</v>
      </c>
      <c r="C63" s="26"/>
      <c r="D63" s="26">
        <v>70</v>
      </c>
      <c r="E63" s="26" t="str">
        <f>CONCATENATE('Смета ЕР (общ) '!$A63,".",'Смета ЕР (общ) '!$B63,".",'Смета ЕР (общ) '!$D63)</f>
        <v>Р1.1.70</v>
      </c>
      <c r="F63" s="26">
        <f t="shared" si="0"/>
        <v>1</v>
      </c>
      <c r="G63" s="33" t="s">
        <v>88</v>
      </c>
      <c r="H63" s="28" t="s">
        <v>64</v>
      </c>
      <c r="I63" s="158"/>
      <c r="J63" s="30">
        <f>'[14]Проектирование до 100'!E21*1.05*0.1</f>
        <v>1039.5</v>
      </c>
      <c r="K63" s="30">
        <v>0</v>
      </c>
      <c r="L63" s="30">
        <f t="shared" si="3"/>
        <v>1039.5</v>
      </c>
      <c r="M63" s="30">
        <f t="shared" si="3"/>
        <v>0</v>
      </c>
      <c r="N63" s="30">
        <f>ROUND('Смета ЕР (общ) '!$I63*'Смета ЕР (общ) '!$L63,2)</f>
        <v>0</v>
      </c>
      <c r="O63" s="30">
        <f>ROUND('Смета ЕР (общ) '!$I63*'Смета ЕР (общ) '!$M63,2)</f>
        <v>0</v>
      </c>
      <c r="P63" s="45"/>
    </row>
    <row r="64" spans="1:16" ht="36" hidden="1" x14ac:dyDescent="0.3">
      <c r="A64" s="26" t="s">
        <v>36</v>
      </c>
      <c r="B64" s="26">
        <v>1</v>
      </c>
      <c r="C64" s="26"/>
      <c r="D64" s="26">
        <v>71</v>
      </c>
      <c r="E64" s="26" t="str">
        <f>CONCATENATE('Смета ЕР (общ) '!$A64,".",'Смета ЕР (общ) '!$B64,".",'Смета ЕР (общ) '!$D64)</f>
        <v>Р1.1.71</v>
      </c>
      <c r="F64" s="26">
        <f t="shared" si="0"/>
        <v>1</v>
      </c>
      <c r="G64" s="33" t="s">
        <v>89</v>
      </c>
      <c r="H64" s="28" t="s">
        <v>64</v>
      </c>
      <c r="I64" s="158"/>
      <c r="J64" s="30">
        <f>'[14]Проектирование до 100'!E22*1.05*0.1</f>
        <v>1039.5</v>
      </c>
      <c r="K64" s="30">
        <v>0</v>
      </c>
      <c r="L64" s="30">
        <f t="shared" si="3"/>
        <v>1039.5</v>
      </c>
      <c r="M64" s="30">
        <f t="shared" si="3"/>
        <v>0</v>
      </c>
      <c r="N64" s="30">
        <f>ROUND('Смета ЕР (общ) '!$I64*'Смета ЕР (общ) '!$L64,2)</f>
        <v>0</v>
      </c>
      <c r="O64" s="30">
        <f>ROUND('Смета ЕР (общ) '!$I64*'Смета ЕР (общ) '!$M64,2)</f>
        <v>0</v>
      </c>
      <c r="P64" s="45"/>
    </row>
    <row r="65" spans="1:16" ht="24" hidden="1" x14ac:dyDescent="0.3">
      <c r="A65" s="26" t="s">
        <v>36</v>
      </c>
      <c r="B65" s="26">
        <v>1</v>
      </c>
      <c r="C65" s="26"/>
      <c r="D65" s="26">
        <v>72</v>
      </c>
      <c r="E65" s="26" t="str">
        <f>CONCATENATE('Смета ЕР (общ) '!$A65,".",'Смета ЕР (общ) '!$B65,".",'Смета ЕР (общ) '!$D65)</f>
        <v>Р1.1.72</v>
      </c>
      <c r="F65" s="26">
        <f t="shared" si="0"/>
        <v>1</v>
      </c>
      <c r="G65" s="33" t="s">
        <v>90</v>
      </c>
      <c r="H65" s="28" t="s">
        <v>64</v>
      </c>
      <c r="I65" s="158"/>
      <c r="J65" s="30">
        <f>'[14]Проектирование до 100'!E23*1.05*0.1</f>
        <v>1039.5</v>
      </c>
      <c r="K65" s="30">
        <v>0</v>
      </c>
      <c r="L65" s="30">
        <f t="shared" si="3"/>
        <v>1039.5</v>
      </c>
      <c r="M65" s="30">
        <f t="shared" si="3"/>
        <v>0</v>
      </c>
      <c r="N65" s="30">
        <f>ROUND('Смета ЕР (общ) '!$I65*'Смета ЕР (общ) '!$L65,2)</f>
        <v>0</v>
      </c>
      <c r="O65" s="30">
        <f>ROUND('Смета ЕР (общ) '!$I65*'Смета ЕР (общ) '!$M65,2)</f>
        <v>0</v>
      </c>
      <c r="P65" s="45"/>
    </row>
    <row r="66" spans="1:16" ht="36" hidden="1" x14ac:dyDescent="0.3">
      <c r="A66" s="26" t="s">
        <v>36</v>
      </c>
      <c r="B66" s="26">
        <v>1</v>
      </c>
      <c r="C66" s="26"/>
      <c r="D66" s="26">
        <v>73</v>
      </c>
      <c r="E66" s="26" t="str">
        <f>CONCATENATE('Смета ЕР (общ) '!$A66,".",'Смета ЕР (общ) '!$B66,".",'Смета ЕР (общ) '!$D66)</f>
        <v>Р1.1.73</v>
      </c>
      <c r="F66" s="26">
        <f t="shared" si="0"/>
        <v>1</v>
      </c>
      <c r="G66" s="33" t="s">
        <v>91</v>
      </c>
      <c r="H66" s="28" t="s">
        <v>64</v>
      </c>
      <c r="I66" s="158"/>
      <c r="J66" s="30">
        <f>'[14]Проектирование до 100'!E24*1.05*0.1</f>
        <v>1559.25</v>
      </c>
      <c r="K66" s="30">
        <v>0</v>
      </c>
      <c r="L66" s="30">
        <f t="shared" si="3"/>
        <v>1559.25</v>
      </c>
      <c r="M66" s="30">
        <f t="shared" si="3"/>
        <v>0</v>
      </c>
      <c r="N66" s="30">
        <f>ROUND('Смета ЕР (общ) '!$I66*'Смета ЕР (общ) '!$L66,2)</f>
        <v>0</v>
      </c>
      <c r="O66" s="30">
        <f>ROUND('Смета ЕР (общ) '!$I66*'Смета ЕР (общ) '!$M66,2)</f>
        <v>0</v>
      </c>
      <c r="P66" s="45"/>
    </row>
    <row r="67" spans="1:16" ht="36" hidden="1" x14ac:dyDescent="0.3">
      <c r="A67" s="26" t="s">
        <v>36</v>
      </c>
      <c r="B67" s="26">
        <v>1</v>
      </c>
      <c r="C67" s="26"/>
      <c r="D67" s="26">
        <v>74</v>
      </c>
      <c r="E67" s="26" t="str">
        <f>CONCATENATE('Смета ЕР (общ) '!$A67,".",'Смета ЕР (общ) '!$B67,".",'Смета ЕР (общ) '!$D67)</f>
        <v>Р1.1.74</v>
      </c>
      <c r="F67" s="26">
        <f t="shared" si="0"/>
        <v>1</v>
      </c>
      <c r="G67" s="33" t="s">
        <v>92</v>
      </c>
      <c r="H67" s="28" t="s">
        <v>64</v>
      </c>
      <c r="I67" s="158"/>
      <c r="J67" s="30">
        <f>'[14]Проектирование до 100'!E25*1.05*0.1</f>
        <v>1039.5</v>
      </c>
      <c r="K67" s="30">
        <v>0</v>
      </c>
      <c r="L67" s="30">
        <f t="shared" si="3"/>
        <v>1039.5</v>
      </c>
      <c r="M67" s="30">
        <f t="shared" si="3"/>
        <v>0</v>
      </c>
      <c r="N67" s="30">
        <f>ROUND('Смета ЕР (общ) '!$I67*'Смета ЕР (общ) '!$L67,2)</f>
        <v>0</v>
      </c>
      <c r="O67" s="30">
        <f>ROUND('Смета ЕР (общ) '!$I67*'Смета ЕР (общ) '!$M67,2)</f>
        <v>0</v>
      </c>
      <c r="P67" s="45"/>
    </row>
    <row r="68" spans="1:16" ht="24" hidden="1" x14ac:dyDescent="0.3">
      <c r="A68" s="26" t="s">
        <v>36</v>
      </c>
      <c r="B68" s="26">
        <v>1</v>
      </c>
      <c r="C68" s="26"/>
      <c r="D68" s="26">
        <v>75</v>
      </c>
      <c r="E68" s="26" t="str">
        <f>CONCATENATE('Смета ЕР (общ) '!$A68,".",'Смета ЕР (общ) '!$B68,".",'Смета ЕР (общ) '!$D68)</f>
        <v>Р1.1.75</v>
      </c>
      <c r="F68" s="26">
        <f t="shared" si="0"/>
        <v>1</v>
      </c>
      <c r="G68" s="33" t="s">
        <v>93</v>
      </c>
      <c r="H68" s="28" t="s">
        <v>64</v>
      </c>
      <c r="I68" s="158"/>
      <c r="J68" s="30">
        <f>'[14]Проектирование до 100'!E26*1.05*0.1</f>
        <v>1559.25</v>
      </c>
      <c r="K68" s="30">
        <v>0</v>
      </c>
      <c r="L68" s="30">
        <f t="shared" si="3"/>
        <v>1559.25</v>
      </c>
      <c r="M68" s="30">
        <f t="shared" si="3"/>
        <v>0</v>
      </c>
      <c r="N68" s="30">
        <f>ROUND('Смета ЕР (общ) '!$I68*'Смета ЕР (общ) '!$L68,2)</f>
        <v>0</v>
      </c>
      <c r="O68" s="30">
        <f>ROUND('Смета ЕР (общ) '!$I68*'Смета ЕР (общ) '!$M68,2)</f>
        <v>0</v>
      </c>
      <c r="P68" s="45"/>
    </row>
    <row r="69" spans="1:16" ht="27.6" hidden="1" x14ac:dyDescent="0.3">
      <c r="A69" s="31" t="s">
        <v>36</v>
      </c>
      <c r="B69" s="31">
        <v>1</v>
      </c>
      <c r="C69" s="31"/>
      <c r="D69" s="31">
        <v>76</v>
      </c>
      <c r="E69" s="31" t="str">
        <f>CONCATENATE('Смета ЕР (общ) '!$A69,".",'Смета ЕР (общ) '!$B69,".",'Смета ЕР (общ) '!$D69)</f>
        <v>Р1.1.76</v>
      </c>
      <c r="F69" s="31">
        <f t="shared" si="0"/>
        <v>1</v>
      </c>
      <c r="G69" s="32" t="s">
        <v>52</v>
      </c>
      <c r="H69" s="28" t="s">
        <v>40</v>
      </c>
      <c r="I69" s="158"/>
      <c r="J69" s="30">
        <f>'[14]АПС, СОУЭ, ППА'!F13*1.05</f>
        <v>70.350000000000009</v>
      </c>
      <c r="K69" s="30">
        <v>1</v>
      </c>
      <c r="L69" s="30">
        <f t="shared" si="3"/>
        <v>70.349999999999994</v>
      </c>
      <c r="M69" s="30">
        <f t="shared" si="3"/>
        <v>1</v>
      </c>
      <c r="N69" s="30">
        <f>ROUND('Смета ЕР (общ) '!$I69*'Смета ЕР (общ) '!$L69,2)</f>
        <v>0</v>
      </c>
      <c r="O69" s="30">
        <f>ROUND('Смета ЕР (общ) '!$I69*'Смета ЕР (общ) '!$M69,2)</f>
        <v>0</v>
      </c>
      <c r="P69" s="45"/>
    </row>
    <row r="70" spans="1:16" ht="25.8" hidden="1" x14ac:dyDescent="0.3">
      <c r="A70" s="26" t="s">
        <v>36</v>
      </c>
      <c r="B70" s="26">
        <v>1</v>
      </c>
      <c r="C70" s="26"/>
      <c r="D70" s="26">
        <v>77</v>
      </c>
      <c r="E70" s="26" t="str">
        <f>CONCATENATE('Смета ЕР (общ) '!$A70,".",'Смета ЕР (общ) '!$B70,".",'Смета ЕР (общ) '!$D70)</f>
        <v>Р1.1.77</v>
      </c>
      <c r="F70" s="26">
        <f t="shared" si="0"/>
        <v>1</v>
      </c>
      <c r="G70" s="27" t="s">
        <v>53</v>
      </c>
      <c r="H70" s="28" t="s">
        <v>40</v>
      </c>
      <c r="I70" s="158"/>
      <c r="J70" s="30">
        <f>'[14]АПС, СОУЭ, ППА'!F14*1.05</f>
        <v>40.950000000000003</v>
      </c>
      <c r="K70" s="30">
        <v>2</v>
      </c>
      <c r="L70" s="30">
        <f t="shared" si="3"/>
        <v>40.950000000000003</v>
      </c>
      <c r="M70" s="30">
        <f t="shared" si="3"/>
        <v>2</v>
      </c>
      <c r="N70" s="30">
        <f>ROUND('Смета ЕР (общ) '!$I70*'Смета ЕР (общ) '!$L70,2)</f>
        <v>0</v>
      </c>
      <c r="O70" s="30">
        <f>ROUND('Смета ЕР (общ) '!$I70*'Смета ЕР (общ) '!$M70,2)</f>
        <v>0</v>
      </c>
      <c r="P70" s="45"/>
    </row>
    <row r="71" spans="1:16" ht="25.8" hidden="1" x14ac:dyDescent="0.3">
      <c r="A71" s="26" t="s">
        <v>36</v>
      </c>
      <c r="B71" s="26">
        <v>1</v>
      </c>
      <c r="C71" s="26"/>
      <c r="D71" s="26">
        <v>78</v>
      </c>
      <c r="E71" s="26" t="str">
        <f>CONCATENATE('Смета ЕР (общ) '!$A71,".",'Смета ЕР (общ) '!$B71,".",'Смета ЕР (общ) '!$D71)</f>
        <v>Р1.1.78</v>
      </c>
      <c r="F71" s="26">
        <f t="shared" si="0"/>
        <v>1</v>
      </c>
      <c r="G71" s="27" t="s">
        <v>54</v>
      </c>
      <c r="H71" s="28" t="s">
        <v>40</v>
      </c>
      <c r="I71" s="158"/>
      <c r="J71" s="30">
        <f>'[14]АПС, СОУЭ, ППА'!F16*1.05</f>
        <v>8.4</v>
      </c>
      <c r="K71" s="30">
        <v>3</v>
      </c>
      <c r="L71" s="30">
        <f t="shared" si="3"/>
        <v>8.4</v>
      </c>
      <c r="M71" s="30">
        <f t="shared" si="3"/>
        <v>3</v>
      </c>
      <c r="N71" s="30">
        <f>ROUND('Смета ЕР (общ) '!$I71*'Смета ЕР (общ) '!$L71,2)</f>
        <v>0</v>
      </c>
      <c r="O71" s="30">
        <f>ROUND('Смета ЕР (общ) '!$I71*'Смета ЕР (общ) '!$M71,2)</f>
        <v>0</v>
      </c>
      <c r="P71" s="45"/>
    </row>
    <row r="72" spans="1:16" ht="25.8" hidden="1" x14ac:dyDescent="0.3">
      <c r="A72" s="26" t="s">
        <v>36</v>
      </c>
      <c r="B72" s="26">
        <v>1</v>
      </c>
      <c r="C72" s="26"/>
      <c r="D72" s="26">
        <v>79</v>
      </c>
      <c r="E72" s="26" t="str">
        <f>CONCATENATE('Смета ЕР (общ) '!$A72,".",'Смета ЕР (общ) '!$B72,".",'Смета ЕР (общ) '!$D72)</f>
        <v>Р1.1.79</v>
      </c>
      <c r="F72" s="26">
        <f t="shared" si="0"/>
        <v>1</v>
      </c>
      <c r="G72" s="27" t="s">
        <v>55</v>
      </c>
      <c r="H72" s="28" t="s">
        <v>40</v>
      </c>
      <c r="I72" s="158"/>
      <c r="J72" s="30">
        <f>'[14]АПС, СОУЭ, ППА'!F17*1.05</f>
        <v>26.25</v>
      </c>
      <c r="K72" s="30">
        <v>4</v>
      </c>
      <c r="L72" s="30">
        <f t="shared" si="3"/>
        <v>26.25</v>
      </c>
      <c r="M72" s="30">
        <f t="shared" si="3"/>
        <v>4</v>
      </c>
      <c r="N72" s="30">
        <f>ROUND('Смета ЕР (общ) '!$I72*'Смета ЕР (общ) '!$L72,2)</f>
        <v>0</v>
      </c>
      <c r="O72" s="30">
        <f>ROUND('Смета ЕР (общ) '!$I72*'Смета ЕР (общ) '!$M72,2)</f>
        <v>0</v>
      </c>
      <c r="P72" s="45"/>
    </row>
    <row r="73" spans="1:16" ht="25.8" hidden="1" x14ac:dyDescent="0.3">
      <c r="A73" s="26" t="s">
        <v>36</v>
      </c>
      <c r="B73" s="26">
        <v>1</v>
      </c>
      <c r="C73" s="26"/>
      <c r="D73" s="26">
        <v>80</v>
      </c>
      <c r="E73" s="26" t="str">
        <f>CONCATENATE('Смета ЕР (общ) '!$A73,".",'Смета ЕР (общ) '!$B73,".",'Смета ЕР (общ) '!$D73)</f>
        <v>Р1.1.80</v>
      </c>
      <c r="F73" s="26">
        <f t="shared" si="0"/>
        <v>1</v>
      </c>
      <c r="G73" s="27" t="s">
        <v>56</v>
      </c>
      <c r="H73" s="28" t="s">
        <v>40</v>
      </c>
      <c r="I73" s="158"/>
      <c r="J73" s="30">
        <f>'[14]АПС, СОУЭ, ППА'!F18*1.05</f>
        <v>3.1500000000000004</v>
      </c>
      <c r="K73" s="30">
        <v>5</v>
      </c>
      <c r="L73" s="30">
        <f t="shared" si="3"/>
        <v>3.15</v>
      </c>
      <c r="M73" s="30">
        <f t="shared" si="3"/>
        <v>5</v>
      </c>
      <c r="N73" s="30">
        <f>ROUND('Смета ЕР (общ) '!$I73*'Смета ЕР (общ) '!$L73,2)</f>
        <v>0</v>
      </c>
      <c r="O73" s="30">
        <f>ROUND('Смета ЕР (общ) '!$I73*'Смета ЕР (общ) '!$M73,2)</f>
        <v>0</v>
      </c>
      <c r="P73" s="45"/>
    </row>
    <row r="74" spans="1:16" ht="25.8" hidden="1" x14ac:dyDescent="0.3">
      <c r="A74" s="26" t="s">
        <v>36</v>
      </c>
      <c r="B74" s="26">
        <v>1</v>
      </c>
      <c r="C74" s="26"/>
      <c r="D74" s="26">
        <v>81</v>
      </c>
      <c r="E74" s="26" t="str">
        <f>CONCATENATE('Смета ЕР (общ) '!$A74,".",'Смета ЕР (общ) '!$B74,".",'Смета ЕР (общ) '!$D74)</f>
        <v>Р1.1.81</v>
      </c>
      <c r="F74" s="26">
        <f t="shared" si="0"/>
        <v>1</v>
      </c>
      <c r="G74" s="27" t="s">
        <v>57</v>
      </c>
      <c r="H74" s="28" t="s">
        <v>40</v>
      </c>
      <c r="I74" s="158"/>
      <c r="J74" s="30">
        <f>'[14]АПС, СОУЭ, ППА'!F19*1.05</f>
        <v>1.05</v>
      </c>
      <c r="K74" s="30">
        <v>6</v>
      </c>
      <c r="L74" s="30">
        <f t="shared" si="3"/>
        <v>1.05</v>
      </c>
      <c r="M74" s="30">
        <f t="shared" si="3"/>
        <v>6</v>
      </c>
      <c r="N74" s="30">
        <f>ROUND('Смета ЕР (общ) '!$I74*'Смета ЕР (общ) '!$L74,2)</f>
        <v>0</v>
      </c>
      <c r="O74" s="30">
        <f>ROUND('Смета ЕР (общ) '!$I74*'Смета ЕР (общ) '!$M74,2)</f>
        <v>0</v>
      </c>
      <c r="P74" s="45"/>
    </row>
    <row r="75" spans="1:16" ht="14.4" hidden="1" x14ac:dyDescent="0.3">
      <c r="A75" s="26" t="s">
        <v>36</v>
      </c>
      <c r="B75" s="26">
        <v>1</v>
      </c>
      <c r="C75" s="26"/>
      <c r="D75" s="26">
        <v>82</v>
      </c>
      <c r="E75" s="26" t="str">
        <f>CONCATENATE('Смета ЕР (общ) '!$A75,".",'Смета ЕР (общ) '!$B75,".",'Смета ЕР (общ) '!$D75)</f>
        <v>Р1.1.82</v>
      </c>
      <c r="F75" s="26">
        <f t="shared" si="0"/>
        <v>1</v>
      </c>
      <c r="G75" s="27" t="s">
        <v>58</v>
      </c>
      <c r="H75" s="28" t="s">
        <v>40</v>
      </c>
      <c r="I75" s="158"/>
      <c r="J75" s="30">
        <f>'[14]АПС, СОУЭ, ППА'!F20*1.05</f>
        <v>1.05</v>
      </c>
      <c r="K75" s="30">
        <v>7</v>
      </c>
      <c r="L75" s="30">
        <f t="shared" si="3"/>
        <v>1.05</v>
      </c>
      <c r="M75" s="30">
        <f t="shared" si="3"/>
        <v>7</v>
      </c>
      <c r="N75" s="30">
        <f>ROUND('Смета ЕР (общ) '!$I75*'Смета ЕР (общ) '!$L75,2)</f>
        <v>0</v>
      </c>
      <c r="O75" s="30">
        <f>ROUND('Смета ЕР (общ) '!$I75*'Смета ЕР (общ) '!$M75,2)</f>
        <v>0</v>
      </c>
      <c r="P75" s="45"/>
    </row>
    <row r="76" spans="1:16" ht="25.8" hidden="1" x14ac:dyDescent="0.3">
      <c r="A76" s="26" t="s">
        <v>36</v>
      </c>
      <c r="B76" s="26">
        <v>1</v>
      </c>
      <c r="C76" s="26"/>
      <c r="D76" s="26">
        <v>83</v>
      </c>
      <c r="E76" s="26" t="str">
        <f>CONCATENATE('Смета ЕР (общ) '!$A76,".",'Смета ЕР (общ) '!$B76,".",'Смета ЕР (общ) '!$D76)</f>
        <v>Р1.1.83</v>
      </c>
      <c r="F76" s="26">
        <f t="shared" si="0"/>
        <v>1</v>
      </c>
      <c r="G76" s="27" t="s">
        <v>59</v>
      </c>
      <c r="H76" s="28" t="s">
        <v>40</v>
      </c>
      <c r="I76" s="158"/>
      <c r="J76" s="30">
        <f>'[14]АПС, СОУЭ, ППА'!F21*1.05</f>
        <v>1.05</v>
      </c>
      <c r="K76" s="30">
        <v>8</v>
      </c>
      <c r="L76" s="30">
        <f t="shared" si="3"/>
        <v>1.05</v>
      </c>
      <c r="M76" s="30">
        <f t="shared" si="3"/>
        <v>8</v>
      </c>
      <c r="N76" s="30">
        <f>ROUND('Смета ЕР (общ) '!$I76*'Смета ЕР (общ) '!$L76,2)</f>
        <v>0</v>
      </c>
      <c r="O76" s="30">
        <f>ROUND('Смета ЕР (общ) '!$I76*'Смета ЕР (общ) '!$M76,2)</f>
        <v>0</v>
      </c>
      <c r="P76" s="45"/>
    </row>
    <row r="77" spans="1:16" ht="36" hidden="1" x14ac:dyDescent="0.3">
      <c r="A77" s="26" t="s">
        <v>36</v>
      </c>
      <c r="B77" s="26">
        <v>1</v>
      </c>
      <c r="C77" s="26"/>
      <c r="D77" s="26">
        <v>12</v>
      </c>
      <c r="E77" s="26" t="str">
        <f>CONCATENATE('Смета ЕР (общ) '!$A77,".",'Смета ЕР (общ) '!$B77,".",'Смета ЕР (общ) '!$D77)</f>
        <v>Р1.1.12</v>
      </c>
      <c r="F77" s="26">
        <f t="shared" si="0"/>
        <v>1</v>
      </c>
      <c r="G77" s="27" t="s">
        <v>94</v>
      </c>
      <c r="H77" s="28" t="s">
        <v>40</v>
      </c>
      <c r="I77" s="158"/>
      <c r="J77" s="159">
        <v>0</v>
      </c>
      <c r="K77" s="30">
        <v>0</v>
      </c>
      <c r="L77" s="30">
        <f t="shared" si="3"/>
        <v>0</v>
      </c>
      <c r="M77" s="30">
        <f t="shared" si="3"/>
        <v>0</v>
      </c>
      <c r="N77" s="30">
        <f>ROUND('Смета ЕР (общ) '!$I77*'Смета ЕР (общ) '!$L77,2)</f>
        <v>0</v>
      </c>
      <c r="O77" s="30">
        <f>ROUND('Смета ЕР (общ) '!$I77*'Смета ЕР (общ) '!$M77,2)</f>
        <v>0</v>
      </c>
      <c r="P77" s="45" t="s">
        <v>95</v>
      </c>
    </row>
    <row r="78" spans="1:16" ht="24" hidden="1" x14ac:dyDescent="0.3">
      <c r="A78" s="26" t="s">
        <v>36</v>
      </c>
      <c r="B78" s="26">
        <v>1</v>
      </c>
      <c r="C78" s="26"/>
      <c r="D78" s="26">
        <v>13</v>
      </c>
      <c r="E78" s="26" t="str">
        <f>CONCATENATE('Смета ЕР (общ) '!$A78,".",'Смета ЕР (общ) '!$B78,".",'Смета ЕР (общ) '!$D78)</f>
        <v>Р1.1.13</v>
      </c>
      <c r="F78" s="26">
        <f t="shared" si="0"/>
        <v>1</v>
      </c>
      <c r="G78" s="27" t="s">
        <v>96</v>
      </c>
      <c r="H78" s="28" t="s">
        <v>40</v>
      </c>
      <c r="I78" s="158"/>
      <c r="J78" s="159">
        <v>0</v>
      </c>
      <c r="K78" s="30">
        <v>0</v>
      </c>
      <c r="L78" s="30">
        <f t="shared" si="3"/>
        <v>0</v>
      </c>
      <c r="M78" s="30">
        <f t="shared" si="3"/>
        <v>0</v>
      </c>
      <c r="N78" s="30">
        <f>ROUND('Смета ЕР (общ) '!$I78*'Смета ЕР (общ) '!$L78,2)</f>
        <v>0</v>
      </c>
      <c r="O78" s="30">
        <f>ROUND('Смета ЕР (общ) '!$I78*'Смета ЕР (общ) '!$M78,2)</f>
        <v>0</v>
      </c>
      <c r="P78" s="45" t="s">
        <v>95</v>
      </c>
    </row>
    <row r="79" spans="1:16" ht="14.4" hidden="1" x14ac:dyDescent="0.3">
      <c r="A79" s="26" t="s">
        <v>36</v>
      </c>
      <c r="B79" s="26">
        <v>1</v>
      </c>
      <c r="C79" s="26"/>
      <c r="D79" s="26">
        <v>14</v>
      </c>
      <c r="E79" s="26" t="str">
        <f>CONCATENATE('Смета ЕР (общ) '!$A79,".",'Смета ЕР (общ) '!$B79,".",'Смета ЕР (общ) '!$D79)</f>
        <v>Р1.1.14</v>
      </c>
      <c r="F79" s="26">
        <f t="shared" si="0"/>
        <v>1</v>
      </c>
      <c r="G79" s="27" t="s">
        <v>97</v>
      </c>
      <c r="H79" s="28" t="s">
        <v>40</v>
      </c>
      <c r="I79" s="158"/>
      <c r="J79" s="159">
        <v>0</v>
      </c>
      <c r="K79" s="30">
        <v>0</v>
      </c>
      <c r="L79" s="30">
        <f t="shared" si="3"/>
        <v>0</v>
      </c>
      <c r="M79" s="30">
        <f t="shared" si="3"/>
        <v>0</v>
      </c>
      <c r="N79" s="30">
        <f>ROUND('Смета ЕР (общ) '!$I79*'Смета ЕР (общ) '!$L79,2)</f>
        <v>0</v>
      </c>
      <c r="O79" s="30">
        <f>ROUND('Смета ЕР (общ) '!$I79*'Смета ЕР (общ) '!$M79,2)</f>
        <v>0</v>
      </c>
      <c r="P79" s="45" t="s">
        <v>95</v>
      </c>
    </row>
    <row r="80" spans="1:16" ht="24" hidden="1" x14ac:dyDescent="0.3">
      <c r="A80" s="26" t="s">
        <v>36</v>
      </c>
      <c r="B80" s="26">
        <v>1</v>
      </c>
      <c r="C80" s="26"/>
      <c r="D80" s="26">
        <v>15</v>
      </c>
      <c r="E80" s="26" t="str">
        <f>CONCATENATE('Смета ЕР (общ) '!$A80,".",'Смета ЕР (общ) '!$B80,".",'Смета ЕР (общ) '!$D80)</f>
        <v>Р1.1.15</v>
      </c>
      <c r="F80" s="26">
        <f t="shared" si="0"/>
        <v>1</v>
      </c>
      <c r="G80" s="27" t="s">
        <v>98</v>
      </c>
      <c r="H80" s="28" t="s">
        <v>40</v>
      </c>
      <c r="I80" s="158"/>
      <c r="J80" s="30">
        <v>88.99</v>
      </c>
      <c r="K80" s="30">
        <v>0</v>
      </c>
      <c r="L80" s="30">
        <f t="shared" si="3"/>
        <v>88.99</v>
      </c>
      <c r="M80" s="30">
        <f t="shared" si="3"/>
        <v>0</v>
      </c>
      <c r="N80" s="30">
        <f>ROUND('Смета ЕР (общ) '!$I80*'Смета ЕР (общ) '!$L80,2)</f>
        <v>0</v>
      </c>
      <c r="O80" s="30">
        <f>ROUND('Смета ЕР (общ) '!$I80*'Смета ЕР (общ) '!$M80,2)</f>
        <v>0</v>
      </c>
      <c r="P80" s="45"/>
    </row>
    <row r="81" spans="1:20" ht="24" hidden="1" x14ac:dyDescent="0.3">
      <c r="A81" s="26" t="s">
        <v>36</v>
      </c>
      <c r="B81" s="26">
        <v>1</v>
      </c>
      <c r="C81" s="26"/>
      <c r="D81" s="26">
        <v>16</v>
      </c>
      <c r="E81" s="26" t="str">
        <f>CONCATENATE('Смета ЕР (общ) '!$A81,".",'Смета ЕР (общ) '!$B81,".",'Смета ЕР (общ) '!$D81)</f>
        <v>Р1.1.16</v>
      </c>
      <c r="F81" s="26">
        <f t="shared" ref="F81:F144" si="4">IF(I81&gt;0,F80+1,F80)</f>
        <v>1</v>
      </c>
      <c r="G81" s="27" t="s">
        <v>99</v>
      </c>
      <c r="H81" s="28" t="s">
        <v>40</v>
      </c>
      <c r="I81" s="158"/>
      <c r="J81" s="30">
        <v>149.82</v>
      </c>
      <c r="K81" s="30">
        <v>0</v>
      </c>
      <c r="L81" s="30">
        <f t="shared" si="3"/>
        <v>149.82</v>
      </c>
      <c r="M81" s="30">
        <f t="shared" si="3"/>
        <v>0</v>
      </c>
      <c r="N81" s="30">
        <f>ROUND('Смета ЕР (общ) '!$I81*'Смета ЕР (общ) '!$L81,2)</f>
        <v>0</v>
      </c>
      <c r="O81" s="30">
        <f>ROUND('Смета ЕР (общ) '!$I81*'Смета ЕР (общ) '!$M81,2)</f>
        <v>0</v>
      </c>
      <c r="P81" s="45"/>
    </row>
    <row r="82" spans="1:20" ht="24" hidden="1" x14ac:dyDescent="0.3">
      <c r="A82" s="26" t="s">
        <v>36</v>
      </c>
      <c r="B82" s="26">
        <v>1</v>
      </c>
      <c r="C82" s="26"/>
      <c r="D82" s="26">
        <v>17</v>
      </c>
      <c r="E82" s="26" t="str">
        <f>CONCATENATE('Смета ЕР (общ) '!$A82,".",'Смета ЕР (общ) '!$B82,".",'Смета ЕР (общ) '!$D82)</f>
        <v>Р1.1.17</v>
      </c>
      <c r="F82" s="26">
        <f t="shared" si="4"/>
        <v>1</v>
      </c>
      <c r="G82" s="27" t="s">
        <v>100</v>
      </c>
      <c r="H82" s="28" t="s">
        <v>40</v>
      </c>
      <c r="I82" s="158"/>
      <c r="J82" s="30">
        <v>96.48</v>
      </c>
      <c r="K82" s="30">
        <v>0</v>
      </c>
      <c r="L82" s="30">
        <f t="shared" si="3"/>
        <v>96.48</v>
      </c>
      <c r="M82" s="30">
        <f t="shared" si="3"/>
        <v>0</v>
      </c>
      <c r="N82" s="30">
        <f>ROUND('Смета ЕР (общ) '!$I82*'Смета ЕР (общ) '!$L82,2)</f>
        <v>0</v>
      </c>
      <c r="O82" s="30">
        <f>ROUND('Смета ЕР (общ) '!$I82*'Смета ЕР (общ) '!$M82,2)</f>
        <v>0</v>
      </c>
      <c r="P82" s="45"/>
    </row>
    <row r="83" spans="1:20" ht="14.4" hidden="1" x14ac:dyDescent="0.3">
      <c r="A83" s="26" t="s">
        <v>36</v>
      </c>
      <c r="B83" s="26">
        <v>1</v>
      </c>
      <c r="C83" s="26"/>
      <c r="D83" s="26">
        <v>18</v>
      </c>
      <c r="E83" s="26" t="str">
        <f>CONCATENATE('Смета ЕР (общ) '!$A83,".",'Смета ЕР (общ) '!$B83,".",'Смета ЕР (общ) '!$D83)</f>
        <v>Р1.1.18</v>
      </c>
      <c r="F83" s="26">
        <f t="shared" si="4"/>
        <v>1</v>
      </c>
      <c r="G83" s="27" t="s">
        <v>101</v>
      </c>
      <c r="H83" s="28" t="s">
        <v>40</v>
      </c>
      <c r="I83" s="158"/>
      <c r="J83" s="30">
        <v>123.58</v>
      </c>
      <c r="K83" s="30">
        <v>0</v>
      </c>
      <c r="L83" s="30">
        <f t="shared" si="3"/>
        <v>123.58</v>
      </c>
      <c r="M83" s="30">
        <f t="shared" si="3"/>
        <v>0</v>
      </c>
      <c r="N83" s="30">
        <f>ROUND('Смета ЕР (общ) '!$I83*'Смета ЕР (общ) '!$L83,2)</f>
        <v>0</v>
      </c>
      <c r="O83" s="30">
        <f>ROUND('Смета ЕР (общ) '!$I83*'Смета ЕР (общ) '!$M83,2)</f>
        <v>0</v>
      </c>
      <c r="P83" s="45"/>
      <c r="T83">
        <v>214</v>
      </c>
    </row>
    <row r="84" spans="1:20" ht="14.4" hidden="1" x14ac:dyDescent="0.3">
      <c r="A84" s="26" t="s">
        <v>36</v>
      </c>
      <c r="B84" s="26">
        <v>1</v>
      </c>
      <c r="C84" s="26"/>
      <c r="D84" s="26">
        <v>84</v>
      </c>
      <c r="E84" s="26" t="str">
        <f>CONCATENATE('Смета ЕР (общ) '!$A84,".",'Смета ЕР (общ) '!$B84,".",'Смета ЕР (общ) '!$D84)</f>
        <v>Р1.1.84</v>
      </c>
      <c r="F84" s="26">
        <f t="shared" si="4"/>
        <v>1</v>
      </c>
      <c r="G84" s="27" t="s">
        <v>102</v>
      </c>
      <c r="H84" s="28" t="s">
        <v>64</v>
      </c>
      <c r="I84" s="158"/>
      <c r="J84" s="30">
        <v>13074.35</v>
      </c>
      <c r="K84" s="30">
        <v>0</v>
      </c>
      <c r="L84" s="30">
        <f t="shared" si="3"/>
        <v>13074.35</v>
      </c>
      <c r="M84" s="30">
        <f t="shared" si="3"/>
        <v>0</v>
      </c>
      <c r="N84" s="30">
        <f>ROUND('Смета ЕР (общ) '!$I84*'Смета ЕР (общ) '!$L84,2)</f>
        <v>0</v>
      </c>
      <c r="O84" s="30">
        <f>ROUND('Смета ЕР (общ) '!$I84*'Смета ЕР (общ) '!$M84,2)</f>
        <v>0</v>
      </c>
      <c r="P84" s="45"/>
    </row>
    <row r="85" spans="1:20" ht="24" hidden="1" x14ac:dyDescent="0.3">
      <c r="A85" s="26" t="s">
        <v>36</v>
      </c>
      <c r="B85" s="26">
        <v>1</v>
      </c>
      <c r="C85" s="26"/>
      <c r="D85" s="26">
        <v>19</v>
      </c>
      <c r="E85" s="26" t="str">
        <f>CONCATENATE('Смета ЕР (общ) '!$A85,".",'Смета ЕР (общ) '!$B85,".",'Смета ЕР (общ) '!$D85)</f>
        <v>Р1.1.19</v>
      </c>
      <c r="F85" s="26">
        <f t="shared" si="4"/>
        <v>1</v>
      </c>
      <c r="G85" s="27" t="s">
        <v>103</v>
      </c>
      <c r="H85" s="28" t="s">
        <v>40</v>
      </c>
      <c r="I85" s="158"/>
      <c r="J85" s="30">
        <v>190.9</v>
      </c>
      <c r="K85" s="30">
        <v>0</v>
      </c>
      <c r="L85" s="30">
        <f t="shared" si="3"/>
        <v>190.9</v>
      </c>
      <c r="M85" s="30">
        <f t="shared" si="3"/>
        <v>0</v>
      </c>
      <c r="N85" s="30">
        <f>ROUND('Смета ЕР (общ) '!$I85*'Смета ЕР (общ) '!$L85,2)</f>
        <v>0</v>
      </c>
      <c r="O85" s="30">
        <f>ROUND('Смета ЕР (общ) '!$I85*'Смета ЕР (общ) '!$M85,2)</f>
        <v>0</v>
      </c>
      <c r="P85" s="45"/>
    </row>
    <row r="86" spans="1:20" ht="14.4" hidden="1" x14ac:dyDescent="0.3">
      <c r="A86" s="26" t="s">
        <v>36</v>
      </c>
      <c r="B86" s="26">
        <v>1</v>
      </c>
      <c r="C86" s="26"/>
      <c r="D86" s="26">
        <v>20</v>
      </c>
      <c r="E86" s="26" t="str">
        <f>CONCATENATE('Смета ЕР (общ) '!$A86,".",'Смета ЕР (общ) '!$B86,".",'Смета ЕР (общ) '!$D86)</f>
        <v>Р1.1.20</v>
      </c>
      <c r="F86" s="26">
        <f t="shared" si="4"/>
        <v>1</v>
      </c>
      <c r="G86" s="27" t="s">
        <v>104</v>
      </c>
      <c r="H86" s="28" t="s">
        <v>40</v>
      </c>
      <c r="I86" s="158"/>
      <c r="J86" s="159">
        <v>0</v>
      </c>
      <c r="K86" s="30">
        <v>0</v>
      </c>
      <c r="L86" s="30">
        <f t="shared" si="3"/>
        <v>0</v>
      </c>
      <c r="M86" s="30">
        <f t="shared" si="3"/>
        <v>0</v>
      </c>
      <c r="N86" s="30">
        <f>ROUND('Смета ЕР (общ) '!$I86*'Смета ЕР (общ) '!$L86,2)</f>
        <v>0</v>
      </c>
      <c r="O86" s="30">
        <f>ROUND('Смета ЕР (общ) '!$I86*'Смета ЕР (общ) '!$M86,2)</f>
        <v>0</v>
      </c>
      <c r="P86" s="45" t="s">
        <v>95</v>
      </c>
    </row>
    <row r="87" spans="1:20" ht="14.4" hidden="1" x14ac:dyDescent="0.3">
      <c r="A87" s="26" t="s">
        <v>36</v>
      </c>
      <c r="B87" s="26">
        <v>1</v>
      </c>
      <c r="C87" s="26"/>
      <c r="D87" s="26">
        <v>21</v>
      </c>
      <c r="E87" s="26" t="str">
        <f>CONCATENATE('Смета ЕР (общ) '!$A87,".",'Смета ЕР (общ) '!$B87,".",'Смета ЕР (общ) '!$D87)</f>
        <v>Р1.1.21</v>
      </c>
      <c r="F87" s="26">
        <f t="shared" si="4"/>
        <v>1</v>
      </c>
      <c r="G87" s="27" t="s">
        <v>105</v>
      </c>
      <c r="H87" s="28" t="s">
        <v>40</v>
      </c>
      <c r="I87" s="158"/>
      <c r="J87" s="30">
        <v>98.96</v>
      </c>
      <c r="K87" s="30">
        <v>0</v>
      </c>
      <c r="L87" s="30">
        <f t="shared" si="3"/>
        <v>98.96</v>
      </c>
      <c r="M87" s="30">
        <f t="shared" si="3"/>
        <v>0</v>
      </c>
      <c r="N87" s="30">
        <f>ROUND('Смета ЕР (общ) '!$I87*'Смета ЕР (общ) '!$L87,2)</f>
        <v>0</v>
      </c>
      <c r="O87" s="30">
        <f>ROUND('Смета ЕР (общ) '!$I87*'Смета ЕР (общ) '!$M87,2)</f>
        <v>0</v>
      </c>
      <c r="P87" s="45"/>
    </row>
    <row r="88" spans="1:20" ht="14.4" hidden="1" x14ac:dyDescent="0.3">
      <c r="A88" s="26" t="s">
        <v>36</v>
      </c>
      <c r="B88" s="26">
        <v>1</v>
      </c>
      <c r="C88" s="26"/>
      <c r="D88" s="26">
        <v>22</v>
      </c>
      <c r="E88" s="26" t="str">
        <f>CONCATENATE('Смета ЕР (общ) '!$A88,".",'Смета ЕР (общ) '!$B88,".",'Смета ЕР (общ) '!$D88)</f>
        <v>Р1.1.22</v>
      </c>
      <c r="F88" s="26">
        <f t="shared" si="4"/>
        <v>1</v>
      </c>
      <c r="G88" s="27" t="s">
        <v>106</v>
      </c>
      <c r="H88" s="28" t="s">
        <v>40</v>
      </c>
      <c r="I88" s="158"/>
      <c r="J88" s="159">
        <v>0</v>
      </c>
      <c r="K88" s="30">
        <v>0</v>
      </c>
      <c r="L88" s="30">
        <f t="shared" si="3"/>
        <v>0</v>
      </c>
      <c r="M88" s="30">
        <f t="shared" si="3"/>
        <v>0</v>
      </c>
      <c r="N88" s="30">
        <f>ROUND('Смета ЕР (общ) '!$I88*'Смета ЕР (общ) '!$L88,2)</f>
        <v>0</v>
      </c>
      <c r="O88" s="30">
        <f>ROUND('Смета ЕР (общ) '!$I88*'Смета ЕР (общ) '!$M88,2)</f>
        <v>0</v>
      </c>
      <c r="P88" s="45" t="s">
        <v>95</v>
      </c>
    </row>
    <row r="89" spans="1:20" ht="14.4" hidden="1" x14ac:dyDescent="0.3">
      <c r="A89" s="26" t="s">
        <v>36</v>
      </c>
      <c r="B89" s="26">
        <v>1</v>
      </c>
      <c r="C89" s="26"/>
      <c r="D89" s="26">
        <v>23</v>
      </c>
      <c r="E89" s="26" t="str">
        <f>CONCATENATE('Смета ЕР (общ) '!$A89,".",'Смета ЕР (общ) '!$B89,".",'Смета ЕР (общ) '!$D89)</f>
        <v>Р1.1.23</v>
      </c>
      <c r="F89" s="26">
        <f t="shared" si="4"/>
        <v>1</v>
      </c>
      <c r="G89" s="27" t="s">
        <v>107</v>
      </c>
      <c r="H89" s="28" t="s">
        <v>40</v>
      </c>
      <c r="I89" s="158"/>
      <c r="J89" s="159">
        <v>0</v>
      </c>
      <c r="K89" s="30">
        <v>0</v>
      </c>
      <c r="L89" s="30">
        <f t="shared" si="3"/>
        <v>0</v>
      </c>
      <c r="M89" s="30">
        <f t="shared" si="3"/>
        <v>0</v>
      </c>
      <c r="N89" s="30">
        <f>ROUND('Смета ЕР (общ) '!$I89*'Смета ЕР (общ) '!$L89,2)</f>
        <v>0</v>
      </c>
      <c r="O89" s="30">
        <f>ROUND('Смета ЕР (общ) '!$I89*'Смета ЕР (общ) '!$M89,2)</f>
        <v>0</v>
      </c>
      <c r="P89" s="45" t="s">
        <v>95</v>
      </c>
    </row>
    <row r="90" spans="1:20" ht="14.4" hidden="1" x14ac:dyDescent="0.3">
      <c r="A90" s="26" t="s">
        <v>36</v>
      </c>
      <c r="B90" s="26">
        <v>1</v>
      </c>
      <c r="C90" s="26"/>
      <c r="D90" s="26">
        <v>24</v>
      </c>
      <c r="E90" s="26" t="str">
        <f>CONCATENATE('Смета ЕР (общ) '!$A90,".",'Смета ЕР (общ) '!$B90,".",'Смета ЕР (общ) '!$D90)</f>
        <v>Р1.1.24</v>
      </c>
      <c r="F90" s="26">
        <f t="shared" si="4"/>
        <v>1</v>
      </c>
      <c r="G90" s="27" t="s">
        <v>108</v>
      </c>
      <c r="H90" s="28" t="s">
        <v>40</v>
      </c>
      <c r="I90" s="158"/>
      <c r="J90" s="159">
        <v>0</v>
      </c>
      <c r="K90" s="30">
        <v>0</v>
      </c>
      <c r="L90" s="30">
        <f t="shared" si="3"/>
        <v>0</v>
      </c>
      <c r="M90" s="30">
        <f t="shared" si="3"/>
        <v>0</v>
      </c>
      <c r="N90" s="30">
        <f>ROUND('Смета ЕР (общ) '!$I90*'Смета ЕР (общ) '!$L90,2)</f>
        <v>0</v>
      </c>
      <c r="O90" s="30">
        <f>ROUND('Смета ЕР (общ) '!$I90*'Смета ЕР (общ) '!$M90,2)</f>
        <v>0</v>
      </c>
      <c r="P90" s="45" t="s">
        <v>95</v>
      </c>
    </row>
    <row r="91" spans="1:20" ht="14.4" hidden="1" x14ac:dyDescent="0.3">
      <c r="A91" s="26" t="s">
        <v>36</v>
      </c>
      <c r="B91" s="26">
        <v>1</v>
      </c>
      <c r="C91" s="26"/>
      <c r="D91" s="26">
        <v>27</v>
      </c>
      <c r="E91" s="26" t="str">
        <f>CONCATENATE('Смета ЕР (общ) '!$A91,".",'Смета ЕР (общ) '!$B91,".",'Смета ЕР (общ) '!$D91)</f>
        <v>Р1.1.27</v>
      </c>
      <c r="F91" s="26">
        <f t="shared" si="4"/>
        <v>1</v>
      </c>
      <c r="G91" s="27" t="s">
        <v>109</v>
      </c>
      <c r="H91" s="28" t="s">
        <v>40</v>
      </c>
      <c r="I91" s="158"/>
      <c r="J91" s="30">
        <v>114.84</v>
      </c>
      <c r="K91" s="30">
        <v>0</v>
      </c>
      <c r="L91" s="30">
        <f t="shared" si="3"/>
        <v>114.84</v>
      </c>
      <c r="M91" s="30">
        <f t="shared" si="3"/>
        <v>0</v>
      </c>
      <c r="N91" s="30">
        <f>ROUND('Смета ЕР (общ) '!$I91*'Смета ЕР (общ) '!$L91,2)</f>
        <v>0</v>
      </c>
      <c r="O91" s="30">
        <f>ROUND('Смета ЕР (общ) '!$I91*'Смета ЕР (общ) '!$M91,2)</f>
        <v>0</v>
      </c>
      <c r="P91" s="45"/>
    </row>
    <row r="92" spans="1:20" ht="24" hidden="1" x14ac:dyDescent="0.3">
      <c r="A92" s="26" t="s">
        <v>36</v>
      </c>
      <c r="B92" s="26">
        <v>1</v>
      </c>
      <c r="C92" s="26"/>
      <c r="D92" s="26">
        <v>28</v>
      </c>
      <c r="E92" s="26" t="str">
        <f>CONCATENATE('Смета ЕР (общ) '!$A92,".",'Смета ЕР (общ) '!$B92,".",'Смета ЕР (общ) '!$D92)</f>
        <v>Р1.1.28</v>
      </c>
      <c r="F92" s="26">
        <f t="shared" si="4"/>
        <v>1</v>
      </c>
      <c r="G92" s="27" t="s">
        <v>110</v>
      </c>
      <c r="H92" s="28" t="s">
        <v>40</v>
      </c>
      <c r="I92" s="158"/>
      <c r="J92" s="30">
        <v>52.25</v>
      </c>
      <c r="K92" s="30">
        <v>0</v>
      </c>
      <c r="L92" s="30">
        <f t="shared" ref="L92:M108" si="5">ROUND(J92-J92*$Q$3,2)</f>
        <v>52.25</v>
      </c>
      <c r="M92" s="30">
        <f t="shared" si="5"/>
        <v>0</v>
      </c>
      <c r="N92" s="30">
        <f>ROUND('Смета ЕР (общ) '!$I92*'Смета ЕР (общ) '!$L92,2)</f>
        <v>0</v>
      </c>
      <c r="O92" s="30">
        <f>ROUND('Смета ЕР (общ) '!$I92*'Смета ЕР (общ) '!$M92,2)</f>
        <v>0</v>
      </c>
      <c r="P92" s="45"/>
    </row>
    <row r="93" spans="1:20" ht="24" hidden="1" x14ac:dyDescent="0.3">
      <c r="A93" s="26" t="s">
        <v>36</v>
      </c>
      <c r="B93" s="26">
        <v>1</v>
      </c>
      <c r="C93" s="26"/>
      <c r="D93" s="26">
        <v>32</v>
      </c>
      <c r="E93" s="26" t="str">
        <f>CONCATENATE('Смета ЕР (общ) '!$A93,".",'Смета ЕР (общ) '!$B93,".",'Смета ЕР (общ) '!$D93)</f>
        <v>Р1.1.32</v>
      </c>
      <c r="F93" s="26">
        <f t="shared" si="4"/>
        <v>1</v>
      </c>
      <c r="G93" s="27" t="s">
        <v>111</v>
      </c>
      <c r="H93" s="28" t="s">
        <v>40</v>
      </c>
      <c r="I93" s="158"/>
      <c r="J93" s="159">
        <v>0</v>
      </c>
      <c r="K93" s="30">
        <v>0</v>
      </c>
      <c r="L93" s="30">
        <f t="shared" si="5"/>
        <v>0</v>
      </c>
      <c r="M93" s="30">
        <f t="shared" si="5"/>
        <v>0</v>
      </c>
      <c r="N93" s="30">
        <f>ROUND('Смета ЕР (общ) '!$I93*'Смета ЕР (общ) '!$L93,2)</f>
        <v>0</v>
      </c>
      <c r="O93" s="30">
        <f>ROUND('Смета ЕР (общ) '!$I93*'Смета ЕР (общ) '!$M93,2)</f>
        <v>0</v>
      </c>
      <c r="P93" s="45" t="s">
        <v>95</v>
      </c>
    </row>
    <row r="94" spans="1:20" ht="14.4" hidden="1" x14ac:dyDescent="0.3">
      <c r="A94" s="26" t="s">
        <v>36</v>
      </c>
      <c r="B94" s="26">
        <v>1</v>
      </c>
      <c r="C94" s="26"/>
      <c r="D94" s="26">
        <v>34</v>
      </c>
      <c r="E94" s="26" t="str">
        <f>CONCATENATE('Смета ЕР (общ) '!$A94,".",'Смета ЕР (общ) '!$B94,".",'Смета ЕР (общ) '!$D94)</f>
        <v>Р1.1.34</v>
      </c>
      <c r="F94" s="26">
        <f t="shared" si="4"/>
        <v>1</v>
      </c>
      <c r="G94" s="27" t="s">
        <v>112</v>
      </c>
      <c r="H94" s="28" t="s">
        <v>40</v>
      </c>
      <c r="I94" s="158"/>
      <c r="J94" s="30">
        <v>30.63</v>
      </c>
      <c r="K94" s="30">
        <v>0</v>
      </c>
      <c r="L94" s="30">
        <f t="shared" si="5"/>
        <v>30.63</v>
      </c>
      <c r="M94" s="30">
        <f t="shared" si="5"/>
        <v>0</v>
      </c>
      <c r="N94" s="30">
        <f>ROUND('Смета ЕР (общ) '!$I94*'Смета ЕР (общ) '!$L94,2)</f>
        <v>0</v>
      </c>
      <c r="O94" s="30">
        <f>ROUND('Смета ЕР (общ) '!$I94*'Смета ЕР (общ) '!$M94,2)</f>
        <v>0</v>
      </c>
      <c r="P94" s="45"/>
    </row>
    <row r="95" spans="1:20" ht="24" hidden="1" x14ac:dyDescent="0.3">
      <c r="A95" s="26" t="s">
        <v>36</v>
      </c>
      <c r="B95" s="26">
        <v>1</v>
      </c>
      <c r="C95" s="26"/>
      <c r="D95" s="26">
        <v>92</v>
      </c>
      <c r="E95" s="26" t="str">
        <f>CONCATENATE('Смета ЕР (общ) '!$A95,".",'Смета ЕР (общ) '!$B95,".",'Смета ЕР (общ) '!$D95)</f>
        <v>Р1.1.92</v>
      </c>
      <c r="F95" s="26">
        <f t="shared" si="4"/>
        <v>1</v>
      </c>
      <c r="G95" s="27" t="s">
        <v>113</v>
      </c>
      <c r="H95" s="28" t="s">
        <v>64</v>
      </c>
      <c r="I95" s="158"/>
      <c r="J95" s="30">
        <v>10207.56</v>
      </c>
      <c r="K95" s="30">
        <v>0</v>
      </c>
      <c r="L95" s="30">
        <f t="shared" si="5"/>
        <v>10207.56</v>
      </c>
      <c r="M95" s="30">
        <f t="shared" si="5"/>
        <v>0</v>
      </c>
      <c r="N95" s="30">
        <f>ROUND('Смета ЕР (общ) '!$I95*'Смета ЕР (общ) '!$L95,2)</f>
        <v>0</v>
      </c>
      <c r="O95" s="30">
        <f>ROUND('Смета ЕР (общ) '!$I95*'Смета ЕР (общ) '!$M95,2)</f>
        <v>0</v>
      </c>
      <c r="P95" s="45"/>
    </row>
    <row r="96" spans="1:20" ht="14.4" hidden="1" x14ac:dyDescent="0.3">
      <c r="A96" s="26" t="s">
        <v>36</v>
      </c>
      <c r="B96" s="26">
        <v>1</v>
      </c>
      <c r="C96" s="26"/>
      <c r="D96" s="26">
        <v>35</v>
      </c>
      <c r="E96" s="26" t="str">
        <f>CONCATENATE('Смета ЕР (общ) '!$A96,".",'Смета ЕР (общ) '!$B96,".",'Смета ЕР (общ) '!$D96)</f>
        <v>Р1.1.35</v>
      </c>
      <c r="F96" s="26">
        <f>IF(I96&gt;0,F94+1,F94)</f>
        <v>1</v>
      </c>
      <c r="G96" s="27" t="s">
        <v>114</v>
      </c>
      <c r="H96" s="28" t="s">
        <v>40</v>
      </c>
      <c r="I96" s="158"/>
      <c r="J96" s="30">
        <v>76.52</v>
      </c>
      <c r="K96" s="30">
        <v>0</v>
      </c>
      <c r="L96" s="30">
        <f t="shared" si="5"/>
        <v>76.52</v>
      </c>
      <c r="M96" s="30">
        <f t="shared" si="5"/>
        <v>0</v>
      </c>
      <c r="N96" s="30">
        <f>ROUND('Смета ЕР (общ) '!$I96*'Смета ЕР (общ) '!$L96,2)</f>
        <v>0</v>
      </c>
      <c r="O96" s="30">
        <f>ROUND('Смета ЕР (общ) '!$I96*'Смета ЕР (общ) '!$M96,2)</f>
        <v>0</v>
      </c>
      <c r="P96" s="45"/>
    </row>
    <row r="97" spans="1:20" ht="14.4" hidden="1" x14ac:dyDescent="0.3">
      <c r="A97" s="26" t="s">
        <v>36</v>
      </c>
      <c r="B97" s="26">
        <v>1</v>
      </c>
      <c r="C97" s="26"/>
      <c r="D97" s="26">
        <v>38</v>
      </c>
      <c r="E97" s="26" t="str">
        <f>CONCATENATE('Смета ЕР (общ) '!$A97,".",'Смета ЕР (общ) '!$B97,".",'Смета ЕР (общ) '!$D97)</f>
        <v>Р1.1.38</v>
      </c>
      <c r="F97" s="26">
        <f t="shared" si="4"/>
        <v>1</v>
      </c>
      <c r="G97" s="27" t="s">
        <v>115</v>
      </c>
      <c r="H97" s="28" t="s">
        <v>40</v>
      </c>
      <c r="I97" s="158"/>
      <c r="J97" s="159">
        <v>0</v>
      </c>
      <c r="K97" s="30">
        <v>0</v>
      </c>
      <c r="L97" s="30">
        <f t="shared" si="5"/>
        <v>0</v>
      </c>
      <c r="M97" s="30">
        <f t="shared" si="5"/>
        <v>0</v>
      </c>
      <c r="N97" s="30">
        <f>ROUND('Смета ЕР (общ) '!$I97*'Смета ЕР (общ) '!$L97,2)</f>
        <v>0</v>
      </c>
      <c r="O97" s="30">
        <f>ROUND('Смета ЕР (общ) '!$I97*'Смета ЕР (общ) '!$M97,2)</f>
        <v>0</v>
      </c>
      <c r="P97" s="45" t="s">
        <v>95</v>
      </c>
    </row>
    <row r="98" spans="1:20" ht="24" hidden="1" x14ac:dyDescent="0.3">
      <c r="A98" s="26" t="s">
        <v>36</v>
      </c>
      <c r="B98" s="26">
        <v>1</v>
      </c>
      <c r="C98" s="26"/>
      <c r="D98" s="26">
        <v>39</v>
      </c>
      <c r="E98" s="26" t="str">
        <f>CONCATENATE('Смета ЕР (общ) '!$A98,".",'Смета ЕР (общ) '!$B98,".",'Смета ЕР (общ) '!$D98)</f>
        <v>Р1.1.39</v>
      </c>
      <c r="F98" s="26">
        <f t="shared" si="4"/>
        <v>1</v>
      </c>
      <c r="G98" s="27" t="s">
        <v>116</v>
      </c>
      <c r="H98" s="28" t="s">
        <v>40</v>
      </c>
      <c r="I98" s="158"/>
      <c r="J98" s="159">
        <v>0</v>
      </c>
      <c r="K98" s="30">
        <v>0</v>
      </c>
      <c r="L98" s="30">
        <f t="shared" si="5"/>
        <v>0</v>
      </c>
      <c r="M98" s="30">
        <f t="shared" si="5"/>
        <v>0</v>
      </c>
      <c r="N98" s="30">
        <f>ROUND('Смета ЕР (общ) '!$I98*'Смета ЕР (общ) '!$L98,2)</f>
        <v>0</v>
      </c>
      <c r="O98" s="30">
        <f>ROUND('Смета ЕР (общ) '!$I98*'Смета ЕР (общ) '!$M98,2)</f>
        <v>0</v>
      </c>
      <c r="P98" s="45" t="s">
        <v>95</v>
      </c>
    </row>
    <row r="99" spans="1:20" ht="14.4" hidden="1" x14ac:dyDescent="0.3">
      <c r="A99" s="26" t="s">
        <v>36</v>
      </c>
      <c r="B99" s="26">
        <v>1</v>
      </c>
      <c r="C99" s="26"/>
      <c r="D99" s="26">
        <v>40</v>
      </c>
      <c r="E99" s="26" t="str">
        <f>CONCATENATE('Смета ЕР (общ) '!$A99,".",'Смета ЕР (общ) '!$B99,".",'Смета ЕР (общ) '!$D99)</f>
        <v>Р1.1.40</v>
      </c>
      <c r="F99" s="26">
        <f t="shared" si="4"/>
        <v>1</v>
      </c>
      <c r="G99" s="27" t="s">
        <v>117</v>
      </c>
      <c r="H99" s="28" t="s">
        <v>118</v>
      </c>
      <c r="I99" s="158"/>
      <c r="J99" s="30">
        <v>16168.42</v>
      </c>
      <c r="K99" s="30">
        <v>0</v>
      </c>
      <c r="L99" s="30">
        <f t="shared" si="5"/>
        <v>16168.42</v>
      </c>
      <c r="M99" s="30">
        <f t="shared" si="5"/>
        <v>0</v>
      </c>
      <c r="N99" s="30">
        <f>ROUND('Смета ЕР (общ) '!$I99*'Смета ЕР (общ) '!$L99,2)</f>
        <v>0</v>
      </c>
      <c r="O99" s="30">
        <f>ROUND('Смета ЕР (общ) '!$I99*'Смета ЕР (общ) '!$M99,2)</f>
        <v>0</v>
      </c>
      <c r="P99" s="45"/>
    </row>
    <row r="100" spans="1:20" ht="48" hidden="1" x14ac:dyDescent="0.3">
      <c r="A100" s="26" t="s">
        <v>36</v>
      </c>
      <c r="B100" s="26">
        <v>1</v>
      </c>
      <c r="C100" s="26"/>
      <c r="D100" s="26">
        <v>41</v>
      </c>
      <c r="E100" s="26" t="str">
        <f>CONCATENATE('Смета ЕР (общ) '!$A100,".",'Смета ЕР (общ) '!$B100,".",'Смета ЕР (общ) '!$D100)</f>
        <v>Р1.1.41</v>
      </c>
      <c r="F100" s="26">
        <f t="shared" si="4"/>
        <v>1</v>
      </c>
      <c r="G100" s="27" t="s">
        <v>119</v>
      </c>
      <c r="H100" s="28" t="s">
        <v>64</v>
      </c>
      <c r="I100" s="158"/>
      <c r="J100" s="30">
        <v>23438.15</v>
      </c>
      <c r="K100" s="30">
        <v>0</v>
      </c>
      <c r="L100" s="30">
        <f t="shared" si="5"/>
        <v>23438.15</v>
      </c>
      <c r="M100" s="30">
        <f t="shared" si="5"/>
        <v>0</v>
      </c>
      <c r="N100" s="30">
        <f>ROUND('Смета ЕР (общ) '!$I100*'Смета ЕР (общ) '!$L100,2)</f>
        <v>0</v>
      </c>
      <c r="O100" s="30">
        <f>ROUND('Смета ЕР (общ) '!$I100*'Смета ЕР (общ) '!$M100,2)</f>
        <v>0</v>
      </c>
      <c r="P100" s="45"/>
    </row>
    <row r="101" spans="1:20" ht="48" hidden="1" x14ac:dyDescent="0.3">
      <c r="A101" s="26" t="s">
        <v>36</v>
      </c>
      <c r="B101" s="26">
        <v>1</v>
      </c>
      <c r="C101" s="26"/>
      <c r="D101" s="26">
        <v>85</v>
      </c>
      <c r="E101" s="26" t="str">
        <f>CONCATENATE('Смета ЕР (общ) '!$A101,".",'Смета ЕР (общ) '!$B101,".",'Смета ЕР (общ) '!$D101)</f>
        <v>Р1.1.85</v>
      </c>
      <c r="F101" s="26">
        <f t="shared" si="4"/>
        <v>1</v>
      </c>
      <c r="G101" s="27" t="s">
        <v>120</v>
      </c>
      <c r="H101" s="28" t="s">
        <v>40</v>
      </c>
      <c r="I101" s="158"/>
      <c r="J101" s="30">
        <v>17.8</v>
      </c>
      <c r="K101" s="30">
        <v>0</v>
      </c>
      <c r="L101" s="30">
        <f t="shared" si="5"/>
        <v>17.8</v>
      </c>
      <c r="M101" s="30">
        <f t="shared" si="5"/>
        <v>0</v>
      </c>
      <c r="N101" s="30">
        <f>ROUND('Смета ЕР (общ) '!$I101*'Смета ЕР (общ) '!$L101,2)</f>
        <v>0</v>
      </c>
      <c r="O101" s="30">
        <f>ROUND('Смета ЕР (общ) '!$I101*'Смета ЕР (общ) '!$M101,2)</f>
        <v>0</v>
      </c>
      <c r="P101" s="45"/>
    </row>
    <row r="102" spans="1:20" s="35" customFormat="1" ht="24" hidden="1" x14ac:dyDescent="0.3">
      <c r="A102" s="26" t="s">
        <v>36</v>
      </c>
      <c r="B102" s="26">
        <v>1</v>
      </c>
      <c r="C102" s="26"/>
      <c r="D102" s="26">
        <v>86</v>
      </c>
      <c r="E102" s="26" t="str">
        <f>CONCATENATE('Смета ЕР (общ) '!$A102,".",'Смета ЕР (общ) '!$B102,".",'Смета ЕР (общ) '!$D102)</f>
        <v>Р1.1.86</v>
      </c>
      <c r="F102" s="26">
        <f t="shared" si="4"/>
        <v>1</v>
      </c>
      <c r="G102" s="27" t="s">
        <v>121</v>
      </c>
      <c r="H102" s="28" t="s">
        <v>64</v>
      </c>
      <c r="I102" s="158"/>
      <c r="J102" s="30">
        <v>132501.92000000001</v>
      </c>
      <c r="K102" s="30">
        <v>0</v>
      </c>
      <c r="L102" s="30">
        <f t="shared" si="5"/>
        <v>132501.92000000001</v>
      </c>
      <c r="M102" s="30">
        <f t="shared" si="5"/>
        <v>0</v>
      </c>
      <c r="N102" s="30">
        <f>ROUND('Смета ЕР (общ) '!$I102*'Смета ЕР (общ) '!$L102,2)</f>
        <v>0</v>
      </c>
      <c r="O102" s="30">
        <f>ROUND('Смета ЕР (общ) '!$I102*'Смета ЕР (общ) '!$M102,2)</f>
        <v>0</v>
      </c>
      <c r="P102" s="167" t="s">
        <v>122</v>
      </c>
    </row>
    <row r="103" spans="1:20" s="35" customFormat="1" ht="48" hidden="1" x14ac:dyDescent="0.3">
      <c r="A103" s="26" t="s">
        <v>36</v>
      </c>
      <c r="B103" s="26">
        <v>1</v>
      </c>
      <c r="C103" s="26"/>
      <c r="D103" s="26">
        <v>87</v>
      </c>
      <c r="E103" s="26" t="str">
        <f>CONCATENATE('Смета ЕР (общ) '!$A103,".",'Смета ЕР (общ) '!$B103,".",'Смета ЕР (общ) '!$D103)</f>
        <v>Р1.1.87</v>
      </c>
      <c r="F103" s="26">
        <f t="shared" si="4"/>
        <v>1</v>
      </c>
      <c r="G103" s="27" t="s">
        <v>123</v>
      </c>
      <c r="H103" s="28" t="s">
        <v>64</v>
      </c>
      <c r="I103" s="158"/>
      <c r="J103" s="30">
        <v>134515.32999999999</v>
      </c>
      <c r="K103" s="30">
        <v>0</v>
      </c>
      <c r="L103" s="30">
        <f t="shared" si="5"/>
        <v>134515.32999999999</v>
      </c>
      <c r="M103" s="30">
        <f t="shared" si="5"/>
        <v>0</v>
      </c>
      <c r="N103" s="30">
        <f>ROUND('Смета ЕР (общ) '!$I103*'Смета ЕР (общ) '!$L103,2)</f>
        <v>0</v>
      </c>
      <c r="O103" s="30">
        <f>ROUND('Смета ЕР (общ) '!$I103*'Смета ЕР (общ) '!$M103,2)</f>
        <v>0</v>
      </c>
      <c r="P103" s="167" t="s">
        <v>122</v>
      </c>
    </row>
    <row r="104" spans="1:20" s="35" customFormat="1" ht="24" hidden="1" x14ac:dyDescent="0.3">
      <c r="A104" s="26" t="s">
        <v>36</v>
      </c>
      <c r="B104" s="26">
        <v>1</v>
      </c>
      <c r="C104" s="26"/>
      <c r="D104" s="26">
        <v>88</v>
      </c>
      <c r="E104" s="26" t="str">
        <f>CONCATENATE('Смета ЕР (общ) '!$A104,".",'Смета ЕР (общ) '!$B104,".",'Смета ЕР (общ) '!$D104)</f>
        <v>Р1.1.88</v>
      </c>
      <c r="F104" s="26">
        <f t="shared" si="4"/>
        <v>1</v>
      </c>
      <c r="G104" s="27" t="s">
        <v>124</v>
      </c>
      <c r="H104" s="28" t="s">
        <v>125</v>
      </c>
      <c r="I104" s="158"/>
      <c r="J104" s="30">
        <v>137099.85999999999</v>
      </c>
      <c r="K104" s="30">
        <v>0</v>
      </c>
      <c r="L104" s="30">
        <f t="shared" si="5"/>
        <v>137099.85999999999</v>
      </c>
      <c r="M104" s="30">
        <f t="shared" si="5"/>
        <v>0</v>
      </c>
      <c r="N104" s="30">
        <f>ROUND('Смета ЕР (общ) '!$I104*'Смета ЕР (общ) '!$L104,2)</f>
        <v>0</v>
      </c>
      <c r="O104" s="30">
        <f>ROUND('Смета ЕР (общ) '!$I104*'Смета ЕР (общ) '!$M104,2)</f>
        <v>0</v>
      </c>
      <c r="P104" s="167" t="s">
        <v>122</v>
      </c>
    </row>
    <row r="105" spans="1:20" s="35" customFormat="1" ht="14.4" hidden="1" x14ac:dyDescent="0.3">
      <c r="A105" s="26" t="s">
        <v>36</v>
      </c>
      <c r="B105" s="26">
        <v>1</v>
      </c>
      <c r="C105" s="26"/>
      <c r="D105" s="26">
        <v>89</v>
      </c>
      <c r="E105" s="26" t="str">
        <f>CONCATENATE('Смета ЕР (общ) '!$A105,".",'Смета ЕР (общ) '!$B105,".",'Смета ЕР (общ) '!$D105)</f>
        <v>Р1.1.89</v>
      </c>
      <c r="F105" s="26">
        <f t="shared" si="4"/>
        <v>1</v>
      </c>
      <c r="G105" s="27" t="s">
        <v>97</v>
      </c>
      <c r="H105" s="28" t="s">
        <v>64</v>
      </c>
      <c r="I105" s="158"/>
      <c r="J105" s="30">
        <v>134499.93</v>
      </c>
      <c r="K105" s="30">
        <v>0</v>
      </c>
      <c r="L105" s="30">
        <f t="shared" si="5"/>
        <v>134499.93</v>
      </c>
      <c r="M105" s="30">
        <f t="shared" si="5"/>
        <v>0</v>
      </c>
      <c r="N105" s="30">
        <f>ROUND('Смета ЕР (общ) '!$I105*'Смета ЕР (общ) '!$L105,2)</f>
        <v>0</v>
      </c>
      <c r="O105" s="30">
        <f>ROUND('Смета ЕР (общ) '!$I105*'Смета ЕР (общ) '!$M105,2)</f>
        <v>0</v>
      </c>
      <c r="P105" s="167" t="s">
        <v>122</v>
      </c>
    </row>
    <row r="106" spans="1:20" s="35" customFormat="1" ht="24" hidden="1" x14ac:dyDescent="0.3">
      <c r="A106" s="26" t="s">
        <v>36</v>
      </c>
      <c r="B106" s="26">
        <v>1</v>
      </c>
      <c r="C106" s="26"/>
      <c r="D106" s="26">
        <v>90</v>
      </c>
      <c r="E106" s="26" t="str">
        <f>CONCATENATE('Смета ЕР (общ) '!$A106,".",'Смета ЕР (общ) '!$B106,".",'Смета ЕР (общ) '!$D106)</f>
        <v>Р1.1.90</v>
      </c>
      <c r="F106" s="26">
        <f t="shared" si="4"/>
        <v>1</v>
      </c>
      <c r="G106" s="27" t="s">
        <v>126</v>
      </c>
      <c r="H106" s="28" t="s">
        <v>64</v>
      </c>
      <c r="I106" s="158"/>
      <c r="J106" s="30">
        <v>135524.49</v>
      </c>
      <c r="K106" s="30">
        <v>0</v>
      </c>
      <c r="L106" s="30">
        <f t="shared" si="5"/>
        <v>135524.49</v>
      </c>
      <c r="M106" s="30">
        <f t="shared" si="5"/>
        <v>0</v>
      </c>
      <c r="N106" s="30">
        <f>ROUND('Смета ЕР (общ) '!$I106*'Смета ЕР (общ) '!$L106,2)</f>
        <v>0</v>
      </c>
      <c r="O106" s="30">
        <f>ROUND('Смета ЕР (общ) '!$I106*'Смета ЕР (общ) '!$M106,2)</f>
        <v>0</v>
      </c>
      <c r="P106" s="167" t="s">
        <v>122</v>
      </c>
    </row>
    <row r="107" spans="1:20" s="35" customFormat="1" ht="14.4" hidden="1" x14ac:dyDescent="0.3">
      <c r="A107" s="26" t="s">
        <v>36</v>
      </c>
      <c r="B107" s="26">
        <v>1</v>
      </c>
      <c r="C107" s="26"/>
      <c r="D107" s="26">
        <v>91</v>
      </c>
      <c r="E107" s="26" t="str">
        <f>CONCATENATE('Смета ЕР (общ) '!$A107,".",'Смета ЕР (общ) '!$B107,".",'Смета ЕР (общ) '!$D107)</f>
        <v>Р1.1.91</v>
      </c>
      <c r="F107" s="26">
        <f t="shared" si="4"/>
        <v>1</v>
      </c>
      <c r="G107" s="27" t="s">
        <v>127</v>
      </c>
      <c r="H107" s="28" t="s">
        <v>64</v>
      </c>
      <c r="I107" s="158"/>
      <c r="J107" s="30">
        <v>134002.26</v>
      </c>
      <c r="K107" s="30">
        <v>0</v>
      </c>
      <c r="L107" s="30">
        <f t="shared" si="5"/>
        <v>134002.26</v>
      </c>
      <c r="M107" s="30">
        <f t="shared" si="5"/>
        <v>0</v>
      </c>
      <c r="N107" s="30">
        <f>ROUND('Смета ЕР (общ) '!$I107*'Смета ЕР (общ) '!$L107,2)</f>
        <v>0</v>
      </c>
      <c r="O107" s="30">
        <f>ROUND('Смета ЕР (общ) '!$I107*'Смета ЕР (общ) '!$M107,2)</f>
        <v>0</v>
      </c>
      <c r="P107" s="167" t="s">
        <v>122</v>
      </c>
    </row>
    <row r="108" spans="1:20" ht="36" hidden="1" x14ac:dyDescent="0.3">
      <c r="A108" s="26" t="s">
        <v>36</v>
      </c>
      <c r="B108" s="26">
        <v>1</v>
      </c>
      <c r="C108" s="26"/>
      <c r="D108" s="26">
        <v>42</v>
      </c>
      <c r="E108" s="26" t="str">
        <f>CONCATENATE('Смета ЕР (общ) '!$A108,".",'Смета ЕР (общ) '!$B108,".",'Смета ЕР (общ) '!$D108)</f>
        <v>Р1.1.42</v>
      </c>
      <c r="F108" s="26">
        <f t="shared" si="4"/>
        <v>1</v>
      </c>
      <c r="G108" s="27" t="s">
        <v>128</v>
      </c>
      <c r="H108" s="28" t="s">
        <v>64</v>
      </c>
      <c r="I108" s="158"/>
      <c r="J108" s="30">
        <v>852600</v>
      </c>
      <c r="K108" s="30">
        <v>0</v>
      </c>
      <c r="L108" s="30">
        <f t="shared" si="5"/>
        <v>852600</v>
      </c>
      <c r="M108" s="30">
        <f t="shared" si="5"/>
        <v>0</v>
      </c>
      <c r="N108" s="30">
        <f>ROUND('Смета ЕР (общ) '!$I108*'Смета ЕР (общ) '!$L108,2)</f>
        <v>0</v>
      </c>
      <c r="O108" s="30">
        <f>ROUND('Смета ЕР (общ) '!$I108*'Смета ЕР (общ) '!$M108,2)</f>
        <v>0</v>
      </c>
      <c r="P108" s="45"/>
    </row>
    <row r="109" spans="1:20" ht="14.4" hidden="1" x14ac:dyDescent="0.3">
      <c r="A109" s="19" t="s">
        <v>129</v>
      </c>
      <c r="B109" s="19">
        <v>0</v>
      </c>
      <c r="C109" s="19"/>
      <c r="D109" s="19">
        <v>0</v>
      </c>
      <c r="E109" s="19" t="str">
        <f>CONCATENATE('Смета ЕР (общ) '!$A109,".",'Смета ЕР (общ) '!$B109,".",'Смета ЕР (общ) '!$D109)</f>
        <v>Р2.0.0</v>
      </c>
      <c r="F109" s="19">
        <f t="shared" si="4"/>
        <v>1</v>
      </c>
      <c r="G109" s="21" t="s">
        <v>130</v>
      </c>
      <c r="H109" s="22"/>
      <c r="I109" s="23"/>
      <c r="J109" s="36"/>
      <c r="K109" s="36"/>
      <c r="L109" s="25"/>
      <c r="M109" s="25"/>
      <c r="N109" s="25">
        <f>ROUND(N244+N235+N221+N215+N205+N190+N174+N164+N146+N128+N112+N184+N110,2)</f>
        <v>0</v>
      </c>
      <c r="O109" s="25">
        <f>ROUND(O244+O235+O221+O215+O205+O190+O174+O164+O146+O128+O112+O184+O111+O110,2)</f>
        <v>0</v>
      </c>
      <c r="P109" s="45"/>
      <c r="T109">
        <v>1137.52</v>
      </c>
    </row>
    <row r="110" spans="1:20" ht="14.4" hidden="1" x14ac:dyDescent="0.3">
      <c r="A110" s="37" t="s">
        <v>129</v>
      </c>
      <c r="B110" s="37">
        <v>13</v>
      </c>
      <c r="C110" s="37"/>
      <c r="D110" s="37">
        <v>0</v>
      </c>
      <c r="E110" s="37" t="str">
        <f>CONCATENATE('Смета ЕР (общ) '!$A110,".",'Смета ЕР (общ) '!$B110,".",'Смета ЕР (общ) '!$D110)</f>
        <v>Р2.13.0</v>
      </c>
      <c r="F110" s="37">
        <f t="shared" si="4"/>
        <v>1</v>
      </c>
      <c r="G110" s="38" t="s">
        <v>131</v>
      </c>
      <c r="H110" s="22"/>
      <c r="I110" s="23"/>
      <c r="J110" s="36"/>
      <c r="K110" s="36"/>
      <c r="L110" s="25"/>
      <c r="M110" s="25"/>
      <c r="N110" s="25">
        <f>N111</f>
        <v>0</v>
      </c>
      <c r="O110" s="25">
        <f>O111</f>
        <v>0</v>
      </c>
      <c r="P110" s="45"/>
      <c r="T110">
        <v>214</v>
      </c>
    </row>
    <row r="111" spans="1:20" ht="22.5" hidden="1" customHeight="1" x14ac:dyDescent="0.3">
      <c r="A111" s="39" t="s">
        <v>129</v>
      </c>
      <c r="B111" s="39">
        <v>13</v>
      </c>
      <c r="C111" s="39"/>
      <c r="D111" s="39">
        <v>1</v>
      </c>
      <c r="E111" s="39" t="str">
        <f>CONCATENATE('Смета ЕР (общ) '!$A111,".",'Смета ЕР (общ) '!$B111,".",'Смета ЕР (общ) '!$D111)</f>
        <v>Р2.13.1</v>
      </c>
      <c r="F111" s="39">
        <f t="shared" si="4"/>
        <v>1</v>
      </c>
      <c r="G111" s="40" t="s">
        <v>132</v>
      </c>
      <c r="H111" s="28" t="s">
        <v>40</v>
      </c>
      <c r="I111" s="159"/>
      <c r="J111" s="30">
        <v>2133.33</v>
      </c>
      <c r="K111" s="30">
        <v>0</v>
      </c>
      <c r="L111" s="30">
        <f>ROUND(J111-J111*$Q$3,2)</f>
        <v>2133.33</v>
      </c>
      <c r="M111" s="30">
        <f>ROUND(K111-K111*$Q$3,2)</f>
        <v>0</v>
      </c>
      <c r="N111" s="30">
        <f>ROUND('Смета ЕР (общ) '!$I111*'Смета ЕР (общ) '!$L111,2)</f>
        <v>0</v>
      </c>
      <c r="O111" s="30">
        <f>ROUND('Смета ЕР (общ) '!$I111*'Смета ЕР (общ) '!$M111,2)</f>
        <v>0</v>
      </c>
      <c r="P111" s="168" t="s">
        <v>133</v>
      </c>
      <c r="T111">
        <v>214</v>
      </c>
    </row>
    <row r="112" spans="1:20" ht="14.4" hidden="1" x14ac:dyDescent="0.3">
      <c r="A112" s="37" t="s">
        <v>129</v>
      </c>
      <c r="B112" s="37">
        <v>1</v>
      </c>
      <c r="C112" s="37"/>
      <c r="D112" s="37">
        <v>0</v>
      </c>
      <c r="E112" s="37" t="str">
        <f>CONCATENATE('Смета ЕР (общ) '!$A112,".",'Смета ЕР (общ) '!$B112,".",'Смета ЕР (общ) '!$D112)</f>
        <v>Р2.1.0</v>
      </c>
      <c r="F112" s="37">
        <f t="shared" si="4"/>
        <v>1</v>
      </c>
      <c r="G112" s="38" t="s">
        <v>134</v>
      </c>
      <c r="H112" s="22"/>
      <c r="I112" s="23"/>
      <c r="J112" s="36"/>
      <c r="K112" s="36"/>
      <c r="L112" s="25"/>
      <c r="M112" s="25"/>
      <c r="N112" s="25">
        <f>SUM(N113:N127)</f>
        <v>0</v>
      </c>
      <c r="O112" s="25">
        <f>SUM(O113:O127)</f>
        <v>0</v>
      </c>
      <c r="P112" s="45"/>
      <c r="T112">
        <v>0</v>
      </c>
    </row>
    <row r="113" spans="1:20" ht="14.4" hidden="1" x14ac:dyDescent="0.3">
      <c r="A113" s="26" t="s">
        <v>129</v>
      </c>
      <c r="B113" s="26">
        <v>1</v>
      </c>
      <c r="C113" s="26"/>
      <c r="D113" s="26">
        <v>1</v>
      </c>
      <c r="E113" s="26" t="str">
        <f>CONCATENATE('Смета ЕР (общ) '!$A113,".",'Смета ЕР (общ) '!$B113,".",'Смета ЕР (общ) '!$D113)</f>
        <v>Р2.1.1</v>
      </c>
      <c r="F113" s="26">
        <f t="shared" si="4"/>
        <v>1</v>
      </c>
      <c r="G113" s="27" t="s">
        <v>135</v>
      </c>
      <c r="H113" s="28" t="s">
        <v>40</v>
      </c>
      <c r="I113" s="158"/>
      <c r="J113" s="30">
        <v>313.2</v>
      </c>
      <c r="K113" s="30">
        <v>0</v>
      </c>
      <c r="L113" s="30">
        <f t="shared" ref="L113:M127" si="6">ROUND(J113-J113*$Q$3,2)</f>
        <v>313.2</v>
      </c>
      <c r="M113" s="30">
        <f t="shared" si="6"/>
        <v>0</v>
      </c>
      <c r="N113" s="30">
        <f>ROUND('Смета ЕР (общ) '!$I113*'Смета ЕР (общ) '!$L113,2)</f>
        <v>0</v>
      </c>
      <c r="O113" s="30">
        <f>ROUND('Смета ЕР (общ) '!$I113*'Смета ЕР (общ) '!$M113,2)</f>
        <v>0</v>
      </c>
      <c r="P113" s="45"/>
    </row>
    <row r="114" spans="1:20" ht="24" hidden="1" x14ac:dyDescent="0.3">
      <c r="A114" s="26" t="s">
        <v>129</v>
      </c>
      <c r="B114" s="26">
        <v>1</v>
      </c>
      <c r="C114" s="26"/>
      <c r="D114" s="26">
        <v>2</v>
      </c>
      <c r="E114" s="26" t="str">
        <f>CONCATENATE('Смета ЕР (общ) '!$A114,".",'Смета ЕР (общ) '!$B114,".",'Смета ЕР (общ) '!$D114)</f>
        <v>Р2.1.2</v>
      </c>
      <c r="F114" s="26">
        <f t="shared" si="4"/>
        <v>1</v>
      </c>
      <c r="G114" s="27" t="s">
        <v>136</v>
      </c>
      <c r="H114" s="28" t="s">
        <v>40</v>
      </c>
      <c r="I114" s="158"/>
      <c r="J114" s="30">
        <v>574.75</v>
      </c>
      <c r="K114" s="30">
        <v>0</v>
      </c>
      <c r="L114" s="30">
        <f t="shared" si="6"/>
        <v>574.75</v>
      </c>
      <c r="M114" s="30">
        <f t="shared" si="6"/>
        <v>0</v>
      </c>
      <c r="N114" s="30">
        <f>ROUND('Смета ЕР (общ) '!$I114*'Смета ЕР (общ) '!$L114,2)</f>
        <v>0</v>
      </c>
      <c r="O114" s="30">
        <f>ROUND('Смета ЕР (общ) '!$I114*'Смета ЕР (общ) '!$M114,2)</f>
        <v>0</v>
      </c>
      <c r="P114" s="45"/>
    </row>
    <row r="115" spans="1:20" ht="14.4" hidden="1" x14ac:dyDescent="0.3">
      <c r="A115" s="26" t="s">
        <v>129</v>
      </c>
      <c r="B115" s="26">
        <v>1</v>
      </c>
      <c r="C115" s="26"/>
      <c r="D115" s="26">
        <v>3</v>
      </c>
      <c r="E115" s="26" t="str">
        <f>CONCATENATE('Смета ЕР (общ) '!$A115,".",'Смета ЕР (общ) '!$B115,".",'Смета ЕР (общ) '!$D115)</f>
        <v>Р2.1.3</v>
      </c>
      <c r="F115" s="26">
        <f t="shared" si="4"/>
        <v>1</v>
      </c>
      <c r="G115" s="27" t="s">
        <v>137</v>
      </c>
      <c r="H115" s="28" t="s">
        <v>40</v>
      </c>
      <c r="I115" s="158"/>
      <c r="J115" s="30">
        <v>318.72000000000003</v>
      </c>
      <c r="K115" s="30">
        <v>0</v>
      </c>
      <c r="L115" s="30">
        <f t="shared" si="6"/>
        <v>318.72000000000003</v>
      </c>
      <c r="M115" s="30">
        <f t="shared" si="6"/>
        <v>0</v>
      </c>
      <c r="N115" s="30">
        <f>ROUND('Смета ЕР (общ) '!$I115*'Смета ЕР (общ) '!$L115,2)</f>
        <v>0</v>
      </c>
      <c r="O115" s="30">
        <f>ROUND('Смета ЕР (общ) '!$I115*'Смета ЕР (общ) '!$M115,2)</f>
        <v>0</v>
      </c>
      <c r="P115" s="45"/>
    </row>
    <row r="116" spans="1:20" ht="14.4" hidden="1" x14ac:dyDescent="0.3">
      <c r="A116" s="26" t="s">
        <v>129</v>
      </c>
      <c r="B116" s="26">
        <v>1</v>
      </c>
      <c r="C116" s="26"/>
      <c r="D116" s="26">
        <v>4</v>
      </c>
      <c r="E116" s="26" t="str">
        <f>CONCATENATE('Смета ЕР (общ) '!$A116,".",'Смета ЕР (общ) '!$B116,".",'Смета ЕР (общ) '!$D116)</f>
        <v>Р2.1.4</v>
      </c>
      <c r="F116" s="26">
        <f t="shared" si="4"/>
        <v>1</v>
      </c>
      <c r="G116" s="27" t="s">
        <v>138</v>
      </c>
      <c r="H116" s="28" t="s">
        <v>40</v>
      </c>
      <c r="I116" s="158"/>
      <c r="J116" s="30">
        <v>341.73</v>
      </c>
      <c r="K116" s="30">
        <v>0</v>
      </c>
      <c r="L116" s="30">
        <f t="shared" si="6"/>
        <v>341.73</v>
      </c>
      <c r="M116" s="30">
        <f t="shared" si="6"/>
        <v>0</v>
      </c>
      <c r="N116" s="30">
        <f>ROUND('Смета ЕР (общ) '!$I116*'Смета ЕР (общ) '!$L116,2)</f>
        <v>0</v>
      </c>
      <c r="O116" s="30">
        <f>ROUND('Смета ЕР (общ) '!$I116*'Смета ЕР (общ) '!$M116,2)</f>
        <v>0</v>
      </c>
      <c r="P116" s="45"/>
    </row>
    <row r="117" spans="1:20" ht="14.4" hidden="1" x14ac:dyDescent="0.3">
      <c r="A117" s="26" t="s">
        <v>129</v>
      </c>
      <c r="B117" s="26">
        <v>1</v>
      </c>
      <c r="C117" s="26"/>
      <c r="D117" s="26">
        <v>5</v>
      </c>
      <c r="E117" s="26" t="str">
        <f>CONCATENATE('Смета ЕР (общ) '!$A117,".",'Смета ЕР (общ) '!$B117,".",'Смета ЕР (общ) '!$D117)</f>
        <v>Р2.1.5</v>
      </c>
      <c r="F117" s="26">
        <f t="shared" si="4"/>
        <v>1</v>
      </c>
      <c r="G117" s="41" t="s">
        <v>139</v>
      </c>
      <c r="H117" s="42" t="s">
        <v>40</v>
      </c>
      <c r="I117" s="158"/>
      <c r="J117" s="30">
        <v>260.13</v>
      </c>
      <c r="K117" s="30">
        <v>0</v>
      </c>
      <c r="L117" s="30">
        <f t="shared" si="6"/>
        <v>260.13</v>
      </c>
      <c r="M117" s="30">
        <f t="shared" si="6"/>
        <v>0</v>
      </c>
      <c r="N117" s="30">
        <f>ROUND('Смета ЕР (общ) '!$I117*'Смета ЕР (общ) '!$L117,2)</f>
        <v>0</v>
      </c>
      <c r="O117" s="30">
        <f>ROUND('Смета ЕР (общ) '!$I117*'Смета ЕР (общ) '!$M117,2)</f>
        <v>0</v>
      </c>
      <c r="P117" s="45"/>
    </row>
    <row r="118" spans="1:20" ht="14.4" hidden="1" x14ac:dyDescent="0.3">
      <c r="A118" s="26" t="s">
        <v>129</v>
      </c>
      <c r="B118" s="26">
        <v>1</v>
      </c>
      <c r="C118" s="26"/>
      <c r="D118" s="26">
        <v>6</v>
      </c>
      <c r="E118" s="26" t="str">
        <f>CONCATENATE('Смета ЕР (общ) '!$A118,".",'Смета ЕР (общ) '!$B118,".",'Смета ЕР (общ) '!$D118)</f>
        <v>Р2.1.6</v>
      </c>
      <c r="F118" s="26">
        <f t="shared" si="4"/>
        <v>1</v>
      </c>
      <c r="G118" s="27" t="s">
        <v>140</v>
      </c>
      <c r="H118" s="28" t="s">
        <v>40</v>
      </c>
      <c r="I118" s="158"/>
      <c r="J118" s="30">
        <v>276.02</v>
      </c>
      <c r="K118" s="30">
        <v>0</v>
      </c>
      <c r="L118" s="30">
        <f t="shared" si="6"/>
        <v>276.02</v>
      </c>
      <c r="M118" s="30">
        <f t="shared" si="6"/>
        <v>0</v>
      </c>
      <c r="N118" s="30">
        <f>ROUND('Смета ЕР (общ) '!$I118*'Смета ЕР (общ) '!$L118,2)</f>
        <v>0</v>
      </c>
      <c r="O118" s="30">
        <f>ROUND('Смета ЕР (общ) '!$I118*'Смета ЕР (общ) '!$M118,2)</f>
        <v>0</v>
      </c>
      <c r="P118" s="45"/>
    </row>
    <row r="119" spans="1:20" ht="14.4" hidden="1" x14ac:dyDescent="0.3">
      <c r="A119" s="26" t="s">
        <v>129</v>
      </c>
      <c r="B119" s="26">
        <v>1</v>
      </c>
      <c r="C119" s="26"/>
      <c r="D119" s="26">
        <v>7</v>
      </c>
      <c r="E119" s="26" t="str">
        <f>CONCATENATE('Смета ЕР (общ) '!$A119,".",'Смета ЕР (общ) '!$B119,".",'Смета ЕР (общ) '!$D119)</f>
        <v>Р2.1.7</v>
      </c>
      <c r="F119" s="26">
        <f t="shared" si="4"/>
        <v>1</v>
      </c>
      <c r="G119" s="27" t="s">
        <v>141</v>
      </c>
      <c r="H119" s="28" t="s">
        <v>40</v>
      </c>
      <c r="I119" s="158"/>
      <c r="J119" s="30">
        <v>234.9</v>
      </c>
      <c r="K119" s="30">
        <v>0</v>
      </c>
      <c r="L119" s="30">
        <f t="shared" si="6"/>
        <v>234.9</v>
      </c>
      <c r="M119" s="30">
        <f t="shared" si="6"/>
        <v>0</v>
      </c>
      <c r="N119" s="30">
        <f>ROUND('Смета ЕР (общ) '!$I119*'Смета ЕР (общ) '!$L119,2)</f>
        <v>0</v>
      </c>
      <c r="O119" s="30">
        <f>ROUND('Смета ЕР (общ) '!$I119*'Смета ЕР (общ) '!$M119,2)</f>
        <v>0</v>
      </c>
      <c r="P119" s="45"/>
    </row>
    <row r="120" spans="1:20" ht="14.4" hidden="1" x14ac:dyDescent="0.3">
      <c r="A120" s="26" t="s">
        <v>129</v>
      </c>
      <c r="B120" s="26">
        <v>1</v>
      </c>
      <c r="C120" s="26"/>
      <c r="D120" s="26">
        <v>8</v>
      </c>
      <c r="E120" s="26" t="str">
        <f>CONCATENATE('Смета ЕР (общ) '!$A120,".",'Смета ЕР (общ) '!$B120,".",'Смета ЕР (общ) '!$D120)</f>
        <v>Р2.1.8</v>
      </c>
      <c r="F120" s="26">
        <f t="shared" si="4"/>
        <v>1</v>
      </c>
      <c r="G120" s="27" t="s">
        <v>142</v>
      </c>
      <c r="H120" s="28" t="s">
        <v>40</v>
      </c>
      <c r="I120" s="158"/>
      <c r="J120" s="30">
        <v>234.9</v>
      </c>
      <c r="K120" s="30">
        <v>0</v>
      </c>
      <c r="L120" s="30">
        <f t="shared" si="6"/>
        <v>234.9</v>
      </c>
      <c r="M120" s="30">
        <f t="shared" si="6"/>
        <v>0</v>
      </c>
      <c r="N120" s="30">
        <f>ROUND('Смета ЕР (общ) '!$I120*'Смета ЕР (общ) '!$L120,2)</f>
        <v>0</v>
      </c>
      <c r="O120" s="30">
        <f>ROUND('Смета ЕР (общ) '!$I120*'Смета ЕР (общ) '!$M120,2)</f>
        <v>0</v>
      </c>
      <c r="P120" s="45"/>
    </row>
    <row r="121" spans="1:20" ht="14.4" hidden="1" x14ac:dyDescent="0.3">
      <c r="A121" s="26" t="s">
        <v>129</v>
      </c>
      <c r="B121" s="26">
        <v>1</v>
      </c>
      <c r="C121" s="26"/>
      <c r="D121" s="26">
        <v>9</v>
      </c>
      <c r="E121" s="26" t="str">
        <f>CONCATENATE('Смета ЕР (общ) '!$A121,".",'Смета ЕР (общ) '!$B121,".",'Смета ЕР (общ) '!$D121)</f>
        <v>Р2.1.9</v>
      </c>
      <c r="F121" s="26">
        <f t="shared" si="4"/>
        <v>1</v>
      </c>
      <c r="G121" s="27" t="s">
        <v>143</v>
      </c>
      <c r="H121" s="28" t="s">
        <v>144</v>
      </c>
      <c r="I121" s="158"/>
      <c r="J121" s="30">
        <v>814.32</v>
      </c>
      <c r="K121" s="30">
        <v>0</v>
      </c>
      <c r="L121" s="30">
        <f t="shared" si="6"/>
        <v>814.32</v>
      </c>
      <c r="M121" s="30">
        <f t="shared" si="6"/>
        <v>0</v>
      </c>
      <c r="N121" s="30">
        <f>ROUND('Смета ЕР (общ) '!$I121*'Смета ЕР (общ) '!$L121,2)</f>
        <v>0</v>
      </c>
      <c r="O121" s="30">
        <f>ROUND('Смета ЕР (общ) '!$I121*'Смета ЕР (общ) '!$M121,2)</f>
        <v>0</v>
      </c>
      <c r="P121" s="45"/>
    </row>
    <row r="122" spans="1:20" ht="14.4" hidden="1" x14ac:dyDescent="0.3">
      <c r="A122" s="26" t="s">
        <v>129</v>
      </c>
      <c r="B122" s="26">
        <v>1</v>
      </c>
      <c r="C122" s="26"/>
      <c r="D122" s="26">
        <v>10</v>
      </c>
      <c r="E122" s="26" t="str">
        <f>CONCATENATE('Смета ЕР (общ) '!$A122,".",'Смета ЕР (общ) '!$B122,".",'Смета ЕР (общ) '!$D122)</f>
        <v>Р2.1.10</v>
      </c>
      <c r="F122" s="26">
        <f t="shared" si="4"/>
        <v>1</v>
      </c>
      <c r="G122" s="27" t="s">
        <v>145</v>
      </c>
      <c r="H122" s="28" t="s">
        <v>144</v>
      </c>
      <c r="I122" s="158"/>
      <c r="J122" s="30">
        <v>814.32</v>
      </c>
      <c r="K122" s="30">
        <v>0</v>
      </c>
      <c r="L122" s="30">
        <f t="shared" si="6"/>
        <v>814.32</v>
      </c>
      <c r="M122" s="30">
        <f t="shared" si="6"/>
        <v>0</v>
      </c>
      <c r="N122" s="30">
        <f>ROUND('Смета ЕР (общ) '!$I122*'Смета ЕР (общ) '!$L122,2)</f>
        <v>0</v>
      </c>
      <c r="O122" s="30">
        <f>ROUND('Смета ЕР (общ) '!$I122*'Смета ЕР (общ) '!$M122,2)</f>
        <v>0</v>
      </c>
      <c r="P122" s="45"/>
    </row>
    <row r="123" spans="1:20" ht="14.4" hidden="1" x14ac:dyDescent="0.3">
      <c r="A123" s="26" t="s">
        <v>129</v>
      </c>
      <c r="B123" s="26">
        <v>1</v>
      </c>
      <c r="C123" s="26"/>
      <c r="D123" s="26">
        <v>11</v>
      </c>
      <c r="E123" s="26" t="str">
        <f>CONCATENATE('Смета ЕР (общ) '!$A123,".",'Смета ЕР (общ) '!$B123,".",'Смета ЕР (общ) '!$D123)</f>
        <v>Р2.1.11</v>
      </c>
      <c r="F123" s="26">
        <f t="shared" si="4"/>
        <v>1</v>
      </c>
      <c r="G123" s="27" t="s">
        <v>146</v>
      </c>
      <c r="H123" s="28" t="s">
        <v>147</v>
      </c>
      <c r="I123" s="158"/>
      <c r="J123" s="30">
        <v>78.3</v>
      </c>
      <c r="K123" s="30">
        <v>0</v>
      </c>
      <c r="L123" s="30">
        <f t="shared" si="6"/>
        <v>78.3</v>
      </c>
      <c r="M123" s="30">
        <f t="shared" si="6"/>
        <v>0</v>
      </c>
      <c r="N123" s="30">
        <f>ROUND('Смета ЕР (общ) '!$I123*'Смета ЕР (общ) '!$L123,2)</f>
        <v>0</v>
      </c>
      <c r="O123" s="30">
        <f>ROUND('Смета ЕР (общ) '!$I123*'Смета ЕР (общ) '!$M123,2)</f>
        <v>0</v>
      </c>
      <c r="P123" s="45"/>
    </row>
    <row r="124" spans="1:20" ht="14.4" hidden="1" x14ac:dyDescent="0.3">
      <c r="A124" s="26" t="s">
        <v>129</v>
      </c>
      <c r="B124" s="26">
        <v>1</v>
      </c>
      <c r="C124" s="26"/>
      <c r="D124" s="26">
        <v>12</v>
      </c>
      <c r="E124" s="26" t="str">
        <f>CONCATENATE('Смета ЕР (общ) '!$A124,".",'Смета ЕР (общ) '!$B124,".",'Смета ЕР (общ) '!$D124)</f>
        <v>Р2.1.12</v>
      </c>
      <c r="F124" s="26">
        <f t="shared" si="4"/>
        <v>1</v>
      </c>
      <c r="G124" s="27" t="s">
        <v>148</v>
      </c>
      <c r="H124" s="28" t="s">
        <v>147</v>
      </c>
      <c r="I124" s="158"/>
      <c r="J124" s="30">
        <v>134.19999999999999</v>
      </c>
      <c r="K124" s="30">
        <v>0</v>
      </c>
      <c r="L124" s="30">
        <f t="shared" si="6"/>
        <v>134.19999999999999</v>
      </c>
      <c r="M124" s="30">
        <f t="shared" si="6"/>
        <v>0</v>
      </c>
      <c r="N124" s="30">
        <f>ROUND('Смета ЕР (общ) '!$I124*'Смета ЕР (общ) '!$L124,2)</f>
        <v>0</v>
      </c>
      <c r="O124" s="30">
        <f>ROUND('Смета ЕР (общ) '!$I124*'Смета ЕР (общ) '!$M124,2)</f>
        <v>0</v>
      </c>
      <c r="P124" s="45"/>
    </row>
    <row r="125" spans="1:20" ht="14.4" hidden="1" x14ac:dyDescent="0.3">
      <c r="A125" s="26" t="s">
        <v>129</v>
      </c>
      <c r="B125" s="26">
        <v>1</v>
      </c>
      <c r="C125" s="26"/>
      <c r="D125" s="26">
        <v>13</v>
      </c>
      <c r="E125" s="26" t="str">
        <f>CONCATENATE('Смета ЕР (общ) '!$A125,".",'Смета ЕР (общ) '!$B125,".",'Смета ЕР (общ) '!$D125)</f>
        <v>Р2.1.13</v>
      </c>
      <c r="F125" s="26">
        <f t="shared" si="4"/>
        <v>1</v>
      </c>
      <c r="G125" s="27" t="s">
        <v>149</v>
      </c>
      <c r="H125" s="28" t="s">
        <v>40</v>
      </c>
      <c r="I125" s="158"/>
      <c r="J125" s="30">
        <v>157.72</v>
      </c>
      <c r="K125" s="30">
        <v>0</v>
      </c>
      <c r="L125" s="30">
        <f t="shared" si="6"/>
        <v>157.72</v>
      </c>
      <c r="M125" s="30">
        <f t="shared" si="6"/>
        <v>0</v>
      </c>
      <c r="N125" s="30">
        <f>ROUND('Смета ЕР (общ) '!$I125*'Смета ЕР (общ) '!$L125,2)</f>
        <v>0</v>
      </c>
      <c r="O125" s="30">
        <f>ROUND('Смета ЕР (общ) '!$I125*'Смета ЕР (общ) '!$M125,2)</f>
        <v>0</v>
      </c>
      <c r="P125" s="45"/>
    </row>
    <row r="126" spans="1:20" ht="14.4" hidden="1" x14ac:dyDescent="0.3">
      <c r="A126" s="26" t="s">
        <v>129</v>
      </c>
      <c r="B126" s="26">
        <v>1</v>
      </c>
      <c r="C126" s="26"/>
      <c r="D126" s="26">
        <v>14</v>
      </c>
      <c r="E126" s="26" t="str">
        <f>CONCATENATE('Смета ЕР (общ) '!$A126,".",'Смета ЕР (общ) '!$B126,".",'Смета ЕР (общ) '!$D126)</f>
        <v>Р2.1.14</v>
      </c>
      <c r="F126" s="26">
        <f t="shared" si="4"/>
        <v>1</v>
      </c>
      <c r="G126" s="27" t="s">
        <v>150</v>
      </c>
      <c r="H126" s="28" t="s">
        <v>40</v>
      </c>
      <c r="I126" s="158"/>
      <c r="J126" s="30">
        <v>281.88</v>
      </c>
      <c r="K126" s="30">
        <v>0</v>
      </c>
      <c r="L126" s="30">
        <f t="shared" si="6"/>
        <v>281.88</v>
      </c>
      <c r="M126" s="30">
        <f t="shared" si="6"/>
        <v>0</v>
      </c>
      <c r="N126" s="30">
        <f>ROUND('Смета ЕР (общ) '!$I126*'Смета ЕР (общ) '!$L126,2)</f>
        <v>0</v>
      </c>
      <c r="O126" s="30">
        <f>ROUND('Смета ЕР (общ) '!$I126*'Смета ЕР (общ) '!$M126,2)</f>
        <v>0</v>
      </c>
      <c r="P126" s="45"/>
    </row>
    <row r="127" spans="1:20" ht="14.4" hidden="1" x14ac:dyDescent="0.3">
      <c r="A127" s="26" t="s">
        <v>129</v>
      </c>
      <c r="B127" s="26">
        <v>1</v>
      </c>
      <c r="C127" s="26"/>
      <c r="D127" s="26">
        <v>15</v>
      </c>
      <c r="E127" s="26" t="str">
        <f>CONCATENATE('Смета ЕР (общ) '!$A127,".",'Смета ЕР (общ) '!$B127,".",'Смета ЕР (общ) '!$D127)</f>
        <v>Р2.1.15</v>
      </c>
      <c r="F127" s="26">
        <f t="shared" si="4"/>
        <v>1</v>
      </c>
      <c r="G127" s="27" t="s">
        <v>151</v>
      </c>
      <c r="H127" s="28" t="s">
        <v>40</v>
      </c>
      <c r="I127" s="158"/>
      <c r="J127" s="30">
        <v>313.2</v>
      </c>
      <c r="K127" s="30">
        <v>0</v>
      </c>
      <c r="L127" s="30">
        <f t="shared" si="6"/>
        <v>313.2</v>
      </c>
      <c r="M127" s="30">
        <f t="shared" si="6"/>
        <v>0</v>
      </c>
      <c r="N127" s="30">
        <f>ROUND('Смета ЕР (общ) '!$I127*'Смета ЕР (общ) '!$L127,2)</f>
        <v>0</v>
      </c>
      <c r="O127" s="30">
        <f>ROUND('Смета ЕР (общ) '!$I127*'Смета ЕР (общ) '!$M127,2)</f>
        <v>0</v>
      </c>
      <c r="P127" s="45"/>
    </row>
    <row r="128" spans="1:20" ht="14.4" hidden="1" x14ac:dyDescent="0.3">
      <c r="A128" s="37" t="s">
        <v>129</v>
      </c>
      <c r="B128" s="37">
        <v>2</v>
      </c>
      <c r="C128" s="37"/>
      <c r="D128" s="37">
        <v>0</v>
      </c>
      <c r="E128" s="37" t="str">
        <f>CONCATENATE('Смета ЕР (общ) '!$A128,".",'Смета ЕР (общ) '!$B128,".",'Смета ЕР (общ) '!$D128)</f>
        <v>Р2.2.0</v>
      </c>
      <c r="F128" s="37">
        <f t="shared" si="4"/>
        <v>1</v>
      </c>
      <c r="G128" s="38" t="s">
        <v>152</v>
      </c>
      <c r="H128" s="22"/>
      <c r="I128" s="23"/>
      <c r="J128" s="36"/>
      <c r="K128" s="36"/>
      <c r="L128" s="25"/>
      <c r="M128" s="25"/>
      <c r="N128" s="25">
        <f>SUM(N129:N145)</f>
        <v>0</v>
      </c>
      <c r="O128" s="25">
        <f>SUM(O129:O145)</f>
        <v>0</v>
      </c>
      <c r="P128" s="45"/>
      <c r="T128">
        <v>214</v>
      </c>
    </row>
    <row r="129" spans="1:20" ht="14.4" hidden="1" x14ac:dyDescent="0.3">
      <c r="A129" s="26" t="s">
        <v>129</v>
      </c>
      <c r="B129" s="26">
        <v>2</v>
      </c>
      <c r="C129" s="26"/>
      <c r="D129" s="26">
        <v>1</v>
      </c>
      <c r="E129" s="26" t="str">
        <f>CONCATENATE('Смета ЕР (общ) '!$A129,".",'Смета ЕР (общ) '!$B129,".",'Смета ЕР (общ) '!$D129)</f>
        <v>Р2.2.1</v>
      </c>
      <c r="F129" s="26">
        <f t="shared" si="4"/>
        <v>1</v>
      </c>
      <c r="G129" s="27" t="s">
        <v>153</v>
      </c>
      <c r="H129" s="28" t="s">
        <v>40</v>
      </c>
      <c r="I129" s="158"/>
      <c r="J129" s="30">
        <v>232.64</v>
      </c>
      <c r="K129" s="30">
        <v>0</v>
      </c>
      <c r="L129" s="30">
        <f t="shared" ref="L129:M145" si="7">ROUND(J129-J129*$Q$3,2)</f>
        <v>232.64</v>
      </c>
      <c r="M129" s="30">
        <f t="shared" si="7"/>
        <v>0</v>
      </c>
      <c r="N129" s="30">
        <f>ROUND('Смета ЕР (общ) '!$I129*'Смета ЕР (общ) '!$L129,2)</f>
        <v>0</v>
      </c>
      <c r="O129" s="30">
        <f>ROUND('Смета ЕР (общ) '!$I129*'Смета ЕР (общ) '!$M129,2)</f>
        <v>0</v>
      </c>
      <c r="P129" s="45"/>
    </row>
    <row r="130" spans="1:20" ht="14.4" hidden="1" x14ac:dyDescent="0.3">
      <c r="A130" s="26" t="s">
        <v>129</v>
      </c>
      <c r="B130" s="26">
        <v>2</v>
      </c>
      <c r="C130" s="26"/>
      <c r="D130" s="26">
        <v>2</v>
      </c>
      <c r="E130" s="26" t="str">
        <f>CONCATENATE('Смета ЕР (общ) '!$A130,".",'Смета ЕР (общ) '!$B130,".",'Смета ЕР (общ) '!$D130)</f>
        <v>Р2.2.2</v>
      </c>
      <c r="F130" s="26">
        <f t="shared" si="4"/>
        <v>1</v>
      </c>
      <c r="G130" s="27" t="s">
        <v>154</v>
      </c>
      <c r="H130" s="28" t="s">
        <v>40</v>
      </c>
      <c r="I130" s="158"/>
      <c r="J130" s="30">
        <v>319.39</v>
      </c>
      <c r="K130" s="30">
        <v>0</v>
      </c>
      <c r="L130" s="30">
        <f t="shared" si="7"/>
        <v>319.39</v>
      </c>
      <c r="M130" s="30">
        <f t="shared" si="7"/>
        <v>0</v>
      </c>
      <c r="N130" s="30">
        <f>ROUND('Смета ЕР (общ) '!$I130*'Смета ЕР (общ) '!$L130,2)</f>
        <v>0</v>
      </c>
      <c r="O130" s="30">
        <f>ROUND('Смета ЕР (общ) '!$I130*'Смета ЕР (общ) '!$M130,2)</f>
        <v>0</v>
      </c>
      <c r="P130" s="45"/>
      <c r="T130">
        <v>214</v>
      </c>
    </row>
    <row r="131" spans="1:20" ht="14.4" hidden="1" x14ac:dyDescent="0.3">
      <c r="A131" s="26" t="s">
        <v>129</v>
      </c>
      <c r="B131" s="26">
        <v>2</v>
      </c>
      <c r="C131" s="26"/>
      <c r="D131" s="26">
        <v>3</v>
      </c>
      <c r="E131" s="26" t="str">
        <f>CONCATENATE('Смета ЕР (общ) '!$A131,".",'Смета ЕР (общ) '!$B131,".",'Смета ЕР (общ) '!$D131)</f>
        <v>Р2.2.3</v>
      </c>
      <c r="F131" s="26">
        <f t="shared" si="4"/>
        <v>1</v>
      </c>
      <c r="G131" s="27" t="s">
        <v>155</v>
      </c>
      <c r="H131" s="28" t="s">
        <v>40</v>
      </c>
      <c r="I131" s="158"/>
      <c r="J131" s="30">
        <v>272.8</v>
      </c>
      <c r="K131" s="30">
        <v>0</v>
      </c>
      <c r="L131" s="30">
        <f t="shared" si="7"/>
        <v>272.8</v>
      </c>
      <c r="M131" s="30">
        <f t="shared" si="7"/>
        <v>0</v>
      </c>
      <c r="N131" s="30">
        <f>ROUND('Смета ЕР (общ) '!$I131*'Смета ЕР (общ) '!$L131,2)</f>
        <v>0</v>
      </c>
      <c r="O131" s="30">
        <f>ROUND('Смета ЕР (общ) '!$I131*'Смета ЕР (общ) '!$M131,2)</f>
        <v>0</v>
      </c>
      <c r="P131" s="45"/>
    </row>
    <row r="132" spans="1:20" ht="14.4" hidden="1" x14ac:dyDescent="0.3">
      <c r="A132" s="26" t="s">
        <v>129</v>
      </c>
      <c r="B132" s="26">
        <v>2</v>
      </c>
      <c r="C132" s="26"/>
      <c r="D132" s="26">
        <v>4</v>
      </c>
      <c r="E132" s="26" t="str">
        <f>CONCATENATE('Смета ЕР (общ) '!$A132,".",'Смета ЕР (общ) '!$B132,".",'Смета ЕР (общ) '!$D132)</f>
        <v>Р2.2.4</v>
      </c>
      <c r="F132" s="26">
        <f t="shared" si="4"/>
        <v>1</v>
      </c>
      <c r="G132" s="27" t="s">
        <v>156</v>
      </c>
      <c r="H132" s="28" t="s">
        <v>40</v>
      </c>
      <c r="I132" s="158"/>
      <c r="J132" s="30">
        <v>391.5</v>
      </c>
      <c r="K132" s="30">
        <v>0</v>
      </c>
      <c r="L132" s="30">
        <f t="shared" si="7"/>
        <v>391.5</v>
      </c>
      <c r="M132" s="30">
        <f t="shared" si="7"/>
        <v>0</v>
      </c>
      <c r="N132" s="30">
        <f>ROUND('Смета ЕР (общ) '!$I132*'Смета ЕР (общ) '!$L132,2)</f>
        <v>0</v>
      </c>
      <c r="O132" s="30">
        <f>ROUND('Смета ЕР (общ) '!$I132*'Смета ЕР (общ) '!$M132,2)</f>
        <v>0</v>
      </c>
      <c r="P132" s="45"/>
    </row>
    <row r="133" spans="1:20" ht="14.4" hidden="1" x14ac:dyDescent="0.3">
      <c r="A133" s="26" t="s">
        <v>129</v>
      </c>
      <c r="B133" s="26">
        <v>2</v>
      </c>
      <c r="C133" s="26"/>
      <c r="D133" s="26">
        <v>5</v>
      </c>
      <c r="E133" s="26" t="str">
        <f>CONCATENATE('Смета ЕР (общ) '!$A133,".",'Смета ЕР (общ) '!$B133,".",'Смета ЕР (общ) '!$D133)</f>
        <v>Р2.2.5</v>
      </c>
      <c r="F133" s="26">
        <f t="shared" si="4"/>
        <v>1</v>
      </c>
      <c r="G133" s="27" t="s">
        <v>157</v>
      </c>
      <c r="H133" s="28" t="s">
        <v>40</v>
      </c>
      <c r="I133" s="158"/>
      <c r="J133" s="30">
        <v>376.67</v>
      </c>
      <c r="K133" s="30">
        <v>0</v>
      </c>
      <c r="L133" s="30">
        <f t="shared" si="7"/>
        <v>376.67</v>
      </c>
      <c r="M133" s="30">
        <f t="shared" si="7"/>
        <v>0</v>
      </c>
      <c r="N133" s="30">
        <f>ROUND('Смета ЕР (общ) '!$I133*'Смета ЕР (общ) '!$L133,2)</f>
        <v>0</v>
      </c>
      <c r="O133" s="30">
        <f>ROUND('Смета ЕР (общ) '!$I133*'Смета ЕР (общ) '!$M133,2)</f>
        <v>0</v>
      </c>
      <c r="P133" s="45"/>
    </row>
    <row r="134" spans="1:20" ht="14.4" hidden="1" x14ac:dyDescent="0.3">
      <c r="A134" s="26" t="s">
        <v>129</v>
      </c>
      <c r="B134" s="26">
        <v>2</v>
      </c>
      <c r="C134" s="26"/>
      <c r="D134" s="26">
        <v>6</v>
      </c>
      <c r="E134" s="26" t="str">
        <f>CONCATENATE('Смета ЕР (общ) '!$A134,".",'Смета ЕР (общ) '!$B134,".",'Смета ЕР (общ) '!$D134)</f>
        <v>Р2.2.6</v>
      </c>
      <c r="F134" s="26">
        <f t="shared" si="4"/>
        <v>1</v>
      </c>
      <c r="G134" s="27" t="s">
        <v>158</v>
      </c>
      <c r="H134" s="28" t="s">
        <v>40</v>
      </c>
      <c r="I134" s="158"/>
      <c r="J134" s="30">
        <v>501.12</v>
      </c>
      <c r="K134" s="30">
        <v>0</v>
      </c>
      <c r="L134" s="30">
        <f t="shared" si="7"/>
        <v>501.12</v>
      </c>
      <c r="M134" s="30">
        <f t="shared" si="7"/>
        <v>0</v>
      </c>
      <c r="N134" s="30">
        <f>ROUND('Смета ЕР (общ) '!$I134*'Смета ЕР (общ) '!$L134,2)</f>
        <v>0</v>
      </c>
      <c r="O134" s="30">
        <f>ROUND('Смета ЕР (общ) '!$I134*'Смета ЕР (общ) '!$M134,2)</f>
        <v>0</v>
      </c>
      <c r="P134" s="45"/>
    </row>
    <row r="135" spans="1:20" ht="14.4" hidden="1" x14ac:dyDescent="0.3">
      <c r="A135" s="26" t="s">
        <v>129</v>
      </c>
      <c r="B135" s="26">
        <v>2</v>
      </c>
      <c r="C135" s="26"/>
      <c r="D135" s="26">
        <v>7</v>
      </c>
      <c r="E135" s="26" t="str">
        <f>CONCATENATE('Смета ЕР (общ) '!$A135,".",'Смета ЕР (общ) '!$B135,".",'Смета ЕР (общ) '!$D135)</f>
        <v>Р2.2.7</v>
      </c>
      <c r="F135" s="26">
        <f t="shared" si="4"/>
        <v>1</v>
      </c>
      <c r="G135" s="27" t="s">
        <v>159</v>
      </c>
      <c r="H135" s="28" t="s">
        <v>40</v>
      </c>
      <c r="I135" s="158"/>
      <c r="J135" s="30">
        <v>501.12</v>
      </c>
      <c r="K135" s="30">
        <v>0</v>
      </c>
      <c r="L135" s="30">
        <f t="shared" si="7"/>
        <v>501.12</v>
      </c>
      <c r="M135" s="30">
        <f t="shared" si="7"/>
        <v>0</v>
      </c>
      <c r="N135" s="30">
        <f>ROUND('Смета ЕР (общ) '!$I135*'Смета ЕР (общ) '!$L135,2)</f>
        <v>0</v>
      </c>
      <c r="O135" s="30">
        <f>ROUND('Смета ЕР (общ) '!$I135*'Смета ЕР (общ) '!$M135,2)</f>
        <v>0</v>
      </c>
      <c r="P135" s="45"/>
    </row>
    <row r="136" spans="1:20" ht="14.4" hidden="1" x14ac:dyDescent="0.3">
      <c r="A136" s="26" t="s">
        <v>129</v>
      </c>
      <c r="B136" s="26">
        <v>2</v>
      </c>
      <c r="C136" s="26"/>
      <c r="D136" s="26">
        <v>8</v>
      </c>
      <c r="E136" s="26" t="str">
        <f>CONCATENATE('Смета ЕР (общ) '!$A136,".",'Смета ЕР (общ) '!$B136,".",'Смета ЕР (общ) '!$D136)</f>
        <v>Р2.2.8</v>
      </c>
      <c r="F136" s="26">
        <f t="shared" si="4"/>
        <v>1</v>
      </c>
      <c r="G136" s="27" t="s">
        <v>160</v>
      </c>
      <c r="H136" s="28" t="s">
        <v>40</v>
      </c>
      <c r="I136" s="158"/>
      <c r="J136" s="30">
        <v>187.92</v>
      </c>
      <c r="K136" s="30">
        <v>0</v>
      </c>
      <c r="L136" s="30">
        <f t="shared" si="7"/>
        <v>187.92</v>
      </c>
      <c r="M136" s="30">
        <f t="shared" si="7"/>
        <v>0</v>
      </c>
      <c r="N136" s="30">
        <f>ROUND('Смета ЕР (общ) '!$I136*'Смета ЕР (общ) '!$L136,2)</f>
        <v>0</v>
      </c>
      <c r="O136" s="30">
        <f>ROUND('Смета ЕР (общ) '!$I136*'Смета ЕР (общ) '!$M136,2)</f>
        <v>0</v>
      </c>
      <c r="P136" s="45"/>
    </row>
    <row r="137" spans="1:20" ht="14.4" hidden="1" x14ac:dyDescent="0.3">
      <c r="A137" s="26" t="s">
        <v>129</v>
      </c>
      <c r="B137" s="26">
        <v>2</v>
      </c>
      <c r="C137" s="26"/>
      <c r="D137" s="26">
        <v>9</v>
      </c>
      <c r="E137" s="26" t="str">
        <f>CONCATENATE('Смета ЕР (общ) '!$A137,".",'Смета ЕР (общ) '!$B137,".",'Смета ЕР (общ) '!$D137)</f>
        <v>Р2.2.9</v>
      </c>
      <c r="F137" s="26">
        <f t="shared" si="4"/>
        <v>1</v>
      </c>
      <c r="G137" s="27" t="s">
        <v>161</v>
      </c>
      <c r="H137" s="28" t="s">
        <v>40</v>
      </c>
      <c r="I137" s="158"/>
      <c r="J137" s="30">
        <v>220</v>
      </c>
      <c r="K137" s="30">
        <v>0</v>
      </c>
      <c r="L137" s="30">
        <f t="shared" si="7"/>
        <v>220</v>
      </c>
      <c r="M137" s="30">
        <f t="shared" si="7"/>
        <v>0</v>
      </c>
      <c r="N137" s="30">
        <f>ROUND('Смета ЕР (общ) '!$I137*'Смета ЕР (общ) '!$L137,2)</f>
        <v>0</v>
      </c>
      <c r="O137" s="30">
        <f>ROUND('Смета ЕР (общ) '!$I137*'Смета ЕР (общ) '!$M137,2)</f>
        <v>0</v>
      </c>
      <c r="P137" s="45"/>
    </row>
    <row r="138" spans="1:20" ht="14.4" hidden="1" x14ac:dyDescent="0.3">
      <c r="A138" s="43" t="s">
        <v>129</v>
      </c>
      <c r="B138" s="43">
        <v>2</v>
      </c>
      <c r="C138" s="43"/>
      <c r="D138" s="43">
        <v>10</v>
      </c>
      <c r="E138" s="43" t="str">
        <f>CONCATENATE('Смета ЕР (общ) '!$A138,".",'Смета ЕР (общ) '!$B138,".",'Смета ЕР (общ) '!$D138)</f>
        <v>Р2.2.10</v>
      </c>
      <c r="F138" s="43">
        <f t="shared" si="4"/>
        <v>1</v>
      </c>
      <c r="G138" s="44" t="s">
        <v>162</v>
      </c>
      <c r="H138" s="28" t="s">
        <v>40</v>
      </c>
      <c r="I138" s="158"/>
      <c r="J138" s="30">
        <v>374.59</v>
      </c>
      <c r="K138" s="30">
        <v>0</v>
      </c>
      <c r="L138" s="30">
        <f t="shared" si="7"/>
        <v>374.59</v>
      </c>
      <c r="M138" s="30">
        <f t="shared" si="7"/>
        <v>0</v>
      </c>
      <c r="N138" s="30">
        <f>ROUND('Смета ЕР (общ) '!$I138*'Смета ЕР (общ) '!$L138,2)</f>
        <v>0</v>
      </c>
      <c r="O138" s="30">
        <f>ROUND('Смета ЕР (общ) '!$I138*'Смета ЕР (общ) '!$M138,2)</f>
        <v>0</v>
      </c>
      <c r="P138" s="45"/>
    </row>
    <row r="139" spans="1:20" ht="14.4" hidden="1" x14ac:dyDescent="0.3">
      <c r="A139" s="26" t="s">
        <v>129</v>
      </c>
      <c r="B139" s="26">
        <v>2</v>
      </c>
      <c r="C139" s="26"/>
      <c r="D139" s="26">
        <v>11</v>
      </c>
      <c r="E139" s="26" t="str">
        <f>CONCATENATE('Смета ЕР (общ) '!$A139,".",'Смета ЕР (общ) '!$B139,".",'Смета ЕР (общ) '!$D139)</f>
        <v>Р2.2.11</v>
      </c>
      <c r="F139" s="26">
        <f t="shared" si="4"/>
        <v>1</v>
      </c>
      <c r="G139" s="27" t="s">
        <v>163</v>
      </c>
      <c r="H139" s="28" t="s">
        <v>40</v>
      </c>
      <c r="I139" s="158"/>
      <c r="J139" s="30">
        <v>322.01</v>
      </c>
      <c r="K139" s="30">
        <v>0</v>
      </c>
      <c r="L139" s="30">
        <f t="shared" si="7"/>
        <v>322.01</v>
      </c>
      <c r="M139" s="30">
        <f t="shared" si="7"/>
        <v>0</v>
      </c>
      <c r="N139" s="30">
        <f>ROUND('Смета ЕР (общ) '!$I139*'Смета ЕР (общ) '!$L139,2)</f>
        <v>0</v>
      </c>
      <c r="O139" s="30">
        <f>ROUND('Смета ЕР (общ) '!$I139*'Смета ЕР (общ) '!$M139,2)</f>
        <v>0</v>
      </c>
      <c r="P139" s="45"/>
    </row>
    <row r="140" spans="1:20" ht="14.4" hidden="1" x14ac:dyDescent="0.3">
      <c r="A140" s="26" t="s">
        <v>129</v>
      </c>
      <c r="B140" s="26">
        <v>2</v>
      </c>
      <c r="C140" s="26"/>
      <c r="D140" s="26">
        <v>12</v>
      </c>
      <c r="E140" s="26" t="str">
        <f>CONCATENATE('Смета ЕР (общ) '!$A140,".",'Смета ЕР (общ) '!$B140,".",'Смета ЕР (общ) '!$D140)</f>
        <v>Р2.2.12</v>
      </c>
      <c r="F140" s="26">
        <f t="shared" si="4"/>
        <v>1</v>
      </c>
      <c r="G140" s="27" t="s">
        <v>164</v>
      </c>
      <c r="H140" s="28" t="s">
        <v>40</v>
      </c>
      <c r="I140" s="158"/>
      <c r="J140" s="30">
        <v>375.84</v>
      </c>
      <c r="K140" s="30">
        <v>0</v>
      </c>
      <c r="L140" s="30">
        <f t="shared" si="7"/>
        <v>375.84</v>
      </c>
      <c r="M140" s="30">
        <f t="shared" si="7"/>
        <v>0</v>
      </c>
      <c r="N140" s="30">
        <f>ROUND('Смета ЕР (общ) '!$I140*'Смета ЕР (общ) '!$L140,2)</f>
        <v>0</v>
      </c>
      <c r="O140" s="30">
        <f>ROUND('Смета ЕР (общ) '!$I140*'Смета ЕР (общ) '!$M140,2)</f>
        <v>0</v>
      </c>
      <c r="P140" s="45"/>
    </row>
    <row r="141" spans="1:20" ht="14.4" hidden="1" x14ac:dyDescent="0.3">
      <c r="A141" s="26" t="s">
        <v>129</v>
      </c>
      <c r="B141" s="26">
        <v>2</v>
      </c>
      <c r="C141" s="26"/>
      <c r="D141" s="26">
        <v>13</v>
      </c>
      <c r="E141" s="26" t="str">
        <f>CONCATENATE('Смета ЕР (общ) '!$A141,".",'Смета ЕР (общ) '!$B141,".",'Смета ЕР (общ) '!$D141)</f>
        <v>Р2.2.13</v>
      </c>
      <c r="F141" s="26">
        <f t="shared" si="4"/>
        <v>1</v>
      </c>
      <c r="G141" s="27" t="s">
        <v>165</v>
      </c>
      <c r="H141" s="28" t="s">
        <v>147</v>
      </c>
      <c r="I141" s="158"/>
      <c r="J141" s="30">
        <v>78.86</v>
      </c>
      <c r="K141" s="30">
        <v>0</v>
      </c>
      <c r="L141" s="30">
        <f t="shared" si="7"/>
        <v>78.86</v>
      </c>
      <c r="M141" s="30">
        <f t="shared" si="7"/>
        <v>0</v>
      </c>
      <c r="N141" s="30">
        <f>ROUND('Смета ЕР (общ) '!$I141*'Смета ЕР (общ) '!$L141,2)</f>
        <v>0</v>
      </c>
      <c r="O141" s="30">
        <f>ROUND('Смета ЕР (общ) '!$I141*'Смета ЕР (общ) '!$M141,2)</f>
        <v>0</v>
      </c>
      <c r="P141" s="45"/>
    </row>
    <row r="142" spans="1:20" ht="14.4" hidden="1" x14ac:dyDescent="0.3">
      <c r="A142" s="26" t="s">
        <v>129</v>
      </c>
      <c r="B142" s="26">
        <v>2</v>
      </c>
      <c r="C142" s="26"/>
      <c r="D142" s="26">
        <v>14</v>
      </c>
      <c r="E142" s="26" t="str">
        <f>CONCATENATE('Смета ЕР (общ) '!$A142,".",'Смета ЕР (общ) '!$B142,".",'Смета ЕР (общ) '!$D142)</f>
        <v>Р2.2.14</v>
      </c>
      <c r="F142" s="26">
        <f t="shared" si="4"/>
        <v>1</v>
      </c>
      <c r="G142" s="27" t="s">
        <v>166</v>
      </c>
      <c r="H142" s="28" t="s">
        <v>147</v>
      </c>
      <c r="I142" s="158"/>
      <c r="J142" s="30">
        <v>78.38</v>
      </c>
      <c r="K142" s="30">
        <v>0</v>
      </c>
      <c r="L142" s="30">
        <f t="shared" si="7"/>
        <v>78.38</v>
      </c>
      <c r="M142" s="30">
        <f t="shared" si="7"/>
        <v>0</v>
      </c>
      <c r="N142" s="30">
        <f>ROUND('Смета ЕР (общ) '!$I142*'Смета ЕР (общ) '!$L142,2)</f>
        <v>0</v>
      </c>
      <c r="O142" s="30">
        <f>ROUND('Смета ЕР (общ) '!$I142*'Смета ЕР (общ) '!$M142,2)</f>
        <v>0</v>
      </c>
      <c r="P142" s="45"/>
    </row>
    <row r="143" spans="1:20" ht="14.4" hidden="1" x14ac:dyDescent="0.3">
      <c r="A143" s="26" t="s">
        <v>129</v>
      </c>
      <c r="B143" s="26">
        <v>2</v>
      </c>
      <c r="C143" s="26"/>
      <c r="D143" s="26">
        <v>15</v>
      </c>
      <c r="E143" s="26" t="str">
        <f>CONCATENATE('Смета ЕР (общ) '!$A143,".",'Смета ЕР (общ) '!$B143,".",'Смета ЕР (общ) '!$D143)</f>
        <v>Р2.2.15</v>
      </c>
      <c r="F143" s="26">
        <f t="shared" si="4"/>
        <v>1</v>
      </c>
      <c r="G143" s="27" t="s">
        <v>167</v>
      </c>
      <c r="H143" s="28" t="s">
        <v>40</v>
      </c>
      <c r="I143" s="158"/>
      <c r="J143" s="30">
        <v>5622.11</v>
      </c>
      <c r="K143" s="30">
        <v>0</v>
      </c>
      <c r="L143" s="30">
        <f t="shared" si="7"/>
        <v>5622.11</v>
      </c>
      <c r="M143" s="30">
        <f t="shared" si="7"/>
        <v>0</v>
      </c>
      <c r="N143" s="30">
        <f>ROUND('Смета ЕР (общ) '!$I143*'Смета ЕР (общ) '!$L143,2)</f>
        <v>0</v>
      </c>
      <c r="O143" s="30">
        <f>ROUND('Смета ЕР (общ) '!$I143*'Смета ЕР (общ) '!$M143,2)</f>
        <v>0</v>
      </c>
      <c r="P143" s="45"/>
    </row>
    <row r="144" spans="1:20" ht="14.4" hidden="1" x14ac:dyDescent="0.3">
      <c r="A144" s="26" t="s">
        <v>129</v>
      </c>
      <c r="B144" s="26">
        <v>2</v>
      </c>
      <c r="C144" s="26"/>
      <c r="D144" s="26">
        <v>16</v>
      </c>
      <c r="E144" s="26" t="str">
        <f>CONCATENATE('Смета ЕР (общ) '!$A144,".",'Смета ЕР (общ) '!$B144,".",'Смета ЕР (общ) '!$D144)</f>
        <v>Р2.2.16</v>
      </c>
      <c r="F144" s="26">
        <f t="shared" si="4"/>
        <v>1</v>
      </c>
      <c r="G144" s="27" t="s">
        <v>168</v>
      </c>
      <c r="H144" s="28" t="s">
        <v>147</v>
      </c>
      <c r="I144" s="158"/>
      <c r="J144" s="30">
        <v>814.32</v>
      </c>
      <c r="K144" s="30">
        <v>0</v>
      </c>
      <c r="L144" s="30">
        <f t="shared" si="7"/>
        <v>814.32</v>
      </c>
      <c r="M144" s="30">
        <f t="shared" si="7"/>
        <v>0</v>
      </c>
      <c r="N144" s="30">
        <f>ROUND('Смета ЕР (общ) '!$I144*'Смета ЕР (общ) '!$L144,2)</f>
        <v>0</v>
      </c>
      <c r="O144" s="30">
        <f>ROUND('Смета ЕР (общ) '!$I144*'Смета ЕР (общ) '!$M144,2)</f>
        <v>0</v>
      </c>
      <c r="P144" s="45"/>
    </row>
    <row r="145" spans="1:20" ht="14.4" hidden="1" x14ac:dyDescent="0.3">
      <c r="A145" s="26" t="s">
        <v>129</v>
      </c>
      <c r="B145" s="26">
        <v>2</v>
      </c>
      <c r="C145" s="26"/>
      <c r="D145" s="26">
        <v>17</v>
      </c>
      <c r="E145" s="26" t="str">
        <f>CONCATENATE('Смета ЕР (общ) '!$A145,".",'Смета ЕР (общ) '!$B145,".",'Смета ЕР (общ) '!$D145)</f>
        <v>Р2.2.17</v>
      </c>
      <c r="F145" s="26">
        <f t="shared" ref="F145:F208" si="8">IF(I145&gt;0,F144+1,F144)</f>
        <v>1</v>
      </c>
      <c r="G145" s="27" t="s">
        <v>169</v>
      </c>
      <c r="H145" s="28" t="s">
        <v>40</v>
      </c>
      <c r="I145" s="158"/>
      <c r="J145" s="30">
        <v>209</v>
      </c>
      <c r="K145" s="30">
        <v>0</v>
      </c>
      <c r="L145" s="30">
        <f t="shared" si="7"/>
        <v>209</v>
      </c>
      <c r="M145" s="30">
        <f t="shared" si="7"/>
        <v>0</v>
      </c>
      <c r="N145" s="30">
        <f>ROUND('Смета ЕР (общ) '!$I145*'Смета ЕР (общ) '!$L145,2)</f>
        <v>0</v>
      </c>
      <c r="O145" s="30">
        <f>ROUND('Смета ЕР (общ) '!$I145*'Смета ЕР (общ) '!$M145,2)</f>
        <v>0</v>
      </c>
      <c r="P145" s="45"/>
    </row>
    <row r="146" spans="1:20" ht="14.4" hidden="1" x14ac:dyDescent="0.3">
      <c r="A146" s="37" t="s">
        <v>129</v>
      </c>
      <c r="B146" s="37">
        <v>3</v>
      </c>
      <c r="C146" s="37"/>
      <c r="D146" s="37">
        <v>0</v>
      </c>
      <c r="E146" s="37" t="str">
        <f>CONCATENATE('Смета ЕР (общ) '!$A146,".",'Смета ЕР (общ) '!$B146,".",'Смета ЕР (общ) '!$D146)</f>
        <v>Р2.3.0</v>
      </c>
      <c r="F146" s="37">
        <f t="shared" si="8"/>
        <v>1</v>
      </c>
      <c r="G146" s="38" t="s">
        <v>170</v>
      </c>
      <c r="H146" s="22"/>
      <c r="I146" s="23"/>
      <c r="J146" s="36"/>
      <c r="K146" s="36"/>
      <c r="L146" s="25"/>
      <c r="M146" s="25"/>
      <c r="N146" s="25">
        <f>SUM(N147:N163)</f>
        <v>0</v>
      </c>
      <c r="O146" s="25">
        <f>SUM(O147:O163)</f>
        <v>0</v>
      </c>
      <c r="P146" s="45"/>
      <c r="T146">
        <v>0</v>
      </c>
    </row>
    <row r="147" spans="1:20" ht="14.4" hidden="1" x14ac:dyDescent="0.3">
      <c r="A147" s="26" t="s">
        <v>129</v>
      </c>
      <c r="B147" s="26">
        <v>3</v>
      </c>
      <c r="C147" s="26"/>
      <c r="D147" s="26">
        <v>1</v>
      </c>
      <c r="E147" s="26" t="str">
        <f>CONCATENATE('Смета ЕР (общ) '!$A147,".",'Смета ЕР (общ) '!$B147,".",'Смета ЕР (общ) '!$D147)</f>
        <v>Р2.3.1</v>
      </c>
      <c r="F147" s="26">
        <f t="shared" si="8"/>
        <v>1</v>
      </c>
      <c r="G147" s="27" t="s">
        <v>171</v>
      </c>
      <c r="H147" s="28" t="s">
        <v>40</v>
      </c>
      <c r="I147" s="158"/>
      <c r="J147" s="30">
        <v>1021.9</v>
      </c>
      <c r="K147" s="30">
        <v>0</v>
      </c>
      <c r="L147" s="30">
        <f t="shared" ref="L147:M163" si="9">ROUND(J147-J147*$Q$3,2)</f>
        <v>1021.9</v>
      </c>
      <c r="M147" s="30">
        <f t="shared" si="9"/>
        <v>0</v>
      </c>
      <c r="N147" s="30">
        <f>ROUND('Смета ЕР (общ) '!$I147*'Смета ЕР (общ) '!$L147,2)</f>
        <v>0</v>
      </c>
      <c r="O147" s="30">
        <f>ROUND('Смета ЕР (общ) '!$I147*'Смета ЕР (общ) '!$M147,2)</f>
        <v>0</v>
      </c>
      <c r="P147" s="45"/>
    </row>
    <row r="148" spans="1:20" ht="24" hidden="1" x14ac:dyDescent="0.3">
      <c r="A148" s="26" t="s">
        <v>129</v>
      </c>
      <c r="B148" s="26">
        <v>3</v>
      </c>
      <c r="C148" s="26"/>
      <c r="D148" s="26">
        <v>2</v>
      </c>
      <c r="E148" s="26" t="str">
        <f>CONCATENATE('Смета ЕР (общ) '!$A148,".",'Смета ЕР (общ) '!$B148,".",'Смета ЕР (общ) '!$D148)</f>
        <v>Р2.3.2</v>
      </c>
      <c r="F148" s="26">
        <f t="shared" si="8"/>
        <v>1</v>
      </c>
      <c r="G148" s="27" t="s">
        <v>172</v>
      </c>
      <c r="H148" s="28" t="s">
        <v>40</v>
      </c>
      <c r="I148" s="158"/>
      <c r="J148" s="30">
        <v>1287</v>
      </c>
      <c r="K148" s="30">
        <v>0</v>
      </c>
      <c r="L148" s="30">
        <f t="shared" si="9"/>
        <v>1287</v>
      </c>
      <c r="M148" s="30">
        <f t="shared" si="9"/>
        <v>0</v>
      </c>
      <c r="N148" s="30">
        <f>ROUND('Смета ЕР (общ) '!$I148*'Смета ЕР (общ) '!$L148,2)</f>
        <v>0</v>
      </c>
      <c r="O148" s="30">
        <f>ROUND('Смета ЕР (общ) '!$I148*'Смета ЕР (общ) '!$M148,2)</f>
        <v>0</v>
      </c>
      <c r="P148" s="45"/>
    </row>
    <row r="149" spans="1:20" ht="14.4" hidden="1" x14ac:dyDescent="0.3">
      <c r="A149" s="26" t="s">
        <v>129</v>
      </c>
      <c r="B149" s="26">
        <v>3</v>
      </c>
      <c r="C149" s="26"/>
      <c r="D149" s="26">
        <v>3</v>
      </c>
      <c r="E149" s="26" t="str">
        <f>CONCATENATE('Смета ЕР (общ) '!$A149,".",'Смета ЕР (общ) '!$B149,".",'Смета ЕР (общ) '!$D149)</f>
        <v>Р2.3.3</v>
      </c>
      <c r="F149" s="26">
        <f t="shared" si="8"/>
        <v>1</v>
      </c>
      <c r="G149" s="27" t="s">
        <v>173</v>
      </c>
      <c r="H149" s="28" t="s">
        <v>144</v>
      </c>
      <c r="I149" s="158"/>
      <c r="J149" s="30">
        <v>8175.22</v>
      </c>
      <c r="K149" s="30">
        <v>0</v>
      </c>
      <c r="L149" s="30">
        <f t="shared" si="9"/>
        <v>8175.22</v>
      </c>
      <c r="M149" s="30">
        <f t="shared" si="9"/>
        <v>0</v>
      </c>
      <c r="N149" s="30">
        <f>ROUND('Смета ЕР (общ) '!$I149*'Смета ЕР (общ) '!$L149,2)</f>
        <v>0</v>
      </c>
      <c r="O149" s="30">
        <f>ROUND('Смета ЕР (общ) '!$I149*'Смета ЕР (общ) '!$M149,2)</f>
        <v>0</v>
      </c>
      <c r="P149" s="45"/>
    </row>
    <row r="150" spans="1:20" ht="14.4" hidden="1" x14ac:dyDescent="0.3">
      <c r="A150" s="26" t="s">
        <v>129</v>
      </c>
      <c r="B150" s="26">
        <v>3</v>
      </c>
      <c r="C150" s="26"/>
      <c r="D150" s="26">
        <v>7</v>
      </c>
      <c r="E150" s="26" t="str">
        <f>CONCATENATE('Смета ЕР (общ) '!$A150,".",'Смета ЕР (общ) '!$B150,".",'Смета ЕР (общ) '!$D150)</f>
        <v>Р2.3.7</v>
      </c>
      <c r="F150" s="26">
        <f t="shared" si="8"/>
        <v>1</v>
      </c>
      <c r="G150" s="27" t="s">
        <v>174</v>
      </c>
      <c r="H150" s="28" t="s">
        <v>144</v>
      </c>
      <c r="I150" s="158"/>
      <c r="J150" s="30">
        <v>8992.74</v>
      </c>
      <c r="K150" s="30">
        <v>0</v>
      </c>
      <c r="L150" s="30">
        <f t="shared" si="9"/>
        <v>8992.74</v>
      </c>
      <c r="M150" s="30">
        <f t="shared" si="9"/>
        <v>0</v>
      </c>
      <c r="N150" s="30">
        <f>ROUND('Смета ЕР (общ) '!$I150*'Смета ЕР (общ) '!$L150,2)</f>
        <v>0</v>
      </c>
      <c r="O150" s="30">
        <f>ROUND('Смета ЕР (общ) '!$I150*'Смета ЕР (общ) '!$M150,2)</f>
        <v>0</v>
      </c>
      <c r="P150" s="45"/>
    </row>
    <row r="151" spans="1:20" ht="14.4" hidden="1" x14ac:dyDescent="0.3">
      <c r="A151" s="26" t="s">
        <v>129</v>
      </c>
      <c r="B151" s="26">
        <v>3</v>
      </c>
      <c r="C151" s="26"/>
      <c r="D151" s="26">
        <v>8</v>
      </c>
      <c r="E151" s="26" t="str">
        <f>CONCATENATE('Смета ЕР (общ) '!$A151,".",'Смета ЕР (общ) '!$B151,".",'Смета ЕР (общ) '!$D151)</f>
        <v>Р2.3.8</v>
      </c>
      <c r="F151" s="26">
        <f t="shared" si="8"/>
        <v>1</v>
      </c>
      <c r="G151" s="27" t="s">
        <v>175</v>
      </c>
      <c r="H151" s="28" t="s">
        <v>40</v>
      </c>
      <c r="I151" s="158"/>
      <c r="J151" s="30">
        <v>144.58000000000001</v>
      </c>
      <c r="K151" s="30">
        <v>0</v>
      </c>
      <c r="L151" s="30">
        <f t="shared" si="9"/>
        <v>144.58000000000001</v>
      </c>
      <c r="M151" s="30">
        <f t="shared" si="9"/>
        <v>0</v>
      </c>
      <c r="N151" s="30">
        <f>ROUND('Смета ЕР (общ) '!$I151*'Смета ЕР (общ) '!$L151,2)</f>
        <v>0</v>
      </c>
      <c r="O151" s="30">
        <f>ROUND('Смета ЕР (общ) '!$I151*'Смета ЕР (общ) '!$M151,2)</f>
        <v>0</v>
      </c>
      <c r="P151" s="45"/>
    </row>
    <row r="152" spans="1:20" ht="14.4" hidden="1" x14ac:dyDescent="0.3">
      <c r="A152" s="26" t="s">
        <v>129</v>
      </c>
      <c r="B152" s="26">
        <v>3</v>
      </c>
      <c r="C152" s="26"/>
      <c r="D152" s="26">
        <v>9</v>
      </c>
      <c r="E152" s="26" t="str">
        <f>CONCATENATE('Смета ЕР (общ) '!$A152,".",'Смета ЕР (общ) '!$B152,".",'Смета ЕР (общ) '!$D152)</f>
        <v>Р2.3.9</v>
      </c>
      <c r="F152" s="26">
        <f t="shared" si="8"/>
        <v>1</v>
      </c>
      <c r="G152" s="27" t="s">
        <v>176</v>
      </c>
      <c r="H152" s="28" t="s">
        <v>144</v>
      </c>
      <c r="I152" s="158"/>
      <c r="J152" s="30">
        <v>156.6</v>
      </c>
      <c r="K152" s="30">
        <v>0</v>
      </c>
      <c r="L152" s="30">
        <f t="shared" si="9"/>
        <v>156.6</v>
      </c>
      <c r="M152" s="30">
        <f t="shared" si="9"/>
        <v>0</v>
      </c>
      <c r="N152" s="30">
        <f>ROUND('Смета ЕР (общ) '!$I152*'Смета ЕР (общ) '!$L152,2)</f>
        <v>0</v>
      </c>
      <c r="O152" s="30">
        <f>ROUND('Смета ЕР (общ) '!$I152*'Смета ЕР (общ) '!$M152,2)</f>
        <v>0</v>
      </c>
      <c r="P152" s="45"/>
    </row>
    <row r="153" spans="1:20" ht="14.4" hidden="1" x14ac:dyDescent="0.3">
      <c r="A153" s="26" t="s">
        <v>129</v>
      </c>
      <c r="B153" s="26">
        <v>3</v>
      </c>
      <c r="C153" s="26"/>
      <c r="D153" s="26">
        <v>10</v>
      </c>
      <c r="E153" s="26" t="str">
        <f>CONCATENATE('Смета ЕР (общ) '!$A153,".",'Смета ЕР (общ) '!$B153,".",'Смета ЕР (общ) '!$D153)</f>
        <v>Р2.3.10</v>
      </c>
      <c r="F153" s="26">
        <f t="shared" si="8"/>
        <v>1</v>
      </c>
      <c r="G153" s="27" t="s">
        <v>177</v>
      </c>
      <c r="H153" s="28" t="s">
        <v>40</v>
      </c>
      <c r="I153" s="158"/>
      <c r="J153" s="30">
        <v>341.73</v>
      </c>
      <c r="K153" s="30">
        <v>0</v>
      </c>
      <c r="L153" s="30">
        <f t="shared" si="9"/>
        <v>341.73</v>
      </c>
      <c r="M153" s="30">
        <f t="shared" si="9"/>
        <v>0</v>
      </c>
      <c r="N153" s="30">
        <f>ROUND('Смета ЕР (общ) '!$I153*'Смета ЕР (общ) '!$L153,2)</f>
        <v>0</v>
      </c>
      <c r="O153" s="30">
        <f>ROUND('Смета ЕР (общ) '!$I153*'Смета ЕР (общ) '!$M153,2)</f>
        <v>0</v>
      </c>
      <c r="P153" s="45"/>
    </row>
    <row r="154" spans="1:20" ht="14.4" hidden="1" x14ac:dyDescent="0.3">
      <c r="A154" s="26" t="s">
        <v>129</v>
      </c>
      <c r="B154" s="26">
        <v>3</v>
      </c>
      <c r="C154" s="26"/>
      <c r="D154" s="26">
        <v>11</v>
      </c>
      <c r="E154" s="26" t="str">
        <f>CONCATENATE('Смета ЕР (общ) '!$A154,".",'Смета ЕР (общ) '!$B154,".",'Смета ЕР (общ) '!$D154)</f>
        <v>Р2.3.11</v>
      </c>
      <c r="F154" s="26">
        <f t="shared" si="8"/>
        <v>1</v>
      </c>
      <c r="G154" s="27" t="s">
        <v>178</v>
      </c>
      <c r="H154" s="28" t="s">
        <v>40</v>
      </c>
      <c r="I154" s="158"/>
      <c r="J154" s="30">
        <v>281.88</v>
      </c>
      <c r="K154" s="30">
        <v>0</v>
      </c>
      <c r="L154" s="30">
        <f t="shared" si="9"/>
        <v>281.88</v>
      </c>
      <c r="M154" s="30">
        <f t="shared" si="9"/>
        <v>0</v>
      </c>
      <c r="N154" s="30">
        <f>ROUND('Смета ЕР (общ) '!$I154*'Смета ЕР (общ) '!$L154,2)</f>
        <v>0</v>
      </c>
      <c r="O154" s="30">
        <f>ROUND('Смета ЕР (общ) '!$I154*'Смета ЕР (общ) '!$M154,2)</f>
        <v>0</v>
      </c>
      <c r="P154" s="45"/>
    </row>
    <row r="155" spans="1:20" ht="14.4" hidden="1" x14ac:dyDescent="0.3">
      <c r="A155" s="26" t="s">
        <v>129</v>
      </c>
      <c r="B155" s="26">
        <v>3</v>
      </c>
      <c r="C155" s="26"/>
      <c r="D155" s="26">
        <v>12</v>
      </c>
      <c r="E155" s="26" t="str">
        <f>CONCATENATE('Смета ЕР (общ) '!$A155,".",'Смета ЕР (общ) '!$B155,".",'Смета ЕР (общ) '!$D155)</f>
        <v>Р2.3.12</v>
      </c>
      <c r="F155" s="26">
        <f t="shared" si="8"/>
        <v>1</v>
      </c>
      <c r="G155" s="27" t="s">
        <v>179</v>
      </c>
      <c r="H155" s="28" t="s">
        <v>40</v>
      </c>
      <c r="I155" s="158"/>
      <c r="J155" s="30">
        <v>433.73</v>
      </c>
      <c r="K155" s="30">
        <v>0</v>
      </c>
      <c r="L155" s="30">
        <f t="shared" si="9"/>
        <v>433.73</v>
      </c>
      <c r="M155" s="30">
        <f t="shared" si="9"/>
        <v>0</v>
      </c>
      <c r="N155" s="30">
        <f>ROUND('Смета ЕР (общ) '!$I155*'Смета ЕР (общ) '!$L155,2)</f>
        <v>0</v>
      </c>
      <c r="O155" s="30">
        <f>ROUND('Смета ЕР (общ) '!$I155*'Смета ЕР (общ) '!$M155,2)</f>
        <v>0</v>
      </c>
      <c r="P155" s="45"/>
    </row>
    <row r="156" spans="1:20" ht="24" hidden="1" x14ac:dyDescent="0.3">
      <c r="A156" s="26" t="s">
        <v>129</v>
      </c>
      <c r="B156" s="26">
        <v>3</v>
      </c>
      <c r="C156" s="26"/>
      <c r="D156" s="26">
        <v>13</v>
      </c>
      <c r="E156" s="26" t="str">
        <f>CONCATENATE('Смета ЕР (общ) '!$A156,".",'Смета ЕР (общ) '!$B156,".",'Смета ЕР (общ) '!$D156)</f>
        <v>Р2.3.13</v>
      </c>
      <c r="F156" s="26">
        <f t="shared" si="8"/>
        <v>1</v>
      </c>
      <c r="G156" s="27" t="s">
        <v>180</v>
      </c>
      <c r="H156" s="28" t="s">
        <v>40</v>
      </c>
      <c r="I156" s="158"/>
      <c r="J156" s="30">
        <v>453.45</v>
      </c>
      <c r="K156" s="30">
        <v>0</v>
      </c>
      <c r="L156" s="30">
        <f t="shared" si="9"/>
        <v>453.45</v>
      </c>
      <c r="M156" s="30">
        <f t="shared" si="9"/>
        <v>0</v>
      </c>
      <c r="N156" s="30">
        <f>ROUND('Смета ЕР (общ) '!$I156*'Смета ЕР (общ) '!$L156,2)</f>
        <v>0</v>
      </c>
      <c r="O156" s="30">
        <f>ROUND('Смета ЕР (общ) '!$I156*'Смета ЕР (общ) '!$M156,2)</f>
        <v>0</v>
      </c>
      <c r="P156" s="45"/>
    </row>
    <row r="157" spans="1:20" ht="14.4" hidden="1" x14ac:dyDescent="0.3">
      <c r="A157" s="26" t="s">
        <v>129</v>
      </c>
      <c r="B157" s="26">
        <v>3</v>
      </c>
      <c r="C157" s="26"/>
      <c r="D157" s="26">
        <v>14</v>
      </c>
      <c r="E157" s="26" t="str">
        <f>CONCATENATE('Смета ЕР (общ) '!$A157,".",'Смета ЕР (общ) '!$B157,".",'Смета ЕР (общ) '!$D157)</f>
        <v>Р2.3.14</v>
      </c>
      <c r="F157" s="26">
        <f t="shared" si="8"/>
        <v>1</v>
      </c>
      <c r="G157" s="27" t="s">
        <v>181</v>
      </c>
      <c r="H157" s="28" t="s">
        <v>40</v>
      </c>
      <c r="I157" s="158"/>
      <c r="J157" s="30">
        <v>337.56</v>
      </c>
      <c r="K157" s="30">
        <v>0</v>
      </c>
      <c r="L157" s="30">
        <f t="shared" si="9"/>
        <v>337.56</v>
      </c>
      <c r="M157" s="30">
        <f t="shared" si="9"/>
        <v>0</v>
      </c>
      <c r="N157" s="30">
        <f>ROUND('Смета ЕР (общ) '!$I157*'Смета ЕР (общ) '!$L157,2)</f>
        <v>0</v>
      </c>
      <c r="O157" s="30">
        <f>ROUND('Смета ЕР (общ) '!$I157*'Смета ЕР (общ) '!$M157,2)</f>
        <v>0</v>
      </c>
      <c r="P157" s="45"/>
    </row>
    <row r="158" spans="1:20" ht="14.4" hidden="1" x14ac:dyDescent="0.3">
      <c r="A158" s="26" t="s">
        <v>129</v>
      </c>
      <c r="B158" s="26">
        <v>3</v>
      </c>
      <c r="C158" s="26"/>
      <c r="D158" s="26">
        <v>15</v>
      </c>
      <c r="E158" s="26" t="str">
        <f>CONCATENATE('Смета ЕР (общ) '!$A158,".",'Смета ЕР (общ) '!$B158,".",'Смета ЕР (общ) '!$D158)</f>
        <v>Р2.3.15</v>
      </c>
      <c r="F158" s="26">
        <f t="shared" si="8"/>
        <v>1</v>
      </c>
      <c r="G158" s="27" t="s">
        <v>182</v>
      </c>
      <c r="H158" s="28" t="s">
        <v>40</v>
      </c>
      <c r="I158" s="158"/>
      <c r="J158" s="30">
        <v>125.28</v>
      </c>
      <c r="K158" s="30">
        <v>0</v>
      </c>
      <c r="L158" s="30">
        <f t="shared" si="9"/>
        <v>125.28</v>
      </c>
      <c r="M158" s="30">
        <f t="shared" si="9"/>
        <v>0</v>
      </c>
      <c r="N158" s="30">
        <f>ROUND('Смета ЕР (общ) '!$I158*'Смета ЕР (общ) '!$L158,2)</f>
        <v>0</v>
      </c>
      <c r="O158" s="30">
        <f>ROUND('Смета ЕР (общ) '!$I158*'Смета ЕР (общ) '!$M158,2)</f>
        <v>0</v>
      </c>
      <c r="P158" s="45"/>
    </row>
    <row r="159" spans="1:20" ht="14.4" hidden="1" x14ac:dyDescent="0.3">
      <c r="A159" s="26" t="s">
        <v>129</v>
      </c>
      <c r="B159" s="26">
        <v>3</v>
      </c>
      <c r="C159" s="26"/>
      <c r="D159" s="26">
        <v>16</v>
      </c>
      <c r="E159" s="26" t="str">
        <f>CONCATENATE('Смета ЕР (общ) '!$A159,".",'Смета ЕР (общ) '!$B159,".",'Смета ЕР (общ) '!$D159)</f>
        <v>Р2.3.16</v>
      </c>
      <c r="F159" s="26">
        <f t="shared" si="8"/>
        <v>1</v>
      </c>
      <c r="G159" s="27" t="s">
        <v>183</v>
      </c>
      <c r="H159" s="28" t="s">
        <v>40</v>
      </c>
      <c r="I159" s="158"/>
      <c r="J159" s="30">
        <v>501.12</v>
      </c>
      <c r="K159" s="30">
        <v>0</v>
      </c>
      <c r="L159" s="30">
        <f t="shared" si="9"/>
        <v>501.12</v>
      </c>
      <c r="M159" s="30">
        <f t="shared" si="9"/>
        <v>0</v>
      </c>
      <c r="N159" s="30">
        <f>ROUND('Смета ЕР (общ) '!$I159*'Смета ЕР (общ) '!$L159,2)</f>
        <v>0</v>
      </c>
      <c r="O159" s="30">
        <f>ROUND('Смета ЕР (общ) '!$I159*'Смета ЕР (общ) '!$M159,2)</f>
        <v>0</v>
      </c>
      <c r="P159" s="45"/>
    </row>
    <row r="160" spans="1:20" ht="14.4" hidden="1" x14ac:dyDescent="0.3">
      <c r="A160" s="26" t="s">
        <v>129</v>
      </c>
      <c r="B160" s="26">
        <v>3</v>
      </c>
      <c r="C160" s="26"/>
      <c r="D160" s="26">
        <v>17</v>
      </c>
      <c r="E160" s="26" t="str">
        <f>CONCATENATE('Смета ЕР (общ) '!$A160,".",'Смета ЕР (общ) '!$B160,".",'Смета ЕР (общ) '!$D160)</f>
        <v>Р2.3.17</v>
      </c>
      <c r="F160" s="26">
        <f t="shared" si="8"/>
        <v>1</v>
      </c>
      <c r="G160" s="27" t="s">
        <v>184</v>
      </c>
      <c r="H160" s="28" t="s">
        <v>40</v>
      </c>
      <c r="I160" s="158"/>
      <c r="J160" s="30">
        <v>627</v>
      </c>
      <c r="K160" s="30">
        <v>0</v>
      </c>
      <c r="L160" s="30">
        <f t="shared" si="9"/>
        <v>627</v>
      </c>
      <c r="M160" s="30">
        <f t="shared" si="9"/>
        <v>0</v>
      </c>
      <c r="N160" s="30">
        <f>ROUND('Смета ЕР (общ) '!$I160*'Смета ЕР (общ) '!$L160,2)</f>
        <v>0</v>
      </c>
      <c r="O160" s="30">
        <f>ROUND('Смета ЕР (общ) '!$I160*'Смета ЕР (общ) '!$M160,2)</f>
        <v>0</v>
      </c>
      <c r="P160" s="45"/>
    </row>
    <row r="161" spans="1:20" ht="14.4" hidden="1" x14ac:dyDescent="0.3">
      <c r="A161" s="26" t="s">
        <v>129</v>
      </c>
      <c r="B161" s="26">
        <v>3</v>
      </c>
      <c r="C161" s="26"/>
      <c r="D161" s="26">
        <v>18</v>
      </c>
      <c r="E161" s="26" t="str">
        <f>CONCATENATE('Смета ЕР (общ) '!$A161,".",'Смета ЕР (общ) '!$B161,".",'Смета ЕР (общ) '!$D161)</f>
        <v>Р2.3.18</v>
      </c>
      <c r="F161" s="26">
        <f t="shared" si="8"/>
        <v>1</v>
      </c>
      <c r="G161" s="27" t="s">
        <v>185</v>
      </c>
      <c r="H161" s="28" t="s">
        <v>40</v>
      </c>
      <c r="I161" s="158"/>
      <c r="J161" s="30">
        <v>1252.8</v>
      </c>
      <c r="K161" s="30">
        <v>0</v>
      </c>
      <c r="L161" s="30">
        <f t="shared" si="9"/>
        <v>1252.8</v>
      </c>
      <c r="M161" s="30">
        <f t="shared" si="9"/>
        <v>0</v>
      </c>
      <c r="N161" s="30">
        <f>ROUND('Смета ЕР (общ) '!$I161*'Смета ЕР (общ) '!$L161,2)</f>
        <v>0</v>
      </c>
      <c r="O161" s="30">
        <f>ROUND('Смета ЕР (общ) '!$I161*'Смета ЕР (общ) '!$M161,2)</f>
        <v>0</v>
      </c>
      <c r="P161" s="45"/>
    </row>
    <row r="162" spans="1:20" ht="14.4" hidden="1" x14ac:dyDescent="0.3">
      <c r="A162" s="26" t="s">
        <v>129</v>
      </c>
      <c r="B162" s="26">
        <v>3</v>
      </c>
      <c r="C162" s="26"/>
      <c r="D162" s="26">
        <v>19</v>
      </c>
      <c r="E162" s="26" t="str">
        <f>CONCATENATE('Смета ЕР (общ) '!$A162,".",'Смета ЕР (общ) '!$B162,".",'Смета ЕР (общ) '!$D162)</f>
        <v>Р2.3.19</v>
      </c>
      <c r="F162" s="26">
        <f t="shared" si="8"/>
        <v>1</v>
      </c>
      <c r="G162" s="27" t="s">
        <v>186</v>
      </c>
      <c r="H162" s="28" t="s">
        <v>40</v>
      </c>
      <c r="I162" s="158"/>
      <c r="J162" s="30">
        <v>313.2</v>
      </c>
      <c r="K162" s="30">
        <v>0</v>
      </c>
      <c r="L162" s="30">
        <f t="shared" si="9"/>
        <v>313.2</v>
      </c>
      <c r="M162" s="30">
        <f t="shared" si="9"/>
        <v>0</v>
      </c>
      <c r="N162" s="30">
        <f>ROUND('Смета ЕР (общ) '!$I162*'Смета ЕР (общ) '!$L162,2)</f>
        <v>0</v>
      </c>
      <c r="O162" s="30">
        <f>ROUND('Смета ЕР (общ) '!$I162*'Смета ЕР (общ) '!$M162,2)</f>
        <v>0</v>
      </c>
      <c r="P162" s="45"/>
    </row>
    <row r="163" spans="1:20" ht="14.4" hidden="1" x14ac:dyDescent="0.3">
      <c r="A163" s="26" t="s">
        <v>129</v>
      </c>
      <c r="B163" s="26">
        <v>3</v>
      </c>
      <c r="C163" s="26"/>
      <c r="D163" s="26">
        <v>20</v>
      </c>
      <c r="E163" s="26" t="str">
        <f>CONCATENATE('Смета ЕР (общ) '!$A163,".",'Смета ЕР (общ) '!$B163,".",'Смета ЕР (общ) '!$D163)</f>
        <v>Р2.3.20</v>
      </c>
      <c r="F163" s="26">
        <f t="shared" si="8"/>
        <v>1</v>
      </c>
      <c r="G163" s="27" t="s">
        <v>187</v>
      </c>
      <c r="H163" s="28" t="s">
        <v>40</v>
      </c>
      <c r="I163" s="158"/>
      <c r="J163" s="30">
        <v>402.77</v>
      </c>
      <c r="K163" s="30">
        <v>0</v>
      </c>
      <c r="L163" s="30">
        <f t="shared" si="9"/>
        <v>402.77</v>
      </c>
      <c r="M163" s="30">
        <f t="shared" si="9"/>
        <v>0</v>
      </c>
      <c r="N163" s="30">
        <f>ROUND('Смета ЕР (общ) '!$I163*'Смета ЕР (общ) '!$L163,2)</f>
        <v>0</v>
      </c>
      <c r="O163" s="30">
        <f>ROUND('Смета ЕР (общ) '!$I163*'Смета ЕР (общ) '!$M163,2)</f>
        <v>0</v>
      </c>
      <c r="P163" s="45"/>
    </row>
    <row r="164" spans="1:20" ht="14.4" hidden="1" x14ac:dyDescent="0.3">
      <c r="A164" s="37" t="s">
        <v>129</v>
      </c>
      <c r="B164" s="37">
        <v>4</v>
      </c>
      <c r="C164" s="37"/>
      <c r="D164" s="37">
        <v>0</v>
      </c>
      <c r="E164" s="37" t="str">
        <f>CONCATENATE('Смета ЕР (общ) '!$A164,".",'Смета ЕР (общ) '!$B164,".",'Смета ЕР (общ) '!$D164)</f>
        <v>Р2.4.0</v>
      </c>
      <c r="F164" s="37">
        <f t="shared" si="8"/>
        <v>1</v>
      </c>
      <c r="G164" s="38" t="s">
        <v>188</v>
      </c>
      <c r="H164" s="22"/>
      <c r="I164" s="23"/>
      <c r="J164" s="36"/>
      <c r="K164" s="36"/>
      <c r="L164" s="25"/>
      <c r="M164" s="25"/>
      <c r="N164" s="25">
        <f>SUM(N165:N173)</f>
        <v>0</v>
      </c>
      <c r="O164" s="25">
        <f>SUM(O165:O173)</f>
        <v>0</v>
      </c>
      <c r="P164" s="45"/>
      <c r="T164">
        <v>2</v>
      </c>
    </row>
    <row r="165" spans="1:20" ht="14.4" hidden="1" x14ac:dyDescent="0.3">
      <c r="A165" s="26" t="s">
        <v>129</v>
      </c>
      <c r="B165" s="26">
        <v>4</v>
      </c>
      <c r="C165" s="26"/>
      <c r="D165" s="26">
        <v>1</v>
      </c>
      <c r="E165" s="26" t="str">
        <f>CONCATENATE('Смета ЕР (общ) '!$A165,".",'Смета ЕР (общ) '!$B165,".",'Смета ЕР (общ) '!$D165)</f>
        <v>Р2.4.1</v>
      </c>
      <c r="F165" s="26">
        <f t="shared" si="8"/>
        <v>1</v>
      </c>
      <c r="G165" s="27" t="s">
        <v>189</v>
      </c>
      <c r="H165" s="28" t="s">
        <v>118</v>
      </c>
      <c r="I165" s="158"/>
      <c r="J165" s="30">
        <v>1045</v>
      </c>
      <c r="K165" s="30">
        <v>0</v>
      </c>
      <c r="L165" s="30">
        <f t="shared" ref="L165:M173" si="10">ROUND(J165-J165*$Q$3,2)</f>
        <v>1045</v>
      </c>
      <c r="M165" s="30">
        <f t="shared" si="10"/>
        <v>0</v>
      </c>
      <c r="N165" s="30">
        <f>ROUND('Смета ЕР (общ) '!$I165*'Смета ЕР (общ) '!$L165,2)</f>
        <v>0</v>
      </c>
      <c r="O165" s="30">
        <f>ROUND('Смета ЕР (общ) '!$I165*'Смета ЕР (общ) '!$M165,2)</f>
        <v>0</v>
      </c>
      <c r="P165" s="45"/>
    </row>
    <row r="166" spans="1:20" ht="14.4" hidden="1" x14ac:dyDescent="0.3">
      <c r="A166" s="26" t="s">
        <v>129</v>
      </c>
      <c r="B166" s="26">
        <v>4</v>
      </c>
      <c r="C166" s="26"/>
      <c r="D166" s="26">
        <v>2</v>
      </c>
      <c r="E166" s="26" t="str">
        <f>CONCATENATE('Смета ЕР (общ) '!$A166,".",'Смета ЕР (общ) '!$B166,".",'Смета ЕР (общ) '!$D166)</f>
        <v>Р2.4.2</v>
      </c>
      <c r="F166" s="26">
        <f t="shared" si="8"/>
        <v>1</v>
      </c>
      <c r="G166" s="27" t="s">
        <v>190</v>
      </c>
      <c r="H166" s="28" t="s">
        <v>118</v>
      </c>
      <c r="I166" s="158"/>
      <c r="J166" s="30">
        <v>1252.8</v>
      </c>
      <c r="K166" s="30">
        <v>0</v>
      </c>
      <c r="L166" s="30">
        <f t="shared" si="10"/>
        <v>1252.8</v>
      </c>
      <c r="M166" s="30">
        <f t="shared" si="10"/>
        <v>0</v>
      </c>
      <c r="N166" s="30">
        <f>ROUND('Смета ЕР (общ) '!$I166*'Смета ЕР (общ) '!$L166,2)</f>
        <v>0</v>
      </c>
      <c r="O166" s="30">
        <f>ROUND('Смета ЕР (общ) '!$I166*'Смета ЕР (общ) '!$M166,2)</f>
        <v>0</v>
      </c>
      <c r="P166" s="45"/>
    </row>
    <row r="167" spans="1:20" ht="14.4" hidden="1" x14ac:dyDescent="0.3">
      <c r="A167" s="26" t="s">
        <v>129</v>
      </c>
      <c r="B167" s="26">
        <v>4</v>
      </c>
      <c r="C167" s="26"/>
      <c r="D167" s="26">
        <v>3</v>
      </c>
      <c r="E167" s="26" t="str">
        <f>CONCATENATE('Смета ЕР (общ) '!$A167,".",'Смета ЕР (общ) '!$B167,".",'Смета ЕР (общ) '!$D167)</f>
        <v>Р2.4.3</v>
      </c>
      <c r="F167" s="26">
        <f t="shared" si="8"/>
        <v>1</v>
      </c>
      <c r="G167" s="27" t="s">
        <v>191</v>
      </c>
      <c r="H167" s="28" t="s">
        <v>118</v>
      </c>
      <c r="I167" s="158"/>
      <c r="J167" s="30">
        <v>1980</v>
      </c>
      <c r="K167" s="30">
        <v>0</v>
      </c>
      <c r="L167" s="30">
        <f t="shared" si="10"/>
        <v>1980</v>
      </c>
      <c r="M167" s="30">
        <f t="shared" si="10"/>
        <v>0</v>
      </c>
      <c r="N167" s="30">
        <f>ROUND('Смета ЕР (общ) '!$I167*'Смета ЕР (общ) '!$L167,2)</f>
        <v>0</v>
      </c>
      <c r="O167" s="30">
        <f>ROUND('Смета ЕР (общ) '!$I167*'Смета ЕР (общ) '!$M167,2)</f>
        <v>0</v>
      </c>
      <c r="P167" s="45"/>
    </row>
    <row r="168" spans="1:20" ht="14.4" hidden="1" x14ac:dyDescent="0.3">
      <c r="A168" s="26" t="s">
        <v>129</v>
      </c>
      <c r="B168" s="26">
        <v>4</v>
      </c>
      <c r="C168" s="26"/>
      <c r="D168" s="26">
        <v>4</v>
      </c>
      <c r="E168" s="26" t="str">
        <f>CONCATENATE('Смета ЕР (общ) '!$A168,".",'Смета ЕР (общ) '!$B168,".",'Смета ЕР (общ) '!$D168)</f>
        <v>Р2.4.4</v>
      </c>
      <c r="F168" s="26">
        <f t="shared" si="8"/>
        <v>1</v>
      </c>
      <c r="G168" s="27" t="s">
        <v>192</v>
      </c>
      <c r="H168" s="28" t="s">
        <v>118</v>
      </c>
      <c r="I168" s="158"/>
      <c r="J168" s="30">
        <v>2750</v>
      </c>
      <c r="K168" s="30">
        <v>0</v>
      </c>
      <c r="L168" s="30">
        <f t="shared" si="10"/>
        <v>2750</v>
      </c>
      <c r="M168" s="30">
        <f t="shared" si="10"/>
        <v>0</v>
      </c>
      <c r="N168" s="30">
        <f>ROUND('Смета ЕР (общ) '!$I168*'Смета ЕР (общ) '!$L168,2)</f>
        <v>0</v>
      </c>
      <c r="O168" s="30">
        <f>ROUND('Смета ЕР (общ) '!$I168*'Смета ЕР (общ) '!$M168,2)</f>
        <v>0</v>
      </c>
      <c r="P168" s="45"/>
      <c r="T168">
        <v>2</v>
      </c>
    </row>
    <row r="169" spans="1:20" ht="14.4" hidden="1" x14ac:dyDescent="0.3">
      <c r="A169" s="26" t="s">
        <v>129</v>
      </c>
      <c r="B169" s="26">
        <v>4</v>
      </c>
      <c r="C169" s="26"/>
      <c r="D169" s="26">
        <v>6</v>
      </c>
      <c r="E169" s="26" t="str">
        <f>CONCATENATE('Смета ЕР (общ) '!$A169,".",'Смета ЕР (общ) '!$B169,".",'Смета ЕР (общ) '!$D169)</f>
        <v>Р2.4.6</v>
      </c>
      <c r="F169" s="26">
        <f t="shared" si="8"/>
        <v>1</v>
      </c>
      <c r="G169" s="27" t="s">
        <v>193</v>
      </c>
      <c r="H169" s="28" t="s">
        <v>118</v>
      </c>
      <c r="I169" s="158"/>
      <c r="J169" s="30">
        <v>2612.5</v>
      </c>
      <c r="K169" s="30">
        <v>0</v>
      </c>
      <c r="L169" s="30">
        <f t="shared" si="10"/>
        <v>2612.5</v>
      </c>
      <c r="M169" s="30">
        <f t="shared" si="10"/>
        <v>0</v>
      </c>
      <c r="N169" s="30">
        <f>ROUND('Смета ЕР (общ) '!$I169*'Смета ЕР (общ) '!$L169,2)</f>
        <v>0</v>
      </c>
      <c r="O169" s="30">
        <f>ROUND('Смета ЕР (общ) '!$I169*'Смета ЕР (общ) '!$M169,2)</f>
        <v>0</v>
      </c>
      <c r="P169" s="45"/>
    </row>
    <row r="170" spans="1:20" ht="14.4" hidden="1" x14ac:dyDescent="0.3">
      <c r="A170" s="26" t="s">
        <v>129</v>
      </c>
      <c r="B170" s="26">
        <v>4</v>
      </c>
      <c r="C170" s="26"/>
      <c r="D170" s="26">
        <v>7</v>
      </c>
      <c r="E170" s="26" t="str">
        <f>CONCATENATE('Смета ЕР (общ) '!$A170,".",'Смета ЕР (общ) '!$B170,".",'Смета ЕР (общ) '!$D170)</f>
        <v>Р2.4.7</v>
      </c>
      <c r="F170" s="26">
        <f t="shared" si="8"/>
        <v>1</v>
      </c>
      <c r="G170" s="27" t="s">
        <v>194</v>
      </c>
      <c r="H170" s="28" t="s">
        <v>118</v>
      </c>
      <c r="I170" s="158"/>
      <c r="J170" s="30">
        <v>1412.92</v>
      </c>
      <c r="K170" s="30">
        <v>0</v>
      </c>
      <c r="L170" s="30">
        <f t="shared" si="10"/>
        <v>1412.92</v>
      </c>
      <c r="M170" s="30">
        <f t="shared" si="10"/>
        <v>0</v>
      </c>
      <c r="N170" s="30">
        <f>ROUND('Смета ЕР (общ) '!$I170*'Смета ЕР (общ) '!$L170,2)</f>
        <v>0</v>
      </c>
      <c r="O170" s="30">
        <f>ROUND('Смета ЕР (общ) '!$I170*'Смета ЕР (общ) '!$M170,2)</f>
        <v>0</v>
      </c>
      <c r="P170" s="45"/>
    </row>
    <row r="171" spans="1:20" ht="14.4" hidden="1" x14ac:dyDescent="0.3">
      <c r="A171" s="26" t="s">
        <v>129</v>
      </c>
      <c r="B171" s="26">
        <v>4</v>
      </c>
      <c r="C171" s="26"/>
      <c r="D171" s="26">
        <v>8</v>
      </c>
      <c r="E171" s="26" t="str">
        <f>CONCATENATE('Смета ЕР (общ) '!$A171,".",'Смета ЕР (общ) '!$B171,".",'Смета ЕР (общ) '!$D171)</f>
        <v>Р2.4.8</v>
      </c>
      <c r="F171" s="26">
        <f t="shared" si="8"/>
        <v>1</v>
      </c>
      <c r="G171" s="27" t="s">
        <v>195</v>
      </c>
      <c r="H171" s="28" t="s">
        <v>118</v>
      </c>
      <c r="I171" s="158"/>
      <c r="J171" s="30">
        <v>3052.5</v>
      </c>
      <c r="K171" s="30">
        <v>0</v>
      </c>
      <c r="L171" s="30">
        <f t="shared" si="10"/>
        <v>3052.5</v>
      </c>
      <c r="M171" s="30">
        <f t="shared" si="10"/>
        <v>0</v>
      </c>
      <c r="N171" s="30">
        <f>ROUND('Смета ЕР (общ) '!$I171*'Смета ЕР (общ) '!$L171,2)</f>
        <v>0</v>
      </c>
      <c r="O171" s="30">
        <f>ROUND('Смета ЕР (общ) '!$I171*'Смета ЕР (общ) '!$M171,2)</f>
        <v>0</v>
      </c>
      <c r="P171" s="45"/>
    </row>
    <row r="172" spans="1:20" ht="14.4" hidden="1" x14ac:dyDescent="0.3">
      <c r="A172" s="26" t="s">
        <v>129</v>
      </c>
      <c r="B172" s="26">
        <v>4</v>
      </c>
      <c r="C172" s="26"/>
      <c r="D172" s="26">
        <v>9</v>
      </c>
      <c r="E172" s="26" t="str">
        <f>CONCATENATE('Смета ЕР (общ) '!$A172,".",'Смета ЕР (общ) '!$B172,".",'Смета ЕР (общ) '!$D172)</f>
        <v>Р2.4.9</v>
      </c>
      <c r="F172" s="26">
        <f t="shared" si="8"/>
        <v>1</v>
      </c>
      <c r="G172" s="27" t="s">
        <v>196</v>
      </c>
      <c r="H172" s="28" t="s">
        <v>118</v>
      </c>
      <c r="I172" s="158"/>
      <c r="J172" s="30">
        <v>3135</v>
      </c>
      <c r="K172" s="30">
        <v>0</v>
      </c>
      <c r="L172" s="30">
        <f t="shared" si="10"/>
        <v>3135</v>
      </c>
      <c r="M172" s="30">
        <f t="shared" si="10"/>
        <v>0</v>
      </c>
      <c r="N172" s="30">
        <f>ROUND('Смета ЕР (общ) '!$I172*'Смета ЕР (общ) '!$L172,2)</f>
        <v>0</v>
      </c>
      <c r="O172" s="30">
        <f>ROUND('Смета ЕР (общ) '!$I172*'Смета ЕР (общ) '!$M172,2)</f>
        <v>0</v>
      </c>
      <c r="P172" s="45"/>
    </row>
    <row r="173" spans="1:20" ht="14.4" hidden="1" x14ac:dyDescent="0.3">
      <c r="A173" s="26" t="s">
        <v>129</v>
      </c>
      <c r="B173" s="26">
        <v>4</v>
      </c>
      <c r="C173" s="26"/>
      <c r="D173" s="26">
        <v>10</v>
      </c>
      <c r="E173" s="26" t="str">
        <f>CONCATENATE('Смета ЕР (общ) '!$A173,".",'Смета ЕР (общ) '!$B173,".",'Смета ЕР (общ) '!$D173)</f>
        <v>Р2.4.10</v>
      </c>
      <c r="F173" s="26">
        <f t="shared" si="8"/>
        <v>1</v>
      </c>
      <c r="G173" s="27" t="s">
        <v>197</v>
      </c>
      <c r="H173" s="42" t="s">
        <v>40</v>
      </c>
      <c r="I173" s="158"/>
      <c r="J173" s="30">
        <v>2750</v>
      </c>
      <c r="K173" s="30">
        <v>0</v>
      </c>
      <c r="L173" s="30">
        <f t="shared" si="10"/>
        <v>2750</v>
      </c>
      <c r="M173" s="30">
        <f t="shared" si="10"/>
        <v>0</v>
      </c>
      <c r="N173" s="30">
        <f>ROUND('Смета ЕР (общ) '!$I173*'Смета ЕР (общ) '!$L173,2)</f>
        <v>0</v>
      </c>
      <c r="O173" s="30">
        <f>ROUND('Смета ЕР (общ) '!$I173*'Смета ЕР (общ) '!$M173,2)</f>
        <v>0</v>
      </c>
      <c r="P173" s="45"/>
    </row>
    <row r="174" spans="1:20" ht="14.4" hidden="1" x14ac:dyDescent="0.3">
      <c r="A174" s="37" t="s">
        <v>129</v>
      </c>
      <c r="B174" s="37">
        <v>5</v>
      </c>
      <c r="C174" s="37"/>
      <c r="D174" s="37">
        <v>0</v>
      </c>
      <c r="E174" s="37" t="str">
        <f>CONCATENATE('Смета ЕР (общ) '!$A174,".",'Смета ЕР (общ) '!$B174,".",'Смета ЕР (общ) '!$D174)</f>
        <v>Р2.5.0</v>
      </c>
      <c r="F174" s="37">
        <f t="shared" si="8"/>
        <v>1</v>
      </c>
      <c r="G174" s="38" t="s">
        <v>198</v>
      </c>
      <c r="H174" s="22"/>
      <c r="I174" s="23"/>
      <c r="J174" s="36"/>
      <c r="K174" s="36"/>
      <c r="L174" s="25"/>
      <c r="M174" s="25"/>
      <c r="N174" s="25">
        <f>SUM(N175:N183)</f>
        <v>0</v>
      </c>
      <c r="O174" s="25">
        <f>SUM(O175:O183)</f>
        <v>0</v>
      </c>
      <c r="P174" s="45"/>
      <c r="T174">
        <v>39.519999999999996</v>
      </c>
    </row>
    <row r="175" spans="1:20" ht="14.4" hidden="1" x14ac:dyDescent="0.3">
      <c r="A175" s="26" t="s">
        <v>129</v>
      </c>
      <c r="B175" s="26">
        <v>5</v>
      </c>
      <c r="C175" s="26"/>
      <c r="D175" s="26">
        <v>1</v>
      </c>
      <c r="E175" s="26" t="str">
        <f>CONCATENATE('Смета ЕР (общ) '!$A175,".",'Смета ЕР (общ) '!$B175,".",'Смета ЕР (общ) '!$D175)</f>
        <v>Р2.5.1</v>
      </c>
      <c r="F175" s="26">
        <f t="shared" si="8"/>
        <v>1</v>
      </c>
      <c r="G175" s="41" t="s">
        <v>199</v>
      </c>
      <c r="H175" s="42" t="s">
        <v>40</v>
      </c>
      <c r="I175" s="158"/>
      <c r="J175" s="30">
        <v>736.03</v>
      </c>
      <c r="K175" s="30">
        <v>0</v>
      </c>
      <c r="L175" s="30">
        <f t="shared" ref="L175:M183" si="11">ROUND(J175-J175*$Q$3,2)</f>
        <v>736.03</v>
      </c>
      <c r="M175" s="30">
        <f t="shared" si="11"/>
        <v>0</v>
      </c>
      <c r="N175" s="30">
        <f>ROUND('Смета ЕР (общ) '!$I175*'Смета ЕР (общ) '!$L175,2)</f>
        <v>0</v>
      </c>
      <c r="O175" s="30">
        <f>ROUND('Смета ЕР (общ) '!$I175*'Смета ЕР (общ) '!$M175,2)</f>
        <v>0</v>
      </c>
      <c r="P175" s="45"/>
      <c r="T175">
        <v>11.52</v>
      </c>
    </row>
    <row r="176" spans="1:20" ht="14.4" hidden="1" x14ac:dyDescent="0.3">
      <c r="A176" s="26" t="s">
        <v>129</v>
      </c>
      <c r="B176" s="26">
        <v>5</v>
      </c>
      <c r="C176" s="26"/>
      <c r="D176" s="26">
        <v>2</v>
      </c>
      <c r="E176" s="26" t="str">
        <f>CONCATENATE('Смета ЕР (общ) '!$A176,".",'Смета ЕР (общ) '!$B176,".",'Смета ЕР (общ) '!$D176)</f>
        <v>Р2.5.2</v>
      </c>
      <c r="F176" s="26">
        <f t="shared" si="8"/>
        <v>1</v>
      </c>
      <c r="G176" s="41" t="s">
        <v>200</v>
      </c>
      <c r="H176" s="42" t="s">
        <v>40</v>
      </c>
      <c r="I176" s="158"/>
      <c r="J176" s="30">
        <v>736.03</v>
      </c>
      <c r="K176" s="30">
        <v>0</v>
      </c>
      <c r="L176" s="30">
        <f t="shared" si="11"/>
        <v>736.03</v>
      </c>
      <c r="M176" s="30">
        <f t="shared" si="11"/>
        <v>0</v>
      </c>
      <c r="N176" s="30">
        <f>ROUND('Смета ЕР (общ) '!$I176*'Смета ЕР (общ) '!$L176,2)</f>
        <v>0</v>
      </c>
      <c r="O176" s="30">
        <f>ROUND('Смета ЕР (общ) '!$I176*'Смета ЕР (общ) '!$M176,2)</f>
        <v>0</v>
      </c>
      <c r="P176" s="45"/>
    </row>
    <row r="177" spans="1:20" ht="14.4" hidden="1" x14ac:dyDescent="0.3">
      <c r="A177" s="26" t="s">
        <v>129</v>
      </c>
      <c r="B177" s="26">
        <v>5</v>
      </c>
      <c r="C177" s="26"/>
      <c r="D177" s="26">
        <v>3</v>
      </c>
      <c r="E177" s="26" t="str">
        <f>CONCATENATE('Смета ЕР (общ) '!$A177,".",'Смета ЕР (общ) '!$B177,".",'Смета ЕР (общ) '!$D177)</f>
        <v>Р2.5.3</v>
      </c>
      <c r="F177" s="26">
        <f t="shared" si="8"/>
        <v>1</v>
      </c>
      <c r="G177" s="41" t="s">
        <v>201</v>
      </c>
      <c r="H177" s="28" t="s">
        <v>40</v>
      </c>
      <c r="I177" s="158"/>
      <c r="J177" s="30">
        <v>736.03</v>
      </c>
      <c r="K177" s="30">
        <v>0</v>
      </c>
      <c r="L177" s="30">
        <f t="shared" si="11"/>
        <v>736.03</v>
      </c>
      <c r="M177" s="30">
        <f t="shared" si="11"/>
        <v>0</v>
      </c>
      <c r="N177" s="30">
        <f>ROUND('Смета ЕР (общ) '!$I177*'Смета ЕР (общ) '!$L177,2)</f>
        <v>0</v>
      </c>
      <c r="O177" s="30">
        <f>ROUND('Смета ЕР (общ) '!$I177*'Смета ЕР (общ) '!$M177,2)</f>
        <v>0</v>
      </c>
      <c r="P177" s="45"/>
      <c r="T177">
        <v>28</v>
      </c>
    </row>
    <row r="178" spans="1:20" ht="14.4" hidden="1" x14ac:dyDescent="0.3">
      <c r="A178" s="26" t="s">
        <v>129</v>
      </c>
      <c r="B178" s="26">
        <v>5</v>
      </c>
      <c r="C178" s="26"/>
      <c r="D178" s="26">
        <v>4</v>
      </c>
      <c r="E178" s="26" t="str">
        <f>CONCATENATE('Смета ЕР (общ) '!$A178,".",'Смета ЕР (общ) '!$B178,".",'Смета ЕР (общ) '!$D178)</f>
        <v>Р2.5.4</v>
      </c>
      <c r="F178" s="26">
        <f t="shared" si="8"/>
        <v>1</v>
      </c>
      <c r="G178" s="27" t="s">
        <v>202</v>
      </c>
      <c r="H178" s="28" t="s">
        <v>40</v>
      </c>
      <c r="I178" s="158"/>
      <c r="J178" s="30">
        <v>1612.66</v>
      </c>
      <c r="K178" s="30">
        <v>0</v>
      </c>
      <c r="L178" s="30">
        <f t="shared" si="11"/>
        <v>1612.66</v>
      </c>
      <c r="M178" s="30">
        <f t="shared" si="11"/>
        <v>0</v>
      </c>
      <c r="N178" s="30">
        <f>ROUND('Смета ЕР (общ) '!$I178*'Смета ЕР (общ) '!$L178,2)</f>
        <v>0</v>
      </c>
      <c r="O178" s="30">
        <f>ROUND('Смета ЕР (общ) '!$I178*'Смета ЕР (общ) '!$M178,2)</f>
        <v>0</v>
      </c>
      <c r="P178" s="45"/>
    </row>
    <row r="179" spans="1:20" ht="14.4" hidden="1" x14ac:dyDescent="0.3">
      <c r="A179" s="26" t="s">
        <v>129</v>
      </c>
      <c r="B179" s="26">
        <v>5</v>
      </c>
      <c r="C179" s="26"/>
      <c r="D179" s="26">
        <v>5</v>
      </c>
      <c r="E179" s="26" t="str">
        <f>CONCATENATE('Смета ЕР (общ) '!$A179,".",'Смета ЕР (общ) '!$B179,".",'Смета ЕР (общ) '!$D179)</f>
        <v>Р2.5.5</v>
      </c>
      <c r="F179" s="26">
        <f t="shared" si="8"/>
        <v>1</v>
      </c>
      <c r="G179" s="41" t="s">
        <v>203</v>
      </c>
      <c r="H179" s="28" t="s">
        <v>147</v>
      </c>
      <c r="I179" s="158"/>
      <c r="J179" s="30">
        <v>261</v>
      </c>
      <c r="K179" s="30">
        <v>0</v>
      </c>
      <c r="L179" s="30">
        <f t="shared" si="11"/>
        <v>261</v>
      </c>
      <c r="M179" s="30">
        <f t="shared" si="11"/>
        <v>0</v>
      </c>
      <c r="N179" s="30">
        <f>ROUND('Смета ЕР (общ) '!$I179*'Смета ЕР (общ) '!$L179,2)</f>
        <v>0</v>
      </c>
      <c r="O179" s="30">
        <f>ROUND('Смета ЕР (общ) '!$I179*'Смета ЕР (общ) '!$M179,2)</f>
        <v>0</v>
      </c>
      <c r="P179" s="45"/>
    </row>
    <row r="180" spans="1:20" ht="14.4" hidden="1" x14ac:dyDescent="0.3">
      <c r="A180" s="26" t="s">
        <v>129</v>
      </c>
      <c r="B180" s="26">
        <v>5</v>
      </c>
      <c r="C180" s="26"/>
      <c r="D180" s="26">
        <v>6</v>
      </c>
      <c r="E180" s="26" t="str">
        <f>CONCATENATE('Смета ЕР (общ) '!$A180,".",'Смета ЕР (общ) '!$B180,".",'Смета ЕР (общ) '!$D180)</f>
        <v>Р2.5.6</v>
      </c>
      <c r="F180" s="26">
        <f t="shared" si="8"/>
        <v>1</v>
      </c>
      <c r="G180" s="41" t="s">
        <v>204</v>
      </c>
      <c r="H180" s="28" t="s">
        <v>147</v>
      </c>
      <c r="I180" s="158"/>
      <c r="J180" s="30">
        <v>261</v>
      </c>
      <c r="K180" s="30">
        <v>0</v>
      </c>
      <c r="L180" s="30">
        <f t="shared" si="11"/>
        <v>261</v>
      </c>
      <c r="M180" s="30">
        <f t="shared" si="11"/>
        <v>0</v>
      </c>
      <c r="N180" s="30">
        <f>ROUND('Смета ЕР (общ) '!$I180*'Смета ЕР (общ) '!$L180,2)</f>
        <v>0</v>
      </c>
      <c r="O180" s="30">
        <f>ROUND('Смета ЕР (общ) '!$I180*'Смета ЕР (общ) '!$M180,2)</f>
        <v>0</v>
      </c>
      <c r="P180" s="45"/>
    </row>
    <row r="181" spans="1:20" ht="14.4" hidden="1" x14ac:dyDescent="0.3">
      <c r="A181" s="26" t="s">
        <v>129</v>
      </c>
      <c r="B181" s="26">
        <v>5</v>
      </c>
      <c r="C181" s="26"/>
      <c r="D181" s="26">
        <v>7</v>
      </c>
      <c r="E181" s="26" t="str">
        <f>CONCATENATE('Смета ЕР (общ) '!$A181,".",'Смета ЕР (общ) '!$B181,".",'Смета ЕР (общ) '!$D181)</f>
        <v>Р2.5.7</v>
      </c>
      <c r="F181" s="26">
        <f t="shared" si="8"/>
        <v>1</v>
      </c>
      <c r="G181" s="41" t="s">
        <v>205</v>
      </c>
      <c r="H181" s="28" t="s">
        <v>147</v>
      </c>
      <c r="I181" s="158"/>
      <c r="J181" s="30">
        <v>689.04</v>
      </c>
      <c r="K181" s="30">
        <v>0</v>
      </c>
      <c r="L181" s="30">
        <f t="shared" si="11"/>
        <v>689.04</v>
      </c>
      <c r="M181" s="30">
        <f t="shared" si="11"/>
        <v>0</v>
      </c>
      <c r="N181" s="30">
        <f>ROUND('Смета ЕР (общ) '!$I181*'Смета ЕР (общ) '!$L181,2)</f>
        <v>0</v>
      </c>
      <c r="O181" s="30">
        <f>ROUND('Смета ЕР (общ) '!$I181*'Смета ЕР (общ) '!$M181,2)</f>
        <v>0</v>
      </c>
      <c r="P181" s="45"/>
    </row>
    <row r="182" spans="1:20" ht="14.4" hidden="1" x14ac:dyDescent="0.3">
      <c r="A182" s="26" t="s">
        <v>129</v>
      </c>
      <c r="B182" s="26">
        <v>5</v>
      </c>
      <c r="C182" s="26"/>
      <c r="D182" s="26">
        <v>8</v>
      </c>
      <c r="E182" s="26" t="str">
        <f>CONCATENATE('Смета ЕР (общ) '!$A182,".",'Смета ЕР (общ) '!$B182,".",'Смета ЕР (общ) '!$D182)</f>
        <v>Р2.5.8</v>
      </c>
      <c r="F182" s="26">
        <f t="shared" si="8"/>
        <v>1</v>
      </c>
      <c r="G182" s="27" t="s">
        <v>206</v>
      </c>
      <c r="H182" s="28" t="s">
        <v>147</v>
      </c>
      <c r="I182" s="158"/>
      <c r="J182" s="30">
        <v>111.79</v>
      </c>
      <c r="K182" s="30">
        <v>0</v>
      </c>
      <c r="L182" s="30">
        <f t="shared" si="11"/>
        <v>111.79</v>
      </c>
      <c r="M182" s="30">
        <f t="shared" si="11"/>
        <v>0</v>
      </c>
      <c r="N182" s="30">
        <f>ROUND('Смета ЕР (общ) '!$I182*'Смета ЕР (общ) '!$L182,2)</f>
        <v>0</v>
      </c>
      <c r="O182" s="30">
        <f>ROUND('Смета ЕР (общ) '!$I182*'Смета ЕР (общ) '!$M182,2)</f>
        <v>0</v>
      </c>
      <c r="P182" s="45"/>
    </row>
    <row r="183" spans="1:20" ht="14.4" hidden="1" x14ac:dyDescent="0.3">
      <c r="A183" s="26" t="s">
        <v>129</v>
      </c>
      <c r="B183" s="26">
        <v>5</v>
      </c>
      <c r="C183" s="26"/>
      <c r="D183" s="26">
        <v>9</v>
      </c>
      <c r="E183" s="26" t="str">
        <f>CONCATENATE('Смета ЕР (общ) '!$A183,".",'Смета ЕР (общ) '!$B183,".",'Смета ЕР (общ) '!$D183)</f>
        <v>Р2.5.9</v>
      </c>
      <c r="F183" s="26">
        <f t="shared" si="8"/>
        <v>1</v>
      </c>
      <c r="G183" s="27" t="s">
        <v>207</v>
      </c>
      <c r="H183" s="28" t="s">
        <v>40</v>
      </c>
      <c r="I183" s="158"/>
      <c r="J183" s="30">
        <v>130.5</v>
      </c>
      <c r="K183" s="30">
        <v>0</v>
      </c>
      <c r="L183" s="30">
        <f t="shared" si="11"/>
        <v>130.5</v>
      </c>
      <c r="M183" s="30">
        <f t="shared" si="11"/>
        <v>0</v>
      </c>
      <c r="N183" s="30">
        <f>ROUND('Смета ЕР (общ) '!$I183*'Смета ЕР (общ) '!$L183,2)</f>
        <v>0</v>
      </c>
      <c r="O183" s="30">
        <f>ROUND('Смета ЕР (общ) '!$I183*'Смета ЕР (общ) '!$M183,2)</f>
        <v>0</v>
      </c>
      <c r="P183" s="45"/>
    </row>
    <row r="184" spans="1:20" ht="14.4" hidden="1" x14ac:dyDescent="0.3">
      <c r="A184" s="37" t="s">
        <v>129</v>
      </c>
      <c r="B184" s="37">
        <v>6</v>
      </c>
      <c r="C184" s="37"/>
      <c r="D184" s="37">
        <v>0</v>
      </c>
      <c r="E184" s="37" t="str">
        <f>CONCATENATE('Смета ЕР (общ) '!$A184,".",'Смета ЕР (общ) '!$B184,".",'Смета ЕР (общ) '!$D184)</f>
        <v>Р2.6.0</v>
      </c>
      <c r="F184" s="37">
        <f t="shared" si="8"/>
        <v>1</v>
      </c>
      <c r="G184" s="38" t="s">
        <v>208</v>
      </c>
      <c r="H184" s="22"/>
      <c r="I184" s="23"/>
      <c r="J184" s="36"/>
      <c r="K184" s="36"/>
      <c r="L184" s="25"/>
      <c r="M184" s="25"/>
      <c r="N184" s="25">
        <f>SUM(N185:N189)</f>
        <v>0</v>
      </c>
      <c r="O184" s="25">
        <f>SUM(O185:O189)</f>
        <v>0</v>
      </c>
      <c r="P184" s="45"/>
      <c r="T184">
        <v>0</v>
      </c>
    </row>
    <row r="185" spans="1:20" ht="24" hidden="1" x14ac:dyDescent="0.3">
      <c r="A185" s="26" t="s">
        <v>129</v>
      </c>
      <c r="B185" s="26">
        <v>6</v>
      </c>
      <c r="C185" s="26"/>
      <c r="D185" s="26">
        <v>1</v>
      </c>
      <c r="E185" s="26" t="str">
        <f>CONCATENATE('Смета ЕР (общ) '!$A185,".",'Смета ЕР (общ) '!$B185,".",'Смета ЕР (общ) '!$D185)</f>
        <v>Р2.6.1</v>
      </c>
      <c r="F185" s="26">
        <f t="shared" si="8"/>
        <v>1</v>
      </c>
      <c r="G185" s="27" t="s">
        <v>209</v>
      </c>
      <c r="H185" s="28" t="s">
        <v>40</v>
      </c>
      <c r="I185" s="158"/>
      <c r="J185" s="30">
        <v>1460</v>
      </c>
      <c r="K185" s="30">
        <v>0</v>
      </c>
      <c r="L185" s="30">
        <f t="shared" ref="L185:M189" si="12">ROUND(J185-J185*$Q$3,2)</f>
        <v>1460</v>
      </c>
      <c r="M185" s="30">
        <f t="shared" si="12"/>
        <v>0</v>
      </c>
      <c r="N185" s="30">
        <f>ROUND('Смета ЕР (общ) '!$I185*'Смета ЕР (общ) '!$L185,2)</f>
        <v>0</v>
      </c>
      <c r="O185" s="30">
        <f>ROUND('Смета ЕР (общ) '!$I185*'Смета ЕР (общ) '!$M185,2)</f>
        <v>0</v>
      </c>
      <c r="P185" s="45"/>
    </row>
    <row r="186" spans="1:20" ht="24" hidden="1" x14ac:dyDescent="0.3">
      <c r="A186" s="26" t="s">
        <v>129</v>
      </c>
      <c r="B186" s="26">
        <v>6</v>
      </c>
      <c r="C186" s="26"/>
      <c r="D186" s="26">
        <v>2</v>
      </c>
      <c r="E186" s="26" t="str">
        <f>CONCATENATE('Смета ЕР (общ) '!$A186,".",'Смета ЕР (общ) '!$B186,".",'Смета ЕР (общ) '!$D186)</f>
        <v>Р2.6.2</v>
      </c>
      <c r="F186" s="26">
        <f t="shared" si="8"/>
        <v>1</v>
      </c>
      <c r="G186" s="27" t="s">
        <v>210</v>
      </c>
      <c r="H186" s="28" t="s">
        <v>40</v>
      </c>
      <c r="I186" s="158"/>
      <c r="J186" s="30">
        <v>422.78</v>
      </c>
      <c r="K186" s="30">
        <v>0</v>
      </c>
      <c r="L186" s="30">
        <f t="shared" si="12"/>
        <v>422.78</v>
      </c>
      <c r="M186" s="30">
        <f t="shared" si="12"/>
        <v>0</v>
      </c>
      <c r="N186" s="30">
        <f>ROUND('Смета ЕР (общ) '!$I186*'Смета ЕР (общ) '!$L186,2)</f>
        <v>0</v>
      </c>
      <c r="O186" s="30">
        <f>ROUND('Смета ЕР (общ) '!$I186*'Смета ЕР (общ) '!$M186,2)</f>
        <v>0</v>
      </c>
      <c r="P186" s="45"/>
    </row>
    <row r="187" spans="1:20" ht="14.4" hidden="1" x14ac:dyDescent="0.3">
      <c r="A187" s="26" t="s">
        <v>129</v>
      </c>
      <c r="B187" s="26">
        <v>6</v>
      </c>
      <c r="C187" s="26"/>
      <c r="D187" s="26">
        <v>3</v>
      </c>
      <c r="E187" s="26" t="str">
        <f>CONCATENATE('Смета ЕР (общ) '!$A187,".",'Смета ЕР (общ) '!$B187,".",'Смета ЕР (общ) '!$D187)</f>
        <v>Р2.6.3</v>
      </c>
      <c r="F187" s="26">
        <f t="shared" si="8"/>
        <v>1</v>
      </c>
      <c r="G187" s="27" t="s">
        <v>211</v>
      </c>
      <c r="H187" s="28" t="s">
        <v>40</v>
      </c>
      <c r="I187" s="158"/>
      <c r="J187" s="30">
        <v>1379.7</v>
      </c>
      <c r="K187" s="30">
        <v>0</v>
      </c>
      <c r="L187" s="30">
        <f t="shared" si="12"/>
        <v>1379.7</v>
      </c>
      <c r="M187" s="30">
        <f t="shared" si="12"/>
        <v>0</v>
      </c>
      <c r="N187" s="30">
        <f>ROUND('Смета ЕР (общ) '!$I187*'Смета ЕР (общ) '!$L187,2)</f>
        <v>0</v>
      </c>
      <c r="O187" s="30">
        <f>ROUND('Смета ЕР (общ) '!$I187*'Смета ЕР (общ) '!$M187,2)</f>
        <v>0</v>
      </c>
      <c r="P187" s="45"/>
    </row>
    <row r="188" spans="1:20" ht="14.4" hidden="1" x14ac:dyDescent="0.3">
      <c r="A188" s="26" t="s">
        <v>129</v>
      </c>
      <c r="B188" s="26">
        <v>6</v>
      </c>
      <c r="C188" s="26"/>
      <c r="D188" s="26">
        <v>4</v>
      </c>
      <c r="E188" s="26" t="str">
        <f>CONCATENATE('Смета ЕР (общ) '!$A188,".",'Смета ЕР (общ) '!$B188,".",'Смета ЕР (общ) '!$D188)</f>
        <v>Р2.6.4</v>
      </c>
      <c r="F188" s="26">
        <f t="shared" si="8"/>
        <v>1</v>
      </c>
      <c r="G188" s="27" t="s">
        <v>212</v>
      </c>
      <c r="H188" s="28" t="s">
        <v>144</v>
      </c>
      <c r="I188" s="158"/>
      <c r="J188" s="30">
        <v>1163.98</v>
      </c>
      <c r="K188" s="30">
        <v>0</v>
      </c>
      <c r="L188" s="30">
        <f t="shared" si="12"/>
        <v>1163.98</v>
      </c>
      <c r="M188" s="30">
        <f t="shared" si="12"/>
        <v>0</v>
      </c>
      <c r="N188" s="30">
        <f>ROUND('Смета ЕР (общ) '!$I188*'Смета ЕР (общ) '!$L188,2)</f>
        <v>0</v>
      </c>
      <c r="O188" s="30">
        <f>ROUND('Смета ЕР (общ) '!$I188*'Смета ЕР (общ) '!$M188,2)</f>
        <v>0</v>
      </c>
      <c r="P188" s="45"/>
    </row>
    <row r="189" spans="1:20" ht="14.4" hidden="1" x14ac:dyDescent="0.3">
      <c r="A189" s="26" t="s">
        <v>129</v>
      </c>
      <c r="B189" s="26">
        <v>6</v>
      </c>
      <c r="C189" s="26"/>
      <c r="D189" s="26">
        <v>5</v>
      </c>
      <c r="E189" s="26" t="str">
        <f>CONCATENATE('Смета ЕР (общ) '!$A189,".",'Смета ЕР (общ) '!$B189,".",'Смета ЕР (общ) '!$D189)</f>
        <v>Р2.6.5</v>
      </c>
      <c r="F189" s="26">
        <f t="shared" si="8"/>
        <v>1</v>
      </c>
      <c r="G189" s="27" t="s">
        <v>213</v>
      </c>
      <c r="H189" s="28" t="s">
        <v>147</v>
      </c>
      <c r="I189" s="158"/>
      <c r="J189" s="30">
        <v>209</v>
      </c>
      <c r="K189" s="30">
        <v>0</v>
      </c>
      <c r="L189" s="30">
        <f t="shared" si="12"/>
        <v>209</v>
      </c>
      <c r="M189" s="30">
        <f t="shared" si="12"/>
        <v>0</v>
      </c>
      <c r="N189" s="30">
        <f>ROUND('Смета ЕР (общ) '!$I189*'Смета ЕР (общ) '!$L189,2)</f>
        <v>0</v>
      </c>
      <c r="O189" s="30">
        <f>ROUND('Смета ЕР (общ) '!$I189*'Смета ЕР (общ) '!$M189,2)</f>
        <v>0</v>
      </c>
      <c r="P189" s="45"/>
    </row>
    <row r="190" spans="1:20" ht="14.4" hidden="1" x14ac:dyDescent="0.3">
      <c r="A190" s="37" t="s">
        <v>129</v>
      </c>
      <c r="B190" s="37">
        <v>7</v>
      </c>
      <c r="C190" s="37"/>
      <c r="D190" s="37">
        <v>0</v>
      </c>
      <c r="E190" s="37" t="str">
        <f>CONCATENATE('Смета ЕР (общ) '!$A190,".",'Смета ЕР (общ) '!$B190,".",'Смета ЕР (общ) '!$D190)</f>
        <v>Р2.7.0</v>
      </c>
      <c r="F190" s="37">
        <f t="shared" si="8"/>
        <v>1</v>
      </c>
      <c r="G190" s="38" t="s">
        <v>214</v>
      </c>
      <c r="H190" s="22"/>
      <c r="I190" s="23"/>
      <c r="J190" s="36"/>
      <c r="K190" s="36"/>
      <c r="L190" s="25"/>
      <c r="M190" s="25"/>
      <c r="N190" s="25">
        <f>SUM(N191:N204)</f>
        <v>0</v>
      </c>
      <c r="O190" s="25">
        <f>SUM(O191:O204)</f>
        <v>0</v>
      </c>
      <c r="P190" s="45"/>
      <c r="T190">
        <v>0</v>
      </c>
    </row>
    <row r="191" spans="1:20" ht="14.4" hidden="1" x14ac:dyDescent="0.3">
      <c r="A191" s="26" t="s">
        <v>129</v>
      </c>
      <c r="B191" s="26">
        <v>7</v>
      </c>
      <c r="C191" s="26"/>
      <c r="D191" s="26">
        <v>1</v>
      </c>
      <c r="E191" s="26" t="str">
        <f>CONCATENATE('Смета ЕР (общ) '!$A191,".",'Смета ЕР (общ) '!$B191,".",'Смета ЕР (общ) '!$D191)</f>
        <v>Р2.7.1</v>
      </c>
      <c r="F191" s="26">
        <f t="shared" si="8"/>
        <v>1</v>
      </c>
      <c r="G191" s="27" t="s">
        <v>215</v>
      </c>
      <c r="H191" s="28" t="s">
        <v>40</v>
      </c>
      <c r="I191" s="158"/>
      <c r="J191" s="30">
        <v>339.3</v>
      </c>
      <c r="K191" s="30">
        <v>0</v>
      </c>
      <c r="L191" s="30">
        <f t="shared" ref="L191:M204" si="13">ROUND(J191-J191*$Q$3,2)</f>
        <v>339.3</v>
      </c>
      <c r="M191" s="30">
        <f t="shared" si="13"/>
        <v>0</v>
      </c>
      <c r="N191" s="30">
        <f>ROUND('Смета ЕР (общ) '!$I191*'Смета ЕР (общ) '!$L191,2)</f>
        <v>0</v>
      </c>
      <c r="O191" s="30">
        <f>ROUND('Смета ЕР (общ) '!$I191*'Смета ЕР (общ) '!$M191,2)</f>
        <v>0</v>
      </c>
      <c r="P191" s="45"/>
    </row>
    <row r="192" spans="1:20" ht="14.4" hidden="1" x14ac:dyDescent="0.3">
      <c r="A192" s="26" t="s">
        <v>129</v>
      </c>
      <c r="B192" s="26">
        <v>7</v>
      </c>
      <c r="C192" s="26"/>
      <c r="D192" s="26">
        <v>2</v>
      </c>
      <c r="E192" s="26" t="str">
        <f>CONCATENATE('Смета ЕР (общ) '!$A192,".",'Смета ЕР (общ) '!$B192,".",'Смета ЕР (общ) '!$D192)</f>
        <v>Р2.7.2</v>
      </c>
      <c r="F192" s="26">
        <f t="shared" si="8"/>
        <v>1</v>
      </c>
      <c r="G192" s="27" t="s">
        <v>216</v>
      </c>
      <c r="H192" s="28" t="s">
        <v>40</v>
      </c>
      <c r="I192" s="158"/>
      <c r="J192" s="30">
        <v>882.18</v>
      </c>
      <c r="K192" s="30">
        <v>0</v>
      </c>
      <c r="L192" s="30">
        <f t="shared" si="13"/>
        <v>882.18</v>
      </c>
      <c r="M192" s="30">
        <f t="shared" si="13"/>
        <v>0</v>
      </c>
      <c r="N192" s="30">
        <f>ROUND('Смета ЕР (общ) '!$I192*'Смета ЕР (общ) '!$L192,2)</f>
        <v>0</v>
      </c>
      <c r="O192" s="30">
        <f>ROUND('Смета ЕР (общ) '!$I192*'Смета ЕР (общ) '!$M192,2)</f>
        <v>0</v>
      </c>
      <c r="P192" s="45"/>
    </row>
    <row r="193" spans="1:20" ht="14.4" hidden="1" x14ac:dyDescent="0.3">
      <c r="A193" s="26" t="s">
        <v>129</v>
      </c>
      <c r="B193" s="26">
        <v>7</v>
      </c>
      <c r="C193" s="26"/>
      <c r="D193" s="26">
        <v>3</v>
      </c>
      <c r="E193" s="26" t="str">
        <f>CONCATENATE('Смета ЕР (общ) '!$A193,".",'Смета ЕР (общ) '!$B193,".",'Смета ЕР (общ) '!$D193)</f>
        <v>Р2.7.3</v>
      </c>
      <c r="F193" s="26">
        <f t="shared" si="8"/>
        <v>1</v>
      </c>
      <c r="G193" s="27" t="s">
        <v>217</v>
      </c>
      <c r="H193" s="28" t="s">
        <v>40</v>
      </c>
      <c r="I193" s="158"/>
      <c r="J193" s="30">
        <v>7464.6</v>
      </c>
      <c r="K193" s="30">
        <v>0</v>
      </c>
      <c r="L193" s="30">
        <f t="shared" si="13"/>
        <v>7464.6</v>
      </c>
      <c r="M193" s="30">
        <f t="shared" si="13"/>
        <v>0</v>
      </c>
      <c r="N193" s="30">
        <f>ROUND('Смета ЕР (общ) '!$I193*'Смета ЕР (общ) '!$L193,2)</f>
        <v>0</v>
      </c>
      <c r="O193" s="30">
        <f>ROUND('Смета ЕР (общ) '!$I193*'Смета ЕР (общ) '!$M193,2)</f>
        <v>0</v>
      </c>
      <c r="P193" s="45"/>
    </row>
    <row r="194" spans="1:20" ht="14.4" hidden="1" x14ac:dyDescent="0.3">
      <c r="A194" s="26" t="s">
        <v>129</v>
      </c>
      <c r="B194" s="26">
        <v>7</v>
      </c>
      <c r="C194" s="26"/>
      <c r="D194" s="26">
        <v>4</v>
      </c>
      <c r="E194" s="26" t="str">
        <f>CONCATENATE('Смета ЕР (общ) '!$A194,".",'Смета ЕР (общ) '!$B194,".",'Смета ЕР (общ) '!$D194)</f>
        <v>Р2.7.4</v>
      </c>
      <c r="F194" s="26">
        <f t="shared" si="8"/>
        <v>1</v>
      </c>
      <c r="G194" s="27" t="s">
        <v>218</v>
      </c>
      <c r="H194" s="28" t="s">
        <v>144</v>
      </c>
      <c r="I194" s="158"/>
      <c r="J194" s="30">
        <v>3732.3</v>
      </c>
      <c r="K194" s="30">
        <v>0</v>
      </c>
      <c r="L194" s="30">
        <f t="shared" si="13"/>
        <v>3732.3</v>
      </c>
      <c r="M194" s="30">
        <f t="shared" si="13"/>
        <v>0</v>
      </c>
      <c r="N194" s="30">
        <f>ROUND('Смета ЕР (общ) '!$I194*'Смета ЕР (общ) '!$L194,2)</f>
        <v>0</v>
      </c>
      <c r="O194" s="30">
        <f>ROUND('Смета ЕР (общ) '!$I194*'Смета ЕР (общ) '!$M194,2)</f>
        <v>0</v>
      </c>
      <c r="P194" s="45"/>
    </row>
    <row r="195" spans="1:20" ht="14.4" hidden="1" x14ac:dyDescent="0.3">
      <c r="A195" s="26" t="s">
        <v>129</v>
      </c>
      <c r="B195" s="26">
        <v>7</v>
      </c>
      <c r="C195" s="26"/>
      <c r="D195" s="26">
        <v>5</v>
      </c>
      <c r="E195" s="26" t="str">
        <f>CONCATENATE('Смета ЕР (общ) '!$A195,".",'Смета ЕР (общ) '!$B195,".",'Смета ЕР (общ) '!$D195)</f>
        <v>Р2.7.5</v>
      </c>
      <c r="F195" s="26">
        <f t="shared" si="8"/>
        <v>1</v>
      </c>
      <c r="G195" s="27" t="s">
        <v>219</v>
      </c>
      <c r="H195" s="28" t="s">
        <v>147</v>
      </c>
      <c r="I195" s="158"/>
      <c r="J195" s="30">
        <v>916.11</v>
      </c>
      <c r="K195" s="30">
        <v>0</v>
      </c>
      <c r="L195" s="30">
        <f t="shared" si="13"/>
        <v>916.11</v>
      </c>
      <c r="M195" s="30">
        <f t="shared" si="13"/>
        <v>0</v>
      </c>
      <c r="N195" s="30">
        <f>ROUND('Смета ЕР (общ) '!$I195*'Смета ЕР (общ) '!$L195,2)</f>
        <v>0</v>
      </c>
      <c r="O195" s="30">
        <f>ROUND('Смета ЕР (общ) '!$I195*'Смета ЕР (общ) '!$M195,2)</f>
        <v>0</v>
      </c>
      <c r="P195" s="45"/>
    </row>
    <row r="196" spans="1:20" ht="14.4" hidden="1" x14ac:dyDescent="0.3">
      <c r="A196" s="26" t="s">
        <v>129</v>
      </c>
      <c r="B196" s="26">
        <v>7</v>
      </c>
      <c r="C196" s="26"/>
      <c r="D196" s="26">
        <v>6</v>
      </c>
      <c r="E196" s="26" t="str">
        <f>CONCATENATE('Смета ЕР (общ) '!$A196,".",'Смета ЕР (общ) '!$B196,".",'Смета ЕР (общ) '!$D196)</f>
        <v>Р2.7.6</v>
      </c>
      <c r="F196" s="26">
        <f t="shared" si="8"/>
        <v>1</v>
      </c>
      <c r="G196" s="27" t="s">
        <v>220</v>
      </c>
      <c r="H196" s="28" t="s">
        <v>147</v>
      </c>
      <c r="I196" s="158"/>
      <c r="J196" s="30">
        <v>610.74</v>
      </c>
      <c r="K196" s="30">
        <v>0</v>
      </c>
      <c r="L196" s="30">
        <f t="shared" si="13"/>
        <v>610.74</v>
      </c>
      <c r="M196" s="30">
        <f t="shared" si="13"/>
        <v>0</v>
      </c>
      <c r="N196" s="30">
        <f>ROUND('Смета ЕР (общ) '!$I196*'Смета ЕР (общ) '!$L196,2)</f>
        <v>0</v>
      </c>
      <c r="O196" s="30">
        <f>ROUND('Смета ЕР (общ) '!$I196*'Смета ЕР (общ) '!$M196,2)</f>
        <v>0</v>
      </c>
      <c r="P196" s="45"/>
    </row>
    <row r="197" spans="1:20" ht="14.4" hidden="1" x14ac:dyDescent="0.3">
      <c r="A197" s="26" t="s">
        <v>129</v>
      </c>
      <c r="B197" s="26">
        <v>7</v>
      </c>
      <c r="C197" s="26"/>
      <c r="D197" s="26">
        <v>7</v>
      </c>
      <c r="E197" s="26" t="str">
        <f>CONCATENATE('Смета ЕР (общ) '!$A197,".",'Смета ЕР (общ) '!$B197,".",'Смета ЕР (общ) '!$D197)</f>
        <v>Р2.7.7</v>
      </c>
      <c r="F197" s="26">
        <f t="shared" si="8"/>
        <v>1</v>
      </c>
      <c r="G197" s="27" t="s">
        <v>221</v>
      </c>
      <c r="H197" s="28" t="s">
        <v>40</v>
      </c>
      <c r="I197" s="158"/>
      <c r="J197" s="30">
        <v>780.39</v>
      </c>
      <c r="K197" s="30">
        <v>0</v>
      </c>
      <c r="L197" s="30">
        <f t="shared" si="13"/>
        <v>780.39</v>
      </c>
      <c r="M197" s="30">
        <f t="shared" si="13"/>
        <v>0</v>
      </c>
      <c r="N197" s="30">
        <f>ROUND('Смета ЕР (общ) '!$I197*'Смета ЕР (общ) '!$L197,2)</f>
        <v>0</v>
      </c>
      <c r="O197" s="30">
        <f>ROUND('Смета ЕР (общ) '!$I197*'Смета ЕР (общ) '!$M197,2)</f>
        <v>0</v>
      </c>
      <c r="P197" s="45"/>
    </row>
    <row r="198" spans="1:20" ht="24" hidden="1" x14ac:dyDescent="0.3">
      <c r="A198" s="26" t="s">
        <v>129</v>
      </c>
      <c r="B198" s="26">
        <v>7</v>
      </c>
      <c r="C198" s="26"/>
      <c r="D198" s="26">
        <v>8</v>
      </c>
      <c r="E198" s="26" t="str">
        <f>CONCATENATE('Смета ЕР (общ) '!$A198,".",'Смета ЕР (общ) '!$B198,".",'Смета ЕР (общ) '!$D198)</f>
        <v>Р2.7.8</v>
      </c>
      <c r="F198" s="26">
        <f t="shared" si="8"/>
        <v>1</v>
      </c>
      <c r="G198" s="27" t="s">
        <v>222</v>
      </c>
      <c r="H198" s="28" t="s">
        <v>40</v>
      </c>
      <c r="I198" s="158"/>
      <c r="J198" s="30">
        <v>433.22</v>
      </c>
      <c r="K198" s="30">
        <v>0</v>
      </c>
      <c r="L198" s="30">
        <f t="shared" si="13"/>
        <v>433.22</v>
      </c>
      <c r="M198" s="30">
        <f t="shared" si="13"/>
        <v>0</v>
      </c>
      <c r="N198" s="30">
        <f>ROUND('Смета ЕР (общ) '!$I198*'Смета ЕР (общ) '!$L198,2)</f>
        <v>0</v>
      </c>
      <c r="O198" s="30">
        <f>ROUND('Смета ЕР (общ) '!$I198*'Смета ЕР (общ) '!$M198,2)</f>
        <v>0</v>
      </c>
      <c r="P198" s="45"/>
    </row>
    <row r="199" spans="1:20" ht="14.4" hidden="1" x14ac:dyDescent="0.3">
      <c r="A199" s="26" t="s">
        <v>129</v>
      </c>
      <c r="B199" s="26">
        <v>7</v>
      </c>
      <c r="C199" s="26"/>
      <c r="D199" s="26">
        <v>9</v>
      </c>
      <c r="E199" s="26" t="str">
        <f>CONCATENATE('Смета ЕР (общ) '!$A199,".",'Смета ЕР (общ) '!$B199,".",'Смета ЕР (общ) '!$D199)</f>
        <v>Р2.7.9</v>
      </c>
      <c r="F199" s="26">
        <f t="shared" si="8"/>
        <v>1</v>
      </c>
      <c r="G199" s="27" t="s">
        <v>223</v>
      </c>
      <c r="H199" s="28" t="s">
        <v>40</v>
      </c>
      <c r="I199" s="158"/>
      <c r="J199" s="30">
        <v>470.25</v>
      </c>
      <c r="K199" s="30">
        <v>0</v>
      </c>
      <c r="L199" s="30">
        <f t="shared" si="13"/>
        <v>470.25</v>
      </c>
      <c r="M199" s="30">
        <f t="shared" si="13"/>
        <v>0</v>
      </c>
      <c r="N199" s="30">
        <f>ROUND('Смета ЕР (общ) '!$I199*'Смета ЕР (общ) '!$L199,2)</f>
        <v>0</v>
      </c>
      <c r="O199" s="30">
        <f>ROUND('Смета ЕР (общ) '!$I199*'Смета ЕР (общ) '!$M199,2)</f>
        <v>0</v>
      </c>
      <c r="P199" s="45"/>
    </row>
    <row r="200" spans="1:20" ht="14.4" hidden="1" x14ac:dyDescent="0.3">
      <c r="A200" s="26" t="s">
        <v>129</v>
      </c>
      <c r="B200" s="26">
        <v>7</v>
      </c>
      <c r="C200" s="26"/>
      <c r="D200" s="26">
        <v>10</v>
      </c>
      <c r="E200" s="26" t="str">
        <f>CONCATENATE('Смета ЕР (общ) '!$A200,".",'Смета ЕР (общ) '!$B200,".",'Смета ЕР (общ) '!$D200)</f>
        <v>Р2.7.10</v>
      </c>
      <c r="F200" s="26">
        <f t="shared" si="8"/>
        <v>1</v>
      </c>
      <c r="G200" s="27" t="s">
        <v>224</v>
      </c>
      <c r="H200" s="28" t="s">
        <v>147</v>
      </c>
      <c r="I200" s="158"/>
      <c r="J200" s="30">
        <v>434.96</v>
      </c>
      <c r="K200" s="30">
        <v>0</v>
      </c>
      <c r="L200" s="30">
        <f t="shared" si="13"/>
        <v>434.96</v>
      </c>
      <c r="M200" s="30">
        <f t="shared" si="13"/>
        <v>0</v>
      </c>
      <c r="N200" s="30">
        <f>ROUND('Смета ЕР (общ) '!$I200*'Смета ЕР (общ) '!$L200,2)</f>
        <v>0</v>
      </c>
      <c r="O200" s="30">
        <f>ROUND('Смета ЕР (общ) '!$I200*'Смета ЕР (общ) '!$M200,2)</f>
        <v>0</v>
      </c>
      <c r="P200" s="45"/>
    </row>
    <row r="201" spans="1:20" ht="24" hidden="1" x14ac:dyDescent="0.3">
      <c r="A201" s="26" t="s">
        <v>129</v>
      </c>
      <c r="B201" s="26">
        <v>7</v>
      </c>
      <c r="C201" s="26"/>
      <c r="D201" s="26">
        <v>11</v>
      </c>
      <c r="E201" s="26" t="str">
        <f>CONCATENATE('Смета ЕР (общ) '!$A201,".",'Смета ЕР (общ) '!$B201,".",'Смета ЕР (общ) '!$D201)</f>
        <v>Р2.7.11</v>
      </c>
      <c r="F201" s="26">
        <f t="shared" si="8"/>
        <v>1</v>
      </c>
      <c r="G201" s="41" t="s">
        <v>225</v>
      </c>
      <c r="H201" s="28" t="s">
        <v>40</v>
      </c>
      <c r="I201" s="158"/>
      <c r="J201" s="30">
        <v>627</v>
      </c>
      <c r="K201" s="30">
        <v>0</v>
      </c>
      <c r="L201" s="30">
        <f t="shared" si="13"/>
        <v>627</v>
      </c>
      <c r="M201" s="30">
        <f t="shared" si="13"/>
        <v>0</v>
      </c>
      <c r="N201" s="30">
        <f>ROUND('Смета ЕР (общ) '!$I201*'Смета ЕР (общ) '!$L201,2)</f>
        <v>0</v>
      </c>
      <c r="O201" s="30">
        <f>ROUND('Смета ЕР (общ) '!$I201*'Смета ЕР (общ) '!$M201,2)</f>
        <v>0</v>
      </c>
      <c r="P201" s="45"/>
    </row>
    <row r="202" spans="1:20" ht="14.4" hidden="1" x14ac:dyDescent="0.3">
      <c r="A202" s="26" t="s">
        <v>129</v>
      </c>
      <c r="B202" s="26">
        <v>7</v>
      </c>
      <c r="C202" s="26"/>
      <c r="D202" s="26">
        <v>12</v>
      </c>
      <c r="E202" s="26" t="str">
        <f>CONCATENATE('Смета ЕР (общ) '!$A202,".",'Смета ЕР (общ) '!$B202,".",'Смета ЕР (общ) '!$D202)</f>
        <v>Р2.7.12</v>
      </c>
      <c r="F202" s="26">
        <f t="shared" si="8"/>
        <v>1</v>
      </c>
      <c r="G202" s="27" t="s">
        <v>226</v>
      </c>
      <c r="H202" s="28" t="s">
        <v>40</v>
      </c>
      <c r="I202" s="158"/>
      <c r="J202" s="30">
        <v>475.02</v>
      </c>
      <c r="K202" s="30">
        <v>0</v>
      </c>
      <c r="L202" s="30">
        <f t="shared" si="13"/>
        <v>475.02</v>
      </c>
      <c r="M202" s="30">
        <f t="shared" si="13"/>
        <v>0</v>
      </c>
      <c r="N202" s="30">
        <f>ROUND('Смета ЕР (общ) '!$I202*'Смета ЕР (общ) '!$L202,2)</f>
        <v>0</v>
      </c>
      <c r="O202" s="30">
        <f>ROUND('Смета ЕР (общ) '!$I202*'Смета ЕР (общ) '!$M202,2)</f>
        <v>0</v>
      </c>
      <c r="P202" s="45"/>
    </row>
    <row r="203" spans="1:20" ht="14.4" hidden="1" x14ac:dyDescent="0.3">
      <c r="A203" s="26" t="s">
        <v>129</v>
      </c>
      <c r="B203" s="26">
        <v>7</v>
      </c>
      <c r="C203" s="26"/>
      <c r="D203" s="26">
        <v>13</v>
      </c>
      <c r="E203" s="26" t="str">
        <f>CONCATENATE('Смета ЕР (общ) '!$A203,".",'Смета ЕР (общ) '!$B203,".",'Смета ЕР (общ) '!$D203)</f>
        <v>Р2.7.13</v>
      </c>
      <c r="F203" s="26">
        <f t="shared" si="8"/>
        <v>1</v>
      </c>
      <c r="G203" s="27" t="s">
        <v>227</v>
      </c>
      <c r="H203" s="28" t="s">
        <v>40</v>
      </c>
      <c r="I203" s="158"/>
      <c r="J203" s="30">
        <v>373.23</v>
      </c>
      <c r="K203" s="30">
        <v>0</v>
      </c>
      <c r="L203" s="30">
        <f t="shared" si="13"/>
        <v>373.23</v>
      </c>
      <c r="M203" s="30">
        <f t="shared" si="13"/>
        <v>0</v>
      </c>
      <c r="N203" s="30">
        <f>ROUND('Смета ЕР (общ) '!$I203*'Смета ЕР (общ) '!$L203,2)</f>
        <v>0</v>
      </c>
      <c r="O203" s="30">
        <f>ROUND('Смета ЕР (общ) '!$I203*'Смета ЕР (общ) '!$M203,2)</f>
        <v>0</v>
      </c>
      <c r="P203" s="45"/>
    </row>
    <row r="204" spans="1:20" ht="14.4" hidden="1" x14ac:dyDescent="0.3">
      <c r="A204" s="26" t="s">
        <v>129</v>
      </c>
      <c r="B204" s="26">
        <v>7</v>
      </c>
      <c r="C204" s="26"/>
      <c r="D204" s="26">
        <v>14</v>
      </c>
      <c r="E204" s="26" t="str">
        <f>CONCATENATE('Смета ЕР (общ) '!$A204,".",'Смета ЕР (общ) '!$B204,".",'Смета ЕР (общ) '!$D204)</f>
        <v>Р2.7.14</v>
      </c>
      <c r="F204" s="26">
        <f t="shared" si="8"/>
        <v>1</v>
      </c>
      <c r="G204" s="27" t="s">
        <v>228</v>
      </c>
      <c r="H204" s="28" t="s">
        <v>229</v>
      </c>
      <c r="I204" s="158"/>
      <c r="J204" s="30">
        <v>6786</v>
      </c>
      <c r="K204" s="30">
        <v>0</v>
      </c>
      <c r="L204" s="30">
        <f t="shared" si="13"/>
        <v>6786</v>
      </c>
      <c r="M204" s="30">
        <f t="shared" si="13"/>
        <v>0</v>
      </c>
      <c r="N204" s="30">
        <f>ROUND('Смета ЕР (общ) '!$I204*'Смета ЕР (общ) '!$L204,2)</f>
        <v>0</v>
      </c>
      <c r="O204" s="30">
        <f>ROUND('Смета ЕР (общ) '!$I204*'Смета ЕР (общ) '!$M204,2)</f>
        <v>0</v>
      </c>
      <c r="P204" s="45"/>
    </row>
    <row r="205" spans="1:20" ht="14.4" hidden="1" x14ac:dyDescent="0.3">
      <c r="A205" s="37" t="s">
        <v>129</v>
      </c>
      <c r="B205" s="37">
        <v>8</v>
      </c>
      <c r="C205" s="37"/>
      <c r="D205" s="37">
        <v>0</v>
      </c>
      <c r="E205" s="37" t="str">
        <f>CONCATENATE('Смета ЕР (общ) '!$A205,".",'Смета ЕР (общ) '!$B205,".",'Смета ЕР (общ) '!$D205)</f>
        <v>Р2.8.0</v>
      </c>
      <c r="F205" s="37">
        <f t="shared" si="8"/>
        <v>1</v>
      </c>
      <c r="G205" s="38" t="s">
        <v>230</v>
      </c>
      <c r="H205" s="22"/>
      <c r="I205" s="23"/>
      <c r="J205" s="36"/>
      <c r="K205" s="36"/>
      <c r="L205" s="25"/>
      <c r="M205" s="25"/>
      <c r="N205" s="25">
        <f>SUM(N206:N214)</f>
        <v>0</v>
      </c>
      <c r="O205" s="25">
        <f>SUM(O206:O214)</f>
        <v>0</v>
      </c>
      <c r="P205" s="45"/>
      <c r="T205">
        <v>0</v>
      </c>
    </row>
    <row r="206" spans="1:20" ht="48" hidden="1" x14ac:dyDescent="0.3">
      <c r="A206" s="26" t="s">
        <v>129</v>
      </c>
      <c r="B206" s="26">
        <v>8</v>
      </c>
      <c r="C206" s="26"/>
      <c r="D206" s="26">
        <v>1</v>
      </c>
      <c r="E206" s="26" t="str">
        <f>CONCATENATE('Смета ЕР (общ) '!$A206,".",'Смета ЕР (общ) '!$B206,".",'Смета ЕР (общ) '!$D206)</f>
        <v>Р2.8.1</v>
      </c>
      <c r="F206" s="26">
        <f t="shared" si="8"/>
        <v>1</v>
      </c>
      <c r="G206" s="27" t="s">
        <v>231</v>
      </c>
      <c r="H206" s="28" t="s">
        <v>125</v>
      </c>
      <c r="I206" s="158"/>
      <c r="J206" s="30">
        <v>86.13</v>
      </c>
      <c r="K206" s="30">
        <v>0</v>
      </c>
      <c r="L206" s="30">
        <f t="shared" ref="L206:M214" si="14">ROUND(J206-J206*$Q$3,2)</f>
        <v>86.13</v>
      </c>
      <c r="M206" s="30">
        <f t="shared" si="14"/>
        <v>0</v>
      </c>
      <c r="N206" s="30">
        <f>ROUND('Смета ЕР (общ) '!$I206*'Смета ЕР (общ) '!$L206,2)</f>
        <v>0</v>
      </c>
      <c r="O206" s="30">
        <f>ROUND('Смета ЕР (общ) '!$I206*'Смета ЕР (общ) '!$M206,2)</f>
        <v>0</v>
      </c>
      <c r="P206" s="45"/>
    </row>
    <row r="207" spans="1:20" ht="36" hidden="1" x14ac:dyDescent="0.3">
      <c r="A207" s="26" t="s">
        <v>129</v>
      </c>
      <c r="B207" s="26">
        <v>8</v>
      </c>
      <c r="C207" s="26"/>
      <c r="D207" s="26">
        <v>2</v>
      </c>
      <c r="E207" s="26" t="str">
        <f>CONCATENATE('Смета ЕР (общ) '!$A207,".",'Смета ЕР (общ) '!$B207,".",'Смета ЕР (общ) '!$D207)</f>
        <v>Р2.8.2</v>
      </c>
      <c r="F207" s="26">
        <f t="shared" si="8"/>
        <v>1</v>
      </c>
      <c r="G207" s="27" t="s">
        <v>232</v>
      </c>
      <c r="H207" s="28" t="s">
        <v>125</v>
      </c>
      <c r="I207" s="158"/>
      <c r="J207" s="30">
        <v>92.39</v>
      </c>
      <c r="K207" s="30">
        <v>0</v>
      </c>
      <c r="L207" s="30">
        <f t="shared" si="14"/>
        <v>92.39</v>
      </c>
      <c r="M207" s="30">
        <f t="shared" si="14"/>
        <v>0</v>
      </c>
      <c r="N207" s="30">
        <f>ROUND('Смета ЕР (общ) '!$I207*'Смета ЕР (общ) '!$L207,2)</f>
        <v>0</v>
      </c>
      <c r="O207" s="30">
        <f>ROUND('Смета ЕР (общ) '!$I207*'Смета ЕР (общ) '!$M207,2)</f>
        <v>0</v>
      </c>
      <c r="P207" s="45"/>
    </row>
    <row r="208" spans="1:20" ht="14.4" hidden="1" x14ac:dyDescent="0.3">
      <c r="A208" s="26" t="s">
        <v>129</v>
      </c>
      <c r="B208" s="26">
        <v>8</v>
      </c>
      <c r="C208" s="26"/>
      <c r="D208" s="26">
        <v>3</v>
      </c>
      <c r="E208" s="26" t="str">
        <f>CONCATENATE('Смета ЕР (общ) '!$A208,".",'Смета ЕР (общ) '!$B208,".",'Смета ЕР (общ) '!$D208)</f>
        <v>Р2.8.3</v>
      </c>
      <c r="F208" s="26">
        <f t="shared" si="8"/>
        <v>1</v>
      </c>
      <c r="G208" s="27" t="s">
        <v>233</v>
      </c>
      <c r="H208" s="28" t="s">
        <v>118</v>
      </c>
      <c r="I208" s="158"/>
      <c r="J208" s="30">
        <v>191.4</v>
      </c>
      <c r="K208" s="30">
        <v>0</v>
      </c>
      <c r="L208" s="30">
        <f t="shared" si="14"/>
        <v>191.4</v>
      </c>
      <c r="M208" s="30">
        <f t="shared" si="14"/>
        <v>0</v>
      </c>
      <c r="N208" s="30">
        <f>ROUND('Смета ЕР (общ) '!$I208*'Смета ЕР (общ) '!$L208,2)</f>
        <v>0</v>
      </c>
      <c r="O208" s="30">
        <f>ROUND('Смета ЕР (общ) '!$I208*'Смета ЕР (общ) '!$M208,2)</f>
        <v>0</v>
      </c>
      <c r="P208" s="45"/>
    </row>
    <row r="209" spans="1:20" ht="14.4" hidden="1" x14ac:dyDescent="0.3">
      <c r="A209" s="26" t="s">
        <v>129</v>
      </c>
      <c r="B209" s="26">
        <v>8</v>
      </c>
      <c r="C209" s="26"/>
      <c r="D209" s="26">
        <v>4</v>
      </c>
      <c r="E209" s="26" t="str">
        <f>CONCATENATE('Смета ЕР (общ) '!$A209,".",'Смета ЕР (общ) '!$B209,".",'Смета ЕР (общ) '!$D209)</f>
        <v>Р2.8.4</v>
      </c>
      <c r="F209" s="26">
        <f t="shared" ref="F209:F272" si="15">IF(I209&gt;0,F208+1,F208)</f>
        <v>1</v>
      </c>
      <c r="G209" s="27" t="s">
        <v>234</v>
      </c>
      <c r="H209" s="28" t="s">
        <v>118</v>
      </c>
      <c r="I209" s="158"/>
      <c r="J209" s="30">
        <v>431.61</v>
      </c>
      <c r="K209" s="30">
        <v>0</v>
      </c>
      <c r="L209" s="30">
        <f t="shared" si="14"/>
        <v>431.61</v>
      </c>
      <c r="M209" s="30">
        <f t="shared" si="14"/>
        <v>0</v>
      </c>
      <c r="N209" s="30">
        <f>ROUND('Смета ЕР (общ) '!$I209*'Смета ЕР (общ) '!$L209,2)</f>
        <v>0</v>
      </c>
      <c r="O209" s="30">
        <f>ROUND('Смета ЕР (общ) '!$I209*'Смета ЕР (общ) '!$M209,2)</f>
        <v>0</v>
      </c>
      <c r="P209" s="45"/>
    </row>
    <row r="210" spans="1:20" ht="14.4" hidden="1" x14ac:dyDescent="0.3">
      <c r="A210" s="26" t="s">
        <v>129</v>
      </c>
      <c r="B210" s="26">
        <v>8</v>
      </c>
      <c r="C210" s="26"/>
      <c r="D210" s="26">
        <v>5</v>
      </c>
      <c r="E210" s="26" t="str">
        <f>CONCATENATE('Смета ЕР (общ) '!$A210,".",'Смета ЕР (общ) '!$B210,".",'Смета ЕР (общ) '!$D210)</f>
        <v>Р2.8.5</v>
      </c>
      <c r="F210" s="26">
        <f t="shared" si="15"/>
        <v>1</v>
      </c>
      <c r="G210" s="27" t="s">
        <v>235</v>
      </c>
      <c r="H210" s="28" t="s">
        <v>118</v>
      </c>
      <c r="I210" s="158"/>
      <c r="J210" s="30">
        <v>2200</v>
      </c>
      <c r="K210" s="30">
        <v>0</v>
      </c>
      <c r="L210" s="30">
        <f t="shared" si="14"/>
        <v>2200</v>
      </c>
      <c r="M210" s="30">
        <f t="shared" si="14"/>
        <v>0</v>
      </c>
      <c r="N210" s="30">
        <f>ROUND('Смета ЕР (общ) '!$I210*'Смета ЕР (общ) '!$L210,2)</f>
        <v>0</v>
      </c>
      <c r="O210" s="30">
        <f>ROUND('Смета ЕР (общ) '!$I210*'Смета ЕР (общ) '!$M210,2)</f>
        <v>0</v>
      </c>
      <c r="P210" s="45"/>
    </row>
    <row r="211" spans="1:20" ht="14.4" hidden="1" x14ac:dyDescent="0.3">
      <c r="A211" s="26" t="s">
        <v>129</v>
      </c>
      <c r="B211" s="26">
        <v>8</v>
      </c>
      <c r="C211" s="26"/>
      <c r="D211" s="26">
        <v>6</v>
      </c>
      <c r="E211" s="26" t="str">
        <f>CONCATENATE('Смета ЕР (общ) '!$A211,".",'Смета ЕР (общ) '!$B211,".",'Смета ЕР (общ) '!$D211)</f>
        <v>Р2.8.6</v>
      </c>
      <c r="F211" s="26">
        <f t="shared" si="15"/>
        <v>1</v>
      </c>
      <c r="G211" s="27" t="s">
        <v>236</v>
      </c>
      <c r="H211" s="28" t="s">
        <v>118</v>
      </c>
      <c r="I211" s="158"/>
      <c r="J211" s="30">
        <v>5225</v>
      </c>
      <c r="K211" s="30">
        <v>0</v>
      </c>
      <c r="L211" s="30">
        <f t="shared" si="14"/>
        <v>5225</v>
      </c>
      <c r="M211" s="30">
        <f t="shared" si="14"/>
        <v>0</v>
      </c>
      <c r="N211" s="30">
        <f>ROUND('Смета ЕР (общ) '!$I211*'Смета ЕР (общ) '!$L211,2)</f>
        <v>0</v>
      </c>
      <c r="O211" s="30">
        <f>ROUND('Смета ЕР (общ) '!$I211*'Смета ЕР (общ) '!$M211,2)</f>
        <v>0</v>
      </c>
      <c r="P211" s="45"/>
    </row>
    <row r="212" spans="1:20" ht="14.4" hidden="1" x14ac:dyDescent="0.3">
      <c r="A212" s="26" t="s">
        <v>129</v>
      </c>
      <c r="B212" s="26">
        <v>8</v>
      </c>
      <c r="C212" s="26"/>
      <c r="D212" s="26">
        <v>7</v>
      </c>
      <c r="E212" s="26" t="str">
        <f>CONCATENATE('Смета ЕР (общ) '!$A212,".",'Смета ЕР (общ) '!$B212,".",'Смета ЕР (общ) '!$D212)</f>
        <v>Р2.8.7</v>
      </c>
      <c r="F212" s="26">
        <f t="shared" si="15"/>
        <v>1</v>
      </c>
      <c r="G212" s="27" t="s">
        <v>237</v>
      </c>
      <c r="H212" s="28" t="s">
        <v>147</v>
      </c>
      <c r="I212" s="158"/>
      <c r="J212" s="30">
        <v>435.41</v>
      </c>
      <c r="K212" s="30">
        <v>0</v>
      </c>
      <c r="L212" s="30">
        <f t="shared" si="14"/>
        <v>435.41</v>
      </c>
      <c r="M212" s="30">
        <f t="shared" si="14"/>
        <v>0</v>
      </c>
      <c r="N212" s="30">
        <f>ROUND('Смета ЕР (общ) '!$I212*'Смета ЕР (общ) '!$L212,2)</f>
        <v>0</v>
      </c>
      <c r="O212" s="30">
        <f>ROUND('Смета ЕР (общ) '!$I212*'Смета ЕР (общ) '!$M212,2)</f>
        <v>0</v>
      </c>
      <c r="P212" s="45"/>
    </row>
    <row r="213" spans="1:20" ht="14.4" hidden="1" x14ac:dyDescent="0.3">
      <c r="A213" s="26" t="s">
        <v>129</v>
      </c>
      <c r="B213" s="26">
        <v>8</v>
      </c>
      <c r="C213" s="26"/>
      <c r="D213" s="26">
        <v>8</v>
      </c>
      <c r="E213" s="26" t="str">
        <f>CONCATENATE('Смета ЕР (общ) '!$A213,".",'Смета ЕР (общ) '!$B213,".",'Смета ЕР (общ) '!$D213)</f>
        <v>Р2.8.8</v>
      </c>
      <c r="F213" s="26">
        <f t="shared" si="15"/>
        <v>1</v>
      </c>
      <c r="G213" s="27" t="s">
        <v>238</v>
      </c>
      <c r="H213" s="28" t="s">
        <v>118</v>
      </c>
      <c r="I213" s="158"/>
      <c r="J213" s="30">
        <v>1045</v>
      </c>
      <c r="K213" s="30">
        <v>0</v>
      </c>
      <c r="L213" s="30">
        <f t="shared" si="14"/>
        <v>1045</v>
      </c>
      <c r="M213" s="30">
        <f t="shared" si="14"/>
        <v>0</v>
      </c>
      <c r="N213" s="30">
        <f>ROUND('Смета ЕР (общ) '!$I213*'Смета ЕР (общ) '!$L213,2)</f>
        <v>0</v>
      </c>
      <c r="O213" s="30">
        <f>ROUND('Смета ЕР (общ) '!$I213*'Смета ЕР (общ) '!$M213,2)</f>
        <v>0</v>
      </c>
      <c r="P213" s="45"/>
    </row>
    <row r="214" spans="1:20" ht="14.4" hidden="1" x14ac:dyDescent="0.3">
      <c r="A214" s="26" t="s">
        <v>129</v>
      </c>
      <c r="B214" s="26">
        <v>8</v>
      </c>
      <c r="C214" s="26"/>
      <c r="D214" s="26">
        <v>9</v>
      </c>
      <c r="E214" s="26" t="str">
        <f>CONCATENATE('Смета ЕР (общ) '!$A214,".",'Смета ЕР (общ) '!$B214,".",'Смета ЕР (общ) '!$D214)</f>
        <v>Р2.8.9</v>
      </c>
      <c r="F214" s="26">
        <f t="shared" si="15"/>
        <v>1</v>
      </c>
      <c r="G214" s="27" t="s">
        <v>239</v>
      </c>
      <c r="H214" s="28" t="s">
        <v>147</v>
      </c>
      <c r="I214" s="158"/>
      <c r="J214" s="30">
        <v>255.07</v>
      </c>
      <c r="K214" s="30">
        <v>0</v>
      </c>
      <c r="L214" s="30">
        <f t="shared" si="14"/>
        <v>255.07</v>
      </c>
      <c r="M214" s="30">
        <f t="shared" si="14"/>
        <v>0</v>
      </c>
      <c r="N214" s="30">
        <f>ROUND('Смета ЕР (общ) '!$I214*'Смета ЕР (общ) '!$L214,2)</f>
        <v>0</v>
      </c>
      <c r="O214" s="30">
        <f>ROUND('Смета ЕР (общ) '!$I214*'Смета ЕР (общ) '!$M214,2)</f>
        <v>0</v>
      </c>
      <c r="P214" s="45"/>
    </row>
    <row r="215" spans="1:20" ht="14.4" hidden="1" x14ac:dyDescent="0.3">
      <c r="A215" s="37" t="s">
        <v>129</v>
      </c>
      <c r="B215" s="37">
        <v>9</v>
      </c>
      <c r="C215" s="37"/>
      <c r="D215" s="37">
        <v>0</v>
      </c>
      <c r="E215" s="37" t="str">
        <f>CONCATENATE('Смета ЕР (общ) '!$A215,".",'Смета ЕР (общ) '!$B215,".",'Смета ЕР (общ) '!$D215)</f>
        <v>Р2.9.0</v>
      </c>
      <c r="F215" s="37">
        <f t="shared" si="15"/>
        <v>1</v>
      </c>
      <c r="G215" s="38" t="s">
        <v>240</v>
      </c>
      <c r="H215" s="22"/>
      <c r="I215" s="23"/>
      <c r="J215" s="36"/>
      <c r="K215" s="36"/>
      <c r="L215" s="25"/>
      <c r="M215" s="25"/>
      <c r="N215" s="25">
        <f>SUM(N216:N220)</f>
        <v>0</v>
      </c>
      <c r="O215" s="25">
        <f>SUM(O216:O220)</f>
        <v>0</v>
      </c>
      <c r="P215" s="45"/>
      <c r="T215">
        <v>0</v>
      </c>
    </row>
    <row r="216" spans="1:20" ht="24" hidden="1" x14ac:dyDescent="0.3">
      <c r="A216" s="26" t="s">
        <v>129</v>
      </c>
      <c r="B216" s="26">
        <v>9</v>
      </c>
      <c r="C216" s="26"/>
      <c r="D216" s="26">
        <v>1</v>
      </c>
      <c r="E216" s="26" t="str">
        <f>CONCATENATE('Смета ЕР (общ) '!$A216,".",'Смета ЕР (общ) '!$B216,".",'Смета ЕР (общ) '!$D216)</f>
        <v>Р2.9.1</v>
      </c>
      <c r="F216" s="26">
        <f t="shared" si="15"/>
        <v>1</v>
      </c>
      <c r="G216" s="27" t="s">
        <v>241</v>
      </c>
      <c r="H216" s="28" t="s">
        <v>125</v>
      </c>
      <c r="I216" s="158"/>
      <c r="J216" s="30">
        <v>197.84</v>
      </c>
      <c r="K216" s="30">
        <v>0</v>
      </c>
      <c r="L216" s="30">
        <f t="shared" ref="L216:M220" si="16">ROUND(J216-J216*$Q$3,2)</f>
        <v>197.84</v>
      </c>
      <c r="M216" s="30">
        <f t="shared" si="16"/>
        <v>0</v>
      </c>
      <c r="N216" s="30">
        <f>ROUND('Смета ЕР (общ) '!$I216*'Смета ЕР (общ) '!$L216,2)</f>
        <v>0</v>
      </c>
      <c r="O216" s="30">
        <f>ROUND('Смета ЕР (общ) '!$I216*'Смета ЕР (общ) '!$M216,2)</f>
        <v>0</v>
      </c>
      <c r="P216" s="45"/>
    </row>
    <row r="217" spans="1:20" ht="24" hidden="1" x14ac:dyDescent="0.3">
      <c r="A217" s="26" t="s">
        <v>129</v>
      </c>
      <c r="B217" s="26">
        <v>9</v>
      </c>
      <c r="C217" s="26"/>
      <c r="D217" s="26">
        <v>2</v>
      </c>
      <c r="E217" s="26" t="str">
        <f>CONCATENATE('Смета ЕР (общ) '!$A217,".",'Смета ЕР (общ) '!$B217,".",'Смета ЕР (общ) '!$D217)</f>
        <v>Р2.9.2</v>
      </c>
      <c r="F217" s="26">
        <f t="shared" si="15"/>
        <v>1</v>
      </c>
      <c r="G217" s="27" t="s">
        <v>242</v>
      </c>
      <c r="H217" s="28" t="s">
        <v>118</v>
      </c>
      <c r="I217" s="158"/>
      <c r="J217" s="30">
        <v>2639.67</v>
      </c>
      <c r="K217" s="30">
        <v>0</v>
      </c>
      <c r="L217" s="30">
        <f t="shared" si="16"/>
        <v>2639.67</v>
      </c>
      <c r="M217" s="30">
        <f t="shared" si="16"/>
        <v>0</v>
      </c>
      <c r="N217" s="30">
        <f>ROUND('Смета ЕР (общ) '!$I217*'Смета ЕР (общ) '!$L217,2)</f>
        <v>0</v>
      </c>
      <c r="O217" s="30">
        <f>ROUND('Смета ЕР (общ) '!$I217*'Смета ЕР (общ) '!$M217,2)</f>
        <v>0</v>
      </c>
      <c r="P217" s="45"/>
    </row>
    <row r="218" spans="1:20" ht="24" hidden="1" x14ac:dyDescent="0.3">
      <c r="A218" s="26" t="s">
        <v>129</v>
      </c>
      <c r="B218" s="26">
        <v>9</v>
      </c>
      <c r="C218" s="26"/>
      <c r="D218" s="26">
        <v>3</v>
      </c>
      <c r="E218" s="26" t="str">
        <f>CONCATENATE('Смета ЕР (общ) '!$A218,".",'Смета ЕР (общ) '!$B218,".",'Смета ЕР (общ) '!$D218)</f>
        <v>Р2.9.3</v>
      </c>
      <c r="F218" s="26">
        <f t="shared" si="15"/>
        <v>1</v>
      </c>
      <c r="G218" s="27" t="s">
        <v>243</v>
      </c>
      <c r="H218" s="28" t="s">
        <v>118</v>
      </c>
      <c r="I218" s="158"/>
      <c r="J218" s="30">
        <v>7657.74</v>
      </c>
      <c r="K218" s="30">
        <v>0</v>
      </c>
      <c r="L218" s="30">
        <f t="shared" si="16"/>
        <v>7657.74</v>
      </c>
      <c r="M218" s="30">
        <f t="shared" si="16"/>
        <v>0</v>
      </c>
      <c r="N218" s="30">
        <f>ROUND('Смета ЕР (общ) '!$I218*'Смета ЕР (общ) '!$L218,2)</f>
        <v>0</v>
      </c>
      <c r="O218" s="30">
        <f>ROUND('Смета ЕР (общ) '!$I218*'Смета ЕР (общ) '!$M218,2)</f>
        <v>0</v>
      </c>
      <c r="P218" s="45"/>
    </row>
    <row r="219" spans="1:20" ht="14.4" hidden="1" x14ac:dyDescent="0.3">
      <c r="A219" s="26" t="s">
        <v>129</v>
      </c>
      <c r="B219" s="26">
        <v>9</v>
      </c>
      <c r="C219" s="26"/>
      <c r="D219" s="26">
        <v>4</v>
      </c>
      <c r="E219" s="26" t="str">
        <f>CONCATENATE('Смета ЕР (общ) '!$A219,".",'Смета ЕР (общ) '!$B219,".",'Смета ЕР (общ) '!$D219)</f>
        <v>Р2.9.4</v>
      </c>
      <c r="F219" s="26">
        <f t="shared" si="15"/>
        <v>1</v>
      </c>
      <c r="G219" s="27" t="s">
        <v>244</v>
      </c>
      <c r="H219" s="28" t="s">
        <v>118</v>
      </c>
      <c r="I219" s="158"/>
      <c r="J219" s="30">
        <v>27311.040000000001</v>
      </c>
      <c r="K219" s="30">
        <v>0</v>
      </c>
      <c r="L219" s="30">
        <f t="shared" si="16"/>
        <v>27311.040000000001</v>
      </c>
      <c r="M219" s="30">
        <f t="shared" si="16"/>
        <v>0</v>
      </c>
      <c r="N219" s="30">
        <f>ROUND('Смета ЕР (общ) '!$I219*'Смета ЕР (общ) '!$L219,2)</f>
        <v>0</v>
      </c>
      <c r="O219" s="30">
        <f>ROUND('Смета ЕР (общ) '!$I219*'Смета ЕР (общ) '!$M219,2)</f>
        <v>0</v>
      </c>
      <c r="P219" s="45"/>
    </row>
    <row r="220" spans="1:20" ht="14.4" hidden="1" x14ac:dyDescent="0.3">
      <c r="A220" s="26" t="s">
        <v>129</v>
      </c>
      <c r="B220" s="26">
        <v>9</v>
      </c>
      <c r="C220" s="26"/>
      <c r="D220" s="26">
        <v>5</v>
      </c>
      <c r="E220" s="26" t="str">
        <f>CONCATENATE('Смета ЕР (общ) '!$A220,".",'Смета ЕР (общ) '!$B220,".",'Смета ЕР (общ) '!$D220)</f>
        <v>Р2.9.5</v>
      </c>
      <c r="F220" s="26">
        <f t="shared" si="15"/>
        <v>1</v>
      </c>
      <c r="G220" s="27" t="s">
        <v>245</v>
      </c>
      <c r="H220" s="28" t="s">
        <v>118</v>
      </c>
      <c r="I220" s="158"/>
      <c r="J220" s="30">
        <v>39400.559999999998</v>
      </c>
      <c r="K220" s="30">
        <v>0</v>
      </c>
      <c r="L220" s="30">
        <f t="shared" si="16"/>
        <v>39400.559999999998</v>
      </c>
      <c r="M220" s="30">
        <f t="shared" si="16"/>
        <v>0</v>
      </c>
      <c r="N220" s="30">
        <f>ROUND('Смета ЕР (общ) '!$I220*'Смета ЕР (общ) '!$L220,2)</f>
        <v>0</v>
      </c>
      <c r="O220" s="30">
        <f>ROUND('Смета ЕР (общ) '!$I220*'Смета ЕР (общ) '!$M220,2)</f>
        <v>0</v>
      </c>
      <c r="P220" s="45"/>
    </row>
    <row r="221" spans="1:20" ht="14.4" hidden="1" x14ac:dyDescent="0.3">
      <c r="A221" s="37" t="s">
        <v>129</v>
      </c>
      <c r="B221" s="37">
        <v>10</v>
      </c>
      <c r="C221" s="37"/>
      <c r="D221" s="37">
        <v>0</v>
      </c>
      <c r="E221" s="37" t="str">
        <f>CONCATENATE('Смета ЕР (общ) '!$A221,".",'Смета ЕР (общ) '!$B221,".",'Смета ЕР (общ) '!$D221)</f>
        <v>Р2.10.0</v>
      </c>
      <c r="F221" s="37">
        <f t="shared" si="15"/>
        <v>1</v>
      </c>
      <c r="G221" s="38" t="s">
        <v>246</v>
      </c>
      <c r="H221" s="22"/>
      <c r="I221" s="23"/>
      <c r="J221" s="36"/>
      <c r="K221" s="36"/>
      <c r="L221" s="25"/>
      <c r="M221" s="25"/>
      <c r="N221" s="25">
        <f>SUM(N222:N234)</f>
        <v>0</v>
      </c>
      <c r="O221" s="25">
        <f>SUM(O222:O234)</f>
        <v>0</v>
      </c>
      <c r="P221" s="45"/>
      <c r="T221">
        <v>0</v>
      </c>
    </row>
    <row r="222" spans="1:20" ht="14.4" hidden="1" x14ac:dyDescent="0.3">
      <c r="A222" s="26" t="s">
        <v>129</v>
      </c>
      <c r="B222" s="26">
        <v>10</v>
      </c>
      <c r="C222" s="26"/>
      <c r="D222" s="26">
        <v>1</v>
      </c>
      <c r="E222" s="26" t="str">
        <f>CONCATENATE('Смета ЕР (общ) '!$A222,".",'Смета ЕР (общ) '!$B222,".",'Смета ЕР (общ) '!$D222)</f>
        <v>Р2.10.1</v>
      </c>
      <c r="F222" s="26">
        <f t="shared" si="15"/>
        <v>1</v>
      </c>
      <c r="G222" s="27" t="s">
        <v>247</v>
      </c>
      <c r="H222" s="28" t="s">
        <v>118</v>
      </c>
      <c r="I222" s="158"/>
      <c r="J222" s="30">
        <v>783</v>
      </c>
      <c r="K222" s="30">
        <v>0</v>
      </c>
      <c r="L222" s="30">
        <f t="shared" ref="L222:M234" si="17">ROUND(J222-J222*$Q$3,2)</f>
        <v>783</v>
      </c>
      <c r="M222" s="30">
        <f t="shared" si="17"/>
        <v>0</v>
      </c>
      <c r="N222" s="30">
        <f>ROUND('Смета ЕР (общ) '!$I222*'Смета ЕР (общ) '!$L222,2)</f>
        <v>0</v>
      </c>
      <c r="O222" s="30">
        <f>ROUND('Смета ЕР (общ) '!$I222*'Смета ЕР (общ) '!$M222,2)</f>
        <v>0</v>
      </c>
      <c r="P222" s="45"/>
    </row>
    <row r="223" spans="1:20" ht="14.4" hidden="1" x14ac:dyDescent="0.3">
      <c r="A223" s="26" t="s">
        <v>129</v>
      </c>
      <c r="B223" s="26">
        <v>10</v>
      </c>
      <c r="C223" s="26"/>
      <c r="D223" s="26">
        <v>2</v>
      </c>
      <c r="E223" s="26" t="str">
        <f>CONCATENATE('Смета ЕР (общ) '!$A223,".",'Смета ЕР (общ) '!$B223,".",'Смета ЕР (общ) '!$D223)</f>
        <v>Р2.10.2</v>
      </c>
      <c r="F223" s="26">
        <f t="shared" si="15"/>
        <v>1</v>
      </c>
      <c r="G223" s="41" t="s">
        <v>248</v>
      </c>
      <c r="H223" s="28" t="s">
        <v>118</v>
      </c>
      <c r="I223" s="158"/>
      <c r="J223" s="30">
        <v>689.04</v>
      </c>
      <c r="K223" s="30">
        <v>0</v>
      </c>
      <c r="L223" s="30">
        <f t="shared" si="17"/>
        <v>689.04</v>
      </c>
      <c r="M223" s="30">
        <f t="shared" si="17"/>
        <v>0</v>
      </c>
      <c r="N223" s="30">
        <f>ROUND('Смета ЕР (общ) '!$I223*'Смета ЕР (общ) '!$L223,2)</f>
        <v>0</v>
      </c>
      <c r="O223" s="30">
        <f>ROUND('Смета ЕР (общ) '!$I223*'Смета ЕР (общ) '!$M223,2)</f>
        <v>0</v>
      </c>
      <c r="P223" s="45"/>
    </row>
    <row r="224" spans="1:20" ht="14.4" hidden="1" x14ac:dyDescent="0.3">
      <c r="A224" s="26" t="s">
        <v>129</v>
      </c>
      <c r="B224" s="26">
        <v>10</v>
      </c>
      <c r="C224" s="26"/>
      <c r="D224" s="26">
        <v>3</v>
      </c>
      <c r="E224" s="26" t="str">
        <f>CONCATENATE('Смета ЕР (общ) '!$A224,".",'Смета ЕР (общ) '!$B224,".",'Смета ЕР (общ) '!$D224)</f>
        <v>Р2.10.3</v>
      </c>
      <c r="F224" s="26">
        <f t="shared" si="15"/>
        <v>1</v>
      </c>
      <c r="G224" s="27" t="s">
        <v>249</v>
      </c>
      <c r="H224" s="28" t="s">
        <v>64</v>
      </c>
      <c r="I224" s="158"/>
      <c r="J224" s="30">
        <v>330</v>
      </c>
      <c r="K224" s="30">
        <v>0</v>
      </c>
      <c r="L224" s="30">
        <f t="shared" si="17"/>
        <v>330</v>
      </c>
      <c r="M224" s="30">
        <f t="shared" si="17"/>
        <v>0</v>
      </c>
      <c r="N224" s="30">
        <f>ROUND('Смета ЕР (общ) '!$I224*'Смета ЕР (общ) '!$L224,2)</f>
        <v>0</v>
      </c>
      <c r="O224" s="30">
        <f>ROUND('Смета ЕР (общ) '!$I224*'Смета ЕР (общ) '!$M224,2)</f>
        <v>0</v>
      </c>
      <c r="P224" s="45"/>
    </row>
    <row r="225" spans="1:20" ht="14.4" hidden="1" x14ac:dyDescent="0.3">
      <c r="A225" s="26" t="s">
        <v>129</v>
      </c>
      <c r="B225" s="26">
        <v>10</v>
      </c>
      <c r="C225" s="26"/>
      <c r="D225" s="26">
        <v>4</v>
      </c>
      <c r="E225" s="26" t="str">
        <f>CONCATENATE('Смета ЕР (общ) '!$A225,".",'Смета ЕР (общ) '!$B225,".",'Смета ЕР (общ) '!$D225)</f>
        <v>Р2.10.4</v>
      </c>
      <c r="F225" s="26">
        <f t="shared" si="15"/>
        <v>1</v>
      </c>
      <c r="G225" s="27" t="s">
        <v>250</v>
      </c>
      <c r="H225" s="28" t="s">
        <v>118</v>
      </c>
      <c r="I225" s="158"/>
      <c r="J225" s="30">
        <v>2612.5</v>
      </c>
      <c r="K225" s="30">
        <v>0</v>
      </c>
      <c r="L225" s="30">
        <f t="shared" si="17"/>
        <v>2612.5</v>
      </c>
      <c r="M225" s="30">
        <f t="shared" si="17"/>
        <v>0</v>
      </c>
      <c r="N225" s="30">
        <f>ROUND('Смета ЕР (общ) '!$I225*'Смета ЕР (общ) '!$L225,2)</f>
        <v>0</v>
      </c>
      <c r="O225" s="30">
        <f>ROUND('Смета ЕР (общ) '!$I225*'Смета ЕР (общ) '!$M225,2)</f>
        <v>0</v>
      </c>
      <c r="P225" s="45"/>
    </row>
    <row r="226" spans="1:20" ht="14.4" hidden="1" x14ac:dyDescent="0.3">
      <c r="A226" s="26" t="s">
        <v>129</v>
      </c>
      <c r="B226" s="26">
        <v>10</v>
      </c>
      <c r="C226" s="26"/>
      <c r="D226" s="26">
        <v>5</v>
      </c>
      <c r="E226" s="26" t="str">
        <f>CONCATENATE('Смета ЕР (общ) '!$A226,".",'Смета ЕР (общ) '!$B226,".",'Смета ЕР (общ) '!$D226)</f>
        <v>Р2.10.5</v>
      </c>
      <c r="F226" s="26">
        <f t="shared" si="15"/>
        <v>1</v>
      </c>
      <c r="G226" s="27" t="s">
        <v>251</v>
      </c>
      <c r="H226" s="28" t="s">
        <v>118</v>
      </c>
      <c r="I226" s="158"/>
      <c r="J226" s="30">
        <v>1212.71</v>
      </c>
      <c r="K226" s="30">
        <v>0</v>
      </c>
      <c r="L226" s="30">
        <f t="shared" si="17"/>
        <v>1212.71</v>
      </c>
      <c r="M226" s="30">
        <f t="shared" si="17"/>
        <v>0</v>
      </c>
      <c r="N226" s="30">
        <f>ROUND('Смета ЕР (общ) '!$I226*'Смета ЕР (общ) '!$L226,2)</f>
        <v>0</v>
      </c>
      <c r="O226" s="30">
        <f>ROUND('Смета ЕР (общ) '!$I226*'Смета ЕР (общ) '!$M226,2)</f>
        <v>0</v>
      </c>
      <c r="P226" s="45"/>
    </row>
    <row r="227" spans="1:20" ht="14.4" hidden="1" x14ac:dyDescent="0.3">
      <c r="A227" s="26" t="s">
        <v>129</v>
      </c>
      <c r="B227" s="26">
        <v>10</v>
      </c>
      <c r="C227" s="26"/>
      <c r="D227" s="26">
        <v>6</v>
      </c>
      <c r="E227" s="26" t="str">
        <f>CONCATENATE('Смета ЕР (общ) '!$A227,".",'Смета ЕР (общ) '!$B227,".",'Смета ЕР (общ) '!$D227)</f>
        <v>Р2.10.6</v>
      </c>
      <c r="F227" s="26">
        <f t="shared" si="15"/>
        <v>1</v>
      </c>
      <c r="G227" s="27" t="s">
        <v>252</v>
      </c>
      <c r="H227" s="28" t="s">
        <v>147</v>
      </c>
      <c r="I227" s="158"/>
      <c r="J227" s="30">
        <v>128.15</v>
      </c>
      <c r="K227" s="30">
        <v>0</v>
      </c>
      <c r="L227" s="30">
        <f t="shared" si="17"/>
        <v>128.15</v>
      </c>
      <c r="M227" s="30">
        <f t="shared" si="17"/>
        <v>0</v>
      </c>
      <c r="N227" s="30">
        <f>ROUND('Смета ЕР (общ) '!$I227*'Смета ЕР (общ) '!$L227,2)</f>
        <v>0</v>
      </c>
      <c r="O227" s="30">
        <f>ROUND('Смета ЕР (общ) '!$I227*'Смета ЕР (общ) '!$M227,2)</f>
        <v>0</v>
      </c>
      <c r="P227" s="45"/>
    </row>
    <row r="228" spans="1:20" ht="14.4" hidden="1" x14ac:dyDescent="0.3">
      <c r="A228" s="26" t="s">
        <v>129</v>
      </c>
      <c r="B228" s="26">
        <v>10</v>
      </c>
      <c r="C228" s="26"/>
      <c r="D228" s="26">
        <v>7</v>
      </c>
      <c r="E228" s="26" t="str">
        <f>CONCATENATE('Смета ЕР (общ) '!$A228,".",'Смета ЕР (общ) '!$B228,".",'Смета ЕР (общ) '!$D228)</f>
        <v>Р2.10.7</v>
      </c>
      <c r="F228" s="26">
        <f t="shared" si="15"/>
        <v>1</v>
      </c>
      <c r="G228" s="27" t="s">
        <v>253</v>
      </c>
      <c r="H228" s="28" t="s">
        <v>147</v>
      </c>
      <c r="I228" s="158"/>
      <c r="J228" s="30">
        <v>178.94</v>
      </c>
      <c r="K228" s="30">
        <v>0</v>
      </c>
      <c r="L228" s="30">
        <f t="shared" si="17"/>
        <v>178.94</v>
      </c>
      <c r="M228" s="30">
        <f t="shared" si="17"/>
        <v>0</v>
      </c>
      <c r="N228" s="30">
        <f>ROUND('Смета ЕР (общ) '!$I228*'Смета ЕР (общ) '!$L228,2)</f>
        <v>0</v>
      </c>
      <c r="O228" s="30">
        <f>ROUND('Смета ЕР (общ) '!$I228*'Смета ЕР (общ) '!$M228,2)</f>
        <v>0</v>
      </c>
      <c r="P228" s="45"/>
    </row>
    <row r="229" spans="1:20" ht="14.4" hidden="1" x14ac:dyDescent="0.3">
      <c r="A229" s="26" t="s">
        <v>129</v>
      </c>
      <c r="B229" s="26">
        <v>10</v>
      </c>
      <c r="C229" s="26"/>
      <c r="D229" s="26">
        <v>8</v>
      </c>
      <c r="E229" s="26" t="str">
        <f>CONCATENATE('Смета ЕР (общ) '!$A229,".",'Смета ЕР (общ) '!$B229,".",'Смета ЕР (общ) '!$D229)</f>
        <v>Р2.10.8</v>
      </c>
      <c r="F229" s="26">
        <f t="shared" si="15"/>
        <v>1</v>
      </c>
      <c r="G229" s="27" t="s">
        <v>254</v>
      </c>
      <c r="H229" s="28" t="s">
        <v>147</v>
      </c>
      <c r="I229" s="158"/>
      <c r="J229" s="30">
        <v>183.45</v>
      </c>
      <c r="K229" s="30">
        <v>0</v>
      </c>
      <c r="L229" s="30">
        <f t="shared" si="17"/>
        <v>183.45</v>
      </c>
      <c r="M229" s="30">
        <f t="shared" si="17"/>
        <v>0</v>
      </c>
      <c r="N229" s="30">
        <f>ROUND('Смета ЕР (общ) '!$I229*'Смета ЕР (общ) '!$L229,2)</f>
        <v>0</v>
      </c>
      <c r="O229" s="30">
        <f>ROUND('Смета ЕР (общ) '!$I229*'Смета ЕР (общ) '!$M229,2)</f>
        <v>0</v>
      </c>
      <c r="P229" s="45"/>
    </row>
    <row r="230" spans="1:20" ht="14.4" hidden="1" x14ac:dyDescent="0.3">
      <c r="A230" s="26" t="s">
        <v>129</v>
      </c>
      <c r="B230" s="26">
        <v>10</v>
      </c>
      <c r="C230" s="26"/>
      <c r="D230" s="26">
        <v>10</v>
      </c>
      <c r="E230" s="26" t="str">
        <f>CONCATENATE('Смета ЕР (общ) '!$A230,".",'Смета ЕР (общ) '!$B230,".",'Смета ЕР (общ) '!$D230)</f>
        <v>Р2.10.10</v>
      </c>
      <c r="F230" s="26">
        <f t="shared" si="15"/>
        <v>1</v>
      </c>
      <c r="G230" s="27" t="s">
        <v>255</v>
      </c>
      <c r="H230" s="28" t="s">
        <v>118</v>
      </c>
      <c r="I230" s="158"/>
      <c r="J230" s="30">
        <v>720.26</v>
      </c>
      <c r="K230" s="30">
        <v>0</v>
      </c>
      <c r="L230" s="30">
        <f t="shared" si="17"/>
        <v>720.26</v>
      </c>
      <c r="M230" s="30">
        <f t="shared" si="17"/>
        <v>0</v>
      </c>
      <c r="N230" s="30">
        <f>ROUND('Смета ЕР (общ) '!$I230*'Смета ЕР (общ) '!$L230,2)</f>
        <v>0</v>
      </c>
      <c r="O230" s="30">
        <f>ROUND('Смета ЕР (общ) '!$I230*'Смета ЕР (общ) '!$M230,2)</f>
        <v>0</v>
      </c>
      <c r="P230" s="45"/>
    </row>
    <row r="231" spans="1:20" ht="14.4" hidden="1" x14ac:dyDescent="0.3">
      <c r="A231" s="26" t="s">
        <v>129</v>
      </c>
      <c r="B231" s="26">
        <v>10</v>
      </c>
      <c r="C231" s="26"/>
      <c r="D231" s="26">
        <v>9</v>
      </c>
      <c r="E231" s="26" t="str">
        <f>CONCATENATE('Смета ЕР (общ) '!$A231,".",'Смета ЕР (общ) '!$B231,".",'Смета ЕР (общ) '!$D231)</f>
        <v>Р2.10.9</v>
      </c>
      <c r="F231" s="26">
        <f t="shared" si="15"/>
        <v>1</v>
      </c>
      <c r="G231" s="27" t="s">
        <v>256</v>
      </c>
      <c r="H231" s="28" t="s">
        <v>118</v>
      </c>
      <c r="I231" s="158"/>
      <c r="J231" s="30">
        <v>313.5</v>
      </c>
      <c r="K231" s="30">
        <v>0</v>
      </c>
      <c r="L231" s="30">
        <f t="shared" si="17"/>
        <v>313.5</v>
      </c>
      <c r="M231" s="30">
        <f t="shared" si="17"/>
        <v>0</v>
      </c>
      <c r="N231" s="30">
        <f>ROUND('Смета ЕР (общ) '!$I231*'Смета ЕР (общ) '!$L231,2)</f>
        <v>0</v>
      </c>
      <c r="O231" s="30">
        <f>ROUND('Смета ЕР (общ) '!$I231*'Смета ЕР (общ) '!$M231,2)</f>
        <v>0</v>
      </c>
      <c r="P231" s="45"/>
    </row>
    <row r="232" spans="1:20" ht="14.4" hidden="1" x14ac:dyDescent="0.3">
      <c r="A232" s="26" t="s">
        <v>129</v>
      </c>
      <c r="B232" s="26">
        <v>10</v>
      </c>
      <c r="C232" s="26"/>
      <c r="D232" s="26">
        <v>11</v>
      </c>
      <c r="E232" s="26" t="str">
        <f>CONCATENATE('Смета ЕР (общ) '!$A232,".",'Смета ЕР (общ) '!$B232,".",'Смета ЕР (общ) '!$D232)</f>
        <v>Р2.10.11</v>
      </c>
      <c r="F232" s="26">
        <f t="shared" si="15"/>
        <v>1</v>
      </c>
      <c r="G232" s="27" t="s">
        <v>257</v>
      </c>
      <c r="H232" s="28" t="s">
        <v>118</v>
      </c>
      <c r="I232" s="158"/>
      <c r="J232" s="30">
        <v>1492.92</v>
      </c>
      <c r="K232" s="30">
        <v>0</v>
      </c>
      <c r="L232" s="30">
        <f t="shared" si="17"/>
        <v>1492.92</v>
      </c>
      <c r="M232" s="30">
        <f t="shared" si="17"/>
        <v>0</v>
      </c>
      <c r="N232" s="30">
        <f>ROUND('Смета ЕР (общ) '!$I232*'Смета ЕР (общ) '!$L232,2)</f>
        <v>0</v>
      </c>
      <c r="O232" s="30">
        <f>ROUND('Смета ЕР (общ) '!$I232*'Смета ЕР (общ) '!$M232,2)</f>
        <v>0</v>
      </c>
      <c r="P232" s="45"/>
    </row>
    <row r="233" spans="1:20" ht="14.4" hidden="1" x14ac:dyDescent="0.3">
      <c r="A233" s="26" t="s">
        <v>129</v>
      </c>
      <c r="B233" s="26">
        <v>10</v>
      </c>
      <c r="C233" s="26"/>
      <c r="D233" s="26">
        <v>12</v>
      </c>
      <c r="E233" s="26" t="str">
        <f>CONCATENATE('Смета ЕР (общ) '!$A233,".",'Смета ЕР (общ) '!$B233,".",'Смета ЕР (общ) '!$D233)</f>
        <v>Р2.10.12</v>
      </c>
      <c r="F233" s="26">
        <f t="shared" si="15"/>
        <v>1</v>
      </c>
      <c r="G233" s="27" t="s">
        <v>258</v>
      </c>
      <c r="H233" s="28" t="s">
        <v>118</v>
      </c>
      <c r="I233" s="158"/>
      <c r="J233" s="30">
        <v>463.67</v>
      </c>
      <c r="K233" s="30">
        <v>0</v>
      </c>
      <c r="L233" s="30">
        <f t="shared" si="17"/>
        <v>463.67</v>
      </c>
      <c r="M233" s="30">
        <f t="shared" si="17"/>
        <v>0</v>
      </c>
      <c r="N233" s="30">
        <f>ROUND('Смета ЕР (общ) '!$I233*'Смета ЕР (общ) '!$L233,2)</f>
        <v>0</v>
      </c>
      <c r="O233" s="30">
        <f>ROUND('Смета ЕР (общ) '!$I233*'Смета ЕР (общ) '!$M233,2)</f>
        <v>0</v>
      </c>
      <c r="P233" s="45"/>
    </row>
    <row r="234" spans="1:20" ht="14.4" hidden="1" x14ac:dyDescent="0.3">
      <c r="A234" s="26" t="s">
        <v>129</v>
      </c>
      <c r="B234" s="26">
        <v>10</v>
      </c>
      <c r="C234" s="26"/>
      <c r="D234" s="26">
        <v>13</v>
      </c>
      <c r="E234" s="26" t="str">
        <f>CONCATENATE('Смета ЕР (общ) '!$A234,".",'Смета ЕР (общ) '!$B234,".",'Смета ЕР (общ) '!$D234)</f>
        <v>Р2.10.13</v>
      </c>
      <c r="F234" s="26">
        <f t="shared" si="15"/>
        <v>1</v>
      </c>
      <c r="G234" s="27" t="s">
        <v>259</v>
      </c>
      <c r="H234" s="28" t="s">
        <v>118</v>
      </c>
      <c r="I234" s="158"/>
      <c r="J234" s="30">
        <v>2592.6</v>
      </c>
      <c r="K234" s="30">
        <v>0</v>
      </c>
      <c r="L234" s="30">
        <f t="shared" si="17"/>
        <v>2592.6</v>
      </c>
      <c r="M234" s="30">
        <f t="shared" si="17"/>
        <v>0</v>
      </c>
      <c r="N234" s="30">
        <f>ROUND('Смета ЕР (общ) '!$I234*'Смета ЕР (общ) '!$L234,2)</f>
        <v>0</v>
      </c>
      <c r="O234" s="30">
        <f>ROUND('Смета ЕР (общ) '!$I234*'Смета ЕР (общ) '!$M234,2)</f>
        <v>0</v>
      </c>
      <c r="P234" s="45"/>
    </row>
    <row r="235" spans="1:20" ht="30.75" hidden="1" customHeight="1" x14ac:dyDescent="0.3">
      <c r="A235" s="37" t="s">
        <v>129</v>
      </c>
      <c r="B235" s="37">
        <v>11</v>
      </c>
      <c r="C235" s="37"/>
      <c r="D235" s="37">
        <v>0</v>
      </c>
      <c r="E235" s="37" t="str">
        <f>CONCATENATE('Смета ЕР (общ) '!$A235,".",'Смета ЕР (общ) '!$B235,".",'Смета ЕР (общ) '!$D235)</f>
        <v>Р2.11.0</v>
      </c>
      <c r="F235" s="37">
        <f t="shared" si="15"/>
        <v>1</v>
      </c>
      <c r="G235" s="38" t="s">
        <v>260</v>
      </c>
      <c r="H235" s="22"/>
      <c r="I235" s="23"/>
      <c r="J235" s="36"/>
      <c r="K235" s="36"/>
      <c r="L235" s="25"/>
      <c r="M235" s="25"/>
      <c r="N235" s="25">
        <f>SUM(N236:N243)</f>
        <v>0</v>
      </c>
      <c r="O235" s="25">
        <f>SUM(O236:O243)</f>
        <v>0</v>
      </c>
      <c r="P235" s="45"/>
      <c r="T235">
        <v>668</v>
      </c>
    </row>
    <row r="236" spans="1:20" ht="14.4" hidden="1" x14ac:dyDescent="0.3">
      <c r="A236" s="26" t="s">
        <v>129</v>
      </c>
      <c r="B236" s="26">
        <v>11</v>
      </c>
      <c r="C236" s="26"/>
      <c r="D236" s="26">
        <v>1</v>
      </c>
      <c r="E236" s="26" t="str">
        <f>CONCATENATE('Смета ЕР (общ) '!$A236,".",'Смета ЕР (общ) '!$B236,".",'Смета ЕР (общ) '!$D236)</f>
        <v>Р2.11.1</v>
      </c>
      <c r="F236" s="26">
        <f t="shared" si="15"/>
        <v>1</v>
      </c>
      <c r="G236" s="27" t="s">
        <v>261</v>
      </c>
      <c r="H236" s="28" t="s">
        <v>118</v>
      </c>
      <c r="I236" s="158"/>
      <c r="J236" s="30">
        <v>13200</v>
      </c>
      <c r="K236" s="30">
        <v>0</v>
      </c>
      <c r="L236" s="30">
        <f t="shared" ref="L236:M243" si="18">ROUND(J236-J236*$Q$3,2)</f>
        <v>13200</v>
      </c>
      <c r="M236" s="30">
        <f t="shared" si="18"/>
        <v>0</v>
      </c>
      <c r="N236" s="30">
        <f>ROUND('Смета ЕР (общ) '!$I236*'Смета ЕР (общ) '!$L236,2)</f>
        <v>0</v>
      </c>
      <c r="O236" s="30">
        <f>ROUND('Смета ЕР (общ) '!$I236*'Смета ЕР (общ) '!$M236,2)</f>
        <v>0</v>
      </c>
      <c r="P236" s="45"/>
      <c r="T236">
        <v>26</v>
      </c>
    </row>
    <row r="237" spans="1:20" ht="14.4" hidden="1" x14ac:dyDescent="0.3">
      <c r="A237" s="26" t="s">
        <v>129</v>
      </c>
      <c r="B237" s="26">
        <v>11</v>
      </c>
      <c r="C237" s="26"/>
      <c r="D237" s="26">
        <v>13</v>
      </c>
      <c r="E237" s="26" t="str">
        <f>CONCATENATE('Смета ЕР (общ) '!$A237,".",'Смета ЕР (общ) '!$B237,".",'Смета ЕР (общ) '!$D237)</f>
        <v>Р2.11.13</v>
      </c>
      <c r="F237" s="26">
        <f t="shared" si="15"/>
        <v>1</v>
      </c>
      <c r="G237" s="27" t="s">
        <v>262</v>
      </c>
      <c r="H237" s="28" t="s">
        <v>118</v>
      </c>
      <c r="I237" s="158"/>
      <c r="J237" s="30">
        <v>32447.25</v>
      </c>
      <c r="K237" s="30">
        <v>0</v>
      </c>
      <c r="L237" s="30">
        <f t="shared" si="18"/>
        <v>32447.25</v>
      </c>
      <c r="M237" s="30">
        <f t="shared" si="18"/>
        <v>0</v>
      </c>
      <c r="N237" s="30">
        <f>ROUND('Смета ЕР (общ) '!$I237*'Смета ЕР (общ) '!$L237,2)</f>
        <v>0</v>
      </c>
      <c r="O237" s="30">
        <f>ROUND('Смета ЕР (общ) '!$I237*'Смета ЕР (общ) '!$M237,2)</f>
        <v>0</v>
      </c>
      <c r="P237" s="45"/>
    </row>
    <row r="238" spans="1:20" ht="14.4" hidden="1" x14ac:dyDescent="0.3">
      <c r="A238" s="26" t="s">
        <v>129</v>
      </c>
      <c r="B238" s="26">
        <v>11</v>
      </c>
      <c r="C238" s="26"/>
      <c r="D238" s="26">
        <v>10</v>
      </c>
      <c r="E238" s="26" t="str">
        <f>CONCATENATE('Смета ЕР (общ) '!$A238,".",'Смета ЕР (общ) '!$B238,".",'Смета ЕР (общ) '!$D238)</f>
        <v>Р2.11.10</v>
      </c>
      <c r="F238" s="26">
        <f t="shared" si="15"/>
        <v>1</v>
      </c>
      <c r="G238" s="27" t="s">
        <v>263</v>
      </c>
      <c r="H238" s="28" t="s">
        <v>118</v>
      </c>
      <c r="I238" s="158"/>
      <c r="J238" s="30">
        <v>28842</v>
      </c>
      <c r="K238" s="30">
        <v>0</v>
      </c>
      <c r="L238" s="30">
        <f t="shared" si="18"/>
        <v>28842</v>
      </c>
      <c r="M238" s="30">
        <f t="shared" si="18"/>
        <v>0</v>
      </c>
      <c r="N238" s="30">
        <f>ROUND('Смета ЕР (общ) '!$I238*'Смета ЕР (общ) '!$L238,2)</f>
        <v>0</v>
      </c>
      <c r="O238" s="30">
        <f>ROUND('Смета ЕР (общ) '!$I238*'Смета ЕР (общ) '!$M238,2)</f>
        <v>0</v>
      </c>
      <c r="P238" s="45"/>
    </row>
    <row r="239" spans="1:20" ht="14.4" hidden="1" x14ac:dyDescent="0.3">
      <c r="A239" s="26" t="s">
        <v>129</v>
      </c>
      <c r="B239" s="26">
        <v>11</v>
      </c>
      <c r="C239" s="26"/>
      <c r="D239" s="26">
        <v>8</v>
      </c>
      <c r="E239" s="26" t="str">
        <f>CONCATENATE('Смета ЕР (общ) '!$A239,".",'Смета ЕР (общ) '!$B239,".",'Смета ЕР (общ) '!$D239)</f>
        <v>Р2.11.8</v>
      </c>
      <c r="F239" s="26">
        <f t="shared" si="15"/>
        <v>1</v>
      </c>
      <c r="G239" s="27" t="s">
        <v>264</v>
      </c>
      <c r="H239" s="28" t="s">
        <v>118</v>
      </c>
      <c r="I239" s="158"/>
      <c r="J239" s="30">
        <v>24795</v>
      </c>
      <c r="K239" s="30">
        <v>0</v>
      </c>
      <c r="L239" s="30">
        <f t="shared" si="18"/>
        <v>24795</v>
      </c>
      <c r="M239" s="30">
        <f t="shared" si="18"/>
        <v>0</v>
      </c>
      <c r="N239" s="30">
        <f>ROUND('Смета ЕР (общ) '!$I239*'Смета ЕР (общ) '!$L239,2)</f>
        <v>0</v>
      </c>
      <c r="O239" s="30">
        <f>ROUND('Смета ЕР (общ) '!$I239*'Смета ЕР (общ) '!$M239,2)</f>
        <v>0</v>
      </c>
      <c r="P239" s="45"/>
    </row>
    <row r="240" spans="1:20" ht="28.5" hidden="1" customHeight="1" x14ac:dyDescent="0.3">
      <c r="A240" s="26" t="s">
        <v>129</v>
      </c>
      <c r="B240" s="26">
        <v>11</v>
      </c>
      <c r="C240" s="26"/>
      <c r="D240" s="26">
        <v>4</v>
      </c>
      <c r="E240" s="26" t="str">
        <f>CONCATENATE('Смета ЕР (общ) '!$A240,".",'Смета ЕР (общ) '!$B240,".",'Смета ЕР (общ) '!$D240)</f>
        <v>Р2.11.4</v>
      </c>
      <c r="F240" s="26">
        <f t="shared" si="15"/>
        <v>1</v>
      </c>
      <c r="G240" s="27" t="s">
        <v>265</v>
      </c>
      <c r="H240" s="28" t="s">
        <v>229</v>
      </c>
      <c r="I240" s="158"/>
      <c r="J240" s="30">
        <v>1268.6300000000001</v>
      </c>
      <c r="K240" s="30">
        <v>0</v>
      </c>
      <c r="L240" s="30">
        <f t="shared" si="18"/>
        <v>1268.6300000000001</v>
      </c>
      <c r="M240" s="30">
        <f t="shared" si="18"/>
        <v>0</v>
      </c>
      <c r="N240" s="30">
        <f>ROUND('Смета ЕР (общ) '!$I240*'Смета ЕР (общ) '!$L240,2)</f>
        <v>0</v>
      </c>
      <c r="O240" s="30">
        <f>ROUND('Смета ЕР (общ) '!$I240*'Смета ЕР (общ) '!$M240,2)</f>
        <v>0</v>
      </c>
      <c r="P240" s="29" t="s">
        <v>266</v>
      </c>
    </row>
    <row r="241" spans="1:20" ht="14.4" hidden="1" x14ac:dyDescent="0.3">
      <c r="A241" s="26" t="s">
        <v>129</v>
      </c>
      <c r="B241" s="26">
        <v>11</v>
      </c>
      <c r="C241" s="26"/>
      <c r="D241" s="26">
        <v>5</v>
      </c>
      <c r="E241" s="26" t="str">
        <f>CONCATENATE('Смета ЕР (общ) '!$A241,".",'Смета ЕР (общ) '!$B241,".",'Смета ЕР (общ) '!$D241)</f>
        <v>Р2.11.5</v>
      </c>
      <c r="F241" s="26">
        <f t="shared" si="15"/>
        <v>1</v>
      </c>
      <c r="G241" s="27" t="s">
        <v>267</v>
      </c>
      <c r="H241" s="28" t="s">
        <v>40</v>
      </c>
      <c r="I241" s="158"/>
      <c r="J241" s="30">
        <v>94.05</v>
      </c>
      <c r="K241" s="30">
        <v>0</v>
      </c>
      <c r="L241" s="30">
        <f t="shared" si="18"/>
        <v>94.05</v>
      </c>
      <c r="M241" s="30">
        <f t="shared" si="18"/>
        <v>0</v>
      </c>
      <c r="N241" s="30">
        <f>ROUND('Смета ЕР (общ) '!$I241*'Смета ЕР (общ) '!$L241,2)</f>
        <v>0</v>
      </c>
      <c r="O241" s="30">
        <f>ROUND('Смета ЕР (общ) '!$I241*'Смета ЕР (общ) '!$M241,2)</f>
        <v>0</v>
      </c>
      <c r="P241" s="45"/>
      <c r="T241">
        <v>214</v>
      </c>
    </row>
    <row r="242" spans="1:20" ht="14.4" hidden="1" x14ac:dyDescent="0.3">
      <c r="A242" s="26" t="s">
        <v>129</v>
      </c>
      <c r="B242" s="26">
        <v>11</v>
      </c>
      <c r="C242" s="26"/>
      <c r="D242" s="26">
        <v>7</v>
      </c>
      <c r="E242" s="26" t="str">
        <f>CONCATENATE('Смета ЕР (общ) '!$A242,".",'Смета ЕР (общ) '!$B242,".",'Смета ЕР (общ) '!$D242)</f>
        <v>Р2.11.7</v>
      </c>
      <c r="F242" s="26">
        <f t="shared" si="15"/>
        <v>1</v>
      </c>
      <c r="G242" s="27" t="s">
        <v>268</v>
      </c>
      <c r="H242" s="28" t="s">
        <v>40</v>
      </c>
      <c r="I242" s="158"/>
      <c r="J242" s="30">
        <v>110.69</v>
      </c>
      <c r="K242" s="30">
        <v>0</v>
      </c>
      <c r="L242" s="30">
        <f t="shared" si="18"/>
        <v>110.69</v>
      </c>
      <c r="M242" s="30">
        <f t="shared" si="18"/>
        <v>0</v>
      </c>
      <c r="N242" s="30">
        <f>ROUND('Смета ЕР (общ) '!$I242*'Смета ЕР (общ) '!$L242,2)</f>
        <v>0</v>
      </c>
      <c r="O242" s="30">
        <f>ROUND('Смета ЕР (общ) '!$I242*'Смета ЕР (общ) '!$M242,2)</f>
        <v>0</v>
      </c>
      <c r="P242" s="45"/>
      <c r="T242">
        <v>214</v>
      </c>
    </row>
    <row r="243" spans="1:20" ht="14.4" hidden="1" x14ac:dyDescent="0.3">
      <c r="A243" s="26" t="s">
        <v>129</v>
      </c>
      <c r="B243" s="26">
        <v>11</v>
      </c>
      <c r="C243" s="26"/>
      <c r="D243" s="26">
        <v>6</v>
      </c>
      <c r="E243" s="26" t="str">
        <f>CONCATENATE('Смета ЕР (общ) '!$A243,".",'Смета ЕР (общ) '!$B243,".",'Смета ЕР (общ) '!$D243)</f>
        <v>Р2.11.6</v>
      </c>
      <c r="F243" s="26">
        <f t="shared" si="15"/>
        <v>1</v>
      </c>
      <c r="G243" s="27" t="s">
        <v>269</v>
      </c>
      <c r="H243" s="28" t="s">
        <v>40</v>
      </c>
      <c r="I243" s="158"/>
      <c r="J243" s="30">
        <v>519</v>
      </c>
      <c r="K243" s="30">
        <v>0</v>
      </c>
      <c r="L243" s="30">
        <f t="shared" si="18"/>
        <v>519</v>
      </c>
      <c r="M243" s="30">
        <f t="shared" si="18"/>
        <v>0</v>
      </c>
      <c r="N243" s="30">
        <f>ROUND('Смета ЕР (общ) '!$I243*'Смета ЕР (общ) '!$L243,2)</f>
        <v>0</v>
      </c>
      <c r="O243" s="30">
        <f>ROUND('Смета ЕР (общ) '!$I243*'Смета ЕР (общ) '!$M243,2)</f>
        <v>0</v>
      </c>
      <c r="P243" s="45"/>
      <c r="T243">
        <v>214</v>
      </c>
    </row>
    <row r="244" spans="1:20" ht="14.4" hidden="1" x14ac:dyDescent="0.3">
      <c r="A244" s="37" t="s">
        <v>129</v>
      </c>
      <c r="B244" s="37">
        <v>12</v>
      </c>
      <c r="C244" s="37"/>
      <c r="D244" s="37">
        <v>0</v>
      </c>
      <c r="E244" s="37" t="str">
        <f>CONCATENATE('Смета ЕР (общ) '!$A244,".",'Смета ЕР (общ) '!$B244,".",'Смета ЕР (общ) '!$D244)</f>
        <v>Р2.12.0</v>
      </c>
      <c r="F244" s="37">
        <f t="shared" si="15"/>
        <v>1</v>
      </c>
      <c r="G244" s="38" t="s">
        <v>270</v>
      </c>
      <c r="H244" s="22"/>
      <c r="I244" s="23"/>
      <c r="J244" s="36"/>
      <c r="K244" s="36"/>
      <c r="L244" s="25"/>
      <c r="M244" s="25"/>
      <c r="N244" s="25">
        <f>SUM(N245:N251)</f>
        <v>0</v>
      </c>
      <c r="O244" s="25">
        <f>SUM(O245:O251)</f>
        <v>0</v>
      </c>
      <c r="P244" s="45"/>
      <c r="T244">
        <v>0</v>
      </c>
    </row>
    <row r="245" spans="1:20" ht="14.4" hidden="1" x14ac:dyDescent="0.3">
      <c r="A245" s="26" t="s">
        <v>129</v>
      </c>
      <c r="B245" s="26">
        <v>12</v>
      </c>
      <c r="C245" s="26"/>
      <c r="D245" s="26">
        <v>1</v>
      </c>
      <c r="E245" s="26" t="str">
        <f>CONCATENATE('Смета ЕР (общ) '!$A245,".",'Смета ЕР (общ) '!$B245,".",'Смета ЕР (общ) '!$D245)</f>
        <v>Р2.12.1</v>
      </c>
      <c r="F245" s="26">
        <f t="shared" si="15"/>
        <v>1</v>
      </c>
      <c r="G245" s="27" t="s">
        <v>271</v>
      </c>
      <c r="H245" s="28" t="s">
        <v>118</v>
      </c>
      <c r="I245" s="158"/>
      <c r="J245" s="30">
        <v>522.5</v>
      </c>
      <c r="K245" s="30">
        <v>0</v>
      </c>
      <c r="L245" s="30">
        <f t="shared" ref="L245:M252" si="19">ROUND(J245-J245*$Q$3,2)</f>
        <v>522.5</v>
      </c>
      <c r="M245" s="30">
        <f t="shared" si="19"/>
        <v>0</v>
      </c>
      <c r="N245" s="30">
        <f>ROUND('Смета ЕР (общ) '!$I245*'Смета ЕР (общ) '!$L245,2)</f>
        <v>0</v>
      </c>
      <c r="O245" s="30">
        <f>ROUND('Смета ЕР (общ) '!$I245*'Смета ЕР (общ) '!$M245,2)</f>
        <v>0</v>
      </c>
      <c r="P245" s="45"/>
    </row>
    <row r="246" spans="1:20" ht="14.4" hidden="1" x14ac:dyDescent="0.3">
      <c r="A246" s="26" t="s">
        <v>129</v>
      </c>
      <c r="B246" s="26">
        <v>12</v>
      </c>
      <c r="C246" s="26"/>
      <c r="D246" s="26">
        <v>2</v>
      </c>
      <c r="E246" s="26" t="str">
        <f>CONCATENATE('Смета ЕР (общ) '!$A246,".",'Смета ЕР (общ) '!$B246,".",'Смета ЕР (общ) '!$D246)</f>
        <v>Р2.12.2</v>
      </c>
      <c r="F246" s="26">
        <f t="shared" si="15"/>
        <v>1</v>
      </c>
      <c r="G246" s="27" t="s">
        <v>272</v>
      </c>
      <c r="H246" s="28" t="s">
        <v>118</v>
      </c>
      <c r="I246" s="158"/>
      <c r="J246" s="30">
        <v>3027.6</v>
      </c>
      <c r="K246" s="30">
        <v>0</v>
      </c>
      <c r="L246" s="30">
        <f t="shared" si="19"/>
        <v>3027.6</v>
      </c>
      <c r="M246" s="30">
        <f t="shared" si="19"/>
        <v>0</v>
      </c>
      <c r="N246" s="30">
        <f>ROUND('Смета ЕР (общ) '!$I246*'Смета ЕР (общ) '!$L246,2)</f>
        <v>0</v>
      </c>
      <c r="O246" s="30">
        <f>ROUND('Смета ЕР (общ) '!$I246*'Смета ЕР (общ) '!$M246,2)</f>
        <v>0</v>
      </c>
      <c r="P246" s="45"/>
    </row>
    <row r="247" spans="1:20" ht="14.4" hidden="1" x14ac:dyDescent="0.3">
      <c r="A247" s="26" t="s">
        <v>129</v>
      </c>
      <c r="B247" s="26">
        <v>12</v>
      </c>
      <c r="C247" s="26"/>
      <c r="D247" s="26">
        <v>5</v>
      </c>
      <c r="E247" s="26" t="str">
        <f>CONCATENATE('Смета ЕР (общ) '!$A247,".",'Смета ЕР (общ) '!$B247,".",'Смета ЕР (общ) '!$D247)</f>
        <v>Р2.12.5</v>
      </c>
      <c r="F247" s="26">
        <f t="shared" si="15"/>
        <v>1</v>
      </c>
      <c r="G247" s="27" t="s">
        <v>273</v>
      </c>
      <c r="H247" s="28" t="s">
        <v>40</v>
      </c>
      <c r="I247" s="158"/>
      <c r="J247" s="30">
        <v>626.4</v>
      </c>
      <c r="K247" s="30">
        <v>0</v>
      </c>
      <c r="L247" s="30">
        <f t="shared" si="19"/>
        <v>626.4</v>
      </c>
      <c r="M247" s="30">
        <f t="shared" si="19"/>
        <v>0</v>
      </c>
      <c r="N247" s="30">
        <f>ROUND('Смета ЕР (общ) '!$I247*'Смета ЕР (общ) '!$L247,2)</f>
        <v>0</v>
      </c>
      <c r="O247" s="30">
        <f>ROUND('Смета ЕР (общ) '!$I247*'Смета ЕР (общ) '!$M247,2)</f>
        <v>0</v>
      </c>
      <c r="P247" s="45"/>
    </row>
    <row r="248" spans="1:20" ht="14.4" hidden="1" x14ac:dyDescent="0.3">
      <c r="A248" s="26" t="s">
        <v>129</v>
      </c>
      <c r="B248" s="26">
        <v>12</v>
      </c>
      <c r="C248" s="26"/>
      <c r="D248" s="26">
        <v>3</v>
      </c>
      <c r="E248" s="26" t="str">
        <f>CONCATENATE('Смета ЕР (общ) '!$A248,".",'Смета ЕР (общ) '!$B248,".",'Смета ЕР (общ) '!$D248)</f>
        <v>Р2.12.3</v>
      </c>
      <c r="F248" s="26">
        <f t="shared" si="15"/>
        <v>1</v>
      </c>
      <c r="G248" s="27" t="s">
        <v>274</v>
      </c>
      <c r="H248" s="28" t="s">
        <v>40</v>
      </c>
      <c r="I248" s="158"/>
      <c r="J248" s="30">
        <v>174</v>
      </c>
      <c r="K248" s="30">
        <v>0</v>
      </c>
      <c r="L248" s="30">
        <f t="shared" si="19"/>
        <v>174</v>
      </c>
      <c r="M248" s="30">
        <f t="shared" si="19"/>
        <v>0</v>
      </c>
      <c r="N248" s="30">
        <f>ROUND('Смета ЕР (общ) '!$I248*'Смета ЕР (общ) '!$L248,2)</f>
        <v>0</v>
      </c>
      <c r="O248" s="30">
        <f>ROUND('Смета ЕР (общ) '!$I248*'Смета ЕР (общ) '!$M248,2)</f>
        <v>0</v>
      </c>
      <c r="P248" s="45"/>
    </row>
    <row r="249" spans="1:20" ht="14.4" hidden="1" x14ac:dyDescent="0.3">
      <c r="A249" s="26" t="s">
        <v>129</v>
      </c>
      <c r="B249" s="26">
        <v>12</v>
      </c>
      <c r="C249" s="26"/>
      <c r="D249" s="26">
        <v>4</v>
      </c>
      <c r="E249" s="26" t="str">
        <f>CONCATENATE('Смета ЕР (общ) '!$A249,".",'Смета ЕР (общ) '!$B249,".",'Смета ЕР (общ) '!$D249)</f>
        <v>Р2.12.4</v>
      </c>
      <c r="F249" s="26">
        <f t="shared" si="15"/>
        <v>1</v>
      </c>
      <c r="G249" s="27" t="s">
        <v>275</v>
      </c>
      <c r="H249" s="28" t="s">
        <v>229</v>
      </c>
      <c r="I249" s="158"/>
      <c r="J249" s="30">
        <v>5225</v>
      </c>
      <c r="K249" s="30">
        <v>0</v>
      </c>
      <c r="L249" s="30">
        <f t="shared" si="19"/>
        <v>5225</v>
      </c>
      <c r="M249" s="30">
        <f t="shared" si="19"/>
        <v>0</v>
      </c>
      <c r="N249" s="30">
        <f>ROUND('Смета ЕР (общ) '!$I249*'Смета ЕР (общ) '!$L249,2)</f>
        <v>0</v>
      </c>
      <c r="O249" s="30">
        <f>ROUND('Смета ЕР (общ) '!$I249*'Смета ЕР (общ) '!$M249,2)</f>
        <v>0</v>
      </c>
      <c r="P249" s="45"/>
    </row>
    <row r="250" spans="1:20" ht="14.4" hidden="1" x14ac:dyDescent="0.3">
      <c r="A250" s="26" t="s">
        <v>129</v>
      </c>
      <c r="B250" s="26">
        <v>12</v>
      </c>
      <c r="C250" s="26"/>
      <c r="D250" s="26">
        <v>6</v>
      </c>
      <c r="E250" s="26" t="str">
        <f>CONCATENATE('Смета ЕР (общ) '!$A250,".",'Смета ЕР (общ) '!$B250,".",'Смета ЕР (общ) '!$D250)</f>
        <v>Р2.12.6</v>
      </c>
      <c r="F250" s="26">
        <f t="shared" si="15"/>
        <v>1</v>
      </c>
      <c r="G250" s="27" t="s">
        <v>276</v>
      </c>
      <c r="H250" s="28" t="s">
        <v>118</v>
      </c>
      <c r="I250" s="158"/>
      <c r="J250" s="30">
        <v>8143.2</v>
      </c>
      <c r="K250" s="30">
        <v>0</v>
      </c>
      <c r="L250" s="30">
        <f t="shared" si="19"/>
        <v>8143.2</v>
      </c>
      <c r="M250" s="30">
        <f t="shared" si="19"/>
        <v>0</v>
      </c>
      <c r="N250" s="30">
        <f>ROUND('Смета ЕР (общ) '!$I250*'Смета ЕР (общ) '!$L250,2)</f>
        <v>0</v>
      </c>
      <c r="O250" s="30">
        <f>ROUND('Смета ЕР (общ) '!$I250*'Смета ЕР (общ) '!$M250,2)</f>
        <v>0</v>
      </c>
      <c r="P250" s="45"/>
    </row>
    <row r="251" spans="1:20" ht="14.4" hidden="1" x14ac:dyDescent="0.3">
      <c r="A251" s="26" t="s">
        <v>129</v>
      </c>
      <c r="B251" s="26">
        <v>12</v>
      </c>
      <c r="C251" s="26"/>
      <c r="D251" s="26">
        <v>10</v>
      </c>
      <c r="E251" s="26" t="str">
        <f>CONCATENATE('Смета ЕР (общ) '!$A251,".",'Смета ЕР (общ) '!$B251,".",'Смета ЕР (общ) '!$D251)</f>
        <v>Р2.12.10</v>
      </c>
      <c r="F251" s="26">
        <f>IF(I251&gt;0,F250+1,F250)</f>
        <v>1</v>
      </c>
      <c r="G251" s="27" t="s">
        <v>277</v>
      </c>
      <c r="H251" s="28" t="s">
        <v>118</v>
      </c>
      <c r="I251" s="158"/>
      <c r="J251" s="30">
        <v>305370</v>
      </c>
      <c r="K251" s="30">
        <v>0</v>
      </c>
      <c r="L251" s="30">
        <f t="shared" si="19"/>
        <v>305370</v>
      </c>
      <c r="M251" s="30">
        <f t="shared" si="19"/>
        <v>0</v>
      </c>
      <c r="N251" s="30">
        <f>ROUND('Смета ЕР (общ) '!$I251*'Смета ЕР (общ) '!$L251,2)</f>
        <v>0</v>
      </c>
      <c r="O251" s="30">
        <f>ROUND('Смета ЕР (общ) '!$I251*'Смета ЕР (общ) '!$M251,2)</f>
        <v>0</v>
      </c>
      <c r="P251" s="45"/>
    </row>
    <row r="252" spans="1:20" ht="60" hidden="1" x14ac:dyDescent="0.3">
      <c r="A252" s="26" t="s">
        <v>129</v>
      </c>
      <c r="B252" s="26">
        <v>12</v>
      </c>
      <c r="C252" s="26"/>
      <c r="D252" s="26">
        <v>11</v>
      </c>
      <c r="E252" s="26" t="str">
        <f>CONCATENATE('Смета ЕР (общ) '!$A252,".",'Смета ЕР (общ) '!$B252,".",'Смета ЕР (общ) '!$D252)</f>
        <v>Р2.12.11</v>
      </c>
      <c r="F252" s="26">
        <f>IF(I252&gt;0,F251+1,F251)</f>
        <v>1</v>
      </c>
      <c r="G252" s="27" t="s">
        <v>278</v>
      </c>
      <c r="H252" s="28" t="s">
        <v>40</v>
      </c>
      <c r="I252" s="158"/>
      <c r="J252" s="30">
        <v>820</v>
      </c>
      <c r="K252" s="30">
        <v>890</v>
      </c>
      <c r="L252" s="30">
        <f t="shared" si="19"/>
        <v>820</v>
      </c>
      <c r="M252" s="30">
        <f t="shared" si="19"/>
        <v>890</v>
      </c>
      <c r="N252" s="30">
        <f>ROUND('Смета ЕР (общ) '!$I252*'Смета ЕР (общ) '!$L252,2)</f>
        <v>0</v>
      </c>
      <c r="O252" s="30">
        <f>ROUND('Смета ЕР (общ) '!$I252*'Смета ЕР (общ) '!$M252,2)</f>
        <v>0</v>
      </c>
      <c r="P252" s="45"/>
    </row>
    <row r="253" spans="1:20" ht="34.950000000000003" customHeight="1" x14ac:dyDescent="0.3">
      <c r="A253" s="19" t="s">
        <v>279</v>
      </c>
      <c r="B253" s="19">
        <v>0</v>
      </c>
      <c r="C253" s="19"/>
      <c r="D253" s="19">
        <v>0</v>
      </c>
      <c r="E253" s="19" t="str">
        <f>CONCATENATE('Смета ЕР (общ) '!$A253,".",'Смета ЕР (общ) '!$B253,".",'Смета ЕР (общ) '!$D253)</f>
        <v>Р3.0.0</v>
      </c>
      <c r="F253" s="37">
        <f t="shared" si="15"/>
        <v>1</v>
      </c>
      <c r="G253" s="21" t="s">
        <v>280</v>
      </c>
      <c r="H253" s="22"/>
      <c r="I253" s="23">
        <f>N253</f>
        <v>0</v>
      </c>
      <c r="J253" s="36"/>
      <c r="K253" s="36"/>
      <c r="L253" s="25"/>
      <c r="M253" s="25"/>
      <c r="N253" s="25">
        <f>ROUND(N254+N296+N311+N347+N413+N447+N538+N558,2)</f>
        <v>0</v>
      </c>
      <c r="O253" s="25">
        <f>ROUND(O254+O296+O311+O348+O353+O358+O362+O368+O380+O393+O413+O448+O478+O538+O558,2)</f>
        <v>0</v>
      </c>
      <c r="P253" s="25"/>
      <c r="T253">
        <v>5377872.1999999993</v>
      </c>
    </row>
    <row r="254" spans="1:20" ht="34.950000000000003" customHeight="1" x14ac:dyDescent="0.3">
      <c r="A254" s="37" t="s">
        <v>279</v>
      </c>
      <c r="B254" s="37">
        <v>1</v>
      </c>
      <c r="C254" s="37"/>
      <c r="D254" s="37">
        <v>0</v>
      </c>
      <c r="E254" s="37" t="str">
        <f>CONCATENATE('Смета ЕР (общ) '!$A254,".",'Смета ЕР (общ) '!$B254,".",'Смета ЕР (общ) '!$D254)</f>
        <v>Р3.1.0</v>
      </c>
      <c r="F254" s="37">
        <f t="shared" si="15"/>
        <v>1</v>
      </c>
      <c r="G254" s="38" t="s">
        <v>281</v>
      </c>
      <c r="H254" s="22"/>
      <c r="I254" s="23">
        <f>N254</f>
        <v>0</v>
      </c>
      <c r="J254" s="36"/>
      <c r="K254" s="36"/>
      <c r="L254" s="25"/>
      <c r="M254" s="25"/>
      <c r="N254" s="25">
        <f>SUM(N255:N295)</f>
        <v>0</v>
      </c>
      <c r="O254" s="25">
        <f>SUM(O255:O295)</f>
        <v>0</v>
      </c>
      <c r="P254" s="25"/>
      <c r="T254">
        <v>1011935.72</v>
      </c>
    </row>
    <row r="255" spans="1:20" ht="14.4" hidden="1" x14ac:dyDescent="0.3">
      <c r="A255" s="26" t="s">
        <v>279</v>
      </c>
      <c r="B255" s="26">
        <v>1</v>
      </c>
      <c r="C255" s="26"/>
      <c r="D255" s="26">
        <v>1</v>
      </c>
      <c r="E255" s="26" t="str">
        <f>CONCATENATE('Смета ЕР (общ) '!$A255,".",'Смета ЕР (общ) '!$B255,".",'Смета ЕР (общ) '!$D255)</f>
        <v>Р3.1.1</v>
      </c>
      <c r="F255" s="26">
        <f t="shared" si="15"/>
        <v>1</v>
      </c>
      <c r="G255" s="27" t="s">
        <v>282</v>
      </c>
      <c r="H255" s="28" t="s">
        <v>40</v>
      </c>
      <c r="I255" s="158"/>
      <c r="J255" s="30">
        <v>2392.5</v>
      </c>
      <c r="K255" s="30">
        <v>1771.46</v>
      </c>
      <c r="L255" s="30">
        <f t="shared" ref="L255:M295" si="20">ROUND(J255-J255*$Q$3,2)</f>
        <v>2392.5</v>
      </c>
      <c r="M255" s="30">
        <f t="shared" si="20"/>
        <v>1771.46</v>
      </c>
      <c r="N255" s="30">
        <f>ROUND('Смета ЕР (общ) '!$I255*'Смета ЕР (общ) '!$L255,2)</f>
        <v>0</v>
      </c>
      <c r="O255" s="30">
        <f>ROUND('Смета ЕР (общ) '!$I255*'Смета ЕР (общ) '!$M255,2)</f>
        <v>0</v>
      </c>
      <c r="P255" s="45"/>
      <c r="T255">
        <v>50.61</v>
      </c>
    </row>
    <row r="256" spans="1:20" ht="108" x14ac:dyDescent="0.3">
      <c r="A256" s="26" t="s">
        <v>279</v>
      </c>
      <c r="B256" s="26"/>
      <c r="C256" s="26"/>
      <c r="D256" s="26"/>
      <c r="E256" s="26"/>
      <c r="F256" s="26">
        <f t="shared" si="15"/>
        <v>2</v>
      </c>
      <c r="G256" s="27" t="s">
        <v>1745</v>
      </c>
      <c r="H256" s="28" t="s">
        <v>40</v>
      </c>
      <c r="I256" s="177">
        <v>8.25</v>
      </c>
      <c r="J256" s="34"/>
      <c r="K256" s="34"/>
      <c r="L256" s="30">
        <f t="shared" si="20"/>
        <v>0</v>
      </c>
      <c r="M256" s="30">
        <f t="shared" si="20"/>
        <v>0</v>
      </c>
      <c r="N256" s="30">
        <f>ROUND('Смета ЕР (общ) '!$I256*'Смета ЕР (общ) '!$L256,2)</f>
        <v>0</v>
      </c>
      <c r="O256" s="30">
        <f>ROUND('Смета ЕР (общ) '!$I256*'Смета ЕР (общ) '!$M256,2)</f>
        <v>0</v>
      </c>
      <c r="P256" s="45"/>
    </row>
    <row r="257" spans="1:20" ht="14.4" hidden="1" x14ac:dyDescent="0.3">
      <c r="A257" s="26" t="s">
        <v>279</v>
      </c>
      <c r="B257" s="26">
        <v>1</v>
      </c>
      <c r="C257" s="26"/>
      <c r="D257" s="26">
        <v>2</v>
      </c>
      <c r="E257" s="26" t="str">
        <f>CONCATENATE('Смета ЕР (общ) '!$A257,".",'Смета ЕР (общ) '!$B257,".",'Смета ЕР (общ) '!$D257)</f>
        <v>Р3.1.2</v>
      </c>
      <c r="F257" s="26">
        <f>IF(I257&gt;0,F255+1,F255)</f>
        <v>1</v>
      </c>
      <c r="G257" s="41" t="s">
        <v>283</v>
      </c>
      <c r="H257" s="42" t="s">
        <v>40</v>
      </c>
      <c r="I257" s="158"/>
      <c r="J257" s="30">
        <v>2704.48</v>
      </c>
      <c r="K257" s="30">
        <v>3557.89</v>
      </c>
      <c r="L257" s="30">
        <f t="shared" si="20"/>
        <v>2704.48</v>
      </c>
      <c r="M257" s="30">
        <f t="shared" si="20"/>
        <v>3557.89</v>
      </c>
      <c r="N257" s="30">
        <f>ROUND('Смета ЕР (общ) '!$I257*'Смета ЕР (общ) '!$L257,2)</f>
        <v>0</v>
      </c>
      <c r="O257" s="30">
        <f>ROUND('Смета ЕР (общ) '!$I257*'Смета ЕР (общ) '!$M257,2)</f>
        <v>0</v>
      </c>
      <c r="P257" s="45"/>
    </row>
    <row r="258" spans="1:20" ht="14.4" hidden="1" x14ac:dyDescent="0.3">
      <c r="A258" s="26" t="s">
        <v>279</v>
      </c>
      <c r="B258" s="26">
        <v>1</v>
      </c>
      <c r="C258" s="26"/>
      <c r="D258" s="26">
        <v>3</v>
      </c>
      <c r="E258" s="26" t="str">
        <f>CONCATENATE('Смета ЕР (общ) '!$A258,".",'Смета ЕР (общ) '!$B258,".",'Смета ЕР (общ) '!$D258)</f>
        <v>Р3.1.3</v>
      </c>
      <c r="F258" s="26">
        <f t="shared" si="15"/>
        <v>1</v>
      </c>
      <c r="G258" s="27" t="s">
        <v>284</v>
      </c>
      <c r="H258" s="42" t="s">
        <v>40</v>
      </c>
      <c r="I258" s="158"/>
      <c r="J258" s="30">
        <v>2035.8</v>
      </c>
      <c r="K258" s="30">
        <v>3824.36</v>
      </c>
      <c r="L258" s="30">
        <f t="shared" si="20"/>
        <v>2035.8</v>
      </c>
      <c r="M258" s="30">
        <f t="shared" si="20"/>
        <v>3824.36</v>
      </c>
      <c r="N258" s="30">
        <f>ROUND('Смета ЕР (общ) '!$I258*'Смета ЕР (общ) '!$L258,2)</f>
        <v>0</v>
      </c>
      <c r="O258" s="30">
        <f>ROUND('Смета ЕР (общ) '!$I258*'Смета ЕР (общ) '!$M258,2)</f>
        <v>0</v>
      </c>
      <c r="P258" s="45"/>
    </row>
    <row r="259" spans="1:20" ht="14.4" hidden="1" x14ac:dyDescent="0.3">
      <c r="A259" s="26" t="s">
        <v>279</v>
      </c>
      <c r="B259" s="26">
        <v>1</v>
      </c>
      <c r="C259" s="26"/>
      <c r="D259" s="26">
        <v>4</v>
      </c>
      <c r="E259" s="26" t="str">
        <f>CONCATENATE('Смета ЕР (общ) '!$A259,".",'Смета ЕР (общ) '!$B259,".",'Смета ЕР (общ) '!$D259)</f>
        <v>Р3.1.4</v>
      </c>
      <c r="F259" s="26">
        <f t="shared" si="15"/>
        <v>1</v>
      </c>
      <c r="G259" s="27" t="s">
        <v>285</v>
      </c>
      <c r="H259" s="42" t="s">
        <v>144</v>
      </c>
      <c r="I259" s="158"/>
      <c r="J259" s="30">
        <v>9787.5</v>
      </c>
      <c r="K259" s="30">
        <v>14433.36</v>
      </c>
      <c r="L259" s="30">
        <f t="shared" si="20"/>
        <v>9787.5</v>
      </c>
      <c r="M259" s="30">
        <f t="shared" si="20"/>
        <v>14433.36</v>
      </c>
      <c r="N259" s="30">
        <f>ROUND('Смета ЕР (общ) '!$I259*'Смета ЕР (общ) '!$L259,2)</f>
        <v>0</v>
      </c>
      <c r="O259" s="30">
        <f>ROUND('Смета ЕР (общ) '!$I259*'Смета ЕР (общ) '!$M259,2)</f>
        <v>0</v>
      </c>
      <c r="P259" s="45"/>
    </row>
    <row r="260" spans="1:20" ht="14.4" hidden="1" x14ac:dyDescent="0.3">
      <c r="A260" s="26" t="s">
        <v>279</v>
      </c>
      <c r="B260" s="26">
        <v>1</v>
      </c>
      <c r="C260" s="26"/>
      <c r="D260" s="26">
        <v>5</v>
      </c>
      <c r="E260" s="26" t="str">
        <f>CONCATENATE('Смета ЕР (общ) '!$A260,".",'Смета ЕР (общ) '!$B260,".",'Смета ЕР (общ) '!$D260)</f>
        <v>Р3.1.5</v>
      </c>
      <c r="F260" s="26">
        <f t="shared" si="15"/>
        <v>1</v>
      </c>
      <c r="G260" s="27" t="s">
        <v>286</v>
      </c>
      <c r="H260" s="28" t="s">
        <v>147</v>
      </c>
      <c r="I260" s="158"/>
      <c r="J260" s="30">
        <v>1045</v>
      </c>
      <c r="K260" s="30">
        <v>898.67</v>
      </c>
      <c r="L260" s="30">
        <f t="shared" si="20"/>
        <v>1045</v>
      </c>
      <c r="M260" s="30">
        <f t="shared" si="20"/>
        <v>898.67</v>
      </c>
      <c r="N260" s="30">
        <f>ROUND('Смета ЕР (общ) '!$I260*'Смета ЕР (общ) '!$L260,2)</f>
        <v>0</v>
      </c>
      <c r="O260" s="30">
        <f>ROUND('Смета ЕР (общ) '!$I260*'Смета ЕР (общ) '!$M260,2)</f>
        <v>0</v>
      </c>
      <c r="P260" s="45"/>
      <c r="T260">
        <v>12</v>
      </c>
    </row>
    <row r="261" spans="1:20" ht="14.4" hidden="1" x14ac:dyDescent="0.3">
      <c r="A261" s="46" t="s">
        <v>279</v>
      </c>
      <c r="B261" s="46">
        <v>1</v>
      </c>
      <c r="C261" s="46"/>
      <c r="D261" s="46">
        <v>15</v>
      </c>
      <c r="E261" s="46" t="str">
        <f>CONCATENATE('Смета ЕР (общ) '!$A261,".",'Смета ЕР (общ) '!$B261,".",'Смета ЕР (общ) '!$D261)</f>
        <v>Р3.1.15</v>
      </c>
      <c r="F261" s="46">
        <f t="shared" si="15"/>
        <v>1</v>
      </c>
      <c r="G261" s="47" t="s">
        <v>287</v>
      </c>
      <c r="H261" s="48" t="s">
        <v>147</v>
      </c>
      <c r="I261" s="158"/>
      <c r="J261" s="30">
        <v>1045</v>
      </c>
      <c r="K261" s="30">
        <v>1149.76</v>
      </c>
      <c r="L261" s="50">
        <f t="shared" si="20"/>
        <v>1045</v>
      </c>
      <c r="M261" s="50">
        <f t="shared" si="20"/>
        <v>1149.76</v>
      </c>
      <c r="N261" s="50">
        <f>ROUND('Смета ЕР (общ) '!$I261*'Смета ЕР (общ) '!$L261,2)</f>
        <v>0</v>
      </c>
      <c r="O261" s="50">
        <f>ROUND('Смета ЕР (общ) '!$I261*'Смета ЕР (общ) '!$M261,2)</f>
        <v>0</v>
      </c>
      <c r="P261" s="45"/>
    </row>
    <row r="262" spans="1:20" ht="14.4" hidden="1" x14ac:dyDescent="0.3">
      <c r="A262" s="26" t="s">
        <v>279</v>
      </c>
      <c r="B262" s="26">
        <v>1</v>
      </c>
      <c r="C262" s="26"/>
      <c r="D262" s="26">
        <v>6</v>
      </c>
      <c r="E262" s="26" t="str">
        <f>CONCATENATE('Смета ЕР (общ) '!$A262,".",'Смета ЕР (общ) '!$B262,".",'Смета ЕР (общ) '!$D262)</f>
        <v>Р3.1.6</v>
      </c>
      <c r="F262" s="26">
        <f t="shared" si="15"/>
        <v>1</v>
      </c>
      <c r="G262" s="27" t="s">
        <v>288</v>
      </c>
      <c r="H262" s="28" t="s">
        <v>147</v>
      </c>
      <c r="I262" s="158"/>
      <c r="J262" s="30">
        <v>2090</v>
      </c>
      <c r="K262" s="30">
        <v>1746.37</v>
      </c>
      <c r="L262" s="30">
        <f t="shared" si="20"/>
        <v>2090</v>
      </c>
      <c r="M262" s="30">
        <f t="shared" si="20"/>
        <v>1746.37</v>
      </c>
      <c r="N262" s="30">
        <f>ROUND('Смета ЕР (общ) '!$I262*'Смета ЕР (общ) '!$L262,2)</f>
        <v>0</v>
      </c>
      <c r="O262" s="30">
        <f>ROUND('Смета ЕР (общ) '!$I262*'Смета ЕР (общ) '!$M262,2)</f>
        <v>0</v>
      </c>
      <c r="P262" s="45"/>
      <c r="T262">
        <v>24</v>
      </c>
    </row>
    <row r="263" spans="1:20" ht="36" hidden="1" x14ac:dyDescent="0.3">
      <c r="A263" s="26" t="s">
        <v>279</v>
      </c>
      <c r="B263" s="26">
        <v>1</v>
      </c>
      <c r="C263" s="26"/>
      <c r="D263" s="26">
        <v>9</v>
      </c>
      <c r="E263" s="26" t="str">
        <f>CONCATENATE('Смета ЕР (общ) '!$A263,".",'Смета ЕР (общ) '!$B263,".",'Смета ЕР (общ) '!$D263)</f>
        <v>Р3.1.9</v>
      </c>
      <c r="F263" s="26">
        <f t="shared" si="15"/>
        <v>1</v>
      </c>
      <c r="G263" s="27" t="s">
        <v>289</v>
      </c>
      <c r="H263" s="42" t="s">
        <v>40</v>
      </c>
      <c r="I263" s="158"/>
      <c r="J263" s="30">
        <v>1722.6</v>
      </c>
      <c r="K263" s="30">
        <v>1130.31</v>
      </c>
      <c r="L263" s="30">
        <f t="shared" si="20"/>
        <v>1722.6</v>
      </c>
      <c r="M263" s="30">
        <f t="shared" si="20"/>
        <v>1130.31</v>
      </c>
      <c r="N263" s="30">
        <f>ROUND('Смета ЕР (общ) '!$I263*'Смета ЕР (общ) '!$L263,2)</f>
        <v>0</v>
      </c>
      <c r="O263" s="30">
        <f>ROUND('Смета ЕР (общ) '!$I263*'Смета ЕР (общ) '!$M263,2)</f>
        <v>0</v>
      </c>
      <c r="P263" s="45"/>
    </row>
    <row r="264" spans="1:20" ht="36" hidden="1" x14ac:dyDescent="0.3">
      <c r="A264" s="26" t="s">
        <v>279</v>
      </c>
      <c r="B264" s="26">
        <v>1</v>
      </c>
      <c r="C264" s="26"/>
      <c r="D264" s="26">
        <v>7</v>
      </c>
      <c r="E264" s="26" t="str">
        <f>CONCATENATE('Смета ЕР (общ) '!$A264,".",'Смета ЕР (общ) '!$B264,".",'Смета ЕР (общ) '!$D264)</f>
        <v>Р3.1.7</v>
      </c>
      <c r="F264" s="26">
        <f t="shared" si="15"/>
        <v>1</v>
      </c>
      <c r="G264" s="27" t="s">
        <v>290</v>
      </c>
      <c r="H264" s="42" t="s">
        <v>40</v>
      </c>
      <c r="I264" s="158"/>
      <c r="J264" s="30">
        <v>1894.86</v>
      </c>
      <c r="K264" s="30">
        <v>1416.65</v>
      </c>
      <c r="L264" s="30">
        <f t="shared" si="20"/>
        <v>1894.86</v>
      </c>
      <c r="M264" s="30">
        <f t="shared" si="20"/>
        <v>1416.65</v>
      </c>
      <c r="N264" s="30">
        <f>ROUND('Смета ЕР (общ) '!$I264*'Смета ЕР (общ) '!$L264,2)</f>
        <v>0</v>
      </c>
      <c r="O264" s="30">
        <f>ROUND('Смета ЕР (общ) '!$I264*'Смета ЕР (общ) '!$M264,2)</f>
        <v>0</v>
      </c>
      <c r="P264" s="29" t="s">
        <v>291</v>
      </c>
      <c r="T264">
        <v>89.25</v>
      </c>
    </row>
    <row r="265" spans="1:20" ht="55.5" hidden="1" customHeight="1" x14ac:dyDescent="0.3">
      <c r="A265" s="26" t="s">
        <v>279</v>
      </c>
      <c r="B265" s="26">
        <v>1</v>
      </c>
      <c r="C265" s="26"/>
      <c r="D265" s="26">
        <v>8</v>
      </c>
      <c r="E265" s="26" t="str">
        <f>CONCATENATE('Смета ЕР (общ) '!$A265,".",'Смета ЕР (общ) '!$B265,".",'Смета ЕР (общ) '!$D265)</f>
        <v>Р3.1.8</v>
      </c>
      <c r="F265" s="26">
        <f t="shared" si="15"/>
        <v>1</v>
      </c>
      <c r="G265" s="27" t="s">
        <v>292</v>
      </c>
      <c r="H265" s="42" t="s">
        <v>40</v>
      </c>
      <c r="I265" s="158"/>
      <c r="J265" s="30">
        <v>1305.22</v>
      </c>
      <c r="K265" s="30">
        <v>612.99</v>
      </c>
      <c r="L265" s="30">
        <f t="shared" si="20"/>
        <v>1305.22</v>
      </c>
      <c r="M265" s="30">
        <f t="shared" si="20"/>
        <v>612.99</v>
      </c>
      <c r="N265" s="30">
        <f>ROUND('Смета ЕР (общ) '!$I265*'Смета ЕР (общ) '!$L265,2)</f>
        <v>0</v>
      </c>
      <c r="O265" s="30">
        <f>ROUND('Смета ЕР (общ) '!$I265*'Смета ЕР (общ) '!$M265,2)</f>
        <v>0</v>
      </c>
      <c r="P265" s="29" t="s">
        <v>293</v>
      </c>
      <c r="T265">
        <v>321.5</v>
      </c>
    </row>
    <row r="266" spans="1:20" ht="36" hidden="1" x14ac:dyDescent="0.3">
      <c r="A266" s="26" t="s">
        <v>279</v>
      </c>
      <c r="B266" s="26">
        <v>1</v>
      </c>
      <c r="C266" s="26"/>
      <c r="D266" s="26">
        <v>27</v>
      </c>
      <c r="E266" s="26" t="str">
        <f>CONCATENATE('Смета ЕР (общ) '!$A266,".",'Смета ЕР (общ) '!$B266,".",'Смета ЕР (общ) '!$D266)</f>
        <v>Р3.1.27</v>
      </c>
      <c r="F266" s="26">
        <f t="shared" si="15"/>
        <v>1</v>
      </c>
      <c r="G266" s="27" t="s">
        <v>294</v>
      </c>
      <c r="H266" s="42" t="s">
        <v>40</v>
      </c>
      <c r="I266" s="158"/>
      <c r="J266" s="30">
        <v>1515.98</v>
      </c>
      <c r="K266" s="30">
        <v>660</v>
      </c>
      <c r="L266" s="30">
        <f t="shared" si="20"/>
        <v>1515.98</v>
      </c>
      <c r="M266" s="30">
        <f t="shared" si="20"/>
        <v>660</v>
      </c>
      <c r="N266" s="30">
        <f>ROUND('Смета ЕР (общ) '!$I266*'Смета ЕР (общ) '!$L266,2)</f>
        <v>0</v>
      </c>
      <c r="O266" s="30">
        <f>ROUND('Смета ЕР (общ) '!$I266*'Смета ЕР (общ) '!$M266,2)</f>
        <v>0</v>
      </c>
      <c r="P266" s="29"/>
    </row>
    <row r="267" spans="1:20" ht="36" hidden="1" x14ac:dyDescent="0.3">
      <c r="A267" s="26" t="s">
        <v>279</v>
      </c>
      <c r="B267" s="26">
        <v>1</v>
      </c>
      <c r="C267" s="26"/>
      <c r="D267" s="26">
        <v>33</v>
      </c>
      <c r="E267" s="26" t="str">
        <f>CONCATENATE('Смета ЕР (общ) '!$A267,".",'Смета ЕР (общ) '!$B267,".",'Смета ЕР (общ) '!$D267)</f>
        <v>Р3.1.33</v>
      </c>
      <c r="F267" s="26">
        <f t="shared" si="15"/>
        <v>1</v>
      </c>
      <c r="G267" s="27" t="s">
        <v>295</v>
      </c>
      <c r="H267" s="42" t="s">
        <v>40</v>
      </c>
      <c r="I267" s="158"/>
      <c r="J267" s="30">
        <v>1305.22</v>
      </c>
      <c r="K267" s="30">
        <v>1366.98</v>
      </c>
      <c r="L267" s="30">
        <f t="shared" si="20"/>
        <v>1305.22</v>
      </c>
      <c r="M267" s="30">
        <f t="shared" si="20"/>
        <v>1366.98</v>
      </c>
      <c r="N267" s="30">
        <f>ROUND('Смета ЕР (общ) '!$I267*'Смета ЕР (общ) '!$L267,2)</f>
        <v>0</v>
      </c>
      <c r="O267" s="30">
        <f>ROUND('Смета ЕР (общ) '!$I267*'Смета ЕР (общ) '!$M267,2)</f>
        <v>0</v>
      </c>
      <c r="P267" s="29"/>
    </row>
    <row r="268" spans="1:20" ht="36" hidden="1" x14ac:dyDescent="0.3">
      <c r="A268" s="26" t="s">
        <v>279</v>
      </c>
      <c r="B268" s="26">
        <v>1</v>
      </c>
      <c r="C268" s="26"/>
      <c r="D268" s="26">
        <v>34</v>
      </c>
      <c r="E268" s="26" t="str">
        <f>CONCATENATE('Смета ЕР (общ) '!$A268,".",'Смета ЕР (общ) '!$B268,".",'Смета ЕР (общ) '!$D268)</f>
        <v>Р3.1.34</v>
      </c>
      <c r="F268" s="26">
        <f t="shared" si="15"/>
        <v>1</v>
      </c>
      <c r="G268" s="27" t="s">
        <v>296</v>
      </c>
      <c r="H268" s="42" t="s">
        <v>40</v>
      </c>
      <c r="I268" s="158"/>
      <c r="J268" s="30">
        <v>1515.98</v>
      </c>
      <c r="K268" s="30">
        <v>1535.22</v>
      </c>
      <c r="L268" s="50">
        <f t="shared" si="20"/>
        <v>1515.98</v>
      </c>
      <c r="M268" s="50">
        <f t="shared" si="20"/>
        <v>1535.22</v>
      </c>
      <c r="N268" s="50">
        <f>ROUND('Смета ЕР (общ) '!$I268*'Смета ЕР (общ) '!$L268,2)</f>
        <v>0</v>
      </c>
      <c r="O268" s="50">
        <f>ROUND('Смета ЕР (общ) '!$I268*'Смета ЕР (общ) '!$M268,2)</f>
        <v>0</v>
      </c>
      <c r="P268" s="29"/>
    </row>
    <row r="269" spans="1:20" ht="36" hidden="1" x14ac:dyDescent="0.3">
      <c r="A269" s="26" t="s">
        <v>279</v>
      </c>
      <c r="B269" s="26">
        <v>1</v>
      </c>
      <c r="C269" s="26"/>
      <c r="D269" s="26">
        <v>10</v>
      </c>
      <c r="E269" s="26" t="str">
        <f>CONCATENATE('Смета ЕР (общ) '!$A269,".",'Смета ЕР (общ) '!$B269,".",'Смета ЕР (общ) '!$D269)</f>
        <v>Р3.1.10</v>
      </c>
      <c r="F269" s="26">
        <f t="shared" si="15"/>
        <v>1</v>
      </c>
      <c r="G269" s="27" t="s">
        <v>297</v>
      </c>
      <c r="H269" s="42" t="s">
        <v>40</v>
      </c>
      <c r="I269" s="158"/>
      <c r="J269" s="30">
        <v>1305.22</v>
      </c>
      <c r="K269" s="30">
        <v>805.24</v>
      </c>
      <c r="L269" s="30">
        <f t="shared" si="20"/>
        <v>1305.22</v>
      </c>
      <c r="M269" s="30">
        <f t="shared" si="20"/>
        <v>805.24</v>
      </c>
      <c r="N269" s="30">
        <f>ROUND('Смета ЕР (общ) '!$I269*'Смета ЕР (общ) '!$L269,2)</f>
        <v>0</v>
      </c>
      <c r="O269" s="30">
        <f>ROUND('Смета ЕР (общ) '!$I269*'Смета ЕР (общ) '!$M269,2)</f>
        <v>0</v>
      </c>
      <c r="P269" s="45"/>
    </row>
    <row r="270" spans="1:20" ht="24" hidden="1" x14ac:dyDescent="0.3">
      <c r="A270" s="26" t="s">
        <v>279</v>
      </c>
      <c r="B270" s="26">
        <v>1</v>
      </c>
      <c r="C270" s="26"/>
      <c r="D270" s="26">
        <v>11</v>
      </c>
      <c r="E270" s="26" t="str">
        <f>CONCATENATE('Смета ЕР (общ) '!$A270,".",'Смета ЕР (общ) '!$B270,".",'Смета ЕР (общ) '!$D270)</f>
        <v>Р3.1.11</v>
      </c>
      <c r="F270" s="26">
        <f t="shared" si="15"/>
        <v>1</v>
      </c>
      <c r="G270" s="27" t="s">
        <v>298</v>
      </c>
      <c r="H270" s="42" t="s">
        <v>40</v>
      </c>
      <c r="I270" s="158"/>
      <c r="J270" s="30">
        <v>1357.2</v>
      </c>
      <c r="K270" s="30">
        <v>350.02</v>
      </c>
      <c r="L270" s="30">
        <f t="shared" si="20"/>
        <v>1357.2</v>
      </c>
      <c r="M270" s="30">
        <f t="shared" si="20"/>
        <v>350.02</v>
      </c>
      <c r="N270" s="30">
        <f>ROUND('Смета ЕР (общ) '!$I270*'Смета ЕР (общ) '!$L270,2)</f>
        <v>0</v>
      </c>
      <c r="O270" s="30">
        <f>ROUND('Смета ЕР (общ) '!$I270*'Смета ЕР (общ) '!$M270,2)</f>
        <v>0</v>
      </c>
      <c r="P270" s="45"/>
    </row>
    <row r="271" spans="1:20" ht="14.4" hidden="1" x14ac:dyDescent="0.3">
      <c r="A271" s="26" t="s">
        <v>279</v>
      </c>
      <c r="B271" s="26">
        <v>1</v>
      </c>
      <c r="C271" s="26"/>
      <c r="D271" s="26">
        <v>12</v>
      </c>
      <c r="E271" s="26" t="str">
        <f>CONCATENATE('Смета ЕР (общ) '!$A271,".",'Смета ЕР (общ) '!$B271,".",'Смета ЕР (общ) '!$D271)</f>
        <v>Р3.1.12</v>
      </c>
      <c r="F271" s="26">
        <f t="shared" si="15"/>
        <v>1</v>
      </c>
      <c r="G271" s="27" t="s">
        <v>299</v>
      </c>
      <c r="H271" s="28" t="s">
        <v>40</v>
      </c>
      <c r="I271" s="158"/>
      <c r="J271" s="30">
        <v>1305</v>
      </c>
      <c r="K271" s="30">
        <v>1270.72</v>
      </c>
      <c r="L271" s="30">
        <f t="shared" si="20"/>
        <v>1305</v>
      </c>
      <c r="M271" s="30">
        <f t="shared" si="20"/>
        <v>1270.72</v>
      </c>
      <c r="N271" s="30">
        <f>ROUND('Смета ЕР (общ) '!$I271*'Смета ЕР (общ) '!$L271,2)</f>
        <v>0</v>
      </c>
      <c r="O271" s="30">
        <f>ROUND('Смета ЕР (общ) '!$I271*'Смета ЕР (общ) '!$M271,2)</f>
        <v>0</v>
      </c>
      <c r="P271" s="45"/>
      <c r="T271">
        <v>45</v>
      </c>
    </row>
    <row r="272" spans="1:20" ht="14.4" hidden="1" x14ac:dyDescent="0.3">
      <c r="A272" s="26" t="s">
        <v>279</v>
      </c>
      <c r="B272" s="26">
        <v>1</v>
      </c>
      <c r="C272" s="26"/>
      <c r="D272" s="26">
        <v>13</v>
      </c>
      <c r="E272" s="26" t="str">
        <f>CONCATENATE('Смета ЕР (общ) '!$A272,".",'Смета ЕР (общ) '!$B272,".",'Смета ЕР (общ) '!$D272)</f>
        <v>Р3.1.13</v>
      </c>
      <c r="F272" s="26">
        <f t="shared" si="15"/>
        <v>1</v>
      </c>
      <c r="G272" s="27" t="s">
        <v>300</v>
      </c>
      <c r="H272" s="42" t="s">
        <v>40</v>
      </c>
      <c r="I272" s="158"/>
      <c r="J272" s="30">
        <v>106.14</v>
      </c>
      <c r="K272" s="30">
        <v>314.04000000000002</v>
      </c>
      <c r="L272" s="30">
        <f t="shared" si="20"/>
        <v>106.14</v>
      </c>
      <c r="M272" s="30">
        <f t="shared" si="20"/>
        <v>314.04000000000002</v>
      </c>
      <c r="N272" s="30">
        <f>ROUND('Смета ЕР (общ) '!$I272*'Смета ЕР (общ) '!$L272,2)</f>
        <v>0</v>
      </c>
      <c r="O272" s="30">
        <f>ROUND('Смета ЕР (общ) '!$I272*'Смета ЕР (общ) '!$M272,2)</f>
        <v>0</v>
      </c>
      <c r="P272" s="45"/>
      <c r="T272">
        <v>199.25</v>
      </c>
    </row>
    <row r="273" spans="1:20" ht="14.4" hidden="1" x14ac:dyDescent="0.3">
      <c r="A273" s="26" t="s">
        <v>279</v>
      </c>
      <c r="B273" s="26">
        <v>1</v>
      </c>
      <c r="C273" s="26"/>
      <c r="D273" s="26">
        <v>14</v>
      </c>
      <c r="E273" s="26" t="str">
        <f>CONCATENATE('Смета ЕР (общ) '!$A273,".",'Смета ЕР (общ) '!$B273,".",'Смета ЕР (общ) '!$D273)</f>
        <v>Р3.1.14</v>
      </c>
      <c r="F273" s="26">
        <f t="shared" ref="F273:F336" si="21">IF(I273&gt;0,F272+1,F272)</f>
        <v>1</v>
      </c>
      <c r="G273" s="27" t="s">
        <v>301</v>
      </c>
      <c r="H273" s="28" t="s">
        <v>40</v>
      </c>
      <c r="I273" s="158"/>
      <c r="J273" s="30">
        <v>977.08</v>
      </c>
      <c r="K273" s="30">
        <v>432.43</v>
      </c>
      <c r="L273" s="30">
        <f t="shared" si="20"/>
        <v>977.08</v>
      </c>
      <c r="M273" s="30">
        <f t="shared" si="20"/>
        <v>432.43</v>
      </c>
      <c r="N273" s="30">
        <f>ROUND('Смета ЕР (общ) '!$I273*'Смета ЕР (общ) '!$L273,2)</f>
        <v>0</v>
      </c>
      <c r="O273" s="30">
        <f>ROUND('Смета ЕР (общ) '!$I273*'Смета ЕР (общ) '!$M273,2)</f>
        <v>0</v>
      </c>
      <c r="P273" s="45"/>
      <c r="T273">
        <v>10</v>
      </c>
    </row>
    <row r="274" spans="1:20" ht="24" hidden="1" x14ac:dyDescent="0.3">
      <c r="A274" s="26" t="s">
        <v>279</v>
      </c>
      <c r="B274" s="26">
        <v>1</v>
      </c>
      <c r="C274" s="26"/>
      <c r="D274" s="26">
        <v>19</v>
      </c>
      <c r="E274" s="26" t="str">
        <f>CONCATENATE('Смета ЕР (общ) '!$A274,".",'Смета ЕР (общ) '!$B274,".",'Смета ЕР (общ) '!$D274)</f>
        <v>Р3.1.19</v>
      </c>
      <c r="F274" s="26">
        <f t="shared" si="21"/>
        <v>1</v>
      </c>
      <c r="G274" s="27" t="s">
        <v>302</v>
      </c>
      <c r="H274" s="28" t="s">
        <v>147</v>
      </c>
      <c r="I274" s="158"/>
      <c r="J274" s="30">
        <v>2090</v>
      </c>
      <c r="K274" s="30">
        <v>1637.13</v>
      </c>
      <c r="L274" s="30">
        <f t="shared" si="20"/>
        <v>2090</v>
      </c>
      <c r="M274" s="30">
        <f t="shared" si="20"/>
        <v>1637.13</v>
      </c>
      <c r="N274" s="30">
        <f>ROUND('Смета ЕР (общ) '!$I274*'Смета ЕР (общ) '!$L274,2)</f>
        <v>0</v>
      </c>
      <c r="O274" s="30">
        <f>ROUND('Смета ЕР (общ) '!$I274*'Смета ЕР (общ) '!$M274,2)</f>
        <v>0</v>
      </c>
      <c r="P274" s="45"/>
      <c r="T274">
        <v>40</v>
      </c>
    </row>
    <row r="275" spans="1:20" ht="14.4" hidden="1" x14ac:dyDescent="0.3">
      <c r="A275" s="26" t="s">
        <v>279</v>
      </c>
      <c r="B275" s="26">
        <v>1</v>
      </c>
      <c r="C275" s="26"/>
      <c r="D275" s="26">
        <v>20</v>
      </c>
      <c r="E275" s="26" t="str">
        <f>CONCATENATE('Смета ЕР (общ) '!$A275,".",'Смета ЕР (общ) '!$B275,".",'Смета ЕР (общ) '!$D275)</f>
        <v>Р3.1.20</v>
      </c>
      <c r="F275" s="26">
        <f t="shared" si="21"/>
        <v>1</v>
      </c>
      <c r="G275" s="27" t="s">
        <v>303</v>
      </c>
      <c r="H275" s="28" t="s">
        <v>147</v>
      </c>
      <c r="I275" s="158"/>
      <c r="J275" s="30">
        <v>616.1</v>
      </c>
      <c r="K275" s="30">
        <v>0</v>
      </c>
      <c r="L275" s="30">
        <f t="shared" si="20"/>
        <v>616.1</v>
      </c>
      <c r="M275" s="30">
        <f t="shared" si="20"/>
        <v>0</v>
      </c>
      <c r="N275" s="30">
        <f>ROUND('Смета ЕР (общ) '!$I275*'Смета ЕР (общ) '!$L275,2)</f>
        <v>0</v>
      </c>
      <c r="O275" s="30">
        <f>ROUND('Смета ЕР (общ) '!$I275*'Смета ЕР (общ) '!$M275,2)</f>
        <v>0</v>
      </c>
      <c r="P275" s="45"/>
      <c r="T275">
        <v>10</v>
      </c>
    </row>
    <row r="276" spans="1:20" ht="24" hidden="1" x14ac:dyDescent="0.3">
      <c r="A276" s="26" t="s">
        <v>279</v>
      </c>
      <c r="B276" s="26">
        <v>1</v>
      </c>
      <c r="C276" s="26"/>
      <c r="D276" s="26">
        <v>21</v>
      </c>
      <c r="E276" s="26" t="str">
        <f>CONCATENATE('Смета ЕР (общ) '!$A276,".",'Смета ЕР (общ) '!$B276,".",'Смета ЕР (общ) '!$D276)</f>
        <v>Р3.1.21</v>
      </c>
      <c r="F276" s="26">
        <f t="shared" si="21"/>
        <v>1</v>
      </c>
      <c r="G276" s="27" t="s">
        <v>304</v>
      </c>
      <c r="H276" s="28" t="s">
        <v>147</v>
      </c>
      <c r="I276" s="158"/>
      <c r="J276" s="30">
        <v>585.20000000000005</v>
      </c>
      <c r="K276" s="30">
        <v>0</v>
      </c>
      <c r="L276" s="30">
        <f t="shared" si="20"/>
        <v>585.20000000000005</v>
      </c>
      <c r="M276" s="30">
        <f t="shared" si="20"/>
        <v>0</v>
      </c>
      <c r="N276" s="30">
        <f>ROUND('Смета ЕР (общ) '!$I276*'Смета ЕР (общ) '!$L276,2)</f>
        <v>0</v>
      </c>
      <c r="O276" s="30">
        <f>ROUND('Смета ЕР (общ) '!$I276*'Смета ЕР (общ) '!$M276,2)</f>
        <v>0</v>
      </c>
      <c r="P276" s="45"/>
    </row>
    <row r="277" spans="1:20" ht="24" hidden="1" x14ac:dyDescent="0.3">
      <c r="A277" s="51" t="s">
        <v>279</v>
      </c>
      <c r="B277" s="51">
        <v>1</v>
      </c>
      <c r="C277" s="51"/>
      <c r="D277" s="51">
        <v>22</v>
      </c>
      <c r="E277" s="51" t="str">
        <f>CONCATENATE('Смета ЕР (общ) '!$A277,".",'Смета ЕР (общ) '!$B277,".",'Смета ЕР (общ) '!$D277)</f>
        <v>Р3.1.22</v>
      </c>
      <c r="F277" s="51">
        <f t="shared" si="21"/>
        <v>1</v>
      </c>
      <c r="G277" s="52" t="s">
        <v>305</v>
      </c>
      <c r="H277" s="53" t="s">
        <v>144</v>
      </c>
      <c r="I277" s="158"/>
      <c r="J277" s="30">
        <v>25414.48</v>
      </c>
      <c r="K277" s="30">
        <v>0</v>
      </c>
      <c r="L277" s="30">
        <f t="shared" si="20"/>
        <v>25414.48</v>
      </c>
      <c r="M277" s="30">
        <f t="shared" si="20"/>
        <v>0</v>
      </c>
      <c r="N277" s="30">
        <f>ROUND('Смета ЕР (общ) '!$I277*'Смета ЕР (общ) '!$L277,2)</f>
        <v>0</v>
      </c>
      <c r="O277" s="30">
        <f>ROUND('Смета ЕР (общ) '!$I277*'Смета ЕР (общ) '!$M277,2)</f>
        <v>0</v>
      </c>
      <c r="P277" s="45"/>
    </row>
    <row r="278" spans="1:20" ht="24" hidden="1" x14ac:dyDescent="0.3">
      <c r="A278" s="51" t="s">
        <v>279</v>
      </c>
      <c r="B278" s="51">
        <v>1</v>
      </c>
      <c r="C278" s="51"/>
      <c r="D278" s="51">
        <v>23</v>
      </c>
      <c r="E278" s="51" t="str">
        <f>CONCATENATE('Смета ЕР (общ) '!$A278,".",'Смета ЕР (общ) '!$B278,".",'Смета ЕР (общ) '!$D278)</f>
        <v>Р3.1.23</v>
      </c>
      <c r="F278" s="51">
        <f t="shared" si="21"/>
        <v>1</v>
      </c>
      <c r="G278" s="52" t="s">
        <v>306</v>
      </c>
      <c r="H278" s="53" t="s">
        <v>144</v>
      </c>
      <c r="I278" s="158"/>
      <c r="J278" s="30">
        <v>31115.45</v>
      </c>
      <c r="K278" s="30">
        <v>0</v>
      </c>
      <c r="L278" s="30">
        <f t="shared" si="20"/>
        <v>31115.45</v>
      </c>
      <c r="M278" s="30">
        <f t="shared" si="20"/>
        <v>0</v>
      </c>
      <c r="N278" s="30">
        <f>ROUND('Смета ЕР (общ) '!$I278*'Смета ЕР (общ) '!$L278,2)</f>
        <v>0</v>
      </c>
      <c r="O278" s="30">
        <f>ROUND('Смета ЕР (общ) '!$I278*'Смета ЕР (общ) '!$M278,2)</f>
        <v>0</v>
      </c>
      <c r="P278" s="45"/>
    </row>
    <row r="279" spans="1:20" ht="24" hidden="1" x14ac:dyDescent="0.3">
      <c r="A279" s="51" t="s">
        <v>279</v>
      </c>
      <c r="B279" s="51">
        <v>1</v>
      </c>
      <c r="C279" s="51"/>
      <c r="D279" s="51">
        <v>18</v>
      </c>
      <c r="E279" s="51" t="str">
        <f>CONCATENATE('Смета ЕР (общ) '!$A279,".",'Смета ЕР (общ) '!$B279,".",'Смета ЕР (общ) '!$D279)</f>
        <v>Р3.1.18</v>
      </c>
      <c r="F279" s="51">
        <f t="shared" si="21"/>
        <v>1</v>
      </c>
      <c r="G279" s="52" t="s">
        <v>307</v>
      </c>
      <c r="H279" s="53" t="s">
        <v>40</v>
      </c>
      <c r="I279" s="158"/>
      <c r="J279" s="30">
        <v>500.21</v>
      </c>
      <c r="K279" s="30">
        <v>104.4</v>
      </c>
      <c r="L279" s="30">
        <f t="shared" si="20"/>
        <v>500.21</v>
      </c>
      <c r="M279" s="30">
        <f t="shared" si="20"/>
        <v>104.4</v>
      </c>
      <c r="N279" s="30">
        <f>ROUND('Смета ЕР (общ) '!$I279*'Смета ЕР (общ) '!$L279,2)</f>
        <v>0</v>
      </c>
      <c r="O279" s="30">
        <f>ROUND('Смета ЕР (общ) '!$I279*'Смета ЕР (общ) '!$M279,2)</f>
        <v>0</v>
      </c>
      <c r="P279" s="45"/>
      <c r="T279">
        <v>10</v>
      </c>
    </row>
    <row r="280" spans="1:20" ht="14.4" hidden="1" x14ac:dyDescent="0.3">
      <c r="A280" s="26" t="s">
        <v>279</v>
      </c>
      <c r="B280" s="26">
        <v>1</v>
      </c>
      <c r="C280" s="26"/>
      <c r="D280" s="26">
        <v>30</v>
      </c>
      <c r="E280" s="26" t="str">
        <f>CONCATENATE('Смета ЕР (общ) '!$A280,".",'Смета ЕР (общ) '!$B280,".",'Смета ЕР (общ) '!$D280)</f>
        <v>Р3.1.30</v>
      </c>
      <c r="F280" s="26">
        <f t="shared" si="21"/>
        <v>1</v>
      </c>
      <c r="G280" s="27" t="s">
        <v>308</v>
      </c>
      <c r="H280" s="28" t="s">
        <v>144</v>
      </c>
      <c r="I280" s="158"/>
      <c r="J280" s="30">
        <v>12214.8</v>
      </c>
      <c r="K280" s="30">
        <v>0</v>
      </c>
      <c r="L280" s="30">
        <f t="shared" si="20"/>
        <v>12214.8</v>
      </c>
      <c r="M280" s="30">
        <f t="shared" si="20"/>
        <v>0</v>
      </c>
      <c r="N280" s="30">
        <f>ROUND('Смета ЕР (общ) '!$I280*'Смета ЕР (общ) '!$L280,2)</f>
        <v>0</v>
      </c>
      <c r="O280" s="30">
        <f>ROUND('Смета ЕР (общ) '!$I280*'Смета ЕР (общ) '!$M280,2)</f>
        <v>0</v>
      </c>
      <c r="P280" s="45"/>
    </row>
    <row r="281" spans="1:20" ht="14.4" hidden="1" x14ac:dyDescent="0.3">
      <c r="A281" s="26" t="s">
        <v>279</v>
      </c>
      <c r="B281" s="26">
        <v>1</v>
      </c>
      <c r="C281" s="26"/>
      <c r="D281" s="26">
        <v>29</v>
      </c>
      <c r="E281" s="26" t="str">
        <f>CONCATENATE('Смета ЕР (общ) '!$A281,".",'Смета ЕР (общ) '!$B281,".",'Смета ЕР (общ) '!$D281)</f>
        <v>Р3.1.29</v>
      </c>
      <c r="F281" s="26">
        <f t="shared" si="21"/>
        <v>1</v>
      </c>
      <c r="G281" s="27" t="s">
        <v>309</v>
      </c>
      <c r="H281" s="28" t="s">
        <v>144</v>
      </c>
      <c r="I281" s="158"/>
      <c r="J281" s="30">
        <v>10521.32</v>
      </c>
      <c r="K281" s="30">
        <v>0</v>
      </c>
      <c r="L281" s="30">
        <f t="shared" si="20"/>
        <v>10521.32</v>
      </c>
      <c r="M281" s="30">
        <f t="shared" si="20"/>
        <v>0</v>
      </c>
      <c r="N281" s="30">
        <f>ROUND('Смета ЕР (общ) '!$I281*'Смета ЕР (общ) '!$L281,2)</f>
        <v>0</v>
      </c>
      <c r="O281" s="30">
        <f>ROUND('Смета ЕР (общ) '!$I281*'Смета ЕР (общ) '!$M281,2)</f>
        <v>0</v>
      </c>
      <c r="P281" s="45"/>
    </row>
    <row r="282" spans="1:20" ht="14.4" hidden="1" x14ac:dyDescent="0.3">
      <c r="A282" s="26" t="s">
        <v>279</v>
      </c>
      <c r="B282" s="26">
        <v>1</v>
      </c>
      <c r="C282" s="26"/>
      <c r="D282" s="26">
        <v>31</v>
      </c>
      <c r="E282" s="26" t="str">
        <f>CONCATENATE('Смета ЕР (общ) '!$A282,".",'Смета ЕР (общ) '!$B282,".",'Смета ЕР (общ) '!$D282)</f>
        <v>Р3.1.31</v>
      </c>
      <c r="F282" s="26">
        <f t="shared" si="21"/>
        <v>1</v>
      </c>
      <c r="G282" s="27" t="s">
        <v>310</v>
      </c>
      <c r="H282" s="28" t="s">
        <v>311</v>
      </c>
      <c r="I282" s="158"/>
      <c r="J282" s="30">
        <v>76.37</v>
      </c>
      <c r="K282" s="30">
        <v>0</v>
      </c>
      <c r="L282" s="30">
        <f t="shared" si="20"/>
        <v>76.37</v>
      </c>
      <c r="M282" s="30">
        <f t="shared" si="20"/>
        <v>0</v>
      </c>
      <c r="N282" s="30">
        <f>ROUND('Смета ЕР (общ) '!$I282*'Смета ЕР (общ) '!$L282,2)</f>
        <v>0</v>
      </c>
      <c r="O282" s="30">
        <f>ROUND('Смета ЕР (общ) '!$I282*'Смета ЕР (общ) '!$M282,2)</f>
        <v>0</v>
      </c>
      <c r="P282" s="45"/>
      <c r="T282">
        <v>150</v>
      </c>
    </row>
    <row r="283" spans="1:20" ht="14.4" hidden="1" x14ac:dyDescent="0.3">
      <c r="A283" s="26" t="s">
        <v>279</v>
      </c>
      <c r="B283" s="26">
        <v>1</v>
      </c>
      <c r="C283" s="26"/>
      <c r="D283" s="26">
        <v>25</v>
      </c>
      <c r="E283" s="26" t="str">
        <f>CONCATENATE('Смета ЕР (общ) '!$A283,".",'Смета ЕР (общ) '!$B283,".",'Смета ЕР (общ) '!$D283)</f>
        <v>Р3.1.25</v>
      </c>
      <c r="F283" s="26">
        <f t="shared" si="21"/>
        <v>1</v>
      </c>
      <c r="G283" s="27" t="s">
        <v>312</v>
      </c>
      <c r="H283" s="28" t="s">
        <v>311</v>
      </c>
      <c r="I283" s="158"/>
      <c r="J283" s="30">
        <v>78.959999999999994</v>
      </c>
      <c r="K283" s="30">
        <v>0</v>
      </c>
      <c r="L283" s="30">
        <f t="shared" si="20"/>
        <v>78.959999999999994</v>
      </c>
      <c r="M283" s="30">
        <f t="shared" si="20"/>
        <v>0</v>
      </c>
      <c r="N283" s="30">
        <f>ROUND('Смета ЕР (общ) '!$I283*'Смета ЕР (общ) '!$L283,2)</f>
        <v>0</v>
      </c>
      <c r="O283" s="30">
        <f>ROUND('Смета ЕР (общ) '!$I283*'Смета ЕР (общ) '!$M283,2)</f>
        <v>0</v>
      </c>
      <c r="P283" s="45"/>
      <c r="T283">
        <v>150</v>
      </c>
    </row>
    <row r="284" spans="1:20" ht="14.4" hidden="1" x14ac:dyDescent="0.3">
      <c r="A284" s="26" t="s">
        <v>279</v>
      </c>
      <c r="B284" s="26">
        <v>1</v>
      </c>
      <c r="C284" s="26"/>
      <c r="D284" s="26">
        <v>26</v>
      </c>
      <c r="E284" s="26" t="str">
        <f>CONCATENATE('Смета ЕР (общ) '!$A284,".",'Смета ЕР (общ) '!$B284,".",'Смета ЕР (общ) '!$D284)</f>
        <v>Р3.1.26</v>
      </c>
      <c r="F284" s="26">
        <f t="shared" si="21"/>
        <v>1</v>
      </c>
      <c r="G284" s="27" t="s">
        <v>313</v>
      </c>
      <c r="H284" s="28" t="s">
        <v>311</v>
      </c>
      <c r="I284" s="158"/>
      <c r="J284" s="30">
        <v>134.85</v>
      </c>
      <c r="K284" s="30">
        <v>0</v>
      </c>
      <c r="L284" s="30">
        <f t="shared" si="20"/>
        <v>134.85</v>
      </c>
      <c r="M284" s="30">
        <f t="shared" si="20"/>
        <v>0</v>
      </c>
      <c r="N284" s="30">
        <f>ROUND('Смета ЕР (общ) '!$I284*'Смета ЕР (общ) '!$L284,2)</f>
        <v>0</v>
      </c>
      <c r="O284" s="30">
        <f>ROUND('Смета ЕР (общ) '!$I284*'Смета ЕР (общ) '!$M284,2)</f>
        <v>0</v>
      </c>
      <c r="P284" s="45"/>
    </row>
    <row r="285" spans="1:20" ht="14.4" hidden="1" x14ac:dyDescent="0.3">
      <c r="A285" s="26" t="s">
        <v>279</v>
      </c>
      <c r="B285" s="26">
        <v>1</v>
      </c>
      <c r="C285" s="26"/>
      <c r="D285" s="26">
        <v>32</v>
      </c>
      <c r="E285" s="26" t="str">
        <f>CONCATENATE('Смета ЕР (общ) '!$A285,".",'Смета ЕР (общ) '!$B285,".",'Смета ЕР (общ) '!$D285)</f>
        <v>Р3.1.32</v>
      </c>
      <c r="F285" s="26">
        <f t="shared" si="21"/>
        <v>1</v>
      </c>
      <c r="G285" s="27" t="s">
        <v>314</v>
      </c>
      <c r="H285" s="28" t="s">
        <v>311</v>
      </c>
      <c r="I285" s="158"/>
      <c r="J285" s="30">
        <v>174</v>
      </c>
      <c r="K285" s="30">
        <v>0</v>
      </c>
      <c r="L285" s="30">
        <f t="shared" si="20"/>
        <v>174</v>
      </c>
      <c r="M285" s="30">
        <f t="shared" si="20"/>
        <v>0</v>
      </c>
      <c r="N285" s="30">
        <f>ROUND('Смета ЕР (общ) '!$I285*'Смета ЕР (общ) '!$L285,2)</f>
        <v>0</v>
      </c>
      <c r="O285" s="30">
        <f>ROUND('Смета ЕР (общ) '!$I285*'Смета ЕР (общ) '!$M285,2)</f>
        <v>0</v>
      </c>
      <c r="P285" s="45"/>
      <c r="T285">
        <v>150</v>
      </c>
    </row>
    <row r="286" spans="1:20" ht="24" hidden="1" x14ac:dyDescent="0.3">
      <c r="A286" s="26" t="s">
        <v>279</v>
      </c>
      <c r="B286" s="26">
        <v>1</v>
      </c>
      <c r="C286" s="26"/>
      <c r="D286" s="26">
        <v>17</v>
      </c>
      <c r="E286" s="26" t="str">
        <f>CONCATENATE('Смета ЕР (общ) '!$A286,".",'Смета ЕР (общ) '!$B286,".",'Смета ЕР (общ) '!$D286)</f>
        <v>Р3.1.17</v>
      </c>
      <c r="F286" s="26">
        <f t="shared" si="21"/>
        <v>1</v>
      </c>
      <c r="G286" s="41" t="s">
        <v>315</v>
      </c>
      <c r="H286" s="42" t="s">
        <v>40</v>
      </c>
      <c r="I286" s="158"/>
      <c r="J286" s="30">
        <v>560</v>
      </c>
      <c r="K286" s="30">
        <v>832.4</v>
      </c>
      <c r="L286" s="30">
        <f t="shared" si="20"/>
        <v>560</v>
      </c>
      <c r="M286" s="30">
        <f t="shared" si="20"/>
        <v>832.4</v>
      </c>
      <c r="N286" s="30">
        <f>ROUND('Смета ЕР (общ) '!$I286*'Смета ЕР (общ) '!$L286,2)</f>
        <v>0</v>
      </c>
      <c r="O286" s="30">
        <f>ROUND('Смета ЕР (общ) '!$I286*'Смета ЕР (общ) '!$M286,2)</f>
        <v>0</v>
      </c>
      <c r="P286" s="45"/>
      <c r="T286">
        <v>10</v>
      </c>
    </row>
    <row r="287" spans="1:20" ht="14.4" hidden="1" x14ac:dyDescent="0.3">
      <c r="A287" s="26" t="s">
        <v>279</v>
      </c>
      <c r="B287" s="26">
        <v>1</v>
      </c>
      <c r="C287" s="26"/>
      <c r="D287" s="26">
        <v>28</v>
      </c>
      <c r="E287" s="26" t="str">
        <f>CONCATENATE('Смета ЕР (общ) '!$A287,".",'Смета ЕР (общ) '!$B287,".",'Смета ЕР (общ) '!$D287)</f>
        <v>Р3.1.28</v>
      </c>
      <c r="F287" s="26">
        <f t="shared" si="21"/>
        <v>1</v>
      </c>
      <c r="G287" s="41" t="s">
        <v>316</v>
      </c>
      <c r="H287" s="42" t="s">
        <v>40</v>
      </c>
      <c r="I287" s="158"/>
      <c r="J287" s="30">
        <v>560</v>
      </c>
      <c r="K287" s="30">
        <v>831.03</v>
      </c>
      <c r="L287" s="30">
        <f t="shared" si="20"/>
        <v>560</v>
      </c>
      <c r="M287" s="30">
        <f t="shared" si="20"/>
        <v>831.03</v>
      </c>
      <c r="N287" s="30">
        <f>ROUND('Смета ЕР (общ) '!$I287*'Смета ЕР (общ) '!$L287,2)</f>
        <v>0</v>
      </c>
      <c r="O287" s="30">
        <f>ROUND('Смета ЕР (общ) '!$I287*'Смета ЕР (общ) '!$M287,2)</f>
        <v>0</v>
      </c>
      <c r="P287" s="45"/>
    </row>
    <row r="288" spans="1:20" ht="14.4" hidden="1" x14ac:dyDescent="0.3">
      <c r="A288" s="26" t="s">
        <v>279</v>
      </c>
      <c r="B288" s="26">
        <v>1</v>
      </c>
      <c r="C288" s="26"/>
      <c r="D288" s="26">
        <v>16</v>
      </c>
      <c r="E288" s="26" t="str">
        <f>CONCATENATE('Смета ЕР (общ) '!$A288,".",'Смета ЕР (общ) '!$B288,".",'Смета ЕР (общ) '!$D288)</f>
        <v>Р3.1.16</v>
      </c>
      <c r="F288" s="26">
        <f t="shared" si="21"/>
        <v>1</v>
      </c>
      <c r="G288" s="41" t="s">
        <v>317</v>
      </c>
      <c r="H288" s="28" t="s">
        <v>118</v>
      </c>
      <c r="I288" s="158"/>
      <c r="J288" s="30">
        <v>3063.98</v>
      </c>
      <c r="K288" s="30">
        <v>1562.63</v>
      </c>
      <c r="L288" s="30">
        <f t="shared" si="20"/>
        <v>3063.98</v>
      </c>
      <c r="M288" s="30">
        <f t="shared" si="20"/>
        <v>1562.63</v>
      </c>
      <c r="N288" s="30">
        <f>ROUND('Смета ЕР (общ) '!$I288*'Смета ЕР (общ) '!$L288,2)</f>
        <v>0</v>
      </c>
      <c r="O288" s="30">
        <f>ROUND('Смета ЕР (общ) '!$I288*'Смета ЕР (общ) '!$M288,2)</f>
        <v>0</v>
      </c>
      <c r="P288" s="45"/>
    </row>
    <row r="289" spans="1:20" ht="14.4" hidden="1" x14ac:dyDescent="0.3">
      <c r="A289" s="26" t="s">
        <v>279</v>
      </c>
      <c r="B289" s="26">
        <v>1</v>
      </c>
      <c r="C289" s="26"/>
      <c r="D289" s="26">
        <v>24</v>
      </c>
      <c r="E289" s="26" t="str">
        <f>CONCATENATE('Смета ЕР (общ) '!$A289,".",'Смета ЕР (общ) '!$B289,".",'Смета ЕР (общ) '!$D289)</f>
        <v>Р3.1.24</v>
      </c>
      <c r="F289" s="26">
        <f t="shared" si="21"/>
        <v>1</v>
      </c>
      <c r="G289" s="27" t="s">
        <v>318</v>
      </c>
      <c r="H289" s="42" t="s">
        <v>40</v>
      </c>
      <c r="I289" s="158"/>
      <c r="J289" s="30">
        <v>115.13</v>
      </c>
      <c r="K289" s="30">
        <v>25</v>
      </c>
      <c r="L289" s="30">
        <f t="shared" si="20"/>
        <v>115.13</v>
      </c>
      <c r="M289" s="30">
        <f t="shared" si="20"/>
        <v>25</v>
      </c>
      <c r="N289" s="30">
        <f>ROUND('Смета ЕР (общ) '!$I289*'Смета ЕР (общ) '!$L289,2)</f>
        <v>0</v>
      </c>
      <c r="O289" s="30">
        <f>ROUND('Смета ЕР (общ) '!$I289*'Смета ЕР (общ) '!$M289,2)</f>
        <v>0</v>
      </c>
      <c r="P289" s="45"/>
    </row>
    <row r="290" spans="1:20" ht="14.4" hidden="1" x14ac:dyDescent="0.3">
      <c r="A290" s="26" t="s">
        <v>279</v>
      </c>
      <c r="B290" s="26">
        <v>1</v>
      </c>
      <c r="C290" s="26"/>
      <c r="D290" s="26">
        <v>35</v>
      </c>
      <c r="E290" s="26" t="str">
        <f>CONCATENATE('Смета ЕР (общ) '!$A290,".",'Смета ЕР (общ) '!$B290,".",'Смета ЕР (общ) '!$D290)</f>
        <v>Р3.1.35</v>
      </c>
      <c r="F290" s="26">
        <f t="shared" si="21"/>
        <v>1</v>
      </c>
      <c r="G290" s="27" t="s">
        <v>319</v>
      </c>
      <c r="H290" s="42" t="s">
        <v>147</v>
      </c>
      <c r="I290" s="158"/>
      <c r="J290" s="30">
        <v>490.94</v>
      </c>
      <c r="K290" s="30">
        <v>213.65</v>
      </c>
      <c r="L290" s="30">
        <f t="shared" si="20"/>
        <v>490.94</v>
      </c>
      <c r="M290" s="30">
        <f t="shared" si="20"/>
        <v>213.65</v>
      </c>
      <c r="N290" s="30">
        <f>ROUND('Смета ЕР (общ) '!$I290*'Смета ЕР (общ) '!$L290,2)</f>
        <v>0</v>
      </c>
      <c r="O290" s="30">
        <f>ROUND('Смета ЕР (общ) '!$I290*'Смета ЕР (общ) '!$M290,2)</f>
        <v>0</v>
      </c>
      <c r="P290" s="45"/>
    </row>
    <row r="291" spans="1:20" ht="14.4" hidden="1" x14ac:dyDescent="0.3">
      <c r="A291" s="26" t="s">
        <v>279</v>
      </c>
      <c r="B291" s="26">
        <v>1</v>
      </c>
      <c r="C291" s="26"/>
      <c r="D291" s="26">
        <v>36</v>
      </c>
      <c r="E291" s="26" t="str">
        <f>CONCATENATE('Смета ЕР (общ) '!$A291,".",'Смета ЕР (общ) '!$B291,".",'Смета ЕР (общ) '!$D291)</f>
        <v>Р3.1.36</v>
      </c>
      <c r="F291" s="26">
        <f t="shared" si="21"/>
        <v>1</v>
      </c>
      <c r="G291" s="27" t="s">
        <v>320</v>
      </c>
      <c r="H291" s="28" t="s">
        <v>118</v>
      </c>
      <c r="I291" s="158"/>
      <c r="J291" s="30">
        <v>1788.72</v>
      </c>
      <c r="K291" s="30">
        <v>2311.16</v>
      </c>
      <c r="L291" s="30">
        <f t="shared" si="20"/>
        <v>1788.72</v>
      </c>
      <c r="M291" s="30">
        <f t="shared" si="20"/>
        <v>2311.16</v>
      </c>
      <c r="N291" s="30">
        <f>ROUND('Смета ЕР (общ) '!$I291*'Смета ЕР (общ) '!$L291,2)</f>
        <v>0</v>
      </c>
      <c r="O291" s="30">
        <f>ROUND('Смета ЕР (общ) '!$I291*'Смета ЕР (общ) '!$M291,2)</f>
        <v>0</v>
      </c>
      <c r="P291" s="45"/>
    </row>
    <row r="292" spans="1:20" ht="14.4" hidden="1" x14ac:dyDescent="0.3">
      <c r="A292" s="26" t="s">
        <v>279</v>
      </c>
      <c r="B292" s="26">
        <v>1</v>
      </c>
      <c r="C292" s="26"/>
      <c r="D292" s="26">
        <v>37</v>
      </c>
      <c r="E292" s="26" t="str">
        <f>CONCATENATE('Смета ЕР (общ) '!$A292,".",'Смета ЕР (общ) '!$B292,".",'Смета ЕР (общ) '!$D292)</f>
        <v>Р3.1.37</v>
      </c>
      <c r="F292" s="26">
        <f t="shared" si="21"/>
        <v>1</v>
      </c>
      <c r="G292" s="27" t="s">
        <v>321</v>
      </c>
      <c r="H292" s="28" t="s">
        <v>118</v>
      </c>
      <c r="I292" s="158"/>
      <c r="J292" s="30">
        <v>2401.1999999999998</v>
      </c>
      <c r="K292" s="30">
        <v>5600</v>
      </c>
      <c r="L292" s="30">
        <f t="shared" si="20"/>
        <v>2401.1999999999998</v>
      </c>
      <c r="M292" s="30">
        <f t="shared" si="20"/>
        <v>5600</v>
      </c>
      <c r="N292" s="30">
        <f>ROUND('Смета ЕР (общ) '!$I292*'Смета ЕР (общ) '!$L292,2)</f>
        <v>0</v>
      </c>
      <c r="O292" s="30">
        <f>ROUND('Смета ЕР (общ) '!$I292*'Смета ЕР (общ) '!$M292,2)</f>
        <v>0</v>
      </c>
      <c r="P292" s="45"/>
    </row>
    <row r="293" spans="1:20" ht="14.4" hidden="1" x14ac:dyDescent="0.3">
      <c r="A293" s="26" t="s">
        <v>279</v>
      </c>
      <c r="B293" s="26">
        <v>1</v>
      </c>
      <c r="C293" s="26"/>
      <c r="D293" s="26">
        <v>38</v>
      </c>
      <c r="E293" s="26" t="str">
        <f>CONCATENATE('Смета ЕР (общ) '!$A293,".",'Смета ЕР (общ) '!$B293,".",'Смета ЕР (общ) '!$D293)</f>
        <v>Р3.1.38</v>
      </c>
      <c r="F293" s="26">
        <f t="shared" si="21"/>
        <v>1</v>
      </c>
      <c r="G293" s="27" t="s">
        <v>322</v>
      </c>
      <c r="H293" s="28" t="s">
        <v>118</v>
      </c>
      <c r="I293" s="158"/>
      <c r="J293" s="30">
        <v>2554.3200000000002</v>
      </c>
      <c r="K293" s="30">
        <v>6000</v>
      </c>
      <c r="L293" s="30">
        <f t="shared" si="20"/>
        <v>2554.3200000000002</v>
      </c>
      <c r="M293" s="30">
        <f t="shared" si="20"/>
        <v>6000</v>
      </c>
      <c r="N293" s="30">
        <f>ROUND('Смета ЕР (общ) '!$I293*'Смета ЕР (общ) '!$L293,2)</f>
        <v>0</v>
      </c>
      <c r="O293" s="30">
        <f>ROUND('Смета ЕР (общ) '!$I293*'Смета ЕР (общ) '!$M293,2)</f>
        <v>0</v>
      </c>
      <c r="P293" s="45"/>
    </row>
    <row r="294" spans="1:20" ht="14.4" hidden="1" x14ac:dyDescent="0.3">
      <c r="A294" s="26" t="s">
        <v>279</v>
      </c>
      <c r="B294" s="26">
        <v>1</v>
      </c>
      <c r="C294" s="26"/>
      <c r="D294" s="26">
        <v>39</v>
      </c>
      <c r="E294" s="26" t="str">
        <f>CONCATENATE('Смета ЕР (общ) '!$A294,".",'Смета ЕР (общ) '!$B294,".",'Смета ЕР (общ) '!$D294)</f>
        <v>Р3.1.39</v>
      </c>
      <c r="F294" s="26">
        <f t="shared" si="21"/>
        <v>1</v>
      </c>
      <c r="G294" s="27" t="s">
        <v>323</v>
      </c>
      <c r="H294" s="28" t="s">
        <v>118</v>
      </c>
      <c r="I294" s="158"/>
      <c r="J294" s="30">
        <v>2924.94</v>
      </c>
      <c r="K294" s="30">
        <v>6150</v>
      </c>
      <c r="L294" s="30">
        <f t="shared" si="20"/>
        <v>2924.94</v>
      </c>
      <c r="M294" s="30">
        <f t="shared" si="20"/>
        <v>6150</v>
      </c>
      <c r="N294" s="30">
        <f>ROUND('Смета ЕР (общ) '!$I294*'Смета ЕР (общ) '!$L294,2)</f>
        <v>0</v>
      </c>
      <c r="O294" s="30">
        <f>ROUND('Смета ЕР (общ) '!$I294*'Смета ЕР (общ) '!$M294,2)</f>
        <v>0</v>
      </c>
      <c r="P294" s="45"/>
    </row>
    <row r="295" spans="1:20" ht="24" hidden="1" x14ac:dyDescent="0.3">
      <c r="A295" s="26" t="s">
        <v>279</v>
      </c>
      <c r="B295" s="26">
        <v>1</v>
      </c>
      <c r="C295" s="26"/>
      <c r="D295" s="26">
        <v>40</v>
      </c>
      <c r="E295" s="26" t="str">
        <f>CONCATENATE('Смета ЕР (общ) '!$A295,".",'Смета ЕР (общ) '!$B295,".",'Смета ЕР (общ) '!$D295)</f>
        <v>Р3.1.40</v>
      </c>
      <c r="F295" s="26">
        <f t="shared" si="21"/>
        <v>1</v>
      </c>
      <c r="G295" s="27" t="s">
        <v>324</v>
      </c>
      <c r="H295" s="42" t="s">
        <v>147</v>
      </c>
      <c r="I295" s="158"/>
      <c r="J295" s="30">
        <v>1733.48</v>
      </c>
      <c r="K295" s="30">
        <v>904.04</v>
      </c>
      <c r="L295" s="30">
        <f t="shared" si="20"/>
        <v>1733.48</v>
      </c>
      <c r="M295" s="30">
        <f t="shared" si="20"/>
        <v>904.04</v>
      </c>
      <c r="N295" s="30">
        <f>ROUND('Смета ЕР (общ) '!$I295*'Смета ЕР (общ) '!$L295,2)</f>
        <v>0</v>
      </c>
      <c r="O295" s="30">
        <f>ROUND('Смета ЕР (общ) '!$I295*'Смета ЕР (общ) '!$M295,2)</f>
        <v>0</v>
      </c>
      <c r="P295" s="45"/>
    </row>
    <row r="296" spans="1:20" ht="14.4" hidden="1" x14ac:dyDescent="0.3">
      <c r="A296" s="37" t="s">
        <v>279</v>
      </c>
      <c r="B296" s="37">
        <v>2</v>
      </c>
      <c r="C296" s="37"/>
      <c r="D296" s="37">
        <v>0</v>
      </c>
      <c r="E296" s="37" t="str">
        <f>CONCATENATE('Смета ЕР (общ) '!$A296,".",'Смета ЕР (общ) '!$B296,".",'Смета ЕР (общ) '!$D296)</f>
        <v>Р3.2.0</v>
      </c>
      <c r="F296" s="37">
        <f t="shared" si="21"/>
        <v>1</v>
      </c>
      <c r="G296" s="38" t="s">
        <v>325</v>
      </c>
      <c r="H296" s="22"/>
      <c r="I296" s="23"/>
      <c r="J296" s="36"/>
      <c r="K296" s="36"/>
      <c r="L296" s="25"/>
      <c r="M296" s="25"/>
      <c r="N296" s="25">
        <f>SUM(N297:N310)</f>
        <v>0</v>
      </c>
      <c r="O296" s="25">
        <f>SUM(O297:O310)</f>
        <v>0</v>
      </c>
      <c r="P296" s="45"/>
      <c r="T296">
        <v>230637.52000000002</v>
      </c>
    </row>
    <row r="297" spans="1:20" ht="24" hidden="1" x14ac:dyDescent="0.3">
      <c r="A297" s="26" t="s">
        <v>279</v>
      </c>
      <c r="B297" s="26">
        <v>2</v>
      </c>
      <c r="C297" s="26"/>
      <c r="D297" s="26">
        <v>1</v>
      </c>
      <c r="E297" s="26" t="str">
        <f>CONCATENATE('Смета ЕР (общ) '!$A297,".",'Смета ЕР (общ) '!$B297,".",'Смета ЕР (общ) '!$D297)</f>
        <v>Р3.2.1</v>
      </c>
      <c r="F297" s="26">
        <f t="shared" si="21"/>
        <v>1</v>
      </c>
      <c r="G297" s="27" t="s">
        <v>326</v>
      </c>
      <c r="H297" s="42" t="s">
        <v>40</v>
      </c>
      <c r="I297" s="158"/>
      <c r="J297" s="30">
        <v>3065.04</v>
      </c>
      <c r="K297" s="30">
        <f>'[14]Бескаркасные двери и перегородк'!E10</f>
        <v>8190</v>
      </c>
      <c r="L297" s="30">
        <f t="shared" ref="L297:M310" si="22">ROUND(J297-J297*$Q$3,2)</f>
        <v>3065.04</v>
      </c>
      <c r="M297" s="54">
        <f>K297</f>
        <v>8190</v>
      </c>
      <c r="N297" s="30">
        <f>ROUND('Смета ЕР (общ) '!$I297*'Смета ЕР (общ) '!$L297,2)</f>
        <v>0</v>
      </c>
      <c r="O297" s="30">
        <f>ROUND('Смета ЕР (общ) '!$I297*'Смета ЕР (общ) '!$M297,2)</f>
        <v>0</v>
      </c>
      <c r="P297" s="55" t="s">
        <v>327</v>
      </c>
      <c r="Q297" s="56"/>
      <c r="T297">
        <v>25.77</v>
      </c>
    </row>
    <row r="298" spans="1:20" ht="24" hidden="1" x14ac:dyDescent="0.3">
      <c r="A298" s="26" t="s">
        <v>279</v>
      </c>
      <c r="B298" s="26">
        <v>2</v>
      </c>
      <c r="C298" s="26"/>
      <c r="D298" s="26">
        <v>2</v>
      </c>
      <c r="E298" s="26" t="str">
        <f>CONCATENATE('Смета ЕР (общ) '!$A298,".",'Смета ЕР (общ) '!$B298,".",'Смета ЕР (общ) '!$D298)</f>
        <v>Р3.2.2</v>
      </c>
      <c r="F298" s="26">
        <f t="shared" si="21"/>
        <v>1</v>
      </c>
      <c r="G298" s="27" t="s">
        <v>328</v>
      </c>
      <c r="H298" s="28" t="s">
        <v>40</v>
      </c>
      <c r="I298" s="158"/>
      <c r="J298" s="30">
        <v>2210.33</v>
      </c>
      <c r="K298" s="30">
        <f>'[14]Бескаркасные двери и перегородк'!E11</f>
        <v>7875</v>
      </c>
      <c r="L298" s="30">
        <f t="shared" si="22"/>
        <v>2210.33</v>
      </c>
      <c r="M298" s="54">
        <f>K298</f>
        <v>7875</v>
      </c>
      <c r="N298" s="30">
        <f>ROUND('Смета ЕР (общ) '!$I298*'Смета ЕР (общ) '!$L298,2)</f>
        <v>0</v>
      </c>
      <c r="O298" s="30">
        <f>ROUND('Смета ЕР (общ) '!$I298*'Смета ЕР (общ) '!$M298,2)</f>
        <v>0</v>
      </c>
      <c r="P298" s="55" t="s">
        <v>327</v>
      </c>
      <c r="Q298" s="56"/>
    </row>
    <row r="299" spans="1:20" ht="24" hidden="1" x14ac:dyDescent="0.3">
      <c r="A299" s="26" t="s">
        <v>279</v>
      </c>
      <c r="B299" s="26">
        <v>2</v>
      </c>
      <c r="C299" s="26"/>
      <c r="D299" s="26">
        <v>3</v>
      </c>
      <c r="E299" s="26" t="str">
        <f>CONCATENATE('Смета ЕР (общ) '!$A299,".",'Смета ЕР (общ) '!$B299,".",'Смета ЕР (общ) '!$D299)</f>
        <v>Р3.2.3</v>
      </c>
      <c r="F299" s="26">
        <f t="shared" si="21"/>
        <v>1</v>
      </c>
      <c r="G299" s="27" t="s">
        <v>329</v>
      </c>
      <c r="H299" s="28" t="s">
        <v>40</v>
      </c>
      <c r="I299" s="158"/>
      <c r="J299" s="30">
        <v>2197.3200000000002</v>
      </c>
      <c r="K299" s="30">
        <v>7075.57</v>
      </c>
      <c r="L299" s="30">
        <f t="shared" si="22"/>
        <v>2197.3200000000002</v>
      </c>
      <c r="M299" s="30">
        <f t="shared" si="22"/>
        <v>7075.57</v>
      </c>
      <c r="N299" s="30">
        <f>ROUND('Смета ЕР (общ) '!$I299*'Смета ЕР (общ) '!$L299,2)</f>
        <v>0</v>
      </c>
      <c r="O299" s="30">
        <f>ROUND('Смета ЕР (общ) '!$I299*'Смета ЕР (общ) '!$M299,2)</f>
        <v>0</v>
      </c>
      <c r="P299" s="45"/>
    </row>
    <row r="300" spans="1:20" ht="24" hidden="1" x14ac:dyDescent="0.3">
      <c r="A300" s="26" t="s">
        <v>279</v>
      </c>
      <c r="B300" s="26">
        <v>2</v>
      </c>
      <c r="C300" s="26"/>
      <c r="D300" s="26">
        <v>4</v>
      </c>
      <c r="E300" s="26" t="str">
        <f>CONCATENATE('Смета ЕР (общ) '!$A300,".",'Смета ЕР (общ) '!$B300,".",'Смета ЕР (общ) '!$D300)</f>
        <v>Р3.2.4</v>
      </c>
      <c r="F300" s="26">
        <f t="shared" si="21"/>
        <v>1</v>
      </c>
      <c r="G300" s="41" t="s">
        <v>330</v>
      </c>
      <c r="H300" s="28" t="s">
        <v>40</v>
      </c>
      <c r="I300" s="158"/>
      <c r="J300" s="30">
        <v>1650</v>
      </c>
      <c r="K300" s="30">
        <v>1711.35</v>
      </c>
      <c r="L300" s="30">
        <f t="shared" si="22"/>
        <v>1650</v>
      </c>
      <c r="M300" s="30">
        <f t="shared" si="22"/>
        <v>1711.35</v>
      </c>
      <c r="N300" s="30">
        <f>ROUND('Смета ЕР (общ) '!$I300*'Смета ЕР (общ) '!$L300,2)</f>
        <v>0</v>
      </c>
      <c r="O300" s="30">
        <f>ROUND('Смета ЕР (общ) '!$I300*'Смета ЕР (общ) '!$M300,2)</f>
        <v>0</v>
      </c>
      <c r="P300" s="45"/>
    </row>
    <row r="301" spans="1:20" ht="36" hidden="1" x14ac:dyDescent="0.3">
      <c r="A301" s="26" t="s">
        <v>279</v>
      </c>
      <c r="B301" s="26">
        <v>2</v>
      </c>
      <c r="C301" s="26"/>
      <c r="D301" s="26">
        <v>5</v>
      </c>
      <c r="E301" s="26" t="str">
        <f>CONCATENATE('Смета ЕР (общ) '!$A301,".",'Смета ЕР (общ) '!$B301,".",'Смета ЕР (общ) '!$D301)</f>
        <v>Р3.2.5</v>
      </c>
      <c r="F301" s="26">
        <f t="shared" si="21"/>
        <v>1</v>
      </c>
      <c r="G301" s="41" t="s">
        <v>331</v>
      </c>
      <c r="H301" s="28" t="s">
        <v>40</v>
      </c>
      <c r="I301" s="158"/>
      <c r="J301" s="29">
        <v>5637.6</v>
      </c>
      <c r="K301" s="30">
        <f>'[14]Стекл. перегородки'!G8*1.05</f>
        <v>16012.5</v>
      </c>
      <c r="L301" s="30">
        <f t="shared" si="22"/>
        <v>5637.6</v>
      </c>
      <c r="M301" s="54">
        <f>K301</f>
        <v>16012.5</v>
      </c>
      <c r="N301" s="30">
        <f>ROUND('Смета ЕР (общ) '!$I301*'Смета ЕР (общ) '!$L301,2)</f>
        <v>0</v>
      </c>
      <c r="O301" s="30">
        <f>ROUND('Смета ЕР (общ) '!$I301*'Смета ЕР (общ) '!$M301,2)</f>
        <v>0</v>
      </c>
      <c r="P301" s="57" t="s">
        <v>332</v>
      </c>
      <c r="Q301" s="56"/>
      <c r="T301">
        <v>10</v>
      </c>
    </row>
    <row r="302" spans="1:20" ht="82.5" hidden="1" customHeight="1" x14ac:dyDescent="0.3">
      <c r="A302" s="26" t="s">
        <v>279</v>
      </c>
      <c r="B302" s="26">
        <v>2</v>
      </c>
      <c r="C302" s="26"/>
      <c r="D302" s="26">
        <v>6</v>
      </c>
      <c r="E302" s="26" t="str">
        <f>CONCATENATE('Смета ЕР (общ) '!$A302,".",'Смета ЕР (общ) '!$B302,".",'Смета ЕР (общ) '!$D302)</f>
        <v>Р3.2.6</v>
      </c>
      <c r="F302" s="26">
        <f t="shared" si="21"/>
        <v>1</v>
      </c>
      <c r="G302" s="41" t="s">
        <v>333</v>
      </c>
      <c r="H302" s="28" t="s">
        <v>40</v>
      </c>
      <c r="I302" s="158"/>
      <c r="J302" s="30">
        <v>5637.6</v>
      </c>
      <c r="K302" s="30">
        <v>18196.919999999998</v>
      </c>
      <c r="L302" s="30">
        <f t="shared" si="22"/>
        <v>5637.6</v>
      </c>
      <c r="M302" s="30">
        <f t="shared" si="22"/>
        <v>18196.919999999998</v>
      </c>
      <c r="N302" s="30">
        <f>ROUND('Смета ЕР (общ) '!$I302*'Смета ЕР (общ) '!$L302,2)</f>
        <v>0</v>
      </c>
      <c r="O302" s="30">
        <f>ROUND('Смета ЕР (общ) '!$I302*'Смета ЕР (общ) '!$M302,2)</f>
        <v>0</v>
      </c>
      <c r="P302" s="45"/>
    </row>
    <row r="303" spans="1:20" ht="39.75" hidden="1" customHeight="1" x14ac:dyDescent="0.3">
      <c r="A303" s="46" t="s">
        <v>279</v>
      </c>
      <c r="B303" s="46">
        <v>2</v>
      </c>
      <c r="C303" s="46"/>
      <c r="D303" s="46">
        <v>7</v>
      </c>
      <c r="E303" s="46" t="str">
        <f>CONCATENATE('Смета ЕР (общ) '!$A303,".",'Смета ЕР (общ) '!$B303,".",'Смета ЕР (общ) '!$D303)</f>
        <v>Р3.2.7</v>
      </c>
      <c r="F303" s="46">
        <f t="shared" si="21"/>
        <v>1</v>
      </c>
      <c r="G303" s="58" t="s">
        <v>334</v>
      </c>
      <c r="H303" s="48" t="s">
        <v>40</v>
      </c>
      <c r="I303" s="158"/>
      <c r="J303" s="30">
        <v>8143.2</v>
      </c>
      <c r="K303" s="59">
        <v>75795.63</v>
      </c>
      <c r="L303" s="50">
        <f t="shared" si="22"/>
        <v>8143.2</v>
      </c>
      <c r="M303" s="50">
        <f t="shared" si="22"/>
        <v>75795.63</v>
      </c>
      <c r="N303" s="50">
        <f>ROUND('Смета ЕР (общ) '!$I303*'Смета ЕР (общ) '!$L303,2)</f>
        <v>0</v>
      </c>
      <c r="O303" s="50">
        <f>ROUND('Смета ЕР (общ) '!$I303*'Смета ЕР (общ) '!$M303,2)</f>
        <v>0</v>
      </c>
      <c r="P303" s="45"/>
    </row>
    <row r="304" spans="1:20" ht="14.4" hidden="1" x14ac:dyDescent="0.3">
      <c r="A304" s="26" t="s">
        <v>279</v>
      </c>
      <c r="B304" s="26">
        <v>2</v>
      </c>
      <c r="C304" s="26"/>
      <c r="D304" s="26">
        <v>8</v>
      </c>
      <c r="E304" s="26" t="str">
        <f>CONCATENATE('Смета ЕР (общ) '!$A304,".",'Смета ЕР (общ) '!$B304,".",'Смета ЕР (общ) '!$D304)</f>
        <v>Р3.2.8</v>
      </c>
      <c r="F304" s="26">
        <f t="shared" si="21"/>
        <v>1</v>
      </c>
      <c r="G304" s="41" t="s">
        <v>335</v>
      </c>
      <c r="H304" s="28" t="s">
        <v>118</v>
      </c>
      <c r="I304" s="158"/>
      <c r="J304" s="30">
        <v>720.36</v>
      </c>
      <c r="K304" s="30">
        <v>4249.08</v>
      </c>
      <c r="L304" s="30">
        <f t="shared" si="22"/>
        <v>720.36</v>
      </c>
      <c r="M304" s="30">
        <f t="shared" si="22"/>
        <v>4249.08</v>
      </c>
      <c r="N304" s="30">
        <f>ROUND('Смета ЕР (общ) '!$I304*'Смета ЕР (общ) '!$L304,2)</f>
        <v>0</v>
      </c>
      <c r="O304" s="30">
        <f>ROUND('Смета ЕР (общ) '!$I304*'Смета ЕР (общ) '!$M304,2)</f>
        <v>0</v>
      </c>
      <c r="P304" s="45"/>
      <c r="T304">
        <v>1</v>
      </c>
    </row>
    <row r="305" spans="1:20" ht="24" hidden="1" x14ac:dyDescent="0.3">
      <c r="A305" s="26" t="s">
        <v>279</v>
      </c>
      <c r="B305" s="26">
        <v>2</v>
      </c>
      <c r="C305" s="26"/>
      <c r="D305" s="26">
        <v>9</v>
      </c>
      <c r="E305" s="26" t="str">
        <f>CONCATENATE('Смета ЕР (общ) '!$A305,".",'Смета ЕР (общ) '!$B305,".",'Смета ЕР (общ) '!$D305)</f>
        <v>Р3.2.9</v>
      </c>
      <c r="F305" s="26">
        <f t="shared" si="21"/>
        <v>1</v>
      </c>
      <c r="G305" s="41" t="s">
        <v>336</v>
      </c>
      <c r="H305" s="42" t="s">
        <v>40</v>
      </c>
      <c r="I305" s="158"/>
      <c r="J305" s="30">
        <v>8143.2</v>
      </c>
      <c r="K305" s="30">
        <f>'[14]Трансформируемая перегородка'!F3</f>
        <v>37170</v>
      </c>
      <c r="L305" s="30">
        <f t="shared" si="22"/>
        <v>8143.2</v>
      </c>
      <c r="M305" s="54">
        <f>K305</f>
        <v>37170</v>
      </c>
      <c r="N305" s="30">
        <f>ROUND('Смета ЕР (общ) '!$I305*'Смета ЕР (общ) '!$L305,2)</f>
        <v>0</v>
      </c>
      <c r="O305" s="30">
        <f>ROUND('Смета ЕР (общ) '!$I305*'Смета ЕР (общ) '!$M305,2)</f>
        <v>0</v>
      </c>
      <c r="P305" s="55" t="s">
        <v>337</v>
      </c>
      <c r="Q305" s="56"/>
    </row>
    <row r="306" spans="1:20" ht="24" hidden="1" x14ac:dyDescent="0.3">
      <c r="A306" s="26" t="s">
        <v>279</v>
      </c>
      <c r="B306" s="26">
        <v>2</v>
      </c>
      <c r="C306" s="26"/>
      <c r="D306" s="26">
        <v>10</v>
      </c>
      <c r="E306" s="26" t="str">
        <f>CONCATENATE('Смета ЕР (общ) '!$A306,".",'Смета ЕР (общ) '!$B306,".",'Смета ЕР (общ) '!$D306)</f>
        <v>Р3.2.10</v>
      </c>
      <c r="F306" s="26">
        <f t="shared" si="21"/>
        <v>1</v>
      </c>
      <c r="G306" s="41" t="s">
        <v>338</v>
      </c>
      <c r="H306" s="42" t="s">
        <v>40</v>
      </c>
      <c r="I306" s="158"/>
      <c r="J306" s="30">
        <v>8143.2</v>
      </c>
      <c r="K306" s="30">
        <f>'[14]Трансформируемая перегородка'!F4</f>
        <v>34230</v>
      </c>
      <c r="L306" s="30">
        <f t="shared" si="22"/>
        <v>8143.2</v>
      </c>
      <c r="M306" s="54">
        <f t="shared" ref="M306:M310" si="23">K306</f>
        <v>34230</v>
      </c>
      <c r="N306" s="30">
        <f>ROUND('Смета ЕР (общ) '!$I306*'Смета ЕР (общ) '!$L306,2)</f>
        <v>0</v>
      </c>
      <c r="O306" s="30">
        <f>ROUND('Смета ЕР (общ) '!$I306*'Смета ЕР (общ) '!$M306,2)</f>
        <v>0</v>
      </c>
      <c r="P306" s="55" t="s">
        <v>337</v>
      </c>
      <c r="Q306" s="56"/>
    </row>
    <row r="307" spans="1:20" ht="24" hidden="1" x14ac:dyDescent="0.3">
      <c r="A307" s="26" t="s">
        <v>279</v>
      </c>
      <c r="B307" s="26">
        <v>2</v>
      </c>
      <c r="C307" s="26"/>
      <c r="D307" s="26">
        <v>11</v>
      </c>
      <c r="E307" s="26" t="str">
        <f>CONCATENATE('Смета ЕР (общ) '!$A307,".",'Смета ЕР (общ) '!$B307,".",'Смета ЕР (общ) '!$D307)</f>
        <v>Р3.2.11</v>
      </c>
      <c r="F307" s="26">
        <f t="shared" si="21"/>
        <v>1</v>
      </c>
      <c r="G307" s="41" t="s">
        <v>339</v>
      </c>
      <c r="H307" s="42" t="s">
        <v>40</v>
      </c>
      <c r="I307" s="158"/>
      <c r="J307" s="30">
        <v>8143.2</v>
      </c>
      <c r="K307" s="30">
        <f>'[14]Трансформируемая перегородка'!F5</f>
        <v>33295.5</v>
      </c>
      <c r="L307" s="30">
        <f t="shared" si="22"/>
        <v>8143.2</v>
      </c>
      <c r="M307" s="54">
        <f t="shared" si="23"/>
        <v>33295.5</v>
      </c>
      <c r="N307" s="30">
        <f>ROUND('Смета ЕР (общ) '!$I307*'Смета ЕР (общ) '!$L307,2)</f>
        <v>0</v>
      </c>
      <c r="O307" s="30">
        <f>ROUND('Смета ЕР (общ) '!$I307*'Смета ЕР (общ) '!$M307,2)</f>
        <v>0</v>
      </c>
      <c r="P307" s="55" t="s">
        <v>337</v>
      </c>
      <c r="Q307" s="56"/>
      <c r="T307">
        <v>11.55</v>
      </c>
    </row>
    <row r="308" spans="1:20" ht="24" hidden="1" x14ac:dyDescent="0.3">
      <c r="A308" s="26" t="s">
        <v>279</v>
      </c>
      <c r="B308" s="26">
        <v>2</v>
      </c>
      <c r="C308" s="26"/>
      <c r="D308" s="26">
        <v>12</v>
      </c>
      <c r="E308" s="26" t="str">
        <f>CONCATENATE('Смета ЕР (общ) '!$A308,".",'Смета ЕР (общ) '!$B308,".",'Смета ЕР (общ) '!$D308)</f>
        <v>Р3.2.12</v>
      </c>
      <c r="F308" s="26">
        <f t="shared" si="21"/>
        <v>1</v>
      </c>
      <c r="G308" s="41" t="s">
        <v>340</v>
      </c>
      <c r="H308" s="42" t="s">
        <v>40</v>
      </c>
      <c r="I308" s="158"/>
      <c r="J308" s="30">
        <v>8143.2</v>
      </c>
      <c r="K308" s="30">
        <f>'[14]Трансформируемая перегородка'!F6</f>
        <v>32235</v>
      </c>
      <c r="L308" s="30">
        <f t="shared" si="22"/>
        <v>8143.2</v>
      </c>
      <c r="M308" s="54">
        <f t="shared" si="23"/>
        <v>32235</v>
      </c>
      <c r="N308" s="30">
        <f>ROUND('Смета ЕР (общ) '!$I308*'Смета ЕР (общ) '!$L308,2)</f>
        <v>0</v>
      </c>
      <c r="O308" s="30">
        <f>ROUND('Смета ЕР (общ) '!$I308*'Смета ЕР (общ) '!$M308,2)</f>
        <v>0</v>
      </c>
      <c r="P308" s="55" t="s">
        <v>337</v>
      </c>
      <c r="Q308" s="56"/>
    </row>
    <row r="309" spans="1:20" ht="14.4" hidden="1" x14ac:dyDescent="0.3">
      <c r="A309" s="26" t="s">
        <v>279</v>
      </c>
      <c r="B309" s="26">
        <v>2</v>
      </c>
      <c r="C309" s="26"/>
      <c r="D309" s="26">
        <v>13</v>
      </c>
      <c r="E309" s="26" t="str">
        <f>CONCATENATE('Смета ЕР (общ) '!$A309,".",'Смета ЕР (общ) '!$B309,".",'Смета ЕР (общ) '!$D309)</f>
        <v>Р3.2.13</v>
      </c>
      <c r="F309" s="26">
        <f t="shared" si="21"/>
        <v>1</v>
      </c>
      <c r="G309" s="41" t="s">
        <v>341</v>
      </c>
      <c r="H309" s="42" t="s">
        <v>118</v>
      </c>
      <c r="I309" s="158"/>
      <c r="J309" s="30">
        <v>250.56</v>
      </c>
      <c r="K309" s="30">
        <f>'[14]Трансформируемая перегородка'!F11</f>
        <v>1323</v>
      </c>
      <c r="L309" s="30">
        <f t="shared" si="22"/>
        <v>250.56</v>
      </c>
      <c r="M309" s="54">
        <f t="shared" si="23"/>
        <v>1323</v>
      </c>
      <c r="N309" s="30">
        <f>ROUND('Смета ЕР (общ) '!$I309*'Смета ЕР (общ) '!$L309,2)</f>
        <v>0</v>
      </c>
      <c r="O309" s="30">
        <f>ROUND('Смета ЕР (общ) '!$I309*'Смета ЕР (общ) '!$M309,2)</f>
        <v>0</v>
      </c>
      <c r="P309" s="55" t="s">
        <v>337</v>
      </c>
      <c r="Q309" s="56"/>
      <c r="T309">
        <v>1</v>
      </c>
    </row>
    <row r="310" spans="1:20" ht="14.4" hidden="1" x14ac:dyDescent="0.3">
      <c r="A310" s="26" t="s">
        <v>279</v>
      </c>
      <c r="B310" s="26">
        <v>2</v>
      </c>
      <c r="C310" s="26"/>
      <c r="D310" s="26">
        <v>14</v>
      </c>
      <c r="E310" s="26" t="str">
        <f>CONCATENATE('Смета ЕР (общ) '!$A310,".",'Смета ЕР (общ) '!$B310,".",'Смета ЕР (общ) '!$D310)</f>
        <v>Р3.2.14</v>
      </c>
      <c r="F310" s="26">
        <f t="shared" si="21"/>
        <v>1</v>
      </c>
      <c r="G310" s="41" t="s">
        <v>342</v>
      </c>
      <c r="H310" s="42" t="s">
        <v>118</v>
      </c>
      <c r="I310" s="158"/>
      <c r="J310" s="30">
        <v>250.56</v>
      </c>
      <c r="K310" s="30">
        <f>'[14]Трансформируемая перегородка'!F12</f>
        <v>1659</v>
      </c>
      <c r="L310" s="30">
        <f t="shared" si="22"/>
        <v>250.56</v>
      </c>
      <c r="M310" s="54">
        <f t="shared" si="23"/>
        <v>1659</v>
      </c>
      <c r="N310" s="30">
        <f>ROUND('Смета ЕР (общ) '!$I310*'Смета ЕР (общ) '!$L310,2)</f>
        <v>0</v>
      </c>
      <c r="O310" s="30">
        <f>ROUND('Смета ЕР (общ) '!$I310*'Смета ЕР (общ) '!$M310,2)</f>
        <v>0</v>
      </c>
      <c r="P310" s="55" t="s">
        <v>337</v>
      </c>
      <c r="Q310" s="56"/>
      <c r="T310">
        <v>1</v>
      </c>
    </row>
    <row r="311" spans="1:20" ht="14.4" hidden="1" x14ac:dyDescent="0.3">
      <c r="A311" s="37" t="s">
        <v>279</v>
      </c>
      <c r="B311" s="37">
        <v>3</v>
      </c>
      <c r="C311" s="37"/>
      <c r="D311" s="37">
        <v>0</v>
      </c>
      <c r="E311" s="37" t="str">
        <f>CONCATENATE('Смета ЕР (общ) '!$A311,".",'Смета ЕР (общ) '!$B311,".",'Смета ЕР (общ) '!$D311)</f>
        <v>Р3.3.0</v>
      </c>
      <c r="F311" s="37">
        <f t="shared" si="21"/>
        <v>1</v>
      </c>
      <c r="G311" s="38" t="s">
        <v>343</v>
      </c>
      <c r="H311" s="22"/>
      <c r="I311" s="23"/>
      <c r="J311" s="36"/>
      <c r="K311" s="36"/>
      <c r="L311" s="25"/>
      <c r="M311" s="25"/>
      <c r="N311" s="25">
        <f>SUM(N312:N346)</f>
        <v>0</v>
      </c>
      <c r="O311" s="25">
        <f>SUM(O312:O346)</f>
        <v>0</v>
      </c>
      <c r="P311" s="45"/>
      <c r="T311">
        <v>672955.1</v>
      </c>
    </row>
    <row r="312" spans="1:20" ht="14.4" hidden="1" x14ac:dyDescent="0.3">
      <c r="A312" s="26" t="s">
        <v>279</v>
      </c>
      <c r="B312" s="26">
        <v>3</v>
      </c>
      <c r="C312" s="26"/>
      <c r="D312" s="26">
        <v>2</v>
      </c>
      <c r="E312" s="26" t="str">
        <f>CONCATENATE('Смета ЕР (общ) '!$A312,".",'Смета ЕР (общ) '!$B312,".",'Смета ЕР (общ) '!$D312)</f>
        <v>Р3.3.2</v>
      </c>
      <c r="F312" s="26">
        <f t="shared" si="21"/>
        <v>1</v>
      </c>
      <c r="G312" s="27" t="s">
        <v>344</v>
      </c>
      <c r="H312" s="42" t="s">
        <v>40</v>
      </c>
      <c r="I312" s="158"/>
      <c r="J312" s="30">
        <v>87</v>
      </c>
      <c r="K312" s="30">
        <v>154.86000000000001</v>
      </c>
      <c r="L312" s="30">
        <f t="shared" ref="L312:M342" si="24">ROUND(J312-J312*$Q$3,2)</f>
        <v>87</v>
      </c>
      <c r="M312" s="30">
        <f t="shared" si="24"/>
        <v>154.86000000000001</v>
      </c>
      <c r="N312" s="30">
        <f>ROUND('Смета ЕР (общ) '!$I312*'Смета ЕР (общ) '!$L312,2)</f>
        <v>0</v>
      </c>
      <c r="O312" s="30">
        <f>ROUND('Смета ЕР (общ) '!$I312*'Смета ЕР (общ) '!$M312,2)</f>
        <v>0</v>
      </c>
      <c r="P312" s="45"/>
    </row>
    <row r="313" spans="1:20" ht="24" hidden="1" customHeight="1" x14ac:dyDescent="0.3">
      <c r="A313" s="26" t="s">
        <v>279</v>
      </c>
      <c r="B313" s="26">
        <v>3</v>
      </c>
      <c r="C313" s="26"/>
      <c r="D313" s="26">
        <v>3</v>
      </c>
      <c r="E313" s="26" t="str">
        <f>CONCATENATE('Смета ЕР (общ) '!$A313,".",'Смета ЕР (общ) '!$B313,".",'Смета ЕР (общ) '!$D313)</f>
        <v>Р3.3.3</v>
      </c>
      <c r="F313" s="26">
        <f t="shared" si="21"/>
        <v>1</v>
      </c>
      <c r="G313" s="27" t="s">
        <v>345</v>
      </c>
      <c r="H313" s="42" t="s">
        <v>40</v>
      </c>
      <c r="I313" s="158"/>
      <c r="J313" s="30">
        <v>143.55000000000001</v>
      </c>
      <c r="K313" s="30">
        <v>106.22</v>
      </c>
      <c r="L313" s="30">
        <f t="shared" si="24"/>
        <v>143.55000000000001</v>
      </c>
      <c r="M313" s="30">
        <f t="shared" si="24"/>
        <v>106.22</v>
      </c>
      <c r="N313" s="30">
        <f>ROUND('Смета ЕР (общ) '!$I313*'Смета ЕР (общ) '!$L313,2)</f>
        <v>0</v>
      </c>
      <c r="O313" s="30">
        <f>ROUND('Смета ЕР (общ) '!$I313*'Смета ЕР (общ) '!$M313,2)</f>
        <v>0</v>
      </c>
      <c r="P313" s="29" t="s">
        <v>346</v>
      </c>
      <c r="T313">
        <v>545</v>
      </c>
    </row>
    <row r="314" spans="1:20" ht="21.75" hidden="1" customHeight="1" x14ac:dyDescent="0.3">
      <c r="A314" s="26" t="s">
        <v>279</v>
      </c>
      <c r="B314" s="26">
        <v>3</v>
      </c>
      <c r="C314" s="26"/>
      <c r="D314" s="26">
        <v>4</v>
      </c>
      <c r="E314" s="26" t="str">
        <f>CONCATENATE('Смета ЕР (общ) '!$A314,".",'Смета ЕР (общ) '!$B314,".",'Смета ЕР (общ) '!$D314)</f>
        <v>Р3.3.4</v>
      </c>
      <c r="F314" s="26">
        <f t="shared" si="21"/>
        <v>1</v>
      </c>
      <c r="G314" s="27" t="s">
        <v>347</v>
      </c>
      <c r="H314" s="28" t="s">
        <v>40</v>
      </c>
      <c r="I314" s="158"/>
      <c r="J314" s="30">
        <v>530.66</v>
      </c>
      <c r="K314" s="30">
        <v>307.39</v>
      </c>
      <c r="L314" s="30">
        <f t="shared" si="24"/>
        <v>530.66</v>
      </c>
      <c r="M314" s="30">
        <f t="shared" si="24"/>
        <v>307.39</v>
      </c>
      <c r="N314" s="30">
        <f>ROUND('Смета ЕР (общ) '!$I314*'Смета ЕР (общ) '!$L314,2)</f>
        <v>0</v>
      </c>
      <c r="O314" s="30">
        <f>ROUND('Смета ЕР (общ) '!$I314*'Смета ЕР (общ) '!$M314,2)</f>
        <v>0</v>
      </c>
      <c r="P314" s="29" t="s">
        <v>348</v>
      </c>
    </row>
    <row r="315" spans="1:20" ht="14.4" hidden="1" x14ac:dyDescent="0.3">
      <c r="A315" s="26" t="s">
        <v>279</v>
      </c>
      <c r="B315" s="26">
        <v>3</v>
      </c>
      <c r="C315" s="26"/>
      <c r="D315" s="26">
        <v>5</v>
      </c>
      <c r="E315" s="26" t="str">
        <f>CONCATENATE('Смета ЕР (общ) '!$A315,".",'Смета ЕР (общ) '!$B315,".",'Смета ЕР (общ) '!$D315)</f>
        <v>Р3.3.5</v>
      </c>
      <c r="F315" s="26">
        <f t="shared" si="21"/>
        <v>1</v>
      </c>
      <c r="G315" s="27" t="s">
        <v>349</v>
      </c>
      <c r="H315" s="28" t="s">
        <v>40</v>
      </c>
      <c r="I315" s="158"/>
      <c r="J315" s="30">
        <v>531.53</v>
      </c>
      <c r="K315" s="30">
        <v>401.98</v>
      </c>
      <c r="L315" s="30">
        <f t="shared" si="24"/>
        <v>531.53</v>
      </c>
      <c r="M315" s="30">
        <f t="shared" si="24"/>
        <v>401.98</v>
      </c>
      <c r="N315" s="30">
        <f>ROUND('Смета ЕР (общ) '!$I315*'Смета ЕР (общ) '!$L315,2)</f>
        <v>0</v>
      </c>
      <c r="O315" s="30">
        <f>ROUND('Смета ЕР (общ) '!$I315*'Смета ЕР (общ) '!$M315,2)</f>
        <v>0</v>
      </c>
      <c r="P315" s="45"/>
      <c r="T315">
        <v>545</v>
      </c>
    </row>
    <row r="316" spans="1:20" ht="18" hidden="1" customHeight="1" x14ac:dyDescent="0.3">
      <c r="A316" s="26" t="s">
        <v>279</v>
      </c>
      <c r="B316" s="26">
        <v>3</v>
      </c>
      <c r="C316" s="26"/>
      <c r="D316" s="26">
        <v>6</v>
      </c>
      <c r="E316" s="26" t="str">
        <f>CONCATENATE('Смета ЕР (общ) '!$A316,".",'Смета ЕР (общ) '!$B316,".",'Смета ЕР (общ) '!$D316)</f>
        <v>Р3.3.6</v>
      </c>
      <c r="F316" s="26">
        <f t="shared" si="21"/>
        <v>1</v>
      </c>
      <c r="G316" s="27" t="s">
        <v>350</v>
      </c>
      <c r="H316" s="28" t="s">
        <v>40</v>
      </c>
      <c r="I316" s="158"/>
      <c r="J316" s="30">
        <v>532.4</v>
      </c>
      <c r="K316" s="30">
        <v>325.2</v>
      </c>
      <c r="L316" s="30">
        <f t="shared" si="24"/>
        <v>532.4</v>
      </c>
      <c r="M316" s="30">
        <f t="shared" si="24"/>
        <v>325.2</v>
      </c>
      <c r="N316" s="30">
        <f>ROUND('Смета ЕР (общ) '!$I316*'Смета ЕР (общ) '!$L316,2)</f>
        <v>0</v>
      </c>
      <c r="O316" s="30">
        <f>ROUND('Смета ЕР (общ) '!$I316*'Смета ЕР (общ) '!$M316,2)</f>
        <v>0</v>
      </c>
      <c r="P316" s="29" t="s">
        <v>348</v>
      </c>
    </row>
    <row r="317" spans="1:20" ht="14.4" hidden="1" x14ac:dyDescent="0.3">
      <c r="A317" s="26" t="s">
        <v>279</v>
      </c>
      <c r="B317" s="26">
        <v>3</v>
      </c>
      <c r="C317" s="26"/>
      <c r="D317" s="26">
        <v>7</v>
      </c>
      <c r="E317" s="26" t="str">
        <f>CONCATENATE('Смета ЕР (общ) '!$A317,".",'Смета ЕР (общ) '!$B317,".",'Смета ЕР (общ) '!$D317)</f>
        <v>Р3.3.7</v>
      </c>
      <c r="F317" s="26">
        <f t="shared" si="21"/>
        <v>1</v>
      </c>
      <c r="G317" s="27" t="s">
        <v>351</v>
      </c>
      <c r="H317" s="28" t="s">
        <v>40</v>
      </c>
      <c r="I317" s="158"/>
      <c r="J317" s="30">
        <v>75.199999999999989</v>
      </c>
      <c r="K317" s="30">
        <v>50</v>
      </c>
      <c r="L317" s="30">
        <f t="shared" si="24"/>
        <v>75.2</v>
      </c>
      <c r="M317" s="30">
        <f t="shared" si="24"/>
        <v>50</v>
      </c>
      <c r="N317" s="30">
        <f>ROUND('Смета ЕР (общ) '!$I317*'Смета ЕР (общ) '!$L317,2)</f>
        <v>0</v>
      </c>
      <c r="O317" s="30">
        <f>ROUND('Смета ЕР (общ) '!$I317*'Смета ЕР (общ) '!$M317,2)</f>
        <v>0</v>
      </c>
      <c r="P317" s="45"/>
      <c r="T317">
        <v>545</v>
      </c>
    </row>
    <row r="318" spans="1:20" ht="14.4" hidden="1" x14ac:dyDescent="0.3">
      <c r="A318" s="26" t="s">
        <v>279</v>
      </c>
      <c r="B318" s="26">
        <v>3</v>
      </c>
      <c r="C318" s="26"/>
      <c r="D318" s="26">
        <v>8</v>
      </c>
      <c r="E318" s="26" t="str">
        <f>CONCATENATE('Смета ЕР (общ) '!$A318,".",'Смета ЕР (общ) '!$B318,".",'Смета ЕР (общ) '!$D318)</f>
        <v>Р3.3.8</v>
      </c>
      <c r="F318" s="26">
        <f t="shared" si="21"/>
        <v>1</v>
      </c>
      <c r="G318" s="27" t="s">
        <v>352</v>
      </c>
      <c r="H318" s="42" t="s">
        <v>40</v>
      </c>
      <c r="I318" s="158"/>
      <c r="J318" s="30">
        <v>350</v>
      </c>
      <c r="K318" s="30">
        <v>420</v>
      </c>
      <c r="L318" s="30">
        <f t="shared" si="24"/>
        <v>350</v>
      </c>
      <c r="M318" s="30">
        <f t="shared" si="24"/>
        <v>420</v>
      </c>
      <c r="N318" s="30">
        <f>ROUND('Смета ЕР (общ) '!$I318*'Смета ЕР (общ) '!$L318,2)</f>
        <v>0</v>
      </c>
      <c r="O318" s="30">
        <f>ROUND('Смета ЕР (общ) '!$I318*'Смета ЕР (общ) '!$M318,2)</f>
        <v>0</v>
      </c>
      <c r="P318" s="45"/>
      <c r="T318">
        <v>463.25</v>
      </c>
    </row>
    <row r="319" spans="1:20" ht="14.4" hidden="1" x14ac:dyDescent="0.3">
      <c r="A319" s="26" t="s">
        <v>279</v>
      </c>
      <c r="B319" s="26">
        <v>3</v>
      </c>
      <c r="C319" s="26"/>
      <c r="D319" s="26">
        <v>9</v>
      </c>
      <c r="E319" s="26" t="str">
        <f>CONCATENATE('Смета ЕР (общ) '!$A319,".",'Смета ЕР (общ) '!$B319,".",'Смета ЕР (общ) '!$D319)</f>
        <v>Р3.3.9</v>
      </c>
      <c r="F319" s="26">
        <f t="shared" si="21"/>
        <v>1</v>
      </c>
      <c r="G319" s="27" t="s">
        <v>353</v>
      </c>
      <c r="H319" s="42" t="s">
        <v>40</v>
      </c>
      <c r="I319" s="158"/>
      <c r="J319" s="30">
        <v>220</v>
      </c>
      <c r="K319" s="30">
        <v>89.4</v>
      </c>
      <c r="L319" s="30">
        <f t="shared" si="24"/>
        <v>220</v>
      </c>
      <c r="M319" s="30">
        <f t="shared" si="24"/>
        <v>89.4</v>
      </c>
      <c r="N319" s="30">
        <f>ROUND('Смета ЕР (общ) '!$I319*'Смета ЕР (общ) '!$L319,2)</f>
        <v>0</v>
      </c>
      <c r="O319" s="30">
        <f>ROUND('Смета ЕР (общ) '!$I319*'Смета ЕР (общ) '!$M319,2)</f>
        <v>0</v>
      </c>
      <c r="P319" s="45"/>
      <c r="T319">
        <v>463.25</v>
      </c>
    </row>
    <row r="320" spans="1:20" ht="14.4" hidden="1" x14ac:dyDescent="0.3">
      <c r="A320" s="26" t="s">
        <v>279</v>
      </c>
      <c r="B320" s="26">
        <v>3</v>
      </c>
      <c r="C320" s="26"/>
      <c r="D320" s="26">
        <v>10</v>
      </c>
      <c r="E320" s="26" t="str">
        <f>CONCATENATE('Смета ЕР (общ) '!$A320,".",'Смета ЕР (общ) '!$B320,".",'Смета ЕР (общ) '!$D320)</f>
        <v>Р3.3.10</v>
      </c>
      <c r="F320" s="26">
        <f t="shared" si="21"/>
        <v>1</v>
      </c>
      <c r="G320" s="27" t="s">
        <v>354</v>
      </c>
      <c r="H320" s="42" t="s">
        <v>40</v>
      </c>
      <c r="I320" s="158"/>
      <c r="J320" s="30">
        <v>977.08</v>
      </c>
      <c r="K320" s="30">
        <v>432.43</v>
      </c>
      <c r="L320" s="30">
        <f t="shared" si="24"/>
        <v>977.08</v>
      </c>
      <c r="M320" s="30">
        <f t="shared" si="24"/>
        <v>432.43</v>
      </c>
      <c r="N320" s="30">
        <f>ROUND('Смета ЕР (общ) '!$I320*'Смета ЕР (общ) '!$L320,2)</f>
        <v>0</v>
      </c>
      <c r="O320" s="30">
        <f>ROUND('Смета ЕР (общ) '!$I320*'Смета ЕР (общ) '!$M320,2)</f>
        <v>0</v>
      </c>
      <c r="P320" s="45"/>
    </row>
    <row r="321" spans="1:22" ht="14.4" hidden="1" x14ac:dyDescent="0.3">
      <c r="A321" s="26" t="s">
        <v>279</v>
      </c>
      <c r="B321" s="26">
        <v>3</v>
      </c>
      <c r="C321" s="26"/>
      <c r="D321" s="26">
        <v>11</v>
      </c>
      <c r="E321" s="26" t="str">
        <f>CONCATENATE('Смета ЕР (общ) '!$A321,".",'Смета ЕР (общ) '!$B321,".",'Смета ЕР (общ) '!$D321)</f>
        <v>Р3.3.11</v>
      </c>
      <c r="F321" s="26">
        <f t="shared" si="21"/>
        <v>1</v>
      </c>
      <c r="G321" s="41" t="s">
        <v>355</v>
      </c>
      <c r="H321" s="42" t="s">
        <v>40</v>
      </c>
      <c r="I321" s="158"/>
      <c r="J321" s="30">
        <v>2307.71</v>
      </c>
      <c r="K321" s="30">
        <v>402.45</v>
      </c>
      <c r="L321" s="30">
        <f t="shared" si="24"/>
        <v>2307.71</v>
      </c>
      <c r="M321" s="30">
        <f t="shared" si="24"/>
        <v>402.45</v>
      </c>
      <c r="N321" s="30">
        <f>ROUND('Смета ЕР (общ) '!$I321*'Смета ЕР (общ) '!$L321,2)</f>
        <v>0</v>
      </c>
      <c r="O321" s="30">
        <f>ROUND('Смета ЕР (общ) '!$I321*'Смета ЕР (общ) '!$M321,2)</f>
        <v>0</v>
      </c>
      <c r="P321" s="45"/>
    </row>
    <row r="322" spans="1:22" ht="24" hidden="1" x14ac:dyDescent="0.3">
      <c r="A322" s="26" t="s">
        <v>279</v>
      </c>
      <c r="B322" s="26">
        <v>3</v>
      </c>
      <c r="C322" s="26"/>
      <c r="D322" s="26">
        <v>23</v>
      </c>
      <c r="E322" s="26" t="str">
        <f>CONCATENATE('Смета ЕР (общ) '!$A322,".",'Смета ЕР (общ) '!$B322,".",'Смета ЕР (общ) '!$D322)</f>
        <v>Р3.3.23</v>
      </c>
      <c r="F322" s="26">
        <f t="shared" si="21"/>
        <v>1</v>
      </c>
      <c r="G322" s="41" t="s">
        <v>356</v>
      </c>
      <c r="H322" s="42" t="s">
        <v>40</v>
      </c>
      <c r="I322" s="158"/>
      <c r="J322" s="30">
        <v>3048.05</v>
      </c>
      <c r="K322" s="30">
        <f>'[14]Плитка СУ'!E3</f>
        <v>2338.6755000000007</v>
      </c>
      <c r="L322" s="30">
        <f t="shared" si="24"/>
        <v>3048.05</v>
      </c>
      <c r="M322" s="54">
        <f>K322</f>
        <v>2338.6755000000007</v>
      </c>
      <c r="N322" s="30">
        <f>ROUND('Смета ЕР (общ) '!$I322*'Смета ЕР (общ) '!$L322,2)</f>
        <v>0</v>
      </c>
      <c r="O322" s="30">
        <f>ROUND('Смета ЕР (общ) '!$I322*'Смета ЕР (общ) '!$M322,2)</f>
        <v>0</v>
      </c>
      <c r="P322" s="55" t="s">
        <v>357</v>
      </c>
      <c r="Q322" s="56"/>
    </row>
    <row r="323" spans="1:22" ht="24" hidden="1" x14ac:dyDescent="0.3">
      <c r="A323" s="26" t="s">
        <v>279</v>
      </c>
      <c r="B323" s="26">
        <v>3</v>
      </c>
      <c r="C323" s="26"/>
      <c r="D323" s="26">
        <v>24</v>
      </c>
      <c r="E323" s="26" t="str">
        <f>CONCATENATE('Смета ЕР (общ) '!$A323,".",'Смета ЕР (общ) '!$B323,".",'Смета ЕР (общ) '!$D323)</f>
        <v>Р3.3.24</v>
      </c>
      <c r="F323" s="26">
        <f t="shared" si="21"/>
        <v>1</v>
      </c>
      <c r="G323" s="41" t="s">
        <v>358</v>
      </c>
      <c r="H323" s="42" t="s">
        <v>40</v>
      </c>
      <c r="I323" s="158"/>
      <c r="J323" s="30">
        <v>3048.05</v>
      </c>
      <c r="K323" s="30">
        <v>2125.37</v>
      </c>
      <c r="L323" s="30">
        <f t="shared" si="24"/>
        <v>3048.05</v>
      </c>
      <c r="M323" s="30">
        <f t="shared" si="24"/>
        <v>2125.37</v>
      </c>
      <c r="N323" s="30">
        <f>ROUND('Смета ЕР (общ) '!$I323*'Смета ЕР (общ) '!$L323,2)</f>
        <v>0</v>
      </c>
      <c r="O323" s="30">
        <f>ROUND('Смета ЕР (общ) '!$I323*'Смета ЕР (общ) '!$M323,2)</f>
        <v>0</v>
      </c>
      <c r="P323" s="55"/>
    </row>
    <row r="324" spans="1:22" ht="14.4" hidden="1" x14ac:dyDescent="0.3">
      <c r="A324" s="26" t="s">
        <v>279</v>
      </c>
      <c r="B324" s="26">
        <v>3</v>
      </c>
      <c r="C324" s="26"/>
      <c r="D324" s="26">
        <v>13</v>
      </c>
      <c r="E324" s="26" t="str">
        <f>CONCATENATE('Смета ЕР (общ) '!$A324,".",'Смета ЕР (общ) '!$B324,".",'Смета ЕР (общ) '!$D324)</f>
        <v>Р3.3.13</v>
      </c>
      <c r="F324" s="26">
        <f t="shared" si="21"/>
        <v>1</v>
      </c>
      <c r="G324" s="41" t="s">
        <v>359</v>
      </c>
      <c r="H324" s="60" t="s">
        <v>40</v>
      </c>
      <c r="I324" s="158"/>
      <c r="J324" s="30">
        <v>3048.05</v>
      </c>
      <c r="K324" s="30">
        <f>'[14]Плитка СУ'!E23</f>
        <v>1622.1555000000001</v>
      </c>
      <c r="L324" s="50">
        <f t="shared" si="24"/>
        <v>3048.05</v>
      </c>
      <c r="M324" s="54">
        <f>K324</f>
        <v>1622.1555000000001</v>
      </c>
      <c r="N324" s="50">
        <f>ROUND('Смета ЕР (общ) '!$I324*'Смета ЕР (общ) '!$L324,2)</f>
        <v>0</v>
      </c>
      <c r="O324" s="50">
        <f>ROUND('Смета ЕР (общ) '!$I324*'Смета ЕР (общ) '!$M324,2)</f>
        <v>0</v>
      </c>
      <c r="P324" s="55" t="s">
        <v>357</v>
      </c>
      <c r="Q324" s="56"/>
    </row>
    <row r="325" spans="1:22" ht="14.4" hidden="1" x14ac:dyDescent="0.3">
      <c r="A325" s="26" t="s">
        <v>279</v>
      </c>
      <c r="B325" s="26">
        <v>3</v>
      </c>
      <c r="C325" s="26"/>
      <c r="D325" s="26">
        <v>14</v>
      </c>
      <c r="E325" s="26" t="str">
        <f>CONCATENATE('Смета ЕР (общ) '!$A325,".",'Смета ЕР (общ) '!$B325,".",'Смета ЕР (общ) '!$D325)</f>
        <v>Р3.3.14</v>
      </c>
      <c r="F325" s="26">
        <f t="shared" si="21"/>
        <v>1</v>
      </c>
      <c r="G325" s="41" t="s">
        <v>360</v>
      </c>
      <c r="H325" s="42" t="s">
        <v>40</v>
      </c>
      <c r="I325" s="158"/>
      <c r="J325" s="30">
        <v>3048.05</v>
      </c>
      <c r="K325" s="30">
        <f>'[14]Плитка СУ'!E22</f>
        <v>1685.1555000000001</v>
      </c>
      <c r="L325" s="50">
        <f t="shared" si="24"/>
        <v>3048.05</v>
      </c>
      <c r="M325" s="54">
        <f>K325</f>
        <v>1685.1555000000001</v>
      </c>
      <c r="N325" s="50">
        <f>ROUND('Смета ЕР (общ) '!$I325*'Смета ЕР (общ) '!$L325,2)</f>
        <v>0</v>
      </c>
      <c r="O325" s="50">
        <f>ROUND('Смета ЕР (общ) '!$I325*'Смета ЕР (общ) '!$M325,2)</f>
        <v>0</v>
      </c>
      <c r="P325" s="55" t="s">
        <v>357</v>
      </c>
      <c r="Q325" s="56"/>
    </row>
    <row r="326" spans="1:22" ht="14.4" hidden="1" x14ac:dyDescent="0.3">
      <c r="A326" s="26" t="s">
        <v>279</v>
      </c>
      <c r="B326" s="26">
        <v>3</v>
      </c>
      <c r="C326" s="26"/>
      <c r="D326" s="26">
        <v>30</v>
      </c>
      <c r="E326" s="26" t="str">
        <f>CONCATENATE('Смета ЕР (общ) '!$A326,".",'Смета ЕР (общ) '!$B326,".",'Смета ЕР (общ) '!$D326)</f>
        <v>Р3.3.30</v>
      </c>
      <c r="F326" s="26">
        <f t="shared" si="21"/>
        <v>1</v>
      </c>
      <c r="G326" s="41" t="s">
        <v>361</v>
      </c>
      <c r="H326" s="42" t="s">
        <v>40</v>
      </c>
      <c r="I326" s="158"/>
      <c r="J326" s="30">
        <v>3048.05</v>
      </c>
      <c r="K326" s="30">
        <f>[14]Керамогранит!E3</f>
        <v>4387.8868950000005</v>
      </c>
      <c r="L326" s="50">
        <f t="shared" si="24"/>
        <v>3048.05</v>
      </c>
      <c r="M326" s="54">
        <f t="shared" ref="M326:M332" si="25">K326</f>
        <v>4387.8868950000005</v>
      </c>
      <c r="N326" s="50">
        <f>ROUND('Смета ЕР (общ) '!$I326*'Смета ЕР (общ) '!$L326,2)</f>
        <v>0</v>
      </c>
      <c r="O326" s="50">
        <f>ROUND('Смета ЕР (общ) '!$I326*'Смета ЕР (общ) '!$M326,2)</f>
        <v>0</v>
      </c>
      <c r="P326" s="61" t="s">
        <v>362</v>
      </c>
      <c r="Q326" s="56"/>
      <c r="R326" s="62"/>
      <c r="S326" s="63"/>
      <c r="T326" s="64" t="s">
        <v>363</v>
      </c>
      <c r="U326" s="65"/>
      <c r="V326" s="63"/>
    </row>
    <row r="327" spans="1:22" ht="14.4" hidden="1" x14ac:dyDescent="0.3">
      <c r="A327" s="26" t="s">
        <v>279</v>
      </c>
      <c r="B327" s="26">
        <v>3</v>
      </c>
      <c r="C327" s="26"/>
      <c r="D327" s="26">
        <v>31</v>
      </c>
      <c r="E327" s="26" t="str">
        <f>CONCATENATE('Смета ЕР (общ) '!$A327,".",'Смета ЕР (общ) '!$B327,".",'Смета ЕР (общ) '!$D327)</f>
        <v>Р3.3.31</v>
      </c>
      <c r="F327" s="26">
        <f t="shared" si="21"/>
        <v>1</v>
      </c>
      <c r="G327" s="41" t="s">
        <v>364</v>
      </c>
      <c r="H327" s="42" t="s">
        <v>40</v>
      </c>
      <c r="I327" s="158"/>
      <c r="J327" s="30">
        <v>3048.05</v>
      </c>
      <c r="K327" s="30">
        <f>[14]Керамогранит!E4</f>
        <v>4699.438905</v>
      </c>
      <c r="L327" s="50">
        <f t="shared" si="24"/>
        <v>3048.05</v>
      </c>
      <c r="M327" s="54">
        <f t="shared" si="25"/>
        <v>4699.438905</v>
      </c>
      <c r="N327" s="50">
        <f>ROUND('Смета ЕР (общ) '!$I327*'Смета ЕР (общ) '!$L327,2)</f>
        <v>0</v>
      </c>
      <c r="O327" s="50">
        <f>ROUND('Смета ЕР (общ) '!$I327*'Смета ЕР (общ) '!$M327,2)</f>
        <v>0</v>
      </c>
      <c r="P327" s="61" t="s">
        <v>362</v>
      </c>
      <c r="Q327" s="56"/>
      <c r="R327" s="62"/>
      <c r="S327" s="63"/>
      <c r="T327" s="64" t="s">
        <v>363</v>
      </c>
      <c r="U327" s="65"/>
      <c r="V327" s="63"/>
    </row>
    <row r="328" spans="1:22" ht="14.4" hidden="1" x14ac:dyDescent="0.3">
      <c r="A328" s="26" t="s">
        <v>279</v>
      </c>
      <c r="B328" s="26">
        <v>3</v>
      </c>
      <c r="C328" s="26"/>
      <c r="D328" s="26">
        <v>32</v>
      </c>
      <c r="E328" s="26" t="str">
        <f>CONCATENATE('Смета ЕР (общ) '!$A328,".",'Смета ЕР (общ) '!$B328,".",'Смета ЕР (общ) '!$D328)</f>
        <v>Р3.3.32</v>
      </c>
      <c r="F328" s="26">
        <f t="shared" si="21"/>
        <v>1</v>
      </c>
      <c r="G328" s="41" t="s">
        <v>365</v>
      </c>
      <c r="H328" s="42" t="s">
        <v>40</v>
      </c>
      <c r="I328" s="158"/>
      <c r="J328" s="30">
        <v>3048.05</v>
      </c>
      <c r="K328" s="30">
        <f>[14]Керамогранит!E5</f>
        <v>4057.4529450000005</v>
      </c>
      <c r="L328" s="50">
        <f t="shared" si="24"/>
        <v>3048.05</v>
      </c>
      <c r="M328" s="54">
        <f t="shared" si="25"/>
        <v>4057.4529450000005</v>
      </c>
      <c r="N328" s="50">
        <f>ROUND('Смета ЕР (общ) '!$I328*'Смета ЕР (общ) '!$L328,2)</f>
        <v>0</v>
      </c>
      <c r="O328" s="50">
        <f>ROUND('Смета ЕР (общ) '!$I328*'Смета ЕР (общ) '!$M328,2)</f>
        <v>0</v>
      </c>
      <c r="P328" s="61" t="s">
        <v>362</v>
      </c>
      <c r="Q328" s="56"/>
      <c r="R328" s="62"/>
      <c r="S328" s="63"/>
      <c r="T328" s="64" t="s">
        <v>363</v>
      </c>
      <c r="U328" s="65"/>
      <c r="V328" s="63"/>
    </row>
    <row r="329" spans="1:22" ht="14.4" hidden="1" x14ac:dyDescent="0.3">
      <c r="A329" s="26" t="s">
        <v>279</v>
      </c>
      <c r="B329" s="26">
        <v>3</v>
      </c>
      <c r="C329" s="26"/>
      <c r="D329" s="26">
        <v>33</v>
      </c>
      <c r="E329" s="26" t="str">
        <f>CONCATENATE('Смета ЕР (общ) '!$A329,".",'Смета ЕР (общ) '!$B329,".",'Смета ЕР (общ) '!$D329)</f>
        <v>Р3.3.33</v>
      </c>
      <c r="F329" s="26">
        <f t="shared" si="21"/>
        <v>1</v>
      </c>
      <c r="G329" s="41" t="s">
        <v>366</v>
      </c>
      <c r="H329" s="42" t="s">
        <v>40</v>
      </c>
      <c r="I329" s="158"/>
      <c r="J329" s="30">
        <v>3048.05</v>
      </c>
      <c r="K329" s="30">
        <f>[14]Керамогранит!E6</f>
        <v>4387.8868950000005</v>
      </c>
      <c r="L329" s="50">
        <f t="shared" si="24"/>
        <v>3048.05</v>
      </c>
      <c r="M329" s="54">
        <f t="shared" si="25"/>
        <v>4387.8868950000005</v>
      </c>
      <c r="N329" s="50">
        <f>ROUND('Смета ЕР (общ) '!$I329*'Смета ЕР (общ) '!$L329,2)</f>
        <v>0</v>
      </c>
      <c r="O329" s="50">
        <f>ROUND('Смета ЕР (общ) '!$I329*'Смета ЕР (общ) '!$M329,2)</f>
        <v>0</v>
      </c>
      <c r="P329" s="61" t="s">
        <v>362</v>
      </c>
      <c r="Q329" s="56"/>
      <c r="R329" s="62"/>
      <c r="S329" s="63"/>
      <c r="T329" s="64" t="s">
        <v>363</v>
      </c>
      <c r="U329" s="65"/>
      <c r="V329" s="63"/>
    </row>
    <row r="330" spans="1:22" ht="14.4" hidden="1" x14ac:dyDescent="0.3">
      <c r="A330" s="26" t="s">
        <v>279</v>
      </c>
      <c r="B330" s="26">
        <v>3</v>
      </c>
      <c r="C330" s="26"/>
      <c r="D330" s="26">
        <v>34</v>
      </c>
      <c r="E330" s="26" t="str">
        <f>CONCATENATE('Смета ЕР (общ) '!$A330,".",'Смета ЕР (общ) '!$B330,".",'Смета ЕР (общ) '!$D330)</f>
        <v>Р3.3.34</v>
      </c>
      <c r="F330" s="26">
        <f t="shared" si="21"/>
        <v>1</v>
      </c>
      <c r="G330" s="41" t="s">
        <v>367</v>
      </c>
      <c r="H330" s="42" t="s">
        <v>40</v>
      </c>
      <c r="I330" s="158"/>
      <c r="J330" s="30">
        <v>3048.05</v>
      </c>
      <c r="K330" s="30">
        <f>[14]Керамогранит!E7</f>
        <v>4057.4529450000005</v>
      </c>
      <c r="L330" s="50">
        <f t="shared" si="24"/>
        <v>3048.05</v>
      </c>
      <c r="M330" s="54">
        <f t="shared" si="25"/>
        <v>4057.4529450000005</v>
      </c>
      <c r="N330" s="50">
        <f>ROUND('Смета ЕР (общ) '!$I330*'Смета ЕР (общ) '!$L330,2)</f>
        <v>0</v>
      </c>
      <c r="O330" s="50">
        <f>ROUND('Смета ЕР (общ) '!$I330*'Смета ЕР (общ) '!$M330,2)</f>
        <v>0</v>
      </c>
      <c r="P330" s="61" t="s">
        <v>362</v>
      </c>
      <c r="Q330" s="56"/>
      <c r="R330" s="66"/>
      <c r="T330" s="67" t="s">
        <v>363</v>
      </c>
      <c r="U330" s="65"/>
      <c r="V330" s="68"/>
    </row>
    <row r="331" spans="1:22" ht="14.4" hidden="1" x14ac:dyDescent="0.3">
      <c r="A331" s="26" t="s">
        <v>279</v>
      </c>
      <c r="B331" s="26">
        <v>3</v>
      </c>
      <c r="C331" s="26"/>
      <c r="D331" s="26">
        <v>35</v>
      </c>
      <c r="E331" s="26" t="str">
        <f>CONCATENATE('Смета ЕР (общ) '!$A331,".",'Смета ЕР (общ) '!$B331,".",'Смета ЕР (общ) '!$D331)</f>
        <v>Р3.3.35</v>
      </c>
      <c r="F331" s="26">
        <f t="shared" si="21"/>
        <v>1</v>
      </c>
      <c r="G331" s="41" t="s">
        <v>368</v>
      </c>
      <c r="H331" s="42" t="s">
        <v>40</v>
      </c>
      <c r="I331" s="158"/>
      <c r="J331" s="30">
        <v>3048.05</v>
      </c>
      <c r="K331" s="30">
        <f>[14]Керамогранит!E8</f>
        <v>3769.5033600000006</v>
      </c>
      <c r="L331" s="50">
        <f t="shared" si="24"/>
        <v>3048.05</v>
      </c>
      <c r="M331" s="54">
        <f t="shared" si="25"/>
        <v>3769.5033600000006</v>
      </c>
      <c r="N331" s="50">
        <f>ROUND('Смета ЕР (общ) '!$I331*'Смета ЕР (общ) '!$L331,2)</f>
        <v>0</v>
      </c>
      <c r="O331" s="50">
        <f>ROUND('Смета ЕР (общ) '!$I331*'Смета ЕР (общ) '!$M331,2)</f>
        <v>0</v>
      </c>
      <c r="P331" s="61" t="s">
        <v>362</v>
      </c>
      <c r="Q331" s="69" t="s">
        <v>369</v>
      </c>
      <c r="R331" s="66"/>
      <c r="U331" s="65"/>
      <c r="V331" s="68"/>
    </row>
    <row r="332" spans="1:22" ht="14.4" hidden="1" x14ac:dyDescent="0.3">
      <c r="A332" s="26" t="s">
        <v>279</v>
      </c>
      <c r="B332" s="26">
        <v>3</v>
      </c>
      <c r="C332" s="26"/>
      <c r="D332" s="26">
        <v>36</v>
      </c>
      <c r="E332" s="26" t="str">
        <f>CONCATENATE('Смета ЕР (общ) '!$A332,".",'Смета ЕР (общ) '!$B332,".",'Смета ЕР (общ) '!$D332)</f>
        <v>Р3.3.36</v>
      </c>
      <c r="F332" s="26">
        <f t="shared" si="21"/>
        <v>1</v>
      </c>
      <c r="G332" s="41" t="s">
        <v>370</v>
      </c>
      <c r="H332" s="42" t="s">
        <v>40</v>
      </c>
      <c r="I332" s="158"/>
      <c r="J332" s="30">
        <v>3048.05</v>
      </c>
      <c r="K332" s="30">
        <f>[14]Керамогранит!E9</f>
        <v>4576.706295</v>
      </c>
      <c r="L332" s="50">
        <f t="shared" si="24"/>
        <v>3048.05</v>
      </c>
      <c r="M332" s="54">
        <f t="shared" si="25"/>
        <v>4576.706295</v>
      </c>
      <c r="N332" s="50">
        <f>ROUND('Смета ЕР (общ) '!$I332*'Смета ЕР (общ) '!$L332,2)</f>
        <v>0</v>
      </c>
      <c r="O332" s="50">
        <f>ROUND('Смета ЕР (общ) '!$I332*'Смета ЕР (общ) '!$M332,2)</f>
        <v>0</v>
      </c>
      <c r="P332" s="61" t="s">
        <v>362</v>
      </c>
      <c r="Q332" s="69" t="s">
        <v>371</v>
      </c>
      <c r="R332" s="66"/>
      <c r="U332" s="65"/>
      <c r="V332" s="68"/>
    </row>
    <row r="333" spans="1:22" ht="24" hidden="1" x14ac:dyDescent="0.3">
      <c r="A333" s="26" t="s">
        <v>279</v>
      </c>
      <c r="B333" s="26">
        <v>3</v>
      </c>
      <c r="C333" s="26"/>
      <c r="D333" s="26">
        <v>25</v>
      </c>
      <c r="E333" s="26" t="str">
        <f>CONCATENATE('Смета ЕР (общ) '!$A333,".",'Смета ЕР (общ) '!$B333,".",'Смета ЕР (общ) '!$D333)</f>
        <v>Р3.3.25</v>
      </c>
      <c r="F333" s="26">
        <f>IF(I333&gt;0,F330+1,F330)</f>
        <v>1</v>
      </c>
      <c r="G333" s="41" t="s">
        <v>372</v>
      </c>
      <c r="H333" s="28" t="s">
        <v>118</v>
      </c>
      <c r="I333" s="158"/>
      <c r="J333" s="30">
        <v>339.3</v>
      </c>
      <c r="K333" s="30">
        <v>220.24</v>
      </c>
      <c r="L333" s="30">
        <f t="shared" si="24"/>
        <v>339.3</v>
      </c>
      <c r="M333" s="30">
        <f t="shared" si="24"/>
        <v>220.24</v>
      </c>
      <c r="N333" s="30">
        <f>ROUND('Смета ЕР (общ) '!$I333*'Смета ЕР (общ) '!$L333,2)</f>
        <v>0</v>
      </c>
      <c r="O333" s="30">
        <f>ROUND('Смета ЕР (общ) '!$I333*'Смета ЕР (общ) '!$M333,2)</f>
        <v>0</v>
      </c>
      <c r="P333" s="45"/>
      <c r="R333" s="70"/>
      <c r="V333" s="68"/>
    </row>
    <row r="334" spans="1:22" ht="14.4" hidden="1" x14ac:dyDescent="0.3">
      <c r="A334" s="26" t="s">
        <v>279</v>
      </c>
      <c r="B334" s="26">
        <v>3</v>
      </c>
      <c r="C334" s="26"/>
      <c r="D334" s="26">
        <v>12</v>
      </c>
      <c r="E334" s="26" t="str">
        <f>CONCATENATE('Смета ЕР (общ) '!$A334,".",'Смета ЕР (общ) '!$B334,".",'Смета ЕР (общ) '!$D334)</f>
        <v>Р3.3.12</v>
      </c>
      <c r="F334" s="26">
        <f t="shared" si="21"/>
        <v>1</v>
      </c>
      <c r="G334" s="27" t="s">
        <v>373</v>
      </c>
      <c r="H334" s="28" t="s">
        <v>147</v>
      </c>
      <c r="I334" s="158"/>
      <c r="J334" s="30">
        <v>297.58</v>
      </c>
      <c r="K334" s="30">
        <v>106.05</v>
      </c>
      <c r="L334" s="30">
        <f t="shared" si="24"/>
        <v>297.58</v>
      </c>
      <c r="M334" s="30">
        <f t="shared" si="24"/>
        <v>106.05</v>
      </c>
      <c r="N334" s="30">
        <f>ROUND('Смета ЕР (общ) '!$I334*'Смета ЕР (общ) '!$L334,2)</f>
        <v>0</v>
      </c>
      <c r="O334" s="30">
        <f>ROUND('Смета ЕР (общ) '!$I334*'Смета ЕР (общ) '!$M334,2)</f>
        <v>0</v>
      </c>
      <c r="P334" s="45"/>
      <c r="R334" s="70"/>
      <c r="V334" s="68"/>
    </row>
    <row r="335" spans="1:22" ht="14.4" hidden="1" x14ac:dyDescent="0.3">
      <c r="A335" s="26" t="s">
        <v>279</v>
      </c>
      <c r="B335" s="26">
        <v>3</v>
      </c>
      <c r="C335" s="26"/>
      <c r="D335" s="26">
        <v>26</v>
      </c>
      <c r="E335" s="26" t="str">
        <f>CONCATENATE('Смета ЕР (общ) '!$A335,".",'Смета ЕР (общ) '!$B335,".",'Смета ЕР (общ) '!$D335)</f>
        <v>Р3.3.26</v>
      </c>
      <c r="F335" s="26">
        <f t="shared" si="21"/>
        <v>1</v>
      </c>
      <c r="G335" s="27" t="s">
        <v>374</v>
      </c>
      <c r="H335" s="28" t="s">
        <v>147</v>
      </c>
      <c r="I335" s="158"/>
      <c r="J335" s="30">
        <v>297.58</v>
      </c>
      <c r="K335" s="30">
        <v>215.17</v>
      </c>
      <c r="L335" s="30">
        <f t="shared" si="24"/>
        <v>297.58</v>
      </c>
      <c r="M335" s="30">
        <f t="shared" si="24"/>
        <v>215.17</v>
      </c>
      <c r="N335" s="30">
        <f>ROUND('Смета ЕР (общ) '!$I335*'Смета ЕР (общ) '!$L335,2)</f>
        <v>0</v>
      </c>
      <c r="O335" s="30">
        <f>ROUND('Смета ЕР (общ) '!$I335*'Смета ЕР (общ) '!$M335,2)</f>
        <v>0</v>
      </c>
      <c r="P335" s="45"/>
    </row>
    <row r="336" spans="1:22" ht="14.4" hidden="1" x14ac:dyDescent="0.3">
      <c r="A336" s="26" t="s">
        <v>279</v>
      </c>
      <c r="B336" s="26">
        <v>3</v>
      </c>
      <c r="C336" s="26"/>
      <c r="D336" s="26">
        <v>20</v>
      </c>
      <c r="E336" s="26" t="str">
        <f>CONCATENATE('Смета ЕР (общ) '!$A336,".",'Смета ЕР (общ) '!$B336,".",'Смета ЕР (общ) '!$D336)</f>
        <v>Р3.3.20</v>
      </c>
      <c r="F336" s="26">
        <f t="shared" si="21"/>
        <v>1</v>
      </c>
      <c r="G336" s="27" t="s">
        <v>375</v>
      </c>
      <c r="H336" s="28" t="s">
        <v>40</v>
      </c>
      <c r="I336" s="158"/>
      <c r="J336" s="30">
        <v>2926</v>
      </c>
      <c r="K336" s="30">
        <v>2933.96</v>
      </c>
      <c r="L336" s="30">
        <f t="shared" si="24"/>
        <v>2926</v>
      </c>
      <c r="M336" s="30">
        <f t="shared" si="24"/>
        <v>2933.96</v>
      </c>
      <c r="N336" s="30">
        <f>ROUND('Смета ЕР (общ) '!$I336*'Смета ЕР (общ) '!$L336,2)</f>
        <v>0</v>
      </c>
      <c r="O336" s="30">
        <f>ROUND('Смета ЕР (общ) '!$I336*'Смета ЕР (общ) '!$M336,2)</f>
        <v>0</v>
      </c>
      <c r="P336" s="45"/>
    </row>
    <row r="337" spans="1:20" ht="24" hidden="1" x14ac:dyDescent="0.3">
      <c r="A337" s="26" t="s">
        <v>279</v>
      </c>
      <c r="B337" s="26">
        <v>3</v>
      </c>
      <c r="C337" s="26"/>
      <c r="D337" s="26">
        <v>27</v>
      </c>
      <c r="E337" s="26" t="str">
        <f>CONCATENATE('Смета ЕР (общ) '!$A337,".",'Смета ЕР (общ) '!$B337,".",'Смета ЕР (общ) '!$D337)</f>
        <v>Р3.3.27</v>
      </c>
      <c r="F337" s="26">
        <f t="shared" ref="F337:F400" si="26">IF(I337&gt;0,F336+1,F336)</f>
        <v>1</v>
      </c>
      <c r="G337" s="27" t="s">
        <v>376</v>
      </c>
      <c r="H337" s="28" t="s">
        <v>40</v>
      </c>
      <c r="I337" s="158"/>
      <c r="J337" s="30">
        <v>2926</v>
      </c>
      <c r="K337" s="30">
        <v>805.21</v>
      </c>
      <c r="L337" s="30">
        <f t="shared" si="24"/>
        <v>2926</v>
      </c>
      <c r="M337" s="30">
        <f t="shared" si="24"/>
        <v>805.21</v>
      </c>
      <c r="N337" s="30">
        <f>ROUND('Смета ЕР (общ) '!$I337*'Смета ЕР (общ) '!$L337,2)</f>
        <v>0</v>
      </c>
      <c r="O337" s="30">
        <f>ROUND('Смета ЕР (общ) '!$I337*'Смета ЕР (общ) '!$M337,2)</f>
        <v>0</v>
      </c>
      <c r="P337" s="45"/>
    </row>
    <row r="338" spans="1:20" ht="14.4" hidden="1" x14ac:dyDescent="0.3">
      <c r="A338" s="26" t="s">
        <v>279</v>
      </c>
      <c r="B338" s="26">
        <v>3</v>
      </c>
      <c r="C338" s="26"/>
      <c r="D338" s="26">
        <v>21</v>
      </c>
      <c r="E338" s="26" t="str">
        <f>CONCATENATE('Смета ЕР (общ) '!$A338,".",'Смета ЕР (общ) '!$B338,".",'Смета ЕР (общ) '!$D338)</f>
        <v>Р3.3.21</v>
      </c>
      <c r="F338" s="26">
        <f t="shared" si="26"/>
        <v>1</v>
      </c>
      <c r="G338" s="27" t="s">
        <v>377</v>
      </c>
      <c r="H338" s="28" t="s">
        <v>40</v>
      </c>
      <c r="I338" s="158"/>
      <c r="J338" s="30">
        <v>475.02</v>
      </c>
      <c r="K338" s="30">
        <v>185.71</v>
      </c>
      <c r="L338" s="30">
        <f t="shared" si="24"/>
        <v>475.02</v>
      </c>
      <c r="M338" s="30">
        <f t="shared" si="24"/>
        <v>185.71</v>
      </c>
      <c r="N338" s="30">
        <f>ROUND('Смета ЕР (общ) '!$I338*'Смета ЕР (общ) '!$L338,2)</f>
        <v>0</v>
      </c>
      <c r="O338" s="30">
        <f>ROUND('Смета ЕР (общ) '!$I338*'Смета ЕР (общ) '!$M338,2)</f>
        <v>0</v>
      </c>
      <c r="P338" s="45"/>
    </row>
    <row r="339" spans="1:20" ht="36" hidden="1" x14ac:dyDescent="0.3">
      <c r="A339" s="46" t="s">
        <v>279</v>
      </c>
      <c r="B339" s="46">
        <v>3</v>
      </c>
      <c r="C339" s="46"/>
      <c r="D339" s="46">
        <v>16</v>
      </c>
      <c r="E339" s="46" t="str">
        <f>CONCATENATE('Смета ЕР (общ) '!$A339,".",'Смета ЕР (общ) '!$B339,".",'Смета ЕР (общ) '!$D339)</f>
        <v>Р3.3.16</v>
      </c>
      <c r="F339" s="46">
        <f t="shared" si="26"/>
        <v>1</v>
      </c>
      <c r="G339" s="47" t="s">
        <v>378</v>
      </c>
      <c r="H339" s="48" t="s">
        <v>40</v>
      </c>
      <c r="I339" s="158"/>
      <c r="J339" s="30">
        <v>1289.3399999999999</v>
      </c>
      <c r="K339" s="30">
        <v>13431.16</v>
      </c>
      <c r="L339" s="30">
        <f t="shared" si="24"/>
        <v>1289.3399999999999</v>
      </c>
      <c r="M339" s="30">
        <f t="shared" si="24"/>
        <v>13431.16</v>
      </c>
      <c r="N339" s="30">
        <f>ROUND('Смета ЕР (общ) '!$I339*'Смета ЕР (общ) '!$L339,2)</f>
        <v>0</v>
      </c>
      <c r="O339" s="30">
        <f>ROUND('Смета ЕР (общ) '!$I339*'Смета ЕР (общ) '!$M339,2)</f>
        <v>0</v>
      </c>
      <c r="P339" s="45"/>
    </row>
    <row r="340" spans="1:20" ht="24" hidden="1" x14ac:dyDescent="0.3">
      <c r="A340" s="46" t="s">
        <v>279</v>
      </c>
      <c r="B340" s="46">
        <v>3</v>
      </c>
      <c r="C340" s="46"/>
      <c r="D340" s="46">
        <v>17</v>
      </c>
      <c r="E340" s="46" t="str">
        <f>CONCATENATE('Смета ЕР (общ) '!$A340,".",'Смета ЕР (общ) '!$B340,".",'Смета ЕР (общ) '!$D340)</f>
        <v>Р3.3.17</v>
      </c>
      <c r="F340" s="46">
        <f t="shared" si="26"/>
        <v>1</v>
      </c>
      <c r="G340" s="47" t="s">
        <v>379</v>
      </c>
      <c r="H340" s="48" t="s">
        <v>40</v>
      </c>
      <c r="I340" s="158"/>
      <c r="J340" s="30">
        <v>548.05999999999995</v>
      </c>
      <c r="K340" s="30">
        <v>4940.51</v>
      </c>
      <c r="L340" s="30">
        <f t="shared" si="24"/>
        <v>548.05999999999995</v>
      </c>
      <c r="M340" s="30">
        <f t="shared" si="24"/>
        <v>4940.51</v>
      </c>
      <c r="N340" s="30">
        <f>ROUND('Смета ЕР (общ) '!$I340*'Смета ЕР (общ) '!$L340,2)</f>
        <v>0</v>
      </c>
      <c r="O340" s="30">
        <f>ROUND('Смета ЕР (общ) '!$I340*'Смета ЕР (общ) '!$M340,2)</f>
        <v>0</v>
      </c>
      <c r="P340" s="45"/>
    </row>
    <row r="341" spans="1:20" ht="14.4" hidden="1" x14ac:dyDescent="0.3">
      <c r="A341" s="46" t="s">
        <v>279</v>
      </c>
      <c r="B341" s="46">
        <v>3</v>
      </c>
      <c r="C341" s="46"/>
      <c r="D341" s="46">
        <v>18</v>
      </c>
      <c r="E341" s="46" t="str">
        <f>CONCATENATE('Смета ЕР (общ) '!$A341,".",'Смета ЕР (общ) '!$B341,".",'Смета ЕР (общ) '!$D341)</f>
        <v>Р3.3.18</v>
      </c>
      <c r="F341" s="46">
        <f t="shared" si="26"/>
        <v>1</v>
      </c>
      <c r="G341" s="47" t="s">
        <v>380</v>
      </c>
      <c r="H341" s="48" t="s">
        <v>40</v>
      </c>
      <c r="I341" s="158"/>
      <c r="J341" s="30">
        <v>1628.64</v>
      </c>
      <c r="K341" s="30">
        <v>15401.73</v>
      </c>
      <c r="L341" s="30">
        <f t="shared" si="24"/>
        <v>1628.64</v>
      </c>
      <c r="M341" s="30">
        <f t="shared" si="24"/>
        <v>15401.73</v>
      </c>
      <c r="N341" s="30">
        <f>ROUND('Смета ЕР (общ) '!$I341*'Смета ЕР (общ) '!$L341,2)</f>
        <v>0</v>
      </c>
      <c r="O341" s="30">
        <f>ROUND('Смета ЕР (общ) '!$I341*'Смета ЕР (общ) '!$M341,2)</f>
        <v>0</v>
      </c>
      <c r="P341" s="45"/>
    </row>
    <row r="342" spans="1:20" ht="14.4" hidden="1" x14ac:dyDescent="0.3">
      <c r="A342" s="46" t="s">
        <v>279</v>
      </c>
      <c r="B342" s="46">
        <v>3</v>
      </c>
      <c r="C342" s="46"/>
      <c r="D342" s="46">
        <v>19</v>
      </c>
      <c r="E342" s="46" t="str">
        <f>CONCATENATE('Смета ЕР (общ) '!$A342,".",'Смета ЕР (общ) '!$B342,".",'Смета ЕР (общ) '!$D342)</f>
        <v>Р3.3.19</v>
      </c>
      <c r="F342" s="46">
        <f t="shared" si="26"/>
        <v>1</v>
      </c>
      <c r="G342" s="47" t="s">
        <v>380</v>
      </c>
      <c r="H342" s="48"/>
      <c r="I342" s="158"/>
      <c r="J342" s="30">
        <v>1628.64</v>
      </c>
      <c r="K342" s="30">
        <v>77047.199999999997</v>
      </c>
      <c r="L342" s="30">
        <f t="shared" si="24"/>
        <v>1628.64</v>
      </c>
      <c r="M342" s="30">
        <f t="shared" si="24"/>
        <v>77047.199999999997</v>
      </c>
      <c r="N342" s="30">
        <f>ROUND('Смета ЕР (общ) '!$I342*'Смета ЕР (общ) '!$L342,2)</f>
        <v>0</v>
      </c>
      <c r="O342" s="30">
        <f>ROUND('Смета ЕР (общ) '!$I342*'Смета ЕР (общ) '!$M342,2)</f>
        <v>0</v>
      </c>
      <c r="P342" s="45"/>
    </row>
    <row r="343" spans="1:20" ht="24" hidden="1" x14ac:dyDescent="0.3">
      <c r="A343" s="46" t="s">
        <v>279</v>
      </c>
      <c r="B343" s="46">
        <v>3</v>
      </c>
      <c r="C343" s="46"/>
      <c r="D343" s="46">
        <v>28</v>
      </c>
      <c r="E343" s="46" t="str">
        <f>CONCATENATE('Смета ЕР (общ) '!$A343,".",'Смета ЕР (общ) '!$B343,".",'Смета ЕР (общ) '!$D343)</f>
        <v>Р3.3.28</v>
      </c>
      <c r="F343" s="46">
        <f t="shared" si="26"/>
        <v>1</v>
      </c>
      <c r="G343" s="47" t="s">
        <v>381</v>
      </c>
      <c r="H343" s="48" t="s">
        <v>40</v>
      </c>
      <c r="I343" s="158"/>
      <c r="J343" s="30">
        <v>1289.3399999999999</v>
      </c>
      <c r="K343" s="30">
        <v>3668.56</v>
      </c>
      <c r="L343" s="30">
        <f>ROUND(J343-J343*$Q$3,2)</f>
        <v>1289.3399999999999</v>
      </c>
      <c r="M343" s="30">
        <f t="shared" ref="M343" si="27">ROUND(K343-K343*$Q$3,2)</f>
        <v>3668.56</v>
      </c>
      <c r="N343" s="30">
        <f>ROUND('Смета ЕР (общ) '!$I343*'Смета ЕР (общ) '!$L343,2)</f>
        <v>0</v>
      </c>
      <c r="O343" s="30">
        <f>ROUND('Смета ЕР (общ) '!$I343*'Смета ЕР (общ) '!$M344,2)</f>
        <v>0</v>
      </c>
      <c r="P343" s="45"/>
    </row>
    <row r="344" spans="1:20" ht="14.4" hidden="1" x14ac:dyDescent="0.3">
      <c r="A344" s="46" t="s">
        <v>279</v>
      </c>
      <c r="B344" s="46">
        <v>3</v>
      </c>
      <c r="C344" s="46"/>
      <c r="D344" s="46">
        <v>29</v>
      </c>
      <c r="E344" s="46" t="str">
        <f>CONCATENATE('Смета ЕР (общ) '!$A344,".",'Смета ЕР (общ) '!$B344,".",'Смета ЕР (общ) '!$D344)</f>
        <v>Р3.3.29</v>
      </c>
      <c r="F344" s="46">
        <f t="shared" si="26"/>
        <v>1</v>
      </c>
      <c r="G344" s="47" t="s">
        <v>382</v>
      </c>
      <c r="H344" s="48" t="s">
        <v>40</v>
      </c>
      <c r="I344" s="158"/>
      <c r="J344" s="30">
        <v>3048.05</v>
      </c>
      <c r="K344" s="30">
        <v>890.65</v>
      </c>
      <c r="L344" s="30">
        <f>ROUND(J344-J344*$Q$3,2)</f>
        <v>3048.05</v>
      </c>
      <c r="M344" s="30">
        <f>ROUND(K343-K343*$Q$3,2)</f>
        <v>3668.56</v>
      </c>
      <c r="N344" s="30">
        <f>ROUND('Смета ЕР (общ) '!$I344*'Смета ЕР (общ) '!$L344,2)</f>
        <v>0</v>
      </c>
      <c r="O344" s="30">
        <f>ROUND('Смета ЕР (общ) '!$I344*'Смета ЕР (общ) '!$M345,2)</f>
        <v>0</v>
      </c>
      <c r="P344" s="45"/>
    </row>
    <row r="345" spans="1:20" ht="24" hidden="1" x14ac:dyDescent="0.3">
      <c r="A345" s="26" t="s">
        <v>279</v>
      </c>
      <c r="B345" s="26">
        <v>3</v>
      </c>
      <c r="C345" s="26"/>
      <c r="D345" s="26">
        <v>15</v>
      </c>
      <c r="E345" s="26" t="str">
        <f>CONCATENATE('Смета ЕР (общ) '!$A345,".",'Смета ЕР (общ) '!$B345,".",'Смета ЕР (общ) '!$D345)</f>
        <v>Р3.3.15</v>
      </c>
      <c r="F345" s="26">
        <f t="shared" si="26"/>
        <v>1</v>
      </c>
      <c r="G345" s="41" t="s">
        <v>383</v>
      </c>
      <c r="H345" s="42" t="s">
        <v>40</v>
      </c>
      <c r="I345" s="158"/>
      <c r="J345" s="30">
        <v>474.15</v>
      </c>
      <c r="K345" s="30">
        <v>1572.69</v>
      </c>
      <c r="L345" s="30">
        <f>ROUND(J345-J345*$Q$3,2)</f>
        <v>474.15</v>
      </c>
      <c r="M345" s="30">
        <f>ROUND(K345-K345*$Q$3,2)</f>
        <v>1572.69</v>
      </c>
      <c r="N345" s="30">
        <f>ROUND('Смета ЕР (общ) '!$I345*'Смета ЕР (общ) '!$L345,2)</f>
        <v>0</v>
      </c>
      <c r="O345" s="30">
        <f>ROUND('Смета ЕР (общ) '!$I345*'Смета ЕР (общ) '!$M345,2)</f>
        <v>0</v>
      </c>
      <c r="P345" s="45"/>
    </row>
    <row r="346" spans="1:20" ht="24" hidden="1" x14ac:dyDescent="0.3">
      <c r="A346" s="26" t="s">
        <v>279</v>
      </c>
      <c r="B346" s="26">
        <v>3</v>
      </c>
      <c r="C346" s="26"/>
      <c r="D346" s="26">
        <v>22</v>
      </c>
      <c r="E346" s="26" t="str">
        <f>CONCATENATE('Смета ЕР (общ) '!$A346,".",'Смета ЕР (общ) '!$B346,".",'Смета ЕР (общ) '!$D346)</f>
        <v>Р3.3.22</v>
      </c>
      <c r="F346" s="26">
        <f t="shared" si="26"/>
        <v>1</v>
      </c>
      <c r="G346" s="27" t="s">
        <v>384</v>
      </c>
      <c r="H346" s="28" t="s">
        <v>40</v>
      </c>
      <c r="I346" s="158"/>
      <c r="J346" s="30">
        <v>652.5</v>
      </c>
      <c r="K346" s="30">
        <v>2120.4299999999998</v>
      </c>
      <c r="L346" s="30">
        <f>ROUND(J346-J346*$Q$3,2)</f>
        <v>652.5</v>
      </c>
      <c r="M346" s="30">
        <f>ROUND(K346-K346*$Q$3,2)</f>
        <v>2120.4299999999998</v>
      </c>
      <c r="N346" s="30">
        <f>ROUND('Смета ЕР (общ) '!$I346*'Смета ЕР (общ) '!$L346,2)</f>
        <v>0</v>
      </c>
      <c r="O346" s="30">
        <f>ROUND('Смета ЕР (общ) '!$I346*'Смета ЕР (общ) '!$M346,2)</f>
        <v>0</v>
      </c>
      <c r="P346" s="45"/>
    </row>
    <row r="347" spans="1:20" ht="14.4" hidden="1" x14ac:dyDescent="0.3">
      <c r="A347" s="37" t="s">
        <v>279</v>
      </c>
      <c r="B347" s="37">
        <v>4</v>
      </c>
      <c r="C347" s="37">
        <v>0</v>
      </c>
      <c r="D347" s="37">
        <v>0</v>
      </c>
      <c r="E347" s="37" t="str">
        <f>CONCATENATE('Смета ЕР (общ) '!$A347,".",'Смета ЕР (общ) '!$B347,".",C347,".",'Смета ЕР (общ) '!$D347)</f>
        <v>Р3.4.0.0</v>
      </c>
      <c r="F347" s="37">
        <f t="shared" si="26"/>
        <v>1</v>
      </c>
      <c r="G347" s="38" t="s">
        <v>385</v>
      </c>
      <c r="H347" s="22"/>
      <c r="I347" s="23"/>
      <c r="J347" s="36"/>
      <c r="K347" s="36"/>
      <c r="L347" s="25"/>
      <c r="M347" s="25"/>
      <c r="N347" s="25">
        <f>ROUND(N348+N353+N358+N362+N368+N380+N393,2)</f>
        <v>0</v>
      </c>
      <c r="O347" s="25">
        <f>ROUND(O348+O353+O358+O362+O368+O380+O393,2)</f>
        <v>0</v>
      </c>
      <c r="P347" s="45"/>
      <c r="T347">
        <v>551184.55000000005</v>
      </c>
    </row>
    <row r="348" spans="1:20" ht="14.4" hidden="1" x14ac:dyDescent="0.3">
      <c r="A348" s="71" t="s">
        <v>279</v>
      </c>
      <c r="B348" s="71">
        <v>4</v>
      </c>
      <c r="C348" s="71">
        <v>1</v>
      </c>
      <c r="D348" s="71">
        <v>0</v>
      </c>
      <c r="E348" s="71" t="str">
        <f>CONCATENATE('Смета ЕР (общ) '!$A348,".",'Смета ЕР (общ) '!$B348,".",C348,".",'Смета ЕР (общ) '!$D348)</f>
        <v>Р3.4.1.0</v>
      </c>
      <c r="F348" s="71">
        <f t="shared" si="26"/>
        <v>1</v>
      </c>
      <c r="G348" s="72" t="s">
        <v>386</v>
      </c>
      <c r="H348" s="73"/>
      <c r="I348" s="74"/>
      <c r="J348" s="75"/>
      <c r="K348" s="75"/>
      <c r="L348" s="76"/>
      <c r="M348" s="76"/>
      <c r="N348" s="76">
        <f>SUM(N349:N352)</f>
        <v>0</v>
      </c>
      <c r="O348" s="76">
        <f>SUM(O349:O352)</f>
        <v>0</v>
      </c>
      <c r="P348" s="45"/>
      <c r="T348">
        <v>20905.800000000003</v>
      </c>
    </row>
    <row r="349" spans="1:20" ht="72" hidden="1" x14ac:dyDescent="0.3">
      <c r="A349" s="26" t="s">
        <v>279</v>
      </c>
      <c r="B349" s="26">
        <v>4</v>
      </c>
      <c r="C349" s="26">
        <v>1</v>
      </c>
      <c r="D349" s="26">
        <v>1</v>
      </c>
      <c r="E349" s="26" t="str">
        <f>CONCATENATE('Смета ЕР (общ) '!$A349,".",'Смета ЕР (общ) '!$B349,".",C349,".",'Смета ЕР (общ) '!$D349)</f>
        <v>Р3.4.1.1</v>
      </c>
      <c r="F349" s="26">
        <f t="shared" si="26"/>
        <v>1</v>
      </c>
      <c r="G349" s="27" t="s">
        <v>387</v>
      </c>
      <c r="H349" s="28" t="s">
        <v>118</v>
      </c>
      <c r="I349" s="158"/>
      <c r="J349" s="30">
        <v>5781.74</v>
      </c>
      <c r="K349" s="30">
        <f>'[14]Стекл двери в алюм. (2)'!D6</f>
        <v>51219</v>
      </c>
      <c r="L349" s="30">
        <f t="shared" ref="L349:M352" si="28">ROUND(J349-J349*$Q$3,2)</f>
        <v>5781.74</v>
      </c>
      <c r="M349" s="54">
        <f>K349</f>
        <v>51219</v>
      </c>
      <c r="N349" s="30">
        <f>ROUND('Смета ЕР (общ) '!$I349*'Смета ЕР (общ) '!$L349,2)</f>
        <v>0</v>
      </c>
      <c r="O349" s="30">
        <f>ROUND('Смета ЕР (общ) '!$I349*'Смета ЕР (общ) '!$M349,2)</f>
        <v>0</v>
      </c>
      <c r="P349" s="55" t="s">
        <v>388</v>
      </c>
      <c r="Q349" s="56"/>
    </row>
    <row r="350" spans="1:20" ht="72" hidden="1" x14ac:dyDescent="0.3">
      <c r="A350" s="26" t="s">
        <v>279</v>
      </c>
      <c r="B350" s="26">
        <v>4</v>
      </c>
      <c r="C350" s="26">
        <v>1</v>
      </c>
      <c r="D350" s="26">
        <v>2</v>
      </c>
      <c r="E350" s="26" t="str">
        <f>CONCATENATE('Смета ЕР (общ) '!$A350,".",'Смета ЕР (общ) '!$B350,".",C350,".",'Смета ЕР (общ) '!$D350)</f>
        <v>Р3.4.1.2</v>
      </c>
      <c r="F350" s="26">
        <f t="shared" si="26"/>
        <v>1</v>
      </c>
      <c r="G350" s="41" t="s">
        <v>389</v>
      </c>
      <c r="H350" s="28" t="s">
        <v>118</v>
      </c>
      <c r="I350" s="158"/>
      <c r="J350" s="30">
        <v>7892.64</v>
      </c>
      <c r="K350" s="30">
        <f>'[14]Стекл двери в алюм. (2)'!D7</f>
        <v>73572.45</v>
      </c>
      <c r="L350" s="30">
        <f t="shared" si="28"/>
        <v>7892.64</v>
      </c>
      <c r="M350" s="54">
        <f t="shared" ref="M350:M351" si="29">K350</f>
        <v>73572.45</v>
      </c>
      <c r="N350" s="30">
        <f>ROUND('Смета ЕР (общ) '!$I350*'Смета ЕР (общ) '!$L350,2)</f>
        <v>0</v>
      </c>
      <c r="O350" s="30">
        <f>ROUND('Смета ЕР (общ) '!$I350*'Смета ЕР (общ) '!$M350,2)</f>
        <v>0</v>
      </c>
      <c r="P350" s="55" t="s">
        <v>388</v>
      </c>
      <c r="Q350" s="56"/>
      <c r="T350">
        <v>2</v>
      </c>
    </row>
    <row r="351" spans="1:20" ht="72" hidden="1" x14ac:dyDescent="0.3">
      <c r="A351" s="26" t="s">
        <v>279</v>
      </c>
      <c r="B351" s="26">
        <v>4</v>
      </c>
      <c r="C351" s="26">
        <v>1</v>
      </c>
      <c r="D351" s="26">
        <v>3</v>
      </c>
      <c r="E351" s="26" t="str">
        <f>CONCATENATE('Смета ЕР (общ) '!$A351,".",'Смета ЕР (общ) '!$B351,".",C351,".",'Смета ЕР (общ) '!$D351)</f>
        <v>Р3.4.1.3</v>
      </c>
      <c r="F351" s="26">
        <f t="shared" si="26"/>
        <v>1</v>
      </c>
      <c r="G351" s="41" t="s">
        <v>390</v>
      </c>
      <c r="H351" s="28" t="s">
        <v>118</v>
      </c>
      <c r="I351" s="158"/>
      <c r="J351" s="30">
        <v>9900</v>
      </c>
      <c r="K351" s="30">
        <f>'[14]Стекл двери в алюм. (2)'!D8</f>
        <v>89201.7</v>
      </c>
      <c r="L351" s="30">
        <f t="shared" si="28"/>
        <v>9900</v>
      </c>
      <c r="M351" s="54">
        <f t="shared" si="29"/>
        <v>89201.7</v>
      </c>
      <c r="N351" s="30">
        <f>ROUND('Смета ЕР (общ) '!$I351*'Смета ЕР (общ) '!$L351,2)</f>
        <v>0</v>
      </c>
      <c r="O351" s="30">
        <f>ROUND('Смета ЕР (общ) '!$I351*'Смета ЕР (общ) '!$M351,2)</f>
        <v>0</v>
      </c>
      <c r="P351" s="55" t="s">
        <v>388</v>
      </c>
      <c r="Q351" s="56"/>
    </row>
    <row r="352" spans="1:20" ht="14.4" hidden="1" x14ac:dyDescent="0.3">
      <c r="A352" s="26" t="s">
        <v>279</v>
      </c>
      <c r="B352" s="26">
        <v>4</v>
      </c>
      <c r="C352" s="26">
        <v>1</v>
      </c>
      <c r="D352" s="26">
        <v>4</v>
      </c>
      <c r="E352" s="26" t="str">
        <f>CONCATENATE('Смета ЕР (общ) '!$A352,".",'Смета ЕР (общ) '!$B352,".",C352,".",'Смета ЕР (общ) '!$D352)</f>
        <v>Р3.4.1.4</v>
      </c>
      <c r="F352" s="26">
        <f t="shared" si="26"/>
        <v>1</v>
      </c>
      <c r="G352" s="27" t="s">
        <v>391</v>
      </c>
      <c r="H352" s="28" t="s">
        <v>118</v>
      </c>
      <c r="I352" s="158"/>
      <c r="J352" s="30">
        <v>1280.1300000000001</v>
      </c>
      <c r="K352" s="30">
        <f>'[14]Стекл двери в алюм. (2)'!C9</f>
        <v>5500</v>
      </c>
      <c r="L352" s="30">
        <f t="shared" si="28"/>
        <v>1280.1300000000001</v>
      </c>
      <c r="M352" s="30">
        <f t="shared" si="28"/>
        <v>5500</v>
      </c>
      <c r="N352" s="30">
        <f>ROUND('Смета ЕР (общ) '!$I352*'Смета ЕР (общ) '!$L352,2)</f>
        <v>0</v>
      </c>
      <c r="O352" s="30">
        <f>ROUND('Смета ЕР (общ) '!$I352*'Смета ЕР (общ) '!$M352,2)</f>
        <v>0</v>
      </c>
      <c r="P352" s="45"/>
      <c r="T352">
        <v>4</v>
      </c>
    </row>
    <row r="353" spans="1:20" ht="14.4" hidden="1" x14ac:dyDescent="0.3">
      <c r="A353" s="77" t="s">
        <v>279</v>
      </c>
      <c r="B353" s="77">
        <v>4</v>
      </c>
      <c r="C353" s="77">
        <v>2</v>
      </c>
      <c r="D353" s="77">
        <v>0</v>
      </c>
      <c r="E353" s="77" t="str">
        <f>CONCATENATE('Смета ЕР (общ) '!$A353,".",'Смета ЕР (общ) '!$B353,".",C353,".",'Смета ЕР (общ) '!$D353)</f>
        <v>Р3.4.2.0</v>
      </c>
      <c r="F353" s="77">
        <f t="shared" si="26"/>
        <v>1</v>
      </c>
      <c r="G353" s="78" t="s">
        <v>392</v>
      </c>
      <c r="H353" s="79"/>
      <c r="I353" s="74"/>
      <c r="J353" s="75"/>
      <c r="K353" s="75"/>
      <c r="L353" s="80"/>
      <c r="M353" s="80"/>
      <c r="N353" s="80">
        <f>SUM(N354:N357)</f>
        <v>0</v>
      </c>
      <c r="O353" s="80">
        <f>SUM(O354:O357)</f>
        <v>0</v>
      </c>
      <c r="P353" s="45"/>
      <c r="T353">
        <v>0</v>
      </c>
    </row>
    <row r="354" spans="1:20" ht="36" hidden="1" x14ac:dyDescent="0.3">
      <c r="A354" s="26" t="s">
        <v>279</v>
      </c>
      <c r="B354" s="26">
        <v>4</v>
      </c>
      <c r="C354" s="26">
        <v>2</v>
      </c>
      <c r="D354" s="26">
        <v>1</v>
      </c>
      <c r="E354" s="26" t="str">
        <f>CONCATENATE('Смета ЕР (общ) '!$A354,".",'Смета ЕР (общ) '!$B354,".",C354,".",'Смета ЕР (общ) '!$D354)</f>
        <v>Р3.4.2.1</v>
      </c>
      <c r="F354" s="26">
        <f t="shared" si="26"/>
        <v>1</v>
      </c>
      <c r="G354" s="27" t="s">
        <v>393</v>
      </c>
      <c r="H354" s="28" t="s">
        <v>118</v>
      </c>
      <c r="I354" s="158"/>
      <c r="J354" s="30">
        <v>10648.8</v>
      </c>
      <c r="K354" s="30">
        <v>72163.73</v>
      </c>
      <c r="L354" s="30">
        <f t="shared" ref="L354:M357" si="30">ROUND(J354-J354*$Q$3,2)</f>
        <v>10648.8</v>
      </c>
      <c r="M354" s="30">
        <f t="shared" si="30"/>
        <v>72163.73</v>
      </c>
      <c r="N354" s="30">
        <f>ROUND('Смета ЕР (общ) '!$I354*'Смета ЕР (общ) '!$L354,2)</f>
        <v>0</v>
      </c>
      <c r="O354" s="30">
        <f>ROUND('Смета ЕР (общ) '!$I354*'Смета ЕР (общ) '!$M354,2)</f>
        <v>0</v>
      </c>
      <c r="P354" s="45"/>
    </row>
    <row r="355" spans="1:20" ht="96" hidden="1" x14ac:dyDescent="0.3">
      <c r="A355" s="26" t="s">
        <v>279</v>
      </c>
      <c r="B355" s="26">
        <v>4</v>
      </c>
      <c r="C355" s="26">
        <v>2</v>
      </c>
      <c r="D355" s="26">
        <v>2</v>
      </c>
      <c r="E355" s="26" t="str">
        <f>CONCATENATE('Смета ЕР (общ) '!$A355,".",'Смета ЕР (общ) '!$B355,".",C355,".",'Смета ЕР (общ) '!$D355)</f>
        <v>Р3.4.2.2</v>
      </c>
      <c r="F355" s="26">
        <f t="shared" si="26"/>
        <v>1</v>
      </c>
      <c r="G355" s="27" t="s">
        <v>394</v>
      </c>
      <c r="H355" s="28" t="s">
        <v>118</v>
      </c>
      <c r="I355" s="158"/>
      <c r="J355" s="30">
        <v>13154.4</v>
      </c>
      <c r="K355" s="30">
        <f>[14]Броня!F30</f>
        <v>110250</v>
      </c>
      <c r="L355" s="30">
        <f t="shared" si="30"/>
        <v>13154.4</v>
      </c>
      <c r="M355" s="54">
        <f>K355</f>
        <v>110250</v>
      </c>
      <c r="N355" s="30">
        <f>ROUND('Смета ЕР (общ) '!$I355*'Смета ЕР (общ) '!$L355,2)</f>
        <v>0</v>
      </c>
      <c r="O355" s="30">
        <f>ROUND('Смета ЕР (общ) '!$I355*'Смета ЕР (общ) '!$M355,2)</f>
        <v>0</v>
      </c>
      <c r="P355" s="55" t="s">
        <v>395</v>
      </c>
      <c r="Q355" s="56"/>
    </row>
    <row r="356" spans="1:20" ht="24" hidden="1" x14ac:dyDescent="0.3">
      <c r="A356" s="26" t="s">
        <v>279</v>
      </c>
      <c r="B356" s="26">
        <v>4</v>
      </c>
      <c r="C356" s="26">
        <v>2</v>
      </c>
      <c r="D356" s="26">
        <v>3</v>
      </c>
      <c r="E356" s="26" t="str">
        <f>CONCATENATE('Смета ЕР (общ) '!$A356,".",'Смета ЕР (общ) '!$B356,".",C356,".",'Смета ЕР (общ) '!$D356)</f>
        <v>Р3.4.2.3</v>
      </c>
      <c r="F356" s="26">
        <f t="shared" si="26"/>
        <v>1</v>
      </c>
      <c r="G356" s="27" t="s">
        <v>396</v>
      </c>
      <c r="H356" s="28" t="s">
        <v>118</v>
      </c>
      <c r="I356" s="158"/>
      <c r="J356" s="30">
        <v>1315.44</v>
      </c>
      <c r="K356" s="30">
        <f>[14]Броня!F31</f>
        <v>8400</v>
      </c>
      <c r="L356" s="30">
        <f t="shared" si="30"/>
        <v>1315.44</v>
      </c>
      <c r="M356" s="54">
        <f>K356</f>
        <v>8400</v>
      </c>
      <c r="N356" s="30">
        <f>ROUND('Смета ЕР (общ) '!$I356*'Смета ЕР (общ) '!$L356,2)</f>
        <v>0</v>
      </c>
      <c r="O356" s="30">
        <f>ROUND('Смета ЕР (общ) '!$I356*'Смета ЕР (общ) '!$M356,2)</f>
        <v>0</v>
      </c>
      <c r="P356" s="55" t="s">
        <v>395</v>
      </c>
      <c r="Q356" s="56"/>
    </row>
    <row r="357" spans="1:20" ht="24" hidden="1" x14ac:dyDescent="0.3">
      <c r="A357" s="26" t="s">
        <v>279</v>
      </c>
      <c r="B357" s="26">
        <v>4</v>
      </c>
      <c r="C357" s="26">
        <v>2</v>
      </c>
      <c r="D357" s="26">
        <v>4</v>
      </c>
      <c r="E357" s="26" t="str">
        <f>CONCATENATE('Смета ЕР (общ) '!$A357,".",'Смета ЕР (общ) '!$B357,".",C357,".",'Смета ЕР (общ) '!$D357)</f>
        <v>Р3.4.2.4</v>
      </c>
      <c r="F357" s="26">
        <f t="shared" si="26"/>
        <v>1</v>
      </c>
      <c r="G357" s="27" t="s">
        <v>397</v>
      </c>
      <c r="H357" s="28" t="s">
        <v>118</v>
      </c>
      <c r="I357" s="158"/>
      <c r="J357" s="30">
        <v>11901.6</v>
      </c>
      <c r="K357" s="30">
        <v>63832.07</v>
      </c>
      <c r="L357" s="30">
        <f t="shared" si="30"/>
        <v>11901.6</v>
      </c>
      <c r="M357" s="30">
        <f t="shared" si="30"/>
        <v>63832.07</v>
      </c>
      <c r="N357" s="30">
        <f>ROUND('Смета ЕР (общ) '!$I357*'Смета ЕР (общ) '!$L357,2)</f>
        <v>0</v>
      </c>
      <c r="O357" s="30">
        <f>ROUND('Смета ЕР (общ) '!$I357*'Смета ЕР (общ) '!$M357,2)</f>
        <v>0</v>
      </c>
      <c r="P357" s="45"/>
    </row>
    <row r="358" spans="1:20" ht="14.4" hidden="1" x14ac:dyDescent="0.3">
      <c r="A358" s="71" t="s">
        <v>279</v>
      </c>
      <c r="B358" s="71">
        <v>4</v>
      </c>
      <c r="C358" s="71">
        <v>3</v>
      </c>
      <c r="D358" s="71">
        <v>0</v>
      </c>
      <c r="E358" s="71" t="str">
        <f>CONCATENATE('Смета ЕР (общ) '!$A358,".",'Смета ЕР (общ) '!$B358,".",C358,".",'Смета ЕР (общ) '!$D358)</f>
        <v>Р3.4.3.0</v>
      </c>
      <c r="F358" s="71">
        <f t="shared" si="26"/>
        <v>1</v>
      </c>
      <c r="G358" s="72" t="s">
        <v>398</v>
      </c>
      <c r="H358" s="73"/>
      <c r="I358" s="74"/>
      <c r="J358" s="75"/>
      <c r="K358" s="75"/>
      <c r="L358" s="76"/>
      <c r="M358" s="76"/>
      <c r="N358" s="76">
        <f>SUM(N359:N361)</f>
        <v>0</v>
      </c>
      <c r="O358" s="76">
        <f>SUM(O359:O361)</f>
        <v>0</v>
      </c>
      <c r="P358" s="45"/>
      <c r="T358">
        <v>74800</v>
      </c>
    </row>
    <row r="359" spans="1:20" ht="84" hidden="1" x14ac:dyDescent="0.3">
      <c r="A359" s="26" t="s">
        <v>279</v>
      </c>
      <c r="B359" s="26">
        <v>4</v>
      </c>
      <c r="C359" s="26">
        <v>3</v>
      </c>
      <c r="D359" s="26">
        <v>1</v>
      </c>
      <c r="E359" s="26" t="str">
        <f>CONCATENATE('Смета ЕР (общ) '!$A359,".",'Смета ЕР (общ) '!$B359,".",C359,".",'Смета ЕР (общ) '!$D359)</f>
        <v>Р3.4.3.1</v>
      </c>
      <c r="F359" s="26">
        <f t="shared" si="26"/>
        <v>1</v>
      </c>
      <c r="G359" s="27" t="s">
        <v>399</v>
      </c>
      <c r="H359" s="28" t="s">
        <v>118</v>
      </c>
      <c r="I359" s="158"/>
      <c r="J359" s="30">
        <v>9350</v>
      </c>
      <c r="K359" s="30">
        <f>'[14]Бескаркасные двери и перегородк'!E6</f>
        <v>46510.8</v>
      </c>
      <c r="L359" s="30">
        <f t="shared" ref="L359:L361" si="31">ROUND(J359-J359*$Q$3,2)</f>
        <v>9350</v>
      </c>
      <c r="M359" s="54">
        <f>K359</f>
        <v>46510.8</v>
      </c>
      <c r="N359" s="30">
        <f>ROUND('Смета ЕР (общ) '!$I359*'Смета ЕР (общ) '!$L359,2)</f>
        <v>0</v>
      </c>
      <c r="O359" s="30">
        <f>ROUND('Смета ЕР (общ) '!$I359*'Смета ЕР (общ) '!$M359,2)</f>
        <v>0</v>
      </c>
      <c r="P359" s="55" t="s">
        <v>327</v>
      </c>
      <c r="Q359" s="56"/>
      <c r="T359">
        <v>8</v>
      </c>
    </row>
    <row r="360" spans="1:20" ht="84" hidden="1" x14ac:dyDescent="0.3">
      <c r="A360" s="26" t="s">
        <v>279</v>
      </c>
      <c r="B360" s="26">
        <v>4</v>
      </c>
      <c r="C360" s="26">
        <v>3</v>
      </c>
      <c r="D360" s="26">
        <v>2</v>
      </c>
      <c r="E360" s="26" t="str">
        <f>CONCATENATE('Смета ЕР (общ) '!$A360,".",'Смета ЕР (общ) '!$B360,".",C360,".",'Смета ЕР (общ) '!$D360)</f>
        <v>Р3.4.3.2</v>
      </c>
      <c r="F360" s="26">
        <f t="shared" si="26"/>
        <v>1</v>
      </c>
      <c r="G360" s="27" t="s">
        <v>400</v>
      </c>
      <c r="H360" s="28" t="s">
        <v>118</v>
      </c>
      <c r="I360" s="158"/>
      <c r="J360" s="30">
        <v>9350</v>
      </c>
      <c r="K360" s="30">
        <f>'[14]Бескаркасные двери и перегородк'!E7</f>
        <v>72350.25</v>
      </c>
      <c r="L360" s="30">
        <f t="shared" si="31"/>
        <v>9350</v>
      </c>
      <c r="M360" s="54">
        <f t="shared" ref="M360:M361" si="32">K360</f>
        <v>72350.25</v>
      </c>
      <c r="N360" s="30">
        <f>ROUND('Смета ЕР (общ) '!$I360*'Смета ЕР (общ) '!$L360,2)</f>
        <v>0</v>
      </c>
      <c r="O360" s="30">
        <f>ROUND('Смета ЕР (общ) '!$I360*'Смета ЕР (общ) '!$M360,2)</f>
        <v>0</v>
      </c>
      <c r="P360" s="55" t="s">
        <v>327</v>
      </c>
      <c r="Q360" s="56"/>
    </row>
    <row r="361" spans="1:20" ht="84" hidden="1" x14ac:dyDescent="0.3">
      <c r="A361" s="26" t="s">
        <v>279</v>
      </c>
      <c r="B361" s="26">
        <v>4</v>
      </c>
      <c r="C361" s="26">
        <v>3</v>
      </c>
      <c r="D361" s="26">
        <v>3</v>
      </c>
      <c r="E361" s="26" t="str">
        <f>CONCATENATE('Смета ЕР (общ) '!$A361,".",'Смета ЕР (общ) '!$B361,".",C361,".",'Смета ЕР (общ) '!$D361)</f>
        <v>Р3.4.3.3</v>
      </c>
      <c r="F361" s="26">
        <f t="shared" si="26"/>
        <v>1</v>
      </c>
      <c r="G361" s="27" t="s">
        <v>401</v>
      </c>
      <c r="H361" s="28" t="s">
        <v>118</v>
      </c>
      <c r="I361" s="158"/>
      <c r="J361" s="30">
        <v>12069.75</v>
      </c>
      <c r="K361" s="30">
        <f>'[14]Бескаркасные двери и перегородк'!E8</f>
        <v>106310.39999999999</v>
      </c>
      <c r="L361" s="30">
        <f t="shared" si="31"/>
        <v>12069.75</v>
      </c>
      <c r="M361" s="54">
        <f t="shared" si="32"/>
        <v>106310.39999999999</v>
      </c>
      <c r="N361" s="30">
        <f>ROUND('Смета ЕР (общ) '!$I361*'Смета ЕР (общ) '!$L361,2)</f>
        <v>0</v>
      </c>
      <c r="O361" s="30">
        <f>ROUND('Смета ЕР (общ) '!$I361*'Смета ЕР (общ) '!$M361,2)</f>
        <v>0</v>
      </c>
      <c r="P361" s="55" t="s">
        <v>327</v>
      </c>
      <c r="Q361" s="56"/>
    </row>
    <row r="362" spans="1:20" ht="14.4" hidden="1" x14ac:dyDescent="0.3">
      <c r="A362" s="77" t="s">
        <v>279</v>
      </c>
      <c r="B362" s="77">
        <v>4</v>
      </c>
      <c r="C362" s="77">
        <v>4</v>
      </c>
      <c r="D362" s="77">
        <v>0</v>
      </c>
      <c r="E362" s="77" t="str">
        <f>CONCATENATE('Смета ЕР (общ) '!$A362,".",'Смета ЕР (общ) '!$B362,".",C362,".",'Смета ЕР (общ) '!$D362)</f>
        <v>Р3.4.4.0</v>
      </c>
      <c r="F362" s="77">
        <f t="shared" si="26"/>
        <v>1</v>
      </c>
      <c r="G362" s="81" t="s">
        <v>402</v>
      </c>
      <c r="H362" s="79"/>
      <c r="I362" s="74"/>
      <c r="J362" s="75"/>
      <c r="K362" s="75"/>
      <c r="L362" s="80"/>
      <c r="M362" s="80"/>
      <c r="N362" s="80">
        <f>SUM(N363:N367)</f>
        <v>0</v>
      </c>
      <c r="O362" s="80">
        <f>SUM(O363:O367)</f>
        <v>0</v>
      </c>
      <c r="P362" s="45"/>
      <c r="T362">
        <v>18700</v>
      </c>
    </row>
    <row r="363" spans="1:20" ht="60" hidden="1" x14ac:dyDescent="0.3">
      <c r="A363" s="26" t="s">
        <v>279</v>
      </c>
      <c r="B363" s="26">
        <v>4</v>
      </c>
      <c r="C363" s="26">
        <v>4</v>
      </c>
      <c r="D363" s="26">
        <v>1</v>
      </c>
      <c r="E363" s="26" t="str">
        <f>CONCATENATE('Смета ЕР (общ) '!$A363,".",'Смета ЕР (общ) '!$B363,".",C363,".",'Смета ЕР (общ) '!$D363)</f>
        <v>Р3.4.4.1</v>
      </c>
      <c r="F363" s="26">
        <f t="shared" si="26"/>
        <v>1</v>
      </c>
      <c r="G363" s="27" t="s">
        <v>403</v>
      </c>
      <c r="H363" s="28" t="s">
        <v>118</v>
      </c>
      <c r="I363" s="158"/>
      <c r="J363" s="30">
        <v>9350</v>
      </c>
      <c r="K363" s="30">
        <f>'[14]Стекл двери в алюм. (2)'!D11</f>
        <v>43806</v>
      </c>
      <c r="L363" s="30">
        <f t="shared" ref="L363:L367" si="33">ROUND(J363-J363*$Q$3,2)</f>
        <v>9350</v>
      </c>
      <c r="M363" s="54">
        <f>K363</f>
        <v>43806</v>
      </c>
      <c r="N363" s="30">
        <f>ROUND('Смета ЕР (общ) '!$I363*'Смета ЕР (общ) '!$L363,2)</f>
        <v>0</v>
      </c>
      <c r="O363" s="30">
        <f>ROUND('Смета ЕР (общ) '!$I363*'Смета ЕР (общ) '!$M363,2)</f>
        <v>0</v>
      </c>
      <c r="P363" s="55" t="s">
        <v>388</v>
      </c>
      <c r="Q363" s="56"/>
    </row>
    <row r="364" spans="1:20" ht="60" hidden="1" x14ac:dyDescent="0.3">
      <c r="A364" s="26" t="s">
        <v>279</v>
      </c>
      <c r="B364" s="26">
        <v>4</v>
      </c>
      <c r="C364" s="26">
        <v>4</v>
      </c>
      <c r="D364" s="26">
        <v>2</v>
      </c>
      <c r="E364" s="26" t="str">
        <f>CONCATENATE('Смета ЕР (общ) '!$A364,".",'Смета ЕР (общ) '!$B364,".",C364,".",'Смета ЕР (общ) '!$D364)</f>
        <v>Р3.4.4.2</v>
      </c>
      <c r="F364" s="26">
        <f t="shared" si="26"/>
        <v>1</v>
      </c>
      <c r="G364" s="27" t="s">
        <v>404</v>
      </c>
      <c r="H364" s="28" t="s">
        <v>118</v>
      </c>
      <c r="I364" s="158"/>
      <c r="J364" s="30">
        <v>9350</v>
      </c>
      <c r="K364" s="30">
        <f>'[14]Стекл двери в алюм. (2)'!D12</f>
        <v>63349.65</v>
      </c>
      <c r="L364" s="30">
        <f t="shared" si="33"/>
        <v>9350</v>
      </c>
      <c r="M364" s="54">
        <f t="shared" ref="M364:M365" si="34">K364</f>
        <v>63349.65</v>
      </c>
      <c r="N364" s="30">
        <f>ROUND('Смета ЕР (общ) '!$I364*'Смета ЕР (общ) '!$L364,2)</f>
        <v>0</v>
      </c>
      <c r="O364" s="30">
        <f>ROUND('Смета ЕР (общ) '!$I364*'Смета ЕР (общ) '!$M364,2)</f>
        <v>0</v>
      </c>
      <c r="P364" s="55" t="s">
        <v>388</v>
      </c>
      <c r="Q364" s="56"/>
    </row>
    <row r="365" spans="1:20" ht="60" hidden="1" x14ac:dyDescent="0.3">
      <c r="A365" s="26" t="s">
        <v>279</v>
      </c>
      <c r="B365" s="26">
        <v>4</v>
      </c>
      <c r="C365" s="26">
        <v>4</v>
      </c>
      <c r="D365" s="26">
        <v>3</v>
      </c>
      <c r="E365" s="26" t="str">
        <f>CONCATENATE('Смета ЕР (общ) '!$A365,".",'Смета ЕР (общ) '!$B365,".",C365,".",'Смета ЕР (общ) '!$D365)</f>
        <v>Р3.4.4.3</v>
      </c>
      <c r="F365" s="26">
        <f t="shared" si="26"/>
        <v>1</v>
      </c>
      <c r="G365" s="27" t="s">
        <v>405</v>
      </c>
      <c r="H365" s="28" t="s">
        <v>118</v>
      </c>
      <c r="I365" s="158"/>
      <c r="J365" s="30">
        <v>11000</v>
      </c>
      <c r="K365" s="30">
        <f>'[14]Стекл двери в алюм. (2)'!D13</f>
        <v>76440</v>
      </c>
      <c r="L365" s="30">
        <f t="shared" si="33"/>
        <v>11000</v>
      </c>
      <c r="M365" s="54">
        <f t="shared" si="34"/>
        <v>76440</v>
      </c>
      <c r="N365" s="30">
        <f>ROUND('Смета ЕР (общ) '!$I365*'Смета ЕР (общ) '!$L365,2)</f>
        <v>0</v>
      </c>
      <c r="O365" s="30">
        <f>ROUND('Смета ЕР (общ) '!$I365*'Смета ЕР (общ) '!$M365,2)</f>
        <v>0</v>
      </c>
      <c r="P365" s="55" t="s">
        <v>388</v>
      </c>
      <c r="Q365" s="56"/>
    </row>
    <row r="366" spans="1:20" ht="96" hidden="1" x14ac:dyDescent="0.3">
      <c r="A366" s="46" t="s">
        <v>279</v>
      </c>
      <c r="B366" s="46">
        <v>4</v>
      </c>
      <c r="C366" s="46">
        <v>4</v>
      </c>
      <c r="D366" s="46">
        <v>4</v>
      </c>
      <c r="E366" s="46" t="str">
        <f>CONCATENATE('Смета ЕР (общ) '!$A366,".",'Смета ЕР (общ) '!$B366,".",C366,".",'Смета ЕР (общ) '!$D366)</f>
        <v>Р3.4.4.4</v>
      </c>
      <c r="F366" s="46">
        <f t="shared" si="26"/>
        <v>1</v>
      </c>
      <c r="G366" s="47" t="s">
        <v>406</v>
      </c>
      <c r="H366" s="28" t="s">
        <v>118</v>
      </c>
      <c r="I366" s="158"/>
      <c r="J366" s="50">
        <v>9350</v>
      </c>
      <c r="K366" s="30">
        <f>'[14]Стекл. двери один в перегородку'!G8*1.05</f>
        <v>100747.5</v>
      </c>
      <c r="L366" s="30">
        <f t="shared" si="33"/>
        <v>9350</v>
      </c>
      <c r="M366" s="54">
        <f>K366</f>
        <v>100747.5</v>
      </c>
      <c r="N366" s="30">
        <f>ROUND('Смета ЕР (общ) '!$I366*'Смета ЕР (общ) '!$L366,2)</f>
        <v>0</v>
      </c>
      <c r="O366" s="30">
        <f>ROUND('Смета ЕР (общ) '!$I366*'Смета ЕР (общ) '!$M366,2)</f>
        <v>0</v>
      </c>
      <c r="P366" s="57" t="s">
        <v>407</v>
      </c>
      <c r="Q366" s="56"/>
      <c r="T366">
        <v>1</v>
      </c>
    </row>
    <row r="367" spans="1:20" ht="132" hidden="1" x14ac:dyDescent="0.3">
      <c r="A367" s="46" t="s">
        <v>279</v>
      </c>
      <c r="B367" s="46">
        <v>4</v>
      </c>
      <c r="C367" s="46">
        <v>4</v>
      </c>
      <c r="D367" s="46">
        <v>5</v>
      </c>
      <c r="E367" s="46" t="str">
        <f>CONCATENATE('Смета ЕР (общ) '!$A367,".",'Смета ЕР (общ) '!$B367,".",C367,".",'Смета ЕР (общ) '!$D367)</f>
        <v>Р3.4.4.5</v>
      </c>
      <c r="F367" s="46">
        <f t="shared" si="26"/>
        <v>1</v>
      </c>
      <c r="G367" s="47" t="s">
        <v>408</v>
      </c>
      <c r="H367" s="28" t="s">
        <v>118</v>
      </c>
      <c r="I367" s="158"/>
      <c r="J367" s="49">
        <f>J364</f>
        <v>9350</v>
      </c>
      <c r="K367" s="30">
        <f>'[14]Стекл. дв. полут в проем '!G8*1.05</f>
        <v>169417.5</v>
      </c>
      <c r="L367" s="30">
        <f t="shared" si="33"/>
        <v>9350</v>
      </c>
      <c r="M367" s="54">
        <f>K367</f>
        <v>169417.5</v>
      </c>
      <c r="N367" s="30">
        <f>ROUND('Смета ЕР (общ) '!$I367*'Смета ЕР (общ) '!$L367,2)</f>
        <v>0</v>
      </c>
      <c r="O367" s="30">
        <f>ROUND('Смета ЕР (общ) '!$I367*'Смета ЕР (общ) '!$M367,2)</f>
        <v>0</v>
      </c>
      <c r="P367" s="57" t="s">
        <v>409</v>
      </c>
      <c r="Q367" s="56"/>
      <c r="T367">
        <v>1</v>
      </c>
    </row>
    <row r="368" spans="1:20" ht="14.4" hidden="1" x14ac:dyDescent="0.3">
      <c r="A368" s="71" t="s">
        <v>279</v>
      </c>
      <c r="B368" s="71">
        <v>4</v>
      </c>
      <c r="C368" s="71">
        <v>5</v>
      </c>
      <c r="D368" s="71">
        <v>0</v>
      </c>
      <c r="E368" s="71" t="str">
        <f>CONCATENATE('Смета ЕР (общ) '!$A368,".",'Смета ЕР (общ) '!$B368,".",C368,".",'Смета ЕР (общ) '!$D368)</f>
        <v>Р3.4.5.0</v>
      </c>
      <c r="F368" s="71">
        <f t="shared" si="26"/>
        <v>1</v>
      </c>
      <c r="G368" s="72" t="s">
        <v>410</v>
      </c>
      <c r="H368" s="73"/>
      <c r="I368" s="74"/>
      <c r="J368" s="75"/>
      <c r="K368" s="75"/>
      <c r="L368" s="76"/>
      <c r="M368" s="76"/>
      <c r="N368" s="76">
        <f>SUM(N369:N379)</f>
        <v>0</v>
      </c>
      <c r="O368" s="76">
        <f>SUM(O369:O379)</f>
        <v>0</v>
      </c>
      <c r="P368" s="45"/>
      <c r="T368">
        <v>41350.39</v>
      </c>
    </row>
    <row r="369" spans="1:20" ht="24" hidden="1" x14ac:dyDescent="0.3">
      <c r="A369" s="26" t="s">
        <v>279</v>
      </c>
      <c r="B369" s="26">
        <v>4</v>
      </c>
      <c r="C369" s="26">
        <v>5</v>
      </c>
      <c r="D369" s="26">
        <v>1</v>
      </c>
      <c r="E369" s="26" t="str">
        <f>CONCATENATE('Смета ЕР (общ) '!$A369,".",'Смета ЕР (общ) '!$B369,".",C369,".",'Смета ЕР (общ) '!$D369)</f>
        <v>Р3.4.5.1</v>
      </c>
      <c r="F369" s="26">
        <f t="shared" si="26"/>
        <v>1</v>
      </c>
      <c r="G369" s="27" t="s">
        <v>411</v>
      </c>
      <c r="H369" s="28" t="s">
        <v>118</v>
      </c>
      <c r="I369" s="158"/>
      <c r="J369" s="30">
        <v>11880</v>
      </c>
      <c r="K369" s="50">
        <v>38150</v>
      </c>
      <c r="L369" s="30">
        <f t="shared" ref="L369:M376" si="35">ROUND(J369-J369*$Q$3,2)</f>
        <v>11880</v>
      </c>
      <c r="M369" s="30">
        <f t="shared" si="35"/>
        <v>38150</v>
      </c>
      <c r="N369" s="30">
        <f>ROUND('Смета ЕР (общ) '!$I369*'Смета ЕР (общ) '!$L369,2)</f>
        <v>0</v>
      </c>
      <c r="O369" s="30">
        <f>ROUND('Смета ЕР (общ) '!$I369*'Смета ЕР (общ) '!$M369,2)</f>
        <v>0</v>
      </c>
      <c r="P369" s="45"/>
      <c r="T369">
        <v>1</v>
      </c>
    </row>
    <row r="370" spans="1:20" ht="24" hidden="1" x14ac:dyDescent="0.3">
      <c r="A370" s="26" t="s">
        <v>279</v>
      </c>
      <c r="B370" s="26">
        <v>4</v>
      </c>
      <c r="C370" s="26">
        <v>5</v>
      </c>
      <c r="D370" s="26">
        <v>2</v>
      </c>
      <c r="E370" s="26" t="str">
        <f>CONCATENATE('Смета ЕР (общ) '!$A370,".",'Смета ЕР (общ) '!$B370,".",C370,".",'Смета ЕР (общ) '!$D370)</f>
        <v>Р3.4.5.2</v>
      </c>
      <c r="F370" s="26">
        <f t="shared" si="26"/>
        <v>1</v>
      </c>
      <c r="G370" s="27" t="s">
        <v>412</v>
      </c>
      <c r="H370" s="28" t="s">
        <v>118</v>
      </c>
      <c r="I370" s="158"/>
      <c r="J370" s="30">
        <v>11880</v>
      </c>
      <c r="K370" s="30">
        <v>45780</v>
      </c>
      <c r="L370" s="30">
        <f t="shared" si="35"/>
        <v>11880</v>
      </c>
      <c r="M370" s="30">
        <f t="shared" si="35"/>
        <v>45780</v>
      </c>
      <c r="N370" s="30">
        <f>ROUND('Смета ЕР (общ) '!$I370*'Смета ЕР (общ) '!$L370,2)</f>
        <v>0</v>
      </c>
      <c r="O370" s="30">
        <f>ROUND('Смета ЕР (общ) '!$I370*'Смета ЕР (общ) '!$M370,2)</f>
        <v>0</v>
      </c>
      <c r="P370" s="45"/>
    </row>
    <row r="371" spans="1:20" ht="24" hidden="1" x14ac:dyDescent="0.3">
      <c r="A371" s="82" t="s">
        <v>279</v>
      </c>
      <c r="B371" s="82">
        <v>4</v>
      </c>
      <c r="C371" s="82">
        <v>5</v>
      </c>
      <c r="D371" s="82">
        <v>3</v>
      </c>
      <c r="E371" s="82" t="str">
        <f>CONCATENATE('Смета ЕР (общ) '!$A371,".",'Смета ЕР (общ) '!$B371,".",C371,".",'Смета ЕР (общ) '!$D371)</f>
        <v>Р3.4.5.3</v>
      </c>
      <c r="F371" s="82">
        <f t="shared" si="26"/>
        <v>1</v>
      </c>
      <c r="G371" s="83" t="s">
        <v>413</v>
      </c>
      <c r="H371" s="28" t="s">
        <v>118</v>
      </c>
      <c r="I371" s="158"/>
      <c r="J371" s="30">
        <v>11880</v>
      </c>
      <c r="K371" s="30">
        <v>49595</v>
      </c>
      <c r="L371" s="30">
        <f t="shared" si="35"/>
        <v>11880</v>
      </c>
      <c r="M371" s="30">
        <f t="shared" si="35"/>
        <v>49595</v>
      </c>
      <c r="N371" s="30">
        <f>ROUND('Смета ЕР (общ) '!$I371*'Смета ЕР (общ) '!$L371,2)</f>
        <v>0</v>
      </c>
      <c r="O371" s="30">
        <f>ROUND('Смета ЕР (общ) '!$I371*'Смета ЕР (общ) '!$M371,2)</f>
        <v>0</v>
      </c>
      <c r="P371" s="45"/>
      <c r="T371">
        <v>1</v>
      </c>
    </row>
    <row r="372" spans="1:20" ht="24" hidden="1" x14ac:dyDescent="0.3">
      <c r="A372" s="82" t="s">
        <v>279</v>
      </c>
      <c r="B372" s="82">
        <v>4</v>
      </c>
      <c r="C372" s="82">
        <v>5</v>
      </c>
      <c r="D372" s="82">
        <v>8</v>
      </c>
      <c r="E372" s="82" t="str">
        <f>CONCATENATE('Смета ЕР (общ) '!$A372,".",'Смета ЕР (общ) '!$B372,".",C372,".",'Смета ЕР (общ) '!$D372)</f>
        <v>Р3.4.5.8</v>
      </c>
      <c r="F372" s="82">
        <f t="shared" si="26"/>
        <v>1</v>
      </c>
      <c r="G372" s="83" t="s">
        <v>414</v>
      </c>
      <c r="H372" s="28" t="s">
        <v>118</v>
      </c>
      <c r="I372" s="158"/>
      <c r="J372" s="30">
        <v>13750</v>
      </c>
      <c r="K372" s="30">
        <v>68670</v>
      </c>
      <c r="L372" s="30">
        <f t="shared" si="35"/>
        <v>13750</v>
      </c>
      <c r="M372" s="30">
        <f t="shared" si="35"/>
        <v>68670</v>
      </c>
      <c r="N372" s="30">
        <f>ROUND('Смета ЕР (общ) '!$I372*'Смета ЕР (общ) '!$L372,2)</f>
        <v>0</v>
      </c>
      <c r="O372" s="30">
        <f>ROUND('Смета ЕР (общ) '!$I372*'Смета ЕР (общ) '!$M372,2)</f>
        <v>0</v>
      </c>
      <c r="P372" s="45"/>
    </row>
    <row r="373" spans="1:20" ht="24" hidden="1" x14ac:dyDescent="0.3">
      <c r="A373" s="82" t="s">
        <v>279</v>
      </c>
      <c r="B373" s="82">
        <v>4</v>
      </c>
      <c r="C373" s="82">
        <v>5</v>
      </c>
      <c r="D373" s="82">
        <v>9</v>
      </c>
      <c r="E373" s="82" t="str">
        <f>CONCATENATE('Смета ЕР (общ) '!$A373,".",'Смета ЕР (общ) '!$B373,".",C373,".",'Смета ЕР (общ) '!$D373)</f>
        <v>Р3.4.5.9</v>
      </c>
      <c r="F373" s="82">
        <f t="shared" si="26"/>
        <v>1</v>
      </c>
      <c r="G373" s="83" t="s">
        <v>415</v>
      </c>
      <c r="H373" s="28" t="s">
        <v>118</v>
      </c>
      <c r="I373" s="158"/>
      <c r="J373" s="30">
        <v>13750</v>
      </c>
      <c r="K373" s="50">
        <v>59850</v>
      </c>
      <c r="L373" s="50">
        <f t="shared" si="35"/>
        <v>13750</v>
      </c>
      <c r="M373" s="50">
        <f t="shared" si="35"/>
        <v>59850</v>
      </c>
      <c r="N373" s="50">
        <f>ROUND('Смета ЕР (общ) '!$I373*'Смета ЕР (общ) '!$L373,2)</f>
        <v>0</v>
      </c>
      <c r="O373" s="50">
        <f>ROUND('Смета ЕР (общ) '!$I373*'Смета ЕР (общ) '!$M373,2)</f>
        <v>0</v>
      </c>
      <c r="P373" s="45"/>
      <c r="T373">
        <v>1</v>
      </c>
    </row>
    <row r="374" spans="1:20" ht="14.4" hidden="1" x14ac:dyDescent="0.3">
      <c r="A374" s="82" t="s">
        <v>279</v>
      </c>
      <c r="B374" s="82">
        <v>4</v>
      </c>
      <c r="C374" s="82">
        <v>5</v>
      </c>
      <c r="D374" s="82">
        <v>4</v>
      </c>
      <c r="E374" s="82" t="str">
        <f>CONCATENATE('Смета ЕР (общ) '!$A374,".",'Смета ЕР (общ) '!$B374,".",C374,".",'Смета ЕР (общ) '!$D374)</f>
        <v>Р3.4.5.4</v>
      </c>
      <c r="F374" s="82">
        <f t="shared" si="26"/>
        <v>1</v>
      </c>
      <c r="G374" s="83" t="s">
        <v>416</v>
      </c>
      <c r="H374" s="28" t="s">
        <v>118</v>
      </c>
      <c r="I374" s="158"/>
      <c r="J374" s="30">
        <v>1280.1300000000001</v>
      </c>
      <c r="K374" s="30">
        <v>3815</v>
      </c>
      <c r="L374" s="30">
        <f t="shared" si="35"/>
        <v>1280.1300000000001</v>
      </c>
      <c r="M374" s="30">
        <f t="shared" si="35"/>
        <v>3815</v>
      </c>
      <c r="N374" s="30">
        <f>ROUND('Смета ЕР (общ) '!$I374*'Смета ЕР (общ) '!$L374,2)</f>
        <v>0</v>
      </c>
      <c r="O374" s="30">
        <f>ROUND('Смета ЕР (общ) '!$I374*'Смета ЕР (общ) '!$M374,2)</f>
        <v>0</v>
      </c>
      <c r="P374" s="45"/>
      <c r="T374">
        <v>3</v>
      </c>
    </row>
    <row r="375" spans="1:20" ht="36" hidden="1" x14ac:dyDescent="0.3">
      <c r="A375" s="26" t="s">
        <v>279</v>
      </c>
      <c r="B375" s="26">
        <v>4</v>
      </c>
      <c r="C375" s="26">
        <v>5</v>
      </c>
      <c r="D375" s="26">
        <v>5</v>
      </c>
      <c r="E375" s="26" t="str">
        <f>CONCATENATE('Смета ЕР (общ) '!$A375,".",'Смета ЕР (общ) '!$B375,".",C375,".",'Смета ЕР (общ) '!$D375)</f>
        <v>Р3.4.5.5</v>
      </c>
      <c r="F375" s="26">
        <f t="shared" si="26"/>
        <v>1</v>
      </c>
      <c r="G375" s="27" t="s">
        <v>417</v>
      </c>
      <c r="H375" s="28" t="s">
        <v>118</v>
      </c>
      <c r="I375" s="158"/>
      <c r="J375" s="30">
        <v>1503.36</v>
      </c>
      <c r="K375" s="30">
        <v>206.06</v>
      </c>
      <c r="L375" s="30">
        <f t="shared" si="35"/>
        <v>1503.36</v>
      </c>
      <c r="M375" s="30">
        <f t="shared" si="35"/>
        <v>206.06</v>
      </c>
      <c r="N375" s="30">
        <f>ROUND('Смета ЕР (общ) '!$I375*'Смета ЕР (общ) '!$L375,2)</f>
        <v>0</v>
      </c>
      <c r="O375" s="30">
        <f>ROUND('Смета ЕР (общ) '!$I375*'Смета ЕР (общ) '!$M375,2)</f>
        <v>0</v>
      </c>
      <c r="P375" s="45"/>
    </row>
    <row r="376" spans="1:20" ht="24" hidden="1" x14ac:dyDescent="0.3">
      <c r="A376" s="82" t="s">
        <v>279</v>
      </c>
      <c r="B376" s="82">
        <v>4</v>
      </c>
      <c r="C376" s="82">
        <v>5</v>
      </c>
      <c r="D376" s="82">
        <v>6</v>
      </c>
      <c r="E376" s="82" t="str">
        <f>CONCATENATE('Смета ЕР (общ) '!$A376,".",'Смета ЕР (общ) '!$B376,".",C376,".",'Смета ЕР (общ) '!$D376)</f>
        <v>Р3.4.5.6</v>
      </c>
      <c r="F376" s="82">
        <f t="shared" si="26"/>
        <v>1</v>
      </c>
      <c r="G376" s="83" t="s">
        <v>418</v>
      </c>
      <c r="H376" s="28" t="s">
        <v>118</v>
      </c>
      <c r="I376" s="158"/>
      <c r="J376" s="30">
        <v>2192.4</v>
      </c>
      <c r="K376" s="30">
        <v>37425.71</v>
      </c>
      <c r="L376" s="30">
        <f t="shared" si="35"/>
        <v>2192.4</v>
      </c>
      <c r="M376" s="30">
        <f t="shared" si="35"/>
        <v>37425.71</v>
      </c>
      <c r="N376" s="30">
        <f>ROUND('Смета ЕР (общ) '!$I376*'Смета ЕР (общ) '!$L376,2)</f>
        <v>0</v>
      </c>
      <c r="O376" s="30">
        <f>ROUND('Смета ЕР (общ) '!$I376*'Смета ЕР (общ) '!$M376,2)</f>
        <v>0</v>
      </c>
      <c r="P376" s="45"/>
    </row>
    <row r="377" spans="1:20" ht="14.4" hidden="1" x14ac:dyDescent="0.3">
      <c r="A377" s="82" t="s">
        <v>279</v>
      </c>
      <c r="B377" s="82">
        <v>4</v>
      </c>
      <c r="C377" s="82">
        <v>5</v>
      </c>
      <c r="D377" s="82">
        <v>7</v>
      </c>
      <c r="E377" s="82" t="str">
        <f>CONCATENATE('Смета ЕР (общ) '!$A377,".",'Смета ЕР (общ) '!$B377,".",C377,".",'Смета ЕР (общ) '!$D377)</f>
        <v>Р3.4.5.7</v>
      </c>
      <c r="F377" s="82">
        <f t="shared" si="26"/>
        <v>1</v>
      </c>
      <c r="G377" s="83"/>
      <c r="H377" s="28"/>
      <c r="I377" s="158"/>
      <c r="J377" s="30"/>
      <c r="K377" s="30"/>
      <c r="L377" s="30"/>
      <c r="M377" s="30"/>
      <c r="N377" s="30"/>
      <c r="O377" s="30"/>
      <c r="P377" s="45"/>
    </row>
    <row r="378" spans="1:20" ht="60" hidden="1" x14ac:dyDescent="0.3">
      <c r="A378" s="26" t="s">
        <v>279</v>
      </c>
      <c r="B378" s="26">
        <v>4</v>
      </c>
      <c r="C378" s="26">
        <v>5</v>
      </c>
      <c r="D378" s="26">
        <v>30</v>
      </c>
      <c r="E378" s="26" t="str">
        <f>CONCATENATE('Смета ЕР (общ) '!$A378,".",'Смета ЕР (общ) '!$B378,".",'Смета ЕР (общ) '!$D378)</f>
        <v>Р3.4.30</v>
      </c>
      <c r="F378" s="26">
        <f t="shared" si="26"/>
        <v>1</v>
      </c>
      <c r="G378" s="41" t="s">
        <v>419</v>
      </c>
      <c r="H378" s="28" t="s">
        <v>118</v>
      </c>
      <c r="I378" s="158"/>
      <c r="J378" s="30">
        <v>10648.8</v>
      </c>
      <c r="K378" s="30">
        <v>137025</v>
      </c>
      <c r="L378" s="30">
        <f>ROUND(J378-J378*$Q$3,2)</f>
        <v>10648.8</v>
      </c>
      <c r="M378" s="30">
        <f>ROUND(K378-K378*$Q$3,2)</f>
        <v>137025</v>
      </c>
      <c r="N378" s="30">
        <f>ROUND('Смета ЕР (общ) '!$I378*'Смета ЕР (общ) '!$L378,2)</f>
        <v>0</v>
      </c>
      <c r="O378" s="30">
        <f>ROUND('Смета ЕР (общ) '!$I378*'Смета ЕР (общ) '!$M378,2)</f>
        <v>0</v>
      </c>
      <c r="P378" s="45"/>
    </row>
    <row r="379" spans="1:20" ht="60" hidden="1" x14ac:dyDescent="0.3">
      <c r="A379" s="26" t="s">
        <v>279</v>
      </c>
      <c r="B379" s="26">
        <v>4</v>
      </c>
      <c r="C379" s="26">
        <v>5</v>
      </c>
      <c r="D379" s="26">
        <v>31</v>
      </c>
      <c r="E379" s="26" t="str">
        <f>CONCATENATE('Смета ЕР (общ) '!$A379,".",'Смета ЕР (общ) '!$B379,".",'Смета ЕР (общ) '!$D379)</f>
        <v>Р3.4.31</v>
      </c>
      <c r="F379" s="26">
        <f t="shared" si="26"/>
        <v>1</v>
      </c>
      <c r="G379" s="41" t="s">
        <v>420</v>
      </c>
      <c r="H379" s="28" t="s">
        <v>118</v>
      </c>
      <c r="I379" s="158"/>
      <c r="J379" s="30">
        <v>10648.8</v>
      </c>
      <c r="K379" s="30">
        <v>164430</v>
      </c>
      <c r="L379" s="30">
        <f>ROUND(J379-J379*$Q$3,2)</f>
        <v>10648.8</v>
      </c>
      <c r="M379" s="30">
        <f>ROUND(K379-K379*$Q$3,2)</f>
        <v>164430</v>
      </c>
      <c r="N379" s="30">
        <f>ROUND('Смета ЕР (общ) '!$I379*'Смета ЕР (общ) '!$L379,2)</f>
        <v>0</v>
      </c>
      <c r="O379" s="30">
        <f>ROUND('Смета ЕР (общ) '!$I379*'Смета ЕР (общ) '!$M379,2)</f>
        <v>0</v>
      </c>
      <c r="P379" s="45"/>
    </row>
    <row r="380" spans="1:20" ht="14.4" hidden="1" x14ac:dyDescent="0.3">
      <c r="A380" s="77" t="s">
        <v>279</v>
      </c>
      <c r="B380" s="77">
        <v>4</v>
      </c>
      <c r="C380" s="77">
        <v>6</v>
      </c>
      <c r="D380" s="77">
        <v>0</v>
      </c>
      <c r="E380" s="77" t="str">
        <f>CONCATENATE('Смета ЕР (общ) '!$A380,".",'Смета ЕР (общ) '!$B380,".",C380,".",'Смета ЕР (общ) '!$D380)</f>
        <v>Р3.4.6.0</v>
      </c>
      <c r="F380" s="77">
        <f t="shared" si="26"/>
        <v>1</v>
      </c>
      <c r="G380" s="78" t="s">
        <v>421</v>
      </c>
      <c r="H380" s="84"/>
      <c r="I380" s="74"/>
      <c r="J380" s="75"/>
      <c r="K380" s="75"/>
      <c r="L380" s="80"/>
      <c r="M380" s="80"/>
      <c r="N380" s="80">
        <f>SUM(N381:N392)</f>
        <v>0</v>
      </c>
      <c r="O380" s="80">
        <f>SUM(O381:O392)</f>
        <v>0</v>
      </c>
      <c r="P380" s="45"/>
      <c r="T380">
        <v>32199.42</v>
      </c>
    </row>
    <row r="381" spans="1:20" ht="24" hidden="1" x14ac:dyDescent="0.3">
      <c r="A381" s="26" t="s">
        <v>279</v>
      </c>
      <c r="B381" s="26">
        <v>4</v>
      </c>
      <c r="C381" s="26">
        <v>6</v>
      </c>
      <c r="D381" s="26">
        <v>1</v>
      </c>
      <c r="E381" s="26" t="str">
        <f>CONCATENATE('Смета ЕР (общ) '!$A381,".",'Смета ЕР (общ) '!$B381,".",C381,".",'Смета ЕР (общ) '!$D381)</f>
        <v>Р3.4.6.1</v>
      </c>
      <c r="F381" s="26">
        <f t="shared" si="26"/>
        <v>1</v>
      </c>
      <c r="G381" s="27" t="s">
        <v>422</v>
      </c>
      <c r="H381" s="28" t="s">
        <v>118</v>
      </c>
      <c r="I381" s="158"/>
      <c r="J381" s="30">
        <v>7297.56</v>
      </c>
      <c r="K381" s="30">
        <v>21591.77</v>
      </c>
      <c r="L381" s="30">
        <f t="shared" ref="L381:M392" si="36">ROUND(J381-J381*$Q$3,2)</f>
        <v>7297.56</v>
      </c>
      <c r="M381" s="30">
        <f t="shared" si="36"/>
        <v>21591.77</v>
      </c>
      <c r="N381" s="30">
        <f>ROUND('Смета ЕР (общ) '!$I381*'Смета ЕР (общ) '!$L381,2)</f>
        <v>0</v>
      </c>
      <c r="O381" s="30">
        <f>ROUND('Смета ЕР (общ) '!$I381*'Смета ЕР (общ) '!$M381,2)</f>
        <v>0</v>
      </c>
      <c r="P381" s="45"/>
    </row>
    <row r="382" spans="1:20" ht="24" hidden="1" x14ac:dyDescent="0.3">
      <c r="A382" s="26" t="s">
        <v>279</v>
      </c>
      <c r="B382" s="26">
        <v>4</v>
      </c>
      <c r="C382" s="26">
        <v>6</v>
      </c>
      <c r="D382" s="26">
        <v>2</v>
      </c>
      <c r="E382" s="26" t="str">
        <f>CONCATENATE('Смета ЕР (общ) '!$A382,".",'Смета ЕР (общ) '!$B382,".",C382,".",'Смета ЕР (общ) '!$D382)</f>
        <v>Р3.4.6.2</v>
      </c>
      <c r="F382" s="26">
        <f t="shared" si="26"/>
        <v>1</v>
      </c>
      <c r="G382" s="41" t="s">
        <v>423</v>
      </c>
      <c r="H382" s="28" t="s">
        <v>118</v>
      </c>
      <c r="I382" s="158"/>
      <c r="J382" s="30">
        <v>7297.56</v>
      </c>
      <c r="K382" s="30">
        <v>35597.46</v>
      </c>
      <c r="L382" s="30">
        <f t="shared" si="36"/>
        <v>7297.56</v>
      </c>
      <c r="M382" s="30">
        <f t="shared" si="36"/>
        <v>35597.46</v>
      </c>
      <c r="N382" s="30">
        <f>ROUND('Смета ЕР (общ) '!$I382*'Смета ЕР (общ) '!$L382,2)</f>
        <v>0</v>
      </c>
      <c r="O382" s="30">
        <f>ROUND('Смета ЕР (общ) '!$I382*'Смета ЕР (общ) '!$M382,2)</f>
        <v>0</v>
      </c>
      <c r="P382" s="45"/>
    </row>
    <row r="383" spans="1:20" ht="36" hidden="1" x14ac:dyDescent="0.3">
      <c r="A383" s="26" t="s">
        <v>279</v>
      </c>
      <c r="B383" s="26">
        <v>4</v>
      </c>
      <c r="C383" s="26">
        <v>6</v>
      </c>
      <c r="D383" s="26">
        <v>3</v>
      </c>
      <c r="E383" s="26" t="str">
        <f>CONCATENATE('Смета ЕР (общ) '!$A383,".",'Смета ЕР (общ) '!$B383,".",C383,".",'Смета ЕР (общ) '!$D383)</f>
        <v>Р3.4.6.3</v>
      </c>
      <c r="F383" s="26">
        <f t="shared" si="26"/>
        <v>1</v>
      </c>
      <c r="G383" s="41" t="s">
        <v>424</v>
      </c>
      <c r="H383" s="28" t="s">
        <v>118</v>
      </c>
      <c r="I383" s="158"/>
      <c r="J383" s="30">
        <v>7297.56</v>
      </c>
      <c r="K383" s="30">
        <v>40865.360000000001</v>
      </c>
      <c r="L383" s="30">
        <f t="shared" si="36"/>
        <v>7297.56</v>
      </c>
      <c r="M383" s="30">
        <f t="shared" si="36"/>
        <v>40865.360000000001</v>
      </c>
      <c r="N383" s="30">
        <f>ROUND('Смета ЕР (общ) '!$I383*'Смета ЕР (общ) '!$L383,2)</f>
        <v>0</v>
      </c>
      <c r="O383" s="30">
        <f>ROUND('Смета ЕР (общ) '!$I383*'Смета ЕР (общ) '!$M383,2)</f>
        <v>0</v>
      </c>
      <c r="P383" s="45"/>
    </row>
    <row r="384" spans="1:20" ht="24" hidden="1" x14ac:dyDescent="0.3">
      <c r="A384" s="26" t="s">
        <v>279</v>
      </c>
      <c r="B384" s="26">
        <v>4</v>
      </c>
      <c r="C384" s="26">
        <v>6</v>
      </c>
      <c r="D384" s="26">
        <v>4</v>
      </c>
      <c r="E384" s="26" t="str">
        <f>CONCATENATE('Смета ЕР (общ) '!$A384,".",'Смета ЕР (общ) '!$B384,".",C384,".",'Смета ЕР (общ) '!$D384)</f>
        <v>Р3.4.6.4</v>
      </c>
      <c r="F384" s="26">
        <f t="shared" si="26"/>
        <v>1</v>
      </c>
      <c r="G384" s="41" t="s">
        <v>425</v>
      </c>
      <c r="H384" s="28" t="s">
        <v>118</v>
      </c>
      <c r="I384" s="158"/>
      <c r="J384" s="30">
        <v>7297.56</v>
      </c>
      <c r="K384" s="30">
        <v>37337.31</v>
      </c>
      <c r="L384" s="30">
        <f t="shared" si="36"/>
        <v>7297.56</v>
      </c>
      <c r="M384" s="30">
        <f t="shared" si="36"/>
        <v>37337.31</v>
      </c>
      <c r="N384" s="30">
        <f>ROUND('Смета ЕР (общ) '!$I384*'Смета ЕР (общ) '!$L384,2)</f>
        <v>0</v>
      </c>
      <c r="O384" s="30">
        <f>ROUND('Смета ЕР (общ) '!$I384*'Смета ЕР (общ) '!$M384,2)</f>
        <v>0</v>
      </c>
      <c r="P384" s="45"/>
    </row>
    <row r="385" spans="1:20" ht="132" hidden="1" x14ac:dyDescent="0.3">
      <c r="A385" s="26" t="s">
        <v>279</v>
      </c>
      <c r="B385" s="26">
        <v>4</v>
      </c>
      <c r="C385" s="26">
        <v>6</v>
      </c>
      <c r="D385" s="26">
        <v>5</v>
      </c>
      <c r="E385" s="26" t="str">
        <f>CONCATENATE('Смета ЕР (общ) '!$A385,".",'Смета ЕР (общ) '!$B385,".",C385,".",'Смета ЕР (общ) '!$D385)</f>
        <v>Р3.4.6.5</v>
      </c>
      <c r="F385" s="26">
        <f t="shared" si="26"/>
        <v>1</v>
      </c>
      <c r="G385" s="41" t="s">
        <v>426</v>
      </c>
      <c r="H385" s="28" t="s">
        <v>118</v>
      </c>
      <c r="I385" s="158"/>
      <c r="J385" s="30">
        <v>7297.56</v>
      </c>
      <c r="K385" s="29">
        <f>'[14]Дерев. гл. скр. двери в проем'!G8*1.05</f>
        <v>92715</v>
      </c>
      <c r="L385" s="30">
        <f t="shared" si="36"/>
        <v>7297.56</v>
      </c>
      <c r="M385" s="54">
        <f>K385</f>
        <v>92715</v>
      </c>
      <c r="N385" s="30">
        <f>ROUND('Смета ЕР (общ) '!$I385*'Смета ЕР (общ) '!$L385,2)</f>
        <v>0</v>
      </c>
      <c r="O385" s="30">
        <f>ROUND('Смета ЕР (общ) '!$I385*'Смета ЕР (общ) '!$M385,2)</f>
        <v>0</v>
      </c>
      <c r="P385" s="57" t="s">
        <v>427</v>
      </c>
      <c r="Q385" s="56"/>
      <c r="T385">
        <v>1</v>
      </c>
    </row>
    <row r="386" spans="1:20" ht="108" hidden="1" x14ac:dyDescent="0.3">
      <c r="A386" s="26" t="s">
        <v>279</v>
      </c>
      <c r="B386" s="26">
        <v>4</v>
      </c>
      <c r="C386" s="26">
        <v>6</v>
      </c>
      <c r="D386" s="26">
        <v>6</v>
      </c>
      <c r="E386" s="26" t="str">
        <f>CONCATENATE('Смета ЕР (общ) '!$A386,".",'Смета ЕР (общ) '!$B386,".",C386,".",'Смета ЕР (общ) '!$D386)</f>
        <v>Р3.4.6.6</v>
      </c>
      <c r="F386" s="26">
        <f t="shared" si="26"/>
        <v>1</v>
      </c>
      <c r="G386" s="41" t="s">
        <v>428</v>
      </c>
      <c r="H386" s="28" t="s">
        <v>118</v>
      </c>
      <c r="I386" s="158"/>
      <c r="J386" s="30">
        <v>7297.56</v>
      </c>
      <c r="K386" s="29">
        <f>'[14]Дерев. гл. двери в проем'!G8*1.05</f>
        <v>98017.5</v>
      </c>
      <c r="L386" s="30">
        <f t="shared" si="36"/>
        <v>7297.56</v>
      </c>
      <c r="M386" s="54">
        <f>K386</f>
        <v>98017.5</v>
      </c>
      <c r="N386" s="30">
        <f>ROUND('Смета ЕР (общ) '!$I386*'Смета ЕР (общ) '!$L386,2)</f>
        <v>0</v>
      </c>
      <c r="O386" s="30">
        <f>ROUND('Смета ЕР (общ) '!$I386*'Смета ЕР (общ) '!$M386,2)</f>
        <v>0</v>
      </c>
      <c r="P386" s="57" t="s">
        <v>429</v>
      </c>
      <c r="Q386" s="56"/>
      <c r="T386">
        <v>1</v>
      </c>
    </row>
    <row r="387" spans="1:20" ht="24" hidden="1" x14ac:dyDescent="0.3">
      <c r="A387" s="26" t="s">
        <v>279</v>
      </c>
      <c r="B387" s="26">
        <v>4</v>
      </c>
      <c r="C387" s="26">
        <v>6</v>
      </c>
      <c r="D387" s="26">
        <v>7</v>
      </c>
      <c r="E387" s="26" t="str">
        <f>CONCATENATE('Смета ЕР (общ) '!$A387,".",'Смета ЕР (общ) '!$B387,".",C387,".",'Смета ЕР (общ) '!$D387)</f>
        <v>Р3.4.6.7</v>
      </c>
      <c r="F387" s="26">
        <f t="shared" si="26"/>
        <v>1</v>
      </c>
      <c r="G387" s="41" t="s">
        <v>430</v>
      </c>
      <c r="H387" s="28" t="s">
        <v>118</v>
      </c>
      <c r="I387" s="158"/>
      <c r="J387" s="30">
        <v>7297.56</v>
      </c>
      <c r="K387" s="30">
        <v>18584.89</v>
      </c>
      <c r="L387" s="30">
        <f t="shared" si="36"/>
        <v>7297.56</v>
      </c>
      <c r="M387" s="30">
        <f t="shared" si="36"/>
        <v>18584.89</v>
      </c>
      <c r="N387" s="30">
        <f>ROUND('Смета ЕР (общ) '!$I387*'Смета ЕР (общ) '!$L387,2)</f>
        <v>0</v>
      </c>
      <c r="O387" s="30">
        <f>ROUND('Смета ЕР (общ) '!$I387*'Смета ЕР (общ) '!$M387,2)</f>
        <v>0</v>
      </c>
      <c r="P387" s="45"/>
    </row>
    <row r="388" spans="1:20" ht="36" hidden="1" x14ac:dyDescent="0.3">
      <c r="A388" s="26" t="s">
        <v>279</v>
      </c>
      <c r="B388" s="26">
        <v>4</v>
      </c>
      <c r="C388" s="26">
        <v>6</v>
      </c>
      <c r="D388" s="26">
        <v>8</v>
      </c>
      <c r="E388" s="26" t="str">
        <f>CONCATENATE('Смета ЕР (общ) '!$A388,".",'Смета ЕР (общ) '!$B388,".",C388,".",'Смета ЕР (общ) '!$D388)</f>
        <v>Р3.4.6.8</v>
      </c>
      <c r="F388" s="26">
        <f t="shared" si="26"/>
        <v>1</v>
      </c>
      <c r="G388" s="41" t="s">
        <v>431</v>
      </c>
      <c r="H388" s="28" t="s">
        <v>118</v>
      </c>
      <c r="I388" s="158"/>
      <c r="J388" s="30">
        <v>7297.56</v>
      </c>
      <c r="K388" s="30">
        <f>'[14]Двери Kapelli'!E12</f>
        <v>19441.8</v>
      </c>
      <c r="L388" s="30">
        <f t="shared" si="36"/>
        <v>7297.56</v>
      </c>
      <c r="M388" s="54">
        <f>K388</f>
        <v>19441.8</v>
      </c>
      <c r="N388" s="30">
        <f>ROUND('Смета ЕР (общ) '!$I388*'Смета ЕР (общ) '!$L388,2)</f>
        <v>0</v>
      </c>
      <c r="O388" s="30">
        <f>ROUND('Смета ЕР (общ) '!$I388*'Смета ЕР (общ) '!$M388,2)</f>
        <v>0</v>
      </c>
      <c r="P388" s="55" t="s">
        <v>432</v>
      </c>
      <c r="Q388" s="56"/>
      <c r="T388">
        <v>2</v>
      </c>
    </row>
    <row r="389" spans="1:20" ht="14.4" hidden="1" x14ac:dyDescent="0.3">
      <c r="A389" s="26" t="s">
        <v>279</v>
      </c>
      <c r="B389" s="26">
        <v>4</v>
      </c>
      <c r="C389" s="26">
        <v>6</v>
      </c>
      <c r="D389" s="26">
        <v>9</v>
      </c>
      <c r="E389" s="26" t="str">
        <f>CONCATENATE('Смета ЕР (общ) '!$A389,".",'Смета ЕР (общ) '!$B389,".",C389,".",'Смета ЕР (общ) '!$D389)</f>
        <v>Р3.4.6.9</v>
      </c>
      <c r="F389" s="26">
        <f t="shared" si="26"/>
        <v>1</v>
      </c>
      <c r="G389" s="27" t="s">
        <v>433</v>
      </c>
      <c r="H389" s="28" t="s">
        <v>118</v>
      </c>
      <c r="I389" s="158"/>
      <c r="J389" s="30">
        <v>1280.1300000000001</v>
      </c>
      <c r="K389" s="30">
        <v>4843.88</v>
      </c>
      <c r="L389" s="30">
        <f t="shared" si="36"/>
        <v>1280.1300000000001</v>
      </c>
      <c r="M389" s="30">
        <f t="shared" si="36"/>
        <v>4843.88</v>
      </c>
      <c r="N389" s="30">
        <f>ROUND('Смета ЕР (общ) '!$I389*'Смета ЕР (общ) '!$L389,2)</f>
        <v>0</v>
      </c>
      <c r="O389" s="30">
        <f>ROUND('Смета ЕР (общ) '!$I389*'Смета ЕР (общ) '!$M389,2)</f>
        <v>0</v>
      </c>
      <c r="P389" s="45"/>
    </row>
    <row r="390" spans="1:20" ht="14.4" hidden="1" x14ac:dyDescent="0.3">
      <c r="A390" s="82" t="s">
        <v>279</v>
      </c>
      <c r="B390" s="82">
        <v>4</v>
      </c>
      <c r="C390" s="82">
        <v>6</v>
      </c>
      <c r="D390" s="82">
        <v>10</v>
      </c>
      <c r="E390" s="82" t="str">
        <f>CONCATENATE('Смета ЕР (общ) '!$A390,".",'Смета ЕР (общ) '!$B390,".",C390,".",'Смета ЕР (общ) '!$D390)</f>
        <v>Р3.4.6.10</v>
      </c>
      <c r="F390" s="82">
        <f t="shared" si="26"/>
        <v>1</v>
      </c>
      <c r="G390" s="83" t="s">
        <v>434</v>
      </c>
      <c r="H390" s="28" t="s">
        <v>118</v>
      </c>
      <c r="I390" s="158"/>
      <c r="J390" s="30">
        <v>1280.1300000000001</v>
      </c>
      <c r="K390" s="30">
        <v>24572.5</v>
      </c>
      <c r="L390" s="30">
        <f t="shared" si="36"/>
        <v>1280.1300000000001</v>
      </c>
      <c r="M390" s="30">
        <f t="shared" si="36"/>
        <v>24572.5</v>
      </c>
      <c r="N390" s="30">
        <f>ROUND('Смета ЕР (общ) '!$I390*'Смета ЕР (общ) '!$L390,2)</f>
        <v>0</v>
      </c>
      <c r="O390" s="30">
        <f>ROUND('Смета ЕР (общ) '!$I390*'Смета ЕР (общ) '!$M390,2)</f>
        <v>0</v>
      </c>
      <c r="P390" s="45" t="s">
        <v>435</v>
      </c>
      <c r="T390">
        <v>2</v>
      </c>
    </row>
    <row r="391" spans="1:20" s="4" customFormat="1" ht="12" hidden="1" x14ac:dyDescent="0.25">
      <c r="A391" s="82" t="s">
        <v>279</v>
      </c>
      <c r="B391" s="82">
        <v>4</v>
      </c>
      <c r="C391" s="82">
        <v>6</v>
      </c>
      <c r="D391" s="82">
        <v>11</v>
      </c>
      <c r="E391" s="82" t="str">
        <f>CONCATENATE('Смета ЕР (общ) '!$A391,".",'Смета ЕР (общ) '!$B391,".",C391,".",'Смета ЕР (общ) '!$D391)</f>
        <v>Р3.4.6.11</v>
      </c>
      <c r="F391" s="82">
        <f t="shared" si="26"/>
        <v>1</v>
      </c>
      <c r="G391" s="83" t="s">
        <v>436</v>
      </c>
      <c r="H391" s="28" t="s">
        <v>118</v>
      </c>
      <c r="I391" s="164"/>
      <c r="J391" s="30">
        <v>224.46</v>
      </c>
      <c r="K391" s="30">
        <v>286.32</v>
      </c>
      <c r="L391" s="30">
        <f t="shared" si="36"/>
        <v>224.46</v>
      </c>
      <c r="M391" s="30">
        <f t="shared" si="36"/>
        <v>286.32</v>
      </c>
      <c r="N391" s="30">
        <f>ROUND('Смета ЕР (общ) '!$I391*'Смета ЕР (общ) '!$L391,2)</f>
        <v>0</v>
      </c>
      <c r="O391" s="30">
        <f>ROUND('Смета ЕР (общ) '!$I391*'Смета ЕР (общ) '!$M391,2)</f>
        <v>0</v>
      </c>
      <c r="P391" s="45" t="s">
        <v>435</v>
      </c>
      <c r="T391" s="4">
        <v>2</v>
      </c>
    </row>
    <row r="392" spans="1:20" ht="14.4" hidden="1" x14ac:dyDescent="0.3">
      <c r="A392" s="26" t="s">
        <v>279</v>
      </c>
      <c r="B392" s="26">
        <v>4</v>
      </c>
      <c r="C392" s="26">
        <v>6</v>
      </c>
      <c r="D392" s="26">
        <v>12</v>
      </c>
      <c r="E392" s="26" t="str">
        <f>CONCATENATE('Смета ЕР (общ) '!$A392,".",'Смета ЕР (общ) '!$B392,".",C392,".",'Смета ЕР (общ) '!$D392)</f>
        <v>Р3.4.6.12</v>
      </c>
      <c r="F392" s="26">
        <f t="shared" si="26"/>
        <v>1</v>
      </c>
      <c r="G392" s="27" t="s">
        <v>437</v>
      </c>
      <c r="H392" s="28" t="s">
        <v>118</v>
      </c>
      <c r="I392" s="158"/>
      <c r="J392" s="30">
        <v>224.46</v>
      </c>
      <c r="K392" s="30">
        <v>329.48</v>
      </c>
      <c r="L392" s="30">
        <f t="shared" si="36"/>
        <v>224.46</v>
      </c>
      <c r="M392" s="30">
        <f t="shared" si="36"/>
        <v>329.48</v>
      </c>
      <c r="N392" s="30">
        <f>ROUND('Смета ЕР (общ) '!$I392*'Смета ЕР (общ) '!$L392,2)</f>
        <v>0</v>
      </c>
      <c r="O392" s="30">
        <f>ROUND('Смета ЕР (общ) '!$I392*'Смета ЕР (общ) '!$M392,2)</f>
        <v>0</v>
      </c>
      <c r="P392" s="45"/>
    </row>
    <row r="393" spans="1:20" ht="14.4" hidden="1" x14ac:dyDescent="0.3">
      <c r="A393" s="71" t="s">
        <v>279</v>
      </c>
      <c r="B393" s="71">
        <v>4</v>
      </c>
      <c r="C393" s="71">
        <v>7</v>
      </c>
      <c r="D393" s="71">
        <v>0</v>
      </c>
      <c r="E393" s="71" t="str">
        <f>CONCATENATE('Смета ЕР (общ) '!$A393,".",'Смета ЕР (общ) '!$B393,".",C393,".",'Смета ЕР (общ) '!$D393)</f>
        <v>Р3.4.7.0</v>
      </c>
      <c r="F393" s="71">
        <f t="shared" si="26"/>
        <v>1</v>
      </c>
      <c r="G393" s="72" t="s">
        <v>438</v>
      </c>
      <c r="H393" s="73"/>
      <c r="I393" s="74"/>
      <c r="J393" s="75"/>
      <c r="K393" s="75"/>
      <c r="L393" s="76"/>
      <c r="M393" s="76"/>
      <c r="N393" s="76">
        <f>SUM(N394:N412)</f>
        <v>0</v>
      </c>
      <c r="O393" s="76">
        <f>SUM(O394:O412)</f>
        <v>0</v>
      </c>
      <c r="P393" s="45"/>
      <c r="T393">
        <v>363228.94</v>
      </c>
    </row>
    <row r="394" spans="1:20" ht="24" hidden="1" x14ac:dyDescent="0.3">
      <c r="A394" s="26" t="s">
        <v>279</v>
      </c>
      <c r="B394" s="26">
        <v>4</v>
      </c>
      <c r="C394" s="26">
        <v>7</v>
      </c>
      <c r="D394" s="26">
        <v>1</v>
      </c>
      <c r="E394" s="26" t="str">
        <f>CONCATENATE('Смета ЕР (общ) '!$A394,".",'Смета ЕР (общ) '!$B394,".",C394,".",'Смета ЕР (общ) '!$D394)</f>
        <v>Р3.4.7.1</v>
      </c>
      <c r="F394" s="26">
        <f t="shared" si="26"/>
        <v>1</v>
      </c>
      <c r="G394" s="27" t="s">
        <v>439</v>
      </c>
      <c r="H394" s="42" t="s">
        <v>40</v>
      </c>
      <c r="I394" s="158"/>
      <c r="J394" s="30">
        <v>2750</v>
      </c>
      <c r="K394" s="30">
        <v>16842.29</v>
      </c>
      <c r="L394" s="30">
        <f t="shared" ref="L394:M412" si="37">ROUND(J394-J394*$Q$3,2)</f>
        <v>2750</v>
      </c>
      <c r="M394" s="30">
        <f t="shared" si="37"/>
        <v>16842.29</v>
      </c>
      <c r="N394" s="30">
        <f>ROUND('Смета ЕР (общ) '!$I394*'Смета ЕР (общ) '!$L394,2)</f>
        <v>0</v>
      </c>
      <c r="O394" s="30">
        <f>ROUND('Смета ЕР (общ) '!$I394*'Смета ЕР (общ) '!$M394,2)</f>
        <v>0</v>
      </c>
      <c r="P394" s="45"/>
    </row>
    <row r="395" spans="1:20" ht="14.4" hidden="1" x14ac:dyDescent="0.3">
      <c r="A395" s="26" t="s">
        <v>279</v>
      </c>
      <c r="B395" s="26">
        <v>4</v>
      </c>
      <c r="C395" s="26">
        <v>7</v>
      </c>
      <c r="D395" s="26">
        <v>2</v>
      </c>
      <c r="E395" s="26" t="str">
        <f>CONCATENATE('Смета ЕР (общ) '!$A395,".",'Смета ЕР (общ) '!$B395,".",C395,".",'Смета ЕР (общ) '!$D395)</f>
        <v>Р3.4.7.2</v>
      </c>
      <c r="F395" s="26">
        <f t="shared" si="26"/>
        <v>1</v>
      </c>
      <c r="G395" s="27" t="s">
        <v>440</v>
      </c>
      <c r="H395" s="28" t="s">
        <v>40</v>
      </c>
      <c r="I395" s="158"/>
      <c r="J395" s="30">
        <v>2750</v>
      </c>
      <c r="K395" s="30">
        <v>15912.06</v>
      </c>
      <c r="L395" s="30">
        <f t="shared" si="37"/>
        <v>2750</v>
      </c>
      <c r="M395" s="30">
        <f t="shared" si="37"/>
        <v>15912.06</v>
      </c>
      <c r="N395" s="30">
        <f>ROUND('Смета ЕР (общ) '!$I395*'Смета ЕР (общ) '!$L395,2)</f>
        <v>0</v>
      </c>
      <c r="O395" s="30">
        <f>ROUND('Смета ЕР (общ) '!$I395*'Смета ЕР (общ) '!$M395,2)</f>
        <v>0</v>
      </c>
      <c r="P395" s="45"/>
    </row>
    <row r="396" spans="1:20" ht="24" hidden="1" x14ac:dyDescent="0.3">
      <c r="A396" s="26" t="s">
        <v>279</v>
      </c>
      <c r="B396" s="26">
        <v>4</v>
      </c>
      <c r="C396" s="26">
        <v>7</v>
      </c>
      <c r="D396" s="26">
        <v>3</v>
      </c>
      <c r="E396" s="26" t="str">
        <f>CONCATENATE('Смета ЕР (общ) '!$A396,".",'Смета ЕР (общ) '!$B396,".",C396,".",'Смета ЕР (общ) '!$D396)</f>
        <v>Р3.4.7.3</v>
      </c>
      <c r="F396" s="26">
        <f t="shared" si="26"/>
        <v>1</v>
      </c>
      <c r="G396" s="27" t="s">
        <v>441</v>
      </c>
      <c r="H396" s="28" t="s">
        <v>40</v>
      </c>
      <c r="I396" s="158"/>
      <c r="J396" s="30">
        <v>1252.8</v>
      </c>
      <c r="K396" s="30">
        <v>2151.83</v>
      </c>
      <c r="L396" s="30">
        <f t="shared" si="37"/>
        <v>1252.8</v>
      </c>
      <c r="M396" s="30">
        <f t="shared" si="37"/>
        <v>2151.83</v>
      </c>
      <c r="N396" s="30">
        <f>ROUND('Смета ЕР (общ) '!$I396*'Смета ЕР (общ) '!$L396,2)</f>
        <v>0</v>
      </c>
      <c r="O396" s="30">
        <f>ROUND('Смета ЕР (общ) '!$I396*'Смета ЕР (общ) '!$M396,2)</f>
        <v>0</v>
      </c>
      <c r="P396" s="45"/>
    </row>
    <row r="397" spans="1:20" ht="14.4" hidden="1" x14ac:dyDescent="0.3">
      <c r="A397" s="26" t="s">
        <v>279</v>
      </c>
      <c r="B397" s="26">
        <v>4</v>
      </c>
      <c r="C397" s="26">
        <v>7</v>
      </c>
      <c r="D397" s="26">
        <v>4</v>
      </c>
      <c r="E397" s="26" t="str">
        <f>CONCATENATE('Смета ЕР (общ) '!$A397,".",'Смета ЕР (общ) '!$B397,".",C397,".",'Смета ЕР (общ) '!$D397)</f>
        <v>Р3.4.7.4</v>
      </c>
      <c r="F397" s="26">
        <f t="shared" si="26"/>
        <v>1</v>
      </c>
      <c r="G397" s="27" t="s">
        <v>442</v>
      </c>
      <c r="H397" s="28" t="s">
        <v>40</v>
      </c>
      <c r="I397" s="158"/>
      <c r="J397" s="30">
        <v>220</v>
      </c>
      <c r="K397" s="30">
        <v>1993.8</v>
      </c>
      <c r="L397" s="30">
        <f t="shared" si="37"/>
        <v>220</v>
      </c>
      <c r="M397" s="30">
        <f t="shared" si="37"/>
        <v>1993.8</v>
      </c>
      <c r="N397" s="30">
        <f>ROUND('Смета ЕР (общ) '!$I397*'Смета ЕР (общ) '!$L397,2)</f>
        <v>0</v>
      </c>
      <c r="O397" s="30">
        <f>ROUND('Смета ЕР (общ) '!$I397*'Смета ЕР (общ) '!$M397,2)</f>
        <v>0</v>
      </c>
      <c r="P397" s="45"/>
    </row>
    <row r="398" spans="1:20" ht="14.4" hidden="1" x14ac:dyDescent="0.3">
      <c r="A398" s="26" t="s">
        <v>279</v>
      </c>
      <c r="B398" s="26">
        <v>4</v>
      </c>
      <c r="C398" s="26">
        <v>7</v>
      </c>
      <c r="D398" s="26">
        <v>5</v>
      </c>
      <c r="E398" s="26" t="str">
        <f>CONCATENATE('Смета ЕР (общ) '!$A398,".",'Смета ЕР (общ) '!$B398,".",C398,".",'Смета ЕР (общ) '!$D398)</f>
        <v>Р3.4.7.5</v>
      </c>
      <c r="F398" s="26">
        <f t="shared" si="26"/>
        <v>1</v>
      </c>
      <c r="G398" s="27" t="s">
        <v>443</v>
      </c>
      <c r="H398" s="28" t="s">
        <v>40</v>
      </c>
      <c r="I398" s="158"/>
      <c r="J398" s="30">
        <v>330</v>
      </c>
      <c r="K398" s="30">
        <v>1056.6099999999999</v>
      </c>
      <c r="L398" s="30">
        <f t="shared" si="37"/>
        <v>330</v>
      </c>
      <c r="M398" s="30">
        <f t="shared" si="37"/>
        <v>1056.6099999999999</v>
      </c>
      <c r="N398" s="30">
        <f>ROUND('Смета ЕР (общ) '!$I398*'Смета ЕР (общ) '!$L398,2)</f>
        <v>0</v>
      </c>
      <c r="O398" s="30">
        <f>ROUND('Смета ЕР (общ) '!$I398*'Смета ЕР (общ) '!$M398,2)</f>
        <v>0</v>
      </c>
      <c r="P398" s="45"/>
    </row>
    <row r="399" spans="1:20" ht="14.4" hidden="1" x14ac:dyDescent="0.3">
      <c r="A399" s="26" t="s">
        <v>279</v>
      </c>
      <c r="B399" s="26">
        <v>4</v>
      </c>
      <c r="C399" s="26">
        <v>7</v>
      </c>
      <c r="D399" s="26">
        <v>6</v>
      </c>
      <c r="E399" s="26" t="str">
        <f>CONCATENATE('Смета ЕР (общ) '!$A399,".",'Смета ЕР (общ) '!$B399,".",C399,".",'Смета ЕР (общ) '!$D399)</f>
        <v>Р3.4.7.6</v>
      </c>
      <c r="F399" s="26">
        <f t="shared" si="26"/>
        <v>1</v>
      </c>
      <c r="G399" s="27" t="s">
        <v>444</v>
      </c>
      <c r="H399" s="28" t="s">
        <v>147</v>
      </c>
      <c r="I399" s="158"/>
      <c r="J399" s="30">
        <v>888.25</v>
      </c>
      <c r="K399" s="30">
        <v>3845.89</v>
      </c>
      <c r="L399" s="30">
        <f t="shared" si="37"/>
        <v>888.25</v>
      </c>
      <c r="M399" s="30">
        <f t="shared" si="37"/>
        <v>3845.89</v>
      </c>
      <c r="N399" s="30">
        <f>ROUND('Смета ЕР (общ) '!$I399*'Смета ЕР (общ) '!$L399,2)</f>
        <v>0</v>
      </c>
      <c r="O399" s="30">
        <f>ROUND('Смета ЕР (общ) '!$I399*'Смета ЕР (общ) '!$M399,2)</f>
        <v>0</v>
      </c>
      <c r="P399" s="45"/>
    </row>
    <row r="400" spans="1:20" ht="14.4" hidden="1" x14ac:dyDescent="0.3">
      <c r="A400" s="26" t="s">
        <v>279</v>
      </c>
      <c r="B400" s="26">
        <v>4</v>
      </c>
      <c r="C400" s="26">
        <v>7</v>
      </c>
      <c r="D400" s="26">
        <v>7</v>
      </c>
      <c r="E400" s="26" t="str">
        <f>CONCATENATE('Смета ЕР (общ) '!$A400,".",'Смета ЕР (общ) '!$B400,".",C400,".",'Смета ЕР (общ) '!$D400)</f>
        <v>Р3.4.7.7</v>
      </c>
      <c r="F400" s="26">
        <f t="shared" si="26"/>
        <v>1</v>
      </c>
      <c r="G400" s="27" t="s">
        <v>445</v>
      </c>
      <c r="H400" s="28" t="s">
        <v>147</v>
      </c>
      <c r="I400" s="158"/>
      <c r="J400" s="30">
        <v>888.25</v>
      </c>
      <c r="K400" s="30">
        <v>4762.53</v>
      </c>
      <c r="L400" s="30">
        <f t="shared" si="37"/>
        <v>888.25</v>
      </c>
      <c r="M400" s="30">
        <f t="shared" si="37"/>
        <v>4762.53</v>
      </c>
      <c r="N400" s="30">
        <f>ROUND('Смета ЕР (общ) '!$I400*'Смета ЕР (общ) '!$L400,2)</f>
        <v>0</v>
      </c>
      <c r="O400" s="30">
        <f>ROUND('Смета ЕР (общ) '!$I400*'Смета ЕР (общ) '!$M400,2)</f>
        <v>0</v>
      </c>
      <c r="P400" s="45"/>
      <c r="T400">
        <v>20.8</v>
      </c>
    </row>
    <row r="401" spans="1:20" ht="14.4" hidden="1" x14ac:dyDescent="0.3">
      <c r="A401" s="26" t="s">
        <v>279</v>
      </c>
      <c r="B401" s="26">
        <v>4</v>
      </c>
      <c r="C401" s="26">
        <v>7</v>
      </c>
      <c r="D401" s="26">
        <v>8</v>
      </c>
      <c r="E401" s="26" t="str">
        <f>CONCATENATE('Смета ЕР (общ) '!$A401,".",'Смета ЕР (общ) '!$B401,".",C401,".",'Смета ЕР (общ) '!$D401)</f>
        <v>Р3.4.7.8</v>
      </c>
      <c r="F401" s="26">
        <f t="shared" ref="F401:F461" si="38">IF(I401&gt;0,F400+1,F400)</f>
        <v>1</v>
      </c>
      <c r="G401" s="27" t="s">
        <v>446</v>
      </c>
      <c r="H401" s="28" t="s">
        <v>118</v>
      </c>
      <c r="I401" s="158"/>
      <c r="J401" s="30">
        <v>888.25</v>
      </c>
      <c r="K401" s="30">
        <v>1395.79</v>
      </c>
      <c r="L401" s="30">
        <f t="shared" si="37"/>
        <v>888.25</v>
      </c>
      <c r="M401" s="30">
        <f t="shared" si="37"/>
        <v>1395.79</v>
      </c>
      <c r="N401" s="30">
        <f>ROUND('Смета ЕР (общ) '!$I401*'Смета ЕР (общ) '!$L401,2)</f>
        <v>0</v>
      </c>
      <c r="O401" s="30">
        <f>ROUND('Смета ЕР (общ) '!$I401*'Смета ЕР (общ) '!$M401,2)</f>
        <v>0</v>
      </c>
      <c r="P401" s="45"/>
    </row>
    <row r="402" spans="1:20" ht="14.4" hidden="1" x14ac:dyDescent="0.3">
      <c r="A402" s="26" t="s">
        <v>279</v>
      </c>
      <c r="B402" s="26">
        <v>4</v>
      </c>
      <c r="C402" s="26">
        <v>7</v>
      </c>
      <c r="D402" s="26">
        <v>9</v>
      </c>
      <c r="E402" s="26" t="str">
        <f>CONCATENATE('Смета ЕР (общ) '!$A402,".",'Смета ЕР (общ) '!$B402,".",C402,".",'Смета ЕР (общ) '!$D402)</f>
        <v>Р3.4.7.9</v>
      </c>
      <c r="F402" s="26">
        <f t="shared" si="38"/>
        <v>1</v>
      </c>
      <c r="G402" s="27" t="s">
        <v>447</v>
      </c>
      <c r="H402" s="28" t="s">
        <v>147</v>
      </c>
      <c r="I402" s="158"/>
      <c r="J402" s="30">
        <v>599.39</v>
      </c>
      <c r="K402" s="30">
        <v>363.69</v>
      </c>
      <c r="L402" s="30">
        <f t="shared" si="37"/>
        <v>599.39</v>
      </c>
      <c r="M402" s="30">
        <f t="shared" si="37"/>
        <v>363.69</v>
      </c>
      <c r="N402" s="30">
        <f>ROUND('Смета ЕР (общ) '!$I402*'Смета ЕР (общ) '!$L402,2)</f>
        <v>0</v>
      </c>
      <c r="O402" s="30">
        <f>ROUND('Смета ЕР (общ) '!$I402*'Смета ЕР (общ) '!$M402,2)</f>
        <v>0</v>
      </c>
      <c r="P402" s="45"/>
    </row>
    <row r="403" spans="1:20" ht="24" hidden="1" x14ac:dyDescent="0.3">
      <c r="A403" s="26" t="s">
        <v>279</v>
      </c>
      <c r="B403" s="26">
        <v>4</v>
      </c>
      <c r="C403" s="26">
        <v>7</v>
      </c>
      <c r="D403" s="26">
        <v>10</v>
      </c>
      <c r="E403" s="26" t="str">
        <f>CONCATENATE('Смета ЕР (общ) '!$A403,".",'Смета ЕР (общ) '!$B403,".",C403,".",'Смета ЕР (общ) '!$D403)</f>
        <v>Р3.4.7.10</v>
      </c>
      <c r="F403" s="26">
        <f t="shared" si="38"/>
        <v>1</v>
      </c>
      <c r="G403" s="27" t="s">
        <v>448</v>
      </c>
      <c r="H403" s="28" t="s">
        <v>40</v>
      </c>
      <c r="I403" s="158"/>
      <c r="J403" s="30">
        <v>2000</v>
      </c>
      <c r="K403" s="30">
        <v>4052.17</v>
      </c>
      <c r="L403" s="30">
        <f t="shared" si="37"/>
        <v>2000</v>
      </c>
      <c r="M403" s="30">
        <f t="shared" si="37"/>
        <v>4052.17</v>
      </c>
      <c r="N403" s="30">
        <f>ROUND('Смета ЕР (общ) '!$I403*'Смета ЕР (общ) '!$L403,2)</f>
        <v>0</v>
      </c>
      <c r="O403" s="30">
        <f>ROUND('Смета ЕР (общ) '!$I403*'Смета ЕР (общ) '!$M403,2)</f>
        <v>0</v>
      </c>
      <c r="P403" s="45"/>
      <c r="T403">
        <v>55.33</v>
      </c>
    </row>
    <row r="404" spans="1:20" ht="24" hidden="1" x14ac:dyDescent="0.3">
      <c r="A404" s="26" t="s">
        <v>279</v>
      </c>
      <c r="B404" s="26">
        <v>4</v>
      </c>
      <c r="C404" s="26">
        <v>7</v>
      </c>
      <c r="D404" s="26">
        <v>11</v>
      </c>
      <c r="E404" s="26" t="str">
        <f>CONCATENATE('Смета ЕР (общ) '!$A404,".",'Смета ЕР (общ) '!$B404,".",C404,".",'Смета ЕР (общ) '!$D404)</f>
        <v>Р3.4.7.11</v>
      </c>
      <c r="F404" s="26">
        <f t="shared" si="38"/>
        <v>1</v>
      </c>
      <c r="G404" s="27" t="s">
        <v>449</v>
      </c>
      <c r="H404" s="28" t="s">
        <v>40</v>
      </c>
      <c r="I404" s="158"/>
      <c r="J404" s="30">
        <v>1450</v>
      </c>
      <c r="K404" s="30">
        <v>1885.98</v>
      </c>
      <c r="L404" s="30">
        <f t="shared" si="37"/>
        <v>1450</v>
      </c>
      <c r="M404" s="30">
        <f t="shared" si="37"/>
        <v>1885.98</v>
      </c>
      <c r="N404" s="30">
        <f>ROUND('Смета ЕР (общ) '!$I404*'Смета ЕР (общ) '!$L404,2)</f>
        <v>0</v>
      </c>
      <c r="O404" s="30">
        <f>ROUND('Смета ЕР (общ) '!$I404*'Смета ЕР (общ) '!$M404,2)</f>
        <v>0</v>
      </c>
      <c r="P404" s="45"/>
      <c r="T404">
        <v>5.82</v>
      </c>
    </row>
    <row r="405" spans="1:20" ht="24" hidden="1" x14ac:dyDescent="0.3">
      <c r="A405" s="26" t="s">
        <v>279</v>
      </c>
      <c r="B405" s="26">
        <v>4</v>
      </c>
      <c r="C405" s="26">
        <v>7</v>
      </c>
      <c r="D405" s="26">
        <v>12</v>
      </c>
      <c r="E405" s="26" t="str">
        <f>CONCATENATE('Смета ЕР (общ) '!$A405,".",'Смета ЕР (общ) '!$B405,".",C405,".",'Смета ЕР (общ) '!$D405)</f>
        <v>Р3.4.7.12</v>
      </c>
      <c r="F405" s="26">
        <f t="shared" si="38"/>
        <v>1</v>
      </c>
      <c r="G405" s="27" t="s">
        <v>450</v>
      </c>
      <c r="H405" s="28" t="s">
        <v>40</v>
      </c>
      <c r="I405" s="158"/>
      <c r="J405" s="30">
        <v>1252.8</v>
      </c>
      <c r="K405" s="30">
        <v>1221.03</v>
      </c>
      <c r="L405" s="30">
        <f t="shared" si="37"/>
        <v>1252.8</v>
      </c>
      <c r="M405" s="30">
        <f t="shared" si="37"/>
        <v>1221.03</v>
      </c>
      <c r="N405" s="30">
        <f>ROUND('Смета ЕР (общ) '!$I405*'Смета ЕР (общ) '!$L405,2)</f>
        <v>0</v>
      </c>
      <c r="O405" s="30">
        <f>ROUND('Смета ЕР (общ) '!$I405*'Смета ЕР (общ) '!$M405,2)</f>
        <v>0</v>
      </c>
      <c r="P405" s="86"/>
      <c r="T405">
        <v>39</v>
      </c>
    </row>
    <row r="406" spans="1:20" ht="24" hidden="1" x14ac:dyDescent="0.3">
      <c r="A406" s="26" t="s">
        <v>279</v>
      </c>
      <c r="B406" s="26">
        <v>4</v>
      </c>
      <c r="C406" s="26">
        <v>7</v>
      </c>
      <c r="D406" s="26">
        <v>13</v>
      </c>
      <c r="E406" s="26" t="str">
        <f>CONCATENATE('Смета ЕР (общ) '!$A406,".",'Смета ЕР (общ) '!$B406,".",C406,".",'Смета ЕР (общ) '!$D406)</f>
        <v>Р3.4.7.13</v>
      </c>
      <c r="F406" s="26">
        <f t="shared" si="38"/>
        <v>1</v>
      </c>
      <c r="G406" s="27" t="s">
        <v>451</v>
      </c>
      <c r="H406" s="28" t="s">
        <v>40</v>
      </c>
      <c r="I406" s="158"/>
      <c r="J406" s="30">
        <v>1252.8</v>
      </c>
      <c r="K406" s="30">
        <v>951.29</v>
      </c>
      <c r="L406" s="30">
        <f t="shared" si="37"/>
        <v>1252.8</v>
      </c>
      <c r="M406" s="30">
        <f t="shared" si="37"/>
        <v>951.29</v>
      </c>
      <c r="N406" s="30">
        <f>ROUND('Смета ЕР (общ) '!$I406*'Смета ЕР (общ) '!$L406,2)</f>
        <v>0</v>
      </c>
      <c r="O406" s="30">
        <f>ROUND('Смета ЕР (общ) '!$I406*'Смета ЕР (общ) '!$M406,2)</f>
        <v>0</v>
      </c>
      <c r="P406" s="45"/>
    </row>
    <row r="407" spans="1:20" ht="24" hidden="1" x14ac:dyDescent="0.3">
      <c r="A407" s="46" t="s">
        <v>279</v>
      </c>
      <c r="B407" s="46">
        <v>4</v>
      </c>
      <c r="C407" s="46">
        <v>7</v>
      </c>
      <c r="D407" s="46">
        <v>14</v>
      </c>
      <c r="E407" s="46" t="str">
        <f>CONCATENATE('Смета ЕР (общ) '!$A407,".",'Смета ЕР (общ) '!$B407,".",C407,".",'Смета ЕР (общ) '!$D407)</f>
        <v>Р3.4.7.14</v>
      </c>
      <c r="F407" s="46">
        <f t="shared" si="38"/>
        <v>1</v>
      </c>
      <c r="G407" s="47" t="s">
        <v>452</v>
      </c>
      <c r="H407" s="48" t="s">
        <v>40</v>
      </c>
      <c r="I407" s="158"/>
      <c r="J407" s="30">
        <v>1252.8</v>
      </c>
      <c r="K407" s="30">
        <v>1757</v>
      </c>
      <c r="L407" s="50">
        <f t="shared" si="37"/>
        <v>1252.8</v>
      </c>
      <c r="M407" s="50">
        <f t="shared" si="37"/>
        <v>1757</v>
      </c>
      <c r="N407" s="30">
        <f>ROUND('Смета ЕР (общ) '!$I407*'Смета ЕР (общ) '!$L407,2)</f>
        <v>0</v>
      </c>
      <c r="O407" s="30">
        <f>ROUND('Смета ЕР (общ) '!$I407*'Смета ЕР (общ) '!$M407,2)</f>
        <v>0</v>
      </c>
      <c r="P407" s="86"/>
    </row>
    <row r="408" spans="1:20" ht="38.25" hidden="1" customHeight="1" x14ac:dyDescent="0.3">
      <c r="A408" s="26" t="s">
        <v>279</v>
      </c>
      <c r="B408" s="26">
        <v>4</v>
      </c>
      <c r="C408" s="26">
        <v>7</v>
      </c>
      <c r="D408" s="26">
        <v>15</v>
      </c>
      <c r="E408" s="26" t="str">
        <f>CONCATENATE('Смета ЕР (общ) '!$A408,".",'Смета ЕР (общ) '!$B408,".",C408,".",'Смета ЕР (общ) '!$D408)</f>
        <v>Р3.4.7.15</v>
      </c>
      <c r="F408" s="26">
        <f t="shared" si="38"/>
        <v>1</v>
      </c>
      <c r="G408" s="27" t="s">
        <v>453</v>
      </c>
      <c r="H408" s="28" t="s">
        <v>40</v>
      </c>
      <c r="I408" s="158"/>
      <c r="J408" s="30">
        <v>1252.8</v>
      </c>
      <c r="K408" s="30">
        <v>350</v>
      </c>
      <c r="L408" s="30">
        <f t="shared" si="37"/>
        <v>1252.8</v>
      </c>
      <c r="M408" s="30">
        <f t="shared" si="37"/>
        <v>350</v>
      </c>
      <c r="N408" s="30">
        <f>ROUND('Смета ЕР (общ) '!$I408*'Смета ЕР (общ) '!$L408,2)</f>
        <v>0</v>
      </c>
      <c r="O408" s="30">
        <f>ROUND('Смета ЕР (общ) '!$I408*'Смета ЕР (общ) '!$M408,2)</f>
        <v>0</v>
      </c>
      <c r="P408" s="45" t="s">
        <v>435</v>
      </c>
    </row>
    <row r="409" spans="1:20" ht="24" hidden="1" x14ac:dyDescent="0.3">
      <c r="A409" s="26" t="s">
        <v>279</v>
      </c>
      <c r="B409" s="26">
        <v>4</v>
      </c>
      <c r="C409" s="26">
        <v>7</v>
      </c>
      <c r="D409" s="26">
        <v>16</v>
      </c>
      <c r="E409" s="26" t="str">
        <f>CONCATENATE('Смета ЕР (общ) '!$A409,".",'Смета ЕР (общ) '!$B409,".",C409,".",'Смета ЕР (общ) '!$D409)</f>
        <v>Р3.4.7.16</v>
      </c>
      <c r="F409" s="26">
        <f t="shared" si="38"/>
        <v>1</v>
      </c>
      <c r="G409" s="27" t="s">
        <v>454</v>
      </c>
      <c r="H409" s="28" t="s">
        <v>40</v>
      </c>
      <c r="I409" s="158"/>
      <c r="J409" s="30">
        <v>1252.8</v>
      </c>
      <c r="K409" s="30">
        <v>890.47</v>
      </c>
      <c r="L409" s="30">
        <f t="shared" si="37"/>
        <v>1252.8</v>
      </c>
      <c r="M409" s="30">
        <f t="shared" si="37"/>
        <v>890.47</v>
      </c>
      <c r="N409" s="30">
        <f>ROUND('Смета ЕР (общ) '!$I409*'Смета ЕР (общ) '!$L409,2)</f>
        <v>0</v>
      </c>
      <c r="O409" s="30">
        <f>ROUND('Смета ЕР (общ) '!$I409*'Смета ЕР (общ) '!$M409,2)</f>
        <v>0</v>
      </c>
      <c r="P409" s="45"/>
    </row>
    <row r="410" spans="1:20" ht="24" hidden="1" x14ac:dyDescent="0.3">
      <c r="A410" s="26" t="s">
        <v>279</v>
      </c>
      <c r="B410" s="26">
        <v>4</v>
      </c>
      <c r="C410" s="26">
        <v>7</v>
      </c>
      <c r="D410" s="26">
        <v>17</v>
      </c>
      <c r="E410" s="26" t="str">
        <f>CONCATENATE('Смета ЕР (общ) '!$A410,".",'Смета ЕР (общ) '!$B410,".",C410,".",'Смета ЕР (общ) '!$D410)</f>
        <v>Р3.4.7.17</v>
      </c>
      <c r="F410" s="26">
        <f t="shared" si="38"/>
        <v>1</v>
      </c>
      <c r="G410" s="27" t="s">
        <v>455</v>
      </c>
      <c r="H410" s="28" t="s">
        <v>40</v>
      </c>
      <c r="I410" s="158"/>
      <c r="J410" s="30">
        <v>4384.8</v>
      </c>
      <c r="K410" s="30">
        <v>34098.629999999997</v>
      </c>
      <c r="L410" s="30">
        <f t="shared" si="37"/>
        <v>4384.8</v>
      </c>
      <c r="M410" s="30">
        <f t="shared" si="37"/>
        <v>34098.629999999997</v>
      </c>
      <c r="N410" s="30">
        <f>ROUND('Смета ЕР (общ) '!$I410*'Смета ЕР (общ) '!$L410,2)</f>
        <v>0</v>
      </c>
      <c r="O410" s="30">
        <f>ROUND('Смета ЕР (общ) '!$I410*'Смета ЕР (общ) '!$M410,2)</f>
        <v>0</v>
      </c>
      <c r="P410" s="45"/>
      <c r="T410">
        <v>40.32</v>
      </c>
    </row>
    <row r="411" spans="1:20" ht="24" hidden="1" x14ac:dyDescent="0.3">
      <c r="A411" s="26" t="s">
        <v>279</v>
      </c>
      <c r="B411" s="26">
        <v>4</v>
      </c>
      <c r="C411" s="26">
        <v>7</v>
      </c>
      <c r="D411" s="26">
        <v>18</v>
      </c>
      <c r="E411" s="26" t="str">
        <f>CONCATENATE('Смета ЕР (общ) '!$A411,".",'Смета ЕР (общ) '!$B411,".",C411,".",'Смета ЕР (общ) '!$D411)</f>
        <v>Р3.4.7.18</v>
      </c>
      <c r="F411" s="26">
        <f t="shared" si="38"/>
        <v>1</v>
      </c>
      <c r="G411" s="27" t="s">
        <v>456</v>
      </c>
      <c r="H411" s="28" t="s">
        <v>40</v>
      </c>
      <c r="I411" s="158"/>
      <c r="J411" s="30">
        <v>4384.8</v>
      </c>
      <c r="K411" s="30">
        <v>35151.47</v>
      </c>
      <c r="L411" s="30">
        <f t="shared" si="37"/>
        <v>4384.8</v>
      </c>
      <c r="M411" s="30">
        <f t="shared" si="37"/>
        <v>35151.47</v>
      </c>
      <c r="N411" s="30">
        <f>ROUND('Смета ЕР (общ) '!$I411*'Смета ЕР (общ) '!$L411,2)</f>
        <v>0</v>
      </c>
      <c r="O411" s="30">
        <f>ROUND('Смета ЕР (общ) '!$I411*'Смета ЕР (общ) '!$M411,2)</f>
        <v>0</v>
      </c>
      <c r="P411" s="45"/>
    </row>
    <row r="412" spans="1:20" ht="24" hidden="1" x14ac:dyDescent="0.3">
      <c r="A412" s="26" t="s">
        <v>279</v>
      </c>
      <c r="B412" s="26">
        <v>4</v>
      </c>
      <c r="C412" s="26">
        <v>7</v>
      </c>
      <c r="D412" s="26">
        <v>19</v>
      </c>
      <c r="E412" s="26" t="str">
        <f>CONCATENATE('Смета ЕР (общ) '!$A412,".",'Смета ЕР (общ) '!$B412,".",C412,".",'Смета ЕР (общ) '!$D412)</f>
        <v>Р3.4.7.19</v>
      </c>
      <c r="F412" s="26">
        <f t="shared" si="38"/>
        <v>1</v>
      </c>
      <c r="G412" s="27" t="s">
        <v>457</v>
      </c>
      <c r="H412" s="28" t="s">
        <v>118</v>
      </c>
      <c r="I412" s="158"/>
      <c r="J412" s="30">
        <v>3758.4</v>
      </c>
      <c r="K412" s="30">
        <v>21828.5</v>
      </c>
      <c r="L412" s="30">
        <f t="shared" si="37"/>
        <v>3758.4</v>
      </c>
      <c r="M412" s="30">
        <f t="shared" si="37"/>
        <v>21828.5</v>
      </c>
      <c r="N412" s="30">
        <f>ROUND('Смета ЕР (общ) '!$I412*'Смета ЕР (общ) '!$L412,2)</f>
        <v>0</v>
      </c>
      <c r="O412" s="30">
        <f>ROUND('Смета ЕР (общ) '!$I412*'Смета ЕР (общ) '!$M412,2)</f>
        <v>0</v>
      </c>
      <c r="P412" s="45"/>
    </row>
    <row r="413" spans="1:20" ht="14.4" hidden="1" x14ac:dyDescent="0.3">
      <c r="A413" s="37" t="s">
        <v>279</v>
      </c>
      <c r="B413" s="37">
        <v>5</v>
      </c>
      <c r="C413" s="37"/>
      <c r="D413" s="37">
        <v>0</v>
      </c>
      <c r="E413" s="37" t="str">
        <f>CONCATENATE('Смета ЕР (общ) '!$A413,".",'Смета ЕР (общ) '!$B413,".",'Смета ЕР (общ) '!$D413)</f>
        <v>Р3.5.0</v>
      </c>
      <c r="F413" s="37">
        <f t="shared" si="38"/>
        <v>1</v>
      </c>
      <c r="G413" s="38" t="s">
        <v>458</v>
      </c>
      <c r="H413" s="22"/>
      <c r="I413" s="23"/>
      <c r="J413" s="36"/>
      <c r="K413" s="36"/>
      <c r="L413" s="25"/>
      <c r="M413" s="25"/>
      <c r="N413" s="25">
        <f>SUM(N414:N446)</f>
        <v>0</v>
      </c>
      <c r="O413" s="25">
        <f>SUM(O414:O446)</f>
        <v>0</v>
      </c>
      <c r="P413" s="45"/>
      <c r="T413">
        <v>375254.66999999993</v>
      </c>
    </row>
    <row r="414" spans="1:20" ht="48" hidden="1" x14ac:dyDescent="0.3">
      <c r="A414" s="26" t="s">
        <v>279</v>
      </c>
      <c r="B414" s="26">
        <v>5</v>
      </c>
      <c r="C414" s="26"/>
      <c r="D414" s="26">
        <v>1</v>
      </c>
      <c r="E414" s="26" t="str">
        <f>CONCATENATE('Смета ЕР (общ) '!$A414,".",'Смета ЕР (общ) '!$B414,".",'Смета ЕР (общ) '!$D414)</f>
        <v>Р3.5.1</v>
      </c>
      <c r="F414" s="26">
        <f t="shared" si="38"/>
        <v>1</v>
      </c>
      <c r="G414" s="27" t="s">
        <v>459</v>
      </c>
      <c r="H414" s="42" t="s">
        <v>40</v>
      </c>
      <c r="I414" s="158"/>
      <c r="J414" s="30">
        <v>609.83000000000004</v>
      </c>
      <c r="K414" s="30">
        <v>1675.44</v>
      </c>
      <c r="L414" s="30">
        <f t="shared" ref="L414:M445" si="39">ROUND(J414-J414*$Q$3,2)</f>
        <v>609.83000000000004</v>
      </c>
      <c r="M414" s="30">
        <f t="shared" si="39"/>
        <v>1675.44</v>
      </c>
      <c r="N414" s="30">
        <f>ROUND('Смета ЕР (общ) '!$I414*'Смета ЕР (общ) '!$L414,2)</f>
        <v>0</v>
      </c>
      <c r="O414" s="30">
        <f>ROUND('Смета ЕР (общ) '!$I414*'Смета ЕР (общ) '!$M414,2)</f>
        <v>0</v>
      </c>
      <c r="P414" s="45"/>
    </row>
    <row r="415" spans="1:20" ht="48" hidden="1" x14ac:dyDescent="0.3">
      <c r="A415" s="26" t="s">
        <v>279</v>
      </c>
      <c r="B415" s="26">
        <v>5</v>
      </c>
      <c r="C415" s="26"/>
      <c r="D415" s="26">
        <v>2</v>
      </c>
      <c r="E415" s="26" t="str">
        <f>CONCATENATE('Смета ЕР (общ) '!$A415,".",'Смета ЕР (общ) '!$B415,".",'Смета ЕР (общ) '!$D415)</f>
        <v>Р3.5.2</v>
      </c>
      <c r="F415" s="26">
        <f t="shared" si="38"/>
        <v>1</v>
      </c>
      <c r="G415" s="27" t="s">
        <v>460</v>
      </c>
      <c r="H415" s="42" t="s">
        <v>40</v>
      </c>
      <c r="I415" s="158"/>
      <c r="J415" s="30">
        <v>610.70000000000005</v>
      </c>
      <c r="K415" s="30">
        <v>640.94000000000005</v>
      </c>
      <c r="L415" s="30">
        <f t="shared" si="39"/>
        <v>610.70000000000005</v>
      </c>
      <c r="M415" s="30">
        <f t="shared" si="39"/>
        <v>640.94000000000005</v>
      </c>
      <c r="N415" s="30">
        <f>ROUND('Смета ЕР (общ) '!$I415*'Смета ЕР (общ) '!$L415,2)</f>
        <v>0</v>
      </c>
      <c r="O415" s="30">
        <f>ROUND('Смета ЕР (общ) '!$I415*'Смета ЕР (общ) '!$M415,2)</f>
        <v>0</v>
      </c>
      <c r="P415" s="45"/>
    </row>
    <row r="416" spans="1:20" ht="48" hidden="1" x14ac:dyDescent="0.3">
      <c r="A416" s="82" t="s">
        <v>279</v>
      </c>
      <c r="B416" s="82">
        <v>5</v>
      </c>
      <c r="C416" s="82"/>
      <c r="D416" s="82">
        <v>39</v>
      </c>
      <c r="E416" s="82" t="str">
        <f>CONCATENATE('Смета ЕР (общ) '!$A416,".",'Смета ЕР (общ) '!$B416,".",'Смета ЕР (общ) '!$D416)</f>
        <v>Р3.5.39</v>
      </c>
      <c r="F416" s="82">
        <f t="shared" si="38"/>
        <v>1</v>
      </c>
      <c r="G416" s="83" t="s">
        <v>461</v>
      </c>
      <c r="H416" s="85" t="s">
        <v>40</v>
      </c>
      <c r="I416" s="158"/>
      <c r="J416" s="30">
        <v>611.57000000000005</v>
      </c>
      <c r="K416" s="30">
        <v>1884.09</v>
      </c>
      <c r="L416" s="30">
        <f t="shared" si="39"/>
        <v>611.57000000000005</v>
      </c>
      <c r="M416" s="30">
        <f t="shared" si="39"/>
        <v>1884.09</v>
      </c>
      <c r="N416" s="30">
        <f>ROUND('Смета ЕР (общ) '!$I416*'Смета ЕР (общ) '!$L416,2)</f>
        <v>0</v>
      </c>
      <c r="O416" s="30">
        <f>ROUND('Смета ЕР (общ) '!$I416*'Смета ЕР (общ) '!$M416,2)</f>
        <v>0</v>
      </c>
      <c r="P416" s="45"/>
    </row>
    <row r="417" spans="1:20" ht="14.4" hidden="1" x14ac:dyDescent="0.3">
      <c r="A417" s="82" t="s">
        <v>279</v>
      </c>
      <c r="B417" s="82">
        <v>5</v>
      </c>
      <c r="C417" s="82"/>
      <c r="D417" s="82">
        <v>40</v>
      </c>
      <c r="E417" s="82" t="str">
        <f>CONCATENATE('Смета ЕР (общ) '!$A417,".",'Смета ЕР (общ) '!$B417,".",'Смета ЕР (общ) '!$D417)</f>
        <v>Р3.5.40</v>
      </c>
      <c r="F417" s="82">
        <f t="shared" si="38"/>
        <v>1</v>
      </c>
      <c r="G417" s="83" t="s">
        <v>462</v>
      </c>
      <c r="H417" s="85" t="s">
        <v>40</v>
      </c>
      <c r="I417" s="158"/>
      <c r="J417" s="30">
        <v>326.25</v>
      </c>
      <c r="K417" s="30">
        <v>1558.66</v>
      </c>
      <c r="L417" s="30">
        <f t="shared" si="39"/>
        <v>326.25</v>
      </c>
      <c r="M417" s="30">
        <f t="shared" si="39"/>
        <v>1558.66</v>
      </c>
      <c r="N417" s="30">
        <f>ROUND('Смета ЕР (общ) '!$I417*'Смета ЕР (общ) '!$L417,2)</f>
        <v>0</v>
      </c>
      <c r="O417" s="30">
        <f>ROUND('Смета ЕР (общ) '!$I417*'Смета ЕР (общ) '!$M417,2)</f>
        <v>0</v>
      </c>
      <c r="P417" s="45"/>
    </row>
    <row r="418" spans="1:20" ht="24" hidden="1" x14ac:dyDescent="0.3">
      <c r="A418" s="26" t="s">
        <v>279</v>
      </c>
      <c r="B418" s="26">
        <v>5</v>
      </c>
      <c r="C418" s="26"/>
      <c r="D418" s="26">
        <v>3</v>
      </c>
      <c r="E418" s="26" t="str">
        <f>CONCATENATE('Смета ЕР (общ) '!$A418,".",'Смета ЕР (общ) '!$B418,".",'Смета ЕР (общ) '!$D418)</f>
        <v>Р3.5.3</v>
      </c>
      <c r="F418" s="26">
        <f t="shared" si="38"/>
        <v>1</v>
      </c>
      <c r="G418" s="27" t="s">
        <v>463</v>
      </c>
      <c r="H418" s="42" t="s">
        <v>40</v>
      </c>
      <c r="I418" s="158"/>
      <c r="J418" s="30">
        <v>1934.0099999999998</v>
      </c>
      <c r="K418" s="30">
        <v>690.28899999999999</v>
      </c>
      <c r="L418" s="30">
        <f t="shared" si="39"/>
        <v>1934.01</v>
      </c>
      <c r="M418" s="30">
        <f t="shared" si="39"/>
        <v>690.29</v>
      </c>
      <c r="N418" s="30">
        <f>ROUND('Смета ЕР (общ) '!$I418*'Смета ЕР (общ) '!$L418,2)</f>
        <v>0</v>
      </c>
      <c r="O418" s="30">
        <f>ROUND('Смета ЕР (общ) '!$I418*'Смета ЕР (общ) '!$M418,2)</f>
        <v>0</v>
      </c>
      <c r="P418" s="45"/>
      <c r="T418">
        <v>50.91</v>
      </c>
    </row>
    <row r="419" spans="1:20" ht="24" hidden="1" x14ac:dyDescent="0.3">
      <c r="A419" s="26" t="s">
        <v>279</v>
      </c>
      <c r="B419" s="26">
        <v>5</v>
      </c>
      <c r="C419" s="26"/>
      <c r="D419" s="26">
        <v>4</v>
      </c>
      <c r="E419" s="26" t="str">
        <f>CONCATENATE('Смета ЕР (общ) '!$A419,".",'Смета ЕР (общ) '!$B419,".",'Смета ЕР (общ) '!$D419)</f>
        <v>Р3.5.4</v>
      </c>
      <c r="F419" s="26">
        <f t="shared" si="38"/>
        <v>1</v>
      </c>
      <c r="G419" s="27" t="s">
        <v>464</v>
      </c>
      <c r="H419" s="42" t="s">
        <v>40</v>
      </c>
      <c r="I419" s="158"/>
      <c r="J419" s="30">
        <v>2035.8</v>
      </c>
      <c r="K419" s="30">
        <v>919.57150000000001</v>
      </c>
      <c r="L419" s="30">
        <f t="shared" si="39"/>
        <v>2035.8</v>
      </c>
      <c r="M419" s="30">
        <f t="shared" si="39"/>
        <v>919.57</v>
      </c>
      <c r="N419" s="30">
        <f>ROUND('Смета ЕР (общ) '!$I419*'Смета ЕР (общ) '!$L419,2)</f>
        <v>0</v>
      </c>
      <c r="O419" s="30">
        <f>ROUND('Смета ЕР (общ) '!$I419*'Смета ЕР (общ) '!$M419,2)</f>
        <v>0</v>
      </c>
      <c r="P419" s="45"/>
      <c r="T419">
        <v>13.2</v>
      </c>
    </row>
    <row r="420" spans="1:20" ht="36" hidden="1" x14ac:dyDescent="0.3">
      <c r="A420" s="26" t="s">
        <v>279</v>
      </c>
      <c r="B420" s="26">
        <v>5</v>
      </c>
      <c r="C420" s="26"/>
      <c r="D420" s="26">
        <v>5</v>
      </c>
      <c r="E420" s="26" t="str">
        <f>CONCATENATE('Смета ЕР (общ) '!$A420,".",'Смета ЕР (общ) '!$B420,".",'Смета ЕР (общ) '!$D420)</f>
        <v>Р3.5.5</v>
      </c>
      <c r="F420" s="26">
        <f t="shared" si="38"/>
        <v>1</v>
      </c>
      <c r="G420" s="27" t="s">
        <v>465</v>
      </c>
      <c r="H420" s="42" t="s">
        <v>40</v>
      </c>
      <c r="I420" s="158"/>
      <c r="J420" s="30">
        <v>2035.8</v>
      </c>
      <c r="K420" s="30">
        <v>726.62</v>
      </c>
      <c r="L420" s="30">
        <f t="shared" si="39"/>
        <v>2035.8</v>
      </c>
      <c r="M420" s="30">
        <f t="shared" si="39"/>
        <v>726.62</v>
      </c>
      <c r="N420" s="30">
        <f>ROUND('Смета ЕР (общ) '!$I420*'Смета ЕР (общ) '!$L420,2)</f>
        <v>0</v>
      </c>
      <c r="O420" s="30">
        <f>ROUND('Смета ЕР (общ) '!$I420*'Смета ЕР (общ) '!$M420,2)</f>
        <v>0</v>
      </c>
      <c r="P420" s="45"/>
    </row>
    <row r="421" spans="1:20" ht="24" hidden="1" x14ac:dyDescent="0.3">
      <c r="A421" s="26" t="s">
        <v>279</v>
      </c>
      <c r="B421" s="26">
        <v>5</v>
      </c>
      <c r="C421" s="26"/>
      <c r="D421" s="26">
        <v>6</v>
      </c>
      <c r="E421" s="26" t="str">
        <f>CONCATENATE('Смета ЕР (общ) '!$A421,".",'Смета ЕР (общ) '!$B421,".",'Смета ЕР (общ) '!$D421)</f>
        <v>Р3.5.6</v>
      </c>
      <c r="F421" s="26">
        <f t="shared" si="38"/>
        <v>1</v>
      </c>
      <c r="G421" s="27" t="s">
        <v>466</v>
      </c>
      <c r="H421" s="28" t="s">
        <v>40</v>
      </c>
      <c r="I421" s="158"/>
      <c r="J421" s="30">
        <v>660</v>
      </c>
      <c r="K421" s="30">
        <v>2198.38</v>
      </c>
      <c r="L421" s="30">
        <f t="shared" si="39"/>
        <v>660</v>
      </c>
      <c r="M421" s="30">
        <f t="shared" si="39"/>
        <v>2198.38</v>
      </c>
      <c r="N421" s="30">
        <f>ROUND('Смета ЕР (общ) '!$I421*'Смета ЕР (общ) '!$L421,2)</f>
        <v>0</v>
      </c>
      <c r="O421" s="30">
        <f>ROUND('Смета ЕР (общ) '!$I421*'Смета ЕР (общ) '!$M421,2)</f>
        <v>0</v>
      </c>
      <c r="P421" s="45"/>
    </row>
    <row r="422" spans="1:20" ht="24" hidden="1" x14ac:dyDescent="0.3">
      <c r="A422" s="26" t="s">
        <v>279</v>
      </c>
      <c r="B422" s="26">
        <v>5</v>
      </c>
      <c r="C422" s="26"/>
      <c r="D422" s="26">
        <v>17</v>
      </c>
      <c r="E422" s="26" t="str">
        <f>CONCATENATE('Смета ЕР (общ) '!$A422,".",'Смета ЕР (общ) '!$B422,".",'Смета ЕР (общ) '!$D422)</f>
        <v>Р3.5.17</v>
      </c>
      <c r="F422" s="26">
        <f t="shared" si="38"/>
        <v>1</v>
      </c>
      <c r="G422" s="27" t="s">
        <v>467</v>
      </c>
      <c r="H422" s="42" t="s">
        <v>40</v>
      </c>
      <c r="I422" s="158"/>
      <c r="J422" s="30">
        <v>660</v>
      </c>
      <c r="K422" s="30">
        <v>4271.45</v>
      </c>
      <c r="L422" s="30">
        <f t="shared" si="39"/>
        <v>660</v>
      </c>
      <c r="M422" s="30">
        <f t="shared" si="39"/>
        <v>4271.45</v>
      </c>
      <c r="N422" s="30">
        <f>ROUND('Смета ЕР (общ) '!$I422*'Смета ЕР (общ) '!$L422,2)</f>
        <v>0</v>
      </c>
      <c r="O422" s="30">
        <f>ROUND('Смета ЕР (общ) '!$I422*'Смета ЕР (общ) '!$M422,2)</f>
        <v>0</v>
      </c>
      <c r="P422" s="45"/>
    </row>
    <row r="423" spans="1:20" ht="24" hidden="1" x14ac:dyDescent="0.3">
      <c r="A423" s="26" t="s">
        <v>279</v>
      </c>
      <c r="B423" s="26">
        <v>5</v>
      </c>
      <c r="C423" s="26"/>
      <c r="D423" s="26">
        <v>18</v>
      </c>
      <c r="E423" s="26" t="str">
        <f>CONCATENATE('Смета ЕР (общ) '!$A423,".",'Смета ЕР (общ) '!$B423,".",'Смета ЕР (общ) '!$D423)</f>
        <v>Р3.5.18</v>
      </c>
      <c r="F423" s="26">
        <f t="shared" si="38"/>
        <v>1</v>
      </c>
      <c r="G423" s="27" t="s">
        <v>468</v>
      </c>
      <c r="H423" s="42" t="s">
        <v>40</v>
      </c>
      <c r="I423" s="158"/>
      <c r="J423" s="30">
        <v>660</v>
      </c>
      <c r="K423" s="30">
        <v>2676.78</v>
      </c>
      <c r="L423" s="30">
        <f t="shared" si="39"/>
        <v>660</v>
      </c>
      <c r="M423" s="30">
        <f t="shared" si="39"/>
        <v>2676.78</v>
      </c>
      <c r="N423" s="30">
        <f>ROUND('Смета ЕР (общ) '!$I423*'Смета ЕР (общ) '!$L423,2)</f>
        <v>0</v>
      </c>
      <c r="O423" s="30">
        <f>ROUND('Смета ЕР (общ) '!$I423*'Смета ЕР (общ) '!$M423,2)</f>
        <v>0</v>
      </c>
      <c r="P423" s="45"/>
    </row>
    <row r="424" spans="1:20" ht="24" hidden="1" x14ac:dyDescent="0.3">
      <c r="A424" s="26" t="s">
        <v>279</v>
      </c>
      <c r="B424" s="26">
        <v>5</v>
      </c>
      <c r="C424" s="26"/>
      <c r="D424" s="26">
        <v>19</v>
      </c>
      <c r="E424" s="26" t="str">
        <f>CONCATENATE('Смета ЕР (общ) '!$A424,".",'Смета ЕР (общ) '!$B424,".",'Смета ЕР (общ) '!$D424)</f>
        <v>Р3.5.19</v>
      </c>
      <c r="F424" s="26">
        <f t="shared" si="38"/>
        <v>1</v>
      </c>
      <c r="G424" s="27" t="s">
        <v>469</v>
      </c>
      <c r="H424" s="28" t="s">
        <v>40</v>
      </c>
      <c r="I424" s="158"/>
      <c r="J424" s="30">
        <v>660</v>
      </c>
      <c r="K424" s="30">
        <v>5188.37</v>
      </c>
      <c r="L424" s="30">
        <f t="shared" si="39"/>
        <v>660</v>
      </c>
      <c r="M424" s="30">
        <f t="shared" si="39"/>
        <v>5188.37</v>
      </c>
      <c r="N424" s="30">
        <f>ROUND('Смета ЕР (общ) '!$I424*'Смета ЕР (общ) '!$L424,2)</f>
        <v>0</v>
      </c>
      <c r="O424" s="30">
        <f>ROUND('Смета ЕР (общ) '!$I424*'Смета ЕР (общ) '!$M424,2)</f>
        <v>0</v>
      </c>
      <c r="P424" s="45"/>
    </row>
    <row r="425" spans="1:20" ht="14.4" hidden="1" x14ac:dyDescent="0.3">
      <c r="A425" s="46" t="s">
        <v>279</v>
      </c>
      <c r="B425" s="46">
        <v>5</v>
      </c>
      <c r="C425" s="46"/>
      <c r="D425" s="46">
        <v>20</v>
      </c>
      <c r="E425" s="46" t="str">
        <f>CONCATENATE('Смета ЕР (общ) '!$A425,".",'Смета ЕР (общ) '!$B425,".",'Смета ЕР (общ) '!$D425)</f>
        <v>Р3.5.20</v>
      </c>
      <c r="F425" s="46">
        <f t="shared" si="38"/>
        <v>1</v>
      </c>
      <c r="G425" s="47" t="s">
        <v>470</v>
      </c>
      <c r="H425" s="48" t="s">
        <v>40</v>
      </c>
      <c r="I425" s="158"/>
      <c r="J425" s="30">
        <v>890.14</v>
      </c>
      <c r="K425" s="30">
        <v>6055.84</v>
      </c>
      <c r="L425" s="50">
        <f t="shared" si="39"/>
        <v>890.14</v>
      </c>
      <c r="M425" s="50">
        <f t="shared" si="39"/>
        <v>6055.84</v>
      </c>
      <c r="N425" s="50">
        <f>ROUND('Смета ЕР (общ) '!$I425*'Смета ЕР (общ) '!$L425,2)</f>
        <v>0</v>
      </c>
      <c r="O425" s="50">
        <f>ROUND('Смета ЕР (общ) '!$I425*'Смета ЕР (общ) '!$M425,2)</f>
        <v>0</v>
      </c>
      <c r="P425" s="86"/>
    </row>
    <row r="426" spans="1:20" ht="36" hidden="1" x14ac:dyDescent="0.3">
      <c r="A426" s="46" t="s">
        <v>279</v>
      </c>
      <c r="B426" s="46">
        <v>5</v>
      </c>
      <c r="C426" s="46"/>
      <c r="D426" s="46">
        <v>21</v>
      </c>
      <c r="E426" s="46" t="str">
        <f>CONCATENATE('Смета ЕР (общ) '!$A426,".",'Смета ЕР (общ) '!$B426,".",'Смета ЕР (общ) '!$D426)</f>
        <v>Р3.5.21</v>
      </c>
      <c r="F426" s="46">
        <f t="shared" si="38"/>
        <v>1</v>
      </c>
      <c r="G426" s="47" t="s">
        <v>471</v>
      </c>
      <c r="H426" s="60" t="s">
        <v>40</v>
      </c>
      <c r="I426" s="158"/>
      <c r="J426" s="30">
        <v>2035.8</v>
      </c>
      <c r="K426" s="30">
        <v>4123.09</v>
      </c>
      <c r="L426" s="50">
        <f t="shared" si="39"/>
        <v>2035.8</v>
      </c>
      <c r="M426" s="50">
        <f t="shared" si="39"/>
        <v>4123.09</v>
      </c>
      <c r="N426" s="50">
        <f>ROUND('Смета ЕР (общ) '!$I426*'Смета ЕР (общ) '!$L426,2)</f>
        <v>0</v>
      </c>
      <c r="O426" s="50">
        <f>ROUND('Смета ЕР (общ) '!$I426*'Смета ЕР (общ) '!$M426,2)</f>
        <v>0</v>
      </c>
      <c r="P426" s="86"/>
    </row>
    <row r="427" spans="1:20" ht="14.4" hidden="1" x14ac:dyDescent="0.3">
      <c r="A427" s="46" t="s">
        <v>279</v>
      </c>
      <c r="B427" s="46">
        <v>5</v>
      </c>
      <c r="C427" s="46"/>
      <c r="D427" s="46">
        <v>22</v>
      </c>
      <c r="E427" s="46" t="str">
        <f>CONCATENATE('Смета ЕР (общ) '!$A427,".",'Смета ЕР (общ) '!$B427,".",'Смета ЕР (общ) '!$D427)</f>
        <v>Р3.5.22</v>
      </c>
      <c r="F427" s="46">
        <f t="shared" si="38"/>
        <v>1</v>
      </c>
      <c r="G427" s="47" t="s">
        <v>472</v>
      </c>
      <c r="H427" s="48" t="s">
        <v>40</v>
      </c>
      <c r="I427" s="158"/>
      <c r="J427" s="30">
        <v>2239.38</v>
      </c>
      <c r="K427" s="30">
        <v>9243.75</v>
      </c>
      <c r="L427" s="50">
        <f t="shared" si="39"/>
        <v>2239.38</v>
      </c>
      <c r="M427" s="50">
        <f t="shared" si="39"/>
        <v>9243.75</v>
      </c>
      <c r="N427" s="50">
        <f>ROUND('Смета ЕР (общ) '!$I427*'Смета ЕР (общ) '!$L427,2)</f>
        <v>0</v>
      </c>
      <c r="O427" s="50">
        <f>ROUND('Смета ЕР (общ) '!$I427*'Смета ЕР (общ) '!$M427,2)</f>
        <v>0</v>
      </c>
      <c r="P427" s="86"/>
    </row>
    <row r="428" spans="1:20" ht="14.4" hidden="1" x14ac:dyDescent="0.3">
      <c r="A428" s="26" t="s">
        <v>279</v>
      </c>
      <c r="B428" s="26">
        <v>5</v>
      </c>
      <c r="C428" s="26"/>
      <c r="D428" s="26">
        <v>7</v>
      </c>
      <c r="E428" s="26" t="str">
        <f>CONCATENATE('Смета ЕР (общ) '!$A428,".",'Смета ЕР (общ) '!$B428,".",'Смета ЕР (общ) '!$D428)</f>
        <v>Р3.5.7</v>
      </c>
      <c r="F428" s="26">
        <f t="shared" si="38"/>
        <v>1</v>
      </c>
      <c r="G428" s="27" t="s">
        <v>473</v>
      </c>
      <c r="H428" s="42" t="s">
        <v>40</v>
      </c>
      <c r="I428" s="158"/>
      <c r="J428" s="30">
        <v>622.01</v>
      </c>
      <c r="K428" s="30">
        <v>241.58</v>
      </c>
      <c r="L428" s="30">
        <f t="shared" si="39"/>
        <v>622.01</v>
      </c>
      <c r="M428" s="30">
        <f t="shared" si="39"/>
        <v>241.58</v>
      </c>
      <c r="N428" s="30">
        <f>ROUND('Смета ЕР (общ) '!$I428*'Смета ЕР (общ) '!$L428,2)</f>
        <v>0</v>
      </c>
      <c r="O428" s="30">
        <f>ROUND('Смета ЕР (общ) '!$I428*'Смета ЕР (общ) '!$M428,2)</f>
        <v>0</v>
      </c>
      <c r="P428" s="45"/>
    </row>
    <row r="429" spans="1:20" ht="24" hidden="1" x14ac:dyDescent="0.3">
      <c r="A429" s="26" t="s">
        <v>279</v>
      </c>
      <c r="B429" s="26">
        <v>5</v>
      </c>
      <c r="C429" s="26"/>
      <c r="D429" s="26">
        <v>23</v>
      </c>
      <c r="E429" s="26" t="str">
        <f>CONCATENATE('Смета ЕР (общ) '!$A429,".",'Смета ЕР (общ) '!$B429,".",'Смета ЕР (общ) '!$D429)</f>
        <v>Р3.5.23</v>
      </c>
      <c r="F429" s="26">
        <f t="shared" si="38"/>
        <v>1</v>
      </c>
      <c r="G429" s="27" t="s">
        <v>474</v>
      </c>
      <c r="H429" s="42" t="s">
        <v>40</v>
      </c>
      <c r="I429" s="158"/>
      <c r="J429" s="30">
        <v>2035.8</v>
      </c>
      <c r="K429" s="30">
        <v>841.47</v>
      </c>
      <c r="L429" s="30">
        <f t="shared" si="39"/>
        <v>2035.8</v>
      </c>
      <c r="M429" s="30">
        <f t="shared" si="39"/>
        <v>841.47</v>
      </c>
      <c r="N429" s="30">
        <f>ROUND('Смета ЕР (общ) '!$I429*'Смета ЕР (общ) '!$L429,2)</f>
        <v>0</v>
      </c>
      <c r="O429" s="30">
        <f>ROUND('Смета ЕР (общ) '!$I429*'Смета ЕР (общ) '!$M429,2)</f>
        <v>0</v>
      </c>
      <c r="P429" s="45"/>
    </row>
    <row r="430" spans="1:20" ht="14.4" hidden="1" x14ac:dyDescent="0.3">
      <c r="A430" s="26" t="s">
        <v>279</v>
      </c>
      <c r="B430" s="26">
        <v>5</v>
      </c>
      <c r="C430" s="26"/>
      <c r="D430" s="26">
        <v>8</v>
      </c>
      <c r="E430" s="26" t="str">
        <f>CONCATENATE('Смета ЕР (общ) '!$A430,".",'Смета ЕР (общ) '!$B430,".",'Смета ЕР (общ) '!$D430)</f>
        <v>Р3.5.8</v>
      </c>
      <c r="F430" s="26">
        <f t="shared" si="38"/>
        <v>1</v>
      </c>
      <c r="G430" s="27" t="s">
        <v>475</v>
      </c>
      <c r="H430" s="42" t="s">
        <v>40</v>
      </c>
      <c r="I430" s="158"/>
      <c r="J430" s="30">
        <v>1196.25</v>
      </c>
      <c r="K430" s="30">
        <v>432.43</v>
      </c>
      <c r="L430" s="30">
        <f t="shared" si="39"/>
        <v>1196.25</v>
      </c>
      <c r="M430" s="30">
        <f t="shared" si="39"/>
        <v>432.43</v>
      </c>
      <c r="N430" s="30">
        <f>ROUND('Смета ЕР (общ) '!$I430*'Смета ЕР (общ) '!$L430,2)</f>
        <v>0</v>
      </c>
      <c r="O430" s="30">
        <f>ROUND('Смета ЕР (общ) '!$I430*'Смета ЕР (общ) '!$M430,2)</f>
        <v>0</v>
      </c>
      <c r="P430" s="45"/>
    </row>
    <row r="431" spans="1:20" ht="30" hidden="1" customHeight="1" x14ac:dyDescent="0.3">
      <c r="A431" s="26" t="s">
        <v>279</v>
      </c>
      <c r="B431" s="26">
        <v>5</v>
      </c>
      <c r="C431" s="26"/>
      <c r="D431" s="26">
        <v>9</v>
      </c>
      <c r="E431" s="26" t="str">
        <f>CONCATENATE('Смета ЕР (общ) '!$A431,".",'Смета ЕР (общ) '!$B431,".",'Смета ЕР (общ) '!$D431)</f>
        <v>Р3.5.9</v>
      </c>
      <c r="F431" s="26">
        <f t="shared" si="38"/>
        <v>1</v>
      </c>
      <c r="G431" s="27" t="s">
        <v>476</v>
      </c>
      <c r="H431" s="42" t="s">
        <v>40</v>
      </c>
      <c r="I431" s="158"/>
      <c r="J431" s="30">
        <v>134.85</v>
      </c>
      <c r="K431" s="30">
        <v>857.22</v>
      </c>
      <c r="L431" s="30">
        <f t="shared" si="39"/>
        <v>134.85</v>
      </c>
      <c r="M431" s="30">
        <f t="shared" si="39"/>
        <v>857.22</v>
      </c>
      <c r="N431" s="30">
        <f>ROUND('Смета ЕР (общ) '!$I431*'Смета ЕР (общ) '!$L431,2)</f>
        <v>0</v>
      </c>
      <c r="O431" s="30">
        <f>ROUND('Смета ЕР (общ) '!$I431*'Смета ЕР (общ) '!$M431,2)</f>
        <v>0</v>
      </c>
      <c r="P431" s="45" t="s">
        <v>477</v>
      </c>
    </row>
    <row r="432" spans="1:20" ht="14.4" hidden="1" x14ac:dyDescent="0.3">
      <c r="A432" s="26" t="s">
        <v>279</v>
      </c>
      <c r="B432" s="26">
        <v>5</v>
      </c>
      <c r="C432" s="26"/>
      <c r="D432" s="26">
        <v>10</v>
      </c>
      <c r="E432" s="26" t="str">
        <f>CONCATENATE('Смета ЕР (общ) '!$A432,".",'Смета ЕР (общ) '!$B432,".",'Смета ЕР (общ) '!$D432)</f>
        <v>Р3.5.10</v>
      </c>
      <c r="F432" s="26">
        <f t="shared" si="38"/>
        <v>1</v>
      </c>
      <c r="G432" s="27" t="s">
        <v>478</v>
      </c>
      <c r="H432" s="42" t="s">
        <v>40</v>
      </c>
      <c r="I432" s="158"/>
      <c r="J432" s="30">
        <v>625.49</v>
      </c>
      <c r="K432" s="30">
        <v>374.4</v>
      </c>
      <c r="L432" s="30">
        <f t="shared" si="39"/>
        <v>625.49</v>
      </c>
      <c r="M432" s="30">
        <f t="shared" si="39"/>
        <v>374.4</v>
      </c>
      <c r="N432" s="30">
        <f>ROUND('Смета ЕР (общ) '!$I432*'Смета ЕР (общ) '!$L432,2)</f>
        <v>0</v>
      </c>
      <c r="O432" s="30">
        <f>ROUND('Смета ЕР (общ) '!$I432*'Смета ЕР (общ) '!$M432,2)</f>
        <v>0</v>
      </c>
      <c r="P432" s="45"/>
      <c r="T432">
        <v>64.11</v>
      </c>
    </row>
    <row r="433" spans="1:20" ht="14.4" hidden="1" x14ac:dyDescent="0.3">
      <c r="A433" s="26" t="s">
        <v>279</v>
      </c>
      <c r="B433" s="26">
        <v>5</v>
      </c>
      <c r="C433" s="26"/>
      <c r="D433" s="26">
        <v>11</v>
      </c>
      <c r="E433" s="26" t="str">
        <f>CONCATENATE('Смета ЕР (общ) '!$A433,".",'Смета ЕР (общ) '!$B433,".",'Смета ЕР (общ) '!$D433)</f>
        <v>Р3.5.11</v>
      </c>
      <c r="F433" s="26">
        <f t="shared" si="38"/>
        <v>1</v>
      </c>
      <c r="G433" s="27" t="s">
        <v>479</v>
      </c>
      <c r="H433" s="42" t="s">
        <v>40</v>
      </c>
      <c r="I433" s="158"/>
      <c r="J433" s="30">
        <v>105.33</v>
      </c>
      <c r="K433" s="87">
        <v>50</v>
      </c>
      <c r="L433" s="30">
        <f t="shared" si="39"/>
        <v>105.33</v>
      </c>
      <c r="M433" s="30">
        <f t="shared" si="39"/>
        <v>50</v>
      </c>
      <c r="N433" s="30">
        <f>ROUND('Смета ЕР (общ) '!$I433*'Смета ЕР (общ) '!$L433,2)</f>
        <v>0</v>
      </c>
      <c r="O433" s="30">
        <f>ROUND('Смета ЕР (общ) '!$I433*'Смета ЕР (общ) '!$M433,2)</f>
        <v>0</v>
      </c>
      <c r="P433" s="45"/>
      <c r="T433">
        <v>64.11</v>
      </c>
    </row>
    <row r="434" spans="1:20" ht="14.4" hidden="1" x14ac:dyDescent="0.3">
      <c r="A434" s="26" t="s">
        <v>279</v>
      </c>
      <c r="B434" s="26">
        <v>5</v>
      </c>
      <c r="C434" s="26"/>
      <c r="D434" s="26">
        <v>12</v>
      </c>
      <c r="E434" s="26" t="str">
        <f>CONCATENATE('Смета ЕР (общ) '!$A434,".",'Смета ЕР (общ) '!$B434,".",'Смета ЕР (общ) '!$D434)</f>
        <v>Р3.5.12</v>
      </c>
      <c r="F434" s="26">
        <f t="shared" si="38"/>
        <v>1</v>
      </c>
      <c r="G434" s="27" t="s">
        <v>480</v>
      </c>
      <c r="H434" s="42" t="s">
        <v>40</v>
      </c>
      <c r="I434" s="158"/>
      <c r="J434" s="30">
        <v>232</v>
      </c>
      <c r="K434" s="30">
        <v>88.55</v>
      </c>
      <c r="L434" s="30">
        <f t="shared" si="39"/>
        <v>232</v>
      </c>
      <c r="M434" s="30">
        <f t="shared" si="39"/>
        <v>88.55</v>
      </c>
      <c r="N434" s="30">
        <f>ROUND('Смета ЕР (общ) '!$I434*'Смета ЕР (общ) '!$L434,2)</f>
        <v>0</v>
      </c>
      <c r="O434" s="30">
        <f>ROUND('Смета ЕР (общ) '!$I434*'Смета ЕР (общ) '!$M434,2)</f>
        <v>0</v>
      </c>
      <c r="P434" s="45"/>
      <c r="T434">
        <v>64.11</v>
      </c>
    </row>
    <row r="435" spans="1:20" ht="14.4" hidden="1" x14ac:dyDescent="0.3">
      <c r="A435" s="26" t="s">
        <v>279</v>
      </c>
      <c r="B435" s="26">
        <v>5</v>
      </c>
      <c r="C435" s="26"/>
      <c r="D435" s="26">
        <v>13</v>
      </c>
      <c r="E435" s="26" t="str">
        <f>CONCATENATE('Смета ЕР (общ) '!$A435,".",'Смета ЕР (общ) '!$B435,".",'Смета ЕР (общ) '!$D435)</f>
        <v>Р3.5.13</v>
      </c>
      <c r="F435" s="26">
        <f t="shared" si="38"/>
        <v>1</v>
      </c>
      <c r="G435" s="27" t="s">
        <v>481</v>
      </c>
      <c r="H435" s="42" t="s">
        <v>40</v>
      </c>
      <c r="I435" s="158"/>
      <c r="J435" s="30">
        <v>393.67</v>
      </c>
      <c r="K435" s="30">
        <v>420</v>
      </c>
      <c r="L435" s="30">
        <f t="shared" si="39"/>
        <v>393.67</v>
      </c>
      <c r="M435" s="30">
        <f t="shared" si="39"/>
        <v>420</v>
      </c>
      <c r="N435" s="30">
        <f>ROUND('Смета ЕР (общ) '!$I435*'Смета ЕР (общ) '!$L435,2)</f>
        <v>0</v>
      </c>
      <c r="O435" s="30">
        <f>ROUND('Смета ЕР (общ) '!$I435*'Смета ЕР (общ) '!$M435,2)</f>
        <v>0</v>
      </c>
      <c r="P435" s="45"/>
      <c r="T435">
        <v>64.11</v>
      </c>
    </row>
    <row r="436" spans="1:20" ht="24" hidden="1" x14ac:dyDescent="0.3">
      <c r="A436" s="26" t="s">
        <v>279</v>
      </c>
      <c r="B436" s="26">
        <v>5</v>
      </c>
      <c r="C436" s="26"/>
      <c r="D436" s="26">
        <v>16</v>
      </c>
      <c r="E436" s="26" t="str">
        <f>CONCATENATE('Смета ЕР (общ) '!$A436,".",'Смета ЕР (общ) '!$B436,".",'Смета ЕР (общ) '!$D436)</f>
        <v>Р3.5.16</v>
      </c>
      <c r="F436" s="26">
        <f t="shared" si="38"/>
        <v>1</v>
      </c>
      <c r="G436" s="27" t="s">
        <v>482</v>
      </c>
      <c r="H436" s="42" t="s">
        <v>40</v>
      </c>
      <c r="I436" s="158"/>
      <c r="J436" s="30">
        <v>393.67</v>
      </c>
      <c r="K436" s="30">
        <v>420</v>
      </c>
      <c r="L436" s="30">
        <f t="shared" si="39"/>
        <v>393.67</v>
      </c>
      <c r="M436" s="30">
        <f t="shared" si="39"/>
        <v>420</v>
      </c>
      <c r="N436" s="30">
        <f>ROUND('Смета ЕР (общ) '!$I436*'Смета ЕР (общ) '!$L436,2)</f>
        <v>0</v>
      </c>
      <c r="O436" s="30">
        <f>ROUND('Смета ЕР (общ) '!$I436*'Смета ЕР (общ) '!$M436,2)</f>
        <v>0</v>
      </c>
      <c r="P436" s="45"/>
    </row>
    <row r="437" spans="1:20" ht="24" hidden="1" x14ac:dyDescent="0.3">
      <c r="A437" s="26" t="s">
        <v>279</v>
      </c>
      <c r="B437" s="26">
        <v>5</v>
      </c>
      <c r="C437" s="26"/>
      <c r="D437" s="26">
        <v>24</v>
      </c>
      <c r="E437" s="26" t="str">
        <f>CONCATENATE('Смета ЕР (общ) '!$A437,".",'Смета ЕР (общ) '!$B437,".",'Смета ЕР (общ) '!$D437)</f>
        <v>Р3.5.24</v>
      </c>
      <c r="F437" s="26">
        <f t="shared" si="38"/>
        <v>1</v>
      </c>
      <c r="G437" s="27" t="s">
        <v>483</v>
      </c>
      <c r="H437" s="28" t="s">
        <v>118</v>
      </c>
      <c r="I437" s="158"/>
      <c r="J437" s="30">
        <v>1480.74</v>
      </c>
      <c r="K437" s="30">
        <f>'[14]Акустические потолки'!G7*1.05</f>
        <v>16745.295000000002</v>
      </c>
      <c r="L437" s="30">
        <f t="shared" si="39"/>
        <v>1480.74</v>
      </c>
      <c r="M437" s="54">
        <f>K437</f>
        <v>16745.295000000002</v>
      </c>
      <c r="N437" s="30">
        <f>ROUND('Смета ЕР (общ) '!$I437*'Смета ЕР (общ) '!$L437,2)</f>
        <v>0</v>
      </c>
      <c r="O437" s="30">
        <f>ROUND('Смета ЕР (общ) '!$I437*'Смета ЕР (общ) '!$M437,2)</f>
        <v>0</v>
      </c>
      <c r="P437" s="57" t="s">
        <v>484</v>
      </c>
      <c r="Q437" s="56"/>
      <c r="T437">
        <v>1</v>
      </c>
    </row>
    <row r="438" spans="1:20" ht="24" hidden="1" x14ac:dyDescent="0.3">
      <c r="A438" s="26" t="s">
        <v>279</v>
      </c>
      <c r="B438" s="26">
        <v>5</v>
      </c>
      <c r="C438" s="26"/>
      <c r="D438" s="26">
        <v>25</v>
      </c>
      <c r="E438" s="26" t="str">
        <f>CONCATENATE('Смета ЕР (общ) '!$A438,".",'Смета ЕР (общ) '!$B438,".",'Смета ЕР (общ) '!$D438)</f>
        <v>Р3.5.25</v>
      </c>
      <c r="F438" s="26">
        <f t="shared" si="38"/>
        <v>1</v>
      </c>
      <c r="G438" s="27" t="s">
        <v>485</v>
      </c>
      <c r="H438" s="28" t="s">
        <v>118</v>
      </c>
      <c r="I438" s="158"/>
      <c r="J438" s="30">
        <v>1480.74</v>
      </c>
      <c r="K438" s="30">
        <f>'[14]Акустические потолки'!G8*1.05</f>
        <v>10488.135000000002</v>
      </c>
      <c r="L438" s="30">
        <f t="shared" si="39"/>
        <v>1480.74</v>
      </c>
      <c r="M438" s="54">
        <f>K438</f>
        <v>10488.135000000002</v>
      </c>
      <c r="N438" s="30">
        <f>ROUND('Смета ЕР (общ) '!$I438*'Смета ЕР (общ) '!$L438,2)</f>
        <v>0</v>
      </c>
      <c r="O438" s="30">
        <f>ROUND('Смета ЕР (общ) '!$I438*'Смета ЕР (общ) '!$M438,2)</f>
        <v>0</v>
      </c>
      <c r="P438" s="57" t="s">
        <v>484</v>
      </c>
      <c r="Q438" s="56"/>
      <c r="T438">
        <v>1</v>
      </c>
    </row>
    <row r="439" spans="1:20" ht="24" hidden="1" x14ac:dyDescent="0.3">
      <c r="A439" s="88" t="s">
        <v>279</v>
      </c>
      <c r="B439" s="88">
        <v>5</v>
      </c>
      <c r="C439" s="88"/>
      <c r="D439" s="88">
        <v>26</v>
      </c>
      <c r="E439" s="88" t="str">
        <f>CONCATENATE('Смета ЕР (общ) '!$A439,".",'Смета ЕР (общ) '!$B439,".",'Смета ЕР (общ) '!$D439)</f>
        <v>Р3.5.26</v>
      </c>
      <c r="F439" s="88">
        <f t="shared" si="38"/>
        <v>1</v>
      </c>
      <c r="G439" s="89" t="s">
        <v>486</v>
      </c>
      <c r="H439" s="28" t="s">
        <v>118</v>
      </c>
      <c r="I439" s="165"/>
      <c r="J439" s="30">
        <v>1480.74</v>
      </c>
      <c r="K439" s="30">
        <f>'[14]Акустические потолки'!G9*1.05</f>
        <v>10488.135000000002</v>
      </c>
      <c r="L439" s="30">
        <f t="shared" si="39"/>
        <v>1480.74</v>
      </c>
      <c r="M439" s="54">
        <f>K439</f>
        <v>10488.135000000002</v>
      </c>
      <c r="N439" s="30">
        <f>ROUND('Смета ЕР (общ) '!$I439*'Смета ЕР (общ) '!$L439,2)</f>
        <v>0</v>
      </c>
      <c r="O439" s="30">
        <f>ROUND('Смета ЕР (общ) '!$I439*'Смета ЕР (общ) '!$M439,2)</f>
        <v>0</v>
      </c>
      <c r="P439" s="57" t="s">
        <v>484</v>
      </c>
      <c r="Q439" s="56"/>
      <c r="T439">
        <v>1</v>
      </c>
    </row>
    <row r="440" spans="1:20" ht="24" hidden="1" x14ac:dyDescent="0.3">
      <c r="A440" s="88" t="s">
        <v>279</v>
      </c>
      <c r="B440" s="88">
        <v>5</v>
      </c>
      <c r="C440" s="88"/>
      <c r="D440" s="88">
        <v>27</v>
      </c>
      <c r="E440" s="88" t="str">
        <f>CONCATENATE('Смета ЕР (общ) '!$A440,".",'Смета ЕР (общ) '!$B440,".",'Смета ЕР (общ) '!$D440)</f>
        <v>Р3.5.27</v>
      </c>
      <c r="F440" s="88">
        <f t="shared" si="38"/>
        <v>1</v>
      </c>
      <c r="G440" s="89" t="s">
        <v>487</v>
      </c>
      <c r="H440" s="28" t="s">
        <v>118</v>
      </c>
      <c r="I440" s="165"/>
      <c r="J440" s="30">
        <v>1378.95</v>
      </c>
      <c r="K440" s="30">
        <f>'[14]Акустические потолки'!G10*1.05</f>
        <v>10488.135000000002</v>
      </c>
      <c r="L440" s="30">
        <f t="shared" si="39"/>
        <v>1378.95</v>
      </c>
      <c r="M440" s="54">
        <f>K440</f>
        <v>10488.135000000002</v>
      </c>
      <c r="N440" s="30">
        <f>ROUND('Смета ЕР (общ) '!$I440*'Смета ЕР (общ) '!$L440,2)</f>
        <v>0</v>
      </c>
      <c r="O440" s="30">
        <f>ROUND('Смета ЕР (общ) '!$I440*'Смета ЕР (общ) '!$M440,2)</f>
        <v>0</v>
      </c>
      <c r="P440" s="57" t="s">
        <v>484</v>
      </c>
      <c r="Q440" s="56"/>
      <c r="T440">
        <v>1</v>
      </c>
    </row>
    <row r="441" spans="1:20" ht="24" hidden="1" x14ac:dyDescent="0.3">
      <c r="A441" s="88" t="s">
        <v>279</v>
      </c>
      <c r="B441" s="88">
        <v>5</v>
      </c>
      <c r="C441" s="88"/>
      <c r="D441" s="88">
        <v>31</v>
      </c>
      <c r="E441" s="88" t="str">
        <f>CONCATENATE('Смета ЕР (общ) '!$A441,".",'Смета ЕР (общ) '!$B441,".",'Смета ЕР (общ) '!$D441)</f>
        <v>Р3.5.31</v>
      </c>
      <c r="F441" s="88">
        <f t="shared" si="38"/>
        <v>1</v>
      </c>
      <c r="G441" s="89" t="s">
        <v>488</v>
      </c>
      <c r="H441" s="28" t="s">
        <v>118</v>
      </c>
      <c r="I441" s="165"/>
      <c r="J441" s="30">
        <v>1378.95</v>
      </c>
      <c r="K441" s="30">
        <f>'[14]Акустические потолки'!G11*1.05</f>
        <v>3646.86</v>
      </c>
      <c r="L441" s="30">
        <f t="shared" si="39"/>
        <v>1378.95</v>
      </c>
      <c r="M441" s="54">
        <f>K441</f>
        <v>3646.86</v>
      </c>
      <c r="N441" s="30">
        <f>ROUND('Смета ЕР (общ) '!$I441*'Смета ЕР (общ) '!$L441,2)</f>
        <v>0</v>
      </c>
      <c r="O441" s="30">
        <f>ROUND('Смета ЕР (общ) '!$I441*'Смета ЕР (общ) '!$M441,2)</f>
        <v>0</v>
      </c>
      <c r="P441" s="57" t="s">
        <v>484</v>
      </c>
      <c r="Q441" s="56"/>
    </row>
    <row r="442" spans="1:20" ht="24" hidden="1" x14ac:dyDescent="0.3">
      <c r="A442" s="26" t="s">
        <v>279</v>
      </c>
      <c r="B442" s="26">
        <v>5</v>
      </c>
      <c r="C442" s="26"/>
      <c r="D442" s="26">
        <v>29</v>
      </c>
      <c r="E442" s="26" t="str">
        <f>CONCATENATE('Смета ЕР (общ) '!$A442,".",'Смета ЕР (общ) '!$B442,".",'Смета ЕР (общ) '!$D442)</f>
        <v>Р3.5.29</v>
      </c>
      <c r="F442" s="88">
        <f t="shared" si="38"/>
        <v>1</v>
      </c>
      <c r="G442" s="27" t="s">
        <v>489</v>
      </c>
      <c r="H442" s="42" t="s">
        <v>40</v>
      </c>
      <c r="I442" s="158"/>
      <c r="J442" s="30">
        <v>217.5</v>
      </c>
      <c r="K442" s="30">
        <v>80.11</v>
      </c>
      <c r="L442" s="30">
        <f t="shared" si="39"/>
        <v>217.5</v>
      </c>
      <c r="M442" s="30">
        <f t="shared" si="39"/>
        <v>80.11</v>
      </c>
      <c r="N442" s="30">
        <f>ROUND('Смета ЕР (общ) '!$I442*'Смета ЕР (общ) '!$L442,2)</f>
        <v>0</v>
      </c>
      <c r="O442" s="30">
        <f>ROUND('Смета ЕР (общ) '!$I442*'Смета ЕР (общ) '!$M442,2)</f>
        <v>0</v>
      </c>
      <c r="P442" s="45"/>
      <c r="T442">
        <v>214</v>
      </c>
    </row>
    <row r="443" spans="1:20" ht="36" hidden="1" x14ac:dyDescent="0.3">
      <c r="A443" s="26" t="s">
        <v>279</v>
      </c>
      <c r="B443" s="26">
        <v>5</v>
      </c>
      <c r="C443" s="26"/>
      <c r="D443" s="26">
        <v>30</v>
      </c>
      <c r="E443" s="26" t="str">
        <f>CONCATENATE('Смета ЕР (общ) '!$A443,".",'Смета ЕР (общ) '!$B443,".",'Смета ЕР (общ) '!$D443)</f>
        <v>Р3.5.30</v>
      </c>
      <c r="F443" s="26">
        <f t="shared" si="38"/>
        <v>1</v>
      </c>
      <c r="G443" s="27" t="s">
        <v>490</v>
      </c>
      <c r="H443" s="42" t="s">
        <v>40</v>
      </c>
      <c r="I443" s="158"/>
      <c r="J443" s="30">
        <v>516.78</v>
      </c>
      <c r="K443" s="30">
        <v>308.33999999999997</v>
      </c>
      <c r="L443" s="30">
        <f t="shared" si="39"/>
        <v>516.78</v>
      </c>
      <c r="M443" s="30">
        <f t="shared" si="39"/>
        <v>308.33999999999997</v>
      </c>
      <c r="N443" s="30">
        <f>ROUND('Смета ЕР (общ) '!$I443*'Смета ЕР (общ) '!$L443,2)</f>
        <v>0</v>
      </c>
      <c r="O443" s="30">
        <f>ROUND('Смета ЕР (общ) '!$I443*'Смета ЕР (общ) '!$M443,2)</f>
        <v>0</v>
      </c>
      <c r="P443" s="45"/>
      <c r="T443">
        <v>214</v>
      </c>
    </row>
    <row r="444" spans="1:20" ht="24" hidden="1" x14ac:dyDescent="0.3">
      <c r="A444" s="26" t="s">
        <v>279</v>
      </c>
      <c r="B444" s="26">
        <v>5</v>
      </c>
      <c r="C444" s="26"/>
      <c r="D444" s="26">
        <v>14</v>
      </c>
      <c r="E444" s="26" t="str">
        <f>CONCATENATE('Смета ЕР (общ) '!$A444,".",'Смета ЕР (общ) '!$B444,".",'Смета ЕР (общ) '!$D444)</f>
        <v>Р3.5.14</v>
      </c>
      <c r="F444" s="26">
        <f t="shared" si="38"/>
        <v>1</v>
      </c>
      <c r="G444" s="41" t="s">
        <v>491</v>
      </c>
      <c r="H444" s="42" t="s">
        <v>40</v>
      </c>
      <c r="I444" s="158"/>
      <c r="J444" s="30">
        <v>1581.22</v>
      </c>
      <c r="K444" s="30">
        <v>7422.19</v>
      </c>
      <c r="L444" s="30">
        <f t="shared" si="39"/>
        <v>1581.22</v>
      </c>
      <c r="M444" s="30">
        <f t="shared" si="39"/>
        <v>7422.19</v>
      </c>
      <c r="N444" s="30">
        <f>ROUND('Смета ЕР (общ) '!$I444*'Смета ЕР (общ) '!$L444,2)</f>
        <v>0</v>
      </c>
      <c r="O444" s="30">
        <f>ROUND('Смета ЕР (общ) '!$I444*'Смета ЕР (общ) '!$M444,2)</f>
        <v>0</v>
      </c>
      <c r="P444" s="45"/>
    </row>
    <row r="445" spans="1:20" ht="14.4" hidden="1" x14ac:dyDescent="0.3">
      <c r="A445" s="26" t="s">
        <v>279</v>
      </c>
      <c r="B445" s="26">
        <v>5</v>
      </c>
      <c r="C445" s="26"/>
      <c r="D445" s="26">
        <v>15</v>
      </c>
      <c r="E445" s="26" t="str">
        <f>CONCATENATE('Смета ЕР (общ) '!$A445,".",'Смета ЕР (общ) '!$B445,".",'Смета ЕР (общ) '!$D445)</f>
        <v>Р3.5.15</v>
      </c>
      <c r="F445" s="26">
        <f t="shared" si="38"/>
        <v>1</v>
      </c>
      <c r="G445" s="41" t="s">
        <v>492</v>
      </c>
      <c r="H445" s="42" t="s">
        <v>40</v>
      </c>
      <c r="I445" s="158"/>
      <c r="J445" s="30">
        <v>221.85</v>
      </c>
      <c r="K445" s="30">
        <v>1541.53</v>
      </c>
      <c r="L445" s="30">
        <f t="shared" si="39"/>
        <v>221.85</v>
      </c>
      <c r="M445" s="30">
        <f t="shared" si="39"/>
        <v>1541.53</v>
      </c>
      <c r="N445" s="30">
        <f>ROUND('Смета ЕР (общ) '!$I445*'Смета ЕР (общ) '!$L445,2)</f>
        <v>0</v>
      </c>
      <c r="O445" s="30">
        <f>ROUND('Смета ЕР (общ) '!$I445*'Смета ЕР (общ) '!$M445,2)</f>
        <v>0</v>
      </c>
      <c r="P445" s="45"/>
    </row>
    <row r="446" spans="1:20" ht="14.4" hidden="1" x14ac:dyDescent="0.3">
      <c r="A446" s="26" t="s">
        <v>279</v>
      </c>
      <c r="B446" s="26">
        <v>5</v>
      </c>
      <c r="C446" s="26"/>
      <c r="D446" s="26">
        <v>28</v>
      </c>
      <c r="E446" s="26" t="str">
        <f>CONCATENATE('Смета ЕР (общ) '!$A446,".",'Смета ЕР (общ) '!$B446,".",'Смета ЕР (общ) '!$D446)</f>
        <v>Р3.5.28</v>
      </c>
      <c r="F446" s="26">
        <f t="shared" si="38"/>
        <v>1</v>
      </c>
      <c r="G446" s="41" t="s">
        <v>493</v>
      </c>
      <c r="H446" s="42" t="s">
        <v>147</v>
      </c>
      <c r="I446" s="158"/>
      <c r="J446" s="30">
        <v>302.08999999999997</v>
      </c>
      <c r="K446" s="30">
        <v>469.66</v>
      </c>
      <c r="L446" s="30">
        <f t="shared" ref="L446:M446" si="40">ROUND(J446-J446*$Q$3,2)</f>
        <v>302.08999999999997</v>
      </c>
      <c r="M446" s="30">
        <f t="shared" si="40"/>
        <v>469.66</v>
      </c>
      <c r="N446" s="30">
        <f>ROUND('Смета ЕР (общ) '!$I446*'Смета ЕР (общ) '!$L446,2)</f>
        <v>0</v>
      </c>
      <c r="O446" s="30">
        <f>ROUND('Смета ЕР (общ) '!$I446*'Смета ЕР (общ) '!$M446,2)</f>
        <v>0</v>
      </c>
      <c r="P446" s="45"/>
    </row>
    <row r="447" spans="1:20" ht="34.950000000000003" customHeight="1" x14ac:dyDescent="0.3">
      <c r="A447" s="37" t="s">
        <v>279</v>
      </c>
      <c r="B447" s="37">
        <v>6</v>
      </c>
      <c r="C447" s="37">
        <v>0</v>
      </c>
      <c r="D447" s="37">
        <v>0</v>
      </c>
      <c r="E447" s="37" t="str">
        <f>CONCATENATE('Смета ЕР (общ) '!$A447,".",'Смета ЕР (общ) '!$B447,".",C447,".",'Смета ЕР (общ) '!$D447)</f>
        <v>Р3.6.0.0</v>
      </c>
      <c r="F447" s="37">
        <f t="shared" si="38"/>
        <v>1</v>
      </c>
      <c r="G447" s="38" t="s">
        <v>494</v>
      </c>
      <c r="H447" s="22"/>
      <c r="I447" s="23">
        <f>N447</f>
        <v>0</v>
      </c>
      <c r="J447" s="36"/>
      <c r="K447" s="36"/>
      <c r="L447" s="90"/>
      <c r="M447" s="90"/>
      <c r="N447" s="90">
        <f>ROUND(N448+N478,2)</f>
        <v>0</v>
      </c>
      <c r="O447" s="90">
        <f>ROUND(O448+O478,2)</f>
        <v>0</v>
      </c>
      <c r="P447" s="25"/>
      <c r="T447">
        <v>970186.16</v>
      </c>
    </row>
    <row r="448" spans="1:20" ht="34.950000000000003" customHeight="1" x14ac:dyDescent="0.3">
      <c r="A448" s="77" t="s">
        <v>279</v>
      </c>
      <c r="B448" s="77">
        <v>6</v>
      </c>
      <c r="C448" s="77">
        <v>1</v>
      </c>
      <c r="D448" s="77">
        <v>0</v>
      </c>
      <c r="E448" s="77" t="str">
        <f>CONCATENATE('Смета ЕР (общ) '!$A448,".",'Смета ЕР (общ) '!$B448,".",C448,".",'Смета ЕР (общ) '!$D448)</f>
        <v>Р3.6.1.0</v>
      </c>
      <c r="F448" s="77">
        <f t="shared" si="38"/>
        <v>1</v>
      </c>
      <c r="G448" s="81" t="s">
        <v>495</v>
      </c>
      <c r="H448" s="84"/>
      <c r="I448" s="74">
        <f>N448</f>
        <v>0</v>
      </c>
      <c r="J448" s="75"/>
      <c r="K448" s="75"/>
      <c r="L448" s="80"/>
      <c r="M448" s="80"/>
      <c r="N448" s="80">
        <f>ROUND(SUM(N449:N477),2)</f>
        <v>0</v>
      </c>
      <c r="O448" s="80">
        <f>ROUND(SUM(O449:O477),2)</f>
        <v>0</v>
      </c>
      <c r="P448" s="80"/>
      <c r="T448">
        <v>219220.15</v>
      </c>
    </row>
    <row r="449" spans="1:20" ht="14.4" hidden="1" x14ac:dyDescent="0.3">
      <c r="A449" s="82" t="s">
        <v>279</v>
      </c>
      <c r="B449" s="82">
        <v>6</v>
      </c>
      <c r="C449" s="82">
        <v>1</v>
      </c>
      <c r="D449" s="82">
        <v>1</v>
      </c>
      <c r="E449" s="82" t="str">
        <f>CONCATENATE('Смета ЕР (общ) '!$A449,".",'Смета ЕР (общ) '!$B449,".",C449,".",'Смета ЕР (общ) '!$D449)</f>
        <v>Р3.6.1.1</v>
      </c>
      <c r="F449" s="82">
        <f t="shared" si="38"/>
        <v>1</v>
      </c>
      <c r="G449" s="83" t="s">
        <v>496</v>
      </c>
      <c r="H449" s="28" t="s">
        <v>144</v>
      </c>
      <c r="I449" s="158"/>
      <c r="J449" s="30">
        <v>1306.25</v>
      </c>
      <c r="K449" s="30">
        <v>4008.65</v>
      </c>
      <c r="L449" s="30">
        <f t="shared" ref="L449:M477" si="41">ROUND(J449-J449*$Q$3,2)</f>
        <v>1306.25</v>
      </c>
      <c r="M449" s="30">
        <f t="shared" si="41"/>
        <v>4008.65</v>
      </c>
      <c r="N449" s="30">
        <f>ROUND('Смета ЕР (общ) '!$I449*'Смета ЕР (общ) '!$L449,2)</f>
        <v>0</v>
      </c>
      <c r="O449" s="30">
        <f>ROUND('Смета ЕР (общ) '!$I449*'Смета ЕР (общ) '!$M449,2)</f>
        <v>0</v>
      </c>
      <c r="P449" s="91"/>
    </row>
    <row r="450" spans="1:20" ht="24" hidden="1" x14ac:dyDescent="0.3">
      <c r="A450" s="26" t="s">
        <v>279</v>
      </c>
      <c r="B450" s="26">
        <v>6</v>
      </c>
      <c r="C450" s="26">
        <v>1</v>
      </c>
      <c r="D450" s="26">
        <v>2</v>
      </c>
      <c r="E450" s="26" t="str">
        <f>CONCATENATE('Смета ЕР (общ) '!$A450,".",'Смета ЕР (общ) '!$B450,".",C450,".",'Смета ЕР (общ) '!$D450)</f>
        <v>Р3.6.1.2</v>
      </c>
      <c r="F450" s="26">
        <f t="shared" si="38"/>
        <v>1</v>
      </c>
      <c r="G450" s="27" t="s">
        <v>497</v>
      </c>
      <c r="H450" s="42" t="s">
        <v>40</v>
      </c>
      <c r="I450" s="158"/>
      <c r="J450" s="30">
        <v>652.5</v>
      </c>
      <c r="K450" s="30">
        <v>163.28</v>
      </c>
      <c r="L450" s="30">
        <f t="shared" si="41"/>
        <v>652.5</v>
      </c>
      <c r="M450" s="30">
        <f t="shared" si="41"/>
        <v>163.28</v>
      </c>
      <c r="N450" s="30">
        <f>ROUND('Смета ЕР (общ) '!$I450*'Смета ЕР (общ) '!$L450,2)</f>
        <v>0</v>
      </c>
      <c r="O450" s="30">
        <f>ROUND('Смета ЕР (общ) '!$I450*'Смета ЕР (общ) '!$M450,2)</f>
        <v>0</v>
      </c>
      <c r="P450" s="45"/>
    </row>
    <row r="451" spans="1:20" ht="24" hidden="1" x14ac:dyDescent="0.3">
      <c r="A451" s="82" t="s">
        <v>279</v>
      </c>
      <c r="B451" s="82">
        <v>6</v>
      </c>
      <c r="C451" s="82">
        <v>1</v>
      </c>
      <c r="D451" s="82">
        <v>3</v>
      </c>
      <c r="E451" s="82" t="str">
        <f>CONCATENATE('Смета ЕР (общ) '!$A451,".",'Смета ЕР (общ) '!$B451,".",C451,".",'Смета ЕР (общ) '!$D451)</f>
        <v>Р3.6.1.3</v>
      </c>
      <c r="F451" s="82">
        <f t="shared" si="38"/>
        <v>1</v>
      </c>
      <c r="G451" s="83" t="s">
        <v>498</v>
      </c>
      <c r="H451" s="85" t="s">
        <v>40</v>
      </c>
      <c r="I451" s="158"/>
      <c r="J451" s="30">
        <v>761.25</v>
      </c>
      <c r="K451" s="30">
        <v>443.73</v>
      </c>
      <c r="L451" s="30">
        <f t="shared" si="41"/>
        <v>761.25</v>
      </c>
      <c r="M451" s="30">
        <f t="shared" si="41"/>
        <v>443.73</v>
      </c>
      <c r="N451" s="30">
        <f>ROUND('Смета ЕР (общ) '!$I451*'Смета ЕР (общ) '!$L451,2)</f>
        <v>0</v>
      </c>
      <c r="O451" s="30">
        <f>ROUND('Смета ЕР (общ) '!$I451*'Смета ЕР (общ) '!$M451,2)</f>
        <v>0</v>
      </c>
      <c r="P451" s="45"/>
      <c r="T451">
        <v>214</v>
      </c>
    </row>
    <row r="452" spans="1:20" ht="14.4" hidden="1" x14ac:dyDescent="0.3">
      <c r="A452" s="26" t="s">
        <v>279</v>
      </c>
      <c r="B452" s="26">
        <v>6</v>
      </c>
      <c r="C452" s="26">
        <v>1</v>
      </c>
      <c r="D452" s="26">
        <v>4</v>
      </c>
      <c r="E452" s="26" t="str">
        <f>CONCATENATE('Смета ЕР (общ) '!$A452,".",'Смета ЕР (общ) '!$B452,".",C452,".",'Смета ЕР (общ) '!$D452)</f>
        <v>Р3.6.1.4</v>
      </c>
      <c r="F452" s="26">
        <f t="shared" si="38"/>
        <v>1</v>
      </c>
      <c r="G452" s="27" t="s">
        <v>499</v>
      </c>
      <c r="H452" s="42" t="s">
        <v>40</v>
      </c>
      <c r="I452" s="158"/>
      <c r="J452" s="30">
        <v>634.67999999999995</v>
      </c>
      <c r="K452" s="30">
        <v>389.37</v>
      </c>
      <c r="L452" s="30">
        <f t="shared" si="41"/>
        <v>634.67999999999995</v>
      </c>
      <c r="M452" s="30">
        <f t="shared" si="41"/>
        <v>389.37</v>
      </c>
      <c r="N452" s="30">
        <f>ROUND('Смета ЕР (общ) '!$I452*'Смета ЕР (общ) '!$L452,2)</f>
        <v>0</v>
      </c>
      <c r="O452" s="30">
        <f>ROUND('Смета ЕР (общ) '!$I452*'Смета ЕР (общ) '!$M452,2)</f>
        <v>0</v>
      </c>
      <c r="P452" s="45"/>
    </row>
    <row r="453" spans="1:20" ht="14.4" hidden="1" x14ac:dyDescent="0.3">
      <c r="A453" s="26" t="s">
        <v>279</v>
      </c>
      <c r="B453" s="26">
        <v>6</v>
      </c>
      <c r="C453" s="26">
        <v>1</v>
      </c>
      <c r="D453" s="26">
        <v>5</v>
      </c>
      <c r="E453" s="26" t="str">
        <f>CONCATENATE('Смета ЕР (общ) '!$A453,".",'Смета ЕР (общ) '!$B453,".",C453,".",'Смета ЕР (общ) '!$D453)</f>
        <v>Р3.6.1.5</v>
      </c>
      <c r="F453" s="26">
        <f t="shared" si="38"/>
        <v>1</v>
      </c>
      <c r="G453" s="27" t="s">
        <v>500</v>
      </c>
      <c r="H453" s="28" t="s">
        <v>40</v>
      </c>
      <c r="I453" s="158"/>
      <c r="J453" s="30">
        <v>172.26</v>
      </c>
      <c r="K453" s="30">
        <v>210</v>
      </c>
      <c r="L453" s="30">
        <f t="shared" si="41"/>
        <v>172.26</v>
      </c>
      <c r="M453" s="30">
        <f t="shared" si="41"/>
        <v>210</v>
      </c>
      <c r="N453" s="30">
        <f>ROUND('Смета ЕР (общ) '!$I453*'Смета ЕР (общ) '!$L453,2)</f>
        <v>0</v>
      </c>
      <c r="O453" s="30">
        <f>ROUND('Смета ЕР (общ) '!$I453*'Смета ЕР (общ) '!$M453,2)</f>
        <v>0</v>
      </c>
      <c r="P453" s="45"/>
    </row>
    <row r="454" spans="1:20" ht="14.4" hidden="1" x14ac:dyDescent="0.3">
      <c r="A454" s="26" t="s">
        <v>279</v>
      </c>
      <c r="B454" s="26">
        <v>6</v>
      </c>
      <c r="C454" s="26">
        <v>1</v>
      </c>
      <c r="D454" s="26">
        <v>6</v>
      </c>
      <c r="E454" s="26" t="str">
        <f>CONCATENATE('Смета ЕР (общ) '!$A454,".",'Смета ЕР (общ) '!$B454,".",C454,".",'Смета ЕР (общ) '!$D454)</f>
        <v>Р3.6.1.6</v>
      </c>
      <c r="F454" s="26">
        <f t="shared" si="38"/>
        <v>1</v>
      </c>
      <c r="G454" s="27" t="s">
        <v>501</v>
      </c>
      <c r="H454" s="28" t="s">
        <v>40</v>
      </c>
      <c r="I454" s="158"/>
      <c r="J454" s="30">
        <v>65.25</v>
      </c>
      <c r="K454" s="30">
        <v>50</v>
      </c>
      <c r="L454" s="30">
        <f t="shared" si="41"/>
        <v>65.25</v>
      </c>
      <c r="M454" s="30">
        <f t="shared" si="41"/>
        <v>50</v>
      </c>
      <c r="N454" s="30">
        <f>ROUND('Смета ЕР (общ) '!$I454*'Смета ЕР (общ) '!$L454,2)</f>
        <v>0</v>
      </c>
      <c r="O454" s="30">
        <f>ROUND('Смета ЕР (общ) '!$I454*'Смета ЕР (общ) '!$M454,2)</f>
        <v>0</v>
      </c>
      <c r="P454" s="45"/>
      <c r="T454">
        <v>214</v>
      </c>
    </row>
    <row r="455" spans="1:20" ht="14.4" hidden="1" x14ac:dyDescent="0.3">
      <c r="A455" s="26" t="s">
        <v>279</v>
      </c>
      <c r="B455" s="26">
        <v>6</v>
      </c>
      <c r="C455" s="26">
        <v>1</v>
      </c>
      <c r="D455" s="26">
        <v>7</v>
      </c>
      <c r="E455" s="26" t="str">
        <f>CONCATENATE('Смета ЕР (общ) '!$A455,".",'Смета ЕР (общ) '!$B455,".",C455,".",'Смета ЕР (общ) '!$D455)</f>
        <v>Р3.6.1.7</v>
      </c>
      <c r="F455" s="26">
        <f t="shared" si="38"/>
        <v>1</v>
      </c>
      <c r="G455" s="27" t="s">
        <v>502</v>
      </c>
      <c r="H455" s="28" t="s">
        <v>40</v>
      </c>
      <c r="I455" s="158"/>
      <c r="J455" s="30">
        <v>81.430000000000007</v>
      </c>
      <c r="K455" s="30">
        <v>52.35</v>
      </c>
      <c r="L455" s="30">
        <f t="shared" si="41"/>
        <v>81.430000000000007</v>
      </c>
      <c r="M455" s="30">
        <f t="shared" si="41"/>
        <v>52.35</v>
      </c>
      <c r="N455" s="30">
        <f>ROUND('Смета ЕР (общ) '!$I455*'Смета ЕР (общ) '!$L455,2)</f>
        <v>0</v>
      </c>
      <c r="O455" s="30">
        <f>ROUND('Смета ЕР (общ) '!$I455*'Смета ЕР (общ) '!$M455,2)</f>
        <v>0</v>
      </c>
      <c r="P455" s="45"/>
      <c r="T455">
        <v>214</v>
      </c>
    </row>
    <row r="456" spans="1:20" ht="96" x14ac:dyDescent="0.3">
      <c r="A456" s="26" t="s">
        <v>279</v>
      </c>
      <c r="B456" s="26"/>
      <c r="C456" s="26"/>
      <c r="D456" s="26"/>
      <c r="E456" s="26"/>
      <c r="F456" s="26">
        <f t="shared" si="38"/>
        <v>2</v>
      </c>
      <c r="G456" s="27" t="s">
        <v>1746</v>
      </c>
      <c r="H456" s="28" t="s">
        <v>40</v>
      </c>
      <c r="I456" s="177">
        <v>0.36</v>
      </c>
      <c r="J456" s="34"/>
      <c r="K456" s="34"/>
      <c r="L456" s="30">
        <f t="shared" si="41"/>
        <v>0</v>
      </c>
      <c r="M456" s="30">
        <f t="shared" si="41"/>
        <v>0</v>
      </c>
      <c r="N456" s="30">
        <f>ROUND('Смета ЕР (общ) '!$I456*'Смета ЕР (общ) '!$L456,2)</f>
        <v>0</v>
      </c>
      <c r="O456" s="30">
        <f>ROUND('Смета ЕР (общ) '!$I456*'Смета ЕР (общ) '!$M456,2)</f>
        <v>0</v>
      </c>
      <c r="P456" s="45"/>
    </row>
    <row r="457" spans="1:20" ht="96" x14ac:dyDescent="0.3">
      <c r="A457" s="26" t="s">
        <v>279</v>
      </c>
      <c r="B457" s="26"/>
      <c r="C457" s="26"/>
      <c r="D457" s="26"/>
      <c r="E457" s="26"/>
      <c r="F457" s="26">
        <f t="shared" si="38"/>
        <v>3</v>
      </c>
      <c r="G457" s="27" t="s">
        <v>1747</v>
      </c>
      <c r="H457" s="28" t="s">
        <v>40</v>
      </c>
      <c r="I457" s="177">
        <v>3.5200000000000005</v>
      </c>
      <c r="J457" s="34"/>
      <c r="K457" s="34"/>
      <c r="L457" s="30">
        <f t="shared" si="41"/>
        <v>0</v>
      </c>
      <c r="M457" s="30">
        <f t="shared" si="41"/>
        <v>0</v>
      </c>
      <c r="N457" s="30">
        <f>ROUND('Смета ЕР (общ) '!$I457*'Смета ЕР (общ) '!$L457,2)</f>
        <v>0</v>
      </c>
      <c r="O457" s="30">
        <f>ROUND('Смета ЕР (общ) '!$I457*'Смета ЕР (общ) '!$M457,2)</f>
        <v>0</v>
      </c>
      <c r="P457" s="45"/>
    </row>
    <row r="458" spans="1:20" ht="108" x14ac:dyDescent="0.3">
      <c r="A458" s="26" t="s">
        <v>279</v>
      </c>
      <c r="B458" s="26"/>
      <c r="C458" s="26"/>
      <c r="D458" s="26"/>
      <c r="E458" s="26"/>
      <c r="F458" s="26">
        <f t="shared" si="38"/>
        <v>4</v>
      </c>
      <c r="G458" s="27" t="s">
        <v>1748</v>
      </c>
      <c r="H458" s="28" t="s">
        <v>40</v>
      </c>
      <c r="I458" s="177">
        <v>3.5200000000000005</v>
      </c>
      <c r="J458" s="34"/>
      <c r="K458" s="34"/>
      <c r="L458" s="30">
        <f t="shared" si="41"/>
        <v>0</v>
      </c>
      <c r="M458" s="30">
        <f t="shared" si="41"/>
        <v>0</v>
      </c>
      <c r="N458" s="30">
        <f>ROUND('Смета ЕР (общ) '!$I458*'Смета ЕР (общ) '!$L458,2)</f>
        <v>0</v>
      </c>
      <c r="O458" s="30">
        <f>ROUND('Смета ЕР (общ) '!$I458*'Смета ЕР (общ) '!$M458,2)</f>
        <v>0</v>
      </c>
      <c r="P458" s="45"/>
    </row>
    <row r="459" spans="1:20" ht="108" x14ac:dyDescent="0.3">
      <c r="A459" s="26" t="s">
        <v>279</v>
      </c>
      <c r="B459" s="26"/>
      <c r="C459" s="26"/>
      <c r="D459" s="26"/>
      <c r="E459" s="26"/>
      <c r="F459" s="26">
        <f t="shared" si="38"/>
        <v>5</v>
      </c>
      <c r="G459" s="27" t="s">
        <v>1749</v>
      </c>
      <c r="H459" s="28" t="s">
        <v>40</v>
      </c>
      <c r="I459" s="177">
        <v>3.5200000000000005</v>
      </c>
      <c r="J459" s="34"/>
      <c r="K459" s="34"/>
      <c r="L459" s="30">
        <f t="shared" si="41"/>
        <v>0</v>
      </c>
      <c r="M459" s="30">
        <f t="shared" si="41"/>
        <v>0</v>
      </c>
      <c r="N459" s="30">
        <f>ROUND('Смета ЕР (общ) '!$I459*'Смета ЕР (общ) '!$L459,2)</f>
        <v>0</v>
      </c>
      <c r="O459" s="30">
        <f>ROUND('Смета ЕР (общ) '!$I459*'Смета ЕР (общ) '!$M459,2)</f>
        <v>0</v>
      </c>
      <c r="P459" s="45"/>
    </row>
    <row r="460" spans="1:20" ht="34.950000000000003" customHeight="1" x14ac:dyDescent="0.3">
      <c r="A460" s="26" t="s">
        <v>279</v>
      </c>
      <c r="B460" s="26"/>
      <c r="C460" s="26"/>
      <c r="D460" s="26"/>
      <c r="E460" s="26"/>
      <c r="F460" s="26">
        <f t="shared" si="38"/>
        <v>6</v>
      </c>
      <c r="G460" s="27" t="s">
        <v>503</v>
      </c>
      <c r="H460" s="28" t="s">
        <v>40</v>
      </c>
      <c r="I460" s="177">
        <v>93.600000000000009</v>
      </c>
      <c r="J460" s="34"/>
      <c r="K460" s="34"/>
      <c r="L460" s="30">
        <f t="shared" si="41"/>
        <v>0</v>
      </c>
      <c r="M460" s="30">
        <f t="shared" si="41"/>
        <v>0</v>
      </c>
      <c r="N460" s="30">
        <f>ROUND('Смета ЕР (общ) '!$I460*'Смета ЕР (общ) '!$L460,2)</f>
        <v>0</v>
      </c>
      <c r="O460" s="30">
        <f>ROUND('Смета ЕР (общ) '!$I460*'Смета ЕР (общ) '!$M460,2)</f>
        <v>0</v>
      </c>
      <c r="P460" s="45"/>
    </row>
    <row r="461" spans="1:20" ht="24" hidden="1" x14ac:dyDescent="0.3">
      <c r="A461" s="26" t="s">
        <v>279</v>
      </c>
      <c r="B461" s="26">
        <v>6</v>
      </c>
      <c r="C461" s="26">
        <v>1</v>
      </c>
      <c r="D461" s="26">
        <v>8</v>
      </c>
      <c r="E461" s="26" t="str">
        <f>CONCATENATE('Смета ЕР (общ) '!$A461,".",'Смета ЕР (общ) '!$B461,".",C461,".",'Смета ЕР (общ) '!$D461)</f>
        <v>Р3.6.1.8</v>
      </c>
      <c r="F461" s="26">
        <f t="shared" si="38"/>
        <v>6</v>
      </c>
      <c r="G461" s="41" t="s">
        <v>504</v>
      </c>
      <c r="H461" s="28" t="s">
        <v>40</v>
      </c>
      <c r="I461" s="177"/>
      <c r="J461" s="30">
        <v>478.5</v>
      </c>
      <c r="K461" s="30">
        <v>755.96</v>
      </c>
      <c r="L461" s="30">
        <f t="shared" si="41"/>
        <v>478.5</v>
      </c>
      <c r="M461" s="30">
        <f t="shared" si="41"/>
        <v>755.96</v>
      </c>
      <c r="N461" s="30">
        <f>ROUND('Смета ЕР (общ) '!$I461*'Смета ЕР (общ) '!$L461,2)</f>
        <v>0</v>
      </c>
      <c r="O461" s="30">
        <f>ROUND('Смета ЕР (общ) '!$I461*'Смета ЕР (общ) '!$M461,2)</f>
        <v>0</v>
      </c>
      <c r="P461" s="45"/>
      <c r="T461">
        <v>3.35</v>
      </c>
    </row>
    <row r="462" spans="1:20" ht="24" hidden="1" x14ac:dyDescent="0.3">
      <c r="A462" s="26"/>
      <c r="B462" s="26"/>
      <c r="C462" s="26"/>
      <c r="D462" s="26"/>
      <c r="E462" s="26"/>
      <c r="F462" s="26">
        <v>1</v>
      </c>
      <c r="G462" s="41" t="s">
        <v>505</v>
      </c>
      <c r="H462" s="28" t="s">
        <v>40</v>
      </c>
      <c r="I462" s="158"/>
      <c r="J462" s="158">
        <v>0</v>
      </c>
      <c r="K462" s="158">
        <v>0</v>
      </c>
      <c r="L462" s="159">
        <f>ROUND(J462-J462*$Q$3,2)</f>
        <v>0</v>
      </c>
      <c r="M462" s="30">
        <f t="shared" si="41"/>
        <v>0</v>
      </c>
      <c r="N462" s="29">
        <f>J462*I462</f>
        <v>0</v>
      </c>
      <c r="O462" s="29">
        <f>K462*I462</f>
        <v>0</v>
      </c>
      <c r="P462" s="45"/>
    </row>
    <row r="463" spans="1:20" ht="14.4" hidden="1" x14ac:dyDescent="0.3">
      <c r="A463" s="26"/>
      <c r="B463" s="26"/>
      <c r="C463" s="26"/>
      <c r="D463" s="26"/>
      <c r="E463" s="26"/>
      <c r="F463" s="26">
        <f t="shared" ref="F463:F526" si="42">IF(I463&gt;0,F462+1,F462)</f>
        <v>1</v>
      </c>
      <c r="G463" s="41" t="s">
        <v>506</v>
      </c>
      <c r="H463" s="28" t="s">
        <v>40</v>
      </c>
      <c r="I463" s="158"/>
      <c r="J463" s="158">
        <v>0</v>
      </c>
      <c r="K463" s="158">
        <v>0</v>
      </c>
      <c r="L463" s="159">
        <f t="shared" ref="L463:L472" si="43">ROUND(J463-J463*$Q$3,2)</f>
        <v>0</v>
      </c>
      <c r="M463" s="30">
        <f t="shared" si="41"/>
        <v>0</v>
      </c>
      <c r="N463" s="29">
        <f t="shared" ref="N463:N472" si="44">J463*I463</f>
        <v>0</v>
      </c>
      <c r="O463" s="29">
        <f t="shared" ref="O463:O472" si="45">K463*I463</f>
        <v>0</v>
      </c>
      <c r="P463" s="45"/>
    </row>
    <row r="464" spans="1:20" ht="24" hidden="1" x14ac:dyDescent="0.3">
      <c r="A464" s="26"/>
      <c r="B464" s="26"/>
      <c r="C464" s="26"/>
      <c r="D464" s="26"/>
      <c r="E464" s="26"/>
      <c r="F464" s="26">
        <f t="shared" si="42"/>
        <v>1</v>
      </c>
      <c r="G464" s="41" t="s">
        <v>507</v>
      </c>
      <c r="H464" s="28" t="s">
        <v>40</v>
      </c>
      <c r="I464" s="158"/>
      <c r="J464" s="158">
        <v>0</v>
      </c>
      <c r="K464" s="158">
        <v>0</v>
      </c>
      <c r="L464" s="159">
        <f t="shared" si="43"/>
        <v>0</v>
      </c>
      <c r="M464" s="30">
        <f t="shared" si="41"/>
        <v>0</v>
      </c>
      <c r="N464" s="29">
        <f t="shared" si="44"/>
        <v>0</v>
      </c>
      <c r="O464" s="29">
        <f t="shared" si="45"/>
        <v>0</v>
      </c>
      <c r="P464" s="45"/>
    </row>
    <row r="465" spans="1:20" ht="14.4" hidden="1" x14ac:dyDescent="0.3">
      <c r="A465" s="26"/>
      <c r="B465" s="26"/>
      <c r="C465" s="26"/>
      <c r="D465" s="26"/>
      <c r="E465" s="26"/>
      <c r="F465" s="26">
        <f t="shared" si="42"/>
        <v>1</v>
      </c>
      <c r="G465" s="41" t="s">
        <v>508</v>
      </c>
      <c r="H465" s="28" t="s">
        <v>40</v>
      </c>
      <c r="I465" s="158"/>
      <c r="J465" s="158">
        <v>0</v>
      </c>
      <c r="K465" s="158">
        <v>0</v>
      </c>
      <c r="L465" s="159">
        <f t="shared" si="43"/>
        <v>0</v>
      </c>
      <c r="M465" s="30">
        <f t="shared" si="41"/>
        <v>0</v>
      </c>
      <c r="N465" s="29">
        <f t="shared" si="44"/>
        <v>0</v>
      </c>
      <c r="O465" s="29">
        <f t="shared" si="45"/>
        <v>0</v>
      </c>
      <c r="P465" s="45"/>
    </row>
    <row r="466" spans="1:20" ht="48" hidden="1" x14ac:dyDescent="0.3">
      <c r="A466" s="26"/>
      <c r="B466" s="26"/>
      <c r="C466" s="26"/>
      <c r="D466" s="26"/>
      <c r="E466" s="26"/>
      <c r="F466" s="26">
        <f t="shared" si="42"/>
        <v>1</v>
      </c>
      <c r="G466" s="41" t="s">
        <v>509</v>
      </c>
      <c r="H466" s="28" t="s">
        <v>144</v>
      </c>
      <c r="I466" s="158"/>
      <c r="J466" s="158">
        <v>0</v>
      </c>
      <c r="K466" s="158">
        <v>0</v>
      </c>
      <c r="L466" s="159">
        <f t="shared" si="43"/>
        <v>0</v>
      </c>
      <c r="M466" s="30">
        <f t="shared" si="41"/>
        <v>0</v>
      </c>
      <c r="N466" s="29">
        <f t="shared" si="44"/>
        <v>0</v>
      </c>
      <c r="O466" s="29">
        <f t="shared" si="45"/>
        <v>0</v>
      </c>
      <c r="P466" s="45"/>
    </row>
    <row r="467" spans="1:20" ht="24" hidden="1" x14ac:dyDescent="0.3">
      <c r="A467" s="26"/>
      <c r="B467" s="26"/>
      <c r="C467" s="26"/>
      <c r="D467" s="26"/>
      <c r="E467" s="26"/>
      <c r="F467" s="26">
        <f t="shared" si="42"/>
        <v>1</v>
      </c>
      <c r="G467" s="41" t="s">
        <v>510</v>
      </c>
      <c r="H467" s="28" t="s">
        <v>40</v>
      </c>
      <c r="I467" s="158"/>
      <c r="J467" s="158">
        <v>0</v>
      </c>
      <c r="K467" s="158">
        <v>0</v>
      </c>
      <c r="L467" s="159">
        <f t="shared" si="43"/>
        <v>0</v>
      </c>
      <c r="M467" s="30">
        <f t="shared" si="41"/>
        <v>0</v>
      </c>
      <c r="N467" s="29">
        <f t="shared" si="44"/>
        <v>0</v>
      </c>
      <c r="O467" s="29">
        <f t="shared" si="45"/>
        <v>0</v>
      </c>
      <c r="P467" s="45"/>
    </row>
    <row r="468" spans="1:20" ht="36" hidden="1" x14ac:dyDescent="0.3">
      <c r="A468" s="26"/>
      <c r="B468" s="26"/>
      <c r="C468" s="26"/>
      <c r="D468" s="26"/>
      <c r="E468" s="26"/>
      <c r="F468" s="26">
        <f t="shared" si="42"/>
        <v>1</v>
      </c>
      <c r="G468" s="41" t="s">
        <v>511</v>
      </c>
      <c r="H468" s="28" t="s">
        <v>40</v>
      </c>
      <c r="I468" s="158"/>
      <c r="J468" s="158">
        <v>0</v>
      </c>
      <c r="K468" s="158">
        <v>0</v>
      </c>
      <c r="L468" s="159">
        <f t="shared" si="43"/>
        <v>0</v>
      </c>
      <c r="M468" s="30">
        <f t="shared" si="41"/>
        <v>0</v>
      </c>
      <c r="N468" s="29">
        <f t="shared" si="44"/>
        <v>0</v>
      </c>
      <c r="O468" s="29">
        <f t="shared" si="45"/>
        <v>0</v>
      </c>
      <c r="P468" s="45"/>
    </row>
    <row r="469" spans="1:20" ht="14.4" hidden="1" x14ac:dyDescent="0.3">
      <c r="A469" s="26"/>
      <c r="B469" s="26"/>
      <c r="C469" s="26"/>
      <c r="D469" s="26"/>
      <c r="E469" s="26"/>
      <c r="F469" s="26">
        <f t="shared" si="42"/>
        <v>1</v>
      </c>
      <c r="G469" s="41" t="s">
        <v>512</v>
      </c>
      <c r="H469" s="28" t="s">
        <v>40</v>
      </c>
      <c r="I469" s="158"/>
      <c r="J469" s="158">
        <v>0</v>
      </c>
      <c r="K469" s="158">
        <v>0</v>
      </c>
      <c r="L469" s="159">
        <f t="shared" si="43"/>
        <v>0</v>
      </c>
      <c r="M469" s="30">
        <f t="shared" si="41"/>
        <v>0</v>
      </c>
      <c r="N469" s="29">
        <f t="shared" si="44"/>
        <v>0</v>
      </c>
      <c r="O469" s="29">
        <f t="shared" si="45"/>
        <v>0</v>
      </c>
      <c r="P469" s="45"/>
    </row>
    <row r="470" spans="1:20" ht="24" hidden="1" x14ac:dyDescent="0.3">
      <c r="A470" s="26"/>
      <c r="B470" s="26"/>
      <c r="C470" s="26"/>
      <c r="D470" s="26"/>
      <c r="E470" s="26"/>
      <c r="F470" s="26">
        <f t="shared" si="42"/>
        <v>1</v>
      </c>
      <c r="G470" s="41" t="s">
        <v>513</v>
      </c>
      <c r="H470" s="28" t="s">
        <v>40</v>
      </c>
      <c r="I470" s="158"/>
      <c r="J470" s="158">
        <v>0</v>
      </c>
      <c r="K470" s="158">
        <v>0</v>
      </c>
      <c r="L470" s="159">
        <f t="shared" si="43"/>
        <v>0</v>
      </c>
      <c r="M470" s="30">
        <f t="shared" si="41"/>
        <v>0</v>
      </c>
      <c r="N470" s="29">
        <f t="shared" si="44"/>
        <v>0</v>
      </c>
      <c r="O470" s="29">
        <f t="shared" si="45"/>
        <v>0</v>
      </c>
      <c r="P470" s="45"/>
    </row>
    <row r="471" spans="1:20" ht="14.4" hidden="1" x14ac:dyDescent="0.3">
      <c r="A471" s="26"/>
      <c r="B471" s="26"/>
      <c r="C471" s="26"/>
      <c r="D471" s="26"/>
      <c r="E471" s="26"/>
      <c r="F471" s="26">
        <f t="shared" si="42"/>
        <v>1</v>
      </c>
      <c r="G471" s="41" t="s">
        <v>514</v>
      </c>
      <c r="H471" s="28" t="s">
        <v>118</v>
      </c>
      <c r="I471" s="158"/>
      <c r="J471" s="158">
        <v>0</v>
      </c>
      <c r="K471" s="158">
        <v>0</v>
      </c>
      <c r="L471" s="159">
        <f t="shared" si="43"/>
        <v>0</v>
      </c>
      <c r="M471" s="30">
        <f t="shared" si="41"/>
        <v>0</v>
      </c>
      <c r="N471" s="29">
        <f t="shared" si="44"/>
        <v>0</v>
      </c>
      <c r="O471" s="29">
        <f t="shared" si="45"/>
        <v>0</v>
      </c>
      <c r="P471" s="45"/>
    </row>
    <row r="472" spans="1:20" ht="14.4" hidden="1" x14ac:dyDescent="0.3">
      <c r="A472" s="26"/>
      <c r="B472" s="26"/>
      <c r="C472" s="26"/>
      <c r="D472" s="26"/>
      <c r="E472" s="26"/>
      <c r="F472" s="26">
        <f t="shared" si="42"/>
        <v>1</v>
      </c>
      <c r="G472" s="41" t="s">
        <v>515</v>
      </c>
      <c r="H472" s="28" t="s">
        <v>147</v>
      </c>
      <c r="I472" s="158"/>
      <c r="J472" s="158">
        <v>0</v>
      </c>
      <c r="K472" s="158">
        <v>0</v>
      </c>
      <c r="L472" s="159">
        <f t="shared" si="43"/>
        <v>0</v>
      </c>
      <c r="M472" s="30">
        <f t="shared" si="41"/>
        <v>0</v>
      </c>
      <c r="N472" s="29">
        <f t="shared" si="44"/>
        <v>0</v>
      </c>
      <c r="O472" s="29">
        <f t="shared" si="45"/>
        <v>0</v>
      </c>
      <c r="P472" s="45"/>
    </row>
    <row r="473" spans="1:20" ht="14.4" hidden="1" x14ac:dyDescent="0.3">
      <c r="A473" s="26"/>
      <c r="B473" s="26"/>
      <c r="C473" s="26"/>
      <c r="D473" s="26"/>
      <c r="E473" s="26"/>
      <c r="F473" s="26"/>
      <c r="G473" s="41"/>
      <c r="H473" s="28"/>
      <c r="I473" s="158"/>
      <c r="J473" s="29"/>
      <c r="K473" s="29"/>
      <c r="L473" s="29"/>
      <c r="M473" s="29"/>
      <c r="N473" s="29"/>
      <c r="O473" s="29"/>
      <c r="P473" s="45"/>
    </row>
    <row r="474" spans="1:20" ht="14.4" hidden="1" x14ac:dyDescent="0.3">
      <c r="A474" s="26" t="s">
        <v>279</v>
      </c>
      <c r="B474" s="26">
        <v>6</v>
      </c>
      <c r="C474" s="26">
        <v>1</v>
      </c>
      <c r="D474" s="26">
        <v>9</v>
      </c>
      <c r="E474" s="26" t="str">
        <f>CONCATENATE('Смета ЕР (общ) '!$A474,".",'Смета ЕР (общ) '!$B474,".",C474,".",'Смета ЕР (общ) '!$D474)</f>
        <v>Р3.6.1.9</v>
      </c>
      <c r="F474" s="26">
        <f>IF(I474&gt;0,F470+1,F470)</f>
        <v>1</v>
      </c>
      <c r="G474" s="27" t="s">
        <v>516</v>
      </c>
      <c r="H474" s="42" t="s">
        <v>144</v>
      </c>
      <c r="I474" s="158"/>
      <c r="J474" s="30">
        <v>7464.6</v>
      </c>
      <c r="K474" s="30">
        <v>17780.63</v>
      </c>
      <c r="L474" s="30">
        <f t="shared" si="41"/>
        <v>7464.6</v>
      </c>
      <c r="M474" s="30">
        <f t="shared" si="41"/>
        <v>17780.63</v>
      </c>
      <c r="N474" s="30">
        <f>ROUND('Смета ЕР (общ) '!$I474*'Смета ЕР (общ) '!$L474,2)</f>
        <v>0</v>
      </c>
      <c r="O474" s="30">
        <f>ROUND('Смета ЕР (общ) '!$I474*'Смета ЕР (общ) '!$M474,2)</f>
        <v>0</v>
      </c>
      <c r="P474" s="45" t="s">
        <v>517</v>
      </c>
      <c r="T474">
        <v>0.4200000000000001</v>
      </c>
    </row>
    <row r="475" spans="1:20" ht="14.4" hidden="1" x14ac:dyDescent="0.3">
      <c r="A475" s="26" t="s">
        <v>279</v>
      </c>
      <c r="B475" s="26">
        <v>6</v>
      </c>
      <c r="C475" s="26">
        <v>1</v>
      </c>
      <c r="D475" s="26">
        <v>10</v>
      </c>
      <c r="E475" s="26" t="str">
        <f>CONCATENATE('Смета ЕР (общ) '!$A475,".",'Смета ЕР (общ) '!$B475,".",C475,".",'Смета ЕР (общ) '!$D475)</f>
        <v>Р3.6.1.10</v>
      </c>
      <c r="F475" s="26">
        <f t="shared" si="42"/>
        <v>1</v>
      </c>
      <c r="G475" s="27" t="s">
        <v>518</v>
      </c>
      <c r="H475" s="42" t="s">
        <v>147</v>
      </c>
      <c r="I475" s="158"/>
      <c r="J475" s="30">
        <v>407.16</v>
      </c>
      <c r="K475" s="30">
        <v>248.93</v>
      </c>
      <c r="L475" s="30">
        <f t="shared" si="41"/>
        <v>407.16</v>
      </c>
      <c r="M475" s="30">
        <f t="shared" si="41"/>
        <v>248.93</v>
      </c>
      <c r="N475" s="30">
        <f>ROUND('Смета ЕР (общ) '!$I475*'Смета ЕР (общ) '!$L475,2)</f>
        <v>0</v>
      </c>
      <c r="O475" s="30">
        <f>ROUND('Смета ЕР (общ) '!$I475*'Смета ЕР (общ) '!$M475,2)</f>
        <v>0</v>
      </c>
      <c r="P475" s="45" t="s">
        <v>517</v>
      </c>
      <c r="T475">
        <v>21</v>
      </c>
    </row>
    <row r="476" spans="1:20" ht="14.4" hidden="1" x14ac:dyDescent="0.3">
      <c r="A476" s="26" t="s">
        <v>279</v>
      </c>
      <c r="B476" s="26">
        <v>6</v>
      </c>
      <c r="C476" s="26">
        <v>1</v>
      </c>
      <c r="D476" s="26">
        <v>11</v>
      </c>
      <c r="E476" s="26" t="str">
        <f>CONCATENATE('Смета ЕР (общ) '!$A476,".",'Смета ЕР (общ) '!$B476,".",C476,".",'Смета ЕР (общ) '!$D476)</f>
        <v>Р3.6.1.11</v>
      </c>
      <c r="F476" s="26">
        <f t="shared" si="42"/>
        <v>1</v>
      </c>
      <c r="G476" s="27" t="s">
        <v>519</v>
      </c>
      <c r="H476" s="42" t="s">
        <v>40</v>
      </c>
      <c r="I476" s="158"/>
      <c r="J476" s="30">
        <v>646.37</v>
      </c>
      <c r="K476" s="30">
        <v>905.24</v>
      </c>
      <c r="L476" s="30">
        <f t="shared" si="41"/>
        <v>646.37</v>
      </c>
      <c r="M476" s="30">
        <f t="shared" si="41"/>
        <v>905.24</v>
      </c>
      <c r="N476" s="30">
        <f>ROUND('Смета ЕР (общ) '!$I476*'Смета ЕР (общ) '!$L476,2)</f>
        <v>0</v>
      </c>
      <c r="O476" s="30">
        <f>ROUND('Смета ЕР (общ) '!$I476*'Смета ЕР (общ) '!$M476,2)</f>
        <v>0</v>
      </c>
      <c r="P476" s="45" t="s">
        <v>517</v>
      </c>
      <c r="T476">
        <v>18</v>
      </c>
    </row>
    <row r="477" spans="1:20" ht="36" hidden="1" x14ac:dyDescent="0.3">
      <c r="A477" s="82" t="s">
        <v>279</v>
      </c>
      <c r="B477" s="82">
        <v>6</v>
      </c>
      <c r="C477" s="82">
        <v>1</v>
      </c>
      <c r="D477" s="82">
        <v>12</v>
      </c>
      <c r="E477" s="82" t="str">
        <f>CONCATENATE('Смета ЕР (общ) '!$A477,".",'Смета ЕР (общ) '!$B477,".",C477,".",'Смета ЕР (общ) '!$D477)</f>
        <v>Р3.6.1.12</v>
      </c>
      <c r="F477" s="82">
        <f t="shared" si="42"/>
        <v>1</v>
      </c>
      <c r="G477" s="83" t="s">
        <v>520</v>
      </c>
      <c r="H477" s="28" t="s">
        <v>40</v>
      </c>
      <c r="I477" s="158"/>
      <c r="J477" s="30">
        <v>8160.6</v>
      </c>
      <c r="K477" s="30">
        <v>7993.13</v>
      </c>
      <c r="L477" s="30">
        <f t="shared" si="41"/>
        <v>8160.6</v>
      </c>
      <c r="M477" s="30">
        <f t="shared" si="41"/>
        <v>7993.13</v>
      </c>
      <c r="N477" s="30">
        <f>ROUND('Смета ЕР (общ) '!$I477*'Смета ЕР (общ) '!$L477,2)</f>
        <v>0</v>
      </c>
      <c r="O477" s="30">
        <f>ROUND('Смета ЕР (общ) '!$I477*'Смета ЕР (общ) '!$M477,2)</f>
        <v>0</v>
      </c>
      <c r="P477" s="45"/>
    </row>
    <row r="478" spans="1:20" ht="14.4" hidden="1" x14ac:dyDescent="0.3">
      <c r="A478" s="71" t="s">
        <v>279</v>
      </c>
      <c r="B478" s="71">
        <v>6</v>
      </c>
      <c r="C478" s="71">
        <v>2</v>
      </c>
      <c r="D478" s="71">
        <v>0</v>
      </c>
      <c r="E478" s="71" t="str">
        <f>CONCATENATE('Смета ЕР (общ) '!$A478,".",'Смета ЕР (общ) '!$B478,".",C478,".",'Смета ЕР (общ) '!$D478)</f>
        <v>Р3.6.2.0</v>
      </c>
      <c r="F478" s="71">
        <f t="shared" si="42"/>
        <v>1</v>
      </c>
      <c r="G478" s="92" t="s">
        <v>521</v>
      </c>
      <c r="H478" s="73"/>
      <c r="I478" s="74"/>
      <c r="J478" s="75"/>
      <c r="K478" s="75"/>
      <c r="L478" s="76"/>
      <c r="M478" s="76"/>
      <c r="N478" s="76">
        <f>ROUND(SUM(N479:N537),2)</f>
        <v>0</v>
      </c>
      <c r="O478" s="76">
        <f>ROUND(SUM(O479:O537),2)</f>
        <v>0</v>
      </c>
      <c r="P478" s="45"/>
      <c r="T478">
        <v>750966.01</v>
      </c>
    </row>
    <row r="479" spans="1:20" ht="24" hidden="1" x14ac:dyDescent="0.3">
      <c r="A479" s="26" t="s">
        <v>279</v>
      </c>
      <c r="B479" s="26">
        <v>6</v>
      </c>
      <c r="C479" s="26">
        <v>2</v>
      </c>
      <c r="D479" s="26">
        <v>1</v>
      </c>
      <c r="E479" s="26" t="str">
        <f>CONCATENATE('Смета ЕР (общ) '!$A479,".",'Смета ЕР (общ) '!$B479,".",C479,".",'Смета ЕР (общ) '!$D479)</f>
        <v>Р3.6.2.1</v>
      </c>
      <c r="F479" s="26">
        <f t="shared" si="42"/>
        <v>1</v>
      </c>
      <c r="G479" s="41" t="s">
        <v>522</v>
      </c>
      <c r="H479" s="42" t="s">
        <v>40</v>
      </c>
      <c r="I479" s="158"/>
      <c r="J479" s="30">
        <v>3048.05</v>
      </c>
      <c r="K479" s="30">
        <v>1257.54</v>
      </c>
      <c r="L479" s="30">
        <f t="shared" ref="L479:M509" si="46">ROUND(J479-J479*$Q$3,2)</f>
        <v>3048.05</v>
      </c>
      <c r="M479" s="30">
        <f t="shared" si="46"/>
        <v>1257.54</v>
      </c>
      <c r="N479" s="30">
        <f>ROUND('Смета ЕР (общ) '!$I479*'Смета ЕР (общ) '!$L479,2)</f>
        <v>0</v>
      </c>
      <c r="O479" s="30">
        <f>ROUND('Смета ЕР (общ) '!$I479*'Смета ЕР (общ) '!$M479,2)</f>
        <v>0</v>
      </c>
      <c r="P479" s="45"/>
    </row>
    <row r="480" spans="1:20" ht="24" hidden="1" x14ac:dyDescent="0.3">
      <c r="A480" s="26" t="s">
        <v>279</v>
      </c>
      <c r="B480" s="26">
        <v>6</v>
      </c>
      <c r="C480" s="26">
        <v>2</v>
      </c>
      <c r="D480" s="26">
        <f>D479+1</f>
        <v>2</v>
      </c>
      <c r="E480" s="26" t="str">
        <f>CONCATENATE('Смета ЕР (общ) '!$A480,".",'Смета ЕР (общ) '!$B480,".",C480,".",'Смета ЕР (общ) '!$D480)</f>
        <v>Р3.6.2.2</v>
      </c>
      <c r="F480" s="26">
        <f t="shared" si="42"/>
        <v>1</v>
      </c>
      <c r="G480" s="41" t="s">
        <v>523</v>
      </c>
      <c r="H480" s="42" t="s">
        <v>40</v>
      </c>
      <c r="I480" s="158"/>
      <c r="J480" s="30">
        <v>3048.05</v>
      </c>
      <c r="K480" s="30">
        <v>1289.04</v>
      </c>
      <c r="L480" s="30">
        <f t="shared" si="46"/>
        <v>3048.05</v>
      </c>
      <c r="M480" s="30">
        <f t="shared" si="46"/>
        <v>1289.04</v>
      </c>
      <c r="N480" s="30">
        <f>ROUND('Смета ЕР (общ) '!$I480*'Смета ЕР (общ) '!$L480,2)</f>
        <v>0</v>
      </c>
      <c r="O480" s="30">
        <f>ROUND('Смета ЕР (общ) '!$I480*'Смета ЕР (общ) '!$M480,2)</f>
        <v>0</v>
      </c>
      <c r="P480" s="45"/>
    </row>
    <row r="481" spans="1:20" ht="24" hidden="1" x14ac:dyDescent="0.3">
      <c r="A481" s="26" t="s">
        <v>279</v>
      </c>
      <c r="B481" s="26">
        <v>6</v>
      </c>
      <c r="C481" s="26">
        <v>2</v>
      </c>
      <c r="D481" s="26">
        <f t="shared" ref="D481:D537" si="47">D480+1</f>
        <v>3</v>
      </c>
      <c r="E481" s="26" t="str">
        <f>CONCATENATE('Смета ЕР (общ) '!$A481,".",'Смета ЕР (общ) '!$B481,".",C481,".",'Смета ЕР (общ) '!$D481)</f>
        <v>Р3.6.2.3</v>
      </c>
      <c r="F481" s="26">
        <f t="shared" si="42"/>
        <v>1</v>
      </c>
      <c r="G481" s="41" t="s">
        <v>524</v>
      </c>
      <c r="H481" s="42" t="s">
        <v>40</v>
      </c>
      <c r="I481" s="158"/>
      <c r="J481" s="30">
        <v>3048.05</v>
      </c>
      <c r="K481" s="30">
        <v>1289.04</v>
      </c>
      <c r="L481" s="30">
        <f t="shared" si="46"/>
        <v>3048.05</v>
      </c>
      <c r="M481" s="30">
        <f t="shared" si="46"/>
        <v>1289.04</v>
      </c>
      <c r="N481" s="30">
        <f>ROUND('Смета ЕР (общ) '!$I481*'Смета ЕР (общ) '!$L481,2)</f>
        <v>0</v>
      </c>
      <c r="O481" s="30">
        <f>ROUND('Смета ЕР (общ) '!$I481*'Смета ЕР (общ) '!$M481,2)</f>
        <v>0</v>
      </c>
      <c r="P481" s="45"/>
    </row>
    <row r="482" spans="1:20" ht="24" hidden="1" x14ac:dyDescent="0.3">
      <c r="A482" s="93" t="s">
        <v>279</v>
      </c>
      <c r="B482" s="93">
        <v>6</v>
      </c>
      <c r="C482" s="93">
        <v>2</v>
      </c>
      <c r="D482" s="93">
        <f t="shared" si="47"/>
        <v>4</v>
      </c>
      <c r="E482" s="93" t="str">
        <f>CONCATENATE('Смета ЕР (общ) '!$A482,".",'Смета ЕР (общ) '!$B482,".",C482,".",'Смета ЕР (общ) '!$D482)</f>
        <v>Р3.6.2.4</v>
      </c>
      <c r="F482" s="93">
        <f t="shared" si="42"/>
        <v>1</v>
      </c>
      <c r="G482" s="94" t="s">
        <v>525</v>
      </c>
      <c r="H482" s="95" t="s">
        <v>40</v>
      </c>
      <c r="I482" s="161"/>
      <c r="J482" s="30">
        <v>3048.05</v>
      </c>
      <c r="K482" s="30">
        <v>2203.5</v>
      </c>
      <c r="L482" s="30">
        <f t="shared" si="46"/>
        <v>3048.05</v>
      </c>
      <c r="M482" s="50">
        <f t="shared" si="46"/>
        <v>2203.5</v>
      </c>
      <c r="N482" s="50">
        <f>ROUND('Смета ЕР (общ) '!$I482*'Смета ЕР (общ) '!$L482,2)</f>
        <v>0</v>
      </c>
      <c r="O482" s="50">
        <f>ROUND('Смета ЕР (общ) '!$I482*'Смета ЕР (общ) '!$M482,2)</f>
        <v>0</v>
      </c>
      <c r="P482" s="45"/>
    </row>
    <row r="483" spans="1:20" ht="24" hidden="1" x14ac:dyDescent="0.3">
      <c r="A483" s="93" t="s">
        <v>279</v>
      </c>
      <c r="B483" s="93">
        <v>6</v>
      </c>
      <c r="C483" s="93">
        <v>2</v>
      </c>
      <c r="D483" s="93">
        <f t="shared" si="47"/>
        <v>5</v>
      </c>
      <c r="E483" s="93" t="str">
        <f>CONCATENATE('Смета ЕР (общ) '!$A483,".",'Смета ЕР (общ) '!$B483,".",C483,".",'Смета ЕР (общ) '!$D483)</f>
        <v>Р3.6.2.5</v>
      </c>
      <c r="F483" s="93">
        <f t="shared" si="42"/>
        <v>1</v>
      </c>
      <c r="G483" s="94" t="s">
        <v>526</v>
      </c>
      <c r="H483" s="95" t="s">
        <v>40</v>
      </c>
      <c r="I483" s="161"/>
      <c r="J483" s="30">
        <v>3048.05</v>
      </c>
      <c r="K483" s="30">
        <v>1481.13</v>
      </c>
      <c r="L483" s="30">
        <f t="shared" si="46"/>
        <v>3048.05</v>
      </c>
      <c r="M483" s="50">
        <f t="shared" si="46"/>
        <v>1481.13</v>
      </c>
      <c r="N483" s="50">
        <f>ROUND('Смета ЕР (общ) '!$I483*'Смета ЕР (общ) '!$L483,2)</f>
        <v>0</v>
      </c>
      <c r="O483" s="50">
        <f>ROUND('Смета ЕР (общ) '!$I483*'Смета ЕР (общ) '!$M483,2)</f>
        <v>0</v>
      </c>
      <c r="P483" s="45"/>
    </row>
    <row r="484" spans="1:20" ht="24" hidden="1" x14ac:dyDescent="0.3">
      <c r="A484" s="26" t="s">
        <v>279</v>
      </c>
      <c r="B484" s="26">
        <v>6</v>
      </c>
      <c r="C484" s="26">
        <v>2</v>
      </c>
      <c r="D484" s="26">
        <f t="shared" si="47"/>
        <v>6</v>
      </c>
      <c r="E484" s="26" t="str">
        <f>CONCATENATE('Смета ЕР (общ) '!$A484,".",'Смета ЕР (общ) '!$B484,".",C484,".",'Смета ЕР (общ) '!$D484)</f>
        <v>Р3.6.2.6</v>
      </c>
      <c r="F484" s="26">
        <f t="shared" si="42"/>
        <v>1</v>
      </c>
      <c r="G484" s="41" t="s">
        <v>527</v>
      </c>
      <c r="H484" s="42" t="s">
        <v>40</v>
      </c>
      <c r="I484" s="158"/>
      <c r="J484" s="30">
        <v>3048.05</v>
      </c>
      <c r="K484" s="30">
        <v>1457.54</v>
      </c>
      <c r="L484" s="30">
        <f t="shared" si="46"/>
        <v>3048.05</v>
      </c>
      <c r="M484" s="30">
        <f t="shared" si="46"/>
        <v>1457.54</v>
      </c>
      <c r="N484" s="30">
        <f>ROUND('Смета ЕР (общ) '!$I484*'Смета ЕР (общ) '!$L484,2)</f>
        <v>0</v>
      </c>
      <c r="O484" s="30">
        <f>ROUND('Смета ЕР (общ) '!$I484*'Смета ЕР (общ) '!$M484,2)</f>
        <v>0</v>
      </c>
      <c r="P484" s="45"/>
    </row>
    <row r="485" spans="1:20" ht="24" hidden="1" x14ac:dyDescent="0.3">
      <c r="A485" s="26" t="s">
        <v>279</v>
      </c>
      <c r="B485" s="26">
        <v>6</v>
      </c>
      <c r="C485" s="26">
        <v>2</v>
      </c>
      <c r="D485" s="26">
        <f t="shared" si="47"/>
        <v>7</v>
      </c>
      <c r="E485" s="26" t="str">
        <f>CONCATENATE('Смета ЕР (общ) '!$A485,".",'Смета ЕР (общ) '!$B485,".",C485,".",'Смета ЕР (общ) '!$D485)</f>
        <v>Р3.6.2.7</v>
      </c>
      <c r="F485" s="26">
        <f t="shared" si="42"/>
        <v>1</v>
      </c>
      <c r="G485" s="41" t="s">
        <v>528</v>
      </c>
      <c r="H485" s="42" t="s">
        <v>40</v>
      </c>
      <c r="I485" s="158"/>
      <c r="J485" s="30">
        <v>3048.05</v>
      </c>
      <c r="K485" s="30">
        <v>1457.54</v>
      </c>
      <c r="L485" s="30">
        <f t="shared" si="46"/>
        <v>3048.05</v>
      </c>
      <c r="M485" s="30">
        <f t="shared" si="46"/>
        <v>1457.54</v>
      </c>
      <c r="N485" s="30">
        <f>ROUND('Смета ЕР (общ) '!$I485*'Смета ЕР (общ) '!$L485,2)</f>
        <v>0</v>
      </c>
      <c r="O485" s="30">
        <f>ROUND('Смета ЕР (общ) '!$I485*'Смета ЕР (общ) '!$M485,2)</f>
        <v>0</v>
      </c>
      <c r="P485" s="45"/>
    </row>
    <row r="486" spans="1:20" ht="24" hidden="1" x14ac:dyDescent="0.3">
      <c r="A486" s="26" t="s">
        <v>279</v>
      </c>
      <c r="B486" s="26">
        <v>6</v>
      </c>
      <c r="C486" s="26">
        <v>2</v>
      </c>
      <c r="D486" s="26">
        <f t="shared" si="47"/>
        <v>8</v>
      </c>
      <c r="E486" s="26" t="str">
        <f>CONCATENATE('Смета ЕР (общ) '!$A486,".",'Смета ЕР (общ) '!$B486,".",C486,".",'Смета ЕР (общ) '!$D486)</f>
        <v>Р3.6.2.8</v>
      </c>
      <c r="F486" s="26">
        <f t="shared" si="42"/>
        <v>1</v>
      </c>
      <c r="G486" s="41" t="s">
        <v>529</v>
      </c>
      <c r="H486" s="28" t="s">
        <v>40</v>
      </c>
      <c r="I486" s="158"/>
      <c r="J486" s="30">
        <v>3048.05</v>
      </c>
      <c r="K486" s="30">
        <v>7329.99</v>
      </c>
      <c r="L486" s="30">
        <f t="shared" si="46"/>
        <v>3048.05</v>
      </c>
      <c r="M486" s="30">
        <f t="shared" si="46"/>
        <v>7329.99</v>
      </c>
      <c r="N486" s="30">
        <f>ROUND('Смета ЕР (общ) '!$I486*'Смета ЕР (общ) '!$L486,2)</f>
        <v>0</v>
      </c>
      <c r="O486" s="30">
        <f>ROUND('Смета ЕР (общ) '!$I486*'Смета ЕР (общ) '!$M486,2)</f>
        <v>0</v>
      </c>
      <c r="P486" s="45"/>
    </row>
    <row r="487" spans="1:20" ht="24" hidden="1" x14ac:dyDescent="0.3">
      <c r="A487" s="26" t="s">
        <v>279</v>
      </c>
      <c r="B487" s="26">
        <v>6</v>
      </c>
      <c r="C487" s="26">
        <v>2</v>
      </c>
      <c r="D487" s="26">
        <f t="shared" si="47"/>
        <v>9</v>
      </c>
      <c r="E487" s="26" t="str">
        <f>CONCATENATE('Смета ЕР (общ) '!$A487,".",'Смета ЕР (общ) '!$B487,".",C487,".",'Смета ЕР (общ) '!$D487)</f>
        <v>Р3.6.2.9</v>
      </c>
      <c r="F487" s="26">
        <f t="shared" si="42"/>
        <v>1</v>
      </c>
      <c r="G487" s="41" t="s">
        <v>530</v>
      </c>
      <c r="H487" s="42" t="s">
        <v>40</v>
      </c>
      <c r="I487" s="158"/>
      <c r="J487" s="30">
        <v>3048.05</v>
      </c>
      <c r="K487" s="30">
        <v>1154.72</v>
      </c>
      <c r="L487" s="30">
        <f t="shared" si="46"/>
        <v>3048.05</v>
      </c>
      <c r="M487" s="30">
        <f t="shared" si="46"/>
        <v>1154.72</v>
      </c>
      <c r="N487" s="30">
        <f>ROUND('Смета ЕР (общ) '!$I487*'Смета ЕР (общ) '!$L487,2)</f>
        <v>0</v>
      </c>
      <c r="O487" s="30">
        <f>ROUND('Смета ЕР (общ) '!$I487*'Смета ЕР (общ) '!$M487,2)</f>
        <v>0</v>
      </c>
      <c r="P487" s="45"/>
    </row>
    <row r="488" spans="1:20" ht="24" hidden="1" x14ac:dyDescent="0.3">
      <c r="A488" s="26" t="s">
        <v>279</v>
      </c>
      <c r="B488" s="26">
        <v>6</v>
      </c>
      <c r="C488" s="26">
        <v>2</v>
      </c>
      <c r="D488" s="26">
        <f t="shared" si="47"/>
        <v>10</v>
      </c>
      <c r="E488" s="26" t="str">
        <f>CONCATENATE('Смета ЕР (общ) '!$A488,".",'Смета ЕР (общ) '!$B488,".",C488,".",'Смета ЕР (общ) '!$D488)</f>
        <v>Р3.6.2.10</v>
      </c>
      <c r="F488" s="26">
        <f t="shared" si="42"/>
        <v>1</v>
      </c>
      <c r="G488" s="41" t="s">
        <v>531</v>
      </c>
      <c r="H488" s="42" t="s">
        <v>40</v>
      </c>
      <c r="I488" s="158"/>
      <c r="J488" s="30">
        <v>3048.05</v>
      </c>
      <c r="K488" s="30">
        <v>6223.62</v>
      </c>
      <c r="L488" s="30">
        <f t="shared" si="46"/>
        <v>3048.05</v>
      </c>
      <c r="M488" s="30">
        <f t="shared" si="46"/>
        <v>6223.62</v>
      </c>
      <c r="N488" s="30">
        <f>ROUND('Смета ЕР (общ) '!$I488*'Смета ЕР (общ) '!$L488,2)</f>
        <v>0</v>
      </c>
      <c r="O488" s="30">
        <f>ROUND('Смета ЕР (общ) '!$I488*'Смета ЕР (общ) '!$M488,2)</f>
        <v>0</v>
      </c>
      <c r="P488" s="45"/>
    </row>
    <row r="489" spans="1:20" ht="24" hidden="1" x14ac:dyDescent="0.3">
      <c r="A489" s="26" t="s">
        <v>279</v>
      </c>
      <c r="B489" s="26">
        <v>6</v>
      </c>
      <c r="C489" s="26">
        <v>2</v>
      </c>
      <c r="D489" s="26">
        <f t="shared" si="47"/>
        <v>11</v>
      </c>
      <c r="E489" s="26" t="str">
        <f>CONCATENATE('Смета ЕР (общ) '!$A489,".",'Смета ЕР (общ) '!$B489,".",C489,".",'Смета ЕР (общ) '!$D489)</f>
        <v>Р3.6.2.11</v>
      </c>
      <c r="F489" s="26">
        <f t="shared" si="42"/>
        <v>1</v>
      </c>
      <c r="G489" s="41" t="s">
        <v>532</v>
      </c>
      <c r="H489" s="42" t="s">
        <v>40</v>
      </c>
      <c r="I489" s="158"/>
      <c r="J489" s="30">
        <v>3048.05</v>
      </c>
      <c r="K489" s="30">
        <v>1564.64</v>
      </c>
      <c r="L489" s="30">
        <f t="shared" si="46"/>
        <v>3048.05</v>
      </c>
      <c r="M489" s="30">
        <f t="shared" si="46"/>
        <v>1564.64</v>
      </c>
      <c r="N489" s="30">
        <f>ROUND('Смета ЕР (общ) '!$I489*'Смета ЕР (общ) '!$L489,2)</f>
        <v>0</v>
      </c>
      <c r="O489" s="30">
        <f>ROUND('Смета ЕР (общ) '!$I489*'Смета ЕР (общ) '!$M489,2)</f>
        <v>0</v>
      </c>
      <c r="P489" s="45"/>
    </row>
    <row r="490" spans="1:20" ht="24" hidden="1" x14ac:dyDescent="0.3">
      <c r="A490" s="26" t="s">
        <v>279</v>
      </c>
      <c r="B490" s="26">
        <v>6</v>
      </c>
      <c r="C490" s="26">
        <v>2</v>
      </c>
      <c r="D490" s="26">
        <f t="shared" si="47"/>
        <v>12</v>
      </c>
      <c r="E490" s="26" t="str">
        <f>CONCATENATE('Смета ЕР (общ) '!$A490,".",'Смета ЕР (общ) '!$B490,".",C490,".",'Смета ЕР (общ) '!$D490)</f>
        <v>Р3.6.2.12</v>
      </c>
      <c r="F490" s="26">
        <f t="shared" si="42"/>
        <v>1</v>
      </c>
      <c r="G490" s="41" t="s">
        <v>533</v>
      </c>
      <c r="H490" s="42" t="s">
        <v>40</v>
      </c>
      <c r="I490" s="158"/>
      <c r="J490" s="30">
        <v>3048.05</v>
      </c>
      <c r="K490" s="30">
        <v>3300.44</v>
      </c>
      <c r="L490" s="30">
        <f t="shared" si="46"/>
        <v>3048.05</v>
      </c>
      <c r="M490" s="30">
        <f t="shared" si="46"/>
        <v>3300.44</v>
      </c>
      <c r="N490" s="30">
        <f>ROUND('Смета ЕР (общ) '!$I490*'Смета ЕР (общ) '!$L490,2)</f>
        <v>0</v>
      </c>
      <c r="O490" s="30">
        <f>ROUND('Смета ЕР (общ) '!$I490*'Смета ЕР (общ) '!$M490,2)</f>
        <v>0</v>
      </c>
      <c r="P490" s="45" t="s">
        <v>534</v>
      </c>
    </row>
    <row r="491" spans="1:20" ht="24" hidden="1" x14ac:dyDescent="0.3">
      <c r="A491" s="26" t="s">
        <v>279</v>
      </c>
      <c r="B491" s="26">
        <v>6</v>
      </c>
      <c r="C491" s="26">
        <v>2</v>
      </c>
      <c r="D491" s="26">
        <f t="shared" si="47"/>
        <v>13</v>
      </c>
      <c r="E491" s="26" t="str">
        <f>CONCATENATE('Смета ЕР (общ) '!$A491,".",'Смета ЕР (общ) '!$B491,".",C491,".",'Смета ЕР (общ) '!$D491)</f>
        <v>Р3.6.2.13</v>
      </c>
      <c r="F491" s="26">
        <f t="shared" si="42"/>
        <v>1</v>
      </c>
      <c r="G491" s="41" t="s">
        <v>535</v>
      </c>
      <c r="H491" s="42" t="s">
        <v>40</v>
      </c>
      <c r="I491" s="158"/>
      <c r="J491" s="30">
        <v>3048.05</v>
      </c>
      <c r="K491" s="30">
        <v>1974.61</v>
      </c>
      <c r="L491" s="30">
        <f t="shared" si="46"/>
        <v>3048.05</v>
      </c>
      <c r="M491" s="30">
        <f t="shared" si="46"/>
        <v>1974.61</v>
      </c>
      <c r="N491" s="30">
        <f>ROUND('Смета ЕР (общ) '!$I491*'Смета ЕР (общ) '!$L491,2)</f>
        <v>0</v>
      </c>
      <c r="O491" s="30">
        <f>ROUND('Смета ЕР (общ) '!$I491*'Смета ЕР (общ) '!$M491,2)</f>
        <v>0</v>
      </c>
      <c r="P491" s="45"/>
    </row>
    <row r="492" spans="1:20" ht="24" hidden="1" x14ac:dyDescent="0.3">
      <c r="A492" s="26" t="s">
        <v>279</v>
      </c>
      <c r="B492" s="26">
        <v>6</v>
      </c>
      <c r="C492" s="26">
        <v>2</v>
      </c>
      <c r="D492" s="26">
        <f t="shared" si="47"/>
        <v>14</v>
      </c>
      <c r="E492" s="26" t="str">
        <f>CONCATENATE('Смета ЕР (общ) '!$A492,".",'Смета ЕР (общ) '!$B492,".",C492,".",'Смета ЕР (общ) '!$D492)</f>
        <v>Р3.6.2.14</v>
      </c>
      <c r="F492" s="26">
        <f t="shared" si="42"/>
        <v>1</v>
      </c>
      <c r="G492" s="41" t="s">
        <v>536</v>
      </c>
      <c r="H492" s="42" t="s">
        <v>40</v>
      </c>
      <c r="I492" s="158"/>
      <c r="J492" s="30">
        <v>3048.05</v>
      </c>
      <c r="K492" s="30">
        <v>2659.42</v>
      </c>
      <c r="L492" s="30">
        <f t="shared" si="46"/>
        <v>3048.05</v>
      </c>
      <c r="M492" s="30">
        <f t="shared" si="46"/>
        <v>2659.42</v>
      </c>
      <c r="N492" s="30">
        <f>ROUND('Смета ЕР (общ) '!$I492*'Смета ЕР (общ) '!$L492,2)</f>
        <v>0</v>
      </c>
      <c r="O492" s="30">
        <f>ROUND('Смета ЕР (общ) '!$I492*'Смета ЕР (общ) '!$M492,2)</f>
        <v>0</v>
      </c>
      <c r="P492" s="45"/>
    </row>
    <row r="493" spans="1:20" ht="24" hidden="1" x14ac:dyDescent="0.3">
      <c r="A493" s="26" t="s">
        <v>279</v>
      </c>
      <c r="B493" s="26">
        <v>6</v>
      </c>
      <c r="C493" s="26">
        <v>2</v>
      </c>
      <c r="D493" s="26">
        <f t="shared" si="47"/>
        <v>15</v>
      </c>
      <c r="E493" s="26" t="str">
        <f>CONCATENATE('Смета ЕР (общ) '!$A493,".",'Смета ЕР (общ) '!$B493,".",C493,".",'Смета ЕР (общ) '!$D493)</f>
        <v>Р3.6.2.15</v>
      </c>
      <c r="F493" s="26">
        <f t="shared" si="42"/>
        <v>1</v>
      </c>
      <c r="G493" s="41" t="s">
        <v>537</v>
      </c>
      <c r="H493" s="42" t="s">
        <v>40</v>
      </c>
      <c r="I493" s="158"/>
      <c r="J493" s="30">
        <v>3048.05</v>
      </c>
      <c r="K493" s="30">
        <f>'[14]Kerama Marazzi'!C9</f>
        <v>2044.7280000000003</v>
      </c>
      <c r="L493" s="30">
        <f t="shared" si="46"/>
        <v>3048.05</v>
      </c>
      <c r="M493" s="54">
        <f>K493</f>
        <v>2044.7280000000003</v>
      </c>
      <c r="N493" s="30">
        <f>ROUND('Смета ЕР (общ) '!$I493*'Смета ЕР (общ) '!$L493,2)</f>
        <v>0</v>
      </c>
      <c r="O493" s="30">
        <f>ROUND('Смета ЕР (общ) '!$I493*'Смета ЕР (общ) '!$M493,2)</f>
        <v>0</v>
      </c>
      <c r="P493" s="55" t="s">
        <v>538</v>
      </c>
      <c r="Q493" s="56"/>
      <c r="T493">
        <v>214</v>
      </c>
    </row>
    <row r="494" spans="1:20" ht="24.6" hidden="1" x14ac:dyDescent="0.3">
      <c r="A494" s="26" t="s">
        <v>279</v>
      </c>
      <c r="B494" s="26">
        <v>6</v>
      </c>
      <c r="C494" s="26">
        <v>2</v>
      </c>
      <c r="D494" s="26">
        <f t="shared" si="47"/>
        <v>16</v>
      </c>
      <c r="E494" s="26" t="str">
        <f>CONCATENATE('Смета ЕР (общ) '!$A494,".",'Смета ЕР (общ) '!$B494,".",C494,".",'Смета ЕР (общ) '!$D494)</f>
        <v>Р3.6.2.16</v>
      </c>
      <c r="F494" s="26">
        <f t="shared" si="42"/>
        <v>1</v>
      </c>
      <c r="G494" s="41" t="s">
        <v>539</v>
      </c>
      <c r="H494" s="42" t="s">
        <v>40</v>
      </c>
      <c r="I494" s="158"/>
      <c r="J494" s="30">
        <v>3048.05</v>
      </c>
      <c r="K494" s="30">
        <v>1390</v>
      </c>
      <c r="L494" s="30">
        <f t="shared" si="46"/>
        <v>3048.05</v>
      </c>
      <c r="M494" s="30">
        <f t="shared" si="46"/>
        <v>1390</v>
      </c>
      <c r="N494" s="30">
        <f>ROUND('Смета ЕР (общ) '!$I494*'Смета ЕР (общ) '!$L494,2)</f>
        <v>0</v>
      </c>
      <c r="O494" s="30">
        <f>ROUND('Смета ЕР (общ) '!$I494*'Смета ЕР (общ) '!$M494,2)</f>
        <v>0</v>
      </c>
      <c r="P494" s="45" t="s">
        <v>540</v>
      </c>
    </row>
    <row r="495" spans="1:20" ht="24" hidden="1" x14ac:dyDescent="0.3">
      <c r="A495" s="26" t="s">
        <v>279</v>
      </c>
      <c r="B495" s="26">
        <v>6</v>
      </c>
      <c r="C495" s="26">
        <v>2</v>
      </c>
      <c r="D495" s="26">
        <f t="shared" si="47"/>
        <v>17</v>
      </c>
      <c r="E495" s="26" t="str">
        <f>CONCATENATE('Смета ЕР (общ) '!$A495,".",'Смета ЕР (общ) '!$B495,".",C495,".",'Смета ЕР (общ) '!$D495)</f>
        <v>Р3.6.2.17</v>
      </c>
      <c r="F495" s="26">
        <f t="shared" si="42"/>
        <v>1</v>
      </c>
      <c r="G495" s="27" t="s">
        <v>541</v>
      </c>
      <c r="H495" s="28" t="s">
        <v>147</v>
      </c>
      <c r="I495" s="158"/>
      <c r="J495" s="30">
        <v>297.58</v>
      </c>
      <c r="K495" s="30">
        <v>722.82</v>
      </c>
      <c r="L495" s="30">
        <f t="shared" si="46"/>
        <v>297.58</v>
      </c>
      <c r="M495" s="30">
        <f t="shared" si="46"/>
        <v>722.82</v>
      </c>
      <c r="N495" s="30">
        <f>ROUND('Смета ЕР (общ) '!$I495*'Смета ЕР (общ) '!$L495,2)</f>
        <v>0</v>
      </c>
      <c r="O495" s="30">
        <f>ROUND('Смета ЕР (общ) '!$I495*'Смета ЕР (общ) '!$M495,2)</f>
        <v>0</v>
      </c>
      <c r="P495" s="45"/>
    </row>
    <row r="496" spans="1:20" ht="24" hidden="1" x14ac:dyDescent="0.3">
      <c r="A496" s="46" t="s">
        <v>279</v>
      </c>
      <c r="B496" s="46">
        <v>6</v>
      </c>
      <c r="C496" s="46">
        <v>2</v>
      </c>
      <c r="D496" s="46">
        <f t="shared" si="47"/>
        <v>18</v>
      </c>
      <c r="E496" s="46" t="str">
        <f>CONCATENATE('Смета ЕР (общ) '!$A496,".",'Смета ЕР (общ) '!$B496,".",C496,".",'Смета ЕР (общ) '!$D496)</f>
        <v>Р3.6.2.18</v>
      </c>
      <c r="F496" s="46">
        <f t="shared" si="42"/>
        <v>1</v>
      </c>
      <c r="G496" s="58" t="s">
        <v>542</v>
      </c>
      <c r="H496" s="48" t="s">
        <v>147</v>
      </c>
      <c r="I496" s="158"/>
      <c r="J496" s="30">
        <v>330.6</v>
      </c>
      <c r="K496" s="30">
        <v>345.95</v>
      </c>
      <c r="L496" s="50">
        <f t="shared" si="46"/>
        <v>330.6</v>
      </c>
      <c r="M496" s="50">
        <f t="shared" si="46"/>
        <v>345.95</v>
      </c>
      <c r="N496" s="50">
        <f>ROUND('Смета ЕР (общ) '!$I496*'Смета ЕР (общ) '!$L496,2)</f>
        <v>0</v>
      </c>
      <c r="O496" s="50">
        <f>ROUND('Смета ЕР (общ) '!$I496*'Смета ЕР (общ) '!$M496,2)</f>
        <v>0</v>
      </c>
      <c r="P496" s="45"/>
    </row>
    <row r="497" spans="1:20" ht="24" hidden="1" x14ac:dyDescent="0.3">
      <c r="A497" s="46" t="s">
        <v>279</v>
      </c>
      <c r="B497" s="46">
        <v>6</v>
      </c>
      <c r="C497" s="46">
        <v>2</v>
      </c>
      <c r="D497" s="46">
        <f t="shared" si="47"/>
        <v>19</v>
      </c>
      <c r="E497" s="46" t="str">
        <f>CONCATENATE('Смета ЕР (общ) '!$A497,".",'Смета ЕР (общ) '!$B497,".",C497,".",'Смета ЕР (общ) '!$D497)</f>
        <v>Р3.6.2.19</v>
      </c>
      <c r="F497" s="46">
        <f t="shared" si="42"/>
        <v>1</v>
      </c>
      <c r="G497" s="58" t="s">
        <v>543</v>
      </c>
      <c r="H497" s="28" t="s">
        <v>40</v>
      </c>
      <c r="I497" s="158"/>
      <c r="J497" s="30">
        <v>535.91999999999996</v>
      </c>
      <c r="K497" s="30">
        <f>'[14]Ковровая плитка'!F23</f>
        <v>4070.6111249999999</v>
      </c>
      <c r="L497" s="30">
        <f t="shared" si="46"/>
        <v>535.91999999999996</v>
      </c>
      <c r="M497" s="54">
        <f>K497</f>
        <v>4070.6111249999999</v>
      </c>
      <c r="N497" s="30">
        <f>ROUND('Смета ЕР (общ) '!$I497*'Смета ЕР (общ) '!$L497,2)</f>
        <v>0</v>
      </c>
      <c r="O497" s="50">
        <f>ROUND('Смета ЕР (общ) '!$I497*'Смета ЕР (общ) '!$M497,2)</f>
        <v>0</v>
      </c>
      <c r="P497" s="57" t="s">
        <v>544</v>
      </c>
      <c r="Q497" s="56"/>
      <c r="T497">
        <v>1</v>
      </c>
    </row>
    <row r="498" spans="1:20" ht="24" hidden="1" x14ac:dyDescent="0.3">
      <c r="A498" s="46" t="s">
        <v>279</v>
      </c>
      <c r="B498" s="46">
        <v>6</v>
      </c>
      <c r="C498" s="46">
        <v>2</v>
      </c>
      <c r="D498" s="46">
        <f t="shared" si="47"/>
        <v>20</v>
      </c>
      <c r="E498" s="46" t="str">
        <f>CONCATENATE('Смета ЕР (общ) '!$A498,".",'Смета ЕР (общ) '!$B498,".",C498,".",'Смета ЕР (общ) '!$D498)</f>
        <v>Р3.6.2.20</v>
      </c>
      <c r="F498" s="46">
        <f t="shared" si="42"/>
        <v>1</v>
      </c>
      <c r="G498" s="58" t="s">
        <v>545</v>
      </c>
      <c r="H498" s="28" t="s">
        <v>40</v>
      </c>
      <c r="I498" s="158"/>
      <c r="J498" s="30">
        <v>535.91999999999996</v>
      </c>
      <c r="K498" s="30">
        <f>'[14]Ковровая плитка'!F23</f>
        <v>4070.6111249999999</v>
      </c>
      <c r="L498" s="30">
        <f t="shared" si="46"/>
        <v>535.91999999999996</v>
      </c>
      <c r="M498" s="54">
        <f t="shared" ref="M498:M501" si="48">K498</f>
        <v>4070.6111249999999</v>
      </c>
      <c r="N498" s="30">
        <f>ROUND('Смета ЕР (общ) '!$I498*'Смета ЕР (общ) '!$L498,2)</f>
        <v>0</v>
      </c>
      <c r="O498" s="50">
        <f>ROUND('Смета ЕР (общ) '!$I498*'Смета ЕР (общ) '!$M498,2)</f>
        <v>0</v>
      </c>
      <c r="P498" s="57" t="s">
        <v>546</v>
      </c>
      <c r="Q498" s="56"/>
      <c r="T498">
        <v>1</v>
      </c>
    </row>
    <row r="499" spans="1:20" ht="24" hidden="1" x14ac:dyDescent="0.3">
      <c r="A499" s="46" t="s">
        <v>279</v>
      </c>
      <c r="B499" s="46">
        <v>6</v>
      </c>
      <c r="C499" s="46">
        <v>2</v>
      </c>
      <c r="D499" s="46">
        <f t="shared" si="47"/>
        <v>21</v>
      </c>
      <c r="E499" s="46" t="str">
        <f>CONCATENATE('Смета ЕР (общ) '!$A499,".",'Смета ЕР (общ) '!$B499,".",C499,".",'Смета ЕР (общ) '!$D499)</f>
        <v>Р3.6.2.21</v>
      </c>
      <c r="F499" s="46">
        <f t="shared" si="42"/>
        <v>1</v>
      </c>
      <c r="G499" s="58" t="s">
        <v>547</v>
      </c>
      <c r="H499" s="28" t="s">
        <v>40</v>
      </c>
      <c r="I499" s="158"/>
      <c r="J499" s="30">
        <v>535.91999999999996</v>
      </c>
      <c r="K499" s="30">
        <f>'[14]Ковровая плитка'!F23</f>
        <v>4070.6111249999999</v>
      </c>
      <c r="L499" s="30">
        <f t="shared" si="46"/>
        <v>535.91999999999996</v>
      </c>
      <c r="M499" s="54">
        <f t="shared" si="48"/>
        <v>4070.6111249999999</v>
      </c>
      <c r="N499" s="30">
        <f>ROUND('Смета ЕР (общ) '!$I499*'Смета ЕР (общ) '!$L499,2)</f>
        <v>0</v>
      </c>
      <c r="O499" s="50">
        <f>ROUND('Смета ЕР (общ) '!$I499*'Смета ЕР (общ) '!$M499,2)</f>
        <v>0</v>
      </c>
      <c r="P499" s="57" t="s">
        <v>548</v>
      </c>
      <c r="Q499" s="56"/>
      <c r="T499">
        <v>1</v>
      </c>
    </row>
    <row r="500" spans="1:20" ht="24" hidden="1" x14ac:dyDescent="0.3">
      <c r="A500" s="46" t="s">
        <v>279</v>
      </c>
      <c r="B500" s="46">
        <v>6</v>
      </c>
      <c r="C500" s="46">
        <v>2</v>
      </c>
      <c r="D500" s="46">
        <f t="shared" si="47"/>
        <v>22</v>
      </c>
      <c r="E500" s="46" t="str">
        <f>CONCATENATE('Смета ЕР (общ) '!$A500,".",'Смета ЕР (общ) '!$B500,".",C500,".",'Смета ЕР (общ) '!$D500)</f>
        <v>Р3.6.2.22</v>
      </c>
      <c r="F500" s="46">
        <f t="shared" si="42"/>
        <v>1</v>
      </c>
      <c r="G500" s="58" t="s">
        <v>549</v>
      </c>
      <c r="H500" s="28" t="s">
        <v>40</v>
      </c>
      <c r="I500" s="158"/>
      <c r="J500" s="30">
        <v>535.91999999999996</v>
      </c>
      <c r="K500" s="30">
        <f>'[14]Ковровая плитка'!F32</f>
        <v>4070.6111249999999</v>
      </c>
      <c r="L500" s="30">
        <f t="shared" si="46"/>
        <v>535.91999999999996</v>
      </c>
      <c r="M500" s="54">
        <f t="shared" si="48"/>
        <v>4070.6111249999999</v>
      </c>
      <c r="N500" s="30">
        <f>ROUND('Смета ЕР (общ) '!$I500*'Смета ЕР (общ) '!$L500,2)</f>
        <v>0</v>
      </c>
      <c r="O500" s="50">
        <f>ROUND('Смета ЕР (общ) '!$I500*'Смета ЕР (общ) '!$M500,2)</f>
        <v>0</v>
      </c>
      <c r="P500" s="57" t="s">
        <v>550</v>
      </c>
      <c r="Q500" s="56"/>
      <c r="T500">
        <v>1</v>
      </c>
    </row>
    <row r="501" spans="1:20" ht="24" hidden="1" x14ac:dyDescent="0.3">
      <c r="A501" s="46" t="s">
        <v>279</v>
      </c>
      <c r="B501" s="46">
        <v>6</v>
      </c>
      <c r="C501" s="46">
        <v>2</v>
      </c>
      <c r="D501" s="46">
        <f t="shared" si="47"/>
        <v>23</v>
      </c>
      <c r="E501" s="46" t="str">
        <f>CONCATENATE('Смета ЕР (общ) '!$A501,".",'Смета ЕР (общ) '!$B501,".",C501,".",'Смета ЕР (общ) '!$D501)</f>
        <v>Р3.6.2.23</v>
      </c>
      <c r="F501" s="46">
        <f t="shared" si="42"/>
        <v>1</v>
      </c>
      <c r="G501" s="58" t="s">
        <v>551</v>
      </c>
      <c r="H501" s="28" t="s">
        <v>40</v>
      </c>
      <c r="I501" s="158"/>
      <c r="J501" s="30">
        <v>535.91999999999996</v>
      </c>
      <c r="K501" s="30">
        <f>'[14]ПВХ '!F19</f>
        <v>3175.6567500000001</v>
      </c>
      <c r="L501" s="30">
        <f t="shared" si="46"/>
        <v>535.91999999999996</v>
      </c>
      <c r="M501" s="54">
        <f t="shared" si="48"/>
        <v>3175.6567500000001</v>
      </c>
      <c r="N501" s="30">
        <f>ROUND('Смета ЕР (общ) '!$I501*'Смета ЕР (общ) '!$L501,2)</f>
        <v>0</v>
      </c>
      <c r="O501" s="50">
        <f>ROUND('Смета ЕР (общ) '!$I501*'Смета ЕР (общ) '!$M501,2)</f>
        <v>0</v>
      </c>
      <c r="P501" s="96" t="s">
        <v>552</v>
      </c>
      <c r="Q501" s="56"/>
      <c r="T501">
        <v>1</v>
      </c>
    </row>
    <row r="502" spans="1:20" ht="24" hidden="1" x14ac:dyDescent="0.3">
      <c r="A502" s="26" t="s">
        <v>279</v>
      </c>
      <c r="B502" s="26">
        <v>6</v>
      </c>
      <c r="C502" s="26">
        <v>2</v>
      </c>
      <c r="D502" s="26">
        <f t="shared" si="47"/>
        <v>24</v>
      </c>
      <c r="E502" s="26" t="str">
        <f>CONCATENATE('Смета ЕР (общ) '!$A502,".",'Смета ЕР (общ) '!$B502,".",C502,".",'Смета ЕР (общ) '!$D502)</f>
        <v>Р3.6.2.24</v>
      </c>
      <c r="F502" s="26">
        <f t="shared" si="42"/>
        <v>1</v>
      </c>
      <c r="G502" s="41" t="s">
        <v>553</v>
      </c>
      <c r="H502" s="28" t="s">
        <v>147</v>
      </c>
      <c r="I502" s="158"/>
      <c r="J502" s="30">
        <v>387.15</v>
      </c>
      <c r="K502" s="30">
        <v>345.95</v>
      </c>
      <c r="L502" s="30">
        <f t="shared" si="46"/>
        <v>387.15</v>
      </c>
      <c r="M502" s="30">
        <f t="shared" si="46"/>
        <v>345.95</v>
      </c>
      <c r="N502" s="30">
        <f>ROUND('Смета ЕР (общ) '!$I502*'Смета ЕР (общ) '!$L502,2)</f>
        <v>0</v>
      </c>
      <c r="O502" s="30">
        <f>ROUND('Смета ЕР (общ) '!$I502*'Смета ЕР (общ) '!$M502,2)</f>
        <v>0</v>
      </c>
      <c r="P502" s="45"/>
    </row>
    <row r="503" spans="1:20" ht="24" hidden="1" x14ac:dyDescent="0.3">
      <c r="A503" s="26" t="s">
        <v>279</v>
      </c>
      <c r="B503" s="26">
        <v>6</v>
      </c>
      <c r="C503" s="26">
        <v>2</v>
      </c>
      <c r="D503" s="26">
        <f t="shared" si="47"/>
        <v>25</v>
      </c>
      <c r="E503" s="26" t="str">
        <f>CONCATENATE('Смета ЕР (общ) '!$A503,".",'Смета ЕР (общ) '!$B503,".",C503,".",'Смета ЕР (общ) '!$D503)</f>
        <v>Р3.6.2.25</v>
      </c>
      <c r="F503" s="26">
        <f t="shared" si="42"/>
        <v>1</v>
      </c>
      <c r="G503" s="27" t="s">
        <v>554</v>
      </c>
      <c r="H503" s="28" t="s">
        <v>40</v>
      </c>
      <c r="I503" s="158"/>
      <c r="J503" s="30">
        <v>221.85</v>
      </c>
      <c r="K503" s="30">
        <v>71.17</v>
      </c>
      <c r="L503" s="30">
        <f t="shared" si="46"/>
        <v>221.85</v>
      </c>
      <c r="M503" s="30">
        <f t="shared" si="46"/>
        <v>71.17</v>
      </c>
      <c r="N503" s="30">
        <f>ROUND('Смета ЕР (общ) '!$I503*'Смета ЕР (общ) '!$L503,2)</f>
        <v>0</v>
      </c>
      <c r="O503" s="30">
        <f>ROUND('Смета ЕР (общ) '!$I503*'Смета ЕР (общ) '!$M503,2)</f>
        <v>0</v>
      </c>
      <c r="P503" s="29" t="s">
        <v>555</v>
      </c>
    </row>
    <row r="504" spans="1:20" ht="14.4" hidden="1" x14ac:dyDescent="0.3">
      <c r="A504" s="26" t="s">
        <v>279</v>
      </c>
      <c r="B504" s="26">
        <v>6</v>
      </c>
      <c r="C504" s="26">
        <v>2</v>
      </c>
      <c r="D504" s="26">
        <f t="shared" si="47"/>
        <v>26</v>
      </c>
      <c r="E504" s="26" t="str">
        <f>CONCATENATE('Смета ЕР (общ) '!$A504,".",'Смета ЕР (общ) '!$B504,".",C504,".",'Смета ЕР (общ) '!$D504)</f>
        <v>Р3.6.2.26</v>
      </c>
      <c r="F504" s="26">
        <f t="shared" si="42"/>
        <v>1</v>
      </c>
      <c r="G504" s="41" t="s">
        <v>556</v>
      </c>
      <c r="H504" s="42" t="s">
        <v>40</v>
      </c>
      <c r="I504" s="158"/>
      <c r="J504" s="30">
        <v>535.91999999999996</v>
      </c>
      <c r="K504" s="30">
        <v>3393</v>
      </c>
      <c r="L504" s="30">
        <f t="shared" si="46"/>
        <v>535.91999999999996</v>
      </c>
      <c r="M504" s="30">
        <f t="shared" si="46"/>
        <v>3393</v>
      </c>
      <c r="N504" s="30">
        <f>ROUND('Смета ЕР (общ) '!$I504*'Смета ЕР (общ) '!$L504,2)</f>
        <v>0</v>
      </c>
      <c r="O504" s="30">
        <f>ROUND('Смета ЕР (общ) '!$I504*'Смета ЕР (общ) '!$M504,2)</f>
        <v>0</v>
      </c>
      <c r="P504" s="45"/>
    </row>
    <row r="505" spans="1:20" ht="24" hidden="1" x14ac:dyDescent="0.3">
      <c r="A505" s="26" t="s">
        <v>279</v>
      </c>
      <c r="B505" s="26">
        <v>6</v>
      </c>
      <c r="C505" s="26">
        <v>2</v>
      </c>
      <c r="D505" s="26">
        <f t="shared" si="47"/>
        <v>27</v>
      </c>
      <c r="E505" s="26" t="str">
        <f>CONCATENATE('Смета ЕР (общ) '!$A505,".",'Смета ЕР (общ) '!$B505,".",C505,".",'Смета ЕР (общ) '!$D505)</f>
        <v>Р3.6.2.27</v>
      </c>
      <c r="F505" s="26">
        <f t="shared" si="42"/>
        <v>1</v>
      </c>
      <c r="G505" s="41" t="s">
        <v>557</v>
      </c>
      <c r="H505" s="42" t="s">
        <v>40</v>
      </c>
      <c r="I505" s="158"/>
      <c r="J505" s="30">
        <v>535.91999999999996</v>
      </c>
      <c r="K505" s="30">
        <v>3377.4</v>
      </c>
      <c r="L505" s="30">
        <f t="shared" si="46"/>
        <v>535.91999999999996</v>
      </c>
      <c r="M505" s="30">
        <f t="shared" si="46"/>
        <v>3377.4</v>
      </c>
      <c r="N505" s="30">
        <f>ROUND('Смета ЕР (общ) '!$I505*'Смета ЕР (общ) '!$L505,2)</f>
        <v>0</v>
      </c>
      <c r="O505" s="30">
        <f>ROUND('Смета ЕР (общ) '!$I505*'Смета ЕР (общ) '!$M505,2)</f>
        <v>0</v>
      </c>
      <c r="P505" s="45"/>
    </row>
    <row r="506" spans="1:20" ht="14.4" hidden="1" x14ac:dyDescent="0.3">
      <c r="A506" s="26" t="s">
        <v>279</v>
      </c>
      <c r="B506" s="26">
        <v>6</v>
      </c>
      <c r="C506" s="26">
        <v>2</v>
      </c>
      <c r="D506" s="26">
        <f t="shared" si="47"/>
        <v>28</v>
      </c>
      <c r="E506" s="26" t="str">
        <f>CONCATENATE('Смета ЕР (общ) '!$A506,".",'Смета ЕР (общ) '!$B506,".",C506,".",'Смета ЕР (общ) '!$D506)</f>
        <v>Р3.6.2.28</v>
      </c>
      <c r="F506" s="26">
        <f t="shared" si="42"/>
        <v>1</v>
      </c>
      <c r="G506" s="41" t="s">
        <v>558</v>
      </c>
      <c r="H506" s="42" t="s">
        <v>40</v>
      </c>
      <c r="I506" s="158"/>
      <c r="J506" s="30">
        <v>535.91999999999996</v>
      </c>
      <c r="K506" s="30">
        <v>3377.4</v>
      </c>
      <c r="L506" s="30">
        <f t="shared" si="46"/>
        <v>535.91999999999996</v>
      </c>
      <c r="M506" s="30">
        <f t="shared" si="46"/>
        <v>3377.4</v>
      </c>
      <c r="N506" s="30">
        <f>ROUND('Смета ЕР (общ) '!$I506*'Смета ЕР (общ) '!$L506,2)</f>
        <v>0</v>
      </c>
      <c r="O506" s="30">
        <f>ROUND('Смета ЕР (общ) '!$I506*'Смета ЕР (общ) '!$M506,2)</f>
        <v>0</v>
      </c>
      <c r="P506" s="45"/>
    </row>
    <row r="507" spans="1:20" ht="14.4" hidden="1" x14ac:dyDescent="0.3">
      <c r="A507" s="46" t="s">
        <v>279</v>
      </c>
      <c r="B507" s="46">
        <v>6</v>
      </c>
      <c r="C507" s="46">
        <v>2</v>
      </c>
      <c r="D507" s="46">
        <f t="shared" si="47"/>
        <v>29</v>
      </c>
      <c r="E507" s="46" t="str">
        <f>CONCATENATE('Смета ЕР (общ) '!$A507,".",'Смета ЕР (общ) '!$B507,".",C507,".",'Смета ЕР (общ) '!$D507)</f>
        <v>Р3.6.2.29</v>
      </c>
      <c r="F507" s="46">
        <f t="shared" si="42"/>
        <v>1</v>
      </c>
      <c r="G507" s="58" t="s">
        <v>559</v>
      </c>
      <c r="H507" s="60" t="s">
        <v>40</v>
      </c>
      <c r="I507" s="158"/>
      <c r="J507" s="30">
        <v>535.91999999999996</v>
      </c>
      <c r="K507" s="30">
        <v>2085.29</v>
      </c>
      <c r="L507" s="50">
        <f t="shared" si="46"/>
        <v>535.91999999999996</v>
      </c>
      <c r="M507" s="50">
        <f t="shared" si="46"/>
        <v>2085.29</v>
      </c>
      <c r="N507" s="50">
        <f>ROUND('Смета ЕР (общ) '!$I507*'Смета ЕР (общ) '!$L507,2)</f>
        <v>0</v>
      </c>
      <c r="O507" s="50">
        <f>ROUND('Смета ЕР (общ) '!$I507*'Смета ЕР (общ) '!$M507,2)</f>
        <v>0</v>
      </c>
      <c r="P507" s="45"/>
    </row>
    <row r="508" spans="1:20" ht="14.4" hidden="1" x14ac:dyDescent="0.3">
      <c r="A508" s="46" t="s">
        <v>279</v>
      </c>
      <c r="B508" s="46">
        <v>6</v>
      </c>
      <c r="C508" s="46">
        <v>2</v>
      </c>
      <c r="D508" s="46">
        <f t="shared" si="47"/>
        <v>30</v>
      </c>
      <c r="E508" s="46" t="str">
        <f>CONCATENATE('Смета ЕР (общ) '!$A508,".",'Смета ЕР (общ) '!$B508,".",C508,".",'Смета ЕР (общ) '!$D508)</f>
        <v>Р3.6.2.30</v>
      </c>
      <c r="F508" s="46">
        <f t="shared" si="42"/>
        <v>1</v>
      </c>
      <c r="G508" s="58" t="s">
        <v>560</v>
      </c>
      <c r="H508" s="60" t="s">
        <v>40</v>
      </c>
      <c r="I508" s="158"/>
      <c r="J508" s="30">
        <v>535.91999999999996</v>
      </c>
      <c r="K508" s="30">
        <v>2085.29</v>
      </c>
      <c r="L508" s="50">
        <f t="shared" si="46"/>
        <v>535.91999999999996</v>
      </c>
      <c r="M508" s="50">
        <f t="shared" si="46"/>
        <v>2085.29</v>
      </c>
      <c r="N508" s="50">
        <f>ROUND('Смета ЕР (общ) '!$I508*'Смета ЕР (общ) '!$L508,2)</f>
        <v>0</v>
      </c>
      <c r="O508" s="50">
        <f>ROUND('Смета ЕР (общ) '!$I508*'Смета ЕР (общ) '!$M508,2)</f>
        <v>0</v>
      </c>
      <c r="P508" s="45"/>
    </row>
    <row r="509" spans="1:20" ht="24" hidden="1" x14ac:dyDescent="0.3">
      <c r="A509" s="46" t="s">
        <v>279</v>
      </c>
      <c r="B509" s="46">
        <v>6</v>
      </c>
      <c r="C509" s="46">
        <v>2</v>
      </c>
      <c r="D509" s="46">
        <f t="shared" si="47"/>
        <v>31</v>
      </c>
      <c r="E509" s="46" t="str">
        <f>CONCATENATE('Смета ЕР (общ) '!$A509,".",'Смета ЕР (общ) '!$B509,".",C509,".",'Смета ЕР (общ) '!$D509)</f>
        <v>Р3.6.2.31</v>
      </c>
      <c r="F509" s="46">
        <f t="shared" si="42"/>
        <v>1</v>
      </c>
      <c r="G509" s="58" t="s">
        <v>561</v>
      </c>
      <c r="H509" s="60" t="s">
        <v>40</v>
      </c>
      <c r="I509" s="158"/>
      <c r="J509" s="30">
        <v>535.91999999999996</v>
      </c>
      <c r="K509" s="30">
        <v>3930</v>
      </c>
      <c r="L509" s="50">
        <f t="shared" si="46"/>
        <v>535.91999999999996</v>
      </c>
      <c r="M509" s="50">
        <f t="shared" si="46"/>
        <v>3930</v>
      </c>
      <c r="N509" s="50">
        <f>ROUND('Смета ЕР (общ) '!$I509*'Смета ЕР (общ) '!$L509,2)</f>
        <v>0</v>
      </c>
      <c r="O509" s="50">
        <f>ROUND('Смета ЕР (общ) '!$I509*'Смета ЕР (общ) '!$M509,2)</f>
        <v>0</v>
      </c>
      <c r="P509" s="45"/>
    </row>
    <row r="510" spans="1:20" ht="24" hidden="1" x14ac:dyDescent="0.3">
      <c r="A510" s="46" t="s">
        <v>279</v>
      </c>
      <c r="B510" s="46">
        <v>6</v>
      </c>
      <c r="C510" s="46">
        <v>2</v>
      </c>
      <c r="D510" s="46">
        <f t="shared" si="47"/>
        <v>32</v>
      </c>
      <c r="E510" s="46" t="str">
        <f>CONCATENATE('Смета ЕР (общ) '!$A510,".",'Смета ЕР (общ) '!$B510,".",C510,".",'Смета ЕР (общ) '!$D510)</f>
        <v>Р3.6.2.32</v>
      </c>
      <c r="F510" s="46">
        <f t="shared" si="42"/>
        <v>1</v>
      </c>
      <c r="G510" s="58" t="s">
        <v>562</v>
      </c>
      <c r="H510" s="60" t="s">
        <v>40</v>
      </c>
      <c r="I510" s="158"/>
      <c r="J510" s="30">
        <v>535.91999999999996</v>
      </c>
      <c r="K510" s="30">
        <v>3930</v>
      </c>
      <c r="L510" s="50">
        <f t="shared" ref="L510:M537" si="49">ROUND(J510-J510*$Q$3,2)</f>
        <v>535.91999999999996</v>
      </c>
      <c r="M510" s="50">
        <f t="shared" si="49"/>
        <v>3930</v>
      </c>
      <c r="N510" s="50">
        <f>ROUND('Смета ЕР (общ) '!$I510*'Смета ЕР (общ) '!$L510,2)</f>
        <v>0</v>
      </c>
      <c r="O510" s="50">
        <f>ROUND('Смета ЕР (общ) '!$I510*'Смета ЕР (общ) '!$M510,2)</f>
        <v>0</v>
      </c>
      <c r="P510" s="45"/>
    </row>
    <row r="511" spans="1:20" ht="14.4" hidden="1" x14ac:dyDescent="0.3">
      <c r="A511" s="46" t="s">
        <v>279</v>
      </c>
      <c r="B511" s="46">
        <v>6</v>
      </c>
      <c r="C511" s="46">
        <v>2</v>
      </c>
      <c r="D511" s="46">
        <f t="shared" si="47"/>
        <v>33</v>
      </c>
      <c r="E511" s="46" t="str">
        <f>CONCATENATE('Смета ЕР (общ) '!$A511,".",'Смета ЕР (общ) '!$B511,".",C511,".",'Смета ЕР (общ) '!$D511)</f>
        <v>Р3.6.2.33</v>
      </c>
      <c r="F511" s="46">
        <f t="shared" si="42"/>
        <v>1</v>
      </c>
      <c r="G511" s="58" t="s">
        <v>563</v>
      </c>
      <c r="H511" s="60" t="s">
        <v>40</v>
      </c>
      <c r="I511" s="158"/>
      <c r="J511" s="30">
        <v>543.75</v>
      </c>
      <c r="K511" s="30">
        <v>5140</v>
      </c>
      <c r="L511" s="50">
        <f t="shared" si="49"/>
        <v>543.75</v>
      </c>
      <c r="M511" s="50">
        <f t="shared" si="49"/>
        <v>5140</v>
      </c>
      <c r="N511" s="50">
        <f>ROUND('Смета ЕР (общ) '!$I511*'Смета ЕР (общ) '!$L511,2)</f>
        <v>0</v>
      </c>
      <c r="O511" s="50">
        <f>ROUND('Смета ЕР (общ) '!$I511*'Смета ЕР (общ) '!$M511,2)</f>
        <v>0</v>
      </c>
      <c r="P511" s="45"/>
    </row>
    <row r="512" spans="1:20" ht="24" hidden="1" x14ac:dyDescent="0.3">
      <c r="A512" s="46" t="s">
        <v>279</v>
      </c>
      <c r="B512" s="46">
        <v>6</v>
      </c>
      <c r="C512" s="46">
        <v>2</v>
      </c>
      <c r="D512" s="46">
        <f t="shared" si="47"/>
        <v>34</v>
      </c>
      <c r="E512" s="46" t="str">
        <f>CONCATENATE('Смета ЕР (общ) '!$A512,".",'Смета ЕР (общ) '!$B512,".",C512,".",'Смета ЕР (общ) '!$D512)</f>
        <v>Р3.6.2.34</v>
      </c>
      <c r="F512" s="46">
        <f t="shared" si="42"/>
        <v>1</v>
      </c>
      <c r="G512" s="58" t="s">
        <v>564</v>
      </c>
      <c r="H512" s="60" t="s">
        <v>40</v>
      </c>
      <c r="I512" s="158"/>
      <c r="J512" s="30">
        <v>543.75</v>
      </c>
      <c r="K512" s="30">
        <v>2670</v>
      </c>
      <c r="L512" s="50">
        <f t="shared" si="49"/>
        <v>543.75</v>
      </c>
      <c r="M512" s="50">
        <f t="shared" si="49"/>
        <v>2670</v>
      </c>
      <c r="N512" s="50">
        <f>ROUND('Смета ЕР (общ) '!$I512*'Смета ЕР (общ) '!$L512,2)</f>
        <v>0</v>
      </c>
      <c r="O512" s="50">
        <f>ROUND('Смета ЕР (общ) '!$I512*'Смета ЕР (общ) '!$M512,2)</f>
        <v>0</v>
      </c>
      <c r="P512" s="45"/>
    </row>
    <row r="513" spans="1:20" ht="14.4" hidden="1" x14ac:dyDescent="0.3">
      <c r="A513" s="26" t="s">
        <v>279</v>
      </c>
      <c r="B513" s="26">
        <v>6</v>
      </c>
      <c r="C513" s="26">
        <v>2</v>
      </c>
      <c r="D513" s="26">
        <f t="shared" si="47"/>
        <v>35</v>
      </c>
      <c r="E513" s="26" t="str">
        <f>CONCATENATE('Смета ЕР (общ) '!$A513,".",'Смета ЕР (общ) '!$B513,".",C513,".",'Смета ЕР (общ) '!$D513)</f>
        <v>Р3.6.2.35</v>
      </c>
      <c r="F513" s="26">
        <f t="shared" si="42"/>
        <v>1</v>
      </c>
      <c r="G513" s="41" t="s">
        <v>565</v>
      </c>
      <c r="H513" s="42" t="s">
        <v>40</v>
      </c>
      <c r="I513" s="158"/>
      <c r="J513" s="30">
        <v>535.91999999999996</v>
      </c>
      <c r="K513" s="30">
        <v>3393</v>
      </c>
      <c r="L513" s="30">
        <f t="shared" si="49"/>
        <v>535.91999999999996</v>
      </c>
      <c r="M513" s="30">
        <f t="shared" si="49"/>
        <v>3393</v>
      </c>
      <c r="N513" s="30">
        <f>ROUND('Смета ЕР (общ) '!$I513*'Смета ЕР (общ) '!$L513,2)</f>
        <v>0</v>
      </c>
      <c r="O513" s="30">
        <f>ROUND('Смета ЕР (общ) '!$I513*'Смета ЕР (общ) '!$M513,2)</f>
        <v>0</v>
      </c>
      <c r="P513" s="45"/>
    </row>
    <row r="514" spans="1:20" ht="14.4" hidden="1" x14ac:dyDescent="0.3">
      <c r="A514" s="26" t="s">
        <v>279</v>
      </c>
      <c r="B514" s="26">
        <v>6</v>
      </c>
      <c r="C514" s="26">
        <v>2</v>
      </c>
      <c r="D514" s="26">
        <f t="shared" si="47"/>
        <v>36</v>
      </c>
      <c r="E514" s="26" t="str">
        <f>CONCATENATE('Смета ЕР (общ) '!$A514,".",'Смета ЕР (общ) '!$B514,".",C514,".",'Смета ЕР (общ) '!$D514)</f>
        <v>Р3.6.2.36</v>
      </c>
      <c r="F514" s="26">
        <f t="shared" si="42"/>
        <v>1</v>
      </c>
      <c r="G514" s="41" t="s">
        <v>566</v>
      </c>
      <c r="H514" s="42" t="s">
        <v>40</v>
      </c>
      <c r="I514" s="158"/>
      <c r="J514" s="30">
        <v>535.91999999999996</v>
      </c>
      <c r="K514" s="30">
        <v>3041.71</v>
      </c>
      <c r="L514" s="30">
        <f t="shared" si="49"/>
        <v>535.91999999999996</v>
      </c>
      <c r="M514" s="30">
        <f t="shared" si="49"/>
        <v>3041.71</v>
      </c>
      <c r="N514" s="30">
        <f>ROUND('Смета ЕР (общ) '!$I514*'Смета ЕР (общ) '!$L514,2)</f>
        <v>0</v>
      </c>
      <c r="O514" s="30">
        <f>ROUND('Смета ЕР (общ) '!$I514*'Смета ЕР (общ) '!$M514,2)</f>
        <v>0</v>
      </c>
      <c r="P514" s="45"/>
    </row>
    <row r="515" spans="1:20" ht="14.4" hidden="1" x14ac:dyDescent="0.3">
      <c r="A515" s="26" t="s">
        <v>279</v>
      </c>
      <c r="B515" s="26">
        <v>6</v>
      </c>
      <c r="C515" s="26">
        <v>2</v>
      </c>
      <c r="D515" s="26">
        <f t="shared" si="47"/>
        <v>37</v>
      </c>
      <c r="E515" s="26" t="str">
        <f>CONCATENATE('Смета ЕР (общ) '!$A515,".",'Смета ЕР (общ) '!$B515,".",C515,".",'Смета ЕР (общ) '!$D515)</f>
        <v>Р3.6.2.37</v>
      </c>
      <c r="F515" s="26">
        <f t="shared" si="42"/>
        <v>1</v>
      </c>
      <c r="G515" s="41" t="s">
        <v>567</v>
      </c>
      <c r="H515" s="42" t="s">
        <v>40</v>
      </c>
      <c r="I515" s="158"/>
      <c r="J515" s="30">
        <v>535.91999999999996</v>
      </c>
      <c r="K515" s="30">
        <v>2818.33</v>
      </c>
      <c r="L515" s="30">
        <f t="shared" si="49"/>
        <v>535.91999999999996</v>
      </c>
      <c r="M515" s="30">
        <f t="shared" si="49"/>
        <v>2818.33</v>
      </c>
      <c r="N515" s="30">
        <f>ROUND('Смета ЕР (общ) '!$I515*'Смета ЕР (общ) '!$L515,2)</f>
        <v>0</v>
      </c>
      <c r="O515" s="30">
        <f>ROUND('Смета ЕР (общ) '!$I515*'Смета ЕР (общ) '!$M515,2)</f>
        <v>0</v>
      </c>
      <c r="P515" s="45"/>
    </row>
    <row r="516" spans="1:20" ht="14.4" hidden="1" x14ac:dyDescent="0.3">
      <c r="A516" s="26" t="s">
        <v>279</v>
      </c>
      <c r="B516" s="26">
        <v>6</v>
      </c>
      <c r="C516" s="26">
        <v>2</v>
      </c>
      <c r="D516" s="26">
        <f t="shared" si="47"/>
        <v>38</v>
      </c>
      <c r="E516" s="26" t="str">
        <f>CONCATENATE('Смета ЕР (общ) '!$A516,".",'Смета ЕР (общ) '!$B516,".",C516,".",'Смета ЕР (общ) '!$D516)</f>
        <v>Р3.6.2.38</v>
      </c>
      <c r="F516" s="26">
        <f t="shared" si="42"/>
        <v>1</v>
      </c>
      <c r="G516" s="41" t="s">
        <v>568</v>
      </c>
      <c r="H516" s="28" t="s">
        <v>147</v>
      </c>
      <c r="I516" s="158"/>
      <c r="J516" s="30">
        <v>339.3</v>
      </c>
      <c r="K516" s="30">
        <v>530.5</v>
      </c>
      <c r="L516" s="30">
        <f t="shared" si="49"/>
        <v>339.3</v>
      </c>
      <c r="M516" s="30">
        <f t="shared" si="49"/>
        <v>530.5</v>
      </c>
      <c r="N516" s="30">
        <f>ROUND('Смета ЕР (общ) '!$I516*'Смета ЕР (общ) '!$L516,2)</f>
        <v>0</v>
      </c>
      <c r="O516" s="30">
        <f>ROUND('Смета ЕР (общ) '!$I516*'Смета ЕР (общ) '!$M516,2)</f>
        <v>0</v>
      </c>
      <c r="P516" s="45"/>
    </row>
    <row r="517" spans="1:20" ht="14.4" hidden="1" x14ac:dyDescent="0.3">
      <c r="A517" s="26" t="s">
        <v>279</v>
      </c>
      <c r="B517" s="26">
        <v>6</v>
      </c>
      <c r="C517" s="26">
        <v>2</v>
      </c>
      <c r="D517" s="26">
        <f t="shared" si="47"/>
        <v>39</v>
      </c>
      <c r="E517" s="26" t="str">
        <f>CONCATENATE('Смета ЕР (общ) '!$A517,".",'Смета ЕР (общ) '!$B517,".",C517,".",'Смета ЕР (общ) '!$D517)</f>
        <v>Р3.6.2.39</v>
      </c>
      <c r="F517" s="26">
        <f t="shared" si="42"/>
        <v>1</v>
      </c>
      <c r="G517" s="41" t="s">
        <v>569</v>
      </c>
      <c r="H517" s="28" t="s">
        <v>147</v>
      </c>
      <c r="I517" s="158"/>
      <c r="J517" s="30">
        <v>380.02</v>
      </c>
      <c r="K517" s="30">
        <v>538.36</v>
      </c>
      <c r="L517" s="30">
        <f t="shared" si="49"/>
        <v>380.02</v>
      </c>
      <c r="M517" s="30">
        <f t="shared" si="49"/>
        <v>538.36</v>
      </c>
      <c r="N517" s="30">
        <f>ROUND('Смета ЕР (общ) '!$I517*'Смета ЕР (общ) '!$L517,2)</f>
        <v>0</v>
      </c>
      <c r="O517" s="30">
        <f>ROUND('Смета ЕР (общ) '!$I517*'Смета ЕР (общ) '!$M517,2)</f>
        <v>0</v>
      </c>
      <c r="P517" s="45"/>
    </row>
    <row r="518" spans="1:20" ht="24" hidden="1" x14ac:dyDescent="0.3">
      <c r="A518" s="82" t="s">
        <v>279</v>
      </c>
      <c r="B518" s="82">
        <v>6</v>
      </c>
      <c r="C518" s="82">
        <v>2</v>
      </c>
      <c r="D518" s="82">
        <f t="shared" si="47"/>
        <v>40</v>
      </c>
      <c r="E518" s="82" t="str">
        <f>CONCATENATE('Смета ЕР (общ) '!$A518,".",'Смета ЕР (общ) '!$B518,".",C518,".",'Смета ЕР (общ) '!$D518)</f>
        <v>Р3.6.2.40</v>
      </c>
      <c r="F518" s="82">
        <f t="shared" si="42"/>
        <v>1</v>
      </c>
      <c r="G518" s="83" t="s">
        <v>570</v>
      </c>
      <c r="H518" s="85" t="s">
        <v>40</v>
      </c>
      <c r="I518" s="162"/>
      <c r="J518" s="30">
        <v>406.29</v>
      </c>
      <c r="K518" s="30">
        <v>942.17</v>
      </c>
      <c r="L518" s="30">
        <f t="shared" si="49"/>
        <v>406.29</v>
      </c>
      <c r="M518" s="30">
        <f t="shared" si="49"/>
        <v>942.17</v>
      </c>
      <c r="N518" s="30">
        <f>ROUND('Смета ЕР (общ) '!$I518*'Смета ЕР (общ) '!$L518,2)</f>
        <v>0</v>
      </c>
      <c r="O518" s="30">
        <f>ROUND('Смета ЕР (общ) '!$I518*'Смета ЕР (общ) '!$M518,2)</f>
        <v>0</v>
      </c>
      <c r="P518" s="45"/>
    </row>
    <row r="519" spans="1:20" ht="14.4" hidden="1" x14ac:dyDescent="0.3">
      <c r="A519" s="26" t="s">
        <v>279</v>
      </c>
      <c r="B519" s="26">
        <v>6</v>
      </c>
      <c r="C519" s="26">
        <v>2</v>
      </c>
      <c r="D519" s="26">
        <f t="shared" si="47"/>
        <v>41</v>
      </c>
      <c r="E519" s="26" t="str">
        <f>CONCATENATE('Смета ЕР (общ) '!$A519,".",'Смета ЕР (общ) '!$B519,".",C519,".",'Смета ЕР (общ) '!$D519)</f>
        <v>Р3.6.2.41</v>
      </c>
      <c r="F519" s="26">
        <f t="shared" si="42"/>
        <v>1</v>
      </c>
      <c r="G519" s="41" t="s">
        <v>571</v>
      </c>
      <c r="H519" s="28" t="s">
        <v>147</v>
      </c>
      <c r="I519" s="158"/>
      <c r="J519" s="30">
        <v>297.58</v>
      </c>
      <c r="K519" s="30">
        <v>293.41000000000003</v>
      </c>
      <c r="L519" s="30">
        <f t="shared" si="49"/>
        <v>297.58</v>
      </c>
      <c r="M519" s="30">
        <f t="shared" si="49"/>
        <v>293.41000000000003</v>
      </c>
      <c r="N519" s="30">
        <f>ROUND('Смета ЕР (общ) '!$I519*'Смета ЕР (общ) '!$L519,2)</f>
        <v>0</v>
      </c>
      <c r="O519" s="30">
        <f>ROUND('Смета ЕР (общ) '!$I519*'Смета ЕР (общ) '!$M519,2)</f>
        <v>0</v>
      </c>
      <c r="P519" s="45"/>
    </row>
    <row r="520" spans="1:20" ht="24" hidden="1" x14ac:dyDescent="0.3">
      <c r="A520" s="46" t="s">
        <v>279</v>
      </c>
      <c r="B520" s="46">
        <v>6</v>
      </c>
      <c r="C520" s="46">
        <v>2</v>
      </c>
      <c r="D520" s="46">
        <f t="shared" si="47"/>
        <v>42</v>
      </c>
      <c r="E520" s="46" t="str">
        <f>CONCATENATE('Смета ЕР (общ) '!$A520,".",'Смета ЕР (общ) '!$B520,".",C520,".",'Смета ЕР (общ) '!$D520)</f>
        <v>Р3.6.2.42</v>
      </c>
      <c r="F520" s="46">
        <f t="shared" si="42"/>
        <v>1</v>
      </c>
      <c r="G520" s="47" t="s">
        <v>572</v>
      </c>
      <c r="H520" s="48" t="s">
        <v>147</v>
      </c>
      <c r="I520" s="158"/>
      <c r="J520" s="30">
        <v>317.55</v>
      </c>
      <c r="K520" s="30">
        <v>1034.6099999999999</v>
      </c>
      <c r="L520" s="50">
        <f t="shared" si="49"/>
        <v>317.55</v>
      </c>
      <c r="M520" s="50">
        <f t="shared" si="49"/>
        <v>1034.6099999999999</v>
      </c>
      <c r="N520" s="50">
        <f>ROUND('Смета ЕР (общ) '!$I520*'Смета ЕР (общ) '!$L520,2)</f>
        <v>0</v>
      </c>
      <c r="O520" s="50">
        <f>ROUND('Смета ЕР (общ) '!$I520*'Смета ЕР (общ) '!$M520,2)</f>
        <v>0</v>
      </c>
      <c r="P520" s="45"/>
    </row>
    <row r="521" spans="1:20" ht="24" hidden="1" x14ac:dyDescent="0.3">
      <c r="A521" s="26" t="s">
        <v>279</v>
      </c>
      <c r="B521" s="26">
        <v>6</v>
      </c>
      <c r="C521" s="26">
        <v>2</v>
      </c>
      <c r="D521" s="26">
        <f t="shared" si="47"/>
        <v>43</v>
      </c>
      <c r="E521" s="26" t="str">
        <f>CONCATENATE('Смета ЕР (общ) '!$A521,".",'Смета ЕР (общ) '!$B521,".",C521,".",'Смета ЕР (общ) '!$D521)</f>
        <v>Р3.6.2.43</v>
      </c>
      <c r="F521" s="26">
        <f t="shared" si="42"/>
        <v>1</v>
      </c>
      <c r="G521" s="41" t="s">
        <v>573</v>
      </c>
      <c r="H521" s="28" t="s">
        <v>147</v>
      </c>
      <c r="I521" s="158"/>
      <c r="J521" s="30">
        <v>434.3</v>
      </c>
      <c r="K521" s="30">
        <v>832.95</v>
      </c>
      <c r="L521" s="30">
        <f t="shared" si="49"/>
        <v>434.3</v>
      </c>
      <c r="M521" s="30">
        <f t="shared" si="49"/>
        <v>832.95</v>
      </c>
      <c r="N521" s="30">
        <f>ROUND('Смета ЕР (общ) '!$I521*'Смета ЕР (общ) '!$L521,2)</f>
        <v>0</v>
      </c>
      <c r="O521" s="30">
        <f>ROUND('Смета ЕР (общ) '!$I521*'Смета ЕР (общ) '!$M521,2)</f>
        <v>0</v>
      </c>
      <c r="P521" s="45" t="s">
        <v>574</v>
      </c>
      <c r="T521">
        <v>85</v>
      </c>
    </row>
    <row r="522" spans="1:20" ht="14.4" hidden="1" x14ac:dyDescent="0.3">
      <c r="A522" s="26" t="s">
        <v>279</v>
      </c>
      <c r="B522" s="26">
        <v>6</v>
      </c>
      <c r="C522" s="26">
        <v>2</v>
      </c>
      <c r="D522" s="26">
        <f t="shared" si="47"/>
        <v>44</v>
      </c>
      <c r="E522" s="26" t="str">
        <f>CONCATENATE('Смета ЕР (общ) '!$A522,".",'Смета ЕР (общ) '!$B522,".",C522,".",'Смета ЕР (общ) '!$D522)</f>
        <v>Р3.6.2.44</v>
      </c>
      <c r="F522" s="26">
        <f t="shared" si="42"/>
        <v>1</v>
      </c>
      <c r="G522" s="27" t="s">
        <v>575</v>
      </c>
      <c r="H522" s="28" t="s">
        <v>147</v>
      </c>
      <c r="I522" s="158"/>
      <c r="J522" s="30">
        <v>297.58</v>
      </c>
      <c r="K522" s="30">
        <v>1029.52</v>
      </c>
      <c r="L522" s="30">
        <f t="shared" si="49"/>
        <v>297.58</v>
      </c>
      <c r="M522" s="30">
        <f t="shared" si="49"/>
        <v>1029.52</v>
      </c>
      <c r="N522" s="30">
        <f>ROUND('Смета ЕР (общ) '!$I522*'Смета ЕР (общ) '!$L522,2)</f>
        <v>0</v>
      </c>
      <c r="O522" s="30">
        <f>ROUND('Смета ЕР (общ) '!$I522*'Смета ЕР (общ) '!$M522,2)</f>
        <v>0</v>
      </c>
      <c r="P522" s="45"/>
    </row>
    <row r="523" spans="1:20" ht="24" hidden="1" x14ac:dyDescent="0.3">
      <c r="A523" s="26" t="s">
        <v>279</v>
      </c>
      <c r="B523" s="26">
        <v>6</v>
      </c>
      <c r="C523" s="26">
        <v>2</v>
      </c>
      <c r="D523" s="26">
        <f t="shared" si="47"/>
        <v>45</v>
      </c>
      <c r="E523" s="26" t="str">
        <f>CONCATENATE('Смета ЕР (общ) '!$A523,".",'Смета ЕР (общ) '!$B523,".",C523,".",'Смета ЕР (общ) '!$D523)</f>
        <v>Р3.6.2.45</v>
      </c>
      <c r="F523" s="26">
        <f t="shared" si="42"/>
        <v>1</v>
      </c>
      <c r="G523" s="27" t="s">
        <v>576</v>
      </c>
      <c r="H523" s="28" t="s">
        <v>40</v>
      </c>
      <c r="I523" s="158"/>
      <c r="J523" s="30">
        <v>3262.5</v>
      </c>
      <c r="K523" s="30">
        <v>2257.54</v>
      </c>
      <c r="L523" s="30">
        <f t="shared" si="49"/>
        <v>3262.5</v>
      </c>
      <c r="M523" s="30">
        <f t="shared" si="49"/>
        <v>2257.54</v>
      </c>
      <c r="N523" s="30">
        <f>ROUND('Смета ЕР (общ) '!$I523*'Смета ЕР (общ) '!$L523,2)</f>
        <v>0</v>
      </c>
      <c r="O523" s="30">
        <f>ROUND('Смета ЕР (общ) '!$I523*'Смета ЕР (общ) '!$M523,2)</f>
        <v>0</v>
      </c>
      <c r="P523" s="45"/>
      <c r="T523">
        <v>2.16</v>
      </c>
    </row>
    <row r="524" spans="1:20" ht="14.4" hidden="1" x14ac:dyDescent="0.3">
      <c r="A524" s="26" t="s">
        <v>279</v>
      </c>
      <c r="B524" s="26">
        <v>6</v>
      </c>
      <c r="C524" s="26">
        <v>2</v>
      </c>
      <c r="D524" s="26">
        <f t="shared" si="47"/>
        <v>46</v>
      </c>
      <c r="E524" s="26" t="str">
        <f>CONCATENATE('Смета ЕР (общ) '!$A524,".",'Смета ЕР (общ) '!$B524,".",C524,".",'Смета ЕР (общ) '!$D524)</f>
        <v>Р3.6.2.46</v>
      </c>
      <c r="F524" s="26">
        <f t="shared" si="42"/>
        <v>1</v>
      </c>
      <c r="G524" s="27" t="s">
        <v>577</v>
      </c>
      <c r="H524" s="28" t="s">
        <v>40</v>
      </c>
      <c r="I524" s="158"/>
      <c r="J524" s="30">
        <v>1746.09</v>
      </c>
      <c r="K524" s="30">
        <v>19162.2</v>
      </c>
      <c r="L524" s="30">
        <f t="shared" si="49"/>
        <v>1746.09</v>
      </c>
      <c r="M524" s="30">
        <f t="shared" si="49"/>
        <v>19162.2</v>
      </c>
      <c r="N524" s="30">
        <f>ROUND('Смета ЕР (общ) '!$I524*'Смета ЕР (общ) '!$L524,2)</f>
        <v>0</v>
      </c>
      <c r="O524" s="30">
        <f>ROUND('Смета ЕР (общ) '!$I524*'Смета ЕР (общ) '!$M524,2)</f>
        <v>0</v>
      </c>
      <c r="P524" s="45"/>
      <c r="T524">
        <v>2.16</v>
      </c>
    </row>
    <row r="525" spans="1:20" ht="14.4" hidden="1" x14ac:dyDescent="0.3">
      <c r="A525" s="26" t="s">
        <v>279</v>
      </c>
      <c r="B525" s="26">
        <v>6</v>
      </c>
      <c r="C525" s="26">
        <v>2</v>
      </c>
      <c r="D525" s="26">
        <f t="shared" si="47"/>
        <v>47</v>
      </c>
      <c r="E525" s="26" t="str">
        <f>CONCATENATE('Смета ЕР (общ) '!$A525,".",'Смета ЕР (общ) '!$B525,".",C525,".",'Смета ЕР (общ) '!$D525)</f>
        <v>Р3.6.2.47</v>
      </c>
      <c r="F525" s="26">
        <f t="shared" si="42"/>
        <v>1</v>
      </c>
      <c r="G525" s="27" t="s">
        <v>578</v>
      </c>
      <c r="H525" s="28" t="s">
        <v>147</v>
      </c>
      <c r="I525" s="158"/>
      <c r="J525" s="30">
        <v>616.1</v>
      </c>
      <c r="K525" s="30">
        <v>0</v>
      </c>
      <c r="L525" s="30">
        <f t="shared" si="49"/>
        <v>616.1</v>
      </c>
      <c r="M525" s="30">
        <f t="shared" si="49"/>
        <v>0</v>
      </c>
      <c r="N525" s="30">
        <f>ROUND('Смета ЕР (общ) '!$I525*'Смета ЕР (общ) '!$L525,2)</f>
        <v>0</v>
      </c>
      <c r="O525" s="30">
        <f>ROUND('Смета ЕР (общ) '!$I525*'Смета ЕР (общ) '!$M525,2)</f>
        <v>0</v>
      </c>
      <c r="P525" s="45"/>
      <c r="T525">
        <v>10</v>
      </c>
    </row>
    <row r="526" spans="1:20" ht="14.4" hidden="1" x14ac:dyDescent="0.3">
      <c r="A526" s="26" t="s">
        <v>279</v>
      </c>
      <c r="B526" s="26">
        <v>6</v>
      </c>
      <c r="C526" s="26">
        <v>2</v>
      </c>
      <c r="D526" s="26">
        <f t="shared" si="47"/>
        <v>48</v>
      </c>
      <c r="E526" s="26" t="str">
        <f>CONCATENATE('Смета ЕР (общ) '!$A526,".",'Смета ЕР (общ) '!$B526,".",C526,".",'Смета ЕР (общ) '!$D526)</f>
        <v>Р3.6.2.48</v>
      </c>
      <c r="F526" s="26">
        <f t="shared" si="42"/>
        <v>1</v>
      </c>
      <c r="G526" s="27" t="s">
        <v>579</v>
      </c>
      <c r="H526" s="28" t="s">
        <v>147</v>
      </c>
      <c r="I526" s="158"/>
      <c r="J526" s="30">
        <v>528.39</v>
      </c>
      <c r="K526" s="30">
        <v>163.28</v>
      </c>
      <c r="L526" s="30">
        <f t="shared" si="49"/>
        <v>528.39</v>
      </c>
      <c r="M526" s="30">
        <f t="shared" si="49"/>
        <v>163.28</v>
      </c>
      <c r="N526" s="30">
        <f>ROUND('Смета ЕР (общ) '!$I526*'Смета ЕР (общ) '!$L526,2)</f>
        <v>0</v>
      </c>
      <c r="O526" s="30">
        <f>ROUND('Смета ЕР (общ) '!$I526*'Смета ЕР (общ) '!$M526,2)</f>
        <v>0</v>
      </c>
      <c r="P526" s="45"/>
      <c r="T526">
        <v>10</v>
      </c>
    </row>
    <row r="527" spans="1:20" ht="14.4" hidden="1" x14ac:dyDescent="0.3">
      <c r="A527" s="26" t="s">
        <v>279</v>
      </c>
      <c r="B527" s="26">
        <v>6</v>
      </c>
      <c r="C527" s="26">
        <v>2</v>
      </c>
      <c r="D527" s="26">
        <f t="shared" si="47"/>
        <v>49</v>
      </c>
      <c r="E527" s="26" t="str">
        <f>CONCATENATE('Смета ЕР (общ) '!$A527,".",'Смета ЕР (общ) '!$B527,".",C527,".",'Смета ЕР (общ) '!$D527)</f>
        <v>Р3.6.2.49</v>
      </c>
      <c r="F527" s="26">
        <f t="shared" ref="F527:F590" si="50">IF(I527&gt;0,F526+1,F526)</f>
        <v>1</v>
      </c>
      <c r="G527" s="41" t="s">
        <v>580</v>
      </c>
      <c r="H527" s="28" t="s">
        <v>40</v>
      </c>
      <c r="I527" s="158"/>
      <c r="J527" s="30">
        <v>95.7</v>
      </c>
      <c r="K527" s="30">
        <v>98.47</v>
      </c>
      <c r="L527" s="30">
        <f t="shared" si="49"/>
        <v>95.7</v>
      </c>
      <c r="M527" s="30">
        <f t="shared" si="49"/>
        <v>98.47</v>
      </c>
      <c r="N527" s="30">
        <f>ROUND('Смета ЕР (общ) '!$I527*'Смета ЕР (общ) '!$L527,2)</f>
        <v>0</v>
      </c>
      <c r="O527" s="30">
        <f>ROUND('Смета ЕР (общ) '!$I527*'Смета ЕР (общ) '!$M527,2)</f>
        <v>0</v>
      </c>
      <c r="P527" s="45"/>
      <c r="T527">
        <v>214</v>
      </c>
    </row>
    <row r="528" spans="1:20" ht="24" hidden="1" x14ac:dyDescent="0.3">
      <c r="A528" s="26" t="s">
        <v>279</v>
      </c>
      <c r="B528" s="26">
        <v>6</v>
      </c>
      <c r="C528" s="26">
        <v>2</v>
      </c>
      <c r="D528" s="26">
        <f t="shared" si="47"/>
        <v>50</v>
      </c>
      <c r="E528" s="26" t="str">
        <f>CONCATENATE('Смета ЕР (общ) '!$A528,".",'Смета ЕР (общ) '!$B528,".",C528,".",'Смета ЕР (общ) '!$D528)</f>
        <v>Р3.6.2.50</v>
      </c>
      <c r="F528" s="26">
        <f t="shared" si="50"/>
        <v>1</v>
      </c>
      <c r="G528" s="41" t="s">
        <v>581</v>
      </c>
      <c r="H528" s="28" t="s">
        <v>40</v>
      </c>
      <c r="I528" s="158"/>
      <c r="J528" s="30">
        <v>67.86</v>
      </c>
      <c r="K528" s="30">
        <v>55.18</v>
      </c>
      <c r="L528" s="30">
        <f t="shared" si="49"/>
        <v>67.86</v>
      </c>
      <c r="M528" s="30">
        <f t="shared" si="49"/>
        <v>55.18</v>
      </c>
      <c r="N528" s="30">
        <f>ROUND('Смета ЕР (общ) '!$I528*'Смета ЕР (общ) '!$L528,2)</f>
        <v>0</v>
      </c>
      <c r="O528" s="30">
        <f>ROUND('Смета ЕР (общ) '!$I528*'Смета ЕР (общ) '!$M528,2)</f>
        <v>0</v>
      </c>
      <c r="P528" s="45"/>
      <c r="T528">
        <v>214</v>
      </c>
    </row>
    <row r="529" spans="1:20" ht="14.4" hidden="1" x14ac:dyDescent="0.3">
      <c r="A529" s="26" t="s">
        <v>279</v>
      </c>
      <c r="B529" s="26">
        <v>6</v>
      </c>
      <c r="C529" s="26">
        <v>2</v>
      </c>
      <c r="D529" s="26">
        <f t="shared" si="47"/>
        <v>51</v>
      </c>
      <c r="E529" s="26" t="str">
        <f>CONCATENATE('Смета ЕР (общ) '!$A529,".",'Смета ЕР (общ) '!$B529,".",C529,".",'Смета ЕР (общ) '!$D529)</f>
        <v>Р3.6.2.51</v>
      </c>
      <c r="F529" s="26">
        <f t="shared" si="50"/>
        <v>1</v>
      </c>
      <c r="G529" s="41" t="s">
        <v>582</v>
      </c>
      <c r="H529" s="28" t="s">
        <v>40</v>
      </c>
      <c r="I529" s="158"/>
      <c r="J529" s="30">
        <v>1287</v>
      </c>
      <c r="K529" s="30">
        <f>[14]Фальшпол!J17*1.05</f>
        <v>3407.6224321762134</v>
      </c>
      <c r="L529" s="30">
        <f t="shared" si="49"/>
        <v>1287</v>
      </c>
      <c r="M529" s="54">
        <f>K529</f>
        <v>3407.6224321762134</v>
      </c>
      <c r="N529" s="30">
        <f>ROUND('Смета ЕР (общ) '!$I529*'Смета ЕР (общ) '!$L529,2)</f>
        <v>0</v>
      </c>
      <c r="O529" s="30">
        <f>ROUND('Смета ЕР (общ) '!$I529*'Смета ЕР (общ) '!$M529,2)</f>
        <v>0</v>
      </c>
      <c r="P529" s="55" t="s">
        <v>583</v>
      </c>
      <c r="Q529" s="56"/>
      <c r="T529">
        <v>1</v>
      </c>
    </row>
    <row r="530" spans="1:20" ht="27" hidden="1" customHeight="1" x14ac:dyDescent="0.3">
      <c r="A530" s="26" t="s">
        <v>279</v>
      </c>
      <c r="B530" s="26">
        <v>6</v>
      </c>
      <c r="C530" s="26">
        <v>2</v>
      </c>
      <c r="D530" s="26">
        <v>59</v>
      </c>
      <c r="E530" s="26" t="str">
        <f>CONCATENATE('Смета ЕР (общ) '!$A530,".",'Смета ЕР (общ) '!$B530,".",C530,".",'Смета ЕР (общ) '!$D530)</f>
        <v>Р3.6.2.59</v>
      </c>
      <c r="F530" s="26">
        <f t="shared" si="50"/>
        <v>1</v>
      </c>
      <c r="G530" s="41" t="s">
        <v>584</v>
      </c>
      <c r="H530" s="28" t="s">
        <v>40</v>
      </c>
      <c r="I530" s="158"/>
      <c r="J530" s="30">
        <v>1287</v>
      </c>
      <c r="K530" s="30">
        <f>[14]Фальшпол!J31*1.05</f>
        <v>12552.992802546583</v>
      </c>
      <c r="L530" s="30">
        <f t="shared" si="49"/>
        <v>1287</v>
      </c>
      <c r="M530" s="54">
        <f>K530</f>
        <v>12552.992802546583</v>
      </c>
      <c r="N530" s="30">
        <f>ROUND('Смета ЕР (общ) '!$I530*'Смета ЕР (общ) '!$L530,2)</f>
        <v>0</v>
      </c>
      <c r="O530" s="30">
        <f>ROUND('Смета ЕР (общ) '!$I530*'Смета ЕР (общ) '!$M530,2)</f>
        <v>0</v>
      </c>
      <c r="P530" s="55" t="s">
        <v>583</v>
      </c>
      <c r="Q530" s="56"/>
    </row>
    <row r="531" spans="1:20" ht="24" hidden="1" x14ac:dyDescent="0.3">
      <c r="A531" s="26" t="s">
        <v>279</v>
      </c>
      <c r="B531" s="26">
        <v>6</v>
      </c>
      <c r="C531" s="26">
        <v>2</v>
      </c>
      <c r="D531" s="26">
        <f>D529+1</f>
        <v>52</v>
      </c>
      <c r="E531" s="26" t="str">
        <f>CONCATENATE('Смета ЕР (общ) '!$A531,".",'Смета ЕР (общ) '!$B531,".",C531,".",'Смета ЕР (общ) '!$D531)</f>
        <v>Р3.6.2.52</v>
      </c>
      <c r="F531" s="26">
        <f>IF(I531&gt;0,F529+1,F529)</f>
        <v>1</v>
      </c>
      <c r="G531" s="41" t="s">
        <v>585</v>
      </c>
      <c r="H531" s="28" t="s">
        <v>40</v>
      </c>
      <c r="I531" s="158"/>
      <c r="J531" s="30">
        <v>165</v>
      </c>
      <c r="K531" s="30">
        <v>35.01</v>
      </c>
      <c r="L531" s="30">
        <f t="shared" si="49"/>
        <v>165</v>
      </c>
      <c r="M531" s="30">
        <f t="shared" si="49"/>
        <v>35.01</v>
      </c>
      <c r="N531" s="30">
        <f>ROUND('Смета ЕР (общ) '!$I531*'Смета ЕР (общ) '!$L531,2)</f>
        <v>0</v>
      </c>
      <c r="O531" s="30">
        <f>ROUND('Смета ЕР (общ) '!$I531*'Смета ЕР (общ) '!$M531,2)</f>
        <v>0</v>
      </c>
      <c r="P531" s="45"/>
    </row>
    <row r="532" spans="1:20" ht="14.4" hidden="1" x14ac:dyDescent="0.3">
      <c r="A532" s="26" t="s">
        <v>279</v>
      </c>
      <c r="B532" s="26">
        <v>6</v>
      </c>
      <c r="C532" s="26">
        <v>2</v>
      </c>
      <c r="D532" s="26">
        <f t="shared" si="47"/>
        <v>53</v>
      </c>
      <c r="E532" s="26" t="str">
        <f>CONCATENATE('Смета ЕР (общ) '!$A532,".",'Смета ЕР (общ) '!$B532,".",C532,".",'Смета ЕР (общ) '!$D532)</f>
        <v>Р3.6.2.53</v>
      </c>
      <c r="F532" s="26">
        <f t="shared" si="50"/>
        <v>1</v>
      </c>
      <c r="G532" s="41" t="s">
        <v>586</v>
      </c>
      <c r="H532" s="28" t="s">
        <v>147</v>
      </c>
      <c r="I532" s="158"/>
      <c r="J532" s="30">
        <v>393.59</v>
      </c>
      <c r="K532" s="30">
        <v>437.5</v>
      </c>
      <c r="L532" s="30">
        <f t="shared" si="49"/>
        <v>393.59</v>
      </c>
      <c r="M532" s="30">
        <f t="shared" si="49"/>
        <v>437.5</v>
      </c>
      <c r="N532" s="30">
        <f>ROUND('Смета ЕР (общ) '!$I532*'Смета ЕР (общ) '!$L532,2)</f>
        <v>0</v>
      </c>
      <c r="O532" s="30">
        <f>ROUND('Смета ЕР (общ) '!$I532*'Смета ЕР (общ) '!$M532,2)</f>
        <v>0</v>
      </c>
      <c r="P532" s="45"/>
    </row>
    <row r="533" spans="1:20" ht="14.4" hidden="1" x14ac:dyDescent="0.3">
      <c r="A533" s="26" t="s">
        <v>279</v>
      </c>
      <c r="B533" s="26">
        <v>6</v>
      </c>
      <c r="C533" s="26">
        <v>2</v>
      </c>
      <c r="D533" s="26">
        <f t="shared" si="47"/>
        <v>54</v>
      </c>
      <c r="E533" s="26" t="str">
        <f>CONCATENATE('Смета ЕР (общ) '!$A533,".",'Смета ЕР (общ) '!$B533,".",C533,".",'Смета ЕР (общ) '!$D533)</f>
        <v>Р3.6.2.54</v>
      </c>
      <c r="F533" s="26">
        <f t="shared" si="50"/>
        <v>1</v>
      </c>
      <c r="G533" s="41" t="s">
        <v>587</v>
      </c>
      <c r="H533" s="28" t="s">
        <v>40</v>
      </c>
      <c r="I533" s="158"/>
      <c r="J533" s="30">
        <v>2030.58</v>
      </c>
      <c r="K533" s="30">
        <v>9144.17</v>
      </c>
      <c r="L533" s="30">
        <f t="shared" si="49"/>
        <v>2030.58</v>
      </c>
      <c r="M533" s="30">
        <f t="shared" si="49"/>
        <v>9144.17</v>
      </c>
      <c r="N533" s="30">
        <f>ROUND('Смета ЕР (общ) '!$I533*'Смета ЕР (общ) '!$L533,2)</f>
        <v>0</v>
      </c>
      <c r="O533" s="30">
        <f>ROUND('Смета ЕР (общ) '!$I533*'Смета ЕР (общ) '!$M533,2)</f>
        <v>0</v>
      </c>
      <c r="P533" s="45"/>
    </row>
    <row r="534" spans="1:20" ht="24" hidden="1" x14ac:dyDescent="0.3">
      <c r="A534" s="26" t="s">
        <v>279</v>
      </c>
      <c r="B534" s="26">
        <v>6</v>
      </c>
      <c r="C534" s="26">
        <v>2</v>
      </c>
      <c r="D534" s="26">
        <f t="shared" si="47"/>
        <v>55</v>
      </c>
      <c r="E534" s="26" t="str">
        <f>CONCATENATE('Смета ЕР (общ) '!$A534,".",'Смета ЕР (общ) '!$B534,".",C534,".",'Смета ЕР (общ) '!$D534)</f>
        <v>Р3.6.2.55</v>
      </c>
      <c r="F534" s="26">
        <f t="shared" si="50"/>
        <v>1</v>
      </c>
      <c r="G534" s="41" t="s">
        <v>588</v>
      </c>
      <c r="H534" s="42" t="s">
        <v>40</v>
      </c>
      <c r="I534" s="158"/>
      <c r="J534" s="30">
        <v>4438.46</v>
      </c>
      <c r="K534" s="30">
        <v>951.63</v>
      </c>
      <c r="L534" s="30">
        <f t="shared" si="49"/>
        <v>4438.46</v>
      </c>
      <c r="M534" s="30">
        <f t="shared" si="49"/>
        <v>951.63</v>
      </c>
      <c r="N534" s="30">
        <f>ROUND('Смета ЕР (общ) '!$I534*'Смета ЕР (общ) '!$L534,2)</f>
        <v>0</v>
      </c>
      <c r="O534" s="30">
        <f>ROUND('Смета ЕР (общ) '!$I534*'Смета ЕР (общ) '!$M534,2)</f>
        <v>0</v>
      </c>
      <c r="P534" s="45"/>
    </row>
    <row r="535" spans="1:20" ht="24" hidden="1" x14ac:dyDescent="0.3">
      <c r="A535" s="26" t="s">
        <v>279</v>
      </c>
      <c r="B535" s="26">
        <v>6</v>
      </c>
      <c r="C535" s="26">
        <v>2</v>
      </c>
      <c r="D535" s="26">
        <f t="shared" si="47"/>
        <v>56</v>
      </c>
      <c r="E535" s="26" t="str">
        <f>CONCATENATE('Смета ЕР (общ) '!$A535,".",'Смета ЕР (общ) '!$B535,".",C535,".",'Смета ЕР (общ) '!$D535)</f>
        <v>Р3.6.2.56</v>
      </c>
      <c r="F535" s="26">
        <f t="shared" si="50"/>
        <v>1</v>
      </c>
      <c r="G535" s="41" t="s">
        <v>589</v>
      </c>
      <c r="H535" s="42" t="s">
        <v>40</v>
      </c>
      <c r="I535" s="158"/>
      <c r="J535" s="30">
        <v>1900.08</v>
      </c>
      <c r="K535" s="30">
        <v>390.4</v>
      </c>
      <c r="L535" s="30">
        <f t="shared" si="49"/>
        <v>1900.08</v>
      </c>
      <c r="M535" s="30">
        <f t="shared" si="49"/>
        <v>390.4</v>
      </c>
      <c r="N535" s="30">
        <f>ROUND('Смета ЕР (общ) '!$I535*'Смета ЕР (общ) '!$L535,2)</f>
        <v>0</v>
      </c>
      <c r="O535" s="30">
        <f>ROUND('Смета ЕР (общ) '!$I535*'Смета ЕР (общ) '!$M535,2)</f>
        <v>0</v>
      </c>
      <c r="P535" s="45"/>
    </row>
    <row r="536" spans="1:20" ht="14.4" hidden="1" x14ac:dyDescent="0.3">
      <c r="A536" s="26" t="s">
        <v>279</v>
      </c>
      <c r="B536" s="26">
        <v>6</v>
      </c>
      <c r="C536" s="26">
        <v>2</v>
      </c>
      <c r="D536" s="26">
        <f t="shared" si="47"/>
        <v>57</v>
      </c>
      <c r="E536" s="26" t="str">
        <f>CONCATENATE('Смета ЕР (общ) '!$A536,".",'Смета ЕР (общ) '!$B536,".",C536,".",'Смета ЕР (общ) '!$D536)</f>
        <v>Р3.6.2.57</v>
      </c>
      <c r="F536" s="26">
        <f t="shared" si="50"/>
        <v>1</v>
      </c>
      <c r="G536" s="41" t="s">
        <v>590</v>
      </c>
      <c r="H536" s="42" t="s">
        <v>40</v>
      </c>
      <c r="I536" s="158"/>
      <c r="J536" s="30">
        <v>2015.27</v>
      </c>
      <c r="K536" s="30">
        <v>1652.54</v>
      </c>
      <c r="L536" s="30">
        <f t="shared" si="49"/>
        <v>2015.27</v>
      </c>
      <c r="M536" s="30">
        <f t="shared" si="49"/>
        <v>1652.54</v>
      </c>
      <c r="N536" s="30">
        <f>ROUND('Смета ЕР (общ) '!$I536*'Смета ЕР (общ) '!$L536,2)</f>
        <v>0</v>
      </c>
      <c r="O536" s="30">
        <f>ROUND('Смета ЕР (общ) '!$I536*'Смета ЕР (общ) '!$M536,2)</f>
        <v>0</v>
      </c>
      <c r="P536" s="45"/>
    </row>
    <row r="537" spans="1:20" ht="14.4" hidden="1" x14ac:dyDescent="0.3">
      <c r="A537" s="26" t="s">
        <v>279</v>
      </c>
      <c r="B537" s="26">
        <v>6</v>
      </c>
      <c r="C537" s="26">
        <v>2</v>
      </c>
      <c r="D537" s="26">
        <f t="shared" si="47"/>
        <v>58</v>
      </c>
      <c r="E537" s="26" t="str">
        <f>CONCATENATE('Смета ЕР (общ) '!$A537,".",'Смета ЕР (общ) '!$B537,".",C537,".",'Смета ЕР (общ) '!$D537)</f>
        <v>Р3.6.2.58</v>
      </c>
      <c r="F537" s="26">
        <f t="shared" si="50"/>
        <v>1</v>
      </c>
      <c r="G537" s="41" t="s">
        <v>591</v>
      </c>
      <c r="H537" s="42" t="s">
        <v>40</v>
      </c>
      <c r="I537" s="158"/>
      <c r="J537" s="30">
        <v>475.02</v>
      </c>
      <c r="K537" s="30">
        <v>560.77</v>
      </c>
      <c r="L537" s="30">
        <f t="shared" si="49"/>
        <v>475.02</v>
      </c>
      <c r="M537" s="30">
        <f t="shared" si="49"/>
        <v>560.77</v>
      </c>
      <c r="N537" s="30">
        <f>ROUND('Смета ЕР (общ) '!$I537*'Смета ЕР (общ) '!$L537,2)</f>
        <v>0</v>
      </c>
      <c r="O537" s="30">
        <f>ROUND('Смета ЕР (общ) '!$I537*'Смета ЕР (общ) '!$M537,2)</f>
        <v>0</v>
      </c>
      <c r="P537" s="45"/>
    </row>
    <row r="538" spans="1:20" ht="14.4" hidden="1" x14ac:dyDescent="0.3">
      <c r="A538" s="37" t="s">
        <v>279</v>
      </c>
      <c r="B538" s="37">
        <v>7</v>
      </c>
      <c r="C538" s="37"/>
      <c r="D538" s="37">
        <v>0</v>
      </c>
      <c r="E538" s="37" t="str">
        <f>CONCATENATE('Смета ЕР (общ) '!$A538,".",'Смета ЕР (общ) '!$B538,".",'Смета ЕР (общ) '!$D538)</f>
        <v>Р3.7.0</v>
      </c>
      <c r="F538" s="37">
        <f t="shared" si="50"/>
        <v>1</v>
      </c>
      <c r="G538" s="38" t="s">
        <v>592</v>
      </c>
      <c r="H538" s="22"/>
      <c r="I538" s="23"/>
      <c r="J538" s="36"/>
      <c r="K538" s="36"/>
      <c r="L538" s="25"/>
      <c r="M538" s="25"/>
      <c r="N538" s="25">
        <f>SUM(N539:N557)</f>
        <v>0</v>
      </c>
      <c r="O538" s="25">
        <f>SUM(O539:O557)</f>
        <v>0</v>
      </c>
      <c r="P538" s="45"/>
      <c r="T538">
        <v>44347.770000000004</v>
      </c>
    </row>
    <row r="539" spans="1:20" ht="36" hidden="1" x14ac:dyDescent="0.3">
      <c r="A539" s="97" t="s">
        <v>279</v>
      </c>
      <c r="B539" s="97">
        <v>7</v>
      </c>
      <c r="C539" s="97"/>
      <c r="D539" s="97">
        <v>1</v>
      </c>
      <c r="E539" s="97" t="str">
        <f>CONCATENATE('Смета ЕР (общ) '!$A539,".",'Смета ЕР (общ) '!$B539,".",'Смета ЕР (общ) '!$D539)</f>
        <v>Р3.7.1</v>
      </c>
      <c r="F539" s="97">
        <f t="shared" si="50"/>
        <v>1</v>
      </c>
      <c r="G539" s="98" t="s">
        <v>593</v>
      </c>
      <c r="H539" s="28" t="s">
        <v>118</v>
      </c>
      <c r="I539" s="158"/>
      <c r="J539" s="30">
        <v>8143.2</v>
      </c>
      <c r="K539" s="30">
        <f>[14]Броня!F21</f>
        <v>88725</v>
      </c>
      <c r="L539" s="50">
        <f>ROUND(J539-J539*$Q$3,2)</f>
        <v>8143.2</v>
      </c>
      <c r="M539" s="54">
        <f>K539</f>
        <v>88725</v>
      </c>
      <c r="N539" s="50">
        <f>ROUND('Смета ЕР (общ) '!$I539*'Смета ЕР (общ) '!$L539,2)</f>
        <v>0</v>
      </c>
      <c r="O539" s="50">
        <f>ROUND('Смета ЕР (общ) '!$I539*'Смета ЕР (общ) '!$M539,2)</f>
        <v>0</v>
      </c>
      <c r="P539" s="55" t="s">
        <v>395</v>
      </c>
      <c r="Q539" s="56"/>
      <c r="T539">
        <v>1</v>
      </c>
    </row>
    <row r="540" spans="1:20" ht="36" hidden="1" x14ac:dyDescent="0.3">
      <c r="A540" s="97" t="s">
        <v>279</v>
      </c>
      <c r="B540" s="97">
        <v>7</v>
      </c>
      <c r="C540" s="97"/>
      <c r="D540" s="97">
        <v>6</v>
      </c>
      <c r="E540" s="97" t="str">
        <f>CONCATENATE('Смета ЕР (общ) '!$A540,".",'Смета ЕР (общ) '!$B540,".",'Смета ЕР (общ) '!$D540)</f>
        <v>Р3.7.6</v>
      </c>
      <c r="F540" s="97">
        <f t="shared" si="50"/>
        <v>1</v>
      </c>
      <c r="G540" s="98" t="s">
        <v>594</v>
      </c>
      <c r="H540" s="28" t="s">
        <v>118</v>
      </c>
      <c r="I540" s="158"/>
      <c r="J540" s="30">
        <v>8143.2</v>
      </c>
      <c r="K540" s="30">
        <f>[14]Броня!F22</f>
        <v>87150</v>
      </c>
      <c r="L540" s="50">
        <f t="shared" ref="L540:M555" si="51">ROUND(J540-J540*$Q$3,2)</f>
        <v>8143.2</v>
      </c>
      <c r="M540" s="54">
        <f t="shared" ref="M540:M542" si="52">K540</f>
        <v>87150</v>
      </c>
      <c r="N540" s="50">
        <f>ROUND('Смета ЕР (общ) '!$I540*'Смета ЕР (общ) '!$L540,2)</f>
        <v>0</v>
      </c>
      <c r="O540" s="50">
        <f>ROUND('Смета ЕР (общ) '!$I540*'Смета ЕР (общ) '!$M540,2)</f>
        <v>0</v>
      </c>
      <c r="P540" s="55" t="s">
        <v>395</v>
      </c>
      <c r="Q540" s="56"/>
    </row>
    <row r="541" spans="1:20" ht="60" hidden="1" x14ac:dyDescent="0.3">
      <c r="A541" s="99" t="s">
        <v>279</v>
      </c>
      <c r="B541" s="99">
        <v>7</v>
      </c>
      <c r="C541" s="99"/>
      <c r="D541" s="99">
        <v>2</v>
      </c>
      <c r="E541" s="99" t="str">
        <f>CONCATENATE('Смета ЕР (общ) '!$A541,".",'Смета ЕР (общ) '!$B541,".",'Смета ЕР (общ) '!$D541)</f>
        <v>Р3.7.2</v>
      </c>
      <c r="F541" s="99">
        <f t="shared" si="50"/>
        <v>1</v>
      </c>
      <c r="G541" s="98" t="s">
        <v>595</v>
      </c>
      <c r="H541" s="28" t="s">
        <v>118</v>
      </c>
      <c r="I541" s="158"/>
      <c r="J541" s="30">
        <v>13154.4</v>
      </c>
      <c r="K541" s="30">
        <f>[14]Броня!F23</f>
        <v>148575</v>
      </c>
      <c r="L541" s="50">
        <f t="shared" si="51"/>
        <v>13154.4</v>
      </c>
      <c r="M541" s="54">
        <f t="shared" si="52"/>
        <v>148575</v>
      </c>
      <c r="N541" s="50">
        <f>ROUND('Смета ЕР (общ) '!$I541*'Смета ЕР (общ) '!$L541,2)</f>
        <v>0</v>
      </c>
      <c r="O541" s="50">
        <f>ROUND('Смета ЕР (общ) '!$I541*'Смета ЕР (общ) '!$M541,2)</f>
        <v>0</v>
      </c>
      <c r="P541" s="55" t="s">
        <v>395</v>
      </c>
      <c r="Q541" s="56"/>
    </row>
    <row r="542" spans="1:20" ht="24" hidden="1" x14ac:dyDescent="0.3">
      <c r="A542" s="99" t="s">
        <v>279</v>
      </c>
      <c r="B542" s="99">
        <v>7</v>
      </c>
      <c r="C542" s="99"/>
      <c r="D542" s="99">
        <v>3</v>
      </c>
      <c r="E542" s="99" t="str">
        <f>CONCATENATE('Смета ЕР (общ) '!$A542,".",'Смета ЕР (общ) '!$B542,".",'Смета ЕР (общ) '!$D542)</f>
        <v>Р3.7.3</v>
      </c>
      <c r="F542" s="99">
        <f t="shared" si="50"/>
        <v>1</v>
      </c>
      <c r="G542" s="100" t="s">
        <v>596</v>
      </c>
      <c r="H542" s="28" t="s">
        <v>118</v>
      </c>
      <c r="I542" s="158"/>
      <c r="J542" s="30">
        <v>25056</v>
      </c>
      <c r="K542" s="30">
        <f>[14]Броня!F24</f>
        <v>223650</v>
      </c>
      <c r="L542" s="50">
        <f t="shared" si="51"/>
        <v>25056</v>
      </c>
      <c r="M542" s="54">
        <f t="shared" si="52"/>
        <v>223650</v>
      </c>
      <c r="N542" s="50">
        <f>ROUND('Смета ЕР (общ) '!$I542*'Смета ЕР (общ) '!$L542,2)</f>
        <v>0</v>
      </c>
      <c r="O542" s="50">
        <f>ROUND('Смета ЕР (общ) '!$I542*'Смета ЕР (общ) '!$M542,2)</f>
        <v>0</v>
      </c>
      <c r="P542" s="55" t="s">
        <v>395</v>
      </c>
      <c r="Q542" s="56"/>
    </row>
    <row r="543" spans="1:20" ht="24" hidden="1" x14ac:dyDescent="0.3">
      <c r="A543" s="101" t="s">
        <v>279</v>
      </c>
      <c r="B543" s="101">
        <v>7</v>
      </c>
      <c r="C543" s="101"/>
      <c r="D543" s="101">
        <v>28</v>
      </c>
      <c r="E543" s="101" t="str">
        <f>CONCATENATE('Смета ЕР (общ) '!$A543,".",'Смета ЕР (общ) '!$B543,".",'Смета ЕР (общ) '!$D543)</f>
        <v>Р3.7.28</v>
      </c>
      <c r="F543" s="101">
        <f t="shared" si="50"/>
        <v>1</v>
      </c>
      <c r="G543" s="102" t="s">
        <v>597</v>
      </c>
      <c r="H543" s="28" t="s">
        <v>118</v>
      </c>
      <c r="I543" s="158"/>
      <c r="J543" s="30">
        <v>13154.4</v>
      </c>
      <c r="K543" s="30">
        <v>152449.26999999999</v>
      </c>
      <c r="L543" s="50">
        <f t="shared" si="51"/>
        <v>13154.4</v>
      </c>
      <c r="M543" s="50">
        <f t="shared" si="51"/>
        <v>152449.26999999999</v>
      </c>
      <c r="N543" s="50">
        <f>ROUND('Смета ЕР (общ) '!$I543*'Смета ЕР (общ) '!$L543,2)</f>
        <v>0</v>
      </c>
      <c r="O543" s="50">
        <f>ROUND('Смета ЕР (общ) '!$I543*'Смета ЕР (общ) '!$M543,2)</f>
        <v>0</v>
      </c>
      <c r="P543" s="45"/>
    </row>
    <row r="544" spans="1:20" ht="14.4" hidden="1" x14ac:dyDescent="0.3">
      <c r="A544" s="26" t="s">
        <v>279</v>
      </c>
      <c r="B544" s="26">
        <v>7</v>
      </c>
      <c r="C544" s="26"/>
      <c r="D544" s="26">
        <v>4</v>
      </c>
      <c r="E544" s="26" t="str">
        <f>CONCATENATE('Смета ЕР (общ) '!$A544,".",'Смета ЕР (общ) '!$B544,".",'Смета ЕР (общ) '!$D544)</f>
        <v>Р3.7.4</v>
      </c>
      <c r="F544" s="26">
        <f t="shared" si="50"/>
        <v>1</v>
      </c>
      <c r="G544" s="41" t="s">
        <v>598</v>
      </c>
      <c r="H544" s="28" t="s">
        <v>118</v>
      </c>
      <c r="I544" s="158"/>
      <c r="J544" s="30">
        <v>1879.2</v>
      </c>
      <c r="K544" s="30">
        <v>6029.99</v>
      </c>
      <c r="L544" s="30">
        <f t="shared" si="51"/>
        <v>1879.2</v>
      </c>
      <c r="M544" s="30">
        <f t="shared" si="51"/>
        <v>6029.99</v>
      </c>
      <c r="N544" s="30">
        <f>ROUND('Смета ЕР (общ) '!$I544*'Смета ЕР (общ) '!$L544,2)</f>
        <v>0</v>
      </c>
      <c r="O544" s="30">
        <f>ROUND('Смета ЕР (общ) '!$I544*'Смета ЕР (общ) '!$M544,2)</f>
        <v>0</v>
      </c>
      <c r="P544" s="45"/>
      <c r="T544">
        <v>1</v>
      </c>
    </row>
    <row r="545" spans="1:20" ht="24" hidden="1" x14ac:dyDescent="0.3">
      <c r="A545" s="26" t="s">
        <v>279</v>
      </c>
      <c r="B545" s="26">
        <v>7</v>
      </c>
      <c r="C545" s="26"/>
      <c r="D545" s="26">
        <v>29</v>
      </c>
      <c r="E545" s="26" t="str">
        <f>CONCATENATE('Смета ЕР (общ) '!$A545,".",'Смета ЕР (общ) '!$B545,".",'Смета ЕР (общ) '!$D545)</f>
        <v>Р3.7.29</v>
      </c>
      <c r="F545" s="26">
        <f t="shared" si="50"/>
        <v>1</v>
      </c>
      <c r="G545" s="27" t="s">
        <v>599</v>
      </c>
      <c r="H545" s="42" t="s">
        <v>40</v>
      </c>
      <c r="I545" s="158"/>
      <c r="J545" s="30">
        <v>600.5</v>
      </c>
      <c r="K545" s="30">
        <v>1227.8699999999999</v>
      </c>
      <c r="L545" s="30">
        <f t="shared" si="51"/>
        <v>600.5</v>
      </c>
      <c r="M545" s="30">
        <f t="shared" si="51"/>
        <v>1227.8699999999999</v>
      </c>
      <c r="N545" s="30">
        <f>ROUND('Смета ЕР (общ) '!$I545*'Смета ЕР (общ) '!$L545,2)</f>
        <v>0</v>
      </c>
      <c r="O545" s="30">
        <f>ROUND('Смета ЕР (общ) '!$I545*'Смета ЕР (общ) '!$M545,2)</f>
        <v>0</v>
      </c>
      <c r="P545" s="45"/>
    </row>
    <row r="546" spans="1:20" ht="24" hidden="1" x14ac:dyDescent="0.3">
      <c r="A546" s="26" t="s">
        <v>279</v>
      </c>
      <c r="B546" s="26">
        <v>7</v>
      </c>
      <c r="C546" s="26"/>
      <c r="D546" s="26">
        <v>30</v>
      </c>
      <c r="E546" s="26" t="str">
        <f>CONCATENATE('Смета ЕР (общ) '!$A546,".",'Смета ЕР (общ) '!$B546,".",'Смета ЕР (общ) '!$D546)</f>
        <v>Р3.7.30</v>
      </c>
      <c r="F546" s="26">
        <f t="shared" si="50"/>
        <v>1</v>
      </c>
      <c r="G546" s="27" t="s">
        <v>600</v>
      </c>
      <c r="H546" s="42" t="s">
        <v>40</v>
      </c>
      <c r="I546" s="158"/>
      <c r="J546" s="30">
        <v>814.32</v>
      </c>
      <c r="K546" s="30">
        <v>1725.94</v>
      </c>
      <c r="L546" s="30">
        <f t="shared" si="51"/>
        <v>814.32</v>
      </c>
      <c r="M546" s="30">
        <f t="shared" si="51"/>
        <v>1725.94</v>
      </c>
      <c r="N546" s="30">
        <f>ROUND('Смета ЕР (общ) '!$I546*'Смета ЕР (общ) '!$L546,2)</f>
        <v>0</v>
      </c>
      <c r="O546" s="30">
        <f>ROUND('Смета ЕР (общ) '!$I546*'Смета ЕР (общ) '!$M546,2)</f>
        <v>0</v>
      </c>
      <c r="P546" s="45"/>
    </row>
    <row r="547" spans="1:20" ht="24" hidden="1" x14ac:dyDescent="0.3">
      <c r="A547" s="26" t="s">
        <v>279</v>
      </c>
      <c r="B547" s="26">
        <v>7</v>
      </c>
      <c r="C547" s="26"/>
      <c r="D547" s="26">
        <v>31</v>
      </c>
      <c r="E547" s="26" t="str">
        <f>CONCATENATE('Смета ЕР (общ) '!$A547,".",'Смета ЕР (общ) '!$B547,".",'Смета ЕР (общ) '!$D547)</f>
        <v>Р3.7.31</v>
      </c>
      <c r="F547" s="26">
        <f t="shared" si="50"/>
        <v>1</v>
      </c>
      <c r="G547" s="27" t="s">
        <v>601</v>
      </c>
      <c r="H547" s="42" t="s">
        <v>40</v>
      </c>
      <c r="I547" s="158"/>
      <c r="J547" s="30">
        <v>597.11</v>
      </c>
      <c r="K547" s="30">
        <v>1378.37</v>
      </c>
      <c r="L547" s="30">
        <f t="shared" si="51"/>
        <v>597.11</v>
      </c>
      <c r="M547" s="30">
        <f t="shared" si="51"/>
        <v>1378.37</v>
      </c>
      <c r="N547" s="30">
        <f>ROUND('Смета ЕР (общ) '!$I547*'Смета ЕР (общ) '!$L547,2)</f>
        <v>0</v>
      </c>
      <c r="O547" s="30">
        <f>ROUND('Смета ЕР (общ) '!$I547*'Смета ЕР (общ) '!$M547,2)</f>
        <v>0</v>
      </c>
      <c r="P547" s="45"/>
      <c r="T547">
        <v>20</v>
      </c>
    </row>
    <row r="548" spans="1:20" ht="36" hidden="1" x14ac:dyDescent="0.3">
      <c r="A548" s="26" t="s">
        <v>279</v>
      </c>
      <c r="B548" s="26">
        <v>7</v>
      </c>
      <c r="C548" s="26"/>
      <c r="D548" s="26">
        <v>5</v>
      </c>
      <c r="E548" s="26" t="str">
        <f>CONCATENATE('Смета ЕР (общ) '!$A548,".",'Смета ЕР (общ) '!$B548,".",'Смета ЕР (общ) '!$D548)</f>
        <v>Р3.7.5</v>
      </c>
      <c r="F548" s="26">
        <f t="shared" si="50"/>
        <v>1</v>
      </c>
      <c r="G548" s="27" t="s">
        <v>602</v>
      </c>
      <c r="H548" s="42" t="s">
        <v>40</v>
      </c>
      <c r="I548" s="158"/>
      <c r="J548" s="30">
        <v>583.73</v>
      </c>
      <c r="K548" s="30">
        <v>1148.4100000000001</v>
      </c>
      <c r="L548" s="30">
        <f t="shared" si="51"/>
        <v>583.73</v>
      </c>
      <c r="M548" s="30">
        <f t="shared" si="51"/>
        <v>1148.4100000000001</v>
      </c>
      <c r="N548" s="30">
        <f>ROUND('Смета ЕР (общ) '!$I548*'Смета ЕР (общ) '!$L548,2)</f>
        <v>0</v>
      </c>
      <c r="O548" s="30">
        <f>ROUND('Смета ЕР (общ) '!$I548*'Смета ЕР (общ) '!$M548,2)</f>
        <v>0</v>
      </c>
      <c r="P548" s="45"/>
    </row>
    <row r="549" spans="1:20" ht="24" hidden="1" x14ac:dyDescent="0.3">
      <c r="A549" s="103" t="s">
        <v>279</v>
      </c>
      <c r="B549" s="103">
        <v>7</v>
      </c>
      <c r="C549" s="103"/>
      <c r="D549" s="103">
        <v>33</v>
      </c>
      <c r="E549" s="103" t="str">
        <f>CONCATENATE('Смета ЕР (общ) '!$A549,".",'Смета ЕР (общ) '!$B549,".",'Смета ЕР (общ) '!$D549)</f>
        <v>Р3.7.33</v>
      </c>
      <c r="F549" s="103">
        <f t="shared" si="50"/>
        <v>1</v>
      </c>
      <c r="G549" s="104" t="s">
        <v>603</v>
      </c>
      <c r="H549" s="28" t="s">
        <v>118</v>
      </c>
      <c r="I549" s="158"/>
      <c r="J549" s="30">
        <v>6890.4</v>
      </c>
      <c r="K549" s="30">
        <f>[14]Броня!F7</f>
        <v>52500</v>
      </c>
      <c r="L549" s="30">
        <f t="shared" si="51"/>
        <v>6890.4</v>
      </c>
      <c r="M549" s="54">
        <f>K549</f>
        <v>52500</v>
      </c>
      <c r="N549" s="30">
        <f>ROUND('Смета ЕР (общ) '!$I549*'Смета ЕР (общ) '!$L549,2)</f>
        <v>0</v>
      </c>
      <c r="O549" s="30">
        <f>ROUND('Смета ЕР (общ) '!$I549*'Смета ЕР (общ) '!$M549,2)</f>
        <v>0</v>
      </c>
      <c r="P549" s="55" t="s">
        <v>395</v>
      </c>
      <c r="Q549" s="56"/>
      <c r="T549">
        <v>1</v>
      </c>
    </row>
    <row r="550" spans="1:20" ht="60" hidden="1" x14ac:dyDescent="0.3">
      <c r="A550" s="103" t="s">
        <v>279</v>
      </c>
      <c r="B550" s="103">
        <v>7</v>
      </c>
      <c r="C550" s="103"/>
      <c r="D550" s="103">
        <v>34</v>
      </c>
      <c r="E550" s="103" t="str">
        <f>CONCATENATE('Смета ЕР (общ) '!$A550,".",'Смета ЕР (общ) '!$B550,".",'Смета ЕР (общ) '!$D550)</f>
        <v>Р3.7.34</v>
      </c>
      <c r="F550" s="103">
        <f t="shared" si="50"/>
        <v>1</v>
      </c>
      <c r="G550" s="104" t="s">
        <v>604</v>
      </c>
      <c r="H550" s="28" t="s">
        <v>118</v>
      </c>
      <c r="I550" s="158"/>
      <c r="J550" s="30">
        <v>4384.8</v>
      </c>
      <c r="K550" s="30">
        <f>[14]Броня!F8</f>
        <v>39900</v>
      </c>
      <c r="L550" s="30">
        <f t="shared" si="51"/>
        <v>4384.8</v>
      </c>
      <c r="M550" s="54">
        <f>K550</f>
        <v>39900</v>
      </c>
      <c r="N550" s="30">
        <f>ROUND('Смета ЕР (общ) '!$I550*'Смета ЕР (общ) '!$L550,2)</f>
        <v>0</v>
      </c>
      <c r="O550" s="30">
        <f>ROUND('Смета ЕР (общ) '!$I550*'Смета ЕР (общ) '!$M550,2)</f>
        <v>0</v>
      </c>
      <c r="P550" s="55" t="s">
        <v>395</v>
      </c>
      <c r="Q550" s="56"/>
      <c r="T550">
        <v>1</v>
      </c>
    </row>
    <row r="551" spans="1:20" ht="72" hidden="1" x14ac:dyDescent="0.3">
      <c r="A551" s="97" t="s">
        <v>279</v>
      </c>
      <c r="B551" s="97">
        <v>7</v>
      </c>
      <c r="C551" s="97"/>
      <c r="D551" s="97">
        <v>7</v>
      </c>
      <c r="E551" s="97" t="str">
        <f>CONCATENATE('Смета ЕР (общ) '!$A551,".",'Смета ЕР (общ) '!$B551,".",'Смета ЕР (общ) '!$D551)</f>
        <v>Р3.7.7</v>
      </c>
      <c r="F551" s="97">
        <f t="shared" si="50"/>
        <v>1</v>
      </c>
      <c r="G551" s="105" t="s">
        <v>605</v>
      </c>
      <c r="H551" s="28"/>
      <c r="I551" s="158"/>
      <c r="J551" s="30">
        <v>8207.6610000000001</v>
      </c>
      <c r="K551" s="30">
        <f>[14]Броня!F9</f>
        <v>105000</v>
      </c>
      <c r="L551" s="30">
        <f t="shared" si="51"/>
        <v>8207.66</v>
      </c>
      <c r="M551" s="54">
        <f t="shared" ref="M551:M553" si="53">K551</f>
        <v>105000</v>
      </c>
      <c r="N551" s="30">
        <f>ROUND('Смета ЕР (общ) '!$I551*'Смета ЕР (общ) '!$L551,2)</f>
        <v>0</v>
      </c>
      <c r="O551" s="30">
        <f>ROUND('Смета ЕР (общ) '!$I551*'Смета ЕР (общ) '!$M551,2)</f>
        <v>0</v>
      </c>
      <c r="P551" s="55" t="s">
        <v>395</v>
      </c>
      <c r="Q551" s="56"/>
    </row>
    <row r="552" spans="1:20" ht="48" hidden="1" x14ac:dyDescent="0.3">
      <c r="A552" s="103" t="s">
        <v>279</v>
      </c>
      <c r="B552" s="103">
        <v>7</v>
      </c>
      <c r="C552" s="103"/>
      <c r="D552" s="103">
        <v>35</v>
      </c>
      <c r="E552" s="103" t="str">
        <f>CONCATENATE('Смета ЕР (общ) '!$A552,".",'Смета ЕР (общ) '!$B552,".",'Смета ЕР (общ) '!$D552)</f>
        <v>Р3.7.35</v>
      </c>
      <c r="F552" s="103">
        <f t="shared" si="50"/>
        <v>1</v>
      </c>
      <c r="G552" s="104" t="s">
        <v>606</v>
      </c>
      <c r="H552" s="28" t="s">
        <v>118</v>
      </c>
      <c r="I552" s="158"/>
      <c r="J552" s="30">
        <v>9396</v>
      </c>
      <c r="K552" s="30">
        <f>[14]Броня!F10</f>
        <v>99750</v>
      </c>
      <c r="L552" s="30">
        <f t="shared" si="51"/>
        <v>9396</v>
      </c>
      <c r="M552" s="54">
        <f t="shared" si="53"/>
        <v>99750</v>
      </c>
      <c r="N552" s="30">
        <f>ROUND('Смета ЕР (общ) '!$I552*'Смета ЕР (общ) '!$L552,2)</f>
        <v>0</v>
      </c>
      <c r="O552" s="30">
        <f>ROUND('Смета ЕР (общ) '!$I552*'Смета ЕР (общ) '!$M552,2)</f>
        <v>0</v>
      </c>
      <c r="P552" s="55" t="s">
        <v>395</v>
      </c>
      <c r="Q552" s="56"/>
      <c r="T552">
        <v>1</v>
      </c>
    </row>
    <row r="553" spans="1:20" ht="60" hidden="1" x14ac:dyDescent="0.3">
      <c r="A553" s="103" t="s">
        <v>279</v>
      </c>
      <c r="B553" s="103">
        <v>7</v>
      </c>
      <c r="C553" s="103"/>
      <c r="D553" s="103">
        <v>8</v>
      </c>
      <c r="E553" s="103" t="str">
        <f>CONCATENATE('Смета ЕР (общ) '!$A553,".",'Смета ЕР (общ) '!$B553,".",'Смета ЕР (общ) '!$D553)</f>
        <v>Р3.7.8</v>
      </c>
      <c r="F553" s="103">
        <f t="shared" si="50"/>
        <v>1</v>
      </c>
      <c r="G553" s="104" t="s">
        <v>607</v>
      </c>
      <c r="H553" s="28"/>
      <c r="I553" s="158"/>
      <c r="J553" s="30">
        <v>8769.6</v>
      </c>
      <c r="K553" s="30">
        <f>[14]Броня!F13</f>
        <v>78750</v>
      </c>
      <c r="L553" s="30">
        <f t="shared" si="51"/>
        <v>8769.6</v>
      </c>
      <c r="M553" s="54">
        <f t="shared" si="53"/>
        <v>78750</v>
      </c>
      <c r="N553" s="30">
        <f>ROUND('Смета ЕР (общ) '!$I553*'Смета ЕР (общ) '!$L553,2)</f>
        <v>0</v>
      </c>
      <c r="O553" s="30">
        <f>ROUND('Смета ЕР (общ) '!$I553*'Смета ЕР (общ) '!$M553,2)</f>
        <v>0</v>
      </c>
      <c r="P553" s="55" t="s">
        <v>395</v>
      </c>
      <c r="Q553" s="56"/>
    </row>
    <row r="554" spans="1:20" ht="14.4" hidden="1" x14ac:dyDescent="0.3">
      <c r="A554" s="26" t="s">
        <v>279</v>
      </c>
      <c r="B554" s="26">
        <v>7</v>
      </c>
      <c r="C554" s="26"/>
      <c r="D554" s="26">
        <v>9</v>
      </c>
      <c r="E554" s="26" t="str">
        <f>CONCATENATE('Смета ЕР (общ) '!$A554,".",'Смета ЕР (общ) '!$B554,".",'Смета ЕР (общ) '!$D554)</f>
        <v>Р3.7.9</v>
      </c>
      <c r="F554" s="26">
        <f t="shared" si="50"/>
        <v>1</v>
      </c>
      <c r="G554" s="27" t="s">
        <v>608</v>
      </c>
      <c r="H554" s="28" t="s">
        <v>118</v>
      </c>
      <c r="I554" s="158"/>
      <c r="J554" s="30">
        <v>1711.97</v>
      </c>
      <c r="K554" s="30">
        <v>7308</v>
      </c>
      <c r="L554" s="30">
        <f t="shared" si="51"/>
        <v>1711.97</v>
      </c>
      <c r="M554" s="54">
        <f>K554</f>
        <v>7308</v>
      </c>
      <c r="N554" s="30">
        <f>ROUND('Смета ЕР (общ) '!$I554*'Смета ЕР (общ) '!$L554,2)</f>
        <v>0</v>
      </c>
      <c r="O554" s="30">
        <f>ROUND('Смета ЕР (общ) '!$I554*'Смета ЕР (общ) '!$M554,2)</f>
        <v>0</v>
      </c>
      <c r="P554" s="55" t="s">
        <v>395</v>
      </c>
      <c r="Q554" s="56"/>
      <c r="T554">
        <v>1</v>
      </c>
    </row>
    <row r="555" spans="1:20" ht="24" hidden="1" x14ac:dyDescent="0.3">
      <c r="A555" s="106" t="s">
        <v>279</v>
      </c>
      <c r="B555" s="106">
        <v>7</v>
      </c>
      <c r="C555" s="106"/>
      <c r="D555" s="106">
        <v>12</v>
      </c>
      <c r="E555" s="106" t="str">
        <f>CONCATENATE('Смета ЕР (общ) '!$A555,".",'Смета ЕР (общ) '!$B555,".",'Смета ЕР (общ) '!$D555)</f>
        <v>Р3.7.12</v>
      </c>
      <c r="F555" s="106">
        <f t="shared" si="50"/>
        <v>1</v>
      </c>
      <c r="G555" s="107" t="s">
        <v>609</v>
      </c>
      <c r="H555" s="28" t="s">
        <v>40</v>
      </c>
      <c r="I555" s="158"/>
      <c r="J555" s="30">
        <v>3908.74</v>
      </c>
      <c r="K555" s="30">
        <f>[14]Броня!F16</f>
        <v>14700</v>
      </c>
      <c r="L555" s="30">
        <f t="shared" si="51"/>
        <v>3908.74</v>
      </c>
      <c r="M555" s="54">
        <f>K555</f>
        <v>14700</v>
      </c>
      <c r="N555" s="30">
        <f>ROUND('Смета ЕР (общ) '!$I555*'Смета ЕР (общ) '!$L555,2)</f>
        <v>0</v>
      </c>
      <c r="O555" s="30">
        <f>ROUND('Смета ЕР (общ) '!$I555*'Смета ЕР (общ) '!$M555,2)</f>
        <v>0</v>
      </c>
      <c r="P555" s="55" t="s">
        <v>395</v>
      </c>
      <c r="Q555" s="56"/>
    </row>
    <row r="556" spans="1:20" ht="24" hidden="1" x14ac:dyDescent="0.3">
      <c r="A556" s="106" t="s">
        <v>279</v>
      </c>
      <c r="B556" s="106">
        <v>7</v>
      </c>
      <c r="C556" s="106"/>
      <c r="D556" s="106">
        <v>16</v>
      </c>
      <c r="E556" s="106" t="str">
        <f>CONCATENATE('Смета ЕР (общ) '!$A556,".",'Смета ЕР (общ) '!$B556,".",'Смета ЕР (общ) '!$D556)</f>
        <v>Р3.7.16</v>
      </c>
      <c r="F556" s="106">
        <f t="shared" si="50"/>
        <v>1</v>
      </c>
      <c r="G556" s="107" t="s">
        <v>610</v>
      </c>
      <c r="H556" s="28" t="s">
        <v>40</v>
      </c>
      <c r="I556" s="158"/>
      <c r="J556" s="30">
        <v>3908.74</v>
      </c>
      <c r="K556" s="30">
        <f>[14]Броня!F18</f>
        <v>17535</v>
      </c>
      <c r="L556" s="30">
        <f t="shared" ref="L556:L557" si="54">ROUND(J556-J556*$Q$3,2)</f>
        <v>3908.74</v>
      </c>
      <c r="M556" s="54">
        <f t="shared" ref="M556:M557" si="55">K556</f>
        <v>17535</v>
      </c>
      <c r="N556" s="30">
        <f>ROUND('Смета ЕР (общ) '!$I556*'Смета ЕР (общ) '!$L556,2)</f>
        <v>0</v>
      </c>
      <c r="O556" s="30">
        <f>ROUND('Смета ЕР (общ) '!$I556*'Смета ЕР (общ) '!$M556,2)</f>
        <v>0</v>
      </c>
      <c r="P556" s="55" t="s">
        <v>395</v>
      </c>
      <c r="Q556" s="56"/>
    </row>
    <row r="557" spans="1:20" ht="24" hidden="1" x14ac:dyDescent="0.3">
      <c r="A557" s="106" t="s">
        <v>279</v>
      </c>
      <c r="B557" s="106">
        <v>7</v>
      </c>
      <c r="C557" s="106"/>
      <c r="D557" s="106">
        <v>13</v>
      </c>
      <c r="E557" s="106" t="str">
        <f>CONCATENATE('Смета ЕР (общ) '!$A557,".",'Смета ЕР (общ) '!$B557,".",'Смета ЕР (общ) '!$D557)</f>
        <v>Р3.7.13</v>
      </c>
      <c r="F557" s="106">
        <f t="shared" si="50"/>
        <v>1</v>
      </c>
      <c r="G557" s="107" t="s">
        <v>611</v>
      </c>
      <c r="H557" s="28" t="s">
        <v>40</v>
      </c>
      <c r="I557" s="158"/>
      <c r="J557" s="30">
        <v>5345.28</v>
      </c>
      <c r="K557" s="30">
        <f>[14]Броня!F20</f>
        <v>15750</v>
      </c>
      <c r="L557" s="30">
        <f t="shared" si="54"/>
        <v>5345.28</v>
      </c>
      <c r="M557" s="54">
        <f t="shared" si="55"/>
        <v>15750</v>
      </c>
      <c r="N557" s="30">
        <f>ROUND('Смета ЕР (общ) '!$I557*'Смета ЕР (общ) '!$L557,2)</f>
        <v>0</v>
      </c>
      <c r="O557" s="30">
        <f>ROUND('Смета ЕР (общ) '!$I557*'Смета ЕР (общ) '!$M557,2)</f>
        <v>0</v>
      </c>
      <c r="P557" s="55" t="s">
        <v>395</v>
      </c>
      <c r="Q557" s="56"/>
    </row>
    <row r="558" spans="1:20" ht="14.4" hidden="1" x14ac:dyDescent="0.3">
      <c r="A558" s="37" t="s">
        <v>279</v>
      </c>
      <c r="B558" s="37">
        <v>8</v>
      </c>
      <c r="C558" s="37"/>
      <c r="D558" s="37">
        <v>0</v>
      </c>
      <c r="E558" s="37" t="str">
        <f>CONCATENATE('Смета ЕР (общ) '!$A558,".",'Смета ЕР (общ) '!$B558,".",'Смета ЕР (общ) '!$D558)</f>
        <v>Р3.8.0</v>
      </c>
      <c r="F558" s="37">
        <f t="shared" si="50"/>
        <v>1</v>
      </c>
      <c r="G558" s="38" t="s">
        <v>612</v>
      </c>
      <c r="H558" s="22"/>
      <c r="I558" s="23"/>
      <c r="J558" s="36"/>
      <c r="K558" s="36"/>
      <c r="L558" s="25"/>
      <c r="M558" s="25"/>
      <c r="N558" s="25">
        <f>SUM(N559:N591)</f>
        <v>0</v>
      </c>
      <c r="O558" s="25">
        <f>SUM(O559:O591)</f>
        <v>0</v>
      </c>
      <c r="P558" s="45"/>
      <c r="T558">
        <v>0</v>
      </c>
    </row>
    <row r="559" spans="1:20" ht="14.4" hidden="1" x14ac:dyDescent="0.3">
      <c r="A559" s="26" t="s">
        <v>279</v>
      </c>
      <c r="B559" s="26">
        <v>8</v>
      </c>
      <c r="C559" s="26"/>
      <c r="D559" s="26">
        <v>1</v>
      </c>
      <c r="E559" s="26" t="str">
        <f>CONCATENATE('Смета ЕР (общ) '!$A559,".",'Смета ЕР (общ) '!$B559,".",'Смета ЕР (общ) '!$D559)</f>
        <v>Р3.8.1</v>
      </c>
      <c r="F559" s="26">
        <f t="shared" si="50"/>
        <v>1</v>
      </c>
      <c r="G559" s="41" t="s">
        <v>613</v>
      </c>
      <c r="H559" s="28" t="s">
        <v>614</v>
      </c>
      <c r="I559" s="158"/>
      <c r="J559" s="30">
        <v>0</v>
      </c>
      <c r="K559" s="30">
        <v>92562.12</v>
      </c>
      <c r="L559" s="30">
        <f>ROUND(J559-J559*$Q$3,2)</f>
        <v>0</v>
      </c>
      <c r="M559" s="30">
        <f>ROUND(K559-K559*$Q$3,2)</f>
        <v>92562.12</v>
      </c>
      <c r="N559" s="30">
        <f>ROUND('Смета ЕР (общ) '!$I559*'Смета ЕР (общ) '!$L559,2)</f>
        <v>0</v>
      </c>
      <c r="O559" s="30">
        <f>ROUND('Смета ЕР (общ) '!$I559*'Смета ЕР (общ) '!$M559,2)</f>
        <v>0</v>
      </c>
      <c r="P559" s="45"/>
      <c r="T559">
        <v>1</v>
      </c>
    </row>
    <row r="560" spans="1:20" ht="14.4" hidden="1" x14ac:dyDescent="0.3">
      <c r="A560" s="26" t="s">
        <v>279</v>
      </c>
      <c r="B560" s="26">
        <v>8</v>
      </c>
      <c r="C560" s="26"/>
      <c r="D560" s="26">
        <v>7</v>
      </c>
      <c r="E560" s="26" t="str">
        <f>CONCATENATE('Смета ЕР (общ) '!$A560,".",'Смета ЕР (общ) '!$B560,".",'Смета ЕР (общ) '!$D560)</f>
        <v>Р3.8.7</v>
      </c>
      <c r="F560" s="26">
        <f t="shared" si="50"/>
        <v>1</v>
      </c>
      <c r="G560" s="41" t="s">
        <v>615</v>
      </c>
      <c r="H560" s="28" t="s">
        <v>614</v>
      </c>
      <c r="I560" s="158"/>
      <c r="J560" s="30">
        <v>0</v>
      </c>
      <c r="K560" s="30">
        <v>29764.55</v>
      </c>
      <c r="L560" s="30">
        <v>0</v>
      </c>
      <c r="M560" s="30">
        <v>0</v>
      </c>
      <c r="N560" s="30">
        <v>0</v>
      </c>
      <c r="O560" s="30">
        <v>0</v>
      </c>
      <c r="P560" s="45"/>
      <c r="T560">
        <v>1</v>
      </c>
    </row>
    <row r="561" spans="1:16" ht="36" hidden="1" x14ac:dyDescent="0.3">
      <c r="A561" s="26" t="s">
        <v>279</v>
      </c>
      <c r="B561" s="26">
        <v>8</v>
      </c>
      <c r="C561" s="26"/>
      <c r="D561" s="26">
        <v>2</v>
      </c>
      <c r="E561" s="26" t="str">
        <f>CONCATENATE('Смета ЕР (общ) '!$A561,".",'Смета ЕР (общ) '!$B561,".",'Смета ЕР (общ) '!$D561)</f>
        <v>Р3.8.2</v>
      </c>
      <c r="F561" s="26">
        <f t="shared" si="50"/>
        <v>1</v>
      </c>
      <c r="G561" s="27" t="s">
        <v>616</v>
      </c>
      <c r="H561" s="28" t="s">
        <v>40</v>
      </c>
      <c r="I561" s="158"/>
      <c r="J561" s="30">
        <v>718.58</v>
      </c>
      <c r="K561" s="30">
        <v>1089.81</v>
      </c>
      <c r="L561" s="30">
        <f t="shared" ref="L561:M580" si="56">ROUND(J561-J561*$Q$3,2)</f>
        <v>718.58</v>
      </c>
      <c r="M561" s="30">
        <f t="shared" si="56"/>
        <v>1089.81</v>
      </c>
      <c r="N561" s="30">
        <f>ROUND('Смета ЕР (общ) '!$I561*'Смета ЕР (общ) '!$L561,2)</f>
        <v>0</v>
      </c>
      <c r="O561" s="30">
        <f>ROUND('Смета ЕР (общ) '!$I561*'Смета ЕР (общ) '!$M561,2)</f>
        <v>0</v>
      </c>
      <c r="P561" s="45"/>
    </row>
    <row r="562" spans="1:16" ht="61.5" hidden="1" customHeight="1" x14ac:dyDescent="0.3">
      <c r="A562" s="26" t="s">
        <v>279</v>
      </c>
      <c r="B562" s="26">
        <v>8</v>
      </c>
      <c r="C562" s="26"/>
      <c r="D562" s="26">
        <v>8</v>
      </c>
      <c r="E562" s="26" t="str">
        <f>CONCATENATE('Смета ЕР (общ) '!$A562,".",'Смета ЕР (общ) '!$B562,".",'Смета ЕР (общ) '!$D562)</f>
        <v>Р3.8.8</v>
      </c>
      <c r="F562" s="26">
        <f t="shared" si="50"/>
        <v>1</v>
      </c>
      <c r="G562" s="27" t="s">
        <v>617</v>
      </c>
      <c r="H562" s="28" t="s">
        <v>40</v>
      </c>
      <c r="I562" s="158"/>
      <c r="J562" s="30">
        <v>1503.36</v>
      </c>
      <c r="K562" s="30">
        <v>1578.25</v>
      </c>
      <c r="L562" s="30">
        <f t="shared" si="56"/>
        <v>1503.36</v>
      </c>
      <c r="M562" s="30">
        <f t="shared" si="56"/>
        <v>1578.25</v>
      </c>
      <c r="N562" s="30">
        <f>ROUND('Смета ЕР (общ) '!$I562*'Смета ЕР (общ) '!$L562,2)</f>
        <v>0</v>
      </c>
      <c r="O562" s="30">
        <f>ROUND('Смета ЕР (общ) '!$I562*'Смета ЕР (общ) '!$M562,2)</f>
        <v>0</v>
      </c>
      <c r="P562" s="45" t="s">
        <v>618</v>
      </c>
    </row>
    <row r="563" spans="1:16" ht="61.5" hidden="1" customHeight="1" x14ac:dyDescent="0.3">
      <c r="A563" s="26" t="s">
        <v>279</v>
      </c>
      <c r="B563" s="26">
        <v>8</v>
      </c>
      <c r="C563" s="26"/>
      <c r="D563" s="26">
        <v>53</v>
      </c>
      <c r="E563" s="26" t="str">
        <f>CONCATENATE('Смета ЕР (общ) '!$A563,".",'Смета ЕР (общ) '!$B563,".",'Смета ЕР (общ) '!$D563)</f>
        <v>Р3.8.53</v>
      </c>
      <c r="F563" s="26">
        <f t="shared" si="50"/>
        <v>1</v>
      </c>
      <c r="G563" s="27" t="s">
        <v>619</v>
      </c>
      <c r="H563" s="28" t="s">
        <v>40</v>
      </c>
      <c r="I563" s="158"/>
      <c r="J563" s="30">
        <v>1503.36</v>
      </c>
      <c r="K563" s="30">
        <v>1578.25</v>
      </c>
      <c r="L563" s="30">
        <f t="shared" si="56"/>
        <v>1503.36</v>
      </c>
      <c r="M563" s="30">
        <f t="shared" si="56"/>
        <v>1578.25</v>
      </c>
      <c r="N563" s="30">
        <f>ROUND('Смета ЕР (общ) '!$I563*'Смета ЕР (общ) '!$L563,2)</f>
        <v>0</v>
      </c>
      <c r="O563" s="30">
        <f>ROUND('Смета ЕР (общ) '!$I563*'Смета ЕР (общ) '!$M563,2)</f>
        <v>0</v>
      </c>
      <c r="P563" s="45" t="s">
        <v>620</v>
      </c>
    </row>
    <row r="564" spans="1:16" ht="61.5" hidden="1" customHeight="1" x14ac:dyDescent="0.3">
      <c r="A564" s="26" t="s">
        <v>279</v>
      </c>
      <c r="B564" s="26">
        <v>8</v>
      </c>
      <c r="C564" s="26"/>
      <c r="D564" s="26">
        <v>54</v>
      </c>
      <c r="E564" s="26" t="str">
        <f>CONCATENATE('Смета ЕР (общ) '!$A564,".",'Смета ЕР (общ) '!$B564,".",'Смета ЕР (общ) '!$D564)</f>
        <v>Р3.8.54</v>
      </c>
      <c r="F564" s="26">
        <f t="shared" si="50"/>
        <v>1</v>
      </c>
      <c r="G564" s="27" t="s">
        <v>621</v>
      </c>
      <c r="H564" s="28" t="s">
        <v>40</v>
      </c>
      <c r="I564" s="158"/>
      <c r="J564" s="30">
        <v>2100</v>
      </c>
      <c r="K564" s="30">
        <v>4323.04</v>
      </c>
      <c r="L564" s="30">
        <f t="shared" si="56"/>
        <v>2100</v>
      </c>
      <c r="M564" s="30">
        <f t="shared" si="56"/>
        <v>4323.04</v>
      </c>
      <c r="N564" s="30">
        <f>ROUND('Смета ЕР (общ) '!$I564*'Смета ЕР (общ) '!$L564,2)</f>
        <v>0</v>
      </c>
      <c r="O564" s="30">
        <f>ROUND('Смета ЕР (общ) '!$I564*'Смета ЕР (общ) '!$M564,2)</f>
        <v>0</v>
      </c>
      <c r="P564" s="45" t="s">
        <v>620</v>
      </c>
    </row>
    <row r="565" spans="1:16" ht="14.4" hidden="1" x14ac:dyDescent="0.3">
      <c r="A565" s="26" t="s">
        <v>279</v>
      </c>
      <c r="B565" s="26">
        <v>8</v>
      </c>
      <c r="C565" s="26"/>
      <c r="D565" s="26">
        <v>3</v>
      </c>
      <c r="E565" s="26" t="str">
        <f>CONCATENATE('Смета ЕР (общ) '!$A565,".",'Смета ЕР (общ) '!$B565,".",'Смета ЕР (общ) '!$D565)</f>
        <v>Р3.8.3</v>
      </c>
      <c r="F565" s="26">
        <f>IF(I565&gt;0,F562+1,F562)</f>
        <v>1</v>
      </c>
      <c r="G565" s="27" t="s">
        <v>622</v>
      </c>
      <c r="H565" s="28" t="s">
        <v>40</v>
      </c>
      <c r="I565" s="158"/>
      <c r="J565" s="30">
        <v>382.8</v>
      </c>
      <c r="K565" s="30">
        <v>465.84</v>
      </c>
      <c r="L565" s="30">
        <f t="shared" si="56"/>
        <v>382.8</v>
      </c>
      <c r="M565" s="30">
        <f t="shared" si="56"/>
        <v>465.84</v>
      </c>
      <c r="N565" s="30">
        <f>ROUND('Смета ЕР (общ) '!$I565*'Смета ЕР (общ) '!$L565,2)</f>
        <v>0</v>
      </c>
      <c r="O565" s="30">
        <f>ROUND('Смета ЕР (общ) '!$I565*'Смета ЕР (общ) '!$M565,2)</f>
        <v>0</v>
      </c>
      <c r="P565" s="45"/>
    </row>
    <row r="566" spans="1:16" ht="14.4" hidden="1" x14ac:dyDescent="0.3">
      <c r="A566" s="26" t="s">
        <v>279</v>
      </c>
      <c r="B566" s="26">
        <v>8</v>
      </c>
      <c r="C566" s="26"/>
      <c r="D566" s="26">
        <v>4</v>
      </c>
      <c r="E566" s="26" t="str">
        <f>CONCATENATE('Смета ЕР (общ) '!$A566,".",'Смета ЕР (общ) '!$B566,".",'Смета ЕР (общ) '!$D566)</f>
        <v>Р3.8.4</v>
      </c>
      <c r="F566" s="26">
        <f t="shared" si="50"/>
        <v>1</v>
      </c>
      <c r="G566" s="27" t="s">
        <v>623</v>
      </c>
      <c r="H566" s="28" t="s">
        <v>147</v>
      </c>
      <c r="I566" s="158"/>
      <c r="J566" s="30">
        <v>2612.5</v>
      </c>
      <c r="K566" s="30">
        <v>13880.9</v>
      </c>
      <c r="L566" s="30">
        <f t="shared" si="56"/>
        <v>2612.5</v>
      </c>
      <c r="M566" s="30">
        <f t="shared" si="56"/>
        <v>13880.9</v>
      </c>
      <c r="N566" s="30">
        <f>ROUND('Смета ЕР (общ) '!$I566*'Смета ЕР (общ) '!$L566,2)</f>
        <v>0</v>
      </c>
      <c r="O566" s="30">
        <f>ROUND('Смета ЕР (общ) '!$I566*'Смета ЕР (общ) '!$M566,2)</f>
        <v>0</v>
      </c>
      <c r="P566" s="45"/>
    </row>
    <row r="567" spans="1:16" ht="14.4" hidden="1" x14ac:dyDescent="0.3">
      <c r="A567" s="26" t="s">
        <v>279</v>
      </c>
      <c r="B567" s="26">
        <v>8</v>
      </c>
      <c r="C567" s="26"/>
      <c r="D567" s="26">
        <v>5</v>
      </c>
      <c r="E567" s="26" t="str">
        <f>CONCATENATE('Смета ЕР (общ) '!$A567,".",'Смета ЕР (общ) '!$B567,".",'Смета ЕР (общ) '!$D567)</f>
        <v>Р3.8.5</v>
      </c>
      <c r="F567" s="26">
        <f t="shared" si="50"/>
        <v>1</v>
      </c>
      <c r="G567" s="27" t="s">
        <v>624</v>
      </c>
      <c r="H567" s="28" t="s">
        <v>147</v>
      </c>
      <c r="I567" s="158"/>
      <c r="J567" s="30">
        <v>670.77</v>
      </c>
      <c r="K567" s="30">
        <v>1272.1099999999999</v>
      </c>
      <c r="L567" s="30">
        <f t="shared" si="56"/>
        <v>670.77</v>
      </c>
      <c r="M567" s="30">
        <f t="shared" si="56"/>
        <v>1272.1099999999999</v>
      </c>
      <c r="N567" s="30">
        <f>ROUND('Смета ЕР (общ) '!$I567*'Смета ЕР (общ) '!$L567,2)</f>
        <v>0</v>
      </c>
      <c r="O567" s="30">
        <f>ROUND('Смета ЕР (общ) '!$I567*'Смета ЕР (общ) '!$M567,2)</f>
        <v>0</v>
      </c>
      <c r="P567" s="45"/>
    </row>
    <row r="568" spans="1:16" ht="14.4" hidden="1" x14ac:dyDescent="0.3">
      <c r="A568" s="26" t="s">
        <v>279</v>
      </c>
      <c r="B568" s="26">
        <v>8</v>
      </c>
      <c r="C568" s="26"/>
      <c r="D568" s="26">
        <v>6</v>
      </c>
      <c r="E568" s="26" t="str">
        <f>CONCATENATE('Смета ЕР (общ) '!$A568,".",'Смета ЕР (общ) '!$B568,".",'Смета ЕР (общ) '!$D568)</f>
        <v>Р3.8.6</v>
      </c>
      <c r="F568" s="26">
        <f t="shared" si="50"/>
        <v>1</v>
      </c>
      <c r="G568" s="41" t="s">
        <v>625</v>
      </c>
      <c r="H568" s="28" t="s">
        <v>40</v>
      </c>
      <c r="I568" s="158"/>
      <c r="J568" s="30">
        <v>2505.6</v>
      </c>
      <c r="K568" s="30">
        <v>23254.16</v>
      </c>
      <c r="L568" s="30">
        <f t="shared" si="56"/>
        <v>2505.6</v>
      </c>
      <c r="M568" s="30">
        <f t="shared" si="56"/>
        <v>23254.16</v>
      </c>
      <c r="N568" s="30">
        <f>ROUND('Смета ЕР (общ) '!$I568*'Смета ЕР (общ) '!$L568,2)</f>
        <v>0</v>
      </c>
      <c r="O568" s="30">
        <f>ROUND('Смета ЕР (общ) '!$I568*'Смета ЕР (общ) '!$M568,2)</f>
        <v>0</v>
      </c>
      <c r="P568" s="45"/>
    </row>
    <row r="569" spans="1:16" ht="14.4" hidden="1" x14ac:dyDescent="0.3">
      <c r="A569" s="82" t="s">
        <v>279</v>
      </c>
      <c r="B569" s="82">
        <v>8</v>
      </c>
      <c r="C569" s="82"/>
      <c r="D569" s="82">
        <v>29</v>
      </c>
      <c r="E569" s="82" t="str">
        <f>CONCATENATE('Смета ЕР (общ) '!$A569,".",'Смета ЕР (общ) '!$B569,".",'Смета ЕР (общ) '!$D569)</f>
        <v>Р3.8.29</v>
      </c>
      <c r="F569" s="82">
        <f t="shared" si="50"/>
        <v>1</v>
      </c>
      <c r="G569" s="83" t="s">
        <v>626</v>
      </c>
      <c r="H569" s="85" t="s">
        <v>40</v>
      </c>
      <c r="I569" s="158"/>
      <c r="J569" s="30">
        <v>1879.2</v>
      </c>
      <c r="K569" s="30">
        <v>15451.76</v>
      </c>
      <c r="L569" s="30">
        <f t="shared" si="56"/>
        <v>1879.2</v>
      </c>
      <c r="M569" s="30">
        <f t="shared" si="56"/>
        <v>15451.76</v>
      </c>
      <c r="N569" s="30">
        <f>ROUND('Смета ЕР (общ) '!$I569*'Смета ЕР (общ) '!$L569,2)</f>
        <v>0</v>
      </c>
      <c r="O569" s="30">
        <f>ROUND('Смета ЕР (общ) '!$I569*'Смета ЕР (общ) '!$M569,2)</f>
        <v>0</v>
      </c>
      <c r="P569" s="45"/>
    </row>
    <row r="570" spans="1:16" ht="14.4" hidden="1" x14ac:dyDescent="0.3">
      <c r="A570" s="26" t="s">
        <v>279</v>
      </c>
      <c r="B570" s="26">
        <v>8</v>
      </c>
      <c r="C570" s="26"/>
      <c r="D570" s="26">
        <v>9</v>
      </c>
      <c r="E570" s="26" t="str">
        <f>CONCATENATE('Смета ЕР (общ) '!$A570,".",'Смета ЕР (общ) '!$B570,".",'Смета ЕР (общ) '!$D570)</f>
        <v>Р3.8.9</v>
      </c>
      <c r="F570" s="26">
        <f t="shared" si="50"/>
        <v>1</v>
      </c>
      <c r="G570" s="41" t="s">
        <v>627</v>
      </c>
      <c r="H570" s="28" t="s">
        <v>144</v>
      </c>
      <c r="I570" s="158"/>
      <c r="J570" s="30">
        <v>2035.2</v>
      </c>
      <c r="K570" s="30">
        <v>4215</v>
      </c>
      <c r="L570" s="30">
        <f t="shared" si="56"/>
        <v>2035.2</v>
      </c>
      <c r="M570" s="30">
        <f t="shared" si="56"/>
        <v>4215</v>
      </c>
      <c r="N570" s="30">
        <f>ROUND('Смета ЕР (общ) '!$I570*'Смета ЕР (общ) '!$L570,2)</f>
        <v>0</v>
      </c>
      <c r="O570" s="30">
        <f>ROUND('Смета ЕР (общ) '!$I570*'Смета ЕР (общ) '!$M570,2)</f>
        <v>0</v>
      </c>
      <c r="P570" s="45"/>
    </row>
    <row r="571" spans="1:16" ht="14.4" hidden="1" x14ac:dyDescent="0.3">
      <c r="A571" s="26" t="s">
        <v>279</v>
      </c>
      <c r="B571" s="26">
        <v>8</v>
      </c>
      <c r="C571" s="26"/>
      <c r="D571" s="26">
        <v>10</v>
      </c>
      <c r="E571" s="26" t="str">
        <f>CONCATENATE('Смета ЕР (общ) '!$A571,".",'Смета ЕР (общ) '!$B571,".",'Смета ЕР (общ) '!$D571)</f>
        <v>Р3.8.10</v>
      </c>
      <c r="F571" s="26">
        <f t="shared" si="50"/>
        <v>1</v>
      </c>
      <c r="G571" s="41" t="s">
        <v>628</v>
      </c>
      <c r="H571" s="28" t="s">
        <v>40</v>
      </c>
      <c r="I571" s="158"/>
      <c r="J571" s="30">
        <v>962.5</v>
      </c>
      <c r="K571" s="30">
        <v>6451.01</v>
      </c>
      <c r="L571" s="30">
        <f t="shared" si="56"/>
        <v>962.5</v>
      </c>
      <c r="M571" s="30">
        <f t="shared" si="56"/>
        <v>6451.01</v>
      </c>
      <c r="N571" s="30">
        <f>ROUND('Смета ЕР (общ) '!$I571*'Смета ЕР (общ) '!$L571,2)</f>
        <v>0</v>
      </c>
      <c r="O571" s="30">
        <f>ROUND('Смета ЕР (общ) '!$I571*'Смета ЕР (общ) '!$M571,2)</f>
        <v>0</v>
      </c>
      <c r="P571" s="45"/>
    </row>
    <row r="572" spans="1:16" ht="14.4" hidden="1" x14ac:dyDescent="0.3">
      <c r="A572" s="26" t="s">
        <v>279</v>
      </c>
      <c r="B572" s="26">
        <v>8</v>
      </c>
      <c r="C572" s="26"/>
      <c r="D572" s="26">
        <v>11</v>
      </c>
      <c r="E572" s="26" t="str">
        <f>CONCATENATE('Смета ЕР (общ) '!$A572,".",'Смета ЕР (общ) '!$B572,".",'Смета ЕР (общ) '!$D572)</f>
        <v>Р3.8.11</v>
      </c>
      <c r="F572" s="26">
        <f t="shared" si="50"/>
        <v>1</v>
      </c>
      <c r="G572" s="41" t="s">
        <v>629</v>
      </c>
      <c r="H572" s="28" t="s">
        <v>229</v>
      </c>
      <c r="I572" s="158"/>
      <c r="J572" s="30">
        <v>125280</v>
      </c>
      <c r="K572" s="30">
        <v>160671.6</v>
      </c>
      <c r="L572" s="30">
        <f t="shared" si="56"/>
        <v>125280</v>
      </c>
      <c r="M572" s="30">
        <f t="shared" si="56"/>
        <v>160671.6</v>
      </c>
      <c r="N572" s="30">
        <f>ROUND('Смета ЕР (общ) '!$I572*'Смета ЕР (общ) '!$L572,2)</f>
        <v>0</v>
      </c>
      <c r="O572" s="30">
        <f>ROUND('Смета ЕР (общ) '!$I572*'Смета ЕР (общ) '!$M572,2)</f>
        <v>0</v>
      </c>
      <c r="P572" s="45"/>
    </row>
    <row r="573" spans="1:16" ht="24" hidden="1" x14ac:dyDescent="0.3">
      <c r="A573" s="46" t="s">
        <v>279</v>
      </c>
      <c r="B573" s="46">
        <v>8</v>
      </c>
      <c r="C573" s="46"/>
      <c r="D573" s="46">
        <v>19</v>
      </c>
      <c r="E573" s="46" t="str">
        <f>CONCATENATE('Смета ЕР (общ) '!$A573,".",'Смета ЕР (общ) '!$B573,".",'Смета ЕР (общ) '!$D573)</f>
        <v>Р3.8.19</v>
      </c>
      <c r="F573" s="46">
        <f t="shared" si="50"/>
        <v>1</v>
      </c>
      <c r="G573" s="58" t="s">
        <v>630</v>
      </c>
      <c r="H573" s="108" t="s">
        <v>40</v>
      </c>
      <c r="I573" s="158"/>
      <c r="J573" s="30">
        <v>2860</v>
      </c>
      <c r="K573" s="30">
        <v>8487.4</v>
      </c>
      <c r="L573" s="50">
        <f t="shared" si="56"/>
        <v>2860</v>
      </c>
      <c r="M573" s="50">
        <f t="shared" si="56"/>
        <v>8487.4</v>
      </c>
      <c r="N573" s="50">
        <f>ROUND('Смета ЕР (общ) '!$I573*'Смета ЕР (общ) '!$L573,2)</f>
        <v>0</v>
      </c>
      <c r="O573" s="50">
        <f>ROUND('Смета ЕР (общ) '!$I573*'Смета ЕР (общ) '!$M573,2)</f>
        <v>0</v>
      </c>
      <c r="P573" s="45"/>
    </row>
    <row r="574" spans="1:16" ht="14.4" hidden="1" x14ac:dyDescent="0.3">
      <c r="A574" s="26" t="s">
        <v>279</v>
      </c>
      <c r="B574" s="26">
        <v>8</v>
      </c>
      <c r="C574" s="26"/>
      <c r="D574" s="26">
        <v>12</v>
      </c>
      <c r="E574" s="26" t="str">
        <f>CONCATENATE('Смета ЕР (общ) '!$A574,".",'Смета ЕР (общ) '!$B574,".",'Смета ЕР (общ) '!$D574)</f>
        <v>Р3.8.12</v>
      </c>
      <c r="F574" s="26">
        <f t="shared" si="50"/>
        <v>1</v>
      </c>
      <c r="G574" s="41" t="s">
        <v>631</v>
      </c>
      <c r="H574" s="28" t="s">
        <v>40</v>
      </c>
      <c r="I574" s="158"/>
      <c r="J574" s="30">
        <v>371.49</v>
      </c>
      <c r="K574" s="30">
        <v>0</v>
      </c>
      <c r="L574" s="30">
        <f t="shared" si="56"/>
        <v>371.49</v>
      </c>
      <c r="M574" s="30">
        <f t="shared" si="56"/>
        <v>0</v>
      </c>
      <c r="N574" s="30">
        <f>ROUND('Смета ЕР (общ) '!$I574*'Смета ЕР (общ) '!$L574,2)</f>
        <v>0</v>
      </c>
      <c r="O574" s="30">
        <f>ROUND('Смета ЕР (общ) '!$I574*'Смета ЕР (общ) '!$M574,2)</f>
        <v>0</v>
      </c>
      <c r="P574" s="45"/>
    </row>
    <row r="575" spans="1:16" ht="24" hidden="1" x14ac:dyDescent="0.3">
      <c r="A575" s="26" t="s">
        <v>279</v>
      </c>
      <c r="B575" s="26">
        <v>8</v>
      </c>
      <c r="C575" s="26"/>
      <c r="D575" s="26">
        <v>13</v>
      </c>
      <c r="E575" s="26" t="str">
        <f>CONCATENATE('Смета ЕР (общ) '!$A575,".",'Смета ЕР (общ) '!$B575,".",'Смета ЕР (общ) '!$D575)</f>
        <v>Р3.8.13</v>
      </c>
      <c r="F575" s="26">
        <f t="shared" si="50"/>
        <v>1</v>
      </c>
      <c r="G575" s="41" t="s">
        <v>632</v>
      </c>
      <c r="H575" s="28" t="s">
        <v>40</v>
      </c>
      <c r="I575" s="158"/>
      <c r="J575" s="30">
        <v>63.95</v>
      </c>
      <c r="K575" s="30">
        <v>40.43</v>
      </c>
      <c r="L575" s="30">
        <f t="shared" si="56"/>
        <v>63.95</v>
      </c>
      <c r="M575" s="30">
        <f t="shared" si="56"/>
        <v>40.43</v>
      </c>
      <c r="N575" s="30">
        <f>ROUND('Смета ЕР (общ) '!$I575*'Смета ЕР (общ) '!$L575,2)</f>
        <v>0</v>
      </c>
      <c r="O575" s="30">
        <f>ROUND('Смета ЕР (общ) '!$I575*'Смета ЕР (общ) '!$M575,2)</f>
        <v>0</v>
      </c>
      <c r="P575" s="45"/>
    </row>
    <row r="576" spans="1:16" ht="14.4" hidden="1" x14ac:dyDescent="0.3">
      <c r="A576" s="26" t="s">
        <v>279</v>
      </c>
      <c r="B576" s="26">
        <v>8</v>
      </c>
      <c r="C576" s="26"/>
      <c r="D576" s="26">
        <v>14</v>
      </c>
      <c r="E576" s="26" t="str">
        <f>CONCATENATE('Смета ЕР (общ) '!$A576,".",'Смета ЕР (общ) '!$B576,".",'Смета ЕР (общ) '!$D576)</f>
        <v>Р3.8.14</v>
      </c>
      <c r="F576" s="26">
        <f t="shared" si="50"/>
        <v>1</v>
      </c>
      <c r="G576" s="41" t="s">
        <v>633</v>
      </c>
      <c r="H576" s="28" t="s">
        <v>40</v>
      </c>
      <c r="I576" s="158"/>
      <c r="J576" s="30">
        <v>626.4</v>
      </c>
      <c r="K576" s="30">
        <v>3260.62</v>
      </c>
      <c r="L576" s="30">
        <f t="shared" si="56"/>
        <v>626.4</v>
      </c>
      <c r="M576" s="30">
        <f t="shared" si="56"/>
        <v>3260.62</v>
      </c>
      <c r="N576" s="30">
        <f>ROUND('Смета ЕР (общ) '!$I576*'Смета ЕР (общ) '!$L576,2)</f>
        <v>0</v>
      </c>
      <c r="O576" s="30">
        <f>ROUND('Смета ЕР (общ) '!$I576*'Смета ЕР (общ) '!$M576,2)</f>
        <v>0</v>
      </c>
      <c r="P576" s="45"/>
    </row>
    <row r="577" spans="1:20" ht="14.4" hidden="1" x14ac:dyDescent="0.3">
      <c r="A577" s="26" t="s">
        <v>279</v>
      </c>
      <c r="B577" s="26">
        <v>8</v>
      </c>
      <c r="C577" s="26"/>
      <c r="D577" s="26">
        <v>15</v>
      </c>
      <c r="E577" s="26" t="str">
        <f>CONCATENATE('Смета ЕР (общ) '!$A577,".",'Смета ЕР (общ) '!$B577,".",'Смета ЕР (общ) '!$D577)</f>
        <v>Р3.8.15</v>
      </c>
      <c r="F577" s="26">
        <f t="shared" si="50"/>
        <v>1</v>
      </c>
      <c r="G577" s="41" t="s">
        <v>634</v>
      </c>
      <c r="H577" s="28" t="s">
        <v>118</v>
      </c>
      <c r="I577" s="158"/>
      <c r="J577" s="30">
        <v>730.76</v>
      </c>
      <c r="K577" s="30">
        <v>895.47</v>
      </c>
      <c r="L577" s="30">
        <f t="shared" si="56"/>
        <v>730.76</v>
      </c>
      <c r="M577" s="30">
        <f t="shared" si="56"/>
        <v>895.47</v>
      </c>
      <c r="N577" s="30">
        <f>ROUND('Смета ЕР (общ) '!$I577*'Смета ЕР (общ) '!$L577,2)</f>
        <v>0</v>
      </c>
      <c r="O577" s="30">
        <f>ROUND('Смета ЕР (общ) '!$I577*'Смета ЕР (общ) '!$M577,2)</f>
        <v>0</v>
      </c>
      <c r="P577" s="45"/>
    </row>
    <row r="578" spans="1:20" ht="14.4" hidden="1" x14ac:dyDescent="0.3">
      <c r="A578" s="26" t="s">
        <v>279</v>
      </c>
      <c r="B578" s="26">
        <v>8</v>
      </c>
      <c r="C578" s="26"/>
      <c r="D578" s="26">
        <v>16</v>
      </c>
      <c r="E578" s="26" t="str">
        <f>CONCATENATE('Смета ЕР (общ) '!$A578,".",'Смета ЕР (общ) '!$B578,".",'Смета ЕР (общ) '!$D578)</f>
        <v>Р3.8.16</v>
      </c>
      <c r="F578" s="26">
        <f t="shared" si="50"/>
        <v>1</v>
      </c>
      <c r="G578" s="41" t="s">
        <v>635</v>
      </c>
      <c r="H578" s="28" t="s">
        <v>40</v>
      </c>
      <c r="I578" s="158"/>
      <c r="J578" s="30">
        <v>381.78</v>
      </c>
      <c r="K578" s="30">
        <v>180.06</v>
      </c>
      <c r="L578" s="30">
        <f t="shared" si="56"/>
        <v>381.78</v>
      </c>
      <c r="M578" s="30">
        <f t="shared" si="56"/>
        <v>180.06</v>
      </c>
      <c r="N578" s="30">
        <f>ROUND('Смета ЕР (общ) '!$I578*'Смета ЕР (общ) '!$L578,2)</f>
        <v>0</v>
      </c>
      <c r="O578" s="30">
        <f>ROUND('Смета ЕР (общ) '!$I578*'Смета ЕР (общ) '!$M578,2)</f>
        <v>0</v>
      </c>
      <c r="P578" s="45"/>
    </row>
    <row r="579" spans="1:20" ht="14.4" hidden="1" x14ac:dyDescent="0.3">
      <c r="A579" s="26" t="s">
        <v>279</v>
      </c>
      <c r="B579" s="26">
        <v>8</v>
      </c>
      <c r="C579" s="26"/>
      <c r="D579" s="26">
        <v>17</v>
      </c>
      <c r="E579" s="26" t="str">
        <f>CONCATENATE('Смета ЕР (общ) '!$A579,".",'Смета ЕР (общ) '!$B579,".",'Смета ЕР (общ) '!$D579)</f>
        <v>Р3.8.17</v>
      </c>
      <c r="F579" s="26">
        <f t="shared" si="50"/>
        <v>1</v>
      </c>
      <c r="G579" s="41" t="s">
        <v>636</v>
      </c>
      <c r="H579" s="28" t="s">
        <v>40</v>
      </c>
      <c r="I579" s="158"/>
      <c r="J579" s="30">
        <v>11400.52</v>
      </c>
      <c r="K579" s="30">
        <v>15763.83</v>
      </c>
      <c r="L579" s="30">
        <f t="shared" si="56"/>
        <v>11400.52</v>
      </c>
      <c r="M579" s="30">
        <f t="shared" si="56"/>
        <v>15763.83</v>
      </c>
      <c r="N579" s="30">
        <f>ROUND('Смета ЕР (общ) '!$I579*'Смета ЕР (общ) '!$L579,2)</f>
        <v>0</v>
      </c>
      <c r="O579" s="30">
        <f>ROUND('Смета ЕР (общ) '!$I579*'Смета ЕР (общ) '!$M579,2)</f>
        <v>0</v>
      </c>
      <c r="P579" s="45"/>
    </row>
    <row r="580" spans="1:20" ht="14.4" hidden="1" x14ac:dyDescent="0.3">
      <c r="A580" s="26" t="s">
        <v>279</v>
      </c>
      <c r="B580" s="26">
        <v>8</v>
      </c>
      <c r="C580" s="26"/>
      <c r="D580" s="26">
        <v>18</v>
      </c>
      <c r="E580" s="26" t="str">
        <f>CONCATENATE('Смета ЕР (общ) '!$A580,".",'Смета ЕР (общ) '!$B580,".",'Смета ЕР (общ) '!$D580)</f>
        <v>Р3.8.18</v>
      </c>
      <c r="F580" s="26">
        <f t="shared" si="50"/>
        <v>1</v>
      </c>
      <c r="G580" s="41" t="s">
        <v>637</v>
      </c>
      <c r="H580" s="28" t="s">
        <v>40</v>
      </c>
      <c r="I580" s="158"/>
      <c r="J580" s="30">
        <v>669.87</v>
      </c>
      <c r="K580" s="30">
        <v>5216.53</v>
      </c>
      <c r="L580" s="30">
        <f t="shared" si="56"/>
        <v>669.87</v>
      </c>
      <c r="M580" s="30">
        <f t="shared" si="56"/>
        <v>5216.53</v>
      </c>
      <c r="N580" s="30">
        <f>ROUND('Смета ЕР (общ) '!$I580*'Смета ЕР (общ) '!$L580,2)</f>
        <v>0</v>
      </c>
      <c r="O580" s="30">
        <f>ROUND('Смета ЕР (общ) '!$I580*'Смета ЕР (общ) '!$M580,2)</f>
        <v>0</v>
      </c>
      <c r="P580" s="45"/>
    </row>
    <row r="581" spans="1:20" ht="14.4" hidden="1" x14ac:dyDescent="0.3">
      <c r="A581" s="26" t="s">
        <v>279</v>
      </c>
      <c r="B581" s="26">
        <v>8</v>
      </c>
      <c r="C581" s="26"/>
      <c r="D581" s="26">
        <v>22</v>
      </c>
      <c r="E581" s="26" t="str">
        <f>CONCATENATE('Смета ЕР (общ) '!$A581,".",'Смета ЕР (общ) '!$B581,".",'Смета ЕР (общ) '!$D581)</f>
        <v>Р3.8.22</v>
      </c>
      <c r="F581" s="26">
        <f t="shared" si="50"/>
        <v>1</v>
      </c>
      <c r="G581" s="27" t="s">
        <v>638</v>
      </c>
      <c r="H581" s="28" t="s">
        <v>40</v>
      </c>
      <c r="I581" s="158"/>
      <c r="J581" s="30">
        <v>736.85</v>
      </c>
      <c r="K581" s="30">
        <v>824.35</v>
      </c>
      <c r="L581" s="30">
        <f t="shared" ref="L581:M591" si="57">ROUND(J581-J581*$Q$3,2)</f>
        <v>736.85</v>
      </c>
      <c r="M581" s="30">
        <f t="shared" si="57"/>
        <v>824.35</v>
      </c>
      <c r="N581" s="30">
        <f>ROUND('Смета ЕР (общ) '!$I581*'Смета ЕР (общ) '!$L581,2)</f>
        <v>0</v>
      </c>
      <c r="O581" s="30">
        <f>ROUND('Смета ЕР (общ) '!$I581*'Смета ЕР (общ) '!$M581,2)</f>
        <v>0</v>
      </c>
      <c r="P581" s="45"/>
    </row>
    <row r="582" spans="1:20" ht="24" hidden="1" x14ac:dyDescent="0.3">
      <c r="A582" s="26" t="s">
        <v>279</v>
      </c>
      <c r="B582" s="26">
        <v>8</v>
      </c>
      <c r="C582" s="26"/>
      <c r="D582" s="26">
        <v>23</v>
      </c>
      <c r="E582" s="26" t="str">
        <f>CONCATENATE('Смета ЕР (общ) '!$A582,".",'Смета ЕР (общ) '!$B582,".",'Смета ЕР (общ) '!$D582)</f>
        <v>Р3.8.23</v>
      </c>
      <c r="F582" s="26">
        <f t="shared" si="50"/>
        <v>1</v>
      </c>
      <c r="G582" s="27" t="s">
        <v>639</v>
      </c>
      <c r="H582" s="28" t="s">
        <v>229</v>
      </c>
      <c r="I582" s="158"/>
      <c r="J582" s="30">
        <v>93960</v>
      </c>
      <c r="K582" s="30">
        <v>102312.64</v>
      </c>
      <c r="L582" s="30">
        <f t="shared" si="57"/>
        <v>93960</v>
      </c>
      <c r="M582" s="30">
        <f t="shared" si="57"/>
        <v>102312.64</v>
      </c>
      <c r="N582" s="30">
        <f>ROUND('Смета ЕР (общ) '!$I582*'Смета ЕР (общ) '!$L582,2)</f>
        <v>0</v>
      </c>
      <c r="O582" s="30">
        <f>ROUND('Смета ЕР (общ) '!$I582*'Смета ЕР (общ) '!$M582,2)</f>
        <v>0</v>
      </c>
      <c r="P582" s="45"/>
    </row>
    <row r="583" spans="1:20" ht="14.4" hidden="1" x14ac:dyDescent="0.3">
      <c r="A583" s="26" t="s">
        <v>279</v>
      </c>
      <c r="B583" s="26">
        <v>8</v>
      </c>
      <c r="C583" s="26"/>
      <c r="D583" s="26">
        <v>24</v>
      </c>
      <c r="E583" s="26" t="str">
        <f>CONCATENATE('Смета ЕР (общ) '!$A583,".",'Смета ЕР (общ) '!$B583,".",'Смета ЕР (общ) '!$D583)</f>
        <v>Р3.8.24</v>
      </c>
      <c r="F583" s="26">
        <f t="shared" si="50"/>
        <v>1</v>
      </c>
      <c r="G583" s="27" t="s">
        <v>640</v>
      </c>
      <c r="H583" s="28" t="s">
        <v>40</v>
      </c>
      <c r="I583" s="158"/>
      <c r="J583" s="30">
        <v>738.59</v>
      </c>
      <c r="K583" s="30">
        <v>7288.42</v>
      </c>
      <c r="L583" s="30">
        <f t="shared" si="57"/>
        <v>738.59</v>
      </c>
      <c r="M583" s="30">
        <f t="shared" si="57"/>
        <v>7288.42</v>
      </c>
      <c r="N583" s="30">
        <f>ROUND('Смета ЕР (общ) '!$I583*'Смета ЕР (общ) '!$L583,2)</f>
        <v>0</v>
      </c>
      <c r="O583" s="30">
        <f>ROUND('Смета ЕР (общ) '!$I583*'Смета ЕР (общ) '!$M583,2)</f>
        <v>0</v>
      </c>
      <c r="P583" s="45"/>
    </row>
    <row r="584" spans="1:20" ht="24" hidden="1" x14ac:dyDescent="0.3">
      <c r="A584" s="82" t="s">
        <v>279</v>
      </c>
      <c r="B584" s="82">
        <v>8</v>
      </c>
      <c r="C584" s="82"/>
      <c r="D584" s="82">
        <v>31</v>
      </c>
      <c r="E584" s="82" t="str">
        <f>CONCATENATE('Смета ЕР (общ) '!$A584,".",'Смета ЕР (общ) '!$B584,".",'Смета ЕР (общ) '!$D584)</f>
        <v>Р3.8.31</v>
      </c>
      <c r="F584" s="82">
        <f t="shared" si="50"/>
        <v>1</v>
      </c>
      <c r="G584" s="83" t="s">
        <v>641</v>
      </c>
      <c r="H584" s="28" t="s">
        <v>147</v>
      </c>
      <c r="I584" s="158"/>
      <c r="J584" s="30">
        <v>281.88</v>
      </c>
      <c r="K584" s="30">
        <v>590.46</v>
      </c>
      <c r="L584" s="30">
        <f t="shared" si="57"/>
        <v>281.88</v>
      </c>
      <c r="M584" s="30">
        <f t="shared" si="57"/>
        <v>590.46</v>
      </c>
      <c r="N584" s="30">
        <f>ROUND('Смета ЕР (общ) '!$I584*'Смета ЕР (общ) '!$L584,2)</f>
        <v>0</v>
      </c>
      <c r="O584" s="30">
        <f>ROUND('Смета ЕР (общ) '!$I584*'Смета ЕР (общ) '!$M584,2)</f>
        <v>0</v>
      </c>
      <c r="P584" s="45"/>
    </row>
    <row r="585" spans="1:20" ht="14.4" hidden="1" x14ac:dyDescent="0.3">
      <c r="A585" s="82" t="s">
        <v>279</v>
      </c>
      <c r="B585" s="82">
        <v>8</v>
      </c>
      <c r="C585" s="82"/>
      <c r="D585" s="82">
        <v>32</v>
      </c>
      <c r="E585" s="82" t="str">
        <f>CONCATENATE('Смета ЕР (общ) '!$A585,".",'Смета ЕР (общ) '!$B585,".",'Смета ЕР (общ) '!$D585)</f>
        <v>Р3.8.32</v>
      </c>
      <c r="F585" s="82">
        <f t="shared" si="50"/>
        <v>1</v>
      </c>
      <c r="G585" s="83" t="s">
        <v>642</v>
      </c>
      <c r="H585" s="85" t="s">
        <v>40</v>
      </c>
      <c r="I585" s="158"/>
      <c r="J585" s="30">
        <v>516.26</v>
      </c>
      <c r="K585" s="30">
        <v>568.29999999999995</v>
      </c>
      <c r="L585" s="30">
        <f t="shared" si="57"/>
        <v>516.26</v>
      </c>
      <c r="M585" s="30">
        <f t="shared" si="57"/>
        <v>568.29999999999995</v>
      </c>
      <c r="N585" s="30">
        <f>ROUND('Смета ЕР (общ) '!$I585*'Смета ЕР (общ) '!$L585,2)</f>
        <v>0</v>
      </c>
      <c r="O585" s="30">
        <f>ROUND('Смета ЕР (общ) '!$I585*'Смета ЕР (общ) '!$M585,2)</f>
        <v>0</v>
      </c>
      <c r="P585" s="45"/>
    </row>
    <row r="586" spans="1:20" ht="14.4" hidden="1" x14ac:dyDescent="0.3">
      <c r="A586" s="82" t="s">
        <v>279</v>
      </c>
      <c r="B586" s="82">
        <v>8</v>
      </c>
      <c r="C586" s="82"/>
      <c r="D586" s="82">
        <v>38</v>
      </c>
      <c r="E586" s="82" t="str">
        <f>CONCATENATE('Смета ЕР (общ) '!$A586,".",'Смета ЕР (общ) '!$B586,".",'Смета ЕР (общ) '!$D586)</f>
        <v>Р3.8.38</v>
      </c>
      <c r="F586" s="82">
        <f t="shared" si="50"/>
        <v>1</v>
      </c>
      <c r="G586" s="83" t="s">
        <v>643</v>
      </c>
      <c r="H586" s="28" t="s">
        <v>118</v>
      </c>
      <c r="I586" s="158"/>
      <c r="J586" s="30">
        <v>741.2</v>
      </c>
      <c r="K586" s="30">
        <v>2900.67</v>
      </c>
      <c r="L586" s="30">
        <f t="shared" si="57"/>
        <v>741.2</v>
      </c>
      <c r="M586" s="30">
        <f t="shared" si="57"/>
        <v>2900.67</v>
      </c>
      <c r="N586" s="30">
        <f>ROUND('Смета ЕР (общ) '!$I586*'Смета ЕР (общ) '!$L586,2)</f>
        <v>0</v>
      </c>
      <c r="O586" s="30">
        <f>ROUND('Смета ЕР (общ) '!$I586*'Смета ЕР (общ) '!$M586,2)</f>
        <v>0</v>
      </c>
      <c r="P586" s="45"/>
    </row>
    <row r="587" spans="1:20" ht="14.4" hidden="1" x14ac:dyDescent="0.3">
      <c r="A587" s="82" t="s">
        <v>279</v>
      </c>
      <c r="B587" s="82">
        <v>8</v>
      </c>
      <c r="C587" s="82"/>
      <c r="D587" s="82">
        <v>48</v>
      </c>
      <c r="E587" s="82" t="str">
        <f>CONCATENATE('Смета ЕР (общ) '!$A587,".",'Смета ЕР (общ) '!$B587,".",'Смета ЕР (общ) '!$D587)</f>
        <v>Р3.8.48</v>
      </c>
      <c r="F587" s="82">
        <f t="shared" si="50"/>
        <v>1</v>
      </c>
      <c r="G587" s="83" t="s">
        <v>644</v>
      </c>
      <c r="H587" s="28" t="s">
        <v>229</v>
      </c>
      <c r="I587" s="158"/>
      <c r="J587" s="30">
        <v>125280</v>
      </c>
      <c r="K587" s="30">
        <v>100414.14</v>
      </c>
      <c r="L587" s="30">
        <f t="shared" si="57"/>
        <v>125280</v>
      </c>
      <c r="M587" s="30">
        <f t="shared" si="57"/>
        <v>100414.14</v>
      </c>
      <c r="N587" s="30">
        <f>ROUND('Смета ЕР (общ) '!$I587*'Смета ЕР (общ) '!$L587,2)</f>
        <v>0</v>
      </c>
      <c r="O587" s="30">
        <f>ROUND('Смета ЕР (общ) '!$I587*'Смета ЕР (общ) '!$M587,2)</f>
        <v>0</v>
      </c>
      <c r="P587" s="45"/>
    </row>
    <row r="588" spans="1:20" ht="14.4" hidden="1" x14ac:dyDescent="0.3">
      <c r="A588" s="82" t="s">
        <v>279</v>
      </c>
      <c r="B588" s="82">
        <v>8</v>
      </c>
      <c r="C588" s="82"/>
      <c r="D588" s="82">
        <v>49</v>
      </c>
      <c r="E588" s="82" t="str">
        <f>CONCATENATE('Смета ЕР (общ) '!$A588,".",'Смета ЕР (общ) '!$B588,".",'Смета ЕР (общ) '!$D588)</f>
        <v>Р3.8.49</v>
      </c>
      <c r="F588" s="82">
        <f t="shared" si="50"/>
        <v>1</v>
      </c>
      <c r="G588" s="83" t="s">
        <v>645</v>
      </c>
      <c r="H588" s="28" t="s">
        <v>229</v>
      </c>
      <c r="I588" s="158"/>
      <c r="J588" s="30">
        <v>10875.13</v>
      </c>
      <c r="K588" s="30">
        <v>58325.41</v>
      </c>
      <c r="L588" s="30">
        <f t="shared" si="57"/>
        <v>10875.13</v>
      </c>
      <c r="M588" s="30">
        <f t="shared" si="57"/>
        <v>58325.41</v>
      </c>
      <c r="N588" s="30">
        <f>ROUND('Смета ЕР (общ) '!$I588*'Смета ЕР (общ) '!$L588,2)</f>
        <v>0</v>
      </c>
      <c r="O588" s="30">
        <f>ROUND('Смета ЕР (общ) '!$I588*'Смета ЕР (общ) '!$M588,2)</f>
        <v>0</v>
      </c>
      <c r="P588" s="45"/>
    </row>
    <row r="589" spans="1:20" ht="14.4" hidden="1" x14ac:dyDescent="0.3">
      <c r="A589" s="82" t="s">
        <v>279</v>
      </c>
      <c r="B589" s="82">
        <v>8</v>
      </c>
      <c r="C589" s="82"/>
      <c r="D589" s="82">
        <v>50</v>
      </c>
      <c r="E589" s="82" t="str">
        <f>CONCATENATE('Смета ЕР (общ) '!$A589,".",'Смета ЕР (общ) '!$B589,".",'Смета ЕР (общ) '!$D589)</f>
        <v>Р3.8.50</v>
      </c>
      <c r="F589" s="82">
        <f t="shared" si="50"/>
        <v>1</v>
      </c>
      <c r="G589" s="83" t="s">
        <v>646</v>
      </c>
      <c r="H589" s="28" t="s">
        <v>118</v>
      </c>
      <c r="I589" s="158"/>
      <c r="J589" s="30">
        <v>1127.52</v>
      </c>
      <c r="K589" s="30">
        <v>3390.51</v>
      </c>
      <c r="L589" s="30">
        <f t="shared" si="57"/>
        <v>1127.52</v>
      </c>
      <c r="M589" s="30">
        <f t="shared" si="57"/>
        <v>3390.51</v>
      </c>
      <c r="N589" s="30">
        <f>ROUND('Смета ЕР (общ) '!$I589*'Смета ЕР (общ) '!$L589,2)</f>
        <v>0</v>
      </c>
      <c r="O589" s="30">
        <f>ROUND('Смета ЕР (общ) '!$I589*'Смета ЕР (общ) '!$M589,2)</f>
        <v>0</v>
      </c>
      <c r="P589" s="45"/>
    </row>
    <row r="590" spans="1:20" ht="36" hidden="1" x14ac:dyDescent="0.3">
      <c r="A590" s="82" t="s">
        <v>279</v>
      </c>
      <c r="B590" s="82">
        <v>8</v>
      </c>
      <c r="C590" s="82"/>
      <c r="D590" s="82">
        <v>51</v>
      </c>
      <c r="E590" s="82" t="str">
        <f>CONCATENATE('Смета ЕР (общ) '!$A590,".",'Смета ЕР (общ) '!$B590,".",'Смета ЕР (общ) '!$D590)</f>
        <v>Р3.8.51</v>
      </c>
      <c r="F590" s="82">
        <f t="shared" si="50"/>
        <v>1</v>
      </c>
      <c r="G590" s="83" t="s">
        <v>647</v>
      </c>
      <c r="H590" s="28" t="s">
        <v>147</v>
      </c>
      <c r="I590" s="158"/>
      <c r="J590" s="30">
        <v>1697</v>
      </c>
      <c r="K590" s="30">
        <v>14759.7</v>
      </c>
      <c r="L590" s="30">
        <f t="shared" si="57"/>
        <v>1697</v>
      </c>
      <c r="M590" s="30">
        <f t="shared" si="57"/>
        <v>14759.7</v>
      </c>
      <c r="N590" s="30">
        <f>ROUND('Смета ЕР (общ) '!$I590*'Смета ЕР (общ) '!$L590,2)</f>
        <v>0</v>
      </c>
      <c r="O590" s="30">
        <f>ROUND('Смета ЕР (общ) '!$I590*'Смета ЕР (общ) '!$M590,2)</f>
        <v>0</v>
      </c>
      <c r="P590" s="45"/>
    </row>
    <row r="591" spans="1:20" ht="24" hidden="1" x14ac:dyDescent="0.3">
      <c r="A591" s="82" t="s">
        <v>279</v>
      </c>
      <c r="B591" s="82">
        <v>8</v>
      </c>
      <c r="C591" s="82"/>
      <c r="D591" s="82">
        <v>52</v>
      </c>
      <c r="E591" s="82" t="str">
        <f>CONCATENATE('Смета ЕР (общ) '!$A591,".",'Смета ЕР (общ) '!$B591,".",'Смета ЕР (общ) '!$D591)</f>
        <v>Р3.8.52</v>
      </c>
      <c r="F591" s="82">
        <f t="shared" ref="F591:F654" si="58">IF(I591&gt;0,F590+1,F590)</f>
        <v>1</v>
      </c>
      <c r="G591" s="83" t="s">
        <v>648</v>
      </c>
      <c r="H591" s="28" t="s">
        <v>118</v>
      </c>
      <c r="I591" s="158"/>
      <c r="J591" s="30">
        <v>20044.8</v>
      </c>
      <c r="K591" s="30">
        <v>162424.10999999999</v>
      </c>
      <c r="L591" s="30">
        <f t="shared" si="57"/>
        <v>20044.8</v>
      </c>
      <c r="M591" s="30">
        <f t="shared" si="57"/>
        <v>162424.10999999999</v>
      </c>
      <c r="N591" s="30">
        <f>ROUND('Смета ЕР (общ) '!$I591*'Смета ЕР (общ) '!$L591,2)</f>
        <v>0</v>
      </c>
      <c r="O591" s="30">
        <f>ROUND('Смета ЕР (общ) '!$I591*'Смета ЕР (общ) '!$M591,2)</f>
        <v>0</v>
      </c>
      <c r="P591" s="45"/>
    </row>
    <row r="592" spans="1:20" ht="14.4" hidden="1" x14ac:dyDescent="0.3">
      <c r="A592" s="19" t="s">
        <v>649</v>
      </c>
      <c r="B592" s="19">
        <v>0</v>
      </c>
      <c r="C592" s="19"/>
      <c r="D592" s="19">
        <v>0</v>
      </c>
      <c r="E592" s="19" t="str">
        <f>CONCATENATE('Смета ЕР (общ) '!$A592,".",'Смета ЕР (общ) '!$B592,".",'Смета ЕР (общ) '!$D592)</f>
        <v>Р4.0.0</v>
      </c>
      <c r="F592" s="19">
        <f t="shared" si="58"/>
        <v>1</v>
      </c>
      <c r="G592" s="21" t="s">
        <v>650</v>
      </c>
      <c r="H592" s="22"/>
      <c r="I592" s="23"/>
      <c r="J592" s="36"/>
      <c r="K592" s="36"/>
      <c r="L592" s="25"/>
      <c r="M592" s="25"/>
      <c r="N592" s="25">
        <f>ROUND(N593+N606+N633+N640,2)</f>
        <v>0</v>
      </c>
      <c r="O592" s="25">
        <f>ROUND(O593+O606+O633+O640,2)</f>
        <v>0</v>
      </c>
      <c r="P592" s="45"/>
      <c r="T592">
        <v>52510.06</v>
      </c>
    </row>
    <row r="593" spans="1:20" ht="14.4" hidden="1" x14ac:dyDescent="0.3">
      <c r="A593" s="109" t="s">
        <v>649</v>
      </c>
      <c r="B593" s="109">
        <v>1</v>
      </c>
      <c r="C593" s="109"/>
      <c r="D593" s="109">
        <v>0</v>
      </c>
      <c r="E593" s="109" t="str">
        <f>CONCATENATE('Смета ЕР (общ) '!$A593,".",'Смета ЕР (общ) '!$B593,".",'Смета ЕР (общ) '!$D593)</f>
        <v>Р4.1.0</v>
      </c>
      <c r="F593" s="109">
        <f t="shared" si="58"/>
        <v>1</v>
      </c>
      <c r="G593" s="110" t="s">
        <v>651</v>
      </c>
      <c r="H593" s="22"/>
      <c r="I593" s="23"/>
      <c r="J593" s="36"/>
      <c r="K593" s="36"/>
      <c r="L593" s="25"/>
      <c r="M593" s="25"/>
      <c r="N593" s="25">
        <f>SUM(N594:N605)</f>
        <v>0</v>
      </c>
      <c r="O593" s="25">
        <f>SUM(O594:O605)</f>
        <v>0</v>
      </c>
      <c r="P593" s="45"/>
      <c r="T593">
        <v>0</v>
      </c>
    </row>
    <row r="594" spans="1:20" ht="24" hidden="1" x14ac:dyDescent="0.3">
      <c r="A594" s="26" t="s">
        <v>649</v>
      </c>
      <c r="B594" s="26">
        <v>1</v>
      </c>
      <c r="C594" s="26"/>
      <c r="D594" s="26">
        <v>1</v>
      </c>
      <c r="E594" s="26" t="str">
        <f>CONCATENATE('Смета ЕР (общ) '!$A594,".",'Смета ЕР (общ) '!$B594,".",'Смета ЕР (общ) '!$D594)</f>
        <v>Р4.1.1</v>
      </c>
      <c r="F594" s="26">
        <f t="shared" si="58"/>
        <v>1</v>
      </c>
      <c r="G594" s="27" t="s">
        <v>652</v>
      </c>
      <c r="H594" s="28" t="s">
        <v>40</v>
      </c>
      <c r="I594" s="158"/>
      <c r="J594" s="30">
        <v>365.88</v>
      </c>
      <c r="K594" s="30">
        <v>1012.98</v>
      </c>
      <c r="L594" s="30">
        <f t="shared" ref="L594:M605" si="59">ROUND(J594-J594*$Q$3,2)</f>
        <v>365.88</v>
      </c>
      <c r="M594" s="30">
        <f t="shared" si="59"/>
        <v>1012.98</v>
      </c>
      <c r="N594" s="30">
        <f>ROUND('Смета ЕР (общ) '!$I594*'Смета ЕР (общ) '!$L594,2)</f>
        <v>0</v>
      </c>
      <c r="O594" s="30">
        <f>ROUND('Смета ЕР (общ) '!$I594*'Смета ЕР (общ) '!$M594,2)</f>
        <v>0</v>
      </c>
      <c r="P594" s="45"/>
    </row>
    <row r="595" spans="1:20" ht="24" hidden="1" x14ac:dyDescent="0.3">
      <c r="A595" s="26" t="s">
        <v>649</v>
      </c>
      <c r="B595" s="26">
        <v>1</v>
      </c>
      <c r="C595" s="26"/>
      <c r="D595" s="26">
        <v>2</v>
      </c>
      <c r="E595" s="26" t="str">
        <f>CONCATENATE('Смета ЕР (общ) '!$A595,".",'Смета ЕР (общ) '!$B595,".",'Смета ЕР (общ) '!$D595)</f>
        <v>Р4.1.2</v>
      </c>
      <c r="F595" s="26">
        <f t="shared" si="58"/>
        <v>1</v>
      </c>
      <c r="G595" s="27" t="s">
        <v>653</v>
      </c>
      <c r="H595" s="28" t="s">
        <v>40</v>
      </c>
      <c r="I595" s="158"/>
      <c r="J595" s="30">
        <v>1000</v>
      </c>
      <c r="K595" s="30">
        <v>1333.58</v>
      </c>
      <c r="L595" s="30">
        <f t="shared" si="59"/>
        <v>1000</v>
      </c>
      <c r="M595" s="30">
        <f t="shared" si="59"/>
        <v>1333.58</v>
      </c>
      <c r="N595" s="30">
        <f>ROUND('Смета ЕР (общ) '!$I595*'Смета ЕР (общ) '!$L595,2)</f>
        <v>0</v>
      </c>
      <c r="O595" s="30">
        <f>ROUND('Смета ЕР (общ) '!$I595*'Смета ЕР (общ) '!$M595,2)</f>
        <v>0</v>
      </c>
      <c r="P595" s="45"/>
    </row>
    <row r="596" spans="1:20" ht="14.4" hidden="1" x14ac:dyDescent="0.3">
      <c r="A596" s="26" t="s">
        <v>649</v>
      </c>
      <c r="B596" s="26">
        <v>1</v>
      </c>
      <c r="C596" s="26"/>
      <c r="D596" s="26">
        <v>3</v>
      </c>
      <c r="E596" s="26" t="str">
        <f>CONCATENATE('Смета ЕР (общ) '!$A596,".",'Смета ЕР (общ) '!$B596,".",'Смета ЕР (общ) '!$D596)</f>
        <v>Р4.1.3</v>
      </c>
      <c r="F596" s="26">
        <f t="shared" si="58"/>
        <v>1</v>
      </c>
      <c r="G596" s="27" t="s">
        <v>654</v>
      </c>
      <c r="H596" s="28" t="s">
        <v>147</v>
      </c>
      <c r="I596" s="158"/>
      <c r="J596" s="30">
        <v>640</v>
      </c>
      <c r="K596" s="30">
        <v>964.32</v>
      </c>
      <c r="L596" s="30">
        <f t="shared" si="59"/>
        <v>640</v>
      </c>
      <c r="M596" s="30">
        <f t="shared" si="59"/>
        <v>964.32</v>
      </c>
      <c r="N596" s="30">
        <f>ROUND('Смета ЕР (общ) '!$I596*'Смета ЕР (общ) '!$L596,2)</f>
        <v>0</v>
      </c>
      <c r="O596" s="30">
        <f>ROUND('Смета ЕР (общ) '!$I596*'Смета ЕР (общ) '!$M596,2)</f>
        <v>0</v>
      </c>
      <c r="P596" s="45"/>
    </row>
    <row r="597" spans="1:20" ht="24" hidden="1" x14ac:dyDescent="0.3">
      <c r="A597" s="26" t="s">
        <v>649</v>
      </c>
      <c r="B597" s="26">
        <v>1</v>
      </c>
      <c r="C597" s="26"/>
      <c r="D597" s="26">
        <v>4</v>
      </c>
      <c r="E597" s="26" t="str">
        <f>CONCATENATE('Смета ЕР (общ) '!$A597,".",'Смета ЕР (общ) '!$B597,".",'Смета ЕР (общ) '!$D597)</f>
        <v>Р4.1.4</v>
      </c>
      <c r="F597" s="26">
        <f t="shared" si="58"/>
        <v>1</v>
      </c>
      <c r="G597" s="27" t="s">
        <v>655</v>
      </c>
      <c r="H597" s="28" t="s">
        <v>40</v>
      </c>
      <c r="I597" s="158"/>
      <c r="J597" s="30">
        <v>1289.3399999999999</v>
      </c>
      <c r="K597" s="30">
        <v>5618.09</v>
      </c>
      <c r="L597" s="30">
        <f t="shared" si="59"/>
        <v>1289.3399999999999</v>
      </c>
      <c r="M597" s="30">
        <f t="shared" si="59"/>
        <v>5618.09</v>
      </c>
      <c r="N597" s="30">
        <f>ROUND('Смета ЕР (общ) '!$I597*'Смета ЕР (общ) '!$L597,2)</f>
        <v>0</v>
      </c>
      <c r="O597" s="30">
        <f>ROUND('Смета ЕР (общ) '!$I597*'Смета ЕР (общ) '!$M597,2)</f>
        <v>0</v>
      </c>
      <c r="P597" s="45"/>
    </row>
    <row r="598" spans="1:20" ht="24" hidden="1" x14ac:dyDescent="0.3">
      <c r="A598" s="26" t="s">
        <v>649</v>
      </c>
      <c r="B598" s="26">
        <v>1</v>
      </c>
      <c r="C598" s="26"/>
      <c r="D598" s="26">
        <v>5</v>
      </c>
      <c r="E598" s="26" t="str">
        <f>CONCATENATE('Смета ЕР (общ) '!$A598,".",'Смета ЕР (общ) '!$B598,".",'Смета ЕР (общ) '!$D598)</f>
        <v>Р4.1.5</v>
      </c>
      <c r="F598" s="26">
        <f t="shared" si="58"/>
        <v>1</v>
      </c>
      <c r="G598" s="27" t="s">
        <v>656</v>
      </c>
      <c r="H598" s="28" t="s">
        <v>40</v>
      </c>
      <c r="I598" s="158"/>
      <c r="J598" s="30">
        <v>547.04999999999995</v>
      </c>
      <c r="K598" s="30">
        <v>133.91</v>
      </c>
      <c r="L598" s="30">
        <f t="shared" si="59"/>
        <v>547.04999999999995</v>
      </c>
      <c r="M598" s="30">
        <f t="shared" si="59"/>
        <v>133.91</v>
      </c>
      <c r="N598" s="30">
        <f>ROUND('Смета ЕР (общ) '!$I598*'Смета ЕР (общ) '!$L598,2)</f>
        <v>0</v>
      </c>
      <c r="O598" s="30">
        <f>ROUND('Смета ЕР (общ) '!$I598*'Смета ЕР (общ) '!$M598,2)</f>
        <v>0</v>
      </c>
      <c r="P598" s="45"/>
    </row>
    <row r="599" spans="1:20" ht="14.4" hidden="1" x14ac:dyDescent="0.3">
      <c r="A599" s="26" t="s">
        <v>649</v>
      </c>
      <c r="B599" s="26">
        <v>1</v>
      </c>
      <c r="C599" s="26"/>
      <c r="D599" s="26">
        <v>6</v>
      </c>
      <c r="E599" s="26" t="str">
        <f>CONCATENATE('Смета ЕР (общ) '!$A599,".",'Смета ЕР (общ) '!$B599,".",'Смета ЕР (общ) '!$D599)</f>
        <v>Р4.1.6</v>
      </c>
      <c r="F599" s="26">
        <f t="shared" si="58"/>
        <v>1</v>
      </c>
      <c r="G599" s="27" t="s">
        <v>657</v>
      </c>
      <c r="H599" s="28" t="s">
        <v>118</v>
      </c>
      <c r="I599" s="158"/>
      <c r="J599" s="30">
        <v>752.51</v>
      </c>
      <c r="K599" s="30">
        <v>3487.78</v>
      </c>
      <c r="L599" s="30">
        <f t="shared" si="59"/>
        <v>752.51</v>
      </c>
      <c r="M599" s="30">
        <f t="shared" si="59"/>
        <v>3487.78</v>
      </c>
      <c r="N599" s="30">
        <f>ROUND('Смета ЕР (общ) '!$I599*'Смета ЕР (общ) '!$L599,2)</f>
        <v>0</v>
      </c>
      <c r="O599" s="30">
        <f>ROUND('Смета ЕР (общ) '!$I599*'Смета ЕР (общ) '!$M599,2)</f>
        <v>0</v>
      </c>
      <c r="P599" s="45"/>
    </row>
    <row r="600" spans="1:20" ht="14.4" hidden="1" x14ac:dyDescent="0.3">
      <c r="A600" s="26" t="s">
        <v>649</v>
      </c>
      <c r="B600" s="26">
        <v>1</v>
      </c>
      <c r="C600" s="26"/>
      <c r="D600" s="26">
        <v>7</v>
      </c>
      <c r="E600" s="26" t="str">
        <f>CONCATENATE('Смета ЕР (общ) '!$A600,".",'Смета ЕР (общ) '!$B600,".",'Смета ЕР (общ) '!$D600)</f>
        <v>Р4.1.7</v>
      </c>
      <c r="F600" s="26">
        <f t="shared" si="58"/>
        <v>1</v>
      </c>
      <c r="G600" s="27" t="s">
        <v>658</v>
      </c>
      <c r="H600" s="28" t="s">
        <v>147</v>
      </c>
      <c r="I600" s="158"/>
      <c r="J600" s="30">
        <v>203.58</v>
      </c>
      <c r="K600" s="30">
        <v>337.62</v>
      </c>
      <c r="L600" s="30">
        <f t="shared" si="59"/>
        <v>203.58</v>
      </c>
      <c r="M600" s="30">
        <f t="shared" si="59"/>
        <v>337.62</v>
      </c>
      <c r="N600" s="30">
        <f>ROUND('Смета ЕР (общ) '!$I600*'Смета ЕР (общ) '!$L600,2)</f>
        <v>0</v>
      </c>
      <c r="O600" s="30">
        <f>ROUND('Смета ЕР (общ) '!$I600*'Смета ЕР (общ) '!$M600,2)</f>
        <v>0</v>
      </c>
      <c r="P600" s="45"/>
    </row>
    <row r="601" spans="1:20" ht="14.4" hidden="1" x14ac:dyDescent="0.3">
      <c r="A601" s="26" t="s">
        <v>649</v>
      </c>
      <c r="B601" s="26">
        <v>1</v>
      </c>
      <c r="C601" s="26"/>
      <c r="D601" s="26">
        <v>8</v>
      </c>
      <c r="E601" s="26" t="str">
        <f>CONCATENATE('Смета ЕР (общ) '!$A601,".",'Смета ЕР (общ) '!$B601,".",'Смета ЕР (общ) '!$D601)</f>
        <v>Р4.1.8</v>
      </c>
      <c r="F601" s="26">
        <f t="shared" si="58"/>
        <v>1</v>
      </c>
      <c r="G601" s="27" t="s">
        <v>659</v>
      </c>
      <c r="H601" s="28" t="s">
        <v>40</v>
      </c>
      <c r="I601" s="158"/>
      <c r="J601" s="30">
        <v>135.72</v>
      </c>
      <c r="K601" s="30">
        <v>0</v>
      </c>
      <c r="L601" s="30">
        <f t="shared" si="59"/>
        <v>135.72</v>
      </c>
      <c r="M601" s="30">
        <f t="shared" si="59"/>
        <v>0</v>
      </c>
      <c r="N601" s="30">
        <f>ROUND('Смета ЕР (общ) '!$I601*'Смета ЕР (общ) '!$L601,2)</f>
        <v>0</v>
      </c>
      <c r="O601" s="30">
        <f>ROUND('Смета ЕР (общ) '!$I601*'Смета ЕР (общ) '!$M601,2)</f>
        <v>0</v>
      </c>
      <c r="P601" s="45"/>
    </row>
    <row r="602" spans="1:20" ht="24" hidden="1" x14ac:dyDescent="0.3">
      <c r="A602" s="26" t="s">
        <v>649</v>
      </c>
      <c r="B602" s="26">
        <v>1</v>
      </c>
      <c r="C602" s="26"/>
      <c r="D602" s="26">
        <v>9</v>
      </c>
      <c r="E602" s="26" t="str">
        <f>CONCATENATE('Смета ЕР (общ) '!$A602,".",'Смета ЕР (общ) '!$B602,".",'Смета ЕР (общ) '!$D602)</f>
        <v>Р4.1.9</v>
      </c>
      <c r="F602" s="26">
        <f t="shared" si="58"/>
        <v>1</v>
      </c>
      <c r="G602" s="41" t="s">
        <v>660</v>
      </c>
      <c r="H602" s="28" t="s">
        <v>40</v>
      </c>
      <c r="I602" s="158"/>
      <c r="J602" s="30">
        <v>755.12</v>
      </c>
      <c r="K602" s="30">
        <v>2578.46</v>
      </c>
      <c r="L602" s="30">
        <f t="shared" si="59"/>
        <v>755.12</v>
      </c>
      <c r="M602" s="30">
        <f t="shared" si="59"/>
        <v>2578.46</v>
      </c>
      <c r="N602" s="30">
        <f>ROUND('Смета ЕР (общ) '!$I602*'Смета ЕР (общ) '!$L602,2)</f>
        <v>0</v>
      </c>
      <c r="O602" s="30">
        <f>ROUND('Смета ЕР (общ) '!$I602*'Смета ЕР (общ) '!$M602,2)</f>
        <v>0</v>
      </c>
      <c r="P602" s="45"/>
    </row>
    <row r="603" spans="1:20" ht="14.4" hidden="1" x14ac:dyDescent="0.3">
      <c r="A603" s="82" t="s">
        <v>649</v>
      </c>
      <c r="B603" s="82">
        <v>1</v>
      </c>
      <c r="C603" s="82"/>
      <c r="D603" s="82">
        <v>13</v>
      </c>
      <c r="E603" s="82" t="str">
        <f>CONCATENATE('Смета ЕР (общ) '!$A603,".",'Смета ЕР (общ) '!$B603,".",'Смета ЕР (общ) '!$D603)</f>
        <v>Р4.1.13</v>
      </c>
      <c r="F603" s="82">
        <f t="shared" si="58"/>
        <v>1</v>
      </c>
      <c r="G603" s="111" t="s">
        <v>661</v>
      </c>
      <c r="H603" s="28" t="s">
        <v>229</v>
      </c>
      <c r="I603" s="158"/>
      <c r="J603" s="30">
        <v>11296.84</v>
      </c>
      <c r="K603" s="30">
        <v>56029.75</v>
      </c>
      <c r="L603" s="30">
        <f t="shared" si="59"/>
        <v>11296.84</v>
      </c>
      <c r="M603" s="30">
        <f t="shared" si="59"/>
        <v>56029.75</v>
      </c>
      <c r="N603" s="30">
        <f>ROUND('Смета ЕР (общ) '!$I603*'Смета ЕР (общ) '!$L603,2)</f>
        <v>0</v>
      </c>
      <c r="O603" s="30">
        <f>ROUND('Смета ЕР (общ) '!$I603*'Смета ЕР (общ) '!$M603,2)</f>
        <v>0</v>
      </c>
      <c r="P603" s="45"/>
    </row>
    <row r="604" spans="1:20" ht="14.4" hidden="1" x14ac:dyDescent="0.3">
      <c r="A604" s="82" t="s">
        <v>649</v>
      </c>
      <c r="B604" s="82">
        <v>1</v>
      </c>
      <c r="C604" s="82"/>
      <c r="D604" s="82">
        <v>15</v>
      </c>
      <c r="E604" s="82" t="str">
        <f>CONCATENATE('Смета ЕР (общ) '!$A604,".",'Смета ЕР (общ) '!$B604,".",'Смета ЕР (общ) '!$D604)</f>
        <v>Р4.1.15</v>
      </c>
      <c r="F604" s="82">
        <f t="shared" si="58"/>
        <v>1</v>
      </c>
      <c r="G604" s="111" t="s">
        <v>662</v>
      </c>
      <c r="H604" s="28" t="s">
        <v>147</v>
      </c>
      <c r="I604" s="158"/>
      <c r="J604" s="30">
        <v>610.74</v>
      </c>
      <c r="K604" s="30">
        <v>1187.8900000000001</v>
      </c>
      <c r="L604" s="30">
        <f t="shared" si="59"/>
        <v>610.74</v>
      </c>
      <c r="M604" s="30">
        <f t="shared" si="59"/>
        <v>1187.8900000000001</v>
      </c>
      <c r="N604" s="30">
        <f>ROUND('Смета ЕР (общ) '!$I604*'Смета ЕР (общ) '!$L604,2)</f>
        <v>0</v>
      </c>
      <c r="O604" s="30">
        <f>ROUND('Смета ЕР (общ) '!$I604*'Смета ЕР (общ) '!$M604,2)</f>
        <v>0</v>
      </c>
      <c r="P604" s="45"/>
    </row>
    <row r="605" spans="1:20" ht="24" hidden="1" x14ac:dyDescent="0.3">
      <c r="A605" s="82" t="s">
        <v>649</v>
      </c>
      <c r="B605" s="82">
        <v>1</v>
      </c>
      <c r="C605" s="82"/>
      <c r="D605" s="82">
        <v>16</v>
      </c>
      <c r="E605" s="82" t="str">
        <f>CONCATENATE('Смета ЕР (общ) '!$A605,".",'Смета ЕР (общ) '!$B605,".",'Смета ЕР (общ) '!$D605)</f>
        <v>Р4.1.16</v>
      </c>
      <c r="F605" s="82">
        <f t="shared" si="58"/>
        <v>1</v>
      </c>
      <c r="G605" s="111" t="s">
        <v>663</v>
      </c>
      <c r="H605" s="28" t="s">
        <v>64</v>
      </c>
      <c r="I605" s="158"/>
      <c r="J605" s="30">
        <v>12325.63</v>
      </c>
      <c r="K605" s="30">
        <v>28897.22</v>
      </c>
      <c r="L605" s="30">
        <f t="shared" si="59"/>
        <v>12325.63</v>
      </c>
      <c r="M605" s="30">
        <f t="shared" si="59"/>
        <v>28897.22</v>
      </c>
      <c r="N605" s="30">
        <f>ROUND('Смета ЕР (общ) '!$I605*'Смета ЕР (общ) '!$L605,2)</f>
        <v>0</v>
      </c>
      <c r="O605" s="30">
        <f>ROUND('Смета ЕР (общ) '!$I605*'Смета ЕР (общ) '!$M605,2)</f>
        <v>0</v>
      </c>
      <c r="P605" s="45"/>
    </row>
    <row r="606" spans="1:20" ht="14.4" hidden="1" x14ac:dyDescent="0.3">
      <c r="A606" s="37" t="s">
        <v>649</v>
      </c>
      <c r="B606" s="37">
        <v>2</v>
      </c>
      <c r="C606" s="37"/>
      <c r="D606" s="37">
        <v>0</v>
      </c>
      <c r="E606" s="37" t="str">
        <f>CONCATENATE('Смета ЕР (общ) '!$A606,".",'Смета ЕР (общ) '!$B606,".",'Смета ЕР (общ) '!$D606)</f>
        <v>Р4.2.0</v>
      </c>
      <c r="F606" s="37">
        <f t="shared" si="58"/>
        <v>1</v>
      </c>
      <c r="G606" s="38" t="s">
        <v>664</v>
      </c>
      <c r="H606" s="22"/>
      <c r="I606" s="23"/>
      <c r="J606" s="36"/>
      <c r="K606" s="36"/>
      <c r="L606" s="25"/>
      <c r="M606" s="25"/>
      <c r="N606" s="25">
        <f>SUM(N607:N632)</f>
        <v>0</v>
      </c>
      <c r="O606" s="25">
        <f>SUM(O607:O632)</f>
        <v>0</v>
      </c>
      <c r="P606" s="45"/>
      <c r="T606">
        <v>28160.280000000002</v>
      </c>
    </row>
    <row r="607" spans="1:20" ht="24" hidden="1" x14ac:dyDescent="0.3">
      <c r="A607" s="26" t="s">
        <v>649</v>
      </c>
      <c r="B607" s="26">
        <v>2</v>
      </c>
      <c r="C607" s="26"/>
      <c r="D607" s="26">
        <v>1</v>
      </c>
      <c r="E607" s="26" t="str">
        <f>CONCATENATE('Смета ЕР (общ) '!$A607,".",'Смета ЕР (общ) '!$B607,".",'Смета ЕР (общ) '!$D607)</f>
        <v>Р4.2.1</v>
      </c>
      <c r="F607" s="26">
        <f t="shared" si="58"/>
        <v>1</v>
      </c>
      <c r="G607" s="27" t="s">
        <v>665</v>
      </c>
      <c r="H607" s="28" t="s">
        <v>40</v>
      </c>
      <c r="I607" s="158"/>
      <c r="J607" s="30">
        <v>339.3</v>
      </c>
      <c r="K607" s="30">
        <v>647.29999999999995</v>
      </c>
      <c r="L607" s="30">
        <f t="shared" ref="L607:M632" si="60">ROUND(J607-J607*$Q$3,2)</f>
        <v>339.3</v>
      </c>
      <c r="M607" s="30">
        <f t="shared" si="60"/>
        <v>647.29999999999995</v>
      </c>
      <c r="N607" s="30">
        <f>ROUND('Смета ЕР (общ) '!$I607*'Смета ЕР (общ) '!$L607,2)</f>
        <v>0</v>
      </c>
      <c r="O607" s="30">
        <f>ROUND('Смета ЕР (общ) '!$I607*'Смета ЕР (общ) '!$M607,2)</f>
        <v>0</v>
      </c>
      <c r="P607" s="45"/>
    </row>
    <row r="608" spans="1:20" ht="24" hidden="1" x14ac:dyDescent="0.3">
      <c r="A608" s="26" t="s">
        <v>649</v>
      </c>
      <c r="B608" s="26">
        <v>2</v>
      </c>
      <c r="C608" s="26"/>
      <c r="D608" s="26">
        <v>2</v>
      </c>
      <c r="E608" s="26" t="str">
        <f>CONCATENATE('Смета ЕР (общ) '!$A608,".",'Смета ЕР (общ) '!$B608,".",'Смета ЕР (общ) '!$D608)</f>
        <v>Р4.2.2</v>
      </c>
      <c r="F608" s="26">
        <f t="shared" si="58"/>
        <v>1</v>
      </c>
      <c r="G608" s="27" t="s">
        <v>666</v>
      </c>
      <c r="H608" s="28" t="s">
        <v>40</v>
      </c>
      <c r="I608" s="158"/>
      <c r="J608" s="30">
        <v>1000</v>
      </c>
      <c r="K608" s="30">
        <v>857.59</v>
      </c>
      <c r="L608" s="30">
        <f t="shared" si="60"/>
        <v>1000</v>
      </c>
      <c r="M608" s="30">
        <f t="shared" si="60"/>
        <v>857.59</v>
      </c>
      <c r="N608" s="30">
        <f>ROUND('Смета ЕР (общ) '!$I608*'Смета ЕР (общ) '!$L608,2)</f>
        <v>0</v>
      </c>
      <c r="O608" s="30">
        <f>ROUND('Смета ЕР (общ) '!$I608*'Смета ЕР (общ) '!$M608,2)</f>
        <v>0</v>
      </c>
      <c r="P608" s="45"/>
    </row>
    <row r="609" spans="1:20" ht="24" hidden="1" x14ac:dyDescent="0.3">
      <c r="A609" s="26" t="s">
        <v>649</v>
      </c>
      <c r="B609" s="26">
        <v>2</v>
      </c>
      <c r="C609" s="26"/>
      <c r="D609" s="26">
        <v>3</v>
      </c>
      <c r="E609" s="26" t="str">
        <f>CONCATENATE('Смета ЕР (общ) '!$A609,".",'Смета ЕР (общ) '!$B609,".",'Смета ЕР (общ) '!$D609)</f>
        <v>Р4.2.3</v>
      </c>
      <c r="F609" s="26">
        <f t="shared" si="58"/>
        <v>1</v>
      </c>
      <c r="G609" s="27" t="s">
        <v>667</v>
      </c>
      <c r="H609" s="28" t="s">
        <v>40</v>
      </c>
      <c r="I609" s="158"/>
      <c r="J609" s="30">
        <v>761.21</v>
      </c>
      <c r="K609" s="30">
        <v>479.91</v>
      </c>
      <c r="L609" s="30">
        <f t="shared" si="60"/>
        <v>761.21</v>
      </c>
      <c r="M609" s="30">
        <f t="shared" si="60"/>
        <v>479.91</v>
      </c>
      <c r="N609" s="30">
        <f>ROUND('Смета ЕР (общ) '!$I609*'Смета ЕР (общ) '!$L609,2)</f>
        <v>0</v>
      </c>
      <c r="O609" s="30">
        <f>ROUND('Смета ЕР (общ) '!$I609*'Смета ЕР (общ) '!$M609,2)</f>
        <v>0</v>
      </c>
      <c r="P609" s="45"/>
      <c r="T609">
        <v>12</v>
      </c>
    </row>
    <row r="610" spans="1:20" ht="24" hidden="1" x14ac:dyDescent="0.3">
      <c r="A610" s="26" t="s">
        <v>649</v>
      </c>
      <c r="B610" s="26">
        <v>2</v>
      </c>
      <c r="C610" s="26"/>
      <c r="D610" s="26">
        <v>4</v>
      </c>
      <c r="E610" s="26" t="str">
        <f>CONCATENATE('Смета ЕР (общ) '!$A610,".",'Смета ЕР (общ) '!$B610,".",'Смета ЕР (общ) '!$D610)</f>
        <v>Р4.2.4</v>
      </c>
      <c r="F610" s="26">
        <f t="shared" si="58"/>
        <v>1</v>
      </c>
      <c r="G610" s="27" t="s">
        <v>668</v>
      </c>
      <c r="H610" s="28" t="s">
        <v>40</v>
      </c>
      <c r="I610" s="158"/>
      <c r="J610" s="30">
        <v>762.08</v>
      </c>
      <c r="K610" s="30">
        <v>367.63</v>
      </c>
      <c r="L610" s="30">
        <f t="shared" si="60"/>
        <v>762.08</v>
      </c>
      <c r="M610" s="30">
        <f t="shared" si="60"/>
        <v>367.63</v>
      </c>
      <c r="N610" s="30">
        <f>ROUND('Смета ЕР (общ) '!$I610*'Смета ЕР (общ) '!$L610,2)</f>
        <v>0</v>
      </c>
      <c r="O610" s="30">
        <f>ROUND('Смета ЕР (общ) '!$I610*'Смета ЕР (общ) '!$M610,2)</f>
        <v>0</v>
      </c>
      <c r="P610" s="45"/>
    </row>
    <row r="611" spans="1:20" ht="14.4" hidden="1" x14ac:dyDescent="0.3">
      <c r="A611" s="26" t="s">
        <v>649</v>
      </c>
      <c r="B611" s="26">
        <v>2</v>
      </c>
      <c r="C611" s="26"/>
      <c r="D611" s="26">
        <v>5</v>
      </c>
      <c r="E611" s="26" t="str">
        <f>CONCATENATE('Смета ЕР (общ) '!$A611,".",'Смета ЕР (общ) '!$B611,".",'Смета ЕР (общ) '!$D611)</f>
        <v>Р4.2.5</v>
      </c>
      <c r="F611" s="26">
        <f t="shared" si="58"/>
        <v>1</v>
      </c>
      <c r="G611" s="27" t="s">
        <v>669</v>
      </c>
      <c r="H611" s="28" t="s">
        <v>40</v>
      </c>
      <c r="I611" s="158"/>
      <c r="J611" s="30">
        <v>75.199999999999989</v>
      </c>
      <c r="K611" s="30">
        <v>50</v>
      </c>
      <c r="L611" s="30">
        <f t="shared" si="60"/>
        <v>75.2</v>
      </c>
      <c r="M611" s="30">
        <f t="shared" si="60"/>
        <v>50</v>
      </c>
      <c r="N611" s="30">
        <f>ROUND('Смета ЕР (общ) '!$I611*'Смета ЕР (общ) '!$L611,2)</f>
        <v>0</v>
      </c>
      <c r="O611" s="30">
        <f>ROUND('Смета ЕР (общ) '!$I611*'Смета ЕР (общ) '!$M611,2)</f>
        <v>0</v>
      </c>
      <c r="P611" s="45"/>
      <c r="T611">
        <v>12</v>
      </c>
    </row>
    <row r="612" spans="1:20" ht="14.4" hidden="1" x14ac:dyDescent="0.3">
      <c r="A612" s="26" t="s">
        <v>649</v>
      </c>
      <c r="B612" s="26">
        <v>2</v>
      </c>
      <c r="C612" s="26"/>
      <c r="D612" s="26">
        <v>6</v>
      </c>
      <c r="E612" s="26" t="str">
        <f>CONCATENATE('Смета ЕР (общ) '!$A612,".",'Смета ЕР (общ) '!$B612,".",'Смета ЕР (общ) '!$D612)</f>
        <v>Р4.2.6</v>
      </c>
      <c r="F612" s="26">
        <f t="shared" si="58"/>
        <v>1</v>
      </c>
      <c r="G612" s="27" t="s">
        <v>670</v>
      </c>
      <c r="H612" s="28" t="s">
        <v>40</v>
      </c>
      <c r="I612" s="158"/>
      <c r="J612" s="30">
        <v>763.82</v>
      </c>
      <c r="K612" s="30">
        <v>429.94</v>
      </c>
      <c r="L612" s="30">
        <f t="shared" si="60"/>
        <v>763.82</v>
      </c>
      <c r="M612" s="30">
        <f t="shared" si="60"/>
        <v>429.94</v>
      </c>
      <c r="N612" s="30">
        <f>ROUND('Смета ЕР (общ) '!$I612*'Смета ЕР (общ) '!$L612,2)</f>
        <v>0</v>
      </c>
      <c r="O612" s="30">
        <f>ROUND('Смета ЕР (общ) '!$I612*'Смета ЕР (общ) '!$M612,2)</f>
        <v>0</v>
      </c>
      <c r="P612" s="45"/>
      <c r="T612">
        <v>12</v>
      </c>
    </row>
    <row r="613" spans="1:20" ht="24" hidden="1" x14ac:dyDescent="0.3">
      <c r="A613" s="26" t="s">
        <v>649</v>
      </c>
      <c r="B613" s="26">
        <v>2</v>
      </c>
      <c r="C613" s="26"/>
      <c r="D613" s="26">
        <v>7</v>
      </c>
      <c r="E613" s="26" t="str">
        <f>CONCATENATE('Смета ЕР (общ) '!$A613,".",'Смета ЕР (общ) '!$B613,".",'Смета ЕР (общ) '!$D613)</f>
        <v>Р4.2.7</v>
      </c>
      <c r="F613" s="26">
        <f t="shared" si="58"/>
        <v>1</v>
      </c>
      <c r="G613" s="27" t="s">
        <v>671</v>
      </c>
      <c r="H613" s="28" t="s">
        <v>40</v>
      </c>
      <c r="I613" s="158"/>
      <c r="J613" s="30">
        <v>746.46</v>
      </c>
      <c r="K613" s="30">
        <v>364.26</v>
      </c>
      <c r="L613" s="30">
        <f t="shared" si="60"/>
        <v>746.46</v>
      </c>
      <c r="M613" s="30">
        <f t="shared" si="60"/>
        <v>364.26</v>
      </c>
      <c r="N613" s="30">
        <f>ROUND('Смета ЕР (общ) '!$I613*'Смета ЕР (общ) '!$L613,2)</f>
        <v>0</v>
      </c>
      <c r="O613" s="30">
        <f>ROUND('Смета ЕР (общ) '!$I613*'Смета ЕР (общ) '!$M613,2)</f>
        <v>0</v>
      </c>
      <c r="P613" s="45"/>
      <c r="T613">
        <v>12</v>
      </c>
    </row>
    <row r="614" spans="1:20" ht="14.4" hidden="1" x14ac:dyDescent="0.3">
      <c r="A614" s="26" t="s">
        <v>649</v>
      </c>
      <c r="B614" s="26">
        <v>2</v>
      </c>
      <c r="C614" s="26"/>
      <c r="D614" s="26">
        <v>8</v>
      </c>
      <c r="E614" s="26" t="str">
        <f>CONCATENATE('Смета ЕР (общ) '!$A614,".",'Смета ЕР (общ) '!$B614,".",'Смета ЕР (общ) '!$D614)</f>
        <v>Р4.2.8</v>
      </c>
      <c r="F614" s="26">
        <f t="shared" si="58"/>
        <v>1</v>
      </c>
      <c r="G614" s="41" t="s">
        <v>672</v>
      </c>
      <c r="H614" s="28" t="s">
        <v>40</v>
      </c>
      <c r="I614" s="158"/>
      <c r="J614" s="30">
        <v>475.02</v>
      </c>
      <c r="K614" s="30">
        <v>0</v>
      </c>
      <c r="L614" s="30">
        <f t="shared" si="60"/>
        <v>475.02</v>
      </c>
      <c r="M614" s="30">
        <f t="shared" si="60"/>
        <v>0</v>
      </c>
      <c r="N614" s="30">
        <f>ROUND('Смета ЕР (общ) '!$I614*'Смета ЕР (общ) '!$L614,2)</f>
        <v>0</v>
      </c>
      <c r="O614" s="30">
        <f>ROUND('Смета ЕР (общ) '!$I614*'Смета ЕР (общ) '!$M614,2)</f>
        <v>0</v>
      </c>
      <c r="P614" s="45"/>
    </row>
    <row r="615" spans="1:20" ht="24" hidden="1" x14ac:dyDescent="0.3">
      <c r="A615" s="26" t="s">
        <v>649</v>
      </c>
      <c r="B615" s="26">
        <v>2</v>
      </c>
      <c r="C615" s="26"/>
      <c r="D615" s="26">
        <v>9</v>
      </c>
      <c r="E615" s="26" t="str">
        <f>CONCATENATE('Смета ЕР (общ) '!$A615,".",'Смета ЕР (общ) '!$B615,".",'Смета ЕР (общ) '!$D615)</f>
        <v>Р4.2.9</v>
      </c>
      <c r="F615" s="26">
        <f t="shared" si="58"/>
        <v>1</v>
      </c>
      <c r="G615" s="41" t="s">
        <v>673</v>
      </c>
      <c r="H615" s="28" t="s">
        <v>40</v>
      </c>
      <c r="I615" s="158"/>
      <c r="J615" s="30">
        <v>4500</v>
      </c>
      <c r="K615" s="30">
        <v>7500</v>
      </c>
      <c r="L615" s="30">
        <f t="shared" si="60"/>
        <v>4500</v>
      </c>
      <c r="M615" s="30">
        <f t="shared" si="60"/>
        <v>7500</v>
      </c>
      <c r="N615" s="30">
        <f>ROUND('Смета ЕР (общ) '!$I615*'Смета ЕР (общ) '!$L615,2)</f>
        <v>0</v>
      </c>
      <c r="O615" s="30">
        <f>ROUND('Смета ЕР (общ) '!$I615*'Смета ЕР (общ) '!$M615,2)</f>
        <v>0</v>
      </c>
      <c r="P615" s="45"/>
    </row>
    <row r="616" spans="1:20" ht="24" hidden="1" x14ac:dyDescent="0.3">
      <c r="A616" s="26" t="s">
        <v>649</v>
      </c>
      <c r="B616" s="26">
        <v>2</v>
      </c>
      <c r="C616" s="26"/>
      <c r="D616" s="26">
        <v>10</v>
      </c>
      <c r="E616" s="26" t="str">
        <f>CONCATENATE('Смета ЕР (общ) '!$A616,".",'Смета ЕР (общ) '!$B616,".",'Смета ЕР (общ) '!$D616)</f>
        <v>Р4.2.10</v>
      </c>
      <c r="F616" s="26">
        <f t="shared" si="58"/>
        <v>1</v>
      </c>
      <c r="G616" s="41" t="s">
        <v>674</v>
      </c>
      <c r="H616" s="28" t="s">
        <v>40</v>
      </c>
      <c r="I616" s="158"/>
      <c r="J616" s="30">
        <v>5500</v>
      </c>
      <c r="K616" s="30">
        <v>8500</v>
      </c>
      <c r="L616" s="30">
        <f t="shared" si="60"/>
        <v>5500</v>
      </c>
      <c r="M616" s="30">
        <f t="shared" si="60"/>
        <v>8500</v>
      </c>
      <c r="N616" s="30">
        <f>ROUND('Смета ЕР (общ) '!$I616*'Смета ЕР (общ) '!$L616,2)</f>
        <v>0</v>
      </c>
      <c r="O616" s="30">
        <f>ROUND('Смета ЕР (общ) '!$I616*'Смета ЕР (общ) '!$M616,2)</f>
        <v>0</v>
      </c>
      <c r="P616" s="45"/>
    </row>
    <row r="617" spans="1:20" ht="24" hidden="1" x14ac:dyDescent="0.3">
      <c r="A617" s="26" t="s">
        <v>649</v>
      </c>
      <c r="B617" s="26">
        <v>2</v>
      </c>
      <c r="C617" s="26"/>
      <c r="D617" s="26">
        <v>11</v>
      </c>
      <c r="E617" s="26" t="str">
        <f>CONCATENATE('Смета ЕР (общ) '!$A617,".",'Смета ЕР (общ) '!$B617,".",'Смета ЕР (общ) '!$D617)</f>
        <v>Р4.2.11</v>
      </c>
      <c r="F617" s="26">
        <f t="shared" si="58"/>
        <v>1</v>
      </c>
      <c r="G617" s="41" t="s">
        <v>675</v>
      </c>
      <c r="H617" s="28" t="s">
        <v>40</v>
      </c>
      <c r="I617" s="158"/>
      <c r="J617" s="30">
        <v>3393</v>
      </c>
      <c r="K617" s="30">
        <v>5691.12</v>
      </c>
      <c r="L617" s="30">
        <f t="shared" si="60"/>
        <v>3393</v>
      </c>
      <c r="M617" s="30">
        <f t="shared" si="60"/>
        <v>5691.12</v>
      </c>
      <c r="N617" s="30">
        <f>ROUND('Смета ЕР (общ) '!$I617*'Смета ЕР (общ) '!$L617,2)</f>
        <v>0</v>
      </c>
      <c r="O617" s="30">
        <f>ROUND('Смета ЕР (общ) '!$I617*'Смета ЕР (общ) '!$M617,2)</f>
        <v>0</v>
      </c>
      <c r="P617" s="45"/>
    </row>
    <row r="618" spans="1:20" ht="24" hidden="1" x14ac:dyDescent="0.3">
      <c r="A618" s="26" t="s">
        <v>649</v>
      </c>
      <c r="B618" s="26">
        <v>2</v>
      </c>
      <c r="C618" s="26"/>
      <c r="D618" s="26">
        <v>12</v>
      </c>
      <c r="E618" s="26" t="str">
        <f>CONCATENATE('Смета ЕР (общ) '!$A618,".",'Смета ЕР (общ) '!$B618,".",'Смета ЕР (общ) '!$D618)</f>
        <v>Р4.2.12</v>
      </c>
      <c r="F618" s="26">
        <f t="shared" si="58"/>
        <v>1</v>
      </c>
      <c r="G618" s="41" t="s">
        <v>676</v>
      </c>
      <c r="H618" s="28" t="s">
        <v>40</v>
      </c>
      <c r="I618" s="158"/>
      <c r="J618" s="30">
        <v>4071.6</v>
      </c>
      <c r="K618" s="30">
        <v>6154.8</v>
      </c>
      <c r="L618" s="30">
        <f t="shared" si="60"/>
        <v>4071.6</v>
      </c>
      <c r="M618" s="30">
        <f t="shared" si="60"/>
        <v>6154.8</v>
      </c>
      <c r="N618" s="30">
        <f>ROUND('Смета ЕР (общ) '!$I618*'Смета ЕР (общ) '!$L618,2)</f>
        <v>0</v>
      </c>
      <c r="O618" s="30">
        <f>ROUND('Смета ЕР (общ) '!$I618*'Смета ЕР (общ) '!$M618,2)</f>
        <v>0</v>
      </c>
      <c r="P618" s="45"/>
    </row>
    <row r="619" spans="1:20" ht="14.4" hidden="1" x14ac:dyDescent="0.3">
      <c r="A619" s="26" t="s">
        <v>649</v>
      </c>
      <c r="B619" s="26">
        <v>2</v>
      </c>
      <c r="C619" s="26"/>
      <c r="D619" s="26">
        <v>14</v>
      </c>
      <c r="E619" s="26" t="str">
        <f>CONCATENATE('Смета ЕР (общ) '!$A619,".",'Смета ЕР (общ) '!$B619,".",'Смета ЕР (общ) '!$D619)</f>
        <v>Р4.2.14</v>
      </c>
      <c r="F619" s="26">
        <f t="shared" si="58"/>
        <v>1</v>
      </c>
      <c r="G619" s="41" t="s">
        <v>677</v>
      </c>
      <c r="H619" s="28" t="s">
        <v>144</v>
      </c>
      <c r="I619" s="158"/>
      <c r="J619" s="30">
        <v>3725.76</v>
      </c>
      <c r="K619" s="30">
        <v>9444.19</v>
      </c>
      <c r="L619" s="30">
        <f t="shared" si="60"/>
        <v>3725.76</v>
      </c>
      <c r="M619" s="30">
        <f t="shared" si="60"/>
        <v>9444.19</v>
      </c>
      <c r="N619" s="30">
        <f>ROUND('Смета ЕР (общ) '!$I619*'Смета ЕР (общ) '!$L619,2)</f>
        <v>0</v>
      </c>
      <c r="O619" s="30">
        <f>ROUND('Смета ЕР (общ) '!$I619*'Смета ЕР (общ) '!$M619,2)</f>
        <v>0</v>
      </c>
      <c r="P619" s="45"/>
    </row>
    <row r="620" spans="1:20" ht="36" hidden="1" x14ac:dyDescent="0.3">
      <c r="A620" s="26" t="s">
        <v>649</v>
      </c>
      <c r="B620" s="26">
        <v>2</v>
      </c>
      <c r="C620" s="26"/>
      <c r="D620" s="26">
        <v>15</v>
      </c>
      <c r="E620" s="26" t="str">
        <f>CONCATENATE('Смета ЕР (общ) '!$A620,".",'Смета ЕР (общ) '!$B620,".",'Смета ЕР (общ) '!$D620)</f>
        <v>Р4.2.15</v>
      </c>
      <c r="F620" s="26">
        <f t="shared" si="58"/>
        <v>1</v>
      </c>
      <c r="G620" s="41" t="s">
        <v>678</v>
      </c>
      <c r="H620" s="28" t="s">
        <v>40</v>
      </c>
      <c r="I620" s="158"/>
      <c r="J620" s="30">
        <v>3500</v>
      </c>
      <c r="K620" s="30">
        <v>5464.97</v>
      </c>
      <c r="L620" s="30">
        <f t="shared" si="60"/>
        <v>3500</v>
      </c>
      <c r="M620" s="30">
        <f t="shared" si="60"/>
        <v>5464.97</v>
      </c>
      <c r="N620" s="30">
        <f>ROUND('Смета ЕР (общ) '!$I620*'Смета ЕР (общ) '!$L620,2)</f>
        <v>0</v>
      </c>
      <c r="O620" s="30">
        <f>ROUND('Смета ЕР (общ) '!$I620*'Смета ЕР (общ) '!$M620,2)</f>
        <v>0</v>
      </c>
      <c r="P620" s="45"/>
    </row>
    <row r="621" spans="1:20" ht="24" hidden="1" x14ac:dyDescent="0.3">
      <c r="A621" s="26" t="s">
        <v>649</v>
      </c>
      <c r="B621" s="26">
        <v>2</v>
      </c>
      <c r="C621" s="26"/>
      <c r="D621" s="26">
        <v>16</v>
      </c>
      <c r="E621" s="26" t="str">
        <f>CONCATENATE('Смета ЕР (общ) '!$A621,".",'Смета ЕР (общ) '!$B621,".",'Смета ЕР (общ) '!$D621)</f>
        <v>Р4.2.16</v>
      </c>
      <c r="F621" s="26">
        <f t="shared" si="58"/>
        <v>1</v>
      </c>
      <c r="G621" s="41" t="s">
        <v>679</v>
      </c>
      <c r="H621" s="28" t="s">
        <v>40</v>
      </c>
      <c r="I621" s="158"/>
      <c r="J621" s="30">
        <v>771.65</v>
      </c>
      <c r="K621" s="30">
        <v>3620.34</v>
      </c>
      <c r="L621" s="30">
        <f t="shared" si="60"/>
        <v>771.65</v>
      </c>
      <c r="M621" s="30">
        <f t="shared" si="60"/>
        <v>3620.34</v>
      </c>
      <c r="N621" s="30">
        <f>ROUND('Смета ЕР (общ) '!$I621*'Смета ЕР (общ) '!$L621,2)</f>
        <v>0</v>
      </c>
      <c r="O621" s="30">
        <f>ROUND('Смета ЕР (общ) '!$I621*'Смета ЕР (общ) '!$M621,2)</f>
        <v>0</v>
      </c>
      <c r="P621" s="45"/>
    </row>
    <row r="622" spans="1:20" ht="14.4" hidden="1" x14ac:dyDescent="0.3">
      <c r="A622" s="82" t="s">
        <v>649</v>
      </c>
      <c r="B622" s="82">
        <v>2</v>
      </c>
      <c r="C622" s="82"/>
      <c r="D622" s="82">
        <v>24</v>
      </c>
      <c r="E622" s="82" t="str">
        <f>CONCATENATE('Смета ЕР (общ) '!$A622,".",'Смета ЕР (общ) '!$B622,".",'Смета ЕР (общ) '!$D622)</f>
        <v>Р4.2.24</v>
      </c>
      <c r="F622" s="82">
        <f t="shared" si="58"/>
        <v>1</v>
      </c>
      <c r="G622" s="111" t="s">
        <v>680</v>
      </c>
      <c r="H622" s="112" t="s">
        <v>40</v>
      </c>
      <c r="I622" s="158"/>
      <c r="J622" s="30">
        <v>350</v>
      </c>
      <c r="K622" s="30">
        <v>439.86</v>
      </c>
      <c r="L622" s="30">
        <f t="shared" si="60"/>
        <v>350</v>
      </c>
      <c r="M622" s="30">
        <f t="shared" si="60"/>
        <v>439.86</v>
      </c>
      <c r="N622" s="30">
        <f>ROUND('Смета ЕР (общ) '!$I622*'Смета ЕР (общ) '!$L622,2)</f>
        <v>0</v>
      </c>
      <c r="O622" s="30">
        <f>ROUND('Смета ЕР (общ) '!$I622*'Смета ЕР (общ) '!$M622,2)</f>
        <v>0</v>
      </c>
      <c r="P622" s="45"/>
    </row>
    <row r="623" spans="1:20" ht="14.4" hidden="1" x14ac:dyDescent="0.3">
      <c r="A623" s="82" t="s">
        <v>649</v>
      </c>
      <c r="B623" s="82">
        <v>2</v>
      </c>
      <c r="C623" s="82"/>
      <c r="D623" s="82">
        <v>18</v>
      </c>
      <c r="E623" s="82" t="str">
        <f>CONCATENATE('Смета ЕР (общ) '!$A623,".",'Смета ЕР (общ) '!$B623,".",'Смета ЕР (общ) '!$D623)</f>
        <v>Р4.2.18</v>
      </c>
      <c r="F623" s="82">
        <f t="shared" si="58"/>
        <v>1</v>
      </c>
      <c r="G623" s="111" t="s">
        <v>681</v>
      </c>
      <c r="H623" s="28" t="s">
        <v>64</v>
      </c>
      <c r="I623" s="158"/>
      <c r="J623" s="30">
        <v>36442.949999999997</v>
      </c>
      <c r="K623" s="30">
        <v>27833.37</v>
      </c>
      <c r="L623" s="30">
        <f t="shared" si="60"/>
        <v>36442.949999999997</v>
      </c>
      <c r="M623" s="30">
        <f t="shared" si="60"/>
        <v>27833.37</v>
      </c>
      <c r="N623" s="30">
        <f>ROUND('Смета ЕР (общ) '!$I623*'Смета ЕР (общ) '!$L623,2)</f>
        <v>0</v>
      </c>
      <c r="O623" s="30">
        <f>ROUND('Смета ЕР (общ) '!$I623*'Смета ЕР (общ) '!$M623,2)</f>
        <v>0</v>
      </c>
      <c r="P623" s="45"/>
    </row>
    <row r="624" spans="1:20" ht="14.4" hidden="1" x14ac:dyDescent="0.3">
      <c r="A624" s="26" t="s">
        <v>649</v>
      </c>
      <c r="B624" s="26">
        <v>2</v>
      </c>
      <c r="C624" s="26"/>
      <c r="D624" s="26">
        <v>19</v>
      </c>
      <c r="E624" s="26" t="str">
        <f>CONCATENATE('Смета ЕР (общ) '!$A624,".",'Смета ЕР (общ) '!$B624,".",'Смета ЕР (общ) '!$D624)</f>
        <v>Р4.2.19</v>
      </c>
      <c r="F624" s="26">
        <f t="shared" si="58"/>
        <v>1</v>
      </c>
      <c r="G624" s="27" t="s">
        <v>682</v>
      </c>
      <c r="H624" s="42" t="s">
        <v>40</v>
      </c>
      <c r="I624" s="158"/>
      <c r="J624" s="30">
        <v>3048.05</v>
      </c>
      <c r="K624" s="30">
        <v>1852.48</v>
      </c>
      <c r="L624" s="30">
        <f t="shared" si="60"/>
        <v>3048.05</v>
      </c>
      <c r="M624" s="30">
        <f t="shared" si="60"/>
        <v>1852.48</v>
      </c>
      <c r="N624" s="30">
        <f>ROUND('Смета ЕР (общ) '!$I624*'Смета ЕР (общ) '!$L624,2)</f>
        <v>0</v>
      </c>
      <c r="O624" s="30">
        <f>ROUND('Смета ЕР (общ) '!$I624*'Смета ЕР (общ) '!$M624,2)</f>
        <v>0</v>
      </c>
      <c r="P624" s="169"/>
    </row>
    <row r="625" spans="1:20" ht="14.4" hidden="1" x14ac:dyDescent="0.3">
      <c r="A625" s="26" t="s">
        <v>649</v>
      </c>
      <c r="B625" s="26">
        <v>2</v>
      </c>
      <c r="C625" s="26"/>
      <c r="D625" s="26">
        <v>20</v>
      </c>
      <c r="E625" s="26" t="str">
        <f>CONCATENATE('Смета ЕР (общ) '!$A625,".",'Смета ЕР (общ) '!$B625,".",'Смета ЕР (общ) '!$D625)</f>
        <v>Р4.2.20</v>
      </c>
      <c r="F625" s="26">
        <f t="shared" si="58"/>
        <v>1</v>
      </c>
      <c r="G625" s="27" t="s">
        <v>683</v>
      </c>
      <c r="H625" s="42" t="s">
        <v>40</v>
      </c>
      <c r="I625" s="158"/>
      <c r="J625" s="30">
        <v>3048</v>
      </c>
      <c r="K625" s="30">
        <v>17816.16</v>
      </c>
      <c r="L625" s="30">
        <f t="shared" si="60"/>
        <v>3048</v>
      </c>
      <c r="M625" s="30">
        <f t="shared" si="60"/>
        <v>17816.16</v>
      </c>
      <c r="N625" s="30">
        <f>ROUND('Смета ЕР (общ) '!$I625*'Смета ЕР (общ) '!$L625,2)</f>
        <v>0</v>
      </c>
      <c r="O625" s="30">
        <f>ROUND('Смета ЕР (общ) '!$I625*'Смета ЕР (общ) '!$M625,2)</f>
        <v>0</v>
      </c>
      <c r="P625" s="45"/>
    </row>
    <row r="626" spans="1:20" ht="24" hidden="1" x14ac:dyDescent="0.3">
      <c r="A626" s="26" t="s">
        <v>649</v>
      </c>
      <c r="B626" s="26">
        <v>2</v>
      </c>
      <c r="C626" s="26"/>
      <c r="D626" s="26">
        <v>21</v>
      </c>
      <c r="E626" s="26" t="str">
        <f>CONCATENATE('Смета ЕР (общ) '!$A626,".",'Смета ЕР (общ) '!$B626,".",'Смета ЕР (общ) '!$D626)</f>
        <v>Р4.2.21</v>
      </c>
      <c r="F626" s="26">
        <f t="shared" si="58"/>
        <v>1</v>
      </c>
      <c r="G626" s="27" t="s">
        <v>684</v>
      </c>
      <c r="H626" s="28" t="s">
        <v>147</v>
      </c>
      <c r="I626" s="158"/>
      <c r="J626" s="30">
        <v>451.35</v>
      </c>
      <c r="K626" s="30">
        <v>1328.55</v>
      </c>
      <c r="L626" s="30">
        <f t="shared" si="60"/>
        <v>451.35</v>
      </c>
      <c r="M626" s="30">
        <f t="shared" si="60"/>
        <v>1328.55</v>
      </c>
      <c r="N626" s="30">
        <f>ROUND('Смета ЕР (общ) '!$I626*'Смета ЕР (общ) '!$L626,2)</f>
        <v>0</v>
      </c>
      <c r="O626" s="30">
        <f>ROUND('Смета ЕР (общ) '!$I626*'Смета ЕР (общ) '!$M626,2)</f>
        <v>0</v>
      </c>
      <c r="P626" s="45"/>
    </row>
    <row r="627" spans="1:20" ht="24" hidden="1" x14ac:dyDescent="0.3">
      <c r="A627" s="26" t="s">
        <v>649</v>
      </c>
      <c r="B627" s="26">
        <v>2</v>
      </c>
      <c r="C627" s="26"/>
      <c r="D627" s="26">
        <v>22</v>
      </c>
      <c r="E627" s="26" t="str">
        <f>CONCATENATE('Смета ЕР (общ) '!$A627,".",'Смета ЕР (общ) '!$B627,".",'Смета ЕР (общ) '!$D627)</f>
        <v>Р4.2.22</v>
      </c>
      <c r="F627" s="26">
        <f t="shared" si="58"/>
        <v>1</v>
      </c>
      <c r="G627" s="27" t="s">
        <v>685</v>
      </c>
      <c r="H627" s="28" t="s">
        <v>40</v>
      </c>
      <c r="I627" s="158"/>
      <c r="J627" s="30">
        <v>746.46</v>
      </c>
      <c r="K627" s="30">
        <v>705.44</v>
      </c>
      <c r="L627" s="30">
        <f t="shared" si="60"/>
        <v>746.46</v>
      </c>
      <c r="M627" s="30">
        <f t="shared" si="60"/>
        <v>705.44</v>
      </c>
      <c r="N627" s="30">
        <f>ROUND('Смета ЕР (общ) '!$I627*'Смета ЕР (общ) '!$L627,2)</f>
        <v>0</v>
      </c>
      <c r="O627" s="30">
        <f>ROUND('Смета ЕР (общ) '!$I627*'Смета ЕР (общ) '!$M627,2)</f>
        <v>0</v>
      </c>
      <c r="P627" s="45"/>
    </row>
    <row r="628" spans="1:20" ht="24" hidden="1" x14ac:dyDescent="0.3">
      <c r="A628" s="82" t="s">
        <v>649</v>
      </c>
      <c r="B628" s="82">
        <v>2</v>
      </c>
      <c r="C628" s="82"/>
      <c r="D628" s="82">
        <v>23</v>
      </c>
      <c r="E628" s="82" t="str">
        <f>CONCATENATE('Смета ЕР (общ) '!$A628,".",'Смета ЕР (общ) '!$B628,".",'Смета ЕР (общ) '!$D628)</f>
        <v>Р4.2.23</v>
      </c>
      <c r="F628" s="82">
        <f t="shared" si="58"/>
        <v>1</v>
      </c>
      <c r="G628" s="111" t="s">
        <v>686</v>
      </c>
      <c r="H628" s="112" t="s">
        <v>40</v>
      </c>
      <c r="I628" s="158"/>
      <c r="J628" s="30">
        <v>2035.8</v>
      </c>
      <c r="K628" s="30">
        <v>9132.4500000000007</v>
      </c>
      <c r="L628" s="30">
        <f t="shared" si="60"/>
        <v>2035.8</v>
      </c>
      <c r="M628" s="30">
        <f t="shared" si="60"/>
        <v>9132.4500000000007</v>
      </c>
      <c r="N628" s="30">
        <f>ROUND('Смета ЕР (общ) '!$I628*'Смета ЕР (общ) '!$L628,2)</f>
        <v>0</v>
      </c>
      <c r="O628" s="30">
        <f>ROUND('Смета ЕР (общ) '!$I628*'Смета ЕР (общ) '!$M628,2)</f>
        <v>0</v>
      </c>
      <c r="P628" s="45"/>
    </row>
    <row r="629" spans="1:20" ht="14.4" hidden="1" x14ac:dyDescent="0.3">
      <c r="A629" s="82" t="s">
        <v>649</v>
      </c>
      <c r="B629" s="82">
        <v>2</v>
      </c>
      <c r="C629" s="82"/>
      <c r="D629" s="82">
        <v>25</v>
      </c>
      <c r="E629" s="82" t="str">
        <f>CONCATENATE('Смета ЕР (общ) '!$A629,".",'Смета ЕР (общ) '!$B629,".",'Смета ЕР (общ) '!$D629)</f>
        <v>Р4.2.25</v>
      </c>
      <c r="F629" s="82">
        <f t="shared" si="58"/>
        <v>1</v>
      </c>
      <c r="G629" s="111" t="s">
        <v>687</v>
      </c>
      <c r="H629" s="112" t="s">
        <v>147</v>
      </c>
      <c r="I629" s="158"/>
      <c r="J629" s="30">
        <v>217.5</v>
      </c>
      <c r="K629" s="30">
        <v>250</v>
      </c>
      <c r="L629" s="30">
        <f t="shared" si="60"/>
        <v>217.5</v>
      </c>
      <c r="M629" s="30">
        <f t="shared" si="60"/>
        <v>250</v>
      </c>
      <c r="N629" s="30">
        <f>ROUND('Смета ЕР (общ) '!$I629*'Смета ЕР (общ) '!$L629,2)</f>
        <v>0</v>
      </c>
      <c r="O629" s="30">
        <f>ROUND('Смета ЕР (общ) '!$I629*'Смета ЕР (общ) '!$M629,2)</f>
        <v>0</v>
      </c>
      <c r="P629" s="45"/>
    </row>
    <row r="630" spans="1:20" ht="14.4" hidden="1" x14ac:dyDescent="0.3">
      <c r="A630" s="82" t="s">
        <v>649</v>
      </c>
      <c r="B630" s="82">
        <v>2</v>
      </c>
      <c r="C630" s="82"/>
      <c r="D630" s="82">
        <v>26</v>
      </c>
      <c r="E630" s="82" t="str">
        <f>CONCATENATE('Смета ЕР (общ) '!$A630,".",'Смета ЕР (общ) '!$B630,".",'Смета ЕР (общ) '!$D630)</f>
        <v>Р4.2.26</v>
      </c>
      <c r="F630" s="82">
        <f t="shared" si="58"/>
        <v>1</v>
      </c>
      <c r="G630" s="111" t="s">
        <v>688</v>
      </c>
      <c r="H630" s="28" t="s">
        <v>118</v>
      </c>
      <c r="I630" s="158"/>
      <c r="J630" s="30">
        <v>45000</v>
      </c>
      <c r="K630" s="30">
        <v>130000</v>
      </c>
      <c r="L630" s="30">
        <f t="shared" si="60"/>
        <v>45000</v>
      </c>
      <c r="M630" s="30">
        <f t="shared" si="60"/>
        <v>130000</v>
      </c>
      <c r="N630" s="30">
        <f>ROUND('Смета ЕР (общ) '!$I630*'Смета ЕР (общ) '!$L630,2)</f>
        <v>0</v>
      </c>
      <c r="O630" s="30">
        <f>ROUND('Смета ЕР (общ) '!$I630*'Смета ЕР (общ) '!$M630,2)</f>
        <v>0</v>
      </c>
      <c r="P630" s="170"/>
    </row>
    <row r="631" spans="1:20" ht="14.4" hidden="1" x14ac:dyDescent="0.3">
      <c r="A631" s="82" t="s">
        <v>649</v>
      </c>
      <c r="B631" s="82">
        <v>2</v>
      </c>
      <c r="C631" s="82"/>
      <c r="D631" s="82">
        <v>27</v>
      </c>
      <c r="E631" s="82" t="str">
        <f>CONCATENATE('Смета ЕР (общ) '!$A631,".",'Смета ЕР (общ) '!$B631,".",'Смета ЕР (общ) '!$D631)</f>
        <v>Р4.2.27</v>
      </c>
      <c r="F631" s="82">
        <f t="shared" si="58"/>
        <v>1</v>
      </c>
      <c r="G631" s="111" t="s">
        <v>689</v>
      </c>
      <c r="H631" s="28" t="s">
        <v>118</v>
      </c>
      <c r="I631" s="158"/>
      <c r="J631" s="30">
        <v>53000</v>
      </c>
      <c r="K631" s="30">
        <v>170000</v>
      </c>
      <c r="L631" s="30">
        <f t="shared" si="60"/>
        <v>53000</v>
      </c>
      <c r="M631" s="30">
        <f t="shared" si="60"/>
        <v>170000</v>
      </c>
      <c r="N631" s="30">
        <f>ROUND('Смета ЕР (общ) '!$I631*'Смета ЕР (общ) '!$L631,2)</f>
        <v>0</v>
      </c>
      <c r="O631" s="30">
        <f>ROUND('Смета ЕР (общ) '!$I631*'Смета ЕР (общ) '!$M631,2)</f>
        <v>0</v>
      </c>
      <c r="P631" s="170"/>
    </row>
    <row r="632" spans="1:20" ht="14.4" hidden="1" x14ac:dyDescent="0.3">
      <c r="A632" s="82" t="s">
        <v>649</v>
      </c>
      <c r="B632" s="82">
        <v>2</v>
      </c>
      <c r="C632" s="82"/>
      <c r="D632" s="82">
        <v>28</v>
      </c>
      <c r="E632" s="82" t="str">
        <f>CONCATENATE('Смета ЕР (общ) '!$A632,".",'Смета ЕР (общ) '!$B632,".",'Смета ЕР (общ) '!$D632)</f>
        <v>Р4.2.28</v>
      </c>
      <c r="F632" s="82">
        <f t="shared" si="58"/>
        <v>1</v>
      </c>
      <c r="G632" s="111" t="s">
        <v>690</v>
      </c>
      <c r="H632" s="28" t="s">
        <v>118</v>
      </c>
      <c r="I632" s="158"/>
      <c r="J632" s="30">
        <v>30000</v>
      </c>
      <c r="K632" s="30">
        <v>90000</v>
      </c>
      <c r="L632" s="30">
        <f t="shared" si="60"/>
        <v>30000</v>
      </c>
      <c r="M632" s="30">
        <f t="shared" si="60"/>
        <v>90000</v>
      </c>
      <c r="N632" s="30">
        <f>ROUND('Смета ЕР (общ) '!$I632*'Смета ЕР (общ) '!$L632,2)</f>
        <v>0</v>
      </c>
      <c r="O632" s="30">
        <f>ROUND('Смета ЕР (общ) '!$I632*'Смета ЕР (общ) '!$M632,2)</f>
        <v>0</v>
      </c>
      <c r="P632" s="170"/>
    </row>
    <row r="633" spans="1:20" ht="24" hidden="1" x14ac:dyDescent="0.3">
      <c r="A633" s="37" t="s">
        <v>649</v>
      </c>
      <c r="B633" s="37">
        <v>3</v>
      </c>
      <c r="C633" s="37"/>
      <c r="D633" s="37">
        <v>0</v>
      </c>
      <c r="E633" s="37" t="str">
        <f>CONCATENATE('Смета ЕР (общ) '!$A633,".",'Смета ЕР (общ) '!$B633,".",'Смета ЕР (общ) '!$D633)</f>
        <v>Р4.3.0</v>
      </c>
      <c r="F633" s="37">
        <f t="shared" si="58"/>
        <v>1</v>
      </c>
      <c r="G633" s="38" t="s">
        <v>691</v>
      </c>
      <c r="H633" s="22"/>
      <c r="I633" s="23"/>
      <c r="J633" s="36"/>
      <c r="K633" s="36"/>
      <c r="L633" s="25"/>
      <c r="M633" s="25"/>
      <c r="N633" s="25">
        <f>SUM(N634:N639)</f>
        <v>0</v>
      </c>
      <c r="O633" s="25">
        <f>SUM(O634:O639)</f>
        <v>0</v>
      </c>
      <c r="P633" s="45"/>
      <c r="T633">
        <v>24349.78</v>
      </c>
    </row>
    <row r="634" spans="1:20" ht="24" hidden="1" x14ac:dyDescent="0.3">
      <c r="A634" s="26" t="s">
        <v>649</v>
      </c>
      <c r="B634" s="26">
        <v>3</v>
      </c>
      <c r="C634" s="26"/>
      <c r="D634" s="26">
        <v>1</v>
      </c>
      <c r="E634" s="26" t="str">
        <f>CONCATENATE('Смета ЕР (общ) '!$A634,".",'Смета ЕР (общ) '!$B634,".",'Смета ЕР (общ) '!$D634)</f>
        <v>Р4.3.1</v>
      </c>
      <c r="F634" s="26">
        <f t="shared" si="58"/>
        <v>1</v>
      </c>
      <c r="G634" s="27" t="s">
        <v>692</v>
      </c>
      <c r="H634" s="28" t="s">
        <v>144</v>
      </c>
      <c r="I634" s="158"/>
      <c r="J634" s="30">
        <v>4853.8500000000004</v>
      </c>
      <c r="K634" s="30">
        <v>15289.44</v>
      </c>
      <c r="L634" s="30">
        <f t="shared" ref="L634:M639" si="61">ROUND(J634-J634*$Q$3,2)</f>
        <v>4853.8500000000004</v>
      </c>
      <c r="M634" s="30">
        <f t="shared" si="61"/>
        <v>15289.44</v>
      </c>
      <c r="N634" s="30">
        <f>ROUND('Смета ЕР (общ) '!$I634*'Смета ЕР (общ) '!$L634,2)</f>
        <v>0</v>
      </c>
      <c r="O634" s="30">
        <f>ROUND('Смета ЕР (общ) '!$I634*'Смета ЕР (общ) '!$M634,2)</f>
        <v>0</v>
      </c>
      <c r="P634" s="45"/>
      <c r="T634">
        <v>1.5</v>
      </c>
    </row>
    <row r="635" spans="1:20" ht="24" hidden="1" x14ac:dyDescent="0.3">
      <c r="A635" s="26" t="s">
        <v>649</v>
      </c>
      <c r="B635" s="26">
        <v>3</v>
      </c>
      <c r="C635" s="26"/>
      <c r="D635" s="26">
        <v>2</v>
      </c>
      <c r="E635" s="26" t="str">
        <f>CONCATENATE('Смета ЕР (общ) '!$A635,".",'Смета ЕР (общ) '!$B635,".",'Смета ЕР (общ) '!$D635)</f>
        <v>Р4.3.2</v>
      </c>
      <c r="F635" s="26">
        <f t="shared" si="58"/>
        <v>1</v>
      </c>
      <c r="G635" s="27" t="s">
        <v>693</v>
      </c>
      <c r="H635" s="28" t="s">
        <v>40</v>
      </c>
      <c r="I635" s="158"/>
      <c r="J635" s="30">
        <v>788.18</v>
      </c>
      <c r="K635" s="30">
        <v>473.36</v>
      </c>
      <c r="L635" s="30">
        <f t="shared" si="61"/>
        <v>788.18</v>
      </c>
      <c r="M635" s="30">
        <f t="shared" si="61"/>
        <v>473.36</v>
      </c>
      <c r="N635" s="30">
        <f>ROUND('Смета ЕР (общ) '!$I635*'Смета ЕР (общ) '!$L635,2)</f>
        <v>0</v>
      </c>
      <c r="O635" s="30">
        <f>ROUND('Смета ЕР (общ) '!$I635*'Смета ЕР (общ) '!$M635,2)</f>
        <v>0</v>
      </c>
      <c r="P635" s="45"/>
      <c r="T635">
        <v>10</v>
      </c>
    </row>
    <row r="636" spans="1:20" ht="24" hidden="1" x14ac:dyDescent="0.3">
      <c r="A636" s="26" t="s">
        <v>649</v>
      </c>
      <c r="B636" s="26">
        <v>3</v>
      </c>
      <c r="C636" s="26"/>
      <c r="D636" s="26">
        <v>3</v>
      </c>
      <c r="E636" s="26" t="str">
        <f>CONCATENATE('Смета ЕР (общ) '!$A636,".",'Смета ЕР (общ) '!$B636,".",'Смета ЕР (общ) '!$D636)</f>
        <v>Р4.3.3</v>
      </c>
      <c r="F636" s="26">
        <f t="shared" si="58"/>
        <v>1</v>
      </c>
      <c r="G636" s="27" t="s">
        <v>694</v>
      </c>
      <c r="H636" s="28" t="s">
        <v>40</v>
      </c>
      <c r="I636" s="158"/>
      <c r="J636" s="30">
        <v>522.34</v>
      </c>
      <c r="K636" s="30">
        <v>575.07000000000005</v>
      </c>
      <c r="L636" s="30">
        <f t="shared" si="61"/>
        <v>522.34</v>
      </c>
      <c r="M636" s="30">
        <f t="shared" si="61"/>
        <v>575.07000000000005</v>
      </c>
      <c r="N636" s="30">
        <f>ROUND('Смета ЕР (общ) '!$I636*'Смета ЕР (общ) '!$L636,2)</f>
        <v>0</v>
      </c>
      <c r="O636" s="30">
        <f>ROUND('Смета ЕР (общ) '!$I636*'Смета ЕР (общ) '!$M636,2)</f>
        <v>0</v>
      </c>
      <c r="P636" s="45"/>
    </row>
    <row r="637" spans="1:20" ht="14.4" hidden="1" x14ac:dyDescent="0.3">
      <c r="A637" s="26" t="s">
        <v>649</v>
      </c>
      <c r="B637" s="26">
        <v>3</v>
      </c>
      <c r="C637" s="26"/>
      <c r="D637" s="26">
        <v>4</v>
      </c>
      <c r="E637" s="26" t="str">
        <f>CONCATENATE('Смета ЕР (общ) '!$A637,".",'Смета ЕР (общ) '!$B637,".",'Смета ЕР (общ) '!$D637)</f>
        <v>Р4.3.4</v>
      </c>
      <c r="F637" s="26">
        <f t="shared" si="58"/>
        <v>1</v>
      </c>
      <c r="G637" s="27" t="s">
        <v>695</v>
      </c>
      <c r="H637" s="28" t="s">
        <v>696</v>
      </c>
      <c r="I637" s="158"/>
      <c r="J637" s="30">
        <v>95.7</v>
      </c>
      <c r="K637" s="30">
        <v>1173.73</v>
      </c>
      <c r="L637" s="30">
        <f t="shared" si="61"/>
        <v>95.7</v>
      </c>
      <c r="M637" s="30">
        <f t="shared" si="61"/>
        <v>1173.73</v>
      </c>
      <c r="N637" s="30">
        <f>ROUND('Смета ЕР (общ) '!$I637*'Смета ЕР (общ) '!$L637,2)</f>
        <v>0</v>
      </c>
      <c r="O637" s="30">
        <f>ROUND('Смета ЕР (общ) '!$I637*'Смета ЕР (общ) '!$M637,2)</f>
        <v>0</v>
      </c>
      <c r="P637" s="45"/>
      <c r="T637">
        <v>96</v>
      </c>
    </row>
    <row r="638" spans="1:20" ht="14.4" hidden="1" x14ac:dyDescent="0.3">
      <c r="A638" s="26" t="s">
        <v>649</v>
      </c>
      <c r="B638" s="26">
        <v>3</v>
      </c>
      <c r="C638" s="26"/>
      <c r="D638" s="26">
        <v>5</v>
      </c>
      <c r="E638" s="26" t="str">
        <f>CONCATENATE('Смета ЕР (общ) '!$A638,".",'Смета ЕР (общ) '!$B638,".",'Смета ЕР (общ) '!$D638)</f>
        <v>Р4.3.5</v>
      </c>
      <c r="F638" s="26">
        <f t="shared" si="58"/>
        <v>1</v>
      </c>
      <c r="G638" s="27" t="s">
        <v>697</v>
      </c>
      <c r="H638" s="28" t="s">
        <v>696</v>
      </c>
      <c r="I638" s="158"/>
      <c r="J638" s="30">
        <v>169.65</v>
      </c>
      <c r="K638" s="30">
        <v>1644.04</v>
      </c>
      <c r="L638" s="30">
        <f t="shared" si="61"/>
        <v>169.65</v>
      </c>
      <c r="M638" s="30">
        <f t="shared" si="61"/>
        <v>1644.04</v>
      </c>
      <c r="N638" s="30">
        <f>ROUND('Смета ЕР (общ) '!$I638*'Смета ЕР (общ) '!$L638,2)</f>
        <v>0</v>
      </c>
      <c r="O638" s="30">
        <f>ROUND('Смета ЕР (общ) '!$I638*'Смета ЕР (общ) '!$M638,2)</f>
        <v>0</v>
      </c>
      <c r="P638" s="45"/>
    </row>
    <row r="639" spans="1:20" ht="14.4" hidden="1" x14ac:dyDescent="0.3">
      <c r="A639" s="26" t="s">
        <v>649</v>
      </c>
      <c r="B639" s="26">
        <v>3</v>
      </c>
      <c r="C639" s="26"/>
      <c r="D639" s="26">
        <v>6</v>
      </c>
      <c r="E639" s="26" t="str">
        <f>CONCATENATE('Смета ЕР (общ) '!$A639,".",'Смета ЕР (общ) '!$B639,".",'Смета ЕР (общ) '!$D639)</f>
        <v>Р4.3.6</v>
      </c>
      <c r="F639" s="26">
        <f t="shared" si="58"/>
        <v>1</v>
      </c>
      <c r="G639" s="27" t="s">
        <v>698</v>
      </c>
      <c r="H639" s="28" t="s">
        <v>696</v>
      </c>
      <c r="I639" s="158"/>
      <c r="J639" s="30">
        <v>140.35</v>
      </c>
      <c r="K639" s="30">
        <v>2010.87</v>
      </c>
      <c r="L639" s="30">
        <f t="shared" si="61"/>
        <v>140.35</v>
      </c>
      <c r="M639" s="30">
        <f t="shared" si="61"/>
        <v>2010.87</v>
      </c>
      <c r="N639" s="30">
        <f>ROUND('Смета ЕР (общ) '!$I639*'Смета ЕР (общ) '!$L639,2)</f>
        <v>0</v>
      </c>
      <c r="O639" s="30">
        <f>ROUND('Смета ЕР (общ) '!$I639*'Смета ЕР (общ) '!$M639,2)</f>
        <v>0</v>
      </c>
      <c r="P639" s="45"/>
    </row>
    <row r="640" spans="1:20" ht="14.4" hidden="1" x14ac:dyDescent="0.3">
      <c r="A640" s="37" t="s">
        <v>649</v>
      </c>
      <c r="B640" s="37">
        <v>5</v>
      </c>
      <c r="C640" s="37"/>
      <c r="D640" s="37">
        <v>0</v>
      </c>
      <c r="E640" s="37" t="str">
        <f>CONCATENATE('Смета ЕР (общ) '!$A640,".",'Смета ЕР (общ) '!$B640,".",'Смета ЕР (общ) '!$D640)</f>
        <v>Р4.5.0</v>
      </c>
      <c r="F640" s="37">
        <f t="shared" si="58"/>
        <v>1</v>
      </c>
      <c r="G640" s="38" t="s">
        <v>699</v>
      </c>
      <c r="H640" s="22"/>
      <c r="I640" s="23"/>
      <c r="J640" s="36"/>
      <c r="K640" s="36"/>
      <c r="L640" s="25"/>
      <c r="M640" s="25"/>
      <c r="N640" s="25">
        <f>SUM(N641:N657)</f>
        <v>0</v>
      </c>
      <c r="O640" s="25">
        <f>SUM(O641:O657)</f>
        <v>0</v>
      </c>
      <c r="P640" s="45"/>
      <c r="T640">
        <v>0</v>
      </c>
    </row>
    <row r="641" spans="1:16" ht="14.4" hidden="1" x14ac:dyDescent="0.3">
      <c r="A641" s="26" t="s">
        <v>649</v>
      </c>
      <c r="B641" s="26">
        <v>5</v>
      </c>
      <c r="C641" s="26"/>
      <c r="D641" s="26">
        <v>1</v>
      </c>
      <c r="E641" s="26" t="str">
        <f>CONCATENATE('Смета ЕР (общ) '!$A641,".",'Смета ЕР (общ) '!$B641,".",'Смета ЕР (общ) '!$D641)</f>
        <v>Р4.5.1</v>
      </c>
      <c r="F641" s="26">
        <f t="shared" si="58"/>
        <v>1</v>
      </c>
      <c r="G641" s="27" t="s">
        <v>700</v>
      </c>
      <c r="H641" s="28" t="s">
        <v>144</v>
      </c>
      <c r="I641" s="158"/>
      <c r="J641" s="30">
        <v>2035.8</v>
      </c>
      <c r="K641" s="30">
        <v>0</v>
      </c>
      <c r="L641" s="30">
        <f t="shared" ref="L641:M657" si="62">ROUND(J641-J641*$Q$3,2)</f>
        <v>2035.8</v>
      </c>
      <c r="M641" s="30">
        <f t="shared" si="62"/>
        <v>0</v>
      </c>
      <c r="N641" s="30">
        <f>ROUND('Смета ЕР (общ) '!$I641*'Смета ЕР (общ) '!$L641,2)</f>
        <v>0</v>
      </c>
      <c r="O641" s="30">
        <f>ROUND('Смета ЕР (общ) '!$I641*'Смета ЕР (общ) '!$M641,2)</f>
        <v>0</v>
      </c>
      <c r="P641" s="45"/>
    </row>
    <row r="642" spans="1:16" ht="14.4" hidden="1" x14ac:dyDescent="0.3">
      <c r="A642" s="26" t="s">
        <v>649</v>
      </c>
      <c r="B642" s="26">
        <v>5</v>
      </c>
      <c r="C642" s="26"/>
      <c r="D642" s="26">
        <v>2</v>
      </c>
      <c r="E642" s="26" t="str">
        <f>CONCATENATE('Смета ЕР (общ) '!$A642,".",'Смета ЕР (общ) '!$B642,".",'Смета ЕР (общ) '!$D642)</f>
        <v>Р4.5.2</v>
      </c>
      <c r="F642" s="26">
        <f t="shared" si="58"/>
        <v>1</v>
      </c>
      <c r="G642" s="27" t="s">
        <v>701</v>
      </c>
      <c r="H642" s="28" t="s">
        <v>144</v>
      </c>
      <c r="I642" s="158"/>
      <c r="J642" s="30">
        <v>1173.8699999999999</v>
      </c>
      <c r="K642" s="30">
        <v>0</v>
      </c>
      <c r="L642" s="30">
        <f t="shared" si="62"/>
        <v>1173.8699999999999</v>
      </c>
      <c r="M642" s="30">
        <f t="shared" si="62"/>
        <v>0</v>
      </c>
      <c r="N642" s="30">
        <f>ROUND('Смета ЕР (общ) '!$I642*'Смета ЕР (общ) '!$L642,2)</f>
        <v>0</v>
      </c>
      <c r="O642" s="30">
        <f>ROUND('Смета ЕР (общ) '!$I642*'Смета ЕР (общ) '!$M642,2)</f>
        <v>0</v>
      </c>
      <c r="P642" s="45"/>
    </row>
    <row r="643" spans="1:16" ht="14.4" hidden="1" x14ac:dyDescent="0.3">
      <c r="A643" s="26" t="s">
        <v>649</v>
      </c>
      <c r="B643" s="26">
        <v>5</v>
      </c>
      <c r="C643" s="26"/>
      <c r="D643" s="26">
        <v>3</v>
      </c>
      <c r="E643" s="26" t="str">
        <f>CONCATENATE('Смета ЕР (общ) '!$A643,".",'Смета ЕР (общ) '!$B643,".",'Смета ЕР (общ) '!$D643)</f>
        <v>Р4.5.3</v>
      </c>
      <c r="F643" s="26">
        <f t="shared" si="58"/>
        <v>1</v>
      </c>
      <c r="G643" s="27" t="s">
        <v>702</v>
      </c>
      <c r="H643" s="28" t="s">
        <v>144</v>
      </c>
      <c r="I643" s="158"/>
      <c r="J643" s="30">
        <v>1839.5</v>
      </c>
      <c r="K643" s="30">
        <v>7330.45</v>
      </c>
      <c r="L643" s="30">
        <f t="shared" si="62"/>
        <v>1839.5</v>
      </c>
      <c r="M643" s="30">
        <f t="shared" si="62"/>
        <v>7330.45</v>
      </c>
      <c r="N643" s="30">
        <f>ROUND('Смета ЕР (общ) '!$I643*'Смета ЕР (общ) '!$L643,2)</f>
        <v>0</v>
      </c>
      <c r="O643" s="30">
        <f>ROUND('Смета ЕР (общ) '!$I643*'Смета ЕР (общ) '!$M643,2)</f>
        <v>0</v>
      </c>
      <c r="P643" s="45"/>
    </row>
    <row r="644" spans="1:16" ht="14.4" hidden="1" x14ac:dyDescent="0.3">
      <c r="A644" s="82" t="s">
        <v>649</v>
      </c>
      <c r="B644" s="82">
        <v>5</v>
      </c>
      <c r="C644" s="82"/>
      <c r="D644" s="82">
        <v>4</v>
      </c>
      <c r="E644" s="82" t="str">
        <f>CONCATENATE('Смета ЕР (общ) '!$A644,".",'Смета ЕР (общ) '!$B644,".",'Смета ЕР (общ) '!$D644)</f>
        <v>Р4.5.4</v>
      </c>
      <c r="F644" s="82">
        <f t="shared" si="58"/>
        <v>1</v>
      </c>
      <c r="G644" s="111" t="s">
        <v>703</v>
      </c>
      <c r="H644" s="28" t="s">
        <v>118</v>
      </c>
      <c r="I644" s="158"/>
      <c r="J644" s="30">
        <v>24429.599999999999</v>
      </c>
      <c r="K644" s="30">
        <v>174719.05</v>
      </c>
      <c r="L644" s="30">
        <f t="shared" si="62"/>
        <v>24429.599999999999</v>
      </c>
      <c r="M644" s="30">
        <f t="shared" si="62"/>
        <v>174719.05</v>
      </c>
      <c r="N644" s="30">
        <f>ROUND('Смета ЕР (общ) '!$I644*'Смета ЕР (общ) '!$L644,2)</f>
        <v>0</v>
      </c>
      <c r="O644" s="30">
        <f>ROUND('Смета ЕР (общ) '!$I644*'Смета ЕР (общ) '!$M644,2)</f>
        <v>0</v>
      </c>
      <c r="P644" s="45"/>
    </row>
    <row r="645" spans="1:16" ht="14.4" hidden="1" x14ac:dyDescent="0.3">
      <c r="A645" s="82" t="s">
        <v>649</v>
      </c>
      <c r="B645" s="82">
        <v>5</v>
      </c>
      <c r="C645" s="82"/>
      <c r="D645" s="82">
        <v>5</v>
      </c>
      <c r="E645" s="82" t="str">
        <f>CONCATENATE('Смета ЕР (общ) '!$A645,".",'Смета ЕР (общ) '!$B645,".",'Смета ЕР (общ) '!$D645)</f>
        <v>Р4.5.5</v>
      </c>
      <c r="F645" s="82">
        <f t="shared" si="58"/>
        <v>1</v>
      </c>
      <c r="G645" s="111" t="s">
        <v>704</v>
      </c>
      <c r="H645" s="28" t="s">
        <v>118</v>
      </c>
      <c r="I645" s="158"/>
      <c r="J645" s="30">
        <v>28112.05</v>
      </c>
      <c r="K645" s="30">
        <v>211631.98</v>
      </c>
      <c r="L645" s="30">
        <f t="shared" si="62"/>
        <v>28112.05</v>
      </c>
      <c r="M645" s="30">
        <f t="shared" si="62"/>
        <v>211631.98</v>
      </c>
      <c r="N645" s="30">
        <f>ROUND('Смета ЕР (общ) '!$I645*'Смета ЕР (общ) '!$L645,2)</f>
        <v>0</v>
      </c>
      <c r="O645" s="30">
        <f>ROUND('Смета ЕР (общ) '!$I645*'Смета ЕР (общ) '!$M645,2)</f>
        <v>0</v>
      </c>
      <c r="P645" s="45"/>
    </row>
    <row r="646" spans="1:16" ht="14.4" hidden="1" x14ac:dyDescent="0.3">
      <c r="A646" s="82" t="s">
        <v>649</v>
      </c>
      <c r="B646" s="82">
        <v>5</v>
      </c>
      <c r="C646" s="82"/>
      <c r="D646" s="82">
        <v>6</v>
      </c>
      <c r="E646" s="82" t="str">
        <f>CONCATENATE('Смета ЕР (общ) '!$A646,".",'Смета ЕР (общ) '!$B646,".",'Смета ЕР (общ) '!$D646)</f>
        <v>Р4.5.6</v>
      </c>
      <c r="F646" s="82">
        <f t="shared" si="58"/>
        <v>1</v>
      </c>
      <c r="G646" s="111" t="s">
        <v>705</v>
      </c>
      <c r="H646" s="28" t="s">
        <v>118</v>
      </c>
      <c r="I646" s="158"/>
      <c r="J646" s="30">
        <v>28501.200000000001</v>
      </c>
      <c r="K646" s="30">
        <v>166147.91</v>
      </c>
      <c r="L646" s="30">
        <f t="shared" si="62"/>
        <v>28501.200000000001</v>
      </c>
      <c r="M646" s="30">
        <f t="shared" si="62"/>
        <v>166147.91</v>
      </c>
      <c r="N646" s="30">
        <f>ROUND('Смета ЕР (общ) '!$I646*'Смета ЕР (общ) '!$L646,2)</f>
        <v>0</v>
      </c>
      <c r="O646" s="30">
        <f>ROUND('Смета ЕР (общ) '!$I646*'Смета ЕР (общ) '!$M646,2)</f>
        <v>0</v>
      </c>
      <c r="P646" s="45"/>
    </row>
    <row r="647" spans="1:16" ht="24" hidden="1" x14ac:dyDescent="0.3">
      <c r="A647" s="82" t="s">
        <v>649</v>
      </c>
      <c r="B647" s="82">
        <v>5</v>
      </c>
      <c r="C647" s="82"/>
      <c r="D647" s="82">
        <v>7</v>
      </c>
      <c r="E647" s="82" t="str">
        <f>CONCATENATE('Смета ЕР (общ) '!$A647,".",'Смета ЕР (общ) '!$B647,".",'Смета ЕР (общ) '!$D647)</f>
        <v>Р4.5.7</v>
      </c>
      <c r="F647" s="82">
        <f t="shared" si="58"/>
        <v>1</v>
      </c>
      <c r="G647" s="111" t="s">
        <v>706</v>
      </c>
      <c r="H647" s="28" t="s">
        <v>147</v>
      </c>
      <c r="I647" s="158"/>
      <c r="J647" s="30">
        <v>6571.11</v>
      </c>
      <c r="K647" s="30">
        <v>33105.06</v>
      </c>
      <c r="L647" s="30">
        <f t="shared" si="62"/>
        <v>6571.11</v>
      </c>
      <c r="M647" s="30">
        <f t="shared" si="62"/>
        <v>33105.06</v>
      </c>
      <c r="N647" s="30">
        <f>ROUND('Смета ЕР (общ) '!$I647*'Смета ЕР (общ) '!$L647,2)</f>
        <v>0</v>
      </c>
      <c r="O647" s="30">
        <f>ROUND('Смета ЕР (общ) '!$I647*'Смета ЕР (общ) '!$M647,2)</f>
        <v>0</v>
      </c>
      <c r="P647" s="45"/>
    </row>
    <row r="648" spans="1:16" ht="14.4" hidden="1" x14ac:dyDescent="0.3">
      <c r="A648" s="82" t="s">
        <v>649</v>
      </c>
      <c r="B648" s="82">
        <v>5</v>
      </c>
      <c r="C648" s="82"/>
      <c r="D648" s="82">
        <v>8</v>
      </c>
      <c r="E648" s="82" t="str">
        <f>CONCATENATE('Смета ЕР (общ) '!$A648,".",'Смета ЕР (общ) '!$B648,".",'Смета ЕР (общ) '!$D648)</f>
        <v>Р4.5.8</v>
      </c>
      <c r="F648" s="82">
        <f t="shared" si="58"/>
        <v>1</v>
      </c>
      <c r="G648" s="111" t="s">
        <v>707</v>
      </c>
      <c r="H648" s="28" t="s">
        <v>40</v>
      </c>
      <c r="I648" s="158"/>
      <c r="J648" s="30">
        <v>746.46</v>
      </c>
      <c r="K648" s="30">
        <v>750.37</v>
      </c>
      <c r="L648" s="30">
        <f t="shared" si="62"/>
        <v>746.46</v>
      </c>
      <c r="M648" s="30">
        <f t="shared" si="62"/>
        <v>750.37</v>
      </c>
      <c r="N648" s="30">
        <f>ROUND('Смета ЕР (общ) '!$I648*'Смета ЕР (общ) '!$L648,2)</f>
        <v>0</v>
      </c>
      <c r="O648" s="30">
        <f>ROUND('Смета ЕР (общ) '!$I648*'Смета ЕР (общ) '!$M648,2)</f>
        <v>0</v>
      </c>
      <c r="P648" s="45"/>
    </row>
    <row r="649" spans="1:16" ht="14.4" hidden="1" x14ac:dyDescent="0.3">
      <c r="A649" s="82" t="s">
        <v>649</v>
      </c>
      <c r="B649" s="82">
        <v>5</v>
      </c>
      <c r="C649" s="82"/>
      <c r="D649" s="82">
        <v>9</v>
      </c>
      <c r="E649" s="82" t="str">
        <f>CONCATENATE('Смета ЕР (общ) '!$A649,".",'Смета ЕР (общ) '!$B649,".",'Смета ЕР (общ) '!$D649)</f>
        <v>Р4.5.9</v>
      </c>
      <c r="F649" s="82">
        <f t="shared" si="58"/>
        <v>1</v>
      </c>
      <c r="G649" s="111" t="s">
        <v>708</v>
      </c>
      <c r="H649" s="28" t="s">
        <v>40</v>
      </c>
      <c r="I649" s="158"/>
      <c r="J649" s="30">
        <v>800.36</v>
      </c>
      <c r="K649" s="30">
        <v>1774.08</v>
      </c>
      <c r="L649" s="30">
        <f t="shared" si="62"/>
        <v>800.36</v>
      </c>
      <c r="M649" s="30">
        <f t="shared" si="62"/>
        <v>1774.08</v>
      </c>
      <c r="N649" s="30">
        <f>ROUND('Смета ЕР (общ) '!$I649*'Смета ЕР (общ) '!$L649,2)</f>
        <v>0</v>
      </c>
      <c r="O649" s="30">
        <f>ROUND('Смета ЕР (общ) '!$I649*'Смета ЕР (общ) '!$M649,2)</f>
        <v>0</v>
      </c>
      <c r="P649" s="45"/>
    </row>
    <row r="650" spans="1:16" ht="14.4" hidden="1" x14ac:dyDescent="0.3">
      <c r="A650" s="82" t="s">
        <v>649</v>
      </c>
      <c r="B650" s="82">
        <v>5</v>
      </c>
      <c r="C650" s="82"/>
      <c r="D650" s="82">
        <v>10</v>
      </c>
      <c r="E650" s="82" t="str">
        <f>CONCATENATE('Смета ЕР (общ) '!$A650,".",'Смета ЕР (общ) '!$B650,".",'Смета ЕР (общ) '!$D650)</f>
        <v>Р4.5.10</v>
      </c>
      <c r="F650" s="82">
        <f t="shared" si="58"/>
        <v>1</v>
      </c>
      <c r="G650" s="111" t="s">
        <v>709</v>
      </c>
      <c r="H650" s="28" t="s">
        <v>40</v>
      </c>
      <c r="I650" s="158"/>
      <c r="J650" s="30">
        <v>2035.8</v>
      </c>
      <c r="K650" s="30">
        <v>2934.09</v>
      </c>
      <c r="L650" s="30">
        <f t="shared" si="62"/>
        <v>2035.8</v>
      </c>
      <c r="M650" s="30">
        <f t="shared" si="62"/>
        <v>2934.09</v>
      </c>
      <c r="N650" s="30">
        <f>ROUND('Смета ЕР (общ) '!$I650*'Смета ЕР (общ) '!$L650,2)</f>
        <v>0</v>
      </c>
      <c r="O650" s="30">
        <f>ROUND('Смета ЕР (общ) '!$I650*'Смета ЕР (общ) '!$M650,2)</f>
        <v>0</v>
      </c>
      <c r="P650" s="45"/>
    </row>
    <row r="651" spans="1:16" ht="14.4" hidden="1" x14ac:dyDescent="0.3">
      <c r="A651" s="82" t="s">
        <v>649</v>
      </c>
      <c r="B651" s="82">
        <v>5</v>
      </c>
      <c r="C651" s="82"/>
      <c r="D651" s="82">
        <v>11</v>
      </c>
      <c r="E651" s="82" t="str">
        <f>CONCATENATE('Смета ЕР (общ) '!$A651,".",'Смета ЕР (общ) '!$B651,".",'Смета ЕР (общ) '!$D651)</f>
        <v>Р4.5.11</v>
      </c>
      <c r="F651" s="82">
        <f t="shared" si="58"/>
        <v>1</v>
      </c>
      <c r="G651" s="111" t="s">
        <v>710</v>
      </c>
      <c r="H651" s="28" t="s">
        <v>118</v>
      </c>
      <c r="I651" s="158"/>
      <c r="J651" s="30">
        <v>1850.12</v>
      </c>
      <c r="K651" s="30">
        <v>1901.09</v>
      </c>
      <c r="L651" s="30">
        <f t="shared" si="62"/>
        <v>1850.12</v>
      </c>
      <c r="M651" s="30">
        <f t="shared" si="62"/>
        <v>1901.09</v>
      </c>
      <c r="N651" s="30">
        <f>ROUND('Смета ЕР (общ) '!$I651*'Смета ЕР (общ) '!$L651,2)</f>
        <v>0</v>
      </c>
      <c r="O651" s="30">
        <f>ROUND('Смета ЕР (общ) '!$I651*'Смета ЕР (общ) '!$M651,2)</f>
        <v>0</v>
      </c>
      <c r="P651" s="45"/>
    </row>
    <row r="652" spans="1:16" ht="14.4" hidden="1" x14ac:dyDescent="0.3">
      <c r="A652" s="82" t="s">
        <v>649</v>
      </c>
      <c r="B652" s="82">
        <v>5</v>
      </c>
      <c r="C652" s="82"/>
      <c r="D652" s="82">
        <v>12</v>
      </c>
      <c r="E652" s="82" t="str">
        <f>CONCATENATE('Смета ЕР (общ) '!$A652,".",'Смета ЕР (общ) '!$B652,".",'Смета ЕР (общ) '!$D652)</f>
        <v>Р4.5.12</v>
      </c>
      <c r="F652" s="82">
        <f t="shared" si="58"/>
        <v>1</v>
      </c>
      <c r="G652" s="111" t="s">
        <v>711</v>
      </c>
      <c r="H652" s="112" t="s">
        <v>40</v>
      </c>
      <c r="I652" s="158"/>
      <c r="J652" s="30">
        <v>452.96</v>
      </c>
      <c r="K652" s="30">
        <v>3491.76</v>
      </c>
      <c r="L652" s="30">
        <f t="shared" si="62"/>
        <v>452.96</v>
      </c>
      <c r="M652" s="30">
        <f t="shared" si="62"/>
        <v>3491.76</v>
      </c>
      <c r="N652" s="30">
        <f>ROUND('Смета ЕР (общ) '!$I652*'Смета ЕР (общ) '!$L652,2)</f>
        <v>0</v>
      </c>
      <c r="O652" s="30">
        <f>ROUND('Смета ЕР (общ) '!$I652*'Смета ЕР (общ) '!$M652,2)</f>
        <v>0</v>
      </c>
      <c r="P652" s="45"/>
    </row>
    <row r="653" spans="1:16" ht="14.4" hidden="1" x14ac:dyDescent="0.3">
      <c r="A653" s="26" t="s">
        <v>649</v>
      </c>
      <c r="B653" s="26">
        <v>5</v>
      </c>
      <c r="C653" s="26"/>
      <c r="D653" s="26">
        <v>13</v>
      </c>
      <c r="E653" s="26" t="str">
        <f>CONCATENATE('Смета ЕР (общ) '!$A653,".",'Смета ЕР (общ) '!$B653,".",'Смета ЕР (общ) '!$D653)</f>
        <v>Р4.5.13</v>
      </c>
      <c r="F653" s="26">
        <f t="shared" si="58"/>
        <v>1</v>
      </c>
      <c r="G653" s="27" t="s">
        <v>712</v>
      </c>
      <c r="H653" s="42" t="s">
        <v>40</v>
      </c>
      <c r="I653" s="158"/>
      <c r="J653" s="30">
        <v>3048</v>
      </c>
      <c r="K653" s="30">
        <v>2955.58</v>
      </c>
      <c r="L653" s="30">
        <f t="shared" si="62"/>
        <v>3048</v>
      </c>
      <c r="M653" s="30">
        <f t="shared" si="62"/>
        <v>2955.58</v>
      </c>
      <c r="N653" s="30">
        <f>ROUND('Смета ЕР (общ) '!$I653*'Смета ЕР (общ) '!$L653,2)</f>
        <v>0</v>
      </c>
      <c r="O653" s="30">
        <f>ROUND('Смета ЕР (общ) '!$I653*'Смета ЕР (общ) '!$M653,2)</f>
        <v>0</v>
      </c>
      <c r="P653" s="45"/>
    </row>
    <row r="654" spans="1:16" ht="14.4" hidden="1" x14ac:dyDescent="0.3">
      <c r="A654" s="26" t="s">
        <v>649</v>
      </c>
      <c r="B654" s="26">
        <v>5</v>
      </c>
      <c r="C654" s="26"/>
      <c r="D654" s="26">
        <v>14</v>
      </c>
      <c r="E654" s="26" t="str">
        <f>CONCATENATE('Смета ЕР (общ) '!$A654,".",'Смета ЕР (общ) '!$B654,".",'Смета ЕР (общ) '!$D654)</f>
        <v>Р4.5.14</v>
      </c>
      <c r="F654" s="26">
        <f t="shared" si="58"/>
        <v>1</v>
      </c>
      <c r="G654" s="27" t="s">
        <v>713</v>
      </c>
      <c r="H654" s="28" t="s">
        <v>147</v>
      </c>
      <c r="I654" s="158"/>
      <c r="J654" s="30">
        <v>1500</v>
      </c>
      <c r="K654" s="30">
        <v>1669.76</v>
      </c>
      <c r="L654" s="30">
        <f t="shared" si="62"/>
        <v>1500</v>
      </c>
      <c r="M654" s="30">
        <f t="shared" si="62"/>
        <v>1669.76</v>
      </c>
      <c r="N654" s="30">
        <f>ROUND('Смета ЕР (общ) '!$I654*'Смета ЕР (общ) '!$L654,2)</f>
        <v>0</v>
      </c>
      <c r="O654" s="30">
        <f>ROUND('Смета ЕР (общ) '!$I654*'Смета ЕР (общ) '!$M654,2)</f>
        <v>0</v>
      </c>
      <c r="P654" s="45"/>
    </row>
    <row r="655" spans="1:16" ht="14.4" hidden="1" x14ac:dyDescent="0.3">
      <c r="A655" s="26" t="s">
        <v>649</v>
      </c>
      <c r="B655" s="26">
        <v>5</v>
      </c>
      <c r="C655" s="26"/>
      <c r="D655" s="26">
        <v>15</v>
      </c>
      <c r="E655" s="26" t="str">
        <f>CONCATENATE('Смета ЕР (общ) '!$A655,".",'Смета ЕР (общ) '!$B655,".",'Смета ЕР (общ) '!$D655)</f>
        <v>Р4.5.15</v>
      </c>
      <c r="F655" s="26">
        <f t="shared" ref="F655:F718" si="63">IF(I655&gt;0,F654+1,F654)</f>
        <v>1</v>
      </c>
      <c r="G655" s="27" t="s">
        <v>714</v>
      </c>
      <c r="H655" s="42" t="s">
        <v>40</v>
      </c>
      <c r="I655" s="158"/>
      <c r="J655" s="30">
        <v>2000</v>
      </c>
      <c r="K655" s="30">
        <v>2106.59</v>
      </c>
      <c r="L655" s="30">
        <f t="shared" si="62"/>
        <v>2000</v>
      </c>
      <c r="M655" s="30">
        <f t="shared" si="62"/>
        <v>2106.59</v>
      </c>
      <c r="N655" s="30">
        <f>ROUND('Смета ЕР (общ) '!$I655*'Смета ЕР (общ) '!$L655,2)</f>
        <v>0</v>
      </c>
      <c r="O655" s="30">
        <f>ROUND('Смета ЕР (общ) '!$I655*'Смета ЕР (общ) '!$M655,2)</f>
        <v>0</v>
      </c>
      <c r="P655" s="45"/>
    </row>
    <row r="656" spans="1:16" ht="14.4" hidden="1" x14ac:dyDescent="0.3">
      <c r="A656" s="26" t="s">
        <v>649</v>
      </c>
      <c r="B656" s="26">
        <v>5</v>
      </c>
      <c r="C656" s="26"/>
      <c r="D656" s="26">
        <v>16</v>
      </c>
      <c r="E656" s="26" t="str">
        <f>CONCATENATE('Смета ЕР (общ) '!$A656,".",'Смета ЕР (общ) '!$B656,".",'Смета ЕР (общ) '!$D656)</f>
        <v>Р4.5.16</v>
      </c>
      <c r="F656" s="26">
        <f t="shared" si="63"/>
        <v>1</v>
      </c>
      <c r="G656" s="27" t="s">
        <v>715</v>
      </c>
      <c r="H656" s="42" t="s">
        <v>40</v>
      </c>
      <c r="I656" s="158"/>
      <c r="J656" s="30">
        <v>2035.8</v>
      </c>
      <c r="K656" s="30">
        <v>7931.84</v>
      </c>
      <c r="L656" s="30">
        <f t="shared" si="62"/>
        <v>2035.8</v>
      </c>
      <c r="M656" s="30">
        <f t="shared" si="62"/>
        <v>7931.84</v>
      </c>
      <c r="N656" s="30">
        <f>ROUND('Смета ЕР (общ) '!$I656*'Смета ЕР (общ) '!$L656,2)</f>
        <v>0</v>
      </c>
      <c r="O656" s="30">
        <f>ROUND('Смета ЕР (общ) '!$I656*'Смета ЕР (общ) '!$M656,2)</f>
        <v>0</v>
      </c>
      <c r="P656" s="45"/>
    </row>
    <row r="657" spans="1:20" ht="160.5" hidden="1" customHeight="1" x14ac:dyDescent="0.3">
      <c r="A657" s="26" t="s">
        <v>649</v>
      </c>
      <c r="B657" s="26">
        <v>5</v>
      </c>
      <c r="C657" s="26"/>
      <c r="D657" s="26">
        <v>17</v>
      </c>
      <c r="E657" s="26" t="str">
        <f>CONCATENATE('Смета ЕР (общ) '!$A657,".",'Смета ЕР (общ) '!$B657,".",'Смета ЕР (общ) '!$D657)</f>
        <v>Р4.5.17</v>
      </c>
      <c r="F657" s="26">
        <f t="shared" si="63"/>
        <v>1</v>
      </c>
      <c r="G657" s="27" t="s">
        <v>716</v>
      </c>
      <c r="H657" s="28" t="s">
        <v>147</v>
      </c>
      <c r="I657" s="158"/>
      <c r="J657" s="30">
        <v>16286.4</v>
      </c>
      <c r="K657" s="30">
        <v>66879.460000000006</v>
      </c>
      <c r="L657" s="30">
        <f t="shared" si="62"/>
        <v>16286.4</v>
      </c>
      <c r="M657" s="30">
        <f t="shared" si="62"/>
        <v>66879.460000000006</v>
      </c>
      <c r="N657" s="30">
        <f>ROUND('Смета ЕР (общ) '!$I657*'Смета ЕР (общ) '!$L657,2)</f>
        <v>0</v>
      </c>
      <c r="O657" s="30">
        <f>ROUND('Смета ЕР (общ) '!$I657*'Смета ЕР (общ) '!$M657,2)</f>
        <v>0</v>
      </c>
      <c r="P657" s="45"/>
    </row>
    <row r="658" spans="1:20" ht="14.4" hidden="1" x14ac:dyDescent="0.3">
      <c r="A658" s="19" t="s">
        <v>717</v>
      </c>
      <c r="B658" s="19">
        <v>0</v>
      </c>
      <c r="C658" s="19"/>
      <c r="D658" s="19">
        <v>0</v>
      </c>
      <c r="E658" s="19" t="str">
        <f>CONCATENATE('Смета ЕР (общ) '!$A658,".",'Смета ЕР (общ) '!$B658,".",'Смета ЕР (общ) '!$D658)</f>
        <v>Р5.0.0</v>
      </c>
      <c r="F658" s="19">
        <f t="shared" si="63"/>
        <v>1</v>
      </c>
      <c r="G658" s="21" t="s">
        <v>718</v>
      </c>
      <c r="H658" s="22"/>
      <c r="I658" s="23"/>
      <c r="J658" s="36"/>
      <c r="K658" s="36"/>
      <c r="L658" s="25"/>
      <c r="M658" s="25"/>
      <c r="N658" s="25">
        <f>ROUND(N659++N752+N758+N767,2)</f>
        <v>0</v>
      </c>
      <c r="O658" s="25">
        <f>ROUND(O659++O752+O758+O767,2)</f>
        <v>0</v>
      </c>
      <c r="P658" s="86"/>
      <c r="T658">
        <v>81579.41</v>
      </c>
    </row>
    <row r="659" spans="1:20" s="113" customFormat="1" ht="14.4" hidden="1" x14ac:dyDescent="0.3">
      <c r="A659" s="19" t="s">
        <v>717</v>
      </c>
      <c r="B659" s="19">
        <v>3</v>
      </c>
      <c r="C659" s="19"/>
      <c r="D659" s="19">
        <v>0</v>
      </c>
      <c r="E659" s="19" t="str">
        <f>CONCATENATE('Смета ЕР (общ) '!$A659,".",'Смета ЕР (общ) '!$B659,".",'Смета ЕР (общ) '!$D659)</f>
        <v>Р5.3.0</v>
      </c>
      <c r="F659" s="19">
        <f t="shared" si="63"/>
        <v>1</v>
      </c>
      <c r="G659" s="21" t="s">
        <v>719</v>
      </c>
      <c r="H659" s="22"/>
      <c r="I659" s="23"/>
      <c r="J659" s="36"/>
      <c r="K659" s="36"/>
      <c r="L659" s="25"/>
      <c r="M659" s="25"/>
      <c r="N659" s="25">
        <f>SUM(N660:N751)</f>
        <v>0</v>
      </c>
      <c r="O659" s="25">
        <f>SUM(O660:O751)</f>
        <v>0</v>
      </c>
      <c r="P659" s="86"/>
      <c r="Q659"/>
      <c r="R659"/>
      <c r="T659" s="113">
        <v>81579.409999999989</v>
      </c>
    </row>
    <row r="660" spans="1:20" ht="24" hidden="1" x14ac:dyDescent="0.3">
      <c r="A660" s="26" t="s">
        <v>717</v>
      </c>
      <c r="B660" s="26">
        <v>3</v>
      </c>
      <c r="C660" s="26"/>
      <c r="D660" s="26">
        <v>1</v>
      </c>
      <c r="E660" s="26" t="str">
        <f>CONCATENATE('Смета ЕР (общ) '!$A660,".",'Смета ЕР (общ) '!$B660,".",'Смета ЕР (общ) '!$D660)</f>
        <v>Р5.3.1</v>
      </c>
      <c r="F660" s="26">
        <f t="shared" si="63"/>
        <v>1</v>
      </c>
      <c r="G660" s="41" t="s">
        <v>720</v>
      </c>
      <c r="H660" s="28" t="s">
        <v>118</v>
      </c>
      <c r="I660" s="158"/>
      <c r="J660" s="30">
        <v>4284.5</v>
      </c>
      <c r="K660" s="30">
        <v>11971.52</v>
      </c>
      <c r="L660" s="30">
        <f t="shared" ref="L660:M684" si="64">ROUND(J660-J660*$Q$3,2)</f>
        <v>4284.5</v>
      </c>
      <c r="M660" s="30">
        <f t="shared" si="64"/>
        <v>11971.52</v>
      </c>
      <c r="N660" s="30">
        <f>ROUND('Смета ЕР (общ) '!$I660*'Смета ЕР (общ) '!$L660,2)</f>
        <v>0</v>
      </c>
      <c r="O660" s="30">
        <f>ROUND('Смета ЕР (общ) '!$I660*'Смета ЕР (общ) '!$M660,2)</f>
        <v>0</v>
      </c>
      <c r="P660" s="86"/>
    </row>
    <row r="661" spans="1:20" ht="24" hidden="1" x14ac:dyDescent="0.3">
      <c r="A661" s="26" t="s">
        <v>717</v>
      </c>
      <c r="B661" s="26">
        <v>3</v>
      </c>
      <c r="C661" s="26"/>
      <c r="D661" s="26">
        <v>2</v>
      </c>
      <c r="E661" s="26" t="str">
        <f>CONCATENATE('Смета ЕР (общ) '!$A661,".",'Смета ЕР (общ) '!$B661,".",'Смета ЕР (общ) '!$D661)</f>
        <v>Р5.3.2</v>
      </c>
      <c r="F661" s="26">
        <f t="shared" si="63"/>
        <v>1</v>
      </c>
      <c r="G661" s="41" t="s">
        <v>721</v>
      </c>
      <c r="H661" s="28" t="s">
        <v>118</v>
      </c>
      <c r="I661" s="158"/>
      <c r="J661" s="30">
        <v>7837.5</v>
      </c>
      <c r="K661" s="30">
        <v>6690.22</v>
      </c>
      <c r="L661" s="30">
        <f t="shared" si="64"/>
        <v>7837.5</v>
      </c>
      <c r="M661" s="30">
        <f t="shared" si="64"/>
        <v>6690.22</v>
      </c>
      <c r="N661" s="30">
        <f>ROUND('Смета ЕР (общ) '!$I661*'Смета ЕР (общ) '!$L661,2)</f>
        <v>0</v>
      </c>
      <c r="O661" s="30">
        <f>ROUND('Смета ЕР (общ) '!$I661*'Смета ЕР (общ) '!$M661,2)</f>
        <v>0</v>
      </c>
      <c r="P661" s="86"/>
    </row>
    <row r="662" spans="1:20" ht="24" hidden="1" x14ac:dyDescent="0.3">
      <c r="A662" s="26" t="s">
        <v>717</v>
      </c>
      <c r="B662" s="26">
        <v>3</v>
      </c>
      <c r="C662" s="26"/>
      <c r="D662" s="26">
        <v>68</v>
      </c>
      <c r="E662" s="26" t="str">
        <f>CONCATENATE('Смета ЕР (общ) '!$A662,".",'Смета ЕР (общ) '!$B662,".",'Смета ЕР (общ) '!$D662)</f>
        <v>Р5.3.68</v>
      </c>
      <c r="F662" s="26">
        <f t="shared" si="63"/>
        <v>1</v>
      </c>
      <c r="G662" s="41" t="s">
        <v>722</v>
      </c>
      <c r="H662" s="28" t="s">
        <v>118</v>
      </c>
      <c r="I662" s="158"/>
      <c r="J662" s="30">
        <v>4284.5</v>
      </c>
      <c r="K662" s="30">
        <v>55070.06</v>
      </c>
      <c r="L662" s="30">
        <f t="shared" si="64"/>
        <v>4284.5</v>
      </c>
      <c r="M662" s="30">
        <f t="shared" si="64"/>
        <v>55070.06</v>
      </c>
      <c r="N662" s="30">
        <f>ROUND('Смета ЕР (общ) '!$I662*'Смета ЕР (общ) '!$L662,2)</f>
        <v>0</v>
      </c>
      <c r="O662" s="30">
        <f>ROUND('Смета ЕР (общ) '!$I662*'Смета ЕР (общ) '!$M662,2)</f>
        <v>0</v>
      </c>
      <c r="P662" s="86"/>
    </row>
    <row r="663" spans="1:20" ht="24" hidden="1" x14ac:dyDescent="0.3">
      <c r="A663" s="26" t="s">
        <v>717</v>
      </c>
      <c r="B663" s="26">
        <v>3</v>
      </c>
      <c r="C663" s="26"/>
      <c r="D663" s="26">
        <v>69</v>
      </c>
      <c r="E663" s="26" t="str">
        <f>CONCATENATE('Смета ЕР (общ) '!$A663,".",'Смета ЕР (общ) '!$B663,".",'Смета ЕР (общ) '!$D663)</f>
        <v>Р5.3.69</v>
      </c>
      <c r="F663" s="26">
        <f t="shared" si="63"/>
        <v>1</v>
      </c>
      <c r="G663" s="41" t="s">
        <v>723</v>
      </c>
      <c r="H663" s="28" t="s">
        <v>118</v>
      </c>
      <c r="I663" s="158"/>
      <c r="J663" s="30">
        <v>6688</v>
      </c>
      <c r="K663" s="30">
        <v>29157.16</v>
      </c>
      <c r="L663" s="30">
        <f t="shared" si="64"/>
        <v>6688</v>
      </c>
      <c r="M663" s="30">
        <f t="shared" si="64"/>
        <v>29157.16</v>
      </c>
      <c r="N663" s="30">
        <f>ROUND('Смета ЕР (общ) '!$I663*'Смета ЕР (общ) '!$L663,2)</f>
        <v>0</v>
      </c>
      <c r="O663" s="30">
        <f>ROUND('Смета ЕР (общ) '!$I663*'Смета ЕР (общ) '!$M663,2)</f>
        <v>0</v>
      </c>
      <c r="P663" s="86"/>
    </row>
    <row r="664" spans="1:20" ht="14.4" hidden="1" x14ac:dyDescent="0.3">
      <c r="A664" s="26" t="s">
        <v>717</v>
      </c>
      <c r="B664" s="26">
        <v>3</v>
      </c>
      <c r="C664" s="26"/>
      <c r="D664" s="26">
        <v>62</v>
      </c>
      <c r="E664" s="26" t="str">
        <f>CONCATENATE('Смета ЕР (общ) '!$A664,".",'Смета ЕР (общ) '!$B664,".",'Смета ЕР (общ) '!$D664)</f>
        <v>Р5.3.62</v>
      </c>
      <c r="F664" s="26">
        <f t="shared" si="63"/>
        <v>1</v>
      </c>
      <c r="G664" s="41" t="s">
        <v>724</v>
      </c>
      <c r="H664" s="28" t="s">
        <v>118</v>
      </c>
      <c r="I664" s="158"/>
      <c r="J664" s="30">
        <v>4186.88</v>
      </c>
      <c r="K664" s="30">
        <v>27305.02</v>
      </c>
      <c r="L664" s="30">
        <f t="shared" si="64"/>
        <v>4186.88</v>
      </c>
      <c r="M664" s="30">
        <f t="shared" si="64"/>
        <v>27305.02</v>
      </c>
      <c r="N664" s="30">
        <f>ROUND('Смета ЕР (общ) '!$I664*'Смета ЕР (общ) '!$L664,2)</f>
        <v>0</v>
      </c>
      <c r="O664" s="30">
        <f>ROUND('Смета ЕР (общ) '!$I664*'Смета ЕР (общ) '!$M664,2)</f>
        <v>0</v>
      </c>
      <c r="P664" s="45"/>
    </row>
    <row r="665" spans="1:20" ht="24" hidden="1" x14ac:dyDescent="0.3">
      <c r="A665" s="26" t="s">
        <v>717</v>
      </c>
      <c r="B665" s="26">
        <v>3</v>
      </c>
      <c r="C665" s="26"/>
      <c r="D665" s="26">
        <v>63</v>
      </c>
      <c r="E665" s="26" t="str">
        <f>CONCATENATE('Смета ЕР (общ) '!$A665,".",'Смета ЕР (общ) '!$B665,".",'Смета ЕР (общ) '!$D665)</f>
        <v>Р5.3.63</v>
      </c>
      <c r="F665" s="26">
        <f t="shared" si="63"/>
        <v>1</v>
      </c>
      <c r="G665" s="27" t="s">
        <v>725</v>
      </c>
      <c r="H665" s="28" t="s">
        <v>118</v>
      </c>
      <c r="I665" s="158"/>
      <c r="J665" s="30">
        <v>5575.08</v>
      </c>
      <c r="K665" s="30">
        <v>33925.279999999999</v>
      </c>
      <c r="L665" s="30">
        <f t="shared" si="64"/>
        <v>5575.08</v>
      </c>
      <c r="M665" s="30">
        <f t="shared" si="64"/>
        <v>33925.279999999999</v>
      </c>
      <c r="N665" s="30">
        <f>ROUND('Смета ЕР (общ) '!$I665*'Смета ЕР (общ) '!$L665,2)</f>
        <v>0</v>
      </c>
      <c r="O665" s="30">
        <f>ROUND('Смета ЕР (общ) '!$I665*'Смета ЕР (общ) '!$M665,2)</f>
        <v>0</v>
      </c>
      <c r="P665" s="45"/>
    </row>
    <row r="666" spans="1:20" ht="24" hidden="1" x14ac:dyDescent="0.3">
      <c r="A666" s="26" t="s">
        <v>717</v>
      </c>
      <c r="B666" s="26">
        <v>3</v>
      </c>
      <c r="C666" s="26"/>
      <c r="D666" s="26">
        <v>64</v>
      </c>
      <c r="E666" s="26" t="str">
        <f>CONCATENATE('Смета ЕР (общ) '!$A666,".",'Смета ЕР (общ) '!$B666,".",'Смета ЕР (общ) '!$D666)</f>
        <v>Р5.3.64</v>
      </c>
      <c r="F666" s="26">
        <f t="shared" si="63"/>
        <v>1</v>
      </c>
      <c r="G666" s="27" t="s">
        <v>726</v>
      </c>
      <c r="H666" s="28" t="s">
        <v>118</v>
      </c>
      <c r="I666" s="158"/>
      <c r="J666" s="30">
        <v>6688</v>
      </c>
      <c r="K666" s="30">
        <v>45420.639999999999</v>
      </c>
      <c r="L666" s="30">
        <f t="shared" si="64"/>
        <v>6688</v>
      </c>
      <c r="M666" s="30">
        <f t="shared" si="64"/>
        <v>45420.639999999999</v>
      </c>
      <c r="N666" s="30">
        <f>ROUND('Смета ЕР (общ) '!$I666*'Смета ЕР (общ) '!$L666,2)</f>
        <v>0</v>
      </c>
      <c r="O666" s="30">
        <f>ROUND('Смета ЕР (общ) '!$I666*'Смета ЕР (общ) '!$M666,2)</f>
        <v>0</v>
      </c>
      <c r="P666" s="45"/>
    </row>
    <row r="667" spans="1:20" ht="24" hidden="1" x14ac:dyDescent="0.3">
      <c r="A667" s="26" t="s">
        <v>717</v>
      </c>
      <c r="B667" s="26">
        <v>3</v>
      </c>
      <c r="C667" s="26"/>
      <c r="D667" s="26">
        <v>70</v>
      </c>
      <c r="E667" s="26" t="str">
        <f>CONCATENATE('Смета ЕР (общ) '!$A667,".",'Смета ЕР (общ) '!$B667,".",'Смета ЕР (общ) '!$D667)</f>
        <v>Р5.3.70</v>
      </c>
      <c r="F667" s="26">
        <f t="shared" si="63"/>
        <v>1</v>
      </c>
      <c r="G667" s="27" t="s">
        <v>727</v>
      </c>
      <c r="H667" s="28" t="s">
        <v>118</v>
      </c>
      <c r="I667" s="158"/>
      <c r="J667" s="30">
        <v>5575.08</v>
      </c>
      <c r="K667" s="30">
        <v>40890.629999999997</v>
      </c>
      <c r="L667" s="30">
        <f t="shared" si="64"/>
        <v>5575.08</v>
      </c>
      <c r="M667" s="30">
        <f t="shared" si="64"/>
        <v>40890.629999999997</v>
      </c>
      <c r="N667" s="30">
        <f>ROUND('Смета ЕР (общ) '!$I667*'Смета ЕР (общ) '!$L667,2)</f>
        <v>0</v>
      </c>
      <c r="O667" s="30">
        <f>ROUND('Смета ЕР (общ) '!$I667*'Смета ЕР (общ) '!$M667,2)</f>
        <v>0</v>
      </c>
      <c r="P667" s="45"/>
    </row>
    <row r="668" spans="1:20" ht="24" hidden="1" x14ac:dyDescent="0.3">
      <c r="A668" s="26" t="s">
        <v>717</v>
      </c>
      <c r="B668" s="26">
        <v>3</v>
      </c>
      <c r="C668" s="26"/>
      <c r="D668" s="26">
        <v>71</v>
      </c>
      <c r="E668" s="26" t="str">
        <f>CONCATENATE('Смета ЕР (общ) '!$A668,".",'Смета ЕР (общ) '!$B668,".",'Смета ЕР (общ) '!$D668)</f>
        <v>Р5.3.71</v>
      </c>
      <c r="F668" s="26">
        <f t="shared" si="63"/>
        <v>1</v>
      </c>
      <c r="G668" s="27" t="s">
        <v>728</v>
      </c>
      <c r="H668" s="28" t="s">
        <v>118</v>
      </c>
      <c r="I668" s="158"/>
      <c r="J668" s="30">
        <v>6688</v>
      </c>
      <c r="K668" s="30">
        <v>8915.44</v>
      </c>
      <c r="L668" s="30">
        <f t="shared" si="64"/>
        <v>6688</v>
      </c>
      <c r="M668" s="30">
        <f t="shared" si="64"/>
        <v>8915.44</v>
      </c>
      <c r="N668" s="30">
        <f>ROUND('Смета ЕР (общ) '!$I668*'Смета ЕР (общ) '!$L668,2)</f>
        <v>0</v>
      </c>
      <c r="O668" s="30">
        <f>ROUND('Смета ЕР (общ) '!$I668*'Смета ЕР (общ) '!$M668,2)</f>
        <v>0</v>
      </c>
      <c r="P668" s="45"/>
    </row>
    <row r="669" spans="1:20" ht="14.4" hidden="1" x14ac:dyDescent="0.3">
      <c r="A669" s="26" t="s">
        <v>717</v>
      </c>
      <c r="B669" s="26">
        <v>3</v>
      </c>
      <c r="C669" s="26"/>
      <c r="D669" s="26">
        <v>72</v>
      </c>
      <c r="E669" s="26" t="str">
        <f>CONCATENATE('Смета ЕР (общ) '!$A669,".",'Смета ЕР (общ) '!$B669,".",'Смета ЕР (общ) '!$D669)</f>
        <v>Р5.3.72</v>
      </c>
      <c r="F669" s="26">
        <f t="shared" si="63"/>
        <v>1</v>
      </c>
      <c r="G669" s="27" t="s">
        <v>729</v>
      </c>
      <c r="H669" s="28" t="s">
        <v>118</v>
      </c>
      <c r="I669" s="158"/>
      <c r="J669" s="30">
        <v>5575.08</v>
      </c>
      <c r="K669" s="30">
        <f>[14]Сантехника!J2</f>
        <v>12789</v>
      </c>
      <c r="L669" s="30">
        <f t="shared" si="64"/>
        <v>5575.08</v>
      </c>
      <c r="M669" s="54">
        <f>K669</f>
        <v>12789</v>
      </c>
      <c r="N669" s="30">
        <f>ROUND('Смета ЕР (общ) '!$I669*'Смета ЕР (общ) '!$L669,2)</f>
        <v>0</v>
      </c>
      <c r="O669" s="30">
        <f>ROUND('Смета ЕР (общ) '!$I669*'Смета ЕР (общ) '!$M669,2)</f>
        <v>0</v>
      </c>
      <c r="P669" s="55" t="s">
        <v>730</v>
      </c>
      <c r="Q669" s="56"/>
      <c r="T669">
        <v>1</v>
      </c>
    </row>
    <row r="670" spans="1:20" ht="14.4" hidden="1" x14ac:dyDescent="0.3">
      <c r="A670" s="26" t="s">
        <v>717</v>
      </c>
      <c r="B670" s="26">
        <v>3</v>
      </c>
      <c r="C670" s="26"/>
      <c r="D670" s="26">
        <v>88</v>
      </c>
      <c r="E670" s="26" t="str">
        <f>CONCATENATE('Смета ЕР (общ) '!$A670,".",'Смета ЕР (общ) '!$B670,".",'Смета ЕР (общ) '!$D670)</f>
        <v>Р5.3.88</v>
      </c>
      <c r="F670" s="26">
        <f t="shared" si="63"/>
        <v>1</v>
      </c>
      <c r="G670" s="27" t="s">
        <v>731</v>
      </c>
      <c r="H670" s="28" t="s">
        <v>118</v>
      </c>
      <c r="I670" s="158"/>
      <c r="J670" s="50">
        <v>1809.6</v>
      </c>
      <c r="K670" s="30">
        <f>[14]Сантехника!J30</f>
        <v>15498</v>
      </c>
      <c r="L670" s="30">
        <f t="shared" si="64"/>
        <v>1809.6</v>
      </c>
      <c r="M670" s="54">
        <f t="shared" ref="M670:M687" si="65">K670</f>
        <v>15498</v>
      </c>
      <c r="N670" s="30">
        <f>ROUND('Смета ЕР (общ) '!$I670*'Смета ЕР (общ) '!$L670,2)</f>
        <v>0</v>
      </c>
      <c r="O670" s="30">
        <f>ROUND('Смета ЕР (общ) '!$I670*'Смета ЕР (общ) '!$M670,2)</f>
        <v>0</v>
      </c>
      <c r="P670" s="55" t="s">
        <v>730</v>
      </c>
      <c r="Q670" s="56"/>
    </row>
    <row r="671" spans="1:20" ht="14.4" hidden="1" x14ac:dyDescent="0.3">
      <c r="A671" s="26" t="s">
        <v>717</v>
      </c>
      <c r="B671" s="26">
        <v>3</v>
      </c>
      <c r="C671" s="26"/>
      <c r="D671" s="26">
        <v>89</v>
      </c>
      <c r="E671" s="26" t="str">
        <f>CONCATENATE('Смета ЕР (общ) '!$A671,".",'Смета ЕР (общ) '!$B671,".",'Смета ЕР (общ) '!$D671)</f>
        <v>Р5.3.89</v>
      </c>
      <c r="F671" s="26">
        <f t="shared" si="63"/>
        <v>1</v>
      </c>
      <c r="G671" s="27" t="s">
        <v>732</v>
      </c>
      <c r="H671" s="28" t="s">
        <v>118</v>
      </c>
      <c r="I671" s="158"/>
      <c r="J671" s="30">
        <v>6688</v>
      </c>
      <c r="K671" s="30">
        <f>[14]Сантехника!J4</f>
        <v>8284.5</v>
      </c>
      <c r="L671" s="30">
        <f t="shared" si="64"/>
        <v>6688</v>
      </c>
      <c r="M671" s="54">
        <f t="shared" si="65"/>
        <v>8284.5</v>
      </c>
      <c r="N671" s="30">
        <f>ROUND('Смета ЕР (общ) '!$I671*'Смета ЕР (общ) '!$L671,2)</f>
        <v>0</v>
      </c>
      <c r="O671" s="30">
        <f>ROUND('Смета ЕР (общ) '!$I671*'Смета ЕР (общ) '!$M671,2)</f>
        <v>0</v>
      </c>
      <c r="P671" s="55" t="s">
        <v>730</v>
      </c>
      <c r="Q671" s="56"/>
    </row>
    <row r="672" spans="1:20" ht="14.4" hidden="1" x14ac:dyDescent="0.3">
      <c r="A672" s="26" t="s">
        <v>717</v>
      </c>
      <c r="B672" s="26">
        <v>3</v>
      </c>
      <c r="C672" s="26"/>
      <c r="D672" s="26">
        <v>90</v>
      </c>
      <c r="E672" s="26" t="str">
        <f>CONCATENATE('Смета ЕР (общ) '!$A672,".",'Смета ЕР (общ) '!$B672,".",'Смета ЕР (общ) '!$D672)</f>
        <v>Р5.3.90</v>
      </c>
      <c r="F672" s="26">
        <f t="shared" si="63"/>
        <v>1</v>
      </c>
      <c r="G672" s="27" t="s">
        <v>733</v>
      </c>
      <c r="H672" s="28" t="s">
        <v>118</v>
      </c>
      <c r="I672" s="158"/>
      <c r="J672" s="50">
        <v>1809.6</v>
      </c>
      <c r="K672" s="30">
        <f>[14]Сантехника!J31</f>
        <v>29431.5</v>
      </c>
      <c r="L672" s="30">
        <f t="shared" si="64"/>
        <v>1809.6</v>
      </c>
      <c r="M672" s="54">
        <f t="shared" si="65"/>
        <v>29431.5</v>
      </c>
      <c r="N672" s="30">
        <f>ROUND('Смета ЕР (общ) '!$I672*'Смета ЕР (общ) '!$L672,2)</f>
        <v>0</v>
      </c>
      <c r="O672" s="30">
        <f>ROUND('Смета ЕР (общ) '!$I672*'Смета ЕР (общ) '!$M672,2)</f>
        <v>0</v>
      </c>
      <c r="P672" s="55" t="s">
        <v>730</v>
      </c>
      <c r="Q672" s="56"/>
    </row>
    <row r="673" spans="1:20" ht="24" hidden="1" x14ac:dyDescent="0.3">
      <c r="A673" s="26" t="s">
        <v>717</v>
      </c>
      <c r="B673" s="26">
        <v>3</v>
      </c>
      <c r="C673" s="26"/>
      <c r="D673" s="26">
        <v>91</v>
      </c>
      <c r="E673" s="26" t="str">
        <f>CONCATENATE('Смета ЕР (общ) '!$A673,".",'Смета ЕР (общ) '!$B673,".",'Смета ЕР (общ) '!$D673)</f>
        <v>Р5.3.91</v>
      </c>
      <c r="F673" s="26">
        <f t="shared" si="63"/>
        <v>1</v>
      </c>
      <c r="G673" s="27" t="s">
        <v>734</v>
      </c>
      <c r="H673" s="28" t="s">
        <v>118</v>
      </c>
      <c r="I673" s="158"/>
      <c r="J673" s="30">
        <v>6688</v>
      </c>
      <c r="K673" s="30">
        <f>[14]Сантехника!J32</f>
        <v>10909.5</v>
      </c>
      <c r="L673" s="30">
        <f t="shared" si="64"/>
        <v>6688</v>
      </c>
      <c r="M673" s="54">
        <f t="shared" si="65"/>
        <v>10909.5</v>
      </c>
      <c r="N673" s="30">
        <f>ROUND('Смета ЕР (общ) '!$I673*'Смета ЕР (общ) '!$L673,2)</f>
        <v>0</v>
      </c>
      <c r="O673" s="30">
        <f>ROUND('Смета ЕР (общ) '!$I673*'Смета ЕР (общ) '!$M673,2)</f>
        <v>0</v>
      </c>
      <c r="P673" s="55" t="s">
        <v>730</v>
      </c>
      <c r="Q673" s="56"/>
    </row>
    <row r="674" spans="1:20" ht="14.4" hidden="1" x14ac:dyDescent="0.3">
      <c r="A674" s="26" t="s">
        <v>717</v>
      </c>
      <c r="B674" s="26">
        <v>3</v>
      </c>
      <c r="C674" s="26"/>
      <c r="D674" s="26">
        <v>92</v>
      </c>
      <c r="E674" s="26" t="str">
        <f>CONCATENATE('Смета ЕР (общ) '!$A674,".",'Смета ЕР (общ) '!$B674,".",'Смета ЕР (общ) '!$D674)</f>
        <v>Р5.3.92</v>
      </c>
      <c r="F674" s="26">
        <f t="shared" si="63"/>
        <v>1</v>
      </c>
      <c r="G674" s="27" t="s">
        <v>735</v>
      </c>
      <c r="H674" s="28" t="s">
        <v>118</v>
      </c>
      <c r="I674" s="158"/>
      <c r="J674" s="50">
        <v>500</v>
      </c>
      <c r="K674" s="30">
        <f>[14]Сантехника!J34</f>
        <v>1354.5</v>
      </c>
      <c r="L674" s="30">
        <f t="shared" si="64"/>
        <v>500</v>
      </c>
      <c r="M674" s="54">
        <f t="shared" si="65"/>
        <v>1354.5</v>
      </c>
      <c r="N674" s="30">
        <f>ROUND('Смета ЕР (общ) '!$I674*'Смета ЕР (общ) '!$L674,2)</f>
        <v>0</v>
      </c>
      <c r="O674" s="30">
        <f>ROUND('Смета ЕР (общ) '!$I674*'Смета ЕР (общ) '!$M674,2)</f>
        <v>0</v>
      </c>
      <c r="P674" s="55" t="s">
        <v>730</v>
      </c>
      <c r="Q674" s="56"/>
    </row>
    <row r="675" spans="1:20" ht="14.4" hidden="1" x14ac:dyDescent="0.3">
      <c r="A675" s="26" t="s">
        <v>717</v>
      </c>
      <c r="B675" s="26">
        <v>3</v>
      </c>
      <c r="C675" s="26"/>
      <c r="D675" s="26">
        <v>93</v>
      </c>
      <c r="E675" s="26" t="str">
        <f>CONCATENATE('Смета ЕР (общ) '!$A675,".",'Смета ЕР (общ) '!$B675,".",'Смета ЕР (общ) '!$D675)</f>
        <v>Р5.3.93</v>
      </c>
      <c r="F675" s="26">
        <f t="shared" si="63"/>
        <v>1</v>
      </c>
      <c r="G675" s="27" t="s">
        <v>736</v>
      </c>
      <c r="H675" s="28" t="s">
        <v>118</v>
      </c>
      <c r="I675" s="158"/>
      <c r="J675" s="50">
        <v>500</v>
      </c>
      <c r="K675" s="30">
        <f>[14]Сантехника!J33</f>
        <v>1029</v>
      </c>
      <c r="L675" s="30">
        <f t="shared" si="64"/>
        <v>500</v>
      </c>
      <c r="M675" s="54">
        <f t="shared" si="65"/>
        <v>1029</v>
      </c>
      <c r="N675" s="30">
        <f>ROUND('Смета ЕР (общ) '!$I675*'Смета ЕР (общ) '!$L675,2)</f>
        <v>0</v>
      </c>
      <c r="O675" s="30">
        <f>ROUND('Смета ЕР (общ) '!$I675*'Смета ЕР (общ) '!$M675,2)</f>
        <v>0</v>
      </c>
      <c r="P675" s="55" t="s">
        <v>730</v>
      </c>
      <c r="Q675" s="56"/>
    </row>
    <row r="676" spans="1:20" ht="24" hidden="1" x14ac:dyDescent="0.3">
      <c r="A676" s="26" t="s">
        <v>717</v>
      </c>
      <c r="B676" s="26">
        <v>3</v>
      </c>
      <c r="C676" s="26"/>
      <c r="D676" s="26">
        <v>73</v>
      </c>
      <c r="E676" s="26" t="str">
        <f>CONCATENATE('Смета ЕР (общ) '!$A676,".",'Смета ЕР (общ) '!$B676,".",'Смета ЕР (общ) '!$D676)</f>
        <v>Р5.3.73</v>
      </c>
      <c r="F676" s="26">
        <f t="shared" si="63"/>
        <v>1</v>
      </c>
      <c r="G676" s="27" t="s">
        <v>737</v>
      </c>
      <c r="H676" s="28" t="s">
        <v>118</v>
      </c>
      <c r="I676" s="158"/>
      <c r="J676" s="29">
        <v>4284.5</v>
      </c>
      <c r="K676" s="30">
        <f>[14]Сантехника!J35</f>
        <v>23478</v>
      </c>
      <c r="L676" s="30">
        <f t="shared" si="64"/>
        <v>4284.5</v>
      </c>
      <c r="M676" s="54">
        <f t="shared" si="65"/>
        <v>23478</v>
      </c>
      <c r="N676" s="30">
        <f>ROUND('Смета ЕР (общ) '!$I676*'Смета ЕР (общ) '!$L676,2)</f>
        <v>0</v>
      </c>
      <c r="O676" s="30">
        <f>ROUND('Смета ЕР (общ) '!$I676*'Смета ЕР (общ) '!$M676,2)</f>
        <v>0</v>
      </c>
      <c r="P676" s="55" t="s">
        <v>730</v>
      </c>
      <c r="Q676" s="56"/>
      <c r="T676">
        <v>1</v>
      </c>
    </row>
    <row r="677" spans="1:20" ht="14.4" hidden="1" x14ac:dyDescent="0.3">
      <c r="A677" s="26" t="s">
        <v>717</v>
      </c>
      <c r="B677" s="26">
        <v>3</v>
      </c>
      <c r="C677" s="26"/>
      <c r="D677" s="26">
        <v>74</v>
      </c>
      <c r="E677" s="26" t="str">
        <f>CONCATENATE('Смета ЕР (общ) '!$A677,".",'Смета ЕР (общ) '!$B677,".",'Смета ЕР (общ) '!$D677)</f>
        <v>Р5.3.74</v>
      </c>
      <c r="F677" s="26">
        <f t="shared" si="63"/>
        <v>1</v>
      </c>
      <c r="G677" s="27" t="s">
        <v>738</v>
      </c>
      <c r="H677" s="28" t="s">
        <v>118</v>
      </c>
      <c r="I677" s="158"/>
      <c r="J677" s="30">
        <v>4186.88</v>
      </c>
      <c r="K677" s="30">
        <f>[14]Сантехника!J10</f>
        <v>20359.5</v>
      </c>
      <c r="L677" s="30">
        <f t="shared" si="64"/>
        <v>4186.88</v>
      </c>
      <c r="M677" s="54">
        <f t="shared" si="65"/>
        <v>20359.5</v>
      </c>
      <c r="N677" s="30">
        <f>ROUND('Смета ЕР (общ) '!$I677*'Смета ЕР (общ) '!$L677,2)</f>
        <v>0</v>
      </c>
      <c r="O677" s="30">
        <f>ROUND('Смета ЕР (общ) '!$I677*'Смета ЕР (общ) '!$M677,2)</f>
        <v>0</v>
      </c>
      <c r="P677" s="55" t="s">
        <v>730</v>
      </c>
      <c r="Q677" s="56"/>
      <c r="T677">
        <v>1</v>
      </c>
    </row>
    <row r="678" spans="1:20" ht="24" hidden="1" x14ac:dyDescent="0.3">
      <c r="A678" s="26" t="s">
        <v>717</v>
      </c>
      <c r="B678" s="26">
        <v>3</v>
      </c>
      <c r="C678" s="26"/>
      <c r="D678" s="26">
        <v>75</v>
      </c>
      <c r="E678" s="26" t="str">
        <f>CONCATENATE('Смета ЕР (общ) '!$A678,".",'Смета ЕР (общ) '!$B678,".",'Смета ЕР (общ) '!$D678)</f>
        <v>Р5.3.75</v>
      </c>
      <c r="F678" s="26">
        <f t="shared" si="63"/>
        <v>1</v>
      </c>
      <c r="G678" s="27" t="s">
        <v>739</v>
      </c>
      <c r="H678" s="28" t="s">
        <v>118</v>
      </c>
      <c r="I678" s="158"/>
      <c r="J678" s="30">
        <v>4186.88</v>
      </c>
      <c r="K678" s="30">
        <f>[14]Сантехника!J7</f>
        <v>13782.3</v>
      </c>
      <c r="L678" s="30">
        <f t="shared" si="64"/>
        <v>4186.88</v>
      </c>
      <c r="M678" s="54">
        <f t="shared" si="65"/>
        <v>13782.3</v>
      </c>
      <c r="N678" s="30">
        <f>ROUND('Смета ЕР (общ) '!$I678*'Смета ЕР (общ) '!$L678,2)</f>
        <v>0</v>
      </c>
      <c r="O678" s="30">
        <f>ROUND('Смета ЕР (общ) '!$I678*'Смета ЕР (общ) '!$M678,2)</f>
        <v>0</v>
      </c>
      <c r="P678" s="55" t="s">
        <v>730</v>
      </c>
      <c r="Q678" s="56"/>
      <c r="T678">
        <v>1</v>
      </c>
    </row>
    <row r="679" spans="1:20" ht="24" hidden="1" x14ac:dyDescent="0.3">
      <c r="A679" s="26" t="s">
        <v>717</v>
      </c>
      <c r="B679" s="26">
        <v>3</v>
      </c>
      <c r="C679" s="26"/>
      <c r="D679" s="26">
        <v>78</v>
      </c>
      <c r="E679" s="26" t="str">
        <f>CONCATENATE('Смета ЕР (общ) '!$A679,".",'Смета ЕР (общ) '!$B679,".",'Смета ЕР (общ) '!$D679)</f>
        <v>Р5.3.78</v>
      </c>
      <c r="F679" s="26">
        <f t="shared" si="63"/>
        <v>1</v>
      </c>
      <c r="G679" s="41" t="s">
        <v>720</v>
      </c>
      <c r="H679" s="28" t="s">
        <v>118</v>
      </c>
      <c r="I679" s="158"/>
      <c r="J679" s="30">
        <v>4284.5</v>
      </c>
      <c r="K679" s="34"/>
      <c r="L679" s="30">
        <f t="shared" si="64"/>
        <v>4284.5</v>
      </c>
      <c r="M679" s="54">
        <f t="shared" si="65"/>
        <v>0</v>
      </c>
      <c r="N679" s="30">
        <f>ROUND('Смета ЕР (общ) '!$I679*'Смета ЕР (общ) '!$L679,2)</f>
        <v>0</v>
      </c>
      <c r="O679" s="30">
        <f>ROUND('Смета ЕР (общ) '!$I679*'Смета ЕР (общ) '!$M679,2)</f>
        <v>0</v>
      </c>
      <c r="P679" s="55" t="s">
        <v>730</v>
      </c>
      <c r="Q679" s="56"/>
    </row>
    <row r="680" spans="1:20" ht="24" hidden="1" x14ac:dyDescent="0.3">
      <c r="A680" s="26" t="s">
        <v>717</v>
      </c>
      <c r="B680" s="26">
        <v>3</v>
      </c>
      <c r="C680" s="26"/>
      <c r="D680" s="26">
        <v>79</v>
      </c>
      <c r="E680" s="26" t="str">
        <f>CONCATENATE('Смета ЕР (общ) '!$A680,".",'Смета ЕР (общ) '!$B680,".",'Смета ЕР (общ) '!$D680)</f>
        <v>Р5.3.79</v>
      </c>
      <c r="F680" s="26">
        <f t="shared" si="63"/>
        <v>1</v>
      </c>
      <c r="G680" s="27" t="s">
        <v>740</v>
      </c>
      <c r="H680" s="28" t="s">
        <v>118</v>
      </c>
      <c r="I680" s="158"/>
      <c r="J680" s="30">
        <v>6688</v>
      </c>
      <c r="K680" s="30">
        <f>[14]Сантехника!J3+[14]Сантехника!J6</f>
        <v>10468.5</v>
      </c>
      <c r="L680" s="30">
        <f t="shared" si="64"/>
        <v>6688</v>
      </c>
      <c r="M680" s="54">
        <f t="shared" si="65"/>
        <v>10468.5</v>
      </c>
      <c r="N680" s="30">
        <f>ROUND('Смета ЕР (общ) '!$I680*'Смета ЕР (общ) '!$L680,2)</f>
        <v>0</v>
      </c>
      <c r="O680" s="30">
        <f>ROUND('Смета ЕР (общ) '!$I680*'Смета ЕР (общ) '!$M680,2)</f>
        <v>0</v>
      </c>
      <c r="P680" s="55" t="s">
        <v>730</v>
      </c>
      <c r="Q680" s="56"/>
      <c r="T680">
        <v>1</v>
      </c>
    </row>
    <row r="681" spans="1:20" ht="24" hidden="1" x14ac:dyDescent="0.3">
      <c r="A681" s="26" t="s">
        <v>717</v>
      </c>
      <c r="B681" s="26">
        <v>3</v>
      </c>
      <c r="C681" s="26"/>
      <c r="D681" s="26">
        <v>80</v>
      </c>
      <c r="E681" s="26" t="str">
        <f>CONCATENATE('Смета ЕР (общ) '!$A681,".",'Смета ЕР (общ) '!$B681,".",'Смета ЕР (общ) '!$D681)</f>
        <v>Р5.3.80</v>
      </c>
      <c r="F681" s="26">
        <f t="shared" si="63"/>
        <v>1</v>
      </c>
      <c r="G681" s="27" t="s">
        <v>741</v>
      </c>
      <c r="H681" s="28" t="s">
        <v>118</v>
      </c>
      <c r="I681" s="158"/>
      <c r="J681" s="30">
        <v>1809.6</v>
      </c>
      <c r="K681" s="30">
        <f>[14]Сантехника!J5</f>
        <v>11445</v>
      </c>
      <c r="L681" s="30">
        <f t="shared" si="64"/>
        <v>1809.6</v>
      </c>
      <c r="M681" s="54">
        <f t="shared" si="65"/>
        <v>11445</v>
      </c>
      <c r="N681" s="30">
        <f>ROUND('Смета ЕР (общ) '!$I681*'Смета ЕР (общ) '!$L681,2)</f>
        <v>0</v>
      </c>
      <c r="O681" s="30">
        <f>ROUND('Смета ЕР (общ) '!$I681*'Смета ЕР (общ) '!$M681,2)</f>
        <v>0</v>
      </c>
      <c r="P681" s="55" t="s">
        <v>730</v>
      </c>
      <c r="Q681" s="56"/>
      <c r="T681">
        <v>1</v>
      </c>
    </row>
    <row r="682" spans="1:20" ht="24" hidden="1" x14ac:dyDescent="0.3">
      <c r="A682" s="26" t="s">
        <v>717</v>
      </c>
      <c r="B682" s="26">
        <v>3</v>
      </c>
      <c r="C682" s="26"/>
      <c r="D682" s="26">
        <v>81</v>
      </c>
      <c r="E682" s="26" t="str">
        <f>CONCATENATE('Смета ЕР (общ) '!$A682,".",'Смета ЕР (общ) '!$B682,".",'Смета ЕР (общ) '!$D682)</f>
        <v>Р5.3.81</v>
      </c>
      <c r="F682" s="26">
        <f t="shared" si="63"/>
        <v>1</v>
      </c>
      <c r="G682" s="27" t="s">
        <v>742</v>
      </c>
      <c r="H682" s="28" t="s">
        <v>118</v>
      </c>
      <c r="I682" s="158"/>
      <c r="J682" s="30">
        <v>4186.88</v>
      </c>
      <c r="K682" s="30">
        <f>[14]Сантехника!J7</f>
        <v>13782.3</v>
      </c>
      <c r="L682" s="30">
        <f t="shared" si="64"/>
        <v>4186.88</v>
      </c>
      <c r="M682" s="54">
        <f t="shared" si="65"/>
        <v>13782.3</v>
      </c>
      <c r="N682" s="30">
        <f>ROUND('Смета ЕР (общ) '!$I682*'Смета ЕР (общ) '!$L682,2)</f>
        <v>0</v>
      </c>
      <c r="O682" s="30">
        <f>ROUND('Смета ЕР (общ) '!$I682*'Смета ЕР (общ) '!$M682,2)</f>
        <v>0</v>
      </c>
      <c r="P682" s="55" t="s">
        <v>730</v>
      </c>
      <c r="Q682" s="56"/>
      <c r="T682">
        <v>1</v>
      </c>
    </row>
    <row r="683" spans="1:20" s="113" customFormat="1" ht="14.4" hidden="1" x14ac:dyDescent="0.3">
      <c r="A683" s="26" t="s">
        <v>717</v>
      </c>
      <c r="B683" s="26">
        <v>3</v>
      </c>
      <c r="C683" s="26"/>
      <c r="D683" s="26">
        <v>82</v>
      </c>
      <c r="E683" s="26" t="str">
        <f>CONCATENATE('Смета ЕР (общ) '!$A683,".",'Смета ЕР (общ) '!$B683,".",'Смета ЕР (общ) '!$D683)</f>
        <v>Р5.3.82</v>
      </c>
      <c r="F683" s="26">
        <f t="shared" si="63"/>
        <v>1</v>
      </c>
      <c r="G683" s="27" t="s">
        <v>743</v>
      </c>
      <c r="H683" s="28" t="s">
        <v>118</v>
      </c>
      <c r="I683" s="158"/>
      <c r="J683" s="30">
        <v>1809.6</v>
      </c>
      <c r="K683" s="30">
        <f>[14]Сантехника!J8</f>
        <v>12117</v>
      </c>
      <c r="L683" s="30">
        <f t="shared" si="64"/>
        <v>1809.6</v>
      </c>
      <c r="M683" s="54">
        <f t="shared" si="65"/>
        <v>12117</v>
      </c>
      <c r="N683" s="30">
        <f>ROUND('Смета ЕР (общ) '!$I683*'Смета ЕР (общ) '!$L683,2)</f>
        <v>0</v>
      </c>
      <c r="O683" s="30">
        <f>ROUND('Смета ЕР (общ) '!$I683*'Смета ЕР (общ) '!$M683,2)</f>
        <v>0</v>
      </c>
      <c r="P683" s="55" t="s">
        <v>730</v>
      </c>
      <c r="Q683" s="56"/>
      <c r="R683"/>
      <c r="T683" s="113">
        <v>1</v>
      </c>
    </row>
    <row r="684" spans="1:20" ht="24" hidden="1" x14ac:dyDescent="0.3">
      <c r="A684" s="26" t="s">
        <v>717</v>
      </c>
      <c r="B684" s="26">
        <v>3</v>
      </c>
      <c r="C684" s="26"/>
      <c r="D684" s="26">
        <v>83</v>
      </c>
      <c r="E684" s="26" t="str">
        <f>CONCATENATE('Смета ЕР (общ) '!$A684,".",'Смета ЕР (общ) '!$B684,".",'Смета ЕР (общ) '!$D684)</f>
        <v>Р5.3.83</v>
      </c>
      <c r="F684" s="26">
        <f t="shared" si="63"/>
        <v>1</v>
      </c>
      <c r="G684" s="27" t="s">
        <v>744</v>
      </c>
      <c r="H684" s="28" t="s">
        <v>118</v>
      </c>
      <c r="I684" s="158"/>
      <c r="J684" s="30">
        <v>2035.8</v>
      </c>
      <c r="K684" s="34"/>
      <c r="L684" s="30">
        <f t="shared" si="64"/>
        <v>2035.8</v>
      </c>
      <c r="M684" s="54">
        <f t="shared" si="65"/>
        <v>0</v>
      </c>
      <c r="N684" s="30">
        <f>ROUND('Смета ЕР (общ) '!$I684*'Смета ЕР (общ) '!$L684,2)</f>
        <v>0</v>
      </c>
      <c r="O684" s="30">
        <f>ROUND('Смета ЕР (общ) '!$I684*'Смета ЕР (общ) '!$M684,2)</f>
        <v>0</v>
      </c>
      <c r="P684" s="55" t="s">
        <v>730</v>
      </c>
      <c r="Q684" s="56"/>
      <c r="T684">
        <v>1</v>
      </c>
    </row>
    <row r="685" spans="1:20" ht="14.4" hidden="1" x14ac:dyDescent="0.3">
      <c r="A685" s="26" t="s">
        <v>717</v>
      </c>
      <c r="B685" s="26">
        <v>3</v>
      </c>
      <c r="C685" s="26"/>
      <c r="D685" s="26">
        <v>94</v>
      </c>
      <c r="E685" s="26" t="str">
        <f>CONCATENATE('Смета ЕР (общ) '!$A685,".",'Смета ЕР (общ) '!$B685,".",'Смета ЕР (общ) '!$D685)</f>
        <v>Р5.3.94</v>
      </c>
      <c r="F685" s="26">
        <f t="shared" si="63"/>
        <v>1</v>
      </c>
      <c r="G685" s="27" t="s">
        <v>745</v>
      </c>
      <c r="H685" s="28" t="s">
        <v>118</v>
      </c>
      <c r="I685" s="158"/>
      <c r="J685" s="50">
        <v>1809.6</v>
      </c>
      <c r="K685" s="30">
        <f>[14]Сантехника!J30</f>
        <v>15498</v>
      </c>
      <c r="L685" s="30">
        <f t="shared" ref="L685:M700" si="66">ROUND(J685-J685*$Q$3,2)</f>
        <v>1809.6</v>
      </c>
      <c r="M685" s="54">
        <f t="shared" si="65"/>
        <v>15498</v>
      </c>
      <c r="N685" s="30">
        <f>ROUND('Смета ЕР (общ) '!$I685*'Смета ЕР (общ) '!$L685,2)</f>
        <v>0</v>
      </c>
      <c r="O685" s="30">
        <f>ROUND('Смета ЕР (общ) '!$I685*'Смета ЕР (общ) '!$M685,2)</f>
        <v>0</v>
      </c>
      <c r="P685" s="55" t="s">
        <v>730</v>
      </c>
      <c r="Q685" s="56"/>
    </row>
    <row r="686" spans="1:20" ht="24" hidden="1" x14ac:dyDescent="0.3">
      <c r="A686" s="26" t="s">
        <v>717</v>
      </c>
      <c r="B686" s="26">
        <v>3</v>
      </c>
      <c r="C686" s="26"/>
      <c r="D686" s="26">
        <v>95</v>
      </c>
      <c r="E686" s="26" t="str">
        <f>CONCATENATE('Смета ЕР (общ) '!$A686,".",'Смета ЕР (общ) '!$B686,".",'Смета ЕР (общ) '!$D686)</f>
        <v>Р5.3.95</v>
      </c>
      <c r="F686" s="26">
        <f t="shared" si="63"/>
        <v>1</v>
      </c>
      <c r="G686" s="27" t="s">
        <v>746</v>
      </c>
      <c r="H686" s="28" t="s">
        <v>118</v>
      </c>
      <c r="I686" s="158"/>
      <c r="J686" s="30">
        <v>4186.88</v>
      </c>
      <c r="K686" s="30">
        <f>[14]Сантехника!J10</f>
        <v>20359.5</v>
      </c>
      <c r="L686" s="30">
        <f t="shared" si="66"/>
        <v>4186.88</v>
      </c>
      <c r="M686" s="54">
        <f t="shared" si="65"/>
        <v>20359.5</v>
      </c>
      <c r="N686" s="30">
        <f>ROUND('Смета ЕР (общ) '!$I686*'Смета ЕР (общ) '!$L686,2)</f>
        <v>0</v>
      </c>
      <c r="O686" s="30">
        <f>ROUND('Смета ЕР (общ) '!$I686*'Смета ЕР (общ) '!$M686,2)</f>
        <v>0</v>
      </c>
      <c r="P686" s="55" t="s">
        <v>730</v>
      </c>
      <c r="Q686" s="56"/>
    </row>
    <row r="687" spans="1:20" ht="14.4" hidden="1" x14ac:dyDescent="0.3">
      <c r="A687" s="26" t="s">
        <v>717</v>
      </c>
      <c r="B687" s="26">
        <v>3</v>
      </c>
      <c r="C687" s="26"/>
      <c r="D687" s="26">
        <v>96</v>
      </c>
      <c r="E687" s="26" t="str">
        <f>CONCATENATE('Смета ЕР (общ) '!$A687,".",'Смета ЕР (общ) '!$B687,".",'Смета ЕР (общ) '!$D687)</f>
        <v>Р5.3.96</v>
      </c>
      <c r="F687" s="26">
        <f t="shared" si="63"/>
        <v>1</v>
      </c>
      <c r="G687" s="27" t="s">
        <v>747</v>
      </c>
      <c r="H687" s="28" t="s">
        <v>118</v>
      </c>
      <c r="I687" s="158"/>
      <c r="J687" s="50">
        <v>1809.6</v>
      </c>
      <c r="K687" s="30">
        <f>[14]Сантехника!J11</f>
        <v>15634.5</v>
      </c>
      <c r="L687" s="30">
        <f t="shared" si="66"/>
        <v>1809.6</v>
      </c>
      <c r="M687" s="54">
        <f t="shared" si="65"/>
        <v>15634.5</v>
      </c>
      <c r="N687" s="30">
        <f>ROUND('Смета ЕР (общ) '!$I687*'Смета ЕР (общ) '!$L687,2)</f>
        <v>0</v>
      </c>
      <c r="O687" s="30">
        <f>ROUND('Смета ЕР (общ) '!$I687*'Смета ЕР (общ) '!$M687,2)</f>
        <v>0</v>
      </c>
      <c r="P687" s="55" t="s">
        <v>730</v>
      </c>
      <c r="Q687" s="56"/>
    </row>
    <row r="688" spans="1:20" ht="14.4" hidden="1" x14ac:dyDescent="0.3">
      <c r="A688" s="26" t="s">
        <v>717</v>
      </c>
      <c r="B688" s="26">
        <v>3</v>
      </c>
      <c r="C688" s="26"/>
      <c r="D688" s="26">
        <v>3</v>
      </c>
      <c r="E688" s="26" t="str">
        <f>CONCATENATE('Смета ЕР (общ) '!$A688,".",'Смета ЕР (общ) '!$B688,".",'Смета ЕР (общ) '!$D688)</f>
        <v>Р5.3.3</v>
      </c>
      <c r="F688" s="26">
        <f t="shared" si="63"/>
        <v>1</v>
      </c>
      <c r="G688" s="41" t="s">
        <v>748</v>
      </c>
      <c r="H688" s="28" t="s">
        <v>118</v>
      </c>
      <c r="I688" s="158"/>
      <c r="J688" s="30">
        <v>6688</v>
      </c>
      <c r="K688" s="30">
        <v>6806.93</v>
      </c>
      <c r="L688" s="30">
        <f t="shared" si="66"/>
        <v>6688</v>
      </c>
      <c r="M688" s="30">
        <f t="shared" si="66"/>
        <v>6806.93</v>
      </c>
      <c r="N688" s="30">
        <f>ROUND('Смета ЕР (общ) '!$I688*'Смета ЕР (общ) '!$L688,2)</f>
        <v>0</v>
      </c>
      <c r="O688" s="30">
        <f>ROUND('Смета ЕР (общ) '!$I688*'Смета ЕР (общ) '!$M688,2)</f>
        <v>0</v>
      </c>
      <c r="P688" s="45"/>
    </row>
    <row r="689" spans="1:20" ht="24" hidden="1" x14ac:dyDescent="0.3">
      <c r="A689" s="26" t="s">
        <v>717</v>
      </c>
      <c r="B689" s="26">
        <v>3</v>
      </c>
      <c r="C689" s="26"/>
      <c r="D689" s="26">
        <v>65</v>
      </c>
      <c r="E689" s="26" t="str">
        <f>CONCATENATE('Смета ЕР (общ) '!$A689,".",'Смета ЕР (общ) '!$B689,".",'Смета ЕР (общ) '!$D689)</f>
        <v>Р5.3.65</v>
      </c>
      <c r="F689" s="26">
        <f t="shared" si="63"/>
        <v>1</v>
      </c>
      <c r="G689" s="27" t="s">
        <v>749</v>
      </c>
      <c r="H689" s="28" t="s">
        <v>118</v>
      </c>
      <c r="I689" s="158"/>
      <c r="J689" s="30">
        <v>2239.38</v>
      </c>
      <c r="K689" s="30">
        <v>26219.43</v>
      </c>
      <c r="L689" s="30">
        <f t="shared" si="66"/>
        <v>2239.38</v>
      </c>
      <c r="M689" s="30">
        <f t="shared" si="66"/>
        <v>26219.43</v>
      </c>
      <c r="N689" s="30">
        <f>ROUND('Смета ЕР (общ) '!$I689*'Смета ЕР (общ) '!$L689,2)</f>
        <v>0</v>
      </c>
      <c r="O689" s="30">
        <f>ROUND('Смета ЕР (общ) '!$I689*'Смета ЕР (общ) '!$M689,2)</f>
        <v>0</v>
      </c>
      <c r="P689" s="45"/>
    </row>
    <row r="690" spans="1:20" ht="24" hidden="1" x14ac:dyDescent="0.3">
      <c r="A690" s="26" t="s">
        <v>717</v>
      </c>
      <c r="B690" s="26">
        <v>3</v>
      </c>
      <c r="C690" s="26"/>
      <c r="D690" s="26">
        <v>66</v>
      </c>
      <c r="E690" s="26" t="str">
        <f>CONCATENATE('Смета ЕР (общ) '!$A690,".",'Смета ЕР (общ) '!$B690,".",'Смета ЕР (общ) '!$D690)</f>
        <v>Р5.3.66</v>
      </c>
      <c r="F690" s="26">
        <f t="shared" si="63"/>
        <v>1</v>
      </c>
      <c r="G690" s="27" t="s">
        <v>750</v>
      </c>
      <c r="H690" s="28" t="s">
        <v>118</v>
      </c>
      <c r="I690" s="158"/>
      <c r="J690" s="30">
        <v>2239.38</v>
      </c>
      <c r="K690" s="30">
        <v>12296.84</v>
      </c>
      <c r="L690" s="30">
        <f t="shared" si="66"/>
        <v>2239.38</v>
      </c>
      <c r="M690" s="30">
        <f t="shared" si="66"/>
        <v>12296.84</v>
      </c>
      <c r="N690" s="30">
        <f>ROUND('Смета ЕР (общ) '!$I690*'Смета ЕР (общ) '!$L690,2)</f>
        <v>0</v>
      </c>
      <c r="O690" s="30">
        <f>ROUND('Смета ЕР (общ) '!$I690*'Смета ЕР (общ) '!$M690,2)</f>
        <v>0</v>
      </c>
      <c r="P690" s="45"/>
    </row>
    <row r="691" spans="1:20" ht="24" hidden="1" x14ac:dyDescent="0.3">
      <c r="A691" s="26" t="s">
        <v>717</v>
      </c>
      <c r="B691" s="26">
        <v>3</v>
      </c>
      <c r="C691" s="26"/>
      <c r="D691" s="26">
        <v>67</v>
      </c>
      <c r="E691" s="26" t="str">
        <f>CONCATENATE('Смета ЕР (общ) '!$A691,".",'Смета ЕР (общ) '!$B691,".",'Смета ЕР (общ) '!$D691)</f>
        <v>Р5.3.67</v>
      </c>
      <c r="F691" s="26">
        <f t="shared" si="63"/>
        <v>1</v>
      </c>
      <c r="G691" s="27" t="s">
        <v>751</v>
      </c>
      <c r="H691" s="28" t="s">
        <v>118</v>
      </c>
      <c r="I691" s="158"/>
      <c r="J691" s="30">
        <v>1809.6</v>
      </c>
      <c r="K691" s="30">
        <v>2457.7600000000002</v>
      </c>
      <c r="L691" s="30">
        <f t="shared" si="66"/>
        <v>1809.6</v>
      </c>
      <c r="M691" s="30">
        <f t="shared" si="66"/>
        <v>2457.7600000000002</v>
      </c>
      <c r="N691" s="30">
        <f>ROUND('Смета ЕР (общ) '!$I691*'Смета ЕР (общ) '!$L691,2)</f>
        <v>0</v>
      </c>
      <c r="O691" s="30">
        <f>ROUND('Смета ЕР (общ) '!$I691*'Смета ЕР (общ) '!$M691,2)</f>
        <v>0</v>
      </c>
      <c r="P691" s="45"/>
    </row>
    <row r="692" spans="1:20" ht="14.4" hidden="1" x14ac:dyDescent="0.3">
      <c r="A692" s="26" t="s">
        <v>717</v>
      </c>
      <c r="B692" s="26">
        <v>3</v>
      </c>
      <c r="C692" s="26"/>
      <c r="D692" s="26">
        <v>5</v>
      </c>
      <c r="E692" s="26" t="str">
        <f>CONCATENATE('Смета ЕР (общ) '!$A692,".",'Смета ЕР (общ) '!$B692,".",'Смета ЕР (общ) '!$D692)</f>
        <v>Р5.3.5</v>
      </c>
      <c r="F692" s="26">
        <f t="shared" si="63"/>
        <v>1</v>
      </c>
      <c r="G692" s="41" t="s">
        <v>752</v>
      </c>
      <c r="H692" s="28" t="s">
        <v>118</v>
      </c>
      <c r="I692" s="158"/>
      <c r="J692" s="30">
        <v>1809.6</v>
      </c>
      <c r="K692" s="30">
        <v>12102.87</v>
      </c>
      <c r="L692" s="30">
        <f t="shared" si="66"/>
        <v>1809.6</v>
      </c>
      <c r="M692" s="30">
        <f t="shared" si="66"/>
        <v>12102.87</v>
      </c>
      <c r="N692" s="30">
        <f>ROUND('Смета ЕР (общ) '!$I692*'Смета ЕР (общ) '!$L692,2)</f>
        <v>0</v>
      </c>
      <c r="O692" s="30">
        <f>ROUND('Смета ЕР (общ) '!$I692*'Смета ЕР (общ) '!$M692,2)</f>
        <v>0</v>
      </c>
      <c r="P692" s="45"/>
    </row>
    <row r="693" spans="1:20" ht="14.4" hidden="1" x14ac:dyDescent="0.3">
      <c r="A693" s="26" t="s">
        <v>717</v>
      </c>
      <c r="B693" s="26">
        <v>3</v>
      </c>
      <c r="C693" s="26"/>
      <c r="D693" s="26">
        <v>6</v>
      </c>
      <c r="E693" s="26" t="str">
        <f>CONCATENATE('Смета ЕР (общ) '!$A693,".",'Смета ЕР (общ) '!$B693,".",'Смета ЕР (общ) '!$D693)</f>
        <v>Р5.3.6</v>
      </c>
      <c r="F693" s="26">
        <f t="shared" si="63"/>
        <v>1</v>
      </c>
      <c r="G693" s="41" t="s">
        <v>753</v>
      </c>
      <c r="H693" s="28" t="s">
        <v>118</v>
      </c>
      <c r="I693" s="158"/>
      <c r="J693" s="30">
        <v>1809.6</v>
      </c>
      <c r="K693" s="30">
        <v>5588.18</v>
      </c>
      <c r="L693" s="30">
        <f t="shared" si="66"/>
        <v>1809.6</v>
      </c>
      <c r="M693" s="30">
        <f t="shared" si="66"/>
        <v>5588.18</v>
      </c>
      <c r="N693" s="30">
        <f>ROUND('Смета ЕР (общ) '!$I693*'Смета ЕР (общ) '!$L693,2)</f>
        <v>0</v>
      </c>
      <c r="O693" s="30">
        <f>ROUND('Смета ЕР (общ) '!$I693*'Смета ЕР (общ) '!$M693,2)</f>
        <v>0</v>
      </c>
      <c r="P693" s="45"/>
    </row>
    <row r="694" spans="1:20" ht="36" hidden="1" x14ac:dyDescent="0.3">
      <c r="A694" s="26" t="s">
        <v>717</v>
      </c>
      <c r="B694" s="26">
        <v>3</v>
      </c>
      <c r="C694" s="26"/>
      <c r="D694" s="26">
        <v>7</v>
      </c>
      <c r="E694" s="26" t="str">
        <f>CONCATENATE('Смета ЕР (общ) '!$A694,".",'Смета ЕР (общ) '!$B694,".",'Смета ЕР (общ) '!$D694)</f>
        <v>Р5.3.7</v>
      </c>
      <c r="F694" s="26">
        <f t="shared" si="63"/>
        <v>1</v>
      </c>
      <c r="G694" s="41" t="s">
        <v>754</v>
      </c>
      <c r="H694" s="28" t="s">
        <v>64</v>
      </c>
      <c r="I694" s="158"/>
      <c r="J694" s="30">
        <v>7419.36</v>
      </c>
      <c r="K694" s="30">
        <v>17171.41</v>
      </c>
      <c r="L694" s="30">
        <f t="shared" si="66"/>
        <v>7419.36</v>
      </c>
      <c r="M694" s="30">
        <f t="shared" si="66"/>
        <v>17171.41</v>
      </c>
      <c r="N694" s="30">
        <f>ROUND('Смета ЕР (общ) '!$I694*'Смета ЕР (общ) '!$L694,2)</f>
        <v>0</v>
      </c>
      <c r="O694" s="30">
        <f>ROUND('Смета ЕР (общ) '!$I694*'Смета ЕР (общ) '!$M694,2)</f>
        <v>0</v>
      </c>
      <c r="P694" s="45"/>
      <c r="T694">
        <v>1</v>
      </c>
    </row>
    <row r="695" spans="1:20" ht="24" hidden="1" x14ac:dyDescent="0.3">
      <c r="A695" s="26" t="s">
        <v>717</v>
      </c>
      <c r="B695" s="26">
        <v>3</v>
      </c>
      <c r="C695" s="26"/>
      <c r="D695" s="26">
        <v>84</v>
      </c>
      <c r="E695" s="26" t="str">
        <f>CONCATENATE('Смета ЕР (общ) '!$A695,".",'Смета ЕР (общ) '!$B695,".",'Смета ЕР (общ) '!$D695)</f>
        <v>Р5.3.84</v>
      </c>
      <c r="F695" s="26">
        <f t="shared" si="63"/>
        <v>1</v>
      </c>
      <c r="G695" s="27" t="s">
        <v>755</v>
      </c>
      <c r="H695" s="28" t="s">
        <v>147</v>
      </c>
      <c r="I695" s="158"/>
      <c r="J695" s="30">
        <v>551.22</v>
      </c>
      <c r="K695" s="30">
        <v>264.14999999999998</v>
      </c>
      <c r="L695" s="30">
        <f t="shared" si="66"/>
        <v>551.22</v>
      </c>
      <c r="M695" s="30">
        <f t="shared" si="66"/>
        <v>264.14999999999998</v>
      </c>
      <c r="N695" s="30">
        <f>ROUND('Смета ЕР (общ) '!$I695*'Смета ЕР (общ) '!$L695,2)</f>
        <v>0</v>
      </c>
      <c r="O695" s="30">
        <f>ROUND('Смета ЕР (общ) '!$I695*'Смета ЕР (общ) '!$M695,2)</f>
        <v>0</v>
      </c>
      <c r="P695" s="45"/>
      <c r="Q695"/>
    </row>
    <row r="696" spans="1:20" ht="24" hidden="1" x14ac:dyDescent="0.3">
      <c r="A696" s="26" t="s">
        <v>717</v>
      </c>
      <c r="B696" s="26">
        <v>3</v>
      </c>
      <c r="C696" s="26"/>
      <c r="D696" s="26">
        <v>85</v>
      </c>
      <c r="E696" s="26" t="str">
        <f>CONCATENATE('Смета ЕР (общ) '!$A696,".",'Смета ЕР (общ) '!$B696,".",'Смета ЕР (общ) '!$D696)</f>
        <v>Р5.3.85</v>
      </c>
      <c r="F696" s="26">
        <f t="shared" si="63"/>
        <v>1</v>
      </c>
      <c r="G696" s="27" t="s">
        <v>756</v>
      </c>
      <c r="H696" s="28" t="s">
        <v>147</v>
      </c>
      <c r="I696" s="158"/>
      <c r="J696" s="30">
        <v>551.22</v>
      </c>
      <c r="K696" s="30">
        <v>203.19</v>
      </c>
      <c r="L696" s="30">
        <f t="shared" si="66"/>
        <v>551.22</v>
      </c>
      <c r="M696" s="30">
        <f t="shared" si="66"/>
        <v>203.19</v>
      </c>
      <c r="N696" s="30">
        <f>ROUND('Смета ЕР (общ) '!$I696*'Смета ЕР (общ) '!$L696,2)</f>
        <v>0</v>
      </c>
      <c r="O696" s="30">
        <f>ROUND('Смета ЕР (общ) '!$I696*'Смета ЕР (общ) '!$M696,2)</f>
        <v>0</v>
      </c>
      <c r="P696" s="45"/>
      <c r="Q696"/>
    </row>
    <row r="697" spans="1:20" ht="24" hidden="1" x14ac:dyDescent="0.3">
      <c r="A697" s="26" t="s">
        <v>717</v>
      </c>
      <c r="B697" s="26">
        <v>3</v>
      </c>
      <c r="C697" s="26"/>
      <c r="D697" s="26">
        <v>8</v>
      </c>
      <c r="E697" s="26" t="str">
        <f>CONCATENATE('Смета ЕР (общ) '!$A697,".",'Смета ЕР (общ) '!$B697,".",'Смета ЕР (общ) '!$D697)</f>
        <v>Р5.3.8</v>
      </c>
      <c r="F697" s="26">
        <f t="shared" si="63"/>
        <v>1</v>
      </c>
      <c r="G697" s="27" t="s">
        <v>757</v>
      </c>
      <c r="H697" s="28" t="s">
        <v>147</v>
      </c>
      <c r="I697" s="158"/>
      <c r="J697" s="30">
        <v>551.22</v>
      </c>
      <c r="K697" s="30">
        <v>156.30000000000001</v>
      </c>
      <c r="L697" s="30">
        <f t="shared" si="66"/>
        <v>551.22</v>
      </c>
      <c r="M697" s="30">
        <f t="shared" si="66"/>
        <v>156.30000000000001</v>
      </c>
      <c r="N697" s="30">
        <f>ROUND('Смета ЕР (общ) '!$I697*'Смета ЕР (общ) '!$L697,2)</f>
        <v>0</v>
      </c>
      <c r="O697" s="30">
        <f>ROUND('Смета ЕР (общ) '!$I697*'Смета ЕР (общ) '!$M697,2)</f>
        <v>0</v>
      </c>
      <c r="P697" s="45"/>
    </row>
    <row r="698" spans="1:20" ht="14.4" hidden="1" x14ac:dyDescent="0.3">
      <c r="A698" s="26" t="s">
        <v>717</v>
      </c>
      <c r="B698" s="26">
        <v>3</v>
      </c>
      <c r="C698" s="26"/>
      <c r="D698" s="26">
        <v>9</v>
      </c>
      <c r="E698" s="26" t="str">
        <f>CONCATENATE('Смета ЕР (общ) '!$A698,".",'Смета ЕР (общ) '!$B698,".",'Смета ЕР (общ) '!$D698)</f>
        <v>Р5.3.9</v>
      </c>
      <c r="F698" s="26">
        <f t="shared" si="63"/>
        <v>1</v>
      </c>
      <c r="G698" s="27" t="s">
        <v>758</v>
      </c>
      <c r="H698" s="28" t="s">
        <v>118</v>
      </c>
      <c r="I698" s="158"/>
      <c r="J698" s="30">
        <v>886.23</v>
      </c>
      <c r="K698" s="30">
        <v>1134.08</v>
      </c>
      <c r="L698" s="30">
        <f t="shared" si="66"/>
        <v>886.23</v>
      </c>
      <c r="M698" s="30">
        <f t="shared" si="66"/>
        <v>1134.08</v>
      </c>
      <c r="N698" s="30">
        <f>ROUND('Смета ЕР (общ) '!$I698*'Смета ЕР (общ) '!$L698,2)</f>
        <v>0</v>
      </c>
      <c r="O698" s="30">
        <f>ROUND('Смета ЕР (общ) '!$I698*'Смета ЕР (общ) '!$M698,2)</f>
        <v>0</v>
      </c>
      <c r="P698" s="45"/>
      <c r="T698">
        <v>6</v>
      </c>
    </row>
    <row r="699" spans="1:20" ht="14.4" hidden="1" x14ac:dyDescent="0.3">
      <c r="A699" s="26" t="s">
        <v>717</v>
      </c>
      <c r="B699" s="26">
        <v>3</v>
      </c>
      <c r="C699" s="26"/>
      <c r="D699" s="26">
        <v>10</v>
      </c>
      <c r="E699" s="26" t="str">
        <f>CONCATENATE('Смета ЕР (общ) '!$A699,".",'Смета ЕР (общ) '!$B699,".",'Смета ЕР (общ) '!$D699)</f>
        <v>Р5.3.10</v>
      </c>
      <c r="F699" s="26">
        <f t="shared" si="63"/>
        <v>1</v>
      </c>
      <c r="G699" s="41" t="s">
        <v>759</v>
      </c>
      <c r="H699" s="28" t="s">
        <v>118</v>
      </c>
      <c r="I699" s="158"/>
      <c r="J699" s="30">
        <v>886.23</v>
      </c>
      <c r="K699" s="30">
        <v>1685.36</v>
      </c>
      <c r="L699" s="30">
        <f t="shared" si="66"/>
        <v>886.23</v>
      </c>
      <c r="M699" s="30">
        <f t="shared" si="66"/>
        <v>1685.36</v>
      </c>
      <c r="N699" s="30">
        <f>ROUND('Смета ЕР (общ) '!$I699*'Смета ЕР (общ) '!$L699,2)</f>
        <v>0</v>
      </c>
      <c r="O699" s="30">
        <f>ROUND('Смета ЕР (общ) '!$I699*'Смета ЕР (общ) '!$M699,2)</f>
        <v>0</v>
      </c>
      <c r="P699" s="45"/>
      <c r="T699">
        <v>2</v>
      </c>
    </row>
    <row r="700" spans="1:20" ht="14.4" hidden="1" x14ac:dyDescent="0.3">
      <c r="A700" s="26" t="s">
        <v>717</v>
      </c>
      <c r="B700" s="26">
        <v>3</v>
      </c>
      <c r="C700" s="26"/>
      <c r="D700" s="26">
        <v>86</v>
      </c>
      <c r="E700" s="26" t="str">
        <f>CONCATENATE('Смета ЕР (общ) '!$A700,".",'Смета ЕР (общ) '!$B700,".",'Смета ЕР (общ) '!$D700)</f>
        <v>Р5.3.86</v>
      </c>
      <c r="F700" s="26">
        <f t="shared" si="63"/>
        <v>1</v>
      </c>
      <c r="G700" s="41" t="s">
        <v>760</v>
      </c>
      <c r="H700" s="28" t="s">
        <v>118</v>
      </c>
      <c r="I700" s="158"/>
      <c r="J700" s="30">
        <v>886.23</v>
      </c>
      <c r="K700" s="30">
        <v>1976.32</v>
      </c>
      <c r="L700" s="30">
        <f t="shared" si="66"/>
        <v>886.23</v>
      </c>
      <c r="M700" s="30">
        <f t="shared" si="66"/>
        <v>1976.32</v>
      </c>
      <c r="N700" s="30">
        <f>ROUND('Смета ЕР (общ) '!$I700*'Смета ЕР (общ) '!$L700,2)</f>
        <v>0</v>
      </c>
      <c r="O700" s="30">
        <f>ROUND('Смета ЕР (общ) '!$I700*'Смета ЕР (общ) '!$M700,2)</f>
        <v>0</v>
      </c>
      <c r="P700" s="45"/>
      <c r="Q700"/>
    </row>
    <row r="701" spans="1:20" ht="14.4" hidden="1" x14ac:dyDescent="0.3">
      <c r="A701" s="26" t="s">
        <v>717</v>
      </c>
      <c r="B701" s="26">
        <v>3</v>
      </c>
      <c r="C701" s="26"/>
      <c r="D701" s="26">
        <v>87</v>
      </c>
      <c r="E701" s="26" t="str">
        <f>CONCATENATE('Смета ЕР (общ) '!$A701,".",'Смета ЕР (общ) '!$B701,".",'Смета ЕР (общ) '!$D701)</f>
        <v>Р5.3.87</v>
      </c>
      <c r="F701" s="26">
        <f t="shared" si="63"/>
        <v>1</v>
      </c>
      <c r="G701" s="41" t="s">
        <v>761</v>
      </c>
      <c r="H701" s="28" t="s">
        <v>118</v>
      </c>
      <c r="I701" s="158"/>
      <c r="J701" s="30">
        <v>886.23</v>
      </c>
      <c r="K701" s="30">
        <v>2224.6799999999998</v>
      </c>
      <c r="L701" s="30">
        <f t="shared" ref="L701:M716" si="67">ROUND(J701-J701*$Q$3,2)</f>
        <v>886.23</v>
      </c>
      <c r="M701" s="30">
        <f t="shared" si="67"/>
        <v>2224.6799999999998</v>
      </c>
      <c r="N701" s="30">
        <f>ROUND('Смета ЕР (общ) '!$I701*'Смета ЕР (общ) '!$L701,2)</f>
        <v>0</v>
      </c>
      <c r="O701" s="30">
        <f>ROUND('Смета ЕР (общ) '!$I701*'Смета ЕР (общ) '!$M701,2)</f>
        <v>0</v>
      </c>
      <c r="P701" s="45"/>
      <c r="Q701"/>
    </row>
    <row r="702" spans="1:20" ht="14.4" hidden="1" x14ac:dyDescent="0.3">
      <c r="A702" s="26" t="s">
        <v>717</v>
      </c>
      <c r="B702" s="26">
        <v>3</v>
      </c>
      <c r="C702" s="26"/>
      <c r="D702" s="26">
        <v>11</v>
      </c>
      <c r="E702" s="26" t="str">
        <f>CONCATENATE('Смета ЕР (общ) '!$A702,".",'Смета ЕР (общ) '!$B702,".",'Смета ЕР (общ) '!$D702)</f>
        <v>Р5.3.11</v>
      </c>
      <c r="F702" s="26">
        <f t="shared" si="63"/>
        <v>1</v>
      </c>
      <c r="G702" s="41" t="s">
        <v>762</v>
      </c>
      <c r="H702" s="28" t="s">
        <v>118</v>
      </c>
      <c r="I702" s="158"/>
      <c r="J702" s="30">
        <v>886.23</v>
      </c>
      <c r="K702" s="30">
        <v>4366.92</v>
      </c>
      <c r="L702" s="30">
        <f t="shared" si="67"/>
        <v>886.23</v>
      </c>
      <c r="M702" s="30">
        <f t="shared" si="67"/>
        <v>4366.92</v>
      </c>
      <c r="N702" s="30">
        <f>ROUND('Смета ЕР (общ) '!$I702*'Смета ЕР (общ) '!$L702,2)</f>
        <v>0</v>
      </c>
      <c r="O702" s="30">
        <f>ROUND('Смета ЕР (общ) '!$I702*'Смета ЕР (общ) '!$M702,2)</f>
        <v>0</v>
      </c>
      <c r="P702" s="45"/>
    </row>
    <row r="703" spans="1:20" ht="14.4" hidden="1" x14ac:dyDescent="0.3">
      <c r="A703" s="26" t="s">
        <v>717</v>
      </c>
      <c r="B703" s="26">
        <v>3</v>
      </c>
      <c r="C703" s="26"/>
      <c r="D703" s="26">
        <v>12</v>
      </c>
      <c r="E703" s="26" t="str">
        <f>CONCATENATE('Смета ЕР (общ) '!$A703,".",'Смета ЕР (общ) '!$B703,".",'Смета ЕР (общ) '!$D703)</f>
        <v>Р5.3.12</v>
      </c>
      <c r="F703" s="26">
        <f t="shared" si="63"/>
        <v>1</v>
      </c>
      <c r="G703" s="41" t="s">
        <v>763</v>
      </c>
      <c r="H703" s="28" t="s">
        <v>118</v>
      </c>
      <c r="I703" s="158"/>
      <c r="J703" s="30">
        <v>886.23</v>
      </c>
      <c r="K703" s="30">
        <v>1523.6</v>
      </c>
      <c r="L703" s="30">
        <f t="shared" si="67"/>
        <v>886.23</v>
      </c>
      <c r="M703" s="30">
        <f t="shared" si="67"/>
        <v>1523.6</v>
      </c>
      <c r="N703" s="30">
        <f>ROUND('Смета ЕР (общ) '!$I703*'Смета ЕР (общ) '!$L703,2)</f>
        <v>0</v>
      </c>
      <c r="O703" s="30">
        <f>ROUND('Смета ЕР (общ) '!$I703*'Смета ЕР (общ) '!$M703,2)</f>
        <v>0</v>
      </c>
      <c r="P703" s="45"/>
    </row>
    <row r="704" spans="1:20" ht="24" hidden="1" x14ac:dyDescent="0.3">
      <c r="A704" s="26" t="s">
        <v>717</v>
      </c>
      <c r="B704" s="26">
        <v>3</v>
      </c>
      <c r="C704" s="26"/>
      <c r="D704" s="26">
        <v>13</v>
      </c>
      <c r="E704" s="26" t="str">
        <f>CONCATENATE('Смета ЕР (общ) '!$A704,".",'Смета ЕР (общ) '!$B704,".",'Смета ЕР (общ) '!$D704)</f>
        <v>Р5.3.13</v>
      </c>
      <c r="F704" s="26">
        <f t="shared" si="63"/>
        <v>1</v>
      </c>
      <c r="G704" s="27" t="s">
        <v>764</v>
      </c>
      <c r="H704" s="28" t="s">
        <v>147</v>
      </c>
      <c r="I704" s="158"/>
      <c r="J704" s="30">
        <v>610.74</v>
      </c>
      <c r="K704" s="30">
        <v>378.8</v>
      </c>
      <c r="L704" s="30">
        <f t="shared" si="67"/>
        <v>610.74</v>
      </c>
      <c r="M704" s="30">
        <f t="shared" si="67"/>
        <v>378.8</v>
      </c>
      <c r="N704" s="30">
        <f>ROUND('Смета ЕР (общ) '!$I704*'Смета ЕР (общ) '!$L704,2)</f>
        <v>0</v>
      </c>
      <c r="O704" s="30">
        <f>ROUND('Смета ЕР (общ) '!$I704*'Смета ЕР (общ) '!$M704,2)</f>
        <v>0</v>
      </c>
      <c r="P704" s="45"/>
      <c r="T704">
        <v>5</v>
      </c>
    </row>
    <row r="705" spans="1:20" ht="24" hidden="1" x14ac:dyDescent="0.3">
      <c r="A705" s="26" t="s">
        <v>717</v>
      </c>
      <c r="B705" s="26">
        <v>3</v>
      </c>
      <c r="C705" s="26"/>
      <c r="D705" s="26">
        <v>14</v>
      </c>
      <c r="E705" s="26" t="str">
        <f>CONCATENATE('Смета ЕР (общ) '!$A705,".",'Смета ЕР (общ) '!$B705,".",'Смета ЕР (общ) '!$D705)</f>
        <v>Р5.3.14</v>
      </c>
      <c r="F705" s="26">
        <f t="shared" si="63"/>
        <v>1</v>
      </c>
      <c r="G705" s="41" t="s">
        <v>765</v>
      </c>
      <c r="H705" s="28" t="s">
        <v>147</v>
      </c>
      <c r="I705" s="158"/>
      <c r="J705" s="30">
        <v>2149.84</v>
      </c>
      <c r="K705" s="30">
        <v>2363.17</v>
      </c>
      <c r="L705" s="30">
        <f t="shared" si="67"/>
        <v>2149.84</v>
      </c>
      <c r="M705" s="30">
        <f t="shared" si="67"/>
        <v>2363.17</v>
      </c>
      <c r="N705" s="30">
        <f>ROUND('Смета ЕР (общ) '!$I705*'Смета ЕР (общ) '!$L705,2)</f>
        <v>0</v>
      </c>
      <c r="O705" s="30">
        <f>ROUND('Смета ЕР (общ) '!$I705*'Смета ЕР (общ) '!$M705,2)</f>
        <v>0</v>
      </c>
      <c r="P705" s="45"/>
    </row>
    <row r="706" spans="1:20" ht="24" hidden="1" x14ac:dyDescent="0.3">
      <c r="A706" s="26" t="s">
        <v>717</v>
      </c>
      <c r="B706" s="26">
        <v>3</v>
      </c>
      <c r="C706" s="26"/>
      <c r="D706" s="26">
        <v>15</v>
      </c>
      <c r="E706" s="26" t="str">
        <f>CONCATENATE('Смета ЕР (общ) '!$A706,".",'Смета ЕР (общ) '!$B706,".",'Смета ЕР (общ) '!$D706)</f>
        <v>Р5.3.15</v>
      </c>
      <c r="F706" s="26">
        <f t="shared" si="63"/>
        <v>1</v>
      </c>
      <c r="G706" s="41" t="s">
        <v>766</v>
      </c>
      <c r="H706" s="28" t="s">
        <v>147</v>
      </c>
      <c r="I706" s="158"/>
      <c r="J706" s="30">
        <v>561.9</v>
      </c>
      <c r="K706" s="30">
        <v>383.13</v>
      </c>
      <c r="L706" s="30">
        <f t="shared" si="67"/>
        <v>561.9</v>
      </c>
      <c r="M706" s="30">
        <f t="shared" si="67"/>
        <v>383.13</v>
      </c>
      <c r="N706" s="30">
        <f>ROUND('Смета ЕР (общ) '!$I706*'Смета ЕР (общ) '!$L706,2)</f>
        <v>0</v>
      </c>
      <c r="O706" s="30">
        <f>ROUND('Смета ЕР (общ) '!$I706*'Смета ЕР (общ) '!$M706,2)</f>
        <v>0</v>
      </c>
      <c r="P706" s="45"/>
    </row>
    <row r="707" spans="1:20" ht="24" hidden="1" x14ac:dyDescent="0.3">
      <c r="A707" s="26" t="s">
        <v>717</v>
      </c>
      <c r="B707" s="26">
        <v>3</v>
      </c>
      <c r="C707" s="26"/>
      <c r="D707" s="26">
        <v>16</v>
      </c>
      <c r="E707" s="26" t="str">
        <f>CONCATENATE('Смета ЕР (общ) '!$A707,".",'Смета ЕР (общ) '!$B707,".",'Смета ЕР (общ) '!$D707)</f>
        <v>Р5.3.16</v>
      </c>
      <c r="F707" s="26">
        <f t="shared" si="63"/>
        <v>1</v>
      </c>
      <c r="G707" s="27" t="s">
        <v>767</v>
      </c>
      <c r="H707" s="28" t="s">
        <v>147</v>
      </c>
      <c r="I707" s="158"/>
      <c r="J707" s="30">
        <v>746.46</v>
      </c>
      <c r="K707" s="30">
        <v>991.13</v>
      </c>
      <c r="L707" s="30">
        <f t="shared" si="67"/>
        <v>746.46</v>
      </c>
      <c r="M707" s="30">
        <f t="shared" si="67"/>
        <v>991.13</v>
      </c>
      <c r="N707" s="30">
        <f>ROUND('Смета ЕР (общ) '!$I707*'Смета ЕР (общ) '!$L707,2)</f>
        <v>0</v>
      </c>
      <c r="O707" s="30">
        <f>ROUND('Смета ЕР (общ) '!$I707*'Смета ЕР (общ) '!$M707,2)</f>
        <v>0</v>
      </c>
      <c r="P707" s="45"/>
      <c r="T707">
        <v>5</v>
      </c>
    </row>
    <row r="708" spans="1:20" ht="24" hidden="1" x14ac:dyDescent="0.3">
      <c r="A708" s="26" t="s">
        <v>717</v>
      </c>
      <c r="B708" s="26">
        <v>3</v>
      </c>
      <c r="C708" s="26"/>
      <c r="D708" s="26">
        <v>17</v>
      </c>
      <c r="E708" s="26" t="str">
        <f>CONCATENATE('Смета ЕР (общ) '!$A708,".",'Смета ЕР (общ) '!$B708,".",'Смета ЕР (общ) '!$D708)</f>
        <v>Р5.3.17</v>
      </c>
      <c r="F708" s="26">
        <f t="shared" si="63"/>
        <v>1</v>
      </c>
      <c r="G708" s="41" t="s">
        <v>768</v>
      </c>
      <c r="H708" s="28" t="s">
        <v>147</v>
      </c>
      <c r="I708" s="158"/>
      <c r="J708" s="30">
        <v>551.22</v>
      </c>
      <c r="K708" s="30">
        <v>301.47000000000003</v>
      </c>
      <c r="L708" s="30">
        <f t="shared" si="67"/>
        <v>551.22</v>
      </c>
      <c r="M708" s="30">
        <f t="shared" si="67"/>
        <v>301.47000000000003</v>
      </c>
      <c r="N708" s="30">
        <f>ROUND('Смета ЕР (общ) '!$I708*'Смета ЕР (общ) '!$L708,2)</f>
        <v>0</v>
      </c>
      <c r="O708" s="30">
        <f>ROUND('Смета ЕР (общ) '!$I708*'Смета ЕР (общ) '!$M708,2)</f>
        <v>0</v>
      </c>
      <c r="P708" s="45"/>
    </row>
    <row r="709" spans="1:20" ht="14.4" hidden="1" x14ac:dyDescent="0.3">
      <c r="A709" s="26" t="s">
        <v>717</v>
      </c>
      <c r="B709" s="26">
        <v>3</v>
      </c>
      <c r="C709" s="26"/>
      <c r="D709" s="26">
        <v>18</v>
      </c>
      <c r="E709" s="26" t="str">
        <f>CONCATENATE('Смета ЕР (общ) '!$A709,".",'Смета ЕР (общ) '!$B709,".",'Смета ЕР (общ) '!$D709)</f>
        <v>Р5.3.18</v>
      </c>
      <c r="F709" s="26">
        <f t="shared" si="63"/>
        <v>1</v>
      </c>
      <c r="G709" s="41" t="s">
        <v>769</v>
      </c>
      <c r="H709" s="28" t="s">
        <v>118</v>
      </c>
      <c r="I709" s="158"/>
      <c r="J709" s="30">
        <v>539.75</v>
      </c>
      <c r="K709" s="30">
        <v>205.92</v>
      </c>
      <c r="L709" s="30">
        <f t="shared" si="67"/>
        <v>539.75</v>
      </c>
      <c r="M709" s="30">
        <f t="shared" si="67"/>
        <v>205.92</v>
      </c>
      <c r="N709" s="30">
        <f>ROUND('Смета ЕР (общ) '!$I709*'Смета ЕР (общ) '!$L709,2)</f>
        <v>0</v>
      </c>
      <c r="O709" s="30">
        <f>ROUND('Смета ЕР (общ) '!$I709*'Смета ЕР (общ) '!$M709,2)</f>
        <v>0</v>
      </c>
      <c r="P709" s="45"/>
      <c r="T709">
        <v>5</v>
      </c>
    </row>
    <row r="710" spans="1:20" ht="14.4" hidden="1" x14ac:dyDescent="0.3">
      <c r="A710" s="26" t="s">
        <v>717</v>
      </c>
      <c r="B710" s="26">
        <v>3</v>
      </c>
      <c r="C710" s="26"/>
      <c r="D710" s="26">
        <v>19</v>
      </c>
      <c r="E710" s="26" t="str">
        <f>CONCATENATE('Смета ЕР (общ) '!$A710,".",'Смета ЕР (общ) '!$B710,".",'Смета ЕР (общ) '!$D710)</f>
        <v>Р5.3.19</v>
      </c>
      <c r="F710" s="26">
        <f t="shared" si="63"/>
        <v>1</v>
      </c>
      <c r="G710" s="41" t="s">
        <v>770</v>
      </c>
      <c r="H710" s="28" t="s">
        <v>147</v>
      </c>
      <c r="I710" s="158"/>
      <c r="J710" s="30">
        <v>551.22</v>
      </c>
      <c r="K710" s="30">
        <v>136.04</v>
      </c>
      <c r="L710" s="30">
        <f t="shared" si="67"/>
        <v>551.22</v>
      </c>
      <c r="M710" s="30">
        <f t="shared" si="67"/>
        <v>136.04</v>
      </c>
      <c r="N710" s="30">
        <f>ROUND('Смета ЕР (общ) '!$I710*'Смета ЕР (общ) '!$L710,2)</f>
        <v>0</v>
      </c>
      <c r="O710" s="30">
        <f>ROUND('Смета ЕР (общ) '!$I710*'Смета ЕР (общ) '!$M710,2)</f>
        <v>0</v>
      </c>
      <c r="P710" s="45"/>
    </row>
    <row r="711" spans="1:20" ht="24" hidden="1" x14ac:dyDescent="0.3">
      <c r="A711" s="26" t="s">
        <v>717</v>
      </c>
      <c r="B711" s="26">
        <v>3</v>
      </c>
      <c r="C711" s="26"/>
      <c r="D711" s="26">
        <v>20</v>
      </c>
      <c r="E711" s="26" t="str">
        <f>CONCATENATE('Смета ЕР (общ) '!$A711,".",'Смета ЕР (общ) '!$B711,".",'Смета ЕР (общ) '!$D711)</f>
        <v>Р5.3.20</v>
      </c>
      <c r="F711" s="26">
        <f t="shared" si="63"/>
        <v>1</v>
      </c>
      <c r="G711" s="41" t="s">
        <v>771</v>
      </c>
      <c r="H711" s="28" t="s">
        <v>147</v>
      </c>
      <c r="I711" s="158"/>
      <c r="J711" s="30">
        <v>829.44</v>
      </c>
      <c r="K711" s="30">
        <v>333.65</v>
      </c>
      <c r="L711" s="30">
        <f t="shared" si="67"/>
        <v>829.44</v>
      </c>
      <c r="M711" s="30">
        <f t="shared" si="67"/>
        <v>333.65</v>
      </c>
      <c r="N711" s="30">
        <f>ROUND('Смета ЕР (общ) '!$I711*'Смета ЕР (общ) '!$L711,2)</f>
        <v>0</v>
      </c>
      <c r="O711" s="30">
        <f>ROUND('Смета ЕР (общ) '!$I711*'Смета ЕР (общ) '!$M711,2)</f>
        <v>0</v>
      </c>
      <c r="P711" s="45"/>
      <c r="T711">
        <v>10</v>
      </c>
    </row>
    <row r="712" spans="1:20" ht="14.4" hidden="1" x14ac:dyDescent="0.3">
      <c r="A712" s="26" t="s">
        <v>717</v>
      </c>
      <c r="B712" s="26">
        <v>3</v>
      </c>
      <c r="C712" s="26"/>
      <c r="D712" s="26">
        <v>32</v>
      </c>
      <c r="E712" s="26" t="str">
        <f>CONCATENATE('Смета ЕР (общ) '!$A712,".",'Смета ЕР (общ) '!$B712,".",'Смета ЕР (общ) '!$D712)</f>
        <v>Р5.3.32</v>
      </c>
      <c r="F712" s="26">
        <f t="shared" si="63"/>
        <v>1</v>
      </c>
      <c r="G712" s="41" t="s">
        <v>772</v>
      </c>
      <c r="H712" s="28" t="s">
        <v>147</v>
      </c>
      <c r="I712" s="158"/>
      <c r="J712" s="30">
        <v>278.23</v>
      </c>
      <c r="K712" s="30">
        <v>98.1</v>
      </c>
      <c r="L712" s="30">
        <f t="shared" si="67"/>
        <v>278.23</v>
      </c>
      <c r="M712" s="30">
        <f t="shared" si="67"/>
        <v>98.1</v>
      </c>
      <c r="N712" s="30">
        <f>ROUND('Смета ЕР (общ) '!$I712*'Смета ЕР (общ) '!$L712,2)</f>
        <v>0</v>
      </c>
      <c r="O712" s="30">
        <f>ROUND('Смета ЕР (общ) '!$I712*'Смета ЕР (общ) '!$M712,2)</f>
        <v>0</v>
      </c>
      <c r="P712" s="45"/>
      <c r="Q712"/>
    </row>
    <row r="713" spans="1:20" ht="14.4" hidden="1" x14ac:dyDescent="0.3">
      <c r="A713" s="26" t="s">
        <v>717</v>
      </c>
      <c r="B713" s="26">
        <v>3</v>
      </c>
      <c r="C713" s="26"/>
      <c r="D713" s="26">
        <v>33</v>
      </c>
      <c r="E713" s="26" t="str">
        <f>CONCATENATE('Смета ЕР (общ) '!$A713,".",'Смета ЕР (общ) '!$B713,".",'Смета ЕР (общ) '!$D713)</f>
        <v>Р5.3.33</v>
      </c>
      <c r="F713" s="26">
        <f t="shared" si="63"/>
        <v>1</v>
      </c>
      <c r="G713" s="41" t="s">
        <v>773</v>
      </c>
      <c r="H713" s="28" t="s">
        <v>147</v>
      </c>
      <c r="I713" s="158"/>
      <c r="J713" s="30">
        <v>278.23</v>
      </c>
      <c r="K713" s="30">
        <v>87.2</v>
      </c>
      <c r="L713" s="30">
        <f t="shared" si="67"/>
        <v>278.23</v>
      </c>
      <c r="M713" s="30">
        <f t="shared" si="67"/>
        <v>87.2</v>
      </c>
      <c r="N713" s="30">
        <f>ROUND('Смета ЕР (общ) '!$I713*'Смета ЕР (общ) '!$L713,2)</f>
        <v>0</v>
      </c>
      <c r="O713" s="30">
        <f>ROUND('Смета ЕР (общ) '!$I713*'Смета ЕР (общ) '!$M713,2)</f>
        <v>0</v>
      </c>
      <c r="P713" s="45"/>
      <c r="Q713"/>
    </row>
    <row r="714" spans="1:20" ht="14.4" hidden="1" x14ac:dyDescent="0.3">
      <c r="A714" s="26" t="s">
        <v>717</v>
      </c>
      <c r="B714" s="26">
        <v>3</v>
      </c>
      <c r="C714" s="26"/>
      <c r="D714" s="26">
        <v>51</v>
      </c>
      <c r="E714" s="26" t="str">
        <f>CONCATENATE('Смета ЕР (общ) '!$A714,".",'Смета ЕР (общ) '!$B714,".",'Смета ЕР (общ) '!$D714)</f>
        <v>Р5.3.51</v>
      </c>
      <c r="F714" s="26">
        <f t="shared" si="63"/>
        <v>1</v>
      </c>
      <c r="G714" s="41" t="s">
        <v>774</v>
      </c>
      <c r="H714" s="28" t="s">
        <v>147</v>
      </c>
      <c r="I714" s="158"/>
      <c r="J714" s="30">
        <v>278.23</v>
      </c>
      <c r="K714" s="30">
        <v>72</v>
      </c>
      <c r="L714" s="30">
        <f t="shared" si="67"/>
        <v>278.23</v>
      </c>
      <c r="M714" s="30">
        <f t="shared" si="67"/>
        <v>72</v>
      </c>
      <c r="N714" s="30">
        <f>ROUND('Смета ЕР (общ) '!$I714*'Смета ЕР (общ) '!$L714,2)</f>
        <v>0</v>
      </c>
      <c r="O714" s="30">
        <f>ROUND('Смета ЕР (общ) '!$I714*'Смета ЕР (общ) '!$M714,2)</f>
        <v>0</v>
      </c>
      <c r="P714" s="45"/>
      <c r="Q714"/>
    </row>
    <row r="715" spans="1:20" ht="14.4" hidden="1" x14ac:dyDescent="0.3">
      <c r="A715" s="26" t="s">
        <v>717</v>
      </c>
      <c r="B715" s="26">
        <v>3</v>
      </c>
      <c r="C715" s="26"/>
      <c r="D715" s="26">
        <v>21</v>
      </c>
      <c r="E715" s="26" t="str">
        <f>CONCATENATE('Смета ЕР (общ) '!$A715,".",'Смета ЕР (общ) '!$B715,".",'Смета ЕР (общ) '!$D715)</f>
        <v>Р5.3.21</v>
      </c>
      <c r="F715" s="26">
        <f t="shared" si="63"/>
        <v>1</v>
      </c>
      <c r="G715" s="41" t="s">
        <v>775</v>
      </c>
      <c r="H715" s="28" t="s">
        <v>147</v>
      </c>
      <c r="I715" s="158"/>
      <c r="J715" s="30">
        <v>278.23</v>
      </c>
      <c r="K715" s="30">
        <v>23.26</v>
      </c>
      <c r="L715" s="30">
        <f t="shared" si="67"/>
        <v>278.23</v>
      </c>
      <c r="M715" s="30">
        <f t="shared" si="67"/>
        <v>23.26</v>
      </c>
      <c r="N715" s="30">
        <f>ROUND('Смета ЕР (общ) '!$I715*'Смета ЕР (общ) '!$L715,2)</f>
        <v>0</v>
      </c>
      <c r="O715" s="30">
        <f>ROUND('Смета ЕР (общ) '!$I715*'Смета ЕР (общ) '!$M715,2)</f>
        <v>0</v>
      </c>
      <c r="P715" s="45"/>
    </row>
    <row r="716" spans="1:20" ht="14.4" hidden="1" x14ac:dyDescent="0.3">
      <c r="A716" s="26" t="s">
        <v>717</v>
      </c>
      <c r="B716" s="26">
        <v>3</v>
      </c>
      <c r="C716" s="26"/>
      <c r="D716" s="26">
        <v>22</v>
      </c>
      <c r="E716" s="26" t="str">
        <f>CONCATENATE('Смета ЕР (общ) '!$A716,".",'Смета ЕР (общ) '!$B716,".",'Смета ЕР (общ) '!$D716)</f>
        <v>Р5.3.22</v>
      </c>
      <c r="F716" s="26">
        <f t="shared" si="63"/>
        <v>1</v>
      </c>
      <c r="G716" s="41" t="s">
        <v>776</v>
      </c>
      <c r="H716" s="28" t="s">
        <v>118</v>
      </c>
      <c r="I716" s="158"/>
      <c r="J716" s="30">
        <v>531.71</v>
      </c>
      <c r="K716" s="30">
        <v>756.28</v>
      </c>
      <c r="L716" s="30">
        <f t="shared" si="67"/>
        <v>531.71</v>
      </c>
      <c r="M716" s="30">
        <f t="shared" si="67"/>
        <v>756.28</v>
      </c>
      <c r="N716" s="30">
        <f>ROUND('Смета ЕР (общ) '!$I716*'Смета ЕР (общ) '!$L716,2)</f>
        <v>0</v>
      </c>
      <c r="O716" s="30">
        <f>ROUND('Смета ЕР (общ) '!$I716*'Смета ЕР (общ) '!$M716,2)</f>
        <v>0</v>
      </c>
      <c r="P716" s="45"/>
    </row>
    <row r="717" spans="1:20" ht="14.4" hidden="1" x14ac:dyDescent="0.3">
      <c r="A717" s="26" t="s">
        <v>717</v>
      </c>
      <c r="B717" s="26">
        <v>3</v>
      </c>
      <c r="C717" s="26"/>
      <c r="D717" s="26">
        <v>23</v>
      </c>
      <c r="E717" s="26" t="str">
        <f>CONCATENATE('Смета ЕР (общ) '!$A717,".",'Смета ЕР (общ) '!$B717,".",'Смета ЕР (общ) '!$D717)</f>
        <v>Р5.3.23</v>
      </c>
      <c r="F717" s="26">
        <f t="shared" si="63"/>
        <v>1</v>
      </c>
      <c r="G717" s="27" t="s">
        <v>777</v>
      </c>
      <c r="H717" s="28" t="s">
        <v>118</v>
      </c>
      <c r="I717" s="158"/>
      <c r="J717" s="30">
        <v>844.73</v>
      </c>
      <c r="K717" s="30">
        <v>2051.66</v>
      </c>
      <c r="L717" s="30">
        <f t="shared" ref="L717:M751" si="68">ROUND(J717-J717*$Q$3,2)</f>
        <v>844.73</v>
      </c>
      <c r="M717" s="30">
        <f t="shared" si="68"/>
        <v>2051.66</v>
      </c>
      <c r="N717" s="30">
        <f>ROUND('Смета ЕР (общ) '!$I717*'Смета ЕР (общ) '!$L717,2)</f>
        <v>0</v>
      </c>
      <c r="O717" s="30">
        <f>ROUND('Смета ЕР (общ) '!$I717*'Смета ЕР (общ) '!$M717,2)</f>
        <v>0</v>
      </c>
      <c r="P717" s="45"/>
    </row>
    <row r="718" spans="1:20" ht="14.4" hidden="1" x14ac:dyDescent="0.3">
      <c r="A718" s="26" t="s">
        <v>717</v>
      </c>
      <c r="B718" s="26">
        <v>3</v>
      </c>
      <c r="C718" s="26"/>
      <c r="D718" s="26">
        <v>24</v>
      </c>
      <c r="E718" s="26" t="str">
        <f>CONCATENATE('Смета ЕР (общ) '!$A718,".",'Смета ЕР (общ) '!$B718,".",'Смета ЕР (общ) '!$D718)</f>
        <v>Р5.3.24</v>
      </c>
      <c r="F718" s="26">
        <f t="shared" si="63"/>
        <v>1</v>
      </c>
      <c r="G718" s="27" t="s">
        <v>778</v>
      </c>
      <c r="H718" s="28" t="s">
        <v>64</v>
      </c>
      <c r="I718" s="158"/>
      <c r="J718" s="30">
        <v>3681.58</v>
      </c>
      <c r="K718" s="30">
        <v>0</v>
      </c>
      <c r="L718" s="30">
        <f t="shared" si="68"/>
        <v>3681.58</v>
      </c>
      <c r="M718" s="30">
        <f t="shared" si="68"/>
        <v>0</v>
      </c>
      <c r="N718" s="30">
        <f>ROUND('Смета ЕР (общ) '!$I718*'Смета ЕР (общ) '!$L718,2)</f>
        <v>0</v>
      </c>
      <c r="O718" s="30">
        <f>ROUND('Смета ЕР (общ) '!$I718*'Смета ЕР (общ) '!$M718,2)</f>
        <v>0</v>
      </c>
      <c r="P718" s="45"/>
      <c r="T718">
        <v>1</v>
      </c>
    </row>
    <row r="719" spans="1:20" ht="14.4" hidden="1" x14ac:dyDescent="0.3">
      <c r="A719" s="26" t="s">
        <v>717</v>
      </c>
      <c r="B719" s="26">
        <v>3</v>
      </c>
      <c r="C719" s="26"/>
      <c r="D719" s="26">
        <v>25</v>
      </c>
      <c r="E719" s="26" t="str">
        <f>CONCATENATE('Смета ЕР (общ) '!$A719,".",'Смета ЕР (общ) '!$B719,".",'Смета ЕР (общ) '!$D719)</f>
        <v>Р5.3.25</v>
      </c>
      <c r="F719" s="26">
        <f t="shared" ref="F719:F782" si="69">IF(I719&gt;0,F718+1,F718)</f>
        <v>1</v>
      </c>
      <c r="G719" s="27" t="s">
        <v>779</v>
      </c>
      <c r="H719" s="28" t="s">
        <v>64</v>
      </c>
      <c r="I719" s="158"/>
      <c r="J719" s="30">
        <v>5225</v>
      </c>
      <c r="K719" s="30">
        <v>0</v>
      </c>
      <c r="L719" s="30">
        <f t="shared" si="68"/>
        <v>5225</v>
      </c>
      <c r="M719" s="30">
        <f t="shared" si="68"/>
        <v>0</v>
      </c>
      <c r="N719" s="30">
        <f>ROUND('Смета ЕР (общ) '!$I719*'Смета ЕР (общ) '!$L719,2)</f>
        <v>0</v>
      </c>
      <c r="O719" s="30">
        <f>ROUND('Смета ЕР (общ) '!$I719*'Смета ЕР (общ) '!$M719,2)</f>
        <v>0</v>
      </c>
      <c r="P719" s="45"/>
      <c r="T719">
        <v>1</v>
      </c>
    </row>
    <row r="720" spans="1:20" ht="24" hidden="1" x14ac:dyDescent="0.3">
      <c r="A720" s="26" t="s">
        <v>717</v>
      </c>
      <c r="B720" s="26">
        <v>3</v>
      </c>
      <c r="C720" s="26"/>
      <c r="D720" s="26">
        <v>26</v>
      </c>
      <c r="E720" s="26" t="str">
        <f>CONCATENATE('Смета ЕР (общ) '!$A720,".",'Смета ЕР (общ) '!$B720,".",'Смета ЕР (общ) '!$D720)</f>
        <v>Р5.3.26</v>
      </c>
      <c r="F720" s="26">
        <f t="shared" si="69"/>
        <v>1</v>
      </c>
      <c r="G720" s="41" t="s">
        <v>780</v>
      </c>
      <c r="H720" s="28" t="s">
        <v>118</v>
      </c>
      <c r="I720" s="158"/>
      <c r="J720" s="30">
        <v>7837.5</v>
      </c>
      <c r="K720" s="30">
        <v>0</v>
      </c>
      <c r="L720" s="30">
        <f t="shared" si="68"/>
        <v>7837.5</v>
      </c>
      <c r="M720" s="30">
        <f t="shared" si="68"/>
        <v>0</v>
      </c>
      <c r="N720" s="30">
        <f>ROUND('Смета ЕР (общ) '!$I720*'Смета ЕР (общ) '!$L720,2)</f>
        <v>0</v>
      </c>
      <c r="O720" s="30">
        <f>ROUND('Смета ЕР (общ) '!$I720*'Смета ЕР (общ) '!$M720,2)</f>
        <v>0</v>
      </c>
      <c r="P720" s="45"/>
    </row>
    <row r="721" spans="1:16" ht="14.4" hidden="1" x14ac:dyDescent="0.3">
      <c r="A721" s="26" t="s">
        <v>717</v>
      </c>
      <c r="B721" s="26">
        <v>3</v>
      </c>
      <c r="C721" s="26"/>
      <c r="D721" s="26">
        <v>27</v>
      </c>
      <c r="E721" s="26" t="str">
        <f>CONCATENATE('Смета ЕР (общ) '!$A721,".",'Смета ЕР (общ) '!$B721,".",'Смета ЕР (общ) '!$D721)</f>
        <v>Р5.3.27</v>
      </c>
      <c r="F721" s="26">
        <f t="shared" si="69"/>
        <v>1</v>
      </c>
      <c r="G721" s="41" t="s">
        <v>781</v>
      </c>
      <c r="H721" s="28" t="s">
        <v>118</v>
      </c>
      <c r="I721" s="158"/>
      <c r="J721" s="30">
        <v>5225</v>
      </c>
      <c r="K721" s="30">
        <v>0</v>
      </c>
      <c r="L721" s="30">
        <f t="shared" si="68"/>
        <v>5225</v>
      </c>
      <c r="M721" s="30">
        <f t="shared" si="68"/>
        <v>0</v>
      </c>
      <c r="N721" s="30">
        <f>ROUND('Смета ЕР (общ) '!$I721*'Смета ЕР (общ) '!$L721,2)</f>
        <v>0</v>
      </c>
      <c r="O721" s="30">
        <f>ROUND('Смета ЕР (общ) '!$I721*'Смета ЕР (общ) '!$M721,2)</f>
        <v>0</v>
      </c>
      <c r="P721" s="45"/>
    </row>
    <row r="722" spans="1:16" ht="14.4" hidden="1" x14ac:dyDescent="0.3">
      <c r="A722" s="26" t="s">
        <v>717</v>
      </c>
      <c r="B722" s="26">
        <v>3</v>
      </c>
      <c r="C722" s="26"/>
      <c r="D722" s="26">
        <v>28</v>
      </c>
      <c r="E722" s="26" t="str">
        <f>CONCATENATE('Смета ЕР (общ) '!$A722,".",'Смета ЕР (общ) '!$B722,".",'Смета ЕР (общ) '!$D722)</f>
        <v>Р5.3.28</v>
      </c>
      <c r="F722" s="26">
        <f t="shared" si="69"/>
        <v>1</v>
      </c>
      <c r="G722" s="27" t="s">
        <v>782</v>
      </c>
      <c r="H722" s="28" t="s">
        <v>118</v>
      </c>
      <c r="I722" s="158"/>
      <c r="J722" s="30">
        <v>3544.73</v>
      </c>
      <c r="K722" s="30">
        <v>9567.8700000000008</v>
      </c>
      <c r="L722" s="30">
        <f t="shared" si="68"/>
        <v>3544.73</v>
      </c>
      <c r="M722" s="30">
        <f t="shared" si="68"/>
        <v>9567.8700000000008</v>
      </c>
      <c r="N722" s="30">
        <f>ROUND('Смета ЕР (общ) '!$I722*'Смета ЕР (общ) '!$L722,2)</f>
        <v>0</v>
      </c>
      <c r="O722" s="30">
        <f>ROUND('Смета ЕР (общ) '!$I722*'Смета ЕР (общ) '!$M722,2)</f>
        <v>0</v>
      </c>
      <c r="P722" s="45"/>
    </row>
    <row r="723" spans="1:16" ht="14.4" hidden="1" x14ac:dyDescent="0.3">
      <c r="A723" s="26" t="s">
        <v>717</v>
      </c>
      <c r="B723" s="26">
        <v>3</v>
      </c>
      <c r="C723" s="26"/>
      <c r="D723" s="26">
        <v>29</v>
      </c>
      <c r="E723" s="26" t="str">
        <f>CONCATENATE('Смета ЕР (общ) '!$A723,".",'Смета ЕР (общ) '!$B723,".",'Смета ЕР (общ) '!$D723)</f>
        <v>Р5.3.29</v>
      </c>
      <c r="F723" s="26">
        <f t="shared" si="69"/>
        <v>1</v>
      </c>
      <c r="G723" s="27" t="s">
        <v>783</v>
      </c>
      <c r="H723" s="28" t="s">
        <v>118</v>
      </c>
      <c r="I723" s="158"/>
      <c r="J723" s="30">
        <v>3544.73</v>
      </c>
      <c r="K723" s="30">
        <v>16732.32</v>
      </c>
      <c r="L723" s="30">
        <f t="shared" si="68"/>
        <v>3544.73</v>
      </c>
      <c r="M723" s="30">
        <f t="shared" si="68"/>
        <v>16732.32</v>
      </c>
      <c r="N723" s="30">
        <f>ROUND('Смета ЕР (общ) '!$I723*'Смета ЕР (общ) '!$L723,2)</f>
        <v>0</v>
      </c>
      <c r="O723" s="30">
        <f>ROUND('Смета ЕР (общ) '!$I723*'Смета ЕР (общ) '!$M723,2)</f>
        <v>0</v>
      </c>
      <c r="P723" s="45"/>
    </row>
    <row r="724" spans="1:16" ht="14.4" hidden="1" x14ac:dyDescent="0.3">
      <c r="A724" s="26" t="s">
        <v>717</v>
      </c>
      <c r="B724" s="26">
        <v>3</v>
      </c>
      <c r="C724" s="26"/>
      <c r="D724" s="26">
        <v>30</v>
      </c>
      <c r="E724" s="26" t="str">
        <f>CONCATENATE('Смета ЕР (общ) '!$A724,".",'Смета ЕР (общ) '!$B724,".",'Смета ЕР (общ) '!$D724)</f>
        <v>Р5.3.30</v>
      </c>
      <c r="F724" s="26">
        <f t="shared" si="69"/>
        <v>1</v>
      </c>
      <c r="G724" s="27" t="s">
        <v>784</v>
      </c>
      <c r="H724" s="28" t="s">
        <v>118</v>
      </c>
      <c r="I724" s="158"/>
      <c r="J724" s="30">
        <v>3544.73</v>
      </c>
      <c r="K724" s="30">
        <v>7727.67</v>
      </c>
      <c r="L724" s="30">
        <f t="shared" si="68"/>
        <v>3544.73</v>
      </c>
      <c r="M724" s="30">
        <f t="shared" si="68"/>
        <v>7727.67</v>
      </c>
      <c r="N724" s="30">
        <f>ROUND('Смета ЕР (общ) '!$I724*'Смета ЕР (общ) '!$L724,2)</f>
        <v>0</v>
      </c>
      <c r="O724" s="30">
        <f>ROUND('Смета ЕР (общ) '!$I724*'Смета ЕР (общ) '!$M724,2)</f>
        <v>0</v>
      </c>
      <c r="P724" s="45"/>
    </row>
    <row r="725" spans="1:16" ht="14.4" hidden="1" x14ac:dyDescent="0.3">
      <c r="A725" s="51" t="s">
        <v>717</v>
      </c>
      <c r="B725" s="51">
        <v>3</v>
      </c>
      <c r="C725" s="51"/>
      <c r="D725" s="51">
        <v>31</v>
      </c>
      <c r="E725" s="51" t="str">
        <f>CONCATENATE('Смета ЕР (общ) '!$A725,".",'Смета ЕР (общ) '!$B725,".",'Смета ЕР (общ) '!$D725)</f>
        <v>Р5.3.31</v>
      </c>
      <c r="F725" s="51">
        <f t="shared" si="69"/>
        <v>1</v>
      </c>
      <c r="G725" s="52" t="s">
        <v>785</v>
      </c>
      <c r="H725" s="28" t="s">
        <v>118</v>
      </c>
      <c r="I725" s="158"/>
      <c r="J725" s="30">
        <v>678.6</v>
      </c>
      <c r="K725" s="30">
        <v>2599.4699999999998</v>
      </c>
      <c r="L725" s="30">
        <f t="shared" si="68"/>
        <v>678.6</v>
      </c>
      <c r="M725" s="30">
        <f t="shared" si="68"/>
        <v>2599.4699999999998</v>
      </c>
      <c r="N725" s="30">
        <f>ROUND('Смета ЕР (общ) '!$I725*'Смета ЕР (общ) '!$L725,2)</f>
        <v>0</v>
      </c>
      <c r="O725" s="30">
        <f>ROUND('Смета ЕР (общ) '!$I725*'Смета ЕР (общ) '!$M725,2)</f>
        <v>0</v>
      </c>
      <c r="P725" s="45"/>
    </row>
    <row r="726" spans="1:16" ht="14.4" hidden="1" x14ac:dyDescent="0.3">
      <c r="A726" s="26" t="s">
        <v>717</v>
      </c>
      <c r="B726" s="26">
        <v>3</v>
      </c>
      <c r="C726" s="26"/>
      <c r="D726" s="26">
        <v>34</v>
      </c>
      <c r="E726" s="26" t="str">
        <f>CONCATENATE('Смета ЕР (общ) '!$A726,".",'Смета ЕР (общ) '!$B726,".",'Смета ЕР (общ) '!$D726)</f>
        <v>Р5.3.34</v>
      </c>
      <c r="F726" s="26">
        <f t="shared" si="69"/>
        <v>1</v>
      </c>
      <c r="G726" s="41" t="s">
        <v>786</v>
      </c>
      <c r="H726" s="28" t="s">
        <v>64</v>
      </c>
      <c r="I726" s="158"/>
      <c r="J726" s="30">
        <v>6457.67</v>
      </c>
      <c r="K726" s="30">
        <v>1430.37</v>
      </c>
      <c r="L726" s="30">
        <f t="shared" si="68"/>
        <v>6457.67</v>
      </c>
      <c r="M726" s="30">
        <f t="shared" si="68"/>
        <v>1430.37</v>
      </c>
      <c r="N726" s="30">
        <f>ROUND('Смета ЕР (общ) '!$I726*'Смета ЕР (общ) '!$L726,2)</f>
        <v>0</v>
      </c>
      <c r="O726" s="30">
        <f>ROUND('Смета ЕР (общ) '!$I726*'Смета ЕР (общ) '!$M726,2)</f>
        <v>0</v>
      </c>
      <c r="P726" s="45"/>
    </row>
    <row r="727" spans="1:16" ht="24" hidden="1" x14ac:dyDescent="0.3">
      <c r="A727" s="26" t="s">
        <v>717</v>
      </c>
      <c r="B727" s="26">
        <v>3</v>
      </c>
      <c r="C727" s="26"/>
      <c r="D727" s="26">
        <v>35</v>
      </c>
      <c r="E727" s="26" t="str">
        <f>CONCATENATE('Смета ЕР (общ) '!$A727,".",'Смета ЕР (общ) '!$B727,".",'Смета ЕР (общ) '!$D727)</f>
        <v>Р5.3.35</v>
      </c>
      <c r="F727" s="26">
        <f t="shared" si="69"/>
        <v>1</v>
      </c>
      <c r="G727" s="41" t="s">
        <v>787</v>
      </c>
      <c r="H727" s="28" t="s">
        <v>118</v>
      </c>
      <c r="I727" s="158"/>
      <c r="J727" s="30">
        <v>16720</v>
      </c>
      <c r="K727" s="30">
        <v>39197.040000000001</v>
      </c>
      <c r="L727" s="30">
        <f t="shared" si="68"/>
        <v>16720</v>
      </c>
      <c r="M727" s="30">
        <f t="shared" si="68"/>
        <v>39197.040000000001</v>
      </c>
      <c r="N727" s="30">
        <f>ROUND('Смета ЕР (общ) '!$I727*'Смета ЕР (общ) '!$L727,2)</f>
        <v>0</v>
      </c>
      <c r="O727" s="30">
        <f>ROUND('Смета ЕР (общ) '!$I727*'Смета ЕР (общ) '!$M727,2)</f>
        <v>0</v>
      </c>
      <c r="P727" s="45"/>
    </row>
    <row r="728" spans="1:16" ht="14.4" hidden="1" x14ac:dyDescent="0.3">
      <c r="A728" s="26" t="s">
        <v>717</v>
      </c>
      <c r="B728" s="26">
        <v>3</v>
      </c>
      <c r="C728" s="26"/>
      <c r="D728" s="26">
        <v>36</v>
      </c>
      <c r="E728" s="26" t="str">
        <f>CONCATENATE('Смета ЕР (общ) '!$A728,".",'Смета ЕР (общ) '!$B728,".",'Смета ЕР (общ) '!$D728)</f>
        <v>Р5.3.36</v>
      </c>
      <c r="F728" s="26">
        <f t="shared" si="69"/>
        <v>1</v>
      </c>
      <c r="G728" s="41" t="s">
        <v>788</v>
      </c>
      <c r="H728" s="28" t="s">
        <v>118</v>
      </c>
      <c r="I728" s="158"/>
      <c r="J728" s="30">
        <v>4950</v>
      </c>
      <c r="K728" s="30">
        <v>53089.35</v>
      </c>
      <c r="L728" s="30">
        <f t="shared" si="68"/>
        <v>4950</v>
      </c>
      <c r="M728" s="30">
        <f t="shared" si="68"/>
        <v>53089.35</v>
      </c>
      <c r="N728" s="30">
        <f>ROUND('Смета ЕР (общ) '!$I728*'Смета ЕР (общ) '!$L728,2)</f>
        <v>0</v>
      </c>
      <c r="O728" s="30">
        <f>ROUND('Смета ЕР (общ) '!$I728*'Смета ЕР (общ) '!$M728,2)</f>
        <v>0</v>
      </c>
      <c r="P728" s="45"/>
    </row>
    <row r="729" spans="1:16" ht="24" hidden="1" x14ac:dyDescent="0.3">
      <c r="A729" s="82" t="s">
        <v>717</v>
      </c>
      <c r="B729" s="82">
        <v>3</v>
      </c>
      <c r="C729" s="82"/>
      <c r="D729" s="82">
        <v>37</v>
      </c>
      <c r="E729" s="82" t="str">
        <f>CONCATENATE('Смета ЕР (общ) '!$A729,".",'Смета ЕР (общ) '!$B729,".",'Смета ЕР (общ) '!$D729)</f>
        <v>Р5.3.37</v>
      </c>
      <c r="F729" s="82">
        <f t="shared" si="69"/>
        <v>1</v>
      </c>
      <c r="G729" s="83" t="s">
        <v>789</v>
      </c>
      <c r="H729" s="28" t="s">
        <v>118</v>
      </c>
      <c r="I729" s="158"/>
      <c r="J729" s="30">
        <v>4284.5</v>
      </c>
      <c r="K729" s="30">
        <v>63362.37</v>
      </c>
      <c r="L729" s="30">
        <f t="shared" si="68"/>
        <v>4284.5</v>
      </c>
      <c r="M729" s="30">
        <f t="shared" si="68"/>
        <v>63362.37</v>
      </c>
      <c r="N729" s="30">
        <f>ROUND('Смета ЕР (общ) '!$I729*'Смета ЕР (общ) '!$L729,2)</f>
        <v>0</v>
      </c>
      <c r="O729" s="30">
        <f>ROUND('Смета ЕР (общ) '!$I729*'Смета ЕР (общ) '!$M729,2)</f>
        <v>0</v>
      </c>
      <c r="P729" s="45"/>
    </row>
    <row r="730" spans="1:16" ht="24" hidden="1" x14ac:dyDescent="0.3">
      <c r="A730" s="82" t="s">
        <v>717</v>
      </c>
      <c r="B730" s="82">
        <v>3</v>
      </c>
      <c r="C730" s="82"/>
      <c r="D730" s="82">
        <v>60</v>
      </c>
      <c r="E730" s="82" t="str">
        <f>CONCATENATE('Смета ЕР (общ) '!$A730,".",'Смета ЕР (общ) '!$B730,".",'Смета ЕР (общ) '!$D730)</f>
        <v>Р5.3.60</v>
      </c>
      <c r="F730" s="82">
        <f t="shared" si="69"/>
        <v>1</v>
      </c>
      <c r="G730" s="83" t="s">
        <v>790</v>
      </c>
      <c r="H730" s="28" t="s">
        <v>118</v>
      </c>
      <c r="I730" s="158"/>
      <c r="J730" s="30">
        <v>4284.5</v>
      </c>
      <c r="K730" s="30">
        <v>93495.25</v>
      </c>
      <c r="L730" s="30">
        <f t="shared" si="68"/>
        <v>4284.5</v>
      </c>
      <c r="M730" s="30">
        <f t="shared" si="68"/>
        <v>93495.25</v>
      </c>
      <c r="N730" s="30">
        <f>ROUND('Смета ЕР (общ) '!$I730*'Смета ЕР (общ) '!$L730,2)</f>
        <v>0</v>
      </c>
      <c r="O730" s="30">
        <f>ROUND('Смета ЕР (общ) '!$I730*'Смета ЕР (общ) '!$M730,2)</f>
        <v>0</v>
      </c>
      <c r="P730" s="45"/>
    </row>
    <row r="731" spans="1:16" ht="24" hidden="1" x14ac:dyDescent="0.3">
      <c r="A731" s="82" t="s">
        <v>717</v>
      </c>
      <c r="B731" s="82">
        <v>3</v>
      </c>
      <c r="C731" s="82"/>
      <c r="D731" s="82">
        <v>38</v>
      </c>
      <c r="E731" s="82" t="str">
        <f>CONCATENATE('Смета ЕР (общ) '!$A731,".",'Смета ЕР (общ) '!$B731,".",'Смета ЕР (общ) '!$D731)</f>
        <v>Р5.3.38</v>
      </c>
      <c r="F731" s="82">
        <f t="shared" si="69"/>
        <v>1</v>
      </c>
      <c r="G731" s="83" t="s">
        <v>791</v>
      </c>
      <c r="H731" s="28" t="s">
        <v>118</v>
      </c>
      <c r="I731" s="158"/>
      <c r="J731" s="30">
        <v>6688</v>
      </c>
      <c r="K731" s="30">
        <v>14204.71</v>
      </c>
      <c r="L731" s="30">
        <f t="shared" si="68"/>
        <v>6688</v>
      </c>
      <c r="M731" s="30">
        <f t="shared" si="68"/>
        <v>14204.71</v>
      </c>
      <c r="N731" s="30">
        <f>ROUND('Смета ЕР (общ) '!$I731*'Смета ЕР (общ) '!$L731,2)</f>
        <v>0</v>
      </c>
      <c r="O731" s="30">
        <f>ROUND('Смета ЕР (общ) '!$I731*'Смета ЕР (общ) '!$M731,2)</f>
        <v>0</v>
      </c>
      <c r="P731" s="45"/>
    </row>
    <row r="732" spans="1:16" ht="24" hidden="1" x14ac:dyDescent="0.3">
      <c r="A732" s="82" t="s">
        <v>717</v>
      </c>
      <c r="B732" s="82">
        <v>3</v>
      </c>
      <c r="C732" s="82"/>
      <c r="D732" s="82">
        <v>61</v>
      </c>
      <c r="E732" s="82" t="str">
        <f>CONCATENATE('Смета ЕР (общ) '!$A732,".",'Смета ЕР (общ) '!$B732,".",'Смета ЕР (общ) '!$D732)</f>
        <v>Р5.3.61</v>
      </c>
      <c r="F732" s="82">
        <f t="shared" si="69"/>
        <v>1</v>
      </c>
      <c r="G732" s="83" t="s">
        <v>792</v>
      </c>
      <c r="H732" s="28" t="s">
        <v>118</v>
      </c>
      <c r="I732" s="158"/>
      <c r="J732" s="30">
        <v>6688</v>
      </c>
      <c r="K732" s="30">
        <v>8405.31</v>
      </c>
      <c r="L732" s="30">
        <f t="shared" si="68"/>
        <v>6688</v>
      </c>
      <c r="M732" s="30">
        <f t="shared" si="68"/>
        <v>8405.31</v>
      </c>
      <c r="N732" s="30">
        <f>ROUND('Смета ЕР (общ) '!$I732*'Смета ЕР (общ) '!$L732,2)</f>
        <v>0</v>
      </c>
      <c r="O732" s="30">
        <f>ROUND('Смета ЕР (общ) '!$I732*'Смета ЕР (общ) '!$M732,2)</f>
        <v>0</v>
      </c>
      <c r="P732" s="45"/>
    </row>
    <row r="733" spans="1:16" ht="24" hidden="1" x14ac:dyDescent="0.3">
      <c r="A733" s="82" t="s">
        <v>717</v>
      </c>
      <c r="B733" s="82">
        <v>3</v>
      </c>
      <c r="C733" s="82"/>
      <c r="D733" s="82">
        <v>39</v>
      </c>
      <c r="E733" s="82" t="str">
        <f>CONCATENATE('Смета ЕР (общ) '!$A733,".",'Смета ЕР (общ) '!$B733,".",'Смета ЕР (общ) '!$D733)</f>
        <v>Р5.3.39</v>
      </c>
      <c r="F733" s="82">
        <f t="shared" si="69"/>
        <v>1</v>
      </c>
      <c r="G733" s="83" t="s">
        <v>793</v>
      </c>
      <c r="H733" s="28" t="s">
        <v>118</v>
      </c>
      <c r="I733" s="158"/>
      <c r="J733" s="30">
        <v>1809.6</v>
      </c>
      <c r="K733" s="30">
        <v>5290.45</v>
      </c>
      <c r="L733" s="30">
        <f t="shared" si="68"/>
        <v>1809.6</v>
      </c>
      <c r="M733" s="30">
        <f t="shared" si="68"/>
        <v>5290.45</v>
      </c>
      <c r="N733" s="30">
        <f>ROUND('Смета ЕР (общ) '!$I733*'Смета ЕР (общ) '!$L733,2)</f>
        <v>0</v>
      </c>
      <c r="O733" s="30">
        <f>ROUND('Смета ЕР (общ) '!$I733*'Смета ЕР (общ) '!$M733,2)</f>
        <v>0</v>
      </c>
      <c r="P733" s="45"/>
    </row>
    <row r="734" spans="1:16" ht="24" hidden="1" x14ac:dyDescent="0.3">
      <c r="A734" s="82" t="s">
        <v>717</v>
      </c>
      <c r="B734" s="82">
        <v>3</v>
      </c>
      <c r="C734" s="82"/>
      <c r="D734" s="82">
        <v>40</v>
      </c>
      <c r="E734" s="82" t="str">
        <f>CONCATENATE('Смета ЕР (общ) '!$A734,".",'Смета ЕР (общ) '!$B734,".",'Смета ЕР (общ) '!$D734)</f>
        <v>Р5.3.40</v>
      </c>
      <c r="F734" s="82">
        <f t="shared" si="69"/>
        <v>1</v>
      </c>
      <c r="G734" s="83" t="s">
        <v>794</v>
      </c>
      <c r="H734" s="28" t="s">
        <v>118</v>
      </c>
      <c r="I734" s="158"/>
      <c r="J734" s="30">
        <v>2239.38</v>
      </c>
      <c r="K734" s="30">
        <v>14845.32</v>
      </c>
      <c r="L734" s="30">
        <f t="shared" si="68"/>
        <v>2239.38</v>
      </c>
      <c r="M734" s="30">
        <f t="shared" si="68"/>
        <v>14845.32</v>
      </c>
      <c r="N734" s="30">
        <f>ROUND('Смета ЕР (общ) '!$I734*'Смета ЕР (общ) '!$L734,2)</f>
        <v>0</v>
      </c>
      <c r="O734" s="30">
        <f>ROUND('Смета ЕР (общ) '!$I734*'Смета ЕР (общ) '!$M734,2)</f>
        <v>0</v>
      </c>
      <c r="P734" s="45"/>
    </row>
    <row r="735" spans="1:16" ht="24" hidden="1" x14ac:dyDescent="0.3">
      <c r="A735" s="82" t="s">
        <v>717</v>
      </c>
      <c r="B735" s="82">
        <v>3</v>
      </c>
      <c r="C735" s="82"/>
      <c r="D735" s="82">
        <v>41</v>
      </c>
      <c r="E735" s="82" t="str">
        <f>CONCATENATE('Смета ЕР (общ) '!$A735,".",'Смета ЕР (общ) '!$B735,".",'Смета ЕР (общ) '!$D735)</f>
        <v>Р5.3.41</v>
      </c>
      <c r="F735" s="82">
        <f t="shared" si="69"/>
        <v>1</v>
      </c>
      <c r="G735" s="83" t="s">
        <v>795</v>
      </c>
      <c r="H735" s="28" t="s">
        <v>118</v>
      </c>
      <c r="I735" s="158"/>
      <c r="J735" s="30">
        <v>2714.4</v>
      </c>
      <c r="K735" s="30">
        <v>8102.06</v>
      </c>
      <c r="L735" s="30">
        <f t="shared" si="68"/>
        <v>2714.4</v>
      </c>
      <c r="M735" s="30">
        <f t="shared" si="68"/>
        <v>8102.06</v>
      </c>
      <c r="N735" s="30">
        <f>ROUND('Смета ЕР (общ) '!$I735*'Смета ЕР (общ) '!$L735,2)</f>
        <v>0</v>
      </c>
      <c r="O735" s="30">
        <f>ROUND('Смета ЕР (общ) '!$I735*'Смета ЕР (общ) '!$M735,2)</f>
        <v>0</v>
      </c>
      <c r="P735" s="45"/>
    </row>
    <row r="736" spans="1:16" ht="24" hidden="1" x14ac:dyDescent="0.3">
      <c r="A736" s="26" t="s">
        <v>717</v>
      </c>
      <c r="B736" s="26">
        <v>3</v>
      </c>
      <c r="C736" s="26"/>
      <c r="D736" s="26">
        <v>42</v>
      </c>
      <c r="E736" s="26" t="str">
        <f>CONCATENATE('Смета ЕР (общ) '!$A736,".",'Смета ЕР (общ) '!$B736,".",'Смета ЕР (общ) '!$D736)</f>
        <v>Р5.3.42</v>
      </c>
      <c r="F736" s="26">
        <f t="shared" si="69"/>
        <v>1</v>
      </c>
      <c r="G736" s="41" t="s">
        <v>796</v>
      </c>
      <c r="H736" s="28" t="s">
        <v>118</v>
      </c>
      <c r="I736" s="158"/>
      <c r="J736" s="30">
        <v>4284.5</v>
      </c>
      <c r="K736" s="30">
        <v>50779.69</v>
      </c>
      <c r="L736" s="30">
        <f t="shared" si="68"/>
        <v>4284.5</v>
      </c>
      <c r="M736" s="30">
        <f t="shared" si="68"/>
        <v>50779.69</v>
      </c>
      <c r="N736" s="30">
        <f>ROUND('Смета ЕР (общ) '!$I736*'Смета ЕР (общ) '!$L736,2)</f>
        <v>0</v>
      </c>
      <c r="O736" s="30">
        <f>ROUND('Смета ЕР (общ) '!$I736*'Смета ЕР (общ) '!$M736,2)</f>
        <v>0</v>
      </c>
      <c r="P736" s="45"/>
    </row>
    <row r="737" spans="1:20" ht="14.4" hidden="1" x14ac:dyDescent="0.3">
      <c r="A737" s="26" t="s">
        <v>717</v>
      </c>
      <c r="B737" s="26">
        <v>3</v>
      </c>
      <c r="C737" s="26"/>
      <c r="D737" s="26">
        <v>43</v>
      </c>
      <c r="E737" s="26" t="str">
        <f>CONCATENATE('Смета ЕР (общ) '!$A737,".",'Смета ЕР (общ) '!$B737,".",'Смета ЕР (общ) '!$D737)</f>
        <v>Р5.3.43</v>
      </c>
      <c r="F737" s="26">
        <f t="shared" si="69"/>
        <v>1</v>
      </c>
      <c r="G737" s="41" t="s">
        <v>797</v>
      </c>
      <c r="H737" s="28" t="s">
        <v>118</v>
      </c>
      <c r="I737" s="158"/>
      <c r="J737" s="30">
        <v>6688</v>
      </c>
      <c r="K737" s="30">
        <v>3787.65</v>
      </c>
      <c r="L737" s="30">
        <f t="shared" si="68"/>
        <v>6688</v>
      </c>
      <c r="M737" s="30">
        <f t="shared" si="68"/>
        <v>3787.65</v>
      </c>
      <c r="N737" s="30">
        <f>ROUND('Смета ЕР (общ) '!$I737*'Смета ЕР (общ) '!$L737,2)</f>
        <v>0</v>
      </c>
      <c r="O737" s="30">
        <f>ROUND('Смета ЕР (общ) '!$I737*'Смета ЕР (общ) '!$M737,2)</f>
        <v>0</v>
      </c>
      <c r="P737" s="45"/>
    </row>
    <row r="738" spans="1:20" ht="24" hidden="1" x14ac:dyDescent="0.3">
      <c r="A738" s="26" t="s">
        <v>717</v>
      </c>
      <c r="B738" s="26">
        <v>3</v>
      </c>
      <c r="C738" s="26"/>
      <c r="D738" s="26">
        <v>44</v>
      </c>
      <c r="E738" s="26" t="str">
        <f>CONCATENATE('Смета ЕР (общ) '!$A738,".",'Смета ЕР (общ) '!$B738,".",'Смета ЕР (общ) '!$D738)</f>
        <v>Р5.3.44</v>
      </c>
      <c r="F738" s="26">
        <f t="shared" si="69"/>
        <v>1</v>
      </c>
      <c r="G738" s="41" t="s">
        <v>798</v>
      </c>
      <c r="H738" s="28" t="s">
        <v>118</v>
      </c>
      <c r="I738" s="158"/>
      <c r="J738" s="30">
        <v>1492.92</v>
      </c>
      <c r="K738" s="30">
        <v>1416</v>
      </c>
      <c r="L738" s="30">
        <f t="shared" si="68"/>
        <v>1492.92</v>
      </c>
      <c r="M738" s="30">
        <f t="shared" si="68"/>
        <v>1416</v>
      </c>
      <c r="N738" s="30">
        <f>ROUND('Смета ЕР (общ) '!$I738*'Смета ЕР (общ) '!$L738,2)</f>
        <v>0</v>
      </c>
      <c r="O738" s="30">
        <f>ROUND('Смета ЕР (общ) '!$I738*'Смета ЕР (общ) '!$M738,2)</f>
        <v>0</v>
      </c>
      <c r="P738" s="45"/>
    </row>
    <row r="739" spans="1:20" ht="14.4" hidden="1" x14ac:dyDescent="0.3">
      <c r="A739" s="26" t="s">
        <v>717</v>
      </c>
      <c r="B739" s="26">
        <v>3</v>
      </c>
      <c r="C739" s="26"/>
      <c r="D739" s="26">
        <v>45</v>
      </c>
      <c r="E739" s="26" t="str">
        <f>CONCATENATE('Смета ЕР (общ) '!$A739,".",'Смета ЕР (общ) '!$B739,".",'Смета ЕР (общ) '!$D739)</f>
        <v>Р5.3.45</v>
      </c>
      <c r="F739" s="26">
        <f t="shared" si="69"/>
        <v>1</v>
      </c>
      <c r="G739" s="41" t="s">
        <v>799</v>
      </c>
      <c r="H739" s="28" t="s">
        <v>118</v>
      </c>
      <c r="I739" s="158"/>
      <c r="J739" s="30">
        <v>1073.8499999999999</v>
      </c>
      <c r="K739" s="30">
        <v>745.94</v>
      </c>
      <c r="L739" s="30">
        <f t="shared" si="68"/>
        <v>1073.8499999999999</v>
      </c>
      <c r="M739" s="30">
        <f t="shared" si="68"/>
        <v>745.94</v>
      </c>
      <c r="N739" s="30">
        <f>ROUND('Смета ЕР (общ) '!$I739*'Смета ЕР (общ) '!$L739,2)</f>
        <v>0</v>
      </c>
      <c r="O739" s="30">
        <f>ROUND('Смета ЕР (общ) '!$I739*'Смета ЕР (общ) '!$M739,2)</f>
        <v>0</v>
      </c>
      <c r="P739" s="45"/>
    </row>
    <row r="740" spans="1:20" ht="14.4" hidden="1" x14ac:dyDescent="0.3">
      <c r="A740" s="26" t="s">
        <v>717</v>
      </c>
      <c r="B740" s="26">
        <v>3</v>
      </c>
      <c r="C740" s="26"/>
      <c r="D740" s="26">
        <v>46</v>
      </c>
      <c r="E740" s="26" t="str">
        <f>CONCATENATE('Смета ЕР (общ) '!$A740,".",'Смета ЕР (общ) '!$B740,".",'Смета ЕР (общ) '!$D740)</f>
        <v>Р5.3.46</v>
      </c>
      <c r="F740" s="26">
        <f t="shared" si="69"/>
        <v>1</v>
      </c>
      <c r="G740" s="41" t="s">
        <v>800</v>
      </c>
      <c r="H740" s="28" t="s">
        <v>118</v>
      </c>
      <c r="I740" s="158"/>
      <c r="J740" s="30">
        <v>2612.5</v>
      </c>
      <c r="K740" s="30">
        <v>16205.44</v>
      </c>
      <c r="L740" s="30">
        <f t="shared" si="68"/>
        <v>2612.5</v>
      </c>
      <c r="M740" s="30">
        <f t="shared" si="68"/>
        <v>16205.44</v>
      </c>
      <c r="N740" s="30">
        <f>ROUND('Смета ЕР (общ) '!$I740*'Смета ЕР (общ) '!$L740,2)</f>
        <v>0</v>
      </c>
      <c r="O740" s="30">
        <f>ROUND('Смета ЕР (общ) '!$I740*'Смета ЕР (общ) '!$M740,2)</f>
        <v>0</v>
      </c>
      <c r="P740" s="45"/>
    </row>
    <row r="741" spans="1:20" ht="14.4" hidden="1" x14ac:dyDescent="0.3">
      <c r="A741" s="26" t="s">
        <v>717</v>
      </c>
      <c r="B741" s="26">
        <v>3</v>
      </c>
      <c r="C741" s="26"/>
      <c r="D741" s="26">
        <v>47</v>
      </c>
      <c r="E741" s="26" t="str">
        <f>CONCATENATE('Смета ЕР (общ) '!$A741,".",'Смета ЕР (общ) '!$B741,".",'Смета ЕР (общ) '!$D741)</f>
        <v>Р5.3.47</v>
      </c>
      <c r="F741" s="26">
        <f t="shared" si="69"/>
        <v>1</v>
      </c>
      <c r="G741" s="41" t="s">
        <v>801</v>
      </c>
      <c r="H741" s="28" t="s">
        <v>118</v>
      </c>
      <c r="I741" s="158"/>
      <c r="J741" s="30">
        <v>1945.32</v>
      </c>
      <c r="K741" s="30">
        <v>8423.2999999999993</v>
      </c>
      <c r="L741" s="30">
        <f t="shared" si="68"/>
        <v>1945.32</v>
      </c>
      <c r="M741" s="30">
        <f t="shared" si="68"/>
        <v>8423.2999999999993</v>
      </c>
      <c r="N741" s="30">
        <f>ROUND('Смета ЕР (общ) '!$I741*'Смета ЕР (общ) '!$L741,2)</f>
        <v>0</v>
      </c>
      <c r="O741" s="30">
        <f>ROUND('Смета ЕР (общ) '!$I741*'Смета ЕР (общ) '!$M741,2)</f>
        <v>0</v>
      </c>
      <c r="P741" s="45"/>
    </row>
    <row r="742" spans="1:20" ht="14.4" hidden="1" x14ac:dyDescent="0.3">
      <c r="A742" s="26" t="s">
        <v>717</v>
      </c>
      <c r="B742" s="26">
        <v>3</v>
      </c>
      <c r="C742" s="26"/>
      <c r="D742" s="26">
        <v>48</v>
      </c>
      <c r="E742" s="26" t="str">
        <f>CONCATENATE('Смета ЕР (общ) '!$A742,".",'Смета ЕР (общ) '!$B742,".",'Смета ЕР (общ) '!$D742)</f>
        <v>Р5.3.48</v>
      </c>
      <c r="F742" s="26">
        <f t="shared" si="69"/>
        <v>1</v>
      </c>
      <c r="G742" s="41" t="s">
        <v>802</v>
      </c>
      <c r="H742" s="28" t="s">
        <v>118</v>
      </c>
      <c r="I742" s="158"/>
      <c r="J742" s="30">
        <v>886.23</v>
      </c>
      <c r="K742" s="30">
        <v>1337.23</v>
      </c>
      <c r="L742" s="30">
        <f t="shared" si="68"/>
        <v>886.23</v>
      </c>
      <c r="M742" s="30">
        <f t="shared" si="68"/>
        <v>1337.23</v>
      </c>
      <c r="N742" s="30">
        <f>ROUND('Смета ЕР (общ) '!$I742*'Смета ЕР (общ) '!$L742,2)</f>
        <v>0</v>
      </c>
      <c r="O742" s="30">
        <f>ROUND('Смета ЕР (общ) '!$I742*'Смета ЕР (общ) '!$M742,2)</f>
        <v>0</v>
      </c>
      <c r="P742" s="45"/>
    </row>
    <row r="743" spans="1:20" ht="14.4" hidden="1" x14ac:dyDescent="0.3">
      <c r="A743" s="26" t="s">
        <v>717</v>
      </c>
      <c r="B743" s="26">
        <v>3</v>
      </c>
      <c r="C743" s="26"/>
      <c r="D743" s="26">
        <v>49</v>
      </c>
      <c r="E743" s="26" t="str">
        <f>CONCATENATE('Смета ЕР (общ) '!$A743,".",'Смета ЕР (общ) '!$B743,".",'Смета ЕР (общ) '!$D743)</f>
        <v>Р5.3.49</v>
      </c>
      <c r="F743" s="26">
        <f t="shared" si="69"/>
        <v>1</v>
      </c>
      <c r="G743" s="41" t="s">
        <v>803</v>
      </c>
      <c r="H743" s="28" t="s">
        <v>118</v>
      </c>
      <c r="I743" s="158"/>
      <c r="J743" s="30">
        <v>886.23</v>
      </c>
      <c r="K743" s="30">
        <v>664.81</v>
      </c>
      <c r="L743" s="30">
        <f t="shared" si="68"/>
        <v>886.23</v>
      </c>
      <c r="M743" s="30">
        <f t="shared" si="68"/>
        <v>664.81</v>
      </c>
      <c r="N743" s="30">
        <f>ROUND('Смета ЕР (общ) '!$I743*'Смета ЕР (общ) '!$L743,2)</f>
        <v>0</v>
      </c>
      <c r="O743" s="30">
        <f>ROUND('Смета ЕР (общ) '!$I743*'Смета ЕР (общ) '!$M743,2)</f>
        <v>0</v>
      </c>
      <c r="P743" s="45"/>
    </row>
    <row r="744" spans="1:20" ht="14.4" hidden="1" x14ac:dyDescent="0.3">
      <c r="A744" s="26" t="s">
        <v>717</v>
      </c>
      <c r="B744" s="26">
        <v>3</v>
      </c>
      <c r="C744" s="26"/>
      <c r="D744" s="26">
        <v>50</v>
      </c>
      <c r="E744" s="26" t="str">
        <f>CONCATENATE('Смета ЕР (общ) '!$A744,".",'Смета ЕР (общ) '!$B744,".",'Смета ЕР (общ) '!$D744)</f>
        <v>Р5.3.50</v>
      </c>
      <c r="F744" s="26">
        <f t="shared" si="69"/>
        <v>1</v>
      </c>
      <c r="G744" s="41" t="s">
        <v>804</v>
      </c>
      <c r="H744" s="28" t="s">
        <v>118</v>
      </c>
      <c r="I744" s="158"/>
      <c r="J744" s="30">
        <v>886.23</v>
      </c>
      <c r="K744" s="30">
        <v>541.80999999999995</v>
      </c>
      <c r="L744" s="30">
        <f t="shared" si="68"/>
        <v>886.23</v>
      </c>
      <c r="M744" s="30">
        <f t="shared" si="68"/>
        <v>541.80999999999995</v>
      </c>
      <c r="N744" s="30">
        <f>ROUND('Смета ЕР (общ) '!$I744*'Смета ЕР (общ) '!$L744,2)</f>
        <v>0</v>
      </c>
      <c r="O744" s="30">
        <f>ROUND('Смета ЕР (общ) '!$I744*'Смета ЕР (общ) '!$M744,2)</f>
        <v>0</v>
      </c>
      <c r="P744" s="45"/>
    </row>
    <row r="745" spans="1:20" ht="14.4" hidden="1" x14ac:dyDescent="0.3">
      <c r="A745" s="26" t="s">
        <v>717</v>
      </c>
      <c r="B745" s="26">
        <v>3</v>
      </c>
      <c r="C745" s="26"/>
      <c r="D745" s="26">
        <v>52</v>
      </c>
      <c r="E745" s="26" t="str">
        <f>CONCATENATE('Смета ЕР (общ) '!$A745,".",'Смета ЕР (общ) '!$B745,".",'Смета ЕР (общ) '!$D745)</f>
        <v>Р5.3.52</v>
      </c>
      <c r="F745" s="26">
        <f t="shared" si="69"/>
        <v>1</v>
      </c>
      <c r="G745" s="41" t="s">
        <v>805</v>
      </c>
      <c r="H745" s="28" t="s">
        <v>118</v>
      </c>
      <c r="I745" s="158"/>
      <c r="J745" s="30">
        <v>886.23</v>
      </c>
      <c r="K745" s="30">
        <v>1421.97</v>
      </c>
      <c r="L745" s="30">
        <f t="shared" si="68"/>
        <v>886.23</v>
      </c>
      <c r="M745" s="30">
        <f t="shared" si="68"/>
        <v>1421.97</v>
      </c>
      <c r="N745" s="30">
        <f>ROUND('Смета ЕР (общ) '!$I745*'Смета ЕР (общ) '!$L745,2)</f>
        <v>0</v>
      </c>
      <c r="O745" s="30">
        <f>ROUND('Смета ЕР (общ) '!$I745*'Смета ЕР (общ) '!$M745,2)</f>
        <v>0</v>
      </c>
      <c r="P745" s="45"/>
    </row>
    <row r="746" spans="1:20" ht="14.4" hidden="1" x14ac:dyDescent="0.3">
      <c r="A746" s="26" t="s">
        <v>717</v>
      </c>
      <c r="B746" s="26">
        <v>3</v>
      </c>
      <c r="C746" s="26"/>
      <c r="D746" s="26">
        <v>53</v>
      </c>
      <c r="E746" s="26" t="str">
        <f>CONCATENATE('Смета ЕР (общ) '!$A746,".",'Смета ЕР (общ) '!$B746,".",'Смета ЕР (общ) '!$D746)</f>
        <v>Р5.3.53</v>
      </c>
      <c r="F746" s="26">
        <f t="shared" si="69"/>
        <v>1</v>
      </c>
      <c r="G746" s="41" t="s">
        <v>806</v>
      </c>
      <c r="H746" s="28" t="s">
        <v>118</v>
      </c>
      <c r="I746" s="158"/>
      <c r="J746" s="30">
        <v>1933.25</v>
      </c>
      <c r="K746" s="30">
        <v>6808.91</v>
      </c>
      <c r="L746" s="30">
        <f t="shared" si="68"/>
        <v>1933.25</v>
      </c>
      <c r="M746" s="30">
        <f t="shared" si="68"/>
        <v>6808.91</v>
      </c>
      <c r="N746" s="30">
        <f>ROUND('Смета ЕР (общ) '!$I746*'Смета ЕР (общ) '!$L746,2)</f>
        <v>0</v>
      </c>
      <c r="O746" s="30">
        <f>ROUND('Смета ЕР (общ) '!$I746*'Смета ЕР (общ) '!$M746,2)</f>
        <v>0</v>
      </c>
      <c r="P746" s="45"/>
    </row>
    <row r="747" spans="1:20" ht="14.4" hidden="1" x14ac:dyDescent="0.3">
      <c r="A747" s="26" t="s">
        <v>717</v>
      </c>
      <c r="B747" s="26">
        <v>3</v>
      </c>
      <c r="C747" s="26"/>
      <c r="D747" s="26">
        <v>54</v>
      </c>
      <c r="E747" s="26" t="str">
        <f>CONCATENATE('Смета ЕР (общ) '!$A747,".",'Смета ЕР (общ) '!$B747,".",'Смета ЕР (общ) '!$D747)</f>
        <v>Р5.3.54</v>
      </c>
      <c r="F747" s="26">
        <f t="shared" si="69"/>
        <v>1</v>
      </c>
      <c r="G747" s="41" t="s">
        <v>807</v>
      </c>
      <c r="H747" s="28" t="s">
        <v>118</v>
      </c>
      <c r="I747" s="158"/>
      <c r="J747" s="30">
        <v>2612.5</v>
      </c>
      <c r="K747" s="30">
        <v>13675.49</v>
      </c>
      <c r="L747" s="30">
        <f t="shared" si="68"/>
        <v>2612.5</v>
      </c>
      <c r="M747" s="30">
        <f t="shared" si="68"/>
        <v>13675.49</v>
      </c>
      <c r="N747" s="30">
        <f>ROUND('Смета ЕР (общ) '!$I747*'Смета ЕР (общ) '!$L747,2)</f>
        <v>0</v>
      </c>
      <c r="O747" s="30">
        <f>ROUND('Смета ЕР (общ) '!$I747*'Смета ЕР (общ) '!$M747,2)</f>
        <v>0</v>
      </c>
      <c r="P747" s="45"/>
    </row>
    <row r="748" spans="1:20" ht="24" hidden="1" x14ac:dyDescent="0.3">
      <c r="A748" s="26" t="s">
        <v>717</v>
      </c>
      <c r="B748" s="26">
        <v>3</v>
      </c>
      <c r="C748" s="26"/>
      <c r="D748" s="26">
        <v>55</v>
      </c>
      <c r="E748" s="26" t="str">
        <f>CONCATENATE('Смета ЕР (общ) '!$A748,".",'Смета ЕР (общ) '!$B748,".",'Смета ЕР (общ) '!$D748)</f>
        <v>Р5.3.55</v>
      </c>
      <c r="F748" s="26">
        <f t="shared" si="69"/>
        <v>1</v>
      </c>
      <c r="G748" s="41" t="s">
        <v>808</v>
      </c>
      <c r="H748" s="28" t="s">
        <v>147</v>
      </c>
      <c r="I748" s="158"/>
      <c r="J748" s="30">
        <v>791.7</v>
      </c>
      <c r="K748" s="30">
        <v>1264.28</v>
      </c>
      <c r="L748" s="30">
        <f t="shared" si="68"/>
        <v>791.7</v>
      </c>
      <c r="M748" s="30">
        <f t="shared" si="68"/>
        <v>1264.28</v>
      </c>
      <c r="N748" s="30">
        <f>ROUND('Смета ЕР (общ) '!$I748*'Смета ЕР (общ) '!$L748,2)</f>
        <v>0</v>
      </c>
      <c r="O748" s="30">
        <f>ROUND('Смета ЕР (общ) '!$I748*'Смета ЕР (общ) '!$M748,2)</f>
        <v>0</v>
      </c>
      <c r="P748" s="45"/>
    </row>
    <row r="749" spans="1:20" ht="14.4" hidden="1" x14ac:dyDescent="0.3">
      <c r="A749" s="26" t="s">
        <v>717</v>
      </c>
      <c r="B749" s="26">
        <v>3</v>
      </c>
      <c r="C749" s="26"/>
      <c r="D749" s="26">
        <v>56</v>
      </c>
      <c r="E749" s="26" t="str">
        <f>CONCATENATE('Смета ЕР (общ) '!$A749,".",'Смета ЕР (общ) '!$B749,".",'Смета ЕР (общ) '!$D749)</f>
        <v>Р5.3.56</v>
      </c>
      <c r="F749" s="26">
        <f t="shared" si="69"/>
        <v>1</v>
      </c>
      <c r="G749" s="41" t="s">
        <v>809</v>
      </c>
      <c r="H749" s="28" t="s">
        <v>147</v>
      </c>
      <c r="I749" s="158"/>
      <c r="J749" s="30">
        <v>1073.8499999999999</v>
      </c>
      <c r="K749" s="30">
        <v>630.74</v>
      </c>
      <c r="L749" s="30">
        <f t="shared" si="68"/>
        <v>1073.8499999999999</v>
      </c>
      <c r="M749" s="30">
        <f t="shared" si="68"/>
        <v>630.74</v>
      </c>
      <c r="N749" s="30">
        <f>ROUND('Смета ЕР (общ) '!$I749*'Смета ЕР (общ) '!$L749,2)</f>
        <v>0</v>
      </c>
      <c r="O749" s="30">
        <f>ROUND('Смета ЕР (общ) '!$I749*'Смета ЕР (общ) '!$M749,2)</f>
        <v>0</v>
      </c>
      <c r="P749" s="45"/>
    </row>
    <row r="750" spans="1:20" ht="14.4" hidden="1" x14ac:dyDescent="0.3">
      <c r="A750" s="26" t="s">
        <v>717</v>
      </c>
      <c r="B750" s="26">
        <v>3</v>
      </c>
      <c r="C750" s="26"/>
      <c r="D750" s="26">
        <v>58</v>
      </c>
      <c r="E750" s="26" t="str">
        <f>CONCATENATE('Смета ЕР (общ) '!$A750,".",'Смета ЕР (общ) '!$B750,".",'Смета ЕР (общ) '!$D750)</f>
        <v>Р5.3.58</v>
      </c>
      <c r="F750" s="26">
        <f t="shared" si="69"/>
        <v>1</v>
      </c>
      <c r="G750" s="41" t="s">
        <v>810</v>
      </c>
      <c r="H750" s="28" t="s">
        <v>118</v>
      </c>
      <c r="I750" s="158"/>
      <c r="J750" s="30">
        <v>2612.5</v>
      </c>
      <c r="K750" s="30">
        <v>20229.57</v>
      </c>
      <c r="L750" s="30">
        <f t="shared" si="68"/>
        <v>2612.5</v>
      </c>
      <c r="M750" s="30">
        <f t="shared" si="68"/>
        <v>20229.57</v>
      </c>
      <c r="N750" s="30">
        <f>ROUND('Смета ЕР (общ) '!$I750*'Смета ЕР (общ) '!$L750,2)</f>
        <v>0</v>
      </c>
      <c r="O750" s="30">
        <f>ROUND('Смета ЕР (общ) '!$I750*'Смета ЕР (общ) '!$M750,2)</f>
        <v>0</v>
      </c>
      <c r="P750" s="45"/>
    </row>
    <row r="751" spans="1:20" ht="14.4" hidden="1" x14ac:dyDescent="0.3">
      <c r="A751" s="26" t="s">
        <v>717</v>
      </c>
      <c r="B751" s="26">
        <v>3</v>
      </c>
      <c r="C751" s="26"/>
      <c r="D751" s="26">
        <v>59</v>
      </c>
      <c r="E751" s="26" t="str">
        <f>CONCATENATE('Смета ЕР (общ) '!$A751,".",'Смета ЕР (общ) '!$B751,".",'Смета ЕР (общ) '!$D751)</f>
        <v>Р5.3.59</v>
      </c>
      <c r="F751" s="26">
        <f t="shared" si="69"/>
        <v>1</v>
      </c>
      <c r="G751" s="41" t="s">
        <v>811</v>
      </c>
      <c r="H751" s="28" t="s">
        <v>118</v>
      </c>
      <c r="I751" s="158"/>
      <c r="J751" s="30">
        <v>886.23</v>
      </c>
      <c r="K751" s="30">
        <v>1374.43</v>
      </c>
      <c r="L751" s="30">
        <f t="shared" si="68"/>
        <v>886.23</v>
      </c>
      <c r="M751" s="30">
        <f t="shared" si="68"/>
        <v>1374.43</v>
      </c>
      <c r="N751" s="30">
        <f>ROUND('Смета ЕР (общ) '!$I751*'Смета ЕР (общ) '!$L751,2)</f>
        <v>0</v>
      </c>
      <c r="O751" s="30">
        <f>ROUND('Смета ЕР (общ) '!$I751*'Смета ЕР (общ) '!$M751,2)</f>
        <v>0</v>
      </c>
      <c r="P751" s="45"/>
    </row>
    <row r="752" spans="1:20" ht="14.4" hidden="1" x14ac:dyDescent="0.3">
      <c r="A752" s="37" t="s">
        <v>717</v>
      </c>
      <c r="B752" s="37">
        <v>1</v>
      </c>
      <c r="C752" s="37"/>
      <c r="D752" s="37">
        <v>0</v>
      </c>
      <c r="E752" s="37" t="str">
        <f>CONCATENATE('Смета ЕР (общ) '!$A752,".",'Смета ЕР (общ) '!$B752,".",'Смета ЕР (общ) '!$D752)</f>
        <v>Р5.1.0</v>
      </c>
      <c r="F752" s="37">
        <f t="shared" si="69"/>
        <v>1</v>
      </c>
      <c r="G752" s="114" t="s">
        <v>812</v>
      </c>
      <c r="H752" s="22"/>
      <c r="I752" s="23"/>
      <c r="J752" s="36"/>
      <c r="K752" s="36"/>
      <c r="L752" s="25"/>
      <c r="M752" s="25"/>
      <c r="N752" s="25">
        <f>SUM(N753:N757)</f>
        <v>0</v>
      </c>
      <c r="O752" s="25">
        <f>SUM(O753:O757)</f>
        <v>0</v>
      </c>
      <c r="P752" s="45"/>
      <c r="T752">
        <v>0</v>
      </c>
    </row>
    <row r="753" spans="1:20" ht="24" hidden="1" x14ac:dyDescent="0.3">
      <c r="A753" s="26" t="s">
        <v>717</v>
      </c>
      <c r="B753" s="26">
        <v>1</v>
      </c>
      <c r="C753" s="26"/>
      <c r="D753" s="26">
        <v>1</v>
      </c>
      <c r="E753" s="26" t="str">
        <f>CONCATENATE('Смета ЕР (общ) '!$A753,".",'Смета ЕР (общ) '!$B753,".",'Смета ЕР (общ) '!$D753)</f>
        <v>Р5.1.1</v>
      </c>
      <c r="F753" s="26">
        <f t="shared" si="69"/>
        <v>1</v>
      </c>
      <c r="G753" s="41" t="s">
        <v>813</v>
      </c>
      <c r="H753" s="28" t="s">
        <v>64</v>
      </c>
      <c r="I753" s="158"/>
      <c r="J753" s="30">
        <v>6297.41</v>
      </c>
      <c r="K753" s="30">
        <v>9926.5400000000009</v>
      </c>
      <c r="L753" s="30">
        <f t="shared" ref="L753:M756" si="70">ROUND(J753-J753*$Q$3,2)</f>
        <v>6297.41</v>
      </c>
      <c r="M753" s="30">
        <f t="shared" si="70"/>
        <v>9926.5400000000009</v>
      </c>
      <c r="N753" s="30">
        <f>ROUND('Смета ЕР (общ) '!$I753*'Смета ЕР (общ) '!$L753,2)</f>
        <v>0</v>
      </c>
      <c r="O753" s="30">
        <f>ROUND('Смета ЕР (общ) '!$I753*'Смета ЕР (общ) '!$M753,2)</f>
        <v>0</v>
      </c>
      <c r="P753" s="45"/>
    </row>
    <row r="754" spans="1:20" ht="24" hidden="1" x14ac:dyDescent="0.3">
      <c r="A754" s="26" t="s">
        <v>717</v>
      </c>
      <c r="B754" s="26">
        <v>1</v>
      </c>
      <c r="C754" s="26"/>
      <c r="D754" s="26">
        <v>5</v>
      </c>
      <c r="E754" s="26" t="str">
        <f>CONCATENATE('Смета ЕР (общ) '!$A754,".",'Смета ЕР (общ) '!$B754,".",'Смета ЕР (общ) '!$D754)</f>
        <v>Р5.1.5</v>
      </c>
      <c r="F754" s="26">
        <f t="shared" si="69"/>
        <v>1</v>
      </c>
      <c r="G754" s="41" t="s">
        <v>814</v>
      </c>
      <c r="H754" s="28" t="s">
        <v>64</v>
      </c>
      <c r="I754" s="158"/>
      <c r="J754" s="30">
        <v>6965.22</v>
      </c>
      <c r="K754" s="30">
        <v>20099.259999999998</v>
      </c>
      <c r="L754" s="30">
        <f t="shared" si="70"/>
        <v>6965.22</v>
      </c>
      <c r="M754" s="30">
        <f t="shared" si="70"/>
        <v>20099.259999999998</v>
      </c>
      <c r="N754" s="30">
        <f>ROUND('Смета ЕР (общ) '!$I754*'Смета ЕР (общ) '!$L754,2)</f>
        <v>0</v>
      </c>
      <c r="O754" s="30">
        <f>ROUND('Смета ЕР (общ) '!$I754*'Смета ЕР (общ) '!$M754,2)</f>
        <v>0</v>
      </c>
      <c r="P754" s="45"/>
    </row>
    <row r="755" spans="1:20" ht="14.4" hidden="1" x14ac:dyDescent="0.3">
      <c r="A755" s="26" t="s">
        <v>717</v>
      </c>
      <c r="B755" s="26">
        <v>1</v>
      </c>
      <c r="C755" s="26"/>
      <c r="D755" s="26">
        <v>2</v>
      </c>
      <c r="E755" s="26" t="str">
        <f>CONCATENATE('Смета ЕР (общ) '!$A755,".",'Смета ЕР (общ) '!$B755,".",'Смета ЕР (общ) '!$D755)</f>
        <v>Р5.1.2</v>
      </c>
      <c r="F755" s="26">
        <f t="shared" si="69"/>
        <v>1</v>
      </c>
      <c r="G755" s="41" t="s">
        <v>815</v>
      </c>
      <c r="H755" s="28" t="s">
        <v>118</v>
      </c>
      <c r="I755" s="158"/>
      <c r="J755" s="30">
        <v>11629.56</v>
      </c>
      <c r="K755" s="30">
        <v>0</v>
      </c>
      <c r="L755" s="30">
        <f t="shared" si="70"/>
        <v>11629.56</v>
      </c>
      <c r="M755" s="30">
        <f t="shared" si="70"/>
        <v>0</v>
      </c>
      <c r="N755" s="30">
        <f>ROUND('Смета ЕР (общ) '!$I755*'Смета ЕР (общ) '!$L755,2)</f>
        <v>0</v>
      </c>
      <c r="O755" s="30">
        <f>ROUND('Смета ЕР (общ) '!$I755*'Смета ЕР (общ) '!$M755,2)</f>
        <v>0</v>
      </c>
      <c r="P755" s="45"/>
    </row>
    <row r="756" spans="1:20" ht="14.4" hidden="1" x14ac:dyDescent="0.3">
      <c r="A756" s="26" t="s">
        <v>717</v>
      </c>
      <c r="B756" s="26">
        <v>1</v>
      </c>
      <c r="C756" s="26"/>
      <c r="D756" s="26">
        <v>3</v>
      </c>
      <c r="E756" s="26" t="str">
        <f>CONCATENATE('Смета ЕР (общ) '!$A756,".",'Смета ЕР (общ) '!$B756,".",'Смета ЕР (общ) '!$D756)</f>
        <v>Р5.1.3</v>
      </c>
      <c r="F756" s="26">
        <f t="shared" si="69"/>
        <v>1</v>
      </c>
      <c r="G756" s="41" t="s">
        <v>816</v>
      </c>
      <c r="H756" s="28" t="s">
        <v>118</v>
      </c>
      <c r="I756" s="158"/>
      <c r="J756" s="30">
        <v>2612.5</v>
      </c>
      <c r="K756" s="30">
        <v>12757.59</v>
      </c>
      <c r="L756" s="30">
        <f t="shared" si="70"/>
        <v>2612.5</v>
      </c>
      <c r="M756" s="30">
        <f t="shared" si="70"/>
        <v>12757.59</v>
      </c>
      <c r="N756" s="30">
        <f>ROUND('Смета ЕР (общ) '!$I756*'Смета ЕР (общ) '!$L756,2)</f>
        <v>0</v>
      </c>
      <c r="O756" s="30">
        <f>ROUND('Смета ЕР (общ) '!$I756*'Смета ЕР (общ) '!$M756,2)</f>
        <v>0</v>
      </c>
      <c r="P756" s="45"/>
    </row>
    <row r="757" spans="1:20" ht="14.4" hidden="1" x14ac:dyDescent="0.3">
      <c r="A757" s="26" t="s">
        <v>717</v>
      </c>
      <c r="B757" s="26">
        <v>1</v>
      </c>
      <c r="C757" s="26"/>
      <c r="D757" s="26">
        <v>4</v>
      </c>
      <c r="E757" s="26" t="str">
        <f>CONCATENATE('Смета ЕР (общ) '!$A757,".",'Смета ЕР (общ) '!$B757,".",'Смета ЕР (общ) '!$D757)</f>
        <v>Р5.1.4</v>
      </c>
      <c r="F757" s="26">
        <f t="shared" si="69"/>
        <v>1</v>
      </c>
      <c r="G757" s="41" t="s">
        <v>817</v>
      </c>
      <c r="H757" s="28" t="s">
        <v>147</v>
      </c>
      <c r="I757" s="158"/>
      <c r="J757" s="30">
        <v>1017.01</v>
      </c>
      <c r="K757" s="30">
        <v>1361.79</v>
      </c>
      <c r="L757" s="30">
        <f>ROUND(J757-J757*$Q$3,2)</f>
        <v>1017.01</v>
      </c>
      <c r="M757" s="30">
        <f>ROUND(K757-K757*$Q$3,2)</f>
        <v>1361.79</v>
      </c>
      <c r="N757" s="30">
        <f>ROUND('Смета ЕР (общ) '!$I757*'Смета ЕР (общ) '!$L757,2)</f>
        <v>0</v>
      </c>
      <c r="O757" s="30">
        <f>ROUND('Смета ЕР (общ) '!$I757*'Смета ЕР (общ) '!$M757,2)</f>
        <v>0</v>
      </c>
      <c r="P757" s="45"/>
    </row>
    <row r="758" spans="1:20" ht="14.4" hidden="1" x14ac:dyDescent="0.3">
      <c r="A758" s="37" t="s">
        <v>717</v>
      </c>
      <c r="B758" s="37">
        <v>2</v>
      </c>
      <c r="C758" s="37"/>
      <c r="D758" s="37">
        <v>0</v>
      </c>
      <c r="E758" s="37" t="str">
        <f>CONCATENATE('Смета ЕР (общ) '!$A758,".",'Смета ЕР (общ) '!$B758,".",'Смета ЕР (общ) '!$D758)</f>
        <v>Р5.2.0</v>
      </c>
      <c r="F758" s="37">
        <f t="shared" si="69"/>
        <v>1</v>
      </c>
      <c r="G758" s="114" t="s">
        <v>818</v>
      </c>
      <c r="H758" s="22"/>
      <c r="I758" s="23"/>
      <c r="J758" s="36"/>
      <c r="K758" s="36"/>
      <c r="L758" s="25"/>
      <c r="M758" s="25"/>
      <c r="N758" s="25">
        <f>SUM(N759:N766)</f>
        <v>0</v>
      </c>
      <c r="O758" s="25">
        <f>SUM(O759:O766)</f>
        <v>0</v>
      </c>
      <c r="P758" s="45"/>
      <c r="T758">
        <v>0</v>
      </c>
    </row>
    <row r="759" spans="1:20" ht="14.4" hidden="1" x14ac:dyDescent="0.3">
      <c r="A759" s="26" t="s">
        <v>717</v>
      </c>
      <c r="B759" s="26">
        <v>2</v>
      </c>
      <c r="C759" s="26"/>
      <c r="D759" s="26">
        <v>1</v>
      </c>
      <c r="E759" s="26" t="str">
        <f>CONCATENATE('Смета ЕР (общ) '!$A759,".",'Смета ЕР (общ) '!$B759,".",'Смета ЕР (общ) '!$D759)</f>
        <v>Р5.2.1</v>
      </c>
      <c r="F759" s="26">
        <f t="shared" si="69"/>
        <v>1</v>
      </c>
      <c r="G759" s="41" t="s">
        <v>819</v>
      </c>
      <c r="H759" s="28" t="s">
        <v>118</v>
      </c>
      <c r="I759" s="158"/>
      <c r="J759" s="30">
        <v>574.20000000000005</v>
      </c>
      <c r="K759" s="30">
        <v>3076.95</v>
      </c>
      <c r="L759" s="30">
        <f t="shared" ref="L759:M766" si="71">ROUND(J759-J759*$Q$3,2)</f>
        <v>574.20000000000005</v>
      </c>
      <c r="M759" s="30">
        <f t="shared" si="71"/>
        <v>3076.95</v>
      </c>
      <c r="N759" s="30">
        <f>ROUND('Смета ЕР (общ) '!$I759*'Смета ЕР (общ) '!$L759,2)</f>
        <v>0</v>
      </c>
      <c r="O759" s="30">
        <f>ROUND('Смета ЕР (общ) '!$I759*'Смета ЕР (общ) '!$M759,2)</f>
        <v>0</v>
      </c>
      <c r="P759" s="45"/>
    </row>
    <row r="760" spans="1:20" ht="24" hidden="1" x14ac:dyDescent="0.3">
      <c r="A760" s="26" t="s">
        <v>717</v>
      </c>
      <c r="B760" s="26">
        <v>2</v>
      </c>
      <c r="C760" s="26"/>
      <c r="D760" s="26">
        <v>2</v>
      </c>
      <c r="E760" s="26" t="str">
        <f>CONCATENATE('Смета ЕР (общ) '!$A760,".",'Смета ЕР (общ) '!$B760,".",'Смета ЕР (общ) '!$D760)</f>
        <v>Р5.2.2</v>
      </c>
      <c r="F760" s="26">
        <f t="shared" si="69"/>
        <v>1</v>
      </c>
      <c r="G760" s="41" t="s">
        <v>820</v>
      </c>
      <c r="H760" s="28" t="s">
        <v>118</v>
      </c>
      <c r="I760" s="158"/>
      <c r="J760" s="30">
        <v>543.16</v>
      </c>
      <c r="K760" s="30">
        <v>26118.41</v>
      </c>
      <c r="L760" s="30">
        <f t="shared" si="71"/>
        <v>543.16</v>
      </c>
      <c r="M760" s="30">
        <f t="shared" si="71"/>
        <v>26118.41</v>
      </c>
      <c r="N760" s="30">
        <f>ROUND('Смета ЕР (общ) '!$I760*'Смета ЕР (общ) '!$L760,2)</f>
        <v>0</v>
      </c>
      <c r="O760" s="30">
        <f>ROUND('Смета ЕР (общ) '!$I760*'Смета ЕР (общ) '!$M760,2)</f>
        <v>0</v>
      </c>
      <c r="P760" s="45"/>
    </row>
    <row r="761" spans="1:20" ht="14.4" hidden="1" x14ac:dyDescent="0.3">
      <c r="A761" s="26" t="s">
        <v>717</v>
      </c>
      <c r="B761" s="26">
        <v>2</v>
      </c>
      <c r="C761" s="26"/>
      <c r="D761" s="26">
        <v>3</v>
      </c>
      <c r="E761" s="26" t="str">
        <f>CONCATENATE('Смета ЕР (общ) '!$A761,".",'Смета ЕР (общ) '!$B761,".",'Смета ЕР (общ) '!$D761)</f>
        <v>Р5.2.3</v>
      </c>
      <c r="F761" s="26">
        <f t="shared" si="69"/>
        <v>1</v>
      </c>
      <c r="G761" s="41" t="s">
        <v>821</v>
      </c>
      <c r="H761" s="28" t="s">
        <v>118</v>
      </c>
      <c r="I761" s="158"/>
      <c r="J761" s="30">
        <v>574.20000000000005</v>
      </c>
      <c r="K761" s="30">
        <v>10489.64</v>
      </c>
      <c r="L761" s="30">
        <f t="shared" si="71"/>
        <v>574.20000000000005</v>
      </c>
      <c r="M761" s="30">
        <f t="shared" si="71"/>
        <v>10489.64</v>
      </c>
      <c r="N761" s="30">
        <f>ROUND('Смета ЕР (общ) '!$I761*'Смета ЕР (общ) '!$L761,2)</f>
        <v>0</v>
      </c>
      <c r="O761" s="30">
        <f>ROUND('Смета ЕР (общ) '!$I761*'Смета ЕР (общ) '!$M761,2)</f>
        <v>0</v>
      </c>
      <c r="P761" s="45"/>
    </row>
    <row r="762" spans="1:20" ht="24" hidden="1" x14ac:dyDescent="0.3">
      <c r="A762" s="26" t="s">
        <v>717</v>
      </c>
      <c r="B762" s="26">
        <v>2</v>
      </c>
      <c r="C762" s="26"/>
      <c r="D762" s="26">
        <v>4</v>
      </c>
      <c r="E762" s="26" t="str">
        <f>CONCATENATE('Смета ЕР (общ) '!$A762,".",'Смета ЕР (общ) '!$B762,".",'Смета ЕР (общ) '!$D762)</f>
        <v>Р5.2.4</v>
      </c>
      <c r="F762" s="26">
        <f t="shared" si="69"/>
        <v>1</v>
      </c>
      <c r="G762" s="41" t="s">
        <v>822</v>
      </c>
      <c r="H762" s="28" t="s">
        <v>118</v>
      </c>
      <c r="I762" s="158"/>
      <c r="J762" s="30">
        <v>574.20000000000005</v>
      </c>
      <c r="K762" s="30">
        <v>12098.48</v>
      </c>
      <c r="L762" s="30">
        <f t="shared" si="71"/>
        <v>574.20000000000005</v>
      </c>
      <c r="M762" s="30">
        <f t="shared" si="71"/>
        <v>12098.48</v>
      </c>
      <c r="N762" s="30">
        <f>ROUND('Смета ЕР (общ) '!$I762*'Смета ЕР (общ) '!$L762,2)</f>
        <v>0</v>
      </c>
      <c r="O762" s="30">
        <f>ROUND('Смета ЕР (общ) '!$I762*'Смета ЕР (общ) '!$M762,2)</f>
        <v>0</v>
      </c>
      <c r="P762" s="45"/>
    </row>
    <row r="763" spans="1:20" ht="14.4" hidden="1" x14ac:dyDescent="0.3">
      <c r="A763" s="26" t="s">
        <v>717</v>
      </c>
      <c r="B763" s="26">
        <v>2</v>
      </c>
      <c r="C763" s="26"/>
      <c r="D763" s="26">
        <v>5</v>
      </c>
      <c r="E763" s="26" t="str">
        <f>CONCATENATE('Смета ЕР (общ) '!$A763,".",'Смета ЕР (общ) '!$B763,".",'Смета ЕР (общ) '!$D763)</f>
        <v>Р5.2.5</v>
      </c>
      <c r="F763" s="26">
        <f t="shared" si="69"/>
        <v>1</v>
      </c>
      <c r="G763" s="41" t="s">
        <v>823</v>
      </c>
      <c r="H763" s="28" t="s">
        <v>118</v>
      </c>
      <c r="I763" s="158"/>
      <c r="J763" s="30">
        <v>626.4</v>
      </c>
      <c r="K763" s="30">
        <v>8055.34</v>
      </c>
      <c r="L763" s="30">
        <f t="shared" si="71"/>
        <v>626.4</v>
      </c>
      <c r="M763" s="30">
        <f t="shared" si="71"/>
        <v>8055.34</v>
      </c>
      <c r="N763" s="30">
        <f>ROUND('Смета ЕР (общ) '!$I763*'Смета ЕР (общ) '!$L763,2)</f>
        <v>0</v>
      </c>
      <c r="O763" s="30">
        <f>ROUND('Смета ЕР (общ) '!$I763*'Смета ЕР (общ) '!$M763,2)</f>
        <v>0</v>
      </c>
      <c r="P763" s="45"/>
    </row>
    <row r="764" spans="1:20" ht="14.4" hidden="1" x14ac:dyDescent="0.3">
      <c r="A764" s="26" t="s">
        <v>717</v>
      </c>
      <c r="B764" s="26">
        <v>2</v>
      </c>
      <c r="C764" s="26"/>
      <c r="D764" s="26">
        <v>6</v>
      </c>
      <c r="E764" s="26" t="str">
        <f>CONCATENATE('Смета ЕР (общ) '!$A764,".",'Смета ЕР (общ) '!$B764,".",'Смета ЕР (общ) '!$D764)</f>
        <v>Р5.2.6</v>
      </c>
      <c r="F764" s="26">
        <f t="shared" si="69"/>
        <v>1</v>
      </c>
      <c r="G764" s="41" t="s">
        <v>824</v>
      </c>
      <c r="H764" s="28" t="s">
        <v>118</v>
      </c>
      <c r="I764" s="158"/>
      <c r="J764" s="30">
        <v>543.16</v>
      </c>
      <c r="K764" s="30">
        <v>6715.96</v>
      </c>
      <c r="L764" s="30">
        <f t="shared" si="71"/>
        <v>543.16</v>
      </c>
      <c r="M764" s="30">
        <f t="shared" si="71"/>
        <v>6715.96</v>
      </c>
      <c r="N764" s="30">
        <f>ROUND('Смета ЕР (общ) '!$I764*'Смета ЕР (общ) '!$L764,2)</f>
        <v>0</v>
      </c>
      <c r="O764" s="30">
        <f>ROUND('Смета ЕР (общ) '!$I764*'Смета ЕР (общ) '!$M764,2)</f>
        <v>0</v>
      </c>
      <c r="P764" s="45"/>
    </row>
    <row r="765" spans="1:20" ht="14.4" hidden="1" x14ac:dyDescent="0.3">
      <c r="A765" s="26" t="s">
        <v>717</v>
      </c>
      <c r="B765" s="26">
        <v>2</v>
      </c>
      <c r="C765" s="26"/>
      <c r="D765" s="26">
        <v>7</v>
      </c>
      <c r="E765" s="26" t="str">
        <f>CONCATENATE('Смета ЕР (общ) '!$A765,".",'Смета ЕР (общ) '!$B765,".",'Смета ЕР (общ) '!$D765)</f>
        <v>Р5.2.7</v>
      </c>
      <c r="F765" s="26">
        <f t="shared" si="69"/>
        <v>1</v>
      </c>
      <c r="G765" s="41" t="s">
        <v>825</v>
      </c>
      <c r="H765" s="28" t="s">
        <v>118</v>
      </c>
      <c r="I765" s="158"/>
      <c r="J765" s="30">
        <v>574.20000000000005</v>
      </c>
      <c r="K765" s="30">
        <v>9209.36</v>
      </c>
      <c r="L765" s="30">
        <f t="shared" si="71"/>
        <v>574.20000000000005</v>
      </c>
      <c r="M765" s="30">
        <f t="shared" si="71"/>
        <v>9209.36</v>
      </c>
      <c r="N765" s="30">
        <f>ROUND('Смета ЕР (общ) '!$I765*'Смета ЕР (общ) '!$L765,2)</f>
        <v>0</v>
      </c>
      <c r="O765" s="30">
        <f>ROUND('Смета ЕР (общ) '!$I765*'Смета ЕР (общ) '!$M765,2)</f>
        <v>0</v>
      </c>
      <c r="P765" s="45"/>
    </row>
    <row r="766" spans="1:20" ht="14.4" hidden="1" x14ac:dyDescent="0.3">
      <c r="A766" s="26" t="s">
        <v>717</v>
      </c>
      <c r="B766" s="26">
        <v>2</v>
      </c>
      <c r="C766" s="26"/>
      <c r="D766" s="26">
        <v>8</v>
      </c>
      <c r="E766" s="26" t="str">
        <f>CONCATENATE('Смета ЕР (общ) '!$A766,".",'Смета ЕР (общ) '!$B766,".",'Смета ЕР (общ) '!$D766)</f>
        <v>Р5.2.8</v>
      </c>
      <c r="F766" s="26">
        <f t="shared" si="69"/>
        <v>1</v>
      </c>
      <c r="G766" s="41" t="s">
        <v>826</v>
      </c>
      <c r="H766" s="28" t="s">
        <v>118</v>
      </c>
      <c r="I766" s="158"/>
      <c r="J766" s="30">
        <v>10450</v>
      </c>
      <c r="K766" s="30">
        <v>2341.35</v>
      </c>
      <c r="L766" s="30">
        <f t="shared" si="71"/>
        <v>10450</v>
      </c>
      <c r="M766" s="30">
        <f t="shared" si="71"/>
        <v>2341.35</v>
      </c>
      <c r="N766" s="30">
        <f>ROUND('Смета ЕР (общ) '!$I766*'Смета ЕР (общ) '!$L766,2)</f>
        <v>0</v>
      </c>
      <c r="O766" s="30">
        <f>ROUND('Смета ЕР (общ) '!$I766*'Смета ЕР (общ) '!$M766,2)</f>
        <v>0</v>
      </c>
      <c r="P766" s="45"/>
    </row>
    <row r="767" spans="1:20" ht="14.4" hidden="1" x14ac:dyDescent="0.3">
      <c r="A767" s="37" t="s">
        <v>717</v>
      </c>
      <c r="B767" s="37">
        <v>4</v>
      </c>
      <c r="C767" s="37"/>
      <c r="D767" s="37">
        <v>0</v>
      </c>
      <c r="E767" s="37" t="str">
        <f>CONCATENATE('Смета ЕР (общ) '!$A767,".",'Смета ЕР (общ) '!$B767,".",'Смета ЕР (общ) '!$D767)</f>
        <v>Р5.4.0</v>
      </c>
      <c r="F767" s="37">
        <f t="shared" si="69"/>
        <v>1</v>
      </c>
      <c r="G767" s="114" t="s">
        <v>827</v>
      </c>
      <c r="H767" s="22"/>
      <c r="I767" s="23"/>
      <c r="J767" s="36"/>
      <c r="K767" s="36"/>
      <c r="L767" s="25"/>
      <c r="M767" s="25"/>
      <c r="N767" s="25">
        <f>SUM(N768:N769)</f>
        <v>0</v>
      </c>
      <c r="O767" s="25">
        <f>SUM(O768:O769)</f>
        <v>0</v>
      </c>
      <c r="P767" s="45"/>
      <c r="T767">
        <v>0</v>
      </c>
    </row>
    <row r="768" spans="1:20" ht="14.4" hidden="1" x14ac:dyDescent="0.3">
      <c r="A768" s="26" t="s">
        <v>717</v>
      </c>
      <c r="B768" s="26">
        <v>4</v>
      </c>
      <c r="C768" s="26"/>
      <c r="D768" s="26">
        <v>5</v>
      </c>
      <c r="E768" s="26" t="str">
        <f>CONCATENATE('Смета ЕР (общ) '!$A768,".",'Смета ЕР (общ) '!$B768,".",'Смета ЕР (общ) '!$D768)</f>
        <v>Р5.4.5</v>
      </c>
      <c r="F768" s="26">
        <f t="shared" si="69"/>
        <v>1</v>
      </c>
      <c r="G768" s="41" t="s">
        <v>828</v>
      </c>
      <c r="H768" s="28" t="s">
        <v>118</v>
      </c>
      <c r="I768" s="158"/>
      <c r="J768" s="30">
        <v>4180</v>
      </c>
      <c r="K768" s="30">
        <v>0</v>
      </c>
      <c r="L768" s="30">
        <f>ROUND(J768-J768*$Q$3,2)</f>
        <v>4180</v>
      </c>
      <c r="M768" s="30">
        <f>ROUND(K768-K768*$Q$3,2)</f>
        <v>0</v>
      </c>
      <c r="N768" s="30">
        <f>ROUND('Смета ЕР (общ) '!$I768*'Смета ЕР (общ) '!$L768,2)</f>
        <v>0</v>
      </c>
      <c r="O768" s="30">
        <f>ROUND('Смета ЕР (общ) '!$I768*'Смета ЕР (общ) '!$M768,2)</f>
        <v>0</v>
      </c>
      <c r="P768" s="45"/>
    </row>
    <row r="769" spans="1:20" ht="24" hidden="1" x14ac:dyDescent="0.3">
      <c r="A769" s="26" t="s">
        <v>717</v>
      </c>
      <c r="B769" s="26">
        <v>4</v>
      </c>
      <c r="C769" s="26"/>
      <c r="D769" s="26">
        <v>1</v>
      </c>
      <c r="E769" s="26" t="str">
        <f>CONCATENATE('Смета ЕР (общ) '!$A769,".",'Смета ЕР (общ) '!$B769,".",'Смета ЕР (общ) '!$D769)</f>
        <v>Р5.4.1</v>
      </c>
      <c r="F769" s="26">
        <f t="shared" si="69"/>
        <v>1</v>
      </c>
      <c r="G769" s="41" t="s">
        <v>829</v>
      </c>
      <c r="H769" s="28" t="s">
        <v>40</v>
      </c>
      <c r="I769" s="158"/>
      <c r="J769" s="30">
        <v>2714.4</v>
      </c>
      <c r="K769" s="30">
        <v>5834.72</v>
      </c>
      <c r="L769" s="30">
        <f>ROUND(J769-J769*$Q$3,2)</f>
        <v>2714.4</v>
      </c>
      <c r="M769" s="30">
        <f>ROUND(K769-K769*$Q$3,2)</f>
        <v>5834.72</v>
      </c>
      <c r="N769" s="30">
        <f>ROUND('Смета ЕР (общ) '!$I769*'Смета ЕР (общ) '!$L769,2)</f>
        <v>0</v>
      </c>
      <c r="O769" s="30">
        <f>ROUND('Смета ЕР (общ) '!$I769*'Смета ЕР (общ) '!$M769,2)</f>
        <v>0</v>
      </c>
      <c r="P769" s="45"/>
    </row>
    <row r="770" spans="1:20" ht="14.4" hidden="1" x14ac:dyDescent="0.3">
      <c r="A770" s="19" t="s">
        <v>830</v>
      </c>
      <c r="B770" s="19">
        <v>0</v>
      </c>
      <c r="C770" s="19"/>
      <c r="D770" s="19">
        <v>0</v>
      </c>
      <c r="E770" s="19" t="str">
        <f>CONCATENATE('Смета ЕР (общ) '!$A770,".",'Смета ЕР (общ) '!$B770,".",'Смета ЕР (общ) '!$D770)</f>
        <v>Р6.0.0</v>
      </c>
      <c r="F770" s="19">
        <f t="shared" si="69"/>
        <v>1</v>
      </c>
      <c r="G770" s="21" t="s">
        <v>831</v>
      </c>
      <c r="H770" s="22"/>
      <c r="I770" s="23"/>
      <c r="J770" s="36"/>
      <c r="K770" s="36"/>
      <c r="L770" s="25"/>
      <c r="M770" s="25"/>
      <c r="N770" s="25">
        <f>ROUND(N771,2)</f>
        <v>0</v>
      </c>
      <c r="O770" s="25">
        <f>ROUND(O771,2)</f>
        <v>0</v>
      </c>
      <c r="P770" s="86"/>
      <c r="T770">
        <v>246510.68</v>
      </c>
    </row>
    <row r="771" spans="1:20" ht="14.4" hidden="1" x14ac:dyDescent="0.3">
      <c r="A771" s="19" t="s">
        <v>830</v>
      </c>
      <c r="B771" s="19">
        <v>1</v>
      </c>
      <c r="C771" s="19"/>
      <c r="D771" s="19">
        <v>0</v>
      </c>
      <c r="E771" s="19" t="str">
        <f>CONCATENATE('Смета ЕР (общ) '!$A771,".",'Смета ЕР (общ) '!$B771,".",'Смета ЕР (общ) '!$D771)</f>
        <v>Р6.1.0</v>
      </c>
      <c r="F771" s="19">
        <f t="shared" si="69"/>
        <v>1</v>
      </c>
      <c r="G771" s="21" t="s">
        <v>832</v>
      </c>
      <c r="H771" s="22"/>
      <c r="I771" s="23"/>
      <c r="J771" s="36"/>
      <c r="K771" s="36"/>
      <c r="L771" s="25"/>
      <c r="M771" s="25"/>
      <c r="N771" s="25">
        <f>SUM(N772:N897)</f>
        <v>0</v>
      </c>
      <c r="O771" s="25">
        <f>SUM(O772:O897)</f>
        <v>0</v>
      </c>
      <c r="P771" s="45"/>
      <c r="T771">
        <v>246510.68000000002</v>
      </c>
    </row>
    <row r="772" spans="1:20" ht="14.4" hidden="1" x14ac:dyDescent="0.3">
      <c r="A772" s="26" t="s">
        <v>830</v>
      </c>
      <c r="B772" s="26">
        <v>1</v>
      </c>
      <c r="C772" s="26"/>
      <c r="D772" s="26">
        <v>1</v>
      </c>
      <c r="E772" s="26" t="str">
        <f>CONCATENATE('Смета ЕР (общ) '!$A772,".",'Смета ЕР (общ) '!$B772,".",'Смета ЕР (общ) '!$D772)</f>
        <v>Р6.1.1</v>
      </c>
      <c r="F772" s="26">
        <f t="shared" si="69"/>
        <v>1</v>
      </c>
      <c r="G772" s="27" t="s">
        <v>833</v>
      </c>
      <c r="H772" s="28" t="s">
        <v>118</v>
      </c>
      <c r="I772" s="158"/>
      <c r="J772" s="30">
        <v>2090</v>
      </c>
      <c r="K772" s="30">
        <v>0</v>
      </c>
      <c r="L772" s="30">
        <f t="shared" ref="L772:M775" si="72">ROUND(J772-J772*$Q$3,2)</f>
        <v>2090</v>
      </c>
      <c r="M772" s="30">
        <f t="shared" si="72"/>
        <v>0</v>
      </c>
      <c r="N772" s="30">
        <f>ROUND('Смета ЕР (общ) '!$I772*'Смета ЕР (общ) '!$L772,2)</f>
        <v>0</v>
      </c>
      <c r="O772" s="30">
        <f>ROUND('Смета ЕР (общ) '!$I772*'Смета ЕР (общ) '!$M772,2)</f>
        <v>0</v>
      </c>
      <c r="P772" s="45"/>
      <c r="T772">
        <v>3</v>
      </c>
    </row>
    <row r="773" spans="1:20" ht="24" hidden="1" x14ac:dyDescent="0.3">
      <c r="A773" s="26" t="s">
        <v>830</v>
      </c>
      <c r="B773" s="26">
        <v>1</v>
      </c>
      <c r="C773" s="26"/>
      <c r="D773" s="26">
        <v>2</v>
      </c>
      <c r="E773" s="26" t="str">
        <f>CONCATENATE('Смета ЕР (общ) '!$A773,".",'Смета ЕР (общ) '!$B773,".",'Смета ЕР (общ) '!$D773)</f>
        <v>Р6.1.2</v>
      </c>
      <c r="F773" s="26">
        <f t="shared" si="69"/>
        <v>1</v>
      </c>
      <c r="G773" s="27" t="s">
        <v>834</v>
      </c>
      <c r="H773" s="28" t="s">
        <v>118</v>
      </c>
      <c r="I773" s="158"/>
      <c r="J773" s="30">
        <v>4702.5</v>
      </c>
      <c r="K773" s="30">
        <v>0</v>
      </c>
      <c r="L773" s="30">
        <f t="shared" si="72"/>
        <v>4702.5</v>
      </c>
      <c r="M773" s="30">
        <f t="shared" si="72"/>
        <v>0</v>
      </c>
      <c r="N773" s="30">
        <f>ROUND('Смета ЕР (общ) '!$I773*'Смета ЕР (общ) '!$L773,2)</f>
        <v>0</v>
      </c>
      <c r="O773" s="30">
        <f>ROUND('Смета ЕР (общ) '!$I773*'Смета ЕР (общ) '!$M773,2)</f>
        <v>0</v>
      </c>
      <c r="P773" s="45"/>
      <c r="T773">
        <v>3</v>
      </c>
    </row>
    <row r="774" spans="1:20" ht="14.4" hidden="1" x14ac:dyDescent="0.3">
      <c r="A774" s="26" t="s">
        <v>830</v>
      </c>
      <c r="B774" s="26">
        <v>1</v>
      </c>
      <c r="C774" s="26"/>
      <c r="D774" s="26">
        <v>19</v>
      </c>
      <c r="E774" s="26" t="str">
        <f>CONCATENATE('Смета ЕР (общ) '!$A774,".",'Смета ЕР (общ) '!$B774,".",'Смета ЕР (общ) '!$D774)</f>
        <v>Р6.1.19</v>
      </c>
      <c r="F774" s="26">
        <f t="shared" si="69"/>
        <v>1</v>
      </c>
      <c r="G774" s="27" t="s">
        <v>835</v>
      </c>
      <c r="H774" s="42" t="s">
        <v>836</v>
      </c>
      <c r="I774" s="158"/>
      <c r="J774" s="30">
        <v>470.25</v>
      </c>
      <c r="K774" s="30">
        <f>[14]Радиаторы!BC32/10</f>
        <v>971.25</v>
      </c>
      <c r="L774" s="30">
        <f>ROUND(J774-J774*$Q$3,2)</f>
        <v>470.25</v>
      </c>
      <c r="M774" s="54">
        <f>K774</f>
        <v>971.25</v>
      </c>
      <c r="N774" s="30">
        <f>ROUND('Смета ЕР (общ) '!$I774*'Смета ЕР (общ) '!$L774,2)</f>
        <v>0</v>
      </c>
      <c r="O774" s="30">
        <f>ROUND('Смета ЕР (общ) '!$I774*'Смета ЕР (общ) '!$M774,2)</f>
        <v>0</v>
      </c>
      <c r="P774" s="55" t="s">
        <v>837</v>
      </c>
    </row>
    <row r="775" spans="1:20" ht="18" hidden="1" customHeight="1" x14ac:dyDescent="0.3">
      <c r="A775" s="26" t="s">
        <v>830</v>
      </c>
      <c r="B775" s="26">
        <v>1</v>
      </c>
      <c r="C775" s="26"/>
      <c r="D775" s="26">
        <v>53</v>
      </c>
      <c r="E775" s="26" t="str">
        <f>CONCATENATE('Смета ЕР (общ) '!$A775,".",'Смета ЕР (общ) '!$B775,".",'Смета ЕР (общ) '!$D775)</f>
        <v>Р6.1.53</v>
      </c>
      <c r="F775" s="26">
        <f t="shared" si="69"/>
        <v>1</v>
      </c>
      <c r="G775" s="27" t="s">
        <v>838</v>
      </c>
      <c r="H775" s="42" t="s">
        <v>836</v>
      </c>
      <c r="I775" s="158"/>
      <c r="J775" s="30">
        <v>470.25</v>
      </c>
      <c r="K775" s="30">
        <f>[14]Радиаторы!BC33/10</f>
        <v>993.3</v>
      </c>
      <c r="L775" s="30">
        <f t="shared" si="72"/>
        <v>470.25</v>
      </c>
      <c r="M775" s="54">
        <f t="shared" ref="M775:M776" si="73">K775</f>
        <v>993.3</v>
      </c>
      <c r="N775" s="30">
        <f>ROUND('Смета ЕР (общ) '!$I775*'Смета ЕР (общ) '!$L775,2)</f>
        <v>0</v>
      </c>
      <c r="O775" s="30">
        <f>ROUND('Смета ЕР (общ) '!$I775*'Смета ЕР (общ) '!$M775,2)</f>
        <v>0</v>
      </c>
      <c r="P775" s="55" t="s">
        <v>837</v>
      </c>
      <c r="Q775" s="56">
        <v>3.7323831515248027E-2</v>
      </c>
    </row>
    <row r="776" spans="1:20" ht="14.4" hidden="1" x14ac:dyDescent="0.3">
      <c r="A776" s="26" t="s">
        <v>830</v>
      </c>
      <c r="B776" s="26">
        <v>1</v>
      </c>
      <c r="C776" s="26"/>
      <c r="D776" s="26">
        <v>3</v>
      </c>
      <c r="E776" s="26" t="str">
        <f>CONCATENATE('Смета ЕР (общ) '!$A776,".",'Смета ЕР (общ) '!$B776,".",'Смета ЕР (общ) '!$D776)</f>
        <v>Р6.1.3</v>
      </c>
      <c r="F776" s="26">
        <f t="shared" si="69"/>
        <v>1</v>
      </c>
      <c r="G776" s="27" t="s">
        <v>839</v>
      </c>
      <c r="H776" s="42" t="s">
        <v>836</v>
      </c>
      <c r="I776" s="158"/>
      <c r="J776" s="30">
        <v>470.25</v>
      </c>
      <c r="K776" s="30">
        <f>[14]Радиаторы!BC34/10</f>
        <v>1014.3</v>
      </c>
      <c r="L776" s="30">
        <f>ROUND(J776-J776*$Q$3,2)</f>
        <v>470.25</v>
      </c>
      <c r="M776" s="54">
        <f t="shared" si="73"/>
        <v>1014.3</v>
      </c>
      <c r="N776" s="30">
        <f>ROUND('Смета ЕР (общ) '!$I776*'Смета ЕР (общ) '!$L776,2)</f>
        <v>0</v>
      </c>
      <c r="O776" s="30">
        <f>ROUND('Смета ЕР (общ) '!$I776*'Смета ЕР (общ) '!$M776,2)</f>
        <v>0</v>
      </c>
      <c r="P776" s="55" t="s">
        <v>837</v>
      </c>
      <c r="Q776" s="56">
        <v>0.57926586511664935</v>
      </c>
      <c r="T776">
        <v>30</v>
      </c>
    </row>
    <row r="777" spans="1:20" ht="14.4" hidden="1" x14ac:dyDescent="0.3">
      <c r="A777" s="26" t="s">
        <v>830</v>
      </c>
      <c r="B777" s="26">
        <v>1</v>
      </c>
      <c r="C777" s="26"/>
      <c r="D777" s="26">
        <v>81</v>
      </c>
      <c r="E777" s="26" t="str">
        <f>CONCATENATE('Смета ЕР (общ) '!$A777,".",'Смета ЕР (общ) '!$B777,".",'Смета ЕР (общ) '!$D777)</f>
        <v>Р6.1.81</v>
      </c>
      <c r="F777" s="26">
        <f t="shared" si="69"/>
        <v>1</v>
      </c>
      <c r="G777" s="27" t="s">
        <v>840</v>
      </c>
      <c r="H777" s="42" t="s">
        <v>118</v>
      </c>
      <c r="I777" s="158"/>
      <c r="J777" s="30">
        <v>588.12</v>
      </c>
      <c r="K777" s="30">
        <f>[14]Радиаторы!BC171</f>
        <v>985.95</v>
      </c>
      <c r="L777" s="30">
        <f t="shared" ref="L777:M832" si="74">ROUND(J777-J777*$Q$3,2)</f>
        <v>588.12</v>
      </c>
      <c r="M777" s="54">
        <f>K777</f>
        <v>985.95</v>
      </c>
      <c r="N777" s="30">
        <f>ROUND('Смета ЕР (общ) '!$I777*'Смета ЕР (общ) '!$L777,2)</f>
        <v>0</v>
      </c>
      <c r="O777" s="30">
        <f>ROUND('Смета ЕР (общ) '!$I777*'Смета ЕР (общ) '!$M777,2)</f>
        <v>0</v>
      </c>
      <c r="P777" s="55" t="s">
        <v>837</v>
      </c>
      <c r="Q777" s="56" t="s">
        <v>841</v>
      </c>
    </row>
    <row r="778" spans="1:20" ht="14.4" hidden="1" x14ac:dyDescent="0.3">
      <c r="A778" s="26" t="s">
        <v>830</v>
      </c>
      <c r="B778" s="26">
        <v>1</v>
      </c>
      <c r="C778" s="26"/>
      <c r="D778" s="26">
        <v>82</v>
      </c>
      <c r="E778" s="26" t="str">
        <f>CONCATENATE('Смета ЕР (общ) '!$A778,".",'Смета ЕР (общ) '!$B778,".",'Смета ЕР (общ) '!$D778)</f>
        <v>Р6.1.82</v>
      </c>
      <c r="F778" s="26">
        <f t="shared" si="69"/>
        <v>1</v>
      </c>
      <c r="G778" s="27" t="s">
        <v>842</v>
      </c>
      <c r="H778" s="28" t="s">
        <v>64</v>
      </c>
      <c r="I778" s="158"/>
      <c r="J778" s="30">
        <v>271.44</v>
      </c>
      <c r="K778" s="30">
        <f>[14]Радиаторы!BC172</f>
        <v>985.95</v>
      </c>
      <c r="L778" s="30">
        <f t="shared" si="74"/>
        <v>271.44</v>
      </c>
      <c r="M778" s="54">
        <f t="shared" ref="M778:M831" si="75">K778</f>
        <v>985.95</v>
      </c>
      <c r="N778" s="30">
        <f>ROUND('Смета ЕР (общ) '!$I778*'Смета ЕР (общ) '!$L778,2)</f>
        <v>0</v>
      </c>
      <c r="O778" s="30">
        <f>ROUND('Смета ЕР (общ) '!$I778*'Смета ЕР (общ) '!$M778,2)</f>
        <v>0</v>
      </c>
      <c r="P778" s="55" t="s">
        <v>837</v>
      </c>
      <c r="Q778" s="56" t="s">
        <v>843</v>
      </c>
    </row>
    <row r="779" spans="1:20" ht="14.4" hidden="1" x14ac:dyDescent="0.3">
      <c r="A779" s="26" t="s">
        <v>830</v>
      </c>
      <c r="B779" s="26">
        <v>1</v>
      </c>
      <c r="C779" s="26"/>
      <c r="D779" s="26">
        <v>83</v>
      </c>
      <c r="E779" s="26" t="str">
        <f>CONCATENATE('Смета ЕР (общ) '!$A779,".",'Смета ЕР (общ) '!$B779,".",'Смета ЕР (общ) '!$D779)</f>
        <v>Р6.1.83</v>
      </c>
      <c r="F779" s="26">
        <f t="shared" si="69"/>
        <v>1</v>
      </c>
      <c r="G779" s="27" t="s">
        <v>844</v>
      </c>
      <c r="H779" s="28" t="s">
        <v>64</v>
      </c>
      <c r="I779" s="158"/>
      <c r="J779" s="30">
        <v>271.44</v>
      </c>
      <c r="K779" s="30">
        <f>[14]Радиаторы!BC173</f>
        <v>1009.05</v>
      </c>
      <c r="L779" s="30">
        <f t="shared" si="74"/>
        <v>271.44</v>
      </c>
      <c r="M779" s="54">
        <f t="shared" si="75"/>
        <v>1009.05</v>
      </c>
      <c r="N779" s="30">
        <f>ROUND('Смета ЕР (общ) '!$I779*'Смета ЕР (общ) '!$L779,2)</f>
        <v>0</v>
      </c>
      <c r="O779" s="30">
        <f>ROUND('Смета ЕР (общ) '!$I779*'Смета ЕР (общ) '!$M779,2)</f>
        <v>0</v>
      </c>
      <c r="P779" s="55" t="s">
        <v>837</v>
      </c>
      <c r="Q779" s="56" t="s">
        <v>843</v>
      </c>
    </row>
    <row r="780" spans="1:20" ht="15" hidden="1" customHeight="1" x14ac:dyDescent="0.3">
      <c r="A780" s="26" t="s">
        <v>830</v>
      </c>
      <c r="B780" s="26">
        <v>1</v>
      </c>
      <c r="C780" s="26"/>
      <c r="D780" s="26">
        <v>84</v>
      </c>
      <c r="E780" s="26" t="str">
        <f>CONCATENATE('Смета ЕР (общ) '!$A780,".",'Смета ЕР (общ) '!$B780,".",'Смета ЕР (общ) '!$D780)</f>
        <v>Р6.1.84</v>
      </c>
      <c r="F780" s="26">
        <f t="shared" si="69"/>
        <v>1</v>
      </c>
      <c r="G780" s="27" t="s">
        <v>845</v>
      </c>
      <c r="H780" s="28" t="s">
        <v>64</v>
      </c>
      <c r="I780" s="158"/>
      <c r="J780" s="30">
        <v>271.44</v>
      </c>
      <c r="K780" s="30">
        <f>[14]Радиаторы!BC174</f>
        <v>418.95</v>
      </c>
      <c r="L780" s="30">
        <f t="shared" si="74"/>
        <v>271.44</v>
      </c>
      <c r="M780" s="54">
        <f t="shared" si="75"/>
        <v>418.95</v>
      </c>
      <c r="N780" s="30">
        <f>ROUND('Смета ЕР (общ) '!$I780*'Смета ЕР (общ) '!$L780,2)</f>
        <v>0</v>
      </c>
      <c r="O780" s="30">
        <f>ROUND('Смета ЕР (общ) '!$I780*'Смета ЕР (общ) '!$M780,2)</f>
        <v>0</v>
      </c>
      <c r="P780" s="55" t="s">
        <v>837</v>
      </c>
      <c r="Q780" s="56"/>
    </row>
    <row r="781" spans="1:20" ht="15" hidden="1" customHeight="1" x14ac:dyDescent="0.3">
      <c r="A781" s="26" t="s">
        <v>830</v>
      </c>
      <c r="B781" s="26">
        <v>1</v>
      </c>
      <c r="C781" s="26"/>
      <c r="D781" s="26">
        <v>85</v>
      </c>
      <c r="E781" s="26" t="str">
        <f>CONCATENATE('Смета ЕР (общ) '!$A781,".",'Смета ЕР (общ) '!$B781,".",'Смета ЕР (общ) '!$D781)</f>
        <v>Р6.1.85</v>
      </c>
      <c r="F781" s="26">
        <f t="shared" si="69"/>
        <v>1</v>
      </c>
      <c r="G781" s="27" t="s">
        <v>846</v>
      </c>
      <c r="H781" s="28" t="s">
        <v>64</v>
      </c>
      <c r="I781" s="158"/>
      <c r="J781" s="30">
        <v>271.44</v>
      </c>
      <c r="K781" s="30">
        <f>[14]Радиаторы!BC175</f>
        <v>515.54999999999995</v>
      </c>
      <c r="L781" s="30">
        <f t="shared" si="74"/>
        <v>271.44</v>
      </c>
      <c r="M781" s="54">
        <f t="shared" si="75"/>
        <v>515.54999999999995</v>
      </c>
      <c r="N781" s="30">
        <f>ROUND('Смета ЕР (общ) '!$I781*'Смета ЕР (общ) '!$L781,2)</f>
        <v>0</v>
      </c>
      <c r="O781" s="30">
        <f>ROUND('Смета ЕР (общ) '!$I781*'Смета ЕР (общ) '!$M781,2)</f>
        <v>0</v>
      </c>
      <c r="P781" s="55" t="s">
        <v>837</v>
      </c>
      <c r="Q781" s="56"/>
    </row>
    <row r="782" spans="1:20" ht="15" hidden="1" customHeight="1" x14ac:dyDescent="0.3">
      <c r="A782" s="26" t="s">
        <v>830</v>
      </c>
      <c r="B782" s="26">
        <v>1</v>
      </c>
      <c r="C782" s="26"/>
      <c r="D782" s="26">
        <v>86</v>
      </c>
      <c r="E782" s="26" t="str">
        <f>CONCATENATE('Смета ЕР (общ) '!$A782,".",'Смета ЕР (общ) '!$B782,".",'Смета ЕР (общ) '!$D782)</f>
        <v>Р6.1.86</v>
      </c>
      <c r="F782" s="26">
        <f t="shared" si="69"/>
        <v>1</v>
      </c>
      <c r="G782" s="27" t="s">
        <v>847</v>
      </c>
      <c r="H782" s="28" t="s">
        <v>64</v>
      </c>
      <c r="I782" s="158"/>
      <c r="J782" s="30">
        <v>271.44</v>
      </c>
      <c r="K782" s="30">
        <f>[14]Радиаторы!BC176</f>
        <v>1382.85</v>
      </c>
      <c r="L782" s="30">
        <f t="shared" si="74"/>
        <v>271.44</v>
      </c>
      <c r="M782" s="54">
        <f t="shared" si="75"/>
        <v>1382.85</v>
      </c>
      <c r="N782" s="30">
        <f>ROUND('Смета ЕР (общ) '!$I782*'Смета ЕР (общ) '!$L782,2)</f>
        <v>0</v>
      </c>
      <c r="O782" s="30">
        <f>ROUND('Смета ЕР (общ) '!$I782*'Смета ЕР (общ) '!$M782,2)</f>
        <v>0</v>
      </c>
      <c r="P782" s="55" t="s">
        <v>837</v>
      </c>
      <c r="Q782" s="56" t="s">
        <v>841</v>
      </c>
    </row>
    <row r="783" spans="1:20" ht="15" hidden="1" customHeight="1" x14ac:dyDescent="0.3">
      <c r="A783" s="26" t="s">
        <v>830</v>
      </c>
      <c r="B783" s="26">
        <v>1</v>
      </c>
      <c r="C783" s="26"/>
      <c r="D783" s="26">
        <v>87</v>
      </c>
      <c r="E783" s="26" t="str">
        <f>CONCATENATE('Смета ЕР (общ) '!$A783,".",'Смета ЕР (общ) '!$B783,".",'Смета ЕР (общ) '!$D783)</f>
        <v>Р6.1.87</v>
      </c>
      <c r="F783" s="26">
        <f t="shared" ref="F783:F846" si="76">IF(I783&gt;0,F782+1,F782)</f>
        <v>1</v>
      </c>
      <c r="G783" s="27" t="s">
        <v>848</v>
      </c>
      <c r="H783" s="28" t="s">
        <v>64</v>
      </c>
      <c r="I783" s="158"/>
      <c r="J783" s="30">
        <v>271.44</v>
      </c>
      <c r="K783" s="30">
        <f>[14]Радиаторы!BC177</f>
        <v>1442.7</v>
      </c>
      <c r="L783" s="30">
        <f t="shared" si="74"/>
        <v>271.44</v>
      </c>
      <c r="M783" s="54">
        <f t="shared" si="75"/>
        <v>1442.7</v>
      </c>
      <c r="N783" s="30">
        <f>ROUND('Смета ЕР (общ) '!$I783*'Смета ЕР (общ) '!$L783,2)</f>
        <v>0</v>
      </c>
      <c r="O783" s="30">
        <f>ROUND('Смета ЕР (общ) '!$I783*'Смета ЕР (общ) '!$M783,2)</f>
        <v>0</v>
      </c>
      <c r="P783" s="55" t="s">
        <v>837</v>
      </c>
      <c r="Q783" s="56"/>
    </row>
    <row r="784" spans="1:20" ht="14.4" hidden="1" x14ac:dyDescent="0.3">
      <c r="A784" s="26" t="s">
        <v>830</v>
      </c>
      <c r="B784" s="26">
        <v>1</v>
      </c>
      <c r="C784" s="26"/>
      <c r="D784" s="26">
        <v>88</v>
      </c>
      <c r="E784" s="26" t="str">
        <f>CONCATENATE('Смета ЕР (общ) '!$A784,".",'Смета ЕР (общ) '!$B784,".",'Смета ЕР (общ) '!$D784)</f>
        <v>Р6.1.88</v>
      </c>
      <c r="F784" s="26">
        <f t="shared" si="76"/>
        <v>1</v>
      </c>
      <c r="G784" s="27" t="s">
        <v>849</v>
      </c>
      <c r="H784" s="28" t="s">
        <v>64</v>
      </c>
      <c r="I784" s="158"/>
      <c r="J784" s="30">
        <v>271.44</v>
      </c>
      <c r="K784" s="30">
        <f>[14]Радиаторы!BC178</f>
        <v>546</v>
      </c>
      <c r="L784" s="30">
        <f t="shared" si="74"/>
        <v>271.44</v>
      </c>
      <c r="M784" s="54">
        <f t="shared" si="75"/>
        <v>546</v>
      </c>
      <c r="N784" s="30">
        <f>ROUND('Смета ЕР (общ) '!$I784*'Смета ЕР (общ) '!$L784,2)</f>
        <v>0</v>
      </c>
      <c r="O784" s="30">
        <f>ROUND('Смета ЕР (общ) '!$I784*'Смета ЕР (общ) '!$M784,2)</f>
        <v>0</v>
      </c>
      <c r="P784" s="55" t="s">
        <v>837</v>
      </c>
      <c r="Q784" s="56"/>
    </row>
    <row r="785" spans="1:17" ht="14.4" hidden="1" x14ac:dyDescent="0.3">
      <c r="A785" s="26" t="s">
        <v>830</v>
      </c>
      <c r="B785" s="26">
        <v>1</v>
      </c>
      <c r="C785" s="26"/>
      <c r="D785" s="26">
        <v>89</v>
      </c>
      <c r="E785" s="26" t="str">
        <f>CONCATENATE('Смета ЕР (общ) '!$A785,".",'Смета ЕР (общ) '!$B785,".",'Смета ЕР (общ) '!$D785)</f>
        <v>Р6.1.89</v>
      </c>
      <c r="F785" s="26">
        <f t="shared" si="76"/>
        <v>1</v>
      </c>
      <c r="G785" s="27" t="s">
        <v>850</v>
      </c>
      <c r="H785" s="28" t="s">
        <v>64</v>
      </c>
      <c r="I785" s="158"/>
      <c r="J785" s="30">
        <v>271.44</v>
      </c>
      <c r="K785" s="30">
        <f>[14]Радиаторы!BC179</f>
        <v>1292.55</v>
      </c>
      <c r="L785" s="30">
        <f t="shared" si="74"/>
        <v>271.44</v>
      </c>
      <c r="M785" s="54">
        <f t="shared" si="75"/>
        <v>1292.55</v>
      </c>
      <c r="N785" s="30">
        <f>ROUND('Смета ЕР (общ) '!$I785*'Смета ЕР (общ) '!$L785,2)</f>
        <v>0</v>
      </c>
      <c r="O785" s="30">
        <f>ROUND('Смета ЕР (общ) '!$I785*'Смета ЕР (общ) '!$M785,2)</f>
        <v>0</v>
      </c>
      <c r="P785" s="55" t="s">
        <v>837</v>
      </c>
      <c r="Q785" s="56"/>
    </row>
    <row r="786" spans="1:17" ht="14.4" hidden="1" x14ac:dyDescent="0.3">
      <c r="A786" s="26" t="s">
        <v>830</v>
      </c>
      <c r="B786" s="26">
        <v>1</v>
      </c>
      <c r="C786" s="26"/>
      <c r="D786" s="26">
        <v>90</v>
      </c>
      <c r="E786" s="26" t="str">
        <f>CONCATENATE('Смета ЕР (общ) '!$A786,".",'Смета ЕР (общ) '!$B786,".",'Смета ЕР (общ) '!$D786)</f>
        <v>Р6.1.90</v>
      </c>
      <c r="F786" s="26">
        <f t="shared" si="76"/>
        <v>1</v>
      </c>
      <c r="G786" s="27" t="s">
        <v>851</v>
      </c>
      <c r="H786" s="28" t="s">
        <v>64</v>
      </c>
      <c r="I786" s="158"/>
      <c r="J786" s="30">
        <v>305.37</v>
      </c>
      <c r="K786" s="30">
        <f>[14]Радиаторы!BC180</f>
        <v>400.68</v>
      </c>
      <c r="L786" s="30">
        <f t="shared" si="74"/>
        <v>305.37</v>
      </c>
      <c r="M786" s="54">
        <f t="shared" si="75"/>
        <v>400.68</v>
      </c>
      <c r="N786" s="30">
        <f>ROUND('Смета ЕР (общ) '!$I786*'Смета ЕР (общ) '!$L786,2)</f>
        <v>0</v>
      </c>
      <c r="O786" s="30">
        <f>ROUND('Смета ЕР (общ) '!$I786*'Смета ЕР (общ) '!$M786,2)</f>
        <v>0</v>
      </c>
      <c r="P786" s="55" t="s">
        <v>837</v>
      </c>
      <c r="Q786" s="56"/>
    </row>
    <row r="787" spans="1:17" ht="14.4" hidden="1" x14ac:dyDescent="0.3">
      <c r="A787" s="26" t="s">
        <v>830</v>
      </c>
      <c r="B787" s="26">
        <v>1</v>
      </c>
      <c r="C787" s="26"/>
      <c r="D787" s="26">
        <v>91</v>
      </c>
      <c r="E787" s="26" t="str">
        <f>CONCATENATE('Смета ЕР (общ) '!$A787,".",'Смета ЕР (общ) '!$B787,".",'Смета ЕР (общ) '!$D787)</f>
        <v>Р6.1.91</v>
      </c>
      <c r="F787" s="26">
        <f t="shared" si="76"/>
        <v>1</v>
      </c>
      <c r="G787" s="27" t="s">
        <v>852</v>
      </c>
      <c r="H787" s="28" t="s">
        <v>64</v>
      </c>
      <c r="I787" s="158"/>
      <c r="J787" s="30">
        <v>271.44</v>
      </c>
      <c r="K787" s="30">
        <f>[14]Радиаторы!BC181</f>
        <v>20.220000000000002</v>
      </c>
      <c r="L787" s="30">
        <f t="shared" si="74"/>
        <v>271.44</v>
      </c>
      <c r="M787" s="54">
        <f t="shared" si="75"/>
        <v>20.220000000000002</v>
      </c>
      <c r="N787" s="30">
        <f>ROUND('Смета ЕР (общ) '!$I787*'Смета ЕР (общ) '!$L787,2)</f>
        <v>0</v>
      </c>
      <c r="O787" s="30">
        <f>ROUND('Смета ЕР (общ) '!$I787*'Смета ЕР (общ) '!$M787,2)</f>
        <v>0</v>
      </c>
      <c r="P787" s="55" t="s">
        <v>837</v>
      </c>
      <c r="Q787" s="56"/>
    </row>
    <row r="788" spans="1:17" ht="15" hidden="1" customHeight="1" x14ac:dyDescent="0.3">
      <c r="A788" s="26" t="s">
        <v>830</v>
      </c>
      <c r="B788" s="26">
        <v>1</v>
      </c>
      <c r="C788" s="26"/>
      <c r="D788" s="26">
        <v>92</v>
      </c>
      <c r="E788" s="26" t="str">
        <f>CONCATENATE('Смета ЕР (общ) '!$A788,".",'Смета ЕР (общ) '!$B788,".",'Смета ЕР (общ) '!$D788)</f>
        <v>Р6.1.92</v>
      </c>
      <c r="F788" s="26">
        <f t="shared" si="76"/>
        <v>1</v>
      </c>
      <c r="G788" s="27" t="s">
        <v>853</v>
      </c>
      <c r="H788" s="28" t="s">
        <v>64</v>
      </c>
      <c r="I788" s="158"/>
      <c r="J788" s="30">
        <v>271.44</v>
      </c>
      <c r="K788" s="30">
        <f>[14]Радиаторы!BC182</f>
        <v>32.130000000000003</v>
      </c>
      <c r="L788" s="30">
        <f t="shared" si="74"/>
        <v>271.44</v>
      </c>
      <c r="M788" s="54">
        <f t="shared" si="75"/>
        <v>32.130000000000003</v>
      </c>
      <c r="N788" s="30">
        <f>ROUND('Смета ЕР (общ) '!$I788*'Смета ЕР (общ) '!$L788,2)</f>
        <v>0</v>
      </c>
      <c r="O788" s="30">
        <f>ROUND('Смета ЕР (общ) '!$I788*'Смета ЕР (общ) '!$M788,2)</f>
        <v>0</v>
      </c>
      <c r="P788" s="55" t="s">
        <v>837</v>
      </c>
      <c r="Q788" s="56"/>
    </row>
    <row r="789" spans="1:17" ht="14.4" hidden="1" x14ac:dyDescent="0.3">
      <c r="A789" s="26" t="s">
        <v>830</v>
      </c>
      <c r="B789" s="26">
        <v>1</v>
      </c>
      <c r="C789" s="26"/>
      <c r="D789" s="26">
        <v>93</v>
      </c>
      <c r="E789" s="26" t="str">
        <f>CONCATENATE('Смета ЕР (общ) '!$A789,".",'Смета ЕР (общ) '!$B789,".",'Смета ЕР (общ) '!$D789)</f>
        <v>Р6.1.93</v>
      </c>
      <c r="F789" s="26">
        <f t="shared" si="76"/>
        <v>1</v>
      </c>
      <c r="G789" s="27" t="s">
        <v>854</v>
      </c>
      <c r="H789" s="28" t="s">
        <v>64</v>
      </c>
      <c r="I789" s="158"/>
      <c r="J789" s="30">
        <v>271.44</v>
      </c>
      <c r="K789" s="30">
        <f>[14]Радиаторы!BC183</f>
        <v>37.489999999999995</v>
      </c>
      <c r="L789" s="30">
        <f t="shared" si="74"/>
        <v>271.44</v>
      </c>
      <c r="M789" s="54">
        <f t="shared" si="75"/>
        <v>37.489999999999995</v>
      </c>
      <c r="N789" s="30">
        <f>ROUND('Смета ЕР (общ) '!$I789*'Смета ЕР (общ) '!$L789,2)</f>
        <v>0</v>
      </c>
      <c r="O789" s="30">
        <f>ROUND('Смета ЕР (общ) '!$I789*'Смета ЕР (общ) '!$M789,2)</f>
        <v>0</v>
      </c>
      <c r="P789" s="55" t="s">
        <v>837</v>
      </c>
      <c r="Q789" s="56"/>
    </row>
    <row r="790" spans="1:17" ht="15" hidden="1" customHeight="1" x14ac:dyDescent="0.3">
      <c r="A790" s="26" t="s">
        <v>830</v>
      </c>
      <c r="B790" s="26">
        <v>1</v>
      </c>
      <c r="C790" s="26"/>
      <c r="D790" s="26">
        <v>94</v>
      </c>
      <c r="E790" s="26" t="str">
        <f>CONCATENATE('Смета ЕР (общ) '!$A790,".",'Смета ЕР (общ) '!$B790,".",'Смета ЕР (общ) '!$D790)</f>
        <v>Р6.1.94</v>
      </c>
      <c r="F790" s="26">
        <f t="shared" si="76"/>
        <v>1</v>
      </c>
      <c r="G790" s="27" t="s">
        <v>855</v>
      </c>
      <c r="H790" s="28" t="s">
        <v>64</v>
      </c>
      <c r="I790" s="158"/>
      <c r="J790" s="30">
        <v>271.44</v>
      </c>
      <c r="K790" s="30">
        <f>[14]Радиаторы!BC184</f>
        <v>37.799999999999997</v>
      </c>
      <c r="L790" s="30">
        <f t="shared" si="74"/>
        <v>271.44</v>
      </c>
      <c r="M790" s="54">
        <f t="shared" si="75"/>
        <v>37.799999999999997</v>
      </c>
      <c r="N790" s="30">
        <f>ROUND('Смета ЕР (общ) '!$I790*'Смета ЕР (общ) '!$L790,2)</f>
        <v>0</v>
      </c>
      <c r="O790" s="30">
        <f>ROUND('Смета ЕР (общ) '!$I790*'Смета ЕР (общ) '!$M790,2)</f>
        <v>0</v>
      </c>
      <c r="P790" s="55" t="s">
        <v>837</v>
      </c>
      <c r="Q790" s="56"/>
    </row>
    <row r="791" spans="1:17" ht="14.4" hidden="1" x14ac:dyDescent="0.3">
      <c r="A791" s="26" t="s">
        <v>830</v>
      </c>
      <c r="B791" s="26">
        <v>1</v>
      </c>
      <c r="C791" s="26"/>
      <c r="D791" s="26">
        <v>95</v>
      </c>
      <c r="E791" s="26" t="str">
        <f>CONCATENATE('Смета ЕР (общ) '!$A791,".",'Смета ЕР (общ) '!$B791,".",'Смета ЕР (общ) '!$D791)</f>
        <v>Р6.1.95</v>
      </c>
      <c r="F791" s="26">
        <f t="shared" si="76"/>
        <v>1</v>
      </c>
      <c r="G791" s="27" t="s">
        <v>856</v>
      </c>
      <c r="H791" s="28" t="s">
        <v>64</v>
      </c>
      <c r="I791" s="158"/>
      <c r="J791" s="30">
        <v>271.44</v>
      </c>
      <c r="K791" s="30">
        <f>[14]Радиаторы!BC185</f>
        <v>24.950000000000003</v>
      </c>
      <c r="L791" s="30">
        <f t="shared" si="74"/>
        <v>271.44</v>
      </c>
      <c r="M791" s="54">
        <f t="shared" si="75"/>
        <v>24.950000000000003</v>
      </c>
      <c r="N791" s="30">
        <f>ROUND('Смета ЕР (общ) '!$I791*'Смета ЕР (общ) '!$L791,2)</f>
        <v>0</v>
      </c>
      <c r="O791" s="30">
        <f>ROUND('Смета ЕР (общ) '!$I791*'Смета ЕР (общ) '!$M791,2)</f>
        <v>0</v>
      </c>
      <c r="P791" s="55" t="s">
        <v>837</v>
      </c>
      <c r="Q791" s="56"/>
    </row>
    <row r="792" spans="1:17" ht="15" hidden="1" customHeight="1" x14ac:dyDescent="0.3">
      <c r="A792" s="26" t="s">
        <v>830</v>
      </c>
      <c r="B792" s="26">
        <v>1</v>
      </c>
      <c r="C792" s="26"/>
      <c r="D792" s="26">
        <v>96</v>
      </c>
      <c r="E792" s="26" t="str">
        <f>CONCATENATE('Смета ЕР (общ) '!$A792,".",'Смета ЕР (общ) '!$B792,".",'Смета ЕР (общ) '!$D792)</f>
        <v>Р6.1.96</v>
      </c>
      <c r="F792" s="26">
        <f t="shared" si="76"/>
        <v>1</v>
      </c>
      <c r="G792" s="27" t="s">
        <v>857</v>
      </c>
      <c r="H792" s="28" t="s">
        <v>64</v>
      </c>
      <c r="I792" s="158"/>
      <c r="J792" s="30">
        <v>271.44</v>
      </c>
      <c r="K792" s="30">
        <f>[14]Радиаторы!BC186</f>
        <v>37.93</v>
      </c>
      <c r="L792" s="30">
        <f t="shared" si="74"/>
        <v>271.44</v>
      </c>
      <c r="M792" s="54">
        <f t="shared" si="75"/>
        <v>37.93</v>
      </c>
      <c r="N792" s="30">
        <f>ROUND('Смета ЕР (общ) '!$I792*'Смета ЕР (общ) '!$L792,2)</f>
        <v>0</v>
      </c>
      <c r="O792" s="30">
        <f>ROUND('Смета ЕР (общ) '!$I792*'Смета ЕР (общ) '!$M792,2)</f>
        <v>0</v>
      </c>
      <c r="P792" s="55" t="s">
        <v>837</v>
      </c>
      <c r="Q792" s="56"/>
    </row>
    <row r="793" spans="1:17" ht="15.75" hidden="1" customHeight="1" x14ac:dyDescent="0.3">
      <c r="A793" s="26" t="s">
        <v>830</v>
      </c>
      <c r="B793" s="26">
        <v>1</v>
      </c>
      <c r="C793" s="26"/>
      <c r="D793" s="26">
        <v>97</v>
      </c>
      <c r="E793" s="26" t="str">
        <f>CONCATENATE('Смета ЕР (общ) '!$A793,".",'Смета ЕР (общ) '!$B793,".",'Смета ЕР (общ) '!$D793)</f>
        <v>Р6.1.97</v>
      </c>
      <c r="F793" s="26">
        <f t="shared" si="76"/>
        <v>1</v>
      </c>
      <c r="G793" s="27" t="s">
        <v>858</v>
      </c>
      <c r="H793" s="28" t="s">
        <v>64</v>
      </c>
      <c r="I793" s="158"/>
      <c r="J793" s="30">
        <v>271.44</v>
      </c>
      <c r="K793" s="30">
        <f>[14]Радиаторы!BC187</f>
        <v>712.95</v>
      </c>
      <c r="L793" s="30">
        <f t="shared" si="74"/>
        <v>271.44</v>
      </c>
      <c r="M793" s="54">
        <f t="shared" si="75"/>
        <v>712.95</v>
      </c>
      <c r="N793" s="30">
        <f>ROUND('Смета ЕР (общ) '!$I793*'Смета ЕР (общ) '!$L793,2)</f>
        <v>0</v>
      </c>
      <c r="O793" s="30">
        <f>ROUND('Смета ЕР (общ) '!$I793*'Смета ЕР (общ) '!$M793,2)</f>
        <v>0</v>
      </c>
      <c r="P793" s="55" t="s">
        <v>837</v>
      </c>
      <c r="Q793" s="56" t="s">
        <v>843</v>
      </c>
    </row>
    <row r="794" spans="1:17" ht="14.4" hidden="1" x14ac:dyDescent="0.3">
      <c r="A794" s="26" t="s">
        <v>830</v>
      </c>
      <c r="B794" s="26">
        <v>1</v>
      </c>
      <c r="C794" s="26"/>
      <c r="D794" s="26">
        <v>98</v>
      </c>
      <c r="E794" s="26" t="str">
        <f>CONCATENATE('Смета ЕР (общ) '!$A794,".",'Смета ЕР (общ) '!$B794,".",'Смета ЕР (общ) '!$D794)</f>
        <v>Р6.1.98</v>
      </c>
      <c r="F794" s="26">
        <f t="shared" si="76"/>
        <v>1</v>
      </c>
      <c r="G794" s="27" t="s">
        <v>859</v>
      </c>
      <c r="H794" s="28" t="s">
        <v>64</v>
      </c>
      <c r="I794" s="158"/>
      <c r="J794" s="30">
        <v>271.44</v>
      </c>
      <c r="K794" s="30">
        <f>[14]Радиаторы!BC190</f>
        <v>681.45</v>
      </c>
      <c r="L794" s="30">
        <f t="shared" si="74"/>
        <v>271.44</v>
      </c>
      <c r="M794" s="54">
        <f t="shared" si="75"/>
        <v>681.45</v>
      </c>
      <c r="N794" s="30">
        <f>ROUND('Смета ЕР (общ) '!$I794*'Смета ЕР (общ) '!$L794,2)</f>
        <v>0</v>
      </c>
      <c r="O794" s="30">
        <f>ROUND('Смета ЕР (общ) '!$I794*'Смета ЕР (общ) '!$M794,2)</f>
        <v>0</v>
      </c>
      <c r="P794" s="55" t="s">
        <v>837</v>
      </c>
      <c r="Q794" s="56" t="s">
        <v>843</v>
      </c>
    </row>
    <row r="795" spans="1:17" ht="26.25" hidden="1" customHeight="1" x14ac:dyDescent="0.3">
      <c r="A795" s="26" t="s">
        <v>830</v>
      </c>
      <c r="B795" s="26">
        <v>1</v>
      </c>
      <c r="C795" s="26"/>
      <c r="D795" s="26">
        <v>99</v>
      </c>
      <c r="E795" s="26" t="str">
        <f>CONCATENATE('Смета ЕР (общ) '!$A795,".",'Смета ЕР (общ) '!$B795,".",'Смета ЕР (общ) '!$D795)</f>
        <v>Р6.1.99</v>
      </c>
      <c r="F795" s="26">
        <f t="shared" si="76"/>
        <v>1</v>
      </c>
      <c r="G795" s="27" t="s">
        <v>860</v>
      </c>
      <c r="H795" s="28" t="s">
        <v>64</v>
      </c>
      <c r="I795" s="158"/>
      <c r="J795" s="42">
        <v>0</v>
      </c>
      <c r="K795" s="30">
        <f>[14]Радиаторы!BC191</f>
        <v>1846.95</v>
      </c>
      <c r="L795" s="30">
        <f t="shared" si="74"/>
        <v>0</v>
      </c>
      <c r="M795" s="54">
        <f t="shared" si="75"/>
        <v>1846.95</v>
      </c>
      <c r="N795" s="30">
        <f>ROUND('Смета ЕР (общ) '!$I795*'Смета ЕР (общ) '!$L795,2)</f>
        <v>0</v>
      </c>
      <c r="O795" s="30">
        <f>ROUND('Смета ЕР (общ) '!$I795*'Смета ЕР (общ) '!$M795,2)</f>
        <v>0</v>
      </c>
      <c r="P795" s="55" t="s">
        <v>837</v>
      </c>
      <c r="Q795" s="115"/>
    </row>
    <row r="796" spans="1:17" ht="26.25" hidden="1" customHeight="1" x14ac:dyDescent="0.3">
      <c r="A796" s="26" t="s">
        <v>830</v>
      </c>
      <c r="B796" s="26">
        <v>1</v>
      </c>
      <c r="C796" s="26"/>
      <c r="D796" s="26">
        <v>100</v>
      </c>
      <c r="E796" s="26" t="str">
        <f>CONCATENATE('Смета ЕР (общ) '!$A796,".",'Смета ЕР (общ) '!$B796,".",'Смета ЕР (общ) '!$D796)</f>
        <v>Р6.1.100</v>
      </c>
      <c r="F796" s="26">
        <f t="shared" si="76"/>
        <v>1</v>
      </c>
      <c r="G796" s="27" t="s">
        <v>861</v>
      </c>
      <c r="H796" s="28" t="s">
        <v>118</v>
      </c>
      <c r="I796" s="158"/>
      <c r="J796" s="30">
        <v>271.44</v>
      </c>
      <c r="K796" s="30">
        <f>[14]Радиаторы!BC192</f>
        <v>626.85</v>
      </c>
      <c r="L796" s="30">
        <f t="shared" si="74"/>
        <v>271.44</v>
      </c>
      <c r="M796" s="54">
        <f t="shared" si="75"/>
        <v>626.85</v>
      </c>
      <c r="N796" s="30">
        <f>ROUND('Смета ЕР (общ) '!$I796*'Смета ЕР (общ) '!$L796,2)</f>
        <v>0</v>
      </c>
      <c r="O796" s="30">
        <f>ROUND('Смета ЕР (общ) '!$I796*'Смета ЕР (общ) '!$M796,2)</f>
        <v>0</v>
      </c>
      <c r="P796" s="55" t="s">
        <v>837</v>
      </c>
      <c r="Q796" s="116" t="s">
        <v>862</v>
      </c>
    </row>
    <row r="797" spans="1:17" ht="26.25" hidden="1" customHeight="1" x14ac:dyDescent="0.3">
      <c r="A797" s="26" t="s">
        <v>830</v>
      </c>
      <c r="B797" s="26">
        <v>1</v>
      </c>
      <c r="C797" s="26"/>
      <c r="D797" s="26">
        <v>101</v>
      </c>
      <c r="E797" s="26" t="str">
        <f>CONCATENATE('Смета ЕР (общ) '!$A797,".",'Смета ЕР (общ) '!$B797,".",'Смета ЕР (общ) '!$D797)</f>
        <v>Р6.1.101</v>
      </c>
      <c r="F797" s="26">
        <f t="shared" si="76"/>
        <v>1</v>
      </c>
      <c r="G797" s="27" t="s">
        <v>863</v>
      </c>
      <c r="H797" s="28" t="s">
        <v>118</v>
      </c>
      <c r="I797" s="158"/>
      <c r="J797" s="30">
        <v>271.44</v>
      </c>
      <c r="K797" s="30">
        <f>[14]Радиаторы!BC193</f>
        <v>1246.8799999999999</v>
      </c>
      <c r="L797" s="30">
        <f t="shared" si="74"/>
        <v>271.44</v>
      </c>
      <c r="M797" s="54">
        <f t="shared" si="75"/>
        <v>1246.8799999999999</v>
      </c>
      <c r="N797" s="30">
        <f>ROUND('Смета ЕР (общ) '!$I797*'Смета ЕР (общ) '!$L797,2)</f>
        <v>0</v>
      </c>
      <c r="O797" s="30">
        <f>ROUND('Смета ЕР (общ) '!$I797*'Смета ЕР (общ) '!$M797,2)</f>
        <v>0</v>
      </c>
      <c r="P797" s="55" t="s">
        <v>837</v>
      </c>
      <c r="Q797" s="116" t="s">
        <v>864</v>
      </c>
    </row>
    <row r="798" spans="1:17" ht="26.25" hidden="1" customHeight="1" x14ac:dyDescent="0.3">
      <c r="A798" s="26" t="s">
        <v>830</v>
      </c>
      <c r="B798" s="26">
        <v>1</v>
      </c>
      <c r="C798" s="26"/>
      <c r="D798" s="26">
        <v>102</v>
      </c>
      <c r="E798" s="26" t="str">
        <f>CONCATENATE('Смета ЕР (общ) '!$A798,".",'Смета ЕР (общ) '!$B798,".",'Смета ЕР (общ) '!$D798)</f>
        <v>Р6.1.102</v>
      </c>
      <c r="F798" s="26">
        <f t="shared" si="76"/>
        <v>1</v>
      </c>
      <c r="G798" s="27" t="s">
        <v>865</v>
      </c>
      <c r="H798" s="28" t="s">
        <v>118</v>
      </c>
      <c r="I798" s="158"/>
      <c r="J798" s="30">
        <v>271.44</v>
      </c>
      <c r="K798" s="30">
        <f>[14]Радиаторы!BC194</f>
        <v>411.96999999999997</v>
      </c>
      <c r="L798" s="30">
        <f t="shared" si="74"/>
        <v>271.44</v>
      </c>
      <c r="M798" s="54">
        <f t="shared" si="75"/>
        <v>411.96999999999997</v>
      </c>
      <c r="N798" s="30">
        <f>ROUND('Смета ЕР (общ) '!$I798*'Смета ЕР (общ) '!$L798,2)</f>
        <v>0</v>
      </c>
      <c r="O798" s="30">
        <f>ROUND('Смета ЕР (общ) '!$I798*'Смета ЕР (общ) '!$M798,2)</f>
        <v>0</v>
      </c>
      <c r="P798" s="55" t="s">
        <v>837</v>
      </c>
      <c r="Q798" s="116" t="s">
        <v>866</v>
      </c>
    </row>
    <row r="799" spans="1:17" ht="15" hidden="1" customHeight="1" x14ac:dyDescent="0.3">
      <c r="A799" s="26" t="s">
        <v>830</v>
      </c>
      <c r="B799" s="26">
        <v>1</v>
      </c>
      <c r="C799" s="26"/>
      <c r="D799" s="26">
        <v>103</v>
      </c>
      <c r="E799" s="26" t="str">
        <f>CONCATENATE('Смета ЕР (общ) '!$A799,".",'Смета ЕР (общ) '!$B799,".",'Смета ЕР (общ) '!$D799)</f>
        <v>Р6.1.103</v>
      </c>
      <c r="F799" s="26">
        <f>IF(I799&gt;0,F794+1,F794)</f>
        <v>1</v>
      </c>
      <c r="G799" s="27" t="s">
        <v>867</v>
      </c>
      <c r="H799" s="28" t="s">
        <v>118</v>
      </c>
      <c r="I799" s="158"/>
      <c r="J799" s="30">
        <f>$J$774*4</f>
        <v>1881</v>
      </c>
      <c r="K799" s="30">
        <f>[14]Радиаторы!BC103</f>
        <v>6585.6</v>
      </c>
      <c r="L799" s="30">
        <f t="shared" si="74"/>
        <v>1881</v>
      </c>
      <c r="M799" s="54">
        <f t="shared" si="75"/>
        <v>6585.6</v>
      </c>
      <c r="N799" s="30">
        <f>ROUND('Смета ЕР (общ) '!$I799*'Смета ЕР (общ) '!$L799,2)</f>
        <v>0</v>
      </c>
      <c r="O799" s="30">
        <f>ROUND('Смета ЕР (общ) '!$I799*'Смета ЕР (общ) '!$M799,2)</f>
        <v>0</v>
      </c>
      <c r="P799" s="55" t="s">
        <v>837</v>
      </c>
      <c r="Q799" s="56"/>
    </row>
    <row r="800" spans="1:17" ht="15" hidden="1" customHeight="1" x14ac:dyDescent="0.3">
      <c r="A800" s="26" t="s">
        <v>830</v>
      </c>
      <c r="B800" s="26">
        <v>1</v>
      </c>
      <c r="C800" s="26"/>
      <c r="D800" s="26">
        <v>104</v>
      </c>
      <c r="E800" s="26" t="str">
        <f>CONCATENATE('Смета ЕР (общ) '!$A800,".",'Смета ЕР (общ) '!$B800,".",'Смета ЕР (общ) '!$D800)</f>
        <v>Р6.1.104</v>
      </c>
      <c r="F800" s="26">
        <f t="shared" si="76"/>
        <v>1</v>
      </c>
      <c r="G800" s="27" t="s">
        <v>868</v>
      </c>
      <c r="H800" s="28" t="s">
        <v>118</v>
      </c>
      <c r="I800" s="158"/>
      <c r="J800" s="30">
        <f>$J$774*5</f>
        <v>2351.25</v>
      </c>
      <c r="K800" s="30">
        <f>[14]Радиаторы!BC104</f>
        <v>7695.45</v>
      </c>
      <c r="L800" s="30">
        <f t="shared" si="74"/>
        <v>2351.25</v>
      </c>
      <c r="M800" s="54">
        <f t="shared" si="75"/>
        <v>7695.45</v>
      </c>
      <c r="N800" s="30">
        <f>ROUND('Смета ЕР (общ) '!$I800*'Смета ЕР (общ) '!$L800,2)</f>
        <v>0</v>
      </c>
      <c r="O800" s="30">
        <f>ROUND('Смета ЕР (общ) '!$I800*'Смета ЕР (общ) '!$M800,2)</f>
        <v>0</v>
      </c>
      <c r="P800" s="55" t="s">
        <v>837</v>
      </c>
      <c r="Q800" s="56"/>
    </row>
    <row r="801" spans="1:17" ht="15" hidden="1" customHeight="1" x14ac:dyDescent="0.3">
      <c r="A801" s="26" t="s">
        <v>830</v>
      </c>
      <c r="B801" s="26">
        <v>1</v>
      </c>
      <c r="C801" s="26"/>
      <c r="D801" s="26">
        <v>105</v>
      </c>
      <c r="E801" s="26" t="str">
        <f>CONCATENATE('Смета ЕР (общ) '!$A801,".",'Смета ЕР (общ) '!$B801,".",'Смета ЕР (общ) '!$D801)</f>
        <v>Р6.1.105</v>
      </c>
      <c r="F801" s="26">
        <f t="shared" si="76"/>
        <v>1</v>
      </c>
      <c r="G801" s="27" t="s">
        <v>869</v>
      </c>
      <c r="H801" s="28" t="s">
        <v>118</v>
      </c>
      <c r="I801" s="158"/>
      <c r="J801" s="30">
        <f>$J$774*6</f>
        <v>2821.5</v>
      </c>
      <c r="K801" s="30">
        <f>[14]Радиаторы!BC105</f>
        <v>8805.2999999999993</v>
      </c>
      <c r="L801" s="30">
        <f t="shared" si="74"/>
        <v>2821.5</v>
      </c>
      <c r="M801" s="54">
        <f t="shared" si="75"/>
        <v>8805.2999999999993</v>
      </c>
      <c r="N801" s="30">
        <f>ROUND('Смета ЕР (общ) '!$I801*'Смета ЕР (общ) '!$L801,2)</f>
        <v>0</v>
      </c>
      <c r="O801" s="30">
        <f>ROUND('Смета ЕР (общ) '!$I801*'Смета ЕР (общ) '!$M801,2)</f>
        <v>0</v>
      </c>
      <c r="P801" s="55" t="s">
        <v>837</v>
      </c>
      <c r="Q801" s="56"/>
    </row>
    <row r="802" spans="1:17" ht="15" hidden="1" customHeight="1" x14ac:dyDescent="0.3">
      <c r="A802" s="26" t="s">
        <v>830</v>
      </c>
      <c r="B802" s="26">
        <v>1</v>
      </c>
      <c r="C802" s="26"/>
      <c r="D802" s="26">
        <v>106</v>
      </c>
      <c r="E802" s="26" t="str">
        <f>CONCATENATE('Смета ЕР (общ) '!$A802,".",'Смета ЕР (общ) '!$B802,".",'Смета ЕР (общ) '!$D802)</f>
        <v>Р6.1.106</v>
      </c>
      <c r="F802" s="26">
        <f t="shared" si="76"/>
        <v>1</v>
      </c>
      <c r="G802" s="27" t="s">
        <v>870</v>
      </c>
      <c r="H802" s="28" t="s">
        <v>118</v>
      </c>
      <c r="I802" s="158"/>
      <c r="J802" s="30">
        <f>$J$774*7</f>
        <v>3291.75</v>
      </c>
      <c r="K802" s="30">
        <f>[14]Радиаторы!BC106</f>
        <v>9915.15</v>
      </c>
      <c r="L802" s="30">
        <f t="shared" si="74"/>
        <v>3291.75</v>
      </c>
      <c r="M802" s="54">
        <f t="shared" si="75"/>
        <v>9915.15</v>
      </c>
      <c r="N802" s="30">
        <f>ROUND('Смета ЕР (общ) '!$I802*'Смета ЕР (общ) '!$L802,2)</f>
        <v>0</v>
      </c>
      <c r="O802" s="30">
        <f>ROUND('Смета ЕР (общ) '!$I802*'Смета ЕР (общ) '!$M802,2)</f>
        <v>0</v>
      </c>
      <c r="P802" s="55" t="s">
        <v>837</v>
      </c>
      <c r="Q802" s="56"/>
    </row>
    <row r="803" spans="1:17" ht="15" hidden="1" customHeight="1" x14ac:dyDescent="0.3">
      <c r="A803" s="26" t="s">
        <v>830</v>
      </c>
      <c r="B803" s="26">
        <v>1</v>
      </c>
      <c r="C803" s="26"/>
      <c r="D803" s="26">
        <v>107</v>
      </c>
      <c r="E803" s="26" t="str">
        <f>CONCATENATE('Смета ЕР (общ) '!$A803,".",'Смета ЕР (общ) '!$B803,".",'Смета ЕР (общ) '!$D803)</f>
        <v>Р6.1.107</v>
      </c>
      <c r="F803" s="26">
        <f t="shared" si="76"/>
        <v>1</v>
      </c>
      <c r="G803" s="27" t="s">
        <v>871</v>
      </c>
      <c r="H803" s="28" t="s">
        <v>118</v>
      </c>
      <c r="I803" s="158"/>
      <c r="J803" s="30">
        <f>$J$774*8</f>
        <v>3762</v>
      </c>
      <c r="K803" s="30">
        <f>[14]Радиаторы!BC107</f>
        <v>11025</v>
      </c>
      <c r="L803" s="30">
        <f t="shared" si="74"/>
        <v>3762</v>
      </c>
      <c r="M803" s="54">
        <f t="shared" si="75"/>
        <v>11025</v>
      </c>
      <c r="N803" s="30">
        <f>ROUND('Смета ЕР (общ) '!$I803*'Смета ЕР (общ) '!$L803,2)</f>
        <v>0</v>
      </c>
      <c r="O803" s="30">
        <f>ROUND('Смета ЕР (общ) '!$I803*'Смета ЕР (общ) '!$M803,2)</f>
        <v>0</v>
      </c>
      <c r="P803" s="55" t="s">
        <v>837</v>
      </c>
      <c r="Q803" s="56"/>
    </row>
    <row r="804" spans="1:17" ht="15" hidden="1" customHeight="1" x14ac:dyDescent="0.3">
      <c r="A804" s="26" t="s">
        <v>830</v>
      </c>
      <c r="B804" s="26">
        <v>1</v>
      </c>
      <c r="C804" s="26"/>
      <c r="D804" s="26">
        <v>108</v>
      </c>
      <c r="E804" s="26" t="str">
        <f>CONCATENATE('Смета ЕР (общ) '!$A804,".",'Смета ЕР (общ) '!$B804,".",'Смета ЕР (общ) '!$D804)</f>
        <v>Р6.1.108</v>
      </c>
      <c r="F804" s="26">
        <f t="shared" si="76"/>
        <v>1</v>
      </c>
      <c r="G804" s="27" t="s">
        <v>872</v>
      </c>
      <c r="H804" s="28" t="s">
        <v>118</v>
      </c>
      <c r="I804" s="158"/>
      <c r="J804" s="30">
        <f>$J$774*9</f>
        <v>4232.25</v>
      </c>
      <c r="K804" s="30">
        <f>[14]Радиаторы!BC108</f>
        <v>12134.85</v>
      </c>
      <c r="L804" s="30">
        <f t="shared" si="74"/>
        <v>4232.25</v>
      </c>
      <c r="M804" s="54">
        <f t="shared" si="75"/>
        <v>12134.85</v>
      </c>
      <c r="N804" s="30">
        <f>ROUND('Смета ЕР (общ) '!$I804*'Смета ЕР (общ) '!$L804,2)</f>
        <v>0</v>
      </c>
      <c r="O804" s="30">
        <f>ROUND('Смета ЕР (общ) '!$I804*'Смета ЕР (общ) '!$M804,2)</f>
        <v>0</v>
      </c>
      <c r="P804" s="55" t="s">
        <v>837</v>
      </c>
      <c r="Q804" s="56"/>
    </row>
    <row r="805" spans="1:17" ht="15" hidden="1" customHeight="1" x14ac:dyDescent="0.3">
      <c r="A805" s="26" t="s">
        <v>830</v>
      </c>
      <c r="B805" s="26">
        <v>1</v>
      </c>
      <c r="C805" s="26"/>
      <c r="D805" s="26">
        <v>109</v>
      </c>
      <c r="E805" s="26" t="str">
        <f>CONCATENATE('Смета ЕР (общ) '!$A805,".",'Смета ЕР (общ) '!$B805,".",'Смета ЕР (общ) '!$D805)</f>
        <v>Р6.1.109</v>
      </c>
      <c r="F805" s="26">
        <f t="shared" si="76"/>
        <v>1</v>
      </c>
      <c r="G805" s="27" t="s">
        <v>873</v>
      </c>
      <c r="H805" s="28" t="s">
        <v>118</v>
      </c>
      <c r="I805" s="158"/>
      <c r="J805" s="30">
        <f>$J$774*10</f>
        <v>4702.5</v>
      </c>
      <c r="K805" s="30">
        <f>[14]Радиаторы!BC109</f>
        <v>13244.7</v>
      </c>
      <c r="L805" s="30">
        <f t="shared" si="74"/>
        <v>4702.5</v>
      </c>
      <c r="M805" s="54">
        <f t="shared" si="75"/>
        <v>13244.7</v>
      </c>
      <c r="N805" s="30">
        <f>ROUND('Смета ЕР (общ) '!$I805*'Смета ЕР (общ) '!$L805,2)</f>
        <v>0</v>
      </c>
      <c r="O805" s="30">
        <f>ROUND('Смета ЕР (общ) '!$I805*'Смета ЕР (общ) '!$M805,2)</f>
        <v>0</v>
      </c>
      <c r="P805" s="55" t="s">
        <v>837</v>
      </c>
      <c r="Q805" s="56"/>
    </row>
    <row r="806" spans="1:17" ht="15" hidden="1" customHeight="1" x14ac:dyDescent="0.3">
      <c r="A806" s="26" t="s">
        <v>830</v>
      </c>
      <c r="B806" s="26">
        <v>1</v>
      </c>
      <c r="C806" s="26"/>
      <c r="D806" s="26">
        <v>110</v>
      </c>
      <c r="E806" s="26" t="str">
        <f>CONCATENATE('Смета ЕР (общ) '!$A806,".",'Смета ЕР (общ) '!$B806,".",'Смета ЕР (общ) '!$D806)</f>
        <v>Р6.1.110</v>
      </c>
      <c r="F806" s="26">
        <f t="shared" si="76"/>
        <v>1</v>
      </c>
      <c r="G806" s="27" t="s">
        <v>874</v>
      </c>
      <c r="H806" s="28" t="s">
        <v>118</v>
      </c>
      <c r="I806" s="158"/>
      <c r="J806" s="30">
        <f>$J$774*11</f>
        <v>5172.75</v>
      </c>
      <c r="K806" s="30">
        <f>[14]Радиаторы!BC110</f>
        <v>14354.55</v>
      </c>
      <c r="L806" s="30">
        <f t="shared" si="74"/>
        <v>5172.75</v>
      </c>
      <c r="M806" s="54">
        <f t="shared" si="75"/>
        <v>14354.55</v>
      </c>
      <c r="N806" s="30">
        <f>ROUND('Смета ЕР (общ) '!$I806*'Смета ЕР (общ) '!$L806,2)</f>
        <v>0</v>
      </c>
      <c r="O806" s="30">
        <f>ROUND('Смета ЕР (общ) '!$I806*'Смета ЕР (общ) '!$M806,2)</f>
        <v>0</v>
      </c>
      <c r="P806" s="55" t="s">
        <v>837</v>
      </c>
      <c r="Q806" s="56"/>
    </row>
    <row r="807" spans="1:17" ht="15" hidden="1" customHeight="1" x14ac:dyDescent="0.3">
      <c r="A807" s="26" t="s">
        <v>830</v>
      </c>
      <c r="B807" s="26">
        <v>1</v>
      </c>
      <c r="C807" s="26"/>
      <c r="D807" s="26">
        <v>111</v>
      </c>
      <c r="E807" s="26" t="str">
        <f>CONCATENATE('Смета ЕР (общ) '!$A807,".",'Смета ЕР (общ) '!$B807,".",'Смета ЕР (общ) '!$D807)</f>
        <v>Р6.1.111</v>
      </c>
      <c r="F807" s="26">
        <f t="shared" si="76"/>
        <v>1</v>
      </c>
      <c r="G807" s="27" t="s">
        <v>875</v>
      </c>
      <c r="H807" s="28" t="s">
        <v>118</v>
      </c>
      <c r="I807" s="158"/>
      <c r="J807" s="30">
        <f>$J$774*12</f>
        <v>5643</v>
      </c>
      <c r="K807" s="30">
        <f>[14]Радиаторы!BC111</f>
        <v>15464.4</v>
      </c>
      <c r="L807" s="30">
        <f t="shared" si="74"/>
        <v>5643</v>
      </c>
      <c r="M807" s="54">
        <f t="shared" si="75"/>
        <v>15464.4</v>
      </c>
      <c r="N807" s="30">
        <f>ROUND('Смета ЕР (общ) '!$I807*'Смета ЕР (общ) '!$L807,2)</f>
        <v>0</v>
      </c>
      <c r="O807" s="30">
        <f>ROUND('Смета ЕР (общ) '!$I807*'Смета ЕР (общ) '!$M807,2)</f>
        <v>0</v>
      </c>
      <c r="P807" s="55" t="s">
        <v>837</v>
      </c>
      <c r="Q807" s="56"/>
    </row>
    <row r="808" spans="1:17" ht="15" hidden="1" customHeight="1" x14ac:dyDescent="0.3">
      <c r="A808" s="26" t="s">
        <v>830</v>
      </c>
      <c r="B808" s="26">
        <v>1</v>
      </c>
      <c r="C808" s="26"/>
      <c r="D808" s="26">
        <v>112</v>
      </c>
      <c r="E808" s="26" t="str">
        <f>CONCATENATE('Смета ЕР (общ) '!$A808,".",'Смета ЕР (общ) '!$B808,".",'Смета ЕР (общ) '!$D808)</f>
        <v>Р6.1.112</v>
      </c>
      <c r="F808" s="26">
        <f t="shared" si="76"/>
        <v>1</v>
      </c>
      <c r="G808" s="27" t="s">
        <v>876</v>
      </c>
      <c r="H808" s="28" t="s">
        <v>118</v>
      </c>
      <c r="I808" s="158"/>
      <c r="J808" s="30">
        <f>$J$774*13</f>
        <v>6113.25</v>
      </c>
      <c r="K808" s="30">
        <f>[14]Радиаторы!BC112</f>
        <v>16574.25</v>
      </c>
      <c r="L808" s="30">
        <f t="shared" si="74"/>
        <v>6113.25</v>
      </c>
      <c r="M808" s="54">
        <f t="shared" si="75"/>
        <v>16574.25</v>
      </c>
      <c r="N808" s="30">
        <f>ROUND('Смета ЕР (общ) '!$I808*'Смета ЕР (общ) '!$L808,2)</f>
        <v>0</v>
      </c>
      <c r="O808" s="30">
        <f>ROUND('Смета ЕР (общ) '!$I808*'Смета ЕР (общ) '!$M808,2)</f>
        <v>0</v>
      </c>
      <c r="P808" s="55" t="s">
        <v>837</v>
      </c>
      <c r="Q808" s="56"/>
    </row>
    <row r="809" spans="1:17" ht="15" hidden="1" customHeight="1" x14ac:dyDescent="0.3">
      <c r="A809" s="26" t="s">
        <v>830</v>
      </c>
      <c r="B809" s="26">
        <v>1</v>
      </c>
      <c r="C809" s="26"/>
      <c r="D809" s="26">
        <v>113</v>
      </c>
      <c r="E809" s="26" t="str">
        <f>CONCATENATE('Смета ЕР (общ) '!$A809,".",'Смета ЕР (общ) '!$B809,".",'Смета ЕР (общ) '!$D809)</f>
        <v>Р6.1.113</v>
      </c>
      <c r="F809" s="26">
        <f t="shared" si="76"/>
        <v>1</v>
      </c>
      <c r="G809" s="27" t="s">
        <v>877</v>
      </c>
      <c r="H809" s="28" t="s">
        <v>118</v>
      </c>
      <c r="I809" s="158"/>
      <c r="J809" s="30">
        <f>$J$774*14</f>
        <v>6583.5</v>
      </c>
      <c r="K809" s="30">
        <f>[14]Радиаторы!BC113</f>
        <v>17684.099999999999</v>
      </c>
      <c r="L809" s="30">
        <f t="shared" si="74"/>
        <v>6583.5</v>
      </c>
      <c r="M809" s="54">
        <f t="shared" si="75"/>
        <v>17684.099999999999</v>
      </c>
      <c r="N809" s="30">
        <f>ROUND('Смета ЕР (общ) '!$I809*'Смета ЕР (общ) '!$L809,2)</f>
        <v>0</v>
      </c>
      <c r="O809" s="30">
        <f>ROUND('Смета ЕР (общ) '!$I809*'Смета ЕР (общ) '!$M809,2)</f>
        <v>0</v>
      </c>
      <c r="P809" s="55" t="s">
        <v>837</v>
      </c>
      <c r="Q809" s="56"/>
    </row>
    <row r="810" spans="1:17" ht="15" hidden="1" customHeight="1" x14ac:dyDescent="0.3">
      <c r="A810" s="26" t="s">
        <v>830</v>
      </c>
      <c r="B810" s="26">
        <v>1</v>
      </c>
      <c r="C810" s="26"/>
      <c r="D810" s="26">
        <v>114</v>
      </c>
      <c r="E810" s="26" t="str">
        <f>CONCATENATE('Смета ЕР (общ) '!$A810,".",'Смета ЕР (общ) '!$B810,".",'Смета ЕР (общ) '!$D810)</f>
        <v>Р6.1.114</v>
      </c>
      <c r="F810" s="26">
        <f t="shared" si="76"/>
        <v>1</v>
      </c>
      <c r="G810" s="27" t="s">
        <v>878</v>
      </c>
      <c r="H810" s="28" t="s">
        <v>118</v>
      </c>
      <c r="I810" s="158"/>
      <c r="J810" s="30">
        <f>$J$774*4</f>
        <v>1881</v>
      </c>
      <c r="K810" s="30">
        <f>[14]Радиаторы!BC114</f>
        <v>6673.8</v>
      </c>
      <c r="L810" s="30">
        <f t="shared" si="74"/>
        <v>1881</v>
      </c>
      <c r="M810" s="54">
        <f t="shared" si="75"/>
        <v>6673.8</v>
      </c>
      <c r="N810" s="30">
        <f>ROUND('Смета ЕР (общ) '!$I810*'Смета ЕР (общ) '!$L810,2)</f>
        <v>0</v>
      </c>
      <c r="O810" s="30">
        <f>ROUND('Смета ЕР (общ) '!$I810*'Смета ЕР (общ) '!$M810,2)</f>
        <v>0</v>
      </c>
      <c r="P810" s="55" t="s">
        <v>837</v>
      </c>
      <c r="Q810" s="56"/>
    </row>
    <row r="811" spans="1:17" ht="15" hidden="1" customHeight="1" x14ac:dyDescent="0.3">
      <c r="A811" s="26" t="s">
        <v>830</v>
      </c>
      <c r="B811" s="26">
        <v>1</v>
      </c>
      <c r="C811" s="26"/>
      <c r="D811" s="26">
        <v>115</v>
      </c>
      <c r="E811" s="26" t="str">
        <f>CONCATENATE('Смета ЕР (общ) '!$A811,".",'Смета ЕР (общ) '!$B811,".",'Смета ЕР (общ) '!$D811)</f>
        <v>Р6.1.115</v>
      </c>
      <c r="F811" s="26">
        <f t="shared" si="76"/>
        <v>1</v>
      </c>
      <c r="G811" s="27" t="s">
        <v>879</v>
      </c>
      <c r="H811" s="28" t="s">
        <v>118</v>
      </c>
      <c r="I811" s="158"/>
      <c r="J811" s="30">
        <f>$J$774*5</f>
        <v>2351.25</v>
      </c>
      <c r="K811" s="30">
        <f>[14]Радиаторы!BC115</f>
        <v>7805.7</v>
      </c>
      <c r="L811" s="30">
        <f t="shared" si="74"/>
        <v>2351.25</v>
      </c>
      <c r="M811" s="54">
        <f t="shared" si="75"/>
        <v>7805.7</v>
      </c>
      <c r="N811" s="30">
        <f>ROUND('Смета ЕР (общ) '!$I811*'Смета ЕР (общ) '!$L811,2)</f>
        <v>0</v>
      </c>
      <c r="O811" s="30">
        <f>ROUND('Смета ЕР (общ) '!$I811*'Смета ЕР (общ) '!$M811,2)</f>
        <v>0</v>
      </c>
      <c r="P811" s="55" t="s">
        <v>837</v>
      </c>
      <c r="Q811" s="56"/>
    </row>
    <row r="812" spans="1:17" ht="15" hidden="1" customHeight="1" x14ac:dyDescent="0.3">
      <c r="A812" s="26" t="s">
        <v>830</v>
      </c>
      <c r="B812" s="26">
        <v>1</v>
      </c>
      <c r="C812" s="26"/>
      <c r="D812" s="26">
        <v>116</v>
      </c>
      <c r="E812" s="26" t="str">
        <f>CONCATENATE('Смета ЕР (общ) '!$A812,".",'Смета ЕР (общ) '!$B812,".",'Смета ЕР (общ) '!$D812)</f>
        <v>Р6.1.116</v>
      </c>
      <c r="F812" s="26">
        <f t="shared" si="76"/>
        <v>1</v>
      </c>
      <c r="G812" s="27" t="s">
        <v>880</v>
      </c>
      <c r="H812" s="28" t="s">
        <v>118</v>
      </c>
      <c r="I812" s="158"/>
      <c r="J812" s="30">
        <f>$J$774*6</f>
        <v>2821.5</v>
      </c>
      <c r="K812" s="30">
        <f>[14]Радиаторы!BC116</f>
        <v>8937.6</v>
      </c>
      <c r="L812" s="30">
        <f t="shared" si="74"/>
        <v>2821.5</v>
      </c>
      <c r="M812" s="54">
        <f t="shared" si="75"/>
        <v>8937.6</v>
      </c>
      <c r="N812" s="30">
        <f>ROUND('Смета ЕР (общ) '!$I812*'Смета ЕР (общ) '!$L812,2)</f>
        <v>0</v>
      </c>
      <c r="O812" s="30">
        <f>ROUND('Смета ЕР (общ) '!$I812*'Смета ЕР (общ) '!$M812,2)</f>
        <v>0</v>
      </c>
      <c r="P812" s="55" t="s">
        <v>837</v>
      </c>
      <c r="Q812" s="56"/>
    </row>
    <row r="813" spans="1:17" ht="15" hidden="1" customHeight="1" x14ac:dyDescent="0.3">
      <c r="A813" s="26" t="s">
        <v>830</v>
      </c>
      <c r="B813" s="26">
        <v>1</v>
      </c>
      <c r="C813" s="26"/>
      <c r="D813" s="26">
        <v>117</v>
      </c>
      <c r="E813" s="26" t="str">
        <f>CONCATENATE('Смета ЕР (общ) '!$A813,".",'Смета ЕР (общ) '!$B813,".",'Смета ЕР (общ) '!$D813)</f>
        <v>Р6.1.117</v>
      </c>
      <c r="F813" s="26">
        <f t="shared" si="76"/>
        <v>1</v>
      </c>
      <c r="G813" s="27" t="s">
        <v>881</v>
      </c>
      <c r="H813" s="28" t="s">
        <v>118</v>
      </c>
      <c r="I813" s="158"/>
      <c r="J813" s="30">
        <f>$J$774*7</f>
        <v>3291.75</v>
      </c>
      <c r="K813" s="30">
        <f>[14]Радиаторы!BC117</f>
        <v>10069.5</v>
      </c>
      <c r="L813" s="30">
        <f t="shared" si="74"/>
        <v>3291.75</v>
      </c>
      <c r="M813" s="54">
        <f t="shared" si="75"/>
        <v>10069.5</v>
      </c>
      <c r="N813" s="30">
        <f>ROUND('Смета ЕР (общ) '!$I813*'Смета ЕР (общ) '!$L813,2)</f>
        <v>0</v>
      </c>
      <c r="O813" s="30">
        <f>ROUND('Смета ЕР (общ) '!$I813*'Смета ЕР (общ) '!$M813,2)</f>
        <v>0</v>
      </c>
      <c r="P813" s="55" t="s">
        <v>837</v>
      </c>
      <c r="Q813" s="56"/>
    </row>
    <row r="814" spans="1:17" ht="15" hidden="1" customHeight="1" x14ac:dyDescent="0.3">
      <c r="A814" s="26" t="s">
        <v>830</v>
      </c>
      <c r="B814" s="26">
        <v>1</v>
      </c>
      <c r="C814" s="26"/>
      <c r="D814" s="26">
        <v>118</v>
      </c>
      <c r="E814" s="26" t="str">
        <f>CONCATENATE('Смета ЕР (общ) '!$A814,".",'Смета ЕР (общ) '!$B814,".",'Смета ЕР (общ) '!$D814)</f>
        <v>Р6.1.118</v>
      </c>
      <c r="F814" s="26">
        <f t="shared" si="76"/>
        <v>1</v>
      </c>
      <c r="G814" s="27" t="s">
        <v>882</v>
      </c>
      <c r="H814" s="28" t="s">
        <v>118</v>
      </c>
      <c r="I814" s="158"/>
      <c r="J814" s="30">
        <f>$J$774*8</f>
        <v>3762</v>
      </c>
      <c r="K814" s="30">
        <f>[14]Радиаторы!BC118</f>
        <v>11201.4</v>
      </c>
      <c r="L814" s="30">
        <f t="shared" si="74"/>
        <v>3762</v>
      </c>
      <c r="M814" s="54">
        <f t="shared" si="75"/>
        <v>11201.4</v>
      </c>
      <c r="N814" s="30">
        <f>ROUND('Смета ЕР (общ) '!$I814*'Смета ЕР (общ) '!$L814,2)</f>
        <v>0</v>
      </c>
      <c r="O814" s="30">
        <f>ROUND('Смета ЕР (общ) '!$I814*'Смета ЕР (общ) '!$M814,2)</f>
        <v>0</v>
      </c>
      <c r="P814" s="55" t="s">
        <v>837</v>
      </c>
      <c r="Q814" s="56"/>
    </row>
    <row r="815" spans="1:17" ht="15" hidden="1" customHeight="1" x14ac:dyDescent="0.3">
      <c r="A815" s="26" t="s">
        <v>830</v>
      </c>
      <c r="B815" s="26">
        <v>1</v>
      </c>
      <c r="C815" s="26"/>
      <c r="D815" s="26">
        <v>119</v>
      </c>
      <c r="E815" s="26" t="str">
        <f>CONCATENATE('Смета ЕР (общ) '!$A815,".",'Смета ЕР (общ) '!$B815,".",'Смета ЕР (общ) '!$D815)</f>
        <v>Р6.1.119</v>
      </c>
      <c r="F815" s="26">
        <f t="shared" si="76"/>
        <v>1</v>
      </c>
      <c r="G815" s="27" t="s">
        <v>883</v>
      </c>
      <c r="H815" s="28" t="s">
        <v>118</v>
      </c>
      <c r="I815" s="158"/>
      <c r="J815" s="30">
        <f>$J$774*9</f>
        <v>4232.25</v>
      </c>
      <c r="K815" s="30">
        <f>[14]Радиаторы!BC119</f>
        <v>12333.3</v>
      </c>
      <c r="L815" s="30">
        <f t="shared" si="74"/>
        <v>4232.25</v>
      </c>
      <c r="M815" s="54">
        <f t="shared" si="75"/>
        <v>12333.3</v>
      </c>
      <c r="N815" s="30">
        <f>ROUND('Смета ЕР (общ) '!$I815*'Смета ЕР (общ) '!$L815,2)</f>
        <v>0</v>
      </c>
      <c r="O815" s="30">
        <f>ROUND('Смета ЕР (общ) '!$I815*'Смета ЕР (общ) '!$M815,2)</f>
        <v>0</v>
      </c>
      <c r="P815" s="55" t="s">
        <v>837</v>
      </c>
      <c r="Q815" s="56"/>
    </row>
    <row r="816" spans="1:17" ht="15" hidden="1" customHeight="1" x14ac:dyDescent="0.3">
      <c r="A816" s="26" t="s">
        <v>830</v>
      </c>
      <c r="B816" s="26">
        <v>1</v>
      </c>
      <c r="C816" s="26"/>
      <c r="D816" s="26">
        <v>120</v>
      </c>
      <c r="E816" s="26" t="str">
        <f>CONCATENATE('Смета ЕР (общ) '!$A816,".",'Смета ЕР (общ) '!$B816,".",'Смета ЕР (общ) '!$D816)</f>
        <v>Р6.1.120</v>
      </c>
      <c r="F816" s="26">
        <f t="shared" si="76"/>
        <v>1</v>
      </c>
      <c r="G816" s="27" t="s">
        <v>884</v>
      </c>
      <c r="H816" s="28" t="s">
        <v>118</v>
      </c>
      <c r="I816" s="158"/>
      <c r="J816" s="30">
        <f>$J$774*10</f>
        <v>4702.5</v>
      </c>
      <c r="K816" s="30">
        <f>[14]Радиаторы!BC120</f>
        <v>13465.2</v>
      </c>
      <c r="L816" s="30">
        <f t="shared" si="74"/>
        <v>4702.5</v>
      </c>
      <c r="M816" s="54">
        <f t="shared" si="75"/>
        <v>13465.2</v>
      </c>
      <c r="N816" s="30">
        <f>ROUND('Смета ЕР (общ) '!$I816*'Смета ЕР (общ) '!$L816,2)</f>
        <v>0</v>
      </c>
      <c r="O816" s="30">
        <f>ROUND('Смета ЕР (общ) '!$I816*'Смета ЕР (общ) '!$M816,2)</f>
        <v>0</v>
      </c>
      <c r="P816" s="55" t="s">
        <v>837</v>
      </c>
      <c r="Q816" s="56"/>
    </row>
    <row r="817" spans="1:17" ht="15" hidden="1" customHeight="1" x14ac:dyDescent="0.3">
      <c r="A817" s="26" t="s">
        <v>830</v>
      </c>
      <c r="B817" s="26">
        <v>1</v>
      </c>
      <c r="C817" s="26"/>
      <c r="D817" s="26">
        <v>121</v>
      </c>
      <c r="E817" s="26" t="str">
        <f>CONCATENATE('Смета ЕР (общ) '!$A817,".",'Смета ЕР (общ) '!$B817,".",'Смета ЕР (общ) '!$D817)</f>
        <v>Р6.1.121</v>
      </c>
      <c r="F817" s="26">
        <f t="shared" si="76"/>
        <v>1</v>
      </c>
      <c r="G817" s="27" t="s">
        <v>885</v>
      </c>
      <c r="H817" s="28" t="s">
        <v>118</v>
      </c>
      <c r="I817" s="158"/>
      <c r="J817" s="30">
        <f>$J$774*11</f>
        <v>5172.75</v>
      </c>
      <c r="K817" s="30">
        <f>[14]Радиаторы!BC121</f>
        <v>14597.1</v>
      </c>
      <c r="L817" s="30">
        <f t="shared" si="74"/>
        <v>5172.75</v>
      </c>
      <c r="M817" s="54">
        <f t="shared" si="75"/>
        <v>14597.1</v>
      </c>
      <c r="N817" s="30">
        <f>ROUND('Смета ЕР (общ) '!$I817*'Смета ЕР (общ) '!$L817,2)</f>
        <v>0</v>
      </c>
      <c r="O817" s="30">
        <f>ROUND('Смета ЕР (общ) '!$I817*'Смета ЕР (общ) '!$M817,2)</f>
        <v>0</v>
      </c>
      <c r="P817" s="55" t="s">
        <v>837</v>
      </c>
      <c r="Q817" s="56"/>
    </row>
    <row r="818" spans="1:17" ht="15" hidden="1" customHeight="1" x14ac:dyDescent="0.3">
      <c r="A818" s="26" t="s">
        <v>830</v>
      </c>
      <c r="B818" s="26">
        <v>1</v>
      </c>
      <c r="C818" s="26"/>
      <c r="D818" s="26">
        <v>122</v>
      </c>
      <c r="E818" s="26" t="str">
        <f>CONCATENATE('Смета ЕР (общ) '!$A818,".",'Смета ЕР (общ) '!$B818,".",'Смета ЕР (общ) '!$D818)</f>
        <v>Р6.1.122</v>
      </c>
      <c r="F818" s="26">
        <f t="shared" si="76"/>
        <v>1</v>
      </c>
      <c r="G818" s="27" t="s">
        <v>886</v>
      </c>
      <c r="H818" s="28" t="s">
        <v>118</v>
      </c>
      <c r="I818" s="158"/>
      <c r="J818" s="30">
        <f>$J$774*12</f>
        <v>5643</v>
      </c>
      <c r="K818" s="30">
        <f>[14]Радиаторы!BC122</f>
        <v>15729</v>
      </c>
      <c r="L818" s="30">
        <f t="shared" si="74"/>
        <v>5643</v>
      </c>
      <c r="M818" s="54">
        <f t="shared" si="75"/>
        <v>15729</v>
      </c>
      <c r="N818" s="30">
        <f>ROUND('Смета ЕР (общ) '!$I818*'Смета ЕР (общ) '!$L818,2)</f>
        <v>0</v>
      </c>
      <c r="O818" s="30">
        <f>ROUND('Смета ЕР (общ) '!$I818*'Смета ЕР (общ) '!$M818,2)</f>
        <v>0</v>
      </c>
      <c r="P818" s="55" t="s">
        <v>837</v>
      </c>
      <c r="Q818" s="56"/>
    </row>
    <row r="819" spans="1:17" ht="15" hidden="1" customHeight="1" x14ac:dyDescent="0.3">
      <c r="A819" s="26" t="s">
        <v>830</v>
      </c>
      <c r="B819" s="26">
        <v>1</v>
      </c>
      <c r="C819" s="26"/>
      <c r="D819" s="26">
        <v>123</v>
      </c>
      <c r="E819" s="26" t="str">
        <f>CONCATENATE('Смета ЕР (общ) '!$A819,".",'Смета ЕР (общ) '!$B819,".",'Смета ЕР (общ) '!$D819)</f>
        <v>Р6.1.123</v>
      </c>
      <c r="F819" s="26">
        <f t="shared" si="76"/>
        <v>1</v>
      </c>
      <c r="G819" s="27" t="s">
        <v>887</v>
      </c>
      <c r="H819" s="28" t="s">
        <v>118</v>
      </c>
      <c r="I819" s="158"/>
      <c r="J819" s="30">
        <f>$J$774*13</f>
        <v>6113.25</v>
      </c>
      <c r="K819" s="30">
        <f>[14]Радиаторы!BC123</f>
        <v>16860.900000000001</v>
      </c>
      <c r="L819" s="30">
        <f t="shared" si="74"/>
        <v>6113.25</v>
      </c>
      <c r="M819" s="54">
        <f t="shared" si="75"/>
        <v>16860.900000000001</v>
      </c>
      <c r="N819" s="30">
        <f>ROUND('Смета ЕР (общ) '!$I819*'Смета ЕР (общ) '!$L819,2)</f>
        <v>0</v>
      </c>
      <c r="O819" s="30">
        <f>ROUND('Смета ЕР (общ) '!$I819*'Смета ЕР (общ) '!$M819,2)</f>
        <v>0</v>
      </c>
      <c r="P819" s="55" t="s">
        <v>837</v>
      </c>
      <c r="Q819" s="56"/>
    </row>
    <row r="820" spans="1:17" ht="15" hidden="1" customHeight="1" x14ac:dyDescent="0.3">
      <c r="A820" s="26" t="s">
        <v>830</v>
      </c>
      <c r="B820" s="26">
        <v>1</v>
      </c>
      <c r="C820" s="26"/>
      <c r="D820" s="26">
        <v>124</v>
      </c>
      <c r="E820" s="26" t="str">
        <f>CONCATENATE('Смета ЕР (общ) '!$A820,".",'Смета ЕР (общ) '!$B820,".",'Смета ЕР (общ) '!$D820)</f>
        <v>Р6.1.124</v>
      </c>
      <c r="F820" s="26">
        <f t="shared" si="76"/>
        <v>1</v>
      </c>
      <c r="G820" s="27" t="s">
        <v>888</v>
      </c>
      <c r="H820" s="28" t="s">
        <v>118</v>
      </c>
      <c r="I820" s="158"/>
      <c r="J820" s="30">
        <f>$J$774*14</f>
        <v>6583.5</v>
      </c>
      <c r="K820" s="30">
        <f>[14]Радиаторы!BC124</f>
        <v>17992.8</v>
      </c>
      <c r="L820" s="30">
        <f t="shared" si="74"/>
        <v>6583.5</v>
      </c>
      <c r="M820" s="54">
        <f t="shared" si="75"/>
        <v>17992.8</v>
      </c>
      <c r="N820" s="30">
        <f>ROUND('Смета ЕР (общ) '!$I820*'Смета ЕР (общ) '!$L820,2)</f>
        <v>0</v>
      </c>
      <c r="O820" s="30">
        <f>ROUND('Смета ЕР (общ) '!$I820*'Смета ЕР (общ) '!$M820,2)</f>
        <v>0</v>
      </c>
      <c r="P820" s="55" t="s">
        <v>837</v>
      </c>
      <c r="Q820" s="56"/>
    </row>
    <row r="821" spans="1:17" ht="15" hidden="1" customHeight="1" x14ac:dyDescent="0.3">
      <c r="A821" s="26" t="s">
        <v>830</v>
      </c>
      <c r="B821" s="26">
        <v>1</v>
      </c>
      <c r="C821" s="26"/>
      <c r="D821" s="26">
        <v>125</v>
      </c>
      <c r="E821" s="26" t="str">
        <f>CONCATENATE('Смета ЕР (общ) '!$A821,".",'Смета ЕР (общ) '!$B821,".",'Смета ЕР (общ) '!$D821)</f>
        <v>Р6.1.125</v>
      </c>
      <c r="F821" s="26">
        <f t="shared" si="76"/>
        <v>1</v>
      </c>
      <c r="G821" s="27" t="s">
        <v>889</v>
      </c>
      <c r="H821" s="28" t="s">
        <v>118</v>
      </c>
      <c r="I821" s="158"/>
      <c r="J821" s="30">
        <f>$J$774*4</f>
        <v>1881</v>
      </c>
      <c r="K821" s="30">
        <f>[14]Радиаторы!BC125</f>
        <v>6757.8</v>
      </c>
      <c r="L821" s="30">
        <f t="shared" si="74"/>
        <v>1881</v>
      </c>
      <c r="M821" s="54">
        <f t="shared" si="75"/>
        <v>6757.8</v>
      </c>
      <c r="N821" s="30">
        <f>ROUND('Смета ЕР (общ) '!$I821*'Смета ЕР (общ) '!$L821,2)</f>
        <v>0</v>
      </c>
      <c r="O821" s="30">
        <f>ROUND('Смета ЕР (общ) '!$I821*'Смета ЕР (общ) '!$M821,2)</f>
        <v>0</v>
      </c>
      <c r="P821" s="55" t="s">
        <v>837</v>
      </c>
      <c r="Q821" s="56"/>
    </row>
    <row r="822" spans="1:17" ht="15" hidden="1" customHeight="1" x14ac:dyDescent="0.3">
      <c r="A822" s="26" t="s">
        <v>830</v>
      </c>
      <c r="B822" s="26">
        <v>1</v>
      </c>
      <c r="C822" s="26"/>
      <c r="D822" s="26">
        <v>126</v>
      </c>
      <c r="E822" s="26" t="str">
        <f>CONCATENATE('Смета ЕР (общ) '!$A822,".",'Смета ЕР (общ) '!$B822,".",'Смета ЕР (общ) '!$D822)</f>
        <v>Р6.1.126</v>
      </c>
      <c r="F822" s="26">
        <f t="shared" si="76"/>
        <v>1</v>
      </c>
      <c r="G822" s="27" t="s">
        <v>890</v>
      </c>
      <c r="H822" s="28" t="s">
        <v>118</v>
      </c>
      <c r="I822" s="158"/>
      <c r="J822" s="30">
        <f>$J$774*5</f>
        <v>2351.25</v>
      </c>
      <c r="K822" s="30">
        <f>[14]Радиаторы!BC126</f>
        <v>7910.7</v>
      </c>
      <c r="L822" s="30">
        <f t="shared" si="74"/>
        <v>2351.25</v>
      </c>
      <c r="M822" s="54">
        <f t="shared" si="75"/>
        <v>7910.7</v>
      </c>
      <c r="N822" s="30">
        <f>ROUND('Смета ЕР (общ) '!$I822*'Смета ЕР (общ) '!$L822,2)</f>
        <v>0</v>
      </c>
      <c r="O822" s="30">
        <f>ROUND('Смета ЕР (общ) '!$I822*'Смета ЕР (общ) '!$M822,2)</f>
        <v>0</v>
      </c>
      <c r="P822" s="55" t="s">
        <v>837</v>
      </c>
      <c r="Q822" s="56"/>
    </row>
    <row r="823" spans="1:17" ht="15" hidden="1" customHeight="1" x14ac:dyDescent="0.3">
      <c r="A823" s="26" t="s">
        <v>830</v>
      </c>
      <c r="B823" s="26">
        <v>1</v>
      </c>
      <c r="C823" s="26"/>
      <c r="D823" s="26">
        <v>127</v>
      </c>
      <c r="E823" s="26" t="str">
        <f>CONCATENATE('Смета ЕР (общ) '!$A823,".",'Смета ЕР (общ) '!$B823,".",'Смета ЕР (общ) '!$D823)</f>
        <v>Р6.1.127</v>
      </c>
      <c r="F823" s="26">
        <f t="shared" si="76"/>
        <v>1</v>
      </c>
      <c r="G823" s="27" t="s">
        <v>891</v>
      </c>
      <c r="H823" s="28" t="s">
        <v>118</v>
      </c>
      <c r="I823" s="158"/>
      <c r="J823" s="30">
        <f>$J$774*6</f>
        <v>2821.5</v>
      </c>
      <c r="K823" s="30">
        <f>[14]Радиаторы!BC127</f>
        <v>9063.6</v>
      </c>
      <c r="L823" s="30">
        <f t="shared" si="74"/>
        <v>2821.5</v>
      </c>
      <c r="M823" s="54">
        <f t="shared" si="75"/>
        <v>9063.6</v>
      </c>
      <c r="N823" s="30">
        <f>ROUND('Смета ЕР (общ) '!$I823*'Смета ЕР (общ) '!$L823,2)</f>
        <v>0</v>
      </c>
      <c r="O823" s="30">
        <f>ROUND('Смета ЕР (общ) '!$I823*'Смета ЕР (общ) '!$M823,2)</f>
        <v>0</v>
      </c>
      <c r="P823" s="55" t="s">
        <v>837</v>
      </c>
      <c r="Q823" s="56"/>
    </row>
    <row r="824" spans="1:17" ht="15" hidden="1" customHeight="1" x14ac:dyDescent="0.3">
      <c r="A824" s="26" t="s">
        <v>830</v>
      </c>
      <c r="B824" s="26">
        <v>1</v>
      </c>
      <c r="C824" s="26"/>
      <c r="D824" s="26">
        <v>128</v>
      </c>
      <c r="E824" s="26" t="str">
        <f>CONCATENATE('Смета ЕР (общ) '!$A824,".",'Смета ЕР (общ) '!$B824,".",'Смета ЕР (общ) '!$D824)</f>
        <v>Р6.1.128</v>
      </c>
      <c r="F824" s="26">
        <f t="shared" si="76"/>
        <v>1</v>
      </c>
      <c r="G824" s="27" t="s">
        <v>892</v>
      </c>
      <c r="H824" s="28" t="s">
        <v>118</v>
      </c>
      <c r="I824" s="158"/>
      <c r="J824" s="30">
        <f>$J$774*7</f>
        <v>3291.75</v>
      </c>
      <c r="K824" s="30">
        <f>[14]Радиаторы!BC128</f>
        <v>10216.5</v>
      </c>
      <c r="L824" s="30">
        <f t="shared" si="74"/>
        <v>3291.75</v>
      </c>
      <c r="M824" s="54">
        <f t="shared" si="75"/>
        <v>10216.5</v>
      </c>
      <c r="N824" s="30">
        <f>ROUND('Смета ЕР (общ) '!$I824*'Смета ЕР (общ) '!$L824,2)</f>
        <v>0</v>
      </c>
      <c r="O824" s="30">
        <f>ROUND('Смета ЕР (общ) '!$I824*'Смета ЕР (общ) '!$M824,2)</f>
        <v>0</v>
      </c>
      <c r="P824" s="55" t="s">
        <v>837</v>
      </c>
      <c r="Q824" s="56"/>
    </row>
    <row r="825" spans="1:17" ht="15" hidden="1" customHeight="1" x14ac:dyDescent="0.3">
      <c r="A825" s="26" t="s">
        <v>830</v>
      </c>
      <c r="B825" s="26">
        <v>1</v>
      </c>
      <c r="C825" s="26"/>
      <c r="D825" s="26">
        <v>129</v>
      </c>
      <c r="E825" s="26" t="str">
        <f>CONCATENATE('Смета ЕР (общ) '!$A825,".",'Смета ЕР (общ) '!$B825,".",'Смета ЕР (общ) '!$D825)</f>
        <v>Р6.1.129</v>
      </c>
      <c r="F825" s="26">
        <f t="shared" si="76"/>
        <v>1</v>
      </c>
      <c r="G825" s="27" t="s">
        <v>893</v>
      </c>
      <c r="H825" s="28" t="s">
        <v>118</v>
      </c>
      <c r="I825" s="158"/>
      <c r="J825" s="30">
        <f>$J$774*8</f>
        <v>3762</v>
      </c>
      <c r="K825" s="30">
        <f>[14]Радиаторы!BC129</f>
        <v>11369.4</v>
      </c>
      <c r="L825" s="30">
        <f t="shared" si="74"/>
        <v>3762</v>
      </c>
      <c r="M825" s="54">
        <f t="shared" si="75"/>
        <v>11369.4</v>
      </c>
      <c r="N825" s="30">
        <f>ROUND('Смета ЕР (общ) '!$I825*'Смета ЕР (общ) '!$L825,2)</f>
        <v>0</v>
      </c>
      <c r="O825" s="30">
        <f>ROUND('Смета ЕР (общ) '!$I825*'Смета ЕР (общ) '!$M825,2)</f>
        <v>0</v>
      </c>
      <c r="P825" s="55" t="s">
        <v>837</v>
      </c>
      <c r="Q825" s="56"/>
    </row>
    <row r="826" spans="1:17" ht="15" hidden="1" customHeight="1" x14ac:dyDescent="0.3">
      <c r="A826" s="26" t="s">
        <v>830</v>
      </c>
      <c r="B826" s="26">
        <v>1</v>
      </c>
      <c r="C826" s="26"/>
      <c r="D826" s="26">
        <v>130</v>
      </c>
      <c r="E826" s="26" t="str">
        <f>CONCATENATE('Смета ЕР (общ) '!$A826,".",'Смета ЕР (общ) '!$B826,".",'Смета ЕР (общ) '!$D826)</f>
        <v>Р6.1.130</v>
      </c>
      <c r="F826" s="26">
        <f t="shared" si="76"/>
        <v>1</v>
      </c>
      <c r="G826" s="27" t="s">
        <v>894</v>
      </c>
      <c r="H826" s="28" t="s">
        <v>118</v>
      </c>
      <c r="I826" s="158"/>
      <c r="J826" s="30">
        <f>$J$774*9</f>
        <v>4232.25</v>
      </c>
      <c r="K826" s="30">
        <f>[14]Радиаторы!BC130</f>
        <v>12522.3</v>
      </c>
      <c r="L826" s="30">
        <f t="shared" si="74"/>
        <v>4232.25</v>
      </c>
      <c r="M826" s="54">
        <f t="shared" si="75"/>
        <v>12522.3</v>
      </c>
      <c r="N826" s="30">
        <f>ROUND('Смета ЕР (общ) '!$I826*'Смета ЕР (общ) '!$L826,2)</f>
        <v>0</v>
      </c>
      <c r="O826" s="30">
        <f>ROUND('Смета ЕР (общ) '!$I826*'Смета ЕР (общ) '!$M826,2)</f>
        <v>0</v>
      </c>
      <c r="P826" s="55" t="s">
        <v>837</v>
      </c>
      <c r="Q826" s="56"/>
    </row>
    <row r="827" spans="1:17" ht="15" hidden="1" customHeight="1" x14ac:dyDescent="0.3">
      <c r="A827" s="26" t="s">
        <v>830</v>
      </c>
      <c r="B827" s="26">
        <v>1</v>
      </c>
      <c r="C827" s="26"/>
      <c r="D827" s="26">
        <v>131</v>
      </c>
      <c r="E827" s="26" t="str">
        <f>CONCATENATE('Смета ЕР (общ) '!$A827,".",'Смета ЕР (общ) '!$B827,".",'Смета ЕР (общ) '!$D827)</f>
        <v>Р6.1.131</v>
      </c>
      <c r="F827" s="26">
        <f t="shared" si="76"/>
        <v>1</v>
      </c>
      <c r="G827" s="27" t="s">
        <v>895</v>
      </c>
      <c r="H827" s="28" t="s">
        <v>118</v>
      </c>
      <c r="I827" s="158"/>
      <c r="J827" s="30">
        <f>$J$774*10</f>
        <v>4702.5</v>
      </c>
      <c r="K827" s="30">
        <f>[14]Радиаторы!BC131</f>
        <v>13675.2</v>
      </c>
      <c r="L827" s="30">
        <f t="shared" si="74"/>
        <v>4702.5</v>
      </c>
      <c r="M827" s="54">
        <f t="shared" si="75"/>
        <v>13675.2</v>
      </c>
      <c r="N827" s="30">
        <f>ROUND('Смета ЕР (общ) '!$I827*'Смета ЕР (общ) '!$L827,2)</f>
        <v>0</v>
      </c>
      <c r="O827" s="30">
        <f>ROUND('Смета ЕР (общ) '!$I827*'Смета ЕР (общ) '!$M827,2)</f>
        <v>0</v>
      </c>
      <c r="P827" s="55" t="s">
        <v>837</v>
      </c>
      <c r="Q827" s="56"/>
    </row>
    <row r="828" spans="1:17" ht="15" hidden="1" customHeight="1" x14ac:dyDescent="0.3">
      <c r="A828" s="26" t="s">
        <v>830</v>
      </c>
      <c r="B828" s="26">
        <v>1</v>
      </c>
      <c r="C828" s="26"/>
      <c r="D828" s="26">
        <v>132</v>
      </c>
      <c r="E828" s="26" t="str">
        <f>CONCATENATE('Смета ЕР (общ) '!$A828,".",'Смета ЕР (общ) '!$B828,".",'Смета ЕР (общ) '!$D828)</f>
        <v>Р6.1.132</v>
      </c>
      <c r="F828" s="26">
        <f t="shared" si="76"/>
        <v>1</v>
      </c>
      <c r="G828" s="27" t="s">
        <v>896</v>
      </c>
      <c r="H828" s="28" t="s">
        <v>118</v>
      </c>
      <c r="I828" s="158"/>
      <c r="J828" s="30">
        <f>$J$774*11</f>
        <v>5172.75</v>
      </c>
      <c r="K828" s="30">
        <f>[14]Радиаторы!BC132</f>
        <v>14828.1</v>
      </c>
      <c r="L828" s="30">
        <f t="shared" si="74"/>
        <v>5172.75</v>
      </c>
      <c r="M828" s="54">
        <f t="shared" si="75"/>
        <v>14828.1</v>
      </c>
      <c r="N828" s="30">
        <f>ROUND('Смета ЕР (общ) '!$I828*'Смета ЕР (общ) '!$L828,2)</f>
        <v>0</v>
      </c>
      <c r="O828" s="30">
        <f>ROUND('Смета ЕР (общ) '!$I828*'Смета ЕР (общ) '!$M828,2)</f>
        <v>0</v>
      </c>
      <c r="P828" s="55" t="s">
        <v>837</v>
      </c>
      <c r="Q828" s="56"/>
    </row>
    <row r="829" spans="1:17" ht="15" hidden="1" customHeight="1" x14ac:dyDescent="0.3">
      <c r="A829" s="26" t="s">
        <v>830</v>
      </c>
      <c r="B829" s="26">
        <v>1</v>
      </c>
      <c r="C829" s="26"/>
      <c r="D829" s="26">
        <v>133</v>
      </c>
      <c r="E829" s="26" t="str">
        <f>CONCATENATE('Смета ЕР (общ) '!$A829,".",'Смета ЕР (общ) '!$B829,".",'Смета ЕР (общ) '!$D829)</f>
        <v>Р6.1.133</v>
      </c>
      <c r="F829" s="26">
        <f t="shared" si="76"/>
        <v>1</v>
      </c>
      <c r="G829" s="27" t="s">
        <v>897</v>
      </c>
      <c r="H829" s="28" t="s">
        <v>118</v>
      </c>
      <c r="I829" s="158"/>
      <c r="J829" s="30">
        <f>$J$774*12</f>
        <v>5643</v>
      </c>
      <c r="K829" s="30">
        <f>[14]Радиаторы!BC133</f>
        <v>15981</v>
      </c>
      <c r="L829" s="30">
        <f t="shared" si="74"/>
        <v>5643</v>
      </c>
      <c r="M829" s="54">
        <f t="shared" si="75"/>
        <v>15981</v>
      </c>
      <c r="N829" s="30">
        <f>ROUND('Смета ЕР (общ) '!$I829*'Смета ЕР (общ) '!$L829,2)</f>
        <v>0</v>
      </c>
      <c r="O829" s="30">
        <f>ROUND('Смета ЕР (общ) '!$I829*'Смета ЕР (общ) '!$M829,2)</f>
        <v>0</v>
      </c>
      <c r="P829" s="55" t="s">
        <v>837</v>
      </c>
      <c r="Q829" s="56"/>
    </row>
    <row r="830" spans="1:17" ht="14.4" hidden="1" x14ac:dyDescent="0.3">
      <c r="A830" s="26" t="s">
        <v>830</v>
      </c>
      <c r="B830" s="26">
        <v>1</v>
      </c>
      <c r="C830" s="26"/>
      <c r="D830" s="26">
        <v>134</v>
      </c>
      <c r="E830" s="26" t="str">
        <f>CONCATENATE('Смета ЕР (общ) '!$A830,".",'Смета ЕР (общ) '!$B830,".",'Смета ЕР (общ) '!$D830)</f>
        <v>Р6.1.134</v>
      </c>
      <c r="F830" s="26">
        <f t="shared" si="76"/>
        <v>1</v>
      </c>
      <c r="G830" s="27" t="s">
        <v>898</v>
      </c>
      <c r="H830" s="28" t="s">
        <v>118</v>
      </c>
      <c r="I830" s="158"/>
      <c r="J830" s="30">
        <f>$J$774*13</f>
        <v>6113.25</v>
      </c>
      <c r="K830" s="30">
        <f>[14]Радиаторы!BC134</f>
        <v>17133.900000000001</v>
      </c>
      <c r="L830" s="30">
        <f t="shared" si="74"/>
        <v>6113.25</v>
      </c>
      <c r="M830" s="54">
        <f t="shared" si="75"/>
        <v>17133.900000000001</v>
      </c>
      <c r="N830" s="30">
        <f>ROUND('Смета ЕР (общ) '!$I830*'Смета ЕР (общ) '!$L830,2)</f>
        <v>0</v>
      </c>
      <c r="O830" s="30">
        <f>ROUND('Смета ЕР (общ) '!$I830*'Смета ЕР (общ) '!$M830,2)</f>
        <v>0</v>
      </c>
      <c r="P830" s="55" t="s">
        <v>837</v>
      </c>
      <c r="Q830" s="56"/>
    </row>
    <row r="831" spans="1:17" ht="14.4" hidden="1" x14ac:dyDescent="0.3">
      <c r="A831" s="26" t="s">
        <v>830</v>
      </c>
      <c r="B831" s="26">
        <v>1</v>
      </c>
      <c r="C831" s="26"/>
      <c r="D831" s="26">
        <v>135</v>
      </c>
      <c r="E831" s="26" t="str">
        <f>CONCATENATE('Смета ЕР (общ) '!$A831,".",'Смета ЕР (общ) '!$B831,".",'Смета ЕР (общ) '!$D831)</f>
        <v>Р6.1.135</v>
      </c>
      <c r="F831" s="26">
        <f t="shared" si="76"/>
        <v>1</v>
      </c>
      <c r="G831" s="27" t="s">
        <v>899</v>
      </c>
      <c r="H831" s="28" t="s">
        <v>118</v>
      </c>
      <c r="I831" s="158"/>
      <c r="J831" s="30">
        <f>$J$774*14</f>
        <v>6583.5</v>
      </c>
      <c r="K831" s="30">
        <f>[14]Радиаторы!BC135</f>
        <v>18286.8</v>
      </c>
      <c r="L831" s="30">
        <f t="shared" si="74"/>
        <v>6583.5</v>
      </c>
      <c r="M831" s="54">
        <f t="shared" si="75"/>
        <v>18286.8</v>
      </c>
      <c r="N831" s="30">
        <f>ROUND('Смета ЕР (общ) '!$I831*'Смета ЕР (общ) '!$L831,2)</f>
        <v>0</v>
      </c>
      <c r="O831" s="30">
        <f>ROUND('Смета ЕР (общ) '!$I831*'Смета ЕР (общ) '!$M831,2)</f>
        <v>0</v>
      </c>
      <c r="P831" s="55" t="s">
        <v>837</v>
      </c>
      <c r="Q831" s="56"/>
    </row>
    <row r="832" spans="1:17" ht="14.4" hidden="1" x14ac:dyDescent="0.3">
      <c r="A832" s="26" t="s">
        <v>830</v>
      </c>
      <c r="B832" s="26">
        <v>1</v>
      </c>
      <c r="C832" s="26"/>
      <c r="D832" s="26">
        <v>62</v>
      </c>
      <c r="E832" s="26" t="str">
        <f>CONCATENATE('Смета ЕР (общ) '!$A832,".",'Смета ЕР (общ) '!$B832,".",'Смета ЕР (общ) '!$D832)</f>
        <v>Р6.1.62</v>
      </c>
      <c r="F832" s="26">
        <f t="shared" si="76"/>
        <v>1</v>
      </c>
      <c r="G832" s="27" t="s">
        <v>900</v>
      </c>
      <c r="H832" s="42" t="s">
        <v>118</v>
      </c>
      <c r="I832" s="158"/>
      <c r="J832" s="30">
        <v>3175.5</v>
      </c>
      <c r="K832" s="30">
        <v>4115.97</v>
      </c>
      <c r="L832" s="30">
        <f t="shared" si="74"/>
        <v>3175.5</v>
      </c>
      <c r="M832" s="30">
        <f t="shared" si="74"/>
        <v>4115.97</v>
      </c>
      <c r="N832" s="30">
        <f>ROUND('Смета ЕР (общ) '!$I832*'Смета ЕР (общ) '!$L832,2)</f>
        <v>0</v>
      </c>
      <c r="O832" s="30">
        <f>ROUND('Смета ЕР (общ) '!$I832*'Смета ЕР (общ) '!$M832,2)</f>
        <v>0</v>
      </c>
      <c r="P832" s="45"/>
    </row>
    <row r="833" spans="1:20" ht="14.4" hidden="1" x14ac:dyDescent="0.3">
      <c r="A833" s="26" t="s">
        <v>830</v>
      </c>
      <c r="B833" s="26">
        <v>1</v>
      </c>
      <c r="C833" s="26"/>
      <c r="D833" s="26">
        <v>63</v>
      </c>
      <c r="E833" s="26" t="str">
        <f>CONCATENATE('Смета ЕР (общ) '!$A833,".",'Смета ЕР (общ) '!$B833,".",'Смета ЕР (общ) '!$D833)</f>
        <v>Р6.1.63</v>
      </c>
      <c r="F833" s="26">
        <f t="shared" si="76"/>
        <v>1</v>
      </c>
      <c r="G833" s="27" t="s">
        <v>901</v>
      </c>
      <c r="H833" s="42" t="s">
        <v>118</v>
      </c>
      <c r="I833" s="158"/>
      <c r="J833" s="30">
        <v>3175.5</v>
      </c>
      <c r="K833" s="30">
        <v>2001.87</v>
      </c>
      <c r="L833" s="30">
        <f t="shared" ref="L833:M852" si="77">ROUND(J833-J833*$Q$3,2)</f>
        <v>3175.5</v>
      </c>
      <c r="M833" s="30">
        <f t="shared" si="77"/>
        <v>2001.87</v>
      </c>
      <c r="N833" s="30">
        <f>ROUND('Смета ЕР (общ) '!$I833*'Смета ЕР (общ) '!$L833,2)</f>
        <v>0</v>
      </c>
      <c r="O833" s="30">
        <f>ROUND('Смета ЕР (общ) '!$I833*'Смета ЕР (общ) '!$M833,2)</f>
        <v>0</v>
      </c>
      <c r="P833" s="45"/>
    </row>
    <row r="834" spans="1:20" ht="24" hidden="1" x14ac:dyDescent="0.3">
      <c r="A834" s="26" t="s">
        <v>830</v>
      </c>
      <c r="B834" s="26">
        <v>1</v>
      </c>
      <c r="C834" s="26"/>
      <c r="D834" s="26">
        <v>64</v>
      </c>
      <c r="E834" s="26" t="str">
        <f>CONCATENATE('Смета ЕР (общ) '!$A834,".",'Смета ЕР (общ) '!$B834,".",'Смета ЕР (общ) '!$D834)</f>
        <v>Р6.1.64</v>
      </c>
      <c r="F834" s="26">
        <f t="shared" si="76"/>
        <v>1</v>
      </c>
      <c r="G834" s="27" t="s">
        <v>902</v>
      </c>
      <c r="H834" s="42" t="s">
        <v>118</v>
      </c>
      <c r="I834" s="158"/>
      <c r="J834" s="30">
        <v>3328.29</v>
      </c>
      <c r="K834" s="30">
        <v>8632.14</v>
      </c>
      <c r="L834" s="30">
        <f t="shared" si="77"/>
        <v>3328.29</v>
      </c>
      <c r="M834" s="30">
        <f t="shared" si="77"/>
        <v>8632.14</v>
      </c>
      <c r="N834" s="30">
        <f>ROUND('Смета ЕР (общ) '!$I834*'Смета ЕР (общ) '!$L834,2)</f>
        <v>0</v>
      </c>
      <c r="O834" s="30">
        <f>ROUND('Смета ЕР (общ) '!$I834*'Смета ЕР (общ) '!$M834,2)</f>
        <v>0</v>
      </c>
      <c r="P834" s="45"/>
    </row>
    <row r="835" spans="1:20" ht="24" hidden="1" x14ac:dyDescent="0.3">
      <c r="A835" s="26" t="s">
        <v>830</v>
      </c>
      <c r="B835" s="26">
        <v>1</v>
      </c>
      <c r="C835" s="26"/>
      <c r="D835" s="26">
        <v>65</v>
      </c>
      <c r="E835" s="26" t="str">
        <f>CONCATENATE('Смета ЕР (общ) '!$A835,".",'Смета ЕР (общ) '!$B835,".",'Смета ЕР (общ) '!$D835)</f>
        <v>Р6.1.65</v>
      </c>
      <c r="F835" s="26">
        <f t="shared" si="76"/>
        <v>1</v>
      </c>
      <c r="G835" s="27" t="s">
        <v>903</v>
      </c>
      <c r="H835" s="42" t="s">
        <v>118</v>
      </c>
      <c r="I835" s="158"/>
      <c r="J835" s="30">
        <v>3439.08</v>
      </c>
      <c r="K835" s="30">
        <v>11950.32</v>
      </c>
      <c r="L835" s="30">
        <f t="shared" si="77"/>
        <v>3439.08</v>
      </c>
      <c r="M835" s="30">
        <f t="shared" si="77"/>
        <v>11950.32</v>
      </c>
      <c r="N835" s="30">
        <f>ROUND('Смета ЕР (общ) '!$I835*'Смета ЕР (общ) '!$L835,2)</f>
        <v>0</v>
      </c>
      <c r="O835" s="30">
        <f>ROUND('Смета ЕР (общ) '!$I835*'Смета ЕР (общ) '!$M835,2)</f>
        <v>0</v>
      </c>
      <c r="P835" s="45"/>
    </row>
    <row r="836" spans="1:20" ht="24" hidden="1" x14ac:dyDescent="0.3">
      <c r="A836" s="26" t="s">
        <v>830</v>
      </c>
      <c r="B836" s="26">
        <v>1</v>
      </c>
      <c r="C836" s="26"/>
      <c r="D836" s="26">
        <v>66</v>
      </c>
      <c r="E836" s="26" t="str">
        <f>CONCATENATE('Смета ЕР (общ) '!$A836,".",'Смета ЕР (общ) '!$B836,".",'Смета ЕР (общ) '!$D836)</f>
        <v>Р6.1.66</v>
      </c>
      <c r="F836" s="26">
        <f t="shared" si="76"/>
        <v>1</v>
      </c>
      <c r="G836" s="27" t="s">
        <v>904</v>
      </c>
      <c r="H836" s="42" t="s">
        <v>118</v>
      </c>
      <c r="I836" s="158"/>
      <c r="J836" s="30">
        <v>3439.08</v>
      </c>
      <c r="K836" s="30">
        <v>13261.41</v>
      </c>
      <c r="L836" s="30">
        <f t="shared" si="77"/>
        <v>3439.08</v>
      </c>
      <c r="M836" s="30">
        <f t="shared" si="77"/>
        <v>13261.41</v>
      </c>
      <c r="N836" s="30">
        <f>ROUND('Смета ЕР (общ) '!$I836*'Смета ЕР (общ) '!$L836,2)</f>
        <v>0</v>
      </c>
      <c r="O836" s="30">
        <f>ROUND('Смета ЕР (общ) '!$I836*'Смета ЕР (общ) '!$M836,2)</f>
        <v>0</v>
      </c>
      <c r="P836" s="45"/>
    </row>
    <row r="837" spans="1:20" ht="24" hidden="1" x14ac:dyDescent="0.3">
      <c r="A837" s="26" t="s">
        <v>830</v>
      </c>
      <c r="B837" s="26">
        <v>1</v>
      </c>
      <c r="C837" s="26"/>
      <c r="D837" s="26">
        <v>67</v>
      </c>
      <c r="E837" s="26" t="str">
        <f>CONCATENATE('Смета ЕР (общ) '!$A837,".",'Смета ЕР (общ) '!$B837,".",'Смета ЕР (общ) '!$D837)</f>
        <v>Р6.1.67</v>
      </c>
      <c r="F837" s="26">
        <f t="shared" si="76"/>
        <v>1</v>
      </c>
      <c r="G837" s="27" t="s">
        <v>905</v>
      </c>
      <c r="H837" s="42" t="s">
        <v>118</v>
      </c>
      <c r="I837" s="158"/>
      <c r="J837" s="30">
        <v>3463.69</v>
      </c>
      <c r="K837" s="30">
        <v>14308.89</v>
      </c>
      <c r="L837" s="30">
        <f t="shared" si="77"/>
        <v>3463.69</v>
      </c>
      <c r="M837" s="30">
        <f t="shared" si="77"/>
        <v>14308.89</v>
      </c>
      <c r="N837" s="30">
        <f>ROUND('Смета ЕР (общ) '!$I837*'Смета ЕР (общ) '!$L837,2)</f>
        <v>0</v>
      </c>
      <c r="O837" s="30">
        <f>ROUND('Смета ЕР (общ) '!$I837*'Смета ЕР (общ) '!$M837,2)</f>
        <v>0</v>
      </c>
      <c r="P837" s="45"/>
    </row>
    <row r="838" spans="1:20" ht="24" hidden="1" x14ac:dyDescent="0.3">
      <c r="A838" s="26" t="s">
        <v>830</v>
      </c>
      <c r="B838" s="26">
        <v>1</v>
      </c>
      <c r="C838" s="26"/>
      <c r="D838" s="26">
        <v>68</v>
      </c>
      <c r="E838" s="26" t="str">
        <f>CONCATENATE('Смета ЕР (общ) '!$A838,".",'Смета ЕР (общ) '!$B838,".",'Смета ЕР (общ) '!$D838)</f>
        <v>Р6.1.68</v>
      </c>
      <c r="F838" s="26">
        <f t="shared" si="76"/>
        <v>1</v>
      </c>
      <c r="G838" s="27" t="s">
        <v>906</v>
      </c>
      <c r="H838" s="42" t="s">
        <v>118</v>
      </c>
      <c r="I838" s="158"/>
      <c r="J838" s="30">
        <v>3328.29</v>
      </c>
      <c r="K838" s="30">
        <v>7695.15</v>
      </c>
      <c r="L838" s="30">
        <f t="shared" si="77"/>
        <v>3328.29</v>
      </c>
      <c r="M838" s="30">
        <f t="shared" si="77"/>
        <v>7695.15</v>
      </c>
      <c r="N838" s="30">
        <f>ROUND('Смета ЕР (общ) '!$I838*'Смета ЕР (общ) '!$L838,2)</f>
        <v>0</v>
      </c>
      <c r="O838" s="30">
        <f>ROUND('Смета ЕР (общ) '!$I838*'Смета ЕР (общ) '!$M838,2)</f>
        <v>0</v>
      </c>
      <c r="P838" s="45"/>
    </row>
    <row r="839" spans="1:20" ht="24" hidden="1" x14ac:dyDescent="0.3">
      <c r="A839" s="26" t="s">
        <v>830</v>
      </c>
      <c r="B839" s="26">
        <v>1</v>
      </c>
      <c r="C839" s="26"/>
      <c r="D839" s="26">
        <v>69</v>
      </c>
      <c r="E839" s="26" t="str">
        <f>CONCATENATE('Смета ЕР (общ) '!$A839,".",'Смета ЕР (общ) '!$B839,".",'Смета ЕР (общ) '!$D839)</f>
        <v>Р6.1.69</v>
      </c>
      <c r="F839" s="26">
        <f t="shared" si="76"/>
        <v>1</v>
      </c>
      <c r="G839" s="27" t="s">
        <v>907</v>
      </c>
      <c r="H839" s="42" t="s">
        <v>118</v>
      </c>
      <c r="I839" s="158"/>
      <c r="J839" s="30">
        <v>3439.08</v>
      </c>
      <c r="K839" s="30">
        <v>10873.26</v>
      </c>
      <c r="L839" s="30">
        <f t="shared" si="77"/>
        <v>3439.08</v>
      </c>
      <c r="M839" s="30">
        <f t="shared" si="77"/>
        <v>10873.26</v>
      </c>
      <c r="N839" s="30">
        <f>ROUND('Смета ЕР (общ) '!$I839*'Смета ЕР (общ) '!$L839,2)</f>
        <v>0</v>
      </c>
      <c r="O839" s="30">
        <f>ROUND('Смета ЕР (общ) '!$I839*'Смета ЕР (общ) '!$M839,2)</f>
        <v>0</v>
      </c>
      <c r="P839" s="45"/>
    </row>
    <row r="840" spans="1:20" ht="24" hidden="1" x14ac:dyDescent="0.3">
      <c r="A840" s="26" t="s">
        <v>830</v>
      </c>
      <c r="B840" s="26">
        <v>1</v>
      </c>
      <c r="C840" s="26"/>
      <c r="D840" s="26">
        <v>70</v>
      </c>
      <c r="E840" s="26" t="str">
        <f>CONCATENATE('Смета ЕР (общ) '!$A840,".",'Смета ЕР (общ) '!$B840,".",'Смета ЕР (общ) '!$D840)</f>
        <v>Р6.1.70</v>
      </c>
      <c r="F840" s="26">
        <f t="shared" si="76"/>
        <v>1</v>
      </c>
      <c r="G840" s="27" t="s">
        <v>908</v>
      </c>
      <c r="H840" s="42" t="s">
        <v>118</v>
      </c>
      <c r="I840" s="158"/>
      <c r="J840" s="30">
        <v>3439.08</v>
      </c>
      <c r="K840" s="30">
        <v>12275.7</v>
      </c>
      <c r="L840" s="30">
        <f t="shared" si="77"/>
        <v>3439.08</v>
      </c>
      <c r="M840" s="30">
        <f t="shared" si="77"/>
        <v>12275.7</v>
      </c>
      <c r="N840" s="30">
        <f>ROUND('Смета ЕР (общ) '!$I840*'Смета ЕР (общ) '!$L840,2)</f>
        <v>0</v>
      </c>
      <c r="O840" s="30">
        <f>ROUND('Смета ЕР (общ) '!$I840*'Смета ЕР (общ) '!$M840,2)</f>
        <v>0</v>
      </c>
      <c r="P840" s="45"/>
    </row>
    <row r="841" spans="1:20" ht="24" hidden="1" x14ac:dyDescent="0.3">
      <c r="A841" s="26" t="s">
        <v>830</v>
      </c>
      <c r="B841" s="26">
        <v>1</v>
      </c>
      <c r="C841" s="26"/>
      <c r="D841" s="26">
        <v>71</v>
      </c>
      <c r="E841" s="26" t="str">
        <f>CONCATENATE('Смета ЕР (общ) '!$A841,".",'Смета ЕР (общ) '!$B841,".",'Смета ЕР (общ) '!$D841)</f>
        <v>Р6.1.71</v>
      </c>
      <c r="F841" s="26">
        <f t="shared" si="76"/>
        <v>1</v>
      </c>
      <c r="G841" s="27" t="s">
        <v>909</v>
      </c>
      <c r="H841" s="42" t="s">
        <v>118</v>
      </c>
      <c r="I841" s="158"/>
      <c r="J841" s="30">
        <v>3463.69</v>
      </c>
      <c r="K841" s="30">
        <v>13252.71</v>
      </c>
      <c r="L841" s="30">
        <f t="shared" si="77"/>
        <v>3463.69</v>
      </c>
      <c r="M841" s="30">
        <f t="shared" si="77"/>
        <v>13252.71</v>
      </c>
      <c r="N841" s="30">
        <f>ROUND('Смета ЕР (общ) '!$I841*'Смета ЕР (общ) '!$L841,2)</f>
        <v>0</v>
      </c>
      <c r="O841" s="30">
        <f>ROUND('Смета ЕР (общ) '!$I841*'Смета ЕР (общ) '!$M841,2)</f>
        <v>0</v>
      </c>
      <c r="P841" s="45"/>
    </row>
    <row r="842" spans="1:20" ht="14.4" hidden="1" x14ac:dyDescent="0.3">
      <c r="A842" s="26" t="s">
        <v>830</v>
      </c>
      <c r="B842" s="26">
        <v>1</v>
      </c>
      <c r="C842" s="26"/>
      <c r="D842" s="26">
        <v>72</v>
      </c>
      <c r="E842" s="26" t="str">
        <f>CONCATENATE('Смета ЕР (общ) '!$A842,".",'Смета ЕР (общ) '!$B842,".",'Смета ЕР (общ) '!$D842)</f>
        <v>Р6.1.72</v>
      </c>
      <c r="F842" s="26">
        <f t="shared" si="76"/>
        <v>1</v>
      </c>
      <c r="G842" s="27" t="s">
        <v>910</v>
      </c>
      <c r="H842" s="42" t="s">
        <v>118</v>
      </c>
      <c r="I842" s="158"/>
      <c r="J842" s="30">
        <v>1874.2</v>
      </c>
      <c r="K842" s="30">
        <v>3297.3</v>
      </c>
      <c r="L842" s="30">
        <f t="shared" si="77"/>
        <v>1874.2</v>
      </c>
      <c r="M842" s="30">
        <f t="shared" si="77"/>
        <v>3297.3</v>
      </c>
      <c r="N842" s="30">
        <f>ROUND('Смета ЕР (общ) '!$I842*'Смета ЕР (общ) '!$L842,2)</f>
        <v>0</v>
      </c>
      <c r="O842" s="30">
        <f>ROUND('Смета ЕР (общ) '!$I842*'Смета ЕР (общ) '!$M842,2)</f>
        <v>0</v>
      </c>
      <c r="P842" s="45"/>
    </row>
    <row r="843" spans="1:20" ht="14.4" hidden="1" x14ac:dyDescent="0.3">
      <c r="A843" s="26" t="s">
        <v>830</v>
      </c>
      <c r="B843" s="26">
        <v>1</v>
      </c>
      <c r="C843" s="26"/>
      <c r="D843" s="26">
        <v>73</v>
      </c>
      <c r="E843" s="26" t="str">
        <f>CONCATENATE('Смета ЕР (общ) '!$A843,".",'Смета ЕР (общ) '!$B843,".",'Смета ЕР (общ) '!$D843)</f>
        <v>Р6.1.73</v>
      </c>
      <c r="F843" s="26">
        <f t="shared" si="76"/>
        <v>1</v>
      </c>
      <c r="G843" s="27" t="s">
        <v>911</v>
      </c>
      <c r="H843" s="42" t="s">
        <v>118</v>
      </c>
      <c r="I843" s="158"/>
      <c r="J843" s="30">
        <v>1874.2</v>
      </c>
      <c r="K843" s="30">
        <v>5037.3</v>
      </c>
      <c r="L843" s="30">
        <f t="shared" si="77"/>
        <v>1874.2</v>
      </c>
      <c r="M843" s="30">
        <f t="shared" si="77"/>
        <v>5037.3</v>
      </c>
      <c r="N843" s="30">
        <f>ROUND('Смета ЕР (общ) '!$I843*'Смета ЕР (общ) '!$L843,2)</f>
        <v>0</v>
      </c>
      <c r="O843" s="30">
        <f>ROUND('Смета ЕР (общ) '!$I843*'Смета ЕР (общ) '!$M843,2)</f>
        <v>0</v>
      </c>
      <c r="P843" s="45"/>
    </row>
    <row r="844" spans="1:20" ht="14.4" hidden="1" x14ac:dyDescent="0.3">
      <c r="A844" s="26" t="s">
        <v>830</v>
      </c>
      <c r="B844" s="26">
        <v>1</v>
      </c>
      <c r="C844" s="26"/>
      <c r="D844" s="26">
        <v>74</v>
      </c>
      <c r="E844" s="26" t="str">
        <f>CONCATENATE('Смета ЕР (общ) '!$A844,".",'Смета ЕР (общ) '!$B844,".",'Смета ЕР (общ) '!$D844)</f>
        <v>Р6.1.74</v>
      </c>
      <c r="F844" s="26">
        <f t="shared" si="76"/>
        <v>1</v>
      </c>
      <c r="G844" s="27" t="s">
        <v>912</v>
      </c>
      <c r="H844" s="42" t="s">
        <v>118</v>
      </c>
      <c r="I844" s="158"/>
      <c r="J844" s="30">
        <v>1874.2</v>
      </c>
      <c r="K844" s="30">
        <v>4428.3</v>
      </c>
      <c r="L844" s="30">
        <f t="shared" si="77"/>
        <v>1874.2</v>
      </c>
      <c r="M844" s="30">
        <f t="shared" si="77"/>
        <v>4428.3</v>
      </c>
      <c r="N844" s="30">
        <f>ROUND('Смета ЕР (общ) '!$I844*'Смета ЕР (общ) '!$L844,2)</f>
        <v>0</v>
      </c>
      <c r="O844" s="30">
        <f>ROUND('Смета ЕР (общ) '!$I844*'Смета ЕР (общ) '!$M844,2)</f>
        <v>0</v>
      </c>
      <c r="P844" s="45"/>
    </row>
    <row r="845" spans="1:20" ht="14.4" hidden="1" x14ac:dyDescent="0.3">
      <c r="A845" s="26" t="s">
        <v>830</v>
      </c>
      <c r="B845" s="26">
        <v>1</v>
      </c>
      <c r="C845" s="26"/>
      <c r="D845" s="26">
        <v>75</v>
      </c>
      <c r="E845" s="26" t="str">
        <f>CONCATENATE('Смета ЕР (общ) '!$A845,".",'Смета ЕР (общ) '!$B845,".",'Смета ЕР (общ) '!$D845)</f>
        <v>Р6.1.75</v>
      </c>
      <c r="F845" s="26">
        <f t="shared" si="76"/>
        <v>1</v>
      </c>
      <c r="G845" s="117" t="s">
        <v>913</v>
      </c>
      <c r="H845" s="42" t="s">
        <v>118</v>
      </c>
      <c r="I845" s="158"/>
      <c r="J845" s="30">
        <v>130.5</v>
      </c>
      <c r="K845" s="30">
        <v>2262</v>
      </c>
      <c r="L845" s="30">
        <f t="shared" si="77"/>
        <v>130.5</v>
      </c>
      <c r="M845" s="30">
        <f t="shared" si="77"/>
        <v>2262</v>
      </c>
      <c r="N845" s="30">
        <f>ROUND('Смета ЕР (общ) '!$I845*'Смета ЕР (общ) '!$L845,2)</f>
        <v>0</v>
      </c>
      <c r="O845" s="30">
        <f>ROUND('Смета ЕР (общ) '!$I845*'Смета ЕР (общ) '!$M845,2)</f>
        <v>0</v>
      </c>
      <c r="P845" s="45"/>
    </row>
    <row r="846" spans="1:20" ht="14.4" hidden="1" x14ac:dyDescent="0.3">
      <c r="A846" s="26" t="s">
        <v>830</v>
      </c>
      <c r="B846" s="26">
        <v>1</v>
      </c>
      <c r="C846" s="26"/>
      <c r="D846" s="26">
        <v>76</v>
      </c>
      <c r="E846" s="26" t="str">
        <f>CONCATENATE('Смета ЕР (общ) '!$A846,".",'Смета ЕР (общ) '!$B846,".",'Смета ЕР (общ) '!$D846)</f>
        <v>Р6.1.76</v>
      </c>
      <c r="F846" s="26">
        <f t="shared" si="76"/>
        <v>1</v>
      </c>
      <c r="G846" s="117" t="s">
        <v>913</v>
      </c>
      <c r="H846" s="42" t="s">
        <v>118</v>
      </c>
      <c r="I846" s="158"/>
      <c r="J846" s="30">
        <v>130.5</v>
      </c>
      <c r="K846" s="30">
        <v>2436</v>
      </c>
      <c r="L846" s="30">
        <f t="shared" si="77"/>
        <v>130.5</v>
      </c>
      <c r="M846" s="30">
        <f t="shared" si="77"/>
        <v>2436</v>
      </c>
      <c r="N846" s="30">
        <f>ROUND('Смета ЕР (общ) '!$I846*'Смета ЕР (общ) '!$L846,2)</f>
        <v>0</v>
      </c>
      <c r="O846" s="30">
        <f>ROUND('Смета ЕР (общ) '!$I846*'Смета ЕР (общ) '!$M846,2)</f>
        <v>0</v>
      </c>
      <c r="P846" s="45"/>
    </row>
    <row r="847" spans="1:20" ht="14.4" hidden="1" x14ac:dyDescent="0.3">
      <c r="A847" s="26" t="s">
        <v>830</v>
      </c>
      <c r="B847" s="26">
        <v>1</v>
      </c>
      <c r="C847" s="26"/>
      <c r="D847" s="26">
        <v>77</v>
      </c>
      <c r="E847" s="26" t="str">
        <f>CONCATENATE('Смета ЕР (общ) '!$A847,".",'Смета ЕР (общ) '!$B847,".",'Смета ЕР (общ) '!$D847)</f>
        <v>Р6.1.77</v>
      </c>
      <c r="F847" s="26">
        <f t="shared" ref="F847:F910" si="78">IF(I847&gt;0,F846+1,F846)</f>
        <v>1</v>
      </c>
      <c r="G847" s="117" t="s">
        <v>913</v>
      </c>
      <c r="H847" s="42" t="s">
        <v>118</v>
      </c>
      <c r="I847" s="158"/>
      <c r="J847" s="30">
        <v>130.5</v>
      </c>
      <c r="K847" s="30">
        <v>2610</v>
      </c>
      <c r="L847" s="30">
        <f t="shared" si="77"/>
        <v>130.5</v>
      </c>
      <c r="M847" s="30">
        <f t="shared" si="77"/>
        <v>2610</v>
      </c>
      <c r="N847" s="30">
        <f>ROUND('Смета ЕР (общ) '!$I847*'Смета ЕР (общ) '!$L847,2)</f>
        <v>0</v>
      </c>
      <c r="O847" s="30">
        <f>ROUND('Смета ЕР (общ) '!$I847*'Смета ЕР (общ) '!$M847,2)</f>
        <v>0</v>
      </c>
      <c r="P847" s="45"/>
    </row>
    <row r="848" spans="1:20" ht="14.4" hidden="1" x14ac:dyDescent="0.3">
      <c r="A848" s="26" t="s">
        <v>830</v>
      </c>
      <c r="B848" s="26">
        <v>1</v>
      </c>
      <c r="C848" s="26"/>
      <c r="D848" s="26">
        <v>4</v>
      </c>
      <c r="E848" s="26" t="str">
        <f>CONCATENATE('Смета ЕР (общ) '!$A848,".",'Смета ЕР (общ) '!$B848,".",'Смета ЕР (общ) '!$D848)</f>
        <v>Р6.1.4</v>
      </c>
      <c r="F848" s="26">
        <f t="shared" si="78"/>
        <v>1</v>
      </c>
      <c r="G848" s="118" t="s">
        <v>914</v>
      </c>
      <c r="H848" s="42" t="s">
        <v>836</v>
      </c>
      <c r="I848" s="158"/>
      <c r="J848" s="30">
        <v>470.25</v>
      </c>
      <c r="K848" s="30">
        <v>0</v>
      </c>
      <c r="L848" s="30">
        <f t="shared" si="77"/>
        <v>470.25</v>
      </c>
      <c r="M848" s="30">
        <f t="shared" si="77"/>
        <v>0</v>
      </c>
      <c r="N848" s="30">
        <f>ROUND('Смета ЕР (общ) '!$I848*'Смета ЕР (общ) '!$L848,2)</f>
        <v>0</v>
      </c>
      <c r="O848" s="30">
        <f>ROUND('Смета ЕР (общ) '!$I848*'Смета ЕР (общ) '!$M848,2)</f>
        <v>0</v>
      </c>
      <c r="P848" s="45"/>
      <c r="T848">
        <v>40</v>
      </c>
    </row>
    <row r="849" spans="1:20" ht="14.4" hidden="1" x14ac:dyDescent="0.3">
      <c r="A849" s="26" t="s">
        <v>830</v>
      </c>
      <c r="B849" s="26">
        <v>1</v>
      </c>
      <c r="C849" s="26"/>
      <c r="D849" s="26">
        <v>5</v>
      </c>
      <c r="E849" s="26" t="str">
        <f>CONCATENATE('Смета ЕР (общ) '!$A849,".",'Смета ЕР (общ) '!$B849,".",'Смета ЕР (общ) '!$D849)</f>
        <v>Р6.1.5</v>
      </c>
      <c r="F849" s="26">
        <f t="shared" si="78"/>
        <v>1</v>
      </c>
      <c r="G849" s="27" t="s">
        <v>915</v>
      </c>
      <c r="H849" s="42" t="s">
        <v>836</v>
      </c>
      <c r="I849" s="158"/>
      <c r="J849" s="30">
        <v>887.73</v>
      </c>
      <c r="K849" s="30">
        <v>1267.3800000000001</v>
      </c>
      <c r="L849" s="30">
        <f t="shared" si="77"/>
        <v>887.73</v>
      </c>
      <c r="M849" s="30">
        <f t="shared" si="77"/>
        <v>1267.3800000000001</v>
      </c>
      <c r="N849" s="30">
        <f>ROUND('Смета ЕР (общ) '!$I849*'Смета ЕР (общ) '!$L849,2)</f>
        <v>0</v>
      </c>
      <c r="O849" s="30">
        <f>ROUND('Смета ЕР (общ) '!$I849*'Смета ЕР (общ) '!$M849,2)</f>
        <v>0</v>
      </c>
      <c r="P849" s="45"/>
      <c r="T849">
        <v>30</v>
      </c>
    </row>
    <row r="850" spans="1:20" ht="14.4" hidden="1" x14ac:dyDescent="0.3">
      <c r="A850" s="26" t="s">
        <v>830</v>
      </c>
      <c r="B850" s="26">
        <v>1</v>
      </c>
      <c r="C850" s="26"/>
      <c r="D850" s="26">
        <v>6</v>
      </c>
      <c r="E850" s="26" t="str">
        <f>CONCATENATE('Смета ЕР (общ) '!$A850,".",'Смета ЕР (общ) '!$B850,".",'Смета ЕР (общ) '!$D850)</f>
        <v>Р6.1.6</v>
      </c>
      <c r="F850" s="26">
        <f t="shared" si="78"/>
        <v>1</v>
      </c>
      <c r="G850" s="27" t="s">
        <v>916</v>
      </c>
      <c r="H850" s="28" t="s">
        <v>118</v>
      </c>
      <c r="I850" s="158"/>
      <c r="J850" s="30">
        <v>588.12</v>
      </c>
      <c r="K850" s="30">
        <v>1108.3399999999999</v>
      </c>
      <c r="L850" s="30">
        <f t="shared" si="77"/>
        <v>588.12</v>
      </c>
      <c r="M850" s="30">
        <f t="shared" si="77"/>
        <v>1108.3399999999999</v>
      </c>
      <c r="N850" s="30">
        <f>ROUND('Смета ЕР (общ) '!$I850*'Смета ЕР (общ) '!$L850,2)</f>
        <v>0</v>
      </c>
      <c r="O850" s="30">
        <f>ROUND('Смета ЕР (общ) '!$I850*'Смета ЕР (общ) '!$M850,2)</f>
        <v>0</v>
      </c>
      <c r="P850" s="45"/>
    </row>
    <row r="851" spans="1:20" ht="24" hidden="1" x14ac:dyDescent="0.3">
      <c r="A851" s="26" t="s">
        <v>830</v>
      </c>
      <c r="B851" s="26">
        <v>1</v>
      </c>
      <c r="C851" s="26"/>
      <c r="D851" s="26">
        <v>7</v>
      </c>
      <c r="E851" s="26" t="str">
        <f>CONCATENATE('Смета ЕР (общ) '!$A851,".",'Смета ЕР (общ) '!$B851,".",'Смета ЕР (общ) '!$D851)</f>
        <v>Р6.1.7</v>
      </c>
      <c r="F851" s="26">
        <f t="shared" si="78"/>
        <v>1</v>
      </c>
      <c r="G851" s="27" t="s">
        <v>917</v>
      </c>
      <c r="H851" s="28" t="s">
        <v>118</v>
      </c>
      <c r="I851" s="158"/>
      <c r="J851" s="30">
        <v>588.12</v>
      </c>
      <c r="K851" s="30">
        <v>1276.5999999999999</v>
      </c>
      <c r="L851" s="30">
        <f t="shared" si="77"/>
        <v>588.12</v>
      </c>
      <c r="M851" s="30">
        <f t="shared" si="77"/>
        <v>1276.5999999999999</v>
      </c>
      <c r="N851" s="30">
        <f>ROUND('Смета ЕР (общ) '!$I851*'Смета ЕР (общ) '!$L851,2)</f>
        <v>0</v>
      </c>
      <c r="O851" s="30">
        <f>ROUND('Смета ЕР (общ) '!$I851*'Смета ЕР (общ) '!$M851,2)</f>
        <v>0</v>
      </c>
      <c r="P851" s="45"/>
      <c r="T851">
        <v>8</v>
      </c>
    </row>
    <row r="852" spans="1:20" ht="24" hidden="1" x14ac:dyDescent="0.3">
      <c r="A852" s="26" t="s">
        <v>830</v>
      </c>
      <c r="B852" s="26">
        <v>1</v>
      </c>
      <c r="C852" s="26"/>
      <c r="D852" s="26">
        <v>78</v>
      </c>
      <c r="E852" s="26" t="str">
        <f>CONCATENATE('Смета ЕР (общ) '!$A852,".",'Смета ЕР (общ) '!$B852,".",'Смета ЕР (общ) '!$D852)</f>
        <v>Р6.1.78</v>
      </c>
      <c r="F852" s="26">
        <f t="shared" si="78"/>
        <v>1</v>
      </c>
      <c r="G852" s="27" t="s">
        <v>918</v>
      </c>
      <c r="H852" s="28" t="s">
        <v>147</v>
      </c>
      <c r="I852" s="158"/>
      <c r="J852" s="30">
        <v>551.22</v>
      </c>
      <c r="K852" s="30">
        <v>538.46</v>
      </c>
      <c r="L852" s="30">
        <f t="shared" si="77"/>
        <v>551.22</v>
      </c>
      <c r="M852" s="30">
        <f t="shared" si="77"/>
        <v>538.46</v>
      </c>
      <c r="N852" s="30">
        <f>ROUND('Смета ЕР (общ) '!$I852*'Смета ЕР (общ) '!$L852,2)</f>
        <v>0</v>
      </c>
      <c r="O852" s="30">
        <f>ROUND('Смета ЕР (общ) '!$I852*'Смета ЕР (общ) '!$M852,2)</f>
        <v>0</v>
      </c>
      <c r="P852" s="45"/>
      <c r="Q852"/>
    </row>
    <row r="853" spans="1:20" ht="24" hidden="1" x14ac:dyDescent="0.3">
      <c r="A853" s="26" t="s">
        <v>830</v>
      </c>
      <c r="B853" s="26">
        <v>1</v>
      </c>
      <c r="C853" s="26"/>
      <c r="D853" s="26">
        <v>79</v>
      </c>
      <c r="E853" s="26" t="str">
        <f>CONCATENATE('Смета ЕР (общ) '!$A853,".",'Смета ЕР (общ) '!$B853,".",'Смета ЕР (общ) '!$D853)</f>
        <v>Р6.1.79</v>
      </c>
      <c r="F853" s="26">
        <f t="shared" si="78"/>
        <v>1</v>
      </c>
      <c r="G853" s="27" t="s">
        <v>919</v>
      </c>
      <c r="H853" s="28" t="s">
        <v>147</v>
      </c>
      <c r="I853" s="158"/>
      <c r="J853" s="30">
        <v>551.22</v>
      </c>
      <c r="K853" s="30">
        <v>367.33</v>
      </c>
      <c r="L853" s="30">
        <f t="shared" ref="L853:M868" si="79">ROUND(J853-J853*$Q$3,2)</f>
        <v>551.22</v>
      </c>
      <c r="M853" s="30">
        <f t="shared" si="79"/>
        <v>367.33</v>
      </c>
      <c r="N853" s="30">
        <f>ROUND('Смета ЕР (общ) '!$I853*'Смета ЕР (общ) '!$L853,2)</f>
        <v>0</v>
      </c>
      <c r="O853" s="30">
        <f>ROUND('Смета ЕР (общ) '!$I853*'Смета ЕР (общ) '!$M853,2)</f>
        <v>0</v>
      </c>
      <c r="P853" s="45"/>
      <c r="Q853"/>
    </row>
    <row r="854" spans="1:20" ht="24" hidden="1" x14ac:dyDescent="0.3">
      <c r="A854" s="26" t="s">
        <v>830</v>
      </c>
      <c r="B854" s="26">
        <v>1</v>
      </c>
      <c r="C854" s="26"/>
      <c r="D854" s="26">
        <v>80</v>
      </c>
      <c r="E854" s="26" t="str">
        <f>CONCATENATE('Смета ЕР (общ) '!$A854,".",'Смета ЕР (общ) '!$B854,".",'Смета ЕР (общ) '!$D854)</f>
        <v>Р6.1.80</v>
      </c>
      <c r="F854" s="26">
        <f t="shared" si="78"/>
        <v>1</v>
      </c>
      <c r="G854" s="27" t="s">
        <v>920</v>
      </c>
      <c r="H854" s="28" t="s">
        <v>147</v>
      </c>
      <c r="I854" s="158"/>
      <c r="J854" s="30">
        <v>551.22</v>
      </c>
      <c r="K854" s="30">
        <v>249.82</v>
      </c>
      <c r="L854" s="30">
        <f t="shared" si="79"/>
        <v>551.22</v>
      </c>
      <c r="M854" s="30">
        <f t="shared" si="79"/>
        <v>249.82</v>
      </c>
      <c r="N854" s="30">
        <f>ROUND('Смета ЕР (общ) '!$I854*'Смета ЕР (общ) '!$L854,2)</f>
        <v>0</v>
      </c>
      <c r="O854" s="30">
        <f>ROUND('Смета ЕР (общ) '!$I854*'Смета ЕР (общ) '!$M854,2)</f>
        <v>0</v>
      </c>
      <c r="P854" s="45"/>
      <c r="Q854"/>
    </row>
    <row r="855" spans="1:20" ht="24" hidden="1" x14ac:dyDescent="0.3">
      <c r="A855" s="26" t="s">
        <v>830</v>
      </c>
      <c r="B855" s="26">
        <v>1</v>
      </c>
      <c r="C855" s="26"/>
      <c r="D855" s="26">
        <v>8</v>
      </c>
      <c r="E855" s="26" t="str">
        <f>CONCATENATE('Смета ЕР (общ) '!$A855,".",'Смета ЕР (общ) '!$B855,".",'Смета ЕР (общ) '!$D855)</f>
        <v>Р6.1.8</v>
      </c>
      <c r="F855" s="26">
        <f t="shared" si="78"/>
        <v>1</v>
      </c>
      <c r="G855" s="27" t="s">
        <v>921</v>
      </c>
      <c r="H855" s="28" t="s">
        <v>147</v>
      </c>
      <c r="I855" s="158"/>
      <c r="J855" s="30">
        <v>551.22</v>
      </c>
      <c r="K855" s="30">
        <v>249.82</v>
      </c>
      <c r="L855" s="30">
        <f t="shared" si="79"/>
        <v>551.22</v>
      </c>
      <c r="M855" s="30">
        <f t="shared" si="79"/>
        <v>249.82</v>
      </c>
      <c r="N855" s="30">
        <f>ROUND('Смета ЕР (общ) '!$I855*'Смета ЕР (общ) '!$L855,2)</f>
        <v>0</v>
      </c>
      <c r="O855" s="30">
        <f>ROUND('Смета ЕР (общ) '!$I855*'Смета ЕР (общ) '!$M855,2)</f>
        <v>0</v>
      </c>
      <c r="P855" s="45"/>
      <c r="T855">
        <v>10</v>
      </c>
    </row>
    <row r="856" spans="1:20" ht="24" hidden="1" x14ac:dyDescent="0.3">
      <c r="A856" s="26" t="s">
        <v>830</v>
      </c>
      <c r="B856" s="26">
        <v>1</v>
      </c>
      <c r="C856" s="26"/>
      <c r="D856" s="26">
        <v>9</v>
      </c>
      <c r="E856" s="26" t="str">
        <f>CONCATENATE('Смета ЕР (общ) '!$A856,".",'Смета ЕР (общ) '!$B856,".",'Смета ЕР (общ) '!$D856)</f>
        <v>Р6.1.9</v>
      </c>
      <c r="F856" s="26">
        <f t="shared" si="78"/>
        <v>1</v>
      </c>
      <c r="G856" s="27" t="s">
        <v>922</v>
      </c>
      <c r="H856" s="28" t="s">
        <v>147</v>
      </c>
      <c r="I856" s="158"/>
      <c r="J856" s="30">
        <v>551.22</v>
      </c>
      <c r="K856" s="30">
        <v>163.91</v>
      </c>
      <c r="L856" s="30">
        <f t="shared" si="79"/>
        <v>551.22</v>
      </c>
      <c r="M856" s="30">
        <f t="shared" si="79"/>
        <v>163.91</v>
      </c>
      <c r="N856" s="30">
        <f>ROUND('Смета ЕР (общ) '!$I856*'Смета ЕР (общ) '!$L856,2)</f>
        <v>0</v>
      </c>
      <c r="O856" s="30">
        <f>ROUND('Смета ЕР (общ) '!$I856*'Смета ЕР (общ) '!$M856,2)</f>
        <v>0</v>
      </c>
      <c r="P856" s="45"/>
      <c r="T856">
        <v>20</v>
      </c>
    </row>
    <row r="857" spans="1:20" ht="14.4" hidden="1" x14ac:dyDescent="0.3">
      <c r="A857" s="26" t="s">
        <v>830</v>
      </c>
      <c r="B857" s="26">
        <v>1</v>
      </c>
      <c r="C857" s="26"/>
      <c r="D857" s="26">
        <v>10</v>
      </c>
      <c r="E857" s="26" t="str">
        <f>CONCATENATE('Смета ЕР (общ) '!$A857,".",'Смета ЕР (общ) '!$B857,".",'Смета ЕР (общ) '!$D857)</f>
        <v>Р6.1.10</v>
      </c>
      <c r="F857" s="26">
        <f t="shared" si="78"/>
        <v>1</v>
      </c>
      <c r="G857" s="27" t="s">
        <v>923</v>
      </c>
      <c r="H857" s="28" t="s">
        <v>147</v>
      </c>
      <c r="I857" s="158"/>
      <c r="J857" s="30">
        <v>551.22</v>
      </c>
      <c r="K857" s="30">
        <v>426.07</v>
      </c>
      <c r="L857" s="30">
        <f t="shared" si="79"/>
        <v>551.22</v>
      </c>
      <c r="M857" s="30">
        <f t="shared" si="79"/>
        <v>426.07</v>
      </c>
      <c r="N857" s="30">
        <f>ROUND('Смета ЕР (общ) '!$I857*'Смета ЕР (общ) '!$L857,2)</f>
        <v>0</v>
      </c>
      <c r="O857" s="30">
        <f>ROUND('Смета ЕР (общ) '!$I857*'Смета ЕР (общ) '!$M857,2)</f>
        <v>0</v>
      </c>
      <c r="P857" s="45"/>
    </row>
    <row r="858" spans="1:20" ht="14.4" hidden="1" x14ac:dyDescent="0.3">
      <c r="A858" s="26" t="s">
        <v>830</v>
      </c>
      <c r="B858" s="26">
        <v>1</v>
      </c>
      <c r="C858" s="26"/>
      <c r="D858" s="26">
        <v>11</v>
      </c>
      <c r="E858" s="26" t="str">
        <f>CONCATENATE('Смета ЕР (общ) '!$A858,".",'Смета ЕР (общ) '!$B858,".",'Смета ЕР (общ) '!$D858)</f>
        <v>Р6.1.11</v>
      </c>
      <c r="F858" s="26">
        <f t="shared" si="78"/>
        <v>1</v>
      </c>
      <c r="G858" s="27" t="s">
        <v>924</v>
      </c>
      <c r="H858" s="28" t="s">
        <v>147</v>
      </c>
      <c r="I858" s="158"/>
      <c r="J858" s="30">
        <v>551.22</v>
      </c>
      <c r="K858" s="30">
        <v>560.23</v>
      </c>
      <c r="L858" s="30">
        <f t="shared" si="79"/>
        <v>551.22</v>
      </c>
      <c r="M858" s="30">
        <f t="shared" si="79"/>
        <v>560.23</v>
      </c>
      <c r="N858" s="30">
        <f>ROUND('Смета ЕР (общ) '!$I858*'Смета ЕР (общ) '!$L858,2)</f>
        <v>0</v>
      </c>
      <c r="O858" s="30">
        <f>ROUND('Смета ЕР (общ) '!$I858*'Смета ЕР (общ) '!$M858,2)</f>
        <v>0</v>
      </c>
      <c r="P858" s="45"/>
    </row>
    <row r="859" spans="1:20" ht="14.4" hidden="1" x14ac:dyDescent="0.3">
      <c r="A859" s="26" t="s">
        <v>830</v>
      </c>
      <c r="B859" s="26">
        <v>1</v>
      </c>
      <c r="C859" s="26"/>
      <c r="D859" s="26">
        <v>12</v>
      </c>
      <c r="E859" s="26" t="str">
        <f>CONCATENATE('Смета ЕР (общ) '!$A859,".",'Смета ЕР (общ) '!$B859,".",'Смета ЕР (общ) '!$D859)</f>
        <v>Р6.1.12</v>
      </c>
      <c r="F859" s="26">
        <f t="shared" si="78"/>
        <v>1</v>
      </c>
      <c r="G859" s="27" t="s">
        <v>925</v>
      </c>
      <c r="H859" s="28" t="s">
        <v>147</v>
      </c>
      <c r="I859" s="158"/>
      <c r="J859" s="30">
        <v>551.22</v>
      </c>
      <c r="K859" s="30">
        <v>374.33</v>
      </c>
      <c r="L859" s="30">
        <f t="shared" si="79"/>
        <v>551.22</v>
      </c>
      <c r="M859" s="30">
        <f t="shared" si="79"/>
        <v>374.33</v>
      </c>
      <c r="N859" s="30">
        <f>ROUND('Смета ЕР (общ) '!$I859*'Смета ЕР (общ) '!$L859,2)</f>
        <v>0</v>
      </c>
      <c r="O859" s="30">
        <f>ROUND('Смета ЕР (общ) '!$I859*'Смета ЕР (общ) '!$M859,2)</f>
        <v>0</v>
      </c>
      <c r="P859" s="45"/>
    </row>
    <row r="860" spans="1:20" ht="14.4" hidden="1" x14ac:dyDescent="0.3">
      <c r="A860" s="26" t="s">
        <v>830</v>
      </c>
      <c r="B860" s="26">
        <v>1</v>
      </c>
      <c r="C860" s="26"/>
      <c r="D860" s="26">
        <v>13</v>
      </c>
      <c r="E860" s="26" t="str">
        <f>CONCATENATE('Смета ЕР (общ) '!$A860,".",'Смета ЕР (общ) '!$B860,".",'Смета ЕР (общ) '!$D860)</f>
        <v>Р6.1.13</v>
      </c>
      <c r="F860" s="26">
        <f t="shared" si="78"/>
        <v>1</v>
      </c>
      <c r="G860" s="27" t="s">
        <v>926</v>
      </c>
      <c r="H860" s="28" t="s">
        <v>118</v>
      </c>
      <c r="I860" s="158"/>
      <c r="J860" s="30">
        <v>886.23</v>
      </c>
      <c r="K860" s="30">
        <v>1141.1400000000001</v>
      </c>
      <c r="L860" s="30">
        <f t="shared" si="79"/>
        <v>886.23</v>
      </c>
      <c r="M860" s="30">
        <f t="shared" si="79"/>
        <v>1141.1400000000001</v>
      </c>
      <c r="N860" s="30">
        <f>ROUND('Смета ЕР (общ) '!$I860*'Смета ЕР (общ) '!$L860,2)</f>
        <v>0</v>
      </c>
      <c r="O860" s="30">
        <f>ROUND('Смета ЕР (общ) '!$I860*'Смета ЕР (общ) '!$M860,2)</f>
        <v>0</v>
      </c>
      <c r="P860" s="45"/>
    </row>
    <row r="861" spans="1:20" ht="14.4" hidden="1" x14ac:dyDescent="0.3">
      <c r="A861" s="26" t="s">
        <v>830</v>
      </c>
      <c r="B861" s="26">
        <v>1</v>
      </c>
      <c r="C861" s="26"/>
      <c r="D861" s="26">
        <v>14</v>
      </c>
      <c r="E861" s="26" t="str">
        <f>CONCATENATE('Смета ЕР (общ) '!$A861,".",'Смета ЕР (общ) '!$B861,".",'Смета ЕР (общ) '!$D861)</f>
        <v>Р6.1.14</v>
      </c>
      <c r="F861" s="26">
        <f t="shared" si="78"/>
        <v>1</v>
      </c>
      <c r="G861" s="27" t="s">
        <v>927</v>
      </c>
      <c r="H861" s="28" t="s">
        <v>118</v>
      </c>
      <c r="I861" s="158"/>
      <c r="J861" s="30">
        <v>886.23</v>
      </c>
      <c r="K861" s="30">
        <v>1841.47</v>
      </c>
      <c r="L861" s="30">
        <f t="shared" si="79"/>
        <v>886.23</v>
      </c>
      <c r="M861" s="30">
        <f t="shared" si="79"/>
        <v>1841.47</v>
      </c>
      <c r="N861" s="30">
        <f>ROUND('Смета ЕР (общ) '!$I861*'Смета ЕР (общ) '!$L861,2)</f>
        <v>0</v>
      </c>
      <c r="O861" s="30">
        <f>ROUND('Смета ЕР (общ) '!$I861*'Смета ЕР (общ) '!$M861,2)</f>
        <v>0</v>
      </c>
      <c r="P861" s="45"/>
      <c r="T861">
        <v>8</v>
      </c>
    </row>
    <row r="862" spans="1:20" ht="14.4" hidden="1" x14ac:dyDescent="0.3">
      <c r="A862" s="26" t="s">
        <v>830</v>
      </c>
      <c r="B862" s="26">
        <v>1</v>
      </c>
      <c r="C862" s="26"/>
      <c r="D862" s="26">
        <v>15</v>
      </c>
      <c r="E862" s="26" t="str">
        <f>CONCATENATE('Смета ЕР (общ) '!$A862,".",'Смета ЕР (общ) '!$B862,".",'Смета ЕР (общ) '!$D862)</f>
        <v>Р6.1.15</v>
      </c>
      <c r="F862" s="26">
        <f t="shared" si="78"/>
        <v>1</v>
      </c>
      <c r="G862" s="27" t="s">
        <v>928</v>
      </c>
      <c r="H862" s="28" t="s">
        <v>64</v>
      </c>
      <c r="I862" s="158"/>
      <c r="J862" s="30">
        <v>305.37</v>
      </c>
      <c r="K862" s="30">
        <v>420.85</v>
      </c>
      <c r="L862" s="30">
        <f t="shared" si="79"/>
        <v>305.37</v>
      </c>
      <c r="M862" s="30">
        <f t="shared" si="79"/>
        <v>420.85</v>
      </c>
      <c r="N862" s="30">
        <f>ROUND('Смета ЕР (общ) '!$I862*'Смета ЕР (общ) '!$L862,2)</f>
        <v>0</v>
      </c>
      <c r="O862" s="30">
        <f>ROUND('Смета ЕР (общ) '!$I862*'Смета ЕР (общ) '!$M862,2)</f>
        <v>0</v>
      </c>
      <c r="P862" s="45"/>
      <c r="T862">
        <v>8</v>
      </c>
    </row>
    <row r="863" spans="1:20" ht="14.4" hidden="1" x14ac:dyDescent="0.3">
      <c r="A863" s="26" t="s">
        <v>830</v>
      </c>
      <c r="B863" s="26">
        <v>1</v>
      </c>
      <c r="C863" s="26"/>
      <c r="D863" s="26">
        <v>16</v>
      </c>
      <c r="E863" s="26" t="str">
        <f>CONCATENATE('Смета ЕР (общ) '!$A863,".",'Смета ЕР (общ) '!$B863,".",'Смета ЕР (общ) '!$D863)</f>
        <v>Р6.1.16</v>
      </c>
      <c r="F863" s="26">
        <f t="shared" si="78"/>
        <v>1</v>
      </c>
      <c r="G863" s="27" t="s">
        <v>929</v>
      </c>
      <c r="H863" s="28" t="s">
        <v>64</v>
      </c>
      <c r="I863" s="158"/>
      <c r="J863" s="159">
        <v>33963</v>
      </c>
      <c r="K863" s="159">
        <v>0</v>
      </c>
      <c r="L863" s="159">
        <f t="shared" si="79"/>
        <v>33963</v>
      </c>
      <c r="M863" s="30">
        <f t="shared" si="79"/>
        <v>0</v>
      </c>
      <c r="N863" s="30">
        <f>ROUND('Смета ЕР (общ) '!$I863*'Смета ЕР (общ) '!$L863,2)</f>
        <v>0</v>
      </c>
      <c r="O863" s="30">
        <f>ROUND('Смета ЕР (общ) '!$I863*'Смета ЕР (общ) '!$M863,2)</f>
        <v>0</v>
      </c>
      <c r="P863" s="171"/>
      <c r="T863">
        <v>214</v>
      </c>
    </row>
    <row r="864" spans="1:20" ht="24" hidden="1" x14ac:dyDescent="0.3">
      <c r="A864" s="26" t="s">
        <v>830</v>
      </c>
      <c r="B864" s="26">
        <v>1</v>
      </c>
      <c r="C864" s="26"/>
      <c r="D864" s="26">
        <v>136</v>
      </c>
      <c r="E864" s="26" t="str">
        <f>CONCATENATE('Смета ЕР (общ) '!$A864,".",'Смета ЕР (общ) '!$B864,".",'Смета ЕР (общ) '!$D864)</f>
        <v>Р6.1.136</v>
      </c>
      <c r="F864" s="26">
        <f t="shared" si="78"/>
        <v>1</v>
      </c>
      <c r="G864" s="27" t="s">
        <v>930</v>
      </c>
      <c r="H864" s="28" t="s">
        <v>125</v>
      </c>
      <c r="I864" s="158"/>
      <c r="J864" s="159">
        <v>113.21</v>
      </c>
      <c r="K864" s="159">
        <v>0</v>
      </c>
      <c r="L864" s="159">
        <f t="shared" si="79"/>
        <v>113.21</v>
      </c>
      <c r="M864" s="30">
        <f t="shared" si="79"/>
        <v>0</v>
      </c>
      <c r="N864" s="30">
        <f>ROUND('Смета ЕР (общ) '!$I864*'Смета ЕР (общ) '!$L864,2)</f>
        <v>0</v>
      </c>
      <c r="O864" s="30">
        <f>ROUND('Смета ЕР (общ) '!$I864*'Смета ЕР (общ) '!$M864,2)</f>
        <v>0</v>
      </c>
      <c r="P864" s="171"/>
    </row>
    <row r="865" spans="1:20" ht="14.4" hidden="1" x14ac:dyDescent="0.3">
      <c r="A865" s="26" t="s">
        <v>830</v>
      </c>
      <c r="B865" s="26">
        <v>1</v>
      </c>
      <c r="C865" s="26"/>
      <c r="D865" s="26">
        <v>17</v>
      </c>
      <c r="E865" s="26" t="str">
        <f>CONCATENATE('Смета ЕР (общ) '!$A865,".",'Смета ЕР (общ) '!$B865,".",'Смета ЕР (общ) '!$D865)</f>
        <v>Р6.1.17</v>
      </c>
      <c r="F865" s="26">
        <f>IF(I865&gt;0,F863+1,F863)</f>
        <v>1</v>
      </c>
      <c r="G865" s="27" t="s">
        <v>931</v>
      </c>
      <c r="H865" s="28" t="s">
        <v>118</v>
      </c>
      <c r="I865" s="158"/>
      <c r="J865" s="30">
        <v>3053.7</v>
      </c>
      <c r="K865" s="30">
        <v>0</v>
      </c>
      <c r="L865" s="30">
        <f t="shared" si="79"/>
        <v>3053.7</v>
      </c>
      <c r="M865" s="30">
        <f t="shared" si="79"/>
        <v>0</v>
      </c>
      <c r="N865" s="30">
        <f>ROUND('Смета ЕР (общ) '!$I865*'Смета ЕР (общ) '!$L865,2)</f>
        <v>0</v>
      </c>
      <c r="O865" s="30">
        <f>ROUND('Смета ЕР (общ) '!$I865*'Смета ЕР (общ) '!$M865,2)</f>
        <v>0</v>
      </c>
      <c r="P865" s="45"/>
    </row>
    <row r="866" spans="1:20" ht="14.4" hidden="1" x14ac:dyDescent="0.3">
      <c r="A866" s="26" t="s">
        <v>830</v>
      </c>
      <c r="B866" s="26">
        <v>1</v>
      </c>
      <c r="C866" s="26"/>
      <c r="D866" s="26">
        <v>18</v>
      </c>
      <c r="E866" s="26" t="str">
        <f>CONCATENATE('Смета ЕР (общ) '!$A866,".",'Смета ЕР (общ) '!$B866,".",'Смета ЕР (общ) '!$D866)</f>
        <v>Р6.1.18</v>
      </c>
      <c r="F866" s="26">
        <f t="shared" si="78"/>
        <v>1</v>
      </c>
      <c r="G866" s="27" t="s">
        <v>932</v>
      </c>
      <c r="H866" s="28" t="s">
        <v>118</v>
      </c>
      <c r="I866" s="158"/>
      <c r="J866" s="30">
        <v>6135.33</v>
      </c>
      <c r="K866" s="30">
        <v>0</v>
      </c>
      <c r="L866" s="30">
        <f t="shared" si="79"/>
        <v>6135.33</v>
      </c>
      <c r="M866" s="30">
        <f t="shared" si="79"/>
        <v>0</v>
      </c>
      <c r="N866" s="30">
        <f>ROUND('Смета ЕР (общ) '!$I866*'Смета ЕР (общ) '!$L866,2)</f>
        <v>0</v>
      </c>
      <c r="O866" s="30">
        <f>ROUND('Смета ЕР (общ) '!$I866*'Смета ЕР (общ) '!$M866,2)</f>
        <v>0</v>
      </c>
      <c r="P866" s="45"/>
    </row>
    <row r="867" spans="1:20" ht="14.4" hidden="1" x14ac:dyDescent="0.3">
      <c r="A867" s="26" t="s">
        <v>830</v>
      </c>
      <c r="B867" s="26">
        <v>1</v>
      </c>
      <c r="C867" s="26"/>
      <c r="D867" s="26">
        <v>20</v>
      </c>
      <c r="E867" s="26" t="str">
        <f>CONCATENATE('Смета ЕР (общ) '!$A867,".",'Смета ЕР (общ) '!$B867,".",'Смета ЕР (общ) '!$D867)</f>
        <v>Р6.1.20</v>
      </c>
      <c r="F867" s="26">
        <f t="shared" si="78"/>
        <v>1</v>
      </c>
      <c r="G867" s="27" t="s">
        <v>933</v>
      </c>
      <c r="H867" s="28" t="s">
        <v>118</v>
      </c>
      <c r="I867" s="158"/>
      <c r="J867" s="30">
        <v>806.66</v>
      </c>
      <c r="K867" s="30">
        <v>439.66</v>
      </c>
      <c r="L867" s="30">
        <f t="shared" si="79"/>
        <v>806.66</v>
      </c>
      <c r="M867" s="30">
        <f t="shared" si="79"/>
        <v>439.66</v>
      </c>
      <c r="N867" s="30">
        <f>ROUND('Смета ЕР (общ) '!$I867*'Смета ЕР (общ) '!$L867,2)</f>
        <v>0</v>
      </c>
      <c r="O867" s="30">
        <f>ROUND('Смета ЕР (общ) '!$I867*'Смета ЕР (общ) '!$M867,2)</f>
        <v>0</v>
      </c>
      <c r="P867" s="45"/>
      <c r="T867">
        <v>16</v>
      </c>
    </row>
    <row r="868" spans="1:20" ht="14.4" hidden="1" x14ac:dyDescent="0.3">
      <c r="A868" s="26" t="s">
        <v>830</v>
      </c>
      <c r="B868" s="26">
        <v>1</v>
      </c>
      <c r="C868" s="26"/>
      <c r="D868" s="26">
        <v>21</v>
      </c>
      <c r="E868" s="26" t="str">
        <f>CONCATENATE('Смета ЕР (общ) '!$A868,".",'Смета ЕР (общ) '!$B868,".",'Смета ЕР (общ) '!$D868)</f>
        <v>Р6.1.21</v>
      </c>
      <c r="F868" s="26">
        <f t="shared" si="78"/>
        <v>1</v>
      </c>
      <c r="G868" s="27" t="s">
        <v>934</v>
      </c>
      <c r="H868" s="28" t="s">
        <v>118</v>
      </c>
      <c r="I868" s="158"/>
      <c r="J868" s="30">
        <v>886.23</v>
      </c>
      <c r="K868" s="30">
        <v>70.73</v>
      </c>
      <c r="L868" s="30">
        <f t="shared" si="79"/>
        <v>886.23</v>
      </c>
      <c r="M868" s="30">
        <f t="shared" si="79"/>
        <v>70.73</v>
      </c>
      <c r="N868" s="30">
        <f>ROUND('Смета ЕР (общ) '!$I868*'Смета ЕР (общ) '!$L868,2)</f>
        <v>0</v>
      </c>
      <c r="O868" s="30">
        <f>ROUND('Смета ЕР (общ) '!$I868*'Смета ЕР (общ) '!$M868,2)</f>
        <v>0</v>
      </c>
      <c r="P868" s="45"/>
      <c r="T868">
        <v>8</v>
      </c>
    </row>
    <row r="869" spans="1:20" ht="24" hidden="1" x14ac:dyDescent="0.3">
      <c r="A869" s="26" t="s">
        <v>830</v>
      </c>
      <c r="B869" s="26">
        <v>1</v>
      </c>
      <c r="C869" s="26"/>
      <c r="D869" s="26">
        <v>22</v>
      </c>
      <c r="E869" s="26" t="str">
        <f>CONCATENATE('Смета ЕР (общ) '!$A869,".",'Смета ЕР (общ) '!$B869,".",'Смета ЕР (общ) '!$D869)</f>
        <v>Р6.1.22</v>
      </c>
      <c r="F869" s="26">
        <f t="shared" si="78"/>
        <v>1</v>
      </c>
      <c r="G869" s="27" t="s">
        <v>935</v>
      </c>
      <c r="H869" s="28" t="s">
        <v>118</v>
      </c>
      <c r="I869" s="158"/>
      <c r="J869" s="30">
        <v>2578.6799999999998</v>
      </c>
      <c r="K869" s="30">
        <v>23430.35</v>
      </c>
      <c r="L869" s="30">
        <f t="shared" ref="L869:M897" si="80">ROUND(J869-J869*$Q$3,2)</f>
        <v>2578.6799999999998</v>
      </c>
      <c r="M869" s="30">
        <f t="shared" si="80"/>
        <v>23430.35</v>
      </c>
      <c r="N869" s="30">
        <f>ROUND('Смета ЕР (общ) '!$I869*'Смета ЕР (общ) '!$L869,2)</f>
        <v>0</v>
      </c>
      <c r="O869" s="30">
        <f>ROUND('Смета ЕР (общ) '!$I869*'Смета ЕР (общ) '!$M869,2)</f>
        <v>0</v>
      </c>
      <c r="P869" s="45"/>
    </row>
    <row r="870" spans="1:20" ht="24" hidden="1" x14ac:dyDescent="0.3">
      <c r="A870" s="26" t="s">
        <v>830</v>
      </c>
      <c r="B870" s="26">
        <v>1</v>
      </c>
      <c r="C870" s="26"/>
      <c r="D870" s="26">
        <v>23</v>
      </c>
      <c r="E870" s="26" t="str">
        <f>CONCATENATE('Смета ЕР (общ) '!$A870,".",'Смета ЕР (общ) '!$B870,".",'Смета ЕР (общ) '!$D870)</f>
        <v>Р6.1.23</v>
      </c>
      <c r="F870" s="26">
        <f t="shared" si="78"/>
        <v>1</v>
      </c>
      <c r="G870" s="27" t="s">
        <v>936</v>
      </c>
      <c r="H870" s="28" t="s">
        <v>118</v>
      </c>
      <c r="I870" s="158"/>
      <c r="J870" s="30">
        <v>2578.6799999999998</v>
      </c>
      <c r="K870" s="30">
        <v>24525.85</v>
      </c>
      <c r="L870" s="30">
        <f t="shared" si="80"/>
        <v>2578.6799999999998</v>
      </c>
      <c r="M870" s="30">
        <f t="shared" si="80"/>
        <v>24525.85</v>
      </c>
      <c r="N870" s="30">
        <f>ROUND('Смета ЕР (общ) '!$I870*'Смета ЕР (общ) '!$L870,2)</f>
        <v>0</v>
      </c>
      <c r="O870" s="30">
        <f>ROUND('Смета ЕР (общ) '!$I870*'Смета ЕР (общ) '!$M870,2)</f>
        <v>0</v>
      </c>
      <c r="P870" s="45"/>
    </row>
    <row r="871" spans="1:20" ht="14.4" hidden="1" x14ac:dyDescent="0.3">
      <c r="A871" s="26" t="s">
        <v>830</v>
      </c>
      <c r="B871" s="26">
        <v>1</v>
      </c>
      <c r="C871" s="26"/>
      <c r="D871" s="26">
        <v>24</v>
      </c>
      <c r="E871" s="26" t="str">
        <f>CONCATENATE('Смета ЕР (общ) '!$A871,".",'Смета ЕР (общ) '!$B871,".",'Смета ЕР (общ) '!$D871)</f>
        <v>Р6.1.24</v>
      </c>
      <c r="F871" s="26">
        <f t="shared" si="78"/>
        <v>1</v>
      </c>
      <c r="G871" s="27" t="s">
        <v>937</v>
      </c>
      <c r="H871" s="28" t="s">
        <v>118</v>
      </c>
      <c r="I871" s="158"/>
      <c r="J871" s="30">
        <v>2578.6799999999998</v>
      </c>
      <c r="K871" s="30">
        <v>17955.060000000001</v>
      </c>
      <c r="L871" s="30">
        <f t="shared" si="80"/>
        <v>2578.6799999999998</v>
      </c>
      <c r="M871" s="30">
        <f t="shared" si="80"/>
        <v>17955.060000000001</v>
      </c>
      <c r="N871" s="30">
        <f>ROUND('Смета ЕР (общ) '!$I871*'Смета ЕР (общ) '!$L871,2)</f>
        <v>0</v>
      </c>
      <c r="O871" s="30">
        <f>ROUND('Смета ЕР (общ) '!$I871*'Смета ЕР (общ) '!$M871,2)</f>
        <v>0</v>
      </c>
      <c r="P871" s="45"/>
    </row>
    <row r="872" spans="1:20" ht="24" hidden="1" x14ac:dyDescent="0.3">
      <c r="A872" s="26" t="s">
        <v>830</v>
      </c>
      <c r="B872" s="26">
        <v>1</v>
      </c>
      <c r="C872" s="26"/>
      <c r="D872" s="26">
        <v>25</v>
      </c>
      <c r="E872" s="26" t="str">
        <f>CONCATENATE('Смета ЕР (общ) '!$A872,".",'Смета ЕР (общ) '!$B872,".",'Смета ЕР (общ) '!$D872)</f>
        <v>Р6.1.25</v>
      </c>
      <c r="F872" s="26">
        <f t="shared" si="78"/>
        <v>1</v>
      </c>
      <c r="G872" s="27" t="s">
        <v>938</v>
      </c>
      <c r="H872" s="28" t="s">
        <v>147</v>
      </c>
      <c r="I872" s="158"/>
      <c r="J872" s="30">
        <v>449.16</v>
      </c>
      <c r="K872" s="30">
        <v>286.01</v>
      </c>
      <c r="L872" s="30">
        <f t="shared" si="80"/>
        <v>449.16</v>
      </c>
      <c r="M872" s="30">
        <f t="shared" si="80"/>
        <v>286.01</v>
      </c>
      <c r="N872" s="30">
        <f>ROUND('Смета ЕР (общ) '!$I872*'Смета ЕР (общ) '!$L872,2)</f>
        <v>0</v>
      </c>
      <c r="O872" s="30">
        <f>ROUND('Смета ЕР (общ) '!$I872*'Смета ЕР (общ) '!$M872,2)</f>
        <v>0</v>
      </c>
      <c r="P872" s="45"/>
    </row>
    <row r="873" spans="1:20" ht="24" hidden="1" x14ac:dyDescent="0.3">
      <c r="A873" s="26" t="s">
        <v>830</v>
      </c>
      <c r="B873" s="26">
        <v>1</v>
      </c>
      <c r="C873" s="26"/>
      <c r="D873" s="26">
        <v>26</v>
      </c>
      <c r="E873" s="26" t="str">
        <f>CONCATENATE('Смета ЕР (общ) '!$A873,".",'Смета ЕР (общ) '!$B873,".",'Смета ЕР (общ) '!$D873)</f>
        <v>Р6.1.26</v>
      </c>
      <c r="F873" s="26">
        <f t="shared" si="78"/>
        <v>1</v>
      </c>
      <c r="G873" s="27" t="s">
        <v>939</v>
      </c>
      <c r="H873" s="28" t="s">
        <v>147</v>
      </c>
      <c r="I873" s="158"/>
      <c r="J873" s="30">
        <v>467.5</v>
      </c>
      <c r="K873" s="30">
        <v>663.5</v>
      </c>
      <c r="L873" s="30">
        <f t="shared" si="80"/>
        <v>467.5</v>
      </c>
      <c r="M873" s="30">
        <f t="shared" si="80"/>
        <v>663.5</v>
      </c>
      <c r="N873" s="30">
        <f>ROUND('Смета ЕР (общ) '!$I873*'Смета ЕР (общ) '!$L873,2)</f>
        <v>0</v>
      </c>
      <c r="O873" s="30">
        <f>ROUND('Смета ЕР (общ) '!$I873*'Смета ЕР (общ) '!$M873,2)</f>
        <v>0</v>
      </c>
      <c r="P873" s="45"/>
    </row>
    <row r="874" spans="1:20" ht="24" hidden="1" x14ac:dyDescent="0.3">
      <c r="A874" s="26" t="s">
        <v>830</v>
      </c>
      <c r="B874" s="26">
        <v>1</v>
      </c>
      <c r="C874" s="26"/>
      <c r="D874" s="26">
        <v>27</v>
      </c>
      <c r="E874" s="26" t="str">
        <f>CONCATENATE('Смета ЕР (общ) '!$A874,".",'Смета ЕР (общ) '!$B874,".",'Смета ЕР (общ) '!$D874)</f>
        <v>Р6.1.27</v>
      </c>
      <c r="F874" s="26">
        <f t="shared" si="78"/>
        <v>1</v>
      </c>
      <c r="G874" s="27" t="s">
        <v>940</v>
      </c>
      <c r="H874" s="28" t="s">
        <v>147</v>
      </c>
      <c r="I874" s="158"/>
      <c r="J874" s="30">
        <v>583.6</v>
      </c>
      <c r="K874" s="30">
        <v>733.88</v>
      </c>
      <c r="L874" s="30">
        <f t="shared" si="80"/>
        <v>583.6</v>
      </c>
      <c r="M874" s="30">
        <f t="shared" si="80"/>
        <v>733.88</v>
      </c>
      <c r="N874" s="30">
        <f>ROUND('Смета ЕР (общ) '!$I874*'Смета ЕР (общ) '!$L874,2)</f>
        <v>0</v>
      </c>
      <c r="O874" s="30">
        <f>ROUND('Смета ЕР (общ) '!$I874*'Смета ЕР (общ) '!$M874,2)</f>
        <v>0</v>
      </c>
      <c r="P874" s="45"/>
    </row>
    <row r="875" spans="1:20" ht="14.4" hidden="1" x14ac:dyDescent="0.3">
      <c r="A875" s="26" t="s">
        <v>830</v>
      </c>
      <c r="B875" s="26">
        <v>1</v>
      </c>
      <c r="C875" s="26"/>
      <c r="D875" s="26">
        <v>28</v>
      </c>
      <c r="E875" s="26" t="str">
        <f>CONCATENATE('Смета ЕР (общ) '!$A875,".",'Смета ЕР (общ) '!$B875,".",'Смета ЕР (общ) '!$D875)</f>
        <v>Р6.1.28</v>
      </c>
      <c r="F875" s="26">
        <f t="shared" si="78"/>
        <v>1</v>
      </c>
      <c r="G875" s="27" t="s">
        <v>941</v>
      </c>
      <c r="H875" s="28" t="s">
        <v>147</v>
      </c>
      <c r="I875" s="158"/>
      <c r="J875" s="30">
        <v>551.22</v>
      </c>
      <c r="K875" s="30">
        <v>191.42</v>
      </c>
      <c r="L875" s="30">
        <f t="shared" si="80"/>
        <v>551.22</v>
      </c>
      <c r="M875" s="30">
        <f t="shared" si="80"/>
        <v>191.42</v>
      </c>
      <c r="N875" s="30">
        <f>ROUND('Смета ЕР (общ) '!$I875*'Смета ЕР (общ) '!$L875,2)</f>
        <v>0</v>
      </c>
      <c r="O875" s="30">
        <f>ROUND('Смета ЕР (общ) '!$I875*'Смета ЕР (общ) '!$M875,2)</f>
        <v>0</v>
      </c>
      <c r="P875" s="45"/>
    </row>
    <row r="876" spans="1:20" ht="14.4" hidden="1" x14ac:dyDescent="0.3">
      <c r="A876" s="26" t="s">
        <v>830</v>
      </c>
      <c r="B876" s="26">
        <v>1</v>
      </c>
      <c r="C876" s="26"/>
      <c r="D876" s="26">
        <v>29</v>
      </c>
      <c r="E876" s="26" t="str">
        <f>CONCATENATE('Смета ЕР (общ) '!$A876,".",'Смета ЕР (общ) '!$B876,".",'Смета ЕР (общ) '!$D876)</f>
        <v>Р6.1.29</v>
      </c>
      <c r="F876" s="26">
        <f t="shared" si="78"/>
        <v>1</v>
      </c>
      <c r="G876" s="27" t="s">
        <v>942</v>
      </c>
      <c r="H876" s="28" t="s">
        <v>147</v>
      </c>
      <c r="I876" s="158"/>
      <c r="J876" s="30">
        <v>551.22</v>
      </c>
      <c r="K876" s="30">
        <v>654.94000000000005</v>
      </c>
      <c r="L876" s="30">
        <f t="shared" si="80"/>
        <v>551.22</v>
      </c>
      <c r="M876" s="30">
        <f t="shared" si="80"/>
        <v>654.94000000000005</v>
      </c>
      <c r="N876" s="30">
        <f>ROUND('Смета ЕР (общ) '!$I876*'Смета ЕР (общ) '!$L876,2)</f>
        <v>0</v>
      </c>
      <c r="O876" s="30">
        <f>ROUND('Смета ЕР (общ) '!$I876*'Смета ЕР (общ) '!$M876,2)</f>
        <v>0</v>
      </c>
      <c r="P876" s="45"/>
      <c r="T876">
        <v>10</v>
      </c>
    </row>
    <row r="877" spans="1:20" ht="14.4" hidden="1" x14ac:dyDescent="0.3">
      <c r="A877" s="26" t="s">
        <v>830</v>
      </c>
      <c r="B877" s="26">
        <v>1</v>
      </c>
      <c r="C877" s="26"/>
      <c r="D877" s="26">
        <v>30</v>
      </c>
      <c r="E877" s="26" t="str">
        <f>CONCATENATE('Смета ЕР (общ) '!$A877,".",'Смета ЕР (общ) '!$B877,".",'Смета ЕР (общ) '!$D877)</f>
        <v>Р6.1.30</v>
      </c>
      <c r="F877" s="26">
        <f t="shared" si="78"/>
        <v>1</v>
      </c>
      <c r="G877" s="27" t="s">
        <v>943</v>
      </c>
      <c r="H877" s="28" t="s">
        <v>147</v>
      </c>
      <c r="I877" s="158"/>
      <c r="J877" s="30">
        <v>583.6</v>
      </c>
      <c r="K877" s="30">
        <v>987.01</v>
      </c>
      <c r="L877" s="30">
        <f t="shared" si="80"/>
        <v>583.6</v>
      </c>
      <c r="M877" s="30">
        <f t="shared" si="80"/>
        <v>987.01</v>
      </c>
      <c r="N877" s="30">
        <f>ROUND('Смета ЕР (общ) '!$I877*'Смета ЕР (общ) '!$L877,2)</f>
        <v>0</v>
      </c>
      <c r="O877" s="30">
        <f>ROUND('Смета ЕР (общ) '!$I877*'Смета ЕР (общ) '!$M877,2)</f>
        <v>0</v>
      </c>
      <c r="P877" s="45"/>
    </row>
    <row r="878" spans="1:20" ht="14.4" hidden="1" x14ac:dyDescent="0.3">
      <c r="A878" s="26" t="s">
        <v>830</v>
      </c>
      <c r="B878" s="26">
        <v>1</v>
      </c>
      <c r="C878" s="26"/>
      <c r="D878" s="26">
        <v>31</v>
      </c>
      <c r="E878" s="26" t="str">
        <f>CONCATENATE('Смета ЕР (общ) '!$A878,".",'Смета ЕР (общ) '!$B878,".",'Смета ЕР (общ) '!$D878)</f>
        <v>Р6.1.31</v>
      </c>
      <c r="F878" s="26">
        <f t="shared" si="78"/>
        <v>1</v>
      </c>
      <c r="G878" s="27" t="s">
        <v>944</v>
      </c>
      <c r="H878" s="28" t="s">
        <v>118</v>
      </c>
      <c r="I878" s="158"/>
      <c r="J878" s="30">
        <v>3135</v>
      </c>
      <c r="K878" s="30">
        <v>0</v>
      </c>
      <c r="L878" s="30">
        <f t="shared" si="80"/>
        <v>3135</v>
      </c>
      <c r="M878" s="30">
        <f t="shared" si="80"/>
        <v>0</v>
      </c>
      <c r="N878" s="30">
        <f>ROUND('Смета ЕР (общ) '!$I878*'Смета ЕР (общ) '!$L878,2)</f>
        <v>0</v>
      </c>
      <c r="O878" s="30">
        <f>ROUND('Смета ЕР (общ) '!$I878*'Смета ЕР (общ) '!$M878,2)</f>
        <v>0</v>
      </c>
      <c r="P878" s="45"/>
      <c r="T878">
        <v>12</v>
      </c>
    </row>
    <row r="879" spans="1:20" ht="14.4" hidden="1" x14ac:dyDescent="0.3">
      <c r="A879" s="26" t="s">
        <v>830</v>
      </c>
      <c r="B879" s="26">
        <v>1</v>
      </c>
      <c r="C879" s="26"/>
      <c r="D879" s="26">
        <v>32</v>
      </c>
      <c r="E879" s="26" t="str">
        <f>CONCATENATE('Смета ЕР (общ) '!$A879,".",'Смета ЕР (общ) '!$B879,".",'Смета ЕР (общ) '!$D879)</f>
        <v>Р6.1.32</v>
      </c>
      <c r="F879" s="26">
        <f t="shared" si="78"/>
        <v>1</v>
      </c>
      <c r="G879" s="27" t="s">
        <v>945</v>
      </c>
      <c r="H879" s="28" t="s">
        <v>147</v>
      </c>
      <c r="I879" s="158"/>
      <c r="J879" s="30">
        <v>156.75</v>
      </c>
      <c r="K879" s="30">
        <v>0</v>
      </c>
      <c r="L879" s="30">
        <f t="shared" si="80"/>
        <v>156.75</v>
      </c>
      <c r="M879" s="30">
        <f t="shared" si="80"/>
        <v>0</v>
      </c>
      <c r="N879" s="30">
        <f>ROUND('Смета ЕР (общ) '!$I879*'Смета ЕР (общ) '!$L879,2)</f>
        <v>0</v>
      </c>
      <c r="O879" s="30">
        <f>ROUND('Смета ЕР (общ) '!$I879*'Смета ЕР (общ) '!$M879,2)</f>
        <v>0</v>
      </c>
      <c r="P879" s="45"/>
    </row>
    <row r="880" spans="1:20" ht="14.4" hidden="1" x14ac:dyDescent="0.3">
      <c r="A880" s="26" t="s">
        <v>830</v>
      </c>
      <c r="B880" s="26">
        <v>1</v>
      </c>
      <c r="C880" s="26"/>
      <c r="D880" s="26">
        <v>35</v>
      </c>
      <c r="E880" s="26" t="str">
        <f>CONCATENATE('Смета ЕР (общ) '!$A880,".",'Смета ЕР (общ) '!$B880,".",'Смета ЕР (общ) '!$D880)</f>
        <v>Р6.1.35</v>
      </c>
      <c r="F880" s="26">
        <f t="shared" si="78"/>
        <v>1</v>
      </c>
      <c r="G880" s="27" t="s">
        <v>946</v>
      </c>
      <c r="H880" s="28" t="s">
        <v>118</v>
      </c>
      <c r="I880" s="158"/>
      <c r="J880" s="30">
        <v>886.23</v>
      </c>
      <c r="K880" s="30">
        <v>586.66999999999996</v>
      </c>
      <c r="L880" s="30">
        <f t="shared" si="80"/>
        <v>886.23</v>
      </c>
      <c r="M880" s="30">
        <f t="shared" si="80"/>
        <v>586.66999999999996</v>
      </c>
      <c r="N880" s="30">
        <f>ROUND('Смета ЕР (общ) '!$I880*'Смета ЕР (общ) '!$L880,2)</f>
        <v>0</v>
      </c>
      <c r="O880" s="30">
        <f>ROUND('Смета ЕР (общ) '!$I880*'Смета ЕР (общ) '!$M880,2)</f>
        <v>0</v>
      </c>
      <c r="P880" s="45"/>
    </row>
    <row r="881" spans="1:16" ht="14.4" hidden="1" x14ac:dyDescent="0.3">
      <c r="A881" s="26" t="s">
        <v>830</v>
      </c>
      <c r="B881" s="26">
        <v>1</v>
      </c>
      <c r="C881" s="26"/>
      <c r="D881" s="26">
        <v>36</v>
      </c>
      <c r="E881" s="26" t="str">
        <f>CONCATENATE('Смета ЕР (общ) '!$A881,".",'Смета ЕР (общ) '!$B881,".",'Смета ЕР (общ) '!$D881)</f>
        <v>Р6.1.36</v>
      </c>
      <c r="F881" s="26">
        <f t="shared" si="78"/>
        <v>1</v>
      </c>
      <c r="G881" s="27" t="s">
        <v>947</v>
      </c>
      <c r="H881" s="28" t="s">
        <v>147</v>
      </c>
      <c r="I881" s="158"/>
      <c r="J881" s="30">
        <v>551.22</v>
      </c>
      <c r="K881" s="30">
        <v>198.82</v>
      </c>
      <c r="L881" s="30">
        <f t="shared" si="80"/>
        <v>551.22</v>
      </c>
      <c r="M881" s="30">
        <f t="shared" si="80"/>
        <v>198.82</v>
      </c>
      <c r="N881" s="30">
        <f>ROUND('Смета ЕР (общ) '!$I881*'Смета ЕР (общ) '!$L881,2)</f>
        <v>0</v>
      </c>
      <c r="O881" s="30">
        <f>ROUND('Смета ЕР (общ) '!$I881*'Смета ЕР (общ) '!$M881,2)</f>
        <v>0</v>
      </c>
      <c r="P881" s="45"/>
    </row>
    <row r="882" spans="1:16" ht="14.4" hidden="1" x14ac:dyDescent="0.3">
      <c r="A882" s="26" t="s">
        <v>830</v>
      </c>
      <c r="B882" s="26">
        <v>1</v>
      </c>
      <c r="C882" s="26"/>
      <c r="D882" s="26">
        <v>37</v>
      </c>
      <c r="E882" s="26" t="str">
        <f>CONCATENATE('Смета ЕР (общ) '!$A882,".",'Смета ЕР (общ) '!$B882,".",'Смета ЕР (общ) '!$D882)</f>
        <v>Р6.1.37</v>
      </c>
      <c r="F882" s="26">
        <f t="shared" si="78"/>
        <v>1</v>
      </c>
      <c r="G882" s="27" t="s">
        <v>948</v>
      </c>
      <c r="H882" s="28" t="s">
        <v>147</v>
      </c>
      <c r="I882" s="158"/>
      <c r="J882" s="30">
        <v>551.22</v>
      </c>
      <c r="K882" s="30">
        <v>1056.6500000000001</v>
      </c>
      <c r="L882" s="30">
        <f t="shared" si="80"/>
        <v>551.22</v>
      </c>
      <c r="M882" s="30">
        <f t="shared" si="80"/>
        <v>1056.6500000000001</v>
      </c>
      <c r="N882" s="30">
        <f>ROUND('Смета ЕР (общ) '!$I882*'Смета ЕР (общ) '!$L882,2)</f>
        <v>0</v>
      </c>
      <c r="O882" s="30">
        <f>ROUND('Смета ЕР (общ) '!$I882*'Смета ЕР (общ) '!$M882,2)</f>
        <v>0</v>
      </c>
      <c r="P882" s="45"/>
    </row>
    <row r="883" spans="1:16" ht="14.4" hidden="1" x14ac:dyDescent="0.3">
      <c r="A883" s="26" t="s">
        <v>830</v>
      </c>
      <c r="B883" s="26">
        <v>1</v>
      </c>
      <c r="C883" s="26"/>
      <c r="D883" s="26">
        <v>38</v>
      </c>
      <c r="E883" s="26" t="str">
        <f>CONCATENATE('Смета ЕР (общ) '!$A883,".",'Смета ЕР (общ) '!$B883,".",'Смета ЕР (общ) '!$D883)</f>
        <v>Р6.1.38</v>
      </c>
      <c r="F883" s="26">
        <f t="shared" si="78"/>
        <v>1</v>
      </c>
      <c r="G883" s="27" t="s">
        <v>949</v>
      </c>
      <c r="H883" s="28" t="s">
        <v>147</v>
      </c>
      <c r="I883" s="158"/>
      <c r="J883" s="30">
        <v>583.6</v>
      </c>
      <c r="K883" s="30">
        <v>1458.38</v>
      </c>
      <c r="L883" s="30">
        <f t="shared" si="80"/>
        <v>583.6</v>
      </c>
      <c r="M883" s="30">
        <f t="shared" si="80"/>
        <v>1458.38</v>
      </c>
      <c r="N883" s="30">
        <f>ROUND('Смета ЕР (общ) '!$I883*'Смета ЕР (общ) '!$L883,2)</f>
        <v>0</v>
      </c>
      <c r="O883" s="30">
        <f>ROUND('Смета ЕР (общ) '!$I883*'Смета ЕР (общ) '!$M883,2)</f>
        <v>0</v>
      </c>
      <c r="P883" s="45"/>
    </row>
    <row r="884" spans="1:16" ht="14.4" hidden="1" x14ac:dyDescent="0.3">
      <c r="A884" s="26" t="s">
        <v>830</v>
      </c>
      <c r="B884" s="26">
        <v>1</v>
      </c>
      <c r="C884" s="26"/>
      <c r="D884" s="26">
        <v>39</v>
      </c>
      <c r="E884" s="26" t="str">
        <f>CONCATENATE('Смета ЕР (общ) '!$A884,".",'Смета ЕР (общ) '!$B884,".",'Смета ЕР (общ) '!$D884)</f>
        <v>Р6.1.39</v>
      </c>
      <c r="F884" s="26">
        <f t="shared" si="78"/>
        <v>1</v>
      </c>
      <c r="G884" s="27" t="s">
        <v>950</v>
      </c>
      <c r="H884" s="28" t="s">
        <v>118</v>
      </c>
      <c r="I884" s="158"/>
      <c r="J884" s="30">
        <v>886.23</v>
      </c>
      <c r="K884" s="30">
        <v>1415.25</v>
      </c>
      <c r="L884" s="30">
        <f t="shared" si="80"/>
        <v>886.23</v>
      </c>
      <c r="M884" s="30">
        <f t="shared" si="80"/>
        <v>1415.25</v>
      </c>
      <c r="N884" s="30">
        <f>ROUND('Смета ЕР (общ) '!$I884*'Смета ЕР (общ) '!$L884,2)</f>
        <v>0</v>
      </c>
      <c r="O884" s="30">
        <f>ROUND('Смета ЕР (общ) '!$I884*'Смета ЕР (общ) '!$M884,2)</f>
        <v>0</v>
      </c>
      <c r="P884" s="45"/>
    </row>
    <row r="885" spans="1:16" ht="14.4" hidden="1" x14ac:dyDescent="0.3">
      <c r="A885" s="26" t="s">
        <v>830</v>
      </c>
      <c r="B885" s="26">
        <v>1</v>
      </c>
      <c r="C885" s="26"/>
      <c r="D885" s="26">
        <v>40</v>
      </c>
      <c r="E885" s="26" t="str">
        <f>CONCATENATE('Смета ЕР (общ) '!$A885,".",'Смета ЕР (общ) '!$B885,".",'Смета ЕР (общ) '!$D885)</f>
        <v>Р6.1.40</v>
      </c>
      <c r="F885" s="26">
        <f t="shared" si="78"/>
        <v>1</v>
      </c>
      <c r="G885" s="27" t="s">
        <v>951</v>
      </c>
      <c r="H885" s="28" t="s">
        <v>118</v>
      </c>
      <c r="I885" s="158"/>
      <c r="J885" s="30">
        <v>886.23</v>
      </c>
      <c r="K885" s="30">
        <v>143.44</v>
      </c>
      <c r="L885" s="30">
        <f t="shared" si="80"/>
        <v>886.23</v>
      </c>
      <c r="M885" s="30">
        <f t="shared" si="80"/>
        <v>143.44</v>
      </c>
      <c r="N885" s="30">
        <f>ROUND('Смета ЕР (общ) '!$I885*'Смета ЕР (общ) '!$L885,2)</f>
        <v>0</v>
      </c>
      <c r="O885" s="30">
        <f>ROUND('Смета ЕР (общ) '!$I885*'Смета ЕР (общ) '!$M885,2)</f>
        <v>0</v>
      </c>
      <c r="P885" s="45"/>
    </row>
    <row r="886" spans="1:16" ht="14.4" hidden="1" x14ac:dyDescent="0.3">
      <c r="A886" s="26" t="s">
        <v>830</v>
      </c>
      <c r="B886" s="26">
        <v>1</v>
      </c>
      <c r="C886" s="26"/>
      <c r="D886" s="26">
        <v>41</v>
      </c>
      <c r="E886" s="26" t="str">
        <f>CONCATENATE('Смета ЕР (общ) '!$A886,".",'Смета ЕР (общ) '!$B886,".",'Смета ЕР (общ) '!$D886)</f>
        <v>Р6.1.41</v>
      </c>
      <c r="F886" s="26">
        <f t="shared" si="78"/>
        <v>1</v>
      </c>
      <c r="G886" s="27" t="s">
        <v>952</v>
      </c>
      <c r="H886" s="28" t="s">
        <v>118</v>
      </c>
      <c r="I886" s="158"/>
      <c r="J886" s="30">
        <v>4177.25</v>
      </c>
      <c r="K886" s="30">
        <v>39142.03</v>
      </c>
      <c r="L886" s="30">
        <f t="shared" si="80"/>
        <v>4177.25</v>
      </c>
      <c r="M886" s="30">
        <f t="shared" si="80"/>
        <v>39142.03</v>
      </c>
      <c r="N886" s="30">
        <f>ROUND('Смета ЕР (общ) '!$I886*'Смета ЕР (общ) '!$L886,2)</f>
        <v>0</v>
      </c>
      <c r="O886" s="30">
        <f>ROUND('Смета ЕР (общ) '!$I886*'Смета ЕР (общ) '!$M886,2)</f>
        <v>0</v>
      </c>
      <c r="P886" s="45"/>
    </row>
    <row r="887" spans="1:16" ht="14.4" hidden="1" x14ac:dyDescent="0.3">
      <c r="A887" s="26" t="s">
        <v>830</v>
      </c>
      <c r="B887" s="26">
        <v>1</v>
      </c>
      <c r="C887" s="26"/>
      <c r="D887" s="26">
        <v>42</v>
      </c>
      <c r="E887" s="26" t="str">
        <f>CONCATENATE('Смета ЕР (общ) '!$A887,".",'Смета ЕР (общ) '!$B887,".",'Смета ЕР (общ) '!$D887)</f>
        <v>Р6.1.42</v>
      </c>
      <c r="F887" s="26">
        <f t="shared" si="78"/>
        <v>1</v>
      </c>
      <c r="G887" s="27" t="s">
        <v>953</v>
      </c>
      <c r="H887" s="28" t="s">
        <v>118</v>
      </c>
      <c r="I887" s="158"/>
      <c r="J887" s="30">
        <v>4172.6899999999996</v>
      </c>
      <c r="K887" s="30">
        <v>30689.56</v>
      </c>
      <c r="L887" s="30">
        <f t="shared" si="80"/>
        <v>4172.6899999999996</v>
      </c>
      <c r="M887" s="30">
        <f t="shared" si="80"/>
        <v>30689.56</v>
      </c>
      <c r="N887" s="30">
        <f>ROUND('Смета ЕР (общ) '!$I887*'Смета ЕР (общ) '!$L887,2)</f>
        <v>0</v>
      </c>
      <c r="O887" s="30">
        <f>ROUND('Смета ЕР (общ) '!$I887*'Смета ЕР (общ) '!$M887,2)</f>
        <v>0</v>
      </c>
      <c r="P887" s="45"/>
    </row>
    <row r="888" spans="1:16" ht="14.4" hidden="1" x14ac:dyDescent="0.3">
      <c r="A888" s="26" t="s">
        <v>830</v>
      </c>
      <c r="B888" s="26">
        <v>1</v>
      </c>
      <c r="C888" s="26"/>
      <c r="D888" s="26">
        <v>43</v>
      </c>
      <c r="E888" s="26" t="str">
        <f>CONCATENATE('Смета ЕР (общ) '!$A888,".",'Смета ЕР (общ) '!$B888,".",'Смета ЕР (общ) '!$D888)</f>
        <v>Р6.1.43</v>
      </c>
      <c r="F888" s="26">
        <f t="shared" si="78"/>
        <v>1</v>
      </c>
      <c r="G888" s="27" t="s">
        <v>954</v>
      </c>
      <c r="H888" s="28" t="s">
        <v>118</v>
      </c>
      <c r="I888" s="158"/>
      <c r="J888" s="30">
        <v>4153.88</v>
      </c>
      <c r="K888" s="30">
        <v>25375.88</v>
      </c>
      <c r="L888" s="30">
        <f t="shared" si="80"/>
        <v>4153.88</v>
      </c>
      <c r="M888" s="30">
        <f t="shared" si="80"/>
        <v>25375.88</v>
      </c>
      <c r="N888" s="30">
        <f>ROUND('Смета ЕР (общ) '!$I888*'Смета ЕР (общ) '!$L888,2)</f>
        <v>0</v>
      </c>
      <c r="O888" s="30">
        <f>ROUND('Смета ЕР (общ) '!$I888*'Смета ЕР (общ) '!$M888,2)</f>
        <v>0</v>
      </c>
      <c r="P888" s="45"/>
    </row>
    <row r="889" spans="1:16" ht="14.4" hidden="1" x14ac:dyDescent="0.3">
      <c r="A889" s="26" t="s">
        <v>830</v>
      </c>
      <c r="B889" s="26">
        <v>1</v>
      </c>
      <c r="C889" s="26"/>
      <c r="D889" s="26">
        <v>44</v>
      </c>
      <c r="E889" s="26" t="str">
        <f>CONCATENATE('Смета ЕР (общ) '!$A889,".",'Смета ЕР (общ) '!$B889,".",'Смета ЕР (общ) '!$D889)</f>
        <v>Р6.1.44</v>
      </c>
      <c r="F889" s="26">
        <f t="shared" si="78"/>
        <v>1</v>
      </c>
      <c r="G889" s="27" t="s">
        <v>955</v>
      </c>
      <c r="H889" s="28" t="s">
        <v>118</v>
      </c>
      <c r="I889" s="158"/>
      <c r="J889" s="30">
        <v>365.75</v>
      </c>
      <c r="K889" s="30">
        <v>414.35</v>
      </c>
      <c r="L889" s="30">
        <f t="shared" si="80"/>
        <v>365.75</v>
      </c>
      <c r="M889" s="30">
        <f t="shared" si="80"/>
        <v>414.35</v>
      </c>
      <c r="N889" s="30">
        <f>ROUND('Смета ЕР (общ) '!$I889*'Смета ЕР (общ) '!$L889,2)</f>
        <v>0</v>
      </c>
      <c r="O889" s="30">
        <f>ROUND('Смета ЕР (общ) '!$I889*'Смета ЕР (общ) '!$M889,2)</f>
        <v>0</v>
      </c>
      <c r="P889" s="45"/>
    </row>
    <row r="890" spans="1:16" ht="14.4" hidden="1" x14ac:dyDescent="0.3">
      <c r="A890" s="26" t="s">
        <v>830</v>
      </c>
      <c r="B890" s="26">
        <v>1</v>
      </c>
      <c r="C890" s="26"/>
      <c r="D890" s="26">
        <v>45</v>
      </c>
      <c r="E890" s="26" t="str">
        <f>CONCATENATE('Смета ЕР (общ) '!$A890,".",'Смета ЕР (общ) '!$B890,".",'Смета ЕР (общ) '!$D890)</f>
        <v>Р6.1.45</v>
      </c>
      <c r="F890" s="26">
        <f t="shared" si="78"/>
        <v>1</v>
      </c>
      <c r="G890" s="27" t="s">
        <v>956</v>
      </c>
      <c r="H890" s="28" t="s">
        <v>118</v>
      </c>
      <c r="I890" s="158"/>
      <c r="J890" s="30">
        <v>365.75</v>
      </c>
      <c r="K890" s="30">
        <v>81.069999999999993</v>
      </c>
      <c r="L890" s="30">
        <f t="shared" si="80"/>
        <v>365.75</v>
      </c>
      <c r="M890" s="30">
        <f t="shared" si="80"/>
        <v>81.069999999999993</v>
      </c>
      <c r="N890" s="30">
        <f>ROUND('Смета ЕР (общ) '!$I890*'Смета ЕР (общ) '!$L890,2)</f>
        <v>0</v>
      </c>
      <c r="O890" s="30">
        <f>ROUND('Смета ЕР (общ) '!$I890*'Смета ЕР (общ) '!$M890,2)</f>
        <v>0</v>
      </c>
      <c r="P890" s="45"/>
    </row>
    <row r="891" spans="1:16" ht="14.4" hidden="1" x14ac:dyDescent="0.3">
      <c r="A891" s="26" t="s">
        <v>830</v>
      </c>
      <c r="B891" s="26">
        <v>1</v>
      </c>
      <c r="C891" s="26"/>
      <c r="D891" s="26">
        <v>46</v>
      </c>
      <c r="E891" s="26" t="str">
        <f>CONCATENATE('Смета ЕР (общ) '!$A891,".",'Смета ЕР (общ) '!$B891,".",'Смета ЕР (общ) '!$D891)</f>
        <v>Р6.1.46</v>
      </c>
      <c r="F891" s="26">
        <f t="shared" si="78"/>
        <v>1</v>
      </c>
      <c r="G891" s="27" t="s">
        <v>957</v>
      </c>
      <c r="H891" s="28" t="s">
        <v>118</v>
      </c>
      <c r="I891" s="158"/>
      <c r="J891" s="30">
        <v>2646.54</v>
      </c>
      <c r="K891" s="30">
        <v>16258.41</v>
      </c>
      <c r="L891" s="30">
        <f t="shared" si="80"/>
        <v>2646.54</v>
      </c>
      <c r="M891" s="30">
        <f t="shared" si="80"/>
        <v>16258.41</v>
      </c>
      <c r="N891" s="30">
        <f>ROUND('Смета ЕР (общ) '!$I891*'Смета ЕР (общ) '!$L891,2)</f>
        <v>0</v>
      </c>
      <c r="O891" s="30">
        <f>ROUND('Смета ЕР (общ) '!$I891*'Смета ЕР (общ) '!$M891,2)</f>
        <v>0</v>
      </c>
      <c r="P891" s="45"/>
    </row>
    <row r="892" spans="1:16" ht="14.4" hidden="1" x14ac:dyDescent="0.3">
      <c r="A892" s="26" t="s">
        <v>830</v>
      </c>
      <c r="B892" s="26">
        <v>1</v>
      </c>
      <c r="C892" s="26"/>
      <c r="D892" s="26">
        <v>47</v>
      </c>
      <c r="E892" s="26" t="str">
        <f>CONCATENATE('Смета ЕР (общ) '!$A892,".",'Смета ЕР (общ) '!$B892,".",'Смета ЕР (общ) '!$D892)</f>
        <v>Р6.1.47</v>
      </c>
      <c r="F892" s="26">
        <f t="shared" si="78"/>
        <v>1</v>
      </c>
      <c r="G892" s="27" t="s">
        <v>958</v>
      </c>
      <c r="H892" s="28" t="s">
        <v>118</v>
      </c>
      <c r="I892" s="158"/>
      <c r="J892" s="30">
        <v>886.23</v>
      </c>
      <c r="K892" s="30">
        <v>1373.12</v>
      </c>
      <c r="L892" s="30">
        <f t="shared" si="80"/>
        <v>886.23</v>
      </c>
      <c r="M892" s="30">
        <f t="shared" si="80"/>
        <v>1373.12</v>
      </c>
      <c r="N892" s="30">
        <f>ROUND('Смета ЕР (общ) '!$I892*'Смета ЕР (общ) '!$L892,2)</f>
        <v>0</v>
      </c>
      <c r="O892" s="30">
        <f>ROUND('Смета ЕР (общ) '!$I892*'Смета ЕР (общ) '!$M892,2)</f>
        <v>0</v>
      </c>
      <c r="P892" s="45"/>
    </row>
    <row r="893" spans="1:16" ht="14.4" hidden="1" x14ac:dyDescent="0.3">
      <c r="A893" s="26" t="s">
        <v>830</v>
      </c>
      <c r="B893" s="26">
        <v>1</v>
      </c>
      <c r="C893" s="26"/>
      <c r="D893" s="26">
        <v>48</v>
      </c>
      <c r="E893" s="26" t="str">
        <f>CONCATENATE('Смета ЕР (общ) '!$A893,".",'Смета ЕР (общ) '!$B893,".",'Смета ЕР (общ) '!$D893)</f>
        <v>Р6.1.48</v>
      </c>
      <c r="F893" s="26">
        <f t="shared" si="78"/>
        <v>1</v>
      </c>
      <c r="G893" s="27" t="s">
        <v>959</v>
      </c>
      <c r="H893" s="28" t="s">
        <v>118</v>
      </c>
      <c r="I893" s="158"/>
      <c r="J893" s="30">
        <v>542.88</v>
      </c>
      <c r="K893" s="30">
        <v>537.66999999999996</v>
      </c>
      <c r="L893" s="30">
        <f t="shared" si="80"/>
        <v>542.88</v>
      </c>
      <c r="M893" s="30">
        <f t="shared" si="80"/>
        <v>537.66999999999996</v>
      </c>
      <c r="N893" s="30">
        <f>ROUND('Смета ЕР (общ) '!$I893*'Смета ЕР (общ) '!$L893,2)</f>
        <v>0</v>
      </c>
      <c r="O893" s="30">
        <f>ROUND('Смета ЕР (общ) '!$I893*'Смета ЕР (общ) '!$M893,2)</f>
        <v>0</v>
      </c>
      <c r="P893" s="45"/>
    </row>
    <row r="894" spans="1:16" ht="14.4" hidden="1" x14ac:dyDescent="0.3">
      <c r="A894" s="26" t="s">
        <v>830</v>
      </c>
      <c r="B894" s="26">
        <v>1</v>
      </c>
      <c r="C894" s="26"/>
      <c r="D894" s="26">
        <v>49</v>
      </c>
      <c r="E894" s="26" t="str">
        <f>CONCATENATE('Смета ЕР (общ) '!$A894,".",'Смета ЕР (общ) '!$B894,".",'Смета ЕР (общ) '!$D894)</f>
        <v>Р6.1.49</v>
      </c>
      <c r="F894" s="26">
        <f t="shared" si="78"/>
        <v>1</v>
      </c>
      <c r="G894" s="27" t="s">
        <v>960</v>
      </c>
      <c r="H894" s="28" t="s">
        <v>147</v>
      </c>
      <c r="I894" s="158"/>
      <c r="J894" s="30">
        <v>1299.72</v>
      </c>
      <c r="K894" s="30">
        <v>1428.78</v>
      </c>
      <c r="L894" s="30">
        <f t="shared" si="80"/>
        <v>1299.72</v>
      </c>
      <c r="M894" s="30">
        <f t="shared" si="80"/>
        <v>1428.78</v>
      </c>
      <c r="N894" s="30">
        <f>ROUND('Смета ЕР (общ) '!$I894*'Смета ЕР (общ) '!$L894,2)</f>
        <v>0</v>
      </c>
      <c r="O894" s="30">
        <f>ROUND('Смета ЕР (общ) '!$I894*'Смета ЕР (общ) '!$M894,2)</f>
        <v>0</v>
      </c>
      <c r="P894" s="45"/>
    </row>
    <row r="895" spans="1:16" ht="41.25" hidden="1" customHeight="1" x14ac:dyDescent="0.3">
      <c r="A895" s="26" t="s">
        <v>830</v>
      </c>
      <c r="B895" s="26">
        <v>1</v>
      </c>
      <c r="C895" s="26"/>
      <c r="D895" s="26">
        <v>50</v>
      </c>
      <c r="E895" s="26" t="str">
        <f>CONCATENATE('Смета ЕР (общ) '!$A895,".",'Смета ЕР (общ) '!$B895,".",'Смета ЕР (общ) '!$D895)</f>
        <v>Р6.1.50</v>
      </c>
      <c r="F895" s="26">
        <f t="shared" si="78"/>
        <v>1</v>
      </c>
      <c r="G895" s="27" t="s">
        <v>961</v>
      </c>
      <c r="H895" s="28" t="s">
        <v>40</v>
      </c>
      <c r="I895" s="158"/>
      <c r="J895" s="30">
        <v>0</v>
      </c>
      <c r="K895" s="34">
        <v>92.43</v>
      </c>
      <c r="L895" s="30">
        <f t="shared" si="80"/>
        <v>0</v>
      </c>
      <c r="M895" s="30">
        <f t="shared" si="80"/>
        <v>92.43</v>
      </c>
      <c r="N895" s="30">
        <f>ROUND('Смета ЕР (общ) '!$I895*'Смета ЕР (общ) '!$L895,2)</f>
        <v>0</v>
      </c>
      <c r="O895" s="30">
        <f>ROUND('Смета ЕР (общ) '!$I895*'Смета ЕР (общ) '!$M895,2)</f>
        <v>0</v>
      </c>
      <c r="P895" s="169" t="s">
        <v>962</v>
      </c>
    </row>
    <row r="896" spans="1:16" ht="14.4" hidden="1" x14ac:dyDescent="0.3">
      <c r="A896" s="26" t="s">
        <v>830</v>
      </c>
      <c r="B896" s="26">
        <v>1</v>
      </c>
      <c r="C896" s="26"/>
      <c r="D896" s="26">
        <v>51</v>
      </c>
      <c r="E896" s="26" t="str">
        <f>CONCATENATE('Смета ЕР (общ) '!$A896,".",'Смета ЕР (общ) '!$B896,".",'Смета ЕР (общ) '!$D896)</f>
        <v>Р6.1.51</v>
      </c>
      <c r="F896" s="26">
        <f t="shared" si="78"/>
        <v>1</v>
      </c>
      <c r="G896" s="27" t="s">
        <v>963</v>
      </c>
      <c r="H896" s="28" t="s">
        <v>64</v>
      </c>
      <c r="I896" s="158"/>
      <c r="J896" s="30">
        <v>28501.200000000001</v>
      </c>
      <c r="K896" s="30">
        <v>0</v>
      </c>
      <c r="L896" s="30">
        <f t="shared" si="80"/>
        <v>28501.200000000001</v>
      </c>
      <c r="M896" s="30">
        <f t="shared" si="80"/>
        <v>0</v>
      </c>
      <c r="N896" s="30">
        <f>ROUND('Смета ЕР (общ) '!$I896*'Смета ЕР (общ) '!$L896,2)</f>
        <v>0</v>
      </c>
      <c r="O896" s="30">
        <f>ROUND('Смета ЕР (общ) '!$I896*'Смета ЕР (общ) '!$M896,2)</f>
        <v>0</v>
      </c>
      <c r="P896" s="45"/>
    </row>
    <row r="897" spans="1:20" ht="14.4" hidden="1" x14ac:dyDescent="0.3">
      <c r="A897" s="26" t="s">
        <v>830</v>
      </c>
      <c r="B897" s="26">
        <v>1</v>
      </c>
      <c r="C897" s="26"/>
      <c r="D897" s="26">
        <v>52</v>
      </c>
      <c r="E897" s="26" t="str">
        <f>CONCATENATE('Смета ЕР (общ) '!$A897,".",'Смета ЕР (общ) '!$B897,".",'Смета ЕР (общ) '!$D897)</f>
        <v>Р6.1.52</v>
      </c>
      <c r="F897" s="26">
        <f t="shared" si="78"/>
        <v>1</v>
      </c>
      <c r="G897" s="27" t="s">
        <v>964</v>
      </c>
      <c r="H897" s="28" t="s">
        <v>118</v>
      </c>
      <c r="I897" s="163"/>
      <c r="J897" s="30">
        <v>2171.52</v>
      </c>
      <c r="K897" s="30">
        <v>4384.8</v>
      </c>
      <c r="L897" s="30">
        <f t="shared" si="80"/>
        <v>2171.52</v>
      </c>
      <c r="M897" s="30">
        <f t="shared" si="80"/>
        <v>4384.8</v>
      </c>
      <c r="N897" s="30">
        <f>ROUND('Смета ЕР (общ) '!$I897*'Смета ЕР (общ) '!$L897,2)</f>
        <v>0</v>
      </c>
      <c r="O897" s="30">
        <f>ROUND('Смета ЕР (общ) '!$I897*'Смета ЕР (общ) '!$M897,2)</f>
        <v>0</v>
      </c>
      <c r="P897" s="45"/>
    </row>
    <row r="898" spans="1:20" ht="14.4" hidden="1" x14ac:dyDescent="0.3">
      <c r="A898" s="19" t="s">
        <v>965</v>
      </c>
      <c r="B898" s="19">
        <v>0</v>
      </c>
      <c r="C898" s="19"/>
      <c r="D898" s="19">
        <v>0</v>
      </c>
      <c r="E898" s="19" t="str">
        <f>CONCATENATE('Смета ЕР (общ) '!$A898,".",'Смета ЕР (общ) '!$B898,".",'Смета ЕР (общ) '!$D898)</f>
        <v>Р7.0.0</v>
      </c>
      <c r="F898" s="19">
        <f t="shared" si="78"/>
        <v>1</v>
      </c>
      <c r="G898" s="21" t="s">
        <v>966</v>
      </c>
      <c r="H898" s="22"/>
      <c r="I898" s="23"/>
      <c r="J898" s="36"/>
      <c r="K898" s="36"/>
      <c r="L898" s="25"/>
      <c r="M898" s="25"/>
      <c r="N898" s="25">
        <f>ROUND(N899+N1000,2)</f>
        <v>0</v>
      </c>
      <c r="O898" s="25">
        <f>ROUND(O899+O1000,2)</f>
        <v>0</v>
      </c>
      <c r="P898" s="91"/>
      <c r="T898">
        <v>528913.88</v>
      </c>
    </row>
    <row r="899" spans="1:20" s="113" customFormat="1" ht="14.4" hidden="1" x14ac:dyDescent="0.3">
      <c r="A899" s="19" t="s">
        <v>965</v>
      </c>
      <c r="B899" s="19">
        <v>1</v>
      </c>
      <c r="C899" s="19"/>
      <c r="D899" s="19">
        <v>0</v>
      </c>
      <c r="E899" s="19" t="str">
        <f>CONCATENATE('Смета ЕР (общ) '!$A899,".",'Смета ЕР (общ) '!$B899,".",'Смета ЕР (общ) '!$D899)</f>
        <v>Р7.1.0</v>
      </c>
      <c r="F899" s="19">
        <f t="shared" si="78"/>
        <v>1</v>
      </c>
      <c r="G899" s="21" t="s">
        <v>967</v>
      </c>
      <c r="H899" s="22"/>
      <c r="I899" s="23"/>
      <c r="J899" s="36"/>
      <c r="K899" s="36"/>
      <c r="L899" s="25"/>
      <c r="M899" s="25"/>
      <c r="N899" s="25">
        <f>SUM(N900:N999)</f>
        <v>0</v>
      </c>
      <c r="O899" s="25">
        <f>SUM(O900:O999)</f>
        <v>0</v>
      </c>
      <c r="P899" s="45"/>
      <c r="Q899"/>
      <c r="R899"/>
      <c r="T899" s="113">
        <v>528913.88</v>
      </c>
    </row>
    <row r="900" spans="1:20" ht="36" hidden="1" x14ac:dyDescent="0.3">
      <c r="A900" s="26" t="s">
        <v>965</v>
      </c>
      <c r="B900" s="26">
        <v>1</v>
      </c>
      <c r="C900" s="26"/>
      <c r="D900" s="26">
        <v>6</v>
      </c>
      <c r="E900" s="26" t="str">
        <f>CONCATENATE('Смета ЕР (общ) '!$A900,".",'Смета ЕР (общ) '!$B900,".",'Смета ЕР (общ) '!$D900)</f>
        <v>Р7.1.6</v>
      </c>
      <c r="F900" s="26">
        <f t="shared" si="78"/>
        <v>1</v>
      </c>
      <c r="G900" s="41" t="s">
        <v>968</v>
      </c>
      <c r="H900" s="28" t="s">
        <v>118</v>
      </c>
      <c r="I900" s="158"/>
      <c r="J900" s="30">
        <v>75324.600000000006</v>
      </c>
      <c r="K900" s="30">
        <f>[14]Вентмашины!Q9</f>
        <v>906916.5</v>
      </c>
      <c r="L900" s="30">
        <f t="shared" ref="L900:M915" si="81">ROUND(J900-J900*$Q$3,2)</f>
        <v>75324.600000000006</v>
      </c>
      <c r="M900" s="54">
        <f t="shared" ref="M900:M908" si="82">K900</f>
        <v>906916.5</v>
      </c>
      <c r="N900" s="30">
        <f>ROUND('Смета ЕР (общ) '!$I900*'Смета ЕР (общ) '!$L900,2)</f>
        <v>0</v>
      </c>
      <c r="O900" s="30">
        <f>ROUND('Смета ЕР (общ) '!$I900*'Смета ЕР (общ) '!$M900,2)</f>
        <v>0</v>
      </c>
      <c r="P900" s="55" t="s">
        <v>969</v>
      </c>
      <c r="Q900" s="56"/>
      <c r="T900">
        <v>1</v>
      </c>
    </row>
    <row r="901" spans="1:20" ht="36" hidden="1" x14ac:dyDescent="0.3">
      <c r="A901" s="26" t="s">
        <v>965</v>
      </c>
      <c r="B901" s="26">
        <v>1</v>
      </c>
      <c r="C901" s="26"/>
      <c r="D901" s="26">
        <v>7</v>
      </c>
      <c r="E901" s="26" t="str">
        <f>CONCATENATE('Смета ЕР (общ) '!$A901,".",'Смета ЕР (общ) '!$B901,".",'Смета ЕР (общ) '!$D901)</f>
        <v>Р7.1.7</v>
      </c>
      <c r="F901" s="26">
        <f t="shared" si="78"/>
        <v>1</v>
      </c>
      <c r="G901" s="41" t="s">
        <v>970</v>
      </c>
      <c r="H901" s="28" t="s">
        <v>118</v>
      </c>
      <c r="I901" s="158"/>
      <c r="J901" s="30">
        <v>94777.8</v>
      </c>
      <c r="K901" s="30">
        <f>[14]Вентмашины!Q10</f>
        <v>1165342.5</v>
      </c>
      <c r="L901" s="30">
        <f t="shared" si="81"/>
        <v>94777.8</v>
      </c>
      <c r="M901" s="54">
        <f t="shared" si="82"/>
        <v>1165342.5</v>
      </c>
      <c r="N901" s="30">
        <f>ROUND('Смета ЕР (общ) '!$I901*'Смета ЕР (общ) '!$L901,2)</f>
        <v>0</v>
      </c>
      <c r="O901" s="30">
        <f>ROUND('Смета ЕР (общ) '!$I901*'Смета ЕР (общ) '!$M901,2)</f>
        <v>0</v>
      </c>
      <c r="P901" s="55" t="s">
        <v>969</v>
      </c>
      <c r="Q901" s="56"/>
    </row>
    <row r="902" spans="1:20" ht="36" hidden="1" x14ac:dyDescent="0.3">
      <c r="A902" s="26" t="s">
        <v>965</v>
      </c>
      <c r="B902" s="26">
        <v>1</v>
      </c>
      <c r="C902" s="26"/>
      <c r="D902" s="26">
        <v>8</v>
      </c>
      <c r="E902" s="26" t="str">
        <f>CONCATENATE('Смета ЕР (общ) '!$A902,".",'Смета ЕР (общ) '!$B902,".",'Смета ЕР (общ) '!$D902)</f>
        <v>Р7.1.8</v>
      </c>
      <c r="F902" s="26">
        <f t="shared" si="78"/>
        <v>1</v>
      </c>
      <c r="G902" s="41" t="s">
        <v>971</v>
      </c>
      <c r="H902" s="28" t="s">
        <v>118</v>
      </c>
      <c r="I902" s="158"/>
      <c r="J902" s="30">
        <v>104278.2</v>
      </c>
      <c r="K902" s="30">
        <f>[14]Вентмашины!Q11</f>
        <v>1206502.5</v>
      </c>
      <c r="L902" s="30">
        <f t="shared" si="81"/>
        <v>104278.2</v>
      </c>
      <c r="M902" s="54">
        <f t="shared" si="82"/>
        <v>1206502.5</v>
      </c>
      <c r="N902" s="30">
        <f>ROUND('Смета ЕР (общ) '!$I902*'Смета ЕР (общ) '!$L902,2)</f>
        <v>0</v>
      </c>
      <c r="O902" s="30">
        <f>ROUND('Смета ЕР (общ) '!$I902*'Смета ЕР (общ) '!$M902,2)</f>
        <v>0</v>
      </c>
      <c r="P902" s="55" t="s">
        <v>969</v>
      </c>
      <c r="Q902" s="56"/>
    </row>
    <row r="903" spans="1:20" ht="36" hidden="1" x14ac:dyDescent="0.3">
      <c r="A903" s="26" t="s">
        <v>965</v>
      </c>
      <c r="B903" s="26">
        <v>1</v>
      </c>
      <c r="C903" s="26"/>
      <c r="D903" s="26">
        <v>9</v>
      </c>
      <c r="E903" s="26" t="str">
        <f>CONCATENATE('Смета ЕР (общ) '!$A903,".",'Смета ЕР (общ) '!$B903,".",'Смета ЕР (общ) '!$D903)</f>
        <v>Р7.1.9</v>
      </c>
      <c r="F903" s="26">
        <f t="shared" si="78"/>
        <v>1</v>
      </c>
      <c r="G903" s="41" t="s">
        <v>972</v>
      </c>
      <c r="H903" s="28" t="s">
        <v>118</v>
      </c>
      <c r="I903" s="158"/>
      <c r="J903" s="30">
        <v>141375</v>
      </c>
      <c r="K903" s="30">
        <f>[14]Вентмашины!Q12</f>
        <v>1507705.5</v>
      </c>
      <c r="L903" s="30">
        <f t="shared" si="81"/>
        <v>141375</v>
      </c>
      <c r="M903" s="54">
        <f t="shared" si="82"/>
        <v>1507705.5</v>
      </c>
      <c r="N903" s="30">
        <f>ROUND('Смета ЕР (общ) '!$I903*'Смета ЕР (общ) '!$L903,2)</f>
        <v>0</v>
      </c>
      <c r="O903" s="30">
        <f>ROUND('Смета ЕР (общ) '!$I903*'Смета ЕР (общ) '!$M903,2)</f>
        <v>0</v>
      </c>
      <c r="P903" s="55" t="s">
        <v>969</v>
      </c>
      <c r="Q903" s="56"/>
    </row>
    <row r="904" spans="1:20" ht="36" hidden="1" x14ac:dyDescent="0.3">
      <c r="A904" s="26" t="s">
        <v>965</v>
      </c>
      <c r="B904" s="26">
        <v>1</v>
      </c>
      <c r="C904" s="26"/>
      <c r="D904" s="26">
        <v>10</v>
      </c>
      <c r="E904" s="26" t="str">
        <f>CONCATENATE('Смета ЕР (общ) '!$A904,".",'Смета ЕР (общ) '!$B904,".",'Смета ЕР (общ) '!$D904)</f>
        <v>Р7.1.10</v>
      </c>
      <c r="F904" s="26">
        <f t="shared" si="78"/>
        <v>1</v>
      </c>
      <c r="G904" s="41" t="s">
        <v>973</v>
      </c>
      <c r="H904" s="28" t="s">
        <v>118</v>
      </c>
      <c r="I904" s="158"/>
      <c r="J904" s="30">
        <v>162411.6</v>
      </c>
      <c r="K904" s="30">
        <f>[14]Вентмашины!Q13</f>
        <v>1835736</v>
      </c>
      <c r="L904" s="30">
        <f t="shared" si="81"/>
        <v>162411.6</v>
      </c>
      <c r="M904" s="54">
        <f t="shared" si="82"/>
        <v>1835736</v>
      </c>
      <c r="N904" s="30">
        <f>ROUND('Смета ЕР (общ) '!$I904*'Смета ЕР (общ) '!$L904,2)</f>
        <v>0</v>
      </c>
      <c r="O904" s="30">
        <f>ROUND('Смета ЕР (общ) '!$I904*'Смета ЕР (общ) '!$M904,2)</f>
        <v>0</v>
      </c>
      <c r="P904" s="55" t="s">
        <v>969</v>
      </c>
      <c r="Q904" s="56"/>
    </row>
    <row r="905" spans="1:20" ht="14.4" hidden="1" x14ac:dyDescent="0.3">
      <c r="A905" s="119" t="s">
        <v>965</v>
      </c>
      <c r="B905" s="119">
        <v>1</v>
      </c>
      <c r="C905" s="119"/>
      <c r="D905" s="119">
        <v>3</v>
      </c>
      <c r="E905" s="119" t="str">
        <f>CONCATENATE('Смета ЕР (общ) '!$A905,".",'Смета ЕР (общ) '!$B905,".",'Смета ЕР (общ) '!$D905)</f>
        <v>Р7.1.3</v>
      </c>
      <c r="F905" s="119">
        <f t="shared" si="78"/>
        <v>1</v>
      </c>
      <c r="G905" s="120" t="s">
        <v>974</v>
      </c>
      <c r="H905" s="28" t="s">
        <v>118</v>
      </c>
      <c r="I905" s="158"/>
      <c r="J905" s="30">
        <v>9960.6666666666661</v>
      </c>
      <c r="K905" s="30">
        <f>'[14]Тепловые завесы'!F4</f>
        <v>12056.63</v>
      </c>
      <c r="L905" s="30">
        <f t="shared" si="81"/>
        <v>9960.67</v>
      </c>
      <c r="M905" s="54">
        <f t="shared" si="82"/>
        <v>12056.63</v>
      </c>
      <c r="N905" s="30">
        <f>ROUND('Смета ЕР (общ) '!$I905*'Смета ЕР (общ) '!$L905,2)</f>
        <v>0</v>
      </c>
      <c r="O905" s="30">
        <f>ROUND('Смета ЕР (общ) '!$I905*'Смета ЕР (общ) '!$M905,2)</f>
        <v>0</v>
      </c>
      <c r="P905" s="55" t="s">
        <v>975</v>
      </c>
      <c r="Q905" s="56"/>
      <c r="T905">
        <v>1</v>
      </c>
    </row>
    <row r="906" spans="1:20" ht="14.4" hidden="1" x14ac:dyDescent="0.3">
      <c r="A906" s="119" t="s">
        <v>965</v>
      </c>
      <c r="B906" s="119">
        <v>1</v>
      </c>
      <c r="C906" s="119"/>
      <c r="D906" s="119">
        <v>18</v>
      </c>
      <c r="E906" s="119" t="str">
        <f>CONCATENATE('Смета ЕР (общ) '!$A906,".",'Смета ЕР (общ) '!$B906,".",'Смета ЕР (общ) '!$D906)</f>
        <v>Р7.1.18</v>
      </c>
      <c r="F906" s="119">
        <f t="shared" si="78"/>
        <v>1</v>
      </c>
      <c r="G906" s="120" t="s">
        <v>976</v>
      </c>
      <c r="H906" s="28" t="s">
        <v>118</v>
      </c>
      <c r="I906" s="158"/>
      <c r="J906" s="30">
        <v>11246.666666666666</v>
      </c>
      <c r="K906" s="30">
        <f>'[14]Тепловые завесы'!F5</f>
        <v>25452</v>
      </c>
      <c r="L906" s="30">
        <f t="shared" si="81"/>
        <v>11246.67</v>
      </c>
      <c r="M906" s="54">
        <f t="shared" si="82"/>
        <v>25452</v>
      </c>
      <c r="N906" s="30">
        <f>ROUND('Смета ЕР (общ) '!$I906*'Смета ЕР (общ) '!$L906,2)</f>
        <v>0</v>
      </c>
      <c r="O906" s="30">
        <f>ROUND('Смета ЕР (общ) '!$I906*'Смета ЕР (общ) '!$M906,2)</f>
        <v>0</v>
      </c>
      <c r="P906" s="55" t="s">
        <v>975</v>
      </c>
      <c r="Q906" s="56"/>
      <c r="T906">
        <v>1</v>
      </c>
    </row>
    <row r="907" spans="1:20" ht="14.4" hidden="1" x14ac:dyDescent="0.3">
      <c r="A907" s="119" t="s">
        <v>965</v>
      </c>
      <c r="B907" s="119">
        <v>1</v>
      </c>
      <c r="C907" s="119"/>
      <c r="D907" s="119">
        <v>19</v>
      </c>
      <c r="E907" s="119" t="str">
        <f>CONCATENATE('Смета ЕР (общ) '!$A907,".",'Смета ЕР (общ) '!$B907,".",'Смета ЕР (общ) '!$D907)</f>
        <v>Р7.1.19</v>
      </c>
      <c r="F907" s="119">
        <f t="shared" si="78"/>
        <v>1</v>
      </c>
      <c r="G907" s="120" t="s">
        <v>977</v>
      </c>
      <c r="H907" s="28" t="s">
        <v>118</v>
      </c>
      <c r="I907" s="158"/>
      <c r="J907" s="30">
        <v>11246.666666666666</v>
      </c>
      <c r="K907" s="30">
        <f>'[14]Тепловые завесы'!F6</f>
        <v>44730</v>
      </c>
      <c r="L907" s="30">
        <f t="shared" si="81"/>
        <v>11246.67</v>
      </c>
      <c r="M907" s="54">
        <f t="shared" si="82"/>
        <v>44730</v>
      </c>
      <c r="N907" s="30">
        <f>ROUND('Смета ЕР (общ) '!$I907*'Смета ЕР (общ) '!$L907,2)</f>
        <v>0</v>
      </c>
      <c r="O907" s="30">
        <f>ROUND('Смета ЕР (общ) '!$I907*'Смета ЕР (общ) '!$M907,2)</f>
        <v>0</v>
      </c>
      <c r="P907" s="55" t="s">
        <v>975</v>
      </c>
      <c r="Q907" s="56"/>
    </row>
    <row r="908" spans="1:20" ht="14.4" hidden="1" x14ac:dyDescent="0.3">
      <c r="A908" s="119" t="s">
        <v>965</v>
      </c>
      <c r="B908" s="119">
        <v>1</v>
      </c>
      <c r="C908" s="119"/>
      <c r="D908" s="119">
        <v>21</v>
      </c>
      <c r="E908" s="119" t="str">
        <f>CONCATENATE('Смета ЕР (общ) '!$A908,".",'Смета ЕР (общ) '!$B908,".",'Смета ЕР (общ) '!$D908)</f>
        <v>Р7.1.21</v>
      </c>
      <c r="F908" s="119">
        <f t="shared" si="78"/>
        <v>1</v>
      </c>
      <c r="G908" s="120" t="s">
        <v>978</v>
      </c>
      <c r="H908" s="28" t="s">
        <v>118</v>
      </c>
      <c r="I908" s="158"/>
      <c r="J908" s="30">
        <v>11246.666666666666</v>
      </c>
      <c r="K908" s="30">
        <f>'[14]Тепловые завесы'!F7</f>
        <v>49888.13</v>
      </c>
      <c r="L908" s="30">
        <f t="shared" si="81"/>
        <v>11246.67</v>
      </c>
      <c r="M908" s="54">
        <f t="shared" si="82"/>
        <v>49888.13</v>
      </c>
      <c r="N908" s="30">
        <f>ROUND('Смета ЕР (общ) '!$I908*'Смета ЕР (общ) '!$L908,2)</f>
        <v>0</v>
      </c>
      <c r="O908" s="30">
        <f>ROUND('Смета ЕР (общ) '!$I908*'Смета ЕР (общ) '!$M908,2)</f>
        <v>0</v>
      </c>
      <c r="P908" s="55" t="s">
        <v>975</v>
      </c>
      <c r="Q908" s="56"/>
    </row>
    <row r="909" spans="1:20" ht="14.4" hidden="1" x14ac:dyDescent="0.3">
      <c r="A909" s="26" t="s">
        <v>965</v>
      </c>
      <c r="B909" s="26">
        <v>1</v>
      </c>
      <c r="C909" s="26"/>
      <c r="D909" s="26">
        <v>20</v>
      </c>
      <c r="E909" s="26" t="str">
        <f>CONCATENATE('Смета ЕР (общ) '!$A909,".",'Смета ЕР (общ) '!$B909,".",'Смета ЕР (общ) '!$D909)</f>
        <v>Р7.1.20</v>
      </c>
      <c r="F909" s="26">
        <f t="shared" si="78"/>
        <v>1</v>
      </c>
      <c r="G909" s="41" t="s">
        <v>979</v>
      </c>
      <c r="H909" s="28" t="s">
        <v>118</v>
      </c>
      <c r="I909" s="158"/>
      <c r="J909" s="30">
        <v>10540.92</v>
      </c>
      <c r="K909" s="30">
        <v>88170.68</v>
      </c>
      <c r="L909" s="30">
        <f t="shared" si="81"/>
        <v>10540.92</v>
      </c>
      <c r="M909" s="30">
        <f t="shared" si="81"/>
        <v>88170.68</v>
      </c>
      <c r="N909" s="30">
        <f>ROUND('Смета ЕР (общ) '!$I909*'Смета ЕР (общ) '!$L909,2)</f>
        <v>0</v>
      </c>
      <c r="O909" s="30">
        <f>ROUND('Смета ЕР (общ) '!$I909*'Смета ЕР (общ) '!$M909,2)</f>
        <v>0</v>
      </c>
      <c r="P909" s="45" t="s">
        <v>980</v>
      </c>
    </row>
    <row r="910" spans="1:20" ht="14.4" hidden="1" x14ac:dyDescent="0.3">
      <c r="A910" s="26" t="s">
        <v>965</v>
      </c>
      <c r="B910" s="26">
        <v>1</v>
      </c>
      <c r="C910" s="26"/>
      <c r="D910" s="26">
        <v>26</v>
      </c>
      <c r="E910" s="26" t="str">
        <f>CONCATENATE('Смета ЕР (общ) '!$A910,".",'Смета ЕР (общ) '!$B910,".",'Смета ЕР (общ) '!$D910)</f>
        <v>Р7.1.26</v>
      </c>
      <c r="F910" s="26">
        <f t="shared" si="78"/>
        <v>1</v>
      </c>
      <c r="G910" s="27" t="s">
        <v>981</v>
      </c>
      <c r="H910" s="28" t="s">
        <v>118</v>
      </c>
      <c r="I910" s="158"/>
      <c r="J910" s="30">
        <v>27500</v>
      </c>
      <c r="K910" s="30">
        <v>90296.46</v>
      </c>
      <c r="L910" s="30">
        <f t="shared" si="81"/>
        <v>27500</v>
      </c>
      <c r="M910" s="30">
        <f t="shared" si="81"/>
        <v>90296.46</v>
      </c>
      <c r="N910" s="30">
        <f>ROUND('Смета ЕР (общ) '!$I910*'Смета ЕР (общ) '!$L910,2)</f>
        <v>0</v>
      </c>
      <c r="O910" s="30">
        <f>ROUND('Смета ЕР (общ) '!$I910*'Смета ЕР (общ) '!$M910,2)</f>
        <v>0</v>
      </c>
      <c r="P910" s="45"/>
      <c r="T910">
        <v>1</v>
      </c>
    </row>
    <row r="911" spans="1:20" ht="14.4" hidden="1" x14ac:dyDescent="0.3">
      <c r="A911" s="26" t="s">
        <v>965</v>
      </c>
      <c r="B911" s="26">
        <v>1</v>
      </c>
      <c r="C911" s="26"/>
      <c r="D911" s="26">
        <v>104</v>
      </c>
      <c r="E911" s="26" t="str">
        <f>CONCATENATE('Смета ЕР (общ) '!$A911,".",'Смета ЕР (общ) '!$B911,".",'Смета ЕР (общ) '!$D911)</f>
        <v>Р7.1.104</v>
      </c>
      <c r="F911" s="26">
        <f t="shared" ref="F911:F915" si="83">IF(I911&gt;0,F905+1,F905)</f>
        <v>1</v>
      </c>
      <c r="G911" s="41" t="s">
        <v>982</v>
      </c>
      <c r="H911" s="28" t="s">
        <v>118</v>
      </c>
      <c r="I911" s="158"/>
      <c r="J911" s="30">
        <v>1890</v>
      </c>
      <c r="K911" s="30">
        <v>18900</v>
      </c>
      <c r="L911" s="30">
        <f t="shared" si="81"/>
        <v>1890</v>
      </c>
      <c r="M911" s="30">
        <f t="shared" si="81"/>
        <v>18900</v>
      </c>
      <c r="N911" s="30">
        <f>ROUND('Смета ЕР (общ) '!$I911*'Смета ЕР (общ) '!$L911,2)</f>
        <v>0</v>
      </c>
      <c r="O911" s="30">
        <f>ROUND('Смета ЕР (общ) '!$I911*'Смета ЕР (общ) '!$M911,2)</f>
        <v>0</v>
      </c>
      <c r="P911" s="45"/>
    </row>
    <row r="912" spans="1:20" ht="14.4" hidden="1" x14ac:dyDescent="0.3">
      <c r="A912" s="26" t="s">
        <v>965</v>
      </c>
      <c r="B912" s="26">
        <v>1</v>
      </c>
      <c r="C912" s="26"/>
      <c r="D912" s="26">
        <v>105</v>
      </c>
      <c r="E912" s="26" t="str">
        <f>CONCATENATE('Смета ЕР (общ) '!$A912,".",'Смета ЕР (общ) '!$B912,".",'Смета ЕР (общ) '!$D912)</f>
        <v>Р7.1.105</v>
      </c>
      <c r="F912" s="26">
        <f t="shared" si="83"/>
        <v>1</v>
      </c>
      <c r="G912" s="41" t="s">
        <v>983</v>
      </c>
      <c r="H912" s="28" t="s">
        <v>118</v>
      </c>
      <c r="I912" s="158"/>
      <c r="J912" s="30">
        <v>954</v>
      </c>
      <c r="K912" s="30">
        <v>9540</v>
      </c>
      <c r="L912" s="30">
        <f t="shared" si="81"/>
        <v>954</v>
      </c>
      <c r="M912" s="30">
        <f t="shared" si="81"/>
        <v>9540</v>
      </c>
      <c r="N912" s="30">
        <f>ROUND('Смета ЕР (общ) '!$I912*'Смета ЕР (общ) '!$L912,2)</f>
        <v>0</v>
      </c>
      <c r="O912" s="30">
        <f>ROUND('Смета ЕР (общ) '!$I912*'Смета ЕР (общ) '!$M912,2)</f>
        <v>0</v>
      </c>
      <c r="P912" s="45"/>
    </row>
    <row r="913" spans="1:20" ht="14.4" hidden="1" x14ac:dyDescent="0.3">
      <c r="A913" s="26" t="s">
        <v>965</v>
      </c>
      <c r="B913" s="26">
        <v>1</v>
      </c>
      <c r="C913" s="26"/>
      <c r="D913" s="26">
        <v>106</v>
      </c>
      <c r="E913" s="26" t="str">
        <f>CONCATENATE('Смета ЕР (общ) '!$A913,".",'Смета ЕР (общ) '!$B913,".",'Смета ЕР (общ) '!$D913)</f>
        <v>Р7.1.106</v>
      </c>
      <c r="F913" s="26">
        <f t="shared" si="83"/>
        <v>1</v>
      </c>
      <c r="G913" s="41" t="s">
        <v>984</v>
      </c>
      <c r="H913" s="28" t="s">
        <v>118</v>
      </c>
      <c r="I913" s="158"/>
      <c r="J913" s="30">
        <v>963</v>
      </c>
      <c r="K913" s="30">
        <v>9625</v>
      </c>
      <c r="L913" s="30">
        <f t="shared" si="81"/>
        <v>963</v>
      </c>
      <c r="M913" s="30">
        <f t="shared" si="81"/>
        <v>9625</v>
      </c>
      <c r="N913" s="30">
        <f>ROUND('Смета ЕР (общ) '!$I913*'Смета ЕР (общ) '!$L913,2)</f>
        <v>0</v>
      </c>
      <c r="O913" s="30">
        <f>ROUND('Смета ЕР (общ) '!$I913*'Смета ЕР (общ) '!$M913,2)</f>
        <v>0</v>
      </c>
      <c r="P913" s="45"/>
    </row>
    <row r="914" spans="1:20" ht="14.4" hidden="1" x14ac:dyDescent="0.3">
      <c r="A914" s="26" t="s">
        <v>965</v>
      </c>
      <c r="B914" s="26">
        <v>1</v>
      </c>
      <c r="C914" s="26"/>
      <c r="D914" s="26">
        <v>107</v>
      </c>
      <c r="E914" s="26" t="str">
        <f>CONCATENATE('Смета ЕР (общ) '!$A914,".",'Смета ЕР (общ) '!$B914,".",'Смета ЕР (общ) '!$D914)</f>
        <v>Р7.1.107</v>
      </c>
      <c r="F914" s="26">
        <f t="shared" si="83"/>
        <v>1</v>
      </c>
      <c r="G914" s="41" t="s">
        <v>985</v>
      </c>
      <c r="H914" s="28" t="s">
        <v>118</v>
      </c>
      <c r="I914" s="158"/>
      <c r="J914" s="30">
        <v>267</v>
      </c>
      <c r="K914" s="30">
        <v>2667.5</v>
      </c>
      <c r="L914" s="30">
        <f t="shared" si="81"/>
        <v>267</v>
      </c>
      <c r="M914" s="30">
        <f t="shared" si="81"/>
        <v>2667.5</v>
      </c>
      <c r="N914" s="30">
        <f>ROUND('Смета ЕР (общ) '!$I914*'Смета ЕР (общ) '!$L914,2)</f>
        <v>0</v>
      </c>
      <c r="O914" s="30">
        <f>ROUND('Смета ЕР (общ) '!$I914*'Смета ЕР (общ) '!$M914,2)</f>
        <v>0</v>
      </c>
      <c r="P914" s="45"/>
    </row>
    <row r="915" spans="1:20" ht="14.4" hidden="1" x14ac:dyDescent="0.3">
      <c r="A915" s="26" t="s">
        <v>965</v>
      </c>
      <c r="B915" s="26">
        <v>1</v>
      </c>
      <c r="C915" s="26"/>
      <c r="D915" s="26">
        <v>108</v>
      </c>
      <c r="E915" s="26" t="str">
        <f>CONCATENATE('Смета ЕР (общ) '!$A915,".",'Смета ЕР (общ) '!$B915,".",'Смета ЕР (общ) '!$D915)</f>
        <v>Р7.1.108</v>
      </c>
      <c r="F915" s="26">
        <f t="shared" si="83"/>
        <v>1</v>
      </c>
      <c r="G915" s="41" t="s">
        <v>986</v>
      </c>
      <c r="H915" s="28" t="s">
        <v>118</v>
      </c>
      <c r="I915" s="158"/>
      <c r="J915" s="30">
        <v>289</v>
      </c>
      <c r="K915" s="30">
        <v>2887.5</v>
      </c>
      <c r="L915" s="30">
        <f t="shared" si="81"/>
        <v>289</v>
      </c>
      <c r="M915" s="30">
        <f t="shared" si="81"/>
        <v>2887.5</v>
      </c>
      <c r="N915" s="30">
        <f>ROUND('Смета ЕР (общ) '!$I915*'Смета ЕР (общ) '!$L915,2)</f>
        <v>0</v>
      </c>
      <c r="O915" s="30">
        <f>ROUND('Смета ЕР (общ) '!$I915*'Смета ЕР (общ) '!$M915,2)</f>
        <v>0</v>
      </c>
      <c r="P915" s="45"/>
    </row>
    <row r="916" spans="1:20" ht="14.4" hidden="1" x14ac:dyDescent="0.3">
      <c r="A916" s="26" t="s">
        <v>965</v>
      </c>
      <c r="B916" s="26">
        <v>1</v>
      </c>
      <c r="C916" s="26"/>
      <c r="D916" s="26">
        <v>27</v>
      </c>
      <c r="E916" s="26" t="str">
        <f>CONCATENATE('Смета ЕР (общ) '!$A916,".",'Смета ЕР (общ) '!$B916,".",'Смета ЕР (общ) '!$D916)</f>
        <v>Р7.1.27</v>
      </c>
      <c r="F916" s="26">
        <f>IF(I916&gt;0,F910+1,F910)</f>
        <v>1</v>
      </c>
      <c r="G916" s="27" t="s">
        <v>987</v>
      </c>
      <c r="H916" s="28" t="s">
        <v>118</v>
      </c>
      <c r="I916" s="158"/>
      <c r="J916" s="30">
        <v>2205.4499999999998</v>
      </c>
      <c r="K916" s="30">
        <v>4012.41</v>
      </c>
      <c r="L916" s="30">
        <f t="shared" ref="L916:M952" si="84">ROUND(J916-J916*$Q$3,2)</f>
        <v>2205.4499999999998</v>
      </c>
      <c r="M916" s="30">
        <f t="shared" si="84"/>
        <v>4012.41</v>
      </c>
      <c r="N916" s="30">
        <f>ROUND('Смета ЕР (общ) '!$I916*'Смета ЕР (общ) '!$L916,2)</f>
        <v>0</v>
      </c>
      <c r="O916" s="30">
        <f>ROUND('Смета ЕР (общ) '!$I916*'Смета ЕР (общ) '!$M916,2)</f>
        <v>0</v>
      </c>
      <c r="P916" s="45"/>
    </row>
    <row r="917" spans="1:20" ht="14.4" hidden="1" x14ac:dyDescent="0.3">
      <c r="A917" s="26" t="s">
        <v>965</v>
      </c>
      <c r="B917" s="26">
        <v>1</v>
      </c>
      <c r="C917" s="26"/>
      <c r="D917" s="26">
        <v>28</v>
      </c>
      <c r="E917" s="26" t="str">
        <f>CONCATENATE('Смета ЕР (общ) '!$A917,".",'Смета ЕР (общ) '!$B917,".",'Смета ЕР (общ) '!$D917)</f>
        <v>Р7.1.28</v>
      </c>
      <c r="F917" s="26">
        <f t="shared" ref="F917:F980" si="85">IF(I917&gt;0,F916+1,F916)</f>
        <v>1</v>
      </c>
      <c r="G917" s="27" t="s">
        <v>988</v>
      </c>
      <c r="H917" s="28" t="s">
        <v>118</v>
      </c>
      <c r="I917" s="158"/>
      <c r="J917" s="30">
        <v>2205.4499999999998</v>
      </c>
      <c r="K917" s="30">
        <v>15308.23</v>
      </c>
      <c r="L917" s="30">
        <f t="shared" si="84"/>
        <v>2205.4499999999998</v>
      </c>
      <c r="M917" s="30">
        <f t="shared" si="84"/>
        <v>15308.23</v>
      </c>
      <c r="N917" s="30">
        <f>ROUND('Смета ЕР (общ) '!$I917*'Смета ЕР (общ) '!$L917,2)</f>
        <v>0</v>
      </c>
      <c r="O917" s="30">
        <f>ROUND('Смета ЕР (общ) '!$I917*'Смета ЕР (общ) '!$M917,2)</f>
        <v>0</v>
      </c>
      <c r="P917" s="45"/>
      <c r="T917">
        <v>2</v>
      </c>
    </row>
    <row r="918" spans="1:20" ht="14.4" hidden="1" x14ac:dyDescent="0.3">
      <c r="A918" s="51" t="s">
        <v>965</v>
      </c>
      <c r="B918" s="51">
        <v>1</v>
      </c>
      <c r="C918" s="51"/>
      <c r="D918" s="51">
        <v>29</v>
      </c>
      <c r="E918" s="51" t="str">
        <f>CONCATENATE('Смета ЕР (общ) '!$A918,".",'Смета ЕР (общ) '!$B918,".",'Смета ЕР (общ) '!$D918)</f>
        <v>Р7.1.29</v>
      </c>
      <c r="F918" s="51">
        <f t="shared" si="85"/>
        <v>1</v>
      </c>
      <c r="G918" s="52" t="s">
        <v>989</v>
      </c>
      <c r="H918" s="28" t="s">
        <v>118</v>
      </c>
      <c r="I918" s="158"/>
      <c r="J918" s="30">
        <v>9499.25</v>
      </c>
      <c r="K918" s="30">
        <v>124059.43</v>
      </c>
      <c r="L918" s="30">
        <f t="shared" si="84"/>
        <v>9499.25</v>
      </c>
      <c r="M918" s="30">
        <f t="shared" si="84"/>
        <v>124059.43</v>
      </c>
      <c r="N918" s="30">
        <f>ROUND('Смета ЕР (общ) '!$I918*'Смета ЕР (общ) '!$L918,2)</f>
        <v>0</v>
      </c>
      <c r="O918" s="30">
        <f>ROUND('Смета ЕР (общ) '!$I918*'Смета ЕР (общ) '!$M918,2)</f>
        <v>0</v>
      </c>
      <c r="P918" s="45"/>
    </row>
    <row r="919" spans="1:20" ht="24" hidden="1" x14ac:dyDescent="0.3">
      <c r="A919" s="51" t="s">
        <v>965</v>
      </c>
      <c r="B919" s="51">
        <v>1</v>
      </c>
      <c r="C919" s="51"/>
      <c r="D919" s="51">
        <v>30</v>
      </c>
      <c r="E919" s="51" t="str">
        <f>CONCATENATE('Смета ЕР (общ) '!$A919,".",'Смета ЕР (общ) '!$B919,".",'Смета ЕР (общ) '!$D919)</f>
        <v>Р7.1.30</v>
      </c>
      <c r="F919" s="51">
        <f t="shared" si="85"/>
        <v>1</v>
      </c>
      <c r="G919" s="52" t="s">
        <v>990</v>
      </c>
      <c r="H919" s="53" t="s">
        <v>125</v>
      </c>
      <c r="I919" s="158"/>
      <c r="J919" s="30">
        <v>107</v>
      </c>
      <c r="K919" s="30">
        <v>0</v>
      </c>
      <c r="L919" s="30">
        <f t="shared" si="84"/>
        <v>107</v>
      </c>
      <c r="M919" s="30">
        <f t="shared" si="84"/>
        <v>0</v>
      </c>
      <c r="N919" s="30">
        <f>ROUND('Смета ЕР (общ) '!$I919*'Смета ЕР (общ) '!$L919,2)</f>
        <v>0</v>
      </c>
      <c r="O919" s="30">
        <f>ROUND('Смета ЕР (общ) '!$I919*'Смета ЕР (общ) '!$M919,2)</f>
        <v>0</v>
      </c>
      <c r="P919" s="45"/>
      <c r="T919">
        <v>214</v>
      </c>
    </row>
    <row r="920" spans="1:20" ht="24" hidden="1" x14ac:dyDescent="0.3">
      <c r="A920" s="26" t="s">
        <v>965</v>
      </c>
      <c r="B920" s="26">
        <v>1</v>
      </c>
      <c r="C920" s="26"/>
      <c r="D920" s="26">
        <v>31</v>
      </c>
      <c r="E920" s="26" t="str">
        <f>CONCATENATE('Смета ЕР (общ) '!$A920,".",'Смета ЕР (общ) '!$B920,".",'Смета ЕР (общ) '!$D920)</f>
        <v>Р7.1.31</v>
      </c>
      <c r="F920" s="26">
        <f t="shared" si="85"/>
        <v>1</v>
      </c>
      <c r="G920" s="27" t="s">
        <v>991</v>
      </c>
      <c r="H920" s="28" t="s">
        <v>118</v>
      </c>
      <c r="I920" s="158"/>
      <c r="J920" s="30">
        <v>2548.85</v>
      </c>
      <c r="K920" s="30">
        <v>25491.67</v>
      </c>
      <c r="L920" s="30">
        <f t="shared" si="84"/>
        <v>2548.85</v>
      </c>
      <c r="M920" s="30">
        <f t="shared" si="84"/>
        <v>25491.67</v>
      </c>
      <c r="N920" s="30">
        <f>ROUND('Смета ЕР (общ) '!$I920*'Смета ЕР (общ) '!$L920,2)</f>
        <v>0</v>
      </c>
      <c r="O920" s="30">
        <f>ROUND('Смета ЕР (общ) '!$I920*'Смета ЕР (общ) '!$M920,2)</f>
        <v>0</v>
      </c>
      <c r="P920" s="45" t="s">
        <v>992</v>
      </c>
    </row>
    <row r="921" spans="1:20" ht="24" hidden="1" x14ac:dyDescent="0.3">
      <c r="A921" s="26" t="s">
        <v>965</v>
      </c>
      <c r="B921" s="26">
        <v>1</v>
      </c>
      <c r="C921" s="26"/>
      <c r="D921" s="26">
        <v>22</v>
      </c>
      <c r="E921" s="26" t="str">
        <f>CONCATENATE('Смета ЕР (общ) '!$A921,".",'Смета ЕР (общ) '!$B921,".",'Смета ЕР (общ) '!$D921)</f>
        <v>Р7.1.22</v>
      </c>
      <c r="F921" s="26">
        <f t="shared" si="85"/>
        <v>1</v>
      </c>
      <c r="G921" s="27" t="s">
        <v>993</v>
      </c>
      <c r="H921" s="48" t="s">
        <v>40</v>
      </c>
      <c r="I921" s="158"/>
      <c r="J921" s="30">
        <v>822.99</v>
      </c>
      <c r="K921" s="30">
        <v>1334.5</v>
      </c>
      <c r="L921" s="50">
        <f t="shared" si="84"/>
        <v>822.99</v>
      </c>
      <c r="M921" s="50">
        <f t="shared" si="84"/>
        <v>1334.5</v>
      </c>
      <c r="N921" s="50">
        <f>ROUND('Смета ЕР (общ) '!$I921*'Смета ЕР (общ) '!$L921,2)</f>
        <v>0</v>
      </c>
      <c r="O921" s="50">
        <f>ROUND('Смета ЕР (общ) '!$I921*'Смета ЕР (общ) '!$M921,2)</f>
        <v>0</v>
      </c>
      <c r="P921" s="45"/>
    </row>
    <row r="922" spans="1:20" ht="24" hidden="1" x14ac:dyDescent="0.3">
      <c r="A922" s="26" t="s">
        <v>965</v>
      </c>
      <c r="B922" s="26">
        <v>1</v>
      </c>
      <c r="C922" s="26"/>
      <c r="D922" s="26">
        <v>23</v>
      </c>
      <c r="E922" s="26" t="str">
        <f>CONCATENATE('Смета ЕР (общ) '!$A922,".",'Смета ЕР (общ) '!$B922,".",'Смета ЕР (общ) '!$D922)</f>
        <v>Р7.1.23</v>
      </c>
      <c r="F922" s="26">
        <f t="shared" si="85"/>
        <v>1</v>
      </c>
      <c r="G922" s="27" t="s">
        <v>994</v>
      </c>
      <c r="H922" s="48" t="s">
        <v>40</v>
      </c>
      <c r="I922" s="158"/>
      <c r="J922" s="30">
        <v>250</v>
      </c>
      <c r="K922" s="30">
        <v>1037.9100000000001</v>
      </c>
      <c r="L922" s="50">
        <f t="shared" si="84"/>
        <v>250</v>
      </c>
      <c r="M922" s="50">
        <f t="shared" si="84"/>
        <v>1037.9100000000001</v>
      </c>
      <c r="N922" s="50">
        <f>ROUND('Смета ЕР (общ) '!$I922*'Смета ЕР (общ) '!$L922,2)</f>
        <v>0</v>
      </c>
      <c r="O922" s="50">
        <f>ROUND('Смета ЕР (общ) '!$I922*'Смета ЕР (общ) '!$M922,2)</f>
        <v>0</v>
      </c>
      <c r="P922" s="45"/>
    </row>
    <row r="923" spans="1:20" ht="14.4" hidden="1" x14ac:dyDescent="0.3">
      <c r="A923" s="26" t="s">
        <v>965</v>
      </c>
      <c r="B923" s="26">
        <v>1</v>
      </c>
      <c r="C923" s="26"/>
      <c r="D923" s="26">
        <v>11</v>
      </c>
      <c r="E923" s="26" t="str">
        <f>CONCATENATE('Смета ЕР (общ) '!$A923,".",'Смета ЕР (общ) '!$B923,".",'Смета ЕР (общ) '!$D923)</f>
        <v>Р7.1.11</v>
      </c>
      <c r="F923" s="26">
        <f t="shared" si="85"/>
        <v>1</v>
      </c>
      <c r="G923" s="27" t="s">
        <v>995</v>
      </c>
      <c r="H923" s="28" t="s">
        <v>118</v>
      </c>
      <c r="I923" s="158"/>
      <c r="J923" s="30">
        <v>339.3</v>
      </c>
      <c r="K923" s="30">
        <v>1338.53</v>
      </c>
      <c r="L923" s="50">
        <f t="shared" si="84"/>
        <v>339.3</v>
      </c>
      <c r="M923" s="50">
        <f t="shared" si="84"/>
        <v>1338.53</v>
      </c>
      <c r="N923" s="50">
        <f>ROUND('Смета ЕР (общ) '!$I923*'Смета ЕР (общ) '!$L923,2)</f>
        <v>0</v>
      </c>
      <c r="O923" s="50">
        <f>ROUND('Смета ЕР (общ) '!$I923*'Смета ЕР (общ) '!$M923,2)</f>
        <v>0</v>
      </c>
      <c r="P923" s="45"/>
    </row>
    <row r="924" spans="1:20" ht="48" hidden="1" x14ac:dyDescent="0.3">
      <c r="A924" s="46" t="s">
        <v>965</v>
      </c>
      <c r="B924" s="46">
        <v>1</v>
      </c>
      <c r="C924" s="46"/>
      <c r="D924" s="46">
        <v>13</v>
      </c>
      <c r="E924" s="46" t="str">
        <f>CONCATENATE('Смета ЕР (общ) '!$A924,".",'Смета ЕР (общ) '!$B924,".",'Смета ЕР (общ) '!$D924)</f>
        <v>Р7.1.13</v>
      </c>
      <c r="F924" s="46">
        <f t="shared" si="85"/>
        <v>1</v>
      </c>
      <c r="G924" s="47" t="s">
        <v>996</v>
      </c>
      <c r="H924" s="48" t="s">
        <v>997</v>
      </c>
      <c r="I924" s="158"/>
      <c r="J924" s="30">
        <v>499.9</v>
      </c>
      <c r="K924" s="30">
        <v>1273.53</v>
      </c>
      <c r="L924" s="50">
        <f t="shared" si="84"/>
        <v>499.9</v>
      </c>
      <c r="M924" s="50">
        <f t="shared" si="84"/>
        <v>1273.53</v>
      </c>
      <c r="N924" s="50">
        <f>ROUND('Смета ЕР (общ) '!$I924*'Смета ЕР (общ) '!$L924,2)</f>
        <v>0</v>
      </c>
      <c r="O924" s="50">
        <f>ROUND('Смета ЕР (общ) '!$I924*'Смета ЕР (общ) '!$M924,2)</f>
        <v>0</v>
      </c>
      <c r="P924" s="45"/>
    </row>
    <row r="925" spans="1:20" ht="14.4" hidden="1" x14ac:dyDescent="0.3">
      <c r="A925" s="51" t="s">
        <v>965</v>
      </c>
      <c r="B925" s="51">
        <v>1</v>
      </c>
      <c r="C925" s="51"/>
      <c r="D925" s="51">
        <v>14</v>
      </c>
      <c r="E925" s="51" t="str">
        <f>CONCATENATE('Смета ЕР (общ) '!$A925,".",'Смета ЕР (общ) '!$B925,".",'Смета ЕР (общ) '!$D925)</f>
        <v>Р7.1.14</v>
      </c>
      <c r="F925" s="51">
        <f t="shared" si="85"/>
        <v>1</v>
      </c>
      <c r="G925" s="52" t="s">
        <v>998</v>
      </c>
      <c r="H925" s="28" t="s">
        <v>118</v>
      </c>
      <c r="I925" s="158"/>
      <c r="J925" s="30">
        <v>2973.52</v>
      </c>
      <c r="K925" s="30">
        <v>13683.67</v>
      </c>
      <c r="L925" s="30">
        <f t="shared" si="84"/>
        <v>2973.52</v>
      </c>
      <c r="M925" s="30">
        <f t="shared" si="84"/>
        <v>13683.67</v>
      </c>
      <c r="N925" s="30">
        <f>ROUND('Смета ЕР (общ) '!$I925*'Смета ЕР (общ) '!$L925,2)</f>
        <v>0</v>
      </c>
      <c r="O925" s="30">
        <f>ROUND('Смета ЕР (общ) '!$I925*'Смета ЕР (общ) '!$M925,2)</f>
        <v>0</v>
      </c>
      <c r="P925" s="45" t="s">
        <v>999</v>
      </c>
    </row>
    <row r="926" spans="1:20" ht="14.4" hidden="1" x14ac:dyDescent="0.3">
      <c r="A926" s="51" t="s">
        <v>965</v>
      </c>
      <c r="B926" s="51">
        <v>1</v>
      </c>
      <c r="C926" s="51"/>
      <c r="D926" s="51">
        <v>16</v>
      </c>
      <c r="E926" s="51" t="str">
        <f>CONCATENATE('Смета ЕР (общ) '!$A926,".",'Смета ЕР (общ) '!$B926,".",'Смета ЕР (общ) '!$D926)</f>
        <v>Р7.1.16</v>
      </c>
      <c r="F926" s="51">
        <f t="shared" si="85"/>
        <v>1</v>
      </c>
      <c r="G926" s="52" t="s">
        <v>1000</v>
      </c>
      <c r="H926" s="28" t="s">
        <v>118</v>
      </c>
      <c r="I926" s="158"/>
      <c r="J926" s="30">
        <v>2973.52</v>
      </c>
      <c r="K926" s="30">
        <v>6651.21</v>
      </c>
      <c r="L926" s="30">
        <f t="shared" si="84"/>
        <v>2973.52</v>
      </c>
      <c r="M926" s="30">
        <f t="shared" si="84"/>
        <v>6651.21</v>
      </c>
      <c r="N926" s="30">
        <f>ROUND('Смета ЕР (общ) '!$I926*'Смета ЕР (общ) '!$L926,2)</f>
        <v>0</v>
      </c>
      <c r="O926" s="30">
        <f>ROUND('Смета ЕР (общ) '!$I926*'Смета ЕР (общ) '!$M926,2)</f>
        <v>0</v>
      </c>
      <c r="P926" s="45" t="s">
        <v>999</v>
      </c>
    </row>
    <row r="927" spans="1:20" ht="24" hidden="1" x14ac:dyDescent="0.3">
      <c r="A927" s="26" t="s">
        <v>965</v>
      </c>
      <c r="B927" s="26">
        <v>1</v>
      </c>
      <c r="C927" s="26"/>
      <c r="D927" s="26">
        <v>24</v>
      </c>
      <c r="E927" s="26" t="str">
        <f>CONCATENATE('Смета ЕР (общ) '!$A927,".",'Смета ЕР (общ) '!$B927,".",'Смета ЕР (общ) '!$D927)</f>
        <v>Р7.1.24</v>
      </c>
      <c r="F927" s="26">
        <f t="shared" si="85"/>
        <v>1</v>
      </c>
      <c r="G927" s="27" t="s">
        <v>1001</v>
      </c>
      <c r="H927" s="28" t="s">
        <v>118</v>
      </c>
      <c r="I927" s="158"/>
      <c r="J927" s="30">
        <v>1819.4330000000002</v>
      </c>
      <c r="K927" s="30">
        <v>11200</v>
      </c>
      <c r="L927" s="30">
        <f t="shared" si="84"/>
        <v>1819.43</v>
      </c>
      <c r="M927" s="30">
        <f t="shared" si="84"/>
        <v>11200</v>
      </c>
      <c r="N927" s="30">
        <f>ROUND('Смета ЕР (общ) '!$I927*'Смета ЕР (общ) '!$L927,2)</f>
        <v>0</v>
      </c>
      <c r="O927" s="30">
        <f>ROUND('Смета ЕР (общ) '!$I927*'Смета ЕР (общ) '!$M927,2)</f>
        <v>0</v>
      </c>
      <c r="P927" s="45"/>
    </row>
    <row r="928" spans="1:20" ht="24" hidden="1" x14ac:dyDescent="0.3">
      <c r="A928" s="26" t="s">
        <v>965</v>
      </c>
      <c r="B928" s="26">
        <v>1</v>
      </c>
      <c r="C928" s="26"/>
      <c r="D928" s="26">
        <v>35</v>
      </c>
      <c r="E928" s="26" t="str">
        <f>CONCATENATE('Смета ЕР (общ) '!$A928,".",'Смета ЕР (общ) '!$B928,".",'Смета ЕР (общ) '!$D928)</f>
        <v>Р7.1.35</v>
      </c>
      <c r="F928" s="26">
        <f t="shared" si="85"/>
        <v>1</v>
      </c>
      <c r="G928" s="27" t="s">
        <v>1002</v>
      </c>
      <c r="H928" s="28" t="s">
        <v>118</v>
      </c>
      <c r="I928" s="158"/>
      <c r="J928" s="30">
        <v>1819.4330000000002</v>
      </c>
      <c r="K928" s="30">
        <v>14300</v>
      </c>
      <c r="L928" s="30">
        <f t="shared" si="84"/>
        <v>1819.43</v>
      </c>
      <c r="M928" s="30">
        <f t="shared" si="84"/>
        <v>14300</v>
      </c>
      <c r="N928" s="30">
        <f>ROUND('Смета ЕР (общ) '!$I928*'Смета ЕР (общ) '!$L928,2)</f>
        <v>0</v>
      </c>
      <c r="O928" s="30">
        <f>ROUND('Смета ЕР (общ) '!$I928*'Смета ЕР (общ) '!$M928,2)</f>
        <v>0</v>
      </c>
      <c r="P928" s="45"/>
    </row>
    <row r="929" spans="1:16" ht="24" hidden="1" x14ac:dyDescent="0.3">
      <c r="A929" s="26" t="s">
        <v>965</v>
      </c>
      <c r="B929" s="26">
        <v>1</v>
      </c>
      <c r="C929" s="26"/>
      <c r="D929" s="26">
        <v>33</v>
      </c>
      <c r="E929" s="26" t="str">
        <f>CONCATENATE('Смета ЕР (общ) '!$A929,".",'Смета ЕР (общ) '!$B929,".",'Смета ЕР (общ) '!$D929)</f>
        <v>Р7.1.33</v>
      </c>
      <c r="F929" s="26">
        <f t="shared" si="85"/>
        <v>1</v>
      </c>
      <c r="G929" s="27" t="s">
        <v>1003</v>
      </c>
      <c r="H929" s="28" t="s">
        <v>118</v>
      </c>
      <c r="I929" s="158"/>
      <c r="J929" s="30">
        <v>1819.4330000000002</v>
      </c>
      <c r="K929" s="30">
        <v>17000</v>
      </c>
      <c r="L929" s="30">
        <f t="shared" si="84"/>
        <v>1819.43</v>
      </c>
      <c r="M929" s="30">
        <f t="shared" si="84"/>
        <v>17000</v>
      </c>
      <c r="N929" s="30">
        <f>ROUND('Смета ЕР (общ) '!$I929*'Смета ЕР (общ) '!$L929,2)</f>
        <v>0</v>
      </c>
      <c r="O929" s="30">
        <f>ROUND('Смета ЕР (общ) '!$I929*'Смета ЕР (общ) '!$M929,2)</f>
        <v>0</v>
      </c>
      <c r="P929" s="45"/>
    </row>
    <row r="930" spans="1:16" ht="24" hidden="1" x14ac:dyDescent="0.3">
      <c r="A930" s="26" t="s">
        <v>965</v>
      </c>
      <c r="B930" s="26">
        <v>1</v>
      </c>
      <c r="C930" s="26"/>
      <c r="D930" s="26">
        <v>34</v>
      </c>
      <c r="E930" s="26" t="str">
        <f>CONCATENATE('Смета ЕР (общ) '!$A930,".",'Смета ЕР (общ) '!$B930,".",'Смета ЕР (общ) '!$D930)</f>
        <v>Р7.1.34</v>
      </c>
      <c r="F930" s="26">
        <f t="shared" si="85"/>
        <v>1</v>
      </c>
      <c r="G930" s="27" t="s">
        <v>1004</v>
      </c>
      <c r="H930" s="28" t="s">
        <v>118</v>
      </c>
      <c r="I930" s="158"/>
      <c r="J930" s="30">
        <v>1819.4330000000002</v>
      </c>
      <c r="K930" s="30">
        <v>26000</v>
      </c>
      <c r="L930" s="30">
        <f t="shared" si="84"/>
        <v>1819.43</v>
      </c>
      <c r="M930" s="30">
        <f t="shared" si="84"/>
        <v>26000</v>
      </c>
      <c r="N930" s="30">
        <f>ROUND('Смета ЕР (общ) '!$I930*'Смета ЕР (общ) '!$L930,2)</f>
        <v>0</v>
      </c>
      <c r="O930" s="30">
        <f>ROUND('Смета ЕР (общ) '!$I930*'Смета ЕР (общ) '!$M930,2)</f>
        <v>0</v>
      </c>
      <c r="P930" s="45"/>
    </row>
    <row r="931" spans="1:16" ht="24" hidden="1" x14ac:dyDescent="0.3">
      <c r="A931" s="26" t="s">
        <v>965</v>
      </c>
      <c r="B931" s="26">
        <v>1</v>
      </c>
      <c r="C931" s="26"/>
      <c r="D931" s="26">
        <v>36</v>
      </c>
      <c r="E931" s="26" t="str">
        <f>CONCATENATE('Смета ЕР (общ) '!$A931,".",'Смета ЕР (общ) '!$B931,".",'Смета ЕР (общ) '!$D931)</f>
        <v>Р7.1.36</v>
      </c>
      <c r="F931" s="26">
        <f t="shared" si="85"/>
        <v>1</v>
      </c>
      <c r="G931" s="27" t="s">
        <v>1005</v>
      </c>
      <c r="H931" s="28" t="s">
        <v>118</v>
      </c>
      <c r="I931" s="158"/>
      <c r="J931" s="30">
        <v>1819.4330000000002</v>
      </c>
      <c r="K931" s="30">
        <v>33000</v>
      </c>
      <c r="L931" s="30">
        <f t="shared" si="84"/>
        <v>1819.43</v>
      </c>
      <c r="M931" s="30">
        <f t="shared" si="84"/>
        <v>33000</v>
      </c>
      <c r="N931" s="30">
        <f>ROUND('Смета ЕР (общ) '!$I931*'Смета ЕР (общ) '!$L931,2)</f>
        <v>0</v>
      </c>
      <c r="O931" s="30">
        <f>ROUND('Смета ЕР (общ) '!$I931*'Смета ЕР (общ) '!$M931,2)</f>
        <v>0</v>
      </c>
      <c r="P931" s="45"/>
    </row>
    <row r="932" spans="1:16" ht="24" hidden="1" x14ac:dyDescent="0.3">
      <c r="A932" s="26" t="s">
        <v>965</v>
      </c>
      <c r="B932" s="26">
        <v>1</v>
      </c>
      <c r="C932" s="26"/>
      <c r="D932" s="26">
        <f t="shared" ref="D932:D995" si="86">D931+1</f>
        <v>37</v>
      </c>
      <c r="E932" s="26" t="str">
        <f>CONCATENATE('Смета ЕР (общ) '!$A932,".",'Смета ЕР (общ) '!$B932,".",'Смета ЕР (общ) '!$D932)</f>
        <v>Р7.1.37</v>
      </c>
      <c r="F932" s="26">
        <f t="shared" si="85"/>
        <v>1</v>
      </c>
      <c r="G932" s="27" t="s">
        <v>1006</v>
      </c>
      <c r="H932" s="28" t="s">
        <v>118</v>
      </c>
      <c r="I932" s="158"/>
      <c r="J932" s="30">
        <v>1819.4330000000002</v>
      </c>
      <c r="K932" s="30">
        <v>27000</v>
      </c>
      <c r="L932" s="30">
        <f t="shared" si="84"/>
        <v>1819.43</v>
      </c>
      <c r="M932" s="30">
        <f t="shared" si="84"/>
        <v>27000</v>
      </c>
      <c r="N932" s="30">
        <f>ROUND('Смета ЕР (общ) '!$I932*'Смета ЕР (общ) '!$L932,2)</f>
        <v>0</v>
      </c>
      <c r="O932" s="30">
        <f>ROUND('Смета ЕР (общ) '!$I932*'Смета ЕР (общ) '!$M932,2)</f>
        <v>0</v>
      </c>
      <c r="P932" s="45"/>
    </row>
    <row r="933" spans="1:16" ht="24" hidden="1" x14ac:dyDescent="0.3">
      <c r="A933" s="26" t="s">
        <v>965</v>
      </c>
      <c r="B933" s="26">
        <v>1</v>
      </c>
      <c r="C933" s="26"/>
      <c r="D933" s="26">
        <f t="shared" si="86"/>
        <v>38</v>
      </c>
      <c r="E933" s="26" t="str">
        <f>CONCATENATE('Смета ЕР (общ) '!$A933,".",'Смета ЕР (общ) '!$B933,".",'Смета ЕР (общ) '!$D933)</f>
        <v>Р7.1.38</v>
      </c>
      <c r="F933" s="26">
        <f t="shared" si="85"/>
        <v>1</v>
      </c>
      <c r="G933" s="41" t="s">
        <v>1007</v>
      </c>
      <c r="H933" s="28" t="s">
        <v>118</v>
      </c>
      <c r="I933" s="158"/>
      <c r="J933" s="30">
        <v>1819.4330000000002</v>
      </c>
      <c r="K933" s="30">
        <v>9632</v>
      </c>
      <c r="L933" s="30">
        <f t="shared" si="84"/>
        <v>1819.43</v>
      </c>
      <c r="M933" s="30">
        <f t="shared" si="84"/>
        <v>9632</v>
      </c>
      <c r="N933" s="30">
        <f>ROUND('Смета ЕР (общ) '!$I933*'Смета ЕР (общ) '!$L933,2)</f>
        <v>0</v>
      </c>
      <c r="O933" s="30">
        <f>ROUND('Смета ЕР (общ) '!$I933*'Смета ЕР (общ) '!$M933,2)</f>
        <v>0</v>
      </c>
      <c r="P933" s="45"/>
    </row>
    <row r="934" spans="1:16" ht="24" hidden="1" x14ac:dyDescent="0.3">
      <c r="A934" s="26" t="s">
        <v>965</v>
      </c>
      <c r="B934" s="26">
        <v>1</v>
      </c>
      <c r="C934" s="26"/>
      <c r="D934" s="26">
        <f t="shared" si="86"/>
        <v>39</v>
      </c>
      <c r="E934" s="26" t="str">
        <f>CONCATENATE('Смета ЕР (общ) '!$A934,".",'Смета ЕР (общ) '!$B934,".",'Смета ЕР (общ) '!$D934)</f>
        <v>Р7.1.39</v>
      </c>
      <c r="F934" s="26">
        <f t="shared" si="85"/>
        <v>1</v>
      </c>
      <c r="G934" s="41" t="s">
        <v>1008</v>
      </c>
      <c r="H934" s="28" t="s">
        <v>118</v>
      </c>
      <c r="I934" s="158"/>
      <c r="J934" s="30">
        <v>1819.4330000000002</v>
      </c>
      <c r="K934" s="30">
        <v>14077</v>
      </c>
      <c r="L934" s="30">
        <f t="shared" si="84"/>
        <v>1819.43</v>
      </c>
      <c r="M934" s="30">
        <f t="shared" si="84"/>
        <v>14077</v>
      </c>
      <c r="N934" s="30">
        <f>ROUND('Смета ЕР (общ) '!$I934*'Смета ЕР (общ) '!$L934,2)</f>
        <v>0</v>
      </c>
      <c r="O934" s="30">
        <f>ROUND('Смета ЕР (общ) '!$I934*'Смета ЕР (общ) '!$M934,2)</f>
        <v>0</v>
      </c>
      <c r="P934" s="45"/>
    </row>
    <row r="935" spans="1:16" ht="14.4" hidden="1" x14ac:dyDescent="0.3">
      <c r="A935" s="26" t="s">
        <v>965</v>
      </c>
      <c r="B935" s="26">
        <v>1</v>
      </c>
      <c r="C935" s="26"/>
      <c r="D935" s="26">
        <f t="shared" si="86"/>
        <v>40</v>
      </c>
      <c r="E935" s="26" t="str">
        <f>CONCATENATE('Смета ЕР (общ) '!$A935,".",'Смета ЕР (общ) '!$B935,".",'Смета ЕР (общ) '!$D935)</f>
        <v>Р7.1.40</v>
      </c>
      <c r="F935" s="26">
        <f t="shared" si="85"/>
        <v>1</v>
      </c>
      <c r="G935" s="41" t="s">
        <v>1009</v>
      </c>
      <c r="H935" s="28" t="s">
        <v>118</v>
      </c>
      <c r="I935" s="158"/>
      <c r="J935" s="30">
        <v>1000</v>
      </c>
      <c r="K935" s="30">
        <v>15540.92</v>
      </c>
      <c r="L935" s="30">
        <f t="shared" si="84"/>
        <v>1000</v>
      </c>
      <c r="M935" s="30">
        <f t="shared" si="84"/>
        <v>15540.92</v>
      </c>
      <c r="N935" s="30">
        <f>ROUND('Смета ЕР (общ) '!$I935*'Смета ЕР (общ) '!$L935,2)</f>
        <v>0</v>
      </c>
      <c r="O935" s="30">
        <f>ROUND('Смета ЕР (общ) '!$I935*'Смета ЕР (общ) '!$M935,2)</f>
        <v>0</v>
      </c>
      <c r="P935" s="45"/>
    </row>
    <row r="936" spans="1:16" ht="14.4" hidden="1" x14ac:dyDescent="0.3">
      <c r="A936" s="26" t="s">
        <v>965</v>
      </c>
      <c r="B936" s="26">
        <v>1</v>
      </c>
      <c r="C936" s="26"/>
      <c r="D936" s="26">
        <f t="shared" si="86"/>
        <v>41</v>
      </c>
      <c r="E936" s="26" t="str">
        <f>CONCATENATE('Смета ЕР (общ) '!$A936,".",'Смета ЕР (общ) '!$B936,".",'Смета ЕР (общ) '!$D936)</f>
        <v>Р7.1.41</v>
      </c>
      <c r="F936" s="26">
        <f t="shared" si="85"/>
        <v>1</v>
      </c>
      <c r="G936" s="41" t="s">
        <v>1010</v>
      </c>
      <c r="H936" s="28" t="s">
        <v>118</v>
      </c>
      <c r="I936" s="158"/>
      <c r="J936" s="30">
        <v>1000</v>
      </c>
      <c r="K936" s="30">
        <v>27067.96</v>
      </c>
      <c r="L936" s="30">
        <f t="shared" si="84"/>
        <v>1000</v>
      </c>
      <c r="M936" s="30">
        <f t="shared" si="84"/>
        <v>27067.96</v>
      </c>
      <c r="N936" s="30">
        <f>ROUND('Смета ЕР (общ) '!$I936*'Смета ЕР (общ) '!$L936,2)</f>
        <v>0</v>
      </c>
      <c r="O936" s="30">
        <f>ROUND('Смета ЕР (общ) '!$I936*'Смета ЕР (общ) '!$M936,2)</f>
        <v>0</v>
      </c>
      <c r="P936" s="45"/>
    </row>
    <row r="937" spans="1:16" ht="14.4" hidden="1" x14ac:dyDescent="0.3">
      <c r="A937" s="26" t="s">
        <v>965</v>
      </c>
      <c r="B937" s="26">
        <v>1</v>
      </c>
      <c r="C937" s="26"/>
      <c r="D937" s="26">
        <f t="shared" si="86"/>
        <v>42</v>
      </c>
      <c r="E937" s="26" t="str">
        <f>CONCATENATE('Смета ЕР (общ) '!$A937,".",'Смета ЕР (общ) '!$B937,".",'Смета ЕР (общ) '!$D937)</f>
        <v>Р7.1.42</v>
      </c>
      <c r="F937" s="26">
        <f t="shared" si="85"/>
        <v>1</v>
      </c>
      <c r="G937" s="41" t="s">
        <v>1011</v>
      </c>
      <c r="H937" s="28" t="s">
        <v>118</v>
      </c>
      <c r="I937" s="158"/>
      <c r="J937" s="30">
        <v>1000</v>
      </c>
      <c r="K937" s="30">
        <v>31390.600000000002</v>
      </c>
      <c r="L937" s="30">
        <f t="shared" si="84"/>
        <v>1000</v>
      </c>
      <c r="M937" s="30">
        <f t="shared" si="84"/>
        <v>31390.6</v>
      </c>
      <c r="N937" s="30">
        <f>ROUND('Смета ЕР (общ) '!$I937*'Смета ЕР (общ) '!$L937,2)</f>
        <v>0</v>
      </c>
      <c r="O937" s="30">
        <f>ROUND('Смета ЕР (общ) '!$I937*'Смета ЕР (общ) '!$M937,2)</f>
        <v>0</v>
      </c>
      <c r="P937" s="45"/>
    </row>
    <row r="938" spans="1:16" ht="14.4" hidden="1" x14ac:dyDescent="0.3">
      <c r="A938" s="26" t="s">
        <v>965</v>
      </c>
      <c r="B938" s="26">
        <v>1</v>
      </c>
      <c r="C938" s="26"/>
      <c r="D938" s="26">
        <f t="shared" si="86"/>
        <v>43</v>
      </c>
      <c r="E938" s="26" t="str">
        <f>CONCATENATE('Смета ЕР (общ) '!$A938,".",'Смета ЕР (общ) '!$B938,".",'Смета ЕР (общ) '!$D938)</f>
        <v>Р7.1.43</v>
      </c>
      <c r="F938" s="26">
        <f t="shared" si="85"/>
        <v>1</v>
      </c>
      <c r="G938" s="41" t="s">
        <v>1012</v>
      </c>
      <c r="H938" s="28" t="s">
        <v>118</v>
      </c>
      <c r="I938" s="158"/>
      <c r="J938" s="30">
        <v>1000</v>
      </c>
      <c r="K938" s="30">
        <v>19657.72</v>
      </c>
      <c r="L938" s="30">
        <f t="shared" si="84"/>
        <v>1000</v>
      </c>
      <c r="M938" s="30">
        <f t="shared" si="84"/>
        <v>19657.72</v>
      </c>
      <c r="N938" s="30">
        <f>ROUND('Смета ЕР (общ) '!$I938*'Смета ЕР (общ) '!$L938,2)</f>
        <v>0</v>
      </c>
      <c r="O938" s="30">
        <f>ROUND('Смета ЕР (общ) '!$I938*'Смета ЕР (общ) '!$M938,2)</f>
        <v>0</v>
      </c>
      <c r="P938" s="45"/>
    </row>
    <row r="939" spans="1:16" ht="14.4" hidden="1" x14ac:dyDescent="0.3">
      <c r="A939" s="26" t="s">
        <v>965</v>
      </c>
      <c r="B939" s="26">
        <v>1</v>
      </c>
      <c r="C939" s="26"/>
      <c r="D939" s="26">
        <f t="shared" si="86"/>
        <v>44</v>
      </c>
      <c r="E939" s="26" t="str">
        <f>CONCATENATE('Смета ЕР (общ) '!$A939,".",'Смета ЕР (общ) '!$B939,".",'Смета ЕР (общ) '!$D939)</f>
        <v>Р7.1.44</v>
      </c>
      <c r="F939" s="26">
        <f t="shared" si="85"/>
        <v>1</v>
      </c>
      <c r="G939" s="41" t="s">
        <v>1013</v>
      </c>
      <c r="H939" s="28" t="s">
        <v>118</v>
      </c>
      <c r="I939" s="158"/>
      <c r="J939" s="30">
        <v>1000</v>
      </c>
      <c r="K939" s="30">
        <v>36022</v>
      </c>
      <c r="L939" s="30">
        <f t="shared" si="84"/>
        <v>1000</v>
      </c>
      <c r="M939" s="30">
        <f t="shared" si="84"/>
        <v>36022</v>
      </c>
      <c r="N939" s="30">
        <f>ROUND('Смета ЕР (общ) '!$I939*'Смета ЕР (общ) '!$L939,2)</f>
        <v>0</v>
      </c>
      <c r="O939" s="30">
        <f>ROUND('Смета ЕР (общ) '!$I939*'Смета ЕР (общ) '!$M939,2)</f>
        <v>0</v>
      </c>
      <c r="P939" s="45"/>
    </row>
    <row r="940" spans="1:16" ht="14.4" hidden="1" x14ac:dyDescent="0.3">
      <c r="A940" s="26" t="s">
        <v>965</v>
      </c>
      <c r="B940" s="26">
        <v>1</v>
      </c>
      <c r="C940" s="26"/>
      <c r="D940" s="26">
        <f t="shared" si="86"/>
        <v>45</v>
      </c>
      <c r="E940" s="26" t="str">
        <f>CONCATENATE('Смета ЕР (общ) '!$A940,".",'Смета ЕР (общ) '!$B940,".",'Смета ЕР (общ) '!$D940)</f>
        <v>Р7.1.45</v>
      </c>
      <c r="F940" s="26">
        <f t="shared" si="85"/>
        <v>1</v>
      </c>
      <c r="G940" s="41" t="s">
        <v>1014</v>
      </c>
      <c r="H940" s="28" t="s">
        <v>118</v>
      </c>
      <c r="I940" s="158"/>
      <c r="J940" s="30">
        <v>1000</v>
      </c>
      <c r="K940" s="30">
        <v>19657.72</v>
      </c>
      <c r="L940" s="30">
        <f t="shared" si="84"/>
        <v>1000</v>
      </c>
      <c r="M940" s="30">
        <f t="shared" si="84"/>
        <v>19657.72</v>
      </c>
      <c r="N940" s="30">
        <f>ROUND('Смета ЕР (общ) '!$I940*'Смета ЕР (общ) '!$L940,2)</f>
        <v>0</v>
      </c>
      <c r="O940" s="30">
        <f>ROUND('Смета ЕР (общ) '!$I940*'Смета ЕР (общ) '!$M940,2)</f>
        <v>0</v>
      </c>
      <c r="P940" s="45"/>
    </row>
    <row r="941" spans="1:16" ht="14.4" hidden="1" x14ac:dyDescent="0.3">
      <c r="A941" s="26" t="s">
        <v>965</v>
      </c>
      <c r="B941" s="26">
        <v>1</v>
      </c>
      <c r="C941" s="26"/>
      <c r="D941" s="26">
        <f t="shared" si="86"/>
        <v>46</v>
      </c>
      <c r="E941" s="26" t="str">
        <f>CONCATENATE('Смета ЕР (общ) '!$A941,".",'Смета ЕР (общ) '!$B941,".",'Смета ЕР (общ) '!$D941)</f>
        <v>Р7.1.46</v>
      </c>
      <c r="F941" s="26">
        <f t="shared" si="85"/>
        <v>1</v>
      </c>
      <c r="G941" s="41" t="s">
        <v>1015</v>
      </c>
      <c r="H941" s="28" t="s">
        <v>118</v>
      </c>
      <c r="I941" s="158"/>
      <c r="J941" s="30">
        <v>1000</v>
      </c>
      <c r="K941" s="30">
        <v>44873.120000000003</v>
      </c>
      <c r="L941" s="30">
        <f t="shared" si="84"/>
        <v>1000</v>
      </c>
      <c r="M941" s="30">
        <f t="shared" si="84"/>
        <v>44873.120000000003</v>
      </c>
      <c r="N941" s="30">
        <f>ROUND('Смета ЕР (общ) '!$I941*'Смета ЕР (общ) '!$L941,2)</f>
        <v>0</v>
      </c>
      <c r="O941" s="30">
        <f>ROUND('Смета ЕР (общ) '!$I941*'Смета ЕР (общ) '!$M941,2)</f>
        <v>0</v>
      </c>
      <c r="P941" s="45"/>
    </row>
    <row r="942" spans="1:16" ht="14.4" hidden="1" x14ac:dyDescent="0.3">
      <c r="A942" s="26" t="s">
        <v>965</v>
      </c>
      <c r="B942" s="26">
        <v>1</v>
      </c>
      <c r="C942" s="26"/>
      <c r="D942" s="26">
        <f t="shared" si="86"/>
        <v>47</v>
      </c>
      <c r="E942" s="26" t="str">
        <f>CONCATENATE('Смета ЕР (общ) '!$A942,".",'Смета ЕР (общ) '!$B942,".",'Смета ЕР (общ) '!$D942)</f>
        <v>Р7.1.47</v>
      </c>
      <c r="F942" s="26">
        <f t="shared" si="85"/>
        <v>1</v>
      </c>
      <c r="G942" s="41" t="s">
        <v>1016</v>
      </c>
      <c r="H942" s="28" t="s">
        <v>118</v>
      </c>
      <c r="I942" s="158"/>
      <c r="J942" s="30">
        <v>1000</v>
      </c>
      <c r="K942" s="30">
        <v>28508.84</v>
      </c>
      <c r="L942" s="30">
        <f t="shared" si="84"/>
        <v>1000</v>
      </c>
      <c r="M942" s="30">
        <f t="shared" si="84"/>
        <v>28508.84</v>
      </c>
      <c r="N942" s="30">
        <f>ROUND('Смета ЕР (общ) '!$I942*'Смета ЕР (общ) '!$L942,2)</f>
        <v>0</v>
      </c>
      <c r="O942" s="30">
        <f>ROUND('Смета ЕР (общ) '!$I942*'Смета ЕР (общ) '!$M942,2)</f>
        <v>0</v>
      </c>
      <c r="P942" s="45"/>
    </row>
    <row r="943" spans="1:16" ht="14.4" hidden="1" x14ac:dyDescent="0.3">
      <c r="A943" s="26" t="s">
        <v>965</v>
      </c>
      <c r="B943" s="26">
        <v>1</v>
      </c>
      <c r="C943" s="26"/>
      <c r="D943" s="26">
        <f t="shared" si="86"/>
        <v>48</v>
      </c>
      <c r="E943" s="26" t="str">
        <f>CONCATENATE('Смета ЕР (общ) '!$A943,".",'Смета ЕР (общ) '!$B943,".",'Смета ЕР (общ) '!$D943)</f>
        <v>Р7.1.48</v>
      </c>
      <c r="F943" s="26">
        <f t="shared" si="85"/>
        <v>1</v>
      </c>
      <c r="G943" s="41" t="s">
        <v>1017</v>
      </c>
      <c r="H943" s="28" t="s">
        <v>118</v>
      </c>
      <c r="I943" s="158"/>
      <c r="J943" s="30">
        <v>1000</v>
      </c>
      <c r="K943" s="30">
        <v>3148</v>
      </c>
      <c r="L943" s="30">
        <f t="shared" si="84"/>
        <v>1000</v>
      </c>
      <c r="M943" s="30">
        <f t="shared" si="84"/>
        <v>3148</v>
      </c>
      <c r="N943" s="30">
        <f>ROUND('Смета ЕР (общ) '!$I943*'Смета ЕР (общ) '!$L943,2)</f>
        <v>0</v>
      </c>
      <c r="O943" s="30">
        <f>ROUND('Смета ЕР (общ) '!$I943*'Смета ЕР (общ) '!$M943,2)</f>
        <v>0</v>
      </c>
      <c r="P943" s="45"/>
    </row>
    <row r="944" spans="1:16" ht="14.4" hidden="1" x14ac:dyDescent="0.3">
      <c r="A944" s="26" t="s">
        <v>965</v>
      </c>
      <c r="B944" s="26">
        <v>1</v>
      </c>
      <c r="C944" s="26"/>
      <c r="D944" s="26">
        <f t="shared" si="86"/>
        <v>49</v>
      </c>
      <c r="E944" s="26" t="str">
        <f>CONCATENATE('Смета ЕР (общ) '!$A944,".",'Смета ЕР (общ) '!$B944,".",'Смета ЕР (общ) '!$D944)</f>
        <v>Р7.1.49</v>
      </c>
      <c r="F944" s="26">
        <f t="shared" si="85"/>
        <v>1</v>
      </c>
      <c r="G944" s="41" t="s">
        <v>1018</v>
      </c>
      <c r="H944" s="28" t="s">
        <v>118</v>
      </c>
      <c r="I944" s="158"/>
      <c r="J944" s="30">
        <v>1000</v>
      </c>
      <c r="K944" s="30">
        <v>5156</v>
      </c>
      <c r="L944" s="30">
        <f t="shared" si="84"/>
        <v>1000</v>
      </c>
      <c r="M944" s="30">
        <f t="shared" si="84"/>
        <v>5156</v>
      </c>
      <c r="N944" s="30">
        <f>ROUND('Смета ЕР (общ) '!$I944*'Смета ЕР (общ) '!$L944,2)</f>
        <v>0</v>
      </c>
      <c r="O944" s="30">
        <f>ROUND('Смета ЕР (общ) '!$I944*'Смета ЕР (общ) '!$M944,2)</f>
        <v>0</v>
      </c>
      <c r="P944" s="45"/>
    </row>
    <row r="945" spans="1:16" ht="14.4" hidden="1" x14ac:dyDescent="0.3">
      <c r="A945" s="26" t="s">
        <v>965</v>
      </c>
      <c r="B945" s="26">
        <v>1</v>
      </c>
      <c r="C945" s="26"/>
      <c r="D945" s="26">
        <f t="shared" si="86"/>
        <v>50</v>
      </c>
      <c r="E945" s="26" t="str">
        <f>CONCATENATE('Смета ЕР (общ) '!$A945,".",'Смета ЕР (общ) '!$B945,".",'Смета ЕР (общ) '!$D945)</f>
        <v>Р7.1.50</v>
      </c>
      <c r="F945" s="26">
        <f t="shared" si="85"/>
        <v>1</v>
      </c>
      <c r="G945" s="41" t="s">
        <v>1019</v>
      </c>
      <c r="H945" s="28" t="s">
        <v>118</v>
      </c>
      <c r="I945" s="158"/>
      <c r="J945" s="30">
        <v>1000</v>
      </c>
      <c r="K945" s="30">
        <v>2659</v>
      </c>
      <c r="L945" s="30">
        <f t="shared" si="84"/>
        <v>1000</v>
      </c>
      <c r="M945" s="30">
        <f t="shared" si="84"/>
        <v>2659</v>
      </c>
      <c r="N945" s="30">
        <f>ROUND('Смета ЕР (общ) '!$I945*'Смета ЕР (общ) '!$L945,2)</f>
        <v>0</v>
      </c>
      <c r="O945" s="30">
        <f>ROUND('Смета ЕР (общ) '!$I945*'Смета ЕР (общ) '!$M945,2)</f>
        <v>0</v>
      </c>
      <c r="P945" s="45"/>
    </row>
    <row r="946" spans="1:16" ht="14.4" hidden="1" x14ac:dyDescent="0.3">
      <c r="A946" s="26" t="s">
        <v>965</v>
      </c>
      <c r="B946" s="26">
        <v>1</v>
      </c>
      <c r="C946" s="26"/>
      <c r="D946" s="26">
        <f t="shared" si="86"/>
        <v>51</v>
      </c>
      <c r="E946" s="26" t="str">
        <f>CONCATENATE('Смета ЕР (общ) '!$A946,".",'Смета ЕР (общ) '!$B946,".",'Смета ЕР (общ) '!$D946)</f>
        <v>Р7.1.51</v>
      </c>
      <c r="F946" s="26">
        <f t="shared" si="85"/>
        <v>1</v>
      </c>
      <c r="G946" s="41" t="s">
        <v>1020</v>
      </c>
      <c r="H946" s="28" t="s">
        <v>118</v>
      </c>
      <c r="I946" s="158"/>
      <c r="J946" s="30">
        <v>1000</v>
      </c>
      <c r="K946" s="30">
        <v>2735</v>
      </c>
      <c r="L946" s="30">
        <f t="shared" si="84"/>
        <v>1000</v>
      </c>
      <c r="M946" s="30">
        <f t="shared" si="84"/>
        <v>2735</v>
      </c>
      <c r="N946" s="30">
        <f>ROUND('Смета ЕР (общ) '!$I946*'Смета ЕР (общ) '!$L946,2)</f>
        <v>0</v>
      </c>
      <c r="O946" s="30">
        <f>ROUND('Смета ЕР (общ) '!$I946*'Смета ЕР (общ) '!$M946,2)</f>
        <v>0</v>
      </c>
      <c r="P946" s="45"/>
    </row>
    <row r="947" spans="1:16" ht="14.4" hidden="1" x14ac:dyDescent="0.3">
      <c r="A947" s="26" t="s">
        <v>965</v>
      </c>
      <c r="B947" s="26">
        <v>1</v>
      </c>
      <c r="C947" s="26"/>
      <c r="D947" s="26">
        <f t="shared" si="86"/>
        <v>52</v>
      </c>
      <c r="E947" s="26" t="str">
        <f>CONCATENATE('Смета ЕР (общ) '!$A947,".",'Смета ЕР (общ) '!$B947,".",'Смета ЕР (общ) '!$D947)</f>
        <v>Р7.1.52</v>
      </c>
      <c r="F947" s="26">
        <f t="shared" si="85"/>
        <v>1</v>
      </c>
      <c r="G947" s="41" t="s">
        <v>1021</v>
      </c>
      <c r="H947" s="28" t="s">
        <v>118</v>
      </c>
      <c r="I947" s="158"/>
      <c r="J947" s="30">
        <v>1000</v>
      </c>
      <c r="K947" s="30">
        <v>8226</v>
      </c>
      <c r="L947" s="30">
        <f t="shared" si="84"/>
        <v>1000</v>
      </c>
      <c r="M947" s="30">
        <f t="shared" si="84"/>
        <v>8226</v>
      </c>
      <c r="N947" s="30">
        <f>ROUND('Смета ЕР (общ) '!$I947*'Смета ЕР (общ) '!$L947,2)</f>
        <v>0</v>
      </c>
      <c r="O947" s="30">
        <f>ROUND('Смета ЕР (общ) '!$I947*'Смета ЕР (общ) '!$M947,2)</f>
        <v>0</v>
      </c>
      <c r="P947" s="45"/>
    </row>
    <row r="948" spans="1:16" ht="14.4" hidden="1" x14ac:dyDescent="0.3">
      <c r="A948" s="26" t="s">
        <v>965</v>
      </c>
      <c r="B948" s="26">
        <v>1</v>
      </c>
      <c r="C948" s="26"/>
      <c r="D948" s="26">
        <f t="shared" si="86"/>
        <v>53</v>
      </c>
      <c r="E948" s="26" t="str">
        <f>CONCATENATE('Смета ЕР (общ) '!$A948,".",'Смета ЕР (общ) '!$B948,".",'Смета ЕР (общ) '!$D948)</f>
        <v>Р7.1.53</v>
      </c>
      <c r="F948" s="26">
        <f t="shared" si="85"/>
        <v>1</v>
      </c>
      <c r="G948" s="41" t="s">
        <v>1022</v>
      </c>
      <c r="H948" s="28" t="s">
        <v>118</v>
      </c>
      <c r="I948" s="158"/>
      <c r="J948" s="30">
        <v>1000</v>
      </c>
      <c r="K948" s="30">
        <v>3301.4</v>
      </c>
      <c r="L948" s="30">
        <f t="shared" si="84"/>
        <v>1000</v>
      </c>
      <c r="M948" s="30">
        <f t="shared" si="84"/>
        <v>3301.4</v>
      </c>
      <c r="N948" s="30">
        <f>ROUND('Смета ЕР (общ) '!$I948*'Смета ЕР (общ) '!$L948,2)</f>
        <v>0</v>
      </c>
      <c r="O948" s="30">
        <f>ROUND('Смета ЕР (общ) '!$I948*'Смета ЕР (общ) '!$M948,2)</f>
        <v>0</v>
      </c>
      <c r="P948" s="45"/>
    </row>
    <row r="949" spans="1:16" ht="14.4" hidden="1" x14ac:dyDescent="0.3">
      <c r="A949" s="26" t="s">
        <v>965</v>
      </c>
      <c r="B949" s="26">
        <v>1</v>
      </c>
      <c r="C949" s="26"/>
      <c r="D949" s="26">
        <f t="shared" si="86"/>
        <v>54</v>
      </c>
      <c r="E949" s="26" t="str">
        <f>CONCATENATE('Смета ЕР (общ) '!$A949,".",'Смета ЕР (общ) '!$B949,".",'Смета ЕР (общ) '!$D949)</f>
        <v>Р7.1.54</v>
      </c>
      <c r="F949" s="26">
        <f t="shared" si="85"/>
        <v>1</v>
      </c>
      <c r="G949" s="41" t="s">
        <v>1023</v>
      </c>
      <c r="H949" s="28" t="s">
        <v>118</v>
      </c>
      <c r="I949" s="158"/>
      <c r="J949" s="30">
        <v>1000</v>
      </c>
      <c r="K949" s="30">
        <v>3707</v>
      </c>
      <c r="L949" s="30">
        <f t="shared" si="84"/>
        <v>1000</v>
      </c>
      <c r="M949" s="30">
        <f t="shared" si="84"/>
        <v>3707</v>
      </c>
      <c r="N949" s="30">
        <f>ROUND('Смета ЕР (общ) '!$I949*'Смета ЕР (общ) '!$L949,2)</f>
        <v>0</v>
      </c>
      <c r="O949" s="30">
        <f>ROUND('Смета ЕР (общ) '!$I949*'Смета ЕР (общ) '!$M949,2)</f>
        <v>0</v>
      </c>
      <c r="P949" s="45"/>
    </row>
    <row r="950" spans="1:16" ht="14.4" hidden="1" x14ac:dyDescent="0.3">
      <c r="A950" s="26" t="s">
        <v>965</v>
      </c>
      <c r="B950" s="26">
        <v>1</v>
      </c>
      <c r="C950" s="26"/>
      <c r="D950" s="26">
        <f t="shared" si="86"/>
        <v>55</v>
      </c>
      <c r="E950" s="26" t="str">
        <f>CONCATENATE('Смета ЕР (общ) '!$A950,".",'Смета ЕР (общ) '!$B950,".",'Смета ЕР (общ) '!$D950)</f>
        <v>Р7.1.55</v>
      </c>
      <c r="F950" s="26">
        <f t="shared" si="85"/>
        <v>1</v>
      </c>
      <c r="G950" s="41" t="s">
        <v>1024</v>
      </c>
      <c r="H950" s="28" t="s">
        <v>118</v>
      </c>
      <c r="I950" s="158"/>
      <c r="J950" s="30">
        <v>1000</v>
      </c>
      <c r="K950" s="30">
        <v>4100</v>
      </c>
      <c r="L950" s="30">
        <f t="shared" si="84"/>
        <v>1000</v>
      </c>
      <c r="M950" s="30">
        <f t="shared" si="84"/>
        <v>4100</v>
      </c>
      <c r="N950" s="30">
        <f>ROUND('Смета ЕР (общ) '!$I950*'Смета ЕР (общ) '!$L950,2)</f>
        <v>0</v>
      </c>
      <c r="O950" s="30">
        <f>ROUND('Смета ЕР (общ) '!$I950*'Смета ЕР (общ) '!$M950,2)</f>
        <v>0</v>
      </c>
      <c r="P950" s="45"/>
    </row>
    <row r="951" spans="1:16" ht="14.4" hidden="1" x14ac:dyDescent="0.3">
      <c r="A951" s="26" t="s">
        <v>965</v>
      </c>
      <c r="B951" s="26">
        <v>1</v>
      </c>
      <c r="C951" s="26"/>
      <c r="D951" s="26">
        <f t="shared" si="86"/>
        <v>56</v>
      </c>
      <c r="E951" s="26" t="str">
        <f>CONCATENATE('Смета ЕР (общ) '!$A951,".",'Смета ЕР (общ) '!$B951,".",'Смета ЕР (общ) '!$D951)</f>
        <v>Р7.1.56</v>
      </c>
      <c r="F951" s="26">
        <f t="shared" si="85"/>
        <v>1</v>
      </c>
      <c r="G951" s="41" t="s">
        <v>1025</v>
      </c>
      <c r="H951" s="28" t="s">
        <v>118</v>
      </c>
      <c r="I951" s="158"/>
      <c r="J951" s="30">
        <v>1000</v>
      </c>
      <c r="K951" s="30">
        <v>3607.03</v>
      </c>
      <c r="L951" s="30">
        <f t="shared" si="84"/>
        <v>1000</v>
      </c>
      <c r="M951" s="30">
        <f t="shared" si="84"/>
        <v>3607.03</v>
      </c>
      <c r="N951" s="30">
        <f>ROUND('Смета ЕР (общ) '!$I951*'Смета ЕР (общ) '!$L951,2)</f>
        <v>0</v>
      </c>
      <c r="O951" s="30">
        <f>ROUND('Смета ЕР (общ) '!$I951*'Смета ЕР (общ) '!$M951,2)</f>
        <v>0</v>
      </c>
      <c r="P951" s="45"/>
    </row>
    <row r="952" spans="1:16" ht="14.4" hidden="1" x14ac:dyDescent="0.3">
      <c r="A952" s="26" t="s">
        <v>965</v>
      </c>
      <c r="B952" s="26">
        <v>1</v>
      </c>
      <c r="C952" s="26"/>
      <c r="D952" s="26">
        <f t="shared" si="86"/>
        <v>57</v>
      </c>
      <c r="E952" s="26" t="str">
        <f>CONCATENATE('Смета ЕР (общ) '!$A952,".",'Смета ЕР (общ) '!$B952,".",'Смета ЕР (общ) '!$D952)</f>
        <v>Р7.1.57</v>
      </c>
      <c r="F952" s="26">
        <f t="shared" si="85"/>
        <v>1</v>
      </c>
      <c r="G952" s="41" t="s">
        <v>1026</v>
      </c>
      <c r="H952" s="28" t="s">
        <v>118</v>
      </c>
      <c r="I952" s="158"/>
      <c r="J952" s="30">
        <v>1000</v>
      </c>
      <c r="K952" s="30">
        <v>3695.62</v>
      </c>
      <c r="L952" s="30">
        <f t="shared" si="84"/>
        <v>1000</v>
      </c>
      <c r="M952" s="30">
        <f t="shared" si="84"/>
        <v>3695.62</v>
      </c>
      <c r="N952" s="30">
        <f>ROUND('Смета ЕР (общ) '!$I952*'Смета ЕР (общ) '!$L952,2)</f>
        <v>0</v>
      </c>
      <c r="O952" s="30">
        <f>ROUND('Смета ЕР (общ) '!$I952*'Смета ЕР (общ) '!$M952,2)</f>
        <v>0</v>
      </c>
      <c r="P952" s="45"/>
    </row>
    <row r="953" spans="1:16" ht="14.4" hidden="1" x14ac:dyDescent="0.3">
      <c r="A953" s="26" t="s">
        <v>965</v>
      </c>
      <c r="B953" s="26">
        <v>1</v>
      </c>
      <c r="C953" s="26"/>
      <c r="D953" s="26">
        <f t="shared" si="86"/>
        <v>58</v>
      </c>
      <c r="E953" s="26" t="str">
        <f>CONCATENATE('Смета ЕР (общ) '!$A953,".",'Смета ЕР (общ) '!$B953,".",'Смета ЕР (общ) '!$D953)</f>
        <v>Р7.1.58</v>
      </c>
      <c r="F953" s="26">
        <f t="shared" si="85"/>
        <v>1</v>
      </c>
      <c r="G953" s="41" t="s">
        <v>1027</v>
      </c>
      <c r="H953" s="28" t="s">
        <v>118</v>
      </c>
      <c r="I953" s="158"/>
      <c r="J953" s="30">
        <v>1000</v>
      </c>
      <c r="K953" s="30">
        <v>3948.13</v>
      </c>
      <c r="L953" s="30">
        <f t="shared" ref="L953:M984" si="87">ROUND(J953-J953*$Q$3,2)</f>
        <v>1000</v>
      </c>
      <c r="M953" s="30">
        <f t="shared" si="87"/>
        <v>3948.13</v>
      </c>
      <c r="N953" s="30">
        <f>ROUND('Смета ЕР (общ) '!$I953*'Смета ЕР (общ) '!$L953,2)</f>
        <v>0</v>
      </c>
      <c r="O953" s="30">
        <f>ROUND('Смета ЕР (общ) '!$I953*'Смета ЕР (общ) '!$M953,2)</f>
        <v>0</v>
      </c>
      <c r="P953" s="45"/>
    </row>
    <row r="954" spans="1:16" ht="14.4" hidden="1" x14ac:dyDescent="0.3">
      <c r="A954" s="26" t="s">
        <v>965</v>
      </c>
      <c r="B954" s="26">
        <v>1</v>
      </c>
      <c r="C954" s="26"/>
      <c r="D954" s="26">
        <f t="shared" si="86"/>
        <v>59</v>
      </c>
      <c r="E954" s="26" t="str">
        <f>CONCATENATE('Смета ЕР (общ) '!$A954,".",'Смета ЕР (общ) '!$B954,".",'Смета ЕР (общ) '!$D954)</f>
        <v>Р7.1.59</v>
      </c>
      <c r="F954" s="26">
        <f t="shared" si="85"/>
        <v>1</v>
      </c>
      <c r="G954" s="41" t="s">
        <v>1028</v>
      </c>
      <c r="H954" s="28" t="s">
        <v>118</v>
      </c>
      <c r="I954" s="158"/>
      <c r="J954" s="30">
        <v>1000</v>
      </c>
      <c r="K954" s="30">
        <v>4474.09</v>
      </c>
      <c r="L954" s="30">
        <f t="shared" si="87"/>
        <v>1000</v>
      </c>
      <c r="M954" s="30">
        <f t="shared" si="87"/>
        <v>4474.09</v>
      </c>
      <c r="N954" s="30">
        <f>ROUND('Смета ЕР (общ) '!$I954*'Смета ЕР (общ) '!$L954,2)</f>
        <v>0</v>
      </c>
      <c r="O954" s="30">
        <f>ROUND('Смета ЕР (общ) '!$I954*'Смета ЕР (общ) '!$M954,2)</f>
        <v>0</v>
      </c>
      <c r="P954" s="45"/>
    </row>
    <row r="955" spans="1:16" ht="14.4" hidden="1" x14ac:dyDescent="0.3">
      <c r="A955" s="26" t="s">
        <v>965</v>
      </c>
      <c r="B955" s="26">
        <v>1</v>
      </c>
      <c r="C955" s="26"/>
      <c r="D955" s="26">
        <f t="shared" si="86"/>
        <v>60</v>
      </c>
      <c r="E955" s="26" t="str">
        <f>CONCATENATE('Смета ЕР (общ) '!$A955,".",'Смета ЕР (общ) '!$B955,".",'Смета ЕР (общ) '!$D955)</f>
        <v>Р7.1.60</v>
      </c>
      <c r="F955" s="26">
        <f t="shared" si="85"/>
        <v>1</v>
      </c>
      <c r="G955" s="41" t="s">
        <v>1029</v>
      </c>
      <c r="H955" s="28" t="s">
        <v>118</v>
      </c>
      <c r="I955" s="158"/>
      <c r="J955" s="30">
        <v>1000</v>
      </c>
      <c r="K955" s="30">
        <v>4979.46</v>
      </c>
      <c r="L955" s="30">
        <f t="shared" si="87"/>
        <v>1000</v>
      </c>
      <c r="M955" s="30">
        <f t="shared" si="87"/>
        <v>4979.46</v>
      </c>
      <c r="N955" s="30">
        <f>ROUND('Смета ЕР (общ) '!$I955*'Смета ЕР (общ) '!$L955,2)</f>
        <v>0</v>
      </c>
      <c r="O955" s="30">
        <f>ROUND('Смета ЕР (общ) '!$I955*'Смета ЕР (общ) '!$M955,2)</f>
        <v>0</v>
      </c>
      <c r="P955" s="45"/>
    </row>
    <row r="956" spans="1:16" ht="14.4" hidden="1" x14ac:dyDescent="0.3">
      <c r="A956" s="26" t="s">
        <v>965</v>
      </c>
      <c r="B956" s="26">
        <v>1</v>
      </c>
      <c r="C956" s="26"/>
      <c r="D956" s="26">
        <f t="shared" si="86"/>
        <v>61</v>
      </c>
      <c r="E956" s="26" t="str">
        <f>CONCATENATE('Смета ЕР (общ) '!$A956,".",'Смета ЕР (общ) '!$B956,".",'Смета ЕР (общ) '!$D956)</f>
        <v>Р7.1.61</v>
      </c>
      <c r="F956" s="26">
        <f t="shared" si="85"/>
        <v>1</v>
      </c>
      <c r="G956" s="41" t="s">
        <v>1030</v>
      </c>
      <c r="H956" s="28" t="s">
        <v>118</v>
      </c>
      <c r="I956" s="158"/>
      <c r="J956" s="30">
        <v>1000</v>
      </c>
      <c r="K956" s="30">
        <v>5400.3</v>
      </c>
      <c r="L956" s="30">
        <f t="shared" si="87"/>
        <v>1000</v>
      </c>
      <c r="M956" s="30">
        <f t="shared" si="87"/>
        <v>5400.3</v>
      </c>
      <c r="N956" s="30">
        <f>ROUND('Смета ЕР (общ) '!$I956*'Смета ЕР (общ) '!$L956,2)</f>
        <v>0</v>
      </c>
      <c r="O956" s="30">
        <f>ROUND('Смета ЕР (общ) '!$I956*'Смета ЕР (общ) '!$M956,2)</f>
        <v>0</v>
      </c>
      <c r="P956" s="45"/>
    </row>
    <row r="957" spans="1:16" ht="14.4" hidden="1" x14ac:dyDescent="0.3">
      <c r="A957" s="26" t="s">
        <v>965</v>
      </c>
      <c r="B957" s="26">
        <v>1</v>
      </c>
      <c r="C957" s="26"/>
      <c r="D957" s="26">
        <f t="shared" si="86"/>
        <v>62</v>
      </c>
      <c r="E957" s="26" t="str">
        <f>CONCATENATE('Смета ЕР (общ) '!$A957,".",'Смета ЕР (общ) '!$B957,".",'Смета ЕР (общ) '!$D957)</f>
        <v>Р7.1.62</v>
      </c>
      <c r="F957" s="26">
        <f t="shared" si="85"/>
        <v>1</v>
      </c>
      <c r="G957" s="41" t="s">
        <v>1031</v>
      </c>
      <c r="H957" s="28" t="s">
        <v>118</v>
      </c>
      <c r="I957" s="158"/>
      <c r="J957" s="30">
        <v>1000</v>
      </c>
      <c r="K957" s="30">
        <v>8241.1200000000008</v>
      </c>
      <c r="L957" s="30">
        <f t="shared" si="87"/>
        <v>1000</v>
      </c>
      <c r="M957" s="30">
        <f t="shared" si="87"/>
        <v>8241.1200000000008</v>
      </c>
      <c r="N957" s="30">
        <f>ROUND('Смета ЕР (общ) '!$I957*'Смета ЕР (общ) '!$L957,2)</f>
        <v>0</v>
      </c>
      <c r="O957" s="30">
        <f>ROUND('Смета ЕР (общ) '!$I957*'Смета ЕР (общ) '!$M957,2)</f>
        <v>0</v>
      </c>
      <c r="P957" s="45"/>
    </row>
    <row r="958" spans="1:16" ht="14.4" hidden="1" x14ac:dyDescent="0.3">
      <c r="A958" s="26" t="s">
        <v>965</v>
      </c>
      <c r="B958" s="26">
        <v>1</v>
      </c>
      <c r="C958" s="26"/>
      <c r="D958" s="26">
        <f t="shared" si="86"/>
        <v>63</v>
      </c>
      <c r="E958" s="26" t="str">
        <f>CONCATENATE('Смета ЕР (общ) '!$A958,".",'Смета ЕР (общ) '!$B958,".",'Смета ЕР (общ) '!$D958)</f>
        <v>Р7.1.63</v>
      </c>
      <c r="F958" s="26">
        <f t="shared" si="85"/>
        <v>1</v>
      </c>
      <c r="G958" s="41" t="s">
        <v>1032</v>
      </c>
      <c r="H958" s="28" t="s">
        <v>118</v>
      </c>
      <c r="I958" s="158"/>
      <c r="J958" s="30">
        <v>1000</v>
      </c>
      <c r="K958" s="30">
        <v>11375.71</v>
      </c>
      <c r="L958" s="30">
        <f t="shared" si="87"/>
        <v>1000</v>
      </c>
      <c r="M958" s="30">
        <f t="shared" si="87"/>
        <v>11375.71</v>
      </c>
      <c r="N958" s="30">
        <f>ROUND('Смета ЕР (общ) '!$I958*'Смета ЕР (общ) '!$L958,2)</f>
        <v>0</v>
      </c>
      <c r="O958" s="30">
        <f>ROUND('Смета ЕР (общ) '!$I958*'Смета ЕР (общ) '!$M958,2)</f>
        <v>0</v>
      </c>
      <c r="P958" s="45"/>
    </row>
    <row r="959" spans="1:16" ht="14.4" hidden="1" x14ac:dyDescent="0.3">
      <c r="A959" s="26" t="s">
        <v>965</v>
      </c>
      <c r="B959" s="26">
        <v>1</v>
      </c>
      <c r="C959" s="26"/>
      <c r="D959" s="26">
        <f t="shared" si="86"/>
        <v>64</v>
      </c>
      <c r="E959" s="26" t="str">
        <f>CONCATENATE('Смета ЕР (общ) '!$A959,".",'Смета ЕР (общ) '!$B959,".",'Смета ЕР (общ) '!$D959)</f>
        <v>Р7.1.64</v>
      </c>
      <c r="F959" s="26">
        <f t="shared" si="85"/>
        <v>1</v>
      </c>
      <c r="G959" s="41" t="s">
        <v>1033</v>
      </c>
      <c r="H959" s="28" t="s">
        <v>118</v>
      </c>
      <c r="I959" s="158"/>
      <c r="J959" s="30">
        <v>1000</v>
      </c>
      <c r="K959" s="30">
        <v>8433.07</v>
      </c>
      <c r="L959" s="30">
        <f t="shared" si="87"/>
        <v>1000</v>
      </c>
      <c r="M959" s="30">
        <f t="shared" si="87"/>
        <v>8433.07</v>
      </c>
      <c r="N959" s="30">
        <f>ROUND('Смета ЕР (общ) '!$I959*'Смета ЕР (общ) '!$L959,2)</f>
        <v>0</v>
      </c>
      <c r="O959" s="30">
        <f>ROUND('Смета ЕР (общ) '!$I959*'Смета ЕР (общ) '!$M959,2)</f>
        <v>0</v>
      </c>
      <c r="P959" s="45"/>
    </row>
    <row r="960" spans="1:16" ht="14.4" hidden="1" x14ac:dyDescent="0.3">
      <c r="A960" s="26" t="s">
        <v>965</v>
      </c>
      <c r="B960" s="26">
        <v>1</v>
      </c>
      <c r="C960" s="26"/>
      <c r="D960" s="26">
        <f t="shared" si="86"/>
        <v>65</v>
      </c>
      <c r="E960" s="26" t="str">
        <f>CONCATENATE('Смета ЕР (общ) '!$A960,".",'Смета ЕР (общ) '!$B960,".",'Смета ЕР (общ) '!$D960)</f>
        <v>Р7.1.65</v>
      </c>
      <c r="F960" s="26">
        <f t="shared" si="85"/>
        <v>1</v>
      </c>
      <c r="G960" s="41" t="s">
        <v>1034</v>
      </c>
      <c r="H960" s="28" t="s">
        <v>118</v>
      </c>
      <c r="I960" s="158"/>
      <c r="J960" s="30">
        <v>1000</v>
      </c>
      <c r="K960" s="30">
        <v>10617.11</v>
      </c>
      <c r="L960" s="30">
        <f t="shared" si="87"/>
        <v>1000</v>
      </c>
      <c r="M960" s="30">
        <f t="shared" si="87"/>
        <v>10617.11</v>
      </c>
      <c r="N960" s="30">
        <f>ROUND('Смета ЕР (общ) '!$I960*'Смета ЕР (общ) '!$L960,2)</f>
        <v>0</v>
      </c>
      <c r="O960" s="30">
        <f>ROUND('Смета ЕР (общ) '!$I960*'Смета ЕР (общ) '!$M960,2)</f>
        <v>0</v>
      </c>
      <c r="P960" s="45"/>
    </row>
    <row r="961" spans="1:16" ht="14.4" hidden="1" x14ac:dyDescent="0.3">
      <c r="A961" s="26" t="s">
        <v>965</v>
      </c>
      <c r="B961" s="26">
        <v>1</v>
      </c>
      <c r="C961" s="26"/>
      <c r="D961" s="26">
        <f t="shared" si="86"/>
        <v>66</v>
      </c>
      <c r="E961" s="26" t="str">
        <f>CONCATENATE('Смета ЕР (общ) '!$A961,".",'Смета ЕР (общ) '!$B961,".",'Смета ЕР (общ) '!$D961)</f>
        <v>Р7.1.66</v>
      </c>
      <c r="F961" s="26">
        <f t="shared" si="85"/>
        <v>1</v>
      </c>
      <c r="G961" s="41" t="s">
        <v>1035</v>
      </c>
      <c r="H961" s="28" t="s">
        <v>118</v>
      </c>
      <c r="I961" s="158"/>
      <c r="J961" s="30">
        <v>1000</v>
      </c>
      <c r="K961" s="30">
        <v>25101.3</v>
      </c>
      <c r="L961" s="30">
        <f t="shared" si="87"/>
        <v>1000</v>
      </c>
      <c r="M961" s="30">
        <f t="shared" si="87"/>
        <v>25101.3</v>
      </c>
      <c r="N961" s="30">
        <f>ROUND('Смета ЕР (общ) '!$I961*'Смета ЕР (общ) '!$L961,2)</f>
        <v>0</v>
      </c>
      <c r="O961" s="30">
        <f>ROUND('Смета ЕР (общ) '!$I961*'Смета ЕР (общ) '!$M961,2)</f>
        <v>0</v>
      </c>
      <c r="P961" s="45"/>
    </row>
    <row r="962" spans="1:16" ht="14.4" hidden="1" x14ac:dyDescent="0.3">
      <c r="A962" s="26" t="s">
        <v>965</v>
      </c>
      <c r="B962" s="26">
        <v>1</v>
      </c>
      <c r="C962" s="26"/>
      <c r="D962" s="26">
        <f t="shared" si="86"/>
        <v>67</v>
      </c>
      <c r="E962" s="26" t="str">
        <f>CONCATENATE('Смета ЕР (общ) '!$A962,".",'Смета ЕР (общ) '!$B962,".",'Смета ЕР (общ) '!$D962)</f>
        <v>Р7.1.67</v>
      </c>
      <c r="F962" s="26">
        <f t="shared" si="85"/>
        <v>1</v>
      </c>
      <c r="G962" s="41" t="s">
        <v>1036</v>
      </c>
      <c r="H962" s="28" t="s">
        <v>118</v>
      </c>
      <c r="I962" s="158"/>
      <c r="J962" s="30">
        <v>1000</v>
      </c>
      <c r="K962" s="30">
        <v>14512.72</v>
      </c>
      <c r="L962" s="30">
        <f t="shared" si="87"/>
        <v>1000</v>
      </c>
      <c r="M962" s="30">
        <f t="shared" si="87"/>
        <v>14512.72</v>
      </c>
      <c r="N962" s="30">
        <f>ROUND('Смета ЕР (общ) '!$I962*'Смета ЕР (общ) '!$L962,2)</f>
        <v>0</v>
      </c>
      <c r="O962" s="30">
        <f>ROUND('Смета ЕР (общ) '!$I962*'Смета ЕР (общ) '!$M962,2)</f>
        <v>0</v>
      </c>
      <c r="P962" s="45"/>
    </row>
    <row r="963" spans="1:16" ht="14.4" hidden="1" x14ac:dyDescent="0.3">
      <c r="A963" s="26" t="s">
        <v>965</v>
      </c>
      <c r="B963" s="26">
        <v>1</v>
      </c>
      <c r="C963" s="26"/>
      <c r="D963" s="26">
        <f t="shared" si="86"/>
        <v>68</v>
      </c>
      <c r="E963" s="26" t="str">
        <f>CONCATENATE('Смета ЕР (общ) '!$A963,".",'Смета ЕР (общ) '!$B963,".",'Смета ЕР (общ) '!$D963)</f>
        <v>Р7.1.68</v>
      </c>
      <c r="F963" s="26">
        <f t="shared" si="85"/>
        <v>1</v>
      </c>
      <c r="G963" s="41" t="s">
        <v>1037</v>
      </c>
      <c r="H963" s="28" t="s">
        <v>118</v>
      </c>
      <c r="I963" s="158"/>
      <c r="J963" s="30">
        <v>1000</v>
      </c>
      <c r="K963" s="30">
        <v>29877.5</v>
      </c>
      <c r="L963" s="30">
        <f t="shared" si="87"/>
        <v>1000</v>
      </c>
      <c r="M963" s="30">
        <f t="shared" si="87"/>
        <v>29877.5</v>
      </c>
      <c r="N963" s="30">
        <f>ROUND('Смета ЕР (общ) '!$I963*'Смета ЕР (общ) '!$L963,2)</f>
        <v>0</v>
      </c>
      <c r="O963" s="30">
        <f>ROUND('Смета ЕР (общ) '!$I963*'Смета ЕР (общ) '!$M963,2)</f>
        <v>0</v>
      </c>
      <c r="P963" s="45"/>
    </row>
    <row r="964" spans="1:16" ht="14.4" hidden="1" x14ac:dyDescent="0.3">
      <c r="A964" s="26" t="s">
        <v>965</v>
      </c>
      <c r="B964" s="26">
        <v>1</v>
      </c>
      <c r="C964" s="26"/>
      <c r="D964" s="26">
        <f t="shared" si="86"/>
        <v>69</v>
      </c>
      <c r="E964" s="26" t="str">
        <f>CONCATENATE('Смета ЕР (общ) '!$A964,".",'Смета ЕР (общ) '!$B964,".",'Смета ЕР (общ) '!$D964)</f>
        <v>Р7.1.69</v>
      </c>
      <c r="F964" s="26">
        <f t="shared" si="85"/>
        <v>1</v>
      </c>
      <c r="G964" s="41" t="s">
        <v>1038</v>
      </c>
      <c r="H964" s="28" t="s">
        <v>118</v>
      </c>
      <c r="I964" s="158"/>
      <c r="J964" s="30">
        <v>1000</v>
      </c>
      <c r="K964" s="30">
        <v>30713.3</v>
      </c>
      <c r="L964" s="30">
        <f t="shared" si="87"/>
        <v>1000</v>
      </c>
      <c r="M964" s="30">
        <f t="shared" si="87"/>
        <v>30713.3</v>
      </c>
      <c r="N964" s="30">
        <f>ROUND('Смета ЕР (общ) '!$I964*'Смета ЕР (общ) '!$L964,2)</f>
        <v>0</v>
      </c>
      <c r="O964" s="30">
        <f>ROUND('Смета ЕР (общ) '!$I964*'Смета ЕР (общ) '!$M964,2)</f>
        <v>0</v>
      </c>
      <c r="P964" s="45"/>
    </row>
    <row r="965" spans="1:16" ht="14.4" hidden="1" x14ac:dyDescent="0.3">
      <c r="A965" s="26" t="s">
        <v>965</v>
      </c>
      <c r="B965" s="26">
        <v>1</v>
      </c>
      <c r="C965" s="26"/>
      <c r="D965" s="26">
        <f t="shared" si="86"/>
        <v>70</v>
      </c>
      <c r="E965" s="26" t="str">
        <f>CONCATENATE('Смета ЕР (общ) '!$A965,".",'Смета ЕР (общ) '!$B965,".",'Смета ЕР (общ) '!$D965)</f>
        <v>Р7.1.70</v>
      </c>
      <c r="F965" s="26">
        <f t="shared" si="85"/>
        <v>1</v>
      </c>
      <c r="G965" s="41" t="s">
        <v>1039</v>
      </c>
      <c r="H965" s="28" t="s">
        <v>118</v>
      </c>
      <c r="I965" s="158"/>
      <c r="J965" s="30">
        <v>1000</v>
      </c>
      <c r="K965" s="30">
        <v>33598.68</v>
      </c>
      <c r="L965" s="30">
        <f t="shared" si="87"/>
        <v>1000</v>
      </c>
      <c r="M965" s="30">
        <f t="shared" si="87"/>
        <v>33598.68</v>
      </c>
      <c r="N965" s="30">
        <f>ROUND('Смета ЕР (общ) '!$I965*'Смета ЕР (общ) '!$L965,2)</f>
        <v>0</v>
      </c>
      <c r="O965" s="30">
        <f>ROUND('Смета ЕР (общ) '!$I965*'Смета ЕР (общ) '!$M965,2)</f>
        <v>0</v>
      </c>
      <c r="P965" s="45"/>
    </row>
    <row r="966" spans="1:16" ht="14.4" hidden="1" x14ac:dyDescent="0.3">
      <c r="A966" s="26" t="s">
        <v>965</v>
      </c>
      <c r="B966" s="26">
        <v>1</v>
      </c>
      <c r="C966" s="26"/>
      <c r="D966" s="26">
        <f t="shared" si="86"/>
        <v>71</v>
      </c>
      <c r="E966" s="26" t="str">
        <f>CONCATENATE('Смета ЕР (общ) '!$A966,".",'Смета ЕР (общ) '!$B966,".",'Смета ЕР (общ) '!$D966)</f>
        <v>Р7.1.71</v>
      </c>
      <c r="F966" s="26">
        <f t="shared" si="85"/>
        <v>1</v>
      </c>
      <c r="G966" s="41" t="s">
        <v>1040</v>
      </c>
      <c r="H966" s="28" t="s">
        <v>118</v>
      </c>
      <c r="I966" s="158"/>
      <c r="J966" s="30">
        <v>1000</v>
      </c>
      <c r="K966" s="30">
        <v>34434.480000000003</v>
      </c>
      <c r="L966" s="30">
        <f t="shared" si="87"/>
        <v>1000</v>
      </c>
      <c r="M966" s="30">
        <f t="shared" si="87"/>
        <v>34434.480000000003</v>
      </c>
      <c r="N966" s="30">
        <f>ROUND('Смета ЕР (общ) '!$I966*'Смета ЕР (общ) '!$L966,2)</f>
        <v>0</v>
      </c>
      <c r="O966" s="30">
        <f>ROUND('Смета ЕР (общ) '!$I966*'Смета ЕР (общ) '!$M966,2)</f>
        <v>0</v>
      </c>
      <c r="P966" s="45"/>
    </row>
    <row r="967" spans="1:16" ht="14.4" hidden="1" x14ac:dyDescent="0.3">
      <c r="A967" s="26" t="s">
        <v>965</v>
      </c>
      <c r="B967" s="26">
        <v>1</v>
      </c>
      <c r="C967" s="26"/>
      <c r="D967" s="26">
        <f t="shared" si="86"/>
        <v>72</v>
      </c>
      <c r="E967" s="26" t="str">
        <f>CONCATENATE('Смета ЕР (общ) '!$A967,".",'Смета ЕР (общ) '!$B967,".",'Смета ЕР (общ) '!$D967)</f>
        <v>Р7.1.72</v>
      </c>
      <c r="F967" s="26">
        <f t="shared" si="85"/>
        <v>1</v>
      </c>
      <c r="G967" s="27" t="s">
        <v>1041</v>
      </c>
      <c r="H967" s="28" t="s">
        <v>118</v>
      </c>
      <c r="I967" s="158"/>
      <c r="J967" s="30">
        <v>1000</v>
      </c>
      <c r="K967" s="30">
        <v>23200</v>
      </c>
      <c r="L967" s="30">
        <f t="shared" si="87"/>
        <v>1000</v>
      </c>
      <c r="M967" s="30">
        <f t="shared" si="87"/>
        <v>23200</v>
      </c>
      <c r="N967" s="30">
        <f>ROUND('Смета ЕР (общ) '!$I967*'Смета ЕР (общ) '!$L967,2)</f>
        <v>0</v>
      </c>
      <c r="O967" s="30">
        <f>ROUND('Смета ЕР (общ) '!$I967*'Смета ЕР (общ) '!$M967,2)</f>
        <v>0</v>
      </c>
      <c r="P967" s="45"/>
    </row>
    <row r="968" spans="1:16" ht="14.4" hidden="1" x14ac:dyDescent="0.3">
      <c r="A968" s="26" t="s">
        <v>965</v>
      </c>
      <c r="B968" s="26">
        <v>1</v>
      </c>
      <c r="C968" s="26"/>
      <c r="D968" s="26">
        <f t="shared" si="86"/>
        <v>73</v>
      </c>
      <c r="E968" s="26" t="str">
        <f>CONCATENATE('Смета ЕР (общ) '!$A968,".",'Смета ЕР (общ) '!$B968,".",'Смета ЕР (общ) '!$D968)</f>
        <v>Р7.1.73</v>
      </c>
      <c r="F968" s="26">
        <f t="shared" si="85"/>
        <v>1</v>
      </c>
      <c r="G968" s="27" t="s">
        <v>1042</v>
      </c>
      <c r="H968" s="28" t="s">
        <v>118</v>
      </c>
      <c r="I968" s="158"/>
      <c r="J968" s="30">
        <v>1000</v>
      </c>
      <c r="K968" s="30">
        <v>16800</v>
      </c>
      <c r="L968" s="30">
        <f t="shared" si="87"/>
        <v>1000</v>
      </c>
      <c r="M968" s="30">
        <f t="shared" si="87"/>
        <v>16800</v>
      </c>
      <c r="N968" s="30">
        <f>ROUND('Смета ЕР (общ) '!$I968*'Смета ЕР (общ) '!$L968,2)</f>
        <v>0</v>
      </c>
      <c r="O968" s="30">
        <f>ROUND('Смета ЕР (общ) '!$I968*'Смета ЕР (общ) '!$M968,2)</f>
        <v>0</v>
      </c>
      <c r="P968" s="45"/>
    </row>
    <row r="969" spans="1:16" ht="14.4" hidden="1" x14ac:dyDescent="0.3">
      <c r="A969" s="26" t="s">
        <v>965</v>
      </c>
      <c r="B969" s="26">
        <v>1</v>
      </c>
      <c r="C969" s="26"/>
      <c r="D969" s="26">
        <f t="shared" si="86"/>
        <v>74</v>
      </c>
      <c r="E969" s="26" t="str">
        <f>CONCATENATE('Смета ЕР (общ) '!$A969,".",'Смета ЕР (общ) '!$B969,".",'Смета ЕР (общ) '!$D969)</f>
        <v>Р7.1.74</v>
      </c>
      <c r="F969" s="26">
        <f t="shared" si="85"/>
        <v>1</v>
      </c>
      <c r="G969" s="27" t="s">
        <v>1043</v>
      </c>
      <c r="H969" s="28" t="s">
        <v>118</v>
      </c>
      <c r="I969" s="158"/>
      <c r="J969" s="30">
        <v>1000</v>
      </c>
      <c r="K969" s="30">
        <v>14440</v>
      </c>
      <c r="L969" s="30">
        <f t="shared" si="87"/>
        <v>1000</v>
      </c>
      <c r="M969" s="30">
        <f t="shared" si="87"/>
        <v>14440</v>
      </c>
      <c r="N969" s="30">
        <f>ROUND('Смета ЕР (общ) '!$I969*'Смета ЕР (общ) '!$L969,2)</f>
        <v>0</v>
      </c>
      <c r="O969" s="30">
        <f>ROUND('Смета ЕР (общ) '!$I969*'Смета ЕР (общ) '!$M969,2)</f>
        <v>0</v>
      </c>
      <c r="P969" s="45"/>
    </row>
    <row r="970" spans="1:16" ht="14.4" hidden="1" x14ac:dyDescent="0.3">
      <c r="A970" s="26" t="s">
        <v>965</v>
      </c>
      <c r="B970" s="26">
        <v>1</v>
      </c>
      <c r="C970" s="26"/>
      <c r="D970" s="26">
        <f t="shared" si="86"/>
        <v>75</v>
      </c>
      <c r="E970" s="26" t="str">
        <f>CONCATENATE('Смета ЕР (общ) '!$A970,".",'Смета ЕР (общ) '!$B970,".",'Смета ЕР (общ) '!$D970)</f>
        <v>Р7.1.75</v>
      </c>
      <c r="F970" s="26">
        <f t="shared" si="85"/>
        <v>1</v>
      </c>
      <c r="G970" s="27" t="s">
        <v>1044</v>
      </c>
      <c r="H970" s="28" t="s">
        <v>118</v>
      </c>
      <c r="I970" s="158"/>
      <c r="J970" s="30">
        <v>1000</v>
      </c>
      <c r="K970" s="30">
        <v>7500</v>
      </c>
      <c r="L970" s="30">
        <f t="shared" si="87"/>
        <v>1000</v>
      </c>
      <c r="M970" s="30">
        <f t="shared" si="87"/>
        <v>7500</v>
      </c>
      <c r="N970" s="30">
        <f>ROUND('Смета ЕР (общ) '!$I970*'Смета ЕР (общ) '!$L970,2)</f>
        <v>0</v>
      </c>
      <c r="O970" s="30">
        <f>ROUND('Смета ЕР (общ) '!$I970*'Смета ЕР (общ) '!$M970,2)</f>
        <v>0</v>
      </c>
      <c r="P970" s="45"/>
    </row>
    <row r="971" spans="1:16" ht="14.4" hidden="1" x14ac:dyDescent="0.3">
      <c r="A971" s="26" t="s">
        <v>965</v>
      </c>
      <c r="B971" s="26">
        <v>1</v>
      </c>
      <c r="C971" s="26"/>
      <c r="D971" s="26">
        <f t="shared" si="86"/>
        <v>76</v>
      </c>
      <c r="E971" s="26" t="str">
        <f>CONCATENATE('Смета ЕР (общ) '!$A971,".",'Смета ЕР (общ) '!$B971,".",'Смета ЕР (общ) '!$D971)</f>
        <v>Р7.1.76</v>
      </c>
      <c r="F971" s="26">
        <f t="shared" si="85"/>
        <v>1</v>
      </c>
      <c r="G971" s="27" t="s">
        <v>1045</v>
      </c>
      <c r="H971" s="28" t="s">
        <v>118</v>
      </c>
      <c r="I971" s="158"/>
      <c r="J971" s="30">
        <v>1000</v>
      </c>
      <c r="K971" s="30">
        <v>6500</v>
      </c>
      <c r="L971" s="30">
        <f t="shared" si="87"/>
        <v>1000</v>
      </c>
      <c r="M971" s="30">
        <f t="shared" si="87"/>
        <v>6500</v>
      </c>
      <c r="N971" s="30">
        <f>ROUND('Смета ЕР (общ) '!$I971*'Смета ЕР (общ) '!$L971,2)</f>
        <v>0</v>
      </c>
      <c r="O971" s="30">
        <f>ROUND('Смета ЕР (общ) '!$I971*'Смета ЕР (общ) '!$M971,2)</f>
        <v>0</v>
      </c>
      <c r="P971" s="45"/>
    </row>
    <row r="972" spans="1:16" ht="14.4" hidden="1" x14ac:dyDescent="0.3">
      <c r="A972" s="26" t="s">
        <v>965</v>
      </c>
      <c r="B972" s="26">
        <v>1</v>
      </c>
      <c r="C972" s="26"/>
      <c r="D972" s="26">
        <f t="shared" si="86"/>
        <v>77</v>
      </c>
      <c r="E972" s="26" t="str">
        <f>CONCATENATE('Смета ЕР (общ) '!$A972,".",'Смета ЕР (общ) '!$B972,".",'Смета ЕР (общ) '!$D972)</f>
        <v>Р7.1.77</v>
      </c>
      <c r="F972" s="26">
        <f t="shared" si="85"/>
        <v>1</v>
      </c>
      <c r="G972" s="27" t="s">
        <v>1046</v>
      </c>
      <c r="H972" s="28" t="s">
        <v>118</v>
      </c>
      <c r="I972" s="158"/>
      <c r="J972" s="30">
        <v>1000</v>
      </c>
      <c r="K972" s="30">
        <v>7550</v>
      </c>
      <c r="L972" s="30">
        <f t="shared" si="87"/>
        <v>1000</v>
      </c>
      <c r="M972" s="30">
        <f t="shared" si="87"/>
        <v>7550</v>
      </c>
      <c r="N972" s="30">
        <f>ROUND('Смета ЕР (общ) '!$I972*'Смета ЕР (общ) '!$L972,2)</f>
        <v>0</v>
      </c>
      <c r="O972" s="30">
        <f>ROUND('Смета ЕР (общ) '!$I972*'Смета ЕР (общ) '!$M972,2)</f>
        <v>0</v>
      </c>
      <c r="P972" s="45"/>
    </row>
    <row r="973" spans="1:16" ht="14.4" hidden="1" x14ac:dyDescent="0.3">
      <c r="A973" s="26" t="s">
        <v>965</v>
      </c>
      <c r="B973" s="26">
        <v>1</v>
      </c>
      <c r="C973" s="26"/>
      <c r="D973" s="26">
        <f t="shared" si="86"/>
        <v>78</v>
      </c>
      <c r="E973" s="26" t="str">
        <f>CONCATENATE('Смета ЕР (общ) '!$A973,".",'Смета ЕР (общ) '!$B973,".",'Смета ЕР (общ) '!$D973)</f>
        <v>Р7.1.78</v>
      </c>
      <c r="F973" s="26">
        <f t="shared" si="85"/>
        <v>1</v>
      </c>
      <c r="G973" s="27" t="s">
        <v>1047</v>
      </c>
      <c r="H973" s="28" t="s">
        <v>118</v>
      </c>
      <c r="I973" s="158"/>
      <c r="J973" s="30">
        <v>1000</v>
      </c>
      <c r="K973" s="30">
        <v>8400</v>
      </c>
      <c r="L973" s="30">
        <f t="shared" si="87"/>
        <v>1000</v>
      </c>
      <c r="M973" s="30">
        <f t="shared" si="87"/>
        <v>8400</v>
      </c>
      <c r="N973" s="30">
        <f>ROUND('Смета ЕР (общ) '!$I973*'Смета ЕР (общ) '!$L973,2)</f>
        <v>0</v>
      </c>
      <c r="O973" s="30">
        <f>ROUND('Смета ЕР (общ) '!$I973*'Смета ЕР (общ) '!$M973,2)</f>
        <v>0</v>
      </c>
      <c r="P973" s="45"/>
    </row>
    <row r="974" spans="1:16" ht="14.4" hidden="1" x14ac:dyDescent="0.3">
      <c r="A974" s="26" t="s">
        <v>965</v>
      </c>
      <c r="B974" s="26">
        <v>1</v>
      </c>
      <c r="C974" s="26"/>
      <c r="D974" s="26">
        <f t="shared" si="86"/>
        <v>79</v>
      </c>
      <c r="E974" s="26" t="str">
        <f>CONCATENATE('Смета ЕР (общ) '!$A974,".",'Смета ЕР (общ) '!$B974,".",'Смета ЕР (общ) '!$D974)</f>
        <v>Р7.1.79</v>
      </c>
      <c r="F974" s="26">
        <f t="shared" si="85"/>
        <v>1</v>
      </c>
      <c r="G974" s="41" t="s">
        <v>1048</v>
      </c>
      <c r="H974" s="28" t="s">
        <v>118</v>
      </c>
      <c r="I974" s="158"/>
      <c r="J974" s="30">
        <v>500</v>
      </c>
      <c r="K974" s="30">
        <v>1044.8599999999999</v>
      </c>
      <c r="L974" s="30">
        <f t="shared" si="87"/>
        <v>500</v>
      </c>
      <c r="M974" s="30">
        <f t="shared" si="87"/>
        <v>1044.8599999999999</v>
      </c>
      <c r="N974" s="30">
        <f>ROUND('Смета ЕР (общ) '!$I974*'Смета ЕР (общ) '!$L974,2)</f>
        <v>0</v>
      </c>
      <c r="O974" s="30">
        <f>ROUND('Смета ЕР (общ) '!$I974*'Смета ЕР (общ) '!$M974,2)</f>
        <v>0</v>
      </c>
      <c r="P974" s="45"/>
    </row>
    <row r="975" spans="1:16" ht="14.4" hidden="1" x14ac:dyDescent="0.3">
      <c r="A975" s="26" t="s">
        <v>965</v>
      </c>
      <c r="B975" s="26">
        <v>1</v>
      </c>
      <c r="C975" s="26"/>
      <c r="D975" s="26">
        <f t="shared" si="86"/>
        <v>80</v>
      </c>
      <c r="E975" s="26" t="str">
        <f>CONCATENATE('Смета ЕР (общ) '!$A975,".",'Смета ЕР (общ) '!$B975,".",'Смета ЕР (общ) '!$D975)</f>
        <v>Р7.1.80</v>
      </c>
      <c r="F975" s="26">
        <f t="shared" si="85"/>
        <v>1</v>
      </c>
      <c r="G975" s="27" t="s">
        <v>1049</v>
      </c>
      <c r="H975" s="28" t="s">
        <v>118</v>
      </c>
      <c r="I975" s="158"/>
      <c r="J975" s="30">
        <v>500</v>
      </c>
      <c r="K975" s="30">
        <v>1131.93</v>
      </c>
      <c r="L975" s="30">
        <f t="shared" si="87"/>
        <v>500</v>
      </c>
      <c r="M975" s="30">
        <f t="shared" si="87"/>
        <v>1131.93</v>
      </c>
      <c r="N975" s="30">
        <f>ROUND('Смета ЕР (общ) '!$I975*'Смета ЕР (общ) '!$L975,2)</f>
        <v>0</v>
      </c>
      <c r="O975" s="30">
        <f>ROUND('Смета ЕР (общ) '!$I975*'Смета ЕР (общ) '!$M975,2)</f>
        <v>0</v>
      </c>
      <c r="P975" s="45"/>
    </row>
    <row r="976" spans="1:16" ht="14.4" hidden="1" x14ac:dyDescent="0.3">
      <c r="A976" s="26" t="s">
        <v>965</v>
      </c>
      <c r="B976" s="26">
        <v>1</v>
      </c>
      <c r="C976" s="26"/>
      <c r="D976" s="26">
        <f t="shared" si="86"/>
        <v>81</v>
      </c>
      <c r="E976" s="26" t="str">
        <f>CONCATENATE('Смета ЕР (общ) '!$A976,".",'Смета ЕР (общ) '!$B976,".",'Смета ЕР (общ) '!$D976)</f>
        <v>Р7.1.81</v>
      </c>
      <c r="F976" s="26">
        <f t="shared" si="85"/>
        <v>1</v>
      </c>
      <c r="G976" s="27" t="s">
        <v>1050</v>
      </c>
      <c r="H976" s="28" t="s">
        <v>118</v>
      </c>
      <c r="I976" s="158"/>
      <c r="J976" s="30">
        <v>500</v>
      </c>
      <c r="K976" s="30">
        <v>1480.22</v>
      </c>
      <c r="L976" s="30">
        <f t="shared" si="87"/>
        <v>500</v>
      </c>
      <c r="M976" s="30">
        <f t="shared" si="87"/>
        <v>1480.22</v>
      </c>
      <c r="N976" s="30">
        <f>ROUND('Смета ЕР (общ) '!$I976*'Смета ЕР (общ) '!$L976,2)</f>
        <v>0</v>
      </c>
      <c r="O976" s="30">
        <f>ROUND('Смета ЕР (общ) '!$I976*'Смета ЕР (общ) '!$M976,2)</f>
        <v>0</v>
      </c>
      <c r="P976" s="45"/>
    </row>
    <row r="977" spans="1:16" ht="14.4" hidden="1" x14ac:dyDescent="0.3">
      <c r="A977" s="26" t="s">
        <v>965</v>
      </c>
      <c r="B977" s="26">
        <v>1</v>
      </c>
      <c r="C977" s="26"/>
      <c r="D977" s="26">
        <f t="shared" si="86"/>
        <v>82</v>
      </c>
      <c r="E977" s="26" t="str">
        <f>CONCATENATE('Смета ЕР (общ) '!$A977,".",'Смета ЕР (общ) '!$B977,".",'Смета ЕР (общ) '!$D977)</f>
        <v>Р7.1.82</v>
      </c>
      <c r="F977" s="26">
        <f t="shared" si="85"/>
        <v>1</v>
      </c>
      <c r="G977" s="27" t="s">
        <v>1051</v>
      </c>
      <c r="H977" s="28" t="s">
        <v>118</v>
      </c>
      <c r="I977" s="158"/>
      <c r="J977" s="30">
        <v>500</v>
      </c>
      <c r="K977" s="30">
        <v>2145</v>
      </c>
      <c r="L977" s="30">
        <f t="shared" si="87"/>
        <v>500</v>
      </c>
      <c r="M977" s="30">
        <f t="shared" si="87"/>
        <v>2145</v>
      </c>
      <c r="N977" s="30">
        <f>ROUND('Смета ЕР (общ) '!$I977*'Смета ЕР (общ) '!$L977,2)</f>
        <v>0</v>
      </c>
      <c r="O977" s="30">
        <f>ROUND('Смета ЕР (общ) '!$I977*'Смета ЕР (общ) '!$M977,2)</f>
        <v>0</v>
      </c>
      <c r="P977" s="45"/>
    </row>
    <row r="978" spans="1:16" ht="14.4" hidden="1" x14ac:dyDescent="0.3">
      <c r="A978" s="26" t="s">
        <v>965</v>
      </c>
      <c r="B978" s="26">
        <v>1</v>
      </c>
      <c r="C978" s="26"/>
      <c r="D978" s="26">
        <f t="shared" si="86"/>
        <v>83</v>
      </c>
      <c r="E978" s="26" t="str">
        <f>CONCATENATE('Смета ЕР (общ) '!$A978,".",'Смета ЕР (общ) '!$B978,".",'Смета ЕР (общ) '!$D978)</f>
        <v>Р7.1.83</v>
      </c>
      <c r="F978" s="26">
        <f t="shared" si="85"/>
        <v>1</v>
      </c>
      <c r="G978" s="27" t="s">
        <v>1052</v>
      </c>
      <c r="H978" s="28" t="s">
        <v>118</v>
      </c>
      <c r="I978" s="158"/>
      <c r="J978" s="30">
        <v>500</v>
      </c>
      <c r="K978" s="30">
        <v>2438</v>
      </c>
      <c r="L978" s="30">
        <f t="shared" si="87"/>
        <v>500</v>
      </c>
      <c r="M978" s="30">
        <f t="shared" si="87"/>
        <v>2438</v>
      </c>
      <c r="N978" s="30">
        <f>ROUND('Смета ЕР (общ) '!$I978*'Смета ЕР (общ) '!$L978,2)</f>
        <v>0</v>
      </c>
      <c r="O978" s="30">
        <f>ROUND('Смета ЕР (общ) '!$I978*'Смета ЕР (общ) '!$M978,2)</f>
        <v>0</v>
      </c>
      <c r="P978" s="45"/>
    </row>
    <row r="979" spans="1:16" ht="14.4" hidden="1" x14ac:dyDescent="0.3">
      <c r="A979" s="26" t="s">
        <v>965</v>
      </c>
      <c r="B979" s="26">
        <v>1</v>
      </c>
      <c r="C979" s="26"/>
      <c r="D979" s="26">
        <f t="shared" si="86"/>
        <v>84</v>
      </c>
      <c r="E979" s="26" t="str">
        <f>CONCATENATE('Смета ЕР (общ) '!$A979,".",'Смета ЕР (общ) '!$B979,".",'Смета ЕР (общ) '!$D979)</f>
        <v>Р7.1.84</v>
      </c>
      <c r="F979" s="26">
        <f t="shared" si="85"/>
        <v>1</v>
      </c>
      <c r="G979" s="27" t="s">
        <v>1053</v>
      </c>
      <c r="H979" s="28" t="s">
        <v>118</v>
      </c>
      <c r="I979" s="158"/>
      <c r="J979" s="50">
        <v>200</v>
      </c>
      <c r="K979" s="50">
        <v>932</v>
      </c>
      <c r="L979" s="30">
        <f t="shared" si="87"/>
        <v>200</v>
      </c>
      <c r="M979" s="30">
        <f t="shared" si="87"/>
        <v>932</v>
      </c>
      <c r="N979" s="30">
        <f>ROUND('Смета ЕР (общ) '!$I979*'Смета ЕР (общ) '!$L979,2)</f>
        <v>0</v>
      </c>
      <c r="O979" s="30">
        <f>ROUND('Смета ЕР (общ) '!$I979*'Смета ЕР (общ) '!$M979,2)</f>
        <v>0</v>
      </c>
      <c r="P979" s="45"/>
    </row>
    <row r="980" spans="1:16" ht="14.4" hidden="1" x14ac:dyDescent="0.3">
      <c r="A980" s="26" t="s">
        <v>965</v>
      </c>
      <c r="B980" s="26">
        <v>1</v>
      </c>
      <c r="C980" s="26"/>
      <c r="D980" s="26">
        <f t="shared" si="86"/>
        <v>85</v>
      </c>
      <c r="E980" s="26" t="str">
        <f>CONCATENATE('Смета ЕР (общ) '!$A980,".",'Смета ЕР (общ) '!$B980,".",'Смета ЕР (общ) '!$D980)</f>
        <v>Р7.1.85</v>
      </c>
      <c r="F980" s="26">
        <f t="shared" si="85"/>
        <v>1</v>
      </c>
      <c r="G980" s="27" t="s">
        <v>1054</v>
      </c>
      <c r="H980" s="28" t="s">
        <v>118</v>
      </c>
      <c r="I980" s="158"/>
      <c r="J980" s="50">
        <v>200</v>
      </c>
      <c r="K980" s="50">
        <v>1172</v>
      </c>
      <c r="L980" s="30">
        <f t="shared" si="87"/>
        <v>200</v>
      </c>
      <c r="M980" s="30">
        <f t="shared" si="87"/>
        <v>1172</v>
      </c>
      <c r="N980" s="30">
        <f>ROUND('Смета ЕР (общ) '!$I980*'Смета ЕР (общ) '!$L980,2)</f>
        <v>0</v>
      </c>
      <c r="O980" s="30">
        <f>ROUND('Смета ЕР (общ) '!$I980*'Смета ЕР (общ) '!$M980,2)</f>
        <v>0</v>
      </c>
      <c r="P980" s="45"/>
    </row>
    <row r="981" spans="1:16" ht="24" hidden="1" x14ac:dyDescent="0.3">
      <c r="A981" s="26" t="s">
        <v>965</v>
      </c>
      <c r="B981" s="26">
        <v>1</v>
      </c>
      <c r="C981" s="26"/>
      <c r="D981" s="26">
        <f t="shared" si="86"/>
        <v>86</v>
      </c>
      <c r="E981" s="26" t="str">
        <f>CONCATENATE('Смета ЕР (общ) '!$A981,".",'Смета ЕР (общ) '!$B981,".",'Смета ЕР (общ) '!$D981)</f>
        <v>Р7.1.86</v>
      </c>
      <c r="F981" s="26">
        <f t="shared" ref="F981:F1044" si="88">IF(I981&gt;0,F980+1,F980)</f>
        <v>1</v>
      </c>
      <c r="G981" s="27" t="s">
        <v>1055</v>
      </c>
      <c r="H981" s="28" t="s">
        <v>118</v>
      </c>
      <c r="I981" s="158"/>
      <c r="J981" s="50">
        <v>200</v>
      </c>
      <c r="K981" s="50">
        <v>1001</v>
      </c>
      <c r="L981" s="30">
        <f t="shared" si="87"/>
        <v>200</v>
      </c>
      <c r="M981" s="30">
        <f t="shared" si="87"/>
        <v>1001</v>
      </c>
      <c r="N981" s="30">
        <f>ROUND('Смета ЕР (общ) '!$I981*'Смета ЕР (общ) '!$L981,2)</f>
        <v>0</v>
      </c>
      <c r="O981" s="30">
        <f>ROUND('Смета ЕР (общ) '!$I981*'Смета ЕР (общ) '!$M981,2)</f>
        <v>0</v>
      </c>
      <c r="P981" s="45"/>
    </row>
    <row r="982" spans="1:16" ht="24" hidden="1" x14ac:dyDescent="0.3">
      <c r="A982" s="26" t="s">
        <v>965</v>
      </c>
      <c r="B982" s="26">
        <v>1</v>
      </c>
      <c r="C982" s="26"/>
      <c r="D982" s="26">
        <f t="shared" si="86"/>
        <v>87</v>
      </c>
      <c r="E982" s="26" t="str">
        <f>CONCATENATE('Смета ЕР (общ) '!$A982,".",'Смета ЕР (общ) '!$B982,".",'Смета ЕР (общ) '!$D982)</f>
        <v>Р7.1.87</v>
      </c>
      <c r="F982" s="26">
        <f t="shared" si="88"/>
        <v>1</v>
      </c>
      <c r="G982" s="27" t="s">
        <v>1056</v>
      </c>
      <c r="H982" s="28" t="s">
        <v>118</v>
      </c>
      <c r="I982" s="158"/>
      <c r="J982" s="50">
        <v>200</v>
      </c>
      <c r="K982" s="50">
        <v>1058</v>
      </c>
      <c r="L982" s="30">
        <f t="shared" si="87"/>
        <v>200</v>
      </c>
      <c r="M982" s="30">
        <f t="shared" si="87"/>
        <v>1058</v>
      </c>
      <c r="N982" s="30">
        <f>ROUND('Смета ЕР (общ) '!$I982*'Смета ЕР (общ) '!$L982,2)</f>
        <v>0</v>
      </c>
      <c r="O982" s="30">
        <f>ROUND('Смета ЕР (общ) '!$I982*'Смета ЕР (общ) '!$M982,2)</f>
        <v>0</v>
      </c>
      <c r="P982" s="45"/>
    </row>
    <row r="983" spans="1:16" ht="24" hidden="1" x14ac:dyDescent="0.3">
      <c r="A983" s="26" t="s">
        <v>965</v>
      </c>
      <c r="B983" s="26">
        <v>1</v>
      </c>
      <c r="C983" s="26"/>
      <c r="D983" s="26">
        <f t="shared" si="86"/>
        <v>88</v>
      </c>
      <c r="E983" s="26" t="str">
        <f>CONCATENATE('Смета ЕР (общ) '!$A983,".",'Смета ЕР (общ) '!$B983,".",'Смета ЕР (общ) '!$D983)</f>
        <v>Р7.1.88</v>
      </c>
      <c r="F983" s="26">
        <f t="shared" si="88"/>
        <v>1</v>
      </c>
      <c r="G983" s="27" t="s">
        <v>1057</v>
      </c>
      <c r="H983" s="28" t="s">
        <v>118</v>
      </c>
      <c r="I983" s="158"/>
      <c r="J983" s="50">
        <v>200</v>
      </c>
      <c r="K983" s="50">
        <v>1340</v>
      </c>
      <c r="L983" s="30">
        <f t="shared" si="87"/>
        <v>200</v>
      </c>
      <c r="M983" s="30">
        <f t="shared" si="87"/>
        <v>1340</v>
      </c>
      <c r="N983" s="30">
        <f>ROUND('Смета ЕР (общ) '!$I983*'Смета ЕР (общ) '!$L983,2)</f>
        <v>0</v>
      </c>
      <c r="O983" s="30">
        <f>ROUND('Смета ЕР (общ) '!$I983*'Смета ЕР (общ) '!$M983,2)</f>
        <v>0</v>
      </c>
      <c r="P983" s="45"/>
    </row>
    <row r="984" spans="1:16" ht="24" hidden="1" x14ac:dyDescent="0.3">
      <c r="A984" s="26" t="s">
        <v>965</v>
      </c>
      <c r="B984" s="26">
        <v>1</v>
      </c>
      <c r="C984" s="26"/>
      <c r="D984" s="26">
        <f t="shared" si="86"/>
        <v>89</v>
      </c>
      <c r="E984" s="26" t="str">
        <f>CONCATENATE('Смета ЕР (общ) '!$A984,".",'Смета ЕР (общ) '!$B984,".",'Смета ЕР (общ) '!$D984)</f>
        <v>Р7.1.89</v>
      </c>
      <c r="F984" s="26">
        <f t="shared" si="88"/>
        <v>1</v>
      </c>
      <c r="G984" s="27" t="s">
        <v>1058</v>
      </c>
      <c r="H984" s="28" t="s">
        <v>118</v>
      </c>
      <c r="I984" s="158"/>
      <c r="J984" s="50">
        <v>200</v>
      </c>
      <c r="K984" s="50">
        <v>2071</v>
      </c>
      <c r="L984" s="30">
        <f t="shared" si="87"/>
        <v>200</v>
      </c>
      <c r="M984" s="30">
        <f t="shared" si="87"/>
        <v>2071</v>
      </c>
      <c r="N984" s="30">
        <f>ROUND('Смета ЕР (общ) '!$I984*'Смета ЕР (общ) '!$L984,2)</f>
        <v>0</v>
      </c>
      <c r="O984" s="30">
        <f>ROUND('Смета ЕР (общ) '!$I984*'Смета ЕР (общ) '!$M984,2)</f>
        <v>0</v>
      </c>
      <c r="P984" s="45"/>
    </row>
    <row r="985" spans="1:16" ht="24" hidden="1" x14ac:dyDescent="0.3">
      <c r="A985" s="26" t="s">
        <v>965</v>
      </c>
      <c r="B985" s="26">
        <v>1</v>
      </c>
      <c r="C985" s="26"/>
      <c r="D985" s="26">
        <f t="shared" si="86"/>
        <v>90</v>
      </c>
      <c r="E985" s="26" t="str">
        <f>CONCATENATE('Смета ЕР (общ) '!$A985,".",'Смета ЕР (общ) '!$B985,".",'Смета ЕР (общ) '!$D985)</f>
        <v>Р7.1.90</v>
      </c>
      <c r="F985" s="26">
        <f t="shared" si="88"/>
        <v>1</v>
      </c>
      <c r="G985" s="27" t="s">
        <v>1059</v>
      </c>
      <c r="H985" s="28" t="s">
        <v>118</v>
      </c>
      <c r="I985" s="158"/>
      <c r="J985" s="50">
        <v>200</v>
      </c>
      <c r="K985" s="50">
        <v>2903</v>
      </c>
      <c r="L985" s="30">
        <f t="shared" ref="L985:M999" si="89">ROUND(J985-J985*$Q$3,2)</f>
        <v>200</v>
      </c>
      <c r="M985" s="30">
        <f t="shared" si="89"/>
        <v>2903</v>
      </c>
      <c r="N985" s="30">
        <f>ROUND('Смета ЕР (общ) '!$I985*'Смета ЕР (общ) '!$L985,2)</f>
        <v>0</v>
      </c>
      <c r="O985" s="30">
        <f>ROUND('Смета ЕР (общ) '!$I985*'Смета ЕР (общ) '!$M985,2)</f>
        <v>0</v>
      </c>
      <c r="P985" s="45"/>
    </row>
    <row r="986" spans="1:16" ht="24" hidden="1" x14ac:dyDescent="0.3">
      <c r="A986" s="26" t="s">
        <v>965</v>
      </c>
      <c r="B986" s="26">
        <v>1</v>
      </c>
      <c r="C986" s="26"/>
      <c r="D986" s="26">
        <f t="shared" si="86"/>
        <v>91</v>
      </c>
      <c r="E986" s="26" t="str">
        <f>CONCATENATE('Смета ЕР (общ) '!$A986,".",'Смета ЕР (общ) '!$B986,".",'Смета ЕР (общ) '!$D986)</f>
        <v>Р7.1.91</v>
      </c>
      <c r="F986" s="26">
        <f t="shared" si="88"/>
        <v>1</v>
      </c>
      <c r="G986" s="27" t="s">
        <v>1060</v>
      </c>
      <c r="H986" s="28" t="s">
        <v>118</v>
      </c>
      <c r="I986" s="158"/>
      <c r="J986" s="50">
        <v>200</v>
      </c>
      <c r="K986" s="50">
        <v>5075</v>
      </c>
      <c r="L986" s="30">
        <f t="shared" si="89"/>
        <v>200</v>
      </c>
      <c r="M986" s="30">
        <f t="shared" si="89"/>
        <v>5075</v>
      </c>
      <c r="N986" s="30">
        <f>ROUND('Смета ЕР (общ) '!$I986*'Смета ЕР (общ) '!$L986,2)</f>
        <v>0</v>
      </c>
      <c r="O986" s="30">
        <f>ROUND('Смета ЕР (общ) '!$I986*'Смета ЕР (общ) '!$M986,2)</f>
        <v>0</v>
      </c>
      <c r="P986" s="45"/>
    </row>
    <row r="987" spans="1:16" ht="24" hidden="1" x14ac:dyDescent="0.3">
      <c r="A987" s="26" t="s">
        <v>965</v>
      </c>
      <c r="B987" s="26">
        <v>1</v>
      </c>
      <c r="C987" s="26"/>
      <c r="D987" s="26">
        <f t="shared" si="86"/>
        <v>92</v>
      </c>
      <c r="E987" s="26" t="str">
        <f>CONCATENATE('Смета ЕР (общ) '!$A987,".",'Смета ЕР (общ) '!$B987,".",'Смета ЕР (общ) '!$D987)</f>
        <v>Р7.1.92</v>
      </c>
      <c r="F987" s="26">
        <f t="shared" si="88"/>
        <v>1</v>
      </c>
      <c r="G987" s="27" t="s">
        <v>1061</v>
      </c>
      <c r="H987" s="28" t="s">
        <v>118</v>
      </c>
      <c r="I987" s="158"/>
      <c r="J987" s="50">
        <v>200</v>
      </c>
      <c r="K987" s="50">
        <v>5942</v>
      </c>
      <c r="L987" s="30">
        <f t="shared" si="89"/>
        <v>200</v>
      </c>
      <c r="M987" s="30">
        <f t="shared" si="89"/>
        <v>5942</v>
      </c>
      <c r="N987" s="30">
        <f>ROUND('Смета ЕР (общ) '!$I987*'Смета ЕР (общ) '!$L987,2)</f>
        <v>0</v>
      </c>
      <c r="O987" s="30">
        <f>ROUND('Смета ЕР (общ) '!$I987*'Смета ЕР (общ) '!$M987,2)</f>
        <v>0</v>
      </c>
      <c r="P987" s="45"/>
    </row>
    <row r="988" spans="1:16" ht="24" hidden="1" x14ac:dyDescent="0.3">
      <c r="A988" s="26" t="s">
        <v>965</v>
      </c>
      <c r="B988" s="26">
        <v>1</v>
      </c>
      <c r="C988" s="26"/>
      <c r="D988" s="26">
        <f t="shared" si="86"/>
        <v>93</v>
      </c>
      <c r="E988" s="26" t="str">
        <f>CONCATENATE('Смета ЕР (общ) '!$A988,".",'Смета ЕР (общ) '!$B988,".",'Смета ЕР (общ) '!$D988)</f>
        <v>Р7.1.93</v>
      </c>
      <c r="F988" s="26">
        <f t="shared" si="88"/>
        <v>1</v>
      </c>
      <c r="G988" s="27" t="s">
        <v>1062</v>
      </c>
      <c r="H988" s="28" t="s">
        <v>118</v>
      </c>
      <c r="I988" s="158"/>
      <c r="J988" s="50">
        <v>200</v>
      </c>
      <c r="K988" s="50">
        <v>7162</v>
      </c>
      <c r="L988" s="30">
        <f t="shared" si="89"/>
        <v>200</v>
      </c>
      <c r="M988" s="30">
        <f t="shared" si="89"/>
        <v>7162</v>
      </c>
      <c r="N988" s="30">
        <f>ROUND('Смета ЕР (общ) '!$I988*'Смета ЕР (общ) '!$L988,2)</f>
        <v>0</v>
      </c>
      <c r="O988" s="30">
        <f>ROUND('Смета ЕР (общ) '!$I988*'Смета ЕР (общ) '!$M988,2)</f>
        <v>0</v>
      </c>
      <c r="P988" s="45"/>
    </row>
    <row r="989" spans="1:16" ht="24" hidden="1" x14ac:dyDescent="0.3">
      <c r="A989" s="26" t="s">
        <v>965</v>
      </c>
      <c r="B989" s="26">
        <v>1</v>
      </c>
      <c r="C989" s="26"/>
      <c r="D989" s="26">
        <f t="shared" si="86"/>
        <v>94</v>
      </c>
      <c r="E989" s="26" t="str">
        <f>CONCATENATE('Смета ЕР (общ) '!$A989,".",'Смета ЕР (общ) '!$B989,".",'Смета ЕР (общ) '!$D989)</f>
        <v>Р7.1.94</v>
      </c>
      <c r="F989" s="26">
        <f t="shared" si="88"/>
        <v>1</v>
      </c>
      <c r="G989" s="27" t="s">
        <v>1063</v>
      </c>
      <c r="H989" s="28" t="s">
        <v>118</v>
      </c>
      <c r="I989" s="158"/>
      <c r="J989" s="50">
        <v>200</v>
      </c>
      <c r="K989" s="50">
        <v>7619</v>
      </c>
      <c r="L989" s="30">
        <f t="shared" si="89"/>
        <v>200</v>
      </c>
      <c r="M989" s="30">
        <f t="shared" si="89"/>
        <v>7619</v>
      </c>
      <c r="N989" s="30">
        <f>ROUND('Смета ЕР (общ) '!$I989*'Смета ЕР (общ) '!$L989,2)</f>
        <v>0</v>
      </c>
      <c r="O989" s="30">
        <f>ROUND('Смета ЕР (общ) '!$I989*'Смета ЕР (общ) '!$M989,2)</f>
        <v>0</v>
      </c>
      <c r="P989" s="45"/>
    </row>
    <row r="990" spans="1:16" ht="24" hidden="1" x14ac:dyDescent="0.3">
      <c r="A990" s="26" t="s">
        <v>965</v>
      </c>
      <c r="B990" s="26">
        <v>1</v>
      </c>
      <c r="C990" s="26"/>
      <c r="D990" s="26">
        <f t="shared" si="86"/>
        <v>95</v>
      </c>
      <c r="E990" s="26" t="str">
        <f>CONCATENATE('Смета ЕР (общ) '!$A990,".",'Смета ЕР (общ) '!$B990,".",'Смета ЕР (общ) '!$D990)</f>
        <v>Р7.1.95</v>
      </c>
      <c r="F990" s="26">
        <f t="shared" si="88"/>
        <v>1</v>
      </c>
      <c r="G990" s="27" t="s">
        <v>1064</v>
      </c>
      <c r="H990" s="28" t="s">
        <v>118</v>
      </c>
      <c r="I990" s="158"/>
      <c r="J990" s="50">
        <v>200</v>
      </c>
      <c r="K990" s="50">
        <v>10628</v>
      </c>
      <c r="L990" s="30">
        <f t="shared" si="89"/>
        <v>200</v>
      </c>
      <c r="M990" s="30">
        <f t="shared" si="89"/>
        <v>10628</v>
      </c>
      <c r="N990" s="30">
        <f>ROUND('Смета ЕР (общ) '!$I990*'Смета ЕР (общ) '!$L990,2)</f>
        <v>0</v>
      </c>
      <c r="O990" s="30">
        <f>ROUND('Смета ЕР (общ) '!$I990*'Смета ЕР (общ) '!$M990,2)</f>
        <v>0</v>
      </c>
      <c r="P990" s="45"/>
    </row>
    <row r="991" spans="1:16" ht="14.4" hidden="1" x14ac:dyDescent="0.3">
      <c r="A991" s="26" t="s">
        <v>965</v>
      </c>
      <c r="B991" s="26">
        <v>1</v>
      </c>
      <c r="C991" s="26"/>
      <c r="D991" s="26">
        <f t="shared" si="86"/>
        <v>96</v>
      </c>
      <c r="E991" s="26" t="str">
        <f>CONCATENATE('Смета ЕР (общ) '!$A991,".",'Смета ЕР (общ) '!$B991,".",'Смета ЕР (общ) '!$D991)</f>
        <v>Р7.1.96</v>
      </c>
      <c r="F991" s="26">
        <f t="shared" si="88"/>
        <v>1</v>
      </c>
      <c r="G991" s="27" t="s">
        <v>1065</v>
      </c>
      <c r="H991" s="28" t="s">
        <v>118</v>
      </c>
      <c r="I991" s="158"/>
      <c r="J991" s="50">
        <v>200</v>
      </c>
      <c r="K991" s="50">
        <v>5397</v>
      </c>
      <c r="L991" s="30">
        <f t="shared" si="89"/>
        <v>200</v>
      </c>
      <c r="M991" s="30">
        <f t="shared" si="89"/>
        <v>5397</v>
      </c>
      <c r="N991" s="30">
        <f>ROUND('Смета ЕР (общ) '!$I991*'Смета ЕР (общ) '!$L991,2)</f>
        <v>0</v>
      </c>
      <c r="O991" s="30">
        <f>ROUND('Смета ЕР (общ) '!$I991*'Смета ЕР (общ) '!$M991,2)</f>
        <v>0</v>
      </c>
      <c r="P991" s="45"/>
    </row>
    <row r="992" spans="1:16" ht="14.4" hidden="1" x14ac:dyDescent="0.3">
      <c r="A992" s="26" t="s">
        <v>965</v>
      </c>
      <c r="B992" s="26">
        <v>1</v>
      </c>
      <c r="C992" s="26"/>
      <c r="D992" s="26">
        <f t="shared" si="86"/>
        <v>97</v>
      </c>
      <c r="E992" s="26" t="str">
        <f>CONCATENATE('Смета ЕР (общ) '!$A992,".",'Смета ЕР (общ) '!$B992,".",'Смета ЕР (общ) '!$D992)</f>
        <v>Р7.1.97</v>
      </c>
      <c r="F992" s="26">
        <f t="shared" si="88"/>
        <v>1</v>
      </c>
      <c r="G992" s="27" t="s">
        <v>1066</v>
      </c>
      <c r="H992" s="28" t="s">
        <v>118</v>
      </c>
      <c r="I992" s="158"/>
      <c r="J992" s="50">
        <v>200</v>
      </c>
      <c r="K992" s="50">
        <v>6541</v>
      </c>
      <c r="L992" s="30">
        <f t="shared" si="89"/>
        <v>200</v>
      </c>
      <c r="M992" s="30">
        <f t="shared" si="89"/>
        <v>6541</v>
      </c>
      <c r="N992" s="30">
        <f>ROUND('Смета ЕР (общ) '!$I992*'Смета ЕР (общ) '!$L992,2)</f>
        <v>0</v>
      </c>
      <c r="O992" s="30">
        <f>ROUND('Смета ЕР (общ) '!$I992*'Смета ЕР (общ) '!$M992,2)</f>
        <v>0</v>
      </c>
      <c r="P992" s="45"/>
    </row>
    <row r="993" spans="1:20" ht="14.4" hidden="1" x14ac:dyDescent="0.3">
      <c r="A993" s="26" t="s">
        <v>965</v>
      </c>
      <c r="B993" s="26">
        <v>1</v>
      </c>
      <c r="C993" s="26"/>
      <c r="D993" s="26">
        <f t="shared" si="86"/>
        <v>98</v>
      </c>
      <c r="E993" s="26" t="str">
        <f>CONCATENATE('Смета ЕР (общ) '!$A993,".",'Смета ЕР (общ) '!$B993,".",'Смета ЕР (общ) '!$D993)</f>
        <v>Р7.1.98</v>
      </c>
      <c r="F993" s="26">
        <f t="shared" si="88"/>
        <v>1</v>
      </c>
      <c r="G993" s="27" t="s">
        <v>1067</v>
      </c>
      <c r="H993" s="28" t="s">
        <v>118</v>
      </c>
      <c r="I993" s="158"/>
      <c r="J993" s="50">
        <v>200</v>
      </c>
      <c r="K993" s="50">
        <v>950.08</v>
      </c>
      <c r="L993" s="30">
        <f t="shared" si="89"/>
        <v>200</v>
      </c>
      <c r="M993" s="30">
        <f t="shared" si="89"/>
        <v>950.08</v>
      </c>
      <c r="N993" s="30">
        <f>ROUND('Смета ЕР (общ) '!$I993*'Смета ЕР (общ) '!$L993,2)</f>
        <v>0</v>
      </c>
      <c r="O993" s="30">
        <f>ROUND('Смета ЕР (общ) '!$I993*'Смета ЕР (общ) '!$M993,2)</f>
        <v>0</v>
      </c>
      <c r="P993" s="45"/>
    </row>
    <row r="994" spans="1:20" ht="14.4" hidden="1" x14ac:dyDescent="0.3">
      <c r="A994" s="26" t="s">
        <v>965</v>
      </c>
      <c r="B994" s="26">
        <v>1</v>
      </c>
      <c r="C994" s="26"/>
      <c r="D994" s="26">
        <f t="shared" si="86"/>
        <v>99</v>
      </c>
      <c r="E994" s="26" t="str">
        <f>CONCATENATE('Смета ЕР (общ) '!$A994,".",'Смета ЕР (общ) '!$B994,".",'Смета ЕР (общ) '!$D994)</f>
        <v>Р7.1.99</v>
      </c>
      <c r="F994" s="26">
        <f t="shared" si="88"/>
        <v>1</v>
      </c>
      <c r="G994" s="27" t="s">
        <v>1068</v>
      </c>
      <c r="H994" s="28" t="s">
        <v>118</v>
      </c>
      <c r="I994" s="158"/>
      <c r="J994" s="50">
        <v>200</v>
      </c>
      <c r="K994" s="50">
        <v>1150.0999999999999</v>
      </c>
      <c r="L994" s="30">
        <f t="shared" si="89"/>
        <v>200</v>
      </c>
      <c r="M994" s="30">
        <f t="shared" si="89"/>
        <v>1150.0999999999999</v>
      </c>
      <c r="N994" s="30">
        <f>ROUND('Смета ЕР (общ) '!$I994*'Смета ЕР (общ) '!$L994,2)</f>
        <v>0</v>
      </c>
      <c r="O994" s="30">
        <f>ROUND('Смета ЕР (общ) '!$I994*'Смета ЕР (общ) '!$M994,2)</f>
        <v>0</v>
      </c>
      <c r="P994" s="45"/>
    </row>
    <row r="995" spans="1:20" ht="14.4" hidden="1" x14ac:dyDescent="0.3">
      <c r="A995" s="26" t="s">
        <v>965</v>
      </c>
      <c r="B995" s="26">
        <v>1</v>
      </c>
      <c r="C995" s="26"/>
      <c r="D995" s="26">
        <f t="shared" si="86"/>
        <v>100</v>
      </c>
      <c r="E995" s="26" t="str">
        <f>CONCATENATE('Смета ЕР (общ) '!$A995,".",'Смета ЕР (общ) '!$B995,".",'Смета ЕР (общ) '!$D995)</f>
        <v>Р7.1.100</v>
      </c>
      <c r="F995" s="26">
        <f t="shared" si="88"/>
        <v>1</v>
      </c>
      <c r="G995" s="27" t="s">
        <v>1069</v>
      </c>
      <c r="H995" s="28" t="s">
        <v>118</v>
      </c>
      <c r="I995" s="158"/>
      <c r="J995" s="50">
        <v>200</v>
      </c>
      <c r="K995" s="50">
        <v>1925.16</v>
      </c>
      <c r="L995" s="30">
        <f t="shared" si="89"/>
        <v>200</v>
      </c>
      <c r="M995" s="30">
        <f t="shared" si="89"/>
        <v>1925.16</v>
      </c>
      <c r="N995" s="30">
        <f>ROUND('Смета ЕР (общ) '!$I995*'Смета ЕР (общ) '!$L995,2)</f>
        <v>0</v>
      </c>
      <c r="O995" s="30">
        <f>ROUND('Смета ЕР (общ) '!$I995*'Смета ЕР (общ) '!$M995,2)</f>
        <v>0</v>
      </c>
      <c r="P995" s="45"/>
    </row>
    <row r="996" spans="1:20" ht="14.4" hidden="1" x14ac:dyDescent="0.3">
      <c r="A996" s="26" t="s">
        <v>965</v>
      </c>
      <c r="B996" s="26">
        <v>1</v>
      </c>
      <c r="C996" s="26"/>
      <c r="D996" s="26">
        <f t="shared" ref="D996:D998" si="90">D995+1</f>
        <v>101</v>
      </c>
      <c r="E996" s="26" t="str">
        <f>CONCATENATE('Смета ЕР (общ) '!$A996,".",'Смета ЕР (общ) '!$B996,".",'Смета ЕР (общ) '!$D996)</f>
        <v>Р7.1.101</v>
      </c>
      <c r="F996" s="26">
        <f t="shared" si="88"/>
        <v>1</v>
      </c>
      <c r="G996" s="27" t="s">
        <v>1070</v>
      </c>
      <c r="H996" s="28" t="s">
        <v>118</v>
      </c>
      <c r="I996" s="158"/>
      <c r="J996" s="50">
        <v>200</v>
      </c>
      <c r="K996" s="50">
        <v>4285</v>
      </c>
      <c r="L996" s="30">
        <f t="shared" si="89"/>
        <v>200</v>
      </c>
      <c r="M996" s="30">
        <f t="shared" si="89"/>
        <v>4285</v>
      </c>
      <c r="N996" s="30">
        <f>ROUND('Смета ЕР (общ) '!$I996*'Смета ЕР (общ) '!$L996,2)</f>
        <v>0</v>
      </c>
      <c r="O996" s="30">
        <f>ROUND('Смета ЕР (общ) '!$I996*'Смета ЕР (общ) '!$M996,2)</f>
        <v>0</v>
      </c>
      <c r="P996" s="45"/>
    </row>
    <row r="997" spans="1:20" ht="14.4" hidden="1" x14ac:dyDescent="0.3">
      <c r="A997" s="26" t="s">
        <v>965</v>
      </c>
      <c r="B997" s="26">
        <v>1</v>
      </c>
      <c r="C997" s="26"/>
      <c r="D997" s="26">
        <f t="shared" si="90"/>
        <v>102</v>
      </c>
      <c r="E997" s="26" t="str">
        <f>CONCATENATE('Смета ЕР (общ) '!$A997,".",'Смета ЕР (общ) '!$B997,".",'Смета ЕР (общ) '!$D997)</f>
        <v>Р7.1.102</v>
      </c>
      <c r="F997" s="26">
        <f t="shared" si="88"/>
        <v>1</v>
      </c>
      <c r="G997" s="27" t="s">
        <v>1071</v>
      </c>
      <c r="H997" s="28" t="s">
        <v>118</v>
      </c>
      <c r="I997" s="158"/>
      <c r="J997" s="50">
        <v>200</v>
      </c>
      <c r="K997" s="50">
        <v>804</v>
      </c>
      <c r="L997" s="30">
        <f t="shared" si="89"/>
        <v>200</v>
      </c>
      <c r="M997" s="30">
        <f t="shared" si="89"/>
        <v>804</v>
      </c>
      <c r="N997" s="30">
        <f>ROUND('Смета ЕР (общ) '!$I997*'Смета ЕР (общ) '!$L997,2)</f>
        <v>0</v>
      </c>
      <c r="O997" s="30">
        <f>ROUND('Смета ЕР (общ) '!$I997*'Смета ЕР (общ) '!$M997,2)</f>
        <v>0</v>
      </c>
      <c r="P997" s="45"/>
    </row>
    <row r="998" spans="1:20" ht="36" hidden="1" x14ac:dyDescent="0.3">
      <c r="A998" s="51" t="s">
        <v>965</v>
      </c>
      <c r="B998" s="51">
        <v>1</v>
      </c>
      <c r="C998" s="51"/>
      <c r="D998" s="51">
        <f t="shared" si="90"/>
        <v>103</v>
      </c>
      <c r="E998" s="51" t="str">
        <f>CONCATENATE('Смета ЕР (общ) '!$A998,".",'Смета ЕР (общ) '!$B998,".",'Смета ЕР (общ) '!$D998)</f>
        <v>Р7.1.103</v>
      </c>
      <c r="F998" s="51">
        <f t="shared" si="88"/>
        <v>1</v>
      </c>
      <c r="G998" s="52" t="s">
        <v>1072</v>
      </c>
      <c r="H998" s="28" t="s">
        <v>147</v>
      </c>
      <c r="I998" s="158"/>
      <c r="J998" s="30">
        <v>1492.92</v>
      </c>
      <c r="K998" s="30">
        <v>1749.76</v>
      </c>
      <c r="L998" s="30">
        <f t="shared" si="89"/>
        <v>1492.92</v>
      </c>
      <c r="M998" s="30">
        <f t="shared" si="89"/>
        <v>1749.76</v>
      </c>
      <c r="N998" s="30">
        <f>ROUND('Смета ЕР (общ) '!$I998*'Смета ЕР (общ) '!$L998,2)</f>
        <v>0</v>
      </c>
      <c r="O998" s="30">
        <f>ROUND('Смета ЕР (общ) '!$I998*'Смета ЕР (общ) '!$M998,2)</f>
        <v>0</v>
      </c>
      <c r="P998" s="45" t="s">
        <v>980</v>
      </c>
    </row>
    <row r="999" spans="1:20" ht="48" hidden="1" x14ac:dyDescent="0.3">
      <c r="A999" s="26" t="s">
        <v>965</v>
      </c>
      <c r="B999" s="26">
        <v>1</v>
      </c>
      <c r="C999" s="26"/>
      <c r="D999" s="26">
        <v>17</v>
      </c>
      <c r="E999" s="26" t="str">
        <f>CONCATENATE('Смета ЕР (общ) '!$A999,".",'Смета ЕР (общ) '!$B999,".",'Смета ЕР (общ) '!$D999)</f>
        <v>Р7.1.17</v>
      </c>
      <c r="F999" s="26">
        <f t="shared" si="88"/>
        <v>1</v>
      </c>
      <c r="G999" s="27" t="s">
        <v>1073</v>
      </c>
      <c r="H999" s="53" t="s">
        <v>125</v>
      </c>
      <c r="I999" s="158"/>
      <c r="J999" s="30">
        <v>1764.36</v>
      </c>
      <c r="K999" s="30">
        <v>2884.59</v>
      </c>
      <c r="L999" s="30">
        <f t="shared" si="89"/>
        <v>1764.36</v>
      </c>
      <c r="M999" s="30">
        <f t="shared" si="89"/>
        <v>2884.59</v>
      </c>
      <c r="N999" s="30">
        <f>ROUND('Смета ЕР (общ) '!$I999*'Смета ЕР (общ) '!$L999,2)</f>
        <v>0</v>
      </c>
      <c r="O999" s="30">
        <f>ROUND('Смета ЕР (общ) '!$I999*'Смета ЕР (общ) '!$M999,2)</f>
        <v>0</v>
      </c>
      <c r="P999" s="45"/>
      <c r="T999">
        <v>214</v>
      </c>
    </row>
    <row r="1000" spans="1:20" ht="14.4" hidden="1" x14ac:dyDescent="0.3">
      <c r="A1000" s="19" t="s">
        <v>965</v>
      </c>
      <c r="B1000" s="19">
        <v>2</v>
      </c>
      <c r="C1000" s="19"/>
      <c r="D1000" s="19">
        <v>0</v>
      </c>
      <c r="E1000" s="19" t="str">
        <f>CONCATENATE('Смета ЕР (общ) '!$A1000,".",'Смета ЕР (общ) '!$B1000,".",'Смета ЕР (общ) '!$D1000)</f>
        <v>Р7.2.0</v>
      </c>
      <c r="F1000" s="19">
        <f t="shared" si="88"/>
        <v>1</v>
      </c>
      <c r="G1000" s="21" t="s">
        <v>1074</v>
      </c>
      <c r="H1000" s="22"/>
      <c r="I1000" s="23"/>
      <c r="J1000" s="36"/>
      <c r="K1000" s="36"/>
      <c r="L1000" s="25"/>
      <c r="M1000" s="25"/>
      <c r="N1000" s="25">
        <f>SUM(N1001:N1006)</f>
        <v>0</v>
      </c>
      <c r="O1000" s="25">
        <f>SUM(O1001:O1006)</f>
        <v>0</v>
      </c>
      <c r="P1000" s="45"/>
      <c r="T1000">
        <v>0</v>
      </c>
    </row>
    <row r="1001" spans="1:20" ht="24" hidden="1" x14ac:dyDescent="0.3">
      <c r="A1001" s="26" t="s">
        <v>965</v>
      </c>
      <c r="B1001" s="26">
        <v>2</v>
      </c>
      <c r="C1001" s="26"/>
      <c r="D1001" s="26">
        <v>15</v>
      </c>
      <c r="E1001" s="26" t="str">
        <f>CONCATENATE('Смета ЕР (общ) '!$A1001,".",'Смета ЕР (общ) '!$B1001,".",'Смета ЕР (общ) '!$D1001)</f>
        <v>Р7.2.15</v>
      </c>
      <c r="F1001" s="26">
        <f t="shared" si="88"/>
        <v>1</v>
      </c>
      <c r="G1001" s="27" t="s">
        <v>1075</v>
      </c>
      <c r="H1001" s="28" t="s">
        <v>118</v>
      </c>
      <c r="I1001" s="158"/>
      <c r="J1001" s="30">
        <v>42299.4</v>
      </c>
      <c r="K1001" s="30">
        <v>169074.08</v>
      </c>
      <c r="L1001" s="30">
        <f t="shared" ref="L1001:M1006" si="91">ROUND(J1001-J1001*$Q$3,2)</f>
        <v>42299.4</v>
      </c>
      <c r="M1001" s="30">
        <f t="shared" si="91"/>
        <v>169074.08</v>
      </c>
      <c r="N1001" s="30">
        <f>ROUND('Смета ЕР (общ) '!$I1001*'Смета ЕР (общ) '!$L1001,2)</f>
        <v>0</v>
      </c>
      <c r="O1001" s="30">
        <f>ROUND('Смета ЕР (общ) '!$I1001*'Смета ЕР (общ) '!$M1001,2)</f>
        <v>0</v>
      </c>
      <c r="P1001" s="45"/>
    </row>
    <row r="1002" spans="1:20" ht="24" hidden="1" x14ac:dyDescent="0.3">
      <c r="A1002" s="26" t="s">
        <v>965</v>
      </c>
      <c r="B1002" s="26">
        <v>2</v>
      </c>
      <c r="C1002" s="26"/>
      <c r="D1002" s="26">
        <v>1</v>
      </c>
      <c r="E1002" s="26" t="str">
        <f>CONCATENATE('Смета ЕР (общ) '!$A1002,".",'Смета ЕР (общ) '!$B1002,".",'Смета ЕР (общ) '!$D1002)</f>
        <v>Р7.2.1</v>
      </c>
      <c r="F1002" s="26">
        <f t="shared" si="88"/>
        <v>1</v>
      </c>
      <c r="G1002" s="27" t="s">
        <v>1076</v>
      </c>
      <c r="H1002" s="48" t="s">
        <v>40</v>
      </c>
      <c r="I1002" s="158"/>
      <c r="J1002" s="50">
        <v>250</v>
      </c>
      <c r="K1002" s="50">
        <v>270</v>
      </c>
      <c r="L1002" s="30">
        <f t="shared" si="91"/>
        <v>250</v>
      </c>
      <c r="M1002" s="30">
        <f t="shared" si="91"/>
        <v>270</v>
      </c>
      <c r="N1002" s="30">
        <f>ROUND('Смета ЕР (общ) '!$I1002*'Смета ЕР (общ) '!$L1002,2)</f>
        <v>0</v>
      </c>
      <c r="O1002" s="30">
        <f>ROUND('Смета ЕР (общ) '!$I1002*'Смета ЕР (общ) '!$M1002,2)</f>
        <v>0</v>
      </c>
      <c r="P1002" s="45"/>
    </row>
    <row r="1003" spans="1:20" ht="24" hidden="1" x14ac:dyDescent="0.3">
      <c r="A1003" s="26" t="s">
        <v>965</v>
      </c>
      <c r="B1003" s="26">
        <v>2</v>
      </c>
      <c r="C1003" s="26"/>
      <c r="D1003" s="26">
        <v>2</v>
      </c>
      <c r="E1003" s="26" t="str">
        <f>CONCATENATE('Смета ЕР (общ) '!$A1003,".",'Смета ЕР (общ) '!$B1003,".",'Смета ЕР (общ) '!$D1003)</f>
        <v>Р7.2.2</v>
      </c>
      <c r="F1003" s="26">
        <f t="shared" si="88"/>
        <v>1</v>
      </c>
      <c r="G1003" s="27" t="s">
        <v>1077</v>
      </c>
      <c r="H1003" s="48" t="s">
        <v>40</v>
      </c>
      <c r="I1003" s="158"/>
      <c r="J1003" s="50">
        <v>350</v>
      </c>
      <c r="K1003" s="50">
        <v>240</v>
      </c>
      <c r="L1003" s="30">
        <f t="shared" si="91"/>
        <v>350</v>
      </c>
      <c r="M1003" s="30">
        <f t="shared" si="91"/>
        <v>240</v>
      </c>
      <c r="N1003" s="30">
        <f>ROUND('Смета ЕР (общ) '!$I1003*'Смета ЕР (общ) '!$L1003,2)</f>
        <v>0</v>
      </c>
      <c r="O1003" s="30">
        <f>ROUND('Смета ЕР (общ) '!$I1003*'Смета ЕР (общ) '!$M1003,2)</f>
        <v>0</v>
      </c>
      <c r="P1003" s="45"/>
    </row>
    <row r="1004" spans="1:20" ht="24" hidden="1" x14ac:dyDescent="0.3">
      <c r="A1004" s="26" t="s">
        <v>965</v>
      </c>
      <c r="B1004" s="26">
        <v>2</v>
      </c>
      <c r="C1004" s="26"/>
      <c r="D1004" s="26">
        <v>3</v>
      </c>
      <c r="E1004" s="26" t="str">
        <f>CONCATENATE('Смета ЕР (общ) '!$A1004,".",'Смета ЕР (общ) '!$B1004,".",'Смета ЕР (общ) '!$D1004)</f>
        <v>Р7.2.3</v>
      </c>
      <c r="F1004" s="26">
        <f t="shared" si="88"/>
        <v>1</v>
      </c>
      <c r="G1004" s="27" t="s">
        <v>1078</v>
      </c>
      <c r="H1004" s="48" t="s">
        <v>40</v>
      </c>
      <c r="I1004" s="158"/>
      <c r="J1004" s="50">
        <v>350</v>
      </c>
      <c r="K1004" s="50">
        <v>340</v>
      </c>
      <c r="L1004" s="30">
        <f t="shared" si="91"/>
        <v>350</v>
      </c>
      <c r="M1004" s="30">
        <f t="shared" si="91"/>
        <v>340</v>
      </c>
      <c r="N1004" s="30">
        <f>ROUND('Смета ЕР (общ) '!$I1004*'Смета ЕР (общ) '!$L1004,2)</f>
        <v>0</v>
      </c>
      <c r="O1004" s="30">
        <f>ROUND('Смета ЕР (общ) '!$I1004*'Смета ЕР (общ) '!$M1004,2)</f>
        <v>0</v>
      </c>
      <c r="P1004" s="45"/>
    </row>
    <row r="1005" spans="1:20" ht="24" hidden="1" x14ac:dyDescent="0.3">
      <c r="A1005" s="26" t="s">
        <v>965</v>
      </c>
      <c r="B1005" s="26">
        <v>2</v>
      </c>
      <c r="C1005" s="26"/>
      <c r="D1005" s="26">
        <v>4</v>
      </c>
      <c r="E1005" s="26" t="str">
        <f>CONCATENATE('Смета ЕР (общ) '!$A1005,".",'Смета ЕР (общ) '!$B1005,".",'Смета ЕР (общ) '!$D1005)</f>
        <v>Р7.2.4</v>
      </c>
      <c r="F1005" s="26">
        <f t="shared" si="88"/>
        <v>1</v>
      </c>
      <c r="G1005" s="27" t="s">
        <v>1079</v>
      </c>
      <c r="H1005" s="28" t="s">
        <v>118</v>
      </c>
      <c r="I1005" s="158"/>
      <c r="J1005" s="30">
        <v>2548.85</v>
      </c>
      <c r="K1005" s="30">
        <v>25491.67</v>
      </c>
      <c r="L1005" s="30">
        <f t="shared" si="91"/>
        <v>2548.85</v>
      </c>
      <c r="M1005" s="30">
        <f t="shared" si="91"/>
        <v>25491.67</v>
      </c>
      <c r="N1005" s="30">
        <f>ROUND('Смета ЕР (общ) '!$I1005*'Смета ЕР (общ) '!$L1005,2)</f>
        <v>0</v>
      </c>
      <c r="O1005" s="30">
        <f>ROUND('Смета ЕР (общ) '!$I1005*'Смета ЕР (общ) '!$M1005,2)</f>
        <v>0</v>
      </c>
      <c r="P1005" s="45"/>
    </row>
    <row r="1006" spans="1:20" ht="60" hidden="1" x14ac:dyDescent="0.3">
      <c r="A1006" s="26" t="s">
        <v>965</v>
      </c>
      <c r="B1006" s="26">
        <v>2</v>
      </c>
      <c r="C1006" s="26"/>
      <c r="D1006" s="26">
        <v>12</v>
      </c>
      <c r="E1006" s="26" t="str">
        <f>CONCATENATE('Смета ЕР (общ) '!$A1006,".",'Смета ЕР (общ) '!$B1006,".",'Смета ЕР (общ) '!$D1006)</f>
        <v>Р7.2.12</v>
      </c>
      <c r="F1006" s="26">
        <f t="shared" si="88"/>
        <v>1</v>
      </c>
      <c r="G1006" s="27" t="s">
        <v>1080</v>
      </c>
      <c r="H1006" s="53" t="s">
        <v>125</v>
      </c>
      <c r="I1006" s="158"/>
      <c r="J1006" s="30">
        <v>1221.48</v>
      </c>
      <c r="K1006" s="30">
        <v>1624.47</v>
      </c>
      <c r="L1006" s="30">
        <f t="shared" si="91"/>
        <v>1221.48</v>
      </c>
      <c r="M1006" s="30">
        <f t="shared" si="91"/>
        <v>1624.47</v>
      </c>
      <c r="N1006" s="30">
        <f>ROUND('Смета ЕР (общ) '!$I1006*'Смета ЕР (общ) '!$L1006,2)</f>
        <v>0</v>
      </c>
      <c r="O1006" s="30">
        <f>ROUND('Смета ЕР (общ) '!$I1006*'Смета ЕР (общ) '!$M1006,2)</f>
        <v>0</v>
      </c>
      <c r="P1006" s="45"/>
    </row>
    <row r="1007" spans="1:20" ht="14.4" hidden="1" x14ac:dyDescent="0.3">
      <c r="A1007" s="19" t="s">
        <v>1081</v>
      </c>
      <c r="B1007" s="19">
        <v>0</v>
      </c>
      <c r="C1007" s="19"/>
      <c r="D1007" s="19">
        <v>0</v>
      </c>
      <c r="E1007" s="19" t="str">
        <f>CONCATENATE('Смета ЕР (общ) '!$A1007,".",'Смета ЕР (общ) '!$B1007,".",'Смета ЕР (общ) '!$D1007)</f>
        <v>Р8.0.0</v>
      </c>
      <c r="F1007" s="19">
        <f t="shared" si="88"/>
        <v>1</v>
      </c>
      <c r="G1007" s="21" t="s">
        <v>1082</v>
      </c>
      <c r="H1007" s="22"/>
      <c r="I1007" s="23"/>
      <c r="J1007" s="36"/>
      <c r="K1007" s="36"/>
      <c r="L1007" s="25"/>
      <c r="M1007" s="25"/>
      <c r="N1007" s="25">
        <f>ROUND(N1008+N1016,2)</f>
        <v>0</v>
      </c>
      <c r="O1007" s="25">
        <f>ROUND(O1008+O1016,2)</f>
        <v>0</v>
      </c>
      <c r="P1007" s="86"/>
      <c r="T1007">
        <v>868830.35</v>
      </c>
    </row>
    <row r="1008" spans="1:20" ht="14.4" hidden="1" x14ac:dyDescent="0.3">
      <c r="A1008" s="19" t="s">
        <v>1081</v>
      </c>
      <c r="B1008" s="19">
        <v>1</v>
      </c>
      <c r="C1008" s="19"/>
      <c r="D1008" s="19">
        <v>0</v>
      </c>
      <c r="E1008" s="19" t="str">
        <f>CONCATENATE('Смета ЕР (общ) '!$A1008,".",'Смета ЕР (общ) '!$B1008,".",'Смета ЕР (общ) '!$D1008)</f>
        <v>Р8.1.0</v>
      </c>
      <c r="F1008" s="19">
        <f t="shared" si="88"/>
        <v>1</v>
      </c>
      <c r="G1008" s="21" t="s">
        <v>1083</v>
      </c>
      <c r="H1008" s="22"/>
      <c r="I1008" s="23"/>
      <c r="J1008" s="36"/>
      <c r="K1008" s="36"/>
      <c r="L1008" s="25"/>
      <c r="M1008" s="25"/>
      <c r="N1008" s="25">
        <f>SUM(N1009:N1015)</f>
        <v>0</v>
      </c>
      <c r="O1008" s="25">
        <f>SUM(O1009:O1015)</f>
        <v>0</v>
      </c>
      <c r="P1008" s="45"/>
      <c r="T1008">
        <v>60440.639999999999</v>
      </c>
    </row>
    <row r="1009" spans="1:20" ht="24" hidden="1" x14ac:dyDescent="0.3">
      <c r="A1009" s="26" t="s">
        <v>1081</v>
      </c>
      <c r="B1009" s="26">
        <v>1</v>
      </c>
      <c r="C1009" s="26"/>
      <c r="D1009" s="26">
        <v>25</v>
      </c>
      <c r="E1009" s="26" t="str">
        <f>CONCATENATE('Смета ЕР (общ) '!$A1009,".",'Смета ЕР (общ) '!$B1009,".",'Смета ЕР (общ) '!$D1009)</f>
        <v>Р8.1.25</v>
      </c>
      <c r="F1009" s="26">
        <f t="shared" si="88"/>
        <v>1</v>
      </c>
      <c r="G1009" s="58" t="s">
        <v>1084</v>
      </c>
      <c r="H1009" s="28" t="s">
        <v>118</v>
      </c>
      <c r="I1009" s="158"/>
      <c r="J1009" s="30">
        <v>26465.4</v>
      </c>
      <c r="K1009" s="30">
        <f>$Q$1*'[14] Кондиционеры бытовые'!N5</f>
        <v>19391.400000000001</v>
      </c>
      <c r="L1009" s="30">
        <f t="shared" ref="L1009:M1014" si="92">ROUND(J1009-J1009*$Q$3,2)</f>
        <v>26465.4</v>
      </c>
      <c r="M1009" s="30">
        <f t="shared" si="92"/>
        <v>19391.400000000001</v>
      </c>
      <c r="N1009" s="30">
        <f>ROUND('Смета ЕР (общ) '!$I1009*'Смета ЕР (общ) '!$L1009,2)</f>
        <v>0</v>
      </c>
      <c r="O1009" s="30">
        <f>ROUND('Смета ЕР (общ) '!$I1009*'Смета ЕР (общ) '!$M1009,2)</f>
        <v>0</v>
      </c>
      <c r="P1009" s="55" t="s">
        <v>1085</v>
      </c>
    </row>
    <row r="1010" spans="1:20" ht="24" hidden="1" x14ac:dyDescent="0.3">
      <c r="A1010" s="26" t="s">
        <v>1081</v>
      </c>
      <c r="B1010" s="26">
        <v>1</v>
      </c>
      <c r="C1010" s="26"/>
      <c r="D1010" s="26">
        <v>26</v>
      </c>
      <c r="E1010" s="26" t="str">
        <f>CONCATENATE('Смета ЕР (общ) '!$A1010,".",'Смета ЕР (общ) '!$B1010,".",'Смета ЕР (общ) '!$D1010)</f>
        <v>Р8.1.26</v>
      </c>
      <c r="F1010" s="26">
        <f t="shared" si="88"/>
        <v>1</v>
      </c>
      <c r="G1010" s="58" t="s">
        <v>1086</v>
      </c>
      <c r="H1010" s="28" t="s">
        <v>118</v>
      </c>
      <c r="I1010" s="158"/>
      <c r="J1010" s="30">
        <v>26465.4</v>
      </c>
      <c r="K1010" s="30">
        <f>$Q$1*'[14] Кондиционеры бытовые'!N6</f>
        <v>21602.7</v>
      </c>
      <c r="L1010" s="30">
        <f t="shared" si="92"/>
        <v>26465.4</v>
      </c>
      <c r="M1010" s="30">
        <f t="shared" si="92"/>
        <v>21602.7</v>
      </c>
      <c r="N1010" s="30">
        <f>ROUND('Смета ЕР (общ) '!$I1010*'Смета ЕР (общ) '!$L1010,2)</f>
        <v>0</v>
      </c>
      <c r="O1010" s="30">
        <f>ROUND('Смета ЕР (общ) '!$I1010*'Смета ЕР (общ) '!$M1010,2)</f>
        <v>0</v>
      </c>
      <c r="P1010" s="55" t="s">
        <v>1085</v>
      </c>
    </row>
    <row r="1011" spans="1:20" ht="24" hidden="1" x14ac:dyDescent="0.3">
      <c r="A1011" s="26" t="s">
        <v>1081</v>
      </c>
      <c r="B1011" s="26">
        <v>1</v>
      </c>
      <c r="C1011" s="26"/>
      <c r="D1011" s="26">
        <v>27</v>
      </c>
      <c r="E1011" s="26" t="str">
        <f>CONCATENATE('Смета ЕР (общ) '!$A1011,".",'Смета ЕР (общ) '!$B1011,".",'Смета ЕР (общ) '!$D1011)</f>
        <v>Р8.1.27</v>
      </c>
      <c r="F1011" s="26">
        <f t="shared" si="88"/>
        <v>1</v>
      </c>
      <c r="G1011" s="58" t="s">
        <v>1087</v>
      </c>
      <c r="H1011" s="28" t="s">
        <v>118</v>
      </c>
      <c r="I1011" s="158"/>
      <c r="J1011" s="30">
        <v>26465.4</v>
      </c>
      <c r="K1011" s="30">
        <f>$Q$1*'[14] Кондиционеры бытовые'!N7</f>
        <v>26620.65</v>
      </c>
      <c r="L1011" s="30">
        <f t="shared" si="92"/>
        <v>26465.4</v>
      </c>
      <c r="M1011" s="30">
        <f t="shared" si="92"/>
        <v>26620.65</v>
      </c>
      <c r="N1011" s="30">
        <f>ROUND('Смета ЕР (общ) '!$I1011*'Смета ЕР (общ) '!$L1011,2)</f>
        <v>0</v>
      </c>
      <c r="O1011" s="30">
        <f>ROUND('Смета ЕР (общ) '!$I1011*'Смета ЕР (общ) '!$M1011,2)</f>
        <v>0</v>
      </c>
      <c r="P1011" s="55" t="s">
        <v>1085</v>
      </c>
    </row>
    <row r="1012" spans="1:20" ht="24" hidden="1" x14ac:dyDescent="0.3">
      <c r="A1012" s="26" t="s">
        <v>1081</v>
      </c>
      <c r="B1012" s="26">
        <v>1</v>
      </c>
      <c r="C1012" s="26"/>
      <c r="D1012" s="26">
        <v>28</v>
      </c>
      <c r="E1012" s="26" t="str">
        <f>CONCATENATE('Смета ЕР (общ) '!$A1012,".",'Смета ЕР (общ) '!$B1012,".",'Смета ЕР (общ) '!$D1012)</f>
        <v>Р8.1.28</v>
      </c>
      <c r="F1012" s="26">
        <f t="shared" si="88"/>
        <v>1</v>
      </c>
      <c r="G1012" s="58" t="s">
        <v>1088</v>
      </c>
      <c r="H1012" s="28" t="s">
        <v>118</v>
      </c>
      <c r="I1012" s="158"/>
      <c r="J1012" s="30">
        <v>26465.4</v>
      </c>
      <c r="K1012" s="30">
        <f>$Q$1*'[14] Кондиционеры бытовые'!N8</f>
        <v>42354.9</v>
      </c>
      <c r="L1012" s="30">
        <f t="shared" si="92"/>
        <v>26465.4</v>
      </c>
      <c r="M1012" s="30">
        <f t="shared" si="92"/>
        <v>42354.9</v>
      </c>
      <c r="N1012" s="30">
        <f>ROUND('Смета ЕР (общ) '!$I1012*'Смета ЕР (общ) '!$L1012,2)</f>
        <v>0</v>
      </c>
      <c r="O1012" s="30">
        <f>ROUND('Смета ЕР (общ) '!$I1012*'Смета ЕР (общ) '!$M1012,2)</f>
        <v>0</v>
      </c>
      <c r="P1012" s="55" t="s">
        <v>1085</v>
      </c>
    </row>
    <row r="1013" spans="1:20" ht="24" hidden="1" x14ac:dyDescent="0.3">
      <c r="A1013" s="26" t="s">
        <v>1081</v>
      </c>
      <c r="B1013" s="26">
        <v>1</v>
      </c>
      <c r="C1013" s="26"/>
      <c r="D1013" s="26">
        <v>29</v>
      </c>
      <c r="E1013" s="26" t="str">
        <f>CONCATENATE('Смета ЕР (общ) '!$A1013,".",'Смета ЕР (общ) '!$B1013,".",'Смета ЕР (общ) '!$D1013)</f>
        <v>Р8.1.29</v>
      </c>
      <c r="F1013" s="26">
        <f t="shared" si="88"/>
        <v>1</v>
      </c>
      <c r="G1013" s="58" t="s">
        <v>1089</v>
      </c>
      <c r="H1013" s="28" t="s">
        <v>118</v>
      </c>
      <c r="I1013" s="158"/>
      <c r="J1013" s="30">
        <v>26465.4</v>
      </c>
      <c r="K1013" s="30">
        <f>$Q$1*'[14] Кондиционеры бытовые'!N9</f>
        <v>56813.4</v>
      </c>
      <c r="L1013" s="30">
        <f t="shared" si="92"/>
        <v>26465.4</v>
      </c>
      <c r="M1013" s="30">
        <f t="shared" si="92"/>
        <v>56813.4</v>
      </c>
      <c r="N1013" s="30">
        <f>ROUND('Смета ЕР (общ) '!$I1013*'Смета ЕР (общ) '!$L1013,2)</f>
        <v>0</v>
      </c>
      <c r="O1013" s="30">
        <f>ROUND('Смета ЕР (общ) '!$I1013*'Смета ЕР (общ) '!$M1013,2)</f>
        <v>0</v>
      </c>
      <c r="P1013" s="55" t="s">
        <v>1085</v>
      </c>
    </row>
    <row r="1014" spans="1:20" ht="24" hidden="1" x14ac:dyDescent="0.3">
      <c r="A1014" s="26" t="s">
        <v>1081</v>
      </c>
      <c r="B1014" s="26">
        <v>1</v>
      </c>
      <c r="C1014" s="26"/>
      <c r="D1014" s="26">
        <v>7</v>
      </c>
      <c r="E1014" s="26" t="str">
        <f>CONCATENATE('Смета ЕР (общ) '!$A1014,".",'Смета ЕР (общ) '!$B1014,".",'Смета ЕР (общ) '!$D1014)</f>
        <v>Р8.1.7</v>
      </c>
      <c r="F1014" s="26">
        <f t="shared" si="88"/>
        <v>1</v>
      </c>
      <c r="G1014" s="47" t="s">
        <v>1090</v>
      </c>
      <c r="H1014" s="28" t="s">
        <v>118</v>
      </c>
      <c r="I1014" s="158"/>
      <c r="J1014" s="30">
        <v>3754.92</v>
      </c>
      <c r="K1014" s="30">
        <v>32802</v>
      </c>
      <c r="L1014" s="30">
        <f t="shared" si="92"/>
        <v>3754.92</v>
      </c>
      <c r="M1014" s="30">
        <f t="shared" si="92"/>
        <v>32802</v>
      </c>
      <c r="N1014" s="30">
        <f>ROUND('Смета ЕР (общ) '!$I1014*'Смета ЕР (общ) '!$L1014,2)</f>
        <v>0</v>
      </c>
      <c r="O1014" s="30">
        <f>ROUND('Смета ЕР (общ) '!$I1014*'Смета ЕР (общ) '!$M1014,2)</f>
        <v>0</v>
      </c>
      <c r="P1014" s="55"/>
      <c r="T1014">
        <v>1</v>
      </c>
    </row>
    <row r="1015" spans="1:20" ht="14.4" hidden="1" x14ac:dyDescent="0.3">
      <c r="A1015" s="26" t="s">
        <v>1081</v>
      </c>
      <c r="B1015" s="26">
        <v>1</v>
      </c>
      <c r="C1015" s="26"/>
      <c r="D1015" s="26">
        <v>23</v>
      </c>
      <c r="E1015" s="26" t="str">
        <f>CONCATENATE('Смета ЕР (общ) '!$A1015,".",'Смета ЕР (общ) '!$B1015,".",'Смета ЕР (общ) '!$D1015)</f>
        <v>Р8.1.23</v>
      </c>
      <c r="F1015" s="26">
        <f>IF(I1015&gt;0,F1014+1,F1014)</f>
        <v>1</v>
      </c>
      <c r="G1015" s="27" t="s">
        <v>1091</v>
      </c>
      <c r="H1015" s="28" t="s">
        <v>118</v>
      </c>
      <c r="I1015" s="158"/>
      <c r="J1015" s="30">
        <v>3754.92</v>
      </c>
      <c r="K1015" s="30">
        <v>14340.85</v>
      </c>
      <c r="L1015" s="30">
        <f>ROUND(J1015-J1015*$Q$3,2)</f>
        <v>3754.92</v>
      </c>
      <c r="M1015" s="30">
        <f>ROUND(K1015-K1015*$Q$3,2)</f>
        <v>14340.85</v>
      </c>
      <c r="N1015" s="30">
        <f>ROUND('Смета ЕР (общ) '!$I1015*'Смета ЕР (общ) '!$L1015,2)</f>
        <v>0</v>
      </c>
      <c r="O1015" s="30">
        <f>ROUND('Смета ЕР (общ) '!$I1015*'Смета ЕР (общ) '!$M1015,2)</f>
        <v>0</v>
      </c>
      <c r="P1015" s="45"/>
      <c r="T1015">
        <v>1</v>
      </c>
    </row>
    <row r="1016" spans="1:20" ht="14.4" hidden="1" x14ac:dyDescent="0.3">
      <c r="A1016" s="19" t="s">
        <v>1081</v>
      </c>
      <c r="B1016" s="19">
        <v>2</v>
      </c>
      <c r="C1016" s="19"/>
      <c r="D1016" s="19">
        <v>0</v>
      </c>
      <c r="E1016" s="19" t="str">
        <f>CONCATENATE('Смета ЕР (общ) '!$A1016,".",'Смета ЕР (общ) '!$B1016,".",'Смета ЕР (общ) '!$D1016)</f>
        <v>Р8.2.0</v>
      </c>
      <c r="F1016" s="19">
        <f t="shared" si="88"/>
        <v>1</v>
      </c>
      <c r="G1016" s="21" t="s">
        <v>1092</v>
      </c>
      <c r="H1016" s="121"/>
      <c r="I1016" s="122"/>
      <c r="J1016" s="36"/>
      <c r="K1016" s="36"/>
      <c r="L1016" s="90"/>
      <c r="M1016" s="90"/>
      <c r="N1016" s="90">
        <f>SUM(N1017:N1095)</f>
        <v>0</v>
      </c>
      <c r="O1016" s="90">
        <f>SUM(O1017:O1095)</f>
        <v>0</v>
      </c>
      <c r="P1016" s="45"/>
      <c r="T1016">
        <v>808389.71</v>
      </c>
    </row>
    <row r="1017" spans="1:20" ht="24" hidden="1" x14ac:dyDescent="0.3">
      <c r="A1017" s="26" t="s">
        <v>1081</v>
      </c>
      <c r="B1017" s="26">
        <v>2</v>
      </c>
      <c r="C1017" s="26"/>
      <c r="D1017" s="26">
        <v>2</v>
      </c>
      <c r="E1017" s="26" t="str">
        <f>CONCATENATE('Смета ЕР (общ) '!$A1017,".",'Смета ЕР (общ) '!$B1017,".",'Смета ЕР (общ) '!$D1017)</f>
        <v>Р8.2.2</v>
      </c>
      <c r="F1017" s="26">
        <f t="shared" si="88"/>
        <v>1</v>
      </c>
      <c r="G1017" s="41" t="s">
        <v>1093</v>
      </c>
      <c r="H1017" s="28" t="s">
        <v>118</v>
      </c>
      <c r="I1017" s="158"/>
      <c r="J1017" s="30">
        <v>23696.85</v>
      </c>
      <c r="K1017" s="30">
        <f>$Q$1*'[14] Кондиционеры бытовые'!K5</f>
        <v>17775.45</v>
      </c>
      <c r="L1017" s="30">
        <f t="shared" ref="L1017:M1080" si="93">ROUND(J1017-J1017*$Q$3,2)</f>
        <v>23696.85</v>
      </c>
      <c r="M1017" s="54">
        <f>K1017</f>
        <v>17775.45</v>
      </c>
      <c r="N1017" s="30">
        <f>ROUND('Смета ЕР (общ) '!$I1017*'Смета ЕР (общ) '!$L1017,2)</f>
        <v>0</v>
      </c>
      <c r="O1017" s="30">
        <f>ROUND('Смета ЕР (общ) '!$I1017*'Смета ЕР (общ) '!$M1017,2)</f>
        <v>0</v>
      </c>
      <c r="P1017" s="55" t="s">
        <v>1085</v>
      </c>
      <c r="Q1017" s="56"/>
    </row>
    <row r="1018" spans="1:20" ht="24" hidden="1" x14ac:dyDescent="0.3">
      <c r="A1018" s="26" t="s">
        <v>1081</v>
      </c>
      <c r="B1018" s="26">
        <v>2</v>
      </c>
      <c r="C1018" s="26"/>
      <c r="D1018" s="26">
        <v>3</v>
      </c>
      <c r="E1018" s="26" t="str">
        <f>CONCATENATE('Смета ЕР (общ) '!$A1018,".",'Смета ЕР (общ) '!$B1018,".",'Смета ЕР (общ) '!$D1018)</f>
        <v>Р8.2.3</v>
      </c>
      <c r="F1018" s="26">
        <f t="shared" si="88"/>
        <v>1</v>
      </c>
      <c r="G1018" s="41" t="s">
        <v>1094</v>
      </c>
      <c r="H1018" s="28" t="s">
        <v>118</v>
      </c>
      <c r="I1018" s="158"/>
      <c r="J1018" s="30">
        <v>23696.85</v>
      </c>
      <c r="K1018" s="30">
        <f>$Q$1*'[14] Кондиционеры бытовые'!K6</f>
        <v>19646.55</v>
      </c>
      <c r="L1018" s="30">
        <f t="shared" si="93"/>
        <v>23696.85</v>
      </c>
      <c r="M1018" s="54">
        <f t="shared" ref="M1018:M1079" si="94">K1018</f>
        <v>19646.55</v>
      </c>
      <c r="N1018" s="30">
        <f>ROUND('Смета ЕР (общ) '!$I1018*'Смета ЕР (общ) '!$L1018,2)</f>
        <v>0</v>
      </c>
      <c r="O1018" s="30">
        <f>ROUND('Смета ЕР (общ) '!$I1018*'Смета ЕР (общ) '!$M1018,2)</f>
        <v>0</v>
      </c>
      <c r="P1018" s="55" t="s">
        <v>1085</v>
      </c>
      <c r="Q1018" s="56"/>
      <c r="T1018">
        <v>1</v>
      </c>
    </row>
    <row r="1019" spans="1:20" ht="24" hidden="1" x14ac:dyDescent="0.3">
      <c r="A1019" s="26" t="s">
        <v>1081</v>
      </c>
      <c r="B1019" s="26">
        <v>2</v>
      </c>
      <c r="C1019" s="26"/>
      <c r="D1019" s="26">
        <v>21</v>
      </c>
      <c r="E1019" s="26" t="str">
        <f>CONCATENATE('Смета ЕР (общ) '!$A1019,".",'Смета ЕР (общ) '!$B1019,".",'Смета ЕР (общ) '!$D1019)</f>
        <v>Р8.2.21</v>
      </c>
      <c r="F1019" s="26">
        <f t="shared" si="88"/>
        <v>1</v>
      </c>
      <c r="G1019" s="41" t="s">
        <v>1095</v>
      </c>
      <c r="H1019" s="28" t="s">
        <v>118</v>
      </c>
      <c r="I1019" s="158"/>
      <c r="J1019" s="30">
        <v>23696.85</v>
      </c>
      <c r="K1019" s="30">
        <f>$Q$1*'[14] Кондиционеры бытовые'!K7</f>
        <v>24834.600000000002</v>
      </c>
      <c r="L1019" s="30">
        <f t="shared" si="93"/>
        <v>23696.85</v>
      </c>
      <c r="M1019" s="54">
        <f t="shared" si="94"/>
        <v>24834.600000000002</v>
      </c>
      <c r="N1019" s="30">
        <f>ROUND('Смета ЕР (общ) '!$I1019*'Смета ЕР (общ) '!$L1019,2)</f>
        <v>0</v>
      </c>
      <c r="O1019" s="30">
        <f>ROUND('Смета ЕР (общ) '!$I1019*'Смета ЕР (общ) '!$M1019,2)</f>
        <v>0</v>
      </c>
      <c r="P1019" s="55" t="s">
        <v>1085</v>
      </c>
      <c r="Q1019" s="56"/>
    </row>
    <row r="1020" spans="1:20" ht="24" hidden="1" x14ac:dyDescent="0.3">
      <c r="A1020" s="26" t="s">
        <v>1081</v>
      </c>
      <c r="B1020" s="26">
        <v>2</v>
      </c>
      <c r="C1020" s="26"/>
      <c r="D1020" s="26">
        <v>4</v>
      </c>
      <c r="E1020" s="26" t="str">
        <f>CONCATENATE('Смета ЕР (общ) '!$A1020,".",'Смета ЕР (общ) '!$B1020,".",'Смета ЕР (общ) '!$D1020)</f>
        <v>Р8.2.4</v>
      </c>
      <c r="F1020" s="26">
        <f t="shared" si="88"/>
        <v>1</v>
      </c>
      <c r="G1020" s="41" t="s">
        <v>1096</v>
      </c>
      <c r="H1020" s="28" t="s">
        <v>118</v>
      </c>
      <c r="I1020" s="158"/>
      <c r="J1020" s="30">
        <v>23696.85</v>
      </c>
      <c r="K1020" s="30">
        <f>$Q$1*'[14] Кондиционеры бытовые'!K8</f>
        <v>40653.9</v>
      </c>
      <c r="L1020" s="30">
        <f t="shared" si="93"/>
        <v>23696.85</v>
      </c>
      <c r="M1020" s="54">
        <f t="shared" si="94"/>
        <v>40653.9</v>
      </c>
      <c r="N1020" s="30">
        <f>ROUND('Смета ЕР (общ) '!$I1020*'Смета ЕР (общ) '!$L1020,2)</f>
        <v>0</v>
      </c>
      <c r="O1020" s="30">
        <f>ROUND('Смета ЕР (общ) '!$I1020*'Смета ЕР (общ) '!$M1020,2)</f>
        <v>0</v>
      </c>
      <c r="P1020" s="55" t="s">
        <v>1085</v>
      </c>
      <c r="Q1020" s="56"/>
    </row>
    <row r="1021" spans="1:20" ht="24" hidden="1" x14ac:dyDescent="0.3">
      <c r="A1021" s="26" t="s">
        <v>1081</v>
      </c>
      <c r="B1021" s="26">
        <v>2</v>
      </c>
      <c r="C1021" s="26"/>
      <c r="D1021" s="26">
        <v>5</v>
      </c>
      <c r="E1021" s="26" t="str">
        <f>CONCATENATE('Смета ЕР (общ) '!$A1021,".",'Смета ЕР (общ) '!$B1021,".",'Смета ЕР (общ) '!$D1021)</f>
        <v>Р8.2.5</v>
      </c>
      <c r="F1021" s="26">
        <f t="shared" si="88"/>
        <v>1</v>
      </c>
      <c r="G1021" s="41" t="s">
        <v>1097</v>
      </c>
      <c r="H1021" s="28" t="s">
        <v>118</v>
      </c>
      <c r="I1021" s="158"/>
      <c r="J1021" s="30">
        <v>23696.85</v>
      </c>
      <c r="K1021" s="30">
        <f>$Q$1*'[14] Кондиционеры бытовые'!K9</f>
        <v>54006.75</v>
      </c>
      <c r="L1021" s="30">
        <f t="shared" si="93"/>
        <v>23696.85</v>
      </c>
      <c r="M1021" s="54">
        <f t="shared" si="94"/>
        <v>54006.75</v>
      </c>
      <c r="N1021" s="30">
        <f>ROUND('Смета ЕР (общ) '!$I1021*'Смета ЕР (общ) '!$L1021,2)</f>
        <v>0</v>
      </c>
      <c r="O1021" s="30">
        <f>ROUND('Смета ЕР (общ) '!$I1021*'Смета ЕР (общ) '!$M1021,2)</f>
        <v>0</v>
      </c>
      <c r="P1021" s="55" t="s">
        <v>1085</v>
      </c>
      <c r="Q1021" s="56"/>
    </row>
    <row r="1022" spans="1:20" ht="24" hidden="1" x14ac:dyDescent="0.3">
      <c r="A1022" s="26" t="s">
        <v>1081</v>
      </c>
      <c r="B1022" s="26">
        <v>2</v>
      </c>
      <c r="C1022" s="26"/>
      <c r="D1022" s="26">
        <v>60</v>
      </c>
      <c r="E1022" s="26" t="str">
        <f>CONCATENATE('Смета ЕР (общ) '!$A1022,".",'Смета ЕР (общ) '!$B1022,".",'Смета ЕР (общ) '!$D1022)</f>
        <v>Р8.2.60</v>
      </c>
      <c r="F1022" s="26">
        <f t="shared" si="88"/>
        <v>1</v>
      </c>
      <c r="G1022" s="58" t="s">
        <v>1084</v>
      </c>
      <c r="H1022" s="28" t="s">
        <v>118</v>
      </c>
      <c r="I1022" s="158"/>
      <c r="J1022" s="30">
        <v>23696.85</v>
      </c>
      <c r="K1022" s="30">
        <f>$Q$1*'[14] Кондиционеры бытовые'!N5</f>
        <v>19391.400000000001</v>
      </c>
      <c r="L1022" s="30">
        <f t="shared" si="93"/>
        <v>23696.85</v>
      </c>
      <c r="M1022" s="54">
        <f t="shared" si="94"/>
        <v>19391.400000000001</v>
      </c>
      <c r="N1022" s="30">
        <f>ROUND('Смета ЕР (общ) '!$I1022*'Смета ЕР (общ) '!$L1022,2)</f>
        <v>0</v>
      </c>
      <c r="O1022" s="30">
        <f>ROUND('Смета ЕР (общ) '!$I1022*'Смета ЕР (общ) '!$M1022,2)</f>
        <v>0</v>
      </c>
      <c r="P1022" s="55" t="s">
        <v>1085</v>
      </c>
      <c r="Q1022" s="56"/>
    </row>
    <row r="1023" spans="1:20" ht="24" hidden="1" x14ac:dyDescent="0.3">
      <c r="A1023" s="26" t="s">
        <v>1081</v>
      </c>
      <c r="B1023" s="26">
        <v>2</v>
      </c>
      <c r="C1023" s="26"/>
      <c r="D1023" s="26">
        <v>61</v>
      </c>
      <c r="E1023" s="26" t="str">
        <f>CONCATENATE('Смета ЕР (общ) '!$A1023,".",'Смета ЕР (общ) '!$B1023,".",'Смета ЕР (общ) '!$D1023)</f>
        <v>Р8.2.61</v>
      </c>
      <c r="F1023" s="26">
        <f t="shared" si="88"/>
        <v>1</v>
      </c>
      <c r="G1023" s="58" t="s">
        <v>1086</v>
      </c>
      <c r="H1023" s="28" t="s">
        <v>118</v>
      </c>
      <c r="I1023" s="158"/>
      <c r="J1023" s="30">
        <v>23696.85</v>
      </c>
      <c r="K1023" s="30">
        <f>$Q$1*'[14] Кондиционеры бытовые'!N6</f>
        <v>21602.7</v>
      </c>
      <c r="L1023" s="30">
        <f t="shared" si="93"/>
        <v>23696.85</v>
      </c>
      <c r="M1023" s="54">
        <f t="shared" si="94"/>
        <v>21602.7</v>
      </c>
      <c r="N1023" s="30">
        <f>ROUND('Смета ЕР (общ) '!$I1023*'Смета ЕР (общ) '!$L1023,2)</f>
        <v>0</v>
      </c>
      <c r="O1023" s="30">
        <f>ROUND('Смета ЕР (общ) '!$I1023*'Смета ЕР (общ) '!$M1023,2)</f>
        <v>0</v>
      </c>
      <c r="P1023" s="55" t="s">
        <v>1085</v>
      </c>
      <c r="Q1023" s="56"/>
    </row>
    <row r="1024" spans="1:20" ht="24" hidden="1" x14ac:dyDescent="0.3">
      <c r="A1024" s="26" t="s">
        <v>1081</v>
      </c>
      <c r="B1024" s="26">
        <v>2</v>
      </c>
      <c r="C1024" s="26"/>
      <c r="D1024" s="26">
        <v>62</v>
      </c>
      <c r="E1024" s="26" t="str">
        <f>CONCATENATE('Смета ЕР (общ) '!$A1024,".",'Смета ЕР (общ) '!$B1024,".",'Смета ЕР (общ) '!$D1024)</f>
        <v>Р8.2.62</v>
      </c>
      <c r="F1024" s="26">
        <f t="shared" si="88"/>
        <v>1</v>
      </c>
      <c r="G1024" s="58" t="s">
        <v>1087</v>
      </c>
      <c r="H1024" s="28" t="s">
        <v>118</v>
      </c>
      <c r="I1024" s="158"/>
      <c r="J1024" s="30">
        <v>23696.85</v>
      </c>
      <c r="K1024" s="30">
        <f>$Q$1*'[14] Кондиционеры бытовые'!N7</f>
        <v>26620.65</v>
      </c>
      <c r="L1024" s="30">
        <f t="shared" si="93"/>
        <v>23696.85</v>
      </c>
      <c r="M1024" s="54">
        <f t="shared" si="94"/>
        <v>26620.65</v>
      </c>
      <c r="N1024" s="30">
        <f>ROUND('Смета ЕР (общ) '!$I1024*'Смета ЕР (общ) '!$L1024,2)</f>
        <v>0</v>
      </c>
      <c r="O1024" s="30">
        <f>ROUND('Смета ЕР (общ) '!$I1024*'Смета ЕР (общ) '!$M1024,2)</f>
        <v>0</v>
      </c>
      <c r="P1024" s="55" t="s">
        <v>1085</v>
      </c>
      <c r="Q1024" s="56"/>
    </row>
    <row r="1025" spans="1:20" ht="24" hidden="1" x14ac:dyDescent="0.3">
      <c r="A1025" s="26" t="s">
        <v>1081</v>
      </c>
      <c r="B1025" s="26">
        <v>2</v>
      </c>
      <c r="C1025" s="26"/>
      <c r="D1025" s="26">
        <v>63</v>
      </c>
      <c r="E1025" s="26" t="str">
        <f>CONCATENATE('Смета ЕР (общ) '!$A1025,".",'Смета ЕР (общ) '!$B1025,".",'Смета ЕР (общ) '!$D1025)</f>
        <v>Р8.2.63</v>
      </c>
      <c r="F1025" s="26">
        <f t="shared" si="88"/>
        <v>1</v>
      </c>
      <c r="G1025" s="58" t="s">
        <v>1088</v>
      </c>
      <c r="H1025" s="28" t="s">
        <v>118</v>
      </c>
      <c r="I1025" s="158"/>
      <c r="J1025" s="30">
        <v>23696.85</v>
      </c>
      <c r="K1025" s="30">
        <f>$Q$1*'[14] Кондиционеры бытовые'!N8</f>
        <v>42354.9</v>
      </c>
      <c r="L1025" s="30">
        <f t="shared" si="93"/>
        <v>23696.85</v>
      </c>
      <c r="M1025" s="54">
        <f t="shared" si="94"/>
        <v>42354.9</v>
      </c>
      <c r="N1025" s="30">
        <f>ROUND('Смета ЕР (общ) '!$I1025*'Смета ЕР (общ) '!$L1025,2)</f>
        <v>0</v>
      </c>
      <c r="O1025" s="30">
        <f>ROUND('Смета ЕР (общ) '!$I1025*'Смета ЕР (общ) '!$M1025,2)</f>
        <v>0</v>
      </c>
      <c r="P1025" s="55" t="s">
        <v>1085</v>
      </c>
      <c r="Q1025" s="56"/>
    </row>
    <row r="1026" spans="1:20" ht="24" hidden="1" x14ac:dyDescent="0.3">
      <c r="A1026" s="26" t="s">
        <v>1081</v>
      </c>
      <c r="B1026" s="26">
        <v>2</v>
      </c>
      <c r="C1026" s="26"/>
      <c r="D1026" s="26">
        <v>64</v>
      </c>
      <c r="E1026" s="26" t="str">
        <f>CONCATENATE('Смета ЕР (общ) '!$A1026,".",'Смета ЕР (общ) '!$B1026,".",'Смета ЕР (общ) '!$D1026)</f>
        <v>Р8.2.64</v>
      </c>
      <c r="F1026" s="26">
        <f t="shared" si="88"/>
        <v>1</v>
      </c>
      <c r="G1026" s="58" t="s">
        <v>1089</v>
      </c>
      <c r="H1026" s="28" t="s">
        <v>118</v>
      </c>
      <c r="I1026" s="158"/>
      <c r="J1026" s="30">
        <v>23696.85</v>
      </c>
      <c r="K1026" s="30">
        <f>$Q$1*'[14] Кондиционеры бытовые'!N9</f>
        <v>56813.4</v>
      </c>
      <c r="L1026" s="30">
        <f t="shared" si="93"/>
        <v>23696.85</v>
      </c>
      <c r="M1026" s="54">
        <f t="shared" si="94"/>
        <v>56813.4</v>
      </c>
      <c r="N1026" s="30">
        <f>ROUND('Смета ЕР (общ) '!$I1026*'Смета ЕР (общ) '!$L1026,2)</f>
        <v>0</v>
      </c>
      <c r="O1026" s="30">
        <f>ROUND('Смета ЕР (общ) '!$I1026*'Смета ЕР (общ) '!$M1026,2)</f>
        <v>0</v>
      </c>
      <c r="P1026" s="55" t="s">
        <v>1085</v>
      </c>
      <c r="Q1026" s="56"/>
    </row>
    <row r="1027" spans="1:20" ht="24" hidden="1" x14ac:dyDescent="0.3">
      <c r="A1027" s="26" t="s">
        <v>1081</v>
      </c>
      <c r="B1027" s="26">
        <v>2</v>
      </c>
      <c r="C1027" s="26"/>
      <c r="D1027" s="26">
        <v>65</v>
      </c>
      <c r="E1027" s="26" t="str">
        <f>CONCATENATE('Смета ЕР (общ) '!$A1027,".",'Смета ЕР (общ) '!$B1027,".",'Смета ЕР (общ) '!$D1027)</f>
        <v>Р8.2.65</v>
      </c>
      <c r="F1027" s="26">
        <f t="shared" si="88"/>
        <v>1</v>
      </c>
      <c r="G1027" s="58" t="s">
        <v>1098</v>
      </c>
      <c r="H1027" s="28" t="s">
        <v>118</v>
      </c>
      <c r="I1027" s="158"/>
      <c r="J1027" s="30">
        <v>19500.18</v>
      </c>
      <c r="K1027" s="30">
        <f>$Q$1*'[14] Кондиционеры бытовые'!N23</f>
        <v>64382.85</v>
      </c>
      <c r="L1027" s="30">
        <f t="shared" si="93"/>
        <v>19500.18</v>
      </c>
      <c r="M1027" s="54">
        <f t="shared" si="94"/>
        <v>64382.85</v>
      </c>
      <c r="N1027" s="30">
        <f>ROUND('Смета ЕР (общ) '!$I1027*'Смета ЕР (общ) '!$L1027,2)</f>
        <v>0</v>
      </c>
      <c r="O1027" s="30">
        <f>ROUND('Смета ЕР (общ) '!$I1027*'Смета ЕР (общ) '!$M1027,2)</f>
        <v>0</v>
      </c>
      <c r="P1027" s="55" t="s">
        <v>1085</v>
      </c>
      <c r="Q1027" s="56"/>
    </row>
    <row r="1028" spans="1:20" ht="24" hidden="1" x14ac:dyDescent="0.3">
      <c r="A1028" s="26" t="s">
        <v>1081</v>
      </c>
      <c r="B1028" s="26">
        <v>2</v>
      </c>
      <c r="C1028" s="26"/>
      <c r="D1028" s="26">
        <v>66</v>
      </c>
      <c r="E1028" s="26" t="str">
        <f>CONCATENATE('Смета ЕР (общ) '!$A1028,".",'Смета ЕР (общ) '!$B1028,".",'Смета ЕР (общ) '!$D1028)</f>
        <v>Р8.2.66</v>
      </c>
      <c r="F1028" s="26">
        <f t="shared" si="88"/>
        <v>1</v>
      </c>
      <c r="G1028" s="58" t="s">
        <v>1099</v>
      </c>
      <c r="H1028" s="28" t="s">
        <v>118</v>
      </c>
      <c r="I1028" s="158"/>
      <c r="J1028" s="30">
        <v>20038.87</v>
      </c>
      <c r="K1028" s="30">
        <f>$Q$1*'[14] Кондиционеры бытовые'!N24</f>
        <v>92789.55</v>
      </c>
      <c r="L1028" s="30">
        <f t="shared" si="93"/>
        <v>20038.87</v>
      </c>
      <c r="M1028" s="54">
        <f t="shared" si="94"/>
        <v>92789.55</v>
      </c>
      <c r="N1028" s="30">
        <f>ROUND('Смета ЕР (общ) '!$I1028*'Смета ЕР (общ) '!$L1028,2)</f>
        <v>0</v>
      </c>
      <c r="O1028" s="30">
        <f>ROUND('Смета ЕР (общ) '!$I1028*'Смета ЕР (общ) '!$M1028,2)</f>
        <v>0</v>
      </c>
      <c r="P1028" s="55" t="s">
        <v>1085</v>
      </c>
      <c r="Q1028" s="56"/>
    </row>
    <row r="1029" spans="1:20" ht="24" hidden="1" x14ac:dyDescent="0.3">
      <c r="A1029" s="26" t="s">
        <v>1081</v>
      </c>
      <c r="B1029" s="26">
        <v>2</v>
      </c>
      <c r="C1029" s="26"/>
      <c r="D1029" s="26">
        <v>67</v>
      </c>
      <c r="E1029" s="26" t="str">
        <f>CONCATENATE('Смета ЕР (общ) '!$A1029,".",'Смета ЕР (общ) '!$B1029,".",'Смета ЕР (общ) '!$D1029)</f>
        <v>Р8.2.67</v>
      </c>
      <c r="F1029" s="26">
        <f t="shared" si="88"/>
        <v>1</v>
      </c>
      <c r="G1029" s="58" t="s">
        <v>1100</v>
      </c>
      <c r="H1029" s="28" t="s">
        <v>118</v>
      </c>
      <c r="I1029" s="158"/>
      <c r="J1029" s="30">
        <v>20362.07</v>
      </c>
      <c r="K1029" s="30">
        <f>$Q$1*'[14] Кондиционеры бытовые'!N25</f>
        <v>113286.6</v>
      </c>
      <c r="L1029" s="30">
        <f t="shared" si="93"/>
        <v>20362.07</v>
      </c>
      <c r="M1029" s="54">
        <f t="shared" si="94"/>
        <v>113286.6</v>
      </c>
      <c r="N1029" s="30">
        <f>ROUND('Смета ЕР (общ) '!$I1029*'Смета ЕР (общ) '!$L1029,2)</f>
        <v>0</v>
      </c>
      <c r="O1029" s="30">
        <f>ROUND('Смета ЕР (общ) '!$I1029*'Смета ЕР (общ) '!$M1029,2)</f>
        <v>0</v>
      </c>
      <c r="P1029" s="55" t="s">
        <v>1085</v>
      </c>
      <c r="Q1029" s="56"/>
    </row>
    <row r="1030" spans="1:20" ht="24" hidden="1" x14ac:dyDescent="0.3">
      <c r="A1030" s="26" t="s">
        <v>1081</v>
      </c>
      <c r="B1030" s="26">
        <v>2</v>
      </c>
      <c r="C1030" s="26"/>
      <c r="D1030" s="26">
        <v>68</v>
      </c>
      <c r="E1030" s="26" t="str">
        <f>CONCATENATE('Смета ЕР (общ) '!$A1030,".",'Смета ЕР (общ) '!$B1030,".",'Смета ЕР (общ) '!$D1030)</f>
        <v>Р8.2.68</v>
      </c>
      <c r="F1030" s="26">
        <f t="shared" si="88"/>
        <v>1</v>
      </c>
      <c r="G1030" s="58" t="s">
        <v>1101</v>
      </c>
      <c r="H1030" s="28" t="s">
        <v>118</v>
      </c>
      <c r="I1030" s="158"/>
      <c r="J1030" s="30">
        <v>21547.17</v>
      </c>
      <c r="K1030" s="30">
        <f>$Q$1*'[14] Кондиционеры бытовые'!N26</f>
        <v>131232.15</v>
      </c>
      <c r="L1030" s="30">
        <f t="shared" si="93"/>
        <v>21547.17</v>
      </c>
      <c r="M1030" s="54">
        <f t="shared" si="94"/>
        <v>131232.15</v>
      </c>
      <c r="N1030" s="30">
        <f>ROUND('Смета ЕР (общ) '!$I1030*'Смета ЕР (общ) '!$L1030,2)</f>
        <v>0</v>
      </c>
      <c r="O1030" s="30">
        <f>ROUND('Смета ЕР (общ) '!$I1030*'Смета ЕР (общ) '!$M1030,2)</f>
        <v>0</v>
      </c>
      <c r="P1030" s="55" t="s">
        <v>1085</v>
      </c>
      <c r="Q1030" s="56"/>
    </row>
    <row r="1031" spans="1:20" ht="24" hidden="1" x14ac:dyDescent="0.3">
      <c r="A1031" s="26" t="s">
        <v>1081</v>
      </c>
      <c r="B1031" s="26">
        <v>2</v>
      </c>
      <c r="C1031" s="26"/>
      <c r="D1031" s="26">
        <v>69</v>
      </c>
      <c r="E1031" s="26" t="str">
        <f>CONCATENATE('Смета ЕР (общ) '!$A1031,".",'Смета ЕР (общ) '!$B1031,".",'Смета ЕР (общ) '!$D1031)</f>
        <v>Р8.2.69</v>
      </c>
      <c r="F1031" s="26">
        <f t="shared" si="88"/>
        <v>1</v>
      </c>
      <c r="G1031" s="58" t="s">
        <v>1102</v>
      </c>
      <c r="H1031" s="28" t="s">
        <v>118</v>
      </c>
      <c r="I1031" s="158"/>
      <c r="J1031" s="30">
        <v>18668.68</v>
      </c>
      <c r="K1031" s="30">
        <f>$Q$1*'[14] Кондиционеры бытовые'!N10</f>
        <v>45671.85</v>
      </c>
      <c r="L1031" s="30">
        <f t="shared" si="93"/>
        <v>18668.68</v>
      </c>
      <c r="M1031" s="54">
        <f t="shared" si="94"/>
        <v>45671.85</v>
      </c>
      <c r="N1031" s="30">
        <f>ROUND('Смета ЕР (общ) '!$I1031*'Смета ЕР (общ) '!$L1031,2)</f>
        <v>0</v>
      </c>
      <c r="O1031" s="30">
        <f>ROUND('Смета ЕР (общ) '!$I1031*'Смета ЕР (общ) '!$M1031,2)</f>
        <v>0</v>
      </c>
      <c r="P1031" s="55" t="s">
        <v>1085</v>
      </c>
      <c r="Q1031" s="56"/>
    </row>
    <row r="1032" spans="1:20" ht="24" hidden="1" x14ac:dyDescent="0.3">
      <c r="A1032" s="26" t="s">
        <v>1081</v>
      </c>
      <c r="B1032" s="26">
        <v>2</v>
      </c>
      <c r="C1032" s="26"/>
      <c r="D1032" s="26">
        <v>70</v>
      </c>
      <c r="E1032" s="26" t="str">
        <f>CONCATENATE('Смета ЕР (общ) '!$A1032,".",'Смета ЕР (общ) '!$B1032,".",'Смета ЕР (общ) '!$D1032)</f>
        <v>Р8.2.70</v>
      </c>
      <c r="F1032" s="26">
        <f t="shared" si="88"/>
        <v>1</v>
      </c>
      <c r="G1032" s="58" t="s">
        <v>1103</v>
      </c>
      <c r="H1032" s="28" t="s">
        <v>118</v>
      </c>
      <c r="I1032" s="158"/>
      <c r="J1032" s="30">
        <v>18668.68</v>
      </c>
      <c r="K1032" s="30">
        <f>$Q$1*'[14] Кондиционеры бытовые'!N11</f>
        <v>49924.35</v>
      </c>
      <c r="L1032" s="30">
        <f t="shared" si="93"/>
        <v>18668.68</v>
      </c>
      <c r="M1032" s="54">
        <f t="shared" si="94"/>
        <v>49924.35</v>
      </c>
      <c r="N1032" s="30">
        <f>ROUND('Смета ЕР (общ) '!$I1032*'Смета ЕР (общ) '!$L1032,2)</f>
        <v>0</v>
      </c>
      <c r="O1032" s="30">
        <f>ROUND('Смета ЕР (общ) '!$I1032*'Смета ЕР (общ) '!$M1032,2)</f>
        <v>0</v>
      </c>
      <c r="P1032" s="55" t="s">
        <v>1085</v>
      </c>
      <c r="Q1032" s="56"/>
    </row>
    <row r="1033" spans="1:20" ht="24" hidden="1" x14ac:dyDescent="0.3">
      <c r="A1033" s="26" t="s">
        <v>1081</v>
      </c>
      <c r="B1033" s="26">
        <v>2</v>
      </c>
      <c r="C1033" s="26"/>
      <c r="D1033" s="26">
        <v>71</v>
      </c>
      <c r="E1033" s="26" t="str">
        <f>CONCATENATE('Смета ЕР (общ) '!$A1033,".",'Смета ЕР (общ) '!$B1033,".",'Смета ЕР (общ) '!$D1033)</f>
        <v>Р8.2.71</v>
      </c>
      <c r="F1033" s="26">
        <f t="shared" si="88"/>
        <v>1</v>
      </c>
      <c r="G1033" s="58" t="s">
        <v>1104</v>
      </c>
      <c r="H1033" s="28" t="s">
        <v>118</v>
      </c>
      <c r="I1033" s="158"/>
      <c r="J1033" s="30">
        <v>19500.18</v>
      </c>
      <c r="K1033" s="30">
        <f>$Q$1*'[14] Кондиционеры бытовые'!N12</f>
        <v>65403.450000000004</v>
      </c>
      <c r="L1033" s="30">
        <f t="shared" si="93"/>
        <v>19500.18</v>
      </c>
      <c r="M1033" s="54">
        <f t="shared" si="94"/>
        <v>65403.450000000004</v>
      </c>
      <c r="N1033" s="30">
        <f>ROUND('Смета ЕР (общ) '!$I1033*'Смета ЕР (общ) '!$L1033,2)</f>
        <v>0</v>
      </c>
      <c r="O1033" s="30">
        <f>ROUND('Смета ЕР (общ) '!$I1033*'Смета ЕР (общ) '!$M1033,2)</f>
        <v>0</v>
      </c>
      <c r="P1033" s="55" t="s">
        <v>1085</v>
      </c>
      <c r="Q1033" s="56"/>
    </row>
    <row r="1034" spans="1:20" ht="24" hidden="1" x14ac:dyDescent="0.3">
      <c r="A1034" s="26" t="s">
        <v>1081</v>
      </c>
      <c r="B1034" s="26">
        <v>2</v>
      </c>
      <c r="C1034" s="26"/>
      <c r="D1034" s="26">
        <v>72</v>
      </c>
      <c r="E1034" s="26" t="str">
        <f>CONCATENATE('Смета ЕР (общ) '!$A1034,".",'Смета ЕР (общ) '!$B1034,".",'Смета ЕР (общ) '!$D1034)</f>
        <v>Р8.2.72</v>
      </c>
      <c r="F1034" s="26">
        <f t="shared" si="88"/>
        <v>1</v>
      </c>
      <c r="G1034" s="58" t="s">
        <v>1105</v>
      </c>
      <c r="H1034" s="28" t="s">
        <v>118</v>
      </c>
      <c r="I1034" s="158"/>
      <c r="J1034" s="30">
        <v>20038.87</v>
      </c>
      <c r="K1034" s="30">
        <f>$Q$1*'[14] Кондиционеры бытовые'!N14</f>
        <v>90493.2</v>
      </c>
      <c r="L1034" s="30">
        <f t="shared" si="93"/>
        <v>20038.87</v>
      </c>
      <c r="M1034" s="54">
        <f t="shared" si="94"/>
        <v>90493.2</v>
      </c>
      <c r="N1034" s="30">
        <f>ROUND('Смета ЕР (общ) '!$I1034*'Смета ЕР (общ) '!$L1034,2)</f>
        <v>0</v>
      </c>
      <c r="O1034" s="30">
        <f>ROUND('Смета ЕР (общ) '!$I1034*'Смета ЕР (общ) '!$M1034,2)</f>
        <v>0</v>
      </c>
      <c r="P1034" s="55" t="s">
        <v>1085</v>
      </c>
      <c r="Q1034" s="56"/>
    </row>
    <row r="1035" spans="1:20" ht="24" hidden="1" x14ac:dyDescent="0.3">
      <c r="A1035" s="26" t="s">
        <v>1081</v>
      </c>
      <c r="B1035" s="26">
        <v>2</v>
      </c>
      <c r="C1035" s="26"/>
      <c r="D1035" s="26">
        <v>73</v>
      </c>
      <c r="E1035" s="26" t="str">
        <f>CONCATENATE('Смета ЕР (общ) '!$A1035,".",'Смета ЕР (общ) '!$B1035,".",'Смета ЕР (общ) '!$D1035)</f>
        <v>Р8.2.73</v>
      </c>
      <c r="F1035" s="26">
        <f t="shared" si="88"/>
        <v>1</v>
      </c>
      <c r="G1035" s="58" t="s">
        <v>1106</v>
      </c>
      <c r="H1035" s="28" t="s">
        <v>118</v>
      </c>
      <c r="I1035" s="158"/>
      <c r="J1035" s="30">
        <v>20038.87</v>
      </c>
      <c r="K1035" s="30">
        <f>$Q$1*'[14] Кондиционеры бытовые'!N15</f>
        <v>103335.75</v>
      </c>
      <c r="L1035" s="30">
        <f t="shared" si="93"/>
        <v>20038.87</v>
      </c>
      <c r="M1035" s="54">
        <f t="shared" si="94"/>
        <v>103335.75</v>
      </c>
      <c r="N1035" s="30">
        <f>ROUND('Смета ЕР (общ) '!$I1035*'Смета ЕР (общ) '!$L1035,2)</f>
        <v>0</v>
      </c>
      <c r="O1035" s="30">
        <f>ROUND('Смета ЕР (общ) '!$I1035*'Смета ЕР (общ) '!$M1035,2)</f>
        <v>0</v>
      </c>
      <c r="P1035" s="55" t="s">
        <v>1085</v>
      </c>
      <c r="Q1035" s="56"/>
    </row>
    <row r="1036" spans="1:20" ht="24" hidden="1" x14ac:dyDescent="0.3">
      <c r="A1036" s="26" t="s">
        <v>1081</v>
      </c>
      <c r="B1036" s="26">
        <v>2</v>
      </c>
      <c r="C1036" s="26"/>
      <c r="D1036" s="26">
        <v>74</v>
      </c>
      <c r="E1036" s="26" t="str">
        <f>CONCATENATE('Смета ЕР (общ) '!$A1036,".",'Смета ЕР (общ) '!$B1036,".",'Смета ЕР (общ) '!$D1036)</f>
        <v>Р8.2.74</v>
      </c>
      <c r="F1036" s="26">
        <f t="shared" si="88"/>
        <v>1</v>
      </c>
      <c r="G1036" s="58" t="s">
        <v>1107</v>
      </c>
      <c r="H1036" s="28" t="s">
        <v>118</v>
      </c>
      <c r="I1036" s="158"/>
      <c r="J1036" s="30">
        <v>20038.87</v>
      </c>
      <c r="K1036" s="30">
        <f>$Q$1*'[14] Кондиционеры бытовые'!N16</f>
        <v>132167.70000000001</v>
      </c>
      <c r="L1036" s="30">
        <f t="shared" si="93"/>
        <v>20038.87</v>
      </c>
      <c r="M1036" s="54">
        <f t="shared" si="94"/>
        <v>132167.70000000001</v>
      </c>
      <c r="N1036" s="30">
        <f>ROUND('Смета ЕР (общ) '!$I1036*'Смета ЕР (общ) '!$L1036,2)</f>
        <v>0</v>
      </c>
      <c r="O1036" s="30">
        <f>ROUND('Смета ЕР (общ) '!$I1036*'Смета ЕР (общ) '!$M1036,2)</f>
        <v>0</v>
      </c>
      <c r="P1036" s="55" t="s">
        <v>1085</v>
      </c>
      <c r="Q1036" s="56"/>
    </row>
    <row r="1037" spans="1:20" ht="24" hidden="1" x14ac:dyDescent="0.3">
      <c r="A1037" s="26" t="s">
        <v>1081</v>
      </c>
      <c r="B1037" s="26">
        <v>2</v>
      </c>
      <c r="C1037" s="26"/>
      <c r="D1037" s="26">
        <v>29</v>
      </c>
      <c r="E1037" s="26" t="str">
        <f>CONCATENATE('Смета ЕР (общ) '!$A1037,".",'Смета ЕР (общ) '!$B1037,".",'Смета ЕР (общ) '!$D1037)</f>
        <v>Р8.2.29</v>
      </c>
      <c r="F1037" s="26">
        <f t="shared" si="88"/>
        <v>1</v>
      </c>
      <c r="G1037" s="41" t="s">
        <v>1108</v>
      </c>
      <c r="H1037" s="28" t="s">
        <v>118</v>
      </c>
      <c r="I1037" s="158"/>
      <c r="J1037" s="30">
        <v>11164.47</v>
      </c>
      <c r="K1037" s="30">
        <f>$Q$1*'[14]Кондиционеры Haier VRF'!J28</f>
        <v>21687.75</v>
      </c>
      <c r="L1037" s="30">
        <f t="shared" si="93"/>
        <v>11164.47</v>
      </c>
      <c r="M1037" s="54">
        <f t="shared" si="94"/>
        <v>21687.75</v>
      </c>
      <c r="N1037" s="30">
        <f>ROUND('Смета ЕР (общ) '!$I1037*'Смета ЕР (общ) '!$L1037,2)</f>
        <v>0</v>
      </c>
      <c r="O1037" s="30">
        <f>ROUND('Смета ЕР (общ) '!$I1037*'Смета ЕР (общ) '!$M1037,2)</f>
        <v>0</v>
      </c>
      <c r="P1037" s="61" t="s">
        <v>1109</v>
      </c>
      <c r="Q1037" s="56"/>
      <c r="T1037">
        <v>6</v>
      </c>
    </row>
    <row r="1038" spans="1:20" ht="24" hidden="1" x14ac:dyDescent="0.3">
      <c r="A1038" s="26" t="s">
        <v>1081</v>
      </c>
      <c r="B1038" s="26">
        <v>2</v>
      </c>
      <c r="C1038" s="26"/>
      <c r="D1038" s="26">
        <v>1</v>
      </c>
      <c r="E1038" s="26" t="str">
        <f>CONCATENATE('Смета ЕР (общ) '!$A1038,".",'Смета ЕР (общ) '!$B1038,".",'Смета ЕР (общ) '!$D1038)</f>
        <v>Р8.2.1</v>
      </c>
      <c r="F1038" s="26">
        <f t="shared" si="88"/>
        <v>1</v>
      </c>
      <c r="G1038" s="41" t="s">
        <v>1110</v>
      </c>
      <c r="H1038" s="28" t="s">
        <v>118</v>
      </c>
      <c r="I1038" s="158"/>
      <c r="J1038" s="30">
        <v>11164.47</v>
      </c>
      <c r="K1038" s="30">
        <f>$Q$1*'[14]Кондиционеры Haier VRF'!J29</f>
        <v>21857.850000000002</v>
      </c>
      <c r="L1038" s="30">
        <f t="shared" si="93"/>
        <v>11164.47</v>
      </c>
      <c r="M1038" s="54">
        <f t="shared" si="94"/>
        <v>21857.850000000002</v>
      </c>
      <c r="N1038" s="30">
        <f>ROUND('Смета ЕР (общ) '!$I1038*'Смета ЕР (общ) '!$L1038,2)</f>
        <v>0</v>
      </c>
      <c r="O1038" s="30">
        <f>ROUND('Смета ЕР (общ) '!$I1038*'Смета ЕР (общ) '!$M1038,2)</f>
        <v>0</v>
      </c>
      <c r="P1038" s="61" t="s">
        <v>1109</v>
      </c>
      <c r="Q1038" s="56"/>
    </row>
    <row r="1039" spans="1:20" ht="24" hidden="1" x14ac:dyDescent="0.3">
      <c r="A1039" s="26" t="s">
        <v>1081</v>
      </c>
      <c r="B1039" s="26">
        <v>2</v>
      </c>
      <c r="C1039" s="26"/>
      <c r="D1039" s="26">
        <v>23</v>
      </c>
      <c r="E1039" s="26" t="str">
        <f>CONCATENATE('Смета ЕР (общ) '!$A1039,".",'Смета ЕР (общ) '!$B1039,".",'Смета ЕР (общ) '!$D1039)</f>
        <v>Р8.2.23</v>
      </c>
      <c r="F1039" s="26">
        <f t="shared" si="88"/>
        <v>1</v>
      </c>
      <c r="G1039" s="41" t="s">
        <v>1111</v>
      </c>
      <c r="H1039" s="28" t="s">
        <v>118</v>
      </c>
      <c r="I1039" s="158"/>
      <c r="J1039" s="30">
        <v>11164.47</v>
      </c>
      <c r="K1039" s="30">
        <f>$Q$1*'[14]Кондиционеры Haier VRF'!J30</f>
        <v>22027.95</v>
      </c>
      <c r="L1039" s="30">
        <f t="shared" si="93"/>
        <v>11164.47</v>
      </c>
      <c r="M1039" s="54">
        <f t="shared" si="94"/>
        <v>22027.95</v>
      </c>
      <c r="N1039" s="30">
        <f>ROUND('Смета ЕР (общ) '!$I1039*'Смета ЕР (общ) '!$L1039,2)</f>
        <v>0</v>
      </c>
      <c r="O1039" s="30">
        <f>ROUND('Смета ЕР (общ) '!$I1039*'Смета ЕР (общ) '!$M1039,2)</f>
        <v>0</v>
      </c>
      <c r="P1039" s="61" t="s">
        <v>1109</v>
      </c>
      <c r="Q1039" s="56"/>
    </row>
    <row r="1040" spans="1:20" ht="24" hidden="1" x14ac:dyDescent="0.3">
      <c r="A1040" s="26" t="s">
        <v>1081</v>
      </c>
      <c r="B1040" s="26">
        <v>2</v>
      </c>
      <c r="C1040" s="26"/>
      <c r="D1040" s="26">
        <v>24</v>
      </c>
      <c r="E1040" s="26" t="str">
        <f>CONCATENATE('Смета ЕР (общ) '!$A1040,".",'Смета ЕР (общ) '!$B1040,".",'Смета ЕР (общ) '!$D1040)</f>
        <v>Р8.2.24</v>
      </c>
      <c r="F1040" s="26">
        <f t="shared" si="88"/>
        <v>1</v>
      </c>
      <c r="G1040" s="41" t="s">
        <v>1112</v>
      </c>
      <c r="H1040" s="28" t="s">
        <v>118</v>
      </c>
      <c r="I1040" s="158"/>
      <c r="J1040" s="30">
        <v>13211.43</v>
      </c>
      <c r="K1040" s="30">
        <f>$Q$1*'[14]Кондиционеры Haier VRF'!J31</f>
        <v>22538.25</v>
      </c>
      <c r="L1040" s="30">
        <f t="shared" si="93"/>
        <v>13211.43</v>
      </c>
      <c r="M1040" s="54">
        <f t="shared" si="94"/>
        <v>22538.25</v>
      </c>
      <c r="N1040" s="30">
        <f>ROUND('Смета ЕР (общ) '!$I1040*'Смета ЕР (общ) '!$L1040,2)</f>
        <v>0</v>
      </c>
      <c r="O1040" s="30">
        <f>ROUND('Смета ЕР (общ) '!$I1040*'Смета ЕР (общ) '!$M1040,2)</f>
        <v>0</v>
      </c>
      <c r="P1040" s="61" t="s">
        <v>1109</v>
      </c>
      <c r="Q1040" s="56"/>
    </row>
    <row r="1041" spans="1:17" ht="24" hidden="1" x14ac:dyDescent="0.3">
      <c r="A1041" s="26" t="s">
        <v>1081</v>
      </c>
      <c r="B1041" s="26">
        <v>2</v>
      </c>
      <c r="C1041" s="26"/>
      <c r="D1041" s="26">
        <v>25</v>
      </c>
      <c r="E1041" s="26" t="str">
        <f>CONCATENATE('Смета ЕР (общ) '!$A1041,".",'Смета ЕР (общ) '!$B1041,".",'Смета ЕР (общ) '!$D1041)</f>
        <v>Р8.2.25</v>
      </c>
      <c r="F1041" s="26">
        <f t="shared" si="88"/>
        <v>1</v>
      </c>
      <c r="G1041" s="41" t="s">
        <v>1113</v>
      </c>
      <c r="H1041" s="28" t="s">
        <v>118</v>
      </c>
      <c r="I1041" s="158"/>
      <c r="J1041" s="30">
        <v>13211.43</v>
      </c>
      <c r="K1041" s="30">
        <f>$Q$1*'[14]Кондиционеры Haier VRF'!J32</f>
        <v>24749.55</v>
      </c>
      <c r="L1041" s="30">
        <f t="shared" si="93"/>
        <v>13211.43</v>
      </c>
      <c r="M1041" s="54">
        <f t="shared" si="94"/>
        <v>24749.55</v>
      </c>
      <c r="N1041" s="30">
        <f>ROUND('Смета ЕР (общ) '!$I1041*'Смета ЕР (общ) '!$L1041,2)</f>
        <v>0</v>
      </c>
      <c r="O1041" s="30">
        <f>ROUND('Смета ЕР (общ) '!$I1041*'Смета ЕР (общ) '!$M1041,2)</f>
        <v>0</v>
      </c>
      <c r="P1041" s="61" t="s">
        <v>1109</v>
      </c>
      <c r="Q1041" s="56"/>
    </row>
    <row r="1042" spans="1:17" ht="24" hidden="1" x14ac:dyDescent="0.3">
      <c r="A1042" s="26" t="s">
        <v>1081</v>
      </c>
      <c r="B1042" s="26">
        <v>2</v>
      </c>
      <c r="C1042" s="26"/>
      <c r="D1042" s="26">
        <v>26</v>
      </c>
      <c r="E1042" s="26" t="str">
        <f>CONCATENATE('Смета ЕР (общ) '!$A1042,".",'Смета ЕР (общ) '!$B1042,".",'Смета ЕР (общ) '!$D1042)</f>
        <v>Р8.2.26</v>
      </c>
      <c r="F1042" s="26">
        <f t="shared" si="88"/>
        <v>1</v>
      </c>
      <c r="G1042" s="41" t="s">
        <v>1114</v>
      </c>
      <c r="H1042" s="28" t="s">
        <v>118</v>
      </c>
      <c r="I1042" s="158"/>
      <c r="J1042" s="30">
        <v>13211.43</v>
      </c>
      <c r="K1042" s="30">
        <f>$Q$1*'[14]Кондиционеры Haier VRF'!J33</f>
        <v>26450.55</v>
      </c>
      <c r="L1042" s="30">
        <f t="shared" si="93"/>
        <v>13211.43</v>
      </c>
      <c r="M1042" s="54">
        <f t="shared" si="94"/>
        <v>26450.55</v>
      </c>
      <c r="N1042" s="30">
        <f>ROUND('Смета ЕР (общ) '!$I1042*'Смета ЕР (общ) '!$L1042,2)</f>
        <v>0</v>
      </c>
      <c r="O1042" s="30">
        <f>ROUND('Смета ЕР (общ) '!$I1042*'Смета ЕР (общ) '!$M1042,2)</f>
        <v>0</v>
      </c>
      <c r="P1042" s="61" t="s">
        <v>1109</v>
      </c>
      <c r="Q1042" s="56"/>
    </row>
    <row r="1043" spans="1:17" ht="24" hidden="1" x14ac:dyDescent="0.3">
      <c r="A1043" s="26" t="s">
        <v>1081</v>
      </c>
      <c r="B1043" s="26">
        <v>2</v>
      </c>
      <c r="C1043" s="26"/>
      <c r="D1043" s="26">
        <v>27</v>
      </c>
      <c r="E1043" s="26" t="str">
        <f>CONCATENATE('Смета ЕР (общ) '!$A1043,".",'Смета ЕР (общ) '!$B1043,".",'Смета ЕР (общ) '!$D1043)</f>
        <v>Р8.2.27</v>
      </c>
      <c r="F1043" s="26">
        <f t="shared" si="88"/>
        <v>1</v>
      </c>
      <c r="G1043" s="41" t="s">
        <v>1115</v>
      </c>
      <c r="H1043" s="28" t="s">
        <v>118</v>
      </c>
      <c r="I1043" s="158"/>
      <c r="J1043" s="30">
        <v>13211.43</v>
      </c>
      <c r="K1043" s="30">
        <f>$Q$1*'[14]Кондиционеры Haier VRF'!J34</f>
        <v>28321.65</v>
      </c>
      <c r="L1043" s="30">
        <f t="shared" si="93"/>
        <v>13211.43</v>
      </c>
      <c r="M1043" s="54">
        <f t="shared" si="94"/>
        <v>28321.65</v>
      </c>
      <c r="N1043" s="30">
        <f>ROUND('Смета ЕР (общ) '!$I1043*'Смета ЕР (общ) '!$L1043,2)</f>
        <v>0</v>
      </c>
      <c r="O1043" s="30">
        <f>ROUND('Смета ЕР (общ) '!$I1043*'Смета ЕР (общ) '!$M1043,2)</f>
        <v>0</v>
      </c>
      <c r="P1043" s="61" t="s">
        <v>1109</v>
      </c>
      <c r="Q1043" s="56"/>
    </row>
    <row r="1044" spans="1:17" ht="24" hidden="1" x14ac:dyDescent="0.3">
      <c r="A1044" s="26" t="s">
        <v>1081</v>
      </c>
      <c r="B1044" s="26">
        <v>2</v>
      </c>
      <c r="C1044" s="26"/>
      <c r="D1044" s="26">
        <v>28</v>
      </c>
      <c r="E1044" s="26" t="str">
        <f>CONCATENATE('Смета ЕР (общ) '!$A1044,".",'Смета ЕР (общ) '!$B1044,".",'Смета ЕР (общ) '!$D1044)</f>
        <v>Р8.2.28</v>
      </c>
      <c r="F1044" s="26">
        <f t="shared" si="88"/>
        <v>1</v>
      </c>
      <c r="G1044" s="41" t="s">
        <v>1116</v>
      </c>
      <c r="H1044" s="28" t="s">
        <v>118</v>
      </c>
      <c r="I1044" s="158"/>
      <c r="J1044" s="30">
        <v>11164.47</v>
      </c>
      <c r="K1044" s="30">
        <f>$Q$1*'[14]Кондиционеры Haier VRF'!J37</f>
        <v>25004.7</v>
      </c>
      <c r="L1044" s="30">
        <f t="shared" si="93"/>
        <v>11164.47</v>
      </c>
      <c r="M1044" s="54">
        <f t="shared" si="94"/>
        <v>25004.7</v>
      </c>
      <c r="N1044" s="30">
        <f>ROUND('Смета ЕР (общ) '!$I1044*'Смета ЕР (общ) '!$L1044,2)</f>
        <v>0</v>
      </c>
      <c r="O1044" s="30">
        <f>ROUND('Смета ЕР (общ) '!$I1044*'Смета ЕР (общ) '!$M1044,2)</f>
        <v>0</v>
      </c>
      <c r="P1044" s="61" t="s">
        <v>1109</v>
      </c>
      <c r="Q1044" s="56"/>
    </row>
    <row r="1045" spans="1:17" ht="24" hidden="1" x14ac:dyDescent="0.3">
      <c r="A1045" s="26" t="s">
        <v>1081</v>
      </c>
      <c r="B1045" s="26">
        <v>2</v>
      </c>
      <c r="C1045" s="26"/>
      <c r="D1045" s="26">
        <v>36</v>
      </c>
      <c r="E1045" s="26" t="str">
        <f>CONCATENATE('Смета ЕР (общ) '!$A1045,".",'Смета ЕР (общ) '!$B1045,".",'Смета ЕР (общ) '!$D1045)</f>
        <v>Р8.2.36</v>
      </c>
      <c r="F1045" s="26">
        <f t="shared" ref="F1045:F1108" si="95">IF(I1045&gt;0,F1044+1,F1044)</f>
        <v>1</v>
      </c>
      <c r="G1045" s="41" t="s">
        <v>1117</v>
      </c>
      <c r="H1045" s="28" t="s">
        <v>118</v>
      </c>
      <c r="I1045" s="158"/>
      <c r="J1045" s="30">
        <v>11164.47</v>
      </c>
      <c r="K1045" s="30">
        <f>$Q$1*'[14]Кондиционеры Haier VRF'!J38</f>
        <v>25174.799999999999</v>
      </c>
      <c r="L1045" s="30">
        <f t="shared" si="93"/>
        <v>11164.47</v>
      </c>
      <c r="M1045" s="54">
        <f t="shared" si="94"/>
        <v>25174.799999999999</v>
      </c>
      <c r="N1045" s="30">
        <f>ROUND('Смета ЕР (общ) '!$I1045*'Смета ЕР (общ) '!$L1045,2)</f>
        <v>0</v>
      </c>
      <c r="O1045" s="30">
        <f>ROUND('Смета ЕР (общ) '!$I1045*'Смета ЕР (общ) '!$M1045,2)</f>
        <v>0</v>
      </c>
      <c r="P1045" s="61" t="s">
        <v>1109</v>
      </c>
      <c r="Q1045" s="56"/>
    </row>
    <row r="1046" spans="1:17" ht="24" hidden="1" x14ac:dyDescent="0.3">
      <c r="A1046" s="26" t="s">
        <v>1081</v>
      </c>
      <c r="B1046" s="26">
        <v>2</v>
      </c>
      <c r="C1046" s="26"/>
      <c r="D1046" s="26">
        <v>37</v>
      </c>
      <c r="E1046" s="26" t="str">
        <f>CONCATENATE('Смета ЕР (общ) '!$A1046,".",'Смета ЕР (общ) '!$B1046,".",'Смета ЕР (общ) '!$D1046)</f>
        <v>Р8.2.37</v>
      </c>
      <c r="F1046" s="26">
        <f t="shared" si="95"/>
        <v>1</v>
      </c>
      <c r="G1046" s="41" t="s">
        <v>1118</v>
      </c>
      <c r="H1046" s="28" t="s">
        <v>118</v>
      </c>
      <c r="I1046" s="158"/>
      <c r="J1046" s="30">
        <v>11164.47</v>
      </c>
      <c r="K1046" s="30">
        <f>$Q$1*'[14]Кондиционеры Haier VRF'!J39</f>
        <v>25344.9</v>
      </c>
      <c r="L1046" s="30">
        <f t="shared" si="93"/>
        <v>11164.47</v>
      </c>
      <c r="M1046" s="54">
        <f t="shared" si="94"/>
        <v>25344.9</v>
      </c>
      <c r="N1046" s="30">
        <f>ROUND('Смета ЕР (общ) '!$I1046*'Смета ЕР (общ) '!$L1046,2)</f>
        <v>0</v>
      </c>
      <c r="O1046" s="30">
        <f>ROUND('Смета ЕР (общ) '!$I1046*'Смета ЕР (общ) '!$M1046,2)</f>
        <v>0</v>
      </c>
      <c r="P1046" s="61" t="s">
        <v>1109</v>
      </c>
      <c r="Q1046" s="56"/>
    </row>
    <row r="1047" spans="1:17" ht="24" hidden="1" x14ac:dyDescent="0.3">
      <c r="A1047" s="26" t="s">
        <v>1081</v>
      </c>
      <c r="B1047" s="26">
        <v>2</v>
      </c>
      <c r="C1047" s="26"/>
      <c r="D1047" s="26">
        <v>38</v>
      </c>
      <c r="E1047" s="26" t="str">
        <f>CONCATENATE('Смета ЕР (общ) '!$A1047,".",'Смета ЕР (общ) '!$B1047,".",'Смета ЕР (общ) '!$D1047)</f>
        <v>Р8.2.38</v>
      </c>
      <c r="F1047" s="26">
        <f t="shared" si="95"/>
        <v>1</v>
      </c>
      <c r="G1047" s="41" t="s">
        <v>1119</v>
      </c>
      <c r="H1047" s="28" t="s">
        <v>118</v>
      </c>
      <c r="I1047" s="158"/>
      <c r="J1047" s="30">
        <v>13211.43</v>
      </c>
      <c r="K1047" s="30">
        <f>$Q$1*'[14]Кондиционеры Haier VRF'!J40</f>
        <v>25685.100000000002</v>
      </c>
      <c r="L1047" s="30">
        <f t="shared" si="93"/>
        <v>13211.43</v>
      </c>
      <c r="M1047" s="54">
        <f t="shared" si="94"/>
        <v>25685.100000000002</v>
      </c>
      <c r="N1047" s="30">
        <f>ROUND('Смета ЕР (общ) '!$I1047*'Смета ЕР (общ) '!$L1047,2)</f>
        <v>0</v>
      </c>
      <c r="O1047" s="30">
        <f>ROUND('Смета ЕР (общ) '!$I1047*'Смета ЕР (общ) '!$M1047,2)</f>
        <v>0</v>
      </c>
      <c r="P1047" s="61" t="s">
        <v>1109</v>
      </c>
      <c r="Q1047" s="56"/>
    </row>
    <row r="1048" spans="1:17" ht="24" hidden="1" x14ac:dyDescent="0.3">
      <c r="A1048" s="26" t="s">
        <v>1081</v>
      </c>
      <c r="B1048" s="26">
        <v>2</v>
      </c>
      <c r="C1048" s="26"/>
      <c r="D1048" s="26">
        <v>39</v>
      </c>
      <c r="E1048" s="26" t="str">
        <f>CONCATENATE('Смета ЕР (общ) '!$A1048,".",'Смета ЕР (общ) '!$B1048,".",'Смета ЕР (общ) '!$D1048)</f>
        <v>Р8.2.39</v>
      </c>
      <c r="F1048" s="26">
        <f t="shared" si="95"/>
        <v>1</v>
      </c>
      <c r="G1048" s="41" t="s">
        <v>1120</v>
      </c>
      <c r="H1048" s="28" t="s">
        <v>118</v>
      </c>
      <c r="I1048" s="158"/>
      <c r="J1048" s="30">
        <v>13211.43</v>
      </c>
      <c r="K1048" s="30">
        <f>$Q$1*'[14]Кондиционеры Haier VRF'!J41</f>
        <v>28917</v>
      </c>
      <c r="L1048" s="30">
        <f t="shared" si="93"/>
        <v>13211.43</v>
      </c>
      <c r="M1048" s="54">
        <f t="shared" si="94"/>
        <v>28917</v>
      </c>
      <c r="N1048" s="30">
        <f>ROUND('Смета ЕР (общ) '!$I1048*'Смета ЕР (общ) '!$L1048,2)</f>
        <v>0</v>
      </c>
      <c r="O1048" s="30">
        <f>ROUND('Смета ЕР (общ) '!$I1048*'Смета ЕР (общ) '!$M1048,2)</f>
        <v>0</v>
      </c>
      <c r="P1048" s="61" t="s">
        <v>1109</v>
      </c>
      <c r="Q1048" s="56"/>
    </row>
    <row r="1049" spans="1:17" ht="24" hidden="1" x14ac:dyDescent="0.3">
      <c r="A1049" s="26" t="s">
        <v>1081</v>
      </c>
      <c r="B1049" s="26">
        <v>2</v>
      </c>
      <c r="C1049" s="26"/>
      <c r="D1049" s="26">
        <v>40</v>
      </c>
      <c r="E1049" s="26" t="str">
        <f>CONCATENATE('Смета ЕР (общ) '!$A1049,".",'Смета ЕР (общ) '!$B1049,".",'Смета ЕР (общ) '!$D1049)</f>
        <v>Р8.2.40</v>
      </c>
      <c r="F1049" s="26">
        <f t="shared" si="95"/>
        <v>1</v>
      </c>
      <c r="G1049" s="41" t="s">
        <v>1121</v>
      </c>
      <c r="H1049" s="28" t="s">
        <v>118</v>
      </c>
      <c r="I1049" s="158"/>
      <c r="J1049" s="30">
        <v>13211.43</v>
      </c>
      <c r="K1049" s="30">
        <f>$Q$1*'[14]Кондиционеры Haier VRF'!J42</f>
        <v>30277.8</v>
      </c>
      <c r="L1049" s="30">
        <f t="shared" si="93"/>
        <v>13211.43</v>
      </c>
      <c r="M1049" s="54">
        <f t="shared" si="94"/>
        <v>30277.8</v>
      </c>
      <c r="N1049" s="30">
        <f>ROUND('Смета ЕР (общ) '!$I1049*'Смета ЕР (общ) '!$L1049,2)</f>
        <v>0</v>
      </c>
      <c r="O1049" s="30">
        <f>ROUND('Смета ЕР (общ) '!$I1049*'Смета ЕР (общ) '!$M1049,2)</f>
        <v>0</v>
      </c>
      <c r="P1049" s="61" t="s">
        <v>1109</v>
      </c>
      <c r="Q1049" s="56"/>
    </row>
    <row r="1050" spans="1:17" ht="24" hidden="1" x14ac:dyDescent="0.3">
      <c r="A1050" s="26" t="s">
        <v>1081</v>
      </c>
      <c r="B1050" s="26">
        <v>2</v>
      </c>
      <c r="C1050" s="26"/>
      <c r="D1050" s="26">
        <v>41</v>
      </c>
      <c r="E1050" s="26" t="str">
        <f>CONCATENATE('Смета ЕР (общ) '!$A1050,".",'Смета ЕР (общ) '!$B1050,".",'Смета ЕР (общ) '!$D1050)</f>
        <v>Р8.2.41</v>
      </c>
      <c r="F1050" s="26">
        <f t="shared" si="95"/>
        <v>1</v>
      </c>
      <c r="G1050" s="41" t="s">
        <v>1122</v>
      </c>
      <c r="H1050" s="28" t="s">
        <v>118</v>
      </c>
      <c r="I1050" s="158"/>
      <c r="J1050" s="30">
        <v>13211.43</v>
      </c>
      <c r="K1050" s="30">
        <f>$Q$1*'[14]Кондиционеры Haier VRF'!J43</f>
        <v>32148.9</v>
      </c>
      <c r="L1050" s="30">
        <f t="shared" si="93"/>
        <v>13211.43</v>
      </c>
      <c r="M1050" s="54">
        <f t="shared" si="94"/>
        <v>32148.9</v>
      </c>
      <c r="N1050" s="30">
        <f>ROUND('Смета ЕР (общ) '!$I1050*'Смета ЕР (общ) '!$L1050,2)</f>
        <v>0</v>
      </c>
      <c r="O1050" s="30">
        <f>ROUND('Смета ЕР (общ) '!$I1050*'Смета ЕР (общ) '!$M1050,2)</f>
        <v>0</v>
      </c>
      <c r="P1050" s="61" t="s">
        <v>1109</v>
      </c>
      <c r="Q1050" s="56"/>
    </row>
    <row r="1051" spans="1:17" ht="24" hidden="1" x14ac:dyDescent="0.3">
      <c r="A1051" s="26" t="s">
        <v>1081</v>
      </c>
      <c r="B1051" s="26">
        <v>2</v>
      </c>
      <c r="C1051" s="26"/>
      <c r="D1051" s="26">
        <v>75</v>
      </c>
      <c r="E1051" s="26" t="str">
        <f>CONCATENATE('Смета ЕР (общ) '!$A1051,".",'Смета ЕР (общ) '!$B1051,".",'Смета ЕР (общ) '!$D1051)</f>
        <v>Р8.2.75</v>
      </c>
      <c r="F1051" s="26">
        <f t="shared" si="95"/>
        <v>1</v>
      </c>
      <c r="G1051" s="58" t="s">
        <v>1123</v>
      </c>
      <c r="H1051" s="28" t="s">
        <v>118</v>
      </c>
      <c r="I1051" s="158"/>
      <c r="J1051" s="30">
        <v>11164.47</v>
      </c>
      <c r="K1051" s="30">
        <f>$Q$1*'[14]Кондиционеры MDV VRF'!J190</f>
        <v>34414.065000000002</v>
      </c>
      <c r="L1051" s="30">
        <f t="shared" si="93"/>
        <v>11164.47</v>
      </c>
      <c r="M1051" s="54">
        <f t="shared" si="94"/>
        <v>34414.065000000002</v>
      </c>
      <c r="N1051" s="30">
        <f>ROUND('Смета ЕР (общ) '!$I1051*'Смета ЕР (общ) '!$L1051,2)</f>
        <v>0</v>
      </c>
      <c r="O1051" s="30">
        <f>ROUND('Смета ЕР (общ) '!$I1051*'Смета ЕР (общ) '!$M1051,2)</f>
        <v>0</v>
      </c>
      <c r="P1051" s="61" t="s">
        <v>1124</v>
      </c>
      <c r="Q1051" s="56"/>
    </row>
    <row r="1052" spans="1:17" ht="24" hidden="1" x14ac:dyDescent="0.3">
      <c r="A1052" s="26" t="s">
        <v>1081</v>
      </c>
      <c r="B1052" s="26">
        <v>2</v>
      </c>
      <c r="C1052" s="26"/>
      <c r="D1052" s="26">
        <v>76</v>
      </c>
      <c r="E1052" s="26" t="str">
        <f>CONCATENATE('Смета ЕР (общ) '!$A1052,".",'Смета ЕР (общ) '!$B1052,".",'Смета ЕР (общ) '!$D1052)</f>
        <v>Р8.2.76</v>
      </c>
      <c r="F1052" s="26">
        <f t="shared" si="95"/>
        <v>1</v>
      </c>
      <c r="G1052" s="58" t="s">
        <v>1125</v>
      </c>
      <c r="H1052" s="28" t="s">
        <v>118</v>
      </c>
      <c r="I1052" s="158"/>
      <c r="J1052" s="30">
        <v>11164.47</v>
      </c>
      <c r="K1052" s="30">
        <f>$Q$1*'[14]Кондиционеры MDV VRF'!J191</f>
        <v>35002.044000000002</v>
      </c>
      <c r="L1052" s="30">
        <f t="shared" si="93"/>
        <v>11164.47</v>
      </c>
      <c r="M1052" s="54">
        <f t="shared" si="94"/>
        <v>35002.044000000002</v>
      </c>
      <c r="N1052" s="30">
        <f>ROUND('Смета ЕР (общ) '!$I1052*'Смета ЕР (общ) '!$L1052,2)</f>
        <v>0</v>
      </c>
      <c r="O1052" s="30">
        <f>ROUND('Смета ЕР (общ) '!$I1052*'Смета ЕР (общ) '!$M1052,2)</f>
        <v>0</v>
      </c>
      <c r="P1052" s="61" t="s">
        <v>1124</v>
      </c>
      <c r="Q1052" s="56"/>
    </row>
    <row r="1053" spans="1:17" ht="24" hidden="1" x14ac:dyDescent="0.3">
      <c r="A1053" s="26" t="s">
        <v>1081</v>
      </c>
      <c r="B1053" s="26">
        <v>2</v>
      </c>
      <c r="C1053" s="26"/>
      <c r="D1053" s="26">
        <v>77</v>
      </c>
      <c r="E1053" s="26" t="str">
        <f>CONCATENATE('Смета ЕР (общ) '!$A1053,".",'Смета ЕР (общ) '!$B1053,".",'Смета ЕР (общ) '!$D1053)</f>
        <v>Р8.2.77</v>
      </c>
      <c r="F1053" s="26">
        <f t="shared" si="95"/>
        <v>1</v>
      </c>
      <c r="G1053" s="58" t="s">
        <v>1126</v>
      </c>
      <c r="H1053" s="28" t="s">
        <v>118</v>
      </c>
      <c r="I1053" s="158"/>
      <c r="J1053" s="30">
        <v>11164.47</v>
      </c>
      <c r="K1053" s="30">
        <f>$Q$1*'[14]Кондиционеры MDV VRF'!J192</f>
        <v>36904.329000000005</v>
      </c>
      <c r="L1053" s="30">
        <f t="shared" si="93"/>
        <v>11164.47</v>
      </c>
      <c r="M1053" s="54">
        <f t="shared" si="94"/>
        <v>36904.329000000005</v>
      </c>
      <c r="N1053" s="30">
        <f>ROUND('Смета ЕР (общ) '!$I1053*'Смета ЕР (общ) '!$L1053,2)</f>
        <v>0</v>
      </c>
      <c r="O1053" s="30">
        <f>ROUND('Смета ЕР (общ) '!$I1053*'Смета ЕР (общ) '!$M1053,2)</f>
        <v>0</v>
      </c>
      <c r="P1053" s="61" t="s">
        <v>1124</v>
      </c>
      <c r="Q1053" s="56"/>
    </row>
    <row r="1054" spans="1:17" ht="24" hidden="1" x14ac:dyDescent="0.3">
      <c r="A1054" s="26" t="s">
        <v>1081</v>
      </c>
      <c r="B1054" s="26">
        <v>2</v>
      </c>
      <c r="C1054" s="26"/>
      <c r="D1054" s="26">
        <v>78</v>
      </c>
      <c r="E1054" s="26" t="str">
        <f>CONCATENATE('Смета ЕР (общ) '!$A1054,".",'Смета ЕР (общ) '!$B1054,".",'Смета ЕР (общ) '!$D1054)</f>
        <v>Р8.2.78</v>
      </c>
      <c r="F1054" s="26">
        <f t="shared" si="95"/>
        <v>1</v>
      </c>
      <c r="G1054" s="58" t="s">
        <v>1127</v>
      </c>
      <c r="H1054" s="28" t="s">
        <v>118</v>
      </c>
      <c r="I1054" s="158"/>
      <c r="J1054" s="30">
        <v>13211.43</v>
      </c>
      <c r="K1054" s="30">
        <f>$Q$1*'[14]Кондиционеры MDV VRF'!J193</f>
        <v>40916.421000000009</v>
      </c>
      <c r="L1054" s="30">
        <f t="shared" si="93"/>
        <v>13211.43</v>
      </c>
      <c r="M1054" s="54">
        <f t="shared" si="94"/>
        <v>40916.421000000009</v>
      </c>
      <c r="N1054" s="30">
        <f>ROUND('Смета ЕР (общ) '!$I1054*'Смета ЕР (общ) '!$L1054,2)</f>
        <v>0</v>
      </c>
      <c r="O1054" s="30">
        <f>ROUND('Смета ЕР (общ) '!$I1054*'Смета ЕР (общ) '!$M1054,2)</f>
        <v>0</v>
      </c>
      <c r="P1054" s="61" t="s">
        <v>1124</v>
      </c>
      <c r="Q1054" s="56"/>
    </row>
    <row r="1055" spans="1:17" ht="24" hidden="1" x14ac:dyDescent="0.3">
      <c r="A1055" s="26" t="s">
        <v>1081</v>
      </c>
      <c r="B1055" s="26">
        <v>2</v>
      </c>
      <c r="C1055" s="26"/>
      <c r="D1055" s="26">
        <v>79</v>
      </c>
      <c r="E1055" s="26" t="str">
        <f>CONCATENATE('Смета ЕР (общ) '!$A1055,".",'Смета ЕР (общ) '!$B1055,".",'Смета ЕР (общ) '!$D1055)</f>
        <v>Р8.2.79</v>
      </c>
      <c r="F1055" s="26">
        <f t="shared" si="95"/>
        <v>1</v>
      </c>
      <c r="G1055" s="58" t="s">
        <v>1128</v>
      </c>
      <c r="H1055" s="28" t="s">
        <v>118</v>
      </c>
      <c r="I1055" s="158"/>
      <c r="J1055" s="30">
        <v>13211.43</v>
      </c>
      <c r="K1055" s="30">
        <f>$Q$1*'[14]Кондиционеры MDV VRF'!J194</f>
        <v>46346.58</v>
      </c>
      <c r="L1055" s="30">
        <f t="shared" si="93"/>
        <v>13211.43</v>
      </c>
      <c r="M1055" s="54">
        <f t="shared" si="94"/>
        <v>46346.58</v>
      </c>
      <c r="N1055" s="30">
        <f>ROUND('Смета ЕР (общ) '!$I1055*'Смета ЕР (общ) '!$L1055,2)</f>
        <v>0</v>
      </c>
      <c r="O1055" s="30">
        <f>ROUND('Смета ЕР (общ) '!$I1055*'Смета ЕР (общ) '!$M1055,2)</f>
        <v>0</v>
      </c>
      <c r="P1055" s="61" t="s">
        <v>1124</v>
      </c>
      <c r="Q1055" s="56"/>
    </row>
    <row r="1056" spans="1:17" ht="24" hidden="1" x14ac:dyDescent="0.3">
      <c r="A1056" s="26" t="s">
        <v>1081</v>
      </c>
      <c r="B1056" s="26">
        <v>2</v>
      </c>
      <c r="C1056" s="26"/>
      <c r="D1056" s="26">
        <v>80</v>
      </c>
      <c r="E1056" s="26" t="str">
        <f>CONCATENATE('Смета ЕР (общ) '!$A1056,".",'Смета ЕР (общ) '!$B1056,".",'Смета ЕР (общ) '!$D1056)</f>
        <v>Р8.2.80</v>
      </c>
      <c r="F1056" s="26">
        <f t="shared" si="95"/>
        <v>1</v>
      </c>
      <c r="G1056" s="58" t="s">
        <v>1129</v>
      </c>
      <c r="H1056" s="28" t="s">
        <v>118</v>
      </c>
      <c r="I1056" s="158"/>
      <c r="J1056" s="30">
        <v>13211.43</v>
      </c>
      <c r="K1056" s="30">
        <f>$Q$1*'[14]Кондиционеры MDV VRF'!J195</f>
        <v>47487.951000000015</v>
      </c>
      <c r="L1056" s="30">
        <f t="shared" si="93"/>
        <v>13211.43</v>
      </c>
      <c r="M1056" s="54">
        <f t="shared" si="94"/>
        <v>47487.951000000015</v>
      </c>
      <c r="N1056" s="30">
        <f>ROUND('Смета ЕР (общ) '!$I1056*'Смета ЕР (общ) '!$L1056,2)</f>
        <v>0</v>
      </c>
      <c r="O1056" s="30">
        <f>ROUND('Смета ЕР (общ) '!$I1056*'Смета ЕР (общ) '!$M1056,2)</f>
        <v>0</v>
      </c>
      <c r="P1056" s="61" t="s">
        <v>1124</v>
      </c>
      <c r="Q1056" s="56"/>
    </row>
    <row r="1057" spans="1:20" ht="24" hidden="1" x14ac:dyDescent="0.3">
      <c r="A1057" s="26" t="s">
        <v>1081</v>
      </c>
      <c r="B1057" s="26">
        <v>2</v>
      </c>
      <c r="C1057" s="26"/>
      <c r="D1057" s="26">
        <v>81</v>
      </c>
      <c r="E1057" s="26" t="str">
        <f>CONCATENATE('Смета ЕР (общ) '!$A1057,".",'Смета ЕР (общ) '!$B1057,".",'Смета ЕР (общ) '!$D1057)</f>
        <v>Р8.2.81</v>
      </c>
      <c r="F1057" s="26">
        <f t="shared" si="95"/>
        <v>1</v>
      </c>
      <c r="G1057" s="58" t="s">
        <v>1130</v>
      </c>
      <c r="H1057" s="28" t="s">
        <v>118</v>
      </c>
      <c r="I1057" s="158"/>
      <c r="J1057" s="30">
        <v>13211.43</v>
      </c>
      <c r="K1057" s="30">
        <f>$Q$1*'[14]Кондиционеры MDV VRF'!J196</f>
        <v>51257.934000000008</v>
      </c>
      <c r="L1057" s="30">
        <f t="shared" si="93"/>
        <v>13211.43</v>
      </c>
      <c r="M1057" s="54">
        <f t="shared" si="94"/>
        <v>51257.934000000008</v>
      </c>
      <c r="N1057" s="30">
        <f>ROUND('Смета ЕР (общ) '!$I1057*'Смета ЕР (общ) '!$L1057,2)</f>
        <v>0</v>
      </c>
      <c r="O1057" s="30">
        <f>ROUND('Смета ЕР (общ) '!$I1057*'Смета ЕР (общ) '!$M1057,2)</f>
        <v>0</v>
      </c>
      <c r="P1057" s="61" t="s">
        <v>1124</v>
      </c>
      <c r="Q1057" s="56"/>
    </row>
    <row r="1058" spans="1:20" ht="24" hidden="1" x14ac:dyDescent="0.3">
      <c r="A1058" s="26" t="s">
        <v>1081</v>
      </c>
      <c r="B1058" s="26">
        <v>2</v>
      </c>
      <c r="C1058" s="26"/>
      <c r="D1058" s="26">
        <v>82</v>
      </c>
      <c r="E1058" s="26" t="str">
        <f>CONCATENATE('Смета ЕР (общ) '!$A1058,".",'Смета ЕР (общ) '!$B1058,".",'Смета ЕР (общ) '!$D1058)</f>
        <v>Р8.2.82</v>
      </c>
      <c r="F1058" s="26">
        <f t="shared" si="95"/>
        <v>1</v>
      </c>
      <c r="G1058" s="58" t="s">
        <v>1131</v>
      </c>
      <c r="H1058" s="28" t="s">
        <v>118</v>
      </c>
      <c r="I1058" s="158"/>
      <c r="J1058" s="30">
        <v>13211.43</v>
      </c>
      <c r="K1058" s="30">
        <f>$Q$1*'[14]Кондиционеры MDV VRF'!J197</f>
        <v>52191.783000000003</v>
      </c>
      <c r="L1058" s="30">
        <f t="shared" si="93"/>
        <v>13211.43</v>
      </c>
      <c r="M1058" s="54">
        <f t="shared" si="94"/>
        <v>52191.783000000003</v>
      </c>
      <c r="N1058" s="30">
        <f>ROUND('Смета ЕР (общ) '!$I1058*'Смета ЕР (общ) '!$L1058,2)</f>
        <v>0</v>
      </c>
      <c r="O1058" s="30">
        <f>ROUND('Смета ЕР (общ) '!$I1058*'Смета ЕР (общ) '!$M1058,2)</f>
        <v>0</v>
      </c>
      <c r="P1058" s="61" t="s">
        <v>1124</v>
      </c>
      <c r="Q1058" s="56"/>
    </row>
    <row r="1059" spans="1:20" ht="36" hidden="1" x14ac:dyDescent="0.3">
      <c r="A1059" s="26" t="s">
        <v>1081</v>
      </c>
      <c r="B1059" s="26">
        <v>2</v>
      </c>
      <c r="C1059" s="26"/>
      <c r="D1059" s="26">
        <v>83</v>
      </c>
      <c r="E1059" s="26" t="str">
        <f>CONCATENATE('Смета ЕР (общ) '!$A1059,".",'Смета ЕР (общ) '!$B1059,".",'Смета ЕР (общ) '!$D1059)</f>
        <v>Р8.2.83</v>
      </c>
      <c r="F1059" s="26">
        <f t="shared" si="95"/>
        <v>1</v>
      </c>
      <c r="G1059" s="58" t="s">
        <v>1132</v>
      </c>
      <c r="H1059" s="28" t="s">
        <v>118</v>
      </c>
      <c r="I1059" s="158"/>
      <c r="J1059" s="30">
        <v>11164.47</v>
      </c>
      <c r="K1059" s="50">
        <f>$Q$1*('[14]Кондиционеры MDV VRF'!J111+'[14]Кондиционеры MDV VRF'!$J$124+'[14]Кондиционеры MDV VRF'!$J$293)</f>
        <v>74189.115000000005</v>
      </c>
      <c r="L1059" s="30">
        <f t="shared" si="93"/>
        <v>11164.47</v>
      </c>
      <c r="M1059" s="54">
        <f t="shared" si="94"/>
        <v>74189.115000000005</v>
      </c>
      <c r="N1059" s="30">
        <f>ROUND('Смета ЕР (общ) '!$I1059*'Смета ЕР (общ) '!$L1059,2)</f>
        <v>0</v>
      </c>
      <c r="O1059" s="30">
        <f>ROUND('Смета ЕР (общ) '!$I1059*'Смета ЕР (общ) '!$M1059,2)</f>
        <v>0</v>
      </c>
      <c r="P1059" s="61" t="s">
        <v>1124</v>
      </c>
      <c r="Q1059" s="56"/>
    </row>
    <row r="1060" spans="1:20" ht="36" hidden="1" x14ac:dyDescent="0.3">
      <c r="A1060" s="26" t="s">
        <v>1081</v>
      </c>
      <c r="B1060" s="26">
        <v>2</v>
      </c>
      <c r="C1060" s="26"/>
      <c r="D1060" s="26">
        <v>84</v>
      </c>
      <c r="E1060" s="26" t="str">
        <f>CONCATENATE('Смета ЕР (общ) '!$A1060,".",'Смета ЕР (общ) '!$B1060,".",'Смета ЕР (общ) '!$D1060)</f>
        <v>Р8.2.84</v>
      </c>
      <c r="F1060" s="26">
        <f t="shared" si="95"/>
        <v>1</v>
      </c>
      <c r="G1060" s="58" t="s">
        <v>1133</v>
      </c>
      <c r="H1060" s="28" t="s">
        <v>118</v>
      </c>
      <c r="I1060" s="158"/>
      <c r="J1060" s="30">
        <v>13211.43</v>
      </c>
      <c r="K1060" s="50">
        <f>$Q$1*('[14]Кондиционеры MDV VRF'!J112+'[14]Кондиционеры MDV VRF'!$J$124+'[14]Кондиционеры MDV VRF'!$J$293)</f>
        <v>75019.202999999994</v>
      </c>
      <c r="L1060" s="30">
        <f t="shared" si="93"/>
        <v>13211.43</v>
      </c>
      <c r="M1060" s="54">
        <f t="shared" si="94"/>
        <v>75019.202999999994</v>
      </c>
      <c r="N1060" s="30">
        <f>ROUND('Смета ЕР (общ) '!$I1060*'Смета ЕР (общ) '!$L1060,2)</f>
        <v>0</v>
      </c>
      <c r="O1060" s="30">
        <f>ROUND('Смета ЕР (общ) '!$I1060*'Смета ЕР (общ) '!$M1060,2)</f>
        <v>0</v>
      </c>
      <c r="P1060" s="61" t="s">
        <v>1124</v>
      </c>
      <c r="Q1060" s="56"/>
    </row>
    <row r="1061" spans="1:20" ht="36" hidden="1" x14ac:dyDescent="0.3">
      <c r="A1061" s="26" t="s">
        <v>1081</v>
      </c>
      <c r="B1061" s="26">
        <v>2</v>
      </c>
      <c r="C1061" s="26"/>
      <c r="D1061" s="26">
        <v>85</v>
      </c>
      <c r="E1061" s="26" t="str">
        <f>CONCATENATE('Смета ЕР (общ) '!$A1061,".",'Смета ЕР (общ) '!$B1061,".",'Смета ЕР (общ) '!$D1061)</f>
        <v>Р8.2.85</v>
      </c>
      <c r="F1061" s="26">
        <f t="shared" si="95"/>
        <v>1</v>
      </c>
      <c r="G1061" s="58" t="s">
        <v>1134</v>
      </c>
      <c r="H1061" s="28" t="s">
        <v>118</v>
      </c>
      <c r="I1061" s="158"/>
      <c r="J1061" s="30">
        <v>13211.43</v>
      </c>
      <c r="K1061" s="50">
        <f>$Q$1*('[14]Кондиционеры MDV VRF'!J113+'[14]Кондиционеры MDV VRF'!$J$124+'[14]Кондиционеры MDV VRF'!$J$293)</f>
        <v>77855.337000000014</v>
      </c>
      <c r="L1061" s="30">
        <f t="shared" si="93"/>
        <v>13211.43</v>
      </c>
      <c r="M1061" s="54">
        <f t="shared" si="94"/>
        <v>77855.337000000014</v>
      </c>
      <c r="N1061" s="30">
        <f>ROUND('Смета ЕР (общ) '!$I1061*'Смета ЕР (общ) '!$L1061,2)</f>
        <v>0</v>
      </c>
      <c r="O1061" s="30">
        <f>ROUND('Смета ЕР (общ) '!$I1061*'Смета ЕР (общ) '!$M1061,2)</f>
        <v>0</v>
      </c>
      <c r="P1061" s="61" t="s">
        <v>1124</v>
      </c>
      <c r="Q1061" s="56"/>
    </row>
    <row r="1062" spans="1:20" ht="36" hidden="1" x14ac:dyDescent="0.3">
      <c r="A1062" s="26" t="s">
        <v>1081</v>
      </c>
      <c r="B1062" s="26">
        <v>2</v>
      </c>
      <c r="C1062" s="26"/>
      <c r="D1062" s="26">
        <v>86</v>
      </c>
      <c r="E1062" s="26" t="str">
        <f>CONCATENATE('Смета ЕР (общ) '!$A1062,".",'Смета ЕР (общ) '!$B1062,".",'Смета ЕР (общ) '!$D1062)</f>
        <v>Р8.2.86</v>
      </c>
      <c r="F1062" s="26">
        <f t="shared" si="95"/>
        <v>1</v>
      </c>
      <c r="G1062" s="58" t="s">
        <v>1135</v>
      </c>
      <c r="H1062" s="28" t="s">
        <v>118</v>
      </c>
      <c r="I1062" s="158"/>
      <c r="J1062" s="30">
        <v>13211.43</v>
      </c>
      <c r="K1062" s="50">
        <f>$Q$1*('[14]Кондиционеры MDV VRF'!J114+'[14]Кондиционеры MDV VRF'!$J$124+'[14]Кондиционеры MDV VRF'!$J$293)</f>
        <v>81002.754000000015</v>
      </c>
      <c r="L1062" s="30">
        <f t="shared" si="93"/>
        <v>13211.43</v>
      </c>
      <c r="M1062" s="54">
        <f t="shared" si="94"/>
        <v>81002.754000000015</v>
      </c>
      <c r="N1062" s="30">
        <f>ROUND('Смета ЕР (общ) '!$I1062*'Смета ЕР (общ) '!$L1062,2)</f>
        <v>0</v>
      </c>
      <c r="O1062" s="30">
        <f>ROUND('Смета ЕР (общ) '!$I1062*'Смета ЕР (общ) '!$M1062,2)</f>
        <v>0</v>
      </c>
      <c r="P1062" s="61" t="s">
        <v>1124</v>
      </c>
      <c r="Q1062" s="56"/>
    </row>
    <row r="1063" spans="1:20" ht="36" hidden="1" x14ac:dyDescent="0.3">
      <c r="A1063" s="26" t="s">
        <v>1081</v>
      </c>
      <c r="B1063" s="26">
        <v>2</v>
      </c>
      <c r="C1063" s="26"/>
      <c r="D1063" s="26">
        <v>87</v>
      </c>
      <c r="E1063" s="26" t="str">
        <f>CONCATENATE('Смета ЕР (общ) '!$A1063,".",'Смета ЕР (общ) '!$B1063,".",'Смета ЕР (общ) '!$D1063)</f>
        <v>Р8.2.87</v>
      </c>
      <c r="F1063" s="26">
        <f t="shared" si="95"/>
        <v>1</v>
      </c>
      <c r="G1063" s="58" t="s">
        <v>1136</v>
      </c>
      <c r="H1063" s="28" t="s">
        <v>118</v>
      </c>
      <c r="I1063" s="158"/>
      <c r="J1063" s="30">
        <v>13211.43</v>
      </c>
      <c r="K1063" s="50">
        <f>$Q$1*('[14]Кондиционеры MDV VRF'!J115+'[14]Кондиционеры MDV VRF'!$J$124+'[14]Кондиционеры MDV VRF'!$J$293)</f>
        <v>96670.665000000037</v>
      </c>
      <c r="L1063" s="30">
        <f t="shared" si="93"/>
        <v>13211.43</v>
      </c>
      <c r="M1063" s="54">
        <f t="shared" si="94"/>
        <v>96670.665000000037</v>
      </c>
      <c r="N1063" s="30">
        <f>ROUND('Смета ЕР (общ) '!$I1063*'Смета ЕР (общ) '!$L1063,2)</f>
        <v>0</v>
      </c>
      <c r="O1063" s="30">
        <f>ROUND('Смета ЕР (общ) '!$I1063*'Смета ЕР (общ) '!$M1063,2)</f>
        <v>0</v>
      </c>
      <c r="P1063" s="61" t="s">
        <v>1124</v>
      </c>
      <c r="Q1063" s="56"/>
    </row>
    <row r="1064" spans="1:20" ht="36" hidden="1" x14ac:dyDescent="0.3">
      <c r="A1064" s="26" t="s">
        <v>1081</v>
      </c>
      <c r="B1064" s="26">
        <v>2</v>
      </c>
      <c r="C1064" s="26"/>
      <c r="D1064" s="26">
        <v>88</v>
      </c>
      <c r="E1064" s="26" t="str">
        <f>CONCATENATE('Смета ЕР (общ) '!$A1064,".",'Смета ЕР (общ) '!$B1064,".",'Смета ЕР (общ) '!$D1064)</f>
        <v>Р8.2.88</v>
      </c>
      <c r="F1064" s="26">
        <f t="shared" si="95"/>
        <v>1</v>
      </c>
      <c r="G1064" s="58" t="s">
        <v>1137</v>
      </c>
      <c r="H1064" s="28" t="s">
        <v>118</v>
      </c>
      <c r="I1064" s="158"/>
      <c r="J1064" s="30">
        <v>13211.43</v>
      </c>
      <c r="K1064" s="50">
        <f>$Q$1*('[14]Кондиционеры MDV VRF'!J116+'[14]Кондиционеры MDV VRF'!$J$124+'[14]Кондиционеры MDV VRF'!$J$293)</f>
        <v>98953.407000000007</v>
      </c>
      <c r="L1064" s="30">
        <f t="shared" si="93"/>
        <v>13211.43</v>
      </c>
      <c r="M1064" s="54">
        <f t="shared" si="94"/>
        <v>98953.407000000007</v>
      </c>
      <c r="N1064" s="30">
        <f>ROUND('Смета ЕР (общ) '!$I1064*'Смета ЕР (общ) '!$L1064,2)</f>
        <v>0</v>
      </c>
      <c r="O1064" s="30">
        <f>ROUND('Смета ЕР (общ) '!$I1064*'Смета ЕР (общ) '!$M1064,2)</f>
        <v>0</v>
      </c>
      <c r="P1064" s="61" t="s">
        <v>1124</v>
      </c>
      <c r="Q1064" s="56"/>
    </row>
    <row r="1065" spans="1:20" ht="36" hidden="1" x14ac:dyDescent="0.3">
      <c r="A1065" s="26" t="s">
        <v>1081</v>
      </c>
      <c r="B1065" s="26">
        <v>2</v>
      </c>
      <c r="C1065" s="26"/>
      <c r="D1065" s="26">
        <v>89</v>
      </c>
      <c r="E1065" s="26" t="str">
        <f>CONCATENATE('Смета ЕР (общ) '!$A1065,".",'Смета ЕР (общ) '!$B1065,".",'Смета ЕР (общ) '!$D1065)</f>
        <v>Р8.2.89</v>
      </c>
      <c r="F1065" s="26">
        <f t="shared" si="95"/>
        <v>1</v>
      </c>
      <c r="G1065" s="58" t="s">
        <v>1138</v>
      </c>
      <c r="H1065" s="28" t="s">
        <v>118</v>
      </c>
      <c r="I1065" s="158"/>
      <c r="J1065" s="30">
        <v>13211.43</v>
      </c>
      <c r="K1065" s="50">
        <f>$Q$1*('[14]Кондиционеры MDV VRF'!J117+'[14]Кондиционеры MDV VRF'!$J$124+'[14]Кондиционеры MDV VRF'!$J$293)</f>
        <v>100371.47400000002</v>
      </c>
      <c r="L1065" s="30">
        <f t="shared" si="93"/>
        <v>13211.43</v>
      </c>
      <c r="M1065" s="54">
        <f t="shared" si="94"/>
        <v>100371.47400000002</v>
      </c>
      <c r="N1065" s="30">
        <f>ROUND('Смета ЕР (общ) '!$I1065*'Смета ЕР (общ) '!$L1065,2)</f>
        <v>0</v>
      </c>
      <c r="O1065" s="30">
        <f>ROUND('Смета ЕР (общ) '!$I1065*'Смета ЕР (общ) '!$M1065,2)</f>
        <v>0</v>
      </c>
      <c r="P1065" s="61" t="s">
        <v>1124</v>
      </c>
      <c r="Q1065" s="56"/>
    </row>
    <row r="1066" spans="1:20" ht="36" hidden="1" x14ac:dyDescent="0.3">
      <c r="A1066" s="26" t="s">
        <v>1081</v>
      </c>
      <c r="B1066" s="26">
        <v>2</v>
      </c>
      <c r="C1066" s="26"/>
      <c r="D1066" s="26">
        <v>90</v>
      </c>
      <c r="E1066" s="26" t="str">
        <f>CONCATENATE('Смета ЕР (общ) '!$A1066,".",'Смета ЕР (общ) '!$B1066,".",'Смета ЕР (общ) '!$D1066)</f>
        <v>Р8.2.90</v>
      </c>
      <c r="F1066" s="26">
        <f t="shared" si="95"/>
        <v>1</v>
      </c>
      <c r="G1066" s="58" t="s">
        <v>1139</v>
      </c>
      <c r="H1066" s="28" t="s">
        <v>118</v>
      </c>
      <c r="I1066" s="158"/>
      <c r="J1066" s="30">
        <v>13211.43</v>
      </c>
      <c r="K1066" s="50">
        <f>$Q$1*('[14]Кондиционеры MDV VRF'!J118+'[14]Кондиционеры MDV VRF'!$J$124+'[14]Кондиционеры MDV VRF'!$J$293)</f>
        <v>106147.50300000001</v>
      </c>
      <c r="L1066" s="30">
        <f t="shared" si="93"/>
        <v>13211.43</v>
      </c>
      <c r="M1066" s="54">
        <f t="shared" si="94"/>
        <v>106147.50300000001</v>
      </c>
      <c r="N1066" s="30">
        <f>ROUND('Смета ЕР (общ) '!$I1066*'Смета ЕР (общ) '!$L1066,2)</f>
        <v>0</v>
      </c>
      <c r="O1066" s="30">
        <f>ROUND('Смета ЕР (общ) '!$I1066*'Смета ЕР (общ) '!$M1066,2)</f>
        <v>0</v>
      </c>
      <c r="P1066" s="61" t="s">
        <v>1124</v>
      </c>
      <c r="Q1066" s="56"/>
    </row>
    <row r="1067" spans="1:20" ht="24" hidden="1" x14ac:dyDescent="0.3">
      <c r="A1067" s="26" t="s">
        <v>1081</v>
      </c>
      <c r="B1067" s="26">
        <v>2</v>
      </c>
      <c r="C1067" s="26"/>
      <c r="D1067" s="26">
        <v>48</v>
      </c>
      <c r="E1067" s="26" t="str">
        <f>CONCATENATE('Смета ЕР (общ) '!$A1067,".",'Смета ЕР (общ) '!$B1067,".",'Смета ЕР (общ) '!$D1067)</f>
        <v>Р8.2.48</v>
      </c>
      <c r="F1067" s="26">
        <f t="shared" si="95"/>
        <v>1</v>
      </c>
      <c r="G1067" s="41" t="s">
        <v>1140</v>
      </c>
      <c r="H1067" s="28" t="s">
        <v>118</v>
      </c>
      <c r="I1067" s="158"/>
      <c r="J1067" s="30">
        <v>106530.43</v>
      </c>
      <c r="K1067" s="30">
        <f>$Q$1*'[14]Кондиционеры Haier VRF'!J15</f>
        <v>259062.30000000002</v>
      </c>
      <c r="L1067" s="30">
        <f t="shared" si="93"/>
        <v>106530.43</v>
      </c>
      <c r="M1067" s="54">
        <f t="shared" si="94"/>
        <v>259062.30000000002</v>
      </c>
      <c r="N1067" s="30">
        <f>ROUND('Смета ЕР (общ) '!$I1067*'Смета ЕР (общ) '!$L1067,2)</f>
        <v>0</v>
      </c>
      <c r="O1067" s="30">
        <f>ROUND('Смета ЕР (общ) '!$I1067*'Смета ЕР (общ) '!$M1067,2)</f>
        <v>0</v>
      </c>
      <c r="P1067" s="61" t="s">
        <v>1109</v>
      </c>
      <c r="Q1067" s="56"/>
    </row>
    <row r="1068" spans="1:20" ht="24" hidden="1" x14ac:dyDescent="0.3">
      <c r="A1068" s="26" t="s">
        <v>1081</v>
      </c>
      <c r="B1068" s="26">
        <v>2</v>
      </c>
      <c r="C1068" s="26"/>
      <c r="D1068" s="26">
        <v>49</v>
      </c>
      <c r="E1068" s="26" t="str">
        <f>CONCATENATE('Смета ЕР (общ) '!$A1068,".",'Смета ЕР (общ) '!$B1068,".",'Смета ЕР (общ) '!$D1068)</f>
        <v>Р8.2.49</v>
      </c>
      <c r="F1068" s="26">
        <f t="shared" si="95"/>
        <v>1</v>
      </c>
      <c r="G1068" s="41" t="s">
        <v>1141</v>
      </c>
      <c r="H1068" s="28" t="s">
        <v>118</v>
      </c>
      <c r="I1068" s="158"/>
      <c r="J1068" s="30">
        <v>106530.43</v>
      </c>
      <c r="K1068" s="30">
        <f>$Q$1*'[14]Кондиционеры Haier VRF'!J16</f>
        <v>264505.5</v>
      </c>
      <c r="L1068" s="30">
        <f t="shared" si="93"/>
        <v>106530.43</v>
      </c>
      <c r="M1068" s="54">
        <f t="shared" si="94"/>
        <v>264505.5</v>
      </c>
      <c r="N1068" s="30">
        <f>ROUND('Смета ЕР (общ) '!$I1068*'Смета ЕР (общ) '!$L1068,2)</f>
        <v>0</v>
      </c>
      <c r="O1068" s="30">
        <f>ROUND('Смета ЕР (общ) '!$I1068*'Смета ЕР (общ) '!$M1068,2)</f>
        <v>0</v>
      </c>
      <c r="P1068" s="61" t="s">
        <v>1109</v>
      </c>
      <c r="Q1068" s="56"/>
    </row>
    <row r="1069" spans="1:20" ht="24" hidden="1" x14ac:dyDescent="0.3">
      <c r="A1069" s="26" t="s">
        <v>1081</v>
      </c>
      <c r="B1069" s="26">
        <v>2</v>
      </c>
      <c r="C1069" s="26"/>
      <c r="D1069" s="26">
        <v>33</v>
      </c>
      <c r="E1069" s="26" t="str">
        <f>CONCATENATE('Смета ЕР (общ) '!$A1069,".",'Смета ЕР (общ) '!$B1069,".",'Смета ЕР (общ) '!$D1069)</f>
        <v>Р8.2.33</v>
      </c>
      <c r="F1069" s="26">
        <f t="shared" si="95"/>
        <v>1</v>
      </c>
      <c r="G1069" s="41" t="s">
        <v>1142</v>
      </c>
      <c r="H1069" s="28" t="s">
        <v>118</v>
      </c>
      <c r="I1069" s="158"/>
      <c r="J1069" s="30">
        <v>106530.43</v>
      </c>
      <c r="K1069" s="30">
        <f>$Q$1*'[14]Кондиционеры Haier VRF'!J17</f>
        <v>273690.90000000002</v>
      </c>
      <c r="L1069" s="30">
        <f t="shared" si="93"/>
        <v>106530.43</v>
      </c>
      <c r="M1069" s="54">
        <f t="shared" si="94"/>
        <v>273690.90000000002</v>
      </c>
      <c r="N1069" s="30">
        <f>ROUND('Смета ЕР (общ) '!$I1069*'Смета ЕР (общ) '!$L1069,2)</f>
        <v>0</v>
      </c>
      <c r="O1069" s="30">
        <f>ROUND('Смета ЕР (общ) '!$I1069*'Смета ЕР (общ) '!$M1069,2)</f>
        <v>0</v>
      </c>
      <c r="P1069" s="61" t="s">
        <v>1109</v>
      </c>
      <c r="Q1069" s="56"/>
      <c r="T1069">
        <v>1</v>
      </c>
    </row>
    <row r="1070" spans="1:20" ht="24" hidden="1" x14ac:dyDescent="0.3">
      <c r="A1070" s="26" t="s">
        <v>1081</v>
      </c>
      <c r="B1070" s="26">
        <v>2</v>
      </c>
      <c r="C1070" s="26"/>
      <c r="D1070" s="26">
        <v>91</v>
      </c>
      <c r="E1070" s="26" t="str">
        <f>CONCATENATE('Смета ЕР (общ) '!$A1070,".",'Смета ЕР (общ) '!$B1070,".",'Смета ЕР (общ) '!$D1070)</f>
        <v>Р8.2.91</v>
      </c>
      <c r="F1070" s="26">
        <f t="shared" si="95"/>
        <v>1</v>
      </c>
      <c r="G1070" s="58" t="s">
        <v>1143</v>
      </c>
      <c r="H1070" s="28" t="s">
        <v>118</v>
      </c>
      <c r="I1070" s="158"/>
      <c r="J1070" s="30">
        <v>106530.43</v>
      </c>
      <c r="K1070" s="30">
        <f>$Q$1*'[14]Кондиционеры MDV VRF'!J75</f>
        <v>502134.06600000011</v>
      </c>
      <c r="L1070" s="30">
        <f t="shared" si="93"/>
        <v>106530.43</v>
      </c>
      <c r="M1070" s="54">
        <f t="shared" si="94"/>
        <v>502134.06600000011</v>
      </c>
      <c r="N1070" s="30">
        <f>ROUND('Смета ЕР (общ) '!$I1070*'Смета ЕР (общ) '!$L1070,2)</f>
        <v>0</v>
      </c>
      <c r="O1070" s="30">
        <f>ROUND('Смета ЕР (общ) '!$I1070*'Смета ЕР (общ) '!$M1070,2)</f>
        <v>0</v>
      </c>
      <c r="P1070" s="61" t="s">
        <v>1124</v>
      </c>
      <c r="Q1070" s="56"/>
    </row>
    <row r="1071" spans="1:20" ht="24" hidden="1" x14ac:dyDescent="0.3">
      <c r="A1071" s="26" t="s">
        <v>1081</v>
      </c>
      <c r="B1071" s="26">
        <v>2</v>
      </c>
      <c r="C1071" s="26"/>
      <c r="D1071" s="26">
        <v>92</v>
      </c>
      <c r="E1071" s="26" t="str">
        <f>CONCATENATE('Смета ЕР (общ) '!$A1071,".",'Смета ЕР (общ) '!$B1071,".",'Смета ЕР (общ) '!$D1071)</f>
        <v>Р8.2.92</v>
      </c>
      <c r="F1071" s="26">
        <f t="shared" si="95"/>
        <v>1</v>
      </c>
      <c r="G1071" s="58" t="s">
        <v>1144</v>
      </c>
      <c r="H1071" s="28" t="s">
        <v>118</v>
      </c>
      <c r="I1071" s="158"/>
      <c r="J1071" s="30">
        <v>106530.43</v>
      </c>
      <c r="K1071" s="30">
        <f>$Q$1*'[14]Кондиционеры MDV VRF'!J76</f>
        <v>529250.27400000009</v>
      </c>
      <c r="L1071" s="30">
        <f t="shared" si="93"/>
        <v>106530.43</v>
      </c>
      <c r="M1071" s="54">
        <f t="shared" si="94"/>
        <v>529250.27400000009</v>
      </c>
      <c r="N1071" s="30">
        <f>ROUND('Смета ЕР (общ) '!$I1071*'Смета ЕР (общ) '!$L1071,2)</f>
        <v>0</v>
      </c>
      <c r="O1071" s="30">
        <f>ROUND('Смета ЕР (общ) '!$I1071*'Смета ЕР (общ) '!$M1071,2)</f>
        <v>0</v>
      </c>
      <c r="P1071" s="61" t="s">
        <v>1124</v>
      </c>
      <c r="Q1071" s="56"/>
    </row>
    <row r="1072" spans="1:20" ht="24" hidden="1" x14ac:dyDescent="0.3">
      <c r="A1072" s="26" t="s">
        <v>1081</v>
      </c>
      <c r="B1072" s="26">
        <v>2</v>
      </c>
      <c r="C1072" s="26"/>
      <c r="D1072" s="26">
        <v>93</v>
      </c>
      <c r="E1072" s="26" t="str">
        <f>CONCATENATE('Смета ЕР (общ) '!$A1072,".",'Смета ЕР (общ) '!$B1072,".",'Смета ЕР (общ) '!$D1072)</f>
        <v>Р8.2.93</v>
      </c>
      <c r="F1072" s="26">
        <f t="shared" si="95"/>
        <v>1</v>
      </c>
      <c r="G1072" s="58" t="s">
        <v>1145</v>
      </c>
      <c r="H1072" s="28" t="s">
        <v>118</v>
      </c>
      <c r="I1072" s="158"/>
      <c r="J1072" s="30">
        <v>106530.43</v>
      </c>
      <c r="K1072" s="30">
        <f>$Q$1*'[14]Кондиционеры MDV VRF'!J77</f>
        <v>581338.29600000021</v>
      </c>
      <c r="L1072" s="30">
        <f t="shared" si="93"/>
        <v>106530.43</v>
      </c>
      <c r="M1072" s="54">
        <f t="shared" si="94"/>
        <v>581338.29600000021</v>
      </c>
      <c r="N1072" s="30">
        <f>ROUND('Смета ЕР (общ) '!$I1072*'Смета ЕР (общ) '!$L1072,2)</f>
        <v>0</v>
      </c>
      <c r="O1072" s="30">
        <f>ROUND('Смета ЕР (общ) '!$I1072*'Смета ЕР (общ) '!$M1072,2)</f>
        <v>0</v>
      </c>
      <c r="P1072" s="61" t="s">
        <v>1124</v>
      </c>
      <c r="Q1072" s="56"/>
    </row>
    <row r="1073" spans="1:20" ht="14.4" hidden="1" x14ac:dyDescent="0.3">
      <c r="A1073" s="26" t="s">
        <v>1081</v>
      </c>
      <c r="B1073" s="26">
        <v>2</v>
      </c>
      <c r="C1073" s="26"/>
      <c r="D1073" s="26">
        <v>34</v>
      </c>
      <c r="E1073" s="26" t="str">
        <f>CONCATENATE('Смета ЕР (общ) '!$A1073,".",'Смета ЕР (общ) '!$B1073,".",'Смета ЕР (общ) '!$D1073)</f>
        <v>Р8.2.34</v>
      </c>
      <c r="F1073" s="26">
        <f t="shared" si="95"/>
        <v>1</v>
      </c>
      <c r="G1073" s="41" t="s">
        <v>1146</v>
      </c>
      <c r="H1073" s="28" t="s">
        <v>118</v>
      </c>
      <c r="I1073" s="158"/>
      <c r="J1073" s="30">
        <v>1039.6099999999999</v>
      </c>
      <c r="K1073" s="30">
        <f>$Q$1*'[14]Кондиционеры Haier VRF'!J170</f>
        <v>4167.45</v>
      </c>
      <c r="L1073" s="30">
        <f t="shared" si="93"/>
        <v>1039.6099999999999</v>
      </c>
      <c r="M1073" s="54">
        <f t="shared" si="94"/>
        <v>4167.45</v>
      </c>
      <c r="N1073" s="30">
        <f>ROUND('Смета ЕР (общ) '!$I1073*'Смета ЕР (общ) '!$L1073,2)</f>
        <v>0</v>
      </c>
      <c r="O1073" s="30">
        <f>ROUND('Смета ЕР (общ) '!$I1073*'Смета ЕР (общ) '!$M1073,2)</f>
        <v>0</v>
      </c>
      <c r="P1073" s="61" t="s">
        <v>1109</v>
      </c>
      <c r="Q1073" s="56"/>
      <c r="T1073">
        <v>9</v>
      </c>
    </row>
    <row r="1074" spans="1:20" ht="14.4" hidden="1" x14ac:dyDescent="0.3">
      <c r="A1074" s="26" t="s">
        <v>1081</v>
      </c>
      <c r="B1074" s="26">
        <v>2</v>
      </c>
      <c r="C1074" s="26"/>
      <c r="D1074" s="26">
        <v>35</v>
      </c>
      <c r="E1074" s="26" t="str">
        <f>CONCATENATE('Смета ЕР (общ) '!$A1074,".",'Смета ЕР (общ) '!$B1074,".",'Смета ЕР (общ) '!$D1074)</f>
        <v>Р8.2.35</v>
      </c>
      <c r="F1074" s="26">
        <f t="shared" si="95"/>
        <v>1</v>
      </c>
      <c r="G1074" s="41" t="s">
        <v>1147</v>
      </c>
      <c r="H1074" s="28" t="s">
        <v>118</v>
      </c>
      <c r="I1074" s="158"/>
      <c r="J1074" s="30">
        <v>1040.48</v>
      </c>
      <c r="K1074" s="30">
        <f>$Q$1*'[14]Кондиционеры Haier VRF'!J171</f>
        <v>4762.8</v>
      </c>
      <c r="L1074" s="30">
        <f t="shared" si="93"/>
        <v>1040.48</v>
      </c>
      <c r="M1074" s="54">
        <f t="shared" si="94"/>
        <v>4762.8</v>
      </c>
      <c r="N1074" s="30">
        <f>ROUND('Смета ЕР (общ) '!$I1074*'Смета ЕР (общ) '!$L1074,2)</f>
        <v>0</v>
      </c>
      <c r="O1074" s="30">
        <f>ROUND('Смета ЕР (общ) '!$I1074*'Смета ЕР (общ) '!$M1074,2)</f>
        <v>0</v>
      </c>
      <c r="P1074" s="61" t="s">
        <v>1109</v>
      </c>
      <c r="Q1074" s="56"/>
      <c r="T1074">
        <v>1</v>
      </c>
    </row>
    <row r="1075" spans="1:20" ht="14.4" hidden="1" x14ac:dyDescent="0.3">
      <c r="A1075" s="26" t="s">
        <v>1081</v>
      </c>
      <c r="B1075" s="26">
        <v>2</v>
      </c>
      <c r="C1075" s="26"/>
      <c r="D1075" s="26">
        <v>94</v>
      </c>
      <c r="E1075" s="26" t="str">
        <f>CONCATENATE('Смета ЕР (общ) '!$A1075,".",'Смета ЕР (общ) '!$B1075,".",'Смета ЕР (общ) '!$D1075)</f>
        <v>Р8.2.94</v>
      </c>
      <c r="F1075" s="26">
        <f t="shared" si="95"/>
        <v>1</v>
      </c>
      <c r="G1075" s="58" t="s">
        <v>1148</v>
      </c>
      <c r="H1075" s="28" t="s">
        <v>118</v>
      </c>
      <c r="I1075" s="158"/>
      <c r="J1075" s="30">
        <v>1039.6099999999999</v>
      </c>
      <c r="K1075" s="30">
        <f>$Q$1*'[14]Кондиционеры MDV VRF'!J272</f>
        <v>3735.3960000000011</v>
      </c>
      <c r="L1075" s="30">
        <f t="shared" si="93"/>
        <v>1039.6099999999999</v>
      </c>
      <c r="M1075" s="54">
        <f t="shared" si="94"/>
        <v>3735.3960000000011</v>
      </c>
      <c r="N1075" s="30">
        <f>ROUND('Смета ЕР (общ) '!$I1075*'Смета ЕР (общ) '!$L1075,2)</f>
        <v>0</v>
      </c>
      <c r="O1075" s="30">
        <f>ROUND('Смета ЕР (общ) '!$I1075*'Смета ЕР (общ) '!$M1075,2)</f>
        <v>0</v>
      </c>
      <c r="P1075" s="61" t="s">
        <v>1124</v>
      </c>
      <c r="Q1075" s="56"/>
    </row>
    <row r="1076" spans="1:20" ht="14.4" hidden="1" x14ac:dyDescent="0.3">
      <c r="A1076" s="26" t="s">
        <v>1081</v>
      </c>
      <c r="B1076" s="26">
        <v>2</v>
      </c>
      <c r="C1076" s="26"/>
      <c r="D1076" s="26">
        <v>95</v>
      </c>
      <c r="E1076" s="26" t="str">
        <f>CONCATENATE('Смета ЕР (общ) '!$A1076,".",'Смета ЕР (общ) '!$B1076,".",'Смета ЕР (общ) '!$D1076)</f>
        <v>Р8.2.95</v>
      </c>
      <c r="F1076" s="26">
        <f t="shared" si="95"/>
        <v>1</v>
      </c>
      <c r="G1076" s="58" t="s">
        <v>1149</v>
      </c>
      <c r="H1076" s="28" t="s">
        <v>118</v>
      </c>
      <c r="I1076" s="158"/>
      <c r="J1076" s="30">
        <v>1040.48</v>
      </c>
      <c r="K1076" s="30">
        <f>$Q$1*'[14]Кондиционеры MDV VRF'!J273</f>
        <v>3942.9180000000006</v>
      </c>
      <c r="L1076" s="30">
        <f t="shared" si="93"/>
        <v>1040.48</v>
      </c>
      <c r="M1076" s="54">
        <f t="shared" si="94"/>
        <v>3942.9180000000006</v>
      </c>
      <c r="N1076" s="30">
        <f>ROUND('Смета ЕР (общ) '!$I1076*'Смета ЕР (общ) '!$L1076,2)</f>
        <v>0</v>
      </c>
      <c r="O1076" s="30">
        <f>ROUND('Смета ЕР (общ) '!$I1076*'Смета ЕР (общ) '!$M1076,2)</f>
        <v>0</v>
      </c>
      <c r="P1076" s="61" t="s">
        <v>1124</v>
      </c>
      <c r="Q1076" s="56"/>
    </row>
    <row r="1077" spans="1:20" ht="14.4" hidden="1" x14ac:dyDescent="0.3">
      <c r="A1077" s="26" t="s">
        <v>1081</v>
      </c>
      <c r="B1077" s="26">
        <v>2</v>
      </c>
      <c r="C1077" s="26"/>
      <c r="D1077" s="26">
        <v>96</v>
      </c>
      <c r="E1077" s="26" t="str">
        <f>CONCATENATE('Смета ЕР (общ) '!$A1077,".",'Смета ЕР (общ) '!$B1077,".",'Смета ЕР (общ) '!$D1077)</f>
        <v>Р8.2.96</v>
      </c>
      <c r="F1077" s="26">
        <f t="shared" si="95"/>
        <v>1</v>
      </c>
      <c r="G1077" s="58" t="s">
        <v>1150</v>
      </c>
      <c r="H1077" s="28" t="s">
        <v>118</v>
      </c>
      <c r="I1077" s="158"/>
      <c r="J1077" s="30">
        <v>1040.48</v>
      </c>
      <c r="K1077" s="30">
        <f>$Q$1*'[14]Кондиционеры MDV VRF'!J274</f>
        <v>8958.0330000000013</v>
      </c>
      <c r="L1077" s="30">
        <f t="shared" si="93"/>
        <v>1040.48</v>
      </c>
      <c r="M1077" s="54">
        <f t="shared" si="94"/>
        <v>8958.0330000000013</v>
      </c>
      <c r="N1077" s="30">
        <f>ROUND('Смета ЕР (общ) '!$I1077*'Смета ЕР (общ) '!$L1077,2)</f>
        <v>0</v>
      </c>
      <c r="O1077" s="30">
        <f>ROUND('Смета ЕР (общ) '!$I1077*'Смета ЕР (общ) '!$M1077,2)</f>
        <v>0</v>
      </c>
      <c r="P1077" s="61" t="s">
        <v>1124</v>
      </c>
      <c r="Q1077" s="56"/>
    </row>
    <row r="1078" spans="1:20" ht="14.4" hidden="1" x14ac:dyDescent="0.3">
      <c r="A1078" s="26" t="s">
        <v>1081</v>
      </c>
      <c r="B1078" s="26">
        <v>2</v>
      </c>
      <c r="C1078" s="26"/>
      <c r="D1078" s="26">
        <v>97</v>
      </c>
      <c r="E1078" s="26" t="str">
        <f>CONCATENATE('Смета ЕР (общ) '!$A1078,".",'Смета ЕР (общ) '!$B1078,".",'Смета ЕР (общ) '!$D1078)</f>
        <v>Р8.2.97</v>
      </c>
      <c r="F1078" s="26">
        <f t="shared" si="95"/>
        <v>1</v>
      </c>
      <c r="G1078" s="58" t="s">
        <v>1151</v>
      </c>
      <c r="H1078" s="28" t="s">
        <v>118</v>
      </c>
      <c r="I1078" s="158"/>
      <c r="J1078" s="30">
        <v>1040.48</v>
      </c>
      <c r="K1078" s="30">
        <f>$Q$1*'[14]Кондиционеры MDV VRF'!J275</f>
        <v>13108.473</v>
      </c>
      <c r="L1078" s="30">
        <f t="shared" si="93"/>
        <v>1040.48</v>
      </c>
      <c r="M1078" s="54">
        <f t="shared" si="94"/>
        <v>13108.473</v>
      </c>
      <c r="N1078" s="30">
        <f>ROUND('Смета ЕР (общ) '!$I1078*'Смета ЕР (общ) '!$L1078,2)</f>
        <v>0</v>
      </c>
      <c r="O1078" s="30">
        <f>ROUND('Смета ЕР (общ) '!$I1078*'Смета ЕР (общ) '!$M1078,2)</f>
        <v>0</v>
      </c>
      <c r="P1078" s="61" t="s">
        <v>1124</v>
      </c>
      <c r="Q1078" s="56"/>
    </row>
    <row r="1079" spans="1:20" ht="14.4" hidden="1" x14ac:dyDescent="0.3">
      <c r="A1079" s="26" t="s">
        <v>1081</v>
      </c>
      <c r="B1079" s="26">
        <v>2</v>
      </c>
      <c r="C1079" s="26"/>
      <c r="D1079" s="26">
        <v>98</v>
      </c>
      <c r="E1079" s="26" t="str">
        <f>CONCATENATE('Смета ЕР (общ) '!$A1079,".",'Смета ЕР (общ) '!$B1079,".",'Смета ЕР (общ) '!$D1079)</f>
        <v>Р8.2.98</v>
      </c>
      <c r="F1079" s="26">
        <f t="shared" si="95"/>
        <v>1</v>
      </c>
      <c r="G1079" s="58" t="s">
        <v>1152</v>
      </c>
      <c r="H1079" s="28" t="s">
        <v>118</v>
      </c>
      <c r="I1079" s="158"/>
      <c r="J1079" s="30">
        <v>1040.48</v>
      </c>
      <c r="K1079" s="30">
        <f>$Q$1*'[14]Кондиционеры MDV VRF'!J276</f>
        <v>13800.213000000002</v>
      </c>
      <c r="L1079" s="30">
        <f t="shared" si="93"/>
        <v>1040.48</v>
      </c>
      <c r="M1079" s="54">
        <f t="shared" si="94"/>
        <v>13800.213000000002</v>
      </c>
      <c r="N1079" s="30">
        <f>ROUND('Смета ЕР (общ) '!$I1079*'Смета ЕР (общ) '!$L1079,2)</f>
        <v>0</v>
      </c>
      <c r="O1079" s="30">
        <f>ROUND('Смета ЕР (общ) '!$I1079*'Смета ЕР (общ) '!$M1079,2)</f>
        <v>0</v>
      </c>
      <c r="P1079" s="61" t="s">
        <v>1124</v>
      </c>
      <c r="Q1079" s="56"/>
    </row>
    <row r="1080" spans="1:20" ht="14.4" hidden="1" x14ac:dyDescent="0.3">
      <c r="A1080" s="26" t="s">
        <v>1081</v>
      </c>
      <c r="B1080" s="26">
        <v>2</v>
      </c>
      <c r="C1080" s="26"/>
      <c r="D1080" s="26">
        <v>50</v>
      </c>
      <c r="E1080" s="26" t="str">
        <f>CONCATENATE('Смета ЕР (общ) '!$A1080,".",'Смета ЕР (общ) '!$B1080,".",'Смета ЕР (общ) '!$D1080)</f>
        <v>Р8.2.50</v>
      </c>
      <c r="F1080" s="26">
        <f t="shared" si="95"/>
        <v>1</v>
      </c>
      <c r="G1080" s="41" t="s">
        <v>1153</v>
      </c>
      <c r="H1080" s="28" t="s">
        <v>118</v>
      </c>
      <c r="I1080" s="158"/>
      <c r="J1080" s="30">
        <v>2000</v>
      </c>
      <c r="K1080" s="30">
        <v>5500</v>
      </c>
      <c r="L1080" s="30">
        <f t="shared" si="93"/>
        <v>2000</v>
      </c>
      <c r="M1080" s="30">
        <f t="shared" si="93"/>
        <v>5500</v>
      </c>
      <c r="N1080" s="30">
        <f>ROUND('Смета ЕР (общ) '!$I1080*'Смета ЕР (общ) '!$L1080,2)</f>
        <v>0</v>
      </c>
      <c r="O1080" s="30">
        <f>ROUND('Смета ЕР (общ) '!$I1080*'Смета ЕР (общ) '!$M1080,2)</f>
        <v>0</v>
      </c>
      <c r="P1080" s="45"/>
    </row>
    <row r="1081" spans="1:20" ht="14.4" hidden="1" x14ac:dyDescent="0.3">
      <c r="A1081" s="26" t="s">
        <v>1081</v>
      </c>
      <c r="B1081" s="26">
        <v>2</v>
      </c>
      <c r="C1081" s="26"/>
      <c r="D1081" s="26">
        <v>51</v>
      </c>
      <c r="E1081" s="26" t="str">
        <f>CONCATENATE('Смета ЕР (общ) '!$A1081,".",'Смета ЕР (общ) '!$B1081,".",'Смета ЕР (общ) '!$D1081)</f>
        <v>Р8.2.51</v>
      </c>
      <c r="F1081" s="26">
        <f t="shared" si="95"/>
        <v>1</v>
      </c>
      <c r="G1081" s="41" t="s">
        <v>1154</v>
      </c>
      <c r="H1081" s="28" t="s">
        <v>118</v>
      </c>
      <c r="I1081" s="158"/>
      <c r="J1081" s="30">
        <v>1500</v>
      </c>
      <c r="K1081" s="30">
        <v>4500</v>
      </c>
      <c r="L1081" s="30">
        <f t="shared" ref="L1081:M1095" si="96">ROUND(J1081-J1081*$Q$3,2)</f>
        <v>1500</v>
      </c>
      <c r="M1081" s="30">
        <f t="shared" si="96"/>
        <v>4500</v>
      </c>
      <c r="N1081" s="30">
        <f>ROUND('Смета ЕР (общ) '!$I1081*'Смета ЕР (общ) '!$L1081,2)</f>
        <v>0</v>
      </c>
      <c r="O1081" s="30">
        <f>ROUND('Смета ЕР (общ) '!$I1081*'Смета ЕР (общ) '!$M1081,2)</f>
        <v>0</v>
      </c>
      <c r="P1081" s="45"/>
    </row>
    <row r="1082" spans="1:20" ht="14.4" hidden="1" x14ac:dyDescent="0.3">
      <c r="A1082" s="26" t="s">
        <v>1081</v>
      </c>
      <c r="B1082" s="26">
        <v>2</v>
      </c>
      <c r="C1082" s="26"/>
      <c r="D1082" s="26">
        <v>52</v>
      </c>
      <c r="E1082" s="26" t="str">
        <f>CONCATENATE('Смета ЕР (общ) '!$A1082,".",'Смета ЕР (общ) '!$B1082,".",'Смета ЕР (общ) '!$D1082)</f>
        <v>Р8.2.52</v>
      </c>
      <c r="F1082" s="26">
        <f t="shared" si="95"/>
        <v>1</v>
      </c>
      <c r="G1082" s="41" t="s">
        <v>1155</v>
      </c>
      <c r="H1082" s="28" t="s">
        <v>118</v>
      </c>
      <c r="I1082" s="158"/>
      <c r="J1082" s="30">
        <v>750</v>
      </c>
      <c r="K1082" s="30">
        <v>1350</v>
      </c>
      <c r="L1082" s="30">
        <f t="shared" si="96"/>
        <v>750</v>
      </c>
      <c r="M1082" s="30">
        <f t="shared" si="96"/>
        <v>1350</v>
      </c>
      <c r="N1082" s="30">
        <f>ROUND('Смета ЕР (общ) '!$I1082*'Смета ЕР (общ) '!$L1082,2)</f>
        <v>0</v>
      </c>
      <c r="O1082" s="30">
        <f>ROUND('Смета ЕР (общ) '!$I1082*'Смета ЕР (общ) '!$M1082,2)</f>
        <v>0</v>
      </c>
      <c r="P1082" s="45"/>
    </row>
    <row r="1083" spans="1:20" ht="14.4" hidden="1" x14ac:dyDescent="0.3">
      <c r="A1083" s="26" t="s">
        <v>1081</v>
      </c>
      <c r="B1083" s="26">
        <v>2</v>
      </c>
      <c r="C1083" s="26"/>
      <c r="D1083" s="26">
        <v>53</v>
      </c>
      <c r="E1083" s="26" t="str">
        <f>CONCATENATE('Смета ЕР (общ) '!$A1083,".",'Смета ЕР (общ) '!$B1083,".",'Смета ЕР (общ) '!$D1083)</f>
        <v>Р8.2.53</v>
      </c>
      <c r="F1083" s="26">
        <f t="shared" si="95"/>
        <v>1</v>
      </c>
      <c r="G1083" s="41" t="s">
        <v>1156</v>
      </c>
      <c r="H1083" s="28" t="s">
        <v>118</v>
      </c>
      <c r="I1083" s="158"/>
      <c r="J1083" s="30">
        <v>2000</v>
      </c>
      <c r="K1083" s="30">
        <v>16746.400000000001</v>
      </c>
      <c r="L1083" s="30">
        <f t="shared" si="96"/>
        <v>2000</v>
      </c>
      <c r="M1083" s="30">
        <f t="shared" si="96"/>
        <v>16746.400000000001</v>
      </c>
      <c r="N1083" s="30">
        <f>ROUND('Смета ЕР (общ) '!$I1083*'Смета ЕР (общ) '!$L1083,2)</f>
        <v>0</v>
      </c>
      <c r="O1083" s="30">
        <f>ROUND('Смета ЕР (общ) '!$I1083*'Смета ЕР (общ) '!$M1083,2)</f>
        <v>0</v>
      </c>
      <c r="P1083" s="45"/>
    </row>
    <row r="1084" spans="1:20" ht="14.4" hidden="1" x14ac:dyDescent="0.3">
      <c r="A1084" s="26" t="s">
        <v>1081</v>
      </c>
      <c r="B1084" s="26">
        <v>2</v>
      </c>
      <c r="C1084" s="26"/>
      <c r="D1084" s="26">
        <v>54</v>
      </c>
      <c r="E1084" s="26" t="str">
        <f>CONCATENATE('Смета ЕР (общ) '!$A1084,".",'Смета ЕР (общ) '!$B1084,".",'Смета ЕР (общ) '!$D1084)</f>
        <v>Р8.2.54</v>
      </c>
      <c r="F1084" s="26">
        <f t="shared" si="95"/>
        <v>1</v>
      </c>
      <c r="G1084" s="41" t="s">
        <v>1157</v>
      </c>
      <c r="H1084" s="42" t="s">
        <v>1158</v>
      </c>
      <c r="I1084" s="158"/>
      <c r="J1084" s="30">
        <v>700</v>
      </c>
      <c r="K1084" s="30">
        <v>4900</v>
      </c>
      <c r="L1084" s="30">
        <f t="shared" si="96"/>
        <v>700</v>
      </c>
      <c r="M1084" s="30">
        <f t="shared" si="96"/>
        <v>4900</v>
      </c>
      <c r="N1084" s="30">
        <f>ROUND('Смета ЕР (общ) '!$I1084*'Смета ЕР (общ) '!$L1084,2)</f>
        <v>0</v>
      </c>
      <c r="O1084" s="30">
        <f>ROUND('Смета ЕР (общ) '!$I1084*'Смета ЕР (общ) '!$M1084,2)</f>
        <v>0</v>
      </c>
      <c r="P1084" s="45"/>
    </row>
    <row r="1085" spans="1:20" ht="14.4" hidden="1" x14ac:dyDescent="0.3">
      <c r="A1085" s="26" t="s">
        <v>1081</v>
      </c>
      <c r="B1085" s="26">
        <v>2</v>
      </c>
      <c r="C1085" s="26"/>
      <c r="D1085" s="26">
        <v>15</v>
      </c>
      <c r="E1085" s="26" t="str">
        <f>CONCATENATE('Смета ЕР (общ) '!$A1085,".",'Смета ЕР (общ) '!$B1085,".",'Смета ЕР (общ) '!$D1085)</f>
        <v>Р8.2.15</v>
      </c>
      <c r="F1085" s="26">
        <f t="shared" si="95"/>
        <v>1</v>
      </c>
      <c r="G1085" s="41" t="s">
        <v>1159</v>
      </c>
      <c r="H1085" s="28" t="s">
        <v>118</v>
      </c>
      <c r="I1085" s="158"/>
      <c r="J1085" s="30">
        <v>4293.7</v>
      </c>
      <c r="K1085" s="30">
        <v>6711.44</v>
      </c>
      <c r="L1085" s="30">
        <f t="shared" si="96"/>
        <v>4293.7</v>
      </c>
      <c r="M1085" s="30">
        <f t="shared" si="96"/>
        <v>6711.44</v>
      </c>
      <c r="N1085" s="30">
        <f>ROUND('Смета ЕР (общ) '!$I1085*'Смета ЕР (общ) '!$L1085,2)</f>
        <v>0</v>
      </c>
      <c r="O1085" s="30">
        <f>ROUND('Смета ЕР (общ) '!$I1085*'Смета ЕР (общ) '!$M1085,2)</f>
        <v>0</v>
      </c>
      <c r="P1085" s="45"/>
      <c r="T1085">
        <v>9</v>
      </c>
    </row>
    <row r="1086" spans="1:20" ht="14.4" hidden="1" x14ac:dyDescent="0.3">
      <c r="A1086" s="51" t="s">
        <v>1081</v>
      </c>
      <c r="B1086" s="51">
        <v>2</v>
      </c>
      <c r="C1086" s="51"/>
      <c r="D1086" s="51">
        <v>16</v>
      </c>
      <c r="E1086" s="51" t="str">
        <f>CONCATENATE('Смета ЕР (общ) '!$A1086,".",'Смета ЕР (общ) '!$B1086,".",'Смета ЕР (общ) '!$D1086)</f>
        <v>Р8.2.16</v>
      </c>
      <c r="F1086" s="51">
        <f t="shared" si="95"/>
        <v>1</v>
      </c>
      <c r="G1086" s="52" t="s">
        <v>1160</v>
      </c>
      <c r="H1086" s="28" t="s">
        <v>118</v>
      </c>
      <c r="I1086" s="158"/>
      <c r="J1086" s="30">
        <v>4293.7</v>
      </c>
      <c r="K1086" s="30">
        <v>8193.5300000000007</v>
      </c>
      <c r="L1086" s="30">
        <f t="shared" si="96"/>
        <v>4293.7</v>
      </c>
      <c r="M1086" s="30">
        <f t="shared" si="96"/>
        <v>8193.5300000000007</v>
      </c>
      <c r="N1086" s="30">
        <f>ROUND('Смета ЕР (общ) '!$I1086*'Смета ЕР (общ) '!$L1086,2)</f>
        <v>0</v>
      </c>
      <c r="O1086" s="30">
        <f>ROUND('Смета ЕР (общ) '!$I1086*'Смета ЕР (общ) '!$M1086,2)</f>
        <v>0</v>
      </c>
      <c r="P1086" s="45"/>
    </row>
    <row r="1087" spans="1:20" ht="14.4" hidden="1" x14ac:dyDescent="0.3">
      <c r="A1087" s="26" t="s">
        <v>1081</v>
      </c>
      <c r="B1087" s="26">
        <v>2</v>
      </c>
      <c r="C1087" s="26"/>
      <c r="D1087" s="26">
        <v>17</v>
      </c>
      <c r="E1087" s="26" t="str">
        <f>CONCATENATE('Смета ЕР (общ) '!$A1087,".",'Смета ЕР (общ) '!$B1087,".",'Смета ЕР (общ) '!$D1087)</f>
        <v>Р8.2.17</v>
      </c>
      <c r="F1087" s="26">
        <f t="shared" si="95"/>
        <v>1</v>
      </c>
      <c r="G1087" s="27" t="s">
        <v>1161</v>
      </c>
      <c r="H1087" s="28" t="s">
        <v>64</v>
      </c>
      <c r="I1087" s="158"/>
      <c r="J1087" s="30">
        <v>1148.3599999999999</v>
      </c>
      <c r="K1087" s="30">
        <v>6334.22</v>
      </c>
      <c r="L1087" s="30">
        <f t="shared" si="96"/>
        <v>1148.3599999999999</v>
      </c>
      <c r="M1087" s="30">
        <f t="shared" si="96"/>
        <v>6334.22</v>
      </c>
      <c r="N1087" s="30">
        <f>ROUND('Смета ЕР (общ) '!$I1087*'Смета ЕР (общ) '!$L1087,2)</f>
        <v>0</v>
      </c>
      <c r="O1087" s="30">
        <f>ROUND('Смета ЕР (общ) '!$I1087*'Смета ЕР (общ) '!$M1087,2)</f>
        <v>0</v>
      </c>
      <c r="P1087" s="45"/>
    </row>
    <row r="1088" spans="1:20" ht="24" hidden="1" x14ac:dyDescent="0.3">
      <c r="A1088" s="26" t="s">
        <v>1081</v>
      </c>
      <c r="B1088" s="26">
        <v>2</v>
      </c>
      <c r="C1088" s="26"/>
      <c r="D1088" s="26">
        <v>18</v>
      </c>
      <c r="E1088" s="26" t="str">
        <f>CONCATENATE('Смета ЕР (общ) '!$A1088,".",'Смета ЕР (общ) '!$B1088,".",'Смета ЕР (общ) '!$D1088)</f>
        <v>Р8.2.18</v>
      </c>
      <c r="F1088" s="26">
        <f t="shared" si="95"/>
        <v>1</v>
      </c>
      <c r="G1088" s="27" t="s">
        <v>1162</v>
      </c>
      <c r="H1088" s="28" t="s">
        <v>125</v>
      </c>
      <c r="I1088" s="158"/>
      <c r="J1088" s="30">
        <v>96.36</v>
      </c>
      <c r="K1088" s="30">
        <v>0</v>
      </c>
      <c r="L1088" s="30">
        <f t="shared" si="96"/>
        <v>96.36</v>
      </c>
      <c r="M1088" s="30">
        <f t="shared" si="96"/>
        <v>0</v>
      </c>
      <c r="N1088" s="30">
        <f>ROUND('Смета ЕР (общ) '!$I1088*'Смета ЕР (общ) '!$L1088,2)</f>
        <v>0</v>
      </c>
      <c r="O1088" s="30">
        <f>ROUND('Смета ЕР (общ) '!$I1088*'Смета ЕР (общ) '!$M1088,2)</f>
        <v>0</v>
      </c>
      <c r="P1088" s="45"/>
      <c r="T1088">
        <v>214</v>
      </c>
    </row>
    <row r="1089" spans="1:20" ht="15" hidden="1" customHeight="1" x14ac:dyDescent="0.3">
      <c r="A1089" s="26" t="s">
        <v>1081</v>
      </c>
      <c r="B1089" s="26">
        <v>2</v>
      </c>
      <c r="C1089" s="26"/>
      <c r="D1089" s="26">
        <v>19</v>
      </c>
      <c r="E1089" s="26" t="str">
        <f>CONCATENATE('Смета ЕР (общ) '!$A1089,".",'Смета ЕР (общ) '!$B1089,".",'Смета ЕР (общ) '!$D1089)</f>
        <v>Р8.2.19</v>
      </c>
      <c r="F1089" s="26">
        <f t="shared" si="95"/>
        <v>1</v>
      </c>
      <c r="G1089" s="27" t="s">
        <v>1163</v>
      </c>
      <c r="H1089" s="28" t="s">
        <v>118</v>
      </c>
      <c r="I1089" s="158"/>
      <c r="J1089" s="30">
        <v>2200</v>
      </c>
      <c r="K1089" s="30">
        <v>18668.04</v>
      </c>
      <c r="L1089" s="30">
        <f t="shared" si="96"/>
        <v>2200</v>
      </c>
      <c r="M1089" s="30">
        <f t="shared" si="96"/>
        <v>18668.04</v>
      </c>
      <c r="N1089" s="30">
        <f>ROUND('Смета ЕР (общ) '!$I1089*'Смета ЕР (общ) '!$L1089,2)</f>
        <v>0</v>
      </c>
      <c r="O1089" s="30">
        <f>ROUND('Смета ЕР (общ) '!$I1089*'Смета ЕР (общ) '!$M1089,2)</f>
        <v>0</v>
      </c>
      <c r="P1089" s="45"/>
      <c r="T1089">
        <v>1</v>
      </c>
    </row>
    <row r="1090" spans="1:20" ht="14.4" hidden="1" x14ac:dyDescent="0.3">
      <c r="A1090" s="26" t="s">
        <v>1081</v>
      </c>
      <c r="B1090" s="26">
        <v>2</v>
      </c>
      <c r="C1090" s="26"/>
      <c r="D1090" s="26">
        <v>55</v>
      </c>
      <c r="E1090" s="26" t="str">
        <f>CONCATENATE('Смета ЕР (общ) '!$A1090,".",'Смета ЕР (общ) '!$B1090,".",'Смета ЕР (общ) '!$D1090)</f>
        <v>Р8.2.55</v>
      </c>
      <c r="F1090" s="26">
        <f t="shared" si="95"/>
        <v>1</v>
      </c>
      <c r="G1090" s="27" t="s">
        <v>1164</v>
      </c>
      <c r="H1090" s="28" t="s">
        <v>118</v>
      </c>
      <c r="I1090" s="158"/>
      <c r="J1090" s="30">
        <v>3014.67</v>
      </c>
      <c r="K1090" s="30">
        <v>10540.05</v>
      </c>
      <c r="L1090" s="30">
        <f t="shared" si="96"/>
        <v>3014.67</v>
      </c>
      <c r="M1090" s="30">
        <f t="shared" si="96"/>
        <v>10540.05</v>
      </c>
      <c r="N1090" s="30">
        <f>ROUND('Смета ЕР (общ) '!$I1090*'Смета ЕР (общ) '!$L1090,2)</f>
        <v>0</v>
      </c>
      <c r="O1090" s="30">
        <f>ROUND('Смета ЕР (общ) '!$I1090*'Смета ЕР (общ) '!$M1090,2)</f>
        <v>0</v>
      </c>
      <c r="P1090" s="45"/>
    </row>
    <row r="1091" spans="1:20" ht="14.4" hidden="1" x14ac:dyDescent="0.3">
      <c r="A1091" s="26" t="s">
        <v>1081</v>
      </c>
      <c r="B1091" s="26">
        <v>2</v>
      </c>
      <c r="C1091" s="26"/>
      <c r="D1091" s="26">
        <v>56</v>
      </c>
      <c r="E1091" s="26" t="str">
        <f>CONCATENATE('Смета ЕР (общ) '!$A1091,".",'Смета ЕР (общ) '!$B1091,".",'Смета ЕР (общ) '!$D1091)</f>
        <v>Р8.2.56</v>
      </c>
      <c r="F1091" s="26">
        <f t="shared" si="95"/>
        <v>1</v>
      </c>
      <c r="G1091" s="27" t="s">
        <v>1165</v>
      </c>
      <c r="H1091" s="28" t="s">
        <v>118</v>
      </c>
      <c r="I1091" s="158"/>
      <c r="J1091" s="30">
        <v>3014.67</v>
      </c>
      <c r="K1091" s="30">
        <v>8961.8700000000008</v>
      </c>
      <c r="L1091" s="30">
        <f t="shared" si="96"/>
        <v>3014.67</v>
      </c>
      <c r="M1091" s="30">
        <f t="shared" si="96"/>
        <v>8961.8700000000008</v>
      </c>
      <c r="N1091" s="30">
        <f>ROUND('Смета ЕР (общ) '!$I1091*'Смета ЕР (общ) '!$L1091,2)</f>
        <v>0</v>
      </c>
      <c r="O1091" s="30">
        <f>ROUND('Смета ЕР (общ) '!$I1091*'Смета ЕР (общ) '!$M1091,2)</f>
        <v>0</v>
      </c>
      <c r="P1091" s="45"/>
    </row>
    <row r="1092" spans="1:20" ht="14.4" hidden="1" x14ac:dyDescent="0.3">
      <c r="A1092" s="26" t="s">
        <v>1081</v>
      </c>
      <c r="B1092" s="26">
        <v>2</v>
      </c>
      <c r="C1092" s="26"/>
      <c r="D1092" s="26">
        <v>57</v>
      </c>
      <c r="E1092" s="26" t="str">
        <f>CONCATENATE('Смета ЕР (общ) '!$A1092,".",'Смета ЕР (общ) '!$B1092,".",'Смета ЕР (общ) '!$D1092)</f>
        <v>Р8.2.57</v>
      </c>
      <c r="F1092" s="26">
        <f t="shared" si="95"/>
        <v>1</v>
      </c>
      <c r="G1092" s="27" t="s">
        <v>1166</v>
      </c>
      <c r="H1092" s="28" t="s">
        <v>118</v>
      </c>
      <c r="I1092" s="158"/>
      <c r="J1092" s="30">
        <v>3014.67</v>
      </c>
      <c r="K1092" s="30">
        <v>7458.51</v>
      </c>
      <c r="L1092" s="30">
        <f t="shared" si="96"/>
        <v>3014.67</v>
      </c>
      <c r="M1092" s="30">
        <f t="shared" si="96"/>
        <v>7458.51</v>
      </c>
      <c r="N1092" s="30">
        <f>ROUND('Смета ЕР (общ) '!$I1092*'Смета ЕР (общ) '!$L1092,2)</f>
        <v>0</v>
      </c>
      <c r="O1092" s="30">
        <f>ROUND('Смета ЕР (общ) '!$I1092*'Смета ЕР (общ) '!$M1092,2)</f>
        <v>0</v>
      </c>
      <c r="P1092" s="45"/>
    </row>
    <row r="1093" spans="1:20" ht="36" hidden="1" x14ac:dyDescent="0.3">
      <c r="A1093" s="26" t="s">
        <v>1081</v>
      </c>
      <c r="B1093" s="26">
        <v>2</v>
      </c>
      <c r="C1093" s="26"/>
      <c r="D1093" s="26">
        <v>58</v>
      </c>
      <c r="E1093" s="26" t="str">
        <f>CONCATENATE('Смета ЕР (общ) '!$A1093,".",'Смета ЕР (общ) '!$B1093,".",'Смета ЕР (общ) '!$D1093)</f>
        <v>Р8.2.58</v>
      </c>
      <c r="F1093" s="26">
        <f t="shared" si="95"/>
        <v>1</v>
      </c>
      <c r="G1093" s="27" t="s">
        <v>1167</v>
      </c>
      <c r="H1093" s="28" t="s">
        <v>147</v>
      </c>
      <c r="I1093" s="158"/>
      <c r="J1093" s="30">
        <v>1562.35</v>
      </c>
      <c r="K1093" s="30">
        <v>2023.16</v>
      </c>
      <c r="L1093" s="30">
        <f t="shared" si="96"/>
        <v>1562.35</v>
      </c>
      <c r="M1093" s="30">
        <f t="shared" si="96"/>
        <v>2023.16</v>
      </c>
      <c r="N1093" s="30">
        <f>ROUND('Смета ЕР (общ) '!$I1093*'Смета ЕР (общ) '!$L1093,2)</f>
        <v>0</v>
      </c>
      <c r="O1093" s="30">
        <f>ROUND('Смета ЕР (общ) '!$I1093*'Смета ЕР (общ) '!$M1093,2)</f>
        <v>0</v>
      </c>
      <c r="P1093" s="45" t="s">
        <v>980</v>
      </c>
    </row>
    <row r="1094" spans="1:20" ht="48" hidden="1" x14ac:dyDescent="0.3">
      <c r="A1094" s="26" t="s">
        <v>1081</v>
      </c>
      <c r="B1094" s="26">
        <v>2</v>
      </c>
      <c r="C1094" s="26"/>
      <c r="D1094" s="26">
        <v>59</v>
      </c>
      <c r="E1094" s="26" t="str">
        <f>CONCATENATE('Смета ЕР (общ) '!$A1094,".",'Смета ЕР (общ) '!$B1094,".",'Смета ЕР (общ) '!$D1094)</f>
        <v>Р8.2.59</v>
      </c>
      <c r="F1094" s="26">
        <f t="shared" si="95"/>
        <v>1</v>
      </c>
      <c r="G1094" s="27" t="s">
        <v>1168</v>
      </c>
      <c r="H1094" s="28" t="s">
        <v>147</v>
      </c>
      <c r="I1094" s="158"/>
      <c r="J1094" s="30">
        <v>2500</v>
      </c>
      <c r="K1094" s="30">
        <v>2900</v>
      </c>
      <c r="L1094" s="30">
        <f t="shared" si="96"/>
        <v>2500</v>
      </c>
      <c r="M1094" s="30">
        <f t="shared" si="96"/>
        <v>2900</v>
      </c>
      <c r="N1094" s="30">
        <f>ROUND('Смета ЕР (общ) '!$I1094*'Смета ЕР (общ) '!$L1094,2)</f>
        <v>0</v>
      </c>
      <c r="O1094" s="30">
        <f>ROUND('Смета ЕР (общ) '!$I1094*'Смета ЕР (общ) '!$M1094,2)</f>
        <v>0</v>
      </c>
      <c r="P1094" s="45"/>
    </row>
    <row r="1095" spans="1:20" ht="36" hidden="1" customHeight="1" x14ac:dyDescent="0.3">
      <c r="A1095" s="26" t="s">
        <v>1081</v>
      </c>
      <c r="B1095" s="26">
        <v>2</v>
      </c>
      <c r="C1095" s="26"/>
      <c r="D1095" s="26">
        <v>20</v>
      </c>
      <c r="E1095" s="26" t="str">
        <f>CONCATENATE('Смета ЕР (общ) '!$A1095,".",'Смета ЕР (общ) '!$B1095,".",'Смета ЕР (общ) '!$D1095)</f>
        <v>Р8.2.20</v>
      </c>
      <c r="F1095" s="26">
        <f t="shared" si="95"/>
        <v>1</v>
      </c>
      <c r="G1095" s="47" t="s">
        <v>1169</v>
      </c>
      <c r="H1095" s="28" t="s">
        <v>125</v>
      </c>
      <c r="I1095" s="158"/>
      <c r="J1095" s="30">
        <v>2081.64</v>
      </c>
      <c r="K1095" s="30">
        <v>1990.8</v>
      </c>
      <c r="L1095" s="30">
        <f t="shared" si="96"/>
        <v>2081.64</v>
      </c>
      <c r="M1095" s="30">
        <f t="shared" si="96"/>
        <v>1990.8</v>
      </c>
      <c r="N1095" s="30">
        <f>ROUND('Смета ЕР (общ) '!$I1095*'Смета ЕР (общ) '!$L1095,2)</f>
        <v>0</v>
      </c>
      <c r="O1095" s="30">
        <f>ROUND('Смета ЕР (общ) '!$I1095*'Смета ЕР (общ) '!$M1095,2)</f>
        <v>0</v>
      </c>
      <c r="P1095" s="45"/>
      <c r="T1095">
        <v>214</v>
      </c>
    </row>
    <row r="1096" spans="1:20" ht="14.4" hidden="1" x14ac:dyDescent="0.3">
      <c r="A1096" s="19" t="s">
        <v>1170</v>
      </c>
      <c r="B1096" s="19">
        <v>0</v>
      </c>
      <c r="C1096" s="19"/>
      <c r="D1096" s="19">
        <v>0</v>
      </c>
      <c r="E1096" s="19" t="str">
        <f>CONCATENATE('Смета ЕР (общ) '!$A1096,".",'Смета ЕР (общ) '!$B1096,".",'Смета ЕР (общ) '!$D1096)</f>
        <v>Р9.0.0</v>
      </c>
      <c r="F1096" s="19">
        <f t="shared" si="95"/>
        <v>1</v>
      </c>
      <c r="G1096" s="21" t="s">
        <v>1171</v>
      </c>
      <c r="H1096" s="22"/>
      <c r="I1096" s="23"/>
      <c r="J1096" s="36"/>
      <c r="K1096" s="36"/>
      <c r="L1096" s="25"/>
      <c r="M1096" s="25"/>
      <c r="N1096" s="25">
        <f>N1107+N1097+N1641+N1644+N1667</f>
        <v>0</v>
      </c>
      <c r="O1096" s="25">
        <f>O1107+O1097+O1641+O1644+O1667</f>
        <v>0</v>
      </c>
      <c r="P1096" s="45"/>
      <c r="T1096">
        <v>831877.09</v>
      </c>
    </row>
    <row r="1097" spans="1:20" ht="14.4" hidden="1" x14ac:dyDescent="0.3">
      <c r="A1097" s="19" t="s">
        <v>1170</v>
      </c>
      <c r="B1097" s="19">
        <v>1</v>
      </c>
      <c r="C1097" s="19"/>
      <c r="D1097" s="19">
        <v>0</v>
      </c>
      <c r="E1097" s="19" t="str">
        <f>CONCATENATE('Смета ЕР (общ) '!$A1097,".",'Смета ЕР (общ) '!$B1097,".",'Смета ЕР (общ) '!$D1097)</f>
        <v>Р9.1.0</v>
      </c>
      <c r="F1097" s="19">
        <f t="shared" si="95"/>
        <v>1</v>
      </c>
      <c r="G1097" s="21" t="s">
        <v>1172</v>
      </c>
      <c r="H1097" s="22"/>
      <c r="I1097" s="23"/>
      <c r="J1097" s="36"/>
      <c r="K1097" s="36"/>
      <c r="L1097" s="25"/>
      <c r="M1097" s="25"/>
      <c r="N1097" s="25">
        <f>ROUND(SUM(N1098:N1106),2)</f>
        <v>0</v>
      </c>
      <c r="O1097" s="25">
        <f>ROUND(SUM(O1098:O1106),2)</f>
        <v>0</v>
      </c>
      <c r="P1097" s="55"/>
      <c r="T1097">
        <v>40265.35</v>
      </c>
    </row>
    <row r="1098" spans="1:20" ht="14.4" hidden="1" x14ac:dyDescent="0.3">
      <c r="A1098" s="26" t="s">
        <v>1170</v>
      </c>
      <c r="B1098" s="26">
        <v>1</v>
      </c>
      <c r="C1098" s="26"/>
      <c r="D1098" s="26">
        <v>1</v>
      </c>
      <c r="E1098" s="26" t="str">
        <f>CONCATENATE('Смета ЕР (общ) '!$A1098,".",'Смета ЕР (общ) '!$B1098,".",'Смета ЕР (общ) '!$D1098)</f>
        <v>Р9.1.1</v>
      </c>
      <c r="F1098" s="26">
        <f t="shared" si="95"/>
        <v>1</v>
      </c>
      <c r="G1098" s="41" t="s">
        <v>1173</v>
      </c>
      <c r="H1098" s="28" t="s">
        <v>118</v>
      </c>
      <c r="I1098" s="158"/>
      <c r="J1098" s="30">
        <v>7441</v>
      </c>
      <c r="K1098" s="30">
        <f>'[14]Щиты в сборе'!M24</f>
        <v>124007.1</v>
      </c>
      <c r="L1098" s="30">
        <f t="shared" ref="L1098:L1106" si="97">ROUND(J1098-J1098*$Q$3,2)</f>
        <v>7441</v>
      </c>
      <c r="M1098" s="54">
        <f>K1098</f>
        <v>124007.1</v>
      </c>
      <c r="N1098" s="30">
        <f>ROUND('Смета ЕР (общ) '!$I1098*'Смета ЕР (общ) '!$L1098,2)</f>
        <v>0</v>
      </c>
      <c r="O1098" s="30">
        <f>ROUND('Смета ЕР (общ) '!$I1098*'Смета ЕР (общ) '!$M1098,2)</f>
        <v>0</v>
      </c>
      <c r="P1098" s="55" t="s">
        <v>1174</v>
      </c>
      <c r="Q1098" s="56"/>
      <c r="T1098">
        <v>1</v>
      </c>
    </row>
    <row r="1099" spans="1:20" ht="14.4" hidden="1" x14ac:dyDescent="0.3">
      <c r="A1099" s="26" t="s">
        <v>1170</v>
      </c>
      <c r="B1099" s="26">
        <v>1</v>
      </c>
      <c r="C1099" s="26"/>
      <c r="D1099" s="26">
        <v>2</v>
      </c>
      <c r="E1099" s="26" t="str">
        <f>CONCATENATE('Смета ЕР (общ) '!$A1099,".",'Смета ЕР (общ) '!$B1099,".",'Смета ЕР (общ) '!$D1099)</f>
        <v>Р9.1.2</v>
      </c>
      <c r="F1099" s="26">
        <f t="shared" si="95"/>
        <v>1</v>
      </c>
      <c r="G1099" s="41" t="s">
        <v>1175</v>
      </c>
      <c r="H1099" s="28" t="s">
        <v>118</v>
      </c>
      <c r="I1099" s="158"/>
      <c r="J1099" s="30">
        <v>12756</v>
      </c>
      <c r="K1099" s="30">
        <f>'[14]Щиты в сборе'!M25</f>
        <v>311104.5</v>
      </c>
      <c r="L1099" s="30">
        <f t="shared" si="97"/>
        <v>12756</v>
      </c>
      <c r="M1099" s="54">
        <f t="shared" ref="M1099:M1106" si="98">K1099</f>
        <v>311104.5</v>
      </c>
      <c r="N1099" s="30">
        <f>ROUND('Смета ЕР (общ) '!$I1099*'Смета ЕР (общ) '!$L1099,2)</f>
        <v>0</v>
      </c>
      <c r="O1099" s="30">
        <f>ROUND('Смета ЕР (общ) '!$I1099*'Смета ЕР (общ) '!$M1099,2)</f>
        <v>0</v>
      </c>
      <c r="P1099" s="55" t="s">
        <v>1174</v>
      </c>
      <c r="Q1099" s="56"/>
    </row>
    <row r="1100" spans="1:20" ht="14.4" hidden="1" x14ac:dyDescent="0.3">
      <c r="A1100" s="26" t="s">
        <v>1170</v>
      </c>
      <c r="B1100" s="26">
        <v>1</v>
      </c>
      <c r="C1100" s="26"/>
      <c r="D1100" s="26">
        <v>3</v>
      </c>
      <c r="E1100" s="26" t="str">
        <f>CONCATENATE('Смета ЕР (общ) '!$A1100,".",'Смета ЕР (общ) '!$B1100,".",'Смета ЕР (общ) '!$D1100)</f>
        <v>Р9.1.3</v>
      </c>
      <c r="F1100" s="26">
        <f t="shared" si="95"/>
        <v>1</v>
      </c>
      <c r="G1100" s="27" t="s">
        <v>1176</v>
      </c>
      <c r="H1100" s="28" t="s">
        <v>118</v>
      </c>
      <c r="I1100" s="158"/>
      <c r="J1100" s="30">
        <v>12756</v>
      </c>
      <c r="K1100" s="30">
        <f>'[14]Щиты в сборе'!M26</f>
        <v>348886.65</v>
      </c>
      <c r="L1100" s="30">
        <f t="shared" si="97"/>
        <v>12756</v>
      </c>
      <c r="M1100" s="54">
        <f t="shared" si="98"/>
        <v>348886.65</v>
      </c>
      <c r="N1100" s="30">
        <f>ROUND('Смета ЕР (общ) '!$I1100*'Смета ЕР (общ) '!$L1100,2)</f>
        <v>0</v>
      </c>
      <c r="O1100" s="30">
        <f>ROUND('Смета ЕР (общ) '!$I1100*'Смета ЕР (общ) '!$M1100,2)</f>
        <v>0</v>
      </c>
      <c r="P1100" s="55" t="s">
        <v>1174</v>
      </c>
      <c r="Q1100" s="56"/>
    </row>
    <row r="1101" spans="1:20" ht="14.4" hidden="1" x14ac:dyDescent="0.3">
      <c r="A1101" s="26" t="s">
        <v>1170</v>
      </c>
      <c r="B1101" s="26">
        <v>1</v>
      </c>
      <c r="C1101" s="26"/>
      <c r="D1101" s="26">
        <v>4</v>
      </c>
      <c r="E1101" s="26" t="str">
        <f>CONCATENATE('Смета ЕР (общ) '!$A1101,".",'Смета ЕР (общ) '!$B1101,".",'Смета ЕР (общ) '!$D1101)</f>
        <v>Р9.1.4</v>
      </c>
      <c r="F1101" s="26">
        <f t="shared" si="95"/>
        <v>1</v>
      </c>
      <c r="G1101" s="27" t="s">
        <v>1177</v>
      </c>
      <c r="H1101" s="28" t="s">
        <v>118</v>
      </c>
      <c r="I1101" s="158"/>
      <c r="J1101" s="30">
        <v>12756</v>
      </c>
      <c r="K1101" s="30">
        <f>'[14]Щиты в сборе'!M27</f>
        <v>348616.8</v>
      </c>
      <c r="L1101" s="30">
        <f t="shared" si="97"/>
        <v>12756</v>
      </c>
      <c r="M1101" s="54">
        <f t="shared" si="98"/>
        <v>348616.8</v>
      </c>
      <c r="N1101" s="30">
        <f>ROUND('Смета ЕР (общ) '!$I1101*'Смета ЕР (общ) '!$L1101,2)</f>
        <v>0</v>
      </c>
      <c r="O1101" s="30">
        <f>ROUND('Смета ЕР (общ) '!$I1101*'Смета ЕР (общ) '!$M1101,2)</f>
        <v>0</v>
      </c>
      <c r="P1101" s="55" t="s">
        <v>1174</v>
      </c>
      <c r="Q1101" s="56"/>
      <c r="T1101">
        <v>1</v>
      </c>
    </row>
    <row r="1102" spans="1:20" ht="14.4" hidden="1" x14ac:dyDescent="0.3">
      <c r="A1102" s="26" t="s">
        <v>1170</v>
      </c>
      <c r="B1102" s="26">
        <v>1</v>
      </c>
      <c r="C1102" s="26"/>
      <c r="D1102" s="26">
        <v>5</v>
      </c>
      <c r="E1102" s="26" t="str">
        <f>CONCATENATE('Смета ЕР (общ) '!$A1102,".",'Смета ЕР (общ) '!$B1102,".",'Смета ЕР (общ) '!$D1102)</f>
        <v>Р9.1.5</v>
      </c>
      <c r="F1102" s="26">
        <f t="shared" si="95"/>
        <v>1</v>
      </c>
      <c r="G1102" s="27" t="s">
        <v>1178</v>
      </c>
      <c r="H1102" s="28" t="s">
        <v>118</v>
      </c>
      <c r="I1102" s="158"/>
      <c r="J1102" s="30">
        <v>12756</v>
      </c>
      <c r="K1102" s="30">
        <f>'[14]Щиты в сборе'!M28</f>
        <v>12020.4</v>
      </c>
      <c r="L1102" s="30">
        <f t="shared" si="97"/>
        <v>12756</v>
      </c>
      <c r="M1102" s="54">
        <f t="shared" si="98"/>
        <v>12020.4</v>
      </c>
      <c r="N1102" s="30">
        <f>ROUND('Смета ЕР (общ) '!$I1102*'Смета ЕР (общ) '!$L1102,2)</f>
        <v>0</v>
      </c>
      <c r="O1102" s="30">
        <f>ROUND('Смета ЕР (общ) '!$I1102*'Смета ЕР (общ) '!$M1102,2)</f>
        <v>0</v>
      </c>
      <c r="P1102" s="55" t="s">
        <v>1174</v>
      </c>
      <c r="Q1102" s="56"/>
      <c r="T1102">
        <v>1</v>
      </c>
    </row>
    <row r="1103" spans="1:20" ht="14.4" hidden="1" x14ac:dyDescent="0.3">
      <c r="A1103" s="26" t="s">
        <v>1170</v>
      </c>
      <c r="B1103" s="26">
        <v>1</v>
      </c>
      <c r="C1103" s="26"/>
      <c r="D1103" s="26">
        <v>6</v>
      </c>
      <c r="E1103" s="26" t="str">
        <f>CONCATENATE('Смета ЕР (общ) '!$A1103,".",'Смета ЕР (общ) '!$B1103,".",'Смета ЕР (общ) '!$D1103)</f>
        <v>Р9.1.6</v>
      </c>
      <c r="F1103" s="26">
        <f t="shared" si="95"/>
        <v>1</v>
      </c>
      <c r="G1103" s="27" t="s">
        <v>1179</v>
      </c>
      <c r="H1103" s="28" t="s">
        <v>118</v>
      </c>
      <c r="I1103" s="158"/>
      <c r="J1103" s="30">
        <v>12756</v>
      </c>
      <c r="K1103" s="30">
        <f>'[14]Щиты в сборе'!M29</f>
        <v>22568.7</v>
      </c>
      <c r="L1103" s="30">
        <f t="shared" si="97"/>
        <v>12756</v>
      </c>
      <c r="M1103" s="54">
        <f t="shared" si="98"/>
        <v>22568.7</v>
      </c>
      <c r="N1103" s="30">
        <f>ROUND('Смета ЕР (общ) '!$I1103*'Смета ЕР (общ) '!$L1103,2)</f>
        <v>0</v>
      </c>
      <c r="O1103" s="30">
        <f>ROUND('Смета ЕР (общ) '!$I1103*'Смета ЕР (общ) '!$M1103,2)</f>
        <v>0</v>
      </c>
      <c r="P1103" s="55" t="s">
        <v>1174</v>
      </c>
      <c r="Q1103" s="56"/>
    </row>
    <row r="1104" spans="1:20" ht="14.4" hidden="1" x14ac:dyDescent="0.3">
      <c r="A1104" s="26" t="s">
        <v>1170</v>
      </c>
      <c r="B1104" s="26">
        <v>1</v>
      </c>
      <c r="C1104" s="26"/>
      <c r="D1104" s="26">
        <v>7</v>
      </c>
      <c r="E1104" s="26" t="str">
        <f>CONCATENATE('Смета ЕР (общ) '!$A1104,".",'Смета ЕР (общ) '!$B1104,".",'Смета ЕР (общ) '!$D1104)</f>
        <v>Р9.1.7</v>
      </c>
      <c r="F1104" s="26">
        <f t="shared" si="95"/>
        <v>1</v>
      </c>
      <c r="G1104" s="27" t="s">
        <v>1180</v>
      </c>
      <c r="H1104" s="28" t="s">
        <v>118</v>
      </c>
      <c r="I1104" s="158"/>
      <c r="J1104" s="30">
        <v>7312.35</v>
      </c>
      <c r="K1104" s="30">
        <f>'[14]Щиты в сборе'!M30</f>
        <v>24994.2</v>
      </c>
      <c r="L1104" s="30">
        <f t="shared" si="97"/>
        <v>7312.35</v>
      </c>
      <c r="M1104" s="54">
        <f t="shared" si="98"/>
        <v>24994.2</v>
      </c>
      <c r="N1104" s="30">
        <f>ROUND('Смета ЕР (общ) '!$I1104*'Смета ЕР (общ) '!$L1104,2)</f>
        <v>0</v>
      </c>
      <c r="O1104" s="30">
        <f>ROUND('Смета ЕР (общ) '!$I1104*'Смета ЕР (общ) '!$M1104,2)</f>
        <v>0</v>
      </c>
      <c r="P1104" s="55" t="s">
        <v>1174</v>
      </c>
      <c r="Q1104" s="56"/>
      <c r="T1104">
        <v>1</v>
      </c>
    </row>
    <row r="1105" spans="1:20" ht="14.4" hidden="1" x14ac:dyDescent="0.3">
      <c r="A1105" s="123" t="s">
        <v>1170</v>
      </c>
      <c r="B1105" s="123">
        <v>1</v>
      </c>
      <c r="C1105" s="123"/>
      <c r="D1105" s="123">
        <v>8</v>
      </c>
      <c r="E1105" s="123" t="str">
        <f>CONCATENATE('Смета ЕР (общ) '!$A1105,".",'Смета ЕР (общ) '!$B1105,".",'Смета ЕР (общ) '!$D1105)</f>
        <v>Р9.1.8</v>
      </c>
      <c r="F1105" s="123">
        <f t="shared" si="95"/>
        <v>1</v>
      </c>
      <c r="G1105" s="124" t="s">
        <v>1181</v>
      </c>
      <c r="H1105" s="28" t="s">
        <v>118</v>
      </c>
      <c r="I1105" s="158"/>
      <c r="J1105" s="30">
        <v>7441</v>
      </c>
      <c r="K1105" s="30">
        <f>'[14]Щиты в сборе'!M33</f>
        <v>62745.9</v>
      </c>
      <c r="L1105" s="30">
        <f t="shared" si="97"/>
        <v>7441</v>
      </c>
      <c r="M1105" s="54">
        <f t="shared" si="98"/>
        <v>62745.9</v>
      </c>
      <c r="N1105" s="30">
        <f>ROUND('Смета ЕР (общ) '!$I1105*'Смета ЕР (общ) '!$L1105,2)</f>
        <v>0</v>
      </c>
      <c r="O1105" s="30">
        <f>ROUND('Смета ЕР (общ) '!$I1105*'Смета ЕР (общ) '!$M1105,2)</f>
        <v>0</v>
      </c>
      <c r="P1105" s="55" t="s">
        <v>1174</v>
      </c>
      <c r="Q1105" s="56"/>
    </row>
    <row r="1106" spans="1:20" ht="14.4" hidden="1" x14ac:dyDescent="0.3">
      <c r="A1106" s="123" t="s">
        <v>1170</v>
      </c>
      <c r="B1106" s="123">
        <v>1</v>
      </c>
      <c r="C1106" s="123"/>
      <c r="D1106" s="123">
        <v>9</v>
      </c>
      <c r="E1106" s="123" t="str">
        <f>CONCATENATE('Смета ЕР (общ) '!$A1106,".",'Смета ЕР (общ) '!$B1106,".",'Смета ЕР (общ) '!$D1106)</f>
        <v>Р9.1.9</v>
      </c>
      <c r="F1106" s="123">
        <f t="shared" si="95"/>
        <v>1</v>
      </c>
      <c r="G1106" s="124" t="s">
        <v>1182</v>
      </c>
      <c r="H1106" s="28" t="s">
        <v>118</v>
      </c>
      <c r="I1106" s="158"/>
      <c r="J1106" s="30">
        <v>7441</v>
      </c>
      <c r="K1106" s="30">
        <f>'[14]Щиты в сборе'!M34</f>
        <v>136832.85</v>
      </c>
      <c r="L1106" s="30">
        <f t="shared" si="97"/>
        <v>7441</v>
      </c>
      <c r="M1106" s="54">
        <f t="shared" si="98"/>
        <v>136832.85</v>
      </c>
      <c r="N1106" s="30">
        <f>ROUND('Смета ЕР (общ) '!$I1106*'Смета ЕР (общ) '!$L1106,2)</f>
        <v>0</v>
      </c>
      <c r="O1106" s="30">
        <f>ROUND('Смета ЕР (общ) '!$I1106*'Смета ЕР (общ) '!$M1106,2)</f>
        <v>0</v>
      </c>
      <c r="P1106" s="55" t="s">
        <v>1174</v>
      </c>
      <c r="Q1106" s="56"/>
    </row>
    <row r="1107" spans="1:20" ht="14.4" hidden="1" x14ac:dyDescent="0.3">
      <c r="A1107" s="19" t="s">
        <v>1170</v>
      </c>
      <c r="B1107" s="19">
        <v>2</v>
      </c>
      <c r="C1107" s="19"/>
      <c r="D1107" s="19">
        <v>0</v>
      </c>
      <c r="E1107" s="19" t="str">
        <f>CONCATENATE('Смета ЕР (общ) '!$A1107,".",'Смета ЕР (общ) '!$B1107,".",'Смета ЕР (общ) '!$D1107)</f>
        <v>Р9.2.0</v>
      </c>
      <c r="F1107" s="19">
        <f t="shared" si="95"/>
        <v>1</v>
      </c>
      <c r="G1107" s="21" t="s">
        <v>1183</v>
      </c>
      <c r="H1107" s="22"/>
      <c r="I1107" s="23"/>
      <c r="J1107" s="36"/>
      <c r="K1107" s="36"/>
      <c r="L1107" s="25"/>
      <c r="M1107" s="25"/>
      <c r="N1107" s="25">
        <f>ROUND(SUM(N1108:N1640),2)</f>
        <v>0</v>
      </c>
      <c r="O1107" s="25">
        <f>ROUND(SUM(O1108:O1640),2)</f>
        <v>0</v>
      </c>
      <c r="P1107" s="45"/>
      <c r="T1107">
        <v>791611.74</v>
      </c>
    </row>
    <row r="1108" spans="1:20" ht="24" hidden="1" x14ac:dyDescent="0.3">
      <c r="A1108" s="26" t="s">
        <v>1170</v>
      </c>
      <c r="B1108" s="26">
        <v>2</v>
      </c>
      <c r="C1108" s="26"/>
      <c r="D1108" s="26">
        <v>298</v>
      </c>
      <c r="E1108" s="26" t="str">
        <f>CONCATENATE('Смета ЕР (общ) '!$A1108,".",'Смета ЕР (общ) '!$B1108,".",'Смета ЕР (общ) '!$D1108)</f>
        <v>Р9.2.298</v>
      </c>
      <c r="F1108" s="26">
        <f t="shared" si="95"/>
        <v>1</v>
      </c>
      <c r="G1108" s="41" t="s">
        <v>1184</v>
      </c>
      <c r="H1108" s="28" t="s">
        <v>118</v>
      </c>
      <c r="I1108" s="158"/>
      <c r="J1108" s="30">
        <v>5261.85</v>
      </c>
      <c r="K1108" s="30">
        <v>5327.15</v>
      </c>
      <c r="L1108" s="30">
        <f t="shared" ref="L1108:M1171" si="99">ROUND(J1108-J1108*$Q$3,2)</f>
        <v>5261.85</v>
      </c>
      <c r="M1108" s="30">
        <f t="shared" si="99"/>
        <v>5327.15</v>
      </c>
      <c r="N1108" s="30">
        <f>ROUND('Смета ЕР (общ) '!$I1108*'Смета ЕР (общ) '!$L1108,2)</f>
        <v>0</v>
      </c>
      <c r="O1108" s="30">
        <f>ROUND('Смета ЕР (общ) '!$I1108*'Смета ЕР (общ) '!$M1108,2)</f>
        <v>0</v>
      </c>
      <c r="P1108" s="45"/>
    </row>
    <row r="1109" spans="1:20" ht="34.5" hidden="1" customHeight="1" x14ac:dyDescent="0.3">
      <c r="A1109" s="26" t="s">
        <v>1170</v>
      </c>
      <c r="B1109" s="26">
        <v>2</v>
      </c>
      <c r="C1109" s="26"/>
      <c r="D1109" s="26">
        <v>251</v>
      </c>
      <c r="E1109" s="26" t="str">
        <f>CONCATENATE('Смета ЕР (общ) '!$A1109,".",'Смета ЕР (общ) '!$B1109,".",'Смета ЕР (общ) '!$D1109)</f>
        <v>Р9.2.251</v>
      </c>
      <c r="F1109" s="26">
        <f t="shared" ref="F1109:F1172" si="100">IF(I1109&gt;0,F1108+1,F1108)</f>
        <v>1</v>
      </c>
      <c r="G1109" s="41" t="s">
        <v>1185</v>
      </c>
      <c r="H1109" s="28" t="s">
        <v>118</v>
      </c>
      <c r="I1109" s="158"/>
      <c r="J1109" s="30">
        <v>5261.85</v>
      </c>
      <c r="K1109" s="30">
        <v>11023.6</v>
      </c>
      <c r="L1109" s="30">
        <f t="shared" si="99"/>
        <v>5261.85</v>
      </c>
      <c r="M1109" s="30">
        <f t="shared" si="99"/>
        <v>11023.6</v>
      </c>
      <c r="N1109" s="30">
        <f>ROUND('Смета ЕР (общ) '!$I1109*'Смета ЕР (общ) '!$L1109,2)</f>
        <v>0</v>
      </c>
      <c r="O1109" s="30">
        <f>ROUND('Смета ЕР (общ) '!$I1109*'Смета ЕР (общ) '!$M1109,2)</f>
        <v>0</v>
      </c>
      <c r="P1109" s="45"/>
    </row>
    <row r="1110" spans="1:20" ht="34.5" hidden="1" customHeight="1" x14ac:dyDescent="0.3">
      <c r="A1110" s="26" t="s">
        <v>1170</v>
      </c>
      <c r="B1110" s="26">
        <v>2</v>
      </c>
      <c r="C1110" s="26"/>
      <c r="D1110" s="26">
        <v>7</v>
      </c>
      <c r="E1110" s="26" t="str">
        <f>CONCATENATE('Смета ЕР (общ) '!$A1110,".",'Смета ЕР (общ) '!$B1110,".",'Смета ЕР (общ) '!$D1110)</f>
        <v>Р9.2.7</v>
      </c>
      <c r="F1110" s="26">
        <f t="shared" si="100"/>
        <v>1</v>
      </c>
      <c r="G1110" s="27" t="s">
        <v>1186</v>
      </c>
      <c r="H1110" s="28" t="s">
        <v>118</v>
      </c>
      <c r="I1110" s="158"/>
      <c r="J1110" s="30">
        <v>5261.85</v>
      </c>
      <c r="K1110" s="30">
        <v>37228.03</v>
      </c>
      <c r="L1110" s="30">
        <f t="shared" si="99"/>
        <v>5261.85</v>
      </c>
      <c r="M1110" s="30">
        <f t="shared" si="99"/>
        <v>37228.03</v>
      </c>
      <c r="N1110" s="30">
        <f>ROUND('Смета ЕР (общ) '!$I1110*'Смета ЕР (общ) '!$L1110,2)</f>
        <v>0</v>
      </c>
      <c r="O1110" s="30">
        <f>ROUND('Смета ЕР (общ) '!$I1110*'Смета ЕР (общ) '!$M1110,2)</f>
        <v>0</v>
      </c>
      <c r="P1110" s="45"/>
    </row>
    <row r="1111" spans="1:20" ht="34.5" hidden="1" customHeight="1" x14ac:dyDescent="0.3">
      <c r="A1111" s="26" t="s">
        <v>1170</v>
      </c>
      <c r="B1111" s="26">
        <v>2</v>
      </c>
      <c r="C1111" s="26"/>
      <c r="D1111" s="26">
        <v>6</v>
      </c>
      <c r="E1111" s="26" t="str">
        <f>CONCATENATE('Смета ЕР (общ) '!$A1111,".",'Смета ЕР (общ) '!$B1111,".",'Смета ЕР (общ) '!$D1111)</f>
        <v>Р9.2.6</v>
      </c>
      <c r="F1111" s="26">
        <f t="shared" si="100"/>
        <v>1</v>
      </c>
      <c r="G1111" s="27" t="s">
        <v>1187</v>
      </c>
      <c r="H1111" s="28" t="s">
        <v>118</v>
      </c>
      <c r="I1111" s="158"/>
      <c r="J1111" s="30">
        <v>6084.32</v>
      </c>
      <c r="K1111" s="30">
        <v>37596.86</v>
      </c>
      <c r="L1111" s="30">
        <f t="shared" si="99"/>
        <v>6084.32</v>
      </c>
      <c r="M1111" s="30">
        <f t="shared" si="99"/>
        <v>37596.86</v>
      </c>
      <c r="N1111" s="30">
        <f>ROUND('Смета ЕР (общ) '!$I1111*'Смета ЕР (общ) '!$L1111,2)</f>
        <v>0</v>
      </c>
      <c r="O1111" s="30">
        <f>ROUND('Смета ЕР (общ) '!$I1111*'Смета ЕР (общ) '!$M1111,2)</f>
        <v>0</v>
      </c>
      <c r="P1111" s="45"/>
    </row>
    <row r="1112" spans="1:20" ht="34.5" hidden="1" customHeight="1" x14ac:dyDescent="0.3">
      <c r="A1112" s="26" t="s">
        <v>1170</v>
      </c>
      <c r="B1112" s="26">
        <v>2</v>
      </c>
      <c r="C1112" s="26"/>
      <c r="D1112" s="26">
        <v>4</v>
      </c>
      <c r="E1112" s="26" t="str">
        <f>CONCATENATE('Смета ЕР (общ) '!$A1112,".",'Смета ЕР (общ) '!$B1112,".",'Смета ЕР (общ) '!$D1112)</f>
        <v>Р9.2.4</v>
      </c>
      <c r="F1112" s="26">
        <f t="shared" si="100"/>
        <v>1</v>
      </c>
      <c r="G1112" s="27" t="s">
        <v>1188</v>
      </c>
      <c r="H1112" s="28" t="s">
        <v>118</v>
      </c>
      <c r="I1112" s="158"/>
      <c r="J1112" s="30">
        <v>5261.85</v>
      </c>
      <c r="K1112" s="30">
        <v>24538.27</v>
      </c>
      <c r="L1112" s="30">
        <f t="shared" si="99"/>
        <v>5261.85</v>
      </c>
      <c r="M1112" s="30">
        <f t="shared" si="99"/>
        <v>24538.27</v>
      </c>
      <c r="N1112" s="30">
        <f>ROUND('Смета ЕР (общ) '!$I1112*'Смета ЕР (общ) '!$L1112,2)</f>
        <v>0</v>
      </c>
      <c r="O1112" s="30">
        <f>ROUND('Смета ЕР (общ) '!$I1112*'Смета ЕР (общ) '!$M1112,2)</f>
        <v>0</v>
      </c>
      <c r="P1112" s="45"/>
    </row>
    <row r="1113" spans="1:20" ht="34.5" hidden="1" customHeight="1" x14ac:dyDescent="0.3">
      <c r="A1113" s="26" t="s">
        <v>1170</v>
      </c>
      <c r="B1113" s="26">
        <v>2</v>
      </c>
      <c r="C1113" s="26"/>
      <c r="D1113" s="26">
        <v>3</v>
      </c>
      <c r="E1113" s="26" t="str">
        <f>CONCATENATE('Смета ЕР (общ) '!$A1113,".",'Смета ЕР (общ) '!$B1113,".",'Смета ЕР (общ) '!$D1113)</f>
        <v>Р9.2.3</v>
      </c>
      <c r="F1113" s="26">
        <f t="shared" si="100"/>
        <v>1</v>
      </c>
      <c r="G1113" s="27" t="s">
        <v>1189</v>
      </c>
      <c r="H1113" s="28" t="s">
        <v>118</v>
      </c>
      <c r="I1113" s="158"/>
      <c r="J1113" s="30">
        <v>7089.07</v>
      </c>
      <c r="K1113" s="30">
        <v>26459.23</v>
      </c>
      <c r="L1113" s="30">
        <f t="shared" si="99"/>
        <v>7089.07</v>
      </c>
      <c r="M1113" s="30">
        <f t="shared" si="99"/>
        <v>26459.23</v>
      </c>
      <c r="N1113" s="30">
        <f>ROUND('Смета ЕР (общ) '!$I1113*'Смета ЕР (общ) '!$L1113,2)</f>
        <v>0</v>
      </c>
      <c r="O1113" s="30">
        <f>ROUND('Смета ЕР (общ) '!$I1113*'Смета ЕР (общ) '!$M1113,2)</f>
        <v>0</v>
      </c>
      <c r="P1113" s="45"/>
    </row>
    <row r="1114" spans="1:20" ht="34.5" hidden="1" customHeight="1" x14ac:dyDescent="0.3">
      <c r="A1114" s="26" t="s">
        <v>1170</v>
      </c>
      <c r="B1114" s="26">
        <v>2</v>
      </c>
      <c r="C1114" s="26"/>
      <c r="D1114" s="26">
        <v>2</v>
      </c>
      <c r="E1114" s="26" t="str">
        <f>CONCATENATE('Смета ЕР (общ) '!$A1114,".",'Смета ЕР (общ) '!$B1114,".",'Смета ЕР (общ) '!$D1114)</f>
        <v>Р9.2.2</v>
      </c>
      <c r="F1114" s="26">
        <f t="shared" si="100"/>
        <v>1</v>
      </c>
      <c r="G1114" s="27" t="s">
        <v>1190</v>
      </c>
      <c r="H1114" s="28" t="s">
        <v>118</v>
      </c>
      <c r="I1114" s="158"/>
      <c r="J1114" s="30">
        <v>8484.56</v>
      </c>
      <c r="K1114" s="30">
        <v>50549.65</v>
      </c>
      <c r="L1114" s="30">
        <f t="shared" si="99"/>
        <v>8484.56</v>
      </c>
      <c r="M1114" s="30">
        <f t="shared" si="99"/>
        <v>50549.65</v>
      </c>
      <c r="N1114" s="30">
        <f>ROUND('Смета ЕР (общ) '!$I1114*'Смета ЕР (общ) '!$L1114,2)</f>
        <v>0</v>
      </c>
      <c r="O1114" s="30">
        <f>ROUND('Смета ЕР (общ) '!$I1114*'Смета ЕР (общ) '!$M1114,2)</f>
        <v>0</v>
      </c>
      <c r="P1114" s="45"/>
    </row>
    <row r="1115" spans="1:20" ht="34.5" hidden="1" customHeight="1" x14ac:dyDescent="0.3">
      <c r="A1115" s="26" t="s">
        <v>1170</v>
      </c>
      <c r="B1115" s="26">
        <v>2</v>
      </c>
      <c r="C1115" s="26"/>
      <c r="D1115" s="26">
        <v>1</v>
      </c>
      <c r="E1115" s="26" t="str">
        <f>CONCATENATE('Смета ЕР (общ) '!$A1115,".",'Смета ЕР (общ) '!$B1115,".",'Смета ЕР (общ) '!$D1115)</f>
        <v>Р9.2.1</v>
      </c>
      <c r="F1115" s="26">
        <f t="shared" si="100"/>
        <v>1</v>
      </c>
      <c r="G1115" s="27" t="s">
        <v>1191</v>
      </c>
      <c r="H1115" s="28" t="s">
        <v>118</v>
      </c>
      <c r="I1115" s="158"/>
      <c r="J1115" s="30">
        <v>13843.23</v>
      </c>
      <c r="K1115" s="30">
        <v>61418.76</v>
      </c>
      <c r="L1115" s="30">
        <f t="shared" si="99"/>
        <v>13843.23</v>
      </c>
      <c r="M1115" s="30">
        <f t="shared" si="99"/>
        <v>61418.76</v>
      </c>
      <c r="N1115" s="30">
        <f>ROUND('Смета ЕР (общ) '!$I1115*'Смета ЕР (общ) '!$L1115,2)</f>
        <v>0</v>
      </c>
      <c r="O1115" s="30">
        <f>ROUND('Смета ЕР (общ) '!$I1115*'Смета ЕР (общ) '!$M1115,2)</f>
        <v>0</v>
      </c>
      <c r="P1115" s="45"/>
    </row>
    <row r="1116" spans="1:20" ht="34.5" hidden="1" customHeight="1" x14ac:dyDescent="0.3">
      <c r="A1116" s="26" t="s">
        <v>1170</v>
      </c>
      <c r="B1116" s="26">
        <v>2</v>
      </c>
      <c r="C1116" s="26"/>
      <c r="D1116" s="26">
        <v>278</v>
      </c>
      <c r="E1116" s="26" t="str">
        <f>CONCATENATE('Смета ЕР (общ) '!$A1116,".",'Смета ЕР (общ) '!$B1116,".",'Смета ЕР (общ) '!$D1116)</f>
        <v>Р9.2.278</v>
      </c>
      <c r="F1116" s="26">
        <f t="shared" si="100"/>
        <v>1</v>
      </c>
      <c r="G1116" s="27" t="s">
        <v>1192</v>
      </c>
      <c r="H1116" s="28" t="s">
        <v>118</v>
      </c>
      <c r="I1116" s="158"/>
      <c r="J1116" s="30">
        <v>20988.12</v>
      </c>
      <c r="K1116" s="30">
        <v>31587.11</v>
      </c>
      <c r="L1116" s="30">
        <f t="shared" si="99"/>
        <v>20988.12</v>
      </c>
      <c r="M1116" s="30">
        <f t="shared" si="99"/>
        <v>31587.11</v>
      </c>
      <c r="N1116" s="30">
        <f>ROUND('Смета ЕР (общ) '!$I1116*'Смета ЕР (общ) '!$L1116,2)</f>
        <v>0</v>
      </c>
      <c r="O1116" s="30">
        <f>ROUND('Смета ЕР (общ) '!$I1116*'Смета ЕР (общ) '!$M1116,2)</f>
        <v>0</v>
      </c>
      <c r="P1116" s="45" t="s">
        <v>1193</v>
      </c>
    </row>
    <row r="1117" spans="1:20" ht="34.5" hidden="1" customHeight="1" x14ac:dyDescent="0.3">
      <c r="A1117" s="26" t="s">
        <v>1170</v>
      </c>
      <c r="B1117" s="26">
        <v>2</v>
      </c>
      <c r="C1117" s="26"/>
      <c r="D1117" s="26">
        <v>245</v>
      </c>
      <c r="E1117" s="26" t="str">
        <f>CONCATENATE('Смета ЕР (общ) '!$A1117,".",'Смета ЕР (общ) '!$B1117,".",'Смета ЕР (общ) '!$D1117)</f>
        <v>Р9.2.245</v>
      </c>
      <c r="F1117" s="26">
        <f t="shared" si="100"/>
        <v>1</v>
      </c>
      <c r="G1117" s="41" t="s">
        <v>1194</v>
      </c>
      <c r="H1117" s="28" t="s">
        <v>118</v>
      </c>
      <c r="I1117" s="158"/>
      <c r="J1117" s="30">
        <v>7312.35</v>
      </c>
      <c r="K1117" s="30">
        <v>10083.19</v>
      </c>
      <c r="L1117" s="30">
        <f t="shared" si="99"/>
        <v>7312.35</v>
      </c>
      <c r="M1117" s="30">
        <f t="shared" si="99"/>
        <v>10083.19</v>
      </c>
      <c r="N1117" s="30">
        <f>ROUND('Смета ЕР (общ) '!$I1117*'Смета ЕР (общ) '!$L1117,2)</f>
        <v>0</v>
      </c>
      <c r="O1117" s="30">
        <f>ROUND('Смета ЕР (общ) '!$I1117*'Смета ЕР (общ) '!$M1117,2)</f>
        <v>0</v>
      </c>
      <c r="P1117" s="45"/>
    </row>
    <row r="1118" spans="1:20" ht="34.5" hidden="1" customHeight="1" x14ac:dyDescent="0.3">
      <c r="A1118" s="26" t="s">
        <v>1170</v>
      </c>
      <c r="B1118" s="26">
        <v>2</v>
      </c>
      <c r="C1118" s="26"/>
      <c r="D1118" s="26">
        <v>252</v>
      </c>
      <c r="E1118" s="26" t="str">
        <f>CONCATENATE('Смета ЕР (общ) '!$A1118,".",'Смета ЕР (общ) '!$B1118,".",'Смета ЕР (общ) '!$D1118)</f>
        <v>Р9.2.252</v>
      </c>
      <c r="F1118" s="26">
        <f t="shared" si="100"/>
        <v>1</v>
      </c>
      <c r="G1118" s="41" t="s">
        <v>1195</v>
      </c>
      <c r="H1118" s="28" t="s">
        <v>118</v>
      </c>
      <c r="I1118" s="158"/>
      <c r="J1118" s="30">
        <v>18264.259999999998</v>
      </c>
      <c r="K1118" s="30">
        <v>46601.73</v>
      </c>
      <c r="L1118" s="30">
        <f t="shared" si="99"/>
        <v>18264.259999999998</v>
      </c>
      <c r="M1118" s="30">
        <f t="shared" si="99"/>
        <v>46601.73</v>
      </c>
      <c r="N1118" s="30">
        <f>ROUND('Смета ЕР (общ) '!$I1118*'Смета ЕР (общ) '!$L1118,2)</f>
        <v>0</v>
      </c>
      <c r="O1118" s="30">
        <f>ROUND('Смета ЕР (общ) '!$I1118*'Смета ЕР (общ) '!$M1118,2)</f>
        <v>0</v>
      </c>
      <c r="P1118" s="45"/>
    </row>
    <row r="1119" spans="1:20" ht="34.5" hidden="1" customHeight="1" x14ac:dyDescent="0.3">
      <c r="A1119" s="26" t="s">
        <v>1170</v>
      </c>
      <c r="B1119" s="26">
        <v>2</v>
      </c>
      <c r="C1119" s="26"/>
      <c r="D1119" s="26">
        <v>253</v>
      </c>
      <c r="E1119" s="26" t="str">
        <f>CONCATENATE('Смета ЕР (общ) '!$A1119,".",'Смета ЕР (общ) '!$B1119,".",'Смета ЕР (общ) '!$D1119)</f>
        <v>Р9.2.253</v>
      </c>
      <c r="F1119" s="26">
        <f t="shared" si="100"/>
        <v>1</v>
      </c>
      <c r="G1119" s="41" t="s">
        <v>1196</v>
      </c>
      <c r="H1119" s="28" t="s">
        <v>118</v>
      </c>
      <c r="I1119" s="158"/>
      <c r="J1119" s="30">
        <v>31350.799999999999</v>
      </c>
      <c r="K1119" s="30">
        <v>80929.759999999995</v>
      </c>
      <c r="L1119" s="30">
        <f t="shared" si="99"/>
        <v>31350.799999999999</v>
      </c>
      <c r="M1119" s="30">
        <f t="shared" si="99"/>
        <v>80929.759999999995</v>
      </c>
      <c r="N1119" s="30">
        <f>ROUND('Смета ЕР (общ) '!$I1119*'Смета ЕР (общ) '!$L1119,2)</f>
        <v>0</v>
      </c>
      <c r="O1119" s="30">
        <f>ROUND('Смета ЕР (общ) '!$I1119*'Смета ЕР (общ) '!$M1119,2)</f>
        <v>0</v>
      </c>
      <c r="P1119" s="45"/>
    </row>
    <row r="1120" spans="1:20" ht="34.5" hidden="1" customHeight="1" x14ac:dyDescent="0.3">
      <c r="A1120" s="26" t="s">
        <v>1170</v>
      </c>
      <c r="B1120" s="26">
        <v>2</v>
      </c>
      <c r="C1120" s="26"/>
      <c r="D1120" s="26">
        <v>254</v>
      </c>
      <c r="E1120" s="26" t="str">
        <f>CONCATENATE('Смета ЕР (общ) '!$A1120,".",'Смета ЕР (общ) '!$B1120,".",'Смета ЕР (общ) '!$D1120)</f>
        <v>Р9.2.254</v>
      </c>
      <c r="F1120" s="26">
        <f t="shared" si="100"/>
        <v>1</v>
      </c>
      <c r="G1120" s="41" t="s">
        <v>1197</v>
      </c>
      <c r="H1120" s="28" t="s">
        <v>118</v>
      </c>
      <c r="I1120" s="158"/>
      <c r="J1120" s="30">
        <v>47566.73</v>
      </c>
      <c r="K1120" s="30">
        <v>118677.25</v>
      </c>
      <c r="L1120" s="30">
        <f t="shared" si="99"/>
        <v>47566.73</v>
      </c>
      <c r="M1120" s="30">
        <f t="shared" si="99"/>
        <v>118677.25</v>
      </c>
      <c r="N1120" s="30">
        <f>ROUND('Смета ЕР (общ) '!$I1120*'Смета ЕР (общ) '!$L1120,2)</f>
        <v>0</v>
      </c>
      <c r="O1120" s="30">
        <f>ROUND('Смета ЕР (общ) '!$I1120*'Смета ЕР (общ) '!$M1120,2)</f>
        <v>0</v>
      </c>
      <c r="P1120" s="45"/>
    </row>
    <row r="1121" spans="1:16" ht="34.5" hidden="1" customHeight="1" x14ac:dyDescent="0.3">
      <c r="A1121" s="26" t="s">
        <v>1170</v>
      </c>
      <c r="B1121" s="26">
        <v>2</v>
      </c>
      <c r="C1121" s="26"/>
      <c r="D1121" s="26">
        <v>255</v>
      </c>
      <c r="E1121" s="26" t="str">
        <f>CONCATENATE('Смета ЕР (общ) '!$A1121,".",'Смета ЕР (общ) '!$B1121,".",'Смета ЕР (общ) '!$D1121)</f>
        <v>Р9.2.255</v>
      </c>
      <c r="F1121" s="26">
        <f t="shared" si="100"/>
        <v>1</v>
      </c>
      <c r="G1121" s="41" t="s">
        <v>1198</v>
      </c>
      <c r="H1121" s="28" t="s">
        <v>118</v>
      </c>
      <c r="I1121" s="158"/>
      <c r="J1121" s="30">
        <v>870</v>
      </c>
      <c r="K1121" s="30">
        <v>2943.88</v>
      </c>
      <c r="L1121" s="30">
        <f t="shared" si="99"/>
        <v>870</v>
      </c>
      <c r="M1121" s="30">
        <f t="shared" si="99"/>
        <v>2943.88</v>
      </c>
      <c r="N1121" s="30">
        <f>ROUND('Смета ЕР (общ) '!$I1121*'Смета ЕР (общ) '!$L1121,2)</f>
        <v>0</v>
      </c>
      <c r="O1121" s="30">
        <f>ROUND('Смета ЕР (общ) '!$I1121*'Смета ЕР (общ) '!$M1121,2)</f>
        <v>0</v>
      </c>
      <c r="P1121" s="45"/>
    </row>
    <row r="1122" spans="1:16" ht="34.5" hidden="1" customHeight="1" x14ac:dyDescent="0.3">
      <c r="A1122" s="26" t="s">
        <v>1170</v>
      </c>
      <c r="B1122" s="26">
        <v>2</v>
      </c>
      <c r="C1122" s="26"/>
      <c r="D1122" s="26">
        <v>8</v>
      </c>
      <c r="E1122" s="26" t="str">
        <f>CONCATENATE('Смета ЕР (общ) '!$A1122,".",'Смета ЕР (общ) '!$B1122,".",'Смета ЕР (общ) '!$D1122)</f>
        <v>Р9.2.8</v>
      </c>
      <c r="F1122" s="26">
        <f t="shared" si="100"/>
        <v>1</v>
      </c>
      <c r="G1122" s="41" t="s">
        <v>1199</v>
      </c>
      <c r="H1122" s="28" t="s">
        <v>118</v>
      </c>
      <c r="I1122" s="158"/>
      <c r="J1122" s="30">
        <v>916.11</v>
      </c>
      <c r="K1122" s="30">
        <v>3389.68</v>
      </c>
      <c r="L1122" s="30">
        <f t="shared" si="99"/>
        <v>916.11</v>
      </c>
      <c r="M1122" s="30">
        <f t="shared" si="99"/>
        <v>3389.68</v>
      </c>
      <c r="N1122" s="30">
        <f>ROUND('Смета ЕР (общ) '!$I1122*'Смета ЕР (общ) '!$L1122,2)</f>
        <v>0</v>
      </c>
      <c r="O1122" s="30">
        <f>ROUND('Смета ЕР (общ) '!$I1122*'Смета ЕР (общ) '!$M1122,2)</f>
        <v>0</v>
      </c>
      <c r="P1122" s="45"/>
    </row>
    <row r="1123" spans="1:16" ht="34.5" hidden="1" customHeight="1" x14ac:dyDescent="0.3">
      <c r="A1123" s="26" t="s">
        <v>1170</v>
      </c>
      <c r="B1123" s="26">
        <v>2</v>
      </c>
      <c r="C1123" s="26"/>
      <c r="D1123" s="26">
        <v>256</v>
      </c>
      <c r="E1123" s="26" t="str">
        <f>CONCATENATE('Смета ЕР (общ) '!$A1123,".",'Смета ЕР (общ) '!$B1123,".",'Смета ЕР (общ) '!$D1123)</f>
        <v>Р9.2.256</v>
      </c>
      <c r="F1123" s="26">
        <f t="shared" si="100"/>
        <v>1</v>
      </c>
      <c r="G1123" s="41" t="s">
        <v>1200</v>
      </c>
      <c r="H1123" s="28" t="s">
        <v>118</v>
      </c>
      <c r="I1123" s="158"/>
      <c r="J1123" s="30">
        <v>1082.6500000000001</v>
      </c>
      <c r="K1123" s="30">
        <v>1823.19</v>
      </c>
      <c r="L1123" s="30">
        <f t="shared" si="99"/>
        <v>1082.6500000000001</v>
      </c>
      <c r="M1123" s="30">
        <f t="shared" si="99"/>
        <v>1823.19</v>
      </c>
      <c r="N1123" s="30">
        <f>ROUND('Смета ЕР (общ) '!$I1123*'Смета ЕР (общ) '!$L1123,2)</f>
        <v>0</v>
      </c>
      <c r="O1123" s="30">
        <f>ROUND('Смета ЕР (общ) '!$I1123*'Смета ЕР (общ) '!$M1123,2)</f>
        <v>0</v>
      </c>
      <c r="P1123" s="45"/>
    </row>
    <row r="1124" spans="1:16" ht="34.5" hidden="1" customHeight="1" x14ac:dyDescent="0.3">
      <c r="A1124" s="26" t="s">
        <v>1170</v>
      </c>
      <c r="B1124" s="26">
        <v>2</v>
      </c>
      <c r="C1124" s="26"/>
      <c r="D1124" s="26">
        <v>257</v>
      </c>
      <c r="E1124" s="26" t="str">
        <f>CONCATENATE('Смета ЕР (общ) '!$A1124,".",'Смета ЕР (общ) '!$B1124,".",'Смета ЕР (общ) '!$D1124)</f>
        <v>Р9.2.257</v>
      </c>
      <c r="F1124" s="26">
        <f t="shared" si="100"/>
        <v>1</v>
      </c>
      <c r="G1124" s="41" t="s">
        <v>1201</v>
      </c>
      <c r="H1124" s="28" t="s">
        <v>118</v>
      </c>
      <c r="I1124" s="158"/>
      <c r="J1124" s="30">
        <v>1785.39</v>
      </c>
      <c r="K1124" s="30">
        <v>4420.1400000000003</v>
      </c>
      <c r="L1124" s="30">
        <f t="shared" si="99"/>
        <v>1785.39</v>
      </c>
      <c r="M1124" s="30">
        <f t="shared" si="99"/>
        <v>4420.1400000000003</v>
      </c>
      <c r="N1124" s="30">
        <f>ROUND('Смета ЕР (общ) '!$I1124*'Смета ЕР (общ) '!$L1124,2)</f>
        <v>0</v>
      </c>
      <c r="O1124" s="30">
        <f>ROUND('Смета ЕР (общ) '!$I1124*'Смета ЕР (общ) '!$M1124,2)</f>
        <v>0</v>
      </c>
      <c r="P1124" s="45"/>
    </row>
    <row r="1125" spans="1:16" ht="34.5" hidden="1" customHeight="1" x14ac:dyDescent="0.3">
      <c r="A1125" s="26" t="s">
        <v>1170</v>
      </c>
      <c r="B1125" s="26">
        <v>2</v>
      </c>
      <c r="C1125" s="26"/>
      <c r="D1125" s="26">
        <v>9</v>
      </c>
      <c r="E1125" s="26" t="str">
        <f>CONCATENATE('Смета ЕР (общ) '!$A1125,".",'Смета ЕР (общ) '!$B1125,".",'Смета ЕР (общ) '!$D1125)</f>
        <v>Р9.2.9</v>
      </c>
      <c r="F1125" s="26">
        <f t="shared" si="100"/>
        <v>1</v>
      </c>
      <c r="G1125" s="41" t="s">
        <v>1202</v>
      </c>
      <c r="H1125" s="28" t="s">
        <v>118</v>
      </c>
      <c r="I1125" s="158"/>
      <c r="J1125" s="30">
        <v>2171.52</v>
      </c>
      <c r="K1125" s="30">
        <v>5902.28</v>
      </c>
      <c r="L1125" s="30">
        <f t="shared" si="99"/>
        <v>2171.52</v>
      </c>
      <c r="M1125" s="30">
        <f t="shared" si="99"/>
        <v>5902.28</v>
      </c>
      <c r="N1125" s="30">
        <f>ROUND('Смета ЕР (общ) '!$I1125*'Смета ЕР (общ) '!$L1125,2)</f>
        <v>0</v>
      </c>
      <c r="O1125" s="30">
        <f>ROUND('Смета ЕР (общ) '!$I1125*'Смета ЕР (общ) '!$M1125,2)</f>
        <v>0</v>
      </c>
      <c r="P1125" s="45"/>
    </row>
    <row r="1126" spans="1:16" ht="34.5" hidden="1" customHeight="1" x14ac:dyDescent="0.3">
      <c r="A1126" s="26" t="s">
        <v>1170</v>
      </c>
      <c r="B1126" s="26">
        <v>2</v>
      </c>
      <c r="C1126" s="26"/>
      <c r="D1126" s="26">
        <v>258</v>
      </c>
      <c r="E1126" s="26" t="str">
        <f>CONCATENATE('Смета ЕР (общ) '!$A1126,".",'Смета ЕР (общ) '!$B1126,".",'Смета ЕР (общ) '!$D1126)</f>
        <v>Р9.2.258</v>
      </c>
      <c r="F1126" s="26">
        <f t="shared" si="100"/>
        <v>1</v>
      </c>
      <c r="G1126" s="41" t="s">
        <v>1203</v>
      </c>
      <c r="H1126" s="28" t="s">
        <v>118</v>
      </c>
      <c r="I1126" s="158"/>
      <c r="J1126" s="30">
        <v>3300</v>
      </c>
      <c r="K1126" s="30">
        <v>9991.36</v>
      </c>
      <c r="L1126" s="30">
        <f t="shared" si="99"/>
        <v>3300</v>
      </c>
      <c r="M1126" s="30">
        <f t="shared" si="99"/>
        <v>9991.36</v>
      </c>
      <c r="N1126" s="30">
        <f>ROUND('Смета ЕР (общ) '!$I1126*'Смета ЕР (общ) '!$L1126,2)</f>
        <v>0</v>
      </c>
      <c r="O1126" s="30">
        <f>ROUND('Смета ЕР (общ) '!$I1126*'Смета ЕР (общ) '!$M1126,2)</f>
        <v>0</v>
      </c>
      <c r="P1126" s="45"/>
    </row>
    <row r="1127" spans="1:16" ht="34.5" hidden="1" customHeight="1" x14ac:dyDescent="0.3">
      <c r="A1127" s="26" t="s">
        <v>1170</v>
      </c>
      <c r="B1127" s="26">
        <v>2</v>
      </c>
      <c r="C1127" s="26"/>
      <c r="D1127" s="26">
        <v>259</v>
      </c>
      <c r="E1127" s="26" t="str">
        <f>CONCATENATE('Смета ЕР (общ) '!$A1127,".",'Смета ЕР (общ) '!$B1127,".",'Смета ЕР (общ) '!$D1127)</f>
        <v>Р9.2.259</v>
      </c>
      <c r="F1127" s="26">
        <f t="shared" si="100"/>
        <v>1</v>
      </c>
      <c r="G1127" s="41" t="s">
        <v>1204</v>
      </c>
      <c r="H1127" s="28" t="s">
        <v>118</v>
      </c>
      <c r="I1127" s="158"/>
      <c r="J1127" s="30">
        <v>2171.52</v>
      </c>
      <c r="K1127" s="30">
        <v>9253.32</v>
      </c>
      <c r="L1127" s="30">
        <f t="shared" si="99"/>
        <v>2171.52</v>
      </c>
      <c r="M1127" s="30">
        <f t="shared" si="99"/>
        <v>9253.32</v>
      </c>
      <c r="N1127" s="30">
        <f>ROUND('Смета ЕР (общ) '!$I1127*'Смета ЕР (общ) '!$L1127,2)</f>
        <v>0</v>
      </c>
      <c r="O1127" s="30">
        <f>ROUND('Смета ЕР (общ) '!$I1127*'Смета ЕР (общ) '!$M1127,2)</f>
        <v>0</v>
      </c>
      <c r="P1127" s="45"/>
    </row>
    <row r="1128" spans="1:16" ht="34.5" hidden="1" customHeight="1" x14ac:dyDescent="0.3">
      <c r="A1128" s="26" t="s">
        <v>1170</v>
      </c>
      <c r="B1128" s="26">
        <v>2</v>
      </c>
      <c r="C1128" s="26"/>
      <c r="D1128" s="26">
        <v>10</v>
      </c>
      <c r="E1128" s="26" t="str">
        <f>CONCATENATE('Смета ЕР (общ) '!$A1128,".",'Смета ЕР (общ) '!$B1128,".",'Смета ЕР (общ) '!$D1128)</f>
        <v>Р9.2.10</v>
      </c>
      <c r="F1128" s="26">
        <f t="shared" si="100"/>
        <v>1</v>
      </c>
      <c r="G1128" s="27" t="s">
        <v>1205</v>
      </c>
      <c r="H1128" s="28" t="s">
        <v>118</v>
      </c>
      <c r="I1128" s="158"/>
      <c r="J1128" s="30">
        <v>1050.23</v>
      </c>
      <c r="K1128" s="30">
        <v>9537.5</v>
      </c>
      <c r="L1128" s="30">
        <f t="shared" si="99"/>
        <v>1050.23</v>
      </c>
      <c r="M1128" s="30">
        <f t="shared" si="99"/>
        <v>9537.5</v>
      </c>
      <c r="N1128" s="30">
        <f>ROUND('Смета ЕР (общ) '!$I1128*'Смета ЕР (общ) '!$L1128,2)</f>
        <v>0</v>
      </c>
      <c r="O1128" s="30">
        <f>ROUND('Смета ЕР (общ) '!$I1128*'Смета ЕР (общ) '!$M1128,2)</f>
        <v>0</v>
      </c>
      <c r="P1128" s="45"/>
    </row>
    <row r="1129" spans="1:16" ht="34.5" hidden="1" customHeight="1" x14ac:dyDescent="0.3">
      <c r="A1129" s="26" t="s">
        <v>1170</v>
      </c>
      <c r="B1129" s="26">
        <v>2</v>
      </c>
      <c r="C1129" s="26"/>
      <c r="D1129" s="26">
        <v>11</v>
      </c>
      <c r="E1129" s="26" t="str">
        <f>CONCATENATE('Смета ЕР (общ) '!$A1129,".",'Смета ЕР (общ) '!$B1129,".",'Смета ЕР (общ) '!$D1129)</f>
        <v>Р9.2.11</v>
      </c>
      <c r="F1129" s="26">
        <f t="shared" si="100"/>
        <v>1</v>
      </c>
      <c r="G1129" s="27" t="s">
        <v>1206</v>
      </c>
      <c r="H1129" s="28" t="s">
        <v>118</v>
      </c>
      <c r="I1129" s="158"/>
      <c r="J1129" s="30">
        <v>1522.83</v>
      </c>
      <c r="K1129" s="30">
        <v>7131.09</v>
      </c>
      <c r="L1129" s="30">
        <f t="shared" si="99"/>
        <v>1522.83</v>
      </c>
      <c r="M1129" s="30">
        <f t="shared" si="99"/>
        <v>7131.09</v>
      </c>
      <c r="N1129" s="30">
        <f>ROUND('Смета ЕР (общ) '!$I1129*'Смета ЕР (общ) '!$L1129,2)</f>
        <v>0</v>
      </c>
      <c r="O1129" s="30">
        <f>ROUND('Смета ЕР (общ) '!$I1129*'Смета ЕР (общ) '!$M1129,2)</f>
        <v>0</v>
      </c>
      <c r="P1129" s="45"/>
    </row>
    <row r="1130" spans="1:16" ht="34.5" hidden="1" customHeight="1" x14ac:dyDescent="0.3">
      <c r="A1130" s="26" t="s">
        <v>1170</v>
      </c>
      <c r="B1130" s="26">
        <v>2</v>
      </c>
      <c r="C1130" s="26"/>
      <c r="D1130" s="26">
        <v>12</v>
      </c>
      <c r="E1130" s="26" t="str">
        <f>CONCATENATE('Смета ЕР (общ) '!$A1130,".",'Смета ЕР (общ) '!$B1130,".",'Смета ЕР (общ) '!$D1130)</f>
        <v>Р9.2.12</v>
      </c>
      <c r="F1130" s="26">
        <f t="shared" si="100"/>
        <v>1</v>
      </c>
      <c r="G1130" s="27" t="s">
        <v>1207</v>
      </c>
      <c r="H1130" s="28" t="s">
        <v>118</v>
      </c>
      <c r="I1130" s="158"/>
      <c r="J1130" s="30">
        <v>1890.41</v>
      </c>
      <c r="K1130" s="30">
        <v>7725.56</v>
      </c>
      <c r="L1130" s="30">
        <f t="shared" si="99"/>
        <v>1890.41</v>
      </c>
      <c r="M1130" s="30">
        <f t="shared" si="99"/>
        <v>7725.56</v>
      </c>
      <c r="N1130" s="30">
        <f>ROUND('Смета ЕР (общ) '!$I1130*'Смета ЕР (общ) '!$L1130,2)</f>
        <v>0</v>
      </c>
      <c r="O1130" s="30">
        <f>ROUND('Смета ЕР (общ) '!$I1130*'Смета ЕР (общ) '!$M1130,2)</f>
        <v>0</v>
      </c>
      <c r="P1130" s="45"/>
    </row>
    <row r="1131" spans="1:16" ht="34.5" hidden="1" customHeight="1" x14ac:dyDescent="0.3">
      <c r="A1131" s="26" t="s">
        <v>1170</v>
      </c>
      <c r="B1131" s="26">
        <v>2</v>
      </c>
      <c r="C1131" s="26"/>
      <c r="D1131" s="26">
        <v>13</v>
      </c>
      <c r="E1131" s="26" t="str">
        <f>CONCATENATE('Смета ЕР (общ) '!$A1131,".",'Смета ЕР (общ) '!$B1131,".",'Смета ЕР (общ) '!$D1131)</f>
        <v>Р9.2.13</v>
      </c>
      <c r="F1131" s="26">
        <f t="shared" si="100"/>
        <v>1</v>
      </c>
      <c r="G1131" s="27" t="s">
        <v>1208</v>
      </c>
      <c r="H1131" s="28" t="s">
        <v>118</v>
      </c>
      <c r="I1131" s="158"/>
      <c r="J1131" s="30">
        <v>1050.23</v>
      </c>
      <c r="K1131" s="30">
        <v>9410.01</v>
      </c>
      <c r="L1131" s="30">
        <f t="shared" si="99"/>
        <v>1050.23</v>
      </c>
      <c r="M1131" s="30">
        <f t="shared" si="99"/>
        <v>9410.01</v>
      </c>
      <c r="N1131" s="30">
        <f>ROUND('Смета ЕР (общ) '!$I1131*'Смета ЕР (общ) '!$L1131,2)</f>
        <v>0</v>
      </c>
      <c r="O1131" s="30">
        <f>ROUND('Смета ЕР (общ) '!$I1131*'Смета ЕР (общ) '!$M1131,2)</f>
        <v>0</v>
      </c>
      <c r="P1131" s="45"/>
    </row>
    <row r="1132" spans="1:16" ht="34.5" hidden="1" customHeight="1" x14ac:dyDescent="0.3">
      <c r="A1132" s="26" t="s">
        <v>1170</v>
      </c>
      <c r="B1132" s="26">
        <v>2</v>
      </c>
      <c r="C1132" s="26"/>
      <c r="D1132" s="26">
        <v>14</v>
      </c>
      <c r="E1132" s="26" t="str">
        <f>CONCATENATE('Смета ЕР (общ) '!$A1132,".",'Смета ЕР (общ) '!$B1132,".",'Смета ЕР (общ) '!$D1132)</f>
        <v>Р9.2.14</v>
      </c>
      <c r="F1132" s="26">
        <f t="shared" si="100"/>
        <v>1</v>
      </c>
      <c r="G1132" s="27" t="s">
        <v>1209</v>
      </c>
      <c r="H1132" s="28" t="s">
        <v>118</v>
      </c>
      <c r="I1132" s="158"/>
      <c r="J1132" s="30">
        <v>1522.83</v>
      </c>
      <c r="K1132" s="30">
        <v>8632.6299999999992</v>
      </c>
      <c r="L1132" s="30">
        <f t="shared" si="99"/>
        <v>1522.83</v>
      </c>
      <c r="M1132" s="30">
        <f t="shared" si="99"/>
        <v>8632.6299999999992</v>
      </c>
      <c r="N1132" s="30">
        <f>ROUND('Смета ЕР (общ) '!$I1132*'Смета ЕР (общ) '!$L1132,2)</f>
        <v>0</v>
      </c>
      <c r="O1132" s="30">
        <f>ROUND('Смета ЕР (общ) '!$I1132*'Смета ЕР (общ) '!$M1132,2)</f>
        <v>0</v>
      </c>
      <c r="P1132" s="45"/>
    </row>
    <row r="1133" spans="1:16" ht="34.5" hidden="1" customHeight="1" x14ac:dyDescent="0.3">
      <c r="A1133" s="26" t="s">
        <v>1170</v>
      </c>
      <c r="B1133" s="26">
        <v>2</v>
      </c>
      <c r="C1133" s="26"/>
      <c r="D1133" s="26">
        <v>15</v>
      </c>
      <c r="E1133" s="26" t="str">
        <f>CONCATENATE('Смета ЕР (общ) '!$A1133,".",'Смета ЕР (общ) '!$B1133,".",'Смета ЕР (общ) '!$D1133)</f>
        <v>Р9.2.15</v>
      </c>
      <c r="F1133" s="26">
        <f t="shared" si="100"/>
        <v>1</v>
      </c>
      <c r="G1133" s="27" t="s">
        <v>1210</v>
      </c>
      <c r="H1133" s="28" t="s">
        <v>118</v>
      </c>
      <c r="I1133" s="158"/>
      <c r="J1133" s="30">
        <v>1522.83</v>
      </c>
      <c r="K1133" s="30">
        <v>6300.99</v>
      </c>
      <c r="L1133" s="30">
        <f t="shared" si="99"/>
        <v>1522.83</v>
      </c>
      <c r="M1133" s="30">
        <f t="shared" si="99"/>
        <v>6300.99</v>
      </c>
      <c r="N1133" s="30">
        <f>ROUND('Смета ЕР (общ) '!$I1133*'Смета ЕР (общ) '!$L1133,2)</f>
        <v>0</v>
      </c>
      <c r="O1133" s="30">
        <f>ROUND('Смета ЕР (общ) '!$I1133*'Смета ЕР (общ) '!$M1133,2)</f>
        <v>0</v>
      </c>
      <c r="P1133" s="45"/>
    </row>
    <row r="1134" spans="1:16" ht="34.5" hidden="1" customHeight="1" x14ac:dyDescent="0.3">
      <c r="A1134" s="26" t="s">
        <v>1170</v>
      </c>
      <c r="B1134" s="26">
        <v>2</v>
      </c>
      <c r="C1134" s="26"/>
      <c r="D1134" s="26">
        <v>16</v>
      </c>
      <c r="E1134" s="26" t="str">
        <f>CONCATENATE('Смета ЕР (общ) '!$A1134,".",'Смета ЕР (общ) '!$B1134,".",'Смета ЕР (общ) '!$D1134)</f>
        <v>Р9.2.16</v>
      </c>
      <c r="F1134" s="26">
        <f t="shared" si="100"/>
        <v>1</v>
      </c>
      <c r="G1134" s="27" t="s">
        <v>1211</v>
      </c>
      <c r="H1134" s="28" t="s">
        <v>118</v>
      </c>
      <c r="I1134" s="158"/>
      <c r="J1134" s="30">
        <v>1522.83</v>
      </c>
      <c r="K1134" s="30">
        <v>3714.21</v>
      </c>
      <c r="L1134" s="30">
        <f t="shared" si="99"/>
        <v>1522.83</v>
      </c>
      <c r="M1134" s="30">
        <f t="shared" si="99"/>
        <v>3714.21</v>
      </c>
      <c r="N1134" s="30">
        <f>ROUND('Смета ЕР (общ) '!$I1134*'Смета ЕР (общ) '!$L1134,2)</f>
        <v>0</v>
      </c>
      <c r="O1134" s="30">
        <f>ROUND('Смета ЕР (общ) '!$I1134*'Смета ЕР (общ) '!$M1134,2)</f>
        <v>0</v>
      </c>
      <c r="P1134" s="45"/>
    </row>
    <row r="1135" spans="1:16" ht="34.5" hidden="1" customHeight="1" x14ac:dyDescent="0.3">
      <c r="A1135" s="26" t="s">
        <v>1170</v>
      </c>
      <c r="B1135" s="26">
        <v>2</v>
      </c>
      <c r="C1135" s="26"/>
      <c r="D1135" s="26">
        <v>17</v>
      </c>
      <c r="E1135" s="26" t="str">
        <f>CONCATENATE('Смета ЕР (общ) '!$A1135,".",'Смета ЕР (общ) '!$B1135,".",'Смета ЕР (общ) '!$D1135)</f>
        <v>Р9.2.17</v>
      </c>
      <c r="F1135" s="26">
        <f t="shared" si="100"/>
        <v>1</v>
      </c>
      <c r="G1135" s="27" t="s">
        <v>1212</v>
      </c>
      <c r="H1135" s="28" t="s">
        <v>118</v>
      </c>
      <c r="I1135" s="158"/>
      <c r="J1135" s="30">
        <v>1890.41</v>
      </c>
      <c r="K1135" s="30">
        <v>6421.78</v>
      </c>
      <c r="L1135" s="30">
        <f t="shared" si="99"/>
        <v>1890.41</v>
      </c>
      <c r="M1135" s="30">
        <f t="shared" si="99"/>
        <v>6421.78</v>
      </c>
      <c r="N1135" s="30">
        <f>ROUND('Смета ЕР (общ) '!$I1135*'Смета ЕР (общ) '!$L1135,2)</f>
        <v>0</v>
      </c>
      <c r="O1135" s="30">
        <f>ROUND('Смета ЕР (общ) '!$I1135*'Смета ЕР (общ) '!$M1135,2)</f>
        <v>0</v>
      </c>
      <c r="P1135" s="45"/>
    </row>
    <row r="1136" spans="1:16" ht="34.5" hidden="1" customHeight="1" x14ac:dyDescent="0.3">
      <c r="A1136" s="26" t="s">
        <v>1170</v>
      </c>
      <c r="B1136" s="26">
        <v>2</v>
      </c>
      <c r="C1136" s="26"/>
      <c r="D1136" s="26">
        <v>18</v>
      </c>
      <c r="E1136" s="26" t="str">
        <f>CONCATENATE('Смета ЕР (общ) '!$A1136,".",'Смета ЕР (общ) '!$B1136,".",'Смета ЕР (общ) '!$D1136)</f>
        <v>Р9.2.18</v>
      </c>
      <c r="F1136" s="26">
        <f t="shared" si="100"/>
        <v>1</v>
      </c>
      <c r="G1136" s="27" t="s">
        <v>1213</v>
      </c>
      <c r="H1136" s="28" t="s">
        <v>118</v>
      </c>
      <c r="I1136" s="158"/>
      <c r="J1136" s="30">
        <v>1890.41</v>
      </c>
      <c r="K1136" s="30">
        <v>7450.25</v>
      </c>
      <c r="L1136" s="30">
        <f t="shared" si="99"/>
        <v>1890.41</v>
      </c>
      <c r="M1136" s="30">
        <f t="shared" si="99"/>
        <v>7450.25</v>
      </c>
      <c r="N1136" s="30">
        <f>ROUND('Смета ЕР (общ) '!$I1136*'Смета ЕР (общ) '!$L1136,2)</f>
        <v>0</v>
      </c>
      <c r="O1136" s="30">
        <f>ROUND('Смета ЕР (общ) '!$I1136*'Смета ЕР (общ) '!$M1136,2)</f>
        <v>0</v>
      </c>
      <c r="P1136" s="45"/>
    </row>
    <row r="1137" spans="1:16" ht="34.5" hidden="1" customHeight="1" x14ac:dyDescent="0.3">
      <c r="A1137" s="26" t="s">
        <v>1170</v>
      </c>
      <c r="B1137" s="26">
        <v>2</v>
      </c>
      <c r="C1137" s="26"/>
      <c r="D1137" s="26">
        <v>19</v>
      </c>
      <c r="E1137" s="26" t="str">
        <f>CONCATENATE('Смета ЕР (общ) '!$A1137,".",'Смета ЕР (общ) '!$B1137,".",'Смета ЕР (общ) '!$D1137)</f>
        <v>Р9.2.19</v>
      </c>
      <c r="F1137" s="26">
        <f t="shared" si="100"/>
        <v>1</v>
      </c>
      <c r="G1137" s="27" t="s">
        <v>1214</v>
      </c>
      <c r="H1137" s="28" t="s">
        <v>118</v>
      </c>
      <c r="I1137" s="158"/>
      <c r="J1137" s="30">
        <v>1890.41</v>
      </c>
      <c r="K1137" s="30">
        <v>3771.79</v>
      </c>
      <c r="L1137" s="30">
        <f t="shared" si="99"/>
        <v>1890.41</v>
      </c>
      <c r="M1137" s="30">
        <f t="shared" si="99"/>
        <v>3771.79</v>
      </c>
      <c r="N1137" s="30">
        <f>ROUND('Смета ЕР (общ) '!$I1137*'Смета ЕР (общ) '!$L1137,2)</f>
        <v>0</v>
      </c>
      <c r="O1137" s="30">
        <f>ROUND('Смета ЕР (общ) '!$I1137*'Смета ЕР (общ) '!$M1137,2)</f>
        <v>0</v>
      </c>
      <c r="P1137" s="45"/>
    </row>
    <row r="1138" spans="1:16" ht="34.5" hidden="1" customHeight="1" x14ac:dyDescent="0.3">
      <c r="A1138" s="26" t="s">
        <v>1170</v>
      </c>
      <c r="B1138" s="26">
        <v>2</v>
      </c>
      <c r="C1138" s="26"/>
      <c r="D1138" s="26">
        <v>20</v>
      </c>
      <c r="E1138" s="26" t="str">
        <f>CONCATENATE('Смета ЕР (общ) '!$A1138,".",'Смета ЕР (общ) '!$B1138,".",'Смета ЕР (общ) '!$D1138)</f>
        <v>Р9.2.20</v>
      </c>
      <c r="F1138" s="26">
        <f t="shared" si="100"/>
        <v>1</v>
      </c>
      <c r="G1138" s="27" t="s">
        <v>1215</v>
      </c>
      <c r="H1138" s="28" t="s">
        <v>118</v>
      </c>
      <c r="I1138" s="158"/>
      <c r="J1138" s="30">
        <v>2520.54</v>
      </c>
      <c r="K1138" s="30">
        <v>9622.7199999999993</v>
      </c>
      <c r="L1138" s="30">
        <f t="shared" si="99"/>
        <v>2520.54</v>
      </c>
      <c r="M1138" s="30">
        <f t="shared" si="99"/>
        <v>9622.7199999999993</v>
      </c>
      <c r="N1138" s="30">
        <f>ROUND('Смета ЕР (общ) '!$I1138*'Смета ЕР (общ) '!$L1138,2)</f>
        <v>0</v>
      </c>
      <c r="O1138" s="30">
        <f>ROUND('Смета ЕР (общ) '!$I1138*'Смета ЕР (общ) '!$M1138,2)</f>
        <v>0</v>
      </c>
      <c r="P1138" s="45"/>
    </row>
    <row r="1139" spans="1:16" ht="34.5" hidden="1" customHeight="1" x14ac:dyDescent="0.3">
      <c r="A1139" s="26" t="s">
        <v>1170</v>
      </c>
      <c r="B1139" s="26">
        <v>2</v>
      </c>
      <c r="C1139" s="26"/>
      <c r="D1139" s="26">
        <v>21</v>
      </c>
      <c r="E1139" s="26" t="str">
        <f>CONCATENATE('Смета ЕР (общ) '!$A1139,".",'Смета ЕР (общ) '!$B1139,".",'Смета ЕР (общ) '!$D1139)</f>
        <v>Р9.2.21</v>
      </c>
      <c r="F1139" s="26">
        <f t="shared" si="100"/>
        <v>1</v>
      </c>
      <c r="G1139" s="27" t="s">
        <v>1216</v>
      </c>
      <c r="H1139" s="28" t="s">
        <v>118</v>
      </c>
      <c r="I1139" s="158"/>
      <c r="J1139" s="30">
        <v>2520.54</v>
      </c>
      <c r="K1139" s="30">
        <v>10304.469999999999</v>
      </c>
      <c r="L1139" s="30">
        <f t="shared" si="99"/>
        <v>2520.54</v>
      </c>
      <c r="M1139" s="30">
        <f t="shared" si="99"/>
        <v>10304.469999999999</v>
      </c>
      <c r="N1139" s="30">
        <f>ROUND('Смета ЕР (общ) '!$I1139*'Смета ЕР (общ) '!$L1139,2)</f>
        <v>0</v>
      </c>
      <c r="O1139" s="30">
        <f>ROUND('Смета ЕР (общ) '!$I1139*'Смета ЕР (общ) '!$M1139,2)</f>
        <v>0</v>
      </c>
      <c r="P1139" s="45"/>
    </row>
    <row r="1140" spans="1:16" ht="34.5" hidden="1" customHeight="1" x14ac:dyDescent="0.3">
      <c r="A1140" s="26" t="s">
        <v>1170</v>
      </c>
      <c r="B1140" s="26">
        <v>2</v>
      </c>
      <c r="C1140" s="26"/>
      <c r="D1140" s="26">
        <v>22</v>
      </c>
      <c r="E1140" s="26" t="str">
        <f>CONCATENATE('Смета ЕР (общ) '!$A1140,".",'Смета ЕР (общ) '!$B1140,".",'Смета ЕР (общ) '!$D1140)</f>
        <v>Р9.2.22</v>
      </c>
      <c r="F1140" s="26">
        <f t="shared" si="100"/>
        <v>1</v>
      </c>
      <c r="G1140" s="27" t="s">
        <v>1217</v>
      </c>
      <c r="H1140" s="28" t="s">
        <v>118</v>
      </c>
      <c r="I1140" s="158"/>
      <c r="J1140" s="30">
        <v>2520.54</v>
      </c>
      <c r="K1140" s="30">
        <v>5680.38</v>
      </c>
      <c r="L1140" s="30">
        <f t="shared" si="99"/>
        <v>2520.54</v>
      </c>
      <c r="M1140" s="30">
        <f t="shared" si="99"/>
        <v>5680.38</v>
      </c>
      <c r="N1140" s="30">
        <f>ROUND('Смета ЕР (общ) '!$I1140*'Смета ЕР (общ) '!$L1140,2)</f>
        <v>0</v>
      </c>
      <c r="O1140" s="30">
        <f>ROUND('Смета ЕР (общ) '!$I1140*'Смета ЕР (общ) '!$M1140,2)</f>
        <v>0</v>
      </c>
      <c r="P1140" s="45"/>
    </row>
    <row r="1141" spans="1:16" ht="34.5" hidden="1" customHeight="1" x14ac:dyDescent="0.3">
      <c r="A1141" s="26" t="s">
        <v>1170</v>
      </c>
      <c r="B1141" s="26">
        <v>2</v>
      </c>
      <c r="C1141" s="26"/>
      <c r="D1141" s="26">
        <v>23</v>
      </c>
      <c r="E1141" s="26" t="str">
        <f>CONCATENATE('Смета ЕР (общ) '!$A1141,".",'Смета ЕР (общ) '!$B1141,".",'Смета ЕР (общ) '!$D1141)</f>
        <v>Р9.2.23</v>
      </c>
      <c r="F1141" s="26">
        <f t="shared" si="100"/>
        <v>1</v>
      </c>
      <c r="G1141" s="27" t="s">
        <v>1218</v>
      </c>
      <c r="H1141" s="28" t="s">
        <v>118</v>
      </c>
      <c r="I1141" s="158"/>
      <c r="J1141" s="30">
        <v>2152.96</v>
      </c>
      <c r="K1141" s="30">
        <v>10869.69</v>
      </c>
      <c r="L1141" s="30">
        <f t="shared" si="99"/>
        <v>2152.96</v>
      </c>
      <c r="M1141" s="30">
        <f t="shared" si="99"/>
        <v>10869.69</v>
      </c>
      <c r="N1141" s="30">
        <f>ROUND('Смета ЕР (общ) '!$I1141*'Смета ЕР (общ) '!$L1141,2)</f>
        <v>0</v>
      </c>
      <c r="O1141" s="30">
        <f>ROUND('Смета ЕР (общ) '!$I1141*'Смета ЕР (общ) '!$M1141,2)</f>
        <v>0</v>
      </c>
      <c r="P1141" s="45"/>
    </row>
    <row r="1142" spans="1:16" ht="34.5" hidden="1" customHeight="1" x14ac:dyDescent="0.3">
      <c r="A1142" s="26" t="s">
        <v>1170</v>
      </c>
      <c r="B1142" s="26">
        <v>2</v>
      </c>
      <c r="C1142" s="26"/>
      <c r="D1142" s="26">
        <v>24</v>
      </c>
      <c r="E1142" s="26" t="str">
        <f>CONCATENATE('Смета ЕР (общ) '!$A1142,".",'Смета ЕР (общ) '!$B1142,".",'Смета ЕР (общ) '!$D1142)</f>
        <v>Р9.2.24</v>
      </c>
      <c r="F1142" s="26">
        <f t="shared" si="100"/>
        <v>1</v>
      </c>
      <c r="G1142" s="27" t="s">
        <v>1219</v>
      </c>
      <c r="H1142" s="28" t="s">
        <v>118</v>
      </c>
      <c r="I1142" s="158"/>
      <c r="J1142" s="30">
        <v>1417.8</v>
      </c>
      <c r="K1142" s="30">
        <v>12058.36</v>
      </c>
      <c r="L1142" s="30">
        <f t="shared" si="99"/>
        <v>1417.8</v>
      </c>
      <c r="M1142" s="30">
        <f t="shared" si="99"/>
        <v>12058.36</v>
      </c>
      <c r="N1142" s="30">
        <f>ROUND('Смета ЕР (общ) '!$I1142*'Смета ЕР (общ) '!$L1142,2)</f>
        <v>0</v>
      </c>
      <c r="O1142" s="30">
        <f>ROUND('Смета ЕР (общ) '!$I1142*'Смета ЕР (общ) '!$M1142,2)</f>
        <v>0</v>
      </c>
      <c r="P1142" s="45"/>
    </row>
    <row r="1143" spans="1:16" ht="34.5" hidden="1" customHeight="1" x14ac:dyDescent="0.3">
      <c r="A1143" s="26" t="s">
        <v>1170</v>
      </c>
      <c r="B1143" s="26">
        <v>2</v>
      </c>
      <c r="C1143" s="26"/>
      <c r="D1143" s="26">
        <v>25</v>
      </c>
      <c r="E1143" s="26" t="str">
        <f>CONCATENATE('Смета ЕР (общ) '!$A1143,".",'Смета ЕР (общ) '!$B1143,".",'Смета ЕР (общ) '!$D1143)</f>
        <v>Р9.2.25</v>
      </c>
      <c r="F1143" s="26">
        <f t="shared" si="100"/>
        <v>1</v>
      </c>
      <c r="G1143" s="27" t="s">
        <v>1220</v>
      </c>
      <c r="H1143" s="28" t="s">
        <v>118</v>
      </c>
      <c r="I1143" s="158"/>
      <c r="J1143" s="30">
        <v>1417.8</v>
      </c>
      <c r="K1143" s="30">
        <v>10549.4</v>
      </c>
      <c r="L1143" s="30">
        <f t="shared" si="99"/>
        <v>1417.8</v>
      </c>
      <c r="M1143" s="30">
        <f t="shared" si="99"/>
        <v>10549.4</v>
      </c>
      <c r="N1143" s="30">
        <f>ROUND('Смета ЕР (общ) '!$I1143*'Смета ЕР (общ) '!$L1143,2)</f>
        <v>0</v>
      </c>
      <c r="O1143" s="30">
        <f>ROUND('Смета ЕР (общ) '!$I1143*'Смета ЕР (общ) '!$M1143,2)</f>
        <v>0</v>
      </c>
      <c r="P1143" s="45"/>
    </row>
    <row r="1144" spans="1:16" ht="34.5" hidden="1" customHeight="1" x14ac:dyDescent="0.3">
      <c r="A1144" s="26" t="s">
        <v>1170</v>
      </c>
      <c r="B1144" s="26">
        <v>2</v>
      </c>
      <c r="C1144" s="26"/>
      <c r="D1144" s="26">
        <v>26</v>
      </c>
      <c r="E1144" s="26" t="str">
        <f>CONCATENATE('Смета ЕР (общ) '!$A1144,".",'Смета ЕР (общ) '!$B1144,".",'Смета ЕР (общ) '!$D1144)</f>
        <v>Р9.2.26</v>
      </c>
      <c r="F1144" s="26">
        <f t="shared" si="100"/>
        <v>1</v>
      </c>
      <c r="G1144" s="27" t="s">
        <v>1221</v>
      </c>
      <c r="H1144" s="28" t="s">
        <v>118</v>
      </c>
      <c r="I1144" s="158"/>
      <c r="J1144" s="30">
        <v>1417.8</v>
      </c>
      <c r="K1144" s="30">
        <v>6521.48</v>
      </c>
      <c r="L1144" s="30">
        <f t="shared" si="99"/>
        <v>1417.8</v>
      </c>
      <c r="M1144" s="30">
        <f t="shared" si="99"/>
        <v>6521.48</v>
      </c>
      <c r="N1144" s="30">
        <f>ROUND('Смета ЕР (общ) '!$I1144*'Смета ЕР (общ) '!$L1144,2)</f>
        <v>0</v>
      </c>
      <c r="O1144" s="30">
        <f>ROUND('Смета ЕР (общ) '!$I1144*'Смета ЕР (общ) '!$M1144,2)</f>
        <v>0</v>
      </c>
      <c r="P1144" s="45"/>
    </row>
    <row r="1145" spans="1:16" ht="34.5" hidden="1" customHeight="1" x14ac:dyDescent="0.3">
      <c r="A1145" s="26" t="s">
        <v>1170</v>
      </c>
      <c r="B1145" s="26">
        <v>2</v>
      </c>
      <c r="C1145" s="26"/>
      <c r="D1145" s="26">
        <v>27</v>
      </c>
      <c r="E1145" s="26" t="str">
        <f>CONCATENATE('Смета ЕР (общ) '!$A1145,".",'Смета ЕР (общ) '!$B1145,".",'Смета ЕР (общ) '!$D1145)</f>
        <v>Р9.2.27</v>
      </c>
      <c r="F1145" s="26">
        <f t="shared" si="100"/>
        <v>1</v>
      </c>
      <c r="G1145" s="27" t="s">
        <v>1222</v>
      </c>
      <c r="H1145" s="28" t="s">
        <v>118</v>
      </c>
      <c r="I1145" s="158"/>
      <c r="J1145" s="30">
        <v>2152.96</v>
      </c>
      <c r="K1145" s="30">
        <v>10849.15</v>
      </c>
      <c r="L1145" s="30">
        <f t="shared" si="99"/>
        <v>2152.96</v>
      </c>
      <c r="M1145" s="30">
        <f t="shared" si="99"/>
        <v>10849.15</v>
      </c>
      <c r="N1145" s="30">
        <f>ROUND('Смета ЕР (общ) '!$I1145*'Смета ЕР (общ) '!$L1145,2)</f>
        <v>0</v>
      </c>
      <c r="O1145" s="30">
        <f>ROUND('Смета ЕР (общ) '!$I1145*'Смета ЕР (общ) '!$M1145,2)</f>
        <v>0</v>
      </c>
      <c r="P1145" s="45"/>
    </row>
    <row r="1146" spans="1:16" ht="34.5" hidden="1" customHeight="1" x14ac:dyDescent="0.3">
      <c r="A1146" s="26" t="s">
        <v>1170</v>
      </c>
      <c r="B1146" s="26">
        <v>2</v>
      </c>
      <c r="C1146" s="26"/>
      <c r="D1146" s="26">
        <v>28</v>
      </c>
      <c r="E1146" s="26" t="str">
        <f>CONCATENATE('Смета ЕР (общ) '!$A1146,".",'Смета ЕР (общ) '!$B1146,".",'Смета ЕР (общ) '!$D1146)</f>
        <v>Р9.2.28</v>
      </c>
      <c r="F1146" s="26">
        <f t="shared" si="100"/>
        <v>1</v>
      </c>
      <c r="G1146" s="27" t="s">
        <v>1223</v>
      </c>
      <c r="H1146" s="28" t="s">
        <v>118</v>
      </c>
      <c r="I1146" s="158"/>
      <c r="J1146" s="30">
        <v>2152.96</v>
      </c>
      <c r="K1146" s="30">
        <v>11002.3</v>
      </c>
      <c r="L1146" s="30">
        <f t="shared" si="99"/>
        <v>2152.96</v>
      </c>
      <c r="M1146" s="30">
        <f t="shared" si="99"/>
        <v>11002.3</v>
      </c>
      <c r="N1146" s="30">
        <f>ROUND('Смета ЕР (общ) '!$I1146*'Смета ЕР (общ) '!$L1146,2)</f>
        <v>0</v>
      </c>
      <c r="O1146" s="30">
        <f>ROUND('Смета ЕР (общ) '!$I1146*'Смета ЕР (общ) '!$M1146,2)</f>
        <v>0</v>
      </c>
      <c r="P1146" s="45"/>
    </row>
    <row r="1147" spans="1:16" ht="34.5" hidden="1" customHeight="1" x14ac:dyDescent="0.3">
      <c r="A1147" s="26" t="s">
        <v>1170</v>
      </c>
      <c r="B1147" s="26">
        <v>2</v>
      </c>
      <c r="C1147" s="26"/>
      <c r="D1147" s="26">
        <v>29</v>
      </c>
      <c r="E1147" s="26" t="str">
        <f>CONCATENATE('Смета ЕР (общ) '!$A1147,".",'Смета ЕР (общ) '!$B1147,".",'Смета ЕР (общ) '!$D1147)</f>
        <v>Р9.2.29</v>
      </c>
      <c r="F1147" s="26">
        <f t="shared" si="100"/>
        <v>1</v>
      </c>
      <c r="G1147" s="27" t="s">
        <v>1224</v>
      </c>
      <c r="H1147" s="28" t="s">
        <v>118</v>
      </c>
      <c r="I1147" s="158"/>
      <c r="J1147" s="30">
        <v>2152.96</v>
      </c>
      <c r="K1147" s="30">
        <v>6963.68</v>
      </c>
      <c r="L1147" s="30">
        <f t="shared" si="99"/>
        <v>2152.96</v>
      </c>
      <c r="M1147" s="30">
        <f t="shared" si="99"/>
        <v>6963.68</v>
      </c>
      <c r="N1147" s="30">
        <f>ROUND('Смета ЕР (общ) '!$I1147*'Смета ЕР (общ) '!$L1147,2)</f>
        <v>0</v>
      </c>
      <c r="O1147" s="30">
        <f>ROUND('Смета ЕР (общ) '!$I1147*'Смета ЕР (общ) '!$M1147,2)</f>
        <v>0</v>
      </c>
      <c r="P1147" s="45"/>
    </row>
    <row r="1148" spans="1:16" ht="34.5" hidden="1" customHeight="1" x14ac:dyDescent="0.3">
      <c r="A1148" s="26" t="s">
        <v>1170</v>
      </c>
      <c r="B1148" s="26">
        <v>2</v>
      </c>
      <c r="C1148" s="26"/>
      <c r="D1148" s="26">
        <v>30</v>
      </c>
      <c r="E1148" s="26" t="str">
        <f>CONCATENATE('Смета ЕР (общ) '!$A1148,".",'Смета ЕР (общ) '!$B1148,".",'Смета ЕР (общ) '!$D1148)</f>
        <v>Р9.2.30</v>
      </c>
      <c r="F1148" s="26">
        <f t="shared" si="100"/>
        <v>1</v>
      </c>
      <c r="G1148" s="27" t="s">
        <v>1225</v>
      </c>
      <c r="H1148" s="28" t="s">
        <v>118</v>
      </c>
      <c r="I1148" s="158"/>
      <c r="J1148" s="30">
        <v>2363.0100000000002</v>
      </c>
      <c r="K1148" s="30">
        <v>11400.22</v>
      </c>
      <c r="L1148" s="30">
        <f t="shared" si="99"/>
        <v>2363.0100000000002</v>
      </c>
      <c r="M1148" s="30">
        <f t="shared" si="99"/>
        <v>11400.22</v>
      </c>
      <c r="N1148" s="30">
        <f>ROUND('Смета ЕР (общ) '!$I1148*'Смета ЕР (общ) '!$L1148,2)</f>
        <v>0</v>
      </c>
      <c r="O1148" s="30">
        <f>ROUND('Смета ЕР (общ) '!$I1148*'Смета ЕР (общ) '!$M1148,2)</f>
        <v>0</v>
      </c>
      <c r="P1148" s="45"/>
    </row>
    <row r="1149" spans="1:16" ht="34.5" hidden="1" customHeight="1" x14ac:dyDescent="0.3">
      <c r="A1149" s="26" t="s">
        <v>1170</v>
      </c>
      <c r="B1149" s="26">
        <v>2</v>
      </c>
      <c r="C1149" s="26"/>
      <c r="D1149" s="26">
        <v>31</v>
      </c>
      <c r="E1149" s="26" t="str">
        <f>CONCATENATE('Смета ЕР (общ) '!$A1149,".",'Смета ЕР (общ) '!$B1149,".",'Смета ЕР (общ) '!$D1149)</f>
        <v>Р9.2.31</v>
      </c>
      <c r="F1149" s="26">
        <f t="shared" si="100"/>
        <v>1</v>
      </c>
      <c r="G1149" s="27" t="s">
        <v>1226</v>
      </c>
      <c r="H1149" s="28" t="s">
        <v>118</v>
      </c>
      <c r="I1149" s="158"/>
      <c r="J1149" s="30">
        <v>2363.0100000000002</v>
      </c>
      <c r="K1149" s="30">
        <v>10918.15</v>
      </c>
      <c r="L1149" s="30">
        <f t="shared" si="99"/>
        <v>2363.0100000000002</v>
      </c>
      <c r="M1149" s="30">
        <f t="shared" si="99"/>
        <v>10918.15</v>
      </c>
      <c r="N1149" s="30">
        <f>ROUND('Смета ЕР (общ) '!$I1149*'Смета ЕР (общ) '!$L1149,2)</f>
        <v>0</v>
      </c>
      <c r="O1149" s="30">
        <f>ROUND('Смета ЕР (общ) '!$I1149*'Смета ЕР (общ) '!$M1149,2)</f>
        <v>0</v>
      </c>
      <c r="P1149" s="45"/>
    </row>
    <row r="1150" spans="1:16" ht="34.5" hidden="1" customHeight="1" x14ac:dyDescent="0.3">
      <c r="A1150" s="26" t="s">
        <v>1170</v>
      </c>
      <c r="B1150" s="26">
        <v>2</v>
      </c>
      <c r="C1150" s="26"/>
      <c r="D1150" s="26">
        <v>32</v>
      </c>
      <c r="E1150" s="26" t="str">
        <f>CONCATENATE('Смета ЕР (общ) '!$A1150,".",'Смета ЕР (общ) '!$B1150,".",'Смета ЕР (общ) '!$D1150)</f>
        <v>Р9.2.32</v>
      </c>
      <c r="F1150" s="26">
        <f t="shared" si="100"/>
        <v>1</v>
      </c>
      <c r="G1150" s="27" t="s">
        <v>1227</v>
      </c>
      <c r="H1150" s="28" t="s">
        <v>118</v>
      </c>
      <c r="I1150" s="158"/>
      <c r="J1150" s="30">
        <v>2363.0100000000002</v>
      </c>
      <c r="K1150" s="30">
        <v>11907.02</v>
      </c>
      <c r="L1150" s="30">
        <f t="shared" si="99"/>
        <v>2363.0100000000002</v>
      </c>
      <c r="M1150" s="30">
        <f t="shared" si="99"/>
        <v>11907.02</v>
      </c>
      <c r="N1150" s="30">
        <f>ROUND('Смета ЕР (общ) '!$I1150*'Смета ЕР (общ) '!$L1150,2)</f>
        <v>0</v>
      </c>
      <c r="O1150" s="30">
        <f>ROUND('Смета ЕР (общ) '!$I1150*'Смета ЕР (общ) '!$M1150,2)</f>
        <v>0</v>
      </c>
      <c r="P1150" s="45"/>
    </row>
    <row r="1151" spans="1:16" ht="34.5" hidden="1" customHeight="1" x14ac:dyDescent="0.3">
      <c r="A1151" s="26" t="s">
        <v>1170</v>
      </c>
      <c r="B1151" s="26">
        <v>2</v>
      </c>
      <c r="C1151" s="26"/>
      <c r="D1151" s="26">
        <v>33</v>
      </c>
      <c r="E1151" s="26" t="str">
        <f>CONCATENATE('Смета ЕР (общ) '!$A1151,".",'Смета ЕР (общ) '!$B1151,".",'Смета ЕР (общ) '!$D1151)</f>
        <v>Р9.2.33</v>
      </c>
      <c r="F1151" s="26">
        <f t="shared" si="100"/>
        <v>1</v>
      </c>
      <c r="G1151" s="27" t="s">
        <v>1228</v>
      </c>
      <c r="H1151" s="28" t="s">
        <v>118</v>
      </c>
      <c r="I1151" s="158"/>
      <c r="J1151" s="30">
        <v>2363.0100000000002</v>
      </c>
      <c r="K1151" s="30">
        <v>7571.79</v>
      </c>
      <c r="L1151" s="30">
        <f t="shared" si="99"/>
        <v>2363.0100000000002</v>
      </c>
      <c r="M1151" s="30">
        <f t="shared" si="99"/>
        <v>7571.79</v>
      </c>
      <c r="N1151" s="30">
        <f>ROUND('Смета ЕР (общ) '!$I1151*'Смета ЕР (общ) '!$L1151,2)</f>
        <v>0</v>
      </c>
      <c r="O1151" s="30">
        <f>ROUND('Смета ЕР (общ) '!$I1151*'Смета ЕР (общ) '!$M1151,2)</f>
        <v>0</v>
      </c>
      <c r="P1151" s="45"/>
    </row>
    <row r="1152" spans="1:16" ht="34.5" hidden="1" customHeight="1" x14ac:dyDescent="0.3">
      <c r="A1152" s="26" t="s">
        <v>1170</v>
      </c>
      <c r="B1152" s="26">
        <v>2</v>
      </c>
      <c r="C1152" s="26"/>
      <c r="D1152" s="26">
        <v>34</v>
      </c>
      <c r="E1152" s="26" t="str">
        <f>CONCATENATE('Смета ЕР (общ) '!$A1152,".",'Смета ЕР (общ) '!$B1152,".",'Смета ЕР (общ) '!$D1152)</f>
        <v>Р9.2.34</v>
      </c>
      <c r="F1152" s="26">
        <f t="shared" si="100"/>
        <v>1</v>
      </c>
      <c r="G1152" s="27" t="s">
        <v>1229</v>
      </c>
      <c r="H1152" s="28" t="s">
        <v>118</v>
      </c>
      <c r="I1152" s="158"/>
      <c r="J1152" s="30">
        <v>3833.32</v>
      </c>
      <c r="K1152" s="30">
        <v>15416.39</v>
      </c>
      <c r="L1152" s="30">
        <f t="shared" si="99"/>
        <v>3833.32</v>
      </c>
      <c r="M1152" s="30">
        <f t="shared" si="99"/>
        <v>15416.39</v>
      </c>
      <c r="N1152" s="30">
        <f>ROUND('Смета ЕР (общ) '!$I1152*'Смета ЕР (общ) '!$L1152,2)</f>
        <v>0</v>
      </c>
      <c r="O1152" s="30">
        <f>ROUND('Смета ЕР (общ) '!$I1152*'Смета ЕР (общ) '!$M1152,2)</f>
        <v>0</v>
      </c>
      <c r="P1152" s="45"/>
    </row>
    <row r="1153" spans="1:16" ht="34.5" hidden="1" customHeight="1" x14ac:dyDescent="0.3">
      <c r="A1153" s="26" t="s">
        <v>1170</v>
      </c>
      <c r="B1153" s="26">
        <v>2</v>
      </c>
      <c r="C1153" s="26"/>
      <c r="D1153" s="26">
        <v>35</v>
      </c>
      <c r="E1153" s="26" t="str">
        <f>CONCATENATE('Смета ЕР (общ) '!$A1153,".",'Смета ЕР (общ) '!$B1153,".",'Смета ЕР (общ) '!$D1153)</f>
        <v>Р9.2.35</v>
      </c>
      <c r="F1153" s="26">
        <f t="shared" si="100"/>
        <v>1</v>
      </c>
      <c r="G1153" s="27" t="s">
        <v>1230</v>
      </c>
      <c r="H1153" s="28" t="s">
        <v>118</v>
      </c>
      <c r="I1153" s="158"/>
      <c r="J1153" s="30">
        <v>10659.78</v>
      </c>
      <c r="K1153" s="30">
        <v>53947.65</v>
      </c>
      <c r="L1153" s="30">
        <f t="shared" si="99"/>
        <v>10659.78</v>
      </c>
      <c r="M1153" s="30">
        <f t="shared" si="99"/>
        <v>53947.65</v>
      </c>
      <c r="N1153" s="30">
        <f>ROUND('Смета ЕР (общ) '!$I1153*'Смета ЕР (общ) '!$L1153,2)</f>
        <v>0</v>
      </c>
      <c r="O1153" s="30">
        <f>ROUND('Смета ЕР (общ) '!$I1153*'Смета ЕР (общ) '!$M1153,2)</f>
        <v>0</v>
      </c>
      <c r="P1153" s="45"/>
    </row>
    <row r="1154" spans="1:16" ht="34.5" hidden="1" customHeight="1" x14ac:dyDescent="0.3">
      <c r="A1154" s="26" t="s">
        <v>1170</v>
      </c>
      <c r="B1154" s="26">
        <v>2</v>
      </c>
      <c r="C1154" s="26"/>
      <c r="D1154" s="26">
        <v>36</v>
      </c>
      <c r="E1154" s="26" t="str">
        <f>CONCATENATE('Смета ЕР (общ) '!$A1154,".",'Смета ЕР (общ) '!$B1154,".",'Смета ЕР (общ) '!$D1154)</f>
        <v>Р9.2.36</v>
      </c>
      <c r="F1154" s="26">
        <f t="shared" si="100"/>
        <v>1</v>
      </c>
      <c r="G1154" s="27" t="s">
        <v>1231</v>
      </c>
      <c r="H1154" s="28" t="s">
        <v>118</v>
      </c>
      <c r="I1154" s="158"/>
      <c r="J1154" s="30">
        <v>16908.63</v>
      </c>
      <c r="K1154" s="30">
        <v>81618.22</v>
      </c>
      <c r="L1154" s="30">
        <f t="shared" si="99"/>
        <v>16908.63</v>
      </c>
      <c r="M1154" s="30">
        <f t="shared" si="99"/>
        <v>81618.22</v>
      </c>
      <c r="N1154" s="30">
        <f>ROUND('Смета ЕР (общ) '!$I1154*'Смета ЕР (общ) '!$L1154,2)</f>
        <v>0</v>
      </c>
      <c r="O1154" s="30">
        <f>ROUND('Смета ЕР (общ) '!$I1154*'Смета ЕР (общ) '!$M1154,2)</f>
        <v>0</v>
      </c>
      <c r="P1154" s="45"/>
    </row>
    <row r="1155" spans="1:16" ht="34.5" hidden="1" customHeight="1" x14ac:dyDescent="0.3">
      <c r="A1155" s="26" t="s">
        <v>1170</v>
      </c>
      <c r="B1155" s="26">
        <v>2</v>
      </c>
      <c r="C1155" s="26"/>
      <c r="D1155" s="26">
        <v>37</v>
      </c>
      <c r="E1155" s="26" t="str">
        <f>CONCATENATE('Смета ЕР (общ) '!$A1155,".",'Смета ЕР (общ) '!$B1155,".",'Смета ЕР (общ) '!$D1155)</f>
        <v>Р9.2.37</v>
      </c>
      <c r="F1155" s="26">
        <f t="shared" si="100"/>
        <v>1</v>
      </c>
      <c r="G1155" s="27" t="s">
        <v>1232</v>
      </c>
      <c r="H1155" s="28" t="s">
        <v>118</v>
      </c>
      <c r="I1155" s="158"/>
      <c r="J1155" s="30">
        <v>287.10000000000002</v>
      </c>
      <c r="K1155" s="30">
        <v>1210.04</v>
      </c>
      <c r="L1155" s="30">
        <f t="shared" si="99"/>
        <v>287.10000000000002</v>
      </c>
      <c r="M1155" s="30">
        <f t="shared" si="99"/>
        <v>1210.04</v>
      </c>
      <c r="N1155" s="30">
        <f>ROUND('Смета ЕР (общ) '!$I1155*'Смета ЕР (общ) '!$L1155,2)</f>
        <v>0</v>
      </c>
      <c r="O1155" s="30">
        <f>ROUND('Смета ЕР (общ) '!$I1155*'Смета ЕР (общ) '!$M1155,2)</f>
        <v>0</v>
      </c>
      <c r="P1155" s="45"/>
    </row>
    <row r="1156" spans="1:16" ht="34.5" hidden="1" customHeight="1" x14ac:dyDescent="0.3">
      <c r="A1156" s="26" t="s">
        <v>1170</v>
      </c>
      <c r="B1156" s="26">
        <v>2</v>
      </c>
      <c r="C1156" s="26"/>
      <c r="D1156" s="26">
        <v>38</v>
      </c>
      <c r="E1156" s="26" t="str">
        <f>CONCATENATE('Смета ЕР (общ) '!$A1156,".",'Смета ЕР (общ) '!$B1156,".",'Смета ЕР (общ) '!$D1156)</f>
        <v>Р9.2.38</v>
      </c>
      <c r="F1156" s="26">
        <f t="shared" si="100"/>
        <v>1</v>
      </c>
      <c r="G1156" s="27" t="s">
        <v>1233</v>
      </c>
      <c r="H1156" s="28" t="s">
        <v>118</v>
      </c>
      <c r="I1156" s="158"/>
      <c r="J1156" s="30">
        <v>287.10000000000002</v>
      </c>
      <c r="K1156" s="30">
        <v>908.37</v>
      </c>
      <c r="L1156" s="30">
        <f t="shared" si="99"/>
        <v>287.10000000000002</v>
      </c>
      <c r="M1156" s="30">
        <f t="shared" si="99"/>
        <v>908.37</v>
      </c>
      <c r="N1156" s="30">
        <f>ROUND('Смета ЕР (общ) '!$I1156*'Смета ЕР (общ) '!$L1156,2)</f>
        <v>0</v>
      </c>
      <c r="O1156" s="30">
        <f>ROUND('Смета ЕР (общ) '!$I1156*'Смета ЕР (общ) '!$M1156,2)</f>
        <v>0</v>
      </c>
      <c r="P1156" s="45"/>
    </row>
    <row r="1157" spans="1:16" ht="34.5" hidden="1" customHeight="1" x14ac:dyDescent="0.3">
      <c r="A1157" s="26" t="s">
        <v>1170</v>
      </c>
      <c r="B1157" s="26">
        <v>2</v>
      </c>
      <c r="C1157" s="26"/>
      <c r="D1157" s="26">
        <v>39</v>
      </c>
      <c r="E1157" s="26" t="str">
        <f>CONCATENATE('Смета ЕР (общ) '!$A1157,".",'Смета ЕР (общ) '!$B1157,".",'Смета ЕР (общ) '!$D1157)</f>
        <v>Р9.2.39</v>
      </c>
      <c r="F1157" s="26">
        <f t="shared" si="100"/>
        <v>1</v>
      </c>
      <c r="G1157" s="27" t="s">
        <v>1234</v>
      </c>
      <c r="H1157" s="28" t="s">
        <v>118</v>
      </c>
      <c r="I1157" s="158"/>
      <c r="J1157" s="30">
        <v>287.10000000000002</v>
      </c>
      <c r="K1157" s="30">
        <v>875.78</v>
      </c>
      <c r="L1157" s="30">
        <f t="shared" si="99"/>
        <v>287.10000000000002</v>
      </c>
      <c r="M1157" s="30">
        <f t="shared" si="99"/>
        <v>875.78</v>
      </c>
      <c r="N1157" s="30">
        <f>ROUND('Смета ЕР (общ) '!$I1157*'Смета ЕР (общ) '!$L1157,2)</f>
        <v>0</v>
      </c>
      <c r="O1157" s="30">
        <f>ROUND('Смета ЕР (общ) '!$I1157*'Смета ЕР (общ) '!$M1157,2)</f>
        <v>0</v>
      </c>
      <c r="P1157" s="45"/>
    </row>
    <row r="1158" spans="1:16" ht="34.5" hidden="1" customHeight="1" x14ac:dyDescent="0.3">
      <c r="A1158" s="26" t="s">
        <v>1170</v>
      </c>
      <c r="B1158" s="26">
        <v>2</v>
      </c>
      <c r="C1158" s="26"/>
      <c r="D1158" s="26">
        <v>40</v>
      </c>
      <c r="E1158" s="26" t="str">
        <f>CONCATENATE('Смета ЕР (общ) '!$A1158,".",'Смета ЕР (общ) '!$B1158,".",'Смета ЕР (общ) '!$D1158)</f>
        <v>Р9.2.40</v>
      </c>
      <c r="F1158" s="26">
        <f t="shared" si="100"/>
        <v>1</v>
      </c>
      <c r="G1158" s="27" t="s">
        <v>1235</v>
      </c>
      <c r="H1158" s="28" t="s">
        <v>118</v>
      </c>
      <c r="I1158" s="158"/>
      <c r="J1158" s="30">
        <v>287.10000000000002</v>
      </c>
      <c r="K1158" s="30">
        <v>856.97</v>
      </c>
      <c r="L1158" s="30">
        <f t="shared" si="99"/>
        <v>287.10000000000002</v>
      </c>
      <c r="M1158" s="30">
        <f t="shared" si="99"/>
        <v>856.97</v>
      </c>
      <c r="N1158" s="30">
        <f>ROUND('Смета ЕР (общ) '!$I1158*'Смета ЕР (общ) '!$L1158,2)</f>
        <v>0</v>
      </c>
      <c r="O1158" s="30">
        <f>ROUND('Смета ЕР (общ) '!$I1158*'Смета ЕР (общ) '!$M1158,2)</f>
        <v>0</v>
      </c>
      <c r="P1158" s="45"/>
    </row>
    <row r="1159" spans="1:16" ht="34.5" hidden="1" customHeight="1" x14ac:dyDescent="0.3">
      <c r="A1159" s="26" t="s">
        <v>1170</v>
      </c>
      <c r="B1159" s="26">
        <v>2</v>
      </c>
      <c r="C1159" s="26"/>
      <c r="D1159" s="26">
        <v>41</v>
      </c>
      <c r="E1159" s="26" t="str">
        <f>CONCATENATE('Смета ЕР (общ) '!$A1159,".",'Смета ЕР (общ) '!$B1159,".",'Смета ЕР (общ) '!$D1159)</f>
        <v>Р9.2.41</v>
      </c>
      <c r="F1159" s="26">
        <f t="shared" si="100"/>
        <v>1</v>
      </c>
      <c r="G1159" s="27" t="s">
        <v>1236</v>
      </c>
      <c r="H1159" s="28" t="s">
        <v>118</v>
      </c>
      <c r="I1159" s="158"/>
      <c r="J1159" s="30">
        <v>438.48</v>
      </c>
      <c r="K1159" s="30">
        <v>11571.17</v>
      </c>
      <c r="L1159" s="30">
        <f t="shared" si="99"/>
        <v>438.48</v>
      </c>
      <c r="M1159" s="30">
        <f t="shared" si="99"/>
        <v>11571.17</v>
      </c>
      <c r="N1159" s="30">
        <f>ROUND('Смета ЕР (общ) '!$I1159*'Смета ЕР (общ) '!$L1159,2)</f>
        <v>0</v>
      </c>
      <c r="O1159" s="30">
        <f>ROUND('Смета ЕР (общ) '!$I1159*'Смета ЕР (общ) '!$M1159,2)</f>
        <v>0</v>
      </c>
      <c r="P1159" s="45"/>
    </row>
    <row r="1160" spans="1:16" ht="34.5" hidden="1" customHeight="1" x14ac:dyDescent="0.3">
      <c r="A1160" s="26" t="s">
        <v>1170</v>
      </c>
      <c r="B1160" s="26">
        <v>2</v>
      </c>
      <c r="C1160" s="26"/>
      <c r="D1160" s="26">
        <v>42</v>
      </c>
      <c r="E1160" s="26" t="str">
        <f>CONCATENATE('Смета ЕР (общ) '!$A1160,".",'Смета ЕР (общ) '!$B1160,".",'Смета ЕР (общ) '!$D1160)</f>
        <v>Р9.2.42</v>
      </c>
      <c r="F1160" s="26">
        <f t="shared" si="100"/>
        <v>1</v>
      </c>
      <c r="G1160" s="27" t="s">
        <v>1237</v>
      </c>
      <c r="H1160" s="28" t="s">
        <v>118</v>
      </c>
      <c r="I1160" s="158"/>
      <c r="J1160" s="30">
        <v>438.48</v>
      </c>
      <c r="K1160" s="30">
        <v>11305.12</v>
      </c>
      <c r="L1160" s="30">
        <f t="shared" si="99"/>
        <v>438.48</v>
      </c>
      <c r="M1160" s="30">
        <f t="shared" si="99"/>
        <v>11305.12</v>
      </c>
      <c r="N1160" s="30">
        <f>ROUND('Смета ЕР (общ) '!$I1160*'Смета ЕР (общ) '!$L1160,2)</f>
        <v>0</v>
      </c>
      <c r="O1160" s="30">
        <f>ROUND('Смета ЕР (общ) '!$I1160*'Смета ЕР (общ) '!$M1160,2)</f>
        <v>0</v>
      </c>
      <c r="P1160" s="45"/>
    </row>
    <row r="1161" spans="1:16" ht="34.5" hidden="1" customHeight="1" x14ac:dyDescent="0.3">
      <c r="A1161" s="26" t="s">
        <v>1170</v>
      </c>
      <c r="B1161" s="26">
        <v>2</v>
      </c>
      <c r="C1161" s="26"/>
      <c r="D1161" s="26">
        <v>43</v>
      </c>
      <c r="E1161" s="26" t="str">
        <f>CONCATENATE('Смета ЕР (общ) '!$A1161,".",'Смета ЕР (общ) '!$B1161,".",'Смета ЕР (общ) '!$D1161)</f>
        <v>Р9.2.43</v>
      </c>
      <c r="F1161" s="26">
        <f t="shared" si="100"/>
        <v>1</v>
      </c>
      <c r="G1161" s="27" t="s">
        <v>1238</v>
      </c>
      <c r="H1161" s="28" t="s">
        <v>118</v>
      </c>
      <c r="I1161" s="158"/>
      <c r="J1161" s="30">
        <v>287.10000000000002</v>
      </c>
      <c r="K1161" s="30">
        <v>979.41</v>
      </c>
      <c r="L1161" s="30">
        <f t="shared" si="99"/>
        <v>287.10000000000002</v>
      </c>
      <c r="M1161" s="30">
        <f t="shared" si="99"/>
        <v>979.41</v>
      </c>
      <c r="N1161" s="30">
        <f>ROUND('Смета ЕР (общ) '!$I1161*'Смета ЕР (общ) '!$L1161,2)</f>
        <v>0</v>
      </c>
      <c r="O1161" s="30">
        <f>ROUND('Смета ЕР (общ) '!$I1161*'Смета ЕР (общ) '!$M1161,2)</f>
        <v>0</v>
      </c>
      <c r="P1161" s="45"/>
    </row>
    <row r="1162" spans="1:16" ht="34.5" hidden="1" customHeight="1" x14ac:dyDescent="0.3">
      <c r="A1162" s="26" t="s">
        <v>1170</v>
      </c>
      <c r="B1162" s="26">
        <v>2</v>
      </c>
      <c r="C1162" s="26"/>
      <c r="D1162" s="26">
        <v>44</v>
      </c>
      <c r="E1162" s="26" t="str">
        <f>CONCATENATE('Смета ЕР (общ) '!$A1162,".",'Смета ЕР (общ) '!$B1162,".",'Смета ЕР (общ) '!$D1162)</f>
        <v>Р9.2.44</v>
      </c>
      <c r="F1162" s="26">
        <f t="shared" si="100"/>
        <v>1</v>
      </c>
      <c r="G1162" s="27" t="s">
        <v>1239</v>
      </c>
      <c r="H1162" s="28" t="s">
        <v>118</v>
      </c>
      <c r="I1162" s="158"/>
      <c r="J1162" s="30">
        <v>287.10000000000002</v>
      </c>
      <c r="K1162" s="30">
        <v>747.46</v>
      </c>
      <c r="L1162" s="30">
        <f t="shared" si="99"/>
        <v>287.10000000000002</v>
      </c>
      <c r="M1162" s="30">
        <f t="shared" si="99"/>
        <v>747.46</v>
      </c>
      <c r="N1162" s="30">
        <f>ROUND('Смета ЕР (общ) '!$I1162*'Смета ЕР (общ) '!$L1162,2)</f>
        <v>0</v>
      </c>
      <c r="O1162" s="30">
        <f>ROUND('Смета ЕР (общ) '!$I1162*'Смета ЕР (общ) '!$M1162,2)</f>
        <v>0</v>
      </c>
      <c r="P1162" s="45"/>
    </row>
    <row r="1163" spans="1:16" ht="34.5" hidden="1" customHeight="1" x14ac:dyDescent="0.3">
      <c r="A1163" s="26" t="s">
        <v>1170</v>
      </c>
      <c r="B1163" s="26">
        <v>2</v>
      </c>
      <c r="C1163" s="26"/>
      <c r="D1163" s="26">
        <v>45</v>
      </c>
      <c r="E1163" s="26" t="str">
        <f>CONCATENATE('Смета ЕР (общ) '!$A1163,".",'Смета ЕР (общ) '!$B1163,".",'Смета ЕР (общ) '!$D1163)</f>
        <v>Р9.2.45</v>
      </c>
      <c r="F1163" s="26">
        <f t="shared" si="100"/>
        <v>1</v>
      </c>
      <c r="G1163" s="27" t="s">
        <v>1240</v>
      </c>
      <c r="H1163" s="28" t="s">
        <v>118</v>
      </c>
      <c r="I1163" s="158"/>
      <c r="J1163" s="30">
        <v>287.10000000000002</v>
      </c>
      <c r="K1163" s="30">
        <v>683.23</v>
      </c>
      <c r="L1163" s="30">
        <f t="shared" si="99"/>
        <v>287.10000000000002</v>
      </c>
      <c r="M1163" s="30">
        <f t="shared" si="99"/>
        <v>683.23</v>
      </c>
      <c r="N1163" s="30">
        <f>ROUND('Смета ЕР (общ) '!$I1163*'Смета ЕР (общ) '!$L1163,2)</f>
        <v>0</v>
      </c>
      <c r="O1163" s="30">
        <f>ROUND('Смета ЕР (общ) '!$I1163*'Смета ЕР (общ) '!$M1163,2)</f>
        <v>0</v>
      </c>
      <c r="P1163" s="45"/>
    </row>
    <row r="1164" spans="1:16" ht="34.5" hidden="1" customHeight="1" x14ac:dyDescent="0.3">
      <c r="A1164" s="26" t="s">
        <v>1170</v>
      </c>
      <c r="B1164" s="26">
        <v>2</v>
      </c>
      <c r="C1164" s="26"/>
      <c r="D1164" s="26">
        <v>46</v>
      </c>
      <c r="E1164" s="26" t="str">
        <f>CONCATENATE('Смета ЕР (общ) '!$A1164,".",'Смета ЕР (общ) '!$B1164,".",'Смета ЕР (общ) '!$D1164)</f>
        <v>Р9.2.46</v>
      </c>
      <c r="F1164" s="26">
        <f t="shared" si="100"/>
        <v>1</v>
      </c>
      <c r="G1164" s="27" t="s">
        <v>1241</v>
      </c>
      <c r="H1164" s="28" t="s">
        <v>118</v>
      </c>
      <c r="I1164" s="158"/>
      <c r="J1164" s="30">
        <v>287.10000000000002</v>
      </c>
      <c r="K1164" s="30">
        <v>898.45</v>
      </c>
      <c r="L1164" s="30">
        <f t="shared" si="99"/>
        <v>287.10000000000002</v>
      </c>
      <c r="M1164" s="30">
        <f t="shared" si="99"/>
        <v>898.45</v>
      </c>
      <c r="N1164" s="30">
        <f>ROUND('Смета ЕР (общ) '!$I1164*'Смета ЕР (общ) '!$L1164,2)</f>
        <v>0</v>
      </c>
      <c r="O1164" s="30">
        <f>ROUND('Смета ЕР (общ) '!$I1164*'Смета ЕР (общ) '!$M1164,2)</f>
        <v>0</v>
      </c>
      <c r="P1164" s="45"/>
    </row>
    <row r="1165" spans="1:16" ht="34.5" hidden="1" customHeight="1" x14ac:dyDescent="0.3">
      <c r="A1165" s="26" t="s">
        <v>1170</v>
      </c>
      <c r="B1165" s="26">
        <v>2</v>
      </c>
      <c r="C1165" s="26"/>
      <c r="D1165" s="26">
        <v>47</v>
      </c>
      <c r="E1165" s="26" t="str">
        <f>CONCATENATE('Смета ЕР (общ) '!$A1165,".",'Смета ЕР (общ) '!$B1165,".",'Смета ЕР (общ) '!$D1165)</f>
        <v>Р9.2.47</v>
      </c>
      <c r="F1165" s="26">
        <f t="shared" si="100"/>
        <v>1</v>
      </c>
      <c r="G1165" s="27" t="s">
        <v>1242</v>
      </c>
      <c r="H1165" s="28" t="s">
        <v>118</v>
      </c>
      <c r="I1165" s="158"/>
      <c r="J1165" s="30">
        <v>287.10000000000002</v>
      </c>
      <c r="K1165" s="30">
        <v>831.58</v>
      </c>
      <c r="L1165" s="30">
        <f t="shared" si="99"/>
        <v>287.10000000000002</v>
      </c>
      <c r="M1165" s="30">
        <f t="shared" si="99"/>
        <v>831.58</v>
      </c>
      <c r="N1165" s="30">
        <f>ROUND('Смета ЕР (общ) '!$I1165*'Смета ЕР (общ) '!$L1165,2)</f>
        <v>0</v>
      </c>
      <c r="O1165" s="30">
        <f>ROUND('Смета ЕР (общ) '!$I1165*'Смета ЕР (общ) '!$M1165,2)</f>
        <v>0</v>
      </c>
      <c r="P1165" s="45"/>
    </row>
    <row r="1166" spans="1:16" ht="34.5" hidden="1" customHeight="1" x14ac:dyDescent="0.3">
      <c r="A1166" s="26" t="s">
        <v>1170</v>
      </c>
      <c r="B1166" s="26">
        <v>2</v>
      </c>
      <c r="C1166" s="26"/>
      <c r="D1166" s="26">
        <v>48</v>
      </c>
      <c r="E1166" s="26" t="str">
        <f>CONCATENATE('Смета ЕР (общ) '!$A1166,".",'Смета ЕР (общ) '!$B1166,".",'Смета ЕР (общ) '!$D1166)</f>
        <v>Р9.2.48</v>
      </c>
      <c r="F1166" s="26">
        <f t="shared" si="100"/>
        <v>1</v>
      </c>
      <c r="G1166" s="27" t="s">
        <v>1243</v>
      </c>
      <c r="H1166" s="28" t="s">
        <v>118</v>
      </c>
      <c r="I1166" s="158"/>
      <c r="J1166" s="30">
        <v>438.48</v>
      </c>
      <c r="K1166" s="30">
        <v>978.23</v>
      </c>
      <c r="L1166" s="30">
        <f t="shared" si="99"/>
        <v>438.48</v>
      </c>
      <c r="M1166" s="30">
        <f t="shared" si="99"/>
        <v>978.23</v>
      </c>
      <c r="N1166" s="30">
        <f>ROUND('Смета ЕР (общ) '!$I1166*'Смета ЕР (общ) '!$L1166,2)</f>
        <v>0</v>
      </c>
      <c r="O1166" s="30">
        <f>ROUND('Смета ЕР (общ) '!$I1166*'Смета ЕР (общ) '!$M1166,2)</f>
        <v>0</v>
      </c>
      <c r="P1166" s="45"/>
    </row>
    <row r="1167" spans="1:16" ht="34.5" hidden="1" customHeight="1" x14ac:dyDescent="0.3">
      <c r="A1167" s="26" t="s">
        <v>1170</v>
      </c>
      <c r="B1167" s="26">
        <v>2</v>
      </c>
      <c r="C1167" s="26"/>
      <c r="D1167" s="26">
        <v>49</v>
      </c>
      <c r="E1167" s="26" t="str">
        <f>CONCATENATE('Смета ЕР (общ) '!$A1167,".",'Смета ЕР (общ) '!$B1167,".",'Смета ЕР (общ) '!$D1167)</f>
        <v>Р9.2.49</v>
      </c>
      <c r="F1167" s="26">
        <f t="shared" si="100"/>
        <v>1</v>
      </c>
      <c r="G1167" s="27" t="s">
        <v>1244</v>
      </c>
      <c r="H1167" s="28" t="s">
        <v>118</v>
      </c>
      <c r="I1167" s="158"/>
      <c r="J1167" s="30">
        <v>438.48</v>
      </c>
      <c r="K1167" s="30">
        <v>1061.5</v>
      </c>
      <c r="L1167" s="30">
        <f t="shared" si="99"/>
        <v>438.48</v>
      </c>
      <c r="M1167" s="30">
        <f t="shared" si="99"/>
        <v>1061.5</v>
      </c>
      <c r="N1167" s="30">
        <f>ROUND('Смета ЕР (общ) '!$I1167*'Смета ЕР (общ) '!$L1167,2)</f>
        <v>0</v>
      </c>
      <c r="O1167" s="30">
        <f>ROUND('Смета ЕР (общ) '!$I1167*'Смета ЕР (общ) '!$M1167,2)</f>
        <v>0</v>
      </c>
      <c r="P1167" s="45"/>
    </row>
    <row r="1168" spans="1:16" ht="34.5" hidden="1" customHeight="1" x14ac:dyDescent="0.3">
      <c r="A1168" s="26" t="s">
        <v>1170</v>
      </c>
      <c r="B1168" s="26">
        <v>2</v>
      </c>
      <c r="C1168" s="26"/>
      <c r="D1168" s="26">
        <v>50</v>
      </c>
      <c r="E1168" s="26" t="str">
        <f>CONCATENATE('Смета ЕР (общ) '!$A1168,".",'Смета ЕР (общ) '!$B1168,".",'Смета ЕР (общ) '!$D1168)</f>
        <v>Р9.2.50</v>
      </c>
      <c r="F1168" s="26">
        <f t="shared" si="100"/>
        <v>1</v>
      </c>
      <c r="G1168" s="27" t="s">
        <v>1245</v>
      </c>
      <c r="H1168" s="28" t="s">
        <v>118</v>
      </c>
      <c r="I1168" s="158"/>
      <c r="J1168" s="30">
        <v>449.79</v>
      </c>
      <c r="K1168" s="30">
        <v>2304.69</v>
      </c>
      <c r="L1168" s="30">
        <f t="shared" si="99"/>
        <v>449.79</v>
      </c>
      <c r="M1168" s="30">
        <f t="shared" si="99"/>
        <v>2304.69</v>
      </c>
      <c r="N1168" s="30">
        <f>ROUND('Смета ЕР (общ) '!$I1168*'Смета ЕР (общ) '!$L1168,2)</f>
        <v>0</v>
      </c>
      <c r="O1168" s="30">
        <f>ROUND('Смета ЕР (общ) '!$I1168*'Смета ЕР (общ) '!$M1168,2)</f>
        <v>0</v>
      </c>
      <c r="P1168" s="45"/>
    </row>
    <row r="1169" spans="1:16" ht="34.5" hidden="1" customHeight="1" x14ac:dyDescent="0.3">
      <c r="A1169" s="26" t="s">
        <v>1170</v>
      </c>
      <c r="B1169" s="26">
        <v>2</v>
      </c>
      <c r="C1169" s="26"/>
      <c r="D1169" s="26">
        <v>51</v>
      </c>
      <c r="E1169" s="26" t="str">
        <f>CONCATENATE('Смета ЕР (общ) '!$A1169,".",'Смета ЕР (общ) '!$B1169,".",'Смета ЕР (общ) '!$D1169)</f>
        <v>Р9.2.51</v>
      </c>
      <c r="F1169" s="26">
        <f t="shared" si="100"/>
        <v>1</v>
      </c>
      <c r="G1169" s="27" t="s">
        <v>1246</v>
      </c>
      <c r="H1169" s="28" t="s">
        <v>118</v>
      </c>
      <c r="I1169" s="158"/>
      <c r="J1169" s="30">
        <v>287.10000000000002</v>
      </c>
      <c r="K1169" s="30">
        <v>539.54</v>
      </c>
      <c r="L1169" s="30">
        <f t="shared" si="99"/>
        <v>287.10000000000002</v>
      </c>
      <c r="M1169" s="30">
        <f t="shared" si="99"/>
        <v>539.54</v>
      </c>
      <c r="N1169" s="30">
        <f>ROUND('Смета ЕР (общ) '!$I1169*'Смета ЕР (общ) '!$L1169,2)</f>
        <v>0</v>
      </c>
      <c r="O1169" s="30">
        <f>ROUND('Смета ЕР (общ) '!$I1169*'Смета ЕР (общ) '!$M1169,2)</f>
        <v>0</v>
      </c>
      <c r="P1169" s="45"/>
    </row>
    <row r="1170" spans="1:16" ht="34.5" hidden="1" customHeight="1" x14ac:dyDescent="0.3">
      <c r="A1170" s="26" t="s">
        <v>1170</v>
      </c>
      <c r="B1170" s="26">
        <v>2</v>
      </c>
      <c r="C1170" s="26"/>
      <c r="D1170" s="26">
        <v>52</v>
      </c>
      <c r="E1170" s="26" t="str">
        <f>CONCATENATE('Смета ЕР (общ) '!$A1170,".",'Смета ЕР (общ) '!$B1170,".",'Смета ЕР (общ) '!$D1170)</f>
        <v>Р9.2.52</v>
      </c>
      <c r="F1170" s="26">
        <f t="shared" si="100"/>
        <v>1</v>
      </c>
      <c r="G1170" s="27" t="s">
        <v>1247</v>
      </c>
      <c r="H1170" s="28" t="s">
        <v>118</v>
      </c>
      <c r="I1170" s="158"/>
      <c r="J1170" s="30">
        <v>287.10000000000002</v>
      </c>
      <c r="K1170" s="30">
        <v>430.11</v>
      </c>
      <c r="L1170" s="30">
        <f t="shared" si="99"/>
        <v>287.10000000000002</v>
      </c>
      <c r="M1170" s="30">
        <f t="shared" si="99"/>
        <v>430.11</v>
      </c>
      <c r="N1170" s="30">
        <f>ROUND('Смета ЕР (общ) '!$I1170*'Смета ЕР (общ) '!$L1170,2)</f>
        <v>0</v>
      </c>
      <c r="O1170" s="30">
        <f>ROUND('Смета ЕР (общ) '!$I1170*'Смета ЕР (общ) '!$M1170,2)</f>
        <v>0</v>
      </c>
      <c r="P1170" s="45"/>
    </row>
    <row r="1171" spans="1:16" ht="34.5" hidden="1" customHeight="1" x14ac:dyDescent="0.3">
      <c r="A1171" s="26" t="s">
        <v>1170</v>
      </c>
      <c r="B1171" s="26">
        <v>2</v>
      </c>
      <c r="C1171" s="26"/>
      <c r="D1171" s="26">
        <v>53</v>
      </c>
      <c r="E1171" s="26" t="str">
        <f>CONCATENATE('Смета ЕР (общ) '!$A1171,".",'Смета ЕР (общ) '!$B1171,".",'Смета ЕР (общ) '!$D1171)</f>
        <v>Р9.2.53</v>
      </c>
      <c r="F1171" s="26">
        <f t="shared" si="100"/>
        <v>1</v>
      </c>
      <c r="G1171" s="27" t="s">
        <v>1248</v>
      </c>
      <c r="H1171" s="28" t="s">
        <v>118</v>
      </c>
      <c r="I1171" s="158"/>
      <c r="J1171" s="30">
        <v>287.10000000000002</v>
      </c>
      <c r="K1171" s="30">
        <v>417.2</v>
      </c>
      <c r="L1171" s="30">
        <f t="shared" si="99"/>
        <v>287.10000000000002</v>
      </c>
      <c r="M1171" s="30">
        <f t="shared" si="99"/>
        <v>417.2</v>
      </c>
      <c r="N1171" s="30">
        <f>ROUND('Смета ЕР (общ) '!$I1171*'Смета ЕР (общ) '!$L1171,2)</f>
        <v>0</v>
      </c>
      <c r="O1171" s="30">
        <f>ROUND('Смета ЕР (общ) '!$I1171*'Смета ЕР (общ) '!$M1171,2)</f>
        <v>0</v>
      </c>
      <c r="P1171" s="45"/>
    </row>
    <row r="1172" spans="1:16" ht="34.5" hidden="1" customHeight="1" x14ac:dyDescent="0.3">
      <c r="A1172" s="26" t="s">
        <v>1170</v>
      </c>
      <c r="B1172" s="26">
        <v>2</v>
      </c>
      <c r="C1172" s="26"/>
      <c r="D1172" s="26">
        <v>54</v>
      </c>
      <c r="E1172" s="26" t="str">
        <f>CONCATENATE('Смета ЕР (общ) '!$A1172,".",'Смета ЕР (общ) '!$B1172,".",'Смета ЕР (общ) '!$D1172)</f>
        <v>Р9.2.54</v>
      </c>
      <c r="F1172" s="26">
        <f t="shared" si="100"/>
        <v>1</v>
      </c>
      <c r="G1172" s="27" t="s">
        <v>1249</v>
      </c>
      <c r="H1172" s="28" t="s">
        <v>118</v>
      </c>
      <c r="I1172" s="158"/>
      <c r="J1172" s="30">
        <v>287.10000000000002</v>
      </c>
      <c r="K1172" s="30">
        <v>434.49</v>
      </c>
      <c r="L1172" s="30">
        <f t="shared" ref="L1172:M1235" si="101">ROUND(J1172-J1172*$Q$3,2)</f>
        <v>287.10000000000002</v>
      </c>
      <c r="M1172" s="30">
        <f t="shared" si="101"/>
        <v>434.49</v>
      </c>
      <c r="N1172" s="30">
        <f>ROUND('Смета ЕР (общ) '!$I1172*'Смета ЕР (общ) '!$L1172,2)</f>
        <v>0</v>
      </c>
      <c r="O1172" s="30">
        <f>ROUND('Смета ЕР (общ) '!$I1172*'Смета ЕР (общ) '!$M1172,2)</f>
        <v>0</v>
      </c>
      <c r="P1172" s="45"/>
    </row>
    <row r="1173" spans="1:16" ht="34.5" hidden="1" customHeight="1" x14ac:dyDescent="0.3">
      <c r="A1173" s="26" t="s">
        <v>1170</v>
      </c>
      <c r="B1173" s="26">
        <v>2</v>
      </c>
      <c r="C1173" s="26"/>
      <c r="D1173" s="26">
        <v>55</v>
      </c>
      <c r="E1173" s="26" t="str">
        <f>CONCATENATE('Смета ЕР (общ) '!$A1173,".",'Смета ЕР (общ) '!$B1173,".",'Смета ЕР (общ) '!$D1173)</f>
        <v>Р9.2.55</v>
      </c>
      <c r="F1173" s="26">
        <f t="shared" ref="F1173:F1236" si="102">IF(I1173&gt;0,F1172+1,F1172)</f>
        <v>1</v>
      </c>
      <c r="G1173" s="27" t="s">
        <v>1250</v>
      </c>
      <c r="H1173" s="28" t="s">
        <v>118</v>
      </c>
      <c r="I1173" s="158"/>
      <c r="J1173" s="30">
        <v>287.10000000000002</v>
      </c>
      <c r="K1173" s="30">
        <v>411.83</v>
      </c>
      <c r="L1173" s="30">
        <f t="shared" si="101"/>
        <v>287.10000000000002</v>
      </c>
      <c r="M1173" s="30">
        <f t="shared" si="101"/>
        <v>411.83</v>
      </c>
      <c r="N1173" s="30">
        <f>ROUND('Смета ЕР (общ) '!$I1173*'Смета ЕР (общ) '!$L1173,2)</f>
        <v>0</v>
      </c>
      <c r="O1173" s="30">
        <f>ROUND('Смета ЕР (общ) '!$I1173*'Смета ЕР (общ) '!$M1173,2)</f>
        <v>0</v>
      </c>
      <c r="P1173" s="45"/>
    </row>
    <row r="1174" spans="1:16" ht="34.5" hidden="1" customHeight="1" x14ac:dyDescent="0.3">
      <c r="A1174" s="26" t="s">
        <v>1170</v>
      </c>
      <c r="B1174" s="26">
        <v>2</v>
      </c>
      <c r="C1174" s="26"/>
      <c r="D1174" s="26">
        <v>56</v>
      </c>
      <c r="E1174" s="26" t="str">
        <f>CONCATENATE('Смета ЕР (общ) '!$A1174,".",'Смета ЕР (общ) '!$B1174,".",'Смета ЕР (общ) '!$D1174)</f>
        <v>Р9.2.56</v>
      </c>
      <c r="F1174" s="26">
        <f t="shared" si="102"/>
        <v>1</v>
      </c>
      <c r="G1174" s="27" t="s">
        <v>1251</v>
      </c>
      <c r="H1174" s="28" t="s">
        <v>118</v>
      </c>
      <c r="I1174" s="158"/>
      <c r="J1174" s="30">
        <v>438.48</v>
      </c>
      <c r="K1174" s="30">
        <v>500.47</v>
      </c>
      <c r="L1174" s="30">
        <f t="shared" si="101"/>
        <v>438.48</v>
      </c>
      <c r="M1174" s="30">
        <f t="shared" si="101"/>
        <v>500.47</v>
      </c>
      <c r="N1174" s="30">
        <f>ROUND('Смета ЕР (общ) '!$I1174*'Смета ЕР (общ) '!$L1174,2)</f>
        <v>0</v>
      </c>
      <c r="O1174" s="30">
        <f>ROUND('Смета ЕР (общ) '!$I1174*'Смета ЕР (общ) '!$M1174,2)</f>
        <v>0</v>
      </c>
      <c r="P1174" s="45"/>
    </row>
    <row r="1175" spans="1:16" ht="34.5" hidden="1" customHeight="1" x14ac:dyDescent="0.3">
      <c r="A1175" s="26" t="s">
        <v>1170</v>
      </c>
      <c r="B1175" s="26">
        <v>2</v>
      </c>
      <c r="C1175" s="26"/>
      <c r="D1175" s="26">
        <v>57</v>
      </c>
      <c r="E1175" s="26" t="str">
        <f>CONCATENATE('Смета ЕР (общ) '!$A1175,".",'Смета ЕР (общ) '!$B1175,".",'Смета ЕР (общ) '!$D1175)</f>
        <v>Р9.2.57</v>
      </c>
      <c r="F1175" s="26">
        <f t="shared" si="102"/>
        <v>1</v>
      </c>
      <c r="G1175" s="27" t="s">
        <v>1252</v>
      </c>
      <c r="H1175" s="28" t="s">
        <v>118</v>
      </c>
      <c r="I1175" s="158"/>
      <c r="J1175" s="30">
        <v>438.48</v>
      </c>
      <c r="K1175" s="30">
        <v>496.56</v>
      </c>
      <c r="L1175" s="30">
        <f t="shared" si="101"/>
        <v>438.48</v>
      </c>
      <c r="M1175" s="30">
        <f t="shared" si="101"/>
        <v>496.56</v>
      </c>
      <c r="N1175" s="30">
        <f>ROUND('Смета ЕР (общ) '!$I1175*'Смета ЕР (общ) '!$L1175,2)</f>
        <v>0</v>
      </c>
      <c r="O1175" s="30">
        <f>ROUND('Смета ЕР (общ) '!$I1175*'Смета ЕР (общ) '!$M1175,2)</f>
        <v>0</v>
      </c>
      <c r="P1175" s="45"/>
    </row>
    <row r="1176" spans="1:16" ht="34.5" hidden="1" customHeight="1" x14ac:dyDescent="0.3">
      <c r="A1176" s="26" t="s">
        <v>1170</v>
      </c>
      <c r="B1176" s="26">
        <v>2</v>
      </c>
      <c r="C1176" s="26"/>
      <c r="D1176" s="26">
        <v>58</v>
      </c>
      <c r="E1176" s="26" t="str">
        <f>CONCATENATE('Смета ЕР (общ) '!$A1176,".",'Смета ЕР (общ) '!$B1176,".",'Смета ЕР (общ) '!$D1176)</f>
        <v>Р9.2.58</v>
      </c>
      <c r="F1176" s="26">
        <f t="shared" si="102"/>
        <v>1</v>
      </c>
      <c r="G1176" s="27" t="s">
        <v>1253</v>
      </c>
      <c r="H1176" s="28" t="s">
        <v>118</v>
      </c>
      <c r="I1176" s="158"/>
      <c r="J1176" s="30">
        <v>449.79</v>
      </c>
      <c r="K1176" s="30">
        <v>825.14</v>
      </c>
      <c r="L1176" s="30">
        <f t="shared" si="101"/>
        <v>449.79</v>
      </c>
      <c r="M1176" s="30">
        <f t="shared" si="101"/>
        <v>825.14</v>
      </c>
      <c r="N1176" s="30">
        <f>ROUND('Смета ЕР (общ) '!$I1176*'Смета ЕР (общ) '!$L1176,2)</f>
        <v>0</v>
      </c>
      <c r="O1176" s="30">
        <f>ROUND('Смета ЕР (общ) '!$I1176*'Смета ЕР (общ) '!$M1176,2)</f>
        <v>0</v>
      </c>
      <c r="P1176" s="45"/>
    </row>
    <row r="1177" spans="1:16" ht="34.5" hidden="1" customHeight="1" x14ac:dyDescent="0.3">
      <c r="A1177" s="26" t="s">
        <v>1170</v>
      </c>
      <c r="B1177" s="26">
        <v>2</v>
      </c>
      <c r="C1177" s="26"/>
      <c r="D1177" s="26">
        <v>59</v>
      </c>
      <c r="E1177" s="26" t="str">
        <f>CONCATENATE('Смета ЕР (общ) '!$A1177,".",'Смета ЕР (общ) '!$B1177,".",'Смета ЕР (общ) '!$D1177)</f>
        <v>Р9.2.59</v>
      </c>
      <c r="F1177" s="26">
        <f t="shared" si="102"/>
        <v>1</v>
      </c>
      <c r="G1177" s="27" t="s">
        <v>1254</v>
      </c>
      <c r="H1177" s="28" t="s">
        <v>118</v>
      </c>
      <c r="I1177" s="158"/>
      <c r="J1177" s="30">
        <v>577.62</v>
      </c>
      <c r="K1177" s="30">
        <v>2419.61</v>
      </c>
      <c r="L1177" s="30">
        <f t="shared" si="101"/>
        <v>577.62</v>
      </c>
      <c r="M1177" s="30">
        <f t="shared" si="101"/>
        <v>2419.61</v>
      </c>
      <c r="N1177" s="30">
        <f>ROUND('Смета ЕР (общ) '!$I1177*'Смета ЕР (общ) '!$L1177,2)</f>
        <v>0</v>
      </c>
      <c r="O1177" s="30">
        <f>ROUND('Смета ЕР (общ) '!$I1177*'Смета ЕР (общ) '!$M1177,2)</f>
        <v>0</v>
      </c>
      <c r="P1177" s="45"/>
    </row>
    <row r="1178" spans="1:16" ht="34.5" hidden="1" customHeight="1" x14ac:dyDescent="0.3">
      <c r="A1178" s="26" t="s">
        <v>1170</v>
      </c>
      <c r="B1178" s="26">
        <v>2</v>
      </c>
      <c r="C1178" s="26"/>
      <c r="D1178" s="26">
        <v>60</v>
      </c>
      <c r="E1178" s="26" t="str">
        <f>CONCATENATE('Смета ЕР (общ) '!$A1178,".",'Смета ЕР (общ) '!$B1178,".",'Смета ЕР (общ) '!$D1178)</f>
        <v>Р9.2.60</v>
      </c>
      <c r="F1178" s="26">
        <f t="shared" si="102"/>
        <v>1</v>
      </c>
      <c r="G1178" s="27" t="s">
        <v>1255</v>
      </c>
      <c r="H1178" s="28" t="s">
        <v>118</v>
      </c>
      <c r="I1178" s="158"/>
      <c r="J1178" s="30">
        <v>577.62</v>
      </c>
      <c r="K1178" s="30">
        <v>2286.33</v>
      </c>
      <c r="L1178" s="30">
        <f t="shared" si="101"/>
        <v>577.62</v>
      </c>
      <c r="M1178" s="30">
        <f t="shared" si="101"/>
        <v>2286.33</v>
      </c>
      <c r="N1178" s="30">
        <f>ROUND('Смета ЕР (общ) '!$I1178*'Смета ЕР (общ) '!$L1178,2)</f>
        <v>0</v>
      </c>
      <c r="O1178" s="30">
        <f>ROUND('Смета ЕР (общ) '!$I1178*'Смета ЕР (общ) '!$M1178,2)</f>
        <v>0</v>
      </c>
      <c r="P1178" s="45"/>
    </row>
    <row r="1179" spans="1:16" ht="34.5" hidden="1" customHeight="1" x14ac:dyDescent="0.3">
      <c r="A1179" s="26" t="s">
        <v>1170</v>
      </c>
      <c r="B1179" s="26">
        <v>2</v>
      </c>
      <c r="C1179" s="26"/>
      <c r="D1179" s="26">
        <v>61</v>
      </c>
      <c r="E1179" s="26" t="str">
        <f>CONCATENATE('Смета ЕР (общ) '!$A1179,".",'Смета ЕР (общ) '!$B1179,".",'Смета ЕР (общ) '!$D1179)</f>
        <v>Р9.2.61</v>
      </c>
      <c r="F1179" s="26">
        <f t="shared" si="102"/>
        <v>1</v>
      </c>
      <c r="G1179" s="27" t="s">
        <v>1256</v>
      </c>
      <c r="H1179" s="28" t="s">
        <v>118</v>
      </c>
      <c r="I1179" s="158"/>
      <c r="J1179" s="30">
        <v>577.62</v>
      </c>
      <c r="K1179" s="30">
        <v>2157.0700000000002</v>
      </c>
      <c r="L1179" s="30">
        <f t="shared" si="101"/>
        <v>577.62</v>
      </c>
      <c r="M1179" s="30">
        <f t="shared" si="101"/>
        <v>2157.0700000000002</v>
      </c>
      <c r="N1179" s="30">
        <f>ROUND('Смета ЕР (общ) '!$I1179*'Смета ЕР (общ) '!$L1179,2)</f>
        <v>0</v>
      </c>
      <c r="O1179" s="30">
        <f>ROUND('Смета ЕР (общ) '!$I1179*'Смета ЕР (общ) '!$M1179,2)</f>
        <v>0</v>
      </c>
      <c r="P1179" s="45"/>
    </row>
    <row r="1180" spans="1:16" ht="34.5" hidden="1" customHeight="1" x14ac:dyDescent="0.3">
      <c r="A1180" s="26" t="s">
        <v>1170</v>
      </c>
      <c r="B1180" s="26">
        <v>2</v>
      </c>
      <c r="C1180" s="26"/>
      <c r="D1180" s="26">
        <v>62</v>
      </c>
      <c r="E1180" s="26" t="str">
        <f>CONCATENATE('Смета ЕР (общ) '!$A1180,".",'Смета ЕР (общ) '!$B1180,".",'Смета ЕР (общ) '!$D1180)</f>
        <v>Р9.2.62</v>
      </c>
      <c r="F1180" s="26">
        <f t="shared" si="102"/>
        <v>1</v>
      </c>
      <c r="G1180" s="27" t="s">
        <v>1257</v>
      </c>
      <c r="H1180" s="28" t="s">
        <v>118</v>
      </c>
      <c r="I1180" s="158"/>
      <c r="J1180" s="30">
        <v>577.62</v>
      </c>
      <c r="K1180" s="30">
        <v>2736.59</v>
      </c>
      <c r="L1180" s="30">
        <f t="shared" si="101"/>
        <v>577.62</v>
      </c>
      <c r="M1180" s="30">
        <f t="shared" si="101"/>
        <v>2736.59</v>
      </c>
      <c r="N1180" s="30">
        <f>ROUND('Смета ЕР (общ) '!$I1180*'Смета ЕР (общ) '!$L1180,2)</f>
        <v>0</v>
      </c>
      <c r="O1180" s="30">
        <f>ROUND('Смета ЕР (общ) '!$I1180*'Смета ЕР (общ) '!$M1180,2)</f>
        <v>0</v>
      </c>
      <c r="P1180" s="45"/>
    </row>
    <row r="1181" spans="1:16" ht="34.5" hidden="1" customHeight="1" x14ac:dyDescent="0.3">
      <c r="A1181" s="26" t="s">
        <v>1170</v>
      </c>
      <c r="B1181" s="26">
        <v>2</v>
      </c>
      <c r="C1181" s="26"/>
      <c r="D1181" s="26">
        <v>63</v>
      </c>
      <c r="E1181" s="26" t="str">
        <f>CONCATENATE('Смета ЕР (общ) '!$A1181,".",'Смета ЕР (общ) '!$B1181,".",'Смета ЕР (общ) '!$D1181)</f>
        <v>Р9.2.63</v>
      </c>
      <c r="F1181" s="26">
        <f t="shared" si="102"/>
        <v>1</v>
      </c>
      <c r="G1181" s="27" t="s">
        <v>1258</v>
      </c>
      <c r="H1181" s="28" t="s">
        <v>118</v>
      </c>
      <c r="I1181" s="158"/>
      <c r="J1181" s="30">
        <v>577.62</v>
      </c>
      <c r="K1181" s="30">
        <v>2763.87</v>
      </c>
      <c r="L1181" s="30">
        <f t="shared" si="101"/>
        <v>577.62</v>
      </c>
      <c r="M1181" s="30">
        <f t="shared" si="101"/>
        <v>2763.87</v>
      </c>
      <c r="N1181" s="30">
        <f>ROUND('Смета ЕР (общ) '!$I1181*'Смета ЕР (общ) '!$L1181,2)</f>
        <v>0</v>
      </c>
      <c r="O1181" s="30">
        <f>ROUND('Смета ЕР (общ) '!$I1181*'Смета ЕР (общ) '!$M1181,2)</f>
        <v>0</v>
      </c>
      <c r="P1181" s="45"/>
    </row>
    <row r="1182" spans="1:16" ht="34.5" hidden="1" customHeight="1" x14ac:dyDescent="0.3">
      <c r="A1182" s="26" t="s">
        <v>1170</v>
      </c>
      <c r="B1182" s="26">
        <v>2</v>
      </c>
      <c r="C1182" s="26"/>
      <c r="D1182" s="26">
        <v>64</v>
      </c>
      <c r="E1182" s="26" t="str">
        <f>CONCATENATE('Смета ЕР (общ) '!$A1182,".",'Смета ЕР (общ) '!$B1182,".",'Смета ЕР (общ) '!$D1182)</f>
        <v>Р9.2.64</v>
      </c>
      <c r="F1182" s="26">
        <f t="shared" si="102"/>
        <v>1</v>
      </c>
      <c r="G1182" s="27" t="s">
        <v>1259</v>
      </c>
      <c r="H1182" s="28" t="s">
        <v>118</v>
      </c>
      <c r="I1182" s="158"/>
      <c r="J1182" s="30">
        <v>636.41</v>
      </c>
      <c r="K1182" s="30">
        <v>2930.88</v>
      </c>
      <c r="L1182" s="30">
        <f t="shared" si="101"/>
        <v>636.41</v>
      </c>
      <c r="M1182" s="30">
        <f t="shared" si="101"/>
        <v>2930.88</v>
      </c>
      <c r="N1182" s="30">
        <f>ROUND('Смета ЕР (общ) '!$I1182*'Смета ЕР (общ) '!$L1182,2)</f>
        <v>0</v>
      </c>
      <c r="O1182" s="30">
        <f>ROUND('Смета ЕР (общ) '!$I1182*'Смета ЕР (общ) '!$M1182,2)</f>
        <v>0</v>
      </c>
      <c r="P1182" s="45"/>
    </row>
    <row r="1183" spans="1:16" ht="34.5" hidden="1" customHeight="1" x14ac:dyDescent="0.3">
      <c r="A1183" s="26" t="s">
        <v>1170</v>
      </c>
      <c r="B1183" s="26">
        <v>2</v>
      </c>
      <c r="C1183" s="26"/>
      <c r="D1183" s="26">
        <v>65</v>
      </c>
      <c r="E1183" s="26" t="str">
        <f>CONCATENATE('Смета ЕР (общ) '!$A1183,".",'Смета ЕР (общ) '!$B1183,".",'Смета ЕР (общ) '!$D1183)</f>
        <v>Р9.2.65</v>
      </c>
      <c r="F1183" s="26">
        <f t="shared" si="102"/>
        <v>1</v>
      </c>
      <c r="G1183" s="27" t="s">
        <v>1260</v>
      </c>
      <c r="H1183" s="28" t="s">
        <v>118</v>
      </c>
      <c r="I1183" s="158"/>
      <c r="J1183" s="30">
        <v>636.41</v>
      </c>
      <c r="K1183" s="30">
        <v>2876.49</v>
      </c>
      <c r="L1183" s="30">
        <f t="shared" si="101"/>
        <v>636.41</v>
      </c>
      <c r="M1183" s="30">
        <f t="shared" si="101"/>
        <v>2876.49</v>
      </c>
      <c r="N1183" s="30">
        <f>ROUND('Смета ЕР (общ) '!$I1183*'Смета ЕР (общ) '!$L1183,2)</f>
        <v>0</v>
      </c>
      <c r="O1183" s="30">
        <f>ROUND('Смета ЕР (общ) '!$I1183*'Смета ЕР (общ) '!$M1183,2)</f>
        <v>0</v>
      </c>
      <c r="P1183" s="45"/>
    </row>
    <row r="1184" spans="1:16" ht="34.5" hidden="1" customHeight="1" x14ac:dyDescent="0.3">
      <c r="A1184" s="26" t="s">
        <v>1170</v>
      </c>
      <c r="B1184" s="26">
        <v>2</v>
      </c>
      <c r="C1184" s="26"/>
      <c r="D1184" s="26">
        <v>66</v>
      </c>
      <c r="E1184" s="26" t="str">
        <f>CONCATENATE('Смета ЕР (общ) '!$A1184,".",'Смета ЕР (общ) '!$B1184,".",'Смета ЕР (общ) '!$D1184)</f>
        <v>Р9.2.66</v>
      </c>
      <c r="F1184" s="26">
        <f t="shared" si="102"/>
        <v>1</v>
      </c>
      <c r="G1184" s="27" t="s">
        <v>1261</v>
      </c>
      <c r="H1184" s="28" t="s">
        <v>118</v>
      </c>
      <c r="I1184" s="158"/>
      <c r="J1184" s="30">
        <v>787.67</v>
      </c>
      <c r="K1184" s="30">
        <v>3663.55</v>
      </c>
      <c r="L1184" s="30">
        <f t="shared" si="101"/>
        <v>787.67</v>
      </c>
      <c r="M1184" s="30">
        <f t="shared" si="101"/>
        <v>3663.55</v>
      </c>
      <c r="N1184" s="30">
        <f>ROUND('Смета ЕР (общ) '!$I1184*'Смета ЕР (общ) '!$L1184,2)</f>
        <v>0</v>
      </c>
      <c r="O1184" s="30">
        <f>ROUND('Смета ЕР (общ) '!$I1184*'Смета ЕР (общ) '!$M1184,2)</f>
        <v>0</v>
      </c>
      <c r="P1184" s="45"/>
    </row>
    <row r="1185" spans="1:16" ht="34.5" hidden="1" customHeight="1" x14ac:dyDescent="0.3">
      <c r="A1185" s="26" t="s">
        <v>1170</v>
      </c>
      <c r="B1185" s="26">
        <v>2</v>
      </c>
      <c r="C1185" s="26"/>
      <c r="D1185" s="26">
        <v>67</v>
      </c>
      <c r="E1185" s="26" t="str">
        <f>CONCATENATE('Смета ЕР (общ) '!$A1185,".",'Смета ЕР (общ) '!$B1185,".",'Смета ЕР (общ) '!$D1185)</f>
        <v>Р9.2.67</v>
      </c>
      <c r="F1185" s="26">
        <f t="shared" si="102"/>
        <v>1</v>
      </c>
      <c r="G1185" s="27" t="s">
        <v>1262</v>
      </c>
      <c r="H1185" s="28" t="s">
        <v>118</v>
      </c>
      <c r="I1185" s="158"/>
      <c r="J1185" s="30">
        <v>577.62</v>
      </c>
      <c r="K1185" s="30">
        <v>2422.39</v>
      </c>
      <c r="L1185" s="30">
        <f t="shared" si="101"/>
        <v>577.62</v>
      </c>
      <c r="M1185" s="30">
        <f t="shared" si="101"/>
        <v>2422.39</v>
      </c>
      <c r="N1185" s="30">
        <f>ROUND('Смета ЕР (общ) '!$I1185*'Смета ЕР (общ) '!$L1185,2)</f>
        <v>0</v>
      </c>
      <c r="O1185" s="30">
        <f>ROUND('Смета ЕР (общ) '!$I1185*'Смета ЕР (общ) '!$M1185,2)</f>
        <v>0</v>
      </c>
      <c r="P1185" s="45"/>
    </row>
    <row r="1186" spans="1:16" ht="34.5" hidden="1" customHeight="1" x14ac:dyDescent="0.3">
      <c r="A1186" s="26" t="s">
        <v>1170</v>
      </c>
      <c r="B1186" s="26">
        <v>2</v>
      </c>
      <c r="C1186" s="26"/>
      <c r="D1186" s="26">
        <v>68</v>
      </c>
      <c r="E1186" s="26" t="str">
        <f>CONCATENATE('Смета ЕР (общ) '!$A1186,".",'Смета ЕР (общ) '!$B1186,".",'Смета ЕР (общ) '!$D1186)</f>
        <v>Р9.2.68</v>
      </c>
      <c r="F1186" s="26">
        <f t="shared" si="102"/>
        <v>1</v>
      </c>
      <c r="G1186" s="27" t="s">
        <v>1263</v>
      </c>
      <c r="H1186" s="28" t="s">
        <v>118</v>
      </c>
      <c r="I1186" s="158"/>
      <c r="J1186" s="30">
        <v>577.62</v>
      </c>
      <c r="K1186" s="30">
        <v>2279.1999999999998</v>
      </c>
      <c r="L1186" s="30">
        <f t="shared" si="101"/>
        <v>577.62</v>
      </c>
      <c r="M1186" s="30">
        <f t="shared" si="101"/>
        <v>2279.1999999999998</v>
      </c>
      <c r="N1186" s="30">
        <f>ROUND('Смета ЕР (общ) '!$I1186*'Смета ЕР (общ) '!$L1186,2)</f>
        <v>0</v>
      </c>
      <c r="O1186" s="30">
        <f>ROUND('Смета ЕР (общ) '!$I1186*'Смета ЕР (общ) '!$M1186,2)</f>
        <v>0</v>
      </c>
      <c r="P1186" s="45"/>
    </row>
    <row r="1187" spans="1:16" ht="34.5" hidden="1" customHeight="1" x14ac:dyDescent="0.3">
      <c r="A1187" s="26" t="s">
        <v>1170</v>
      </c>
      <c r="B1187" s="26">
        <v>2</v>
      </c>
      <c r="C1187" s="26"/>
      <c r="D1187" s="26">
        <v>69</v>
      </c>
      <c r="E1187" s="26" t="str">
        <f>CONCATENATE('Смета ЕР (общ) '!$A1187,".",'Смета ЕР (общ) '!$B1187,".",'Смета ЕР (общ) '!$D1187)</f>
        <v>Р9.2.69</v>
      </c>
      <c r="F1187" s="26">
        <f t="shared" si="102"/>
        <v>1</v>
      </c>
      <c r="G1187" s="27" t="s">
        <v>1264</v>
      </c>
      <c r="H1187" s="28" t="s">
        <v>118</v>
      </c>
      <c r="I1187" s="158"/>
      <c r="J1187" s="30">
        <v>577.62</v>
      </c>
      <c r="K1187" s="30">
        <v>2106.2800000000002</v>
      </c>
      <c r="L1187" s="30">
        <f t="shared" si="101"/>
        <v>577.62</v>
      </c>
      <c r="M1187" s="30">
        <f t="shared" si="101"/>
        <v>2106.2800000000002</v>
      </c>
      <c r="N1187" s="30">
        <f>ROUND('Смета ЕР (общ) '!$I1187*'Смета ЕР (общ) '!$L1187,2)</f>
        <v>0</v>
      </c>
      <c r="O1187" s="30">
        <f>ROUND('Смета ЕР (общ) '!$I1187*'Смета ЕР (общ) '!$M1187,2)</f>
        <v>0</v>
      </c>
      <c r="P1187" s="45"/>
    </row>
    <row r="1188" spans="1:16" ht="34.5" hidden="1" customHeight="1" x14ac:dyDescent="0.3">
      <c r="A1188" s="26" t="s">
        <v>1170</v>
      </c>
      <c r="B1188" s="26">
        <v>2</v>
      </c>
      <c r="C1188" s="26"/>
      <c r="D1188" s="26">
        <v>70</v>
      </c>
      <c r="E1188" s="26" t="str">
        <f>CONCATENATE('Смета ЕР (общ) '!$A1188,".",'Смета ЕР (общ) '!$B1188,".",'Смета ЕР (общ) '!$D1188)</f>
        <v>Р9.2.70</v>
      </c>
      <c r="F1188" s="26">
        <f t="shared" si="102"/>
        <v>1</v>
      </c>
      <c r="G1188" s="27" t="s">
        <v>1265</v>
      </c>
      <c r="H1188" s="28" t="s">
        <v>118</v>
      </c>
      <c r="I1188" s="158"/>
      <c r="J1188" s="30">
        <v>577.62</v>
      </c>
      <c r="K1188" s="30">
        <v>2785.52</v>
      </c>
      <c r="L1188" s="30">
        <f t="shared" si="101"/>
        <v>577.62</v>
      </c>
      <c r="M1188" s="30">
        <f t="shared" si="101"/>
        <v>2785.52</v>
      </c>
      <c r="N1188" s="30">
        <f>ROUND('Смета ЕР (общ) '!$I1188*'Смета ЕР (общ) '!$L1188,2)</f>
        <v>0</v>
      </c>
      <c r="O1188" s="30">
        <f>ROUND('Смета ЕР (общ) '!$I1188*'Смета ЕР (общ) '!$M1188,2)</f>
        <v>0</v>
      </c>
      <c r="P1188" s="45"/>
    </row>
    <row r="1189" spans="1:16" ht="34.5" hidden="1" customHeight="1" x14ac:dyDescent="0.3">
      <c r="A1189" s="26" t="s">
        <v>1170</v>
      </c>
      <c r="B1189" s="26">
        <v>2</v>
      </c>
      <c r="C1189" s="26"/>
      <c r="D1189" s="26">
        <v>71</v>
      </c>
      <c r="E1189" s="26" t="str">
        <f>CONCATENATE('Смета ЕР (общ) '!$A1189,".",'Смета ЕР (общ) '!$B1189,".",'Смета ЕР (общ) '!$D1189)</f>
        <v>Р9.2.71</v>
      </c>
      <c r="F1189" s="26">
        <f t="shared" si="102"/>
        <v>1</v>
      </c>
      <c r="G1189" s="27" t="s">
        <v>1266</v>
      </c>
      <c r="H1189" s="28" t="s">
        <v>118</v>
      </c>
      <c r="I1189" s="158"/>
      <c r="J1189" s="30">
        <v>577.62</v>
      </c>
      <c r="K1189" s="30">
        <v>2681.79</v>
      </c>
      <c r="L1189" s="30">
        <f t="shared" si="101"/>
        <v>577.62</v>
      </c>
      <c r="M1189" s="30">
        <f t="shared" si="101"/>
        <v>2681.79</v>
      </c>
      <c r="N1189" s="30">
        <f>ROUND('Смета ЕР (общ) '!$I1189*'Смета ЕР (общ) '!$L1189,2)</f>
        <v>0</v>
      </c>
      <c r="O1189" s="30">
        <f>ROUND('Смета ЕР (общ) '!$I1189*'Смета ЕР (общ) '!$M1189,2)</f>
        <v>0</v>
      </c>
      <c r="P1189" s="45"/>
    </row>
    <row r="1190" spans="1:16" ht="34.5" hidden="1" customHeight="1" x14ac:dyDescent="0.3">
      <c r="A1190" s="26" t="s">
        <v>1170</v>
      </c>
      <c r="B1190" s="26">
        <v>2</v>
      </c>
      <c r="C1190" s="26"/>
      <c r="D1190" s="26">
        <v>72</v>
      </c>
      <c r="E1190" s="26" t="str">
        <f>CONCATENATE('Смета ЕР (общ) '!$A1190,".",'Смета ЕР (общ) '!$B1190,".",'Смета ЕР (общ) '!$D1190)</f>
        <v>Р9.2.72</v>
      </c>
      <c r="F1190" s="26">
        <f t="shared" si="102"/>
        <v>1</v>
      </c>
      <c r="G1190" s="27" t="s">
        <v>1267</v>
      </c>
      <c r="H1190" s="28" t="s">
        <v>118</v>
      </c>
      <c r="I1190" s="158"/>
      <c r="J1190" s="30">
        <v>636.41</v>
      </c>
      <c r="K1190" s="30">
        <v>2986.7</v>
      </c>
      <c r="L1190" s="30">
        <f t="shared" si="101"/>
        <v>636.41</v>
      </c>
      <c r="M1190" s="30">
        <f t="shared" si="101"/>
        <v>2986.7</v>
      </c>
      <c r="N1190" s="30">
        <f>ROUND('Смета ЕР (общ) '!$I1190*'Смета ЕР (общ) '!$L1190,2)</f>
        <v>0</v>
      </c>
      <c r="O1190" s="30">
        <f>ROUND('Смета ЕР (общ) '!$I1190*'Смета ЕР (общ) '!$M1190,2)</f>
        <v>0</v>
      </c>
      <c r="P1190" s="45"/>
    </row>
    <row r="1191" spans="1:16" ht="34.5" hidden="1" customHeight="1" x14ac:dyDescent="0.3">
      <c r="A1191" s="26" t="s">
        <v>1170</v>
      </c>
      <c r="B1191" s="26">
        <v>2</v>
      </c>
      <c r="C1191" s="26"/>
      <c r="D1191" s="26">
        <v>73</v>
      </c>
      <c r="E1191" s="26" t="str">
        <f>CONCATENATE('Смета ЕР (общ) '!$A1191,".",'Смета ЕР (общ) '!$B1191,".",'Смета ЕР (общ) '!$D1191)</f>
        <v>Р9.2.73</v>
      </c>
      <c r="F1191" s="26">
        <f t="shared" si="102"/>
        <v>1</v>
      </c>
      <c r="G1191" s="27" t="s">
        <v>1268</v>
      </c>
      <c r="H1191" s="28" t="s">
        <v>118</v>
      </c>
      <c r="I1191" s="158"/>
      <c r="J1191" s="30">
        <v>636.41</v>
      </c>
      <c r="K1191" s="30">
        <v>2984.6</v>
      </c>
      <c r="L1191" s="30">
        <f t="shared" si="101"/>
        <v>636.41</v>
      </c>
      <c r="M1191" s="30">
        <f t="shared" si="101"/>
        <v>2984.6</v>
      </c>
      <c r="N1191" s="30">
        <f>ROUND('Смета ЕР (общ) '!$I1191*'Смета ЕР (общ) '!$L1191,2)</f>
        <v>0</v>
      </c>
      <c r="O1191" s="30">
        <f>ROUND('Смета ЕР (общ) '!$I1191*'Смета ЕР (общ) '!$M1191,2)</f>
        <v>0</v>
      </c>
      <c r="P1191" s="45"/>
    </row>
    <row r="1192" spans="1:16" ht="34.5" hidden="1" customHeight="1" x14ac:dyDescent="0.3">
      <c r="A1192" s="26" t="s">
        <v>1170</v>
      </c>
      <c r="B1192" s="26">
        <v>2</v>
      </c>
      <c r="C1192" s="26"/>
      <c r="D1192" s="26">
        <v>74</v>
      </c>
      <c r="E1192" s="26" t="str">
        <f>CONCATENATE('Смета ЕР (общ) '!$A1192,".",'Смета ЕР (общ) '!$B1192,".",'Смета ЕР (общ) '!$D1192)</f>
        <v>Р9.2.74</v>
      </c>
      <c r="F1192" s="26">
        <f t="shared" si="102"/>
        <v>1</v>
      </c>
      <c r="G1192" s="27" t="s">
        <v>1269</v>
      </c>
      <c r="H1192" s="28" t="s">
        <v>118</v>
      </c>
      <c r="I1192" s="158"/>
      <c r="J1192" s="30">
        <v>787.67</v>
      </c>
      <c r="K1192" s="30">
        <v>4214.26</v>
      </c>
      <c r="L1192" s="30">
        <f t="shared" si="101"/>
        <v>787.67</v>
      </c>
      <c r="M1192" s="30">
        <f t="shared" si="101"/>
        <v>4214.26</v>
      </c>
      <c r="N1192" s="30">
        <f>ROUND('Смета ЕР (общ) '!$I1192*'Смета ЕР (общ) '!$L1192,2)</f>
        <v>0</v>
      </c>
      <c r="O1192" s="30">
        <f>ROUND('Смета ЕР (общ) '!$I1192*'Смета ЕР (общ) '!$M1192,2)</f>
        <v>0</v>
      </c>
      <c r="P1192" s="45"/>
    </row>
    <row r="1193" spans="1:16" ht="34.5" hidden="1" customHeight="1" x14ac:dyDescent="0.3">
      <c r="A1193" s="26" t="s">
        <v>1170</v>
      </c>
      <c r="B1193" s="26">
        <v>2</v>
      </c>
      <c r="C1193" s="26"/>
      <c r="D1193" s="26">
        <v>75</v>
      </c>
      <c r="E1193" s="26" t="str">
        <f>CONCATENATE('Смета ЕР (общ) '!$A1193,".",'Смета ЕР (общ) '!$B1193,".",'Смета ЕР (общ) '!$D1193)</f>
        <v>Р9.2.75</v>
      </c>
      <c r="F1193" s="26">
        <f t="shared" si="102"/>
        <v>1</v>
      </c>
      <c r="G1193" s="27" t="s">
        <v>1270</v>
      </c>
      <c r="H1193" s="28" t="s">
        <v>118</v>
      </c>
      <c r="I1193" s="158"/>
      <c r="J1193" s="30">
        <v>577.62</v>
      </c>
      <c r="K1193" s="30">
        <v>1133.68</v>
      </c>
      <c r="L1193" s="30">
        <f t="shared" si="101"/>
        <v>577.62</v>
      </c>
      <c r="M1193" s="30">
        <f t="shared" si="101"/>
        <v>1133.68</v>
      </c>
      <c r="N1193" s="30">
        <f>ROUND('Смета ЕР (общ) '!$I1193*'Смета ЕР (общ) '!$L1193,2)</f>
        <v>0</v>
      </c>
      <c r="O1193" s="30">
        <f>ROUND('Смета ЕР (общ) '!$I1193*'Смета ЕР (общ) '!$M1193,2)</f>
        <v>0</v>
      </c>
      <c r="P1193" s="45"/>
    </row>
    <row r="1194" spans="1:16" ht="34.5" hidden="1" customHeight="1" x14ac:dyDescent="0.3">
      <c r="A1194" s="26" t="s">
        <v>1170</v>
      </c>
      <c r="B1194" s="26">
        <v>2</v>
      </c>
      <c r="C1194" s="26"/>
      <c r="D1194" s="26">
        <v>76</v>
      </c>
      <c r="E1194" s="26" t="str">
        <f>CONCATENATE('Смета ЕР (общ) '!$A1194,".",'Смета ЕР (общ) '!$B1194,".",'Смета ЕР (общ) '!$D1194)</f>
        <v>Р9.2.76</v>
      </c>
      <c r="F1194" s="26">
        <f t="shared" si="102"/>
        <v>1</v>
      </c>
      <c r="G1194" s="27" t="s">
        <v>1271</v>
      </c>
      <c r="H1194" s="28" t="s">
        <v>118</v>
      </c>
      <c r="I1194" s="158"/>
      <c r="J1194" s="30">
        <v>577.62</v>
      </c>
      <c r="K1194" s="30">
        <v>963.65</v>
      </c>
      <c r="L1194" s="30">
        <f t="shared" si="101"/>
        <v>577.62</v>
      </c>
      <c r="M1194" s="30">
        <f t="shared" si="101"/>
        <v>963.65</v>
      </c>
      <c r="N1194" s="30">
        <f>ROUND('Смета ЕР (общ) '!$I1194*'Смета ЕР (общ) '!$L1194,2)</f>
        <v>0</v>
      </c>
      <c r="O1194" s="30">
        <f>ROUND('Смета ЕР (общ) '!$I1194*'Смета ЕР (общ) '!$M1194,2)</f>
        <v>0</v>
      </c>
      <c r="P1194" s="45"/>
    </row>
    <row r="1195" spans="1:16" ht="34.5" hidden="1" customHeight="1" x14ac:dyDescent="0.3">
      <c r="A1195" s="26" t="s">
        <v>1170</v>
      </c>
      <c r="B1195" s="26">
        <v>2</v>
      </c>
      <c r="C1195" s="26"/>
      <c r="D1195" s="26">
        <v>77</v>
      </c>
      <c r="E1195" s="26" t="str">
        <f>CONCATENATE('Смета ЕР (общ) '!$A1195,".",'Смета ЕР (общ) '!$B1195,".",'Смета ЕР (общ) '!$D1195)</f>
        <v>Р9.2.77</v>
      </c>
      <c r="F1195" s="26">
        <f t="shared" si="102"/>
        <v>1</v>
      </c>
      <c r="G1195" s="27" t="s">
        <v>1272</v>
      </c>
      <c r="H1195" s="28" t="s">
        <v>118</v>
      </c>
      <c r="I1195" s="158"/>
      <c r="J1195" s="30">
        <v>577.62</v>
      </c>
      <c r="K1195" s="30">
        <v>971.58</v>
      </c>
      <c r="L1195" s="30">
        <f t="shared" si="101"/>
        <v>577.62</v>
      </c>
      <c r="M1195" s="30">
        <f t="shared" si="101"/>
        <v>971.58</v>
      </c>
      <c r="N1195" s="30">
        <f>ROUND('Смета ЕР (общ) '!$I1195*'Смета ЕР (общ) '!$L1195,2)</f>
        <v>0</v>
      </c>
      <c r="O1195" s="30">
        <f>ROUND('Смета ЕР (общ) '!$I1195*'Смета ЕР (общ) '!$M1195,2)</f>
        <v>0</v>
      </c>
      <c r="P1195" s="45"/>
    </row>
    <row r="1196" spans="1:16" ht="34.5" hidden="1" customHeight="1" x14ac:dyDescent="0.3">
      <c r="A1196" s="26" t="s">
        <v>1170</v>
      </c>
      <c r="B1196" s="26">
        <v>2</v>
      </c>
      <c r="C1196" s="26"/>
      <c r="D1196" s="26">
        <v>78</v>
      </c>
      <c r="E1196" s="26" t="str">
        <f>CONCATENATE('Смета ЕР (общ) '!$A1196,".",'Смета ЕР (общ) '!$B1196,".",'Смета ЕР (общ) '!$D1196)</f>
        <v>Р9.2.78</v>
      </c>
      <c r="F1196" s="26">
        <f t="shared" si="102"/>
        <v>1</v>
      </c>
      <c r="G1196" s="27" t="s">
        <v>1273</v>
      </c>
      <c r="H1196" s="28" t="s">
        <v>118</v>
      </c>
      <c r="I1196" s="158"/>
      <c r="J1196" s="30">
        <v>577.62</v>
      </c>
      <c r="K1196" s="30">
        <v>1006.95</v>
      </c>
      <c r="L1196" s="30">
        <f t="shared" si="101"/>
        <v>577.62</v>
      </c>
      <c r="M1196" s="30">
        <f t="shared" si="101"/>
        <v>1006.95</v>
      </c>
      <c r="N1196" s="30">
        <f>ROUND('Смета ЕР (общ) '!$I1196*'Смета ЕР (общ) '!$L1196,2)</f>
        <v>0</v>
      </c>
      <c r="O1196" s="30">
        <f>ROUND('Смета ЕР (общ) '!$I1196*'Смета ЕР (общ) '!$M1196,2)</f>
        <v>0</v>
      </c>
      <c r="P1196" s="45"/>
    </row>
    <row r="1197" spans="1:16" ht="34.5" hidden="1" customHeight="1" x14ac:dyDescent="0.3">
      <c r="A1197" s="26" t="s">
        <v>1170</v>
      </c>
      <c r="B1197" s="26">
        <v>2</v>
      </c>
      <c r="C1197" s="26"/>
      <c r="D1197" s="26">
        <v>79</v>
      </c>
      <c r="E1197" s="26" t="str">
        <f>CONCATENATE('Смета ЕР (общ) '!$A1197,".",'Смета ЕР (общ) '!$B1197,".",'Смета ЕР (общ) '!$D1197)</f>
        <v>Р9.2.79</v>
      </c>
      <c r="F1197" s="26">
        <f t="shared" si="102"/>
        <v>1</v>
      </c>
      <c r="G1197" s="27" t="s">
        <v>1274</v>
      </c>
      <c r="H1197" s="28" t="s">
        <v>118</v>
      </c>
      <c r="I1197" s="158"/>
      <c r="J1197" s="30">
        <v>577.62</v>
      </c>
      <c r="K1197" s="30">
        <v>964.73</v>
      </c>
      <c r="L1197" s="30">
        <f t="shared" si="101"/>
        <v>577.62</v>
      </c>
      <c r="M1197" s="30">
        <f t="shared" si="101"/>
        <v>964.73</v>
      </c>
      <c r="N1197" s="30">
        <f>ROUND('Смета ЕР (общ) '!$I1197*'Смета ЕР (общ) '!$L1197,2)</f>
        <v>0</v>
      </c>
      <c r="O1197" s="30">
        <f>ROUND('Смета ЕР (общ) '!$I1197*'Смета ЕР (общ) '!$M1197,2)</f>
        <v>0</v>
      </c>
      <c r="P1197" s="45"/>
    </row>
    <row r="1198" spans="1:16" ht="34.5" hidden="1" customHeight="1" x14ac:dyDescent="0.3">
      <c r="A1198" s="26" t="s">
        <v>1170</v>
      </c>
      <c r="B1198" s="26">
        <v>2</v>
      </c>
      <c r="C1198" s="26"/>
      <c r="D1198" s="26">
        <v>80</v>
      </c>
      <c r="E1198" s="26" t="str">
        <f>CONCATENATE('Смета ЕР (общ) '!$A1198,".",'Смета ЕР (общ) '!$B1198,".",'Смета ЕР (общ) '!$D1198)</f>
        <v>Р9.2.80</v>
      </c>
      <c r="F1198" s="26">
        <f t="shared" si="102"/>
        <v>1</v>
      </c>
      <c r="G1198" s="27" t="s">
        <v>1275</v>
      </c>
      <c r="H1198" s="28" t="s">
        <v>118</v>
      </c>
      <c r="I1198" s="158"/>
      <c r="J1198" s="30">
        <v>636.41</v>
      </c>
      <c r="K1198" s="30">
        <v>1315.28</v>
      </c>
      <c r="L1198" s="30">
        <f t="shared" si="101"/>
        <v>636.41</v>
      </c>
      <c r="M1198" s="30">
        <f t="shared" si="101"/>
        <v>1315.28</v>
      </c>
      <c r="N1198" s="30">
        <f>ROUND('Смета ЕР (общ) '!$I1198*'Смета ЕР (общ) '!$L1198,2)</f>
        <v>0</v>
      </c>
      <c r="O1198" s="30">
        <f>ROUND('Смета ЕР (общ) '!$I1198*'Смета ЕР (общ) '!$M1198,2)</f>
        <v>0</v>
      </c>
      <c r="P1198" s="45"/>
    </row>
    <row r="1199" spans="1:16" ht="34.5" hidden="1" customHeight="1" x14ac:dyDescent="0.3">
      <c r="A1199" s="26" t="s">
        <v>1170</v>
      </c>
      <c r="B1199" s="26">
        <v>2</v>
      </c>
      <c r="C1199" s="26"/>
      <c r="D1199" s="26">
        <v>81</v>
      </c>
      <c r="E1199" s="26" t="str">
        <f>CONCATENATE('Смета ЕР (общ) '!$A1199,".",'Смета ЕР (общ) '!$B1199,".",'Смета ЕР (общ) '!$D1199)</f>
        <v>Р9.2.81</v>
      </c>
      <c r="F1199" s="26">
        <f t="shared" si="102"/>
        <v>1</v>
      </c>
      <c r="G1199" s="27" t="s">
        <v>1276</v>
      </c>
      <c r="H1199" s="28" t="s">
        <v>118</v>
      </c>
      <c r="I1199" s="158"/>
      <c r="J1199" s="30">
        <v>636.41</v>
      </c>
      <c r="K1199" s="30">
        <v>1300.76</v>
      </c>
      <c r="L1199" s="30">
        <f t="shared" si="101"/>
        <v>636.41</v>
      </c>
      <c r="M1199" s="30">
        <f t="shared" si="101"/>
        <v>1300.76</v>
      </c>
      <c r="N1199" s="30">
        <f>ROUND('Смета ЕР (общ) '!$I1199*'Смета ЕР (общ) '!$L1199,2)</f>
        <v>0</v>
      </c>
      <c r="O1199" s="30">
        <f>ROUND('Смета ЕР (общ) '!$I1199*'Смета ЕР (общ) '!$M1199,2)</f>
        <v>0</v>
      </c>
      <c r="P1199" s="45"/>
    </row>
    <row r="1200" spans="1:16" ht="34.5" hidden="1" customHeight="1" x14ac:dyDescent="0.3">
      <c r="A1200" s="26" t="s">
        <v>1170</v>
      </c>
      <c r="B1200" s="26">
        <v>2</v>
      </c>
      <c r="C1200" s="26"/>
      <c r="D1200" s="26">
        <v>82</v>
      </c>
      <c r="E1200" s="26" t="str">
        <f>CONCATENATE('Смета ЕР (общ) '!$A1200,".",'Смета ЕР (общ) '!$B1200,".",'Смета ЕР (общ) '!$D1200)</f>
        <v>Р9.2.82</v>
      </c>
      <c r="F1200" s="26">
        <f t="shared" si="102"/>
        <v>1</v>
      </c>
      <c r="G1200" s="27" t="s">
        <v>1277</v>
      </c>
      <c r="H1200" s="28" t="s">
        <v>118</v>
      </c>
      <c r="I1200" s="158"/>
      <c r="J1200" s="30">
        <v>787.67</v>
      </c>
      <c r="K1200" s="30">
        <v>1848.98</v>
      </c>
      <c r="L1200" s="30">
        <f t="shared" si="101"/>
        <v>787.67</v>
      </c>
      <c r="M1200" s="30">
        <f t="shared" si="101"/>
        <v>1848.98</v>
      </c>
      <c r="N1200" s="30">
        <f>ROUND('Смета ЕР (общ) '!$I1200*'Смета ЕР (общ) '!$L1200,2)</f>
        <v>0</v>
      </c>
      <c r="O1200" s="30">
        <f>ROUND('Смета ЕР (общ) '!$I1200*'Смета ЕР (общ) '!$M1200,2)</f>
        <v>0</v>
      </c>
      <c r="P1200" s="45"/>
    </row>
    <row r="1201" spans="1:16" ht="34.5" hidden="1" customHeight="1" x14ac:dyDescent="0.3">
      <c r="A1201" s="26" t="s">
        <v>1170</v>
      </c>
      <c r="B1201" s="26">
        <v>2</v>
      </c>
      <c r="C1201" s="26"/>
      <c r="D1201" s="26">
        <v>83</v>
      </c>
      <c r="E1201" s="26" t="str">
        <f>CONCATENATE('Смета ЕР (общ) '!$A1201,".",'Смета ЕР (общ) '!$B1201,".",'Смета ЕР (общ) '!$D1201)</f>
        <v>Р9.2.83</v>
      </c>
      <c r="F1201" s="26">
        <f t="shared" si="102"/>
        <v>1</v>
      </c>
      <c r="G1201" s="27" t="s">
        <v>1278</v>
      </c>
      <c r="H1201" s="28" t="s">
        <v>118</v>
      </c>
      <c r="I1201" s="158"/>
      <c r="J1201" s="30">
        <v>746.46</v>
      </c>
      <c r="K1201" s="30">
        <v>2967.03</v>
      </c>
      <c r="L1201" s="30">
        <f t="shared" si="101"/>
        <v>746.46</v>
      </c>
      <c r="M1201" s="30">
        <f t="shared" si="101"/>
        <v>2967.03</v>
      </c>
      <c r="N1201" s="30">
        <f>ROUND('Смета ЕР (общ) '!$I1201*'Смета ЕР (общ) '!$L1201,2)</f>
        <v>0</v>
      </c>
      <c r="O1201" s="30">
        <f>ROUND('Смета ЕР (общ) '!$I1201*'Смета ЕР (общ) '!$M1201,2)</f>
        <v>0</v>
      </c>
      <c r="P1201" s="45"/>
    </row>
    <row r="1202" spans="1:16" ht="34.5" hidden="1" customHeight="1" x14ac:dyDescent="0.3">
      <c r="A1202" s="26" t="s">
        <v>1170</v>
      </c>
      <c r="B1202" s="26">
        <v>2</v>
      </c>
      <c r="C1202" s="26"/>
      <c r="D1202" s="26">
        <v>84</v>
      </c>
      <c r="E1202" s="26" t="str">
        <f>CONCATENATE('Смета ЕР (общ) '!$A1202,".",'Смета ЕР (общ) '!$B1202,".",'Смета ЕР (общ) '!$D1202)</f>
        <v>Р9.2.84</v>
      </c>
      <c r="F1202" s="26">
        <f t="shared" si="102"/>
        <v>1</v>
      </c>
      <c r="G1202" s="27" t="s">
        <v>1279</v>
      </c>
      <c r="H1202" s="28" t="s">
        <v>118</v>
      </c>
      <c r="I1202" s="158"/>
      <c r="J1202" s="30">
        <v>746.46</v>
      </c>
      <c r="K1202" s="30">
        <v>3592.37</v>
      </c>
      <c r="L1202" s="30">
        <f t="shared" si="101"/>
        <v>746.46</v>
      </c>
      <c r="M1202" s="30">
        <f t="shared" si="101"/>
        <v>3592.37</v>
      </c>
      <c r="N1202" s="30">
        <f>ROUND('Смета ЕР (общ) '!$I1202*'Смета ЕР (общ) '!$L1202,2)</f>
        <v>0</v>
      </c>
      <c r="O1202" s="30">
        <f>ROUND('Смета ЕР (общ) '!$I1202*'Смета ЕР (общ) '!$M1202,2)</f>
        <v>0</v>
      </c>
      <c r="P1202" s="45"/>
    </row>
    <row r="1203" spans="1:16" ht="34.5" hidden="1" customHeight="1" x14ac:dyDescent="0.3">
      <c r="A1203" s="26" t="s">
        <v>1170</v>
      </c>
      <c r="B1203" s="26">
        <v>2</v>
      </c>
      <c r="C1203" s="26"/>
      <c r="D1203" s="26">
        <v>85</v>
      </c>
      <c r="E1203" s="26" t="str">
        <f>CONCATENATE('Смета ЕР (общ) '!$A1203,".",'Смета ЕР (общ) '!$B1203,".",'Смета ЕР (общ) '!$D1203)</f>
        <v>Р9.2.85</v>
      </c>
      <c r="F1203" s="26">
        <f t="shared" si="102"/>
        <v>1</v>
      </c>
      <c r="G1203" s="27" t="s">
        <v>1280</v>
      </c>
      <c r="H1203" s="28" t="s">
        <v>118</v>
      </c>
      <c r="I1203" s="158"/>
      <c r="J1203" s="30">
        <v>791.7</v>
      </c>
      <c r="K1203" s="30">
        <v>3981.3</v>
      </c>
      <c r="L1203" s="30">
        <f t="shared" si="101"/>
        <v>791.7</v>
      </c>
      <c r="M1203" s="30">
        <f t="shared" si="101"/>
        <v>3981.3</v>
      </c>
      <c r="N1203" s="30">
        <f>ROUND('Смета ЕР (общ) '!$I1203*'Смета ЕР (общ) '!$L1203,2)</f>
        <v>0</v>
      </c>
      <c r="O1203" s="30">
        <f>ROUND('Смета ЕР (общ) '!$I1203*'Смета ЕР (общ) '!$M1203,2)</f>
        <v>0</v>
      </c>
      <c r="P1203" s="45"/>
    </row>
    <row r="1204" spans="1:16" ht="34.5" hidden="1" customHeight="1" x14ac:dyDescent="0.3">
      <c r="A1204" s="26" t="s">
        <v>1170</v>
      </c>
      <c r="B1204" s="26">
        <v>2</v>
      </c>
      <c r="C1204" s="26"/>
      <c r="D1204" s="26">
        <v>86</v>
      </c>
      <c r="E1204" s="26" t="str">
        <f>CONCATENATE('Смета ЕР (общ) '!$A1204,".",'Смета ЕР (общ) '!$B1204,".",'Смета ЕР (общ) '!$D1204)</f>
        <v>Р9.2.86</v>
      </c>
      <c r="F1204" s="26">
        <f t="shared" si="102"/>
        <v>1</v>
      </c>
      <c r="G1204" s="27" t="s">
        <v>1281</v>
      </c>
      <c r="H1204" s="28" t="s">
        <v>118</v>
      </c>
      <c r="I1204" s="158"/>
      <c r="J1204" s="30">
        <v>945.21</v>
      </c>
      <c r="K1204" s="30">
        <v>3802.36</v>
      </c>
      <c r="L1204" s="30">
        <f t="shared" si="101"/>
        <v>945.21</v>
      </c>
      <c r="M1204" s="30">
        <f t="shared" si="101"/>
        <v>3802.36</v>
      </c>
      <c r="N1204" s="30">
        <f>ROUND('Смета ЕР (общ) '!$I1204*'Смета ЕР (общ) '!$L1204,2)</f>
        <v>0</v>
      </c>
      <c r="O1204" s="30">
        <f>ROUND('Смета ЕР (общ) '!$I1204*'Смета ЕР (общ) '!$M1204,2)</f>
        <v>0</v>
      </c>
      <c r="P1204" s="45"/>
    </row>
    <row r="1205" spans="1:16" ht="34.5" hidden="1" customHeight="1" x14ac:dyDescent="0.3">
      <c r="A1205" s="26" t="s">
        <v>1170</v>
      </c>
      <c r="B1205" s="26">
        <v>2</v>
      </c>
      <c r="C1205" s="26"/>
      <c r="D1205" s="26">
        <v>87</v>
      </c>
      <c r="E1205" s="26" t="str">
        <f>CONCATENATE('Смета ЕР (общ) '!$A1205,".",'Смета ЕР (общ) '!$B1205,".",'Смета ЕР (общ) '!$D1205)</f>
        <v>Р9.2.87</v>
      </c>
      <c r="F1205" s="26">
        <f t="shared" si="102"/>
        <v>1</v>
      </c>
      <c r="G1205" s="27" t="s">
        <v>1282</v>
      </c>
      <c r="H1205" s="28" t="s">
        <v>118</v>
      </c>
      <c r="I1205" s="158"/>
      <c r="J1205" s="30">
        <v>997.71</v>
      </c>
      <c r="K1205" s="30">
        <v>4136.6099999999997</v>
      </c>
      <c r="L1205" s="30">
        <f t="shared" si="101"/>
        <v>997.71</v>
      </c>
      <c r="M1205" s="30">
        <f t="shared" si="101"/>
        <v>4136.6099999999997</v>
      </c>
      <c r="N1205" s="30">
        <f>ROUND('Смета ЕР (общ) '!$I1205*'Смета ЕР (общ) '!$L1205,2)</f>
        <v>0</v>
      </c>
      <c r="O1205" s="30">
        <f>ROUND('Смета ЕР (общ) '!$I1205*'Смета ЕР (общ) '!$M1205,2)</f>
        <v>0</v>
      </c>
      <c r="P1205" s="45"/>
    </row>
    <row r="1206" spans="1:16" ht="34.5" hidden="1" customHeight="1" x14ac:dyDescent="0.3">
      <c r="A1206" s="26" t="s">
        <v>1170</v>
      </c>
      <c r="B1206" s="26">
        <v>2</v>
      </c>
      <c r="C1206" s="26"/>
      <c r="D1206" s="26">
        <v>88</v>
      </c>
      <c r="E1206" s="26" t="str">
        <f>CONCATENATE('Смета ЕР (общ) '!$A1206,".",'Смета ЕР (общ) '!$B1206,".",'Смета ЕР (общ) '!$D1206)</f>
        <v>Р9.2.88</v>
      </c>
      <c r="F1206" s="26">
        <f t="shared" si="102"/>
        <v>1</v>
      </c>
      <c r="G1206" s="27" t="s">
        <v>1283</v>
      </c>
      <c r="H1206" s="28" t="s">
        <v>118</v>
      </c>
      <c r="I1206" s="158"/>
      <c r="J1206" s="30">
        <v>1260.27</v>
      </c>
      <c r="K1206" s="30">
        <v>5488.57</v>
      </c>
      <c r="L1206" s="30">
        <f t="shared" si="101"/>
        <v>1260.27</v>
      </c>
      <c r="M1206" s="30">
        <f t="shared" si="101"/>
        <v>5488.57</v>
      </c>
      <c r="N1206" s="30">
        <f>ROUND('Смета ЕР (общ) '!$I1206*'Смета ЕР (общ) '!$L1206,2)</f>
        <v>0</v>
      </c>
      <c r="O1206" s="30">
        <f>ROUND('Смета ЕР (общ) '!$I1206*'Смета ЕР (общ) '!$M1206,2)</f>
        <v>0</v>
      </c>
      <c r="P1206" s="45"/>
    </row>
    <row r="1207" spans="1:16" ht="34.5" hidden="1" customHeight="1" x14ac:dyDescent="0.3">
      <c r="A1207" s="26" t="s">
        <v>1170</v>
      </c>
      <c r="B1207" s="26">
        <v>2</v>
      </c>
      <c r="C1207" s="26"/>
      <c r="D1207" s="26">
        <v>89</v>
      </c>
      <c r="E1207" s="26" t="str">
        <f>CONCATENATE('Смета ЕР (общ) '!$A1207,".",'Смета ЕР (общ) '!$B1207,".",'Смета ЕР (общ) '!$D1207)</f>
        <v>Р9.2.89</v>
      </c>
      <c r="F1207" s="26">
        <f t="shared" si="102"/>
        <v>1</v>
      </c>
      <c r="G1207" s="27" t="s">
        <v>1284</v>
      </c>
      <c r="H1207" s="28" t="s">
        <v>118</v>
      </c>
      <c r="I1207" s="158"/>
      <c r="J1207" s="30">
        <v>746.46</v>
      </c>
      <c r="K1207" s="30">
        <v>3660.65</v>
      </c>
      <c r="L1207" s="30">
        <f t="shared" si="101"/>
        <v>746.46</v>
      </c>
      <c r="M1207" s="30">
        <f t="shared" si="101"/>
        <v>3660.65</v>
      </c>
      <c r="N1207" s="30">
        <f>ROUND('Смета ЕР (общ) '!$I1207*'Смета ЕР (общ) '!$L1207,2)</f>
        <v>0</v>
      </c>
      <c r="O1207" s="30">
        <f>ROUND('Смета ЕР (общ) '!$I1207*'Смета ЕР (общ) '!$M1207,2)</f>
        <v>0</v>
      </c>
      <c r="P1207" s="45"/>
    </row>
    <row r="1208" spans="1:16" ht="34.5" hidden="1" customHeight="1" x14ac:dyDescent="0.3">
      <c r="A1208" s="26" t="s">
        <v>1170</v>
      </c>
      <c r="B1208" s="26">
        <v>2</v>
      </c>
      <c r="C1208" s="26"/>
      <c r="D1208" s="26">
        <v>90</v>
      </c>
      <c r="E1208" s="26" t="str">
        <f>CONCATENATE('Смета ЕР (общ) '!$A1208,".",'Смета ЕР (общ) '!$B1208,".",'Смета ЕР (общ) '!$D1208)</f>
        <v>Р9.2.90</v>
      </c>
      <c r="F1208" s="26">
        <f t="shared" si="102"/>
        <v>1</v>
      </c>
      <c r="G1208" s="27" t="s">
        <v>1285</v>
      </c>
      <c r="H1208" s="28" t="s">
        <v>118</v>
      </c>
      <c r="I1208" s="158"/>
      <c r="J1208" s="30">
        <v>746.46</v>
      </c>
      <c r="K1208" s="30">
        <v>2701.62</v>
      </c>
      <c r="L1208" s="30">
        <f t="shared" si="101"/>
        <v>746.46</v>
      </c>
      <c r="M1208" s="30">
        <f t="shared" si="101"/>
        <v>2701.62</v>
      </c>
      <c r="N1208" s="30">
        <f>ROUND('Смета ЕР (общ) '!$I1208*'Смета ЕР (общ) '!$L1208,2)</f>
        <v>0</v>
      </c>
      <c r="O1208" s="30">
        <f>ROUND('Смета ЕР (общ) '!$I1208*'Смета ЕР (общ) '!$M1208,2)</f>
        <v>0</v>
      </c>
      <c r="P1208" s="45"/>
    </row>
    <row r="1209" spans="1:16" ht="34.5" hidden="1" customHeight="1" x14ac:dyDescent="0.3">
      <c r="A1209" s="26" t="s">
        <v>1170</v>
      </c>
      <c r="B1209" s="26">
        <v>2</v>
      </c>
      <c r="C1209" s="26"/>
      <c r="D1209" s="26">
        <v>91</v>
      </c>
      <c r="E1209" s="26" t="str">
        <f>CONCATENATE('Смета ЕР (общ) '!$A1209,".",'Смета ЕР (общ) '!$B1209,".",'Смета ЕР (общ) '!$D1209)</f>
        <v>Р9.2.91</v>
      </c>
      <c r="F1209" s="26">
        <f t="shared" si="102"/>
        <v>1</v>
      </c>
      <c r="G1209" s="27" t="s">
        <v>1286</v>
      </c>
      <c r="H1209" s="28" t="s">
        <v>118</v>
      </c>
      <c r="I1209" s="158"/>
      <c r="J1209" s="30">
        <v>746.46</v>
      </c>
      <c r="K1209" s="30">
        <v>2670.16</v>
      </c>
      <c r="L1209" s="30">
        <f t="shared" si="101"/>
        <v>746.46</v>
      </c>
      <c r="M1209" s="30">
        <f t="shared" si="101"/>
        <v>2670.16</v>
      </c>
      <c r="N1209" s="30">
        <f>ROUND('Смета ЕР (общ) '!$I1209*'Смета ЕР (общ) '!$L1209,2)</f>
        <v>0</v>
      </c>
      <c r="O1209" s="30">
        <f>ROUND('Смета ЕР (общ) '!$I1209*'Смета ЕР (общ) '!$M1209,2)</f>
        <v>0</v>
      </c>
      <c r="P1209" s="45"/>
    </row>
    <row r="1210" spans="1:16" ht="34.5" hidden="1" customHeight="1" x14ac:dyDescent="0.3">
      <c r="A1210" s="26" t="s">
        <v>1170</v>
      </c>
      <c r="B1210" s="26">
        <v>2</v>
      </c>
      <c r="C1210" s="26"/>
      <c r="D1210" s="26">
        <v>92</v>
      </c>
      <c r="E1210" s="26" t="str">
        <f>CONCATENATE('Смета ЕР (общ) '!$A1210,".",'Смета ЕР (общ) '!$B1210,".",'Смета ЕР (общ) '!$D1210)</f>
        <v>Р9.2.92</v>
      </c>
      <c r="F1210" s="26">
        <f t="shared" si="102"/>
        <v>1</v>
      </c>
      <c r="G1210" s="27" t="s">
        <v>1287</v>
      </c>
      <c r="H1210" s="28" t="s">
        <v>118</v>
      </c>
      <c r="I1210" s="158"/>
      <c r="J1210" s="30">
        <v>746.46</v>
      </c>
      <c r="K1210" s="30">
        <v>3329.29</v>
      </c>
      <c r="L1210" s="30">
        <f t="shared" si="101"/>
        <v>746.46</v>
      </c>
      <c r="M1210" s="30">
        <f t="shared" si="101"/>
        <v>3329.29</v>
      </c>
      <c r="N1210" s="30">
        <f>ROUND('Смета ЕР (общ) '!$I1210*'Смета ЕР (общ) '!$L1210,2)</f>
        <v>0</v>
      </c>
      <c r="O1210" s="30">
        <f>ROUND('Смета ЕР (общ) '!$I1210*'Смета ЕР (общ) '!$M1210,2)</f>
        <v>0</v>
      </c>
      <c r="P1210" s="45"/>
    </row>
    <row r="1211" spans="1:16" ht="34.5" hidden="1" customHeight="1" x14ac:dyDescent="0.3">
      <c r="A1211" s="26" t="s">
        <v>1170</v>
      </c>
      <c r="B1211" s="26">
        <v>2</v>
      </c>
      <c r="C1211" s="26"/>
      <c r="D1211" s="26">
        <v>93</v>
      </c>
      <c r="E1211" s="26" t="str">
        <f>CONCATENATE('Смета ЕР (общ) '!$A1211,".",'Смета ЕР (общ) '!$B1211,".",'Смета ЕР (общ) '!$D1211)</f>
        <v>Р9.2.93</v>
      </c>
      <c r="F1211" s="26">
        <f t="shared" si="102"/>
        <v>1</v>
      </c>
      <c r="G1211" s="27" t="s">
        <v>1288</v>
      </c>
      <c r="H1211" s="28" t="s">
        <v>118</v>
      </c>
      <c r="I1211" s="158"/>
      <c r="J1211" s="30">
        <v>791.7</v>
      </c>
      <c r="K1211" s="30">
        <v>3153.38</v>
      </c>
      <c r="L1211" s="30">
        <f t="shared" si="101"/>
        <v>791.7</v>
      </c>
      <c r="M1211" s="30">
        <f t="shared" si="101"/>
        <v>3153.38</v>
      </c>
      <c r="N1211" s="30">
        <f>ROUND('Смета ЕР (общ) '!$I1211*'Смета ЕР (общ) '!$L1211,2)</f>
        <v>0</v>
      </c>
      <c r="O1211" s="30">
        <f>ROUND('Смета ЕР (общ) '!$I1211*'Смета ЕР (общ) '!$M1211,2)</f>
        <v>0</v>
      </c>
      <c r="P1211" s="45"/>
    </row>
    <row r="1212" spans="1:16" ht="34.5" hidden="1" customHeight="1" x14ac:dyDescent="0.3">
      <c r="A1212" s="26" t="s">
        <v>1170</v>
      </c>
      <c r="B1212" s="26">
        <v>2</v>
      </c>
      <c r="C1212" s="26"/>
      <c r="D1212" s="26">
        <v>94</v>
      </c>
      <c r="E1212" s="26" t="str">
        <f>CONCATENATE('Смета ЕР (общ) '!$A1212,".",'Смета ЕР (общ) '!$B1212,".",'Смета ЕР (общ) '!$D1212)</f>
        <v>Р9.2.94</v>
      </c>
      <c r="F1212" s="26">
        <f t="shared" si="102"/>
        <v>1</v>
      </c>
      <c r="G1212" s="27" t="s">
        <v>1289</v>
      </c>
      <c r="H1212" s="28" t="s">
        <v>118</v>
      </c>
      <c r="I1212" s="158"/>
      <c r="J1212" s="30">
        <v>945.21</v>
      </c>
      <c r="K1212" s="30">
        <v>3396.93</v>
      </c>
      <c r="L1212" s="30">
        <f t="shared" si="101"/>
        <v>945.21</v>
      </c>
      <c r="M1212" s="30">
        <f t="shared" si="101"/>
        <v>3396.93</v>
      </c>
      <c r="N1212" s="30">
        <f>ROUND('Смета ЕР (общ) '!$I1212*'Смета ЕР (общ) '!$L1212,2)</f>
        <v>0</v>
      </c>
      <c r="O1212" s="30">
        <f>ROUND('Смета ЕР (общ) '!$I1212*'Смета ЕР (общ) '!$M1212,2)</f>
        <v>0</v>
      </c>
      <c r="P1212" s="45"/>
    </row>
    <row r="1213" spans="1:16" ht="34.5" hidden="1" customHeight="1" x14ac:dyDescent="0.3">
      <c r="A1213" s="26" t="s">
        <v>1170</v>
      </c>
      <c r="B1213" s="26">
        <v>2</v>
      </c>
      <c r="C1213" s="26"/>
      <c r="D1213" s="26">
        <v>95</v>
      </c>
      <c r="E1213" s="26" t="str">
        <f>CONCATENATE('Смета ЕР (общ) '!$A1213,".",'Смета ЕР (общ) '!$B1213,".",'Смета ЕР (общ) '!$D1213)</f>
        <v>Р9.2.95</v>
      </c>
      <c r="F1213" s="26">
        <f t="shared" si="102"/>
        <v>1</v>
      </c>
      <c r="G1213" s="27" t="s">
        <v>1290</v>
      </c>
      <c r="H1213" s="28" t="s">
        <v>118</v>
      </c>
      <c r="I1213" s="158"/>
      <c r="J1213" s="30">
        <v>997.71</v>
      </c>
      <c r="K1213" s="30">
        <v>3730.56</v>
      </c>
      <c r="L1213" s="30">
        <f t="shared" si="101"/>
        <v>997.71</v>
      </c>
      <c r="M1213" s="30">
        <f t="shared" si="101"/>
        <v>3730.56</v>
      </c>
      <c r="N1213" s="30">
        <f>ROUND('Смета ЕР (общ) '!$I1213*'Смета ЕР (общ) '!$L1213,2)</f>
        <v>0</v>
      </c>
      <c r="O1213" s="30">
        <f>ROUND('Смета ЕР (общ) '!$I1213*'Смета ЕР (общ) '!$M1213,2)</f>
        <v>0</v>
      </c>
      <c r="P1213" s="45"/>
    </row>
    <row r="1214" spans="1:16" ht="34.5" hidden="1" customHeight="1" x14ac:dyDescent="0.3">
      <c r="A1214" s="26" t="s">
        <v>1170</v>
      </c>
      <c r="B1214" s="26">
        <v>2</v>
      </c>
      <c r="C1214" s="26"/>
      <c r="D1214" s="26">
        <v>96</v>
      </c>
      <c r="E1214" s="26" t="str">
        <f>CONCATENATE('Смета ЕР (общ) '!$A1214,".",'Смета ЕР (общ) '!$B1214,".",'Смета ЕР (общ) '!$D1214)</f>
        <v>Р9.2.96</v>
      </c>
      <c r="F1214" s="26">
        <f t="shared" si="102"/>
        <v>1</v>
      </c>
      <c r="G1214" s="27" t="s">
        <v>1291</v>
      </c>
      <c r="H1214" s="28" t="s">
        <v>118</v>
      </c>
      <c r="I1214" s="158"/>
      <c r="J1214" s="30">
        <v>1260.27</v>
      </c>
      <c r="K1214" s="30">
        <v>4847.47</v>
      </c>
      <c r="L1214" s="30">
        <f t="shared" si="101"/>
        <v>1260.27</v>
      </c>
      <c r="M1214" s="30">
        <f t="shared" si="101"/>
        <v>4847.47</v>
      </c>
      <c r="N1214" s="30">
        <f>ROUND('Смета ЕР (общ) '!$I1214*'Смета ЕР (общ) '!$L1214,2)</f>
        <v>0</v>
      </c>
      <c r="O1214" s="30">
        <f>ROUND('Смета ЕР (общ) '!$I1214*'Смета ЕР (общ) '!$M1214,2)</f>
        <v>0</v>
      </c>
      <c r="P1214" s="45"/>
    </row>
    <row r="1215" spans="1:16" ht="34.5" hidden="1" customHeight="1" x14ac:dyDescent="0.3">
      <c r="A1215" s="26" t="s">
        <v>1170</v>
      </c>
      <c r="B1215" s="26">
        <v>2</v>
      </c>
      <c r="C1215" s="26"/>
      <c r="D1215" s="26">
        <v>265</v>
      </c>
      <c r="E1215" s="26" t="str">
        <f>CONCATENATE('Смета ЕР (общ) '!$A1215,".",'Смета ЕР (общ) '!$B1215,".",'Смета ЕР (общ) '!$D1215)</f>
        <v>Р9.2.265</v>
      </c>
      <c r="F1215" s="26">
        <f t="shared" si="102"/>
        <v>1</v>
      </c>
      <c r="G1215" s="27" t="s">
        <v>1292</v>
      </c>
      <c r="H1215" s="28" t="s">
        <v>118</v>
      </c>
      <c r="I1215" s="158"/>
      <c r="J1215" s="30">
        <v>1540.16</v>
      </c>
      <c r="K1215" s="30">
        <v>4973.24</v>
      </c>
      <c r="L1215" s="30">
        <f t="shared" si="101"/>
        <v>1540.16</v>
      </c>
      <c r="M1215" s="30">
        <f t="shared" si="101"/>
        <v>4973.24</v>
      </c>
      <c r="N1215" s="30">
        <f>ROUND('Смета ЕР (общ) '!$I1215*'Смета ЕР (общ) '!$L1215,2)</f>
        <v>0</v>
      </c>
      <c r="O1215" s="30">
        <f>ROUND('Смета ЕР (общ) '!$I1215*'Смета ЕР (общ) '!$M1215,2)</f>
        <v>0</v>
      </c>
      <c r="P1215" s="45"/>
    </row>
    <row r="1216" spans="1:16" ht="34.5" hidden="1" customHeight="1" x14ac:dyDescent="0.3">
      <c r="A1216" s="26" t="s">
        <v>1170</v>
      </c>
      <c r="B1216" s="26">
        <v>2</v>
      </c>
      <c r="C1216" s="26"/>
      <c r="D1216" s="26">
        <v>97</v>
      </c>
      <c r="E1216" s="26" t="str">
        <f>CONCATENATE('Смета ЕР (общ) '!$A1216,".",'Смета ЕР (общ) '!$B1216,".",'Смета ЕР (общ) '!$D1216)</f>
        <v>Р9.2.97</v>
      </c>
      <c r="F1216" s="26">
        <f t="shared" si="102"/>
        <v>1</v>
      </c>
      <c r="G1216" s="27" t="s">
        <v>1293</v>
      </c>
      <c r="H1216" s="28" t="s">
        <v>118</v>
      </c>
      <c r="I1216" s="158"/>
      <c r="J1216" s="30">
        <v>746.46</v>
      </c>
      <c r="K1216" s="30">
        <v>1556.18</v>
      </c>
      <c r="L1216" s="30">
        <f t="shared" si="101"/>
        <v>746.46</v>
      </c>
      <c r="M1216" s="30">
        <f t="shared" si="101"/>
        <v>1556.18</v>
      </c>
      <c r="N1216" s="30">
        <f>ROUND('Смета ЕР (общ) '!$I1216*'Смета ЕР (общ) '!$L1216,2)</f>
        <v>0</v>
      </c>
      <c r="O1216" s="30">
        <f>ROUND('Смета ЕР (общ) '!$I1216*'Смета ЕР (общ) '!$M1216,2)</f>
        <v>0</v>
      </c>
      <c r="P1216" s="45"/>
    </row>
    <row r="1217" spans="1:16" ht="34.5" hidden="1" customHeight="1" x14ac:dyDescent="0.3">
      <c r="A1217" s="26" t="s">
        <v>1170</v>
      </c>
      <c r="B1217" s="26">
        <v>2</v>
      </c>
      <c r="C1217" s="26"/>
      <c r="D1217" s="26">
        <v>98</v>
      </c>
      <c r="E1217" s="26" t="str">
        <f>CONCATENATE('Смета ЕР (общ) '!$A1217,".",'Смета ЕР (общ) '!$B1217,".",'Смета ЕР (общ) '!$D1217)</f>
        <v>Р9.2.98</v>
      </c>
      <c r="F1217" s="26">
        <f t="shared" si="102"/>
        <v>1</v>
      </c>
      <c r="G1217" s="27" t="s">
        <v>1294</v>
      </c>
      <c r="H1217" s="28" t="s">
        <v>118</v>
      </c>
      <c r="I1217" s="158"/>
      <c r="J1217" s="30">
        <v>746.46</v>
      </c>
      <c r="K1217" s="30">
        <v>1422.54</v>
      </c>
      <c r="L1217" s="30">
        <f t="shared" si="101"/>
        <v>746.46</v>
      </c>
      <c r="M1217" s="30">
        <f t="shared" si="101"/>
        <v>1422.54</v>
      </c>
      <c r="N1217" s="30">
        <f>ROUND('Смета ЕР (общ) '!$I1217*'Смета ЕР (общ) '!$L1217,2)</f>
        <v>0</v>
      </c>
      <c r="O1217" s="30">
        <f>ROUND('Смета ЕР (общ) '!$I1217*'Смета ЕР (общ) '!$M1217,2)</f>
        <v>0</v>
      </c>
      <c r="P1217" s="45"/>
    </row>
    <row r="1218" spans="1:16" ht="34.5" hidden="1" customHeight="1" x14ac:dyDescent="0.3">
      <c r="A1218" s="26" t="s">
        <v>1170</v>
      </c>
      <c r="B1218" s="26">
        <v>2</v>
      </c>
      <c r="C1218" s="26"/>
      <c r="D1218" s="26">
        <v>99</v>
      </c>
      <c r="E1218" s="26" t="str">
        <f>CONCATENATE('Смета ЕР (общ) '!$A1218,".",'Смета ЕР (общ) '!$B1218,".",'Смета ЕР (общ) '!$D1218)</f>
        <v>Р9.2.99</v>
      </c>
      <c r="F1218" s="26">
        <f t="shared" si="102"/>
        <v>1</v>
      </c>
      <c r="G1218" s="27" t="s">
        <v>1295</v>
      </c>
      <c r="H1218" s="28" t="s">
        <v>118</v>
      </c>
      <c r="I1218" s="158"/>
      <c r="J1218" s="30">
        <v>746.46</v>
      </c>
      <c r="K1218" s="30">
        <v>1435.51</v>
      </c>
      <c r="L1218" s="30">
        <f t="shared" si="101"/>
        <v>746.46</v>
      </c>
      <c r="M1218" s="30">
        <f t="shared" si="101"/>
        <v>1435.51</v>
      </c>
      <c r="N1218" s="30">
        <f>ROUND('Смета ЕР (общ) '!$I1218*'Смета ЕР (общ) '!$L1218,2)</f>
        <v>0</v>
      </c>
      <c r="O1218" s="30">
        <f>ROUND('Смета ЕР (общ) '!$I1218*'Смета ЕР (общ) '!$M1218,2)</f>
        <v>0</v>
      </c>
      <c r="P1218" s="45"/>
    </row>
    <row r="1219" spans="1:16" ht="34.5" hidden="1" customHeight="1" x14ac:dyDescent="0.3">
      <c r="A1219" s="26" t="s">
        <v>1170</v>
      </c>
      <c r="B1219" s="26">
        <v>2</v>
      </c>
      <c r="C1219" s="26"/>
      <c r="D1219" s="26">
        <v>100</v>
      </c>
      <c r="E1219" s="26" t="str">
        <f>CONCATENATE('Смета ЕР (общ) '!$A1219,".",'Смета ЕР (общ) '!$B1219,".",'Смета ЕР (общ) '!$D1219)</f>
        <v>Р9.2.100</v>
      </c>
      <c r="F1219" s="26">
        <f t="shared" si="102"/>
        <v>1</v>
      </c>
      <c r="G1219" s="27" t="s">
        <v>1296</v>
      </c>
      <c r="H1219" s="28" t="s">
        <v>118</v>
      </c>
      <c r="I1219" s="158"/>
      <c r="J1219" s="30">
        <v>746.46</v>
      </c>
      <c r="K1219" s="30">
        <v>1508.49</v>
      </c>
      <c r="L1219" s="30">
        <f t="shared" si="101"/>
        <v>746.46</v>
      </c>
      <c r="M1219" s="30">
        <f t="shared" si="101"/>
        <v>1508.49</v>
      </c>
      <c r="N1219" s="30">
        <f>ROUND('Смета ЕР (общ) '!$I1219*'Смета ЕР (общ) '!$L1219,2)</f>
        <v>0</v>
      </c>
      <c r="O1219" s="30">
        <f>ROUND('Смета ЕР (общ) '!$I1219*'Смета ЕР (общ) '!$M1219,2)</f>
        <v>0</v>
      </c>
      <c r="P1219" s="45"/>
    </row>
    <row r="1220" spans="1:16" ht="34.5" hidden="1" customHeight="1" x14ac:dyDescent="0.3">
      <c r="A1220" s="26" t="s">
        <v>1170</v>
      </c>
      <c r="B1220" s="26">
        <v>2</v>
      </c>
      <c r="C1220" s="26"/>
      <c r="D1220" s="26">
        <v>101</v>
      </c>
      <c r="E1220" s="26" t="str">
        <f>CONCATENATE('Смета ЕР (общ) '!$A1220,".",'Смета ЕР (общ) '!$B1220,".",'Смета ЕР (общ) '!$D1220)</f>
        <v>Р9.2.101</v>
      </c>
      <c r="F1220" s="26">
        <f t="shared" si="102"/>
        <v>1</v>
      </c>
      <c r="G1220" s="27" t="s">
        <v>1297</v>
      </c>
      <c r="H1220" s="28" t="s">
        <v>118</v>
      </c>
      <c r="I1220" s="158"/>
      <c r="J1220" s="30">
        <v>791.7</v>
      </c>
      <c r="K1220" s="30">
        <v>1458.46</v>
      </c>
      <c r="L1220" s="30">
        <f t="shared" si="101"/>
        <v>791.7</v>
      </c>
      <c r="M1220" s="30">
        <f t="shared" si="101"/>
        <v>1458.46</v>
      </c>
      <c r="N1220" s="30">
        <f>ROUND('Смета ЕР (общ) '!$I1220*'Смета ЕР (общ) '!$L1220,2)</f>
        <v>0</v>
      </c>
      <c r="O1220" s="30">
        <f>ROUND('Смета ЕР (общ) '!$I1220*'Смета ЕР (общ) '!$M1220,2)</f>
        <v>0</v>
      </c>
      <c r="P1220" s="45"/>
    </row>
    <row r="1221" spans="1:16" ht="34.5" hidden="1" customHeight="1" x14ac:dyDescent="0.3">
      <c r="A1221" s="26" t="s">
        <v>1170</v>
      </c>
      <c r="B1221" s="26">
        <v>2</v>
      </c>
      <c r="C1221" s="26"/>
      <c r="D1221" s="26">
        <v>102</v>
      </c>
      <c r="E1221" s="26" t="str">
        <f>CONCATENATE('Смета ЕР (общ) '!$A1221,".",'Смета ЕР (общ) '!$B1221,".",'Смета ЕР (общ) '!$D1221)</f>
        <v>Р9.2.102</v>
      </c>
      <c r="F1221" s="26">
        <f t="shared" si="102"/>
        <v>1</v>
      </c>
      <c r="G1221" s="27" t="s">
        <v>1298</v>
      </c>
      <c r="H1221" s="28" t="s">
        <v>118</v>
      </c>
      <c r="I1221" s="158"/>
      <c r="J1221" s="30">
        <v>945.21</v>
      </c>
      <c r="K1221" s="30">
        <v>1726.29</v>
      </c>
      <c r="L1221" s="30">
        <f t="shared" si="101"/>
        <v>945.21</v>
      </c>
      <c r="M1221" s="30">
        <f t="shared" si="101"/>
        <v>1726.29</v>
      </c>
      <c r="N1221" s="30">
        <f>ROUND('Смета ЕР (общ) '!$I1221*'Смета ЕР (общ) '!$L1221,2)</f>
        <v>0</v>
      </c>
      <c r="O1221" s="30">
        <f>ROUND('Смета ЕР (общ) '!$I1221*'Смета ЕР (общ) '!$M1221,2)</f>
        <v>0</v>
      </c>
      <c r="P1221" s="45"/>
    </row>
    <row r="1222" spans="1:16" ht="34.5" hidden="1" customHeight="1" x14ac:dyDescent="0.3">
      <c r="A1222" s="26" t="s">
        <v>1170</v>
      </c>
      <c r="B1222" s="26">
        <v>2</v>
      </c>
      <c r="C1222" s="26"/>
      <c r="D1222" s="26">
        <v>103</v>
      </c>
      <c r="E1222" s="26" t="str">
        <f>CONCATENATE('Смета ЕР (общ) '!$A1222,".",'Смета ЕР (общ) '!$B1222,".",'Смета ЕР (общ) '!$D1222)</f>
        <v>Р9.2.103</v>
      </c>
      <c r="F1222" s="26">
        <f t="shared" si="102"/>
        <v>1</v>
      </c>
      <c r="G1222" s="27" t="s">
        <v>1299</v>
      </c>
      <c r="H1222" s="28" t="s">
        <v>118</v>
      </c>
      <c r="I1222" s="158"/>
      <c r="J1222" s="30">
        <v>997.71</v>
      </c>
      <c r="K1222" s="30">
        <v>1789.77</v>
      </c>
      <c r="L1222" s="30">
        <f t="shared" si="101"/>
        <v>997.71</v>
      </c>
      <c r="M1222" s="30">
        <f t="shared" si="101"/>
        <v>1789.77</v>
      </c>
      <c r="N1222" s="30">
        <f>ROUND('Смета ЕР (общ) '!$I1222*'Смета ЕР (общ) '!$L1222,2)</f>
        <v>0</v>
      </c>
      <c r="O1222" s="30">
        <f>ROUND('Смета ЕР (общ) '!$I1222*'Смета ЕР (общ) '!$M1222,2)</f>
        <v>0</v>
      </c>
      <c r="P1222" s="45"/>
    </row>
    <row r="1223" spans="1:16" ht="34.5" hidden="1" customHeight="1" x14ac:dyDescent="0.3">
      <c r="A1223" s="26" t="s">
        <v>1170</v>
      </c>
      <c r="B1223" s="26">
        <v>2</v>
      </c>
      <c r="C1223" s="26"/>
      <c r="D1223" s="26">
        <v>104</v>
      </c>
      <c r="E1223" s="26" t="str">
        <f>CONCATENATE('Смета ЕР (общ) '!$A1223,".",'Смета ЕР (общ) '!$B1223,".",'Смета ЕР (общ) '!$D1223)</f>
        <v>Р9.2.104</v>
      </c>
      <c r="F1223" s="26">
        <f t="shared" si="102"/>
        <v>1</v>
      </c>
      <c r="G1223" s="27" t="s">
        <v>1300</v>
      </c>
      <c r="H1223" s="28" t="s">
        <v>118</v>
      </c>
      <c r="I1223" s="158"/>
      <c r="J1223" s="30">
        <v>1260.27</v>
      </c>
      <c r="K1223" s="30">
        <v>2569.52</v>
      </c>
      <c r="L1223" s="30">
        <f t="shared" si="101"/>
        <v>1260.27</v>
      </c>
      <c r="M1223" s="30">
        <f t="shared" si="101"/>
        <v>2569.52</v>
      </c>
      <c r="N1223" s="30">
        <f>ROUND('Смета ЕР (общ) '!$I1223*'Смета ЕР (общ) '!$L1223,2)</f>
        <v>0</v>
      </c>
      <c r="O1223" s="30">
        <f>ROUND('Смета ЕР (общ) '!$I1223*'Смета ЕР (общ) '!$M1223,2)</f>
        <v>0</v>
      </c>
      <c r="P1223" s="45"/>
    </row>
    <row r="1224" spans="1:16" ht="34.5" hidden="1" customHeight="1" x14ac:dyDescent="0.3">
      <c r="A1224" s="26" t="s">
        <v>1170</v>
      </c>
      <c r="B1224" s="26">
        <v>2</v>
      </c>
      <c r="C1224" s="26"/>
      <c r="D1224" s="26">
        <v>105</v>
      </c>
      <c r="E1224" s="26" t="str">
        <f>CONCATENATE('Смета ЕР (общ) '!$A1224,".",'Смета ЕР (общ) '!$B1224,".",'Смета ЕР (общ) '!$D1224)</f>
        <v>Р9.2.105</v>
      </c>
      <c r="F1224" s="26">
        <f t="shared" si="102"/>
        <v>1</v>
      </c>
      <c r="G1224" s="27" t="s">
        <v>1301</v>
      </c>
      <c r="H1224" s="28" t="s">
        <v>118</v>
      </c>
      <c r="I1224" s="158"/>
      <c r="J1224" s="30">
        <v>984.84</v>
      </c>
      <c r="K1224" s="30">
        <v>7935.55</v>
      </c>
      <c r="L1224" s="30">
        <f t="shared" si="101"/>
        <v>984.84</v>
      </c>
      <c r="M1224" s="30">
        <f t="shared" si="101"/>
        <v>7935.55</v>
      </c>
      <c r="N1224" s="30">
        <f>ROUND('Смета ЕР (общ) '!$I1224*'Смета ЕР (общ) '!$L1224,2)</f>
        <v>0</v>
      </c>
      <c r="O1224" s="30">
        <f>ROUND('Смета ЕР (общ) '!$I1224*'Смета ЕР (общ) '!$M1224,2)</f>
        <v>0</v>
      </c>
      <c r="P1224" s="45"/>
    </row>
    <row r="1225" spans="1:16" ht="34.5" hidden="1" customHeight="1" x14ac:dyDescent="0.3">
      <c r="A1225" s="26" t="s">
        <v>1170</v>
      </c>
      <c r="B1225" s="26">
        <v>2</v>
      </c>
      <c r="C1225" s="26"/>
      <c r="D1225" s="26">
        <v>106</v>
      </c>
      <c r="E1225" s="26" t="str">
        <f>CONCATENATE('Смета ЕР (общ) '!$A1225,".",'Смета ЕР (общ) '!$B1225,".",'Смета ЕР (общ) '!$D1225)</f>
        <v>Р9.2.106</v>
      </c>
      <c r="F1225" s="26">
        <f t="shared" si="102"/>
        <v>1</v>
      </c>
      <c r="G1225" s="27" t="s">
        <v>1302</v>
      </c>
      <c r="H1225" s="28" t="s">
        <v>118</v>
      </c>
      <c r="I1225" s="158"/>
      <c r="J1225" s="30">
        <v>1245.3800000000001</v>
      </c>
      <c r="K1225" s="30">
        <v>8136.63</v>
      </c>
      <c r="L1225" s="30">
        <f t="shared" si="101"/>
        <v>1245.3800000000001</v>
      </c>
      <c r="M1225" s="30">
        <f t="shared" si="101"/>
        <v>8136.63</v>
      </c>
      <c r="N1225" s="30">
        <f>ROUND('Смета ЕР (общ) '!$I1225*'Смета ЕР (общ) '!$L1225,2)</f>
        <v>0</v>
      </c>
      <c r="O1225" s="30">
        <f>ROUND('Смета ЕР (общ) '!$I1225*'Смета ЕР (общ) '!$M1225,2)</f>
        <v>0</v>
      </c>
      <c r="P1225" s="45"/>
    </row>
    <row r="1226" spans="1:16" ht="34.5" hidden="1" customHeight="1" x14ac:dyDescent="0.3">
      <c r="A1226" s="26" t="s">
        <v>1170</v>
      </c>
      <c r="B1226" s="26">
        <v>2</v>
      </c>
      <c r="C1226" s="26"/>
      <c r="D1226" s="26">
        <v>107</v>
      </c>
      <c r="E1226" s="26" t="str">
        <f>CONCATENATE('Смета ЕР (общ) '!$A1226,".",'Смета ЕР (общ) '!$B1226,".",'Смета ЕР (общ) '!$D1226)</f>
        <v>Р9.2.107</v>
      </c>
      <c r="F1226" s="26">
        <f t="shared" si="102"/>
        <v>1</v>
      </c>
      <c r="G1226" s="27" t="s">
        <v>1303</v>
      </c>
      <c r="H1226" s="28" t="s">
        <v>118</v>
      </c>
      <c r="I1226" s="158"/>
      <c r="J1226" s="30">
        <v>984.84</v>
      </c>
      <c r="K1226" s="30">
        <v>5102.6400000000003</v>
      </c>
      <c r="L1226" s="30">
        <f t="shared" si="101"/>
        <v>984.84</v>
      </c>
      <c r="M1226" s="30">
        <f t="shared" si="101"/>
        <v>5102.6400000000003</v>
      </c>
      <c r="N1226" s="30">
        <f>ROUND('Смета ЕР (общ) '!$I1226*'Смета ЕР (общ) '!$L1226,2)</f>
        <v>0</v>
      </c>
      <c r="O1226" s="30">
        <f>ROUND('Смета ЕР (общ) '!$I1226*'Смета ЕР (общ) '!$M1226,2)</f>
        <v>0</v>
      </c>
      <c r="P1226" s="45"/>
    </row>
    <row r="1227" spans="1:16" ht="34.5" hidden="1" customHeight="1" x14ac:dyDescent="0.3">
      <c r="A1227" s="26" t="s">
        <v>1170</v>
      </c>
      <c r="B1227" s="26">
        <v>2</v>
      </c>
      <c r="C1227" s="26"/>
      <c r="D1227" s="26">
        <v>108</v>
      </c>
      <c r="E1227" s="26" t="str">
        <f>CONCATENATE('Смета ЕР (общ) '!$A1227,".",'Смета ЕР (общ) '!$B1227,".",'Смета ЕР (общ) '!$D1227)</f>
        <v>Р9.2.108</v>
      </c>
      <c r="F1227" s="26">
        <f t="shared" si="102"/>
        <v>1</v>
      </c>
      <c r="G1227" s="27" t="s">
        <v>1304</v>
      </c>
      <c r="H1227" s="28" t="s">
        <v>118</v>
      </c>
      <c r="I1227" s="158"/>
      <c r="J1227" s="30">
        <v>1087.83</v>
      </c>
      <c r="K1227" s="30">
        <v>4954.75</v>
      </c>
      <c r="L1227" s="30">
        <f t="shared" si="101"/>
        <v>1087.83</v>
      </c>
      <c r="M1227" s="30">
        <f t="shared" si="101"/>
        <v>4954.75</v>
      </c>
      <c r="N1227" s="30">
        <f>ROUND('Смета ЕР (общ) '!$I1227*'Смета ЕР (общ) '!$L1227,2)</f>
        <v>0</v>
      </c>
      <c r="O1227" s="30">
        <f>ROUND('Смета ЕР (общ) '!$I1227*'Смета ЕР (общ) '!$M1227,2)</f>
        <v>0</v>
      </c>
      <c r="P1227" s="45"/>
    </row>
    <row r="1228" spans="1:16" ht="34.5" hidden="1" customHeight="1" x14ac:dyDescent="0.3">
      <c r="A1228" s="26" t="s">
        <v>1170</v>
      </c>
      <c r="B1228" s="26">
        <v>2</v>
      </c>
      <c r="C1228" s="26"/>
      <c r="D1228" s="26">
        <v>109</v>
      </c>
      <c r="E1228" s="26" t="str">
        <f>CONCATENATE('Смета ЕР (общ) '!$A1228,".",'Смета ЕР (общ) '!$B1228,".",'Смета ЕР (общ) '!$D1228)</f>
        <v>Р9.2.109</v>
      </c>
      <c r="F1228" s="26">
        <f t="shared" si="102"/>
        <v>1</v>
      </c>
      <c r="G1228" s="27" t="s">
        <v>1305</v>
      </c>
      <c r="H1228" s="28" t="s">
        <v>118</v>
      </c>
      <c r="I1228" s="158"/>
      <c r="J1228" s="30">
        <v>1245.3800000000001</v>
      </c>
      <c r="K1228" s="30">
        <v>5158.3</v>
      </c>
      <c r="L1228" s="30">
        <f t="shared" si="101"/>
        <v>1245.3800000000001</v>
      </c>
      <c r="M1228" s="30">
        <f t="shared" si="101"/>
        <v>5158.3</v>
      </c>
      <c r="N1228" s="30">
        <f>ROUND('Смета ЕР (общ) '!$I1228*'Смета ЕР (общ) '!$L1228,2)</f>
        <v>0</v>
      </c>
      <c r="O1228" s="30">
        <f>ROUND('Смета ЕР (общ) '!$I1228*'Смета ЕР (общ) '!$M1228,2)</f>
        <v>0</v>
      </c>
      <c r="P1228" s="45"/>
    </row>
    <row r="1229" spans="1:16" ht="34.5" hidden="1" customHeight="1" x14ac:dyDescent="0.3">
      <c r="A1229" s="26" t="s">
        <v>1170</v>
      </c>
      <c r="B1229" s="26">
        <v>2</v>
      </c>
      <c r="C1229" s="26"/>
      <c r="D1229" s="26">
        <v>110</v>
      </c>
      <c r="E1229" s="26" t="str">
        <f>CONCATENATE('Смета ЕР (общ) '!$A1229,".",'Смета ЕР (общ) '!$B1229,".",'Смета ЕР (общ) '!$D1229)</f>
        <v>Р9.2.110</v>
      </c>
      <c r="F1229" s="26">
        <f t="shared" si="102"/>
        <v>1</v>
      </c>
      <c r="G1229" s="27" t="s">
        <v>1306</v>
      </c>
      <c r="H1229" s="28" t="s">
        <v>118</v>
      </c>
      <c r="I1229" s="158"/>
      <c r="J1229" s="30">
        <v>1420.16</v>
      </c>
      <c r="K1229" s="30">
        <v>5683.75</v>
      </c>
      <c r="L1229" s="30">
        <f t="shared" si="101"/>
        <v>1420.16</v>
      </c>
      <c r="M1229" s="30">
        <f t="shared" si="101"/>
        <v>5683.75</v>
      </c>
      <c r="N1229" s="30">
        <f>ROUND('Смета ЕР (общ) '!$I1229*'Смета ЕР (общ) '!$L1229,2)</f>
        <v>0</v>
      </c>
      <c r="O1229" s="30">
        <f>ROUND('Смета ЕР (общ) '!$I1229*'Смета ЕР (общ) '!$M1229,2)</f>
        <v>0</v>
      </c>
      <c r="P1229" s="45"/>
    </row>
    <row r="1230" spans="1:16" ht="34.5" hidden="1" customHeight="1" x14ac:dyDescent="0.3">
      <c r="A1230" s="26" t="s">
        <v>1170</v>
      </c>
      <c r="B1230" s="26">
        <v>2</v>
      </c>
      <c r="C1230" s="26"/>
      <c r="D1230" s="26">
        <v>111</v>
      </c>
      <c r="E1230" s="26" t="str">
        <f>CONCATENATE('Смета ЕР (общ) '!$A1230,".",'Смета ЕР (общ) '!$B1230,".",'Смета ЕР (общ) '!$D1230)</f>
        <v>Р9.2.111</v>
      </c>
      <c r="F1230" s="26">
        <f t="shared" si="102"/>
        <v>1</v>
      </c>
      <c r="G1230" s="27" t="s">
        <v>1307</v>
      </c>
      <c r="H1230" s="28" t="s">
        <v>118</v>
      </c>
      <c r="I1230" s="158"/>
      <c r="J1230" s="30">
        <v>1680.36</v>
      </c>
      <c r="K1230" s="30">
        <v>5958.87</v>
      </c>
      <c r="L1230" s="30">
        <f t="shared" si="101"/>
        <v>1680.36</v>
      </c>
      <c r="M1230" s="30">
        <f t="shared" si="101"/>
        <v>5958.87</v>
      </c>
      <c r="N1230" s="30">
        <f>ROUND('Смета ЕР (общ) '!$I1230*'Смета ЕР (общ) '!$L1230,2)</f>
        <v>0</v>
      </c>
      <c r="O1230" s="30">
        <f>ROUND('Смета ЕР (общ) '!$I1230*'Смета ЕР (общ) '!$M1230,2)</f>
        <v>0</v>
      </c>
      <c r="P1230" s="45"/>
    </row>
    <row r="1231" spans="1:16" ht="34.5" hidden="1" customHeight="1" x14ac:dyDescent="0.3">
      <c r="A1231" s="26" t="s">
        <v>1170</v>
      </c>
      <c r="B1231" s="26">
        <v>2</v>
      </c>
      <c r="C1231" s="26"/>
      <c r="D1231" s="26">
        <v>112</v>
      </c>
      <c r="E1231" s="26" t="str">
        <f>CONCATENATE('Смета ЕР (общ) '!$A1231,".",'Смета ЕР (общ) '!$B1231,".",'Смета ЕР (общ) '!$D1231)</f>
        <v>Р9.2.112</v>
      </c>
      <c r="F1231" s="26">
        <f t="shared" si="102"/>
        <v>1</v>
      </c>
      <c r="G1231" s="27" t="s">
        <v>1308</v>
      </c>
      <c r="H1231" s="28" t="s">
        <v>118</v>
      </c>
      <c r="I1231" s="158"/>
      <c r="J1231" s="30">
        <v>1680.36</v>
      </c>
      <c r="K1231" s="30">
        <v>2956.14</v>
      </c>
      <c r="L1231" s="30">
        <f t="shared" si="101"/>
        <v>1680.36</v>
      </c>
      <c r="M1231" s="30">
        <f t="shared" si="101"/>
        <v>2956.14</v>
      </c>
      <c r="N1231" s="30">
        <f>ROUND('Смета ЕР (общ) '!$I1231*'Смета ЕР (общ) '!$L1231,2)</f>
        <v>0</v>
      </c>
      <c r="O1231" s="30">
        <f>ROUND('Смета ЕР (общ) '!$I1231*'Смета ЕР (общ) '!$M1231,2)</f>
        <v>0</v>
      </c>
      <c r="P1231" s="45"/>
    </row>
    <row r="1232" spans="1:16" ht="34.5" hidden="1" customHeight="1" x14ac:dyDescent="0.3">
      <c r="A1232" s="26" t="s">
        <v>1170</v>
      </c>
      <c r="B1232" s="26">
        <v>2</v>
      </c>
      <c r="C1232" s="26"/>
      <c r="D1232" s="26">
        <v>238</v>
      </c>
      <c r="E1232" s="26" t="str">
        <f>CONCATENATE('Смета ЕР (общ) '!$A1232,".",'Смета ЕР (общ) '!$B1232,".",'Смета ЕР (общ) '!$D1232)</f>
        <v>Р9.2.238</v>
      </c>
      <c r="F1232" s="26">
        <f t="shared" si="102"/>
        <v>1</v>
      </c>
      <c r="G1232" s="27" t="s">
        <v>1309</v>
      </c>
      <c r="H1232" s="28" t="s">
        <v>118</v>
      </c>
      <c r="I1232" s="158"/>
      <c r="J1232" s="30">
        <v>2240.63</v>
      </c>
      <c r="K1232" s="30">
        <v>17612.48</v>
      </c>
      <c r="L1232" s="30">
        <f t="shared" si="101"/>
        <v>2240.63</v>
      </c>
      <c r="M1232" s="30">
        <f t="shared" si="101"/>
        <v>17612.48</v>
      </c>
      <c r="N1232" s="30">
        <f>ROUND('Смета ЕР (общ) '!$I1232*'Смета ЕР (общ) '!$L1232,2)</f>
        <v>0</v>
      </c>
      <c r="O1232" s="30">
        <f>ROUND('Смета ЕР (общ) '!$I1232*'Смета ЕР (общ) '!$M1232,2)</f>
        <v>0</v>
      </c>
      <c r="P1232" s="45"/>
    </row>
    <row r="1233" spans="1:16" ht="34.5" hidden="1" customHeight="1" x14ac:dyDescent="0.3">
      <c r="A1233" s="26" t="s">
        <v>1170</v>
      </c>
      <c r="B1233" s="26">
        <v>2</v>
      </c>
      <c r="C1233" s="26"/>
      <c r="D1233" s="26">
        <v>266</v>
      </c>
      <c r="E1233" s="26" t="str">
        <f>CONCATENATE('Смета ЕР (общ) '!$A1233,".",'Смета ЕР (общ) '!$B1233,".",'Смета ЕР (общ) '!$D1233)</f>
        <v>Р9.2.266</v>
      </c>
      <c r="F1233" s="26">
        <f t="shared" si="102"/>
        <v>1</v>
      </c>
      <c r="G1233" s="27" t="s">
        <v>1310</v>
      </c>
      <c r="H1233" s="28" t="s">
        <v>118</v>
      </c>
      <c r="I1233" s="158"/>
      <c r="J1233" s="30">
        <v>2110.63</v>
      </c>
      <c r="K1233" s="30">
        <v>18007.66</v>
      </c>
      <c r="L1233" s="30">
        <f t="shared" si="101"/>
        <v>2110.63</v>
      </c>
      <c r="M1233" s="30">
        <f t="shared" si="101"/>
        <v>18007.66</v>
      </c>
      <c r="N1233" s="30">
        <f>ROUND('Смета ЕР (общ) '!$I1233*'Смета ЕР (общ) '!$L1233,2)</f>
        <v>0</v>
      </c>
      <c r="O1233" s="30">
        <f>ROUND('Смета ЕР (общ) '!$I1233*'Смета ЕР (общ) '!$M1233,2)</f>
        <v>0</v>
      </c>
      <c r="P1233" s="45"/>
    </row>
    <row r="1234" spans="1:16" ht="34.5" hidden="1" customHeight="1" x14ac:dyDescent="0.3">
      <c r="A1234" s="26" t="s">
        <v>1170</v>
      </c>
      <c r="B1234" s="26">
        <v>2</v>
      </c>
      <c r="C1234" s="26"/>
      <c r="D1234" s="26">
        <v>239</v>
      </c>
      <c r="E1234" s="26" t="str">
        <f>CONCATENATE('Смета ЕР (общ) '!$A1234,".",'Смета ЕР (общ) '!$B1234,".",'Смета ЕР (общ) '!$D1234)</f>
        <v>Р9.2.239</v>
      </c>
      <c r="F1234" s="26">
        <f t="shared" si="102"/>
        <v>1</v>
      </c>
      <c r="G1234" s="27" t="s">
        <v>1311</v>
      </c>
      <c r="H1234" s="28" t="s">
        <v>118</v>
      </c>
      <c r="I1234" s="158"/>
      <c r="J1234" s="30">
        <v>1940.63</v>
      </c>
      <c r="K1234" s="30">
        <v>17625.21</v>
      </c>
      <c r="L1234" s="30">
        <f t="shared" si="101"/>
        <v>1940.63</v>
      </c>
      <c r="M1234" s="30">
        <f t="shared" si="101"/>
        <v>17625.21</v>
      </c>
      <c r="N1234" s="30">
        <f>ROUND('Смета ЕР (общ) '!$I1234*'Смета ЕР (общ) '!$L1234,2)</f>
        <v>0</v>
      </c>
      <c r="O1234" s="30">
        <f>ROUND('Смета ЕР (общ) '!$I1234*'Смета ЕР (общ) '!$M1234,2)</f>
        <v>0</v>
      </c>
      <c r="P1234" s="45"/>
    </row>
    <row r="1235" spans="1:16" ht="34.5" hidden="1" customHeight="1" x14ac:dyDescent="0.3">
      <c r="A1235" s="26" t="s">
        <v>1170</v>
      </c>
      <c r="B1235" s="26">
        <v>2</v>
      </c>
      <c r="C1235" s="26"/>
      <c r="D1235" s="26">
        <v>240</v>
      </c>
      <c r="E1235" s="26" t="str">
        <f>CONCATENATE('Смета ЕР (общ) '!$A1235,".",'Смета ЕР (общ) '!$B1235,".",'Смета ЕР (общ) '!$D1235)</f>
        <v>Р9.2.240</v>
      </c>
      <c r="F1235" s="26">
        <f t="shared" si="102"/>
        <v>1</v>
      </c>
      <c r="G1235" s="27" t="s">
        <v>1312</v>
      </c>
      <c r="H1235" s="28" t="s">
        <v>118</v>
      </c>
      <c r="I1235" s="159"/>
      <c r="J1235" s="30">
        <v>2780.81</v>
      </c>
      <c r="K1235" s="30">
        <v>17647.05</v>
      </c>
      <c r="L1235" s="30">
        <f t="shared" si="101"/>
        <v>2780.81</v>
      </c>
      <c r="M1235" s="30">
        <f t="shared" si="101"/>
        <v>17647.05</v>
      </c>
      <c r="N1235" s="30">
        <f>ROUND('Смета ЕР (общ) '!$I1235*'Смета ЕР (общ) '!$L1235,2)</f>
        <v>0</v>
      </c>
      <c r="O1235" s="30">
        <f>ROUND('Смета ЕР (общ) '!$I1235*'Смета ЕР (общ) '!$M1235,2)</f>
        <v>0</v>
      </c>
      <c r="P1235" s="45"/>
    </row>
    <row r="1236" spans="1:16" ht="34.5" hidden="1" customHeight="1" x14ac:dyDescent="0.3">
      <c r="A1236" s="26" t="s">
        <v>1170</v>
      </c>
      <c r="B1236" s="26">
        <v>2</v>
      </c>
      <c r="C1236" s="26"/>
      <c r="D1236" s="26">
        <v>241</v>
      </c>
      <c r="E1236" s="26" t="str">
        <f>CONCATENATE('Смета ЕР (общ) '!$A1236,".",'Смета ЕР (общ) '!$B1236,".",'Смета ЕР (общ) '!$D1236)</f>
        <v>Р9.2.241</v>
      </c>
      <c r="F1236" s="26">
        <f t="shared" si="102"/>
        <v>1</v>
      </c>
      <c r="G1236" s="27" t="s">
        <v>1313</v>
      </c>
      <c r="H1236" s="28" t="s">
        <v>118</v>
      </c>
      <c r="I1236" s="158"/>
      <c r="J1236" s="30">
        <v>2468.0300000000002</v>
      </c>
      <c r="K1236" s="30">
        <v>8629.77</v>
      </c>
      <c r="L1236" s="30">
        <f t="shared" ref="L1236:M1299" si="103">ROUND(J1236-J1236*$Q$3,2)</f>
        <v>2468.0300000000002</v>
      </c>
      <c r="M1236" s="30">
        <f t="shared" si="103"/>
        <v>8629.77</v>
      </c>
      <c r="N1236" s="30">
        <f>ROUND('Смета ЕР (общ) '!$I1236*'Смета ЕР (общ) '!$L1236,2)</f>
        <v>0</v>
      </c>
      <c r="O1236" s="30">
        <f>ROUND('Смета ЕР (общ) '!$I1236*'Смета ЕР (общ) '!$M1236,2)</f>
        <v>0</v>
      </c>
      <c r="P1236" s="45"/>
    </row>
    <row r="1237" spans="1:16" ht="34.5" hidden="1" customHeight="1" x14ac:dyDescent="0.3">
      <c r="A1237" s="26" t="s">
        <v>1170</v>
      </c>
      <c r="B1237" s="26">
        <v>2</v>
      </c>
      <c r="C1237" s="26"/>
      <c r="D1237" s="26">
        <v>264</v>
      </c>
      <c r="E1237" s="26" t="str">
        <f>CONCATENATE('Смета ЕР (общ) '!$A1237,".",'Смета ЕР (общ) '!$B1237,".",'Смета ЕР (общ) '!$D1237)</f>
        <v>Р9.2.264</v>
      </c>
      <c r="F1237" s="26">
        <f t="shared" ref="F1237:F1300" si="104">IF(I1237&gt;0,F1236+1,F1236)</f>
        <v>1</v>
      </c>
      <c r="G1237" s="27" t="s">
        <v>1314</v>
      </c>
      <c r="H1237" s="28" t="s">
        <v>118</v>
      </c>
      <c r="I1237" s="158"/>
      <c r="J1237" s="30">
        <v>3043.37</v>
      </c>
      <c r="K1237" s="30">
        <v>9747.09</v>
      </c>
      <c r="L1237" s="30">
        <f t="shared" si="103"/>
        <v>3043.37</v>
      </c>
      <c r="M1237" s="30">
        <f t="shared" si="103"/>
        <v>9747.09</v>
      </c>
      <c r="N1237" s="30">
        <f>ROUND('Смета ЕР (общ) '!$I1237*'Смета ЕР (общ) '!$L1237,2)</f>
        <v>0</v>
      </c>
      <c r="O1237" s="30">
        <f>ROUND('Смета ЕР (общ) '!$I1237*'Смета ЕР (общ) '!$M1237,2)</f>
        <v>0</v>
      </c>
      <c r="P1237" s="45"/>
    </row>
    <row r="1238" spans="1:16" ht="34.5" hidden="1" customHeight="1" x14ac:dyDescent="0.3">
      <c r="A1238" s="26" t="s">
        <v>1170</v>
      </c>
      <c r="B1238" s="26">
        <v>2</v>
      </c>
      <c r="C1238" s="26"/>
      <c r="D1238" s="26">
        <v>242</v>
      </c>
      <c r="E1238" s="26" t="str">
        <f>CONCATENATE('Смета ЕР (общ) '!$A1238,".",'Смета ЕР (общ) '!$B1238,".",'Смета ЕР (общ) '!$D1238)</f>
        <v>Р9.2.242</v>
      </c>
      <c r="F1238" s="26">
        <f t="shared" si="104"/>
        <v>1</v>
      </c>
      <c r="G1238" s="27" t="s">
        <v>1315</v>
      </c>
      <c r="H1238" s="28" t="s">
        <v>118</v>
      </c>
      <c r="I1238" s="158"/>
      <c r="J1238" s="30">
        <v>3568.48</v>
      </c>
      <c r="K1238" s="30">
        <v>18435.55</v>
      </c>
      <c r="L1238" s="30">
        <f t="shared" si="103"/>
        <v>3568.48</v>
      </c>
      <c r="M1238" s="30">
        <f t="shared" si="103"/>
        <v>18435.55</v>
      </c>
      <c r="N1238" s="30">
        <f>ROUND('Смета ЕР (общ) '!$I1238*'Смета ЕР (общ) '!$L1238,2)</f>
        <v>0</v>
      </c>
      <c r="O1238" s="30">
        <f>ROUND('Смета ЕР (общ) '!$I1238*'Смета ЕР (общ) '!$M1238,2)</f>
        <v>0</v>
      </c>
      <c r="P1238" s="45"/>
    </row>
    <row r="1239" spans="1:16" ht="34.5" hidden="1" customHeight="1" x14ac:dyDescent="0.3">
      <c r="A1239" s="26" t="s">
        <v>1170</v>
      </c>
      <c r="B1239" s="26">
        <v>2</v>
      </c>
      <c r="C1239" s="26"/>
      <c r="D1239" s="26">
        <v>267</v>
      </c>
      <c r="E1239" s="26" t="str">
        <f>CONCATENATE('Смета ЕР (общ) '!$A1239,".",'Смета ЕР (общ) '!$B1239,".",'Смета ЕР (общ) '!$D1239)</f>
        <v>Р9.2.267</v>
      </c>
      <c r="F1239" s="26">
        <f t="shared" si="104"/>
        <v>1</v>
      </c>
      <c r="G1239" s="27" t="s">
        <v>1316</v>
      </c>
      <c r="H1239" s="28" t="s">
        <v>118</v>
      </c>
      <c r="I1239" s="158"/>
      <c r="J1239" s="30">
        <v>3988.57</v>
      </c>
      <c r="K1239" s="30">
        <v>26832.58</v>
      </c>
      <c r="L1239" s="30">
        <f t="shared" si="103"/>
        <v>3988.57</v>
      </c>
      <c r="M1239" s="30">
        <f t="shared" si="103"/>
        <v>26832.58</v>
      </c>
      <c r="N1239" s="30">
        <f>ROUND('Смета ЕР (общ) '!$I1239*'Смета ЕР (общ) '!$L1239,2)</f>
        <v>0</v>
      </c>
      <c r="O1239" s="30">
        <f>ROUND('Смета ЕР (общ) '!$I1239*'Смета ЕР (общ) '!$M1239,2)</f>
        <v>0</v>
      </c>
      <c r="P1239" s="45"/>
    </row>
    <row r="1240" spans="1:16" ht="34.5" hidden="1" customHeight="1" x14ac:dyDescent="0.3">
      <c r="A1240" s="26" t="s">
        <v>1170</v>
      </c>
      <c r="B1240" s="26">
        <v>2</v>
      </c>
      <c r="C1240" s="26"/>
      <c r="D1240" s="26">
        <v>243</v>
      </c>
      <c r="E1240" s="26" t="str">
        <f>CONCATENATE('Смета ЕР (общ) '!$A1240,".",'Смета ЕР (общ) '!$B1240,".",'Смета ЕР (общ) '!$D1240)</f>
        <v>Р9.2.243</v>
      </c>
      <c r="F1240" s="26">
        <f t="shared" si="104"/>
        <v>1</v>
      </c>
      <c r="G1240" s="27" t="s">
        <v>1317</v>
      </c>
      <c r="H1240" s="28" t="s">
        <v>118</v>
      </c>
      <c r="I1240" s="158"/>
      <c r="J1240" s="30">
        <v>420.09</v>
      </c>
      <c r="K1240" s="30">
        <v>4033.26</v>
      </c>
      <c r="L1240" s="30">
        <f t="shared" si="103"/>
        <v>420.09</v>
      </c>
      <c r="M1240" s="30">
        <f t="shared" si="103"/>
        <v>4033.26</v>
      </c>
      <c r="N1240" s="30">
        <f>ROUND('Смета ЕР (общ) '!$I1240*'Смета ЕР (общ) '!$L1240,2)</f>
        <v>0</v>
      </c>
      <c r="O1240" s="30">
        <f>ROUND('Смета ЕР (общ) '!$I1240*'Смета ЕР (общ) '!$M1240,2)</f>
        <v>0</v>
      </c>
      <c r="P1240" s="45"/>
    </row>
    <row r="1241" spans="1:16" ht="34.5" hidden="1" customHeight="1" x14ac:dyDescent="0.3">
      <c r="A1241" s="26" t="s">
        <v>1170</v>
      </c>
      <c r="B1241" s="26">
        <v>2</v>
      </c>
      <c r="C1241" s="26"/>
      <c r="D1241" s="26">
        <v>113</v>
      </c>
      <c r="E1241" s="26" t="str">
        <f>CONCATENATE('Смета ЕР (общ) '!$A1241,".",'Смета ЕР (общ) '!$B1241,".",'Смета ЕР (общ) '!$D1241)</f>
        <v>Р9.2.113</v>
      </c>
      <c r="F1241" s="26">
        <f t="shared" si="104"/>
        <v>1</v>
      </c>
      <c r="G1241" s="27" t="s">
        <v>1318</v>
      </c>
      <c r="H1241" s="28" t="s">
        <v>118</v>
      </c>
      <c r="I1241" s="158"/>
      <c r="J1241" s="30">
        <v>577.62</v>
      </c>
      <c r="K1241" s="30">
        <v>12328.29</v>
      </c>
      <c r="L1241" s="30">
        <f t="shared" si="103"/>
        <v>577.62</v>
      </c>
      <c r="M1241" s="30">
        <f t="shared" si="103"/>
        <v>12328.29</v>
      </c>
      <c r="N1241" s="30">
        <f>ROUND('Смета ЕР (общ) '!$I1241*'Смета ЕР (общ) '!$L1241,2)</f>
        <v>0</v>
      </c>
      <c r="O1241" s="30">
        <f>ROUND('Смета ЕР (общ) '!$I1241*'Смета ЕР (общ) '!$M1241,2)</f>
        <v>0</v>
      </c>
      <c r="P1241" s="45"/>
    </row>
    <row r="1242" spans="1:16" ht="34.5" hidden="1" customHeight="1" x14ac:dyDescent="0.3">
      <c r="A1242" s="26" t="s">
        <v>1170</v>
      </c>
      <c r="B1242" s="26">
        <v>2</v>
      </c>
      <c r="C1242" s="26"/>
      <c r="D1242" s="26">
        <v>114</v>
      </c>
      <c r="E1242" s="26" t="str">
        <f>CONCATENATE('Смета ЕР (общ) '!$A1242,".",'Смета ЕР (общ) '!$B1242,".",'Смета ЕР (общ) '!$D1242)</f>
        <v>Р9.2.114</v>
      </c>
      <c r="F1242" s="26">
        <f t="shared" si="104"/>
        <v>1</v>
      </c>
      <c r="G1242" s="27" t="s">
        <v>1319</v>
      </c>
      <c r="H1242" s="28" t="s">
        <v>118</v>
      </c>
      <c r="I1242" s="158"/>
      <c r="J1242" s="30">
        <v>577.62</v>
      </c>
      <c r="K1242" s="30">
        <v>12205.76</v>
      </c>
      <c r="L1242" s="30">
        <f t="shared" si="103"/>
        <v>577.62</v>
      </c>
      <c r="M1242" s="30">
        <f t="shared" si="103"/>
        <v>12205.76</v>
      </c>
      <c r="N1242" s="30">
        <f>ROUND('Смета ЕР (общ) '!$I1242*'Смета ЕР (общ) '!$L1242,2)</f>
        <v>0</v>
      </c>
      <c r="O1242" s="30">
        <f>ROUND('Смета ЕР (общ) '!$I1242*'Смета ЕР (общ) '!$M1242,2)</f>
        <v>0</v>
      </c>
      <c r="P1242" s="45"/>
    </row>
    <row r="1243" spans="1:16" ht="34.5" hidden="1" customHeight="1" x14ac:dyDescent="0.3">
      <c r="A1243" s="26" t="s">
        <v>1170</v>
      </c>
      <c r="B1243" s="26">
        <v>2</v>
      </c>
      <c r="C1243" s="26"/>
      <c r="D1243" s="26">
        <v>115</v>
      </c>
      <c r="E1243" s="26" t="str">
        <f>CONCATENATE('Смета ЕР (общ) '!$A1243,".",'Смета ЕР (общ) '!$B1243,".",'Смета ЕР (общ) '!$D1243)</f>
        <v>Р9.2.115</v>
      </c>
      <c r="F1243" s="26">
        <f t="shared" si="104"/>
        <v>1</v>
      </c>
      <c r="G1243" s="27" t="s">
        <v>1320</v>
      </c>
      <c r="H1243" s="28" t="s">
        <v>118</v>
      </c>
      <c r="I1243" s="158"/>
      <c r="J1243" s="30">
        <v>577.62</v>
      </c>
      <c r="K1243" s="30">
        <v>12342.3</v>
      </c>
      <c r="L1243" s="30">
        <f t="shared" si="103"/>
        <v>577.62</v>
      </c>
      <c r="M1243" s="30">
        <f t="shared" si="103"/>
        <v>12342.3</v>
      </c>
      <c r="N1243" s="30">
        <f>ROUND('Смета ЕР (общ) '!$I1243*'Смета ЕР (общ) '!$L1243,2)</f>
        <v>0</v>
      </c>
      <c r="O1243" s="30">
        <f>ROUND('Смета ЕР (общ) '!$I1243*'Смета ЕР (общ) '!$M1243,2)</f>
        <v>0</v>
      </c>
      <c r="P1243" s="45"/>
    </row>
    <row r="1244" spans="1:16" ht="34.5" hidden="1" customHeight="1" x14ac:dyDescent="0.3">
      <c r="A1244" s="26" t="s">
        <v>1170</v>
      </c>
      <c r="B1244" s="26">
        <v>2</v>
      </c>
      <c r="C1244" s="26"/>
      <c r="D1244" s="26">
        <v>116</v>
      </c>
      <c r="E1244" s="26" t="str">
        <f>CONCATENATE('Смета ЕР (общ) '!$A1244,".",'Смета ЕР (общ) '!$B1244,".",'Смета ЕР (общ) '!$D1244)</f>
        <v>Р9.2.116</v>
      </c>
      <c r="F1244" s="26">
        <f t="shared" si="104"/>
        <v>1</v>
      </c>
      <c r="G1244" s="27" t="s">
        <v>1321</v>
      </c>
      <c r="H1244" s="28" t="s">
        <v>118</v>
      </c>
      <c r="I1244" s="158"/>
      <c r="J1244" s="30">
        <v>577.62</v>
      </c>
      <c r="K1244" s="30">
        <v>11813.47</v>
      </c>
      <c r="L1244" s="30">
        <f t="shared" si="103"/>
        <v>577.62</v>
      </c>
      <c r="M1244" s="30">
        <f t="shared" si="103"/>
        <v>11813.47</v>
      </c>
      <c r="N1244" s="30">
        <f>ROUND('Смета ЕР (общ) '!$I1244*'Смета ЕР (общ) '!$L1244,2)</f>
        <v>0</v>
      </c>
      <c r="O1244" s="30">
        <f>ROUND('Смета ЕР (общ) '!$I1244*'Смета ЕР (общ) '!$M1244,2)</f>
        <v>0</v>
      </c>
      <c r="P1244" s="45"/>
    </row>
    <row r="1245" spans="1:16" ht="34.5" hidden="1" customHeight="1" x14ac:dyDescent="0.3">
      <c r="A1245" s="26" t="s">
        <v>1170</v>
      </c>
      <c r="B1245" s="26">
        <v>2</v>
      </c>
      <c r="C1245" s="26"/>
      <c r="D1245" s="26">
        <v>117</v>
      </c>
      <c r="E1245" s="26" t="str">
        <f>CONCATENATE('Смета ЕР (общ) '!$A1245,".",'Смета ЕР (общ) '!$B1245,".",'Смета ЕР (общ) '!$D1245)</f>
        <v>Р9.2.117</v>
      </c>
      <c r="F1245" s="26">
        <f t="shared" si="104"/>
        <v>1</v>
      </c>
      <c r="G1245" s="27" t="s">
        <v>1322</v>
      </c>
      <c r="H1245" s="28" t="s">
        <v>118</v>
      </c>
      <c r="I1245" s="158"/>
      <c r="J1245" s="30">
        <v>577.62</v>
      </c>
      <c r="K1245" s="30">
        <v>12258.93</v>
      </c>
      <c r="L1245" s="30">
        <f t="shared" si="103"/>
        <v>577.62</v>
      </c>
      <c r="M1245" s="30">
        <f t="shared" si="103"/>
        <v>12258.93</v>
      </c>
      <c r="N1245" s="30">
        <f>ROUND('Смета ЕР (общ) '!$I1245*'Смета ЕР (общ) '!$L1245,2)</f>
        <v>0</v>
      </c>
      <c r="O1245" s="30">
        <f>ROUND('Смета ЕР (общ) '!$I1245*'Смета ЕР (общ) '!$M1245,2)</f>
        <v>0</v>
      </c>
      <c r="P1245" s="45"/>
    </row>
    <row r="1246" spans="1:16" ht="34.5" hidden="1" customHeight="1" x14ac:dyDescent="0.3">
      <c r="A1246" s="26" t="s">
        <v>1170</v>
      </c>
      <c r="B1246" s="26">
        <v>2</v>
      </c>
      <c r="C1246" s="26"/>
      <c r="D1246" s="26">
        <v>118</v>
      </c>
      <c r="E1246" s="26" t="str">
        <f>CONCATENATE('Смета ЕР (общ) '!$A1246,".",'Смета ЕР (общ) '!$B1246,".",'Смета ЕР (общ) '!$D1246)</f>
        <v>Р9.2.118</v>
      </c>
      <c r="F1246" s="26">
        <f t="shared" si="104"/>
        <v>1</v>
      </c>
      <c r="G1246" s="27" t="s">
        <v>1323</v>
      </c>
      <c r="H1246" s="28" t="s">
        <v>118</v>
      </c>
      <c r="I1246" s="158"/>
      <c r="J1246" s="30">
        <v>636.41</v>
      </c>
      <c r="K1246" s="30">
        <v>13274.97</v>
      </c>
      <c r="L1246" s="30">
        <f t="shared" si="103"/>
        <v>636.41</v>
      </c>
      <c r="M1246" s="30">
        <f t="shared" si="103"/>
        <v>13274.97</v>
      </c>
      <c r="N1246" s="30">
        <f>ROUND('Смета ЕР (общ) '!$I1246*'Смета ЕР (общ) '!$L1246,2)</f>
        <v>0</v>
      </c>
      <c r="O1246" s="30">
        <f>ROUND('Смета ЕР (общ) '!$I1246*'Смета ЕР (общ) '!$M1246,2)</f>
        <v>0</v>
      </c>
      <c r="P1246" s="45"/>
    </row>
    <row r="1247" spans="1:16" ht="34.5" hidden="1" customHeight="1" x14ac:dyDescent="0.3">
      <c r="A1247" s="26" t="s">
        <v>1170</v>
      </c>
      <c r="B1247" s="26">
        <v>2</v>
      </c>
      <c r="C1247" s="26"/>
      <c r="D1247" s="26">
        <v>119</v>
      </c>
      <c r="E1247" s="26" t="str">
        <f>CONCATENATE('Смета ЕР (общ) '!$A1247,".",'Смета ЕР (общ) '!$B1247,".",'Смета ЕР (общ) '!$D1247)</f>
        <v>Р9.2.119</v>
      </c>
      <c r="F1247" s="26">
        <f t="shared" si="104"/>
        <v>1</v>
      </c>
      <c r="G1247" s="27" t="s">
        <v>1324</v>
      </c>
      <c r="H1247" s="28" t="s">
        <v>118</v>
      </c>
      <c r="I1247" s="158"/>
      <c r="J1247" s="30">
        <v>577.62</v>
      </c>
      <c r="K1247" s="30">
        <v>11278.97</v>
      </c>
      <c r="L1247" s="30">
        <f t="shared" si="103"/>
        <v>577.62</v>
      </c>
      <c r="M1247" s="30">
        <f t="shared" si="103"/>
        <v>11278.97</v>
      </c>
      <c r="N1247" s="30">
        <f>ROUND('Смета ЕР (общ) '!$I1247*'Смета ЕР (общ) '!$L1247,2)</f>
        <v>0</v>
      </c>
      <c r="O1247" s="30">
        <f>ROUND('Смета ЕР (общ) '!$I1247*'Смета ЕР (общ) '!$M1247,2)</f>
        <v>0</v>
      </c>
      <c r="P1247" s="45"/>
    </row>
    <row r="1248" spans="1:16" ht="34.5" hidden="1" customHeight="1" x14ac:dyDescent="0.3">
      <c r="A1248" s="26" t="s">
        <v>1170</v>
      </c>
      <c r="B1248" s="26">
        <v>2</v>
      </c>
      <c r="C1248" s="26"/>
      <c r="D1248" s="26">
        <v>120</v>
      </c>
      <c r="E1248" s="26" t="str">
        <f>CONCATENATE('Смета ЕР (общ) '!$A1248,".",'Смета ЕР (общ) '!$B1248,".",'Смета ЕР (общ) '!$D1248)</f>
        <v>Р9.2.120</v>
      </c>
      <c r="F1248" s="26">
        <f t="shared" si="104"/>
        <v>1</v>
      </c>
      <c r="G1248" s="27" t="s">
        <v>1325</v>
      </c>
      <c r="H1248" s="28" t="s">
        <v>118</v>
      </c>
      <c r="I1248" s="158"/>
      <c r="J1248" s="30">
        <v>577.62</v>
      </c>
      <c r="K1248" s="30">
        <v>10530.19</v>
      </c>
      <c r="L1248" s="30">
        <f t="shared" si="103"/>
        <v>577.62</v>
      </c>
      <c r="M1248" s="30">
        <f t="shared" si="103"/>
        <v>10530.19</v>
      </c>
      <c r="N1248" s="30">
        <f>ROUND('Смета ЕР (общ) '!$I1248*'Смета ЕР (общ) '!$L1248,2)</f>
        <v>0</v>
      </c>
      <c r="O1248" s="30">
        <f>ROUND('Смета ЕР (общ) '!$I1248*'Смета ЕР (общ) '!$M1248,2)</f>
        <v>0</v>
      </c>
      <c r="P1248" s="45"/>
    </row>
    <row r="1249" spans="1:16" ht="34.5" hidden="1" customHeight="1" x14ac:dyDescent="0.3">
      <c r="A1249" s="26" t="s">
        <v>1170</v>
      </c>
      <c r="B1249" s="26">
        <v>2</v>
      </c>
      <c r="C1249" s="26"/>
      <c r="D1249" s="26">
        <v>121</v>
      </c>
      <c r="E1249" s="26" t="str">
        <f>CONCATENATE('Смета ЕР (общ) '!$A1249,".",'Смета ЕР (общ) '!$B1249,".",'Смета ЕР (общ) '!$D1249)</f>
        <v>Р9.2.121</v>
      </c>
      <c r="F1249" s="26">
        <f t="shared" si="104"/>
        <v>1</v>
      </c>
      <c r="G1249" s="27" t="s">
        <v>1326</v>
      </c>
      <c r="H1249" s="28" t="s">
        <v>118</v>
      </c>
      <c r="I1249" s="158"/>
      <c r="J1249" s="30">
        <v>577.62</v>
      </c>
      <c r="K1249" s="30">
        <v>10087.66</v>
      </c>
      <c r="L1249" s="30">
        <f t="shared" si="103"/>
        <v>577.62</v>
      </c>
      <c r="M1249" s="30">
        <f t="shared" si="103"/>
        <v>10087.66</v>
      </c>
      <c r="N1249" s="30">
        <f>ROUND('Смета ЕР (общ) '!$I1249*'Смета ЕР (общ) '!$L1249,2)</f>
        <v>0</v>
      </c>
      <c r="O1249" s="30">
        <f>ROUND('Смета ЕР (общ) '!$I1249*'Смета ЕР (общ) '!$M1249,2)</f>
        <v>0</v>
      </c>
      <c r="P1249" s="45"/>
    </row>
    <row r="1250" spans="1:16" ht="34.5" hidden="1" customHeight="1" x14ac:dyDescent="0.3">
      <c r="A1250" s="26" t="s">
        <v>1170</v>
      </c>
      <c r="B1250" s="26">
        <v>2</v>
      </c>
      <c r="C1250" s="26"/>
      <c r="D1250" s="26">
        <v>122</v>
      </c>
      <c r="E1250" s="26" t="str">
        <f>CONCATENATE('Смета ЕР (общ) '!$A1250,".",'Смета ЕР (общ) '!$B1250,".",'Смета ЕР (общ) '!$D1250)</f>
        <v>Р9.2.122</v>
      </c>
      <c r="F1250" s="26">
        <f t="shared" si="104"/>
        <v>1</v>
      </c>
      <c r="G1250" s="27" t="s">
        <v>1327</v>
      </c>
      <c r="H1250" s="28" t="s">
        <v>118</v>
      </c>
      <c r="I1250" s="158"/>
      <c r="J1250" s="30">
        <v>577.62</v>
      </c>
      <c r="K1250" s="30">
        <v>10177.75</v>
      </c>
      <c r="L1250" s="30">
        <f t="shared" si="103"/>
        <v>577.62</v>
      </c>
      <c r="M1250" s="30">
        <f t="shared" si="103"/>
        <v>10177.75</v>
      </c>
      <c r="N1250" s="30">
        <f>ROUND('Смета ЕР (общ) '!$I1250*'Смета ЕР (общ) '!$L1250,2)</f>
        <v>0</v>
      </c>
      <c r="O1250" s="30">
        <f>ROUND('Смета ЕР (общ) '!$I1250*'Смета ЕР (общ) '!$M1250,2)</f>
        <v>0</v>
      </c>
      <c r="P1250" s="45"/>
    </row>
    <row r="1251" spans="1:16" ht="34.5" hidden="1" customHeight="1" x14ac:dyDescent="0.3">
      <c r="A1251" s="26" t="s">
        <v>1170</v>
      </c>
      <c r="B1251" s="26">
        <v>2</v>
      </c>
      <c r="C1251" s="26"/>
      <c r="D1251" s="26">
        <v>123</v>
      </c>
      <c r="E1251" s="26" t="str">
        <f>CONCATENATE('Смета ЕР (общ) '!$A1251,".",'Смета ЕР (общ) '!$B1251,".",'Смета ЕР (общ) '!$D1251)</f>
        <v>Р9.2.123</v>
      </c>
      <c r="F1251" s="26">
        <f t="shared" si="104"/>
        <v>1</v>
      </c>
      <c r="G1251" s="27" t="s">
        <v>1328</v>
      </c>
      <c r="H1251" s="28" t="s">
        <v>118</v>
      </c>
      <c r="I1251" s="158"/>
      <c r="J1251" s="30">
        <v>577.62</v>
      </c>
      <c r="K1251" s="30">
        <v>10316.959999999999</v>
      </c>
      <c r="L1251" s="30">
        <f t="shared" si="103"/>
        <v>577.62</v>
      </c>
      <c r="M1251" s="30">
        <f t="shared" si="103"/>
        <v>10316.959999999999</v>
      </c>
      <c r="N1251" s="30">
        <f>ROUND('Смета ЕР (общ) '!$I1251*'Смета ЕР (общ) '!$L1251,2)</f>
        <v>0</v>
      </c>
      <c r="O1251" s="30">
        <f>ROUND('Смета ЕР (общ) '!$I1251*'Смета ЕР (общ) '!$M1251,2)</f>
        <v>0</v>
      </c>
      <c r="P1251" s="45"/>
    </row>
    <row r="1252" spans="1:16" ht="34.5" hidden="1" customHeight="1" x14ac:dyDescent="0.3">
      <c r="A1252" s="26" t="s">
        <v>1170</v>
      </c>
      <c r="B1252" s="26">
        <v>2</v>
      </c>
      <c r="C1252" s="26"/>
      <c r="D1252" s="26">
        <v>124</v>
      </c>
      <c r="E1252" s="26" t="str">
        <f>CONCATENATE('Смета ЕР (общ) '!$A1252,".",'Смета ЕР (общ) '!$B1252,".",'Смета ЕР (общ) '!$D1252)</f>
        <v>Р9.2.124</v>
      </c>
      <c r="F1252" s="26">
        <f t="shared" si="104"/>
        <v>1</v>
      </c>
      <c r="G1252" s="27" t="s">
        <v>1329</v>
      </c>
      <c r="H1252" s="28" t="s">
        <v>118</v>
      </c>
      <c r="I1252" s="158"/>
      <c r="J1252" s="30">
        <v>636.41</v>
      </c>
      <c r="K1252" s="30">
        <v>11931.46</v>
      </c>
      <c r="L1252" s="30">
        <f t="shared" si="103"/>
        <v>636.41</v>
      </c>
      <c r="M1252" s="30">
        <f t="shared" si="103"/>
        <v>11931.46</v>
      </c>
      <c r="N1252" s="30">
        <f>ROUND('Смета ЕР (общ) '!$I1252*'Смета ЕР (общ) '!$L1252,2)</f>
        <v>0</v>
      </c>
      <c r="O1252" s="30">
        <f>ROUND('Смета ЕР (общ) '!$I1252*'Смета ЕР (общ) '!$M1252,2)</f>
        <v>0</v>
      </c>
      <c r="P1252" s="45"/>
    </row>
    <row r="1253" spans="1:16" ht="34.5" hidden="1" customHeight="1" x14ac:dyDescent="0.3">
      <c r="A1253" s="26" t="s">
        <v>1170</v>
      </c>
      <c r="B1253" s="26">
        <v>2</v>
      </c>
      <c r="C1253" s="26"/>
      <c r="D1253" s="26">
        <v>125</v>
      </c>
      <c r="E1253" s="26" t="str">
        <f>CONCATENATE('Смета ЕР (общ) '!$A1253,".",'Смета ЕР (общ) '!$B1253,".",'Смета ЕР (общ) '!$D1253)</f>
        <v>Р9.2.125</v>
      </c>
      <c r="F1253" s="26">
        <f t="shared" si="104"/>
        <v>1</v>
      </c>
      <c r="G1253" s="27" t="s">
        <v>1330</v>
      </c>
      <c r="H1253" s="28" t="s">
        <v>118</v>
      </c>
      <c r="I1253" s="158"/>
      <c r="J1253" s="30">
        <v>636.41</v>
      </c>
      <c r="K1253" s="30">
        <v>13261.07</v>
      </c>
      <c r="L1253" s="30">
        <f t="shared" si="103"/>
        <v>636.41</v>
      </c>
      <c r="M1253" s="30">
        <f t="shared" si="103"/>
        <v>13261.07</v>
      </c>
      <c r="N1253" s="30">
        <f>ROUND('Смета ЕР (общ) '!$I1253*'Смета ЕР (общ) '!$L1253,2)</f>
        <v>0</v>
      </c>
      <c r="O1253" s="30">
        <f>ROUND('Смета ЕР (общ) '!$I1253*'Смета ЕР (общ) '!$M1253,2)</f>
        <v>0</v>
      </c>
      <c r="P1253" s="45"/>
    </row>
    <row r="1254" spans="1:16" ht="34.5" hidden="1" customHeight="1" x14ac:dyDescent="0.3">
      <c r="A1254" s="26" t="s">
        <v>1170</v>
      </c>
      <c r="B1254" s="26">
        <v>2</v>
      </c>
      <c r="C1254" s="26"/>
      <c r="D1254" s="26">
        <v>126</v>
      </c>
      <c r="E1254" s="26" t="str">
        <f>CONCATENATE('Смета ЕР (общ) '!$A1254,".",'Смета ЕР (общ) '!$B1254,".",'Смета ЕР (общ) '!$D1254)</f>
        <v>Р9.2.126</v>
      </c>
      <c r="F1254" s="26">
        <f t="shared" si="104"/>
        <v>1</v>
      </c>
      <c r="G1254" s="27" t="s">
        <v>1331</v>
      </c>
      <c r="H1254" s="28" t="s">
        <v>118</v>
      </c>
      <c r="I1254" s="158"/>
      <c r="J1254" s="30">
        <v>577.62</v>
      </c>
      <c r="K1254" s="30">
        <v>4277.8900000000003</v>
      </c>
      <c r="L1254" s="30">
        <f t="shared" si="103"/>
        <v>577.62</v>
      </c>
      <c r="M1254" s="30">
        <f t="shared" si="103"/>
        <v>4277.8900000000003</v>
      </c>
      <c r="N1254" s="30">
        <f>ROUND('Смета ЕР (общ) '!$I1254*'Смета ЕР (общ) '!$L1254,2)</f>
        <v>0</v>
      </c>
      <c r="O1254" s="30">
        <f>ROUND('Смета ЕР (общ) '!$I1254*'Смета ЕР (общ) '!$M1254,2)</f>
        <v>0</v>
      </c>
      <c r="P1254" s="45"/>
    </row>
    <row r="1255" spans="1:16" ht="34.5" hidden="1" customHeight="1" x14ac:dyDescent="0.3">
      <c r="A1255" s="26" t="s">
        <v>1170</v>
      </c>
      <c r="B1255" s="26">
        <v>2</v>
      </c>
      <c r="C1255" s="26"/>
      <c r="D1255" s="26">
        <v>127</v>
      </c>
      <c r="E1255" s="26" t="str">
        <f>CONCATENATE('Смета ЕР (общ) '!$A1255,".",'Смета ЕР (общ) '!$B1255,".",'Смета ЕР (общ) '!$D1255)</f>
        <v>Р9.2.127</v>
      </c>
      <c r="F1255" s="26">
        <f t="shared" si="104"/>
        <v>1</v>
      </c>
      <c r="G1255" s="27" t="s">
        <v>1332</v>
      </c>
      <c r="H1255" s="28" t="s">
        <v>118</v>
      </c>
      <c r="I1255" s="158"/>
      <c r="J1255" s="30">
        <v>577.62</v>
      </c>
      <c r="K1255" s="30">
        <v>3980.69</v>
      </c>
      <c r="L1255" s="30">
        <f t="shared" si="103"/>
        <v>577.62</v>
      </c>
      <c r="M1255" s="30">
        <f t="shared" si="103"/>
        <v>3980.69</v>
      </c>
      <c r="N1255" s="30">
        <f>ROUND('Смета ЕР (общ) '!$I1255*'Смета ЕР (общ) '!$L1255,2)</f>
        <v>0</v>
      </c>
      <c r="O1255" s="30">
        <f>ROUND('Смета ЕР (общ) '!$I1255*'Смета ЕР (общ) '!$M1255,2)</f>
        <v>0</v>
      </c>
      <c r="P1255" s="45"/>
    </row>
    <row r="1256" spans="1:16" ht="34.5" hidden="1" customHeight="1" x14ac:dyDescent="0.3">
      <c r="A1256" s="26" t="s">
        <v>1170</v>
      </c>
      <c r="B1256" s="26">
        <v>2</v>
      </c>
      <c r="C1256" s="26"/>
      <c r="D1256" s="26">
        <v>128</v>
      </c>
      <c r="E1256" s="26" t="str">
        <f>CONCATENATE('Смета ЕР (общ) '!$A1256,".",'Смета ЕР (общ) '!$B1256,".",'Смета ЕР (общ) '!$D1256)</f>
        <v>Р9.2.128</v>
      </c>
      <c r="F1256" s="26">
        <f t="shared" si="104"/>
        <v>1</v>
      </c>
      <c r="G1256" s="27" t="s">
        <v>1333</v>
      </c>
      <c r="H1256" s="28" t="s">
        <v>118</v>
      </c>
      <c r="I1256" s="158"/>
      <c r="J1256" s="30">
        <v>577.62</v>
      </c>
      <c r="K1256" s="30">
        <v>3763.64</v>
      </c>
      <c r="L1256" s="30">
        <f t="shared" si="103"/>
        <v>577.62</v>
      </c>
      <c r="M1256" s="30">
        <f t="shared" si="103"/>
        <v>3763.64</v>
      </c>
      <c r="N1256" s="30">
        <f>ROUND('Смета ЕР (общ) '!$I1256*'Смета ЕР (общ) '!$L1256,2)</f>
        <v>0</v>
      </c>
      <c r="O1256" s="30">
        <f>ROUND('Смета ЕР (общ) '!$I1256*'Смета ЕР (общ) '!$M1256,2)</f>
        <v>0</v>
      </c>
      <c r="P1256" s="45"/>
    </row>
    <row r="1257" spans="1:16" ht="34.5" hidden="1" customHeight="1" x14ac:dyDescent="0.3">
      <c r="A1257" s="26" t="s">
        <v>1170</v>
      </c>
      <c r="B1257" s="26">
        <v>2</v>
      </c>
      <c r="C1257" s="26"/>
      <c r="D1257" s="26">
        <v>129</v>
      </c>
      <c r="E1257" s="26" t="str">
        <f>CONCATENATE('Смета ЕР (общ) '!$A1257,".",'Смета ЕР (общ) '!$B1257,".",'Смета ЕР (общ) '!$D1257)</f>
        <v>Р9.2.129</v>
      </c>
      <c r="F1257" s="26">
        <f t="shared" si="104"/>
        <v>1</v>
      </c>
      <c r="G1257" s="27" t="s">
        <v>1334</v>
      </c>
      <c r="H1257" s="28" t="s">
        <v>118</v>
      </c>
      <c r="I1257" s="158"/>
      <c r="J1257" s="30">
        <v>577.62</v>
      </c>
      <c r="K1257" s="30">
        <v>3874.41</v>
      </c>
      <c r="L1257" s="30">
        <f t="shared" si="103"/>
        <v>577.62</v>
      </c>
      <c r="M1257" s="30">
        <f t="shared" si="103"/>
        <v>3874.41</v>
      </c>
      <c r="N1257" s="30">
        <f>ROUND('Смета ЕР (общ) '!$I1257*'Смета ЕР (общ) '!$L1257,2)</f>
        <v>0</v>
      </c>
      <c r="O1257" s="30">
        <f>ROUND('Смета ЕР (общ) '!$I1257*'Смета ЕР (общ) '!$M1257,2)</f>
        <v>0</v>
      </c>
      <c r="P1257" s="45"/>
    </row>
    <row r="1258" spans="1:16" ht="34.5" hidden="1" customHeight="1" x14ac:dyDescent="0.3">
      <c r="A1258" s="26" t="s">
        <v>1170</v>
      </c>
      <c r="B1258" s="26">
        <v>2</v>
      </c>
      <c r="C1258" s="26"/>
      <c r="D1258" s="26">
        <v>130</v>
      </c>
      <c r="E1258" s="26" t="str">
        <f>CONCATENATE('Смета ЕР (общ) '!$A1258,".",'Смета ЕР (общ) '!$B1258,".",'Смета ЕР (общ) '!$D1258)</f>
        <v>Р9.2.130</v>
      </c>
      <c r="F1258" s="26">
        <f t="shared" si="104"/>
        <v>1</v>
      </c>
      <c r="G1258" s="27" t="s">
        <v>1335</v>
      </c>
      <c r="H1258" s="28" t="s">
        <v>118</v>
      </c>
      <c r="I1258" s="158"/>
      <c r="J1258" s="30">
        <v>577.62</v>
      </c>
      <c r="K1258" s="30">
        <v>3808.29</v>
      </c>
      <c r="L1258" s="30">
        <f t="shared" si="103"/>
        <v>577.62</v>
      </c>
      <c r="M1258" s="30">
        <f t="shared" si="103"/>
        <v>3808.29</v>
      </c>
      <c r="N1258" s="30">
        <f>ROUND('Смета ЕР (общ) '!$I1258*'Смета ЕР (общ) '!$L1258,2)</f>
        <v>0</v>
      </c>
      <c r="O1258" s="30">
        <f>ROUND('Смета ЕР (общ) '!$I1258*'Смета ЕР (общ) '!$M1258,2)</f>
        <v>0</v>
      </c>
      <c r="P1258" s="45"/>
    </row>
    <row r="1259" spans="1:16" ht="34.5" hidden="1" customHeight="1" x14ac:dyDescent="0.3">
      <c r="A1259" s="26" t="s">
        <v>1170</v>
      </c>
      <c r="B1259" s="26">
        <v>2</v>
      </c>
      <c r="C1259" s="26"/>
      <c r="D1259" s="26">
        <v>131</v>
      </c>
      <c r="E1259" s="26" t="str">
        <f>CONCATENATE('Смета ЕР (общ) '!$A1259,".",'Смета ЕР (общ) '!$B1259,".",'Смета ЕР (общ) '!$D1259)</f>
        <v>Р9.2.131</v>
      </c>
      <c r="F1259" s="26">
        <f t="shared" si="104"/>
        <v>1</v>
      </c>
      <c r="G1259" s="27" t="s">
        <v>1336</v>
      </c>
      <c r="H1259" s="28" t="s">
        <v>118</v>
      </c>
      <c r="I1259" s="158"/>
      <c r="J1259" s="30">
        <v>636.41</v>
      </c>
      <c r="K1259" s="30">
        <v>3600.73</v>
      </c>
      <c r="L1259" s="30">
        <f t="shared" si="103"/>
        <v>636.41</v>
      </c>
      <c r="M1259" s="30">
        <f t="shared" si="103"/>
        <v>3600.73</v>
      </c>
      <c r="N1259" s="30">
        <f>ROUND('Смета ЕР (общ) '!$I1259*'Смета ЕР (общ) '!$L1259,2)</f>
        <v>0</v>
      </c>
      <c r="O1259" s="30">
        <f>ROUND('Смета ЕР (общ) '!$I1259*'Смета ЕР (общ) '!$M1259,2)</f>
        <v>0</v>
      </c>
      <c r="P1259" s="45"/>
    </row>
    <row r="1260" spans="1:16" ht="34.5" hidden="1" customHeight="1" x14ac:dyDescent="0.3">
      <c r="A1260" s="26" t="s">
        <v>1170</v>
      </c>
      <c r="B1260" s="26">
        <v>2</v>
      </c>
      <c r="C1260" s="26"/>
      <c r="D1260" s="26">
        <v>132</v>
      </c>
      <c r="E1260" s="26" t="str">
        <f>CONCATENATE('Смета ЕР (общ) '!$A1260,".",'Смета ЕР (общ) '!$B1260,".",'Смета ЕР (общ) '!$D1260)</f>
        <v>Р9.2.132</v>
      </c>
      <c r="F1260" s="26">
        <f t="shared" si="104"/>
        <v>1</v>
      </c>
      <c r="G1260" s="27" t="s">
        <v>1337</v>
      </c>
      <c r="H1260" s="28" t="s">
        <v>118</v>
      </c>
      <c r="I1260" s="158"/>
      <c r="J1260" s="30">
        <v>636.41</v>
      </c>
      <c r="K1260" s="30">
        <v>3899.62</v>
      </c>
      <c r="L1260" s="30">
        <f t="shared" si="103"/>
        <v>636.41</v>
      </c>
      <c r="M1260" s="30">
        <f t="shared" si="103"/>
        <v>3899.62</v>
      </c>
      <c r="N1260" s="30">
        <f>ROUND('Смета ЕР (общ) '!$I1260*'Смета ЕР (общ) '!$L1260,2)</f>
        <v>0</v>
      </c>
      <c r="O1260" s="30">
        <f>ROUND('Смета ЕР (общ) '!$I1260*'Смета ЕР (общ) '!$M1260,2)</f>
        <v>0</v>
      </c>
      <c r="P1260" s="45"/>
    </row>
    <row r="1261" spans="1:16" ht="34.5" hidden="1" customHeight="1" x14ac:dyDescent="0.3">
      <c r="A1261" s="26" t="s">
        <v>1170</v>
      </c>
      <c r="B1261" s="26">
        <v>2</v>
      </c>
      <c r="C1261" s="26"/>
      <c r="D1261" s="26">
        <v>133</v>
      </c>
      <c r="E1261" s="26" t="str">
        <f>CONCATENATE('Смета ЕР (общ) '!$A1261,".",'Смета ЕР (общ) '!$B1261,".",'Смета ЕР (общ) '!$D1261)</f>
        <v>Р9.2.133</v>
      </c>
      <c r="F1261" s="26">
        <f t="shared" si="104"/>
        <v>1</v>
      </c>
      <c r="G1261" s="27" t="s">
        <v>1338</v>
      </c>
      <c r="H1261" s="28" t="s">
        <v>118</v>
      </c>
      <c r="I1261" s="158"/>
      <c r="J1261" s="30">
        <v>922.83</v>
      </c>
      <c r="K1261" s="30">
        <v>23067.78</v>
      </c>
      <c r="L1261" s="30">
        <f t="shared" si="103"/>
        <v>922.83</v>
      </c>
      <c r="M1261" s="30">
        <f t="shared" si="103"/>
        <v>23067.78</v>
      </c>
      <c r="N1261" s="30">
        <f>ROUND('Смета ЕР (общ) '!$I1261*'Смета ЕР (общ) '!$L1261,2)</f>
        <v>0</v>
      </c>
      <c r="O1261" s="30">
        <f>ROUND('Смета ЕР (общ) '!$I1261*'Смета ЕР (общ) '!$M1261,2)</f>
        <v>0</v>
      </c>
      <c r="P1261" s="45"/>
    </row>
    <row r="1262" spans="1:16" ht="34.5" hidden="1" customHeight="1" x14ac:dyDescent="0.3">
      <c r="A1262" s="26" t="s">
        <v>1170</v>
      </c>
      <c r="B1262" s="26">
        <v>2</v>
      </c>
      <c r="C1262" s="26"/>
      <c r="D1262" s="26">
        <v>134</v>
      </c>
      <c r="E1262" s="26" t="str">
        <f>CONCATENATE('Смета ЕР (общ) '!$A1262,".",'Смета ЕР (общ) '!$B1262,".",'Смета ЕР (общ) '!$D1262)</f>
        <v>Р9.2.134</v>
      </c>
      <c r="F1262" s="26">
        <f t="shared" si="104"/>
        <v>1</v>
      </c>
      <c r="G1262" s="27" t="s">
        <v>1339</v>
      </c>
      <c r="H1262" s="28" t="s">
        <v>118</v>
      </c>
      <c r="I1262" s="158"/>
      <c r="J1262" s="30">
        <v>922.83</v>
      </c>
      <c r="K1262" s="30">
        <v>22887.98</v>
      </c>
      <c r="L1262" s="30">
        <f t="shared" si="103"/>
        <v>922.83</v>
      </c>
      <c r="M1262" s="30">
        <f t="shared" si="103"/>
        <v>22887.98</v>
      </c>
      <c r="N1262" s="30">
        <f>ROUND('Смета ЕР (общ) '!$I1262*'Смета ЕР (общ) '!$L1262,2)</f>
        <v>0</v>
      </c>
      <c r="O1262" s="30">
        <f>ROUND('Смета ЕР (общ) '!$I1262*'Смета ЕР (общ) '!$M1262,2)</f>
        <v>0</v>
      </c>
      <c r="P1262" s="45"/>
    </row>
    <row r="1263" spans="1:16" ht="34.5" hidden="1" customHeight="1" x14ac:dyDescent="0.3">
      <c r="A1263" s="26" t="s">
        <v>1170</v>
      </c>
      <c r="B1263" s="26">
        <v>2</v>
      </c>
      <c r="C1263" s="26"/>
      <c r="D1263" s="26">
        <v>135</v>
      </c>
      <c r="E1263" s="26" t="str">
        <f>CONCATENATE('Смета ЕР (общ) '!$A1263,".",'Смета ЕР (общ) '!$B1263,".",'Смета ЕР (общ) '!$D1263)</f>
        <v>Р9.2.135</v>
      </c>
      <c r="F1263" s="26">
        <f t="shared" si="104"/>
        <v>1</v>
      </c>
      <c r="G1263" s="27" t="s">
        <v>1340</v>
      </c>
      <c r="H1263" s="28" t="s">
        <v>118</v>
      </c>
      <c r="I1263" s="158"/>
      <c r="J1263" s="30">
        <v>1087.83</v>
      </c>
      <c r="K1263" s="30">
        <v>22432.19</v>
      </c>
      <c r="L1263" s="30">
        <f t="shared" si="103"/>
        <v>1087.83</v>
      </c>
      <c r="M1263" s="30">
        <f t="shared" si="103"/>
        <v>22432.19</v>
      </c>
      <c r="N1263" s="30">
        <f>ROUND('Смета ЕР (общ) '!$I1263*'Смета ЕР (общ) '!$L1263,2)</f>
        <v>0</v>
      </c>
      <c r="O1263" s="30">
        <f>ROUND('Смета ЕР (общ) '!$I1263*'Смета ЕР (общ) '!$M1263,2)</f>
        <v>0</v>
      </c>
      <c r="P1263" s="45"/>
    </row>
    <row r="1264" spans="1:16" ht="34.5" hidden="1" customHeight="1" x14ac:dyDescent="0.3">
      <c r="A1264" s="26" t="s">
        <v>1170</v>
      </c>
      <c r="B1264" s="26">
        <v>2</v>
      </c>
      <c r="C1264" s="26"/>
      <c r="D1264" s="26">
        <v>136</v>
      </c>
      <c r="E1264" s="26" t="str">
        <f>CONCATENATE('Смета ЕР (общ) '!$A1264,".",'Смета ЕР (общ) '!$B1264,".",'Смета ЕР (общ) '!$D1264)</f>
        <v>Р9.2.136</v>
      </c>
      <c r="F1264" s="26">
        <f t="shared" si="104"/>
        <v>1</v>
      </c>
      <c r="G1264" s="27" t="s">
        <v>1341</v>
      </c>
      <c r="H1264" s="28" t="s">
        <v>118</v>
      </c>
      <c r="I1264" s="158"/>
      <c r="J1264" s="30">
        <v>1245.3800000000001</v>
      </c>
      <c r="K1264" s="30">
        <v>22932.26</v>
      </c>
      <c r="L1264" s="30">
        <f t="shared" si="103"/>
        <v>1245.3800000000001</v>
      </c>
      <c r="M1264" s="30">
        <f t="shared" si="103"/>
        <v>22932.26</v>
      </c>
      <c r="N1264" s="30">
        <f>ROUND('Смета ЕР (общ) '!$I1264*'Смета ЕР (общ) '!$L1264,2)</f>
        <v>0</v>
      </c>
      <c r="O1264" s="30">
        <f>ROUND('Смета ЕР (общ) '!$I1264*'Смета ЕР (общ) '!$M1264,2)</f>
        <v>0</v>
      </c>
      <c r="P1264" s="45"/>
    </row>
    <row r="1265" spans="1:16" ht="34.5" hidden="1" customHeight="1" x14ac:dyDescent="0.3">
      <c r="A1265" s="26" t="s">
        <v>1170</v>
      </c>
      <c r="B1265" s="26">
        <v>2</v>
      </c>
      <c r="C1265" s="26"/>
      <c r="D1265" s="26">
        <v>137</v>
      </c>
      <c r="E1265" s="26" t="str">
        <f>CONCATENATE('Смета ЕР (общ) '!$A1265,".",'Смета ЕР (общ) '!$B1265,".",'Смета ЕР (общ) '!$D1265)</f>
        <v>Р9.2.137</v>
      </c>
      <c r="F1265" s="26">
        <f t="shared" si="104"/>
        <v>1</v>
      </c>
      <c r="G1265" s="27" t="s">
        <v>1342</v>
      </c>
      <c r="H1265" s="28" t="s">
        <v>118</v>
      </c>
      <c r="I1265" s="158"/>
      <c r="J1265" s="30">
        <v>1420.16</v>
      </c>
      <c r="K1265" s="30">
        <v>23207.45</v>
      </c>
      <c r="L1265" s="30">
        <f t="shared" si="103"/>
        <v>1420.16</v>
      </c>
      <c r="M1265" s="30">
        <f t="shared" si="103"/>
        <v>23207.45</v>
      </c>
      <c r="N1265" s="30">
        <f>ROUND('Смета ЕР (общ) '!$I1265*'Смета ЕР (общ) '!$L1265,2)</f>
        <v>0</v>
      </c>
      <c r="O1265" s="30">
        <f>ROUND('Смета ЕР (общ) '!$I1265*'Смета ЕР (общ) '!$M1265,2)</f>
        <v>0</v>
      </c>
      <c r="P1265" s="45"/>
    </row>
    <row r="1266" spans="1:16" ht="34.5" hidden="1" customHeight="1" x14ac:dyDescent="0.3">
      <c r="A1266" s="26" t="s">
        <v>1170</v>
      </c>
      <c r="B1266" s="26">
        <v>2</v>
      </c>
      <c r="C1266" s="26"/>
      <c r="D1266" s="26">
        <v>138</v>
      </c>
      <c r="E1266" s="26" t="str">
        <f>CONCATENATE('Смета ЕР (общ) '!$A1266,".",'Смета ЕР (общ) '!$B1266,".",'Смета ЕР (общ) '!$D1266)</f>
        <v>Р9.2.138</v>
      </c>
      <c r="F1266" s="26">
        <f t="shared" si="104"/>
        <v>1</v>
      </c>
      <c r="G1266" s="27" t="s">
        <v>1343</v>
      </c>
      <c r="H1266" s="28" t="s">
        <v>118</v>
      </c>
      <c r="I1266" s="158"/>
      <c r="J1266" s="30">
        <v>1673.5</v>
      </c>
      <c r="K1266" s="30">
        <v>22575.84</v>
      </c>
      <c r="L1266" s="30">
        <f t="shared" si="103"/>
        <v>1673.5</v>
      </c>
      <c r="M1266" s="30">
        <f t="shared" si="103"/>
        <v>22575.84</v>
      </c>
      <c r="N1266" s="30">
        <f>ROUND('Смета ЕР (общ) '!$I1266*'Смета ЕР (общ) '!$L1266,2)</f>
        <v>0</v>
      </c>
      <c r="O1266" s="30">
        <f>ROUND('Смета ЕР (общ) '!$I1266*'Смета ЕР (общ) '!$M1266,2)</f>
        <v>0</v>
      </c>
      <c r="P1266" s="45"/>
    </row>
    <row r="1267" spans="1:16" ht="34.5" hidden="1" customHeight="1" x14ac:dyDescent="0.3">
      <c r="A1267" s="26" t="s">
        <v>1170</v>
      </c>
      <c r="B1267" s="26">
        <v>2</v>
      </c>
      <c r="C1267" s="26"/>
      <c r="D1267" s="26">
        <v>139</v>
      </c>
      <c r="E1267" s="26" t="str">
        <f>CONCATENATE('Смета ЕР (общ) '!$A1267,".",'Смета ЕР (общ) '!$B1267,".",'Смета ЕР (общ) '!$D1267)</f>
        <v>Р9.2.139</v>
      </c>
      <c r="F1267" s="26">
        <f t="shared" si="104"/>
        <v>1</v>
      </c>
      <c r="G1267" s="27" t="s">
        <v>1344</v>
      </c>
      <c r="H1267" s="28" t="s">
        <v>118</v>
      </c>
      <c r="I1267" s="158"/>
      <c r="J1267" s="30">
        <v>2198.61</v>
      </c>
      <c r="K1267" s="30">
        <v>22548.12</v>
      </c>
      <c r="L1267" s="30">
        <f t="shared" si="103"/>
        <v>2198.61</v>
      </c>
      <c r="M1267" s="30">
        <f t="shared" si="103"/>
        <v>22548.12</v>
      </c>
      <c r="N1267" s="30">
        <f>ROUND('Смета ЕР (общ) '!$I1267*'Смета ЕР (общ) '!$L1267,2)</f>
        <v>0</v>
      </c>
      <c r="O1267" s="30">
        <f>ROUND('Смета ЕР (общ) '!$I1267*'Смета ЕР (общ) '!$M1267,2)</f>
        <v>0</v>
      </c>
      <c r="P1267" s="45"/>
    </row>
    <row r="1268" spans="1:16" ht="34.5" hidden="1" customHeight="1" x14ac:dyDescent="0.3">
      <c r="A1268" s="26" t="s">
        <v>1170</v>
      </c>
      <c r="B1268" s="26">
        <v>2</v>
      </c>
      <c r="C1268" s="26"/>
      <c r="D1268" s="26">
        <v>140</v>
      </c>
      <c r="E1268" s="26" t="str">
        <f>CONCATENATE('Смета ЕР (общ) '!$A1268,".",'Смета ЕР (общ) '!$B1268,".",'Смета ЕР (общ) '!$D1268)</f>
        <v>Р9.2.140</v>
      </c>
      <c r="F1268" s="26">
        <f t="shared" si="104"/>
        <v>1</v>
      </c>
      <c r="G1268" s="27" t="s">
        <v>1345</v>
      </c>
      <c r="H1268" s="28" t="s">
        <v>118</v>
      </c>
      <c r="I1268" s="158"/>
      <c r="J1268" s="30">
        <v>2198.61</v>
      </c>
      <c r="K1268" s="30">
        <v>22049.18</v>
      </c>
      <c r="L1268" s="30">
        <f t="shared" si="103"/>
        <v>2198.61</v>
      </c>
      <c r="M1268" s="30">
        <f t="shared" si="103"/>
        <v>22049.18</v>
      </c>
      <c r="N1268" s="30">
        <f>ROUND('Смета ЕР (общ) '!$I1268*'Смета ЕР (общ) '!$L1268,2)</f>
        <v>0</v>
      </c>
      <c r="O1268" s="30">
        <f>ROUND('Смета ЕР (общ) '!$I1268*'Смета ЕР (общ) '!$M1268,2)</f>
        <v>0</v>
      </c>
      <c r="P1268" s="45"/>
    </row>
    <row r="1269" spans="1:16" ht="34.5" hidden="1" customHeight="1" x14ac:dyDescent="0.3">
      <c r="A1269" s="26" t="s">
        <v>1170</v>
      </c>
      <c r="B1269" s="26">
        <v>2</v>
      </c>
      <c r="C1269" s="26"/>
      <c r="D1269" s="26">
        <v>141</v>
      </c>
      <c r="E1269" s="26" t="str">
        <f>CONCATENATE('Смета ЕР (общ) '!$A1269,".",'Смета ЕР (общ) '!$B1269,".",'Смета ЕР (общ) '!$D1269)</f>
        <v>Р9.2.141</v>
      </c>
      <c r="F1269" s="26">
        <f t="shared" si="104"/>
        <v>1</v>
      </c>
      <c r="G1269" s="27" t="s">
        <v>1346</v>
      </c>
      <c r="H1269" s="28" t="s">
        <v>118</v>
      </c>
      <c r="I1269" s="158"/>
      <c r="J1269" s="30">
        <v>2251.13</v>
      </c>
      <c r="K1269" s="30">
        <v>22342.42</v>
      </c>
      <c r="L1269" s="30">
        <f t="shared" si="103"/>
        <v>2251.13</v>
      </c>
      <c r="M1269" s="30">
        <f t="shared" si="103"/>
        <v>22342.42</v>
      </c>
      <c r="N1269" s="30">
        <f>ROUND('Смета ЕР (общ) '!$I1269*'Смета ЕР (общ) '!$L1269,2)</f>
        <v>0</v>
      </c>
      <c r="O1269" s="30">
        <f>ROUND('Смета ЕР (общ) '!$I1269*'Смета ЕР (общ) '!$M1269,2)</f>
        <v>0</v>
      </c>
      <c r="P1269" s="45"/>
    </row>
    <row r="1270" spans="1:16" ht="34.5" hidden="1" customHeight="1" x14ac:dyDescent="0.3">
      <c r="A1270" s="26" t="s">
        <v>1170</v>
      </c>
      <c r="B1270" s="26">
        <v>2</v>
      </c>
      <c r="C1270" s="26"/>
      <c r="D1270" s="26">
        <v>142</v>
      </c>
      <c r="E1270" s="26" t="str">
        <f>CONCATENATE('Смета ЕР (общ) '!$A1270,".",'Смета ЕР (общ) '!$B1270,".",'Смета ЕР (общ) '!$D1270)</f>
        <v>Р9.2.142</v>
      </c>
      <c r="F1270" s="26">
        <f t="shared" si="104"/>
        <v>1</v>
      </c>
      <c r="G1270" s="27" t="s">
        <v>1347</v>
      </c>
      <c r="H1270" s="28" t="s">
        <v>118</v>
      </c>
      <c r="I1270" s="158"/>
      <c r="J1270" s="30">
        <v>2251.13</v>
      </c>
      <c r="K1270" s="30">
        <v>22177.47</v>
      </c>
      <c r="L1270" s="30">
        <f t="shared" si="103"/>
        <v>2251.13</v>
      </c>
      <c r="M1270" s="30">
        <f t="shared" si="103"/>
        <v>22177.47</v>
      </c>
      <c r="N1270" s="30">
        <f>ROUND('Смета ЕР (общ) '!$I1270*'Смета ЕР (общ) '!$L1270,2)</f>
        <v>0</v>
      </c>
      <c r="O1270" s="30">
        <f>ROUND('Смета ЕР (общ) '!$I1270*'Смета ЕР (общ) '!$M1270,2)</f>
        <v>0</v>
      </c>
      <c r="P1270" s="45"/>
    </row>
    <row r="1271" spans="1:16" ht="34.5" hidden="1" customHeight="1" x14ac:dyDescent="0.3">
      <c r="A1271" s="26" t="s">
        <v>1170</v>
      </c>
      <c r="B1271" s="26">
        <v>2</v>
      </c>
      <c r="C1271" s="26"/>
      <c r="D1271" s="26">
        <v>143</v>
      </c>
      <c r="E1271" s="26" t="str">
        <f>CONCATENATE('Смета ЕР (общ) '!$A1271,".",'Смета ЕР (общ) '!$B1271,".",'Смета ЕР (общ) '!$D1271)</f>
        <v>Р9.2.143</v>
      </c>
      <c r="F1271" s="26">
        <f t="shared" si="104"/>
        <v>1</v>
      </c>
      <c r="G1271" s="27" t="s">
        <v>1348</v>
      </c>
      <c r="H1271" s="28" t="s">
        <v>118</v>
      </c>
      <c r="I1271" s="158"/>
      <c r="J1271" s="30">
        <v>2878.97</v>
      </c>
      <c r="K1271" s="30">
        <v>32085.01</v>
      </c>
      <c r="L1271" s="30">
        <f t="shared" si="103"/>
        <v>2878.97</v>
      </c>
      <c r="M1271" s="30">
        <f t="shared" si="103"/>
        <v>32085.01</v>
      </c>
      <c r="N1271" s="30">
        <f>ROUND('Смета ЕР (общ) '!$I1271*'Смета ЕР (общ) '!$L1271,2)</f>
        <v>0</v>
      </c>
      <c r="O1271" s="30">
        <f>ROUND('Смета ЕР (общ) '!$I1271*'Смета ЕР (общ) '!$M1271,2)</f>
        <v>0</v>
      </c>
      <c r="P1271" s="45"/>
    </row>
    <row r="1272" spans="1:16" ht="34.5" hidden="1" customHeight="1" x14ac:dyDescent="0.3">
      <c r="A1272" s="26" t="s">
        <v>1170</v>
      </c>
      <c r="B1272" s="26">
        <v>2</v>
      </c>
      <c r="C1272" s="26"/>
      <c r="D1272" s="26">
        <v>299</v>
      </c>
      <c r="E1272" s="26" t="str">
        <f>CONCATENATE('Смета ЕР (общ) '!$A1272,".",'Смета ЕР (общ) '!$B1272,".",'Смета ЕР (общ) '!$D1272)</f>
        <v>Р9.2.299</v>
      </c>
      <c r="F1272" s="26">
        <f t="shared" si="104"/>
        <v>1</v>
      </c>
      <c r="G1272" s="27" t="s">
        <v>1349</v>
      </c>
      <c r="H1272" s="28" t="s">
        <v>118</v>
      </c>
      <c r="I1272" s="158"/>
      <c r="J1272" s="30">
        <v>577.62</v>
      </c>
      <c r="K1272" s="30">
        <v>4841.03</v>
      </c>
      <c r="L1272" s="30">
        <f t="shared" si="103"/>
        <v>577.62</v>
      </c>
      <c r="M1272" s="30">
        <f t="shared" si="103"/>
        <v>4841.03</v>
      </c>
      <c r="N1272" s="30">
        <f>ROUND('Смета ЕР (общ) '!$I1272*'Смета ЕР (общ) '!$L1272,2)</f>
        <v>0</v>
      </c>
      <c r="O1272" s="30">
        <f>ROUND('Смета ЕР (общ) '!$I1272*'Смета ЕР (общ) '!$M1272,2)</f>
        <v>0</v>
      </c>
      <c r="P1272" s="45"/>
    </row>
    <row r="1273" spans="1:16" ht="34.5" hidden="1" customHeight="1" x14ac:dyDescent="0.3">
      <c r="A1273" s="26" t="s">
        <v>1170</v>
      </c>
      <c r="B1273" s="26">
        <v>2</v>
      </c>
      <c r="C1273" s="26"/>
      <c r="D1273" s="26">
        <v>300</v>
      </c>
      <c r="E1273" s="26" t="str">
        <f>CONCATENATE('Смета ЕР (общ) '!$A1273,".",'Смета ЕР (общ) '!$B1273,".",'Смета ЕР (общ) '!$D1273)</f>
        <v>Р9.2.300</v>
      </c>
      <c r="F1273" s="26">
        <f t="shared" si="104"/>
        <v>1</v>
      </c>
      <c r="G1273" s="27" t="s">
        <v>1350</v>
      </c>
      <c r="H1273" s="28" t="s">
        <v>118</v>
      </c>
      <c r="I1273" s="158"/>
      <c r="J1273" s="30">
        <v>577.62</v>
      </c>
      <c r="K1273" s="30">
        <v>3714.55</v>
      </c>
      <c r="L1273" s="30">
        <f t="shared" si="103"/>
        <v>577.62</v>
      </c>
      <c r="M1273" s="30">
        <f t="shared" si="103"/>
        <v>3714.55</v>
      </c>
      <c r="N1273" s="30">
        <f>ROUND('Смета ЕР (общ) '!$I1273*'Смета ЕР (общ) '!$L1273,2)</f>
        <v>0</v>
      </c>
      <c r="O1273" s="30">
        <f>ROUND('Смета ЕР (общ) '!$I1273*'Смета ЕР (общ) '!$M1273,2)</f>
        <v>0</v>
      </c>
      <c r="P1273" s="45"/>
    </row>
    <row r="1274" spans="1:16" ht="34.5" hidden="1" customHeight="1" x14ac:dyDescent="0.3">
      <c r="A1274" s="26" t="s">
        <v>1170</v>
      </c>
      <c r="B1274" s="26">
        <v>2</v>
      </c>
      <c r="C1274" s="26"/>
      <c r="D1274" s="26">
        <v>301</v>
      </c>
      <c r="E1274" s="26" t="str">
        <f>CONCATENATE('Смета ЕР (общ) '!$A1274,".",'Смета ЕР (общ) '!$B1274,".",'Смета ЕР (общ) '!$D1274)</f>
        <v>Р9.2.301</v>
      </c>
      <c r="F1274" s="26">
        <f t="shared" si="104"/>
        <v>1</v>
      </c>
      <c r="G1274" s="27" t="s">
        <v>1351</v>
      </c>
      <c r="H1274" s="28" t="s">
        <v>118</v>
      </c>
      <c r="I1274" s="158"/>
      <c r="J1274" s="30">
        <v>577.62</v>
      </c>
      <c r="K1274" s="30">
        <v>4420.3</v>
      </c>
      <c r="L1274" s="30">
        <f t="shared" si="103"/>
        <v>577.62</v>
      </c>
      <c r="M1274" s="30">
        <f t="shared" si="103"/>
        <v>4420.3</v>
      </c>
      <c r="N1274" s="30">
        <f>ROUND('Смета ЕР (общ) '!$I1274*'Смета ЕР (общ) '!$L1274,2)</f>
        <v>0</v>
      </c>
      <c r="O1274" s="30">
        <f>ROUND('Смета ЕР (общ) '!$I1274*'Смета ЕР (общ) '!$M1274,2)</f>
        <v>0</v>
      </c>
      <c r="P1274" s="45"/>
    </row>
    <row r="1275" spans="1:16" ht="34.5" hidden="1" customHeight="1" x14ac:dyDescent="0.3">
      <c r="A1275" s="26" t="s">
        <v>1170</v>
      </c>
      <c r="B1275" s="26">
        <v>2</v>
      </c>
      <c r="C1275" s="26"/>
      <c r="D1275" s="26">
        <v>302</v>
      </c>
      <c r="E1275" s="26" t="str">
        <f>CONCATENATE('Смета ЕР (общ) '!$A1275,".",'Смета ЕР (общ) '!$B1275,".",'Смета ЕР (общ) '!$D1275)</f>
        <v>Р9.2.302</v>
      </c>
      <c r="F1275" s="26">
        <f t="shared" si="104"/>
        <v>1</v>
      </c>
      <c r="G1275" s="27" t="s">
        <v>1352</v>
      </c>
      <c r="H1275" s="28" t="s">
        <v>118</v>
      </c>
      <c r="I1275" s="158"/>
      <c r="J1275" s="30">
        <v>577.62</v>
      </c>
      <c r="K1275" s="30">
        <v>4017.31</v>
      </c>
      <c r="L1275" s="30">
        <f t="shared" si="103"/>
        <v>577.62</v>
      </c>
      <c r="M1275" s="30">
        <f t="shared" si="103"/>
        <v>4017.31</v>
      </c>
      <c r="N1275" s="30">
        <f>ROUND('Смета ЕР (общ) '!$I1275*'Смета ЕР (общ) '!$L1275,2)</f>
        <v>0</v>
      </c>
      <c r="O1275" s="30">
        <f>ROUND('Смета ЕР (общ) '!$I1275*'Смета ЕР (общ) '!$M1275,2)</f>
        <v>0</v>
      </c>
      <c r="P1275" s="45"/>
    </row>
    <row r="1276" spans="1:16" ht="34.5" hidden="1" customHeight="1" x14ac:dyDescent="0.3">
      <c r="A1276" s="26" t="s">
        <v>1170</v>
      </c>
      <c r="B1276" s="26">
        <v>2</v>
      </c>
      <c r="C1276" s="26"/>
      <c r="D1276" s="26">
        <v>303</v>
      </c>
      <c r="E1276" s="26" t="str">
        <f>CONCATENATE('Смета ЕР (общ) '!$A1276,".",'Смета ЕР (общ) '!$B1276,".",'Смета ЕР (общ) '!$D1276)</f>
        <v>Р9.2.303</v>
      </c>
      <c r="F1276" s="26">
        <f t="shared" si="104"/>
        <v>1</v>
      </c>
      <c r="G1276" s="27" t="s">
        <v>1353</v>
      </c>
      <c r="H1276" s="28" t="s">
        <v>118</v>
      </c>
      <c r="I1276" s="158"/>
      <c r="J1276" s="30">
        <v>636.41</v>
      </c>
      <c r="K1276" s="30">
        <v>5445.5</v>
      </c>
      <c r="L1276" s="30">
        <f t="shared" si="103"/>
        <v>636.41</v>
      </c>
      <c r="M1276" s="30">
        <f t="shared" si="103"/>
        <v>5445.5</v>
      </c>
      <c r="N1276" s="30">
        <f>ROUND('Смета ЕР (общ) '!$I1276*'Смета ЕР (общ) '!$L1276,2)</f>
        <v>0</v>
      </c>
      <c r="O1276" s="30">
        <f>ROUND('Смета ЕР (общ) '!$I1276*'Смета ЕР (общ) '!$M1276,2)</f>
        <v>0</v>
      </c>
      <c r="P1276" s="45"/>
    </row>
    <row r="1277" spans="1:16" ht="34.5" hidden="1" customHeight="1" x14ac:dyDescent="0.3">
      <c r="A1277" s="26" t="s">
        <v>1170</v>
      </c>
      <c r="B1277" s="26">
        <v>2</v>
      </c>
      <c r="C1277" s="26"/>
      <c r="D1277" s="26">
        <v>304</v>
      </c>
      <c r="E1277" s="26" t="str">
        <f>CONCATENATE('Смета ЕР (общ) '!$A1277,".",'Смета ЕР (общ) '!$B1277,".",'Смета ЕР (общ) '!$D1277)</f>
        <v>Р9.2.304</v>
      </c>
      <c r="F1277" s="26">
        <f t="shared" si="104"/>
        <v>1</v>
      </c>
      <c r="G1277" s="27" t="s">
        <v>1354</v>
      </c>
      <c r="H1277" s="28" t="s">
        <v>118</v>
      </c>
      <c r="I1277" s="158"/>
      <c r="J1277" s="30">
        <v>636.41</v>
      </c>
      <c r="K1277" s="30">
        <v>5445.5</v>
      </c>
      <c r="L1277" s="30">
        <f t="shared" si="103"/>
        <v>636.41</v>
      </c>
      <c r="M1277" s="30">
        <f t="shared" si="103"/>
        <v>5445.5</v>
      </c>
      <c r="N1277" s="30">
        <f>ROUND('Смета ЕР (общ) '!$I1277*'Смета ЕР (общ) '!$L1277,2)</f>
        <v>0</v>
      </c>
      <c r="O1277" s="30">
        <f>ROUND('Смета ЕР (общ) '!$I1277*'Смета ЕР (общ) '!$M1277,2)</f>
        <v>0</v>
      </c>
      <c r="P1277" s="45"/>
    </row>
    <row r="1278" spans="1:16" ht="34.5" hidden="1" customHeight="1" x14ac:dyDescent="0.3">
      <c r="A1278" s="26" t="s">
        <v>1170</v>
      </c>
      <c r="B1278" s="26">
        <v>2</v>
      </c>
      <c r="C1278" s="26"/>
      <c r="D1278" s="26">
        <v>305</v>
      </c>
      <c r="E1278" s="26" t="str">
        <f>CONCATENATE('Смета ЕР (общ) '!$A1278,".",'Смета ЕР (общ) '!$B1278,".",'Смета ЕР (общ) '!$D1278)</f>
        <v>Р9.2.305</v>
      </c>
      <c r="F1278" s="26">
        <f t="shared" si="104"/>
        <v>1</v>
      </c>
      <c r="G1278" s="33" t="s">
        <v>1355</v>
      </c>
      <c r="H1278" s="28" t="s">
        <v>118</v>
      </c>
      <c r="I1278" s="158"/>
      <c r="J1278" s="30">
        <v>577.62</v>
      </c>
      <c r="K1278" s="30">
        <v>7969.9</v>
      </c>
      <c r="L1278" s="30">
        <f t="shared" si="103"/>
        <v>577.62</v>
      </c>
      <c r="M1278" s="30">
        <f t="shared" si="103"/>
        <v>7969.9</v>
      </c>
      <c r="N1278" s="30">
        <f>ROUND('Смета ЕР (общ) '!$I1278*'Смета ЕР (общ) '!$L1278,2)</f>
        <v>0</v>
      </c>
      <c r="O1278" s="30">
        <f>ROUND('Смета ЕР (общ) '!$I1278*'Смета ЕР (общ) '!$M1278,2)</f>
        <v>0</v>
      </c>
      <c r="P1278" s="45"/>
    </row>
    <row r="1279" spans="1:16" ht="34.5" hidden="1" customHeight="1" x14ac:dyDescent="0.3">
      <c r="A1279" s="26" t="s">
        <v>1170</v>
      </c>
      <c r="B1279" s="26">
        <v>2</v>
      </c>
      <c r="C1279" s="26"/>
      <c r="D1279" s="26">
        <v>306</v>
      </c>
      <c r="E1279" s="26" t="str">
        <f>CONCATENATE('Смета ЕР (общ) '!$A1279,".",'Смета ЕР (общ) '!$B1279,".",'Смета ЕР (общ) '!$D1279)</f>
        <v>Р9.2.306</v>
      </c>
      <c r="F1279" s="26">
        <f t="shared" si="104"/>
        <v>1</v>
      </c>
      <c r="G1279" s="33" t="s">
        <v>1356</v>
      </c>
      <c r="H1279" s="28" t="s">
        <v>118</v>
      </c>
      <c r="I1279" s="158"/>
      <c r="J1279" s="30">
        <v>577.62</v>
      </c>
      <c r="K1279" s="30">
        <v>1957.5</v>
      </c>
      <c r="L1279" s="30">
        <f t="shared" si="103"/>
        <v>577.62</v>
      </c>
      <c r="M1279" s="30">
        <f t="shared" si="103"/>
        <v>1957.5</v>
      </c>
      <c r="N1279" s="30">
        <f>ROUND('Смета ЕР (общ) '!$I1279*'Смета ЕР (общ) '!$L1279,2)</f>
        <v>0</v>
      </c>
      <c r="O1279" s="30">
        <f>ROUND('Смета ЕР (общ) '!$I1279*'Смета ЕР (общ) '!$M1279,2)</f>
        <v>0</v>
      </c>
      <c r="P1279" s="45"/>
    </row>
    <row r="1280" spans="1:16" ht="34.5" hidden="1" customHeight="1" x14ac:dyDescent="0.3">
      <c r="A1280" s="26" t="s">
        <v>1170</v>
      </c>
      <c r="B1280" s="26">
        <v>2</v>
      </c>
      <c r="C1280" s="26"/>
      <c r="D1280" s="26">
        <v>307</v>
      </c>
      <c r="E1280" s="26" t="str">
        <f>CONCATENATE('Смета ЕР (общ) '!$A1280,".",'Смета ЕР (общ) '!$B1280,".",'Смета ЕР (общ) '!$D1280)</f>
        <v>Р9.2.307</v>
      </c>
      <c r="F1280" s="26">
        <f t="shared" si="104"/>
        <v>1</v>
      </c>
      <c r="G1280" s="33" t="s">
        <v>1357</v>
      </c>
      <c r="H1280" s="28" t="s">
        <v>118</v>
      </c>
      <c r="I1280" s="158"/>
      <c r="J1280" s="30">
        <v>577.62</v>
      </c>
      <c r="K1280" s="30">
        <v>8037.76</v>
      </c>
      <c r="L1280" s="30">
        <f t="shared" si="103"/>
        <v>577.62</v>
      </c>
      <c r="M1280" s="30">
        <f t="shared" si="103"/>
        <v>8037.76</v>
      </c>
      <c r="N1280" s="30">
        <f>ROUND('Смета ЕР (общ) '!$I1280*'Смета ЕР (общ) '!$L1280,2)</f>
        <v>0</v>
      </c>
      <c r="O1280" s="30">
        <f>ROUND('Смета ЕР (общ) '!$I1280*'Смета ЕР (общ) '!$M1280,2)</f>
        <v>0</v>
      </c>
      <c r="P1280" s="45"/>
    </row>
    <row r="1281" spans="1:16" ht="34.5" hidden="1" customHeight="1" x14ac:dyDescent="0.3">
      <c r="A1281" s="26" t="s">
        <v>1170</v>
      </c>
      <c r="B1281" s="26">
        <v>2</v>
      </c>
      <c r="C1281" s="26"/>
      <c r="D1281" s="26">
        <v>308</v>
      </c>
      <c r="E1281" s="26" t="str">
        <f>CONCATENATE('Смета ЕР (общ) '!$A1281,".",'Смета ЕР (общ) '!$B1281,".",'Смета ЕР (общ) '!$D1281)</f>
        <v>Р9.2.308</v>
      </c>
      <c r="F1281" s="26">
        <f t="shared" si="104"/>
        <v>1</v>
      </c>
      <c r="G1281" s="33" t="s">
        <v>1358</v>
      </c>
      <c r="H1281" s="28" t="s">
        <v>118</v>
      </c>
      <c r="I1281" s="158"/>
      <c r="J1281" s="30">
        <v>636.41</v>
      </c>
      <c r="K1281" s="30">
        <v>8110.84</v>
      </c>
      <c r="L1281" s="30">
        <f t="shared" si="103"/>
        <v>636.41</v>
      </c>
      <c r="M1281" s="30">
        <f t="shared" si="103"/>
        <v>8110.84</v>
      </c>
      <c r="N1281" s="30">
        <f>ROUND('Смета ЕР (общ) '!$I1281*'Смета ЕР (общ) '!$L1281,2)</f>
        <v>0</v>
      </c>
      <c r="O1281" s="30">
        <f>ROUND('Смета ЕР (общ) '!$I1281*'Смета ЕР (общ) '!$M1281,2)</f>
        <v>0</v>
      </c>
      <c r="P1281" s="45"/>
    </row>
    <row r="1282" spans="1:16" ht="14.4" hidden="1" x14ac:dyDescent="0.3">
      <c r="A1282" s="26" t="s">
        <v>1170</v>
      </c>
      <c r="B1282" s="26">
        <v>2</v>
      </c>
      <c r="C1282" s="26"/>
      <c r="D1282" s="26">
        <v>309</v>
      </c>
      <c r="E1282" s="26" t="str">
        <f>CONCATENATE('Смета ЕР (общ) '!$A1282,".",'Смета ЕР (общ) '!$B1282,".",'Смета ЕР (общ) '!$D1282)</f>
        <v>Р9.2.309</v>
      </c>
      <c r="F1282" s="26">
        <f t="shared" si="104"/>
        <v>1</v>
      </c>
      <c r="G1282" s="33" t="s">
        <v>1359</v>
      </c>
      <c r="H1282" s="28" t="s">
        <v>118</v>
      </c>
      <c r="I1282" s="158"/>
      <c r="J1282" s="30">
        <v>636.41</v>
      </c>
      <c r="K1282" s="30">
        <v>8187.05</v>
      </c>
      <c r="L1282" s="30">
        <f t="shared" si="103"/>
        <v>636.41</v>
      </c>
      <c r="M1282" s="30">
        <f t="shared" si="103"/>
        <v>8187.05</v>
      </c>
      <c r="N1282" s="30">
        <f>ROUND('Смета ЕР (общ) '!$I1282*'Смета ЕР (общ) '!$L1282,2)</f>
        <v>0</v>
      </c>
      <c r="O1282" s="30">
        <f>ROUND('Смета ЕР (общ) '!$I1282*'Смета ЕР (общ) '!$M1282,2)</f>
        <v>0</v>
      </c>
      <c r="P1282" s="45"/>
    </row>
    <row r="1283" spans="1:16" ht="14.4" hidden="1" x14ac:dyDescent="0.3">
      <c r="A1283" s="26" t="s">
        <v>1170</v>
      </c>
      <c r="B1283" s="26">
        <v>2</v>
      </c>
      <c r="C1283" s="26"/>
      <c r="D1283" s="26">
        <v>310</v>
      </c>
      <c r="E1283" s="26" t="str">
        <f>CONCATENATE('Смета ЕР (общ) '!$A1283,".",'Смета ЕР (общ) '!$B1283,".",'Смета ЕР (общ) '!$D1283)</f>
        <v>Р9.2.310</v>
      </c>
      <c r="F1283" s="26">
        <f t="shared" si="104"/>
        <v>1</v>
      </c>
      <c r="G1283" s="33" t="s">
        <v>1360</v>
      </c>
      <c r="H1283" s="28" t="s">
        <v>118</v>
      </c>
      <c r="I1283" s="158"/>
      <c r="J1283" s="30">
        <v>577.62</v>
      </c>
      <c r="K1283" s="30">
        <v>465.62</v>
      </c>
      <c r="L1283" s="30">
        <f t="shared" si="103"/>
        <v>577.62</v>
      </c>
      <c r="M1283" s="30">
        <f t="shared" si="103"/>
        <v>465.62</v>
      </c>
      <c r="N1283" s="30">
        <f>ROUND('Смета ЕР (общ) '!$I1283*'Смета ЕР (общ) '!$L1283,2)</f>
        <v>0</v>
      </c>
      <c r="O1283" s="30">
        <f>ROUND('Смета ЕР (общ) '!$I1283*'Смета ЕР (общ) '!$M1283,2)</f>
        <v>0</v>
      </c>
      <c r="P1283" s="45"/>
    </row>
    <row r="1284" spans="1:16" ht="14.4" hidden="1" x14ac:dyDescent="0.3">
      <c r="A1284" s="26" t="s">
        <v>1170</v>
      </c>
      <c r="B1284" s="26">
        <v>2</v>
      </c>
      <c r="C1284" s="26"/>
      <c r="D1284" s="26">
        <v>311</v>
      </c>
      <c r="E1284" s="26" t="str">
        <f>CONCATENATE('Смета ЕР (общ) '!$A1284,".",'Смета ЕР (общ) '!$B1284,".",'Смета ЕР (общ) '!$D1284)</f>
        <v>Р9.2.311</v>
      </c>
      <c r="F1284" s="26">
        <f t="shared" si="104"/>
        <v>1</v>
      </c>
      <c r="G1284" s="33" t="s">
        <v>1361</v>
      </c>
      <c r="H1284" s="28" t="s">
        <v>118</v>
      </c>
      <c r="I1284" s="158"/>
      <c r="J1284" s="30">
        <v>577.62</v>
      </c>
      <c r="K1284" s="30">
        <v>334.08</v>
      </c>
      <c r="L1284" s="30">
        <f t="shared" si="103"/>
        <v>577.62</v>
      </c>
      <c r="M1284" s="30">
        <f t="shared" si="103"/>
        <v>334.08</v>
      </c>
      <c r="N1284" s="30">
        <f>ROUND('Смета ЕР (общ) '!$I1284*'Смета ЕР (общ) '!$L1284,2)</f>
        <v>0</v>
      </c>
      <c r="O1284" s="30">
        <f>ROUND('Смета ЕР (общ) '!$I1284*'Смета ЕР (общ) '!$M1284,2)</f>
        <v>0</v>
      </c>
      <c r="P1284" s="45"/>
    </row>
    <row r="1285" spans="1:16" ht="14.4" hidden="1" x14ac:dyDescent="0.3">
      <c r="A1285" s="26" t="s">
        <v>1170</v>
      </c>
      <c r="B1285" s="26">
        <v>2</v>
      </c>
      <c r="C1285" s="26"/>
      <c r="D1285" s="26">
        <v>312</v>
      </c>
      <c r="E1285" s="26" t="str">
        <f>CONCATENATE('Смета ЕР (общ) '!$A1285,".",'Смета ЕР (общ) '!$B1285,".",'Смета ЕР (общ) '!$D1285)</f>
        <v>Р9.2.312</v>
      </c>
      <c r="F1285" s="26">
        <f t="shared" si="104"/>
        <v>1</v>
      </c>
      <c r="G1285" s="33" t="s">
        <v>1362</v>
      </c>
      <c r="H1285" s="28" t="s">
        <v>118</v>
      </c>
      <c r="I1285" s="158"/>
      <c r="J1285" s="30">
        <v>577.62</v>
      </c>
      <c r="K1285" s="30">
        <v>375.84</v>
      </c>
      <c r="L1285" s="30">
        <f t="shared" si="103"/>
        <v>577.62</v>
      </c>
      <c r="M1285" s="30">
        <f t="shared" si="103"/>
        <v>375.84</v>
      </c>
      <c r="N1285" s="30">
        <f>ROUND('Смета ЕР (общ) '!$I1285*'Смета ЕР (общ) '!$L1285,2)</f>
        <v>0</v>
      </c>
      <c r="O1285" s="30">
        <f>ROUND('Смета ЕР (общ) '!$I1285*'Смета ЕР (общ) '!$M1285,2)</f>
        <v>0</v>
      </c>
      <c r="P1285" s="45"/>
    </row>
    <row r="1286" spans="1:16" ht="14.4" hidden="1" x14ac:dyDescent="0.3">
      <c r="A1286" s="26" t="s">
        <v>1170</v>
      </c>
      <c r="B1286" s="26">
        <v>2</v>
      </c>
      <c r="C1286" s="26"/>
      <c r="D1286" s="26">
        <v>313</v>
      </c>
      <c r="E1286" s="26" t="str">
        <f>CONCATENATE('Смета ЕР (общ) '!$A1286,".",'Смета ЕР (общ) '!$B1286,".",'Смета ЕР (общ) '!$D1286)</f>
        <v>Р9.2.313</v>
      </c>
      <c r="F1286" s="26">
        <f t="shared" si="104"/>
        <v>1</v>
      </c>
      <c r="G1286" s="33" t="s">
        <v>1363</v>
      </c>
      <c r="H1286" s="28" t="s">
        <v>118</v>
      </c>
      <c r="I1286" s="158"/>
      <c r="J1286" s="30">
        <v>636.41</v>
      </c>
      <c r="K1286" s="30">
        <v>1348.85</v>
      </c>
      <c r="L1286" s="30">
        <f t="shared" si="103"/>
        <v>636.41</v>
      </c>
      <c r="M1286" s="30">
        <f t="shared" si="103"/>
        <v>1348.85</v>
      </c>
      <c r="N1286" s="30">
        <f>ROUND('Смета ЕР (общ) '!$I1286*'Смета ЕР (общ) '!$L1286,2)</f>
        <v>0</v>
      </c>
      <c r="O1286" s="30">
        <f>ROUND('Смета ЕР (общ) '!$I1286*'Смета ЕР (общ) '!$M1286,2)</f>
        <v>0</v>
      </c>
      <c r="P1286" s="45"/>
    </row>
    <row r="1287" spans="1:16" ht="14.4" hidden="1" x14ac:dyDescent="0.3">
      <c r="A1287" s="26" t="s">
        <v>1170</v>
      </c>
      <c r="B1287" s="26">
        <v>2</v>
      </c>
      <c r="C1287" s="26"/>
      <c r="D1287" s="26">
        <v>314</v>
      </c>
      <c r="E1287" s="26" t="str">
        <f>CONCATENATE('Смета ЕР (общ) '!$A1287,".",'Смета ЕР (общ) '!$B1287,".",'Смета ЕР (общ) '!$D1287)</f>
        <v>Р9.2.314</v>
      </c>
      <c r="F1287" s="26">
        <f t="shared" si="104"/>
        <v>1</v>
      </c>
      <c r="G1287" s="33" t="s">
        <v>1364</v>
      </c>
      <c r="H1287" s="28" t="s">
        <v>118</v>
      </c>
      <c r="I1287" s="158"/>
      <c r="J1287" s="30">
        <v>636.41</v>
      </c>
      <c r="K1287" s="30">
        <v>1774.8</v>
      </c>
      <c r="L1287" s="30">
        <f t="shared" si="103"/>
        <v>636.41</v>
      </c>
      <c r="M1287" s="30">
        <f t="shared" si="103"/>
        <v>1774.8</v>
      </c>
      <c r="N1287" s="30">
        <f>ROUND('Смета ЕР (общ) '!$I1287*'Смета ЕР (общ) '!$L1287,2)</f>
        <v>0</v>
      </c>
      <c r="O1287" s="30">
        <f>ROUND('Смета ЕР (общ) '!$I1287*'Смета ЕР (общ) '!$M1287,2)</f>
        <v>0</v>
      </c>
      <c r="P1287" s="45"/>
    </row>
    <row r="1288" spans="1:16" ht="14.4" hidden="1" x14ac:dyDescent="0.3">
      <c r="A1288" s="26" t="s">
        <v>1170</v>
      </c>
      <c r="B1288" s="26">
        <v>2</v>
      </c>
      <c r="C1288" s="26"/>
      <c r="D1288" s="26">
        <v>315</v>
      </c>
      <c r="E1288" s="26" t="str">
        <f>CONCATENATE('Смета ЕР (общ) '!$A1288,".",'Смета ЕР (общ) '!$B1288,".",'Смета ЕР (общ) '!$D1288)</f>
        <v>Р9.2.315</v>
      </c>
      <c r="F1288" s="26">
        <f t="shared" si="104"/>
        <v>1</v>
      </c>
      <c r="G1288" s="33" t="s">
        <v>1365</v>
      </c>
      <c r="H1288" s="28" t="s">
        <v>118</v>
      </c>
      <c r="I1288" s="158"/>
      <c r="J1288" s="30">
        <v>636.41</v>
      </c>
      <c r="K1288" s="30">
        <v>1357.2</v>
      </c>
      <c r="L1288" s="30">
        <f t="shared" si="103"/>
        <v>636.41</v>
      </c>
      <c r="M1288" s="30">
        <f t="shared" si="103"/>
        <v>1357.2</v>
      </c>
      <c r="N1288" s="30">
        <f>ROUND('Смета ЕР (общ) '!$I1288*'Смета ЕР (общ) '!$L1288,2)</f>
        <v>0</v>
      </c>
      <c r="O1288" s="30">
        <f>ROUND('Смета ЕР (общ) '!$I1288*'Смета ЕР (общ) '!$M1288,2)</f>
        <v>0</v>
      </c>
      <c r="P1288" s="45"/>
    </row>
    <row r="1289" spans="1:16" ht="14.4" hidden="1" x14ac:dyDescent="0.3">
      <c r="A1289" s="26" t="s">
        <v>1170</v>
      </c>
      <c r="B1289" s="26">
        <v>2</v>
      </c>
      <c r="C1289" s="26"/>
      <c r="D1289" s="26">
        <v>316</v>
      </c>
      <c r="E1289" s="26" t="str">
        <f>CONCATENATE('Смета ЕР (общ) '!$A1289,".",'Смета ЕР (общ) '!$B1289,".",'Смета ЕР (общ) '!$D1289)</f>
        <v>Р9.2.316</v>
      </c>
      <c r="F1289" s="26">
        <f t="shared" si="104"/>
        <v>1</v>
      </c>
      <c r="G1289" s="33" t="s">
        <v>1366</v>
      </c>
      <c r="H1289" s="28" t="s">
        <v>118</v>
      </c>
      <c r="I1289" s="158"/>
      <c r="J1289" s="30">
        <v>636.41</v>
      </c>
      <c r="K1289" s="30">
        <v>1044</v>
      </c>
      <c r="L1289" s="30">
        <f t="shared" si="103"/>
        <v>636.41</v>
      </c>
      <c r="M1289" s="30">
        <f t="shared" si="103"/>
        <v>1044</v>
      </c>
      <c r="N1289" s="30">
        <f>ROUND('Смета ЕР (общ) '!$I1289*'Смета ЕР (общ) '!$L1289,2)</f>
        <v>0</v>
      </c>
      <c r="O1289" s="30">
        <f>ROUND('Смета ЕР (общ) '!$I1289*'Смета ЕР (общ) '!$M1289,2)</f>
        <v>0</v>
      </c>
      <c r="P1289" s="45"/>
    </row>
    <row r="1290" spans="1:16" ht="14.4" hidden="1" x14ac:dyDescent="0.3">
      <c r="A1290" s="26" t="s">
        <v>1170</v>
      </c>
      <c r="B1290" s="26">
        <v>2</v>
      </c>
      <c r="C1290" s="26"/>
      <c r="D1290" s="26">
        <v>317</v>
      </c>
      <c r="E1290" s="26" t="str">
        <f>CONCATENATE('Смета ЕР (общ) '!$A1290,".",'Смета ЕР (общ) '!$B1290,".",'Смета ЕР (общ) '!$D1290)</f>
        <v>Р9.2.317</v>
      </c>
      <c r="F1290" s="26">
        <f t="shared" si="104"/>
        <v>1</v>
      </c>
      <c r="G1290" s="33" t="s">
        <v>1367</v>
      </c>
      <c r="H1290" s="28" t="s">
        <v>118</v>
      </c>
      <c r="I1290" s="158"/>
      <c r="J1290" s="30">
        <v>636.41</v>
      </c>
      <c r="K1290" s="30">
        <v>960.48</v>
      </c>
      <c r="L1290" s="30">
        <f t="shared" si="103"/>
        <v>636.41</v>
      </c>
      <c r="M1290" s="30">
        <f t="shared" si="103"/>
        <v>960.48</v>
      </c>
      <c r="N1290" s="30">
        <f>ROUND('Смета ЕР (общ) '!$I1290*'Смета ЕР (общ) '!$L1290,2)</f>
        <v>0</v>
      </c>
      <c r="O1290" s="30">
        <f>ROUND('Смета ЕР (общ) '!$I1290*'Смета ЕР (общ) '!$M1290,2)</f>
        <v>0</v>
      </c>
      <c r="P1290" s="45"/>
    </row>
    <row r="1291" spans="1:16" ht="14.4" hidden="1" x14ac:dyDescent="0.3">
      <c r="A1291" s="26" t="s">
        <v>1170</v>
      </c>
      <c r="B1291" s="26">
        <v>2</v>
      </c>
      <c r="C1291" s="26"/>
      <c r="D1291" s="26">
        <v>318</v>
      </c>
      <c r="E1291" s="26" t="str">
        <f>CONCATENATE('Смета ЕР (общ) '!$A1291,".",'Смета ЕР (общ) '!$B1291,".",'Смета ЕР (общ) '!$D1291)</f>
        <v>Р9.2.318</v>
      </c>
      <c r="F1291" s="26">
        <f t="shared" si="104"/>
        <v>1</v>
      </c>
      <c r="G1291" s="33" t="s">
        <v>1368</v>
      </c>
      <c r="H1291" s="28" t="s">
        <v>118</v>
      </c>
      <c r="I1291" s="158"/>
      <c r="J1291" s="30">
        <v>636.41</v>
      </c>
      <c r="K1291" s="30">
        <v>960.48</v>
      </c>
      <c r="L1291" s="30">
        <f t="shared" si="103"/>
        <v>636.41</v>
      </c>
      <c r="M1291" s="30">
        <f t="shared" si="103"/>
        <v>960.48</v>
      </c>
      <c r="N1291" s="30">
        <f>ROUND('Смета ЕР (общ) '!$I1291*'Смета ЕР (общ) '!$L1291,2)</f>
        <v>0</v>
      </c>
      <c r="O1291" s="30">
        <f>ROUND('Смета ЕР (общ) '!$I1291*'Смета ЕР (общ) '!$M1291,2)</f>
        <v>0</v>
      </c>
      <c r="P1291" s="45"/>
    </row>
    <row r="1292" spans="1:16" ht="14.4" hidden="1" x14ac:dyDescent="0.3">
      <c r="A1292" s="26" t="s">
        <v>1170</v>
      </c>
      <c r="B1292" s="26">
        <v>2</v>
      </c>
      <c r="C1292" s="26"/>
      <c r="D1292" s="26">
        <v>319</v>
      </c>
      <c r="E1292" s="26" t="str">
        <f>CONCATENATE('Смета ЕР (общ) '!$A1292,".",'Смета ЕР (общ) '!$B1292,".",'Смета ЕР (общ) '!$D1292)</f>
        <v>Р9.2.319</v>
      </c>
      <c r="F1292" s="26">
        <f t="shared" si="104"/>
        <v>1</v>
      </c>
      <c r="G1292" s="33" t="s">
        <v>1369</v>
      </c>
      <c r="H1292" s="28" t="s">
        <v>118</v>
      </c>
      <c r="I1292" s="158"/>
      <c r="J1292" s="30">
        <v>636.41</v>
      </c>
      <c r="K1292" s="30">
        <v>876.96</v>
      </c>
      <c r="L1292" s="30">
        <f t="shared" si="103"/>
        <v>636.41</v>
      </c>
      <c r="M1292" s="30">
        <f t="shared" si="103"/>
        <v>876.96</v>
      </c>
      <c r="N1292" s="30">
        <f>ROUND('Смета ЕР (общ) '!$I1292*'Смета ЕР (общ) '!$L1292,2)</f>
        <v>0</v>
      </c>
      <c r="O1292" s="30">
        <f>ROUND('Смета ЕР (общ) '!$I1292*'Смета ЕР (общ) '!$M1292,2)</f>
        <v>0</v>
      </c>
      <c r="P1292" s="45"/>
    </row>
    <row r="1293" spans="1:16" ht="14.4" hidden="1" x14ac:dyDescent="0.3">
      <c r="A1293" s="26" t="s">
        <v>1170</v>
      </c>
      <c r="B1293" s="26">
        <v>2</v>
      </c>
      <c r="C1293" s="26"/>
      <c r="D1293" s="26">
        <v>320</v>
      </c>
      <c r="E1293" s="26" t="str">
        <f>CONCATENATE('Смета ЕР (общ) '!$A1293,".",'Смета ЕР (общ) '!$B1293,".",'Смета ЕР (общ) '!$D1293)</f>
        <v>Р9.2.320</v>
      </c>
      <c r="F1293" s="26">
        <f t="shared" si="104"/>
        <v>1</v>
      </c>
      <c r="G1293" s="33" t="s">
        <v>1370</v>
      </c>
      <c r="H1293" s="28" t="s">
        <v>118</v>
      </c>
      <c r="I1293" s="158"/>
      <c r="J1293" s="30">
        <v>577.62</v>
      </c>
      <c r="K1293" s="30">
        <v>400.9</v>
      </c>
      <c r="L1293" s="30">
        <f t="shared" si="103"/>
        <v>577.62</v>
      </c>
      <c r="M1293" s="30">
        <f t="shared" si="103"/>
        <v>400.9</v>
      </c>
      <c r="N1293" s="30">
        <f>ROUND('Смета ЕР (общ) '!$I1293*'Смета ЕР (общ) '!$L1293,2)</f>
        <v>0</v>
      </c>
      <c r="O1293" s="30">
        <f>ROUND('Смета ЕР (общ) '!$I1293*'Смета ЕР (общ) '!$M1293,2)</f>
        <v>0</v>
      </c>
      <c r="P1293" s="45"/>
    </row>
    <row r="1294" spans="1:16" ht="14.4" hidden="1" x14ac:dyDescent="0.3">
      <c r="A1294" s="26" t="s">
        <v>1170</v>
      </c>
      <c r="B1294" s="26">
        <v>2</v>
      </c>
      <c r="C1294" s="26"/>
      <c r="D1294" s="26">
        <v>321</v>
      </c>
      <c r="E1294" s="26" t="str">
        <f>CONCATENATE('Смета ЕР (общ) '!$A1294,".",'Смета ЕР (общ) '!$B1294,".",'Смета ЕР (общ) '!$D1294)</f>
        <v>Р9.2.321</v>
      </c>
      <c r="F1294" s="26">
        <f t="shared" si="104"/>
        <v>1</v>
      </c>
      <c r="G1294" s="33" t="s">
        <v>1371</v>
      </c>
      <c r="H1294" s="28" t="s">
        <v>118</v>
      </c>
      <c r="I1294" s="158"/>
      <c r="J1294" s="30">
        <v>577.62</v>
      </c>
      <c r="K1294" s="30">
        <v>400.9</v>
      </c>
      <c r="L1294" s="30">
        <f t="shared" si="103"/>
        <v>577.62</v>
      </c>
      <c r="M1294" s="30">
        <f t="shared" si="103"/>
        <v>400.9</v>
      </c>
      <c r="N1294" s="30">
        <f>ROUND('Смета ЕР (общ) '!$I1294*'Смета ЕР (общ) '!$L1294,2)</f>
        <v>0</v>
      </c>
      <c r="O1294" s="30">
        <f>ROUND('Смета ЕР (общ) '!$I1294*'Смета ЕР (общ) '!$M1294,2)</f>
        <v>0</v>
      </c>
      <c r="P1294" s="45"/>
    </row>
    <row r="1295" spans="1:16" ht="14.4" hidden="1" x14ac:dyDescent="0.3">
      <c r="A1295" s="26" t="s">
        <v>1170</v>
      </c>
      <c r="B1295" s="26">
        <v>2</v>
      </c>
      <c r="C1295" s="26"/>
      <c r="D1295" s="26">
        <v>322</v>
      </c>
      <c r="E1295" s="26" t="str">
        <f>CONCATENATE('Смета ЕР (общ) '!$A1295,".",'Смета ЕР (общ) '!$B1295,".",'Смета ЕР (общ) '!$D1295)</f>
        <v>Р9.2.322</v>
      </c>
      <c r="F1295" s="26">
        <f t="shared" si="104"/>
        <v>1</v>
      </c>
      <c r="G1295" s="33" t="s">
        <v>1372</v>
      </c>
      <c r="H1295" s="28" t="s">
        <v>118</v>
      </c>
      <c r="I1295" s="158"/>
      <c r="J1295" s="30">
        <v>577.62</v>
      </c>
      <c r="K1295" s="30">
        <v>435.35</v>
      </c>
      <c r="L1295" s="30">
        <f t="shared" si="103"/>
        <v>577.62</v>
      </c>
      <c r="M1295" s="30">
        <f t="shared" si="103"/>
        <v>435.35</v>
      </c>
      <c r="N1295" s="30">
        <f>ROUND('Смета ЕР (общ) '!$I1295*'Смета ЕР (общ) '!$L1295,2)</f>
        <v>0</v>
      </c>
      <c r="O1295" s="30">
        <f>ROUND('Смета ЕР (общ) '!$I1295*'Смета ЕР (общ) '!$M1295,2)</f>
        <v>0</v>
      </c>
      <c r="P1295" s="45"/>
    </row>
    <row r="1296" spans="1:16" ht="14.4" hidden="1" x14ac:dyDescent="0.3">
      <c r="A1296" s="26" t="s">
        <v>1170</v>
      </c>
      <c r="B1296" s="26">
        <v>2</v>
      </c>
      <c r="C1296" s="26"/>
      <c r="D1296" s="26">
        <v>323</v>
      </c>
      <c r="E1296" s="26" t="str">
        <f>CONCATENATE('Смета ЕР (общ) '!$A1296,".",'Смета ЕР (общ) '!$B1296,".",'Смета ЕР (общ) '!$D1296)</f>
        <v>Р9.2.323</v>
      </c>
      <c r="F1296" s="26">
        <f t="shared" si="104"/>
        <v>1</v>
      </c>
      <c r="G1296" s="33" t="s">
        <v>1373</v>
      </c>
      <c r="H1296" s="28" t="s">
        <v>118</v>
      </c>
      <c r="I1296" s="158"/>
      <c r="J1296" s="30">
        <v>577.62</v>
      </c>
      <c r="K1296" s="30">
        <v>435.35</v>
      </c>
      <c r="L1296" s="30">
        <f t="shared" si="103"/>
        <v>577.62</v>
      </c>
      <c r="M1296" s="30">
        <f t="shared" si="103"/>
        <v>435.35</v>
      </c>
      <c r="N1296" s="30">
        <f>ROUND('Смета ЕР (общ) '!$I1296*'Смета ЕР (общ) '!$L1296,2)</f>
        <v>0</v>
      </c>
      <c r="O1296" s="30">
        <f>ROUND('Смета ЕР (общ) '!$I1296*'Смета ЕР (общ) '!$M1296,2)</f>
        <v>0</v>
      </c>
      <c r="P1296" s="45"/>
    </row>
    <row r="1297" spans="1:16" ht="14.4" hidden="1" x14ac:dyDescent="0.3">
      <c r="A1297" s="26" t="s">
        <v>1170</v>
      </c>
      <c r="B1297" s="26">
        <v>2</v>
      </c>
      <c r="C1297" s="26"/>
      <c r="D1297" s="26">
        <v>324</v>
      </c>
      <c r="E1297" s="26" t="str">
        <f>CONCATENATE('Смета ЕР (общ) '!$A1297,".",'Смета ЕР (общ) '!$B1297,".",'Смета ЕР (общ) '!$D1297)</f>
        <v>Р9.2.324</v>
      </c>
      <c r="F1297" s="26">
        <f t="shared" si="104"/>
        <v>1</v>
      </c>
      <c r="G1297" s="33" t="s">
        <v>1374</v>
      </c>
      <c r="H1297" s="28" t="s">
        <v>118</v>
      </c>
      <c r="I1297" s="158"/>
      <c r="J1297" s="30">
        <v>577.62</v>
      </c>
      <c r="K1297" s="30">
        <v>478.15</v>
      </c>
      <c r="L1297" s="30">
        <f t="shared" si="103"/>
        <v>577.62</v>
      </c>
      <c r="M1297" s="30">
        <f t="shared" si="103"/>
        <v>478.15</v>
      </c>
      <c r="N1297" s="30">
        <f>ROUND('Смета ЕР (общ) '!$I1297*'Смета ЕР (общ) '!$L1297,2)</f>
        <v>0</v>
      </c>
      <c r="O1297" s="30">
        <f>ROUND('Смета ЕР (общ) '!$I1297*'Смета ЕР (общ) '!$M1297,2)</f>
        <v>0</v>
      </c>
      <c r="P1297" s="45"/>
    </row>
    <row r="1298" spans="1:16" ht="14.4" hidden="1" x14ac:dyDescent="0.3">
      <c r="A1298" s="26" t="s">
        <v>1170</v>
      </c>
      <c r="B1298" s="26">
        <v>2</v>
      </c>
      <c r="C1298" s="26"/>
      <c r="D1298" s="26">
        <v>325</v>
      </c>
      <c r="E1298" s="26" t="str">
        <f>CONCATENATE('Смета ЕР (общ) '!$A1298,".",'Смета ЕР (общ) '!$B1298,".",'Смета ЕР (общ) '!$D1298)</f>
        <v>Р9.2.325</v>
      </c>
      <c r="F1298" s="26">
        <f t="shared" si="104"/>
        <v>1</v>
      </c>
      <c r="G1298" s="33" t="s">
        <v>1375</v>
      </c>
      <c r="H1298" s="28" t="s">
        <v>118</v>
      </c>
      <c r="I1298" s="158"/>
      <c r="J1298" s="30">
        <v>577.62</v>
      </c>
      <c r="K1298" s="30">
        <v>478.15</v>
      </c>
      <c r="L1298" s="30">
        <f t="shared" si="103"/>
        <v>577.62</v>
      </c>
      <c r="M1298" s="30">
        <f t="shared" si="103"/>
        <v>478.15</v>
      </c>
      <c r="N1298" s="30">
        <f>ROUND('Смета ЕР (общ) '!$I1298*'Смета ЕР (общ) '!$L1298,2)</f>
        <v>0</v>
      </c>
      <c r="O1298" s="30">
        <f>ROUND('Смета ЕР (общ) '!$I1298*'Смета ЕР (общ) '!$M1298,2)</f>
        <v>0</v>
      </c>
      <c r="P1298" s="45"/>
    </row>
    <row r="1299" spans="1:16" ht="14.4" hidden="1" x14ac:dyDescent="0.3">
      <c r="A1299" s="26" t="s">
        <v>1170</v>
      </c>
      <c r="B1299" s="26">
        <v>2</v>
      </c>
      <c r="C1299" s="26"/>
      <c r="D1299" s="26">
        <v>326</v>
      </c>
      <c r="E1299" s="26" t="str">
        <f>CONCATENATE('Смета ЕР (общ) '!$A1299,".",'Смета ЕР (общ) '!$B1299,".",'Смета ЕР (общ) '!$D1299)</f>
        <v>Р9.2.326</v>
      </c>
      <c r="F1299" s="26">
        <f t="shared" si="104"/>
        <v>1</v>
      </c>
      <c r="G1299" s="33" t="s">
        <v>1376</v>
      </c>
      <c r="H1299" s="28" t="s">
        <v>118</v>
      </c>
      <c r="I1299" s="158"/>
      <c r="J1299" s="30">
        <v>577.62</v>
      </c>
      <c r="K1299" s="30">
        <v>699.48</v>
      </c>
      <c r="L1299" s="30">
        <f t="shared" si="103"/>
        <v>577.62</v>
      </c>
      <c r="M1299" s="30">
        <f t="shared" si="103"/>
        <v>699.48</v>
      </c>
      <c r="N1299" s="30">
        <f>ROUND('Смета ЕР (общ) '!$I1299*'Смета ЕР (общ) '!$L1299,2)</f>
        <v>0</v>
      </c>
      <c r="O1299" s="30">
        <f>ROUND('Смета ЕР (общ) '!$I1299*'Смета ЕР (общ) '!$M1299,2)</f>
        <v>0</v>
      </c>
      <c r="P1299" s="45"/>
    </row>
    <row r="1300" spans="1:16" ht="14.4" hidden="1" x14ac:dyDescent="0.3">
      <c r="A1300" s="26" t="s">
        <v>1170</v>
      </c>
      <c r="B1300" s="26">
        <v>2</v>
      </c>
      <c r="C1300" s="26"/>
      <c r="D1300" s="26">
        <v>327</v>
      </c>
      <c r="E1300" s="26" t="str">
        <f>CONCATENATE('Смета ЕР (общ) '!$A1300,".",'Смета ЕР (общ) '!$B1300,".",'Смета ЕР (общ) '!$D1300)</f>
        <v>Р9.2.327</v>
      </c>
      <c r="F1300" s="26">
        <f t="shared" si="104"/>
        <v>1</v>
      </c>
      <c r="G1300" s="33" t="s">
        <v>1377</v>
      </c>
      <c r="H1300" s="28" t="s">
        <v>118</v>
      </c>
      <c r="I1300" s="158"/>
      <c r="J1300" s="30">
        <v>577.62</v>
      </c>
      <c r="K1300" s="30">
        <v>699.48</v>
      </c>
      <c r="L1300" s="30">
        <f t="shared" ref="L1300:M1360" si="105">ROUND(J1300-J1300*$Q$3,2)</f>
        <v>577.62</v>
      </c>
      <c r="M1300" s="30">
        <f t="shared" si="105"/>
        <v>699.48</v>
      </c>
      <c r="N1300" s="30">
        <f>ROUND('Смета ЕР (общ) '!$I1300*'Смета ЕР (общ) '!$L1300,2)</f>
        <v>0</v>
      </c>
      <c r="O1300" s="30">
        <f>ROUND('Смета ЕР (общ) '!$I1300*'Смета ЕР (общ) '!$M1300,2)</f>
        <v>0</v>
      </c>
      <c r="P1300" s="45"/>
    </row>
    <row r="1301" spans="1:16" ht="14.4" hidden="1" x14ac:dyDescent="0.3">
      <c r="A1301" s="26" t="s">
        <v>1170</v>
      </c>
      <c r="B1301" s="26">
        <v>2</v>
      </c>
      <c r="C1301" s="26"/>
      <c r="D1301" s="26">
        <v>328</v>
      </c>
      <c r="E1301" s="26" t="str">
        <f>CONCATENATE('Смета ЕР (общ) '!$A1301,".",'Смета ЕР (общ) '!$B1301,".",'Смета ЕР (общ) '!$D1301)</f>
        <v>Р9.2.328</v>
      </c>
      <c r="F1301" s="26">
        <f t="shared" ref="F1301:F1364" si="106">IF(I1301&gt;0,F1300+1,F1300)</f>
        <v>1</v>
      </c>
      <c r="G1301" s="33" t="s">
        <v>1378</v>
      </c>
      <c r="H1301" s="28" t="s">
        <v>118</v>
      </c>
      <c r="I1301" s="158"/>
      <c r="J1301" s="30">
        <v>577.62</v>
      </c>
      <c r="K1301" s="30">
        <v>574.20000000000005</v>
      </c>
      <c r="L1301" s="30">
        <f t="shared" si="105"/>
        <v>577.62</v>
      </c>
      <c r="M1301" s="30">
        <f t="shared" si="105"/>
        <v>574.20000000000005</v>
      </c>
      <c r="N1301" s="30">
        <f>ROUND('Смета ЕР (общ) '!$I1301*'Смета ЕР (общ) '!$L1301,2)</f>
        <v>0</v>
      </c>
      <c r="O1301" s="30">
        <f>ROUND('Смета ЕР (общ) '!$I1301*'Смета ЕР (общ) '!$M1301,2)</f>
        <v>0</v>
      </c>
      <c r="P1301" s="45"/>
    </row>
    <row r="1302" spans="1:16" ht="14.4" hidden="1" x14ac:dyDescent="0.3">
      <c r="A1302" s="26" t="s">
        <v>1170</v>
      </c>
      <c r="B1302" s="26">
        <v>2</v>
      </c>
      <c r="C1302" s="26"/>
      <c r="D1302" s="26">
        <v>329</v>
      </c>
      <c r="E1302" s="26" t="str">
        <f>CONCATENATE('Смета ЕР (общ) '!$A1302,".",'Смета ЕР (общ) '!$B1302,".",'Смета ЕР (общ) '!$D1302)</f>
        <v>Р9.2.329</v>
      </c>
      <c r="F1302" s="26">
        <f t="shared" si="106"/>
        <v>1</v>
      </c>
      <c r="G1302" s="33" t="s">
        <v>1379</v>
      </c>
      <c r="H1302" s="28" t="s">
        <v>118</v>
      </c>
      <c r="I1302" s="158"/>
      <c r="J1302" s="30">
        <v>577.62</v>
      </c>
      <c r="K1302" s="30">
        <v>470.84</v>
      </c>
      <c r="L1302" s="30">
        <f t="shared" si="105"/>
        <v>577.62</v>
      </c>
      <c r="M1302" s="30">
        <f t="shared" si="105"/>
        <v>470.84</v>
      </c>
      <c r="N1302" s="30">
        <f>ROUND('Смета ЕР (общ) '!$I1302*'Смета ЕР (общ) '!$L1302,2)</f>
        <v>0</v>
      </c>
      <c r="O1302" s="30">
        <f>ROUND('Смета ЕР (общ) '!$I1302*'Смета ЕР (общ) '!$M1302,2)</f>
        <v>0</v>
      </c>
      <c r="P1302" s="45"/>
    </row>
    <row r="1303" spans="1:16" ht="14.4" hidden="1" x14ac:dyDescent="0.3">
      <c r="A1303" s="26" t="s">
        <v>1170</v>
      </c>
      <c r="B1303" s="26">
        <v>2</v>
      </c>
      <c r="C1303" s="26"/>
      <c r="D1303" s="26">
        <v>330</v>
      </c>
      <c r="E1303" s="26" t="str">
        <f>CONCATENATE('Смета ЕР (общ) '!$A1303,".",'Смета ЕР (общ) '!$B1303,".",'Смета ЕР (общ) '!$D1303)</f>
        <v>Р9.2.330</v>
      </c>
      <c r="F1303" s="26">
        <f t="shared" si="106"/>
        <v>1</v>
      </c>
      <c r="G1303" s="33" t="s">
        <v>1380</v>
      </c>
      <c r="H1303" s="28" t="s">
        <v>118</v>
      </c>
      <c r="I1303" s="158"/>
      <c r="J1303" s="30">
        <v>577.62</v>
      </c>
      <c r="K1303" s="30">
        <v>470.84</v>
      </c>
      <c r="L1303" s="30">
        <f t="shared" si="105"/>
        <v>577.62</v>
      </c>
      <c r="M1303" s="30">
        <f t="shared" si="105"/>
        <v>470.84</v>
      </c>
      <c r="N1303" s="30">
        <f>ROUND('Смета ЕР (общ) '!$I1303*'Смета ЕР (общ) '!$L1303,2)</f>
        <v>0</v>
      </c>
      <c r="O1303" s="30">
        <f>ROUND('Смета ЕР (общ) '!$I1303*'Смета ЕР (общ) '!$M1303,2)</f>
        <v>0</v>
      </c>
      <c r="P1303" s="45"/>
    </row>
    <row r="1304" spans="1:16" ht="14.4" hidden="1" x14ac:dyDescent="0.3">
      <c r="A1304" s="26" t="s">
        <v>1170</v>
      </c>
      <c r="B1304" s="26">
        <v>2</v>
      </c>
      <c r="C1304" s="26"/>
      <c r="D1304" s="26">
        <v>331</v>
      </c>
      <c r="E1304" s="26" t="str">
        <f>CONCATENATE('Смета ЕР (общ) '!$A1304,".",'Смета ЕР (общ) '!$B1304,".",'Смета ЕР (общ) '!$D1304)</f>
        <v>Р9.2.331</v>
      </c>
      <c r="F1304" s="26">
        <f t="shared" si="106"/>
        <v>1</v>
      </c>
      <c r="G1304" s="33" t="s">
        <v>1381</v>
      </c>
      <c r="H1304" s="28" t="s">
        <v>118</v>
      </c>
      <c r="I1304" s="158"/>
      <c r="J1304" s="30">
        <v>577.62</v>
      </c>
      <c r="K1304" s="30">
        <v>510.52</v>
      </c>
      <c r="L1304" s="30">
        <f t="shared" si="105"/>
        <v>577.62</v>
      </c>
      <c r="M1304" s="30">
        <f t="shared" si="105"/>
        <v>510.52</v>
      </c>
      <c r="N1304" s="30">
        <f>ROUND('Смета ЕР (общ) '!$I1304*'Смета ЕР (общ) '!$L1304,2)</f>
        <v>0</v>
      </c>
      <c r="O1304" s="30">
        <f>ROUND('Смета ЕР (общ) '!$I1304*'Смета ЕР (общ) '!$M1304,2)</f>
        <v>0</v>
      </c>
      <c r="P1304" s="45"/>
    </row>
    <row r="1305" spans="1:16" ht="14.4" hidden="1" x14ac:dyDescent="0.3">
      <c r="A1305" s="26" t="s">
        <v>1170</v>
      </c>
      <c r="B1305" s="26">
        <v>2</v>
      </c>
      <c r="C1305" s="26"/>
      <c r="D1305" s="26">
        <v>332</v>
      </c>
      <c r="E1305" s="26" t="str">
        <f>CONCATENATE('Смета ЕР (общ) '!$A1305,".",'Смета ЕР (общ) '!$B1305,".",'Смета ЕР (общ) '!$D1305)</f>
        <v>Р9.2.332</v>
      </c>
      <c r="F1305" s="26">
        <f t="shared" si="106"/>
        <v>1</v>
      </c>
      <c r="G1305" s="33" t="s">
        <v>1382</v>
      </c>
      <c r="H1305" s="28" t="s">
        <v>118</v>
      </c>
      <c r="I1305" s="158"/>
      <c r="J1305" s="30">
        <v>577.62</v>
      </c>
      <c r="K1305" s="30">
        <v>510.52</v>
      </c>
      <c r="L1305" s="30">
        <f t="shared" si="105"/>
        <v>577.62</v>
      </c>
      <c r="M1305" s="30">
        <f t="shared" si="105"/>
        <v>510.52</v>
      </c>
      <c r="N1305" s="30">
        <f>ROUND('Смета ЕР (общ) '!$I1305*'Смета ЕР (общ) '!$L1305,2)</f>
        <v>0</v>
      </c>
      <c r="O1305" s="30">
        <f>ROUND('Смета ЕР (общ) '!$I1305*'Смета ЕР (общ) '!$M1305,2)</f>
        <v>0</v>
      </c>
      <c r="P1305" s="45"/>
    </row>
    <row r="1306" spans="1:16" ht="14.4" hidden="1" x14ac:dyDescent="0.3">
      <c r="A1306" s="26" t="s">
        <v>1170</v>
      </c>
      <c r="B1306" s="26">
        <v>2</v>
      </c>
      <c r="C1306" s="26"/>
      <c r="D1306" s="26">
        <v>333</v>
      </c>
      <c r="E1306" s="26" t="str">
        <f>CONCATENATE('Смета ЕР (общ) '!$A1306,".",'Смета ЕР (общ) '!$B1306,".",'Смета ЕР (общ) '!$D1306)</f>
        <v>Р9.2.333</v>
      </c>
      <c r="F1306" s="26">
        <f t="shared" si="106"/>
        <v>1</v>
      </c>
      <c r="G1306" s="33" t="s">
        <v>1383</v>
      </c>
      <c r="H1306" s="28" t="s">
        <v>118</v>
      </c>
      <c r="I1306" s="158"/>
      <c r="J1306" s="30">
        <v>577.62</v>
      </c>
      <c r="K1306" s="30">
        <v>1458.47</v>
      </c>
      <c r="L1306" s="30">
        <f t="shared" si="105"/>
        <v>577.62</v>
      </c>
      <c r="M1306" s="30">
        <f t="shared" si="105"/>
        <v>1458.47</v>
      </c>
      <c r="N1306" s="30">
        <f>ROUND('Смета ЕР (общ) '!$I1306*'Смета ЕР (общ) '!$L1306,2)</f>
        <v>0</v>
      </c>
      <c r="O1306" s="30">
        <f>ROUND('Смета ЕР (общ) '!$I1306*'Смета ЕР (общ) '!$M1306,2)</f>
        <v>0</v>
      </c>
      <c r="P1306" s="45"/>
    </row>
    <row r="1307" spans="1:16" ht="14.4" hidden="1" x14ac:dyDescent="0.3">
      <c r="A1307" s="26" t="s">
        <v>1170</v>
      </c>
      <c r="B1307" s="26">
        <v>2</v>
      </c>
      <c r="C1307" s="26"/>
      <c r="D1307" s="26">
        <v>334</v>
      </c>
      <c r="E1307" s="26" t="str">
        <f>CONCATENATE('Смета ЕР (общ) '!$A1307,".",'Смета ЕР (общ) '!$B1307,".",'Смета ЕР (общ) '!$D1307)</f>
        <v>Р9.2.334</v>
      </c>
      <c r="F1307" s="26">
        <f t="shared" si="106"/>
        <v>1</v>
      </c>
      <c r="G1307" s="33" t="s">
        <v>1384</v>
      </c>
      <c r="H1307" s="28" t="s">
        <v>118</v>
      </c>
      <c r="I1307" s="158"/>
      <c r="J1307" s="30">
        <v>577.62</v>
      </c>
      <c r="K1307" s="30">
        <v>1626.55</v>
      </c>
      <c r="L1307" s="30">
        <f t="shared" si="105"/>
        <v>577.62</v>
      </c>
      <c r="M1307" s="30">
        <f t="shared" si="105"/>
        <v>1626.55</v>
      </c>
      <c r="N1307" s="30">
        <f>ROUND('Смета ЕР (общ) '!$I1307*'Смета ЕР (общ) '!$L1307,2)</f>
        <v>0</v>
      </c>
      <c r="O1307" s="30">
        <f>ROUND('Смета ЕР (общ) '!$I1307*'Смета ЕР (общ) '!$M1307,2)</f>
        <v>0</v>
      </c>
      <c r="P1307" s="45"/>
    </row>
    <row r="1308" spans="1:16" ht="14.4" hidden="1" x14ac:dyDescent="0.3">
      <c r="A1308" s="26" t="s">
        <v>1170</v>
      </c>
      <c r="B1308" s="26">
        <v>2</v>
      </c>
      <c r="C1308" s="26"/>
      <c r="D1308" s="26">
        <v>335</v>
      </c>
      <c r="E1308" s="26" t="str">
        <f>CONCATENATE('Смета ЕР (общ) '!$A1308,".",'Смета ЕР (общ) '!$B1308,".",'Смета ЕР (общ) '!$D1308)</f>
        <v>Р9.2.335</v>
      </c>
      <c r="F1308" s="26">
        <f t="shared" si="106"/>
        <v>1</v>
      </c>
      <c r="G1308" s="33" t="s">
        <v>1385</v>
      </c>
      <c r="H1308" s="28" t="s">
        <v>118</v>
      </c>
      <c r="I1308" s="158"/>
      <c r="J1308" s="30">
        <v>577.62</v>
      </c>
      <c r="K1308" s="30">
        <v>1626.55</v>
      </c>
      <c r="L1308" s="30">
        <f t="shared" si="105"/>
        <v>577.62</v>
      </c>
      <c r="M1308" s="30">
        <f t="shared" si="105"/>
        <v>1626.55</v>
      </c>
      <c r="N1308" s="30">
        <f>ROUND('Смета ЕР (общ) '!$I1308*'Смета ЕР (общ) '!$L1308,2)</f>
        <v>0</v>
      </c>
      <c r="O1308" s="30">
        <f>ROUND('Смета ЕР (общ) '!$I1308*'Смета ЕР (общ) '!$M1308,2)</f>
        <v>0</v>
      </c>
      <c r="P1308" s="45"/>
    </row>
    <row r="1309" spans="1:16" ht="14.4" hidden="1" x14ac:dyDescent="0.3">
      <c r="A1309" s="26" t="s">
        <v>1170</v>
      </c>
      <c r="B1309" s="26">
        <v>2</v>
      </c>
      <c r="C1309" s="26"/>
      <c r="D1309" s="26">
        <v>336</v>
      </c>
      <c r="E1309" s="26" t="str">
        <f>CONCATENATE('Смета ЕР (общ) '!$A1309,".",'Смета ЕР (общ) '!$B1309,".",'Смета ЕР (общ) '!$D1309)</f>
        <v>Р9.2.336</v>
      </c>
      <c r="F1309" s="26">
        <f t="shared" si="106"/>
        <v>1</v>
      </c>
      <c r="G1309" s="33" t="s">
        <v>1386</v>
      </c>
      <c r="H1309" s="28" t="s">
        <v>118</v>
      </c>
      <c r="I1309" s="158"/>
      <c r="J1309" s="30">
        <v>636.41</v>
      </c>
      <c r="K1309" s="30">
        <v>1639.08</v>
      </c>
      <c r="L1309" s="30">
        <f t="shared" si="105"/>
        <v>636.41</v>
      </c>
      <c r="M1309" s="30">
        <f t="shared" si="105"/>
        <v>1639.08</v>
      </c>
      <c r="N1309" s="30">
        <f>ROUND('Смета ЕР (общ) '!$I1309*'Смета ЕР (общ) '!$L1309,2)</f>
        <v>0</v>
      </c>
      <c r="O1309" s="30">
        <f>ROUND('Смета ЕР (общ) '!$I1309*'Смета ЕР (общ) '!$M1309,2)</f>
        <v>0</v>
      </c>
      <c r="P1309" s="45"/>
    </row>
    <row r="1310" spans="1:16" ht="14.4" hidden="1" x14ac:dyDescent="0.3">
      <c r="A1310" s="26" t="s">
        <v>1170</v>
      </c>
      <c r="B1310" s="26">
        <v>2</v>
      </c>
      <c r="C1310" s="26"/>
      <c r="D1310" s="26">
        <v>337</v>
      </c>
      <c r="E1310" s="26" t="str">
        <f>CONCATENATE('Смета ЕР (общ) '!$A1310,".",'Смета ЕР (общ) '!$B1310,".",'Смета ЕР (общ) '!$D1310)</f>
        <v>Р9.2.337</v>
      </c>
      <c r="F1310" s="26">
        <f t="shared" si="106"/>
        <v>1</v>
      </c>
      <c r="G1310" s="33" t="s">
        <v>1387</v>
      </c>
      <c r="H1310" s="28" t="s">
        <v>118</v>
      </c>
      <c r="I1310" s="158"/>
      <c r="J1310" s="30">
        <v>636.41</v>
      </c>
      <c r="K1310" s="30">
        <v>1639.08</v>
      </c>
      <c r="L1310" s="30">
        <f t="shared" si="105"/>
        <v>636.41</v>
      </c>
      <c r="M1310" s="30">
        <f t="shared" si="105"/>
        <v>1639.08</v>
      </c>
      <c r="N1310" s="30">
        <f>ROUND('Смета ЕР (общ) '!$I1310*'Смета ЕР (общ) '!$L1310,2)</f>
        <v>0</v>
      </c>
      <c r="O1310" s="30">
        <f>ROUND('Смета ЕР (общ) '!$I1310*'Смета ЕР (общ) '!$M1310,2)</f>
        <v>0</v>
      </c>
      <c r="P1310" s="45"/>
    </row>
    <row r="1311" spans="1:16" ht="14.4" hidden="1" x14ac:dyDescent="0.3">
      <c r="A1311" s="26" t="s">
        <v>1170</v>
      </c>
      <c r="B1311" s="26">
        <v>2</v>
      </c>
      <c r="C1311" s="26"/>
      <c r="D1311" s="26">
        <v>338</v>
      </c>
      <c r="E1311" s="26" t="str">
        <f>CONCATENATE('Смета ЕР (общ) '!$A1311,".",'Смета ЕР (общ) '!$B1311,".",'Смета ЕР (общ) '!$D1311)</f>
        <v>Р9.2.338</v>
      </c>
      <c r="F1311" s="26">
        <f t="shared" si="106"/>
        <v>1</v>
      </c>
      <c r="G1311" s="33" t="s">
        <v>1388</v>
      </c>
      <c r="H1311" s="28" t="s">
        <v>118</v>
      </c>
      <c r="I1311" s="158"/>
      <c r="J1311" s="30">
        <v>636.41</v>
      </c>
      <c r="K1311" s="30">
        <v>2293.67</v>
      </c>
      <c r="L1311" s="30">
        <f t="shared" si="105"/>
        <v>636.41</v>
      </c>
      <c r="M1311" s="30">
        <f t="shared" si="105"/>
        <v>2293.67</v>
      </c>
      <c r="N1311" s="30">
        <f>ROUND('Смета ЕР (общ) '!$I1311*'Смета ЕР (общ) '!$L1311,2)</f>
        <v>0</v>
      </c>
      <c r="O1311" s="30">
        <f>ROUND('Смета ЕР (общ) '!$I1311*'Смета ЕР (общ) '!$M1311,2)</f>
        <v>0</v>
      </c>
      <c r="P1311" s="45"/>
    </row>
    <row r="1312" spans="1:16" ht="14.4" hidden="1" x14ac:dyDescent="0.3">
      <c r="A1312" s="26" t="s">
        <v>1170</v>
      </c>
      <c r="B1312" s="26">
        <v>2</v>
      </c>
      <c r="C1312" s="26"/>
      <c r="D1312" s="26">
        <v>339</v>
      </c>
      <c r="E1312" s="26" t="str">
        <f>CONCATENATE('Смета ЕР (общ) '!$A1312,".",'Смета ЕР (общ) '!$B1312,".",'Смета ЕР (общ) '!$D1312)</f>
        <v>Р9.2.339</v>
      </c>
      <c r="F1312" s="26">
        <f t="shared" si="106"/>
        <v>1</v>
      </c>
      <c r="G1312" s="33" t="s">
        <v>1389</v>
      </c>
      <c r="H1312" s="28" t="s">
        <v>118</v>
      </c>
      <c r="I1312" s="158"/>
      <c r="J1312" s="30">
        <v>636.41</v>
      </c>
      <c r="K1312" s="30">
        <v>2293.67</v>
      </c>
      <c r="L1312" s="30">
        <f t="shared" si="105"/>
        <v>636.41</v>
      </c>
      <c r="M1312" s="30">
        <f t="shared" si="105"/>
        <v>2293.67</v>
      </c>
      <c r="N1312" s="30">
        <f>ROUND('Смета ЕР (общ) '!$I1312*'Смета ЕР (общ) '!$L1312,2)</f>
        <v>0</v>
      </c>
      <c r="O1312" s="30">
        <f>ROUND('Смета ЕР (общ) '!$I1312*'Смета ЕР (общ) '!$M1312,2)</f>
        <v>0</v>
      </c>
      <c r="P1312" s="45"/>
    </row>
    <row r="1313" spans="1:16" ht="14.4" hidden="1" x14ac:dyDescent="0.3">
      <c r="A1313" s="26" t="s">
        <v>1170</v>
      </c>
      <c r="B1313" s="26">
        <v>2</v>
      </c>
      <c r="C1313" s="26"/>
      <c r="D1313" s="26">
        <v>340</v>
      </c>
      <c r="E1313" s="26" t="str">
        <f>CONCATENATE('Смета ЕР (общ) '!$A1313,".",'Смета ЕР (общ) '!$B1313,".",'Смета ЕР (общ) '!$D1313)</f>
        <v>Р9.2.340</v>
      </c>
      <c r="F1313" s="26">
        <f t="shared" si="106"/>
        <v>1</v>
      </c>
      <c r="G1313" s="33" t="s">
        <v>1390</v>
      </c>
      <c r="H1313" s="28" t="s">
        <v>118</v>
      </c>
      <c r="I1313" s="158"/>
      <c r="J1313" s="30">
        <v>636.41</v>
      </c>
      <c r="K1313" s="30">
        <v>23464.94</v>
      </c>
      <c r="L1313" s="30">
        <f t="shared" si="105"/>
        <v>636.41</v>
      </c>
      <c r="M1313" s="30">
        <f t="shared" si="105"/>
        <v>23464.94</v>
      </c>
      <c r="N1313" s="30">
        <f>ROUND('Смета ЕР (общ) '!$I1313*'Смета ЕР (общ) '!$L1313,2)</f>
        <v>0</v>
      </c>
      <c r="O1313" s="30">
        <f>ROUND('Смета ЕР (общ) '!$I1313*'Смета ЕР (общ) '!$M1313,2)</f>
        <v>0</v>
      </c>
      <c r="P1313" s="45"/>
    </row>
    <row r="1314" spans="1:16" ht="14.4" hidden="1" x14ac:dyDescent="0.3">
      <c r="A1314" s="26" t="s">
        <v>1170</v>
      </c>
      <c r="B1314" s="26">
        <v>2</v>
      </c>
      <c r="C1314" s="26"/>
      <c r="D1314" s="26">
        <v>341</v>
      </c>
      <c r="E1314" s="26" t="str">
        <f>CONCATENATE('Смета ЕР (общ) '!$A1314,".",'Смета ЕР (общ) '!$B1314,".",'Смета ЕР (общ) '!$D1314)</f>
        <v>Р9.2.341</v>
      </c>
      <c r="F1314" s="26">
        <f t="shared" si="106"/>
        <v>1</v>
      </c>
      <c r="G1314" s="33" t="s">
        <v>1391</v>
      </c>
      <c r="H1314" s="28" t="s">
        <v>118</v>
      </c>
      <c r="I1314" s="158"/>
      <c r="J1314" s="30">
        <v>636.41</v>
      </c>
      <c r="K1314" s="30">
        <v>23464.94</v>
      </c>
      <c r="L1314" s="30">
        <f t="shared" si="105"/>
        <v>636.41</v>
      </c>
      <c r="M1314" s="30">
        <f t="shared" si="105"/>
        <v>23464.94</v>
      </c>
      <c r="N1314" s="30">
        <f>ROUND('Смета ЕР (общ) '!$I1314*'Смета ЕР (общ) '!$L1314,2)</f>
        <v>0</v>
      </c>
      <c r="O1314" s="30">
        <f>ROUND('Смета ЕР (общ) '!$I1314*'Смета ЕР (общ) '!$M1314,2)</f>
        <v>0</v>
      </c>
      <c r="P1314" s="45"/>
    </row>
    <row r="1315" spans="1:16" ht="24" hidden="1" x14ac:dyDescent="0.3">
      <c r="A1315" s="26" t="s">
        <v>1170</v>
      </c>
      <c r="B1315" s="26">
        <v>2</v>
      </c>
      <c r="C1315" s="26"/>
      <c r="D1315" s="26">
        <v>342</v>
      </c>
      <c r="E1315" s="26" t="str">
        <f>CONCATENATE('Смета ЕР (общ) '!$A1315,".",'Смета ЕР (общ) '!$B1315,".",'Смета ЕР (общ) '!$D1315)</f>
        <v>Р9.2.342</v>
      </c>
      <c r="F1315" s="26">
        <f t="shared" si="106"/>
        <v>1</v>
      </c>
      <c r="G1315" s="33" t="s">
        <v>1392</v>
      </c>
      <c r="H1315" s="28" t="s">
        <v>118</v>
      </c>
      <c r="I1315" s="158"/>
      <c r="J1315" s="30">
        <v>287.10000000000002</v>
      </c>
      <c r="K1315" s="30">
        <v>369.8</v>
      </c>
      <c r="L1315" s="30">
        <f t="shared" si="105"/>
        <v>287.10000000000002</v>
      </c>
      <c r="M1315" s="30">
        <f t="shared" si="105"/>
        <v>369.8</v>
      </c>
      <c r="N1315" s="30">
        <f>ROUND('Смета ЕР (общ) '!$I1315*'Смета ЕР (общ) '!$L1315,2)</f>
        <v>0</v>
      </c>
      <c r="O1315" s="30">
        <f>ROUND('Смета ЕР (общ) '!$I1315*'Смета ЕР (общ) '!$M1315,2)</f>
        <v>0</v>
      </c>
      <c r="P1315" s="45"/>
    </row>
    <row r="1316" spans="1:16" ht="24" hidden="1" x14ac:dyDescent="0.3">
      <c r="A1316" s="26" t="s">
        <v>1170</v>
      </c>
      <c r="B1316" s="26">
        <v>2</v>
      </c>
      <c r="C1316" s="26"/>
      <c r="D1316" s="26">
        <v>343</v>
      </c>
      <c r="E1316" s="26" t="str">
        <f>CONCATENATE('Смета ЕР (общ) '!$A1316,".",'Смета ЕР (общ) '!$B1316,".",'Смета ЕР (общ) '!$D1316)</f>
        <v>Р9.2.343</v>
      </c>
      <c r="F1316" s="26">
        <f t="shared" si="106"/>
        <v>1</v>
      </c>
      <c r="G1316" s="33" t="s">
        <v>1393</v>
      </c>
      <c r="H1316" s="28" t="s">
        <v>118</v>
      </c>
      <c r="I1316" s="158"/>
      <c r="J1316" s="30">
        <v>287.10000000000002</v>
      </c>
      <c r="K1316" s="30">
        <v>442.8</v>
      </c>
      <c r="L1316" s="30">
        <f t="shared" si="105"/>
        <v>287.10000000000002</v>
      </c>
      <c r="M1316" s="30">
        <f t="shared" si="105"/>
        <v>442.8</v>
      </c>
      <c r="N1316" s="30">
        <f>ROUND('Смета ЕР (общ) '!$I1316*'Смета ЕР (общ) '!$L1316,2)</f>
        <v>0</v>
      </c>
      <c r="O1316" s="30">
        <f>ROUND('Смета ЕР (общ) '!$I1316*'Смета ЕР (общ) '!$M1316,2)</f>
        <v>0</v>
      </c>
      <c r="P1316" s="45"/>
    </row>
    <row r="1317" spans="1:16" ht="24" hidden="1" x14ac:dyDescent="0.3">
      <c r="A1317" s="26" t="s">
        <v>1170</v>
      </c>
      <c r="B1317" s="26">
        <v>2</v>
      </c>
      <c r="C1317" s="26"/>
      <c r="D1317" s="26">
        <v>344</v>
      </c>
      <c r="E1317" s="26" t="str">
        <f>CONCATENATE('Смета ЕР (общ) '!$A1317,".",'Смета ЕР (общ) '!$B1317,".",'Смета ЕР (общ) '!$D1317)</f>
        <v>Р9.2.344</v>
      </c>
      <c r="F1317" s="26">
        <f t="shared" si="106"/>
        <v>1</v>
      </c>
      <c r="G1317" s="33" t="s">
        <v>1394</v>
      </c>
      <c r="H1317" s="28" t="s">
        <v>118</v>
      </c>
      <c r="I1317" s="158"/>
      <c r="J1317" s="30">
        <v>287.10000000000002</v>
      </c>
      <c r="K1317" s="30">
        <v>498.14</v>
      </c>
      <c r="L1317" s="30">
        <f t="shared" si="105"/>
        <v>287.10000000000002</v>
      </c>
      <c r="M1317" s="30">
        <f t="shared" si="105"/>
        <v>498.14</v>
      </c>
      <c r="N1317" s="30">
        <f>ROUND('Смета ЕР (общ) '!$I1317*'Смета ЕР (общ) '!$L1317,2)</f>
        <v>0</v>
      </c>
      <c r="O1317" s="30">
        <f>ROUND('Смета ЕР (общ) '!$I1317*'Смета ЕР (общ) '!$M1317,2)</f>
        <v>0</v>
      </c>
      <c r="P1317" s="45"/>
    </row>
    <row r="1318" spans="1:16" ht="24" hidden="1" x14ac:dyDescent="0.3">
      <c r="A1318" s="26" t="s">
        <v>1170</v>
      </c>
      <c r="B1318" s="26">
        <v>2</v>
      </c>
      <c r="C1318" s="26"/>
      <c r="D1318" s="26">
        <v>345</v>
      </c>
      <c r="E1318" s="26" t="str">
        <f>CONCATENATE('Смета ЕР (общ) '!$A1318,".",'Смета ЕР (общ) '!$B1318,".",'Смета ЕР (общ) '!$D1318)</f>
        <v>Р9.2.345</v>
      </c>
      <c r="F1318" s="26">
        <f t="shared" si="106"/>
        <v>1</v>
      </c>
      <c r="G1318" s="33" t="s">
        <v>1395</v>
      </c>
      <c r="H1318" s="28" t="s">
        <v>118</v>
      </c>
      <c r="I1318" s="158"/>
      <c r="J1318" s="30">
        <v>287.10000000000002</v>
      </c>
      <c r="K1318" s="30">
        <v>503.45</v>
      </c>
      <c r="L1318" s="30">
        <f t="shared" si="105"/>
        <v>287.10000000000002</v>
      </c>
      <c r="M1318" s="30">
        <f t="shared" si="105"/>
        <v>503.45</v>
      </c>
      <c r="N1318" s="30">
        <f>ROUND('Смета ЕР (общ) '!$I1318*'Смета ЕР (общ) '!$L1318,2)</f>
        <v>0</v>
      </c>
      <c r="O1318" s="30">
        <f>ROUND('Смета ЕР (общ) '!$I1318*'Смета ЕР (общ) '!$M1318,2)</f>
        <v>0</v>
      </c>
      <c r="P1318" s="45"/>
    </row>
    <row r="1319" spans="1:16" ht="24" hidden="1" x14ac:dyDescent="0.3">
      <c r="A1319" s="26" t="s">
        <v>1170</v>
      </c>
      <c r="B1319" s="26">
        <v>2</v>
      </c>
      <c r="C1319" s="26"/>
      <c r="D1319" s="26">
        <v>346</v>
      </c>
      <c r="E1319" s="26" t="str">
        <f>CONCATENATE('Смета ЕР (общ) '!$A1319,".",'Смета ЕР (общ) '!$B1319,".",'Смета ЕР (общ) '!$D1319)</f>
        <v>Р9.2.346</v>
      </c>
      <c r="F1319" s="26">
        <f t="shared" si="106"/>
        <v>1</v>
      </c>
      <c r="G1319" s="33" t="s">
        <v>1396</v>
      </c>
      <c r="H1319" s="28" t="s">
        <v>118</v>
      </c>
      <c r="I1319" s="158"/>
      <c r="J1319" s="30">
        <v>438.48</v>
      </c>
      <c r="K1319" s="30">
        <v>582.54999999999995</v>
      </c>
      <c r="L1319" s="30">
        <f t="shared" si="105"/>
        <v>438.48</v>
      </c>
      <c r="M1319" s="30">
        <f t="shared" si="105"/>
        <v>582.54999999999995</v>
      </c>
      <c r="N1319" s="30">
        <f>ROUND('Смета ЕР (общ) '!$I1319*'Смета ЕР (общ) '!$L1319,2)</f>
        <v>0</v>
      </c>
      <c r="O1319" s="30">
        <f>ROUND('Смета ЕР (общ) '!$I1319*'Смета ЕР (общ) '!$M1319,2)</f>
        <v>0</v>
      </c>
      <c r="P1319" s="45"/>
    </row>
    <row r="1320" spans="1:16" ht="24" hidden="1" x14ac:dyDescent="0.3">
      <c r="A1320" s="26" t="s">
        <v>1170</v>
      </c>
      <c r="B1320" s="26">
        <v>2</v>
      </c>
      <c r="C1320" s="26"/>
      <c r="D1320" s="26">
        <v>347</v>
      </c>
      <c r="E1320" s="26" t="str">
        <f>CONCATENATE('Смета ЕР (общ) '!$A1320,".",'Смета ЕР (общ) '!$B1320,".",'Смета ЕР (общ) '!$D1320)</f>
        <v>Р9.2.347</v>
      </c>
      <c r="F1320" s="26">
        <f t="shared" si="106"/>
        <v>1</v>
      </c>
      <c r="G1320" s="33" t="s">
        <v>1397</v>
      </c>
      <c r="H1320" s="28" t="s">
        <v>118</v>
      </c>
      <c r="I1320" s="158"/>
      <c r="J1320" s="30">
        <v>438.48</v>
      </c>
      <c r="K1320" s="30">
        <v>494.09</v>
      </c>
      <c r="L1320" s="30">
        <f t="shared" si="105"/>
        <v>438.48</v>
      </c>
      <c r="M1320" s="30">
        <f t="shared" si="105"/>
        <v>494.09</v>
      </c>
      <c r="N1320" s="30">
        <f>ROUND('Смета ЕР (общ) '!$I1320*'Смета ЕР (общ) '!$L1320,2)</f>
        <v>0</v>
      </c>
      <c r="O1320" s="30">
        <f>ROUND('Смета ЕР (общ) '!$I1320*'Смета ЕР (общ) '!$M1320,2)</f>
        <v>0</v>
      </c>
      <c r="P1320" s="45"/>
    </row>
    <row r="1321" spans="1:16" ht="24" hidden="1" x14ac:dyDescent="0.3">
      <c r="A1321" s="26" t="s">
        <v>1170</v>
      </c>
      <c r="B1321" s="26">
        <v>2</v>
      </c>
      <c r="C1321" s="26"/>
      <c r="D1321" s="26">
        <v>348</v>
      </c>
      <c r="E1321" s="26" t="str">
        <f>CONCATENATE('Смета ЕР (общ) '!$A1321,".",'Смета ЕР (общ) '!$B1321,".",'Смета ЕР (общ) '!$D1321)</f>
        <v>Р9.2.348</v>
      </c>
      <c r="F1321" s="26">
        <f t="shared" si="106"/>
        <v>1</v>
      </c>
      <c r="G1321" s="33" t="s">
        <v>1398</v>
      </c>
      <c r="H1321" s="28" t="s">
        <v>118</v>
      </c>
      <c r="I1321" s="158"/>
      <c r="J1321" s="30">
        <v>287.10000000000002</v>
      </c>
      <c r="K1321" s="30">
        <v>483.35</v>
      </c>
      <c r="L1321" s="30">
        <f t="shared" si="105"/>
        <v>287.10000000000002</v>
      </c>
      <c r="M1321" s="30">
        <f t="shared" si="105"/>
        <v>483.35</v>
      </c>
      <c r="N1321" s="30">
        <f>ROUND('Смета ЕР (общ) '!$I1321*'Смета ЕР (общ) '!$L1321,2)</f>
        <v>0</v>
      </c>
      <c r="O1321" s="30">
        <f>ROUND('Смета ЕР (общ) '!$I1321*'Смета ЕР (общ) '!$M1321,2)</f>
        <v>0</v>
      </c>
      <c r="P1321" s="45"/>
    </row>
    <row r="1322" spans="1:16" ht="24" hidden="1" x14ac:dyDescent="0.3">
      <c r="A1322" s="26" t="s">
        <v>1170</v>
      </c>
      <c r="B1322" s="26">
        <v>2</v>
      </c>
      <c r="C1322" s="26"/>
      <c r="D1322" s="26">
        <v>349</v>
      </c>
      <c r="E1322" s="26" t="str">
        <f>CONCATENATE('Смета ЕР (общ) '!$A1322,".",'Смета ЕР (общ) '!$B1322,".",'Смета ЕР (общ) '!$D1322)</f>
        <v>Р9.2.349</v>
      </c>
      <c r="F1322" s="26">
        <f t="shared" si="106"/>
        <v>1</v>
      </c>
      <c r="G1322" s="33" t="s">
        <v>1399</v>
      </c>
      <c r="H1322" s="28" t="s">
        <v>118</v>
      </c>
      <c r="I1322" s="158"/>
      <c r="J1322" s="30">
        <v>287.10000000000002</v>
      </c>
      <c r="K1322" s="30">
        <v>550.96</v>
      </c>
      <c r="L1322" s="30">
        <f t="shared" si="105"/>
        <v>287.10000000000002</v>
      </c>
      <c r="M1322" s="30">
        <f t="shared" si="105"/>
        <v>550.96</v>
      </c>
      <c r="N1322" s="30">
        <f>ROUND('Смета ЕР (общ) '!$I1322*'Смета ЕР (общ) '!$L1322,2)</f>
        <v>0</v>
      </c>
      <c r="O1322" s="30">
        <f>ROUND('Смета ЕР (общ) '!$I1322*'Смета ЕР (общ) '!$M1322,2)</f>
        <v>0</v>
      </c>
      <c r="P1322" s="45"/>
    </row>
    <row r="1323" spans="1:16" ht="24" hidden="1" x14ac:dyDescent="0.3">
      <c r="A1323" s="26" t="s">
        <v>1170</v>
      </c>
      <c r="B1323" s="26">
        <v>2</v>
      </c>
      <c r="C1323" s="26"/>
      <c r="D1323" s="26">
        <v>350</v>
      </c>
      <c r="E1323" s="26" t="str">
        <f>CONCATENATE('Смета ЕР (общ) '!$A1323,".",'Смета ЕР (общ) '!$B1323,".",'Смета ЕР (общ) '!$D1323)</f>
        <v>Р9.2.350</v>
      </c>
      <c r="F1323" s="26">
        <f t="shared" si="106"/>
        <v>1</v>
      </c>
      <c r="G1323" s="33" t="s">
        <v>1400</v>
      </c>
      <c r="H1323" s="28" t="s">
        <v>118</v>
      </c>
      <c r="I1323" s="158"/>
      <c r="J1323" s="30">
        <v>746.46</v>
      </c>
      <c r="K1323" s="30">
        <v>1377.39</v>
      </c>
      <c r="L1323" s="30">
        <f t="shared" si="105"/>
        <v>746.46</v>
      </c>
      <c r="M1323" s="30">
        <f t="shared" si="105"/>
        <v>1377.39</v>
      </c>
      <c r="N1323" s="30">
        <f>ROUND('Смета ЕР (общ) '!$I1323*'Смета ЕР (общ) '!$L1323,2)</f>
        <v>0</v>
      </c>
      <c r="O1323" s="30">
        <f>ROUND('Смета ЕР (общ) '!$I1323*'Смета ЕР (общ) '!$M1323,2)</f>
        <v>0</v>
      </c>
      <c r="P1323" s="45"/>
    </row>
    <row r="1324" spans="1:16" ht="24" hidden="1" x14ac:dyDescent="0.3">
      <c r="A1324" s="26" t="s">
        <v>1170</v>
      </c>
      <c r="B1324" s="26">
        <v>2</v>
      </c>
      <c r="C1324" s="26"/>
      <c r="D1324" s="26">
        <v>351</v>
      </c>
      <c r="E1324" s="26" t="str">
        <f>CONCATENATE('Смета ЕР (общ) '!$A1324,".",'Смета ЕР (общ) '!$B1324,".",'Смета ЕР (общ) '!$D1324)</f>
        <v>Р9.2.351</v>
      </c>
      <c r="F1324" s="26">
        <f t="shared" si="106"/>
        <v>1</v>
      </c>
      <c r="G1324" s="33" t="s">
        <v>1401</v>
      </c>
      <c r="H1324" s="28" t="s">
        <v>118</v>
      </c>
      <c r="I1324" s="158"/>
      <c r="J1324" s="30">
        <v>746.46</v>
      </c>
      <c r="K1324" s="30">
        <v>1592.21</v>
      </c>
      <c r="L1324" s="30">
        <f t="shared" si="105"/>
        <v>746.46</v>
      </c>
      <c r="M1324" s="30">
        <f t="shared" si="105"/>
        <v>1592.21</v>
      </c>
      <c r="N1324" s="30">
        <f>ROUND('Смета ЕР (общ) '!$I1324*'Смета ЕР (общ) '!$L1324,2)</f>
        <v>0</v>
      </c>
      <c r="O1324" s="30">
        <f>ROUND('Смета ЕР (общ) '!$I1324*'Смета ЕР (общ) '!$M1324,2)</f>
        <v>0</v>
      </c>
      <c r="P1324" s="45"/>
    </row>
    <row r="1325" spans="1:16" ht="24" hidden="1" x14ac:dyDescent="0.3">
      <c r="A1325" s="26" t="s">
        <v>1170</v>
      </c>
      <c r="B1325" s="26">
        <v>2</v>
      </c>
      <c r="C1325" s="26"/>
      <c r="D1325" s="26">
        <v>352</v>
      </c>
      <c r="E1325" s="26" t="str">
        <f>CONCATENATE('Смета ЕР (общ) '!$A1325,".",'Смета ЕР (общ) '!$B1325,".",'Смета ЕР (общ) '!$D1325)</f>
        <v>Р9.2.352</v>
      </c>
      <c r="F1325" s="26">
        <f t="shared" si="106"/>
        <v>1</v>
      </c>
      <c r="G1325" s="33" t="s">
        <v>1402</v>
      </c>
      <c r="H1325" s="28" t="s">
        <v>118</v>
      </c>
      <c r="I1325" s="158"/>
      <c r="J1325" s="30">
        <v>791.7</v>
      </c>
      <c r="K1325" s="30">
        <v>1529.03</v>
      </c>
      <c r="L1325" s="30">
        <f t="shared" si="105"/>
        <v>791.7</v>
      </c>
      <c r="M1325" s="30">
        <f t="shared" si="105"/>
        <v>1529.03</v>
      </c>
      <c r="N1325" s="30">
        <f>ROUND('Смета ЕР (общ) '!$I1325*'Смета ЕР (общ) '!$L1325,2)</f>
        <v>0</v>
      </c>
      <c r="O1325" s="30">
        <f>ROUND('Смета ЕР (общ) '!$I1325*'Смета ЕР (общ) '!$M1325,2)</f>
        <v>0</v>
      </c>
      <c r="P1325" s="45"/>
    </row>
    <row r="1326" spans="1:16" ht="24" hidden="1" x14ac:dyDescent="0.3">
      <c r="A1326" s="26" t="s">
        <v>1170</v>
      </c>
      <c r="B1326" s="26">
        <v>2</v>
      </c>
      <c r="C1326" s="26"/>
      <c r="D1326" s="26">
        <v>353</v>
      </c>
      <c r="E1326" s="26" t="str">
        <f>CONCATENATE('Смета ЕР (общ) '!$A1326,".",'Смета ЕР (общ) '!$B1326,".",'Смета ЕР (общ) '!$D1326)</f>
        <v>Р9.2.353</v>
      </c>
      <c r="F1326" s="26">
        <f t="shared" si="106"/>
        <v>1</v>
      </c>
      <c r="G1326" s="33" t="s">
        <v>1403</v>
      </c>
      <c r="H1326" s="28" t="s">
        <v>118</v>
      </c>
      <c r="I1326" s="158"/>
      <c r="J1326" s="30">
        <v>945.21</v>
      </c>
      <c r="K1326" s="30">
        <v>1674.35</v>
      </c>
      <c r="L1326" s="30">
        <f t="shared" si="105"/>
        <v>945.21</v>
      </c>
      <c r="M1326" s="30">
        <f t="shared" si="105"/>
        <v>1674.35</v>
      </c>
      <c r="N1326" s="30">
        <f>ROUND('Смета ЕР (общ) '!$I1326*'Смета ЕР (общ) '!$L1326,2)</f>
        <v>0</v>
      </c>
      <c r="O1326" s="30">
        <f>ROUND('Смета ЕР (общ) '!$I1326*'Смета ЕР (общ) '!$M1326,2)</f>
        <v>0</v>
      </c>
      <c r="P1326" s="45"/>
    </row>
    <row r="1327" spans="1:16" ht="24" hidden="1" x14ac:dyDescent="0.3">
      <c r="A1327" s="26" t="s">
        <v>1170</v>
      </c>
      <c r="B1327" s="26">
        <v>2</v>
      </c>
      <c r="C1327" s="26"/>
      <c r="D1327" s="26">
        <v>354</v>
      </c>
      <c r="E1327" s="26" t="str">
        <f>CONCATENATE('Смета ЕР (общ) '!$A1327,".",'Смета ЕР (общ) '!$B1327,".",'Смета ЕР (общ) '!$D1327)</f>
        <v>Р9.2.354</v>
      </c>
      <c r="F1327" s="26">
        <f t="shared" si="106"/>
        <v>1</v>
      </c>
      <c r="G1327" s="33" t="s">
        <v>1404</v>
      </c>
      <c r="H1327" s="28" t="s">
        <v>118</v>
      </c>
      <c r="I1327" s="158"/>
      <c r="J1327" s="30">
        <v>997.71</v>
      </c>
      <c r="K1327" s="30">
        <v>1781.77</v>
      </c>
      <c r="L1327" s="30">
        <f t="shared" si="105"/>
        <v>997.71</v>
      </c>
      <c r="M1327" s="30">
        <f t="shared" si="105"/>
        <v>1781.77</v>
      </c>
      <c r="N1327" s="30">
        <f>ROUND('Смета ЕР (общ) '!$I1327*'Смета ЕР (общ) '!$L1327,2)</f>
        <v>0</v>
      </c>
      <c r="O1327" s="30">
        <f>ROUND('Смета ЕР (общ) '!$I1327*'Смета ЕР (общ) '!$M1327,2)</f>
        <v>0</v>
      </c>
      <c r="P1327" s="45"/>
    </row>
    <row r="1328" spans="1:16" ht="24" hidden="1" x14ac:dyDescent="0.3">
      <c r="A1328" s="26" t="s">
        <v>1170</v>
      </c>
      <c r="B1328" s="26">
        <v>2</v>
      </c>
      <c r="C1328" s="26"/>
      <c r="D1328" s="26">
        <v>355</v>
      </c>
      <c r="E1328" s="26" t="str">
        <f>CONCATENATE('Смета ЕР (общ) '!$A1328,".",'Смета ЕР (общ) '!$B1328,".",'Смета ЕР (общ) '!$D1328)</f>
        <v>Р9.2.355</v>
      </c>
      <c r="F1328" s="26">
        <f t="shared" si="106"/>
        <v>1</v>
      </c>
      <c r="G1328" s="33" t="s">
        <v>1405</v>
      </c>
      <c r="H1328" s="28" t="s">
        <v>118</v>
      </c>
      <c r="I1328" s="158"/>
      <c r="J1328" s="30">
        <v>1260.27</v>
      </c>
      <c r="K1328" s="30">
        <v>2331.4499999999998</v>
      </c>
      <c r="L1328" s="30">
        <f t="shared" si="105"/>
        <v>1260.27</v>
      </c>
      <c r="M1328" s="30">
        <f t="shared" si="105"/>
        <v>2331.4499999999998</v>
      </c>
      <c r="N1328" s="30">
        <f>ROUND('Смета ЕР (общ) '!$I1328*'Смета ЕР (общ) '!$L1328,2)</f>
        <v>0</v>
      </c>
      <c r="O1328" s="30">
        <f>ROUND('Смета ЕР (общ) '!$I1328*'Смета ЕР (общ) '!$M1328,2)</f>
        <v>0</v>
      </c>
      <c r="P1328" s="45"/>
    </row>
    <row r="1329" spans="1:16" ht="24" hidden="1" x14ac:dyDescent="0.3">
      <c r="A1329" s="26" t="s">
        <v>1170</v>
      </c>
      <c r="B1329" s="26">
        <v>2</v>
      </c>
      <c r="C1329" s="26"/>
      <c r="D1329" s="26">
        <v>356</v>
      </c>
      <c r="E1329" s="26" t="str">
        <f>CONCATENATE('Смета ЕР (общ) '!$A1329,".",'Смета ЕР (общ) '!$B1329,".",'Смета ЕР (общ) '!$D1329)</f>
        <v>Р9.2.356</v>
      </c>
      <c r="F1329" s="26">
        <f t="shared" si="106"/>
        <v>1</v>
      </c>
      <c r="G1329" s="33" t="s">
        <v>1406</v>
      </c>
      <c r="H1329" s="28" t="s">
        <v>118</v>
      </c>
      <c r="I1329" s="158"/>
      <c r="J1329" s="30">
        <v>1540.16</v>
      </c>
      <c r="K1329" s="30">
        <v>2426.2399999999998</v>
      </c>
      <c r="L1329" s="30">
        <f t="shared" si="105"/>
        <v>1540.16</v>
      </c>
      <c r="M1329" s="30">
        <f t="shared" si="105"/>
        <v>2426.2399999999998</v>
      </c>
      <c r="N1329" s="30">
        <f>ROUND('Смета ЕР (общ) '!$I1329*'Смета ЕР (общ) '!$L1329,2)</f>
        <v>0</v>
      </c>
      <c r="O1329" s="30">
        <f>ROUND('Смета ЕР (общ) '!$I1329*'Смета ЕР (общ) '!$M1329,2)</f>
        <v>0</v>
      </c>
      <c r="P1329" s="45"/>
    </row>
    <row r="1330" spans="1:16" ht="24" hidden="1" x14ac:dyDescent="0.3">
      <c r="A1330" s="26" t="s">
        <v>1170</v>
      </c>
      <c r="B1330" s="26">
        <v>2</v>
      </c>
      <c r="C1330" s="26"/>
      <c r="D1330" s="26">
        <v>357</v>
      </c>
      <c r="E1330" s="26" t="str">
        <f>CONCATENATE('Смета ЕР (общ) '!$A1330,".",'Смета ЕР (общ) '!$B1330,".",'Смета ЕР (общ) '!$D1330)</f>
        <v>Р9.2.357</v>
      </c>
      <c r="F1330" s="26">
        <f t="shared" si="106"/>
        <v>1</v>
      </c>
      <c r="G1330" s="33" t="s">
        <v>1407</v>
      </c>
      <c r="H1330" s="28" t="s">
        <v>118</v>
      </c>
      <c r="I1330" s="158"/>
      <c r="J1330" s="30">
        <v>577.62</v>
      </c>
      <c r="K1330" s="30">
        <v>4694.51</v>
      </c>
      <c r="L1330" s="30">
        <f t="shared" si="105"/>
        <v>577.62</v>
      </c>
      <c r="M1330" s="30">
        <f t="shared" si="105"/>
        <v>4694.51</v>
      </c>
      <c r="N1330" s="30">
        <f>ROUND('Смета ЕР (общ) '!$I1330*'Смета ЕР (общ) '!$L1330,2)</f>
        <v>0</v>
      </c>
      <c r="O1330" s="30">
        <f>ROUND('Смета ЕР (общ) '!$I1330*'Смета ЕР (общ) '!$M1330,2)</f>
        <v>0</v>
      </c>
      <c r="P1330" s="45"/>
    </row>
    <row r="1331" spans="1:16" ht="24" hidden="1" x14ac:dyDescent="0.3">
      <c r="A1331" s="26" t="s">
        <v>1170</v>
      </c>
      <c r="B1331" s="26">
        <v>2</v>
      </c>
      <c r="C1331" s="26"/>
      <c r="D1331" s="26">
        <v>358</v>
      </c>
      <c r="E1331" s="26" t="str">
        <f>CONCATENATE('Смета ЕР (общ) '!$A1331,".",'Смета ЕР (общ) '!$B1331,".",'Смета ЕР (общ) '!$D1331)</f>
        <v>Р9.2.358</v>
      </c>
      <c r="F1331" s="26">
        <f t="shared" si="106"/>
        <v>1</v>
      </c>
      <c r="G1331" s="33" t="s">
        <v>1408</v>
      </c>
      <c r="H1331" s="28" t="s">
        <v>118</v>
      </c>
      <c r="I1331" s="158"/>
      <c r="J1331" s="30">
        <v>577.62</v>
      </c>
      <c r="K1331" s="30">
        <v>5414.79</v>
      </c>
      <c r="L1331" s="30">
        <f t="shared" si="105"/>
        <v>577.62</v>
      </c>
      <c r="M1331" s="30">
        <f t="shared" si="105"/>
        <v>5414.79</v>
      </c>
      <c r="N1331" s="30">
        <f>ROUND('Смета ЕР (общ) '!$I1331*'Смета ЕР (общ) '!$L1331,2)</f>
        <v>0</v>
      </c>
      <c r="O1331" s="30">
        <f>ROUND('Смета ЕР (общ) '!$I1331*'Смета ЕР (общ) '!$M1331,2)</f>
        <v>0</v>
      </c>
      <c r="P1331" s="45"/>
    </row>
    <row r="1332" spans="1:16" ht="24" hidden="1" x14ac:dyDescent="0.3">
      <c r="A1332" s="26" t="s">
        <v>1170</v>
      </c>
      <c r="B1332" s="26">
        <v>2</v>
      </c>
      <c r="C1332" s="26"/>
      <c r="D1332" s="26">
        <v>359</v>
      </c>
      <c r="E1332" s="26" t="str">
        <f>CONCATENATE('Смета ЕР (общ) '!$A1332,".",'Смета ЕР (общ) '!$B1332,".",'Смета ЕР (общ) '!$D1332)</f>
        <v>Р9.2.359</v>
      </c>
      <c r="F1332" s="26">
        <f t="shared" si="106"/>
        <v>1</v>
      </c>
      <c r="G1332" s="33" t="s">
        <v>1409</v>
      </c>
      <c r="H1332" s="28" t="s">
        <v>118</v>
      </c>
      <c r="I1332" s="158"/>
      <c r="J1332" s="30">
        <v>577.62</v>
      </c>
      <c r="K1332" s="30">
        <v>5288.43</v>
      </c>
      <c r="L1332" s="30">
        <f t="shared" si="105"/>
        <v>577.62</v>
      </c>
      <c r="M1332" s="30">
        <f t="shared" si="105"/>
        <v>5288.43</v>
      </c>
      <c r="N1332" s="30">
        <f>ROUND('Смета ЕР (общ) '!$I1332*'Смета ЕР (общ) '!$L1332,2)</f>
        <v>0</v>
      </c>
      <c r="O1332" s="30">
        <f>ROUND('Смета ЕР (общ) '!$I1332*'Смета ЕР (общ) '!$M1332,2)</f>
        <v>0</v>
      </c>
      <c r="P1332" s="45"/>
    </row>
    <row r="1333" spans="1:16" ht="24" hidden="1" x14ac:dyDescent="0.3">
      <c r="A1333" s="26" t="s">
        <v>1170</v>
      </c>
      <c r="B1333" s="26">
        <v>2</v>
      </c>
      <c r="C1333" s="26"/>
      <c r="D1333" s="26">
        <v>360</v>
      </c>
      <c r="E1333" s="26" t="str">
        <f>CONCATENATE('Смета ЕР (общ) '!$A1333,".",'Смета ЕР (общ) '!$B1333,".",'Смета ЕР (общ) '!$D1333)</f>
        <v>Р9.2.360</v>
      </c>
      <c r="F1333" s="26">
        <f t="shared" si="106"/>
        <v>1</v>
      </c>
      <c r="G1333" s="33" t="s">
        <v>1410</v>
      </c>
      <c r="H1333" s="28" t="s">
        <v>118</v>
      </c>
      <c r="I1333" s="158"/>
      <c r="J1333" s="30">
        <v>636.41</v>
      </c>
      <c r="K1333" s="30">
        <v>5888.67</v>
      </c>
      <c r="L1333" s="30">
        <f t="shared" si="105"/>
        <v>636.41</v>
      </c>
      <c r="M1333" s="30">
        <f t="shared" si="105"/>
        <v>5888.67</v>
      </c>
      <c r="N1333" s="30">
        <f>ROUND('Смета ЕР (общ) '!$I1333*'Смета ЕР (общ) '!$L1333,2)</f>
        <v>0</v>
      </c>
      <c r="O1333" s="30">
        <f>ROUND('Смета ЕР (общ) '!$I1333*'Смета ЕР (общ) '!$M1333,2)</f>
        <v>0</v>
      </c>
      <c r="P1333" s="45"/>
    </row>
    <row r="1334" spans="1:16" ht="14.4" hidden="1" x14ac:dyDescent="0.3">
      <c r="A1334" s="43" t="s">
        <v>1170</v>
      </c>
      <c r="B1334" s="43">
        <v>2</v>
      </c>
      <c r="C1334" s="43"/>
      <c r="D1334" s="43">
        <v>144</v>
      </c>
      <c r="E1334" s="43" t="str">
        <f>CONCATENATE('Смета ЕР (общ) '!$A1334,".",'Смета ЕР (общ) '!$B1334,".",'Смета ЕР (общ) '!$D1334)</f>
        <v>Р9.2.144</v>
      </c>
      <c r="F1334" s="43">
        <f t="shared" si="106"/>
        <v>1</v>
      </c>
      <c r="G1334" s="44" t="s">
        <v>1411</v>
      </c>
      <c r="H1334" s="28" t="s">
        <v>118</v>
      </c>
      <c r="I1334" s="158"/>
      <c r="J1334" s="30">
        <v>787.67</v>
      </c>
      <c r="K1334" s="30">
        <v>4122.1000000000004</v>
      </c>
      <c r="L1334" s="30">
        <f t="shared" si="105"/>
        <v>787.67</v>
      </c>
      <c r="M1334" s="30">
        <f t="shared" si="105"/>
        <v>4122.1000000000004</v>
      </c>
      <c r="N1334" s="30">
        <f>ROUND('Смета ЕР (общ) '!$I1334*'Смета ЕР (общ) '!$L1334,2)</f>
        <v>0</v>
      </c>
      <c r="O1334" s="30">
        <f>ROUND('Смета ЕР (общ) '!$I1334*'Смета ЕР (общ) '!$M1334,2)</f>
        <v>0</v>
      </c>
      <c r="P1334" s="45"/>
    </row>
    <row r="1335" spans="1:16" ht="14.4" hidden="1" x14ac:dyDescent="0.3">
      <c r="A1335" s="43" t="s">
        <v>1170</v>
      </c>
      <c r="B1335" s="43">
        <v>2</v>
      </c>
      <c r="C1335" s="43"/>
      <c r="D1335" s="43">
        <v>145</v>
      </c>
      <c r="E1335" s="43" t="str">
        <f>CONCATENATE('Смета ЕР (общ) '!$A1335,".",'Смета ЕР (общ) '!$B1335,".",'Смета ЕР (общ) '!$D1335)</f>
        <v>Р9.2.145</v>
      </c>
      <c r="F1335" s="43">
        <f t="shared" si="106"/>
        <v>1</v>
      </c>
      <c r="G1335" s="44" t="s">
        <v>1412</v>
      </c>
      <c r="H1335" s="28" t="s">
        <v>118</v>
      </c>
      <c r="I1335" s="158"/>
      <c r="J1335" s="30">
        <v>787.67</v>
      </c>
      <c r="K1335" s="30">
        <v>4108.37</v>
      </c>
      <c r="L1335" s="30">
        <f t="shared" si="105"/>
        <v>787.67</v>
      </c>
      <c r="M1335" s="30">
        <f t="shared" si="105"/>
        <v>4108.37</v>
      </c>
      <c r="N1335" s="30">
        <f>ROUND('Смета ЕР (общ) '!$I1335*'Смета ЕР (общ) '!$L1335,2)</f>
        <v>0</v>
      </c>
      <c r="O1335" s="30">
        <f>ROUND('Смета ЕР (общ) '!$I1335*'Смета ЕР (общ) '!$M1335,2)</f>
        <v>0</v>
      </c>
      <c r="P1335" s="45"/>
    </row>
    <row r="1336" spans="1:16" ht="14.4" hidden="1" x14ac:dyDescent="0.3">
      <c r="A1336" s="26" t="s">
        <v>1170</v>
      </c>
      <c r="B1336" s="26">
        <v>2</v>
      </c>
      <c r="C1336" s="26"/>
      <c r="D1336" s="26">
        <v>146</v>
      </c>
      <c r="E1336" s="26" t="str">
        <f>CONCATENATE('Смета ЕР (общ) '!$A1336,".",'Смета ЕР (общ) '!$B1336,".",'Смета ЕР (общ) '!$D1336)</f>
        <v>Р9.2.146</v>
      </c>
      <c r="F1336" s="26">
        <f t="shared" si="106"/>
        <v>1</v>
      </c>
      <c r="G1336" s="27" t="s">
        <v>1413</v>
      </c>
      <c r="H1336" s="28" t="s">
        <v>118</v>
      </c>
      <c r="I1336" s="158"/>
      <c r="J1336" s="30">
        <v>787.67</v>
      </c>
      <c r="K1336" s="30">
        <v>4147.58</v>
      </c>
      <c r="L1336" s="30">
        <f t="shared" si="105"/>
        <v>787.67</v>
      </c>
      <c r="M1336" s="30">
        <f t="shared" si="105"/>
        <v>4147.58</v>
      </c>
      <c r="N1336" s="30">
        <f>ROUND('Смета ЕР (общ) '!$I1336*'Смета ЕР (общ) '!$L1336,2)</f>
        <v>0</v>
      </c>
      <c r="O1336" s="30">
        <f>ROUND('Смета ЕР (общ) '!$I1336*'Смета ЕР (общ) '!$M1336,2)</f>
        <v>0</v>
      </c>
      <c r="P1336" s="45"/>
    </row>
    <row r="1337" spans="1:16" ht="14.4" hidden="1" x14ac:dyDescent="0.3">
      <c r="A1337" s="26" t="s">
        <v>1170</v>
      </c>
      <c r="B1337" s="26">
        <v>2</v>
      </c>
      <c r="C1337" s="26"/>
      <c r="D1337" s="26">
        <v>147</v>
      </c>
      <c r="E1337" s="26" t="str">
        <f>CONCATENATE('Смета ЕР (общ) '!$A1337,".",'Смета ЕР (общ) '!$B1337,".",'Смета ЕР (общ) '!$D1337)</f>
        <v>Р9.2.147</v>
      </c>
      <c r="F1337" s="26">
        <f t="shared" si="106"/>
        <v>1</v>
      </c>
      <c r="G1337" s="27" t="s">
        <v>1414</v>
      </c>
      <c r="H1337" s="28" t="s">
        <v>118</v>
      </c>
      <c r="I1337" s="158"/>
      <c r="J1337" s="30">
        <v>1155.25</v>
      </c>
      <c r="K1337" s="30">
        <v>6434.73</v>
      </c>
      <c r="L1337" s="30">
        <f t="shared" si="105"/>
        <v>1155.25</v>
      </c>
      <c r="M1337" s="30">
        <f t="shared" si="105"/>
        <v>6434.73</v>
      </c>
      <c r="N1337" s="30">
        <f>ROUND('Смета ЕР (общ) '!$I1337*'Смета ЕР (общ) '!$L1337,2)</f>
        <v>0</v>
      </c>
      <c r="O1337" s="30">
        <f>ROUND('Смета ЕР (общ) '!$I1337*'Смета ЕР (общ) '!$M1337,2)</f>
        <v>0</v>
      </c>
      <c r="P1337" s="45"/>
    </row>
    <row r="1338" spans="1:16" ht="14.4" hidden="1" x14ac:dyDescent="0.3">
      <c r="A1338" s="26" t="s">
        <v>1170</v>
      </c>
      <c r="B1338" s="26">
        <v>2</v>
      </c>
      <c r="C1338" s="26"/>
      <c r="D1338" s="26">
        <v>148</v>
      </c>
      <c r="E1338" s="26" t="str">
        <f>CONCATENATE('Смета ЕР (общ) '!$A1338,".",'Смета ЕР (общ) '!$B1338,".",'Смета ЕР (общ) '!$D1338)</f>
        <v>Р9.2.148</v>
      </c>
      <c r="F1338" s="26">
        <f t="shared" si="106"/>
        <v>1</v>
      </c>
      <c r="G1338" s="27" t="s">
        <v>1415</v>
      </c>
      <c r="H1338" s="28" t="s">
        <v>118</v>
      </c>
      <c r="I1338" s="158"/>
      <c r="J1338" s="30">
        <v>1207.76</v>
      </c>
      <c r="K1338" s="30">
        <v>11260.19</v>
      </c>
      <c r="L1338" s="30">
        <f t="shared" si="105"/>
        <v>1207.76</v>
      </c>
      <c r="M1338" s="30">
        <f t="shared" si="105"/>
        <v>11260.19</v>
      </c>
      <c r="N1338" s="30">
        <f>ROUND('Смета ЕР (общ) '!$I1338*'Смета ЕР (общ) '!$L1338,2)</f>
        <v>0</v>
      </c>
      <c r="O1338" s="30">
        <f>ROUND('Смета ЕР (общ) '!$I1338*'Смета ЕР (общ) '!$M1338,2)</f>
        <v>0</v>
      </c>
      <c r="P1338" s="45"/>
    </row>
    <row r="1339" spans="1:16" ht="14.4" hidden="1" x14ac:dyDescent="0.3">
      <c r="A1339" s="26" t="s">
        <v>1170</v>
      </c>
      <c r="B1339" s="26">
        <v>2</v>
      </c>
      <c r="C1339" s="26"/>
      <c r="D1339" s="26">
        <v>260</v>
      </c>
      <c r="E1339" s="26" t="str">
        <f>CONCATENATE('Смета ЕР (общ) '!$A1339,".",'Смета ЕР (общ) '!$B1339,".",'Смета ЕР (общ) '!$D1339)</f>
        <v>Р9.2.260</v>
      </c>
      <c r="F1339" s="26">
        <f t="shared" si="106"/>
        <v>1</v>
      </c>
      <c r="G1339" s="27" t="s">
        <v>1416</v>
      </c>
      <c r="H1339" s="28" t="s">
        <v>118</v>
      </c>
      <c r="I1339" s="158"/>
      <c r="J1339" s="30">
        <v>1837.89</v>
      </c>
      <c r="K1339" s="30">
        <v>14008.87</v>
      </c>
      <c r="L1339" s="30">
        <f t="shared" si="105"/>
        <v>1837.89</v>
      </c>
      <c r="M1339" s="30">
        <f t="shared" si="105"/>
        <v>14008.87</v>
      </c>
      <c r="N1339" s="30">
        <f>ROUND('Смета ЕР (общ) '!$I1339*'Смета ЕР (общ) '!$L1339,2)</f>
        <v>0</v>
      </c>
      <c r="O1339" s="30">
        <f>ROUND('Смета ЕР (общ) '!$I1339*'Смета ЕР (общ) '!$M1339,2)</f>
        <v>0</v>
      </c>
      <c r="P1339" s="45"/>
    </row>
    <row r="1340" spans="1:16" ht="14.4" hidden="1" x14ac:dyDescent="0.3">
      <c r="A1340" s="26" t="s">
        <v>1170</v>
      </c>
      <c r="B1340" s="26">
        <v>2</v>
      </c>
      <c r="C1340" s="26"/>
      <c r="D1340" s="26">
        <v>149</v>
      </c>
      <c r="E1340" s="26" t="str">
        <f>CONCATENATE('Смета ЕР (общ) '!$A1340,".",'Смета ЕР (общ) '!$B1340,".",'Смета ЕР (общ) '!$D1340)</f>
        <v>Р9.2.149</v>
      </c>
      <c r="F1340" s="26">
        <f t="shared" si="106"/>
        <v>1</v>
      </c>
      <c r="G1340" s="27" t="s">
        <v>1417</v>
      </c>
      <c r="H1340" s="28" t="s">
        <v>118</v>
      </c>
      <c r="I1340" s="158"/>
      <c r="J1340" s="30">
        <v>1785.39</v>
      </c>
      <c r="K1340" s="30">
        <v>10115.92</v>
      </c>
      <c r="L1340" s="30">
        <f t="shared" si="105"/>
        <v>1785.39</v>
      </c>
      <c r="M1340" s="30">
        <f t="shared" si="105"/>
        <v>10115.92</v>
      </c>
      <c r="N1340" s="30">
        <f>ROUND('Смета ЕР (общ) '!$I1340*'Смета ЕР (общ) '!$L1340,2)</f>
        <v>0</v>
      </c>
      <c r="O1340" s="30">
        <f>ROUND('Смета ЕР (общ) '!$I1340*'Смета ЕР (общ) '!$M1340,2)</f>
        <v>0</v>
      </c>
      <c r="P1340" s="45"/>
    </row>
    <row r="1341" spans="1:16" ht="14.4" hidden="1" x14ac:dyDescent="0.3">
      <c r="A1341" s="26" t="s">
        <v>1170</v>
      </c>
      <c r="B1341" s="26">
        <v>2</v>
      </c>
      <c r="C1341" s="26"/>
      <c r="D1341" s="26">
        <v>150</v>
      </c>
      <c r="E1341" s="26" t="str">
        <f>CONCATENATE('Смета ЕР (общ) '!$A1341,".",'Смета ЕР (общ) '!$B1341,".",'Смета ЕР (общ) '!$D1341)</f>
        <v>Р9.2.150</v>
      </c>
      <c r="F1341" s="26">
        <f t="shared" si="106"/>
        <v>1</v>
      </c>
      <c r="G1341" s="27" t="s">
        <v>1418</v>
      </c>
      <c r="H1341" s="28" t="s">
        <v>118</v>
      </c>
      <c r="I1341" s="158"/>
      <c r="J1341" s="30">
        <v>1627.85</v>
      </c>
      <c r="K1341" s="30">
        <v>5991.69</v>
      </c>
      <c r="L1341" s="30">
        <f t="shared" si="105"/>
        <v>1627.85</v>
      </c>
      <c r="M1341" s="30">
        <f t="shared" si="105"/>
        <v>5991.69</v>
      </c>
      <c r="N1341" s="30">
        <f>ROUND('Смета ЕР (общ) '!$I1341*'Смета ЕР (общ) '!$L1341,2)</f>
        <v>0</v>
      </c>
      <c r="O1341" s="30">
        <f>ROUND('Смета ЕР (общ) '!$I1341*'Смета ЕР (общ) '!$M1341,2)</f>
        <v>0</v>
      </c>
      <c r="P1341" s="45"/>
    </row>
    <row r="1342" spans="1:16" ht="14.4" hidden="1" x14ac:dyDescent="0.3">
      <c r="A1342" s="26" t="s">
        <v>1170</v>
      </c>
      <c r="B1342" s="26">
        <v>2</v>
      </c>
      <c r="C1342" s="26"/>
      <c r="D1342" s="26">
        <v>151</v>
      </c>
      <c r="E1342" s="26" t="str">
        <f>CONCATENATE('Смета ЕР (общ) '!$A1342,".",'Смета ЕР (общ) '!$B1342,".",'Смета ЕР (общ) '!$D1342)</f>
        <v>Р9.2.151</v>
      </c>
      <c r="F1342" s="26">
        <f t="shared" si="106"/>
        <v>1</v>
      </c>
      <c r="G1342" s="27" t="s">
        <v>1419</v>
      </c>
      <c r="H1342" s="28" t="s">
        <v>118</v>
      </c>
      <c r="I1342" s="158"/>
      <c r="J1342" s="30">
        <v>4883.55</v>
      </c>
      <c r="K1342" s="30">
        <v>20749.900000000001</v>
      </c>
      <c r="L1342" s="30">
        <f t="shared" si="105"/>
        <v>4883.55</v>
      </c>
      <c r="M1342" s="30">
        <f t="shared" si="105"/>
        <v>20749.900000000001</v>
      </c>
      <c r="N1342" s="30">
        <f>ROUND('Смета ЕР (общ) '!$I1342*'Смета ЕР (общ) '!$L1342,2)</f>
        <v>0</v>
      </c>
      <c r="O1342" s="30">
        <f>ROUND('Смета ЕР (общ) '!$I1342*'Смета ЕР (общ) '!$M1342,2)</f>
        <v>0</v>
      </c>
      <c r="P1342" s="45"/>
    </row>
    <row r="1343" spans="1:16" ht="14.4" hidden="1" x14ac:dyDescent="0.3">
      <c r="A1343" s="26" t="s">
        <v>1170</v>
      </c>
      <c r="B1343" s="26">
        <v>2</v>
      </c>
      <c r="C1343" s="26"/>
      <c r="D1343" s="26">
        <v>152</v>
      </c>
      <c r="E1343" s="26" t="str">
        <f>CONCATENATE('Смета ЕР (общ) '!$A1343,".",'Смета ЕР (общ) '!$B1343,".",'Смета ЕР (общ) '!$D1343)</f>
        <v>Р9.2.152</v>
      </c>
      <c r="F1343" s="26">
        <f t="shared" si="106"/>
        <v>1</v>
      </c>
      <c r="G1343" s="27" t="s">
        <v>1420</v>
      </c>
      <c r="H1343" s="28" t="s">
        <v>118</v>
      </c>
      <c r="I1343" s="158"/>
      <c r="J1343" s="30">
        <v>3150.68</v>
      </c>
      <c r="K1343" s="30">
        <v>3473.71</v>
      </c>
      <c r="L1343" s="30">
        <f t="shared" si="105"/>
        <v>3150.68</v>
      </c>
      <c r="M1343" s="30">
        <f t="shared" si="105"/>
        <v>3473.71</v>
      </c>
      <c r="N1343" s="30">
        <f>ROUND('Смета ЕР (общ) '!$I1343*'Смета ЕР (общ) '!$L1343,2)</f>
        <v>0</v>
      </c>
      <c r="O1343" s="30">
        <f>ROUND('Смета ЕР (общ) '!$I1343*'Смета ЕР (общ) '!$M1343,2)</f>
        <v>0</v>
      </c>
      <c r="P1343" s="45"/>
    </row>
    <row r="1344" spans="1:16" ht="14.4" hidden="1" x14ac:dyDescent="0.3">
      <c r="A1344" s="26" t="s">
        <v>1170</v>
      </c>
      <c r="B1344" s="26">
        <v>2</v>
      </c>
      <c r="C1344" s="26"/>
      <c r="D1344" s="26">
        <v>153</v>
      </c>
      <c r="E1344" s="26" t="str">
        <f>CONCATENATE('Смета ЕР (общ) '!$A1344,".",'Смета ЕР (общ) '!$B1344,".",'Смета ЕР (общ) '!$D1344)</f>
        <v>Р9.2.153</v>
      </c>
      <c r="F1344" s="26">
        <f t="shared" si="106"/>
        <v>1</v>
      </c>
      <c r="G1344" s="27" t="s">
        <v>1421</v>
      </c>
      <c r="H1344" s="28" t="s">
        <v>118</v>
      </c>
      <c r="I1344" s="158"/>
      <c r="J1344" s="30">
        <v>3518.25</v>
      </c>
      <c r="K1344" s="30">
        <v>6685.09</v>
      </c>
      <c r="L1344" s="30">
        <f t="shared" si="105"/>
        <v>3518.25</v>
      </c>
      <c r="M1344" s="30">
        <f t="shared" si="105"/>
        <v>6685.09</v>
      </c>
      <c r="N1344" s="30">
        <f>ROUND('Смета ЕР (общ) '!$I1344*'Смета ЕР (общ) '!$L1344,2)</f>
        <v>0</v>
      </c>
      <c r="O1344" s="30">
        <f>ROUND('Смета ЕР (общ) '!$I1344*'Смета ЕР (общ) '!$M1344,2)</f>
        <v>0</v>
      </c>
      <c r="P1344" s="45"/>
    </row>
    <row r="1345" spans="1:20" ht="14.4" hidden="1" x14ac:dyDescent="0.3">
      <c r="A1345" s="26" t="s">
        <v>1170</v>
      </c>
      <c r="B1345" s="26">
        <v>2</v>
      </c>
      <c r="C1345" s="26"/>
      <c r="D1345" s="26">
        <v>154</v>
      </c>
      <c r="E1345" s="26" t="str">
        <f>CONCATENATE('Смета ЕР (общ) '!$A1345,".",'Смета ЕР (общ) '!$B1345,".",'Смета ЕР (общ) '!$D1345)</f>
        <v>Р9.2.154</v>
      </c>
      <c r="F1345" s="26">
        <f t="shared" si="106"/>
        <v>1</v>
      </c>
      <c r="G1345" s="27" t="s">
        <v>1422</v>
      </c>
      <c r="H1345" s="28" t="s">
        <v>118</v>
      </c>
      <c r="I1345" s="158"/>
      <c r="J1345" s="30">
        <v>10134.67</v>
      </c>
      <c r="K1345" s="30">
        <v>68184.45</v>
      </c>
      <c r="L1345" s="30">
        <f t="shared" si="105"/>
        <v>10134.67</v>
      </c>
      <c r="M1345" s="30">
        <f t="shared" si="105"/>
        <v>68184.45</v>
      </c>
      <c r="N1345" s="30">
        <f>ROUND('Смета ЕР (общ) '!$I1345*'Смета ЕР (общ) '!$L1345,2)</f>
        <v>0</v>
      </c>
      <c r="O1345" s="30">
        <f>ROUND('Смета ЕР (общ) '!$I1345*'Смета ЕР (общ) '!$M1345,2)</f>
        <v>0</v>
      </c>
      <c r="P1345" s="45"/>
    </row>
    <row r="1346" spans="1:20" ht="14.4" hidden="1" x14ac:dyDescent="0.3">
      <c r="A1346" s="26" t="s">
        <v>1170</v>
      </c>
      <c r="B1346" s="26">
        <v>2</v>
      </c>
      <c r="C1346" s="26"/>
      <c r="D1346" s="26">
        <v>155</v>
      </c>
      <c r="E1346" s="26" t="str">
        <f>CONCATENATE('Смета ЕР (общ) '!$A1346,".",'Смета ЕР (общ) '!$B1346,".",'Смета ЕР (общ) '!$D1346)</f>
        <v>Р9.2.155</v>
      </c>
      <c r="F1346" s="26">
        <f t="shared" si="106"/>
        <v>1</v>
      </c>
      <c r="G1346" s="27" t="s">
        <v>1423</v>
      </c>
      <c r="H1346" s="28" t="s">
        <v>118</v>
      </c>
      <c r="I1346" s="158"/>
      <c r="J1346" s="30">
        <v>1785.39</v>
      </c>
      <c r="K1346" s="30">
        <v>1591.78</v>
      </c>
      <c r="L1346" s="30">
        <f t="shared" si="105"/>
        <v>1785.39</v>
      </c>
      <c r="M1346" s="30">
        <f t="shared" si="105"/>
        <v>1591.78</v>
      </c>
      <c r="N1346" s="30">
        <f>ROUND('Смета ЕР (общ) '!$I1346*'Смета ЕР (общ) '!$L1346,2)</f>
        <v>0</v>
      </c>
      <c r="O1346" s="30">
        <f>ROUND('Смета ЕР (общ) '!$I1346*'Смета ЕР (общ) '!$M1346,2)</f>
        <v>0</v>
      </c>
      <c r="P1346" s="45"/>
    </row>
    <row r="1347" spans="1:20" ht="14.4" hidden="1" x14ac:dyDescent="0.3">
      <c r="A1347" s="26" t="s">
        <v>1170</v>
      </c>
      <c r="B1347" s="26">
        <v>2</v>
      </c>
      <c r="C1347" s="26"/>
      <c r="D1347" s="26">
        <v>156</v>
      </c>
      <c r="E1347" s="26" t="str">
        <f>CONCATENATE('Смета ЕР (общ) '!$A1347,".",'Смета ЕР (общ) '!$B1347,".",'Смета ЕР (общ) '!$D1347)</f>
        <v>Р9.2.156</v>
      </c>
      <c r="F1347" s="26">
        <f t="shared" si="106"/>
        <v>1</v>
      </c>
      <c r="G1347" s="27" t="s">
        <v>1424</v>
      </c>
      <c r="H1347" s="28" t="s">
        <v>118</v>
      </c>
      <c r="I1347" s="158"/>
      <c r="J1347" s="30">
        <v>3518.25</v>
      </c>
      <c r="K1347" s="30">
        <v>6671.56</v>
      </c>
      <c r="L1347" s="30">
        <f t="shared" si="105"/>
        <v>3518.25</v>
      </c>
      <c r="M1347" s="30">
        <f t="shared" si="105"/>
        <v>6671.56</v>
      </c>
      <c r="N1347" s="30">
        <f>ROUND('Смета ЕР (общ) '!$I1347*'Смета ЕР (общ) '!$L1347,2)</f>
        <v>0</v>
      </c>
      <c r="O1347" s="30">
        <f>ROUND('Смета ЕР (общ) '!$I1347*'Смета ЕР (общ) '!$M1347,2)</f>
        <v>0</v>
      </c>
      <c r="P1347" s="45"/>
    </row>
    <row r="1348" spans="1:20" ht="14.4" hidden="1" x14ac:dyDescent="0.3">
      <c r="A1348" s="26" t="s">
        <v>1170</v>
      </c>
      <c r="B1348" s="26">
        <v>2</v>
      </c>
      <c r="C1348" s="26"/>
      <c r="D1348" s="26">
        <v>157</v>
      </c>
      <c r="E1348" s="26" t="str">
        <f>CONCATENATE('Смета ЕР (общ) '!$A1348,".",'Смета ЕР (общ) '!$B1348,".",'Смета ЕР (общ) '!$D1348)</f>
        <v>Р9.2.157</v>
      </c>
      <c r="F1348" s="26">
        <f t="shared" si="106"/>
        <v>1</v>
      </c>
      <c r="G1348" s="27" t="s">
        <v>1425</v>
      </c>
      <c r="H1348" s="28" t="s">
        <v>118</v>
      </c>
      <c r="I1348" s="158"/>
      <c r="J1348" s="30">
        <v>870</v>
      </c>
      <c r="K1348" s="30">
        <v>3190.07</v>
      </c>
      <c r="L1348" s="30">
        <f t="shared" si="105"/>
        <v>870</v>
      </c>
      <c r="M1348" s="30">
        <f t="shared" si="105"/>
        <v>3190.07</v>
      </c>
      <c r="N1348" s="30">
        <f>ROUND('Смета ЕР (общ) '!$I1348*'Смета ЕР (общ) '!$L1348,2)</f>
        <v>0</v>
      </c>
      <c r="O1348" s="30">
        <f>ROUND('Смета ЕР (общ) '!$I1348*'Смета ЕР (общ) '!$M1348,2)</f>
        <v>0</v>
      </c>
      <c r="P1348" s="45"/>
    </row>
    <row r="1349" spans="1:20" ht="14.4" hidden="1" x14ac:dyDescent="0.3">
      <c r="A1349" s="26" t="s">
        <v>1170</v>
      </c>
      <c r="B1349" s="26">
        <v>2</v>
      </c>
      <c r="C1349" s="26"/>
      <c r="D1349" s="26">
        <v>158</v>
      </c>
      <c r="E1349" s="26" t="str">
        <f>CONCATENATE('Смета ЕР (общ) '!$A1349,".",'Смета ЕР (общ) '!$B1349,".",'Смета ЕР (общ) '!$D1349)</f>
        <v>Р9.2.158</v>
      </c>
      <c r="F1349" s="26">
        <f t="shared" si="106"/>
        <v>1</v>
      </c>
      <c r="G1349" s="27" t="s">
        <v>1426</v>
      </c>
      <c r="H1349" s="28" t="s">
        <v>118</v>
      </c>
      <c r="I1349" s="158"/>
      <c r="J1349" s="30">
        <v>3045.66</v>
      </c>
      <c r="K1349" s="30">
        <v>12144.62</v>
      </c>
      <c r="L1349" s="30">
        <f t="shared" si="105"/>
        <v>3045.66</v>
      </c>
      <c r="M1349" s="30">
        <f t="shared" si="105"/>
        <v>12144.62</v>
      </c>
      <c r="N1349" s="30">
        <f>ROUND('Смета ЕР (общ) '!$I1349*'Смета ЕР (общ) '!$L1349,2)</f>
        <v>0</v>
      </c>
      <c r="O1349" s="30">
        <f>ROUND('Смета ЕР (общ) '!$I1349*'Смета ЕР (общ) '!$M1349,2)</f>
        <v>0</v>
      </c>
      <c r="P1349" s="45"/>
      <c r="T1349">
        <v>1</v>
      </c>
    </row>
    <row r="1350" spans="1:20" ht="14.4" hidden="1" x14ac:dyDescent="0.3">
      <c r="A1350" s="26" t="s">
        <v>1170</v>
      </c>
      <c r="B1350" s="26">
        <v>2</v>
      </c>
      <c r="C1350" s="26"/>
      <c r="D1350" s="26">
        <v>166</v>
      </c>
      <c r="E1350" s="26" t="str">
        <f>CONCATENATE('Смета ЕР (общ) '!$A1350,".",'Смета ЕР (общ) '!$B1350,".",'Смета ЕР (общ) '!$D1350)</f>
        <v>Р9.2.166</v>
      </c>
      <c r="F1350" s="26">
        <f t="shared" si="106"/>
        <v>1</v>
      </c>
      <c r="G1350" s="27" t="s">
        <v>1427</v>
      </c>
      <c r="H1350" s="28" t="s">
        <v>118</v>
      </c>
      <c r="I1350" s="158"/>
      <c r="J1350" s="30">
        <v>1260.27</v>
      </c>
      <c r="K1350" s="30">
        <v>3470.07</v>
      </c>
      <c r="L1350" s="30">
        <f t="shared" si="105"/>
        <v>1260.27</v>
      </c>
      <c r="M1350" s="30">
        <f t="shared" si="105"/>
        <v>3470.07</v>
      </c>
      <c r="N1350" s="30">
        <f>ROUND('Смета ЕР (общ) '!$I1350*'Смета ЕР (общ) '!$L1350,2)</f>
        <v>0</v>
      </c>
      <c r="O1350" s="30">
        <f>ROUND('Смета ЕР (общ) '!$I1350*'Смета ЕР (общ) '!$M1350,2)</f>
        <v>0</v>
      </c>
      <c r="P1350" s="45"/>
    </row>
    <row r="1351" spans="1:20" ht="14.4" hidden="1" x14ac:dyDescent="0.3">
      <c r="A1351" s="26" t="s">
        <v>1170</v>
      </c>
      <c r="B1351" s="26">
        <v>2</v>
      </c>
      <c r="C1351" s="26"/>
      <c r="D1351" s="26">
        <v>167</v>
      </c>
      <c r="E1351" s="26" t="str">
        <f>CONCATENATE('Смета ЕР (общ) '!$A1351,".",'Смета ЕР (общ) '!$B1351,".",'Смета ЕР (общ) '!$D1351)</f>
        <v>Р9.2.167</v>
      </c>
      <c r="F1351" s="26">
        <f t="shared" si="106"/>
        <v>1</v>
      </c>
      <c r="G1351" s="27" t="s">
        <v>1428</v>
      </c>
      <c r="H1351" s="28" t="s">
        <v>118</v>
      </c>
      <c r="I1351" s="158"/>
      <c r="J1351" s="30">
        <v>1470.32</v>
      </c>
      <c r="K1351" s="30">
        <v>5668.46</v>
      </c>
      <c r="L1351" s="30">
        <f t="shared" si="105"/>
        <v>1470.32</v>
      </c>
      <c r="M1351" s="30">
        <f t="shared" si="105"/>
        <v>5668.46</v>
      </c>
      <c r="N1351" s="30">
        <f>ROUND('Смета ЕР (общ) '!$I1351*'Смета ЕР (общ) '!$L1351,2)</f>
        <v>0</v>
      </c>
      <c r="O1351" s="30">
        <f>ROUND('Смета ЕР (общ) '!$I1351*'Смета ЕР (общ) '!$M1351,2)</f>
        <v>0</v>
      </c>
      <c r="P1351" s="45"/>
    </row>
    <row r="1352" spans="1:20" ht="14.4" hidden="1" x14ac:dyDescent="0.3">
      <c r="A1352" s="26" t="s">
        <v>1170</v>
      </c>
      <c r="B1352" s="26">
        <v>2</v>
      </c>
      <c r="C1352" s="26"/>
      <c r="D1352" s="26">
        <v>168</v>
      </c>
      <c r="E1352" s="26" t="str">
        <f>CONCATENATE('Смета ЕР (общ) '!$A1352,".",'Смета ЕР (общ) '!$B1352,".",'Смета ЕР (общ) '!$D1352)</f>
        <v>Р9.2.168</v>
      </c>
      <c r="F1352" s="26">
        <f t="shared" si="106"/>
        <v>1</v>
      </c>
      <c r="G1352" s="27" t="s">
        <v>1429</v>
      </c>
      <c r="H1352" s="28" t="s">
        <v>118</v>
      </c>
      <c r="I1352" s="158"/>
      <c r="J1352" s="30">
        <v>1591.19</v>
      </c>
      <c r="K1352" s="30">
        <v>1978.4</v>
      </c>
      <c r="L1352" s="30">
        <f t="shared" si="105"/>
        <v>1591.19</v>
      </c>
      <c r="M1352" s="30">
        <f t="shared" si="105"/>
        <v>1978.4</v>
      </c>
      <c r="N1352" s="30">
        <f>ROUND('Смета ЕР (общ) '!$I1352*'Смета ЕР (общ) '!$L1352,2)</f>
        <v>0</v>
      </c>
      <c r="O1352" s="30">
        <f>ROUND('Смета ЕР (общ) '!$I1352*'Смета ЕР (общ) '!$M1352,2)</f>
        <v>0</v>
      </c>
      <c r="P1352" s="45"/>
    </row>
    <row r="1353" spans="1:20" ht="14.4" hidden="1" x14ac:dyDescent="0.3">
      <c r="A1353" s="26" t="s">
        <v>1170</v>
      </c>
      <c r="B1353" s="26">
        <v>2</v>
      </c>
      <c r="C1353" s="26"/>
      <c r="D1353" s="26">
        <v>212</v>
      </c>
      <c r="E1353" s="26" t="str">
        <f>CONCATENATE('Смета ЕР (общ) '!$A1353,".",'Смета ЕР (общ) '!$B1353,".",'Смета ЕР (общ) '!$D1353)</f>
        <v>Р9.2.212</v>
      </c>
      <c r="F1353" s="26">
        <f t="shared" si="106"/>
        <v>1</v>
      </c>
      <c r="G1353" s="27" t="s">
        <v>1430</v>
      </c>
      <c r="H1353" s="28" t="s">
        <v>118</v>
      </c>
      <c r="I1353" s="158"/>
      <c r="J1353" s="30">
        <v>1591.19</v>
      </c>
      <c r="K1353" s="30">
        <v>1489.1</v>
      </c>
      <c r="L1353" s="30">
        <f t="shared" si="105"/>
        <v>1591.19</v>
      </c>
      <c r="M1353" s="30">
        <f t="shared" si="105"/>
        <v>1489.1</v>
      </c>
      <c r="N1353" s="30">
        <f>ROUND('Смета ЕР (общ) '!$I1353*'Смета ЕР (общ) '!$L1353,2)</f>
        <v>0</v>
      </c>
      <c r="O1353" s="30">
        <f>ROUND('Смета ЕР (общ) '!$I1353*'Смета ЕР (общ) '!$M1353,2)</f>
        <v>0</v>
      </c>
      <c r="P1353" s="45"/>
    </row>
    <row r="1354" spans="1:20" ht="24" hidden="1" x14ac:dyDescent="0.3">
      <c r="A1354" s="46" t="s">
        <v>1170</v>
      </c>
      <c r="B1354" s="46">
        <v>2</v>
      </c>
      <c r="C1354" s="46"/>
      <c r="D1354" s="46">
        <v>287</v>
      </c>
      <c r="E1354" s="46" t="str">
        <f>CONCATENATE('Смета ЕР (общ) '!$A1354,".",'Смета ЕР (общ) '!$B1354,".",'Смета ЕР (общ) '!$D1354)</f>
        <v>Р9.2.287</v>
      </c>
      <c r="F1354" s="46">
        <f t="shared" si="106"/>
        <v>1</v>
      </c>
      <c r="G1354" s="47" t="s">
        <v>1431</v>
      </c>
      <c r="H1354" s="28" t="s">
        <v>118</v>
      </c>
      <c r="I1354" s="158"/>
      <c r="J1354" s="30">
        <v>1591.19</v>
      </c>
      <c r="K1354" s="30">
        <v>8081.32</v>
      </c>
      <c r="L1354" s="50">
        <f t="shared" si="105"/>
        <v>1591.19</v>
      </c>
      <c r="M1354" s="50">
        <f t="shared" si="105"/>
        <v>8081.32</v>
      </c>
      <c r="N1354" s="50">
        <f>ROUND('Смета ЕР (общ) '!$I1354*'Смета ЕР (общ) '!$L1354,2)</f>
        <v>0</v>
      </c>
      <c r="O1354" s="50">
        <f>ROUND('Смета ЕР (общ) '!$I1354*'Смета ЕР (общ) '!$M1354,2)</f>
        <v>0</v>
      </c>
      <c r="P1354" s="45"/>
      <c r="T1354">
        <v>6</v>
      </c>
    </row>
    <row r="1355" spans="1:20" ht="24" hidden="1" x14ac:dyDescent="0.3">
      <c r="A1355" s="46" t="s">
        <v>1170</v>
      </c>
      <c r="B1355" s="46">
        <v>2</v>
      </c>
      <c r="C1355" s="46"/>
      <c r="D1355" s="46">
        <v>288</v>
      </c>
      <c r="E1355" s="46" t="str">
        <f>CONCATENATE('Смета ЕР (общ) '!$A1355,".",'Смета ЕР (общ) '!$B1355,".",'Смета ЕР (общ) '!$D1355)</f>
        <v>Р9.2.288</v>
      </c>
      <c r="F1355" s="46">
        <f t="shared" si="106"/>
        <v>1</v>
      </c>
      <c r="G1355" s="47" t="s">
        <v>1432</v>
      </c>
      <c r="H1355" s="28" t="s">
        <v>118</v>
      </c>
      <c r="I1355" s="158"/>
      <c r="J1355" s="30">
        <v>1591.19</v>
      </c>
      <c r="K1355" s="30">
        <v>9592.43</v>
      </c>
      <c r="L1355" s="50">
        <f t="shared" si="105"/>
        <v>1591.19</v>
      </c>
      <c r="M1355" s="50">
        <f t="shared" si="105"/>
        <v>9592.43</v>
      </c>
      <c r="N1355" s="50">
        <f>ROUND('Смета ЕР (общ) '!$I1355*'Смета ЕР (общ) '!$L1355,2)</f>
        <v>0</v>
      </c>
      <c r="O1355" s="50">
        <f>ROUND('Смета ЕР (общ) '!$I1355*'Смета ЕР (общ) '!$M1355,2)</f>
        <v>0</v>
      </c>
      <c r="P1355" s="45"/>
    </row>
    <row r="1356" spans="1:20" ht="24" hidden="1" x14ac:dyDescent="0.3">
      <c r="A1356" s="26" t="s">
        <v>1170</v>
      </c>
      <c r="B1356" s="26">
        <v>2</v>
      </c>
      <c r="C1356" s="26"/>
      <c r="D1356" s="26">
        <v>361</v>
      </c>
      <c r="E1356" s="26" t="str">
        <f>CONCATENATE('Смета ЕР (общ) '!$A1356,".",'Смета ЕР (общ) '!$B1356,".",'Смета ЕР (общ) '!$D1356)</f>
        <v>Р9.2.361</v>
      </c>
      <c r="F1356" s="26">
        <f t="shared" si="106"/>
        <v>1</v>
      </c>
      <c r="G1356" s="27" t="s">
        <v>1433</v>
      </c>
      <c r="H1356" s="28" t="s">
        <v>118</v>
      </c>
      <c r="I1356" s="158"/>
      <c r="J1356" s="30">
        <v>1591.19</v>
      </c>
      <c r="K1356" s="30">
        <v>4344.33</v>
      </c>
      <c r="L1356" s="30">
        <f t="shared" si="105"/>
        <v>1591.19</v>
      </c>
      <c r="M1356" s="30">
        <f t="shared" si="105"/>
        <v>4344.33</v>
      </c>
      <c r="N1356" s="30">
        <f>ROUND('Смета ЕР (общ) '!$I1356*'Смета ЕР (общ) '!$L1356,2)</f>
        <v>0</v>
      </c>
      <c r="O1356" s="30">
        <f>ROUND('Смета ЕР (общ) '!$I1356*'Смета ЕР (общ) '!$M1356,2)</f>
        <v>0</v>
      </c>
      <c r="P1356" s="45" t="s">
        <v>435</v>
      </c>
      <c r="T1356">
        <v>5</v>
      </c>
    </row>
    <row r="1357" spans="1:20" ht="36" hidden="1" x14ac:dyDescent="0.3">
      <c r="A1357" s="26" t="s">
        <v>1170</v>
      </c>
      <c r="B1357" s="26">
        <v>2</v>
      </c>
      <c r="C1357" s="26"/>
      <c r="D1357" s="26">
        <v>362</v>
      </c>
      <c r="E1357" s="26" t="str">
        <f>CONCATENATE('Смета ЕР (общ) '!$A1357,".",'Смета ЕР (общ) '!$B1357,".",'Смета ЕР (общ) '!$D1357)</f>
        <v>Р9.2.362</v>
      </c>
      <c r="F1357" s="26">
        <f t="shared" si="106"/>
        <v>1</v>
      </c>
      <c r="G1357" s="27" t="s">
        <v>1434</v>
      </c>
      <c r="H1357" s="28" t="s">
        <v>118</v>
      </c>
      <c r="I1357" s="158"/>
      <c r="J1357" s="30">
        <v>1591.19</v>
      </c>
      <c r="K1357" s="30">
        <v>6352.57</v>
      </c>
      <c r="L1357" s="30">
        <f t="shared" si="105"/>
        <v>1591.19</v>
      </c>
      <c r="M1357" s="30">
        <f t="shared" si="105"/>
        <v>6352.57</v>
      </c>
      <c r="N1357" s="30">
        <f>ROUND('Смета ЕР (общ) '!$I1357*'Смета ЕР (общ) '!$L1357,2)</f>
        <v>0</v>
      </c>
      <c r="O1357" s="30">
        <f>ROUND('Смета ЕР (общ) '!$I1357*'Смета ЕР (общ) '!$M1357,2)</f>
        <v>0</v>
      </c>
      <c r="P1357" s="45"/>
    </row>
    <row r="1358" spans="1:20" ht="24" hidden="1" x14ac:dyDescent="0.3">
      <c r="A1358" s="26" t="s">
        <v>1170</v>
      </c>
      <c r="B1358" s="26">
        <v>2</v>
      </c>
      <c r="C1358" s="26"/>
      <c r="D1358" s="26">
        <v>363</v>
      </c>
      <c r="E1358" s="26" t="str">
        <f>CONCATENATE('Смета ЕР (общ) '!$A1358,".",'Смета ЕР (общ) '!$B1358,".",'Смета ЕР (общ) '!$D1358)</f>
        <v>Р9.2.363</v>
      </c>
      <c r="F1358" s="26">
        <f t="shared" si="106"/>
        <v>1</v>
      </c>
      <c r="G1358" s="27" t="s">
        <v>1435</v>
      </c>
      <c r="H1358" s="28" t="s">
        <v>118</v>
      </c>
      <c r="I1358" s="158"/>
      <c r="J1358" s="30">
        <v>1591.19</v>
      </c>
      <c r="K1358" s="30">
        <v>9256.93</v>
      </c>
      <c r="L1358" s="30">
        <f t="shared" si="105"/>
        <v>1591.19</v>
      </c>
      <c r="M1358" s="30">
        <f t="shared" si="105"/>
        <v>9256.93</v>
      </c>
      <c r="N1358" s="30">
        <f>ROUND('Смета ЕР (общ) '!$I1358*'Смета ЕР (общ) '!$L1358,2)</f>
        <v>0</v>
      </c>
      <c r="O1358" s="30">
        <f>ROUND('Смета ЕР (общ) '!$I1358*'Смета ЕР (общ) '!$M1358,2)</f>
        <v>0</v>
      </c>
      <c r="P1358" s="45"/>
    </row>
    <row r="1359" spans="1:20" ht="14.4" hidden="1" x14ac:dyDescent="0.3">
      <c r="A1359" s="26" t="s">
        <v>1170</v>
      </c>
      <c r="B1359" s="26">
        <v>2</v>
      </c>
      <c r="C1359" s="26"/>
      <c r="D1359" s="26">
        <v>364</v>
      </c>
      <c r="E1359" s="26" t="str">
        <f>CONCATENATE('Смета ЕР (общ) '!$A1359,".",'Смета ЕР (общ) '!$B1359,".",'Смета ЕР (общ) '!$D1359)</f>
        <v>Р9.2.364</v>
      </c>
      <c r="F1359" s="26">
        <f t="shared" si="106"/>
        <v>1</v>
      </c>
      <c r="G1359" s="27" t="s">
        <v>1436</v>
      </c>
      <c r="H1359" s="28" t="s">
        <v>118</v>
      </c>
      <c r="I1359" s="158"/>
      <c r="J1359" s="30">
        <v>1591.19</v>
      </c>
      <c r="K1359" s="30">
        <v>9538.1299999999992</v>
      </c>
      <c r="L1359" s="30">
        <f t="shared" si="105"/>
        <v>1591.19</v>
      </c>
      <c r="M1359" s="30">
        <f t="shared" si="105"/>
        <v>9538.1299999999992</v>
      </c>
      <c r="N1359" s="30">
        <f>ROUND('Смета ЕР (общ) '!$I1359*'Смета ЕР (общ) '!$L1359,2)</f>
        <v>0</v>
      </c>
      <c r="O1359" s="30">
        <f>ROUND('Смета ЕР (общ) '!$I1359*'Смета ЕР (общ) '!$M1359,2)</f>
        <v>0</v>
      </c>
      <c r="P1359" s="45"/>
    </row>
    <row r="1360" spans="1:20" ht="24" hidden="1" x14ac:dyDescent="0.3">
      <c r="A1360" s="26" t="s">
        <v>1170</v>
      </c>
      <c r="B1360" s="26">
        <v>2</v>
      </c>
      <c r="C1360" s="26"/>
      <c r="D1360" s="26">
        <v>289</v>
      </c>
      <c r="E1360" s="26" t="str">
        <f>CONCATENATE('Смета ЕР (общ) '!$A1360,".",'Смета ЕР (общ) '!$B1360,".",'Смета ЕР (общ) '!$D1360)</f>
        <v>Р9.2.289</v>
      </c>
      <c r="F1360" s="26">
        <f t="shared" si="106"/>
        <v>1</v>
      </c>
      <c r="G1360" s="27" t="s">
        <v>1437</v>
      </c>
      <c r="H1360" s="28" t="s">
        <v>118</v>
      </c>
      <c r="I1360" s="158"/>
      <c r="J1360" s="30">
        <v>1591.19</v>
      </c>
      <c r="K1360" s="30">
        <v>9367.5300000000007</v>
      </c>
      <c r="L1360" s="30">
        <f t="shared" si="105"/>
        <v>1591.19</v>
      </c>
      <c r="M1360" s="30">
        <f t="shared" si="105"/>
        <v>9367.5300000000007</v>
      </c>
      <c r="N1360" s="30">
        <f>ROUND('Смета ЕР (общ) '!$I1360*'Смета ЕР (общ) '!$L1360,2)</f>
        <v>0</v>
      </c>
      <c r="O1360" s="30">
        <f>ROUND('Смета ЕР (общ) '!$I1360*'Смета ЕР (общ) '!$M1360,2)</f>
        <v>0</v>
      </c>
      <c r="P1360" s="45" t="s">
        <v>1438</v>
      </c>
    </row>
    <row r="1361" spans="1:20" ht="24" hidden="1" x14ac:dyDescent="0.3">
      <c r="A1361" s="26" t="s">
        <v>1170</v>
      </c>
      <c r="B1361" s="26">
        <v>2</v>
      </c>
      <c r="C1361" s="26"/>
      <c r="D1361" s="26">
        <v>365</v>
      </c>
      <c r="E1361" s="26" t="str">
        <f>CONCATENATE('Смета ЕР (общ) '!$A1361,".",'Смета ЕР (общ) '!$B1361,".",'Смета ЕР (общ) '!$D1361)</f>
        <v>Р9.2.365</v>
      </c>
      <c r="F1361" s="26">
        <f t="shared" si="106"/>
        <v>1</v>
      </c>
      <c r="G1361" s="27" t="s">
        <v>1439</v>
      </c>
      <c r="H1361" s="28" t="s">
        <v>118</v>
      </c>
      <c r="I1361" s="158"/>
      <c r="J1361" s="30">
        <v>1900.08</v>
      </c>
      <c r="K1361" s="30">
        <v>9047</v>
      </c>
      <c r="L1361" s="30">
        <f t="shared" ref="L1361:M1376" si="107">ROUND(J1361-J1361*$Q$3,2)</f>
        <v>1900.08</v>
      </c>
      <c r="M1361" s="30">
        <f>[14]Сантехника!J9</f>
        <v>9345</v>
      </c>
      <c r="N1361" s="30">
        <f>ROUND('Смета ЕР (общ) '!$I1361*'Смета ЕР (общ) '!$L1361,2)</f>
        <v>0</v>
      </c>
      <c r="O1361" s="30">
        <f>ROUND('Смета ЕР (общ) '!$I1361*'Смета ЕР (общ) '!$M1361,2)</f>
        <v>0</v>
      </c>
      <c r="P1361" s="55" t="s">
        <v>730</v>
      </c>
      <c r="T1361">
        <v>1</v>
      </c>
    </row>
    <row r="1362" spans="1:20" ht="14.4" hidden="1" x14ac:dyDescent="0.3">
      <c r="A1362" s="26" t="s">
        <v>1170</v>
      </c>
      <c r="B1362" s="26">
        <v>2</v>
      </c>
      <c r="C1362" s="26"/>
      <c r="D1362" s="26">
        <v>169</v>
      </c>
      <c r="E1362" s="26" t="str">
        <f>CONCATENATE('Смета ЕР (общ) '!$A1362,".",'Смета ЕР (общ) '!$B1362,".",'Смета ЕР (общ) '!$D1362)</f>
        <v>Р9.2.169</v>
      </c>
      <c r="F1362" s="26">
        <f t="shared" si="106"/>
        <v>1</v>
      </c>
      <c r="G1362" s="27" t="s">
        <v>1440</v>
      </c>
      <c r="H1362" s="28" t="s">
        <v>147</v>
      </c>
      <c r="I1362" s="158"/>
      <c r="J1362" s="30">
        <v>75.8</v>
      </c>
      <c r="K1362" s="30">
        <v>153.82</v>
      </c>
      <c r="L1362" s="30">
        <f t="shared" si="107"/>
        <v>75.8</v>
      </c>
      <c r="M1362" s="30">
        <f t="shared" si="107"/>
        <v>153.82</v>
      </c>
      <c r="N1362" s="30">
        <f>ROUND('Смета ЕР (общ) '!$I1362*'Смета ЕР (общ) '!$L1362,2)</f>
        <v>0</v>
      </c>
      <c r="O1362" s="30">
        <f>ROUND('Смета ЕР (общ) '!$I1362*'Смета ЕР (общ) '!$M1362,2)</f>
        <v>0</v>
      </c>
      <c r="P1362" s="45"/>
    </row>
    <row r="1363" spans="1:20" ht="14.4" hidden="1" x14ac:dyDescent="0.3">
      <c r="A1363" s="26" t="s">
        <v>1170</v>
      </c>
      <c r="B1363" s="26">
        <v>2</v>
      </c>
      <c r="C1363" s="26"/>
      <c r="D1363" s="26">
        <v>366</v>
      </c>
      <c r="E1363" s="26" t="str">
        <f>CONCATENATE('Смета ЕР (общ) '!$A1363,".",'Смета ЕР (общ) '!$B1363,".",'Смета ЕР (общ) '!$D1363)</f>
        <v>Р9.2.366</v>
      </c>
      <c r="F1363" s="26">
        <f t="shared" si="106"/>
        <v>1</v>
      </c>
      <c r="G1363" s="27" t="s">
        <v>1441</v>
      </c>
      <c r="H1363" s="28" t="s">
        <v>147</v>
      </c>
      <c r="I1363" s="158"/>
      <c r="J1363" s="30">
        <v>75.8</v>
      </c>
      <c r="K1363" s="30">
        <v>97.4</v>
      </c>
      <c r="L1363" s="30">
        <f t="shared" si="107"/>
        <v>75.8</v>
      </c>
      <c r="M1363" s="30">
        <f t="shared" si="107"/>
        <v>97.4</v>
      </c>
      <c r="N1363" s="30">
        <f>ROUND('Смета ЕР (общ) '!$I1363*'Смета ЕР (общ) '!$L1363,2)</f>
        <v>0</v>
      </c>
      <c r="O1363" s="30">
        <f>ROUND('Смета ЕР (общ) '!$I1363*'Смета ЕР (общ) '!$M1363,2)</f>
        <v>0</v>
      </c>
      <c r="P1363" s="45"/>
    </row>
    <row r="1364" spans="1:20" ht="14.4" hidden="1" x14ac:dyDescent="0.3">
      <c r="A1364" s="26" t="s">
        <v>1170</v>
      </c>
      <c r="B1364" s="26">
        <v>2</v>
      </c>
      <c r="C1364" s="26"/>
      <c r="D1364" s="26">
        <v>367</v>
      </c>
      <c r="E1364" s="26" t="str">
        <f>CONCATENATE('Смета ЕР (общ) '!$A1364,".",'Смета ЕР (общ) '!$B1364,".",'Смета ЕР (общ) '!$D1364)</f>
        <v>Р9.2.367</v>
      </c>
      <c r="F1364" s="26">
        <f t="shared" si="106"/>
        <v>1</v>
      </c>
      <c r="G1364" s="27" t="s">
        <v>1442</v>
      </c>
      <c r="H1364" s="28" t="s">
        <v>147</v>
      </c>
      <c r="I1364" s="158"/>
      <c r="J1364" s="30">
        <v>75.8</v>
      </c>
      <c r="K1364" s="30">
        <v>68.319999999999993</v>
      </c>
      <c r="L1364" s="30">
        <f t="shared" si="107"/>
        <v>75.8</v>
      </c>
      <c r="M1364" s="30">
        <f t="shared" si="107"/>
        <v>68.319999999999993</v>
      </c>
      <c r="N1364" s="30">
        <f>ROUND('Смета ЕР (общ) '!$I1364*'Смета ЕР (общ) '!$L1364,2)</f>
        <v>0</v>
      </c>
      <c r="O1364" s="30">
        <f>ROUND('Смета ЕР (общ) '!$I1364*'Смета ЕР (общ) '!$M1364,2)</f>
        <v>0</v>
      </c>
      <c r="P1364" s="45"/>
    </row>
    <row r="1365" spans="1:20" ht="14.4" hidden="1" x14ac:dyDescent="0.3">
      <c r="A1365" s="26" t="s">
        <v>1170</v>
      </c>
      <c r="B1365" s="26">
        <v>2</v>
      </c>
      <c r="C1365" s="26"/>
      <c r="D1365" s="26">
        <v>170</v>
      </c>
      <c r="E1365" s="26" t="str">
        <f>CONCATENATE('Смета ЕР (общ) '!$A1365,".",'Смета ЕР (общ) '!$B1365,".",'Смета ЕР (общ) '!$D1365)</f>
        <v>Р9.2.170</v>
      </c>
      <c r="F1365" s="26">
        <f t="shared" ref="F1365:F1428" si="108">IF(I1365&gt;0,F1364+1,F1364)</f>
        <v>1</v>
      </c>
      <c r="G1365" s="27" t="s">
        <v>1443</v>
      </c>
      <c r="H1365" s="28" t="s">
        <v>147</v>
      </c>
      <c r="I1365" s="158"/>
      <c r="J1365" s="30">
        <v>75.8</v>
      </c>
      <c r="K1365" s="30">
        <v>35.9</v>
      </c>
      <c r="L1365" s="30">
        <f t="shared" si="107"/>
        <v>75.8</v>
      </c>
      <c r="M1365" s="30">
        <f t="shared" si="107"/>
        <v>35.9</v>
      </c>
      <c r="N1365" s="30">
        <f>ROUND('Смета ЕР (общ) '!$I1365*'Смета ЕР (общ) '!$L1365,2)</f>
        <v>0</v>
      </c>
      <c r="O1365" s="30">
        <f>ROUND('Смета ЕР (общ) '!$I1365*'Смета ЕР (общ) '!$M1365,2)</f>
        <v>0</v>
      </c>
      <c r="P1365" s="45"/>
    </row>
    <row r="1366" spans="1:20" ht="14.4" hidden="1" x14ac:dyDescent="0.3">
      <c r="A1366" s="26" t="s">
        <v>1170</v>
      </c>
      <c r="B1366" s="26">
        <v>2</v>
      </c>
      <c r="C1366" s="26"/>
      <c r="D1366" s="26">
        <v>276</v>
      </c>
      <c r="E1366" s="26" t="str">
        <f>CONCATENATE('Смета ЕР (общ) '!$A1366,".",'Смета ЕР (общ) '!$B1366,".",'Смета ЕР (общ) '!$D1366)</f>
        <v>Р9.2.276</v>
      </c>
      <c r="F1366" s="26">
        <f t="shared" si="108"/>
        <v>1</v>
      </c>
      <c r="G1366" s="27" t="s">
        <v>1444</v>
      </c>
      <c r="H1366" s="28" t="s">
        <v>147</v>
      </c>
      <c r="I1366" s="158"/>
      <c r="J1366" s="30">
        <v>75.8</v>
      </c>
      <c r="K1366" s="30">
        <v>22.69</v>
      </c>
      <c r="L1366" s="30">
        <f t="shared" si="107"/>
        <v>75.8</v>
      </c>
      <c r="M1366" s="30">
        <f t="shared" si="107"/>
        <v>22.69</v>
      </c>
      <c r="N1366" s="30">
        <f>ROUND('Смета ЕР (общ) '!$I1366*'Смета ЕР (общ) '!$L1366,2)</f>
        <v>0</v>
      </c>
      <c r="O1366" s="30">
        <f>ROUND('Смета ЕР (общ) '!$I1366*'Смета ЕР (общ) '!$M1366,2)</f>
        <v>0</v>
      </c>
      <c r="P1366" s="45"/>
      <c r="T1366">
        <v>1177</v>
      </c>
    </row>
    <row r="1367" spans="1:20" ht="14.4" hidden="1" x14ac:dyDescent="0.3">
      <c r="A1367" s="26" t="s">
        <v>1170</v>
      </c>
      <c r="B1367" s="26">
        <v>2</v>
      </c>
      <c r="C1367" s="26"/>
      <c r="D1367" s="26">
        <v>277</v>
      </c>
      <c r="E1367" s="26" t="str">
        <f>CONCATENATE('Смета ЕР (общ) '!$A1367,".",'Смета ЕР (общ) '!$B1367,".",'Смета ЕР (общ) '!$D1367)</f>
        <v>Р9.2.277</v>
      </c>
      <c r="F1367" s="26">
        <f t="shared" si="108"/>
        <v>1</v>
      </c>
      <c r="G1367" s="27" t="s">
        <v>1445</v>
      </c>
      <c r="H1367" s="28" t="s">
        <v>147</v>
      </c>
      <c r="I1367" s="158"/>
      <c r="J1367" s="30">
        <v>75.8</v>
      </c>
      <c r="K1367" s="30">
        <v>19.239999999999998</v>
      </c>
      <c r="L1367" s="30">
        <f t="shared" si="107"/>
        <v>75.8</v>
      </c>
      <c r="M1367" s="30">
        <f t="shared" si="107"/>
        <v>19.239999999999998</v>
      </c>
      <c r="N1367" s="30">
        <f>ROUND('Смета ЕР (общ) '!$I1367*'Смета ЕР (общ) '!$L1367,2)</f>
        <v>0</v>
      </c>
      <c r="O1367" s="30">
        <f>ROUND('Смета ЕР (общ) '!$I1367*'Смета ЕР (общ) '!$M1367,2)</f>
        <v>0</v>
      </c>
      <c r="P1367" s="45"/>
      <c r="T1367">
        <v>814</v>
      </c>
    </row>
    <row r="1368" spans="1:20" ht="24" hidden="1" x14ac:dyDescent="0.3">
      <c r="A1368" s="26" t="s">
        <v>1170</v>
      </c>
      <c r="B1368" s="26">
        <v>2</v>
      </c>
      <c r="C1368" s="26"/>
      <c r="D1368" s="26">
        <v>370</v>
      </c>
      <c r="E1368" s="26" t="str">
        <f>CONCATENATE('Смета ЕР (общ) '!$A1368,".",'Смета ЕР (общ) '!$B1368,".",'Смета ЕР (общ) '!$D1368)</f>
        <v>Р9.2.370</v>
      </c>
      <c r="F1368" s="26">
        <f t="shared" si="108"/>
        <v>1</v>
      </c>
      <c r="G1368" s="27" t="s">
        <v>1446</v>
      </c>
      <c r="H1368" s="28" t="s">
        <v>147</v>
      </c>
      <c r="I1368" s="158"/>
      <c r="J1368" s="30">
        <v>113.3</v>
      </c>
      <c r="K1368" s="30">
        <v>132.56</v>
      </c>
      <c r="L1368" s="30">
        <f t="shared" si="107"/>
        <v>113.3</v>
      </c>
      <c r="M1368" s="30">
        <f t="shared" si="107"/>
        <v>132.56</v>
      </c>
      <c r="N1368" s="30">
        <f>ROUND('Смета ЕР (общ) '!$I1368*'Смета ЕР (общ) '!$L1368,2)</f>
        <v>0</v>
      </c>
      <c r="O1368" s="30">
        <f>ROUND('Смета ЕР (общ) '!$I1368*'Смета ЕР (общ) '!$M1368,2)</f>
        <v>0</v>
      </c>
      <c r="P1368" s="45" t="s">
        <v>1447</v>
      </c>
      <c r="T1368">
        <v>280</v>
      </c>
    </row>
    <row r="1369" spans="1:20" ht="24" hidden="1" x14ac:dyDescent="0.3">
      <c r="A1369" s="26" t="s">
        <v>1170</v>
      </c>
      <c r="B1369" s="26">
        <v>2</v>
      </c>
      <c r="C1369" s="26"/>
      <c r="D1369" s="26">
        <v>250</v>
      </c>
      <c r="E1369" s="26" t="str">
        <f>CONCATENATE('Смета ЕР (общ) '!$A1369,".",'Смета ЕР (общ) '!$B1369,".",'Смета ЕР (общ) '!$D1369)</f>
        <v>Р9.2.250</v>
      </c>
      <c r="F1369" s="26">
        <f t="shared" si="108"/>
        <v>1</v>
      </c>
      <c r="G1369" s="27" t="s">
        <v>1448</v>
      </c>
      <c r="H1369" s="28" t="s">
        <v>147</v>
      </c>
      <c r="I1369" s="158"/>
      <c r="J1369" s="30">
        <v>135.72</v>
      </c>
      <c r="K1369" s="30">
        <v>164.05</v>
      </c>
      <c r="L1369" s="30">
        <f t="shared" si="107"/>
        <v>135.72</v>
      </c>
      <c r="M1369" s="30">
        <f t="shared" si="107"/>
        <v>164.05</v>
      </c>
      <c r="N1369" s="30">
        <f>ROUND('Смета ЕР (общ) '!$I1369*'Смета ЕР (общ) '!$L1369,2)</f>
        <v>0</v>
      </c>
      <c r="O1369" s="30">
        <f>ROUND('Смета ЕР (общ) '!$I1369*'Смета ЕР (общ) '!$M1369,2)</f>
        <v>0</v>
      </c>
      <c r="P1369" s="45" t="s">
        <v>1447</v>
      </c>
      <c r="T1369">
        <v>36</v>
      </c>
    </row>
    <row r="1370" spans="1:20" ht="14.4" hidden="1" x14ac:dyDescent="0.3">
      <c r="A1370" s="26" t="s">
        <v>1170</v>
      </c>
      <c r="B1370" s="26">
        <v>2</v>
      </c>
      <c r="C1370" s="26"/>
      <c r="D1370" s="26">
        <v>236</v>
      </c>
      <c r="E1370" s="26" t="str">
        <f>CONCATENATE('Смета ЕР (общ) '!$A1370,".",'Смета ЕР (общ) '!$B1370,".",'Смета ЕР (общ) '!$D1370)</f>
        <v>Р9.2.236</v>
      </c>
      <c r="F1370" s="26">
        <f t="shared" si="108"/>
        <v>1</v>
      </c>
      <c r="G1370" s="27" t="s">
        <v>1449</v>
      </c>
      <c r="H1370" s="28" t="s">
        <v>147</v>
      </c>
      <c r="I1370" s="158"/>
      <c r="J1370" s="30">
        <v>71.680000000000007</v>
      </c>
      <c r="K1370" s="30">
        <v>33.770000000000003</v>
      </c>
      <c r="L1370" s="30">
        <f t="shared" si="107"/>
        <v>71.680000000000007</v>
      </c>
      <c r="M1370" s="30">
        <f t="shared" si="107"/>
        <v>33.770000000000003</v>
      </c>
      <c r="N1370" s="30">
        <f>ROUND('Смета ЕР (общ) '!$I1370*'Смета ЕР (общ) '!$L1370,2)</f>
        <v>0</v>
      </c>
      <c r="O1370" s="30">
        <f>ROUND('Смета ЕР (общ) '!$I1370*'Смета ЕР (общ) '!$M1370,2)</f>
        <v>0</v>
      </c>
      <c r="P1370" s="45"/>
    </row>
    <row r="1371" spans="1:20" ht="14.4" hidden="1" x14ac:dyDescent="0.3">
      <c r="A1371" s="26" t="s">
        <v>1170</v>
      </c>
      <c r="B1371" s="26">
        <v>2</v>
      </c>
      <c r="C1371" s="26"/>
      <c r="D1371" s="26">
        <v>237</v>
      </c>
      <c r="E1371" s="26" t="str">
        <f>CONCATENATE('Смета ЕР (общ) '!$A1371,".",'Смета ЕР (общ) '!$B1371,".",'Смета ЕР (общ) '!$D1371)</f>
        <v>Р9.2.237</v>
      </c>
      <c r="F1371" s="26">
        <f t="shared" si="108"/>
        <v>1</v>
      </c>
      <c r="G1371" s="27" t="s">
        <v>1450</v>
      </c>
      <c r="H1371" s="28" t="s">
        <v>147</v>
      </c>
      <c r="I1371" s="158"/>
      <c r="J1371" s="30">
        <v>75.8</v>
      </c>
      <c r="K1371" s="30">
        <v>45.74</v>
      </c>
      <c r="L1371" s="30">
        <f t="shared" si="107"/>
        <v>75.8</v>
      </c>
      <c r="M1371" s="30">
        <f t="shared" si="107"/>
        <v>45.74</v>
      </c>
      <c r="N1371" s="30">
        <f>ROUND('Смета ЕР (общ) '!$I1371*'Смета ЕР (общ) '!$L1371,2)</f>
        <v>0</v>
      </c>
      <c r="O1371" s="30">
        <f>ROUND('Смета ЕР (общ) '!$I1371*'Смета ЕР (общ) '!$M1371,2)</f>
        <v>0</v>
      </c>
      <c r="P1371" s="45"/>
    </row>
    <row r="1372" spans="1:20" ht="14.4" hidden="1" x14ac:dyDescent="0.3">
      <c r="A1372" s="26" t="s">
        <v>1170</v>
      </c>
      <c r="B1372" s="26">
        <v>2</v>
      </c>
      <c r="C1372" s="26"/>
      <c r="D1372" s="26">
        <v>173</v>
      </c>
      <c r="E1372" s="26" t="str">
        <f>CONCATENATE('Смета ЕР (общ) '!$A1372,".",'Смета ЕР (общ) '!$B1372,".",'Смета ЕР (общ) '!$D1372)</f>
        <v>Р9.2.173</v>
      </c>
      <c r="F1372" s="26">
        <f t="shared" si="108"/>
        <v>1</v>
      </c>
      <c r="G1372" s="27" t="s">
        <v>1451</v>
      </c>
      <c r="H1372" s="28" t="s">
        <v>147</v>
      </c>
      <c r="I1372" s="158"/>
      <c r="J1372" s="30">
        <v>84.76</v>
      </c>
      <c r="K1372" s="30">
        <v>112.57</v>
      </c>
      <c r="L1372" s="30">
        <f t="shared" si="107"/>
        <v>84.76</v>
      </c>
      <c r="M1372" s="30">
        <f t="shared" si="107"/>
        <v>112.57</v>
      </c>
      <c r="N1372" s="30">
        <f>ROUND('Смета ЕР (общ) '!$I1372*'Смета ЕР (общ) '!$L1372,2)</f>
        <v>0</v>
      </c>
      <c r="O1372" s="30">
        <f>ROUND('Смета ЕР (общ) '!$I1372*'Смета ЕР (общ) '!$M1372,2)</f>
        <v>0</v>
      </c>
      <c r="P1372" s="45"/>
    </row>
    <row r="1373" spans="1:20" ht="14.4" hidden="1" x14ac:dyDescent="0.3">
      <c r="A1373" s="26" t="s">
        <v>1170</v>
      </c>
      <c r="B1373" s="26">
        <v>2</v>
      </c>
      <c r="C1373" s="26"/>
      <c r="D1373" s="26">
        <v>174</v>
      </c>
      <c r="E1373" s="26" t="str">
        <f>CONCATENATE('Смета ЕР (общ) '!$A1373,".",'Смета ЕР (общ) '!$B1373,".",'Смета ЕР (общ) '!$D1373)</f>
        <v>Р9.2.174</v>
      </c>
      <c r="F1373" s="26">
        <f t="shared" si="108"/>
        <v>1</v>
      </c>
      <c r="G1373" s="27" t="s">
        <v>1452</v>
      </c>
      <c r="H1373" s="28" t="s">
        <v>118</v>
      </c>
      <c r="I1373" s="158"/>
      <c r="J1373" s="30">
        <v>105.17</v>
      </c>
      <c r="K1373" s="30">
        <v>67.489999999999995</v>
      </c>
      <c r="L1373" s="30">
        <f t="shared" si="107"/>
        <v>105.17</v>
      </c>
      <c r="M1373" s="30">
        <f t="shared" si="107"/>
        <v>67.489999999999995</v>
      </c>
      <c r="N1373" s="30">
        <f>ROUND('Смета ЕР (общ) '!$I1373*'Смета ЕР (общ) '!$L1373,2)</f>
        <v>0</v>
      </c>
      <c r="O1373" s="30">
        <f>ROUND('Смета ЕР (общ) '!$I1373*'Смета ЕР (общ) '!$M1373,2)</f>
        <v>0</v>
      </c>
      <c r="P1373" s="45"/>
    </row>
    <row r="1374" spans="1:20" ht="14.4" hidden="1" x14ac:dyDescent="0.3">
      <c r="A1374" s="26" t="s">
        <v>1170</v>
      </c>
      <c r="B1374" s="26">
        <v>2</v>
      </c>
      <c r="C1374" s="26"/>
      <c r="D1374" s="26">
        <v>176</v>
      </c>
      <c r="E1374" s="26" t="str">
        <f>CONCATENATE('Смета ЕР (общ) '!$A1374,".",'Смета ЕР (общ) '!$B1374,".",'Смета ЕР (общ) '!$D1374)</f>
        <v>Р9.2.176</v>
      </c>
      <c r="F1374" s="26">
        <f t="shared" si="108"/>
        <v>1</v>
      </c>
      <c r="G1374" s="27" t="s">
        <v>1453</v>
      </c>
      <c r="H1374" s="28" t="s">
        <v>147</v>
      </c>
      <c r="I1374" s="158"/>
      <c r="J1374" s="30">
        <v>570.72</v>
      </c>
      <c r="K1374" s="30">
        <v>1934.82</v>
      </c>
      <c r="L1374" s="30">
        <f t="shared" si="107"/>
        <v>570.72</v>
      </c>
      <c r="M1374" s="30">
        <f t="shared" si="107"/>
        <v>1934.82</v>
      </c>
      <c r="N1374" s="30">
        <f>ROUND('Смета ЕР (общ) '!$I1374*'Смета ЕР (общ) '!$L1374,2)</f>
        <v>0</v>
      </c>
      <c r="O1374" s="30">
        <f>ROUND('Смета ЕР (общ) '!$I1374*'Смета ЕР (общ) '!$M1374,2)</f>
        <v>0</v>
      </c>
      <c r="P1374" s="45"/>
    </row>
    <row r="1375" spans="1:20" ht="24" hidden="1" x14ac:dyDescent="0.3">
      <c r="A1375" s="26" t="s">
        <v>1170</v>
      </c>
      <c r="B1375" s="26">
        <v>2</v>
      </c>
      <c r="C1375" s="26"/>
      <c r="D1375" s="26">
        <v>436</v>
      </c>
      <c r="E1375" s="26" t="str">
        <f>CONCATENATE('Смета ЕР (общ) '!$A1375,".",'Смета ЕР (общ) '!$B1375,".",'Смета ЕР (общ) '!$D1375)</f>
        <v>Р9.2.436</v>
      </c>
      <c r="F1375" s="26">
        <f t="shared" si="108"/>
        <v>1</v>
      </c>
      <c r="G1375" s="27" t="s">
        <v>1454</v>
      </c>
      <c r="H1375" s="28" t="s">
        <v>147</v>
      </c>
      <c r="I1375" s="158"/>
      <c r="J1375" s="30">
        <v>570.72</v>
      </c>
      <c r="K1375" s="30">
        <v>1934.82</v>
      </c>
      <c r="L1375" s="30">
        <f t="shared" si="107"/>
        <v>570.72</v>
      </c>
      <c r="M1375" s="30">
        <f t="shared" si="107"/>
        <v>1934.82</v>
      </c>
      <c r="N1375" s="30">
        <f>ROUND('Смета ЕР (общ) '!$I1375*'Смета ЕР (общ) '!$L1375,2)</f>
        <v>0</v>
      </c>
      <c r="O1375" s="30">
        <f>ROUND('Смета ЕР (общ) '!$I1375*'Смета ЕР (общ) '!$M1375,2)</f>
        <v>0</v>
      </c>
      <c r="P1375" s="45"/>
    </row>
    <row r="1376" spans="1:20" ht="24" hidden="1" x14ac:dyDescent="0.3">
      <c r="A1376" s="26" t="s">
        <v>1170</v>
      </c>
      <c r="B1376" s="26">
        <v>2</v>
      </c>
      <c r="C1376" s="26"/>
      <c r="D1376" s="26">
        <v>437</v>
      </c>
      <c r="E1376" s="26" t="str">
        <f>CONCATENATE('Смета ЕР (общ) '!$A1376,".",'Смета ЕР (общ) '!$B1376,".",'Смета ЕР (общ) '!$D1376)</f>
        <v>Р9.2.437</v>
      </c>
      <c r="F1376" s="26">
        <f t="shared" si="108"/>
        <v>1</v>
      </c>
      <c r="G1376" s="27" t="s">
        <v>1455</v>
      </c>
      <c r="H1376" s="28" t="s">
        <v>147</v>
      </c>
      <c r="I1376" s="158"/>
      <c r="J1376" s="30">
        <v>570.72</v>
      </c>
      <c r="K1376" s="30">
        <v>1934.82</v>
      </c>
      <c r="L1376" s="30">
        <f t="shared" si="107"/>
        <v>570.72</v>
      </c>
      <c r="M1376" s="30">
        <f t="shared" si="107"/>
        <v>1934.82</v>
      </c>
      <c r="N1376" s="30">
        <f>ROUND('Смета ЕР (общ) '!$I1376*'Смета ЕР (общ) '!$L1376,2)</f>
        <v>0</v>
      </c>
      <c r="O1376" s="30">
        <f>ROUND('Смета ЕР (общ) '!$I1376*'Смета ЕР (общ) '!$M1376,2)</f>
        <v>0</v>
      </c>
      <c r="P1376" s="45"/>
    </row>
    <row r="1377" spans="1:20" ht="30.75" hidden="1" customHeight="1" x14ac:dyDescent="0.3">
      <c r="A1377" s="26" t="s">
        <v>1170</v>
      </c>
      <c r="B1377" s="26">
        <v>2</v>
      </c>
      <c r="C1377" s="26"/>
      <c r="D1377" s="26">
        <v>371</v>
      </c>
      <c r="E1377" s="26" t="str">
        <f>CONCATENATE('Смета ЕР (общ) '!$A1377,".",'Смета ЕР (общ) '!$B1377,".",'Смета ЕР (общ) '!$D1377)</f>
        <v>Р9.2.371</v>
      </c>
      <c r="F1377" s="26">
        <f t="shared" si="108"/>
        <v>1</v>
      </c>
      <c r="G1377" s="27" t="s">
        <v>1456</v>
      </c>
      <c r="H1377" s="28" t="s">
        <v>118</v>
      </c>
      <c r="I1377" s="158"/>
      <c r="J1377" s="30">
        <v>119.19</v>
      </c>
      <c r="K1377" s="30">
        <v>282.95</v>
      </c>
      <c r="L1377" s="30">
        <f t="shared" ref="L1377:M1407" si="109">ROUND(J1377-J1377*$Q$3,2)</f>
        <v>119.19</v>
      </c>
      <c r="M1377" s="30">
        <f t="shared" si="109"/>
        <v>282.95</v>
      </c>
      <c r="N1377" s="30">
        <f>ROUND('Смета ЕР (общ) '!$I1377*'Смета ЕР (общ) '!$L1377,2)</f>
        <v>0</v>
      </c>
      <c r="O1377" s="30">
        <f>ROUND('Смета ЕР (общ) '!$I1377*'Смета ЕР (общ) '!$M1377,2)</f>
        <v>0</v>
      </c>
      <c r="P1377" s="45" t="s">
        <v>1457</v>
      </c>
      <c r="T1377">
        <v>8</v>
      </c>
    </row>
    <row r="1378" spans="1:20" ht="14.4" hidden="1" x14ac:dyDescent="0.3">
      <c r="A1378" s="26" t="s">
        <v>1170</v>
      </c>
      <c r="B1378" s="26">
        <v>2</v>
      </c>
      <c r="C1378" s="26"/>
      <c r="D1378" s="26">
        <v>372</v>
      </c>
      <c r="E1378" s="26" t="str">
        <f>CONCATENATE('Смета ЕР (общ) '!$A1378,".",'Смета ЕР (общ) '!$B1378,".",'Смета ЕР (общ) '!$D1378)</f>
        <v>Р9.2.372</v>
      </c>
      <c r="F1378" s="26">
        <f t="shared" si="108"/>
        <v>1</v>
      </c>
      <c r="G1378" s="27" t="s">
        <v>1458</v>
      </c>
      <c r="H1378" s="28" t="s">
        <v>118</v>
      </c>
      <c r="I1378" s="158"/>
      <c r="J1378" s="30">
        <v>119.19</v>
      </c>
      <c r="K1378" s="30">
        <v>894.85</v>
      </c>
      <c r="L1378" s="30">
        <f t="shared" si="109"/>
        <v>119.19</v>
      </c>
      <c r="M1378" s="30">
        <f t="shared" si="109"/>
        <v>894.85</v>
      </c>
      <c r="N1378" s="30">
        <f>ROUND('Смета ЕР (общ) '!$I1378*'Смета ЕР (общ) '!$L1378,2)</f>
        <v>0</v>
      </c>
      <c r="O1378" s="30">
        <f>ROUND('Смета ЕР (общ) '!$I1378*'Смета ЕР (общ) '!$M1378,2)</f>
        <v>0</v>
      </c>
      <c r="P1378" s="45" t="s">
        <v>435</v>
      </c>
      <c r="T1378">
        <v>28</v>
      </c>
    </row>
    <row r="1379" spans="1:20" ht="14.4" hidden="1" x14ac:dyDescent="0.3">
      <c r="A1379" s="26" t="s">
        <v>1170</v>
      </c>
      <c r="B1379" s="26">
        <v>2</v>
      </c>
      <c r="C1379" s="26"/>
      <c r="D1379" s="26">
        <v>373</v>
      </c>
      <c r="E1379" s="26" t="str">
        <f>CONCATENATE('Смета ЕР (общ) '!$A1379,".",'Смета ЕР (общ) '!$B1379,".",'Смета ЕР (общ) '!$D1379)</f>
        <v>Р9.2.373</v>
      </c>
      <c r="F1379" s="26">
        <f t="shared" si="108"/>
        <v>1</v>
      </c>
      <c r="G1379" s="27" t="s">
        <v>1459</v>
      </c>
      <c r="H1379" s="28" t="s">
        <v>118</v>
      </c>
      <c r="I1379" s="158"/>
      <c r="J1379" s="30">
        <v>119.19</v>
      </c>
      <c r="K1379" s="30">
        <v>552.73</v>
      </c>
      <c r="L1379" s="30">
        <f t="shared" si="109"/>
        <v>119.19</v>
      </c>
      <c r="M1379" s="30">
        <f t="shared" si="109"/>
        <v>552.73</v>
      </c>
      <c r="N1379" s="30">
        <f>ROUND('Смета ЕР (общ) '!$I1379*'Смета ЕР (общ) '!$L1379,2)</f>
        <v>0</v>
      </c>
      <c r="O1379" s="30">
        <f>ROUND('Смета ЕР (общ) '!$I1379*'Смета ЕР (общ) '!$M1379,2)</f>
        <v>0</v>
      </c>
      <c r="P1379" s="45" t="s">
        <v>435</v>
      </c>
      <c r="T1379">
        <v>25</v>
      </c>
    </row>
    <row r="1380" spans="1:20" ht="14.4" hidden="1" x14ac:dyDescent="0.3">
      <c r="A1380" s="26" t="s">
        <v>1170</v>
      </c>
      <c r="B1380" s="26">
        <v>2</v>
      </c>
      <c r="C1380" s="26"/>
      <c r="D1380" s="26">
        <v>438</v>
      </c>
      <c r="E1380" s="26" t="str">
        <f>CONCATENATE('Смета ЕР (общ) '!$A1380,".",'Смета ЕР (общ) '!$B1380,".",'Смета ЕР (общ) '!$D1380)</f>
        <v>Р9.2.438</v>
      </c>
      <c r="F1380" s="26">
        <f t="shared" si="108"/>
        <v>1</v>
      </c>
      <c r="G1380" s="27" t="s">
        <v>1460</v>
      </c>
      <c r="H1380" s="28" t="s">
        <v>118</v>
      </c>
      <c r="I1380" s="158"/>
      <c r="J1380" s="30">
        <v>119.19</v>
      </c>
      <c r="K1380" s="30">
        <v>731.43</v>
      </c>
      <c r="L1380" s="30">
        <f t="shared" si="109"/>
        <v>119.19</v>
      </c>
      <c r="M1380" s="30">
        <f t="shared" si="109"/>
        <v>731.43</v>
      </c>
      <c r="N1380" s="30">
        <f>ROUND('Смета ЕР (общ) '!$I1380*'Смета ЕР (общ) '!$L1380,2)</f>
        <v>0</v>
      </c>
      <c r="O1380" s="30">
        <f>ROUND('Смета ЕР (общ) '!$I1380*'Смета ЕР (общ) '!$M1380,2)</f>
        <v>0</v>
      </c>
      <c r="P1380" s="45"/>
    </row>
    <row r="1381" spans="1:20" ht="14.4" hidden="1" x14ac:dyDescent="0.3">
      <c r="A1381" s="26" t="s">
        <v>1170</v>
      </c>
      <c r="B1381" s="26">
        <v>2</v>
      </c>
      <c r="C1381" s="26"/>
      <c r="D1381" s="26">
        <v>293</v>
      </c>
      <c r="E1381" s="26" t="str">
        <f>CONCATENATE('Смета ЕР (общ) '!$A1381,".",'Смета ЕР (общ) '!$B1381,".",'Смета ЕР (общ) '!$D1381)</f>
        <v>Р9.2.293</v>
      </c>
      <c r="F1381" s="26">
        <f t="shared" si="108"/>
        <v>1</v>
      </c>
      <c r="G1381" s="27" t="s">
        <v>1461</v>
      </c>
      <c r="H1381" s="28" t="s">
        <v>118</v>
      </c>
      <c r="I1381" s="160"/>
      <c r="J1381" s="30">
        <v>119.19</v>
      </c>
      <c r="K1381" s="30">
        <v>1525.25</v>
      </c>
      <c r="L1381" s="30">
        <f t="shared" si="109"/>
        <v>119.19</v>
      </c>
      <c r="M1381" s="30">
        <f t="shared" si="109"/>
        <v>1525.25</v>
      </c>
      <c r="N1381" s="30">
        <f>ROUND('Смета ЕР (общ) '!$I1381*'Смета ЕР (общ) '!$L1381,2)</f>
        <v>0</v>
      </c>
      <c r="O1381" s="30">
        <f>ROUND('Смета ЕР (общ) '!$I1381*'Смета ЕР (общ) '!$M1381,2)</f>
        <v>0</v>
      </c>
      <c r="P1381" s="45" t="s">
        <v>435</v>
      </c>
      <c r="T1381">
        <v>32</v>
      </c>
    </row>
    <row r="1382" spans="1:20" ht="14.4" hidden="1" x14ac:dyDescent="0.3">
      <c r="A1382" s="26" t="s">
        <v>1170</v>
      </c>
      <c r="B1382" s="26">
        <v>2</v>
      </c>
      <c r="C1382" s="26"/>
      <c r="D1382" s="26">
        <v>294</v>
      </c>
      <c r="E1382" s="26" t="str">
        <f>CONCATENATE('Смета ЕР (общ) '!$A1382,".",'Смета ЕР (общ) '!$B1382,".",'Смета ЕР (общ) '!$D1382)</f>
        <v>Р9.2.294</v>
      </c>
      <c r="F1382" s="26">
        <f t="shared" si="108"/>
        <v>1</v>
      </c>
      <c r="G1382" s="27" t="s">
        <v>1462</v>
      </c>
      <c r="H1382" s="28" t="s">
        <v>118</v>
      </c>
      <c r="I1382" s="160"/>
      <c r="J1382" s="30">
        <v>119.19</v>
      </c>
      <c r="K1382" s="30">
        <v>2126.4899999999998</v>
      </c>
      <c r="L1382" s="30">
        <f t="shared" si="109"/>
        <v>119.19</v>
      </c>
      <c r="M1382" s="30">
        <f t="shared" si="109"/>
        <v>2126.4899999999998</v>
      </c>
      <c r="N1382" s="30">
        <f>ROUND('Смета ЕР (общ) '!$I1382*'Смета ЕР (общ) '!$L1382,2)</f>
        <v>0</v>
      </c>
      <c r="O1382" s="30">
        <f>ROUND('Смета ЕР (общ) '!$I1382*'Смета ЕР (общ) '!$M1382,2)</f>
        <v>0</v>
      </c>
      <c r="P1382" s="45" t="s">
        <v>435</v>
      </c>
      <c r="T1382">
        <v>24</v>
      </c>
    </row>
    <row r="1383" spans="1:20" ht="14.4" hidden="1" x14ac:dyDescent="0.3">
      <c r="A1383" s="26" t="s">
        <v>1170</v>
      </c>
      <c r="B1383" s="26">
        <v>2</v>
      </c>
      <c r="C1383" s="26"/>
      <c r="D1383" s="26">
        <v>439</v>
      </c>
      <c r="E1383" s="26" t="str">
        <f>CONCATENATE('Смета ЕР (общ) '!$A1383,".",'Смета ЕР (общ) '!$B1383,".",'Смета ЕР (общ) '!$D1383)</f>
        <v>Р9.2.439</v>
      </c>
      <c r="F1383" s="26">
        <f t="shared" si="108"/>
        <v>1</v>
      </c>
      <c r="G1383" s="27" t="s">
        <v>1463</v>
      </c>
      <c r="H1383" s="28" t="s">
        <v>118</v>
      </c>
      <c r="I1383" s="160"/>
      <c r="J1383" s="30">
        <v>119.19</v>
      </c>
      <c r="K1383" s="30">
        <v>1884.43</v>
      </c>
      <c r="L1383" s="30">
        <f t="shared" si="109"/>
        <v>119.19</v>
      </c>
      <c r="M1383" s="30">
        <f t="shared" si="109"/>
        <v>1884.43</v>
      </c>
      <c r="N1383" s="30">
        <f>ROUND('Смета ЕР (общ) '!$I1383*'Смета ЕР (общ) '!$L1383,2)</f>
        <v>0</v>
      </c>
      <c r="O1383" s="30">
        <f>ROUND('Смета ЕР (общ) '!$I1383*'Смета ЕР (общ) '!$M1383,2)</f>
        <v>0</v>
      </c>
      <c r="P1383" s="45"/>
    </row>
    <row r="1384" spans="1:20" ht="14.4" hidden="1" x14ac:dyDescent="0.3">
      <c r="A1384" s="26" t="s">
        <v>1170</v>
      </c>
      <c r="B1384" s="26">
        <v>2</v>
      </c>
      <c r="C1384" s="26"/>
      <c r="D1384" s="26">
        <v>440</v>
      </c>
      <c r="E1384" s="26" t="str">
        <f>CONCATENATE('Смета ЕР (общ) '!$A1384,".",'Смета ЕР (общ) '!$B1384,".",'Смета ЕР (общ) '!$D1384)</f>
        <v>Р9.2.440</v>
      </c>
      <c r="F1384" s="26">
        <f t="shared" si="108"/>
        <v>1</v>
      </c>
      <c r="G1384" s="27" t="s">
        <v>1464</v>
      </c>
      <c r="H1384" s="28" t="s">
        <v>118</v>
      </c>
      <c r="I1384" s="160"/>
      <c r="J1384" s="30">
        <v>119.19</v>
      </c>
      <c r="K1384" s="30">
        <v>2601.33</v>
      </c>
      <c r="L1384" s="30">
        <f t="shared" si="109"/>
        <v>119.19</v>
      </c>
      <c r="M1384" s="30">
        <f t="shared" si="109"/>
        <v>2601.33</v>
      </c>
      <c r="N1384" s="30">
        <f>ROUND('Смета ЕР (общ) '!$I1384*'Смета ЕР (общ) '!$L1384,2)</f>
        <v>0</v>
      </c>
      <c r="O1384" s="30">
        <f>ROUND('Смета ЕР (общ) '!$I1384*'Смета ЕР (общ) '!$M1384,2)</f>
        <v>0</v>
      </c>
      <c r="P1384" s="45"/>
    </row>
    <row r="1385" spans="1:20" ht="36" hidden="1" x14ac:dyDescent="0.3">
      <c r="A1385" s="26" t="s">
        <v>1170</v>
      </c>
      <c r="B1385" s="26">
        <v>2</v>
      </c>
      <c r="C1385" s="26"/>
      <c r="D1385" s="26">
        <v>295</v>
      </c>
      <c r="E1385" s="26" t="str">
        <f>CONCATENATE('Смета ЕР (общ) '!$A1385,".",'Смета ЕР (общ) '!$B1385,".",'Смета ЕР (общ) '!$D1385)</f>
        <v>Р9.2.295</v>
      </c>
      <c r="F1385" s="26">
        <f t="shared" si="108"/>
        <v>1</v>
      </c>
      <c r="G1385" s="27" t="s">
        <v>1465</v>
      </c>
      <c r="H1385" s="28" t="s">
        <v>147</v>
      </c>
      <c r="I1385" s="158"/>
      <c r="J1385" s="30">
        <v>946</v>
      </c>
      <c r="K1385" s="34">
        <v>2236.88</v>
      </c>
      <c r="L1385" s="30">
        <f t="shared" si="109"/>
        <v>946</v>
      </c>
      <c r="M1385" s="30">
        <f t="shared" si="109"/>
        <v>2236.88</v>
      </c>
      <c r="N1385" s="30">
        <f>ROUND('Смета ЕР (общ) '!$I1385*'Смета ЕР (общ) '!$L1385,2)</f>
        <v>0</v>
      </c>
      <c r="O1385" s="30">
        <f>ROUND('Смета ЕР (общ) '!$I1385*'Смета ЕР (общ) '!$M1385,2)</f>
        <v>0</v>
      </c>
      <c r="P1385" s="169" t="s">
        <v>435</v>
      </c>
      <c r="Q1385" s="17">
        <v>0.08</v>
      </c>
    </row>
    <row r="1386" spans="1:20" ht="36" hidden="1" x14ac:dyDescent="0.3">
      <c r="A1386" s="26" t="s">
        <v>1170</v>
      </c>
      <c r="B1386" s="26">
        <v>2</v>
      </c>
      <c r="C1386" s="26"/>
      <c r="D1386" s="26">
        <v>296</v>
      </c>
      <c r="E1386" s="26" t="str">
        <f>CONCATENATE('Смета ЕР (общ) '!$A1386,".",'Смета ЕР (общ) '!$B1386,".",'Смета ЕР (общ) '!$D1386)</f>
        <v>Р9.2.296</v>
      </c>
      <c r="F1386" s="26">
        <f t="shared" si="108"/>
        <v>1</v>
      </c>
      <c r="G1386" s="27" t="s">
        <v>1466</v>
      </c>
      <c r="H1386" s="28" t="s">
        <v>147</v>
      </c>
      <c r="I1386" s="158"/>
      <c r="J1386" s="30">
        <v>946</v>
      </c>
      <c r="K1386" s="34">
        <v>4108.72</v>
      </c>
      <c r="L1386" s="30">
        <f t="shared" si="109"/>
        <v>946</v>
      </c>
      <c r="M1386" s="30">
        <f t="shared" si="109"/>
        <v>4108.72</v>
      </c>
      <c r="N1386" s="30">
        <f>ROUND('Смета ЕР (общ) '!$I1386*'Смета ЕР (общ) '!$L1386,2)</f>
        <v>0</v>
      </c>
      <c r="O1386" s="30">
        <f>ROUND('Смета ЕР (общ) '!$I1386*'Смета ЕР (общ) '!$M1386,2)</f>
        <v>0</v>
      </c>
      <c r="P1386" s="169" t="s">
        <v>435</v>
      </c>
      <c r="Q1386" s="17">
        <v>0.13</v>
      </c>
    </row>
    <row r="1387" spans="1:20" ht="36" hidden="1" x14ac:dyDescent="0.3">
      <c r="A1387" s="26" t="s">
        <v>1170</v>
      </c>
      <c r="B1387" s="26">
        <v>2</v>
      </c>
      <c r="C1387" s="26"/>
      <c r="D1387" s="26">
        <v>374</v>
      </c>
      <c r="E1387" s="26" t="str">
        <f>CONCATENATE('Смета ЕР (общ) '!$A1387,".",'Смета ЕР (общ) '!$B1387,".",'Смета ЕР (общ) '!$D1387)</f>
        <v>Р9.2.374</v>
      </c>
      <c r="F1387" s="26">
        <f t="shared" si="108"/>
        <v>1</v>
      </c>
      <c r="G1387" s="27" t="s">
        <v>1467</v>
      </c>
      <c r="H1387" s="28" t="s">
        <v>147</v>
      </c>
      <c r="I1387" s="158"/>
      <c r="J1387" s="30">
        <v>1057.05</v>
      </c>
      <c r="K1387" s="34">
        <v>5703.86</v>
      </c>
      <c r="L1387" s="30">
        <f t="shared" si="109"/>
        <v>1057.05</v>
      </c>
      <c r="M1387" s="30">
        <f t="shared" si="109"/>
        <v>5703.86</v>
      </c>
      <c r="N1387" s="30">
        <f>ROUND('Смета ЕР (общ) '!$I1387*'Смета ЕР (общ) '!$L1387,2)</f>
        <v>0</v>
      </c>
      <c r="O1387" s="30">
        <f>ROUND('Смета ЕР (общ) '!$I1387*'Смета ЕР (общ) '!$M1387,2)</f>
        <v>0</v>
      </c>
      <c r="P1387" s="169"/>
      <c r="Q1387" s="17">
        <v>0.06</v>
      </c>
    </row>
    <row r="1388" spans="1:20" ht="36" hidden="1" x14ac:dyDescent="0.3">
      <c r="A1388" s="26" t="s">
        <v>1170</v>
      </c>
      <c r="B1388" s="26">
        <v>2</v>
      </c>
      <c r="C1388" s="26"/>
      <c r="D1388" s="26">
        <v>441</v>
      </c>
      <c r="E1388" s="26" t="str">
        <f>CONCATENATE('Смета ЕР (общ) '!$A1388,".",'Смета ЕР (общ) '!$B1388,".",'Смета ЕР (общ) '!$D1388)</f>
        <v>Р9.2.441</v>
      </c>
      <c r="F1388" s="26">
        <f t="shared" si="108"/>
        <v>1</v>
      </c>
      <c r="G1388" s="27" t="s">
        <v>1468</v>
      </c>
      <c r="H1388" s="28" t="s">
        <v>147</v>
      </c>
      <c r="I1388" s="158"/>
      <c r="J1388" s="30">
        <v>1057.05</v>
      </c>
      <c r="K1388" s="30">
        <v>3271.6</v>
      </c>
      <c r="L1388" s="30">
        <f t="shared" si="109"/>
        <v>1057.05</v>
      </c>
      <c r="M1388" s="30">
        <f t="shared" si="109"/>
        <v>3271.6</v>
      </c>
      <c r="N1388" s="30">
        <f>ROUND('Смета ЕР (общ) '!$I1388*'Смета ЕР (общ) '!$L1388,2)</f>
        <v>0</v>
      </c>
      <c r="O1388" s="30">
        <f>ROUND('Смета ЕР (общ) '!$I1388*'Смета ЕР (общ) '!$M1388,2)</f>
        <v>0</v>
      </c>
      <c r="P1388" s="45"/>
    </row>
    <row r="1389" spans="1:20" ht="36" hidden="1" x14ac:dyDescent="0.3">
      <c r="A1389" s="26" t="s">
        <v>1170</v>
      </c>
      <c r="B1389" s="26">
        <v>2</v>
      </c>
      <c r="C1389" s="26"/>
      <c r="D1389" s="26">
        <v>442</v>
      </c>
      <c r="E1389" s="26" t="str">
        <f>CONCATENATE('Смета ЕР (общ) '!$A1389,".",'Смета ЕР (общ) '!$B1389,".",'Смета ЕР (общ) '!$D1389)</f>
        <v>Р9.2.442</v>
      </c>
      <c r="F1389" s="26">
        <f t="shared" si="108"/>
        <v>1</v>
      </c>
      <c r="G1389" s="27" t="s">
        <v>1469</v>
      </c>
      <c r="H1389" s="28" t="s">
        <v>147</v>
      </c>
      <c r="I1389" s="158"/>
      <c r="J1389" s="30">
        <v>1057.05</v>
      </c>
      <c r="K1389" s="30">
        <v>4670.3900000000003</v>
      </c>
      <c r="L1389" s="30">
        <f t="shared" si="109"/>
        <v>1057.05</v>
      </c>
      <c r="M1389" s="30">
        <f t="shared" si="109"/>
        <v>4670.3900000000003</v>
      </c>
      <c r="N1389" s="30">
        <f>ROUND('Смета ЕР (общ) '!$I1389*'Смета ЕР (общ) '!$L1389,2)</f>
        <v>0</v>
      </c>
      <c r="O1389" s="30">
        <f>ROUND('Смета ЕР (общ) '!$I1389*'Смета ЕР (общ) '!$M1389,2)</f>
        <v>0</v>
      </c>
      <c r="P1389" s="45"/>
    </row>
    <row r="1390" spans="1:20" ht="14.4" hidden="1" x14ac:dyDescent="0.3">
      <c r="A1390" s="26" t="s">
        <v>1170</v>
      </c>
      <c r="B1390" s="26">
        <v>2</v>
      </c>
      <c r="C1390" s="26"/>
      <c r="D1390" s="26">
        <v>375</v>
      </c>
      <c r="E1390" s="26" t="str">
        <f>CONCATENATE('Смета ЕР (общ) '!$A1390,".",'Смета ЕР (общ) '!$B1390,".",'Смета ЕР (общ) '!$D1390)</f>
        <v>Р9.2.375</v>
      </c>
      <c r="F1390" s="26">
        <f t="shared" si="108"/>
        <v>1</v>
      </c>
      <c r="G1390" s="27" t="s">
        <v>1470</v>
      </c>
      <c r="H1390" s="28" t="s">
        <v>147</v>
      </c>
      <c r="I1390" s="158"/>
      <c r="J1390" s="30">
        <v>769.95</v>
      </c>
      <c r="K1390" s="30">
        <v>636.4</v>
      </c>
      <c r="L1390" s="30">
        <f t="shared" si="109"/>
        <v>769.95</v>
      </c>
      <c r="M1390" s="30">
        <f t="shared" si="109"/>
        <v>636.4</v>
      </c>
      <c r="N1390" s="30">
        <f>ROUND('Смета ЕР (общ) '!$I1390*'Смета ЕР (общ) '!$L1390,2)</f>
        <v>0</v>
      </c>
      <c r="O1390" s="30">
        <f>ROUND('Смета ЕР (общ) '!$I1390*'Смета ЕР (общ) '!$M1390,2)</f>
        <v>0</v>
      </c>
      <c r="P1390" s="45"/>
    </row>
    <row r="1391" spans="1:20" ht="14.4" hidden="1" x14ac:dyDescent="0.3">
      <c r="A1391" s="26" t="s">
        <v>1170</v>
      </c>
      <c r="B1391" s="26">
        <v>2</v>
      </c>
      <c r="C1391" s="26"/>
      <c r="D1391" s="26">
        <v>376</v>
      </c>
      <c r="E1391" s="26" t="str">
        <f>CONCATENATE('Смета ЕР (общ) '!$A1391,".",'Смета ЕР (общ) '!$B1391,".",'Смета ЕР (общ) '!$D1391)</f>
        <v>Р9.2.376</v>
      </c>
      <c r="F1391" s="26">
        <f t="shared" si="108"/>
        <v>1</v>
      </c>
      <c r="G1391" s="27" t="s">
        <v>1471</v>
      </c>
      <c r="H1391" s="28" t="s">
        <v>147</v>
      </c>
      <c r="I1391" s="158"/>
      <c r="J1391" s="30">
        <v>769.95</v>
      </c>
      <c r="K1391" s="30">
        <v>851.53</v>
      </c>
      <c r="L1391" s="30">
        <f t="shared" si="109"/>
        <v>769.95</v>
      </c>
      <c r="M1391" s="30">
        <f t="shared" si="109"/>
        <v>851.53</v>
      </c>
      <c r="N1391" s="30">
        <f>ROUND('Смета ЕР (общ) '!$I1391*'Смета ЕР (общ) '!$L1391,2)</f>
        <v>0</v>
      </c>
      <c r="O1391" s="30">
        <f>ROUND('Смета ЕР (общ) '!$I1391*'Смета ЕР (общ) '!$M1391,2)</f>
        <v>0</v>
      </c>
      <c r="P1391" s="45"/>
    </row>
    <row r="1392" spans="1:20" ht="14.4" hidden="1" x14ac:dyDescent="0.3">
      <c r="A1392" s="26" t="s">
        <v>1170</v>
      </c>
      <c r="B1392" s="26">
        <v>2</v>
      </c>
      <c r="C1392" s="26"/>
      <c r="D1392" s="26">
        <v>377</v>
      </c>
      <c r="E1392" s="26" t="str">
        <f>CONCATENATE('Смета ЕР (общ) '!$A1392,".",'Смета ЕР (общ) '!$B1392,".",'Смета ЕР (общ) '!$D1392)</f>
        <v>Р9.2.377</v>
      </c>
      <c r="F1392" s="26">
        <f t="shared" si="108"/>
        <v>1</v>
      </c>
      <c r="G1392" s="27" t="s">
        <v>1472</v>
      </c>
      <c r="H1392" s="28" t="s">
        <v>147</v>
      </c>
      <c r="I1392" s="158"/>
      <c r="J1392" s="30">
        <v>784.74</v>
      </c>
      <c r="K1392" s="30">
        <v>1096.44</v>
      </c>
      <c r="L1392" s="30">
        <f t="shared" si="109"/>
        <v>784.74</v>
      </c>
      <c r="M1392" s="30">
        <f t="shared" si="109"/>
        <v>1096.44</v>
      </c>
      <c r="N1392" s="30">
        <f>ROUND('Смета ЕР (общ) '!$I1392*'Смета ЕР (общ) '!$L1392,2)</f>
        <v>0</v>
      </c>
      <c r="O1392" s="30">
        <f>ROUND('Смета ЕР (общ) '!$I1392*'Смета ЕР (общ) '!$M1392,2)</f>
        <v>0</v>
      </c>
      <c r="P1392" s="45"/>
    </row>
    <row r="1393" spans="1:20" ht="14.4" hidden="1" x14ac:dyDescent="0.3">
      <c r="A1393" s="26" t="s">
        <v>1170</v>
      </c>
      <c r="B1393" s="26">
        <v>2</v>
      </c>
      <c r="C1393" s="26"/>
      <c r="D1393" s="26">
        <v>297</v>
      </c>
      <c r="E1393" s="26" t="str">
        <f>CONCATENATE('Смета ЕР (общ) '!$A1393,".",'Смета ЕР (общ) '!$B1393,".",'Смета ЕР (общ) '!$D1393)</f>
        <v>Р9.2.297</v>
      </c>
      <c r="F1393" s="26">
        <f t="shared" si="108"/>
        <v>1</v>
      </c>
      <c r="G1393" s="27" t="s">
        <v>1473</v>
      </c>
      <c r="H1393" s="28" t="s">
        <v>147</v>
      </c>
      <c r="I1393" s="158"/>
      <c r="J1393" s="30">
        <v>784.74</v>
      </c>
      <c r="K1393" s="30">
        <v>1264.48</v>
      </c>
      <c r="L1393" s="30">
        <f t="shared" si="109"/>
        <v>784.74</v>
      </c>
      <c r="M1393" s="30">
        <f t="shared" si="109"/>
        <v>1264.48</v>
      </c>
      <c r="N1393" s="30">
        <f>ROUND('Смета ЕР (общ) '!$I1393*'Смета ЕР (общ) '!$L1393,2)</f>
        <v>0</v>
      </c>
      <c r="O1393" s="30">
        <f>ROUND('Смета ЕР (общ) '!$I1393*'Смета ЕР (общ) '!$M1393,2)</f>
        <v>0</v>
      </c>
      <c r="P1393" s="45"/>
    </row>
    <row r="1394" spans="1:20" ht="14.4" hidden="1" x14ac:dyDescent="0.3">
      <c r="A1394" s="26" t="s">
        <v>1170</v>
      </c>
      <c r="B1394" s="26">
        <v>2</v>
      </c>
      <c r="C1394" s="26"/>
      <c r="D1394" s="26">
        <v>378</v>
      </c>
      <c r="E1394" s="26" t="str">
        <f>CONCATENATE('Смета ЕР (общ) '!$A1394,".",'Смета ЕР (общ) '!$B1394,".",'Смета ЕР (общ) '!$D1394)</f>
        <v>Р9.2.378</v>
      </c>
      <c r="F1394" s="26">
        <f t="shared" si="108"/>
        <v>1</v>
      </c>
      <c r="G1394" s="27" t="s">
        <v>1474</v>
      </c>
      <c r="H1394" s="28" t="s">
        <v>147</v>
      </c>
      <c r="I1394" s="158"/>
      <c r="J1394" s="30">
        <v>784.74</v>
      </c>
      <c r="K1394" s="30">
        <v>1490.18</v>
      </c>
      <c r="L1394" s="30">
        <f t="shared" si="109"/>
        <v>784.74</v>
      </c>
      <c r="M1394" s="30">
        <f t="shared" si="109"/>
        <v>1490.18</v>
      </c>
      <c r="N1394" s="30">
        <f>ROUND('Смета ЕР (общ) '!$I1394*'Смета ЕР (общ) '!$L1394,2)</f>
        <v>0</v>
      </c>
      <c r="O1394" s="30">
        <f>ROUND('Смета ЕР (общ) '!$I1394*'Смета ЕР (общ) '!$M1394,2)</f>
        <v>0</v>
      </c>
      <c r="P1394" s="45"/>
    </row>
    <row r="1395" spans="1:20" ht="24" hidden="1" x14ac:dyDescent="0.3">
      <c r="A1395" s="26" t="s">
        <v>1170</v>
      </c>
      <c r="B1395" s="26">
        <v>2</v>
      </c>
      <c r="C1395" s="26"/>
      <c r="D1395" s="26">
        <v>197</v>
      </c>
      <c r="E1395" s="26" t="str">
        <f>CONCATENATE('Смета ЕР (общ) '!$A1395,".",'Смета ЕР (общ) '!$B1395,".",'Смета ЕР (общ) '!$D1395)</f>
        <v>Р9.2.197</v>
      </c>
      <c r="F1395" s="26">
        <f t="shared" si="108"/>
        <v>1</v>
      </c>
      <c r="G1395" s="27" t="s">
        <v>1475</v>
      </c>
      <c r="H1395" s="28" t="s">
        <v>118</v>
      </c>
      <c r="I1395" s="158"/>
      <c r="J1395" s="30">
        <v>683.82</v>
      </c>
      <c r="K1395" s="30">
        <v>887.45</v>
      </c>
      <c r="L1395" s="30">
        <f t="shared" si="109"/>
        <v>683.82</v>
      </c>
      <c r="M1395" s="30">
        <f t="shared" si="109"/>
        <v>887.45</v>
      </c>
      <c r="N1395" s="30">
        <f>ROUND('Смета ЕР (общ) '!$I1395*'Смета ЕР (общ) '!$L1395,2)</f>
        <v>0</v>
      </c>
      <c r="O1395" s="30">
        <f>ROUND('Смета ЕР (общ) '!$I1395*'Смета ЕР (общ) '!$M1395,2)</f>
        <v>0</v>
      </c>
      <c r="P1395" s="45"/>
      <c r="T1395">
        <v>136</v>
      </c>
    </row>
    <row r="1396" spans="1:20" ht="24" hidden="1" x14ac:dyDescent="0.3">
      <c r="A1396" s="26" t="s">
        <v>1170</v>
      </c>
      <c r="B1396" s="26">
        <v>2</v>
      </c>
      <c r="C1396" s="26"/>
      <c r="D1396" s="26">
        <v>198</v>
      </c>
      <c r="E1396" s="26" t="str">
        <f>CONCATENATE('Смета ЕР (общ) '!$A1396,".",'Смета ЕР (общ) '!$B1396,".",'Смета ЕР (общ) '!$D1396)</f>
        <v>Р9.2.198</v>
      </c>
      <c r="F1396" s="26">
        <f t="shared" si="108"/>
        <v>1</v>
      </c>
      <c r="G1396" s="27" t="s">
        <v>1476</v>
      </c>
      <c r="H1396" s="28" t="s">
        <v>118</v>
      </c>
      <c r="I1396" s="158"/>
      <c r="J1396" s="30">
        <v>683.82</v>
      </c>
      <c r="K1396" s="30">
        <v>239.01</v>
      </c>
      <c r="L1396" s="30">
        <f t="shared" si="109"/>
        <v>683.82</v>
      </c>
      <c r="M1396" s="30">
        <f t="shared" si="109"/>
        <v>239.01</v>
      </c>
      <c r="N1396" s="30">
        <f>ROUND('Смета ЕР (общ) '!$I1396*'Смета ЕР (общ) '!$L1396,2)</f>
        <v>0</v>
      </c>
      <c r="O1396" s="30">
        <f>ROUND('Смета ЕР (общ) '!$I1396*'Смета ЕР (общ) '!$M1396,2)</f>
        <v>0</v>
      </c>
      <c r="P1396" s="45"/>
      <c r="T1396">
        <v>9</v>
      </c>
    </row>
    <row r="1397" spans="1:20" ht="24" hidden="1" x14ac:dyDescent="0.3">
      <c r="A1397" s="26" t="s">
        <v>1170</v>
      </c>
      <c r="B1397" s="26">
        <v>2</v>
      </c>
      <c r="C1397" s="26"/>
      <c r="D1397" s="26">
        <v>379</v>
      </c>
      <c r="E1397" s="26" t="str">
        <f>CONCATENATE('Смета ЕР (общ) '!$A1397,".",'Смета ЕР (общ) '!$B1397,".",'Смета ЕР (общ) '!$D1397)</f>
        <v>Р9.2.379</v>
      </c>
      <c r="F1397" s="26">
        <f t="shared" si="108"/>
        <v>1</v>
      </c>
      <c r="G1397" s="27" t="s">
        <v>1477</v>
      </c>
      <c r="H1397" s="28" t="s">
        <v>118</v>
      </c>
      <c r="I1397" s="158"/>
      <c r="J1397" s="30">
        <v>683.82</v>
      </c>
      <c r="K1397" s="30">
        <v>461.62</v>
      </c>
      <c r="L1397" s="30">
        <f t="shared" si="109"/>
        <v>683.82</v>
      </c>
      <c r="M1397" s="30">
        <f t="shared" si="109"/>
        <v>461.62</v>
      </c>
      <c r="N1397" s="30">
        <f>ROUND('Смета ЕР (общ) '!$I1397*'Смета ЕР (общ) '!$L1397,2)</f>
        <v>0</v>
      </c>
      <c r="O1397" s="30">
        <f>ROUND('Смета ЕР (общ) '!$I1397*'Смета ЕР (общ) '!$M1397,2)</f>
        <v>0</v>
      </c>
      <c r="P1397" s="167" t="s">
        <v>1478</v>
      </c>
    </row>
    <row r="1398" spans="1:20" ht="24" hidden="1" x14ac:dyDescent="0.3">
      <c r="A1398" s="26" t="s">
        <v>1170</v>
      </c>
      <c r="B1398" s="26">
        <v>2</v>
      </c>
      <c r="C1398" s="26"/>
      <c r="D1398" s="26">
        <v>380</v>
      </c>
      <c r="E1398" s="26" t="str">
        <f>CONCATENATE('Смета ЕР (общ) '!$A1398,".",'Смета ЕР (общ) '!$B1398,".",'Смета ЕР (общ) '!$D1398)</f>
        <v>Р9.2.380</v>
      </c>
      <c r="F1398" s="26">
        <f t="shared" si="108"/>
        <v>1</v>
      </c>
      <c r="G1398" s="27" t="s">
        <v>1479</v>
      </c>
      <c r="H1398" s="28" t="s">
        <v>118</v>
      </c>
      <c r="I1398" s="158"/>
      <c r="J1398" s="30">
        <v>683.82</v>
      </c>
      <c r="K1398" s="30">
        <f>'[14]Розетки ДКС'!D3</f>
        <v>375.74</v>
      </c>
      <c r="L1398" s="30">
        <f t="shared" si="109"/>
        <v>683.82</v>
      </c>
      <c r="M1398" s="54">
        <f>K1398</f>
        <v>375.74</v>
      </c>
      <c r="N1398" s="30">
        <f>ROUND('Смета ЕР (общ) '!$I1398*'Смета ЕР (общ) '!$L1398,2)</f>
        <v>0</v>
      </c>
      <c r="O1398" s="30">
        <f>ROUND('Смета ЕР (общ) '!$I1398*'Смета ЕР (общ) '!$M1398,2)</f>
        <v>0</v>
      </c>
      <c r="P1398" s="55" t="s">
        <v>1480</v>
      </c>
      <c r="Q1398" s="56"/>
    </row>
    <row r="1399" spans="1:20" ht="36" hidden="1" x14ac:dyDescent="0.3">
      <c r="A1399" s="26" t="s">
        <v>1170</v>
      </c>
      <c r="B1399" s="26">
        <v>2</v>
      </c>
      <c r="C1399" s="26"/>
      <c r="D1399" s="26">
        <v>381</v>
      </c>
      <c r="E1399" s="26" t="str">
        <f>CONCATENATE('Смета ЕР (общ) '!$A1399,".",'Смета ЕР (общ) '!$B1399,".",'Смета ЕР (общ) '!$D1399)</f>
        <v>Р9.2.381</v>
      </c>
      <c r="F1399" s="26">
        <f t="shared" si="108"/>
        <v>1</v>
      </c>
      <c r="G1399" s="27" t="s">
        <v>1481</v>
      </c>
      <c r="H1399" s="28" t="s">
        <v>118</v>
      </c>
      <c r="I1399" s="158"/>
      <c r="J1399" s="30">
        <v>683.82</v>
      </c>
      <c r="K1399" s="30">
        <f>'[14]Розетки ДКС'!D4</f>
        <v>474.98999999999995</v>
      </c>
      <c r="L1399" s="30">
        <f t="shared" si="109"/>
        <v>683.82</v>
      </c>
      <c r="M1399" s="54">
        <f>K1399</f>
        <v>474.98999999999995</v>
      </c>
      <c r="N1399" s="30">
        <f>ROUND('Смета ЕР (общ) '!$I1399*'Смета ЕР (общ) '!$L1399,2)</f>
        <v>0</v>
      </c>
      <c r="O1399" s="30">
        <f>ROUND('Смета ЕР (общ) '!$I1399*'Смета ЕР (общ) '!$M1399,2)</f>
        <v>0</v>
      </c>
      <c r="P1399" s="55" t="s">
        <v>1480</v>
      </c>
      <c r="Q1399" s="56"/>
    </row>
    <row r="1400" spans="1:20" ht="24" hidden="1" x14ac:dyDescent="0.3">
      <c r="A1400" s="26" t="s">
        <v>1170</v>
      </c>
      <c r="B1400" s="26">
        <v>2</v>
      </c>
      <c r="C1400" s="26"/>
      <c r="D1400" s="26">
        <v>382</v>
      </c>
      <c r="E1400" s="26" t="str">
        <f>CONCATENATE('Смета ЕР (общ) '!$A1400,".",'Смета ЕР (общ) '!$B1400,".",'Смета ЕР (общ) '!$D1400)</f>
        <v>Р9.2.382</v>
      </c>
      <c r="F1400" s="26">
        <f t="shared" si="108"/>
        <v>1</v>
      </c>
      <c r="G1400" s="27" t="s">
        <v>1482</v>
      </c>
      <c r="H1400" s="28" t="s">
        <v>118</v>
      </c>
      <c r="I1400" s="158"/>
      <c r="J1400" s="30">
        <v>685.73</v>
      </c>
      <c r="K1400" s="30">
        <v>627.27</v>
      </c>
      <c r="L1400" s="30">
        <f t="shared" si="109"/>
        <v>685.73</v>
      </c>
      <c r="M1400" s="30">
        <f t="shared" si="109"/>
        <v>627.27</v>
      </c>
      <c r="N1400" s="30">
        <f>ROUND('Смета ЕР (общ) '!$I1400*'Смета ЕР (общ) '!$L1400,2)</f>
        <v>0</v>
      </c>
      <c r="O1400" s="30">
        <f>ROUND('Смета ЕР (общ) '!$I1400*'Смета ЕР (общ) '!$M1400,2)</f>
        <v>0</v>
      </c>
      <c r="P1400" s="172"/>
    </row>
    <row r="1401" spans="1:20" ht="24" hidden="1" x14ac:dyDescent="0.3">
      <c r="A1401" s="26" t="s">
        <v>1170</v>
      </c>
      <c r="B1401" s="26">
        <v>2</v>
      </c>
      <c r="C1401" s="26"/>
      <c r="D1401" s="26">
        <v>383</v>
      </c>
      <c r="E1401" s="26" t="str">
        <f>CONCATENATE('Смета ЕР (общ) '!$A1401,".",'Смета ЕР (общ) '!$B1401,".",'Смета ЕР (общ) '!$D1401)</f>
        <v>Р9.2.383</v>
      </c>
      <c r="F1401" s="26">
        <f t="shared" si="108"/>
        <v>1</v>
      </c>
      <c r="G1401" s="27" t="s">
        <v>1483</v>
      </c>
      <c r="H1401" s="28" t="s">
        <v>118</v>
      </c>
      <c r="I1401" s="158"/>
      <c r="J1401" s="30">
        <v>685.73</v>
      </c>
      <c r="K1401" s="30">
        <v>627.27</v>
      </c>
      <c r="L1401" s="30">
        <f t="shared" si="109"/>
        <v>685.73</v>
      </c>
      <c r="M1401" s="30">
        <f t="shared" si="109"/>
        <v>627.27</v>
      </c>
      <c r="N1401" s="30">
        <f>ROUND('Смета ЕР (общ) '!$I1401*'Смета ЕР (общ) '!$L1401,2)</f>
        <v>0</v>
      </c>
      <c r="O1401" s="30">
        <f>ROUND('Смета ЕР (общ) '!$I1401*'Смета ЕР (общ) '!$M1401,2)</f>
        <v>0</v>
      </c>
      <c r="P1401" s="172"/>
      <c r="Q1401"/>
    </row>
    <row r="1402" spans="1:20" ht="24" hidden="1" x14ac:dyDescent="0.3">
      <c r="A1402" s="26" t="s">
        <v>1170</v>
      </c>
      <c r="B1402" s="26">
        <v>2</v>
      </c>
      <c r="C1402" s="26"/>
      <c r="D1402" s="26">
        <v>199</v>
      </c>
      <c r="E1402" s="26" t="str">
        <f>CONCATENATE('Смета ЕР (общ) '!$A1402,".",'Смета ЕР (общ) '!$B1402,".",'Смета ЕР (общ) '!$D1402)</f>
        <v>Р9.2.199</v>
      </c>
      <c r="F1402" s="26">
        <f t="shared" si="108"/>
        <v>1</v>
      </c>
      <c r="G1402" s="27" t="s">
        <v>1484</v>
      </c>
      <c r="H1402" s="28" t="s">
        <v>118</v>
      </c>
      <c r="I1402" s="158"/>
      <c r="J1402" s="30">
        <v>683.82</v>
      </c>
      <c r="K1402" s="30">
        <v>750.36</v>
      </c>
      <c r="L1402" s="30">
        <f t="shared" si="109"/>
        <v>683.82</v>
      </c>
      <c r="M1402" s="30">
        <f t="shared" si="109"/>
        <v>750.36</v>
      </c>
      <c r="N1402" s="30">
        <f>ROUND('Смета ЕР (общ) '!$I1402*'Смета ЕР (общ) '!$L1402,2)</f>
        <v>0</v>
      </c>
      <c r="O1402" s="30">
        <f>ROUND('Смета ЕР (общ) '!$I1402*'Смета ЕР (общ) '!$M1402,2)</f>
        <v>0</v>
      </c>
      <c r="P1402" s="45"/>
      <c r="T1402">
        <v>5</v>
      </c>
    </row>
    <row r="1403" spans="1:20" ht="24" hidden="1" x14ac:dyDescent="0.3">
      <c r="A1403" s="26" t="s">
        <v>1170</v>
      </c>
      <c r="B1403" s="26">
        <v>2</v>
      </c>
      <c r="C1403" s="26"/>
      <c r="D1403" s="26">
        <v>384</v>
      </c>
      <c r="E1403" s="26" t="str">
        <f>CONCATENATE('Смета ЕР (общ) '!$A1403,".",'Смета ЕР (общ) '!$B1403,".",'Смета ЕР (общ) '!$D1403)</f>
        <v>Р9.2.384</v>
      </c>
      <c r="F1403" s="26">
        <f t="shared" si="108"/>
        <v>1</v>
      </c>
      <c r="G1403" s="27" t="s">
        <v>1485</v>
      </c>
      <c r="H1403" s="28" t="s">
        <v>118</v>
      </c>
      <c r="I1403" s="158"/>
      <c r="J1403" s="30">
        <v>683.82</v>
      </c>
      <c r="K1403" s="30">
        <v>324.95999999999998</v>
      </c>
      <c r="L1403" s="30">
        <f t="shared" si="109"/>
        <v>683.82</v>
      </c>
      <c r="M1403" s="30">
        <f t="shared" si="109"/>
        <v>324.95999999999998</v>
      </c>
      <c r="N1403" s="30">
        <f>ROUND('Смета ЕР (общ) '!$I1403*'Смета ЕР (общ) '!$L1403,2)</f>
        <v>0</v>
      </c>
      <c r="O1403" s="30">
        <f>ROUND('Смета ЕР (общ) '!$I1403*'Смета ЕР (общ) '!$M1403,2)</f>
        <v>0</v>
      </c>
      <c r="P1403" s="167" t="s">
        <v>1478</v>
      </c>
    </row>
    <row r="1404" spans="1:20" ht="24" hidden="1" x14ac:dyDescent="0.3">
      <c r="A1404" s="26" t="s">
        <v>1170</v>
      </c>
      <c r="B1404" s="26">
        <v>2</v>
      </c>
      <c r="C1404" s="26"/>
      <c r="D1404" s="26">
        <v>200</v>
      </c>
      <c r="E1404" s="26" t="str">
        <f>CONCATENATE('Смета ЕР (общ) '!$A1404,".",'Смета ЕР (общ) '!$B1404,".",'Смета ЕР (общ) '!$D1404)</f>
        <v>Р9.2.200</v>
      </c>
      <c r="F1404" s="26">
        <f t="shared" si="108"/>
        <v>1</v>
      </c>
      <c r="G1404" s="27" t="s">
        <v>1486</v>
      </c>
      <c r="H1404" s="28" t="s">
        <v>118</v>
      </c>
      <c r="I1404" s="158"/>
      <c r="J1404" s="30">
        <v>706.44</v>
      </c>
      <c r="K1404" s="30">
        <v>972.84</v>
      </c>
      <c r="L1404" s="30">
        <f t="shared" si="109"/>
        <v>706.44</v>
      </c>
      <c r="M1404" s="30">
        <f t="shared" si="109"/>
        <v>972.84</v>
      </c>
      <c r="N1404" s="30">
        <f>ROUND('Смета ЕР (общ) '!$I1404*'Смета ЕР (общ) '!$L1404,2)</f>
        <v>0</v>
      </c>
      <c r="O1404" s="30">
        <f>ROUND('Смета ЕР (общ) '!$I1404*'Смета ЕР (общ) '!$M1404,2)</f>
        <v>0</v>
      </c>
      <c r="P1404" s="167"/>
      <c r="T1404">
        <v>5</v>
      </c>
    </row>
    <row r="1405" spans="1:20" ht="36" hidden="1" x14ac:dyDescent="0.3">
      <c r="A1405" s="26" t="s">
        <v>1170</v>
      </c>
      <c r="B1405" s="26">
        <v>2</v>
      </c>
      <c r="C1405" s="26"/>
      <c r="D1405" s="26">
        <v>290</v>
      </c>
      <c r="E1405" s="26" t="str">
        <f>CONCATENATE('Смета ЕР (общ) '!$A1405,".",'Смета ЕР (общ) '!$B1405,".",'Смета ЕР (общ) '!$D1405)</f>
        <v>Р9.2.290</v>
      </c>
      <c r="F1405" s="26">
        <f t="shared" si="108"/>
        <v>1</v>
      </c>
      <c r="G1405" s="27" t="s">
        <v>1487</v>
      </c>
      <c r="H1405" s="28" t="s">
        <v>118</v>
      </c>
      <c r="I1405" s="158"/>
      <c r="J1405" s="30">
        <v>683.82</v>
      </c>
      <c r="K1405" s="30">
        <v>1751.86</v>
      </c>
      <c r="L1405" s="30">
        <f t="shared" si="109"/>
        <v>683.82</v>
      </c>
      <c r="M1405" s="30">
        <f t="shared" si="109"/>
        <v>1751.86</v>
      </c>
      <c r="N1405" s="30">
        <f>ROUND('Смета ЕР (общ) '!$I1405*'Смета ЕР (общ) '!$L1405,2)</f>
        <v>0</v>
      </c>
      <c r="O1405" s="30">
        <f>ROUND('Смета ЕР (общ) '!$I1405*'Смета ЕР (общ) '!$M1405,2)</f>
        <v>0</v>
      </c>
      <c r="P1405" s="167"/>
    </row>
    <row r="1406" spans="1:20" ht="36" hidden="1" x14ac:dyDescent="0.3">
      <c r="A1406" s="26" t="s">
        <v>1170</v>
      </c>
      <c r="B1406" s="26">
        <v>2</v>
      </c>
      <c r="C1406" s="26"/>
      <c r="D1406" s="26">
        <v>291</v>
      </c>
      <c r="E1406" s="26" t="str">
        <f>CONCATENATE('Смета ЕР (общ) '!$A1406,".",'Смета ЕР (общ) '!$B1406,".",'Смета ЕР (общ) '!$D1406)</f>
        <v>Р9.2.291</v>
      </c>
      <c r="F1406" s="26">
        <f t="shared" si="108"/>
        <v>1</v>
      </c>
      <c r="G1406" s="27" t="s">
        <v>1488</v>
      </c>
      <c r="H1406" s="28" t="s">
        <v>118</v>
      </c>
      <c r="I1406" s="158"/>
      <c r="J1406" s="30">
        <v>683.82</v>
      </c>
      <c r="K1406" s="30">
        <v>2044.95</v>
      </c>
      <c r="L1406" s="30">
        <f t="shared" si="109"/>
        <v>683.82</v>
      </c>
      <c r="M1406" s="30">
        <f t="shared" si="109"/>
        <v>2044.95</v>
      </c>
      <c r="N1406" s="30">
        <f>ROUND('Смета ЕР (общ) '!$I1406*'Смета ЕР (общ) '!$L1406,2)</f>
        <v>0</v>
      </c>
      <c r="O1406" s="30">
        <f>ROUND('Смета ЕР (общ) '!$I1406*'Смета ЕР (общ) '!$M1406,2)</f>
        <v>0</v>
      </c>
      <c r="P1406" s="167"/>
    </row>
    <row r="1407" spans="1:20" ht="36" hidden="1" x14ac:dyDescent="0.3">
      <c r="A1407" s="26" t="s">
        <v>1170</v>
      </c>
      <c r="B1407" s="26">
        <v>2</v>
      </c>
      <c r="C1407" s="26"/>
      <c r="D1407" s="26">
        <v>292</v>
      </c>
      <c r="E1407" s="26" t="str">
        <f>CONCATENATE('Смета ЕР (общ) '!$A1407,".",'Смета ЕР (общ) '!$B1407,".",'Смета ЕР (общ) '!$D1407)</f>
        <v>Р9.2.292</v>
      </c>
      <c r="F1407" s="26">
        <f t="shared" si="108"/>
        <v>1</v>
      </c>
      <c r="G1407" s="27" t="s">
        <v>1489</v>
      </c>
      <c r="H1407" s="28" t="s">
        <v>118</v>
      </c>
      <c r="I1407" s="158"/>
      <c r="J1407" s="30">
        <v>706.44</v>
      </c>
      <c r="K1407" s="30">
        <v>2646.63</v>
      </c>
      <c r="L1407" s="30">
        <f t="shared" si="109"/>
        <v>706.44</v>
      </c>
      <c r="M1407" s="30">
        <f t="shared" si="109"/>
        <v>2646.63</v>
      </c>
      <c r="N1407" s="30">
        <f>ROUND('Смета ЕР (общ) '!$I1407*'Смета ЕР (общ) '!$L1407,2)</f>
        <v>0</v>
      </c>
      <c r="O1407" s="30">
        <f>ROUND('Смета ЕР (общ) '!$I1407*'Смета ЕР (общ) '!$M1407,2)</f>
        <v>0</v>
      </c>
      <c r="P1407" s="167"/>
    </row>
    <row r="1408" spans="1:20" ht="24" hidden="1" x14ac:dyDescent="0.3">
      <c r="A1408" s="26" t="s">
        <v>1170</v>
      </c>
      <c r="B1408" s="26">
        <v>2</v>
      </c>
      <c r="C1408" s="26"/>
      <c r="D1408" s="26">
        <v>385</v>
      </c>
      <c r="E1408" s="26" t="str">
        <f>CONCATENATE('Смета ЕР (общ) '!$A1408,".",'Смета ЕР (общ) '!$B1408,".",'Смета ЕР (общ) '!$D1408)</f>
        <v>Р9.2.385</v>
      </c>
      <c r="F1408" s="26">
        <f t="shared" si="108"/>
        <v>1</v>
      </c>
      <c r="G1408" s="27" t="s">
        <v>1490</v>
      </c>
      <c r="H1408" s="28" t="s">
        <v>118</v>
      </c>
      <c r="I1408" s="158"/>
      <c r="J1408" s="30">
        <v>683.82</v>
      </c>
      <c r="K1408" s="30">
        <f>'[14]Розетки ДКС'!D11</f>
        <v>385.51</v>
      </c>
      <c r="L1408" s="30">
        <f t="shared" ref="L1408:M1439" si="110">ROUND(J1408-J1408*$Q$3,2)</f>
        <v>683.82</v>
      </c>
      <c r="M1408" s="54">
        <f t="shared" si="110"/>
        <v>385.51</v>
      </c>
      <c r="N1408" s="30">
        <f>ROUND('Смета ЕР (общ) '!$I1408*'Смета ЕР (общ) '!$L1408,2)</f>
        <v>0</v>
      </c>
      <c r="O1408" s="30">
        <f>ROUND('Смета ЕР (общ) '!$I1408*'Смета ЕР (общ) '!$M1408,2)</f>
        <v>0</v>
      </c>
      <c r="P1408" s="55" t="s">
        <v>1480</v>
      </c>
      <c r="Q1408" s="56"/>
    </row>
    <row r="1409" spans="1:20" ht="24" hidden="1" x14ac:dyDescent="0.3">
      <c r="A1409" s="26" t="s">
        <v>1170</v>
      </c>
      <c r="B1409" s="26">
        <v>2</v>
      </c>
      <c r="C1409" s="26"/>
      <c r="D1409" s="26">
        <v>386</v>
      </c>
      <c r="E1409" s="26" t="str">
        <f>CONCATENATE('Смета ЕР (общ) '!$A1409,".",'Смета ЕР (общ) '!$B1409,".",'Смета ЕР (общ) '!$D1409)</f>
        <v>Р9.2.386</v>
      </c>
      <c r="F1409" s="26">
        <f t="shared" si="108"/>
        <v>1</v>
      </c>
      <c r="G1409" s="27" t="s">
        <v>1491</v>
      </c>
      <c r="H1409" s="28" t="s">
        <v>118</v>
      </c>
      <c r="I1409" s="158"/>
      <c r="J1409" s="30">
        <v>706.44</v>
      </c>
      <c r="K1409" s="30">
        <f>'[14]Розетки ДКС'!D12</f>
        <v>532.30999999999995</v>
      </c>
      <c r="L1409" s="30">
        <f t="shared" si="110"/>
        <v>706.44</v>
      </c>
      <c r="M1409" s="54">
        <f t="shared" si="110"/>
        <v>532.30999999999995</v>
      </c>
      <c r="N1409" s="30">
        <f>ROUND('Смета ЕР (общ) '!$I1409*'Смета ЕР (общ) '!$L1409,2)</f>
        <v>0</v>
      </c>
      <c r="O1409" s="30">
        <f>ROUND('Смета ЕР (общ) '!$I1409*'Смета ЕР (общ) '!$M1409,2)</f>
        <v>0</v>
      </c>
      <c r="P1409" s="55" t="s">
        <v>1480</v>
      </c>
      <c r="Q1409" s="56"/>
    </row>
    <row r="1410" spans="1:20" ht="24" hidden="1" x14ac:dyDescent="0.3">
      <c r="A1410" s="26" t="s">
        <v>1170</v>
      </c>
      <c r="B1410" s="26">
        <v>2</v>
      </c>
      <c r="C1410" s="26"/>
      <c r="D1410" s="26">
        <v>387</v>
      </c>
      <c r="E1410" s="26" t="str">
        <f>CONCATENATE('Смета ЕР (общ) '!$A1410,".",'Смета ЕР (общ) '!$B1410,".",'Смета ЕР (общ) '!$D1410)</f>
        <v>Р9.2.387</v>
      </c>
      <c r="F1410" s="26">
        <f t="shared" si="108"/>
        <v>1</v>
      </c>
      <c r="G1410" s="27" t="s">
        <v>1492</v>
      </c>
      <c r="H1410" s="28" t="s">
        <v>118</v>
      </c>
      <c r="I1410" s="158"/>
      <c r="J1410" s="30">
        <v>679.25</v>
      </c>
      <c r="K1410" s="30">
        <v>727.68</v>
      </c>
      <c r="L1410" s="30">
        <f t="shared" si="110"/>
        <v>679.25</v>
      </c>
      <c r="M1410" s="30">
        <f t="shared" si="110"/>
        <v>727.68</v>
      </c>
      <c r="N1410" s="30">
        <f>ROUND('Смета ЕР (общ) '!$I1410*'Смета ЕР (общ) '!$L1410,2)</f>
        <v>0</v>
      </c>
      <c r="O1410" s="30">
        <f>ROUND('Смета ЕР (общ) '!$I1410*'Смета ЕР (общ) '!$M1410,2)</f>
        <v>0</v>
      </c>
      <c r="P1410" s="45"/>
    </row>
    <row r="1411" spans="1:20" ht="24" hidden="1" x14ac:dyDescent="0.3">
      <c r="A1411" s="26" t="s">
        <v>1170</v>
      </c>
      <c r="B1411" s="26">
        <v>2</v>
      </c>
      <c r="C1411" s="26"/>
      <c r="D1411" s="26">
        <v>388</v>
      </c>
      <c r="E1411" s="26" t="str">
        <f>CONCATENATE('Смета ЕР (общ) '!$A1411,".",'Смета ЕР (общ) '!$B1411,".",'Смета ЕР (общ) '!$D1411)</f>
        <v>Р9.2.388</v>
      </c>
      <c r="F1411" s="26">
        <f t="shared" si="108"/>
        <v>1</v>
      </c>
      <c r="G1411" s="27" t="s">
        <v>1493</v>
      </c>
      <c r="H1411" s="28" t="s">
        <v>118</v>
      </c>
      <c r="I1411" s="158"/>
      <c r="J1411" s="30">
        <v>679.25</v>
      </c>
      <c r="K1411" s="30">
        <v>632.77</v>
      </c>
      <c r="L1411" s="30">
        <f t="shared" si="110"/>
        <v>679.25</v>
      </c>
      <c r="M1411" s="30">
        <f t="shared" si="110"/>
        <v>632.77</v>
      </c>
      <c r="N1411" s="30">
        <f>ROUND('Смета ЕР (общ) '!$I1411*'Смета ЕР (общ) '!$L1411,2)</f>
        <v>0</v>
      </c>
      <c r="O1411" s="30">
        <f>ROUND('Смета ЕР (общ) '!$I1411*'Смета ЕР (общ) '!$M1411,2)</f>
        <v>0</v>
      </c>
      <c r="P1411" s="45"/>
    </row>
    <row r="1412" spans="1:20" ht="36" hidden="1" x14ac:dyDescent="0.3">
      <c r="A1412" s="26" t="s">
        <v>1170</v>
      </c>
      <c r="B1412" s="26">
        <v>2</v>
      </c>
      <c r="C1412" s="26"/>
      <c r="D1412" s="26">
        <v>389</v>
      </c>
      <c r="E1412" s="26" t="str">
        <f>CONCATENATE('Смета ЕР (общ) '!$A1412,".",'Смета ЕР (общ) '!$B1412,".",'Смета ЕР (общ) '!$D1412)</f>
        <v>Р9.2.389</v>
      </c>
      <c r="F1412" s="26">
        <f t="shared" si="108"/>
        <v>1</v>
      </c>
      <c r="G1412" s="27" t="s">
        <v>1494</v>
      </c>
      <c r="H1412" s="28" t="s">
        <v>118</v>
      </c>
      <c r="I1412" s="158"/>
      <c r="J1412" s="30">
        <v>679.25</v>
      </c>
      <c r="K1412" s="30">
        <v>691.45</v>
      </c>
      <c r="L1412" s="30">
        <f t="shared" si="110"/>
        <v>679.25</v>
      </c>
      <c r="M1412" s="30">
        <f t="shared" si="110"/>
        <v>691.45</v>
      </c>
      <c r="N1412" s="30">
        <f>ROUND('Смета ЕР (общ) '!$I1412*'Смета ЕР (общ) '!$L1412,2)</f>
        <v>0</v>
      </c>
      <c r="O1412" s="30">
        <f>ROUND('Смета ЕР (общ) '!$I1412*'Смета ЕР (общ) '!$M1412,2)</f>
        <v>0</v>
      </c>
      <c r="P1412" s="45"/>
    </row>
    <row r="1413" spans="1:20" ht="24" hidden="1" x14ac:dyDescent="0.3">
      <c r="A1413" s="26" t="s">
        <v>1170</v>
      </c>
      <c r="B1413" s="26">
        <v>2</v>
      </c>
      <c r="C1413" s="26"/>
      <c r="D1413" s="26">
        <v>390</v>
      </c>
      <c r="E1413" s="26" t="str">
        <f>CONCATENATE('Смета ЕР (общ) '!$A1413,".",'Смета ЕР (общ) '!$B1413,".",'Смета ЕР (общ) '!$D1413)</f>
        <v>Р9.2.390</v>
      </c>
      <c r="F1413" s="26">
        <f t="shared" si="108"/>
        <v>1</v>
      </c>
      <c r="G1413" s="27" t="s">
        <v>1495</v>
      </c>
      <c r="H1413" s="28" t="s">
        <v>118</v>
      </c>
      <c r="I1413" s="158"/>
      <c r="J1413" s="30">
        <v>679.25</v>
      </c>
      <c r="K1413" s="30">
        <v>569.21</v>
      </c>
      <c r="L1413" s="30">
        <f t="shared" si="110"/>
        <v>679.25</v>
      </c>
      <c r="M1413" s="30">
        <f t="shared" si="110"/>
        <v>569.21</v>
      </c>
      <c r="N1413" s="30">
        <f>ROUND('Смета ЕР (общ) '!$I1413*'Смета ЕР (общ) '!$L1413,2)</f>
        <v>0</v>
      </c>
      <c r="O1413" s="30">
        <f>ROUND('Смета ЕР (общ) '!$I1413*'Смета ЕР (общ) '!$M1413,2)</f>
        <v>0</v>
      </c>
      <c r="P1413" s="45"/>
    </row>
    <row r="1414" spans="1:20" ht="14.4" hidden="1" x14ac:dyDescent="0.3">
      <c r="A1414" s="26" t="s">
        <v>1170</v>
      </c>
      <c r="B1414" s="26">
        <v>2</v>
      </c>
      <c r="C1414" s="26"/>
      <c r="D1414" s="26">
        <v>201</v>
      </c>
      <c r="E1414" s="26" t="str">
        <f>CONCATENATE('Смета ЕР (общ) '!$A1414,".",'Смета ЕР (общ) '!$B1414,".",'Смета ЕР (общ) '!$D1414)</f>
        <v>Р9.2.201</v>
      </c>
      <c r="F1414" s="26">
        <f t="shared" si="108"/>
        <v>1</v>
      </c>
      <c r="G1414" s="27" t="s">
        <v>1496</v>
      </c>
      <c r="H1414" s="28" t="s">
        <v>118</v>
      </c>
      <c r="I1414" s="158"/>
      <c r="J1414" s="30">
        <v>706.44</v>
      </c>
      <c r="K1414" s="30">
        <v>2660.73</v>
      </c>
      <c r="L1414" s="30">
        <f t="shared" si="110"/>
        <v>706.44</v>
      </c>
      <c r="M1414" s="30">
        <f t="shared" si="110"/>
        <v>2660.73</v>
      </c>
      <c r="N1414" s="30">
        <f>ROUND('Смета ЕР (общ) '!$I1414*'Смета ЕР (общ) '!$L1414,2)</f>
        <v>0</v>
      </c>
      <c r="O1414" s="30">
        <f>ROUND('Смета ЕР (общ) '!$I1414*'Смета ЕР (общ) '!$M1414,2)</f>
        <v>0</v>
      </c>
      <c r="P1414" s="45"/>
    </row>
    <row r="1415" spans="1:20" ht="24" hidden="1" x14ac:dyDescent="0.3">
      <c r="A1415" s="26" t="s">
        <v>1170</v>
      </c>
      <c r="B1415" s="26">
        <v>2</v>
      </c>
      <c r="C1415" s="26"/>
      <c r="D1415" s="26">
        <v>202</v>
      </c>
      <c r="E1415" s="26" t="str">
        <f>CONCATENATE('Смета ЕР (общ) '!$A1415,".",'Смета ЕР (общ) '!$B1415,".",'Смета ЕР (общ) '!$D1415)</f>
        <v>Р9.2.202</v>
      </c>
      <c r="F1415" s="26">
        <f t="shared" si="108"/>
        <v>1</v>
      </c>
      <c r="G1415" s="27" t="s">
        <v>1497</v>
      </c>
      <c r="H1415" s="28" t="s">
        <v>118</v>
      </c>
      <c r="I1415" s="158"/>
      <c r="J1415" s="30">
        <v>847.38</v>
      </c>
      <c r="K1415" s="30">
        <v>722.65</v>
      </c>
      <c r="L1415" s="30">
        <f t="shared" si="110"/>
        <v>847.38</v>
      </c>
      <c r="M1415" s="30">
        <f t="shared" si="110"/>
        <v>722.65</v>
      </c>
      <c r="N1415" s="30">
        <f>ROUND('Смета ЕР (общ) '!$I1415*'Смета ЕР (общ) '!$L1415,2)</f>
        <v>0</v>
      </c>
      <c r="O1415" s="30">
        <f>ROUND('Смета ЕР (общ) '!$I1415*'Смета ЕР (общ) '!$M1415,2)</f>
        <v>0</v>
      </c>
      <c r="P1415" s="45"/>
    </row>
    <row r="1416" spans="1:20" ht="14.4" hidden="1" x14ac:dyDescent="0.3">
      <c r="A1416" s="26" t="s">
        <v>1170</v>
      </c>
      <c r="B1416" s="26">
        <v>2</v>
      </c>
      <c r="C1416" s="26"/>
      <c r="D1416" s="26">
        <v>203</v>
      </c>
      <c r="E1416" s="26" t="str">
        <f>CONCATENATE('Смета ЕР (общ) '!$A1416,".",'Смета ЕР (общ) '!$B1416,".",'Смета ЕР (общ) '!$D1416)</f>
        <v>Р9.2.203</v>
      </c>
      <c r="F1416" s="26">
        <f t="shared" si="108"/>
        <v>1</v>
      </c>
      <c r="G1416" s="27" t="s">
        <v>1498</v>
      </c>
      <c r="H1416" s="28" t="s">
        <v>118</v>
      </c>
      <c r="I1416" s="158"/>
      <c r="J1416" s="30">
        <v>1591.19</v>
      </c>
      <c r="K1416" s="30">
        <v>8389.7999999999993</v>
      </c>
      <c r="L1416" s="30">
        <f t="shared" si="110"/>
        <v>1591.19</v>
      </c>
      <c r="M1416" s="30">
        <f t="shared" si="110"/>
        <v>8389.7999999999993</v>
      </c>
      <c r="N1416" s="30">
        <f>ROUND('Смета ЕР (общ) '!$I1416*'Смета ЕР (общ) '!$L1416,2)</f>
        <v>0</v>
      </c>
      <c r="O1416" s="30">
        <f>ROUND('Смета ЕР (общ) '!$I1416*'Смета ЕР (общ) '!$M1416,2)</f>
        <v>0</v>
      </c>
      <c r="P1416" s="45"/>
    </row>
    <row r="1417" spans="1:20" ht="14.4" hidden="1" x14ac:dyDescent="0.3">
      <c r="A1417" s="26" t="s">
        <v>1170</v>
      </c>
      <c r="B1417" s="26">
        <v>2</v>
      </c>
      <c r="C1417" s="26"/>
      <c r="D1417" s="26">
        <v>204</v>
      </c>
      <c r="E1417" s="26" t="str">
        <f>CONCATENATE('Смета ЕР (общ) '!$A1417,".",'Смета ЕР (общ) '!$B1417,".",'Смета ЕР (общ) '!$D1417)</f>
        <v>Р9.2.204</v>
      </c>
      <c r="F1417" s="26">
        <f t="shared" si="108"/>
        <v>1</v>
      </c>
      <c r="G1417" s="27" t="s">
        <v>1499</v>
      </c>
      <c r="H1417" s="28" t="s">
        <v>118</v>
      </c>
      <c r="I1417" s="158"/>
      <c r="J1417" s="30">
        <v>1591.19</v>
      </c>
      <c r="K1417" s="30">
        <v>121.85</v>
      </c>
      <c r="L1417" s="30">
        <f t="shared" si="110"/>
        <v>1591.19</v>
      </c>
      <c r="M1417" s="30">
        <f t="shared" si="110"/>
        <v>121.85</v>
      </c>
      <c r="N1417" s="30">
        <f>ROUND('Смета ЕР (общ) '!$I1417*'Смета ЕР (общ) '!$L1417,2)</f>
        <v>0</v>
      </c>
      <c r="O1417" s="30">
        <f>ROUND('Смета ЕР (общ) '!$I1417*'Смета ЕР (общ) '!$M1417,2)</f>
        <v>0</v>
      </c>
      <c r="P1417" s="45"/>
    </row>
    <row r="1418" spans="1:20" ht="14.4" hidden="1" x14ac:dyDescent="0.3">
      <c r="A1418" s="26" t="s">
        <v>1170</v>
      </c>
      <c r="B1418" s="26">
        <v>2</v>
      </c>
      <c r="C1418" s="26"/>
      <c r="D1418" s="26">
        <v>205</v>
      </c>
      <c r="E1418" s="26" t="str">
        <f>CONCATENATE('Смета ЕР (общ) '!$A1418,".",'Смета ЕР (общ) '!$B1418,".",'Смета ЕР (общ) '!$D1418)</f>
        <v>Р9.2.205</v>
      </c>
      <c r="F1418" s="26">
        <f t="shared" si="108"/>
        <v>1</v>
      </c>
      <c r="G1418" s="27" t="s">
        <v>1500</v>
      </c>
      <c r="H1418" s="28" t="s">
        <v>118</v>
      </c>
      <c r="I1418" s="158"/>
      <c r="J1418" s="30">
        <v>1591.19</v>
      </c>
      <c r="K1418" s="30">
        <v>3362.08</v>
      </c>
      <c r="L1418" s="30">
        <f t="shared" si="110"/>
        <v>1591.19</v>
      </c>
      <c r="M1418" s="30">
        <f t="shared" si="110"/>
        <v>3362.08</v>
      </c>
      <c r="N1418" s="30">
        <f>ROUND('Смета ЕР (общ) '!$I1418*'Смета ЕР (общ) '!$L1418,2)</f>
        <v>0</v>
      </c>
      <c r="O1418" s="30">
        <f>ROUND('Смета ЕР (общ) '!$I1418*'Смета ЕР (общ) '!$M1418,2)</f>
        <v>0</v>
      </c>
      <c r="P1418" s="45"/>
    </row>
    <row r="1419" spans="1:20" ht="24" hidden="1" x14ac:dyDescent="0.3">
      <c r="A1419" s="26" t="s">
        <v>1170</v>
      </c>
      <c r="B1419" s="26">
        <v>2</v>
      </c>
      <c r="C1419" s="26"/>
      <c r="D1419" s="26">
        <v>206</v>
      </c>
      <c r="E1419" s="26" t="str">
        <f>CONCATENATE('Смета ЕР (общ) '!$A1419,".",'Смета ЕР (общ) '!$B1419,".",'Смета ЕР (общ) '!$D1419)</f>
        <v>Р9.2.206</v>
      </c>
      <c r="F1419" s="26">
        <f t="shared" si="108"/>
        <v>1</v>
      </c>
      <c r="G1419" s="27" t="s">
        <v>1501</v>
      </c>
      <c r="H1419" s="28" t="s">
        <v>118</v>
      </c>
      <c r="I1419" s="158"/>
      <c r="J1419" s="30">
        <v>1591.19</v>
      </c>
      <c r="K1419" s="30">
        <v>15548.66</v>
      </c>
      <c r="L1419" s="30">
        <f t="shared" si="110"/>
        <v>1591.19</v>
      </c>
      <c r="M1419" s="30">
        <f t="shared" si="110"/>
        <v>15548.66</v>
      </c>
      <c r="N1419" s="30">
        <f>ROUND('Смета ЕР (общ) '!$I1419*'Смета ЕР (общ) '!$L1419,2)</f>
        <v>0</v>
      </c>
      <c r="O1419" s="30">
        <f>ROUND('Смета ЕР (общ) '!$I1419*'Смета ЕР (общ) '!$M1419,2)</f>
        <v>0</v>
      </c>
      <c r="P1419" s="45"/>
    </row>
    <row r="1420" spans="1:20" ht="24" hidden="1" x14ac:dyDescent="0.3">
      <c r="A1420" s="26" t="s">
        <v>1170</v>
      </c>
      <c r="B1420" s="26">
        <v>2</v>
      </c>
      <c r="C1420" s="26"/>
      <c r="D1420" s="26">
        <v>207</v>
      </c>
      <c r="E1420" s="26" t="str">
        <f>CONCATENATE('Смета ЕР (общ) '!$A1420,".",'Смета ЕР (общ) '!$B1420,".",'Смета ЕР (общ) '!$D1420)</f>
        <v>Р9.2.207</v>
      </c>
      <c r="F1420" s="26">
        <f t="shared" si="108"/>
        <v>1</v>
      </c>
      <c r="G1420" s="27" t="s">
        <v>1502</v>
      </c>
      <c r="H1420" s="28" t="s">
        <v>118</v>
      </c>
      <c r="I1420" s="158"/>
      <c r="J1420" s="30">
        <v>1591.19</v>
      </c>
      <c r="K1420" s="30">
        <v>6246.58</v>
      </c>
      <c r="L1420" s="30">
        <f t="shared" si="110"/>
        <v>1591.19</v>
      </c>
      <c r="M1420" s="30">
        <f t="shared" si="110"/>
        <v>6246.58</v>
      </c>
      <c r="N1420" s="30">
        <f>ROUND('Смета ЕР (общ) '!$I1420*'Смета ЕР (общ) '!$L1420,2)</f>
        <v>0</v>
      </c>
      <c r="O1420" s="30">
        <f>ROUND('Смета ЕР (общ) '!$I1420*'Смета ЕР (общ) '!$M1420,2)</f>
        <v>0</v>
      </c>
      <c r="P1420" s="45"/>
    </row>
    <row r="1421" spans="1:20" ht="24" hidden="1" x14ac:dyDescent="0.3">
      <c r="A1421" s="26" t="s">
        <v>1170</v>
      </c>
      <c r="B1421" s="26">
        <v>2</v>
      </c>
      <c r="C1421" s="26"/>
      <c r="D1421" s="26">
        <v>208</v>
      </c>
      <c r="E1421" s="26" t="str">
        <f>CONCATENATE('Смета ЕР (общ) '!$A1421,".",'Смета ЕР (общ) '!$B1421,".",'Смета ЕР (общ) '!$D1421)</f>
        <v>Р9.2.208</v>
      </c>
      <c r="F1421" s="26">
        <f t="shared" si="108"/>
        <v>1</v>
      </c>
      <c r="G1421" s="27" t="s">
        <v>1503</v>
      </c>
      <c r="H1421" s="28" t="s">
        <v>118</v>
      </c>
      <c r="I1421" s="158"/>
      <c r="J1421" s="30">
        <v>1591.19</v>
      </c>
      <c r="K1421" s="30">
        <v>4610.59</v>
      </c>
      <c r="L1421" s="30">
        <f t="shared" si="110"/>
        <v>1591.19</v>
      </c>
      <c r="M1421" s="30">
        <f t="shared" si="110"/>
        <v>4610.59</v>
      </c>
      <c r="N1421" s="30">
        <f>ROUND('Смета ЕР (общ) '!$I1421*'Смета ЕР (общ) '!$L1421,2)</f>
        <v>0</v>
      </c>
      <c r="O1421" s="30">
        <f>ROUND('Смета ЕР (общ) '!$I1421*'Смета ЕР (общ) '!$M1421,2)</f>
        <v>0</v>
      </c>
      <c r="P1421" s="45"/>
    </row>
    <row r="1422" spans="1:20" ht="14.4" hidden="1" x14ac:dyDescent="0.3">
      <c r="A1422" s="26" t="s">
        <v>1170</v>
      </c>
      <c r="B1422" s="26">
        <v>2</v>
      </c>
      <c r="C1422" s="26"/>
      <c r="D1422" s="26">
        <v>209</v>
      </c>
      <c r="E1422" s="26" t="str">
        <f>CONCATENATE('Смета ЕР (общ) '!$A1422,".",'Смета ЕР (общ) '!$B1422,".",'Смета ЕР (общ) '!$D1422)</f>
        <v>Р9.2.209</v>
      </c>
      <c r="F1422" s="26">
        <f t="shared" si="108"/>
        <v>1</v>
      </c>
      <c r="G1422" s="27" t="s">
        <v>1504</v>
      </c>
      <c r="H1422" s="28" t="s">
        <v>118</v>
      </c>
      <c r="I1422" s="158"/>
      <c r="J1422" s="30">
        <v>140.59</v>
      </c>
      <c r="K1422" s="30">
        <v>202.84</v>
      </c>
      <c r="L1422" s="30">
        <f t="shared" si="110"/>
        <v>140.59</v>
      </c>
      <c r="M1422" s="30">
        <f t="shared" si="110"/>
        <v>202.84</v>
      </c>
      <c r="N1422" s="30">
        <f>ROUND('Смета ЕР (общ) '!$I1422*'Смета ЕР (общ) '!$L1422,2)</f>
        <v>0</v>
      </c>
      <c r="O1422" s="30">
        <f>ROUND('Смета ЕР (общ) '!$I1422*'Смета ЕР (общ) '!$M1422,2)</f>
        <v>0</v>
      </c>
      <c r="P1422" s="45"/>
    </row>
    <row r="1423" spans="1:20" ht="14.4" hidden="1" x14ac:dyDescent="0.3">
      <c r="A1423" s="26" t="s">
        <v>1170</v>
      </c>
      <c r="B1423" s="26">
        <v>2</v>
      </c>
      <c r="C1423" s="26"/>
      <c r="D1423" s="26">
        <v>210</v>
      </c>
      <c r="E1423" s="26" t="str">
        <f>CONCATENATE('Смета ЕР (общ) '!$A1423,".",'Смета ЕР (общ) '!$B1423,".",'Смета ЕР (общ) '!$D1423)</f>
        <v>Р9.2.210</v>
      </c>
      <c r="F1423" s="26">
        <f t="shared" si="108"/>
        <v>1</v>
      </c>
      <c r="G1423" s="27" t="s">
        <v>1505</v>
      </c>
      <c r="H1423" s="28" t="s">
        <v>64</v>
      </c>
      <c r="I1423" s="158"/>
      <c r="J1423" s="30">
        <v>22550.400000000001</v>
      </c>
      <c r="K1423" s="30">
        <v>2638.65</v>
      </c>
      <c r="L1423" s="30">
        <f t="shared" si="110"/>
        <v>22550.400000000001</v>
      </c>
      <c r="M1423" s="30">
        <f t="shared" si="110"/>
        <v>2638.65</v>
      </c>
      <c r="N1423" s="30">
        <f>ROUND('Смета ЕР (общ) '!$I1423*'Смета ЕР (общ) '!$L1423,2)</f>
        <v>0</v>
      </c>
      <c r="O1423" s="30">
        <f>ROUND('Смета ЕР (общ) '!$I1423*'Смета ЕР (общ) '!$M1423,2)</f>
        <v>0</v>
      </c>
      <c r="P1423" s="45"/>
      <c r="T1423">
        <v>1</v>
      </c>
    </row>
    <row r="1424" spans="1:20" ht="34.5" hidden="1" customHeight="1" x14ac:dyDescent="0.3">
      <c r="A1424" s="26" t="s">
        <v>1170</v>
      </c>
      <c r="B1424" s="26">
        <v>2</v>
      </c>
      <c r="C1424" s="26"/>
      <c r="D1424" s="26">
        <v>211</v>
      </c>
      <c r="E1424" s="26" t="str">
        <f>CONCATENATE('Смета ЕР (общ) '!$A1424,".",'Смета ЕР (общ) '!$B1424,".",'Смета ЕР (общ) '!$D1424)</f>
        <v>Р9.2.211</v>
      </c>
      <c r="F1424" s="26">
        <f t="shared" si="108"/>
        <v>1</v>
      </c>
      <c r="G1424" s="27" t="s">
        <v>1506</v>
      </c>
      <c r="H1424" s="48" t="s">
        <v>40</v>
      </c>
      <c r="I1424" s="158"/>
      <c r="J1424" s="50">
        <v>0</v>
      </c>
      <c r="K1424" s="34">
        <v>155</v>
      </c>
      <c r="L1424" s="50">
        <f t="shared" si="110"/>
        <v>0</v>
      </c>
      <c r="M1424" s="50">
        <f t="shared" si="110"/>
        <v>155</v>
      </c>
      <c r="N1424" s="50">
        <f>ROUND('Смета ЕР (общ) '!$I1424*'Смета ЕР (общ) '!$L1424,2)</f>
        <v>0</v>
      </c>
      <c r="O1424" s="50">
        <f>ROUND('Смета ЕР (общ) '!$I1424*'Смета ЕР (общ) '!$M1424,2)</f>
        <v>0</v>
      </c>
      <c r="P1424" s="169" t="s">
        <v>1507</v>
      </c>
      <c r="T1424">
        <v>1</v>
      </c>
    </row>
    <row r="1425" spans="1:20" ht="24" hidden="1" x14ac:dyDescent="0.3">
      <c r="A1425" s="26" t="s">
        <v>1170</v>
      </c>
      <c r="B1425" s="26">
        <v>2</v>
      </c>
      <c r="C1425" s="26"/>
      <c r="D1425" s="26">
        <v>213</v>
      </c>
      <c r="E1425" s="26" t="str">
        <f>CONCATENATE('Смета ЕР (общ) '!$A1425,".",'Смета ЕР (общ) '!$B1425,".",'Смета ЕР (общ) '!$D1425)</f>
        <v>Р9.2.213</v>
      </c>
      <c r="F1425" s="26">
        <f t="shared" si="108"/>
        <v>1</v>
      </c>
      <c r="G1425" s="27" t="s">
        <v>1508</v>
      </c>
      <c r="H1425" s="28" t="s">
        <v>118</v>
      </c>
      <c r="I1425" s="158"/>
      <c r="J1425" s="30">
        <v>4950</v>
      </c>
      <c r="K1425" s="30">
        <v>27219.73</v>
      </c>
      <c r="L1425" s="30">
        <f t="shared" si="110"/>
        <v>4950</v>
      </c>
      <c r="M1425" s="30">
        <f t="shared" si="110"/>
        <v>27219.73</v>
      </c>
      <c r="N1425" s="30">
        <f>ROUND('Смета ЕР (общ) '!$I1425*'Смета ЕР (общ) '!$L1425,2)</f>
        <v>0</v>
      </c>
      <c r="O1425" s="30">
        <f>ROUND('Смета ЕР (общ) '!$I1425*'Смета ЕР (общ) '!$M1425,2)</f>
        <v>0</v>
      </c>
      <c r="P1425" s="45"/>
    </row>
    <row r="1426" spans="1:20" ht="14.4" hidden="1" x14ac:dyDescent="0.3">
      <c r="A1426" s="26" t="s">
        <v>1170</v>
      </c>
      <c r="B1426" s="26">
        <v>2</v>
      </c>
      <c r="C1426" s="26"/>
      <c r="D1426" s="26">
        <v>214</v>
      </c>
      <c r="E1426" s="26" t="str">
        <f>CONCATENATE('Смета ЕР (общ) '!$A1426,".",'Смета ЕР (общ) '!$B1426,".",'Смета ЕР (общ) '!$D1426)</f>
        <v>Р9.2.214</v>
      </c>
      <c r="F1426" s="26">
        <f t="shared" si="108"/>
        <v>1</v>
      </c>
      <c r="G1426" s="27" t="s">
        <v>1509</v>
      </c>
      <c r="H1426" s="28" t="s">
        <v>118</v>
      </c>
      <c r="I1426" s="158"/>
      <c r="J1426" s="30">
        <v>1524.19</v>
      </c>
      <c r="K1426" s="30">
        <v>1454.15</v>
      </c>
      <c r="L1426" s="30">
        <f t="shared" si="110"/>
        <v>1524.19</v>
      </c>
      <c r="M1426" s="30">
        <f t="shared" si="110"/>
        <v>1454.15</v>
      </c>
      <c r="N1426" s="30">
        <f>ROUND('Смета ЕР (общ) '!$I1426*'Смета ЕР (общ) '!$L1426,2)</f>
        <v>0</v>
      </c>
      <c r="O1426" s="30">
        <f>ROUND('Смета ЕР (общ) '!$I1426*'Смета ЕР (общ) '!$M1426,2)</f>
        <v>0</v>
      </c>
      <c r="P1426" s="45"/>
    </row>
    <row r="1427" spans="1:20" ht="24" hidden="1" x14ac:dyDescent="0.3">
      <c r="A1427" s="26" t="s">
        <v>1170</v>
      </c>
      <c r="B1427" s="26">
        <v>2</v>
      </c>
      <c r="C1427" s="26"/>
      <c r="D1427" s="26">
        <v>215</v>
      </c>
      <c r="E1427" s="26" t="str">
        <f>CONCATENATE('Смета ЕР (общ) '!$A1427,".",'Смета ЕР (общ) '!$B1427,".",'Смета ЕР (общ) '!$D1427)</f>
        <v>Р9.2.215</v>
      </c>
      <c r="F1427" s="26">
        <f t="shared" si="108"/>
        <v>1</v>
      </c>
      <c r="G1427" s="27" t="s">
        <v>1510</v>
      </c>
      <c r="H1427" s="28" t="s">
        <v>118</v>
      </c>
      <c r="I1427" s="158"/>
      <c r="J1427" s="30">
        <v>1591.19</v>
      </c>
      <c r="K1427" s="30">
        <v>7340.74</v>
      </c>
      <c r="L1427" s="30">
        <f t="shared" si="110"/>
        <v>1591.19</v>
      </c>
      <c r="M1427" s="30">
        <f t="shared" si="110"/>
        <v>7340.74</v>
      </c>
      <c r="N1427" s="30">
        <f>ROUND('Смета ЕР (общ) '!$I1427*'Смета ЕР (общ) '!$L1427,2)</f>
        <v>0</v>
      </c>
      <c r="O1427" s="30">
        <f>ROUND('Смета ЕР (общ) '!$I1427*'Смета ЕР (общ) '!$M1427,2)</f>
        <v>0</v>
      </c>
      <c r="P1427" s="45"/>
    </row>
    <row r="1428" spans="1:20" ht="14.4" hidden="1" x14ac:dyDescent="0.3">
      <c r="A1428" s="26" t="s">
        <v>1170</v>
      </c>
      <c r="B1428" s="26">
        <v>2</v>
      </c>
      <c r="C1428" s="26"/>
      <c r="D1428" s="26">
        <v>391</v>
      </c>
      <c r="E1428" s="26" t="str">
        <f>CONCATENATE('Смета ЕР (общ) '!$A1428,".",'Смета ЕР (общ) '!$B1428,".",'Смета ЕР (общ) '!$D1428)</f>
        <v>Р9.2.391</v>
      </c>
      <c r="F1428" s="26">
        <f t="shared" si="108"/>
        <v>1</v>
      </c>
      <c r="G1428" s="27" t="s">
        <v>1511</v>
      </c>
      <c r="H1428" s="28" t="s">
        <v>118</v>
      </c>
      <c r="I1428" s="158"/>
      <c r="J1428" s="30">
        <v>2641.32</v>
      </c>
      <c r="K1428" s="30">
        <v>24362.25</v>
      </c>
      <c r="L1428" s="30">
        <f t="shared" si="110"/>
        <v>2641.32</v>
      </c>
      <c r="M1428" s="30">
        <f t="shared" si="110"/>
        <v>24362.25</v>
      </c>
      <c r="N1428" s="30">
        <f>ROUND('Смета ЕР (общ) '!$I1428*'Смета ЕР (общ) '!$L1428,2)</f>
        <v>0</v>
      </c>
      <c r="O1428" s="30">
        <f>ROUND('Смета ЕР (общ) '!$I1428*'Смета ЕР (общ) '!$M1428,2)</f>
        <v>0</v>
      </c>
      <c r="P1428" s="45"/>
    </row>
    <row r="1429" spans="1:20" ht="24" hidden="1" x14ac:dyDescent="0.3">
      <c r="A1429" s="26" t="s">
        <v>1170</v>
      </c>
      <c r="B1429" s="26">
        <v>2</v>
      </c>
      <c r="C1429" s="26"/>
      <c r="D1429" s="26">
        <v>392</v>
      </c>
      <c r="E1429" s="26" t="str">
        <f>CONCATENATE('Смета ЕР (общ) '!$A1429,".",'Смета ЕР (общ) '!$B1429,".",'Смета ЕР (общ) '!$D1429)</f>
        <v>Р9.2.392</v>
      </c>
      <c r="F1429" s="26">
        <f t="shared" ref="F1429:F1492" si="111">IF(I1429&gt;0,F1428+1,F1428)</f>
        <v>1</v>
      </c>
      <c r="G1429" s="27" t="s">
        <v>1512</v>
      </c>
      <c r="H1429" s="28" t="s">
        <v>118</v>
      </c>
      <c r="I1429" s="158"/>
      <c r="J1429" s="30">
        <v>1591.19</v>
      </c>
      <c r="K1429" s="30">
        <v>21994.3</v>
      </c>
      <c r="L1429" s="30">
        <f t="shared" si="110"/>
        <v>1591.19</v>
      </c>
      <c r="M1429" s="30">
        <f t="shared" si="110"/>
        <v>21994.3</v>
      </c>
      <c r="N1429" s="30">
        <f>ROUND('Смета ЕР (общ) '!$I1429*'Смета ЕР (общ) '!$L1429,2)</f>
        <v>0</v>
      </c>
      <c r="O1429" s="30">
        <f>ROUND('Смета ЕР (общ) '!$I1429*'Смета ЕР (общ) '!$M1429,2)</f>
        <v>0</v>
      </c>
      <c r="P1429" s="45" t="s">
        <v>534</v>
      </c>
    </row>
    <row r="1430" spans="1:20" ht="24" hidden="1" x14ac:dyDescent="0.3">
      <c r="A1430" s="26" t="s">
        <v>1170</v>
      </c>
      <c r="B1430" s="26">
        <v>2</v>
      </c>
      <c r="C1430" s="26"/>
      <c r="D1430" s="26">
        <v>393</v>
      </c>
      <c r="E1430" s="26" t="str">
        <f>CONCATENATE('Смета ЕР (общ) '!$A1430,".",'Смета ЕР (общ) '!$B1430,".",'Смета ЕР (общ) '!$D1430)</f>
        <v>Р9.2.393</v>
      </c>
      <c r="F1430" s="26">
        <f t="shared" si="111"/>
        <v>1</v>
      </c>
      <c r="G1430" s="27" t="s">
        <v>1513</v>
      </c>
      <c r="H1430" s="28" t="s">
        <v>147</v>
      </c>
      <c r="I1430" s="158"/>
      <c r="J1430" s="30">
        <v>621.17999999999995</v>
      </c>
      <c r="K1430" s="30">
        <v>2111.0500000000002</v>
      </c>
      <c r="L1430" s="30">
        <f t="shared" si="110"/>
        <v>621.17999999999995</v>
      </c>
      <c r="M1430" s="30">
        <f t="shared" si="110"/>
        <v>2111.0500000000002</v>
      </c>
      <c r="N1430" s="30">
        <f>ROUND('Смета ЕР (общ) '!$I1430*'Смета ЕР (общ) '!$L1430,2)</f>
        <v>0</v>
      </c>
      <c r="O1430" s="30">
        <f>ROUND('Смета ЕР (общ) '!$I1430*'Смета ЕР (общ) '!$M1430,2)</f>
        <v>0</v>
      </c>
      <c r="P1430" s="45" t="s">
        <v>534</v>
      </c>
    </row>
    <row r="1431" spans="1:20" ht="14.4" hidden="1" x14ac:dyDescent="0.3">
      <c r="A1431" s="26" t="s">
        <v>1170</v>
      </c>
      <c r="B1431" s="26">
        <v>2</v>
      </c>
      <c r="C1431" s="26"/>
      <c r="D1431" s="26">
        <v>394</v>
      </c>
      <c r="E1431" s="26" t="str">
        <f>CONCATENATE('Смета ЕР (общ) '!$A1431,".",'Смета ЕР (общ) '!$B1431,".",'Смета ЕР (общ) '!$D1431)</f>
        <v>Р9.2.394</v>
      </c>
      <c r="F1431" s="26">
        <f t="shared" si="111"/>
        <v>1</v>
      </c>
      <c r="G1431" s="27" t="s">
        <v>1514</v>
      </c>
      <c r="H1431" s="28" t="s">
        <v>118</v>
      </c>
      <c r="I1431" s="158"/>
      <c r="J1431" s="30">
        <v>1591.19</v>
      </c>
      <c r="K1431" s="30">
        <v>2232.71</v>
      </c>
      <c r="L1431" s="30">
        <f t="shared" si="110"/>
        <v>1591.19</v>
      </c>
      <c r="M1431" s="30">
        <f t="shared" si="110"/>
        <v>2232.71</v>
      </c>
      <c r="N1431" s="30">
        <f>ROUND('Смета ЕР (общ) '!$I1431*'Смета ЕР (общ) '!$L1431,2)</f>
        <v>0</v>
      </c>
      <c r="O1431" s="30">
        <f>ROUND('Смета ЕР (общ) '!$I1431*'Смета ЕР (общ) '!$M1431,2)</f>
        <v>0</v>
      </c>
      <c r="P1431" s="45" t="s">
        <v>534</v>
      </c>
    </row>
    <row r="1432" spans="1:20" ht="14.4" hidden="1" x14ac:dyDescent="0.3">
      <c r="A1432" s="26" t="s">
        <v>1170</v>
      </c>
      <c r="B1432" s="26">
        <v>2</v>
      </c>
      <c r="C1432" s="26"/>
      <c r="D1432" s="26">
        <v>216</v>
      </c>
      <c r="E1432" s="26" t="str">
        <f>CONCATENATE('Смета ЕР (общ) '!$A1432,".",'Смета ЕР (общ) '!$B1432,".",'Смета ЕР (общ) '!$D1432)</f>
        <v>Р9.2.216</v>
      </c>
      <c r="F1432" s="26">
        <f t="shared" si="111"/>
        <v>1</v>
      </c>
      <c r="G1432" s="27" t="s">
        <v>1515</v>
      </c>
      <c r="H1432" s="28" t="s">
        <v>147</v>
      </c>
      <c r="I1432" s="158"/>
      <c r="J1432" s="30">
        <v>219.24</v>
      </c>
      <c r="K1432" s="30">
        <v>2891.07</v>
      </c>
      <c r="L1432" s="30">
        <f t="shared" si="110"/>
        <v>219.24</v>
      </c>
      <c r="M1432" s="30">
        <f t="shared" si="110"/>
        <v>2891.07</v>
      </c>
      <c r="N1432" s="30">
        <f>ROUND('Смета ЕР (общ) '!$I1432*'Смета ЕР (общ) '!$L1432,2)</f>
        <v>0</v>
      </c>
      <c r="O1432" s="30">
        <f>ROUND('Смета ЕР (общ) '!$I1432*'Смета ЕР (общ) '!$M1432,2)</f>
        <v>0</v>
      </c>
      <c r="P1432" s="45" t="s">
        <v>534</v>
      </c>
    </row>
    <row r="1433" spans="1:20" ht="14.4" hidden="1" x14ac:dyDescent="0.3">
      <c r="A1433" s="26" t="s">
        <v>1170</v>
      </c>
      <c r="B1433" s="26">
        <v>2</v>
      </c>
      <c r="C1433" s="26"/>
      <c r="D1433" s="26">
        <v>217</v>
      </c>
      <c r="E1433" s="26" t="str">
        <f>CONCATENATE('Смета ЕР (общ) '!$A1433,".",'Смета ЕР (общ) '!$B1433,".",'Смета ЕР (общ) '!$D1433)</f>
        <v>Р9.2.217</v>
      </c>
      <c r="F1433" s="26">
        <f t="shared" si="111"/>
        <v>1</v>
      </c>
      <c r="G1433" s="27" t="s">
        <v>1516</v>
      </c>
      <c r="H1433" s="28" t="s">
        <v>118</v>
      </c>
      <c r="I1433" s="158"/>
      <c r="J1433" s="30">
        <v>291.27999999999997</v>
      </c>
      <c r="K1433" s="30">
        <v>252.08</v>
      </c>
      <c r="L1433" s="30">
        <f t="shared" si="110"/>
        <v>291.27999999999997</v>
      </c>
      <c r="M1433" s="30">
        <f t="shared" si="110"/>
        <v>252.08</v>
      </c>
      <c r="N1433" s="30">
        <f>ROUND('Смета ЕР (общ) '!$I1433*'Смета ЕР (общ) '!$L1433,2)</f>
        <v>0</v>
      </c>
      <c r="O1433" s="30">
        <f>ROUND('Смета ЕР (общ) '!$I1433*'Смета ЕР (общ) '!$M1433,2)</f>
        <v>0</v>
      </c>
      <c r="P1433" s="45"/>
      <c r="T1433">
        <v>107</v>
      </c>
    </row>
    <row r="1434" spans="1:20" ht="14.4" hidden="1" x14ac:dyDescent="0.3">
      <c r="A1434" s="26" t="s">
        <v>1170</v>
      </c>
      <c r="B1434" s="26">
        <v>2</v>
      </c>
      <c r="C1434" s="26"/>
      <c r="D1434" s="26">
        <v>395</v>
      </c>
      <c r="E1434" s="26" t="str">
        <f>CONCATENATE('Смета ЕР (общ) '!$A1434,".",'Смета ЕР (общ) '!$B1434,".",'Смета ЕР (общ) '!$D1434)</f>
        <v>Р9.2.395</v>
      </c>
      <c r="F1434" s="26">
        <f t="shared" si="111"/>
        <v>1</v>
      </c>
      <c r="G1434" s="27" t="s">
        <v>1517</v>
      </c>
      <c r="H1434" s="28" t="s">
        <v>118</v>
      </c>
      <c r="I1434" s="158"/>
      <c r="J1434" s="30">
        <v>291.27999999999997</v>
      </c>
      <c r="K1434" s="30">
        <v>824.65</v>
      </c>
      <c r="L1434" s="30">
        <f t="shared" si="110"/>
        <v>291.27999999999997</v>
      </c>
      <c r="M1434" s="30">
        <f t="shared" si="110"/>
        <v>824.65</v>
      </c>
      <c r="N1434" s="30">
        <f>ROUND('Смета ЕР (общ) '!$I1434*'Смета ЕР (общ) '!$L1434,2)</f>
        <v>0</v>
      </c>
      <c r="O1434" s="30">
        <f>ROUND('Смета ЕР (общ) '!$I1434*'Смета ЕР (общ) '!$M1434,2)</f>
        <v>0</v>
      </c>
      <c r="P1434" s="45"/>
    </row>
    <row r="1435" spans="1:20" ht="24" hidden="1" x14ac:dyDescent="0.3">
      <c r="A1435" s="26" t="s">
        <v>1170</v>
      </c>
      <c r="B1435" s="26">
        <v>2</v>
      </c>
      <c r="C1435" s="26"/>
      <c r="D1435" s="26">
        <v>218</v>
      </c>
      <c r="E1435" s="26" t="str">
        <f>CONCATENATE('Смета ЕР (общ) '!$A1435,".",'Смета ЕР (общ) '!$B1435,".",'Смета ЕР (общ) '!$D1435)</f>
        <v>Р9.2.218</v>
      </c>
      <c r="F1435" s="26">
        <f t="shared" si="111"/>
        <v>1</v>
      </c>
      <c r="G1435" s="27" t="s">
        <v>1518</v>
      </c>
      <c r="H1435" s="28" t="s">
        <v>118</v>
      </c>
      <c r="I1435" s="158"/>
      <c r="J1435" s="30">
        <v>1591.19</v>
      </c>
      <c r="K1435" s="30">
        <v>2451.4699999999998</v>
      </c>
      <c r="L1435" s="30">
        <f t="shared" si="110"/>
        <v>1591.19</v>
      </c>
      <c r="M1435" s="30">
        <f t="shared" si="110"/>
        <v>2451.4699999999998</v>
      </c>
      <c r="N1435" s="30">
        <f>ROUND('Смета ЕР (общ) '!$I1435*'Смета ЕР (общ) '!$L1435,2)</f>
        <v>0</v>
      </c>
      <c r="O1435" s="30">
        <f>ROUND('Смета ЕР (общ) '!$I1435*'Смета ЕР (общ) '!$M1435,2)</f>
        <v>0</v>
      </c>
      <c r="P1435" s="45"/>
    </row>
    <row r="1436" spans="1:20" ht="14.4" hidden="1" x14ac:dyDescent="0.3">
      <c r="A1436" s="26" t="s">
        <v>1170</v>
      </c>
      <c r="B1436" s="26">
        <v>2</v>
      </c>
      <c r="C1436" s="26"/>
      <c r="D1436" s="26">
        <v>396</v>
      </c>
      <c r="E1436" s="26" t="str">
        <f>CONCATENATE('Смета ЕР (общ) '!$A1436,".",'Смета ЕР (общ) '!$B1436,".",'Смета ЕР (общ) '!$D1436)</f>
        <v>Р9.2.396</v>
      </c>
      <c r="F1436" s="26">
        <f t="shared" si="111"/>
        <v>1</v>
      </c>
      <c r="G1436" s="27" t="s">
        <v>1519</v>
      </c>
      <c r="H1436" s="28" t="s">
        <v>118</v>
      </c>
      <c r="I1436" s="158"/>
      <c r="J1436" s="30">
        <v>1591.19</v>
      </c>
      <c r="K1436" s="30">
        <v>1980.24</v>
      </c>
      <c r="L1436" s="30">
        <f t="shared" si="110"/>
        <v>1591.19</v>
      </c>
      <c r="M1436" s="30">
        <f t="shared" si="110"/>
        <v>1980.24</v>
      </c>
      <c r="N1436" s="30">
        <f>ROUND('Смета ЕР (общ) '!$I1436*'Смета ЕР (общ) '!$L1436,2)</f>
        <v>0</v>
      </c>
      <c r="O1436" s="30">
        <f>ROUND('Смета ЕР (общ) '!$I1436*'Смета ЕР (общ) '!$M1436,2)</f>
        <v>0</v>
      </c>
      <c r="P1436" s="45"/>
    </row>
    <row r="1437" spans="1:20" ht="14.4" hidden="1" x14ac:dyDescent="0.3">
      <c r="A1437" s="26" t="s">
        <v>1170</v>
      </c>
      <c r="B1437" s="26">
        <v>2</v>
      </c>
      <c r="C1437" s="26"/>
      <c r="D1437" s="26">
        <v>261</v>
      </c>
      <c r="E1437" s="26" t="str">
        <f>CONCATENATE('Смета ЕР (общ) '!$A1437,".",'Смета ЕР (общ) '!$B1437,".",'Смета ЕР (общ) '!$D1437)</f>
        <v>Р9.2.261</v>
      </c>
      <c r="F1437" s="26">
        <f t="shared" si="111"/>
        <v>1</v>
      </c>
      <c r="G1437" s="27" t="s">
        <v>1520</v>
      </c>
      <c r="H1437" s="28" t="s">
        <v>118</v>
      </c>
      <c r="I1437" s="158"/>
      <c r="J1437" s="30">
        <v>1591.19</v>
      </c>
      <c r="K1437" s="30">
        <v>1672.98</v>
      </c>
      <c r="L1437" s="30">
        <f t="shared" si="110"/>
        <v>1591.19</v>
      </c>
      <c r="M1437" s="30">
        <f t="shared" si="110"/>
        <v>1672.98</v>
      </c>
      <c r="N1437" s="30">
        <f>ROUND('Смета ЕР (общ) '!$I1437*'Смета ЕР (общ) '!$L1437,2)</f>
        <v>0</v>
      </c>
      <c r="O1437" s="30">
        <f>ROUND('Смета ЕР (общ) '!$I1437*'Смета ЕР (общ) '!$M1437,2)</f>
        <v>0</v>
      </c>
      <c r="P1437" s="45"/>
    </row>
    <row r="1438" spans="1:20" ht="24" hidden="1" x14ac:dyDescent="0.3">
      <c r="A1438" s="26" t="s">
        <v>1170</v>
      </c>
      <c r="B1438" s="26">
        <v>2</v>
      </c>
      <c r="C1438" s="26"/>
      <c r="D1438" s="26">
        <v>219</v>
      </c>
      <c r="E1438" s="26" t="str">
        <f>CONCATENATE('Смета ЕР (общ) '!$A1438,".",'Смета ЕР (общ) '!$B1438,".",'Смета ЕР (общ) '!$D1438)</f>
        <v>Р9.2.219</v>
      </c>
      <c r="F1438" s="26">
        <f t="shared" si="111"/>
        <v>1</v>
      </c>
      <c r="G1438" s="27" t="s">
        <v>1521</v>
      </c>
      <c r="H1438" s="28" t="s">
        <v>118</v>
      </c>
      <c r="I1438" s="158"/>
      <c r="J1438" s="30">
        <v>1591.19</v>
      </c>
      <c r="K1438" s="30">
        <v>1044.46</v>
      </c>
      <c r="L1438" s="30">
        <f t="shared" si="110"/>
        <v>1591.19</v>
      </c>
      <c r="M1438" s="30">
        <f t="shared" si="110"/>
        <v>1044.46</v>
      </c>
      <c r="N1438" s="30">
        <f>ROUND('Смета ЕР (общ) '!$I1438*'Смета ЕР (общ) '!$L1438,2)</f>
        <v>0</v>
      </c>
      <c r="O1438" s="30">
        <f>ROUND('Смета ЕР (общ) '!$I1438*'Смета ЕР (общ) '!$M1438,2)</f>
        <v>0</v>
      </c>
      <c r="P1438" s="45"/>
    </row>
    <row r="1439" spans="1:20" ht="14.4" hidden="1" x14ac:dyDescent="0.3">
      <c r="A1439" s="26" t="s">
        <v>1170</v>
      </c>
      <c r="B1439" s="26">
        <v>2</v>
      </c>
      <c r="C1439" s="26"/>
      <c r="D1439" s="26">
        <v>262</v>
      </c>
      <c r="E1439" s="26" t="str">
        <f>CONCATENATE('Смета ЕР (общ) '!$A1439,".",'Смета ЕР (общ) '!$B1439,".",'Смета ЕР (общ) '!$D1439)</f>
        <v>Р9.2.262</v>
      </c>
      <c r="F1439" s="26">
        <f t="shared" si="111"/>
        <v>1</v>
      </c>
      <c r="G1439" s="27" t="s">
        <v>1522</v>
      </c>
      <c r="H1439" s="28" t="s">
        <v>118</v>
      </c>
      <c r="I1439" s="158"/>
      <c r="J1439" s="30">
        <v>1591.19</v>
      </c>
      <c r="K1439" s="30">
        <v>569.65</v>
      </c>
      <c r="L1439" s="30">
        <f t="shared" si="110"/>
        <v>1591.19</v>
      </c>
      <c r="M1439" s="30">
        <f t="shared" si="110"/>
        <v>569.65</v>
      </c>
      <c r="N1439" s="30">
        <f>ROUND('Смета ЕР (общ) '!$I1439*'Смета ЕР (общ) '!$L1439,2)</f>
        <v>0</v>
      </c>
      <c r="O1439" s="30">
        <f>ROUND('Смета ЕР (общ) '!$I1439*'Смета ЕР (общ) '!$M1439,2)</f>
        <v>0</v>
      </c>
      <c r="P1439" s="45"/>
    </row>
    <row r="1440" spans="1:20" ht="14.4" hidden="1" x14ac:dyDescent="0.3">
      <c r="A1440" s="26" t="s">
        <v>1170</v>
      </c>
      <c r="B1440" s="26">
        <v>2</v>
      </c>
      <c r="C1440" s="26"/>
      <c r="D1440" s="26">
        <v>220</v>
      </c>
      <c r="E1440" s="26" t="str">
        <f>CONCATENATE('Смета ЕР (общ) '!$A1440,".",'Смета ЕР (общ) '!$B1440,".",'Смета ЕР (общ) '!$D1440)</f>
        <v>Р9.2.220</v>
      </c>
      <c r="F1440" s="26">
        <f t="shared" si="111"/>
        <v>1</v>
      </c>
      <c r="G1440" s="27" t="s">
        <v>1523</v>
      </c>
      <c r="H1440" s="28" t="s">
        <v>118</v>
      </c>
      <c r="I1440" s="158"/>
      <c r="J1440" s="30">
        <v>1983.6</v>
      </c>
      <c r="K1440" s="30">
        <v>14978.66</v>
      </c>
      <c r="L1440" s="30">
        <f t="shared" ref="L1440:M1455" si="112">ROUND(J1440-J1440*$Q$3,2)</f>
        <v>1983.6</v>
      </c>
      <c r="M1440" s="30">
        <f t="shared" si="112"/>
        <v>14978.66</v>
      </c>
      <c r="N1440" s="30">
        <f>ROUND('Смета ЕР (общ) '!$I1440*'Смета ЕР (общ) '!$L1440,2)</f>
        <v>0</v>
      </c>
      <c r="O1440" s="30">
        <f>ROUND('Смета ЕР (общ) '!$I1440*'Смета ЕР (общ) '!$M1440,2)</f>
        <v>0</v>
      </c>
      <c r="P1440" s="45"/>
    </row>
    <row r="1441" spans="1:20" ht="14.4" hidden="1" x14ac:dyDescent="0.3">
      <c r="A1441" s="26" t="s">
        <v>1170</v>
      </c>
      <c r="B1441" s="26">
        <v>2</v>
      </c>
      <c r="C1441" s="26"/>
      <c r="D1441" s="26">
        <v>221</v>
      </c>
      <c r="E1441" s="26" t="str">
        <f>CONCATENATE('Смета ЕР (общ) '!$A1441,".",'Смета ЕР (общ) '!$B1441,".",'Смета ЕР (общ) '!$D1441)</f>
        <v>Р9.2.221</v>
      </c>
      <c r="F1441" s="26">
        <f t="shared" si="111"/>
        <v>1</v>
      </c>
      <c r="G1441" s="27" t="s">
        <v>1524</v>
      </c>
      <c r="H1441" s="28" t="s">
        <v>118</v>
      </c>
      <c r="I1441" s="158"/>
      <c r="J1441" s="30">
        <v>1591.19</v>
      </c>
      <c r="K1441" s="30">
        <v>2860.4</v>
      </c>
      <c r="L1441" s="30">
        <f t="shared" si="112"/>
        <v>1591.19</v>
      </c>
      <c r="M1441" s="30">
        <f t="shared" si="112"/>
        <v>2860.4</v>
      </c>
      <c r="N1441" s="30">
        <f>ROUND('Смета ЕР (общ) '!$I1441*'Смета ЕР (общ) '!$L1441,2)</f>
        <v>0</v>
      </c>
      <c r="O1441" s="30">
        <f>ROUND('Смета ЕР (общ) '!$I1441*'Смета ЕР (общ) '!$M1441,2)</f>
        <v>0</v>
      </c>
      <c r="P1441" s="45"/>
    </row>
    <row r="1442" spans="1:20" s="35" customFormat="1" ht="14.4" hidden="1" x14ac:dyDescent="0.3">
      <c r="A1442" s="26" t="s">
        <v>1170</v>
      </c>
      <c r="B1442" s="26">
        <v>2</v>
      </c>
      <c r="C1442" s="26"/>
      <c r="D1442" s="26">
        <v>397</v>
      </c>
      <c r="E1442" s="26" t="str">
        <f>CONCATENATE('Смета ЕР (общ) '!$A1442,".",'Смета ЕР (общ) '!$B1442,".",'Смета ЕР (общ) '!$D1442)</f>
        <v>Р9.2.397</v>
      </c>
      <c r="F1442" s="26">
        <f t="shared" si="111"/>
        <v>1</v>
      </c>
      <c r="G1442" s="27" t="s">
        <v>1525</v>
      </c>
      <c r="H1442" s="28" t="s">
        <v>118</v>
      </c>
      <c r="I1442" s="158"/>
      <c r="J1442" s="30">
        <v>0</v>
      </c>
      <c r="K1442" s="30">
        <f>'[14]Светильники ЭТМ'!L7</f>
        <v>361.01</v>
      </c>
      <c r="L1442" s="30">
        <f t="shared" si="112"/>
        <v>0</v>
      </c>
      <c r="M1442" s="54">
        <f>K1442</f>
        <v>361.01</v>
      </c>
      <c r="N1442" s="30">
        <f>ROUND([15]Смета!$J1236*[15]Смета!$M1236,2)</f>
        <v>0</v>
      </c>
      <c r="O1442" s="30">
        <f>ROUND([15]Смета!$J1236*[15]Смета!$N1236,2)</f>
        <v>0</v>
      </c>
      <c r="P1442" s="173" t="s">
        <v>1526</v>
      </c>
      <c r="Q1442" s="56"/>
      <c r="T1442" s="35">
        <v>1</v>
      </c>
    </row>
    <row r="1443" spans="1:20" s="35" customFormat="1" ht="14.4" hidden="1" x14ac:dyDescent="0.3">
      <c r="A1443" s="26" t="s">
        <v>1170</v>
      </c>
      <c r="B1443" s="26">
        <v>2</v>
      </c>
      <c r="C1443" s="26"/>
      <c r="D1443" s="26">
        <v>398</v>
      </c>
      <c r="E1443" s="26" t="str">
        <f>CONCATENATE('Смета ЕР (общ) '!$A1443,".",'Смета ЕР (общ) '!$B1443,".",'Смета ЕР (общ) '!$D1443)</f>
        <v>Р9.2.398</v>
      </c>
      <c r="F1443" s="26">
        <f t="shared" si="111"/>
        <v>1</v>
      </c>
      <c r="G1443" s="27" t="s">
        <v>1527</v>
      </c>
      <c r="H1443" s="28" t="s">
        <v>118</v>
      </c>
      <c r="I1443" s="158"/>
      <c r="J1443" s="30">
        <v>0</v>
      </c>
      <c r="K1443" s="30">
        <f>'[14]Светильники ЭТМ'!L8</f>
        <v>614.36</v>
      </c>
      <c r="L1443" s="30">
        <f t="shared" si="112"/>
        <v>0</v>
      </c>
      <c r="M1443" s="54">
        <f t="shared" ref="M1443:M1506" si="113">K1443</f>
        <v>614.36</v>
      </c>
      <c r="N1443" s="30">
        <f>ROUND([15]Смета!$J1246*[15]Смета!$M1246,2)</f>
        <v>0</v>
      </c>
      <c r="O1443" s="30">
        <f>ROUND([15]Смета!$J1246*[15]Смета!$N1246,2)</f>
        <v>0</v>
      </c>
      <c r="P1443" s="173" t="s">
        <v>1526</v>
      </c>
      <c r="Q1443" s="56"/>
    </row>
    <row r="1444" spans="1:20" s="35" customFormat="1" ht="24" hidden="1" x14ac:dyDescent="0.3">
      <c r="A1444" s="26" t="s">
        <v>1170</v>
      </c>
      <c r="B1444" s="26">
        <v>2</v>
      </c>
      <c r="C1444" s="26"/>
      <c r="D1444" s="26">
        <v>399</v>
      </c>
      <c r="E1444" s="26" t="str">
        <f>CONCATENATE('Смета ЕР (общ) '!$A1444,".",'Смета ЕР (общ) '!$B1444,".",'Смета ЕР (общ) '!$D1444)</f>
        <v>Р9.2.399</v>
      </c>
      <c r="F1444" s="26">
        <f t="shared" si="111"/>
        <v>1</v>
      </c>
      <c r="G1444" s="27" t="s">
        <v>1528</v>
      </c>
      <c r="H1444" s="28" t="s">
        <v>118</v>
      </c>
      <c r="I1444" s="158"/>
      <c r="J1444" s="30">
        <v>1591.1940000000002</v>
      </c>
      <c r="K1444" s="30">
        <f>'[14]Светильники ЭТМ'!L9</f>
        <v>3679.83</v>
      </c>
      <c r="L1444" s="30">
        <f t="shared" si="112"/>
        <v>1591.19</v>
      </c>
      <c r="M1444" s="54">
        <f t="shared" si="113"/>
        <v>3679.83</v>
      </c>
      <c r="N1444" s="30">
        <f>ROUND([15]Смета!$J1232*[15]Смета!$M1232,2)</f>
        <v>0</v>
      </c>
      <c r="O1444" s="30">
        <f>ROUND([15]Смета!$J1232*[15]Смета!$N1232,2)</f>
        <v>0</v>
      </c>
      <c r="P1444" s="173" t="s">
        <v>1526</v>
      </c>
      <c r="Q1444" s="56"/>
      <c r="T1444" s="35">
        <v>35</v>
      </c>
    </row>
    <row r="1445" spans="1:20" s="35" customFormat="1" ht="14.4" hidden="1" x14ac:dyDescent="0.3">
      <c r="A1445" s="26" t="s">
        <v>1170</v>
      </c>
      <c r="B1445" s="26">
        <v>2</v>
      </c>
      <c r="C1445" s="26"/>
      <c r="D1445" s="26">
        <v>400</v>
      </c>
      <c r="E1445" s="26" t="str">
        <f>CONCATENATE('Смета ЕР (общ) '!$A1445,".",'Смета ЕР (общ) '!$B1445,".",'Смета ЕР (общ) '!$D1445)</f>
        <v>Р9.2.400</v>
      </c>
      <c r="F1445" s="26">
        <f t="shared" si="111"/>
        <v>1</v>
      </c>
      <c r="G1445" s="27" t="s">
        <v>1529</v>
      </c>
      <c r="H1445" s="28" t="s">
        <v>118</v>
      </c>
      <c r="I1445" s="158"/>
      <c r="J1445" s="30">
        <v>3182.3770000000004</v>
      </c>
      <c r="K1445" s="30">
        <f>'[14]Светильники ЭТМ'!L10</f>
        <v>5655.93</v>
      </c>
      <c r="L1445" s="30">
        <f t="shared" si="112"/>
        <v>3182.38</v>
      </c>
      <c r="M1445" s="54">
        <f t="shared" si="113"/>
        <v>5655.93</v>
      </c>
      <c r="N1445" s="30">
        <f>ROUND([15]Смета!$J1233*[15]Смета!$M1233,2)</f>
        <v>0</v>
      </c>
      <c r="O1445" s="30">
        <f>ROUND([15]Смета!$J1233*[15]Смета!$N1233,2)</f>
        <v>0</v>
      </c>
      <c r="P1445" s="173" t="s">
        <v>1526</v>
      </c>
      <c r="Q1445" s="56"/>
      <c r="T1445" s="35">
        <v>9</v>
      </c>
    </row>
    <row r="1446" spans="1:20" s="35" customFormat="1" ht="14.4" hidden="1" x14ac:dyDescent="0.3">
      <c r="A1446" s="26" t="s">
        <v>1170</v>
      </c>
      <c r="B1446" s="26">
        <v>2</v>
      </c>
      <c r="C1446" s="26"/>
      <c r="D1446" s="26">
        <v>401</v>
      </c>
      <c r="E1446" s="26" t="str">
        <f>CONCATENATE('Смета ЕР (общ) '!$A1446,".",'Смета ЕР (общ) '!$B1446,".",'Смета ЕР (общ) '!$D1446)</f>
        <v>Р9.2.401</v>
      </c>
      <c r="F1446" s="26">
        <f t="shared" si="111"/>
        <v>1</v>
      </c>
      <c r="G1446" s="27" t="s">
        <v>1530</v>
      </c>
      <c r="H1446" s="28" t="s">
        <v>118</v>
      </c>
      <c r="I1446" s="158"/>
      <c r="J1446" s="30">
        <v>2386.7910000000002</v>
      </c>
      <c r="K1446" s="30">
        <f>'[14]Светильники ЭТМ'!L11</f>
        <v>3895.16</v>
      </c>
      <c r="L1446" s="30">
        <f t="shared" si="112"/>
        <v>2386.79</v>
      </c>
      <c r="M1446" s="54">
        <f t="shared" si="113"/>
        <v>3895.16</v>
      </c>
      <c r="N1446" s="30">
        <f>ROUND([15]Смета!$J1234*[15]Смета!$M1234,2)</f>
        <v>0</v>
      </c>
      <c r="O1446" s="30">
        <f>ROUND([15]Смета!$J1234*[15]Смета!$N1234,2)</f>
        <v>0</v>
      </c>
      <c r="P1446" s="173" t="s">
        <v>1526</v>
      </c>
      <c r="Q1446" s="56"/>
      <c r="T1446" s="35">
        <v>4</v>
      </c>
    </row>
    <row r="1447" spans="1:20" s="35" customFormat="1" ht="14.4" hidden="1" x14ac:dyDescent="0.3">
      <c r="A1447" s="26" t="s">
        <v>1170</v>
      </c>
      <c r="B1447" s="26">
        <v>2</v>
      </c>
      <c r="C1447" s="26"/>
      <c r="D1447" s="26">
        <v>402</v>
      </c>
      <c r="E1447" s="26" t="str">
        <f>CONCATENATE('Смета ЕР (общ) '!$A1447,".",'Смета ЕР (общ) '!$B1447,".",'Смета ЕР (общ) '!$D1447)</f>
        <v>Р9.2.402</v>
      </c>
      <c r="F1447" s="26">
        <f t="shared" si="111"/>
        <v>1</v>
      </c>
      <c r="G1447" s="27" t="s">
        <v>1531</v>
      </c>
      <c r="H1447" s="28" t="s">
        <v>118</v>
      </c>
      <c r="I1447" s="158"/>
      <c r="J1447" s="30">
        <v>1591.1940000000002</v>
      </c>
      <c r="K1447" s="30">
        <f>'[14]Светильники ЭТМ'!L12</f>
        <v>1897.27</v>
      </c>
      <c r="L1447" s="30">
        <f t="shared" si="112"/>
        <v>1591.19</v>
      </c>
      <c r="M1447" s="54">
        <f t="shared" si="113"/>
        <v>1897.27</v>
      </c>
      <c r="N1447" s="30">
        <f>ROUND([15]Смета!$J1235*[15]Смета!$M1235,2)</f>
        <v>0</v>
      </c>
      <c r="O1447" s="30">
        <f>ROUND([15]Смета!$J1235*[15]Смета!$N1235,2)</f>
        <v>0</v>
      </c>
      <c r="P1447" s="173" t="s">
        <v>1526</v>
      </c>
      <c r="Q1447" s="56"/>
      <c r="T1447" s="35">
        <v>6</v>
      </c>
    </row>
    <row r="1448" spans="1:20" s="35" customFormat="1" ht="14.4" hidden="1" x14ac:dyDescent="0.3">
      <c r="A1448" s="26" t="s">
        <v>1170</v>
      </c>
      <c r="B1448" s="26">
        <v>2</v>
      </c>
      <c r="C1448" s="26"/>
      <c r="D1448" s="26">
        <v>403</v>
      </c>
      <c r="E1448" s="26" t="str">
        <f>CONCATENATE('Смета ЕР (общ) '!$A1448,".",'Смета ЕР (общ) '!$B1448,".",'Смета ЕР (общ) '!$D1448)</f>
        <v>Р9.2.403</v>
      </c>
      <c r="F1448" s="26">
        <f t="shared" si="111"/>
        <v>1</v>
      </c>
      <c r="G1448" s="27" t="s">
        <v>1532</v>
      </c>
      <c r="H1448" s="28" t="s">
        <v>118</v>
      </c>
      <c r="I1448" s="158"/>
      <c r="J1448" s="30">
        <v>0</v>
      </c>
      <c r="K1448" s="30">
        <f>'[14]Светильники ЭТМ'!L15</f>
        <v>418.03</v>
      </c>
      <c r="L1448" s="30">
        <f t="shared" si="112"/>
        <v>0</v>
      </c>
      <c r="M1448" s="54">
        <f t="shared" si="113"/>
        <v>418.03</v>
      </c>
      <c r="N1448" s="30">
        <f>ROUND([15]Смета!$J1238*[15]Смета!$M1238,2)</f>
        <v>0</v>
      </c>
      <c r="O1448" s="30">
        <f>ROUND([15]Смета!$J1238*[15]Смета!$N1238,2)</f>
        <v>0</v>
      </c>
      <c r="P1448" s="173" t="s">
        <v>1526</v>
      </c>
      <c r="Q1448" s="56"/>
      <c r="T1448" s="35">
        <v>12</v>
      </c>
    </row>
    <row r="1449" spans="1:20" s="35" customFormat="1" ht="14.4" hidden="1" x14ac:dyDescent="0.3">
      <c r="A1449" s="26" t="s">
        <v>1170</v>
      </c>
      <c r="B1449" s="26">
        <v>2</v>
      </c>
      <c r="C1449" s="26"/>
      <c r="D1449" s="26">
        <v>404</v>
      </c>
      <c r="E1449" s="26" t="str">
        <f>CONCATENATE('Смета ЕР (общ) '!$A1449,".",'Смета ЕР (общ) '!$B1449,".",'Смета ЕР (общ) '!$D1449)</f>
        <v>Р9.2.404</v>
      </c>
      <c r="F1449" s="26">
        <f t="shared" si="111"/>
        <v>1</v>
      </c>
      <c r="G1449" s="27" t="s">
        <v>1533</v>
      </c>
      <c r="H1449" s="28" t="s">
        <v>118</v>
      </c>
      <c r="I1449" s="158"/>
      <c r="J1449" s="30">
        <v>0</v>
      </c>
      <c r="K1449" s="30">
        <f>'[14]Светильники ЭТМ'!L16</f>
        <v>133.01</v>
      </c>
      <c r="L1449" s="30">
        <f t="shared" si="112"/>
        <v>0</v>
      </c>
      <c r="M1449" s="54">
        <f t="shared" si="113"/>
        <v>133.01</v>
      </c>
      <c r="N1449" s="30">
        <f>ROUND([15]Смета!$J1239*[15]Смета!$M1239,2)</f>
        <v>0</v>
      </c>
      <c r="O1449" s="30">
        <f>ROUND([15]Смета!$J1239*[15]Смета!$N1239,2)</f>
        <v>0</v>
      </c>
      <c r="P1449" s="173" t="s">
        <v>1526</v>
      </c>
      <c r="Q1449" s="56"/>
      <c r="T1449" s="35">
        <v>12</v>
      </c>
    </row>
    <row r="1450" spans="1:20" s="35" customFormat="1" ht="14.4" hidden="1" x14ac:dyDescent="0.3">
      <c r="A1450" s="26" t="s">
        <v>1170</v>
      </c>
      <c r="B1450" s="26">
        <v>2</v>
      </c>
      <c r="C1450" s="26"/>
      <c r="D1450" s="26">
        <v>405</v>
      </c>
      <c r="E1450" s="26" t="str">
        <f>CONCATENATE('Смета ЕР (общ) '!$A1450,".",'Смета ЕР (общ) '!$B1450,".",'Смета ЕР (общ) '!$D1450)</f>
        <v>Р9.2.405</v>
      </c>
      <c r="F1450" s="26">
        <f t="shared" si="111"/>
        <v>1</v>
      </c>
      <c r="G1450" s="27" t="s">
        <v>1534</v>
      </c>
      <c r="H1450" s="28" t="s">
        <v>118</v>
      </c>
      <c r="I1450" s="158"/>
      <c r="J1450" s="30">
        <v>0</v>
      </c>
      <c r="K1450" s="30">
        <f>'[14]Светильники ЭТМ'!L17</f>
        <v>360.63</v>
      </c>
      <c r="L1450" s="30">
        <f t="shared" si="112"/>
        <v>0</v>
      </c>
      <c r="M1450" s="54">
        <f t="shared" si="113"/>
        <v>360.63</v>
      </c>
      <c r="N1450" s="30">
        <f>ROUND([15]Смета!$J1240*[15]Смета!$M1240,2)</f>
        <v>0</v>
      </c>
      <c r="O1450" s="30">
        <f>ROUND([15]Смета!$J1240*[15]Смета!$N1240,2)</f>
        <v>0</v>
      </c>
      <c r="P1450" s="173" t="s">
        <v>1526</v>
      </c>
      <c r="Q1450" s="56"/>
      <c r="T1450" s="35">
        <v>6</v>
      </c>
    </row>
    <row r="1451" spans="1:20" s="35" customFormat="1" ht="14.4" hidden="1" x14ac:dyDescent="0.3">
      <c r="A1451" s="26" t="s">
        <v>1170</v>
      </c>
      <c r="B1451" s="26">
        <v>2</v>
      </c>
      <c r="C1451" s="26"/>
      <c r="D1451" s="26">
        <v>406</v>
      </c>
      <c r="E1451" s="26" t="str">
        <f>CONCATENATE('Смета ЕР (общ) '!$A1451,".",'Смета ЕР (общ) '!$B1451,".",'Смета ЕР (общ) '!$D1451)</f>
        <v>Р9.2.406</v>
      </c>
      <c r="F1451" s="26">
        <f t="shared" si="111"/>
        <v>1</v>
      </c>
      <c r="G1451" s="27" t="s">
        <v>1535</v>
      </c>
      <c r="H1451" s="28" t="s">
        <v>118</v>
      </c>
      <c r="I1451" s="158"/>
      <c r="J1451" s="30">
        <v>0</v>
      </c>
      <c r="K1451" s="30">
        <f>'[14]Светильники ЭТМ'!L18</f>
        <v>361.01</v>
      </c>
      <c r="L1451" s="30">
        <f t="shared" si="112"/>
        <v>0</v>
      </c>
      <c r="M1451" s="54">
        <f t="shared" si="113"/>
        <v>361.01</v>
      </c>
      <c r="N1451" s="30">
        <f>ROUND([15]Смета!$J1241*[15]Смета!$M1241,2)</f>
        <v>0</v>
      </c>
      <c r="O1451" s="30">
        <f>ROUND([15]Смета!$J1241*[15]Смета!$N1241,2)</f>
        <v>0</v>
      </c>
      <c r="P1451" s="173" t="s">
        <v>1526</v>
      </c>
      <c r="Q1451" s="56"/>
      <c r="T1451" s="35">
        <v>6</v>
      </c>
    </row>
    <row r="1452" spans="1:20" s="125" customFormat="1" ht="24" hidden="1" x14ac:dyDescent="0.3">
      <c r="A1452" s="26" t="s">
        <v>1170</v>
      </c>
      <c r="B1452" s="26">
        <v>2</v>
      </c>
      <c r="C1452" s="26"/>
      <c r="D1452" s="26">
        <v>407</v>
      </c>
      <c r="E1452" s="26" t="str">
        <f>CONCATENATE('Смета ЕР (общ) '!$A1452,".",'Смета ЕР (общ) '!$B1452,".",'Смета ЕР (общ) '!$D1452)</f>
        <v>Р9.2.407</v>
      </c>
      <c r="F1452" s="26">
        <f t="shared" si="111"/>
        <v>1</v>
      </c>
      <c r="G1452" s="27" t="s">
        <v>1536</v>
      </c>
      <c r="H1452" s="28" t="s">
        <v>118</v>
      </c>
      <c r="I1452" s="158"/>
      <c r="J1452" s="30">
        <v>1591.1940000000002</v>
      </c>
      <c r="K1452" s="30">
        <f>'[14]Светильники ЭТМ'!L19</f>
        <v>2671.12</v>
      </c>
      <c r="L1452" s="30">
        <f t="shared" si="112"/>
        <v>1591.19</v>
      </c>
      <c r="M1452" s="54">
        <f t="shared" si="113"/>
        <v>2671.12</v>
      </c>
      <c r="N1452" s="30">
        <f>ROUND([15]Смета!$J1242*[15]Смета!$M1242,2)</f>
        <v>0</v>
      </c>
      <c r="O1452" s="30">
        <f>ROUND([15]Смета!$J1242*[15]Смета!$N1242,2)</f>
        <v>0</v>
      </c>
      <c r="P1452" s="173" t="s">
        <v>1526</v>
      </c>
      <c r="Q1452" s="56"/>
      <c r="R1452" s="35"/>
    </row>
    <row r="1453" spans="1:20" s="125" customFormat="1" ht="24" hidden="1" x14ac:dyDescent="0.3">
      <c r="A1453" s="26" t="s">
        <v>1170</v>
      </c>
      <c r="B1453" s="26">
        <v>2</v>
      </c>
      <c r="C1453" s="26"/>
      <c r="D1453" s="26">
        <v>408</v>
      </c>
      <c r="E1453" s="26" t="str">
        <f>CONCATENATE('Смета ЕР (общ) '!$A1453,".",'Смета ЕР (общ) '!$B1453,".",'Смета ЕР (общ) '!$D1453)</f>
        <v>Р9.2.408</v>
      </c>
      <c r="F1453" s="26">
        <f t="shared" si="111"/>
        <v>1</v>
      </c>
      <c r="G1453" s="27" t="s">
        <v>1537</v>
      </c>
      <c r="H1453" s="28" t="s">
        <v>118</v>
      </c>
      <c r="I1453" s="158"/>
      <c r="J1453" s="30">
        <v>1591.194</v>
      </c>
      <c r="K1453" s="30">
        <f>'[14]Светильники ЭТМ'!L20</f>
        <v>3421.85</v>
      </c>
      <c r="L1453" s="30">
        <f t="shared" si="112"/>
        <v>1591.19</v>
      </c>
      <c r="M1453" s="54">
        <f t="shared" si="113"/>
        <v>3421.85</v>
      </c>
      <c r="N1453" s="30">
        <f>ROUND([15]Смета!$J1243*[15]Смета!$M1243,2)</f>
        <v>0</v>
      </c>
      <c r="O1453" s="30">
        <f>ROUND([15]Смета!$J1243*[15]Смета!$N1243,2)</f>
        <v>0</v>
      </c>
      <c r="P1453" s="173" t="s">
        <v>1526</v>
      </c>
      <c r="Q1453" s="56"/>
      <c r="R1453" s="35"/>
    </row>
    <row r="1454" spans="1:20" s="125" customFormat="1" ht="24" hidden="1" x14ac:dyDescent="0.3">
      <c r="A1454" s="26" t="s">
        <v>1170</v>
      </c>
      <c r="B1454" s="26">
        <v>2</v>
      </c>
      <c r="C1454" s="26"/>
      <c r="D1454" s="26">
        <v>409</v>
      </c>
      <c r="E1454" s="26" t="str">
        <f>CONCATENATE('Смета ЕР (общ) '!$A1454,".",'Смета ЕР (общ) '!$B1454,".",'Смета ЕР (общ) '!$D1454)</f>
        <v>Р9.2.409</v>
      </c>
      <c r="F1454" s="26">
        <f t="shared" si="111"/>
        <v>1</v>
      </c>
      <c r="G1454" s="27" t="s">
        <v>1538</v>
      </c>
      <c r="H1454" s="28" t="s">
        <v>118</v>
      </c>
      <c r="I1454" s="158"/>
      <c r="J1454" s="30">
        <v>2000</v>
      </c>
      <c r="K1454" s="30">
        <f>'[14]Светильники ЭТМ'!L21</f>
        <v>5283.02</v>
      </c>
      <c r="L1454" s="30">
        <f t="shared" si="112"/>
        <v>2000</v>
      </c>
      <c r="M1454" s="54">
        <f t="shared" si="113"/>
        <v>5283.02</v>
      </c>
      <c r="N1454" s="30">
        <f>ROUND([15]Смета!$J1244*[15]Смета!$M1244,2)</f>
        <v>0</v>
      </c>
      <c r="O1454" s="30">
        <f>ROUND([15]Смета!$J1244*[15]Смета!$N1244,2)</f>
        <v>0</v>
      </c>
      <c r="P1454" s="173" t="s">
        <v>1526</v>
      </c>
      <c r="Q1454" s="56"/>
      <c r="R1454" s="35"/>
    </row>
    <row r="1455" spans="1:20" s="125" customFormat="1" ht="24" hidden="1" x14ac:dyDescent="0.3">
      <c r="A1455" s="26" t="s">
        <v>1170</v>
      </c>
      <c r="B1455" s="26">
        <v>2</v>
      </c>
      <c r="C1455" s="26"/>
      <c r="D1455" s="26">
        <v>410</v>
      </c>
      <c r="E1455" s="26" t="str">
        <f>CONCATENATE('Смета ЕР (общ) '!$A1455,".",'Смета ЕР (общ) '!$B1455,".",'Смета ЕР (общ) '!$D1455)</f>
        <v>Р9.2.410</v>
      </c>
      <c r="F1455" s="26">
        <f t="shared" si="111"/>
        <v>1</v>
      </c>
      <c r="G1455" s="27" t="s">
        <v>1539</v>
      </c>
      <c r="H1455" s="28" t="s">
        <v>118</v>
      </c>
      <c r="I1455" s="158"/>
      <c r="J1455" s="30">
        <v>2000</v>
      </c>
      <c r="K1455" s="30">
        <f>'[14]Светильники ЭТМ'!L22</f>
        <v>6902.28</v>
      </c>
      <c r="L1455" s="30">
        <f t="shared" si="112"/>
        <v>2000</v>
      </c>
      <c r="M1455" s="54">
        <f t="shared" si="113"/>
        <v>6902.28</v>
      </c>
      <c r="N1455" s="30">
        <f>ROUND([15]Смета!$J1245*[15]Смета!$M1245,2)</f>
        <v>0</v>
      </c>
      <c r="O1455" s="30">
        <f>ROUND([15]Смета!$J1245*[15]Смета!$N1245,2)</f>
        <v>0</v>
      </c>
      <c r="P1455" s="173" t="s">
        <v>1526</v>
      </c>
      <c r="Q1455" s="56"/>
      <c r="R1455" s="35"/>
    </row>
    <row r="1456" spans="1:20" s="125" customFormat="1" ht="14.4" hidden="1" x14ac:dyDescent="0.3">
      <c r="A1456" s="26" t="s">
        <v>1170</v>
      </c>
      <c r="B1456" s="26">
        <v>2</v>
      </c>
      <c r="C1456" s="26"/>
      <c r="D1456" s="26">
        <v>569</v>
      </c>
      <c r="E1456" s="26" t="str">
        <f>CONCATENATE('Смета ЕР (общ) '!$A1456,".",'Смета ЕР (общ) '!$B1456,".",'Смета ЕР (общ) '!$D1456)</f>
        <v>Р9.2.569</v>
      </c>
      <c r="F1456" s="26"/>
      <c r="G1456" s="126" t="s">
        <v>1540</v>
      </c>
      <c r="H1456" s="28" t="s">
        <v>118</v>
      </c>
      <c r="I1456" s="158"/>
      <c r="J1456" s="30">
        <v>5225</v>
      </c>
      <c r="K1456" s="30">
        <f>'[14]Светильники Профдед н'!I4</f>
        <v>18332.150000000001</v>
      </c>
      <c r="L1456" s="30">
        <f t="shared" ref="L1456:M1593" si="114">ROUND(J1456-J1456*$R$3,2)</f>
        <v>5225</v>
      </c>
      <c r="M1456" s="54">
        <f t="shared" si="113"/>
        <v>18332.150000000001</v>
      </c>
      <c r="N1456" s="30">
        <f>ROUND('[16]Смета по новым ценам (3)'!$J1351*'[16]Смета по новым ценам (3)'!$M1351,2)</f>
        <v>0</v>
      </c>
      <c r="O1456" s="30">
        <f>ROUND('[16]Смета по новым ценам (3)'!$J1351*'[16]Смета по новым ценам (3)'!$N1351,2)</f>
        <v>0</v>
      </c>
      <c r="P1456" s="55" t="s">
        <v>1541</v>
      </c>
      <c r="Q1456" s="56"/>
      <c r="R1456" s="35"/>
    </row>
    <row r="1457" spans="1:20" s="125" customFormat="1" ht="24" hidden="1" x14ac:dyDescent="0.3">
      <c r="A1457" s="174" t="s">
        <v>1170</v>
      </c>
      <c r="B1457" s="174">
        <v>2</v>
      </c>
      <c r="C1457" s="174"/>
      <c r="D1457" s="174">
        <v>411</v>
      </c>
      <c r="E1457" s="174" t="str">
        <f>CONCATENATE('Смета ЕР (общ) '!$A1457,".",'Смета ЕР (общ) '!$B1457,".",'Смета ЕР (общ) '!$D1457)</f>
        <v>Р9.2.411</v>
      </c>
      <c r="F1457" s="26">
        <f>IF(I1457&gt;0,F1455+1,F1455)</f>
        <v>1</v>
      </c>
      <c r="G1457" s="126" t="s">
        <v>1542</v>
      </c>
      <c r="H1457" s="28" t="s">
        <v>118</v>
      </c>
      <c r="I1457" s="158"/>
      <c r="J1457" s="30">
        <v>5225</v>
      </c>
      <c r="K1457" s="30">
        <f>'[14]Светильники Профдед н'!I5</f>
        <v>18332.150000000001</v>
      </c>
      <c r="L1457" s="30">
        <f t="shared" si="114"/>
        <v>5225</v>
      </c>
      <c r="M1457" s="54">
        <f t="shared" si="113"/>
        <v>18332.150000000001</v>
      </c>
      <c r="N1457" s="30">
        <f>ROUND('[16]Смета по новым ценам (3)'!$J1352*'[16]Смета по новым ценам (3)'!$M1352,2)</f>
        <v>0</v>
      </c>
      <c r="O1457" s="30">
        <f>ROUND('[16]Смета по новым ценам (3)'!$J1352*'[16]Смета по новым ценам (3)'!$N1352,2)</f>
        <v>0</v>
      </c>
      <c r="P1457" s="55" t="s">
        <v>1541</v>
      </c>
      <c r="Q1457" s="56"/>
      <c r="R1457" s="35"/>
    </row>
    <row r="1458" spans="1:20" s="125" customFormat="1" ht="20.399999999999999" hidden="1" x14ac:dyDescent="0.3">
      <c r="A1458" s="174" t="s">
        <v>1170</v>
      </c>
      <c r="B1458" s="174">
        <v>2</v>
      </c>
      <c r="C1458" s="174"/>
      <c r="D1458" s="174">
        <v>412</v>
      </c>
      <c r="E1458" s="174" t="str">
        <f>CONCATENATE('Смета ЕР (общ) '!$A1458,".",'Смета ЕР (общ) '!$B1458,".",'Смета ЕР (общ) '!$D1458)</f>
        <v>Р9.2.412</v>
      </c>
      <c r="F1458" s="26">
        <f t="shared" si="111"/>
        <v>1</v>
      </c>
      <c r="G1458" s="127" t="s">
        <v>1543</v>
      </c>
      <c r="H1458" s="28" t="s">
        <v>118</v>
      </c>
      <c r="I1458" s="158"/>
      <c r="J1458" s="30">
        <v>8119.83</v>
      </c>
      <c r="K1458" s="30">
        <f>'[14]Светильники Профдед н'!I6</f>
        <v>27954.93</v>
      </c>
      <c r="L1458" s="30">
        <f t="shared" si="114"/>
        <v>8119.83</v>
      </c>
      <c r="M1458" s="54">
        <f t="shared" si="113"/>
        <v>27954.93</v>
      </c>
      <c r="N1458" s="30">
        <f>ROUND('[16]Смета по новым ценам (3)'!$J1353*'[16]Смета по новым ценам (3)'!$M1353,2)</f>
        <v>0</v>
      </c>
      <c r="O1458" s="30">
        <f>ROUND('[16]Смета по новым ценам (3)'!$J1353*'[16]Смета по новым ценам (3)'!$N1353,2)</f>
        <v>0</v>
      </c>
      <c r="P1458" s="55" t="s">
        <v>1541</v>
      </c>
      <c r="Q1458" s="56"/>
      <c r="R1458" s="35"/>
    </row>
    <row r="1459" spans="1:20" s="35" customFormat="1" ht="20.399999999999999" hidden="1" x14ac:dyDescent="0.3">
      <c r="A1459" s="174" t="s">
        <v>1170</v>
      </c>
      <c r="B1459" s="174">
        <v>2</v>
      </c>
      <c r="C1459" s="174"/>
      <c r="D1459" s="174">
        <v>413</v>
      </c>
      <c r="E1459" s="174" t="str">
        <f>CONCATENATE('Смета ЕР (общ) '!$A1459,".",'Смета ЕР (общ) '!$B1459,".",'Смета ЕР (общ) '!$D1459)</f>
        <v>Р9.2.413</v>
      </c>
      <c r="F1459" s="26">
        <f t="shared" si="111"/>
        <v>1</v>
      </c>
      <c r="G1459" s="127" t="s">
        <v>1544</v>
      </c>
      <c r="H1459" s="28" t="s">
        <v>118</v>
      </c>
      <c r="I1459" s="158"/>
      <c r="J1459" s="30">
        <v>8119.83</v>
      </c>
      <c r="K1459" s="30">
        <f>'[14]Светильники Профдед н'!I7</f>
        <v>31734.38</v>
      </c>
      <c r="L1459" s="30">
        <f t="shared" si="114"/>
        <v>8119.83</v>
      </c>
      <c r="M1459" s="54">
        <f t="shared" si="113"/>
        <v>31734.38</v>
      </c>
      <c r="N1459" s="50">
        <f>ROUND('Смета ЕР (общ) '!$I1459*'Смета ЕР (общ) '!$L1459,2)</f>
        <v>0</v>
      </c>
      <c r="O1459" s="50">
        <f>ROUND('Смета ЕР (общ) '!$I1459*'Смета ЕР (общ) '!$M1459,2)</f>
        <v>0</v>
      </c>
      <c r="P1459" s="55" t="s">
        <v>1541</v>
      </c>
      <c r="Q1459" s="56"/>
      <c r="T1459" s="35">
        <v>3</v>
      </c>
    </row>
    <row r="1460" spans="1:20" s="125" customFormat="1" ht="20.399999999999999" hidden="1" x14ac:dyDescent="0.3">
      <c r="A1460" s="174" t="s">
        <v>1170</v>
      </c>
      <c r="B1460" s="174">
        <v>2</v>
      </c>
      <c r="C1460" s="174"/>
      <c r="D1460" s="174">
        <v>414</v>
      </c>
      <c r="E1460" s="174" t="str">
        <f>CONCATENATE('Смета ЕР (общ) '!$A1460,".",'Смета ЕР (общ) '!$B1460,".",'Смета ЕР (общ) '!$D1460)</f>
        <v>Р9.2.414</v>
      </c>
      <c r="F1460" s="26">
        <f t="shared" si="111"/>
        <v>1</v>
      </c>
      <c r="G1460" s="127" t="s">
        <v>1545</v>
      </c>
      <c r="H1460" s="28" t="s">
        <v>118</v>
      </c>
      <c r="I1460" s="158"/>
      <c r="J1460" s="30">
        <v>12580.24</v>
      </c>
      <c r="K1460" s="30">
        <f>'[14]Светильники Профдед н'!I8</f>
        <v>62344.71</v>
      </c>
      <c r="L1460" s="30">
        <f t="shared" si="114"/>
        <v>12580.24</v>
      </c>
      <c r="M1460" s="54">
        <f t="shared" si="113"/>
        <v>62344.71</v>
      </c>
      <c r="N1460" s="50">
        <f>ROUND('[16]Смета по новым ценам (3)'!$J1355*'[16]Смета по новым ценам (3)'!$M1355,2)</f>
        <v>0</v>
      </c>
      <c r="O1460" s="50">
        <f>ROUND('[16]Смета по новым ценам (3)'!$J1355*'[16]Смета по новым ценам (3)'!$N1355,2)</f>
        <v>0</v>
      </c>
      <c r="P1460" s="55" t="s">
        <v>1541</v>
      </c>
      <c r="Q1460" s="56"/>
      <c r="R1460" s="35"/>
    </row>
    <row r="1461" spans="1:20" s="35" customFormat="1" ht="20.399999999999999" hidden="1" x14ac:dyDescent="0.3">
      <c r="A1461" s="174" t="s">
        <v>1170</v>
      </c>
      <c r="B1461" s="174">
        <v>2</v>
      </c>
      <c r="C1461" s="174"/>
      <c r="D1461" s="174">
        <v>415</v>
      </c>
      <c r="E1461" s="174" t="str">
        <f>CONCATENATE('Смета ЕР (общ) '!$A1461,".",'Смета ЕР (общ) '!$B1461,".",'Смета ЕР (общ) '!$D1461)</f>
        <v>Р9.2.415</v>
      </c>
      <c r="F1461" s="26">
        <f t="shared" si="111"/>
        <v>1</v>
      </c>
      <c r="G1461" s="127" t="s">
        <v>1546</v>
      </c>
      <c r="H1461" s="28" t="s">
        <v>118</v>
      </c>
      <c r="I1461" s="158"/>
      <c r="J1461" s="30">
        <v>18640.72</v>
      </c>
      <c r="K1461" s="30">
        <f>'[14]Светильники Профдед н'!I9</f>
        <v>83288.09</v>
      </c>
      <c r="L1461" s="30">
        <f t="shared" si="114"/>
        <v>18640.72</v>
      </c>
      <c r="M1461" s="54">
        <f t="shared" si="113"/>
        <v>83288.09</v>
      </c>
      <c r="N1461" s="50">
        <f>ROUND('Смета ЕР (общ) '!$I1461*'Смета ЕР (общ) '!$L1461,2)</f>
        <v>0</v>
      </c>
      <c r="O1461" s="50">
        <f>ROUND('Смета ЕР (общ) '!$I1461*'Смета ЕР (общ) '!$M1461,2)</f>
        <v>0</v>
      </c>
      <c r="P1461" s="55" t="s">
        <v>1541</v>
      </c>
      <c r="Q1461" s="56"/>
      <c r="T1461" s="35">
        <v>1</v>
      </c>
    </row>
    <row r="1462" spans="1:20" s="35" customFormat="1" ht="20.399999999999999" hidden="1" x14ac:dyDescent="0.3">
      <c r="A1462" s="174" t="s">
        <v>1170</v>
      </c>
      <c r="B1462" s="174">
        <v>2</v>
      </c>
      <c r="C1462" s="174"/>
      <c r="D1462" s="174">
        <v>416</v>
      </c>
      <c r="E1462" s="174" t="str">
        <f>CONCATENATE('Смета ЕР (общ) '!$A1462,".",'Смета ЕР (общ) '!$B1462,".",'Смета ЕР (общ) '!$D1462)</f>
        <v>Р9.2.416</v>
      </c>
      <c r="F1462" s="26">
        <f t="shared" si="111"/>
        <v>1</v>
      </c>
      <c r="G1462" s="127" t="s">
        <v>1547</v>
      </c>
      <c r="H1462" s="28" t="s">
        <v>118</v>
      </c>
      <c r="I1462" s="158"/>
      <c r="J1462" s="30">
        <v>33392.39</v>
      </c>
      <c r="K1462" s="30">
        <f>'[14]Светильники Профдед н'!I10</f>
        <v>100755.48</v>
      </c>
      <c r="L1462" s="30">
        <f t="shared" si="114"/>
        <v>33392.39</v>
      </c>
      <c r="M1462" s="54">
        <f t="shared" si="113"/>
        <v>100755.48</v>
      </c>
      <c r="N1462" s="50">
        <f>ROUND('Смета ЕР (общ) '!$I1462*'Смета ЕР (общ) '!$L1462,2)</f>
        <v>0</v>
      </c>
      <c r="O1462" s="50">
        <f>ROUND('Смета ЕР (общ) '!$I1462*'Смета ЕР (общ) '!$M1462,2)</f>
        <v>0</v>
      </c>
      <c r="P1462" s="55" t="s">
        <v>1541</v>
      </c>
      <c r="Q1462" s="56"/>
      <c r="T1462" s="35">
        <v>2</v>
      </c>
    </row>
    <row r="1463" spans="1:20" s="35" customFormat="1" ht="14.4" hidden="1" x14ac:dyDescent="0.3">
      <c r="A1463" s="174" t="s">
        <v>1170</v>
      </c>
      <c r="B1463" s="174">
        <v>2</v>
      </c>
      <c r="C1463" s="174"/>
      <c r="D1463" s="174">
        <v>417</v>
      </c>
      <c r="E1463" s="174" t="str">
        <f>CONCATENATE('Смета ЕР (общ) '!$A1463,".",'Смета ЕР (общ) '!$B1463,".",'Смета ЕР (общ) '!$D1463)</f>
        <v>Р9.2.417</v>
      </c>
      <c r="F1463" s="26">
        <f t="shared" si="111"/>
        <v>1</v>
      </c>
      <c r="G1463" s="127" t="s">
        <v>1548</v>
      </c>
      <c r="H1463" s="28" t="s">
        <v>118</v>
      </c>
      <c r="I1463" s="158"/>
      <c r="J1463" s="30">
        <v>0</v>
      </c>
      <c r="K1463" s="30">
        <f>'[14]Светильники Профдед н'!I11</f>
        <v>3020.08</v>
      </c>
      <c r="L1463" s="30">
        <f t="shared" si="114"/>
        <v>0</v>
      </c>
      <c r="M1463" s="54">
        <f t="shared" si="113"/>
        <v>3020.08</v>
      </c>
      <c r="N1463" s="50">
        <f>ROUND('Смета ЕР (общ) '!$I1463*'Смета ЕР (общ) '!$L1463,2)</f>
        <v>0</v>
      </c>
      <c r="O1463" s="50">
        <f>ROUND('Смета ЕР (общ) '!$I1463*'Смета ЕР (общ) '!$M1463,2)</f>
        <v>0</v>
      </c>
      <c r="P1463" s="55" t="s">
        <v>1541</v>
      </c>
      <c r="Q1463" s="56"/>
      <c r="T1463" s="35">
        <v>1</v>
      </c>
    </row>
    <row r="1464" spans="1:20" s="35" customFormat="1" ht="14.4" hidden="1" x14ac:dyDescent="0.3">
      <c r="A1464" s="174" t="s">
        <v>1170</v>
      </c>
      <c r="B1464" s="174">
        <v>2</v>
      </c>
      <c r="C1464" s="174"/>
      <c r="D1464" s="174">
        <v>445</v>
      </c>
      <c r="E1464" s="174" t="str">
        <f>CONCATENATE('Смета ЕР (общ) '!$A1464,".",'Смета ЕР (общ) '!$B1464,".",'Смета ЕР (общ) '!$D1464)</f>
        <v>Р9.2.445</v>
      </c>
      <c r="F1464" s="26">
        <f t="shared" si="111"/>
        <v>1</v>
      </c>
      <c r="G1464" s="128" t="s">
        <v>1549</v>
      </c>
      <c r="H1464" s="28" t="s">
        <v>118</v>
      </c>
      <c r="I1464" s="158"/>
      <c r="J1464" s="30">
        <f t="shared" ref="J1464:J1527" si="115">K1464*0.1</f>
        <v>3242.8620000000005</v>
      </c>
      <c r="K1464" s="30">
        <f>[14]Освещение!H14</f>
        <v>32428.620000000003</v>
      </c>
      <c r="L1464" s="30">
        <f t="shared" si="114"/>
        <v>3242.86</v>
      </c>
      <c r="M1464" s="54">
        <f t="shared" si="113"/>
        <v>32428.620000000003</v>
      </c>
      <c r="N1464" s="50">
        <f>ROUND('Смета ЕР (общ) '!$I1464*'Смета ЕР (общ) '!$L1464,2)</f>
        <v>0</v>
      </c>
      <c r="O1464" s="50">
        <f>ROUND('Смета ЕР (общ) '!$I1464*'Смета ЕР (общ) '!$M1464,2)</f>
        <v>0</v>
      </c>
      <c r="P1464" s="61" t="s">
        <v>1550</v>
      </c>
      <c r="Q1464" s="56"/>
    </row>
    <row r="1465" spans="1:20" s="35" customFormat="1" ht="14.4" hidden="1" x14ac:dyDescent="0.3">
      <c r="A1465" s="174" t="s">
        <v>1170</v>
      </c>
      <c r="B1465" s="174">
        <v>2</v>
      </c>
      <c r="C1465" s="174"/>
      <c r="D1465" s="174">
        <v>446</v>
      </c>
      <c r="E1465" s="174" t="str">
        <f>CONCATENATE('Смета ЕР (общ) '!$A1465,".",'Смета ЕР (общ) '!$B1465,".",'Смета ЕР (общ) '!$D1465)</f>
        <v>Р9.2.446</v>
      </c>
      <c r="F1465" s="26">
        <f t="shared" si="111"/>
        <v>1</v>
      </c>
      <c r="G1465" s="128" t="s">
        <v>1551</v>
      </c>
      <c r="H1465" s="28" t="s">
        <v>118</v>
      </c>
      <c r="I1465" s="158"/>
      <c r="J1465" s="30">
        <f t="shared" si="115"/>
        <v>3756.4695000000002</v>
      </c>
      <c r="K1465" s="30">
        <f>[14]Освещение!H15</f>
        <v>37564.695</v>
      </c>
      <c r="L1465" s="30">
        <f t="shared" si="114"/>
        <v>3756.47</v>
      </c>
      <c r="M1465" s="54">
        <f t="shared" si="113"/>
        <v>37564.695</v>
      </c>
      <c r="N1465" s="50">
        <f>ROUND('Смета ЕР (общ) '!$I1465*'Смета ЕР (общ) '!$L1465,2)</f>
        <v>0</v>
      </c>
      <c r="O1465" s="50">
        <f>ROUND('Смета ЕР (общ) '!$I1465*'Смета ЕР (общ) '!$M1465,2)</f>
        <v>0</v>
      </c>
      <c r="P1465" s="61" t="s">
        <v>1550</v>
      </c>
      <c r="Q1465" s="56"/>
    </row>
    <row r="1466" spans="1:20" s="35" customFormat="1" ht="14.4" hidden="1" x14ac:dyDescent="0.3">
      <c r="A1466" s="174" t="s">
        <v>1170</v>
      </c>
      <c r="B1466" s="174">
        <v>2</v>
      </c>
      <c r="C1466" s="174"/>
      <c r="D1466" s="174">
        <v>447</v>
      </c>
      <c r="E1466" s="174" t="str">
        <f>CONCATENATE('Смета ЕР (общ) '!$A1466,".",'Смета ЕР (общ) '!$B1466,".",'Смета ЕР (общ) '!$D1466)</f>
        <v>Р9.2.447</v>
      </c>
      <c r="F1466" s="26">
        <f t="shared" si="111"/>
        <v>1</v>
      </c>
      <c r="G1466" s="128" t="s">
        <v>1552</v>
      </c>
      <c r="H1466" s="28" t="s">
        <v>118</v>
      </c>
      <c r="I1466" s="158"/>
      <c r="J1466" s="30">
        <f t="shared" si="115"/>
        <v>3357.2070000000003</v>
      </c>
      <c r="K1466" s="30">
        <f>[14]Освещение!H16</f>
        <v>33572.07</v>
      </c>
      <c r="L1466" s="30">
        <f t="shared" si="114"/>
        <v>3357.21</v>
      </c>
      <c r="M1466" s="54">
        <f t="shared" si="113"/>
        <v>33572.07</v>
      </c>
      <c r="N1466" s="50">
        <f>ROUND('Смета ЕР (общ) '!$I1466*'Смета ЕР (общ) '!$L1466,2)</f>
        <v>0</v>
      </c>
      <c r="O1466" s="50">
        <f>ROUND('Смета ЕР (общ) '!$I1466*'Смета ЕР (общ) '!$M1466,2)</f>
        <v>0</v>
      </c>
      <c r="P1466" s="61" t="s">
        <v>1550</v>
      </c>
      <c r="Q1466" s="56"/>
    </row>
    <row r="1467" spans="1:20" s="35" customFormat="1" ht="30.6" hidden="1" x14ac:dyDescent="0.3">
      <c r="A1467" s="174" t="s">
        <v>1170</v>
      </c>
      <c r="B1467" s="174">
        <v>2</v>
      </c>
      <c r="C1467" s="174"/>
      <c r="D1467" s="174">
        <v>448</v>
      </c>
      <c r="E1467" s="174" t="str">
        <f>CONCATENATE('Смета ЕР (общ) '!$A1467,".",'Смета ЕР (общ) '!$B1467,".",'Смета ЕР (общ) '!$D1467)</f>
        <v>Р9.2.448</v>
      </c>
      <c r="F1467" s="26">
        <f t="shared" si="111"/>
        <v>1</v>
      </c>
      <c r="G1467" s="128" t="s">
        <v>1553</v>
      </c>
      <c r="H1467" s="28" t="s">
        <v>118</v>
      </c>
      <c r="I1467" s="158"/>
      <c r="J1467" s="30">
        <f t="shared" si="115"/>
        <v>3870.8145000000004</v>
      </c>
      <c r="K1467" s="30">
        <f>[14]Освещение!H17</f>
        <v>38708.145000000004</v>
      </c>
      <c r="L1467" s="30">
        <f t="shared" si="114"/>
        <v>3870.81</v>
      </c>
      <c r="M1467" s="54">
        <f t="shared" si="113"/>
        <v>38708.145000000004</v>
      </c>
      <c r="N1467" s="50">
        <f>ROUND('Смета ЕР (общ) '!$I1467*'Смета ЕР (общ) '!$L1467,2)</f>
        <v>0</v>
      </c>
      <c r="O1467" s="50">
        <f>ROUND('Смета ЕР (общ) '!$I1467*'Смета ЕР (общ) '!$M1467,2)</f>
        <v>0</v>
      </c>
      <c r="P1467" s="61" t="s">
        <v>1550</v>
      </c>
      <c r="Q1467" s="56"/>
    </row>
    <row r="1468" spans="1:20" s="35" customFormat="1" ht="14.4" hidden="1" x14ac:dyDescent="0.3">
      <c r="A1468" s="174" t="s">
        <v>1170</v>
      </c>
      <c r="B1468" s="174">
        <v>2</v>
      </c>
      <c r="C1468" s="174"/>
      <c r="D1468" s="174">
        <v>449</v>
      </c>
      <c r="E1468" s="174" t="str">
        <f>CONCATENATE('Смета ЕР (общ) '!$A1468,".",'Смета ЕР (общ) '!$B1468,".",'Смета ЕР (общ) '!$D1468)</f>
        <v>Р9.2.449</v>
      </c>
      <c r="F1468" s="26">
        <f t="shared" si="111"/>
        <v>1</v>
      </c>
      <c r="G1468" s="128" t="s">
        <v>1554</v>
      </c>
      <c r="H1468" s="28" t="s">
        <v>118</v>
      </c>
      <c r="I1468" s="158"/>
      <c r="J1468" s="30">
        <f t="shared" si="115"/>
        <v>3242.8620000000005</v>
      </c>
      <c r="K1468" s="30">
        <f>[14]Освещение!H18</f>
        <v>32428.620000000003</v>
      </c>
      <c r="L1468" s="30">
        <f t="shared" si="114"/>
        <v>3242.86</v>
      </c>
      <c r="M1468" s="54">
        <f t="shared" si="113"/>
        <v>32428.620000000003</v>
      </c>
      <c r="N1468" s="50">
        <f>ROUND('Смета ЕР (общ) '!$I1468*'Смета ЕР (общ) '!$L1468,2)</f>
        <v>0</v>
      </c>
      <c r="O1468" s="50">
        <f>ROUND('Смета ЕР (общ) '!$I1468*'Смета ЕР (общ) '!$M1468,2)</f>
        <v>0</v>
      </c>
      <c r="P1468" s="61" t="s">
        <v>1550</v>
      </c>
      <c r="Q1468" s="56"/>
    </row>
    <row r="1469" spans="1:20" s="35" customFormat="1" ht="14.4" hidden="1" x14ac:dyDescent="0.3">
      <c r="A1469" s="174" t="s">
        <v>1170</v>
      </c>
      <c r="B1469" s="174">
        <v>2</v>
      </c>
      <c r="C1469" s="174"/>
      <c r="D1469" s="174">
        <v>450</v>
      </c>
      <c r="E1469" s="174" t="str">
        <f>CONCATENATE('Смета ЕР (общ) '!$A1469,".",'Смета ЕР (общ) '!$B1469,".",'Смета ЕР (общ) '!$D1469)</f>
        <v>Р9.2.450</v>
      </c>
      <c r="F1469" s="26">
        <f t="shared" si="111"/>
        <v>1</v>
      </c>
      <c r="G1469" s="128" t="s">
        <v>1555</v>
      </c>
      <c r="H1469" s="28" t="s">
        <v>118</v>
      </c>
      <c r="I1469" s="158"/>
      <c r="J1469" s="30">
        <f t="shared" si="115"/>
        <v>3756.4695000000002</v>
      </c>
      <c r="K1469" s="30">
        <f>[14]Освещение!H19</f>
        <v>37564.695</v>
      </c>
      <c r="L1469" s="30">
        <f t="shared" si="114"/>
        <v>3756.47</v>
      </c>
      <c r="M1469" s="54">
        <f t="shared" si="113"/>
        <v>37564.695</v>
      </c>
      <c r="N1469" s="50">
        <f>ROUND('Смета ЕР (общ) '!$I1469*'Смета ЕР (общ) '!$L1469,2)</f>
        <v>0</v>
      </c>
      <c r="O1469" s="50">
        <f>ROUND('Смета ЕР (общ) '!$I1469*'Смета ЕР (общ) '!$M1469,2)</f>
        <v>0</v>
      </c>
      <c r="P1469" s="61" t="s">
        <v>1550</v>
      </c>
      <c r="Q1469" s="56"/>
    </row>
    <row r="1470" spans="1:20" s="35" customFormat="1" ht="14.4" hidden="1" x14ac:dyDescent="0.3">
      <c r="A1470" s="174" t="s">
        <v>1170</v>
      </c>
      <c r="B1470" s="174">
        <v>2</v>
      </c>
      <c r="C1470" s="174"/>
      <c r="D1470" s="174">
        <v>451</v>
      </c>
      <c r="E1470" s="174" t="str">
        <f>CONCATENATE('Смета ЕР (общ) '!$A1470,".",'Смета ЕР (общ) '!$B1470,".",'Смета ЕР (общ) '!$D1470)</f>
        <v>Р9.2.451</v>
      </c>
      <c r="F1470" s="26">
        <f t="shared" si="111"/>
        <v>1</v>
      </c>
      <c r="G1470" s="128" t="s">
        <v>1556</v>
      </c>
      <c r="H1470" s="28" t="s">
        <v>118</v>
      </c>
      <c r="I1470" s="158"/>
      <c r="J1470" s="30">
        <f t="shared" si="115"/>
        <v>3357.2070000000003</v>
      </c>
      <c r="K1470" s="30">
        <f>[14]Освещение!H20</f>
        <v>33572.07</v>
      </c>
      <c r="L1470" s="30">
        <f t="shared" si="114"/>
        <v>3357.21</v>
      </c>
      <c r="M1470" s="54">
        <f t="shared" si="113"/>
        <v>33572.07</v>
      </c>
      <c r="N1470" s="50">
        <f>ROUND('Смета ЕР (общ) '!$I1470*'Смета ЕР (общ) '!$L1470,2)</f>
        <v>0</v>
      </c>
      <c r="O1470" s="50">
        <f>ROUND('Смета ЕР (общ) '!$I1470*'Смета ЕР (общ) '!$M1470,2)</f>
        <v>0</v>
      </c>
      <c r="P1470" s="61" t="s">
        <v>1550</v>
      </c>
      <c r="Q1470" s="56"/>
    </row>
    <row r="1471" spans="1:20" s="35" customFormat="1" ht="30.6" hidden="1" x14ac:dyDescent="0.3">
      <c r="A1471" s="174" t="s">
        <v>1170</v>
      </c>
      <c r="B1471" s="174">
        <v>2</v>
      </c>
      <c r="C1471" s="174"/>
      <c r="D1471" s="174">
        <v>452</v>
      </c>
      <c r="E1471" s="174" t="str">
        <f>CONCATENATE('Смета ЕР (общ) '!$A1471,".",'Смета ЕР (общ) '!$B1471,".",'Смета ЕР (общ) '!$D1471)</f>
        <v>Р9.2.452</v>
      </c>
      <c r="F1471" s="26">
        <f t="shared" si="111"/>
        <v>1</v>
      </c>
      <c r="G1471" s="128" t="s">
        <v>1557</v>
      </c>
      <c r="H1471" s="28" t="s">
        <v>118</v>
      </c>
      <c r="I1471" s="158"/>
      <c r="J1471" s="30">
        <f t="shared" si="115"/>
        <v>3870.8145000000004</v>
      </c>
      <c r="K1471" s="30">
        <f>[14]Освещение!H21</f>
        <v>38708.145000000004</v>
      </c>
      <c r="L1471" s="30">
        <f t="shared" si="114"/>
        <v>3870.81</v>
      </c>
      <c r="M1471" s="54">
        <f t="shared" si="113"/>
        <v>38708.145000000004</v>
      </c>
      <c r="N1471" s="50">
        <f>ROUND('Смета ЕР (общ) '!$I1471*'Смета ЕР (общ) '!$L1471,2)</f>
        <v>0</v>
      </c>
      <c r="O1471" s="50">
        <f>ROUND('Смета ЕР (общ) '!$I1471*'Смета ЕР (общ) '!$M1471,2)</f>
        <v>0</v>
      </c>
      <c r="P1471" s="61" t="s">
        <v>1550</v>
      </c>
      <c r="Q1471" s="56"/>
    </row>
    <row r="1472" spans="1:20" s="35" customFormat="1" ht="14.4" hidden="1" x14ac:dyDescent="0.3">
      <c r="A1472" s="174" t="s">
        <v>1170</v>
      </c>
      <c r="B1472" s="174">
        <v>2</v>
      </c>
      <c r="C1472" s="174"/>
      <c r="D1472" s="174">
        <v>453</v>
      </c>
      <c r="E1472" s="174" t="str">
        <f>CONCATENATE('Смета ЕР (общ) '!$A1472,".",'Смета ЕР (общ) '!$B1472,".",'Смета ЕР (общ) '!$D1472)</f>
        <v>Р9.2.453</v>
      </c>
      <c r="F1472" s="26">
        <f t="shared" si="111"/>
        <v>1</v>
      </c>
      <c r="G1472" s="128" t="s">
        <v>1558</v>
      </c>
      <c r="H1472" s="28" t="s">
        <v>118</v>
      </c>
      <c r="I1472" s="158"/>
      <c r="J1472" s="30">
        <f t="shared" si="115"/>
        <v>3242.8620000000005</v>
      </c>
      <c r="K1472" s="30">
        <f>[14]Освещение!H22</f>
        <v>32428.620000000003</v>
      </c>
      <c r="L1472" s="30">
        <f t="shared" si="114"/>
        <v>3242.86</v>
      </c>
      <c r="M1472" s="54">
        <f t="shared" si="113"/>
        <v>32428.620000000003</v>
      </c>
      <c r="N1472" s="50">
        <f>ROUND('Смета ЕР (общ) '!$I1472*'Смета ЕР (общ) '!$L1472,2)</f>
        <v>0</v>
      </c>
      <c r="O1472" s="50">
        <f>ROUND('Смета ЕР (общ) '!$I1472*'Смета ЕР (общ) '!$M1472,2)</f>
        <v>0</v>
      </c>
      <c r="P1472" s="61" t="s">
        <v>1550</v>
      </c>
      <c r="Q1472" s="56"/>
    </row>
    <row r="1473" spans="1:17" s="35" customFormat="1" ht="14.4" hidden="1" x14ac:dyDescent="0.3">
      <c r="A1473" s="174" t="s">
        <v>1170</v>
      </c>
      <c r="B1473" s="174">
        <v>2</v>
      </c>
      <c r="C1473" s="174"/>
      <c r="D1473" s="174">
        <v>454</v>
      </c>
      <c r="E1473" s="174" t="str">
        <f>CONCATENATE('Смета ЕР (общ) '!$A1473,".",'Смета ЕР (общ) '!$B1473,".",'Смета ЕР (общ) '!$D1473)</f>
        <v>Р9.2.454</v>
      </c>
      <c r="F1473" s="26">
        <f t="shared" si="111"/>
        <v>1</v>
      </c>
      <c r="G1473" s="128" t="s">
        <v>1559</v>
      </c>
      <c r="H1473" s="28" t="s">
        <v>118</v>
      </c>
      <c r="I1473" s="158"/>
      <c r="J1473" s="30">
        <f t="shared" si="115"/>
        <v>3756.4695000000002</v>
      </c>
      <c r="K1473" s="30">
        <f>[14]Освещение!H23</f>
        <v>37564.695</v>
      </c>
      <c r="L1473" s="30">
        <f t="shared" si="114"/>
        <v>3756.47</v>
      </c>
      <c r="M1473" s="54">
        <f t="shared" si="113"/>
        <v>37564.695</v>
      </c>
      <c r="N1473" s="50">
        <f>ROUND('Смета ЕР (общ) '!$I1473*'Смета ЕР (общ) '!$L1473,2)</f>
        <v>0</v>
      </c>
      <c r="O1473" s="50">
        <f>ROUND('Смета ЕР (общ) '!$I1473*'Смета ЕР (общ) '!$M1473,2)</f>
        <v>0</v>
      </c>
      <c r="P1473" s="61" t="s">
        <v>1550</v>
      </c>
      <c r="Q1473" s="56"/>
    </row>
    <row r="1474" spans="1:17" s="35" customFormat="1" ht="14.4" hidden="1" x14ac:dyDescent="0.3">
      <c r="A1474" s="174" t="s">
        <v>1170</v>
      </c>
      <c r="B1474" s="174">
        <v>2</v>
      </c>
      <c r="C1474" s="174"/>
      <c r="D1474" s="174">
        <v>455</v>
      </c>
      <c r="E1474" s="174" t="str">
        <f>CONCATENATE('Смета ЕР (общ) '!$A1474,".",'Смета ЕР (общ) '!$B1474,".",'Смета ЕР (общ) '!$D1474)</f>
        <v>Р9.2.455</v>
      </c>
      <c r="F1474" s="26">
        <f t="shared" si="111"/>
        <v>1</v>
      </c>
      <c r="G1474" s="128" t="s">
        <v>1560</v>
      </c>
      <c r="H1474" s="28" t="s">
        <v>118</v>
      </c>
      <c r="I1474" s="158"/>
      <c r="J1474" s="30">
        <f t="shared" si="115"/>
        <v>3357.2070000000003</v>
      </c>
      <c r="K1474" s="30">
        <f>[14]Освещение!H24</f>
        <v>33572.07</v>
      </c>
      <c r="L1474" s="30">
        <f t="shared" si="114"/>
        <v>3357.21</v>
      </c>
      <c r="M1474" s="54">
        <f t="shared" si="113"/>
        <v>33572.07</v>
      </c>
      <c r="N1474" s="50">
        <f>ROUND('Смета ЕР (общ) '!$I1474*'Смета ЕР (общ) '!$L1474,2)</f>
        <v>0</v>
      </c>
      <c r="O1474" s="50">
        <f>ROUND('Смета ЕР (общ) '!$I1474*'Смета ЕР (общ) '!$M1474,2)</f>
        <v>0</v>
      </c>
      <c r="P1474" s="61" t="s">
        <v>1550</v>
      </c>
      <c r="Q1474" s="56"/>
    </row>
    <row r="1475" spans="1:17" s="35" customFormat="1" ht="30.6" hidden="1" x14ac:dyDescent="0.3">
      <c r="A1475" s="174" t="s">
        <v>1170</v>
      </c>
      <c r="B1475" s="174">
        <v>2</v>
      </c>
      <c r="C1475" s="174"/>
      <c r="D1475" s="174">
        <v>456</v>
      </c>
      <c r="E1475" s="174" t="str">
        <f>CONCATENATE('Смета ЕР (общ) '!$A1475,".",'Смета ЕР (общ) '!$B1475,".",'Смета ЕР (общ) '!$D1475)</f>
        <v>Р9.2.456</v>
      </c>
      <c r="F1475" s="26">
        <f t="shared" si="111"/>
        <v>1</v>
      </c>
      <c r="G1475" s="128" t="s">
        <v>1561</v>
      </c>
      <c r="H1475" s="28" t="s">
        <v>118</v>
      </c>
      <c r="I1475" s="158"/>
      <c r="J1475" s="30">
        <f t="shared" si="115"/>
        <v>3870.8145000000004</v>
      </c>
      <c r="K1475" s="30">
        <f>[14]Освещение!H25</f>
        <v>38708.145000000004</v>
      </c>
      <c r="L1475" s="30">
        <f t="shared" si="114"/>
        <v>3870.81</v>
      </c>
      <c r="M1475" s="54">
        <f t="shared" si="113"/>
        <v>38708.145000000004</v>
      </c>
      <c r="N1475" s="50">
        <f>ROUND('Смета ЕР (общ) '!$I1475*'Смета ЕР (общ) '!$L1475,2)</f>
        <v>0</v>
      </c>
      <c r="O1475" s="50">
        <f>ROUND('Смета ЕР (общ) '!$I1475*'Смета ЕР (общ) '!$M1475,2)</f>
        <v>0</v>
      </c>
      <c r="P1475" s="61" t="s">
        <v>1550</v>
      </c>
      <c r="Q1475" s="56"/>
    </row>
    <row r="1476" spans="1:17" s="35" customFormat="1" ht="14.4" hidden="1" x14ac:dyDescent="0.3">
      <c r="A1476" s="174" t="s">
        <v>1170</v>
      </c>
      <c r="B1476" s="174">
        <v>2</v>
      </c>
      <c r="C1476" s="174"/>
      <c r="D1476" s="174">
        <v>457</v>
      </c>
      <c r="E1476" s="174" t="str">
        <f>CONCATENATE('Смета ЕР (общ) '!$A1476,".",'Смета ЕР (общ) '!$B1476,".",'Смета ЕР (общ) '!$D1476)</f>
        <v>Р9.2.457</v>
      </c>
      <c r="F1476" s="26">
        <f t="shared" si="111"/>
        <v>1</v>
      </c>
      <c r="G1476" s="128" t="s">
        <v>1562</v>
      </c>
      <c r="H1476" s="28" t="s">
        <v>118</v>
      </c>
      <c r="I1476" s="158"/>
      <c r="J1476" s="30">
        <f t="shared" si="115"/>
        <v>571.25250000000005</v>
      </c>
      <c r="K1476" s="30">
        <f>[14]Освещение!H26</f>
        <v>5712.5250000000005</v>
      </c>
      <c r="L1476" s="30">
        <f t="shared" si="114"/>
        <v>571.25</v>
      </c>
      <c r="M1476" s="54">
        <f t="shared" si="113"/>
        <v>5712.5250000000005</v>
      </c>
      <c r="N1476" s="50">
        <f>ROUND('Смета ЕР (общ) '!$I1476*'Смета ЕР (общ) '!$L1476,2)</f>
        <v>0</v>
      </c>
      <c r="O1476" s="50">
        <f>ROUND('Смета ЕР (общ) '!$I1476*'Смета ЕР (общ) '!$M1476,2)</f>
        <v>0</v>
      </c>
      <c r="P1476" s="61" t="s">
        <v>1550</v>
      </c>
      <c r="Q1476" s="56"/>
    </row>
    <row r="1477" spans="1:17" s="35" customFormat="1" ht="14.4" hidden="1" x14ac:dyDescent="0.3">
      <c r="A1477" s="174" t="s">
        <v>1170</v>
      </c>
      <c r="B1477" s="174">
        <v>2</v>
      </c>
      <c r="C1477" s="174"/>
      <c r="D1477" s="174">
        <v>458</v>
      </c>
      <c r="E1477" s="174" t="str">
        <f>CONCATENATE('Смета ЕР (общ) '!$A1477,".",'Смета ЕР (общ) '!$B1477,".",'Смета ЕР (общ) '!$D1477)</f>
        <v>Р9.2.458</v>
      </c>
      <c r="F1477" s="26">
        <f t="shared" si="111"/>
        <v>1</v>
      </c>
      <c r="G1477" s="128" t="s">
        <v>1563</v>
      </c>
      <c r="H1477" s="28" t="s">
        <v>118</v>
      </c>
      <c r="I1477" s="158"/>
      <c r="J1477" s="30">
        <f t="shared" si="115"/>
        <v>707.23800000000017</v>
      </c>
      <c r="K1477" s="30">
        <f>[14]Освещение!H27</f>
        <v>7072.380000000001</v>
      </c>
      <c r="L1477" s="30">
        <f t="shared" si="114"/>
        <v>707.24</v>
      </c>
      <c r="M1477" s="54">
        <f t="shared" si="113"/>
        <v>7072.380000000001</v>
      </c>
      <c r="N1477" s="50">
        <f>ROUND('Смета ЕР (общ) '!$I1477*'Смета ЕР (общ) '!$L1477,2)</f>
        <v>0</v>
      </c>
      <c r="O1477" s="50">
        <f>ROUND('Смета ЕР (общ) '!$I1477*'Смета ЕР (общ) '!$M1477,2)</f>
        <v>0</v>
      </c>
      <c r="P1477" s="61" t="s">
        <v>1550</v>
      </c>
      <c r="Q1477" s="56"/>
    </row>
    <row r="1478" spans="1:17" s="35" customFormat="1" ht="14.4" hidden="1" x14ac:dyDescent="0.3">
      <c r="A1478" s="174" t="s">
        <v>1170</v>
      </c>
      <c r="B1478" s="174">
        <v>2</v>
      </c>
      <c r="C1478" s="174"/>
      <c r="D1478" s="174">
        <v>459</v>
      </c>
      <c r="E1478" s="174" t="str">
        <f>CONCATENATE('Смета ЕР (общ) '!$A1478,".",'Смета ЕР (общ) '!$B1478,".",'Смета ЕР (общ) '!$D1478)</f>
        <v>Р9.2.459</v>
      </c>
      <c r="F1478" s="26">
        <f t="shared" si="111"/>
        <v>1</v>
      </c>
      <c r="G1478" s="128" t="s">
        <v>1564</v>
      </c>
      <c r="H1478" s="28" t="s">
        <v>118</v>
      </c>
      <c r="I1478" s="158"/>
      <c r="J1478" s="30">
        <f t="shared" si="115"/>
        <v>707.23800000000017</v>
      </c>
      <c r="K1478" s="30">
        <f>[14]Освещение!H28</f>
        <v>7072.380000000001</v>
      </c>
      <c r="L1478" s="30">
        <f t="shared" si="114"/>
        <v>707.24</v>
      </c>
      <c r="M1478" s="54">
        <f t="shared" si="113"/>
        <v>7072.380000000001</v>
      </c>
      <c r="N1478" s="50">
        <f>ROUND('Смета ЕР (общ) '!$I1478*'Смета ЕР (общ) '!$L1478,2)</f>
        <v>0</v>
      </c>
      <c r="O1478" s="50">
        <f>ROUND('Смета ЕР (общ) '!$I1478*'Смета ЕР (общ) '!$M1478,2)</f>
        <v>0</v>
      </c>
      <c r="P1478" s="61" t="s">
        <v>1550</v>
      </c>
      <c r="Q1478" s="56"/>
    </row>
    <row r="1479" spans="1:17" s="35" customFormat="1" ht="14.4" hidden="1" x14ac:dyDescent="0.3">
      <c r="A1479" s="174" t="s">
        <v>1170</v>
      </c>
      <c r="B1479" s="174">
        <v>2</v>
      </c>
      <c r="C1479" s="174"/>
      <c r="D1479" s="174">
        <v>460</v>
      </c>
      <c r="E1479" s="174" t="str">
        <f>CONCATENATE('Смета ЕР (общ) '!$A1479,".",'Смета ЕР (общ) '!$B1479,".",'Смета ЕР (общ) '!$D1479)</f>
        <v>Р9.2.460</v>
      </c>
      <c r="F1479" s="26">
        <f t="shared" si="111"/>
        <v>1</v>
      </c>
      <c r="G1479" s="128" t="s">
        <v>1565</v>
      </c>
      <c r="H1479" s="28" t="s">
        <v>118</v>
      </c>
      <c r="I1479" s="158"/>
      <c r="J1479" s="30">
        <f t="shared" si="115"/>
        <v>707.23800000000017</v>
      </c>
      <c r="K1479" s="30">
        <f>[14]Освещение!H29</f>
        <v>7072.380000000001</v>
      </c>
      <c r="L1479" s="30">
        <f t="shared" si="114"/>
        <v>707.24</v>
      </c>
      <c r="M1479" s="54">
        <f t="shared" si="113"/>
        <v>7072.380000000001</v>
      </c>
      <c r="N1479" s="50">
        <f>ROUND('Смета ЕР (общ) '!$I1479*'Смета ЕР (общ) '!$L1479,2)</f>
        <v>0</v>
      </c>
      <c r="O1479" s="50">
        <f>ROUND('Смета ЕР (общ) '!$I1479*'Смета ЕР (общ) '!$M1479,2)</f>
        <v>0</v>
      </c>
      <c r="P1479" s="61" t="s">
        <v>1550</v>
      </c>
      <c r="Q1479" s="56"/>
    </row>
    <row r="1480" spans="1:17" s="35" customFormat="1" ht="30.6" hidden="1" x14ac:dyDescent="0.3">
      <c r="A1480" s="174" t="s">
        <v>1170</v>
      </c>
      <c r="B1480" s="174">
        <v>2</v>
      </c>
      <c r="C1480" s="174"/>
      <c r="D1480" s="174">
        <v>461</v>
      </c>
      <c r="E1480" s="174" t="str">
        <f>CONCATENATE('Смета ЕР (общ) '!$A1480,".",'Смета ЕР (общ) '!$B1480,".",'Смета ЕР (общ) '!$D1480)</f>
        <v>Р9.2.461</v>
      </c>
      <c r="F1480" s="26">
        <f t="shared" si="111"/>
        <v>1</v>
      </c>
      <c r="G1480" s="128" t="s">
        <v>1566</v>
      </c>
      <c r="H1480" s="28" t="s">
        <v>118</v>
      </c>
      <c r="I1480" s="158"/>
      <c r="J1480" s="30">
        <f t="shared" si="115"/>
        <v>1293.6105000000002</v>
      </c>
      <c r="K1480" s="30">
        <f>[14]Освещение!H30</f>
        <v>12936.105000000001</v>
      </c>
      <c r="L1480" s="30">
        <f t="shared" si="114"/>
        <v>1293.6099999999999</v>
      </c>
      <c r="M1480" s="54">
        <f t="shared" si="113"/>
        <v>12936.105000000001</v>
      </c>
      <c r="N1480" s="50">
        <f>ROUND('Смета ЕР (общ) '!$I1480*'Смета ЕР (общ) '!$L1480,2)</f>
        <v>0</v>
      </c>
      <c r="O1480" s="50">
        <f>ROUND('Смета ЕР (общ) '!$I1480*'Смета ЕР (общ) '!$M1480,2)</f>
        <v>0</v>
      </c>
      <c r="P1480" s="61" t="s">
        <v>1550</v>
      </c>
      <c r="Q1480" s="56"/>
    </row>
    <row r="1481" spans="1:17" s="35" customFormat="1" ht="14.4" hidden="1" x14ac:dyDescent="0.3">
      <c r="A1481" s="174" t="s">
        <v>1170</v>
      </c>
      <c r="B1481" s="174">
        <v>2</v>
      </c>
      <c r="C1481" s="174"/>
      <c r="D1481" s="174">
        <v>462</v>
      </c>
      <c r="E1481" s="174" t="str">
        <f>CONCATENATE('Смета ЕР (общ) '!$A1481,".",'Смета ЕР (общ) '!$B1481,".",'Смета ЕР (общ) '!$D1481)</f>
        <v>Р9.2.462</v>
      </c>
      <c r="F1481" s="26">
        <f t="shared" si="111"/>
        <v>1</v>
      </c>
      <c r="G1481" s="128" t="s">
        <v>1567</v>
      </c>
      <c r="H1481" s="28" t="s">
        <v>118</v>
      </c>
      <c r="I1481" s="158"/>
      <c r="J1481" s="30">
        <f t="shared" si="115"/>
        <v>514.55250000000012</v>
      </c>
      <c r="K1481" s="30">
        <f>[14]Освещение!H31</f>
        <v>5145.5250000000005</v>
      </c>
      <c r="L1481" s="30">
        <f t="shared" si="114"/>
        <v>514.54999999999995</v>
      </c>
      <c r="M1481" s="54">
        <f t="shared" si="113"/>
        <v>5145.5250000000005</v>
      </c>
      <c r="N1481" s="50">
        <f>ROUND('Смета ЕР (общ) '!$I1481*'Смета ЕР (общ) '!$L1481,2)</f>
        <v>0</v>
      </c>
      <c r="O1481" s="50">
        <f>ROUND('Смета ЕР (общ) '!$I1481*'Смета ЕР (общ) '!$M1481,2)</f>
        <v>0</v>
      </c>
      <c r="P1481" s="61" t="s">
        <v>1550</v>
      </c>
      <c r="Q1481" s="56"/>
    </row>
    <row r="1482" spans="1:17" s="35" customFormat="1" ht="14.4" hidden="1" x14ac:dyDescent="0.3">
      <c r="A1482" s="174" t="s">
        <v>1170</v>
      </c>
      <c r="B1482" s="174">
        <v>2</v>
      </c>
      <c r="C1482" s="174"/>
      <c r="D1482" s="174">
        <v>463</v>
      </c>
      <c r="E1482" s="174" t="str">
        <f>CONCATENATE('Смета ЕР (общ) '!$A1482,".",'Смета ЕР (общ) '!$B1482,".",'Смета ЕР (общ) '!$D1482)</f>
        <v>Р9.2.463</v>
      </c>
      <c r="F1482" s="26">
        <f t="shared" si="111"/>
        <v>1</v>
      </c>
      <c r="G1482" s="128" t="s">
        <v>1568</v>
      </c>
      <c r="H1482" s="28" t="s">
        <v>118</v>
      </c>
      <c r="I1482" s="158"/>
      <c r="J1482" s="30">
        <f t="shared" si="115"/>
        <v>571.25250000000005</v>
      </c>
      <c r="K1482" s="30">
        <f>[14]Освещение!H32</f>
        <v>5712.5250000000005</v>
      </c>
      <c r="L1482" s="30">
        <f t="shared" si="114"/>
        <v>571.25</v>
      </c>
      <c r="M1482" s="54">
        <f t="shared" si="113"/>
        <v>5712.5250000000005</v>
      </c>
      <c r="N1482" s="50">
        <f>ROUND('Смета ЕР (общ) '!$I1482*'Смета ЕР (общ) '!$L1482,2)</f>
        <v>0</v>
      </c>
      <c r="O1482" s="50">
        <f>ROUND('Смета ЕР (общ) '!$I1482*'Смета ЕР (общ) '!$M1482,2)</f>
        <v>0</v>
      </c>
      <c r="P1482" s="61" t="s">
        <v>1550</v>
      </c>
      <c r="Q1482" s="56"/>
    </row>
    <row r="1483" spans="1:17" s="35" customFormat="1" ht="14.4" hidden="1" x14ac:dyDescent="0.3">
      <c r="A1483" s="174" t="s">
        <v>1170</v>
      </c>
      <c r="B1483" s="174">
        <v>2</v>
      </c>
      <c r="C1483" s="174"/>
      <c r="D1483" s="174">
        <v>464</v>
      </c>
      <c r="E1483" s="174" t="str">
        <f>CONCATENATE('Смета ЕР (общ) '!$A1483,".",'Смета ЕР (общ) '!$B1483,".",'Смета ЕР (общ) '!$D1483)</f>
        <v>Р9.2.464</v>
      </c>
      <c r="F1483" s="26">
        <f t="shared" si="111"/>
        <v>1</v>
      </c>
      <c r="G1483" s="128" t="s">
        <v>1569</v>
      </c>
      <c r="H1483" s="28" t="s">
        <v>118</v>
      </c>
      <c r="I1483" s="158"/>
      <c r="J1483" s="30">
        <f t="shared" si="115"/>
        <v>857.68200000000002</v>
      </c>
      <c r="K1483" s="30">
        <f>[14]Освещение!H33</f>
        <v>8576.82</v>
      </c>
      <c r="L1483" s="30">
        <f t="shared" si="114"/>
        <v>857.68</v>
      </c>
      <c r="M1483" s="54">
        <f t="shared" si="113"/>
        <v>8576.82</v>
      </c>
      <c r="N1483" s="50">
        <f>ROUND('Смета ЕР (общ) '!$I1483*'Смета ЕР (общ) '!$L1483,2)</f>
        <v>0</v>
      </c>
      <c r="O1483" s="50">
        <f>ROUND('Смета ЕР (общ) '!$I1483*'Смета ЕР (общ) '!$M1483,2)</f>
        <v>0</v>
      </c>
      <c r="P1483" s="61" t="s">
        <v>1550</v>
      </c>
      <c r="Q1483" s="56"/>
    </row>
    <row r="1484" spans="1:17" s="35" customFormat="1" ht="30.6" hidden="1" x14ac:dyDescent="0.3">
      <c r="A1484" s="174" t="s">
        <v>1170</v>
      </c>
      <c r="B1484" s="174">
        <v>2</v>
      </c>
      <c r="C1484" s="174"/>
      <c r="D1484" s="174">
        <v>465</v>
      </c>
      <c r="E1484" s="174" t="str">
        <f>CONCATENATE('Смета ЕР (общ) '!$A1484,".",'Смета ЕР (общ) '!$B1484,".",'Смета ЕР (общ) '!$D1484)</f>
        <v>Р9.2.465</v>
      </c>
      <c r="F1484" s="26">
        <f t="shared" si="111"/>
        <v>1</v>
      </c>
      <c r="G1484" s="128" t="s">
        <v>1570</v>
      </c>
      <c r="H1484" s="28" t="s">
        <v>118</v>
      </c>
      <c r="I1484" s="158"/>
      <c r="J1484" s="30">
        <f t="shared" si="115"/>
        <v>1444.0545000000002</v>
      </c>
      <c r="K1484" s="30">
        <f>[14]Освещение!H34</f>
        <v>14440.545</v>
      </c>
      <c r="L1484" s="30">
        <f t="shared" si="114"/>
        <v>1444.05</v>
      </c>
      <c r="M1484" s="54">
        <f t="shared" si="113"/>
        <v>14440.545</v>
      </c>
      <c r="N1484" s="50">
        <f>ROUND('Смета ЕР (общ) '!$I1484*'Смета ЕР (общ) '!$L1484,2)</f>
        <v>0</v>
      </c>
      <c r="O1484" s="50">
        <f>ROUND('Смета ЕР (общ) '!$I1484*'Смета ЕР (общ) '!$M1484,2)</f>
        <v>0</v>
      </c>
      <c r="P1484" s="61" t="s">
        <v>1550</v>
      </c>
      <c r="Q1484" s="56"/>
    </row>
    <row r="1485" spans="1:17" s="35" customFormat="1" ht="14.4" hidden="1" x14ac:dyDescent="0.3">
      <c r="A1485" s="174" t="s">
        <v>1170</v>
      </c>
      <c r="B1485" s="174">
        <v>2</v>
      </c>
      <c r="C1485" s="174"/>
      <c r="D1485" s="174">
        <v>466</v>
      </c>
      <c r="E1485" s="174" t="str">
        <f>CONCATENATE('Смета ЕР (общ) '!$A1485,".",'Смета ЕР (общ) '!$B1485,".",'Смета ЕР (общ) '!$D1485)</f>
        <v>Р9.2.466</v>
      </c>
      <c r="F1485" s="26">
        <f t="shared" si="111"/>
        <v>1</v>
      </c>
      <c r="G1485" s="128" t="s">
        <v>1571</v>
      </c>
      <c r="H1485" s="28" t="s">
        <v>118</v>
      </c>
      <c r="I1485" s="158"/>
      <c r="J1485" s="30">
        <f t="shared" si="115"/>
        <v>857.68200000000002</v>
      </c>
      <c r="K1485" s="30">
        <f>[14]Освещение!H35</f>
        <v>8576.82</v>
      </c>
      <c r="L1485" s="30">
        <f t="shared" si="114"/>
        <v>857.68</v>
      </c>
      <c r="M1485" s="54">
        <f t="shared" si="113"/>
        <v>8576.82</v>
      </c>
      <c r="N1485" s="50">
        <f>ROUND('Смета ЕР (общ) '!$I1485*'Смета ЕР (общ) '!$L1485,2)</f>
        <v>0</v>
      </c>
      <c r="O1485" s="50">
        <f>ROUND('Смета ЕР (общ) '!$I1485*'Смета ЕР (общ) '!$M1485,2)</f>
        <v>0</v>
      </c>
      <c r="P1485" s="61" t="s">
        <v>1550</v>
      </c>
      <c r="Q1485" s="56"/>
    </row>
    <row r="1486" spans="1:17" s="35" customFormat="1" ht="14.4" hidden="1" x14ac:dyDescent="0.3">
      <c r="A1486" s="174" t="s">
        <v>1170</v>
      </c>
      <c r="B1486" s="174">
        <v>2</v>
      </c>
      <c r="C1486" s="174"/>
      <c r="D1486" s="174">
        <v>467</v>
      </c>
      <c r="E1486" s="174" t="str">
        <f>CONCATENATE('Смета ЕР (общ) '!$A1486,".",'Смета ЕР (общ) '!$B1486,".",'Смета ЕР (общ) '!$D1486)</f>
        <v>Р9.2.467</v>
      </c>
      <c r="F1486" s="26">
        <f t="shared" si="111"/>
        <v>1</v>
      </c>
      <c r="G1486" s="128" t="s">
        <v>1572</v>
      </c>
      <c r="H1486" s="28" t="s">
        <v>118</v>
      </c>
      <c r="I1486" s="158"/>
      <c r="J1486" s="30">
        <f t="shared" si="115"/>
        <v>1444.0545000000002</v>
      </c>
      <c r="K1486" s="30">
        <f>[14]Освещение!H36</f>
        <v>14440.545</v>
      </c>
      <c r="L1486" s="30">
        <f t="shared" si="114"/>
        <v>1444.05</v>
      </c>
      <c r="M1486" s="54">
        <f t="shared" si="113"/>
        <v>14440.545</v>
      </c>
      <c r="N1486" s="50">
        <f>ROUND('Смета ЕР (общ) '!$I1486*'Смета ЕР (общ) '!$L1486,2)</f>
        <v>0</v>
      </c>
      <c r="O1486" s="50">
        <f>ROUND('Смета ЕР (общ) '!$I1486*'Смета ЕР (общ) '!$M1486,2)</f>
        <v>0</v>
      </c>
      <c r="P1486" s="61" t="s">
        <v>1550</v>
      </c>
      <c r="Q1486" s="56"/>
    </row>
    <row r="1487" spans="1:17" s="35" customFormat="1" ht="14.4" hidden="1" x14ac:dyDescent="0.3">
      <c r="A1487" s="174" t="s">
        <v>1170</v>
      </c>
      <c r="B1487" s="174">
        <v>2</v>
      </c>
      <c r="C1487" s="174"/>
      <c r="D1487" s="174">
        <v>468</v>
      </c>
      <c r="E1487" s="174" t="str">
        <f>CONCATENATE('Смета ЕР (общ) '!$A1487,".",'Смета ЕР (общ) '!$B1487,".",'Смета ЕР (общ) '!$D1487)</f>
        <v>Р9.2.468</v>
      </c>
      <c r="F1487" s="26">
        <f t="shared" si="111"/>
        <v>1</v>
      </c>
      <c r="G1487" s="128" t="s">
        <v>1573</v>
      </c>
      <c r="H1487" s="28" t="s">
        <v>118</v>
      </c>
      <c r="I1487" s="158"/>
      <c r="J1487" s="30">
        <f t="shared" si="115"/>
        <v>810.33750000000009</v>
      </c>
      <c r="K1487" s="30">
        <f>[14]Освещение!H37</f>
        <v>8103.375</v>
      </c>
      <c r="L1487" s="30">
        <f t="shared" si="114"/>
        <v>810.34</v>
      </c>
      <c r="M1487" s="54">
        <f t="shared" si="113"/>
        <v>8103.375</v>
      </c>
      <c r="N1487" s="50">
        <f>ROUND('Смета ЕР (общ) '!$I1487*'Смета ЕР (общ) '!$L1487,2)</f>
        <v>0</v>
      </c>
      <c r="O1487" s="50">
        <f>ROUND('Смета ЕР (общ) '!$I1487*'Смета ЕР (общ) '!$M1487,2)</f>
        <v>0</v>
      </c>
      <c r="P1487" s="61" t="s">
        <v>1550</v>
      </c>
      <c r="Q1487" s="56"/>
    </row>
    <row r="1488" spans="1:17" s="35" customFormat="1" ht="30.6" hidden="1" x14ac:dyDescent="0.3">
      <c r="A1488" s="174" t="s">
        <v>1170</v>
      </c>
      <c r="B1488" s="174">
        <v>2</v>
      </c>
      <c r="C1488" s="174"/>
      <c r="D1488" s="174">
        <v>469</v>
      </c>
      <c r="E1488" s="174" t="str">
        <f>CONCATENATE('Смета ЕР (общ) '!$A1488,".",'Смета ЕР (общ) '!$B1488,".",'Смета ЕР (общ) '!$D1488)</f>
        <v>Р9.2.469</v>
      </c>
      <c r="F1488" s="26">
        <f t="shared" si="111"/>
        <v>1</v>
      </c>
      <c r="G1488" s="128" t="s">
        <v>1574</v>
      </c>
      <c r="H1488" s="28" t="s">
        <v>118</v>
      </c>
      <c r="I1488" s="158"/>
      <c r="J1488" s="30">
        <f t="shared" si="115"/>
        <v>1396.71</v>
      </c>
      <c r="K1488" s="30">
        <f>[14]Освещение!H38</f>
        <v>13967.1</v>
      </c>
      <c r="L1488" s="30">
        <f t="shared" si="114"/>
        <v>1396.71</v>
      </c>
      <c r="M1488" s="54">
        <f t="shared" si="113"/>
        <v>13967.1</v>
      </c>
      <c r="N1488" s="50">
        <f>ROUND('Смета ЕР (общ) '!$I1488*'Смета ЕР (общ) '!$L1488,2)</f>
        <v>0</v>
      </c>
      <c r="O1488" s="50">
        <f>ROUND('Смета ЕР (общ) '!$I1488*'Смета ЕР (общ) '!$M1488,2)</f>
        <v>0</v>
      </c>
      <c r="P1488" s="61" t="s">
        <v>1550</v>
      </c>
      <c r="Q1488" s="56"/>
    </row>
    <row r="1489" spans="1:17" s="35" customFormat="1" ht="14.4" hidden="1" x14ac:dyDescent="0.3">
      <c r="A1489" s="174" t="s">
        <v>1170</v>
      </c>
      <c r="B1489" s="174">
        <v>2</v>
      </c>
      <c r="C1489" s="174"/>
      <c r="D1489" s="174">
        <v>470</v>
      </c>
      <c r="E1489" s="174" t="str">
        <f>CONCATENATE('Смета ЕР (общ) '!$A1489,".",'Смета ЕР (общ) '!$B1489,".",'Смета ЕР (общ) '!$D1489)</f>
        <v>Р9.2.470</v>
      </c>
      <c r="F1489" s="26">
        <f t="shared" si="111"/>
        <v>1</v>
      </c>
      <c r="G1489" s="128" t="s">
        <v>1575</v>
      </c>
      <c r="H1489" s="28" t="s">
        <v>118</v>
      </c>
      <c r="I1489" s="158"/>
      <c r="J1489" s="30">
        <f t="shared" si="115"/>
        <v>735.87150000000008</v>
      </c>
      <c r="K1489" s="30">
        <f>[14]Освещение!H39</f>
        <v>7358.7150000000001</v>
      </c>
      <c r="L1489" s="30">
        <f t="shared" si="114"/>
        <v>735.87</v>
      </c>
      <c r="M1489" s="54">
        <f t="shared" si="113"/>
        <v>7358.7150000000001</v>
      </c>
      <c r="N1489" s="50">
        <f>ROUND('Смета ЕР (общ) '!$I1489*'Смета ЕР (общ) '!$L1489,2)</f>
        <v>0</v>
      </c>
      <c r="O1489" s="50">
        <f>ROUND('Смета ЕР (общ) '!$I1489*'Смета ЕР (общ) '!$M1489,2)</f>
        <v>0</v>
      </c>
      <c r="P1489" s="61" t="s">
        <v>1550</v>
      </c>
      <c r="Q1489" s="56"/>
    </row>
    <row r="1490" spans="1:17" s="35" customFormat="1" ht="14.4" hidden="1" x14ac:dyDescent="0.3">
      <c r="A1490" s="174" t="s">
        <v>1170</v>
      </c>
      <c r="B1490" s="174">
        <v>2</v>
      </c>
      <c r="C1490" s="174"/>
      <c r="D1490" s="174">
        <v>471</v>
      </c>
      <c r="E1490" s="174" t="str">
        <f>CONCATENATE('Смета ЕР (общ) '!$A1490,".",'Смета ЕР (общ) '!$B1490,".",'Смета ЕР (общ) '!$D1490)</f>
        <v>Р9.2.471</v>
      </c>
      <c r="F1490" s="26">
        <f t="shared" si="111"/>
        <v>1</v>
      </c>
      <c r="G1490" s="128" t="s">
        <v>1576</v>
      </c>
      <c r="H1490" s="28" t="s">
        <v>118</v>
      </c>
      <c r="I1490" s="158"/>
      <c r="J1490" s="30">
        <f t="shared" si="115"/>
        <v>714.32550000000015</v>
      </c>
      <c r="K1490" s="30">
        <f>[14]Освещение!H40</f>
        <v>7143.255000000001</v>
      </c>
      <c r="L1490" s="30">
        <f t="shared" si="114"/>
        <v>714.33</v>
      </c>
      <c r="M1490" s="54">
        <f t="shared" si="113"/>
        <v>7143.255000000001</v>
      </c>
      <c r="N1490" s="50">
        <f>ROUND('Смета ЕР (общ) '!$I1490*'Смета ЕР (общ) '!$L1490,2)</f>
        <v>0</v>
      </c>
      <c r="O1490" s="50">
        <f>ROUND('Смета ЕР (общ) '!$I1490*'Смета ЕР (общ) '!$M1490,2)</f>
        <v>0</v>
      </c>
      <c r="P1490" s="61" t="s">
        <v>1550</v>
      </c>
      <c r="Q1490" s="56"/>
    </row>
    <row r="1491" spans="1:17" s="35" customFormat="1" ht="14.4" hidden="1" x14ac:dyDescent="0.3">
      <c r="A1491" s="174" t="s">
        <v>1170</v>
      </c>
      <c r="B1491" s="174">
        <v>2</v>
      </c>
      <c r="C1491" s="174"/>
      <c r="D1491" s="174">
        <v>472</v>
      </c>
      <c r="E1491" s="174" t="str">
        <f>CONCATENATE('Смета ЕР (общ) '!$A1491,".",'Смета ЕР (общ) '!$B1491,".",'Смета ЕР (общ) '!$D1491)</f>
        <v>Р9.2.472</v>
      </c>
      <c r="F1491" s="26">
        <f t="shared" si="111"/>
        <v>1</v>
      </c>
      <c r="G1491" s="128" t="s">
        <v>1577</v>
      </c>
      <c r="H1491" s="28" t="s">
        <v>118</v>
      </c>
      <c r="I1491" s="158"/>
      <c r="J1491" s="30">
        <f t="shared" si="115"/>
        <v>810.33750000000009</v>
      </c>
      <c r="K1491" s="30">
        <f>[14]Освещение!H41</f>
        <v>8103.375</v>
      </c>
      <c r="L1491" s="30">
        <f t="shared" si="114"/>
        <v>810.34</v>
      </c>
      <c r="M1491" s="54">
        <f t="shared" si="113"/>
        <v>8103.375</v>
      </c>
      <c r="N1491" s="50">
        <f>ROUND('Смета ЕР (общ) '!$I1491*'Смета ЕР (общ) '!$L1491,2)</f>
        <v>0</v>
      </c>
      <c r="O1491" s="50">
        <f>ROUND('Смета ЕР (общ) '!$I1491*'Смета ЕР (общ) '!$M1491,2)</f>
        <v>0</v>
      </c>
      <c r="P1491" s="61" t="s">
        <v>1550</v>
      </c>
      <c r="Q1491" s="56"/>
    </row>
    <row r="1492" spans="1:17" s="35" customFormat="1" ht="30.6" hidden="1" x14ac:dyDescent="0.3">
      <c r="A1492" s="174" t="s">
        <v>1170</v>
      </c>
      <c r="B1492" s="174">
        <v>2</v>
      </c>
      <c r="C1492" s="174"/>
      <c r="D1492" s="174">
        <v>473</v>
      </c>
      <c r="E1492" s="174" t="str">
        <f>CONCATENATE('Смета ЕР (общ) '!$A1492,".",'Смета ЕР (общ) '!$B1492,".",'Смета ЕР (общ) '!$D1492)</f>
        <v>Р9.2.473</v>
      </c>
      <c r="F1492" s="26">
        <f t="shared" si="111"/>
        <v>1</v>
      </c>
      <c r="G1492" s="128" t="s">
        <v>1578</v>
      </c>
      <c r="H1492" s="28" t="s">
        <v>118</v>
      </c>
      <c r="I1492" s="158"/>
      <c r="J1492" s="30">
        <f t="shared" si="115"/>
        <v>1396.71</v>
      </c>
      <c r="K1492" s="30">
        <f>[14]Освещение!H42</f>
        <v>13967.1</v>
      </c>
      <c r="L1492" s="30">
        <f t="shared" si="114"/>
        <v>1396.71</v>
      </c>
      <c r="M1492" s="54">
        <f t="shared" si="113"/>
        <v>13967.1</v>
      </c>
      <c r="N1492" s="50">
        <f>ROUND('Смета ЕР (общ) '!$I1492*'Смета ЕР (общ) '!$L1492,2)</f>
        <v>0</v>
      </c>
      <c r="O1492" s="50">
        <f>ROUND('Смета ЕР (общ) '!$I1492*'Смета ЕР (общ) '!$M1492,2)</f>
        <v>0</v>
      </c>
      <c r="P1492" s="61" t="s">
        <v>1550</v>
      </c>
      <c r="Q1492" s="56"/>
    </row>
    <row r="1493" spans="1:17" s="35" customFormat="1" ht="20.399999999999999" hidden="1" x14ac:dyDescent="0.3">
      <c r="A1493" s="174" t="s">
        <v>1170</v>
      </c>
      <c r="B1493" s="174">
        <v>2</v>
      </c>
      <c r="C1493" s="174"/>
      <c r="D1493" s="174">
        <v>474</v>
      </c>
      <c r="E1493" s="174" t="str">
        <f>CONCATENATE('Смета ЕР (общ) '!$A1493,".",'Смета ЕР (общ) '!$B1493,".",'Смета ЕР (общ) '!$D1493)</f>
        <v>Р9.2.474</v>
      </c>
      <c r="F1493" s="26">
        <f t="shared" ref="F1493:F1556" si="116">IF(I1493&gt;0,F1492+1,F1492)</f>
        <v>1</v>
      </c>
      <c r="G1493" s="128" t="s">
        <v>1579</v>
      </c>
      <c r="H1493" s="28" t="s">
        <v>118</v>
      </c>
      <c r="I1493" s="158"/>
      <c r="J1493" s="30">
        <f t="shared" si="115"/>
        <v>838.30949999999996</v>
      </c>
      <c r="K1493" s="30">
        <f>[14]Освещение!H43</f>
        <v>8383.0949999999993</v>
      </c>
      <c r="L1493" s="30">
        <f t="shared" si="114"/>
        <v>838.31</v>
      </c>
      <c r="M1493" s="54">
        <f t="shared" si="113"/>
        <v>8383.0949999999993</v>
      </c>
      <c r="N1493" s="50">
        <f>ROUND('Смета ЕР (общ) '!$I1493*'Смета ЕР (общ) '!$L1493,2)</f>
        <v>0</v>
      </c>
      <c r="O1493" s="50">
        <f>ROUND('Смета ЕР (общ) '!$I1493*'Смета ЕР (общ) '!$M1493,2)</f>
        <v>0</v>
      </c>
      <c r="P1493" s="61" t="s">
        <v>1550</v>
      </c>
      <c r="Q1493" s="56"/>
    </row>
    <row r="1494" spans="1:17" s="35" customFormat="1" ht="14.4" hidden="1" x14ac:dyDescent="0.3">
      <c r="A1494" s="174" t="s">
        <v>1170</v>
      </c>
      <c r="B1494" s="174">
        <v>2</v>
      </c>
      <c r="C1494" s="174"/>
      <c r="D1494" s="174">
        <v>475</v>
      </c>
      <c r="E1494" s="174" t="str">
        <f>CONCATENATE('Смета ЕР (общ) '!$A1494,".",'Смета ЕР (общ) '!$B1494,".",'Смета ЕР (общ) '!$D1494)</f>
        <v>Р9.2.475</v>
      </c>
      <c r="F1494" s="26">
        <f t="shared" si="116"/>
        <v>1</v>
      </c>
      <c r="G1494" s="128" t="s">
        <v>1580</v>
      </c>
      <c r="H1494" s="28" t="s">
        <v>118</v>
      </c>
      <c r="I1494" s="158"/>
      <c r="J1494" s="30">
        <f t="shared" si="115"/>
        <v>3198.2579999999998</v>
      </c>
      <c r="K1494" s="30">
        <f>[14]Освещение!H44</f>
        <v>31982.579999999998</v>
      </c>
      <c r="L1494" s="30">
        <f t="shared" si="114"/>
        <v>3198.26</v>
      </c>
      <c r="M1494" s="54">
        <f t="shared" si="113"/>
        <v>31982.579999999998</v>
      </c>
      <c r="N1494" s="50">
        <f>ROUND('Смета ЕР (общ) '!$I1494*'Смета ЕР (общ) '!$L1494,2)</f>
        <v>0</v>
      </c>
      <c r="O1494" s="50">
        <f>ROUND('Смета ЕР (общ) '!$I1494*'Смета ЕР (общ) '!$M1494,2)</f>
        <v>0</v>
      </c>
      <c r="P1494" s="61" t="s">
        <v>1550</v>
      </c>
      <c r="Q1494" s="56"/>
    </row>
    <row r="1495" spans="1:17" s="35" customFormat="1" ht="14.4" hidden="1" x14ac:dyDescent="0.3">
      <c r="A1495" s="174" t="s">
        <v>1170</v>
      </c>
      <c r="B1495" s="174">
        <v>2</v>
      </c>
      <c r="C1495" s="174"/>
      <c r="D1495" s="174">
        <v>476</v>
      </c>
      <c r="E1495" s="174" t="str">
        <f>CONCATENATE('Смета ЕР (общ) '!$A1495,".",'Смета ЕР (общ) '!$B1495,".",'Смета ЕР (общ) '!$D1495)</f>
        <v>Р9.2.476</v>
      </c>
      <c r="F1495" s="26">
        <f t="shared" si="116"/>
        <v>1</v>
      </c>
      <c r="G1495" s="128" t="s">
        <v>1581</v>
      </c>
      <c r="H1495" s="28" t="s">
        <v>118</v>
      </c>
      <c r="I1495" s="158"/>
      <c r="J1495" s="30">
        <f t="shared" si="115"/>
        <v>2546.2080000000001</v>
      </c>
      <c r="K1495" s="30">
        <f>[14]Освещение!H45</f>
        <v>25462.079999999998</v>
      </c>
      <c r="L1495" s="30">
        <f t="shared" si="114"/>
        <v>2546.21</v>
      </c>
      <c r="M1495" s="54">
        <f t="shared" si="113"/>
        <v>25462.079999999998</v>
      </c>
      <c r="N1495" s="50">
        <f>ROUND('Смета ЕР (общ) '!$I1495*'Смета ЕР (общ) '!$L1495,2)</f>
        <v>0</v>
      </c>
      <c r="O1495" s="50">
        <f>ROUND('Смета ЕР (общ) '!$I1495*'Смета ЕР (общ) '!$M1495,2)</f>
        <v>0</v>
      </c>
      <c r="P1495" s="61" t="s">
        <v>1550</v>
      </c>
      <c r="Q1495" s="56"/>
    </row>
    <row r="1496" spans="1:17" s="35" customFormat="1" ht="20.399999999999999" hidden="1" x14ac:dyDescent="0.3">
      <c r="A1496" s="174" t="s">
        <v>1170</v>
      </c>
      <c r="B1496" s="174">
        <v>2</v>
      </c>
      <c r="C1496" s="174"/>
      <c r="D1496" s="174">
        <v>477</v>
      </c>
      <c r="E1496" s="174" t="str">
        <f>CONCATENATE('Смета ЕР (общ) '!$A1496,".",'Смета ЕР (общ) '!$B1496,".",'Смета ЕР (общ) '!$D1496)</f>
        <v>Р9.2.477</v>
      </c>
      <c r="F1496" s="26">
        <f t="shared" si="116"/>
        <v>1</v>
      </c>
      <c r="G1496" s="128" t="s">
        <v>1582</v>
      </c>
      <c r="H1496" s="28" t="s">
        <v>118</v>
      </c>
      <c r="I1496" s="158"/>
      <c r="J1496" s="30">
        <f t="shared" si="115"/>
        <v>3059.8155000000002</v>
      </c>
      <c r="K1496" s="30">
        <f>[14]Освещение!H46</f>
        <v>30598.154999999999</v>
      </c>
      <c r="L1496" s="30">
        <f t="shared" si="114"/>
        <v>3059.82</v>
      </c>
      <c r="M1496" s="54">
        <f t="shared" si="113"/>
        <v>30598.154999999999</v>
      </c>
      <c r="N1496" s="50">
        <f>ROUND('Смета ЕР (общ) '!$I1496*'Смета ЕР (общ) '!$L1496,2)</f>
        <v>0</v>
      </c>
      <c r="O1496" s="50">
        <f>ROUND('Смета ЕР (общ) '!$I1496*'Смета ЕР (общ) '!$M1496,2)</f>
        <v>0</v>
      </c>
      <c r="P1496" s="61" t="s">
        <v>1550</v>
      </c>
      <c r="Q1496" s="56"/>
    </row>
    <row r="1497" spans="1:17" s="35" customFormat="1" ht="14.4" hidden="1" x14ac:dyDescent="0.3">
      <c r="A1497" s="174" t="s">
        <v>1170</v>
      </c>
      <c r="B1497" s="174">
        <v>2</v>
      </c>
      <c r="C1497" s="174"/>
      <c r="D1497" s="174">
        <v>478</v>
      </c>
      <c r="E1497" s="174" t="str">
        <f>CONCATENATE('Смета ЕР (общ) '!$A1497,".",'Смета ЕР (общ) '!$B1497,".",'Смета ЕР (общ) '!$D1497)</f>
        <v>Р9.2.478</v>
      </c>
      <c r="F1497" s="26">
        <f t="shared" si="116"/>
        <v>1</v>
      </c>
      <c r="G1497" s="128" t="s">
        <v>1583</v>
      </c>
      <c r="H1497" s="28" t="s">
        <v>118</v>
      </c>
      <c r="I1497" s="158"/>
      <c r="J1497" s="30">
        <f t="shared" si="115"/>
        <v>2510.6760000000004</v>
      </c>
      <c r="K1497" s="30">
        <f>[14]Освещение!H47</f>
        <v>25106.760000000002</v>
      </c>
      <c r="L1497" s="30">
        <f t="shared" si="114"/>
        <v>2510.6799999999998</v>
      </c>
      <c r="M1497" s="54">
        <f t="shared" si="113"/>
        <v>25106.760000000002</v>
      </c>
      <c r="N1497" s="50">
        <f>ROUND('Смета ЕР (общ) '!$I1497*'Смета ЕР (общ) '!$L1497,2)</f>
        <v>0</v>
      </c>
      <c r="O1497" s="50">
        <f>ROUND('Смета ЕР (общ) '!$I1497*'Смета ЕР (общ) '!$M1497,2)</f>
        <v>0</v>
      </c>
      <c r="P1497" s="61" t="s">
        <v>1550</v>
      </c>
      <c r="Q1497" s="56"/>
    </row>
    <row r="1498" spans="1:17" s="35" customFormat="1" ht="14.4" hidden="1" x14ac:dyDescent="0.3">
      <c r="A1498" s="174" t="s">
        <v>1170</v>
      </c>
      <c r="B1498" s="174">
        <v>2</v>
      </c>
      <c r="C1498" s="174"/>
      <c r="D1498" s="174">
        <v>479</v>
      </c>
      <c r="E1498" s="174" t="str">
        <f>CONCATENATE('Смета ЕР (общ) '!$A1498,".",'Смета ЕР (общ) '!$B1498,".",'Смета ЕР (общ) '!$D1498)</f>
        <v>Р9.2.479</v>
      </c>
      <c r="F1498" s="26">
        <f t="shared" si="116"/>
        <v>1</v>
      </c>
      <c r="G1498" s="128" t="s">
        <v>1584</v>
      </c>
      <c r="H1498" s="28" t="s">
        <v>118</v>
      </c>
      <c r="I1498" s="158"/>
      <c r="J1498" s="30">
        <f t="shared" si="115"/>
        <v>1837.9305000000002</v>
      </c>
      <c r="K1498" s="30">
        <f>[14]Освещение!H48</f>
        <v>18379.305</v>
      </c>
      <c r="L1498" s="30">
        <f t="shared" si="114"/>
        <v>1837.93</v>
      </c>
      <c r="M1498" s="54">
        <f t="shared" si="113"/>
        <v>18379.305</v>
      </c>
      <c r="N1498" s="50">
        <f>ROUND('Смета ЕР (общ) '!$I1498*'Смета ЕР (общ) '!$L1498,2)</f>
        <v>0</v>
      </c>
      <c r="O1498" s="50">
        <f>ROUND('Смета ЕР (общ) '!$I1498*'Смета ЕР (общ) '!$M1498,2)</f>
        <v>0</v>
      </c>
      <c r="P1498" s="61" t="s">
        <v>1550</v>
      </c>
      <c r="Q1498" s="56"/>
    </row>
    <row r="1499" spans="1:17" s="35" customFormat="1" ht="14.4" hidden="1" x14ac:dyDescent="0.3">
      <c r="A1499" s="174" t="s">
        <v>1170</v>
      </c>
      <c r="B1499" s="174">
        <v>2</v>
      </c>
      <c r="C1499" s="174"/>
      <c r="D1499" s="174">
        <v>480</v>
      </c>
      <c r="E1499" s="174" t="str">
        <f>CONCATENATE('Смета ЕР (общ) '!$A1499,".",'Смета ЕР (общ) '!$B1499,".",'Смета ЕР (общ) '!$D1499)</f>
        <v>Р9.2.480</v>
      </c>
      <c r="F1499" s="26">
        <f t="shared" si="116"/>
        <v>1</v>
      </c>
      <c r="G1499" s="128" t="s">
        <v>1585</v>
      </c>
      <c r="H1499" s="28" t="s">
        <v>118</v>
      </c>
      <c r="I1499" s="158"/>
      <c r="J1499" s="30">
        <f t="shared" si="115"/>
        <v>1395.3870000000002</v>
      </c>
      <c r="K1499" s="30">
        <f>[14]Освещение!H49</f>
        <v>13953.87</v>
      </c>
      <c r="L1499" s="30">
        <f t="shared" si="114"/>
        <v>1395.39</v>
      </c>
      <c r="M1499" s="54">
        <f t="shared" si="113"/>
        <v>13953.87</v>
      </c>
      <c r="N1499" s="50">
        <f>ROUND('Смета ЕР (общ) '!$I1499*'Смета ЕР (общ) '!$L1499,2)</f>
        <v>0</v>
      </c>
      <c r="O1499" s="50">
        <f>ROUND('Смета ЕР (общ) '!$I1499*'Смета ЕР (общ) '!$M1499,2)</f>
        <v>0</v>
      </c>
      <c r="P1499" s="61" t="s">
        <v>1550</v>
      </c>
      <c r="Q1499" s="56"/>
    </row>
    <row r="1500" spans="1:17" s="35" customFormat="1" ht="20.399999999999999" hidden="1" x14ac:dyDescent="0.3">
      <c r="A1500" s="174" t="s">
        <v>1170</v>
      </c>
      <c r="B1500" s="174">
        <v>2</v>
      </c>
      <c r="C1500" s="174"/>
      <c r="D1500" s="174">
        <v>481</v>
      </c>
      <c r="E1500" s="174" t="str">
        <f>CONCATENATE('Смета ЕР (общ) '!$A1500,".",'Смета ЕР (общ) '!$B1500,".",'Смета ЕР (общ) '!$D1500)</f>
        <v>Р9.2.481</v>
      </c>
      <c r="F1500" s="26">
        <f t="shared" si="116"/>
        <v>1</v>
      </c>
      <c r="G1500" s="128" t="s">
        <v>1586</v>
      </c>
      <c r="H1500" s="28" t="s">
        <v>118</v>
      </c>
      <c r="I1500" s="158"/>
      <c r="J1500" s="30">
        <f t="shared" si="115"/>
        <v>1908.9945000000005</v>
      </c>
      <c r="K1500" s="30">
        <f>[14]Освещение!H50</f>
        <v>19089.945000000003</v>
      </c>
      <c r="L1500" s="30">
        <f t="shared" si="114"/>
        <v>1908.99</v>
      </c>
      <c r="M1500" s="54">
        <f t="shared" si="113"/>
        <v>19089.945000000003</v>
      </c>
      <c r="N1500" s="50">
        <f>ROUND('Смета ЕР (общ) '!$I1500*'Смета ЕР (общ) '!$L1500,2)</f>
        <v>0</v>
      </c>
      <c r="O1500" s="50">
        <f>ROUND('Смета ЕР (общ) '!$I1500*'Смета ЕР (общ) '!$M1500,2)</f>
        <v>0</v>
      </c>
      <c r="P1500" s="61" t="s">
        <v>1550</v>
      </c>
      <c r="Q1500" s="56"/>
    </row>
    <row r="1501" spans="1:17" s="35" customFormat="1" ht="14.4" hidden="1" x14ac:dyDescent="0.3">
      <c r="A1501" s="174" t="s">
        <v>1170</v>
      </c>
      <c r="B1501" s="174">
        <v>2</v>
      </c>
      <c r="C1501" s="174"/>
      <c r="D1501" s="174">
        <v>482</v>
      </c>
      <c r="E1501" s="174" t="str">
        <f>CONCATENATE('Смета ЕР (общ) '!$A1501,".",'Смета ЕР (общ) '!$B1501,".",'Смета ЕР (общ) '!$D1501)</f>
        <v>Р9.2.482</v>
      </c>
      <c r="F1501" s="26">
        <f t="shared" si="116"/>
        <v>1</v>
      </c>
      <c r="G1501" s="128" t="s">
        <v>1587</v>
      </c>
      <c r="H1501" s="28" t="s">
        <v>118</v>
      </c>
      <c r="I1501" s="158"/>
      <c r="J1501" s="30">
        <f t="shared" si="115"/>
        <v>5657.9985000000006</v>
      </c>
      <c r="K1501" s="30">
        <f>[14]Освещение!H51</f>
        <v>56579.985000000001</v>
      </c>
      <c r="L1501" s="30">
        <f t="shared" si="114"/>
        <v>5658</v>
      </c>
      <c r="M1501" s="54">
        <f t="shared" si="113"/>
        <v>56579.985000000001</v>
      </c>
      <c r="N1501" s="50">
        <f>ROUND('Смета ЕР (общ) '!$I1501*'Смета ЕР (общ) '!$L1501,2)</f>
        <v>0</v>
      </c>
      <c r="O1501" s="50">
        <f>ROUND('Смета ЕР (общ) '!$I1501*'Смета ЕР (общ) '!$M1501,2)</f>
        <v>0</v>
      </c>
      <c r="P1501" s="61" t="s">
        <v>1550</v>
      </c>
      <c r="Q1501" s="56"/>
    </row>
    <row r="1502" spans="1:17" s="35" customFormat="1" ht="14.4" hidden="1" x14ac:dyDescent="0.3">
      <c r="A1502" s="174" t="s">
        <v>1170</v>
      </c>
      <c r="B1502" s="174">
        <v>2</v>
      </c>
      <c r="C1502" s="174"/>
      <c r="D1502" s="174">
        <v>483</v>
      </c>
      <c r="E1502" s="174" t="str">
        <f>CONCATENATE('Смета ЕР (общ) '!$A1502,".",'Смета ЕР (общ) '!$B1502,".",'Смета ЕР (общ) '!$D1502)</f>
        <v>Р9.2.483</v>
      </c>
      <c r="F1502" s="26">
        <f t="shared" si="116"/>
        <v>1</v>
      </c>
      <c r="G1502" s="128" t="s">
        <v>1588</v>
      </c>
      <c r="H1502" s="28" t="s">
        <v>118</v>
      </c>
      <c r="I1502" s="158"/>
      <c r="J1502" s="30">
        <f t="shared" si="115"/>
        <v>1423.4535000000003</v>
      </c>
      <c r="K1502" s="30">
        <f>[14]Освещение!H52</f>
        <v>14234.535000000002</v>
      </c>
      <c r="L1502" s="30">
        <f t="shared" si="114"/>
        <v>1423.45</v>
      </c>
      <c r="M1502" s="54">
        <f t="shared" si="113"/>
        <v>14234.535000000002</v>
      </c>
      <c r="N1502" s="50">
        <f>ROUND('Смета ЕР (общ) '!$I1502*'Смета ЕР (общ) '!$L1502,2)</f>
        <v>0</v>
      </c>
      <c r="O1502" s="50">
        <f>ROUND('Смета ЕР (общ) '!$I1502*'Смета ЕР (общ) '!$M1502,2)</f>
        <v>0</v>
      </c>
      <c r="P1502" s="61" t="s">
        <v>1550</v>
      </c>
      <c r="Q1502" s="56"/>
    </row>
    <row r="1503" spans="1:17" s="35" customFormat="1" ht="30.6" hidden="1" x14ac:dyDescent="0.3">
      <c r="A1503" s="174" t="s">
        <v>1170</v>
      </c>
      <c r="B1503" s="174">
        <v>2</v>
      </c>
      <c r="C1503" s="174"/>
      <c r="D1503" s="174">
        <v>484</v>
      </c>
      <c r="E1503" s="174" t="str">
        <f>CONCATENATE('Смета ЕР (общ) '!$A1503,".",'Смета ЕР (общ) '!$B1503,".",'Смета ЕР (общ) '!$D1503)</f>
        <v>Р9.2.484</v>
      </c>
      <c r="F1503" s="26">
        <f t="shared" si="116"/>
        <v>1</v>
      </c>
      <c r="G1503" s="128" t="s">
        <v>1589</v>
      </c>
      <c r="H1503" s="28" t="s">
        <v>118</v>
      </c>
      <c r="I1503" s="158"/>
      <c r="J1503" s="30">
        <f t="shared" si="115"/>
        <v>1937.0610000000001</v>
      </c>
      <c r="K1503" s="30">
        <f>[14]Освещение!H53</f>
        <v>19370.61</v>
      </c>
      <c r="L1503" s="30">
        <f t="shared" si="114"/>
        <v>1937.06</v>
      </c>
      <c r="M1503" s="54">
        <f t="shared" si="113"/>
        <v>19370.61</v>
      </c>
      <c r="N1503" s="50">
        <f>ROUND('Смета ЕР (общ) '!$I1503*'Смета ЕР (общ) '!$L1503,2)</f>
        <v>0</v>
      </c>
      <c r="O1503" s="50">
        <f>ROUND('Смета ЕР (общ) '!$I1503*'Смета ЕР (общ) '!$M1503,2)</f>
        <v>0</v>
      </c>
      <c r="P1503" s="61" t="s">
        <v>1550</v>
      </c>
      <c r="Q1503" s="56"/>
    </row>
    <row r="1504" spans="1:17" s="35" customFormat="1" ht="14.4" hidden="1" x14ac:dyDescent="0.3">
      <c r="A1504" s="174" t="s">
        <v>1170</v>
      </c>
      <c r="B1504" s="174">
        <v>2</v>
      </c>
      <c r="C1504" s="174"/>
      <c r="D1504" s="174">
        <v>485</v>
      </c>
      <c r="E1504" s="174" t="str">
        <f>CONCATENATE('Смета ЕР (общ) '!$A1504,".",'Смета ЕР (общ) '!$B1504,".",'Смета ЕР (общ) '!$D1504)</f>
        <v>Р9.2.485</v>
      </c>
      <c r="F1504" s="26">
        <f t="shared" si="116"/>
        <v>1</v>
      </c>
      <c r="G1504" s="128" t="s">
        <v>1590</v>
      </c>
      <c r="H1504" s="28" t="s">
        <v>118</v>
      </c>
      <c r="I1504" s="158"/>
      <c r="J1504" s="30">
        <f t="shared" si="115"/>
        <v>1705.2525000000003</v>
      </c>
      <c r="K1504" s="30">
        <f>[14]Освещение!H54</f>
        <v>17052.525000000001</v>
      </c>
      <c r="L1504" s="30">
        <f t="shared" si="114"/>
        <v>1705.25</v>
      </c>
      <c r="M1504" s="54">
        <f t="shared" si="113"/>
        <v>17052.525000000001</v>
      </c>
      <c r="N1504" s="50">
        <f>ROUND('Смета ЕР (общ) '!$I1504*'Смета ЕР (общ) '!$L1504,2)</f>
        <v>0</v>
      </c>
      <c r="O1504" s="50">
        <f>ROUND('Смета ЕР (общ) '!$I1504*'Смета ЕР (общ) '!$M1504,2)</f>
        <v>0</v>
      </c>
      <c r="P1504" s="61" t="s">
        <v>1550</v>
      </c>
      <c r="Q1504" s="56"/>
    </row>
    <row r="1505" spans="1:17" s="35" customFormat="1" ht="14.4" hidden="1" x14ac:dyDescent="0.3">
      <c r="A1505" s="174" t="s">
        <v>1170</v>
      </c>
      <c r="B1505" s="174">
        <v>2</v>
      </c>
      <c r="C1505" s="174"/>
      <c r="D1505" s="174">
        <v>486</v>
      </c>
      <c r="E1505" s="174" t="str">
        <f>CONCATENATE('Смета ЕР (общ) '!$A1505,".",'Смета ЕР (общ) '!$B1505,".",'Смета ЕР (общ) '!$D1505)</f>
        <v>Р9.2.486</v>
      </c>
      <c r="F1505" s="26">
        <f t="shared" si="116"/>
        <v>1</v>
      </c>
      <c r="G1505" s="128" t="s">
        <v>1591</v>
      </c>
      <c r="H1505" s="28" t="s">
        <v>118</v>
      </c>
      <c r="I1505" s="158"/>
      <c r="J1505" s="30">
        <f t="shared" si="115"/>
        <v>5117.6475</v>
      </c>
      <c r="K1505" s="30">
        <f>[14]Освещение!H55</f>
        <v>51176.474999999999</v>
      </c>
      <c r="L1505" s="30">
        <f t="shared" si="114"/>
        <v>5117.6499999999996</v>
      </c>
      <c r="M1505" s="54">
        <f t="shared" si="113"/>
        <v>51176.474999999999</v>
      </c>
      <c r="N1505" s="50">
        <f>ROUND('Смета ЕР (общ) '!$I1505*'Смета ЕР (общ) '!$L1505,2)</f>
        <v>0</v>
      </c>
      <c r="O1505" s="50">
        <f>ROUND('Смета ЕР (общ) '!$I1505*'Смета ЕР (общ) '!$M1505,2)</f>
        <v>0</v>
      </c>
      <c r="P1505" s="61" t="s">
        <v>1550</v>
      </c>
      <c r="Q1505" s="56"/>
    </row>
    <row r="1506" spans="1:17" s="35" customFormat="1" ht="14.4" hidden="1" x14ac:dyDescent="0.3">
      <c r="A1506" s="174" t="s">
        <v>1170</v>
      </c>
      <c r="B1506" s="174">
        <v>2</v>
      </c>
      <c r="C1506" s="174"/>
      <c r="D1506" s="174">
        <v>487</v>
      </c>
      <c r="E1506" s="174" t="str">
        <f>CONCATENATE('Смета ЕР (общ) '!$A1506,".",'Смета ЕР (общ) '!$B1506,".",'Смета ЕР (общ) '!$D1506)</f>
        <v>Р9.2.487</v>
      </c>
      <c r="F1506" s="26">
        <f t="shared" si="116"/>
        <v>1</v>
      </c>
      <c r="G1506" s="128" t="s">
        <v>1592</v>
      </c>
      <c r="H1506" s="28" t="s">
        <v>118</v>
      </c>
      <c r="I1506" s="158"/>
      <c r="J1506" s="30">
        <f t="shared" si="115"/>
        <v>66.055500000000009</v>
      </c>
      <c r="K1506" s="30">
        <f>[14]Освещение!H56</f>
        <v>660.55500000000006</v>
      </c>
      <c r="L1506" s="30">
        <f t="shared" si="114"/>
        <v>66.06</v>
      </c>
      <c r="M1506" s="54">
        <f t="shared" si="113"/>
        <v>660.55500000000006</v>
      </c>
      <c r="N1506" s="50">
        <f>ROUND('Смета ЕР (общ) '!$I1506*'Смета ЕР (общ) '!$L1506,2)</f>
        <v>0</v>
      </c>
      <c r="O1506" s="50">
        <f>ROUND('Смета ЕР (общ) '!$I1506*'Смета ЕР (общ) '!$M1506,2)</f>
        <v>0</v>
      </c>
      <c r="P1506" s="61" t="s">
        <v>1550</v>
      </c>
      <c r="Q1506" s="56"/>
    </row>
    <row r="1507" spans="1:17" s="35" customFormat="1" ht="20.399999999999999" hidden="1" x14ac:dyDescent="0.3">
      <c r="A1507" s="174" t="s">
        <v>1170</v>
      </c>
      <c r="B1507" s="174">
        <v>2</v>
      </c>
      <c r="C1507" s="174"/>
      <c r="D1507" s="174">
        <v>488</v>
      </c>
      <c r="E1507" s="174" t="str">
        <f>CONCATENATE('Смета ЕР (общ) '!$A1507,".",'Смета ЕР (общ) '!$B1507,".",'Смета ЕР (общ) '!$D1507)</f>
        <v>Р9.2.488</v>
      </c>
      <c r="F1507" s="26">
        <f t="shared" si="116"/>
        <v>1</v>
      </c>
      <c r="G1507" s="128" t="s">
        <v>1593</v>
      </c>
      <c r="H1507" s="28" t="s">
        <v>118</v>
      </c>
      <c r="I1507" s="158"/>
      <c r="J1507" s="30">
        <f t="shared" si="115"/>
        <v>4811.6565000000001</v>
      </c>
      <c r="K1507" s="30">
        <f>[14]Освещение!H57</f>
        <v>48116.565000000002</v>
      </c>
      <c r="L1507" s="30">
        <f t="shared" si="114"/>
        <v>4811.66</v>
      </c>
      <c r="M1507" s="54">
        <f t="shared" ref="M1507:M1570" si="117">K1507</f>
        <v>48116.565000000002</v>
      </c>
      <c r="N1507" s="50">
        <f>ROUND('Смета ЕР (общ) '!$I1507*'Смета ЕР (общ) '!$L1507,2)</f>
        <v>0</v>
      </c>
      <c r="O1507" s="50">
        <f>ROUND('Смета ЕР (общ) '!$I1507*'Смета ЕР (общ) '!$M1507,2)</f>
        <v>0</v>
      </c>
      <c r="P1507" s="61" t="s">
        <v>1550</v>
      </c>
      <c r="Q1507" s="56"/>
    </row>
    <row r="1508" spans="1:17" s="35" customFormat="1" ht="14.4" hidden="1" x14ac:dyDescent="0.3">
      <c r="A1508" s="174" t="s">
        <v>1170</v>
      </c>
      <c r="B1508" s="174">
        <v>2</v>
      </c>
      <c r="C1508" s="174"/>
      <c r="D1508" s="174">
        <v>489</v>
      </c>
      <c r="E1508" s="174" t="str">
        <f>CONCATENATE('Смета ЕР (общ) '!$A1508,".",'Смета ЕР (общ) '!$B1508,".",'Смета ЕР (общ) '!$D1508)</f>
        <v>Р9.2.489</v>
      </c>
      <c r="F1508" s="26">
        <f t="shared" si="116"/>
        <v>1</v>
      </c>
      <c r="G1508" s="128" t="s">
        <v>1594</v>
      </c>
      <c r="H1508" s="28" t="s">
        <v>118</v>
      </c>
      <c r="I1508" s="158"/>
      <c r="J1508" s="30">
        <f t="shared" si="115"/>
        <v>899.9235000000001</v>
      </c>
      <c r="K1508" s="30">
        <f>[14]Освещение!H58</f>
        <v>8999.2350000000006</v>
      </c>
      <c r="L1508" s="30">
        <f t="shared" si="114"/>
        <v>899.92</v>
      </c>
      <c r="M1508" s="54">
        <f t="shared" si="117"/>
        <v>8999.2350000000006</v>
      </c>
      <c r="N1508" s="50">
        <f>ROUND('Смета ЕР (общ) '!$I1508*'Смета ЕР (общ) '!$L1508,2)</f>
        <v>0</v>
      </c>
      <c r="O1508" s="50">
        <f>ROUND('Смета ЕР (общ) '!$I1508*'Смета ЕР (общ) '!$M1508,2)</f>
        <v>0</v>
      </c>
      <c r="P1508" s="61" t="s">
        <v>1550</v>
      </c>
      <c r="Q1508" s="56"/>
    </row>
    <row r="1509" spans="1:17" s="35" customFormat="1" ht="14.4" hidden="1" x14ac:dyDescent="0.3">
      <c r="A1509" s="174" t="s">
        <v>1170</v>
      </c>
      <c r="B1509" s="174">
        <v>2</v>
      </c>
      <c r="C1509" s="174"/>
      <c r="D1509" s="174">
        <v>490</v>
      </c>
      <c r="E1509" s="174" t="str">
        <f>CONCATENATE('Смета ЕР (общ) '!$A1509,".",'Смета ЕР (общ) '!$B1509,".",'Смета ЕР (общ) '!$D1509)</f>
        <v>Р9.2.490</v>
      </c>
      <c r="F1509" s="26">
        <f t="shared" si="116"/>
        <v>1</v>
      </c>
      <c r="G1509" s="128" t="s">
        <v>1595</v>
      </c>
      <c r="H1509" s="28" t="s">
        <v>118</v>
      </c>
      <c r="I1509" s="158"/>
      <c r="J1509" s="30">
        <f t="shared" si="115"/>
        <v>2236.5315000000001</v>
      </c>
      <c r="K1509" s="30">
        <f>[14]Освещение!H59</f>
        <v>22365.314999999999</v>
      </c>
      <c r="L1509" s="30">
        <f t="shared" si="114"/>
        <v>2236.5300000000002</v>
      </c>
      <c r="M1509" s="54">
        <f t="shared" si="117"/>
        <v>22365.314999999999</v>
      </c>
      <c r="N1509" s="50">
        <f>ROUND('Смета ЕР (общ) '!$I1509*'Смета ЕР (общ) '!$L1509,2)</f>
        <v>0</v>
      </c>
      <c r="O1509" s="50">
        <f>ROUND('Смета ЕР (общ) '!$I1509*'Смета ЕР (общ) '!$M1509,2)</f>
        <v>0</v>
      </c>
      <c r="P1509" s="61" t="s">
        <v>1550</v>
      </c>
      <c r="Q1509" s="56"/>
    </row>
    <row r="1510" spans="1:17" s="35" customFormat="1" ht="14.4" hidden="1" x14ac:dyDescent="0.3">
      <c r="A1510" s="174" t="s">
        <v>1170</v>
      </c>
      <c r="B1510" s="174">
        <v>2</v>
      </c>
      <c r="C1510" s="174"/>
      <c r="D1510" s="174">
        <v>491</v>
      </c>
      <c r="E1510" s="174" t="str">
        <f>CONCATENATE('Смета ЕР (общ) '!$A1510,".",'Смета ЕР (общ) '!$B1510,".",'Смета ЕР (общ) '!$D1510)</f>
        <v>Р9.2.491</v>
      </c>
      <c r="F1510" s="26">
        <f t="shared" si="116"/>
        <v>1</v>
      </c>
      <c r="G1510" s="128" t="s">
        <v>1596</v>
      </c>
      <c r="H1510" s="28" t="s">
        <v>118</v>
      </c>
      <c r="I1510" s="158"/>
      <c r="J1510" s="30">
        <f t="shared" si="115"/>
        <v>3573.0450000000005</v>
      </c>
      <c r="K1510" s="30">
        <f>[14]Освещение!H60</f>
        <v>35730.450000000004</v>
      </c>
      <c r="L1510" s="30">
        <f t="shared" si="114"/>
        <v>3573.05</v>
      </c>
      <c r="M1510" s="54">
        <f t="shared" si="117"/>
        <v>35730.450000000004</v>
      </c>
      <c r="N1510" s="50">
        <f>ROUND('Смета ЕР (общ) '!$I1510*'Смета ЕР (общ) '!$L1510,2)</f>
        <v>0</v>
      </c>
      <c r="O1510" s="50">
        <f>ROUND('Смета ЕР (общ) '!$I1510*'Смета ЕР (общ) '!$M1510,2)</f>
        <v>0</v>
      </c>
      <c r="P1510" s="61" t="s">
        <v>1550</v>
      </c>
      <c r="Q1510" s="56"/>
    </row>
    <row r="1511" spans="1:17" s="35" customFormat="1" ht="14.4" hidden="1" x14ac:dyDescent="0.3">
      <c r="A1511" s="174" t="s">
        <v>1170</v>
      </c>
      <c r="B1511" s="174">
        <v>2</v>
      </c>
      <c r="C1511" s="174"/>
      <c r="D1511" s="174">
        <v>492</v>
      </c>
      <c r="E1511" s="174" t="str">
        <f>CONCATENATE('Смета ЕР (общ) '!$A1511,".",'Смета ЕР (общ) '!$B1511,".",'Смета ЕР (общ) '!$D1511)</f>
        <v>Р9.2.492</v>
      </c>
      <c r="F1511" s="26">
        <f t="shared" si="116"/>
        <v>1</v>
      </c>
      <c r="G1511" s="128" t="s">
        <v>1597</v>
      </c>
      <c r="H1511" s="28" t="s">
        <v>118</v>
      </c>
      <c r="I1511" s="158"/>
      <c r="J1511" s="30">
        <f t="shared" si="115"/>
        <v>1078.434</v>
      </c>
      <c r="K1511" s="30">
        <f>[14]Освещение!H61</f>
        <v>10784.34</v>
      </c>
      <c r="L1511" s="30">
        <f t="shared" si="114"/>
        <v>1078.43</v>
      </c>
      <c r="M1511" s="54">
        <f t="shared" si="117"/>
        <v>10784.34</v>
      </c>
      <c r="N1511" s="50">
        <f>ROUND('Смета ЕР (общ) '!$I1511*'Смета ЕР (общ) '!$L1511,2)</f>
        <v>0</v>
      </c>
      <c r="O1511" s="50">
        <f>ROUND('Смета ЕР (общ) '!$I1511*'Смета ЕР (общ) '!$M1511,2)</f>
        <v>0</v>
      </c>
      <c r="P1511" s="61" t="s">
        <v>1550</v>
      </c>
      <c r="Q1511" s="56"/>
    </row>
    <row r="1512" spans="1:17" s="35" customFormat="1" ht="14.4" hidden="1" x14ac:dyDescent="0.3">
      <c r="A1512" s="174" t="s">
        <v>1170</v>
      </c>
      <c r="B1512" s="174">
        <v>2</v>
      </c>
      <c r="C1512" s="174"/>
      <c r="D1512" s="174">
        <v>493</v>
      </c>
      <c r="E1512" s="174" t="str">
        <f>CONCATENATE('Смета ЕР (общ) '!$A1512,".",'Смета ЕР (общ) '!$B1512,".",'Смета ЕР (общ) '!$D1512)</f>
        <v>Р9.2.493</v>
      </c>
      <c r="F1512" s="26">
        <f t="shared" si="116"/>
        <v>1</v>
      </c>
      <c r="G1512" s="128" t="s">
        <v>1598</v>
      </c>
      <c r="H1512" s="28" t="s">
        <v>118</v>
      </c>
      <c r="I1512" s="158"/>
      <c r="J1512" s="30">
        <f t="shared" si="115"/>
        <v>2014.2674999999999</v>
      </c>
      <c r="K1512" s="30">
        <f>[14]Освещение!H62</f>
        <v>20142.674999999999</v>
      </c>
      <c r="L1512" s="30">
        <f t="shared" si="114"/>
        <v>2014.27</v>
      </c>
      <c r="M1512" s="54">
        <f t="shared" si="117"/>
        <v>20142.674999999999</v>
      </c>
      <c r="N1512" s="50">
        <f>ROUND('Смета ЕР (общ) '!$I1512*'Смета ЕР (общ) '!$L1512,2)</f>
        <v>0</v>
      </c>
      <c r="O1512" s="50">
        <f>ROUND('Смета ЕР (общ) '!$I1512*'Смета ЕР (общ) '!$M1512,2)</f>
        <v>0</v>
      </c>
      <c r="P1512" s="61" t="s">
        <v>1550</v>
      </c>
      <c r="Q1512" s="56"/>
    </row>
    <row r="1513" spans="1:17" s="35" customFormat="1" ht="14.4" hidden="1" x14ac:dyDescent="0.3">
      <c r="A1513" s="174" t="s">
        <v>1170</v>
      </c>
      <c r="B1513" s="174">
        <v>2</v>
      </c>
      <c r="C1513" s="174"/>
      <c r="D1513" s="174">
        <v>494</v>
      </c>
      <c r="E1513" s="174" t="str">
        <f>CONCATENATE('Смета ЕР (общ) '!$A1513,".",'Смета ЕР (общ) '!$B1513,".",'Смета ЕР (общ) '!$D1513)</f>
        <v>Р9.2.494</v>
      </c>
      <c r="F1513" s="26">
        <f t="shared" si="116"/>
        <v>1</v>
      </c>
      <c r="G1513" s="128" t="s">
        <v>1599</v>
      </c>
      <c r="H1513" s="28" t="s">
        <v>118</v>
      </c>
      <c r="I1513" s="158"/>
      <c r="J1513" s="30">
        <f t="shared" si="115"/>
        <v>2905.2135000000003</v>
      </c>
      <c r="K1513" s="30">
        <f>[14]Освещение!H63</f>
        <v>29052.135000000002</v>
      </c>
      <c r="L1513" s="30">
        <f t="shared" si="114"/>
        <v>2905.21</v>
      </c>
      <c r="M1513" s="54">
        <f t="shared" si="117"/>
        <v>29052.135000000002</v>
      </c>
      <c r="N1513" s="50">
        <f>ROUND('Смета ЕР (общ) '!$I1513*'Смета ЕР (общ) '!$L1513,2)</f>
        <v>0</v>
      </c>
      <c r="O1513" s="50">
        <f>ROUND('Смета ЕР (общ) '!$I1513*'Смета ЕР (общ) '!$M1513,2)</f>
        <v>0</v>
      </c>
      <c r="P1513" s="61" t="s">
        <v>1550</v>
      </c>
      <c r="Q1513" s="56"/>
    </row>
    <row r="1514" spans="1:17" s="35" customFormat="1" ht="14.4" hidden="1" x14ac:dyDescent="0.3">
      <c r="A1514" s="174" t="s">
        <v>1170</v>
      </c>
      <c r="B1514" s="174">
        <v>2</v>
      </c>
      <c r="C1514" s="174"/>
      <c r="D1514" s="174">
        <v>495</v>
      </c>
      <c r="E1514" s="174" t="str">
        <f>CONCATENATE('Смета ЕР (общ) '!$A1514,".",'Смета ЕР (общ) '!$B1514,".",'Смета ЕР (общ) '!$D1514)</f>
        <v>Р9.2.495</v>
      </c>
      <c r="F1514" s="26">
        <f t="shared" si="116"/>
        <v>1</v>
      </c>
      <c r="G1514" s="128" t="s">
        <v>1600</v>
      </c>
      <c r="H1514" s="28" t="s">
        <v>118</v>
      </c>
      <c r="I1514" s="158"/>
      <c r="J1514" s="30">
        <f t="shared" si="115"/>
        <v>2905.2135000000003</v>
      </c>
      <c r="K1514" s="30">
        <f>[14]Освещение!H64</f>
        <v>29052.135000000002</v>
      </c>
      <c r="L1514" s="30">
        <f t="shared" si="114"/>
        <v>2905.21</v>
      </c>
      <c r="M1514" s="54">
        <f t="shared" si="117"/>
        <v>29052.135000000002</v>
      </c>
      <c r="N1514" s="50">
        <f>ROUND('Смета ЕР (общ) '!$I1514*'Смета ЕР (общ) '!$L1514,2)</f>
        <v>0</v>
      </c>
      <c r="O1514" s="50">
        <f>ROUND('Смета ЕР (общ) '!$I1514*'Смета ЕР (общ) '!$M1514,2)</f>
        <v>0</v>
      </c>
      <c r="P1514" s="61" t="s">
        <v>1550</v>
      </c>
      <c r="Q1514" s="56"/>
    </row>
    <row r="1515" spans="1:17" s="35" customFormat="1" ht="14.4" hidden="1" x14ac:dyDescent="0.3">
      <c r="A1515" s="174" t="s">
        <v>1170</v>
      </c>
      <c r="B1515" s="174">
        <v>2</v>
      </c>
      <c r="C1515" s="174"/>
      <c r="D1515" s="174">
        <v>496</v>
      </c>
      <c r="E1515" s="174" t="str">
        <f>CONCATENATE('Смета ЕР (общ) '!$A1515,".",'Смета ЕР (общ) '!$B1515,".",'Смета ЕР (общ) '!$D1515)</f>
        <v>Р9.2.496</v>
      </c>
      <c r="F1515" s="26">
        <f t="shared" si="116"/>
        <v>1</v>
      </c>
      <c r="G1515" s="128" t="s">
        <v>1601</v>
      </c>
      <c r="H1515" s="28" t="s">
        <v>118</v>
      </c>
      <c r="I1515" s="158"/>
      <c r="J1515" s="30">
        <f t="shared" si="115"/>
        <v>3127.4775000000004</v>
      </c>
      <c r="K1515" s="30">
        <f>[14]Освещение!H65</f>
        <v>31274.775000000001</v>
      </c>
      <c r="L1515" s="30">
        <f t="shared" si="114"/>
        <v>3127.48</v>
      </c>
      <c r="M1515" s="54">
        <f t="shared" si="117"/>
        <v>31274.775000000001</v>
      </c>
      <c r="N1515" s="50">
        <f>ROUND('Смета ЕР (общ) '!$I1515*'Смета ЕР (общ) '!$L1515,2)</f>
        <v>0</v>
      </c>
      <c r="O1515" s="50">
        <f>ROUND('Смета ЕР (общ) '!$I1515*'Смета ЕР (общ) '!$M1515,2)</f>
        <v>0</v>
      </c>
      <c r="P1515" s="61" t="s">
        <v>1550</v>
      </c>
      <c r="Q1515" s="56"/>
    </row>
    <row r="1516" spans="1:17" s="35" customFormat="1" ht="14.4" hidden="1" x14ac:dyDescent="0.3">
      <c r="A1516" s="174" t="s">
        <v>1170</v>
      </c>
      <c r="B1516" s="174">
        <v>2</v>
      </c>
      <c r="C1516" s="174"/>
      <c r="D1516" s="174">
        <v>497</v>
      </c>
      <c r="E1516" s="174" t="str">
        <f>CONCATENATE('Смета ЕР (общ) '!$A1516,".",'Смета ЕР (общ) '!$B1516,".",'Смета ЕР (общ) '!$D1516)</f>
        <v>Р9.2.497</v>
      </c>
      <c r="F1516" s="26">
        <f t="shared" si="116"/>
        <v>1</v>
      </c>
      <c r="G1516" s="128" t="s">
        <v>1602</v>
      </c>
      <c r="H1516" s="28" t="s">
        <v>118</v>
      </c>
      <c r="I1516" s="158"/>
      <c r="J1516" s="30">
        <f t="shared" si="115"/>
        <v>3127.4775000000004</v>
      </c>
      <c r="K1516" s="30">
        <f>[14]Освещение!H66</f>
        <v>31274.775000000001</v>
      </c>
      <c r="L1516" s="30">
        <f t="shared" si="114"/>
        <v>3127.48</v>
      </c>
      <c r="M1516" s="54">
        <f t="shared" si="117"/>
        <v>31274.775000000001</v>
      </c>
      <c r="N1516" s="50">
        <f>ROUND('Смета ЕР (общ) '!$I1516*'Смета ЕР (общ) '!$L1516,2)</f>
        <v>0</v>
      </c>
      <c r="O1516" s="50">
        <f>ROUND('Смета ЕР (общ) '!$I1516*'Смета ЕР (общ) '!$M1516,2)</f>
        <v>0</v>
      </c>
      <c r="P1516" s="61" t="s">
        <v>1550</v>
      </c>
      <c r="Q1516" s="56"/>
    </row>
    <row r="1517" spans="1:17" s="35" customFormat="1" ht="14.4" hidden="1" x14ac:dyDescent="0.3">
      <c r="A1517" s="174" t="s">
        <v>1170</v>
      </c>
      <c r="B1517" s="174">
        <v>2</v>
      </c>
      <c r="C1517" s="174"/>
      <c r="D1517" s="174">
        <v>498</v>
      </c>
      <c r="E1517" s="174" t="str">
        <f>CONCATENATE('Смета ЕР (общ) '!$A1517,".",'Смета ЕР (общ) '!$B1517,".",'Смета ЕР (общ) '!$D1517)</f>
        <v>Р9.2.498</v>
      </c>
      <c r="F1517" s="26">
        <f t="shared" si="116"/>
        <v>1</v>
      </c>
      <c r="G1517" s="128" t="s">
        <v>1603</v>
      </c>
      <c r="H1517" s="28" t="s">
        <v>118</v>
      </c>
      <c r="I1517" s="158"/>
      <c r="J1517" s="30">
        <f t="shared" si="115"/>
        <v>3796.2540000000008</v>
      </c>
      <c r="K1517" s="30">
        <f>[14]Освещение!H67</f>
        <v>37962.540000000008</v>
      </c>
      <c r="L1517" s="30">
        <f t="shared" si="114"/>
        <v>3796.25</v>
      </c>
      <c r="M1517" s="54">
        <f t="shared" si="117"/>
        <v>37962.540000000008</v>
      </c>
      <c r="N1517" s="50">
        <f>ROUND('Смета ЕР (общ) '!$I1517*'Смета ЕР (общ) '!$L1517,2)</f>
        <v>0</v>
      </c>
      <c r="O1517" s="50">
        <f>ROUND('Смета ЕР (общ) '!$I1517*'Смета ЕР (общ) '!$M1517,2)</f>
        <v>0</v>
      </c>
      <c r="P1517" s="61" t="s">
        <v>1550</v>
      </c>
      <c r="Q1517" s="56"/>
    </row>
    <row r="1518" spans="1:17" s="35" customFormat="1" ht="14.4" hidden="1" x14ac:dyDescent="0.3">
      <c r="A1518" s="174" t="s">
        <v>1170</v>
      </c>
      <c r="B1518" s="174">
        <v>2</v>
      </c>
      <c r="C1518" s="174"/>
      <c r="D1518" s="174">
        <v>499</v>
      </c>
      <c r="E1518" s="174" t="str">
        <f>CONCATENATE('Смета ЕР (общ) '!$A1518,".",'Смета ЕР (общ) '!$B1518,".",'Смета ЕР (общ) '!$D1518)</f>
        <v>Р9.2.499</v>
      </c>
      <c r="F1518" s="26">
        <f t="shared" si="116"/>
        <v>1</v>
      </c>
      <c r="G1518" s="128" t="s">
        <v>1604</v>
      </c>
      <c r="H1518" s="28" t="s">
        <v>118</v>
      </c>
      <c r="I1518" s="158"/>
      <c r="J1518" s="30">
        <f t="shared" si="115"/>
        <v>4909.6530000000002</v>
      </c>
      <c r="K1518" s="30">
        <f>[14]Освещение!H68</f>
        <v>49096.53</v>
      </c>
      <c r="L1518" s="30">
        <f t="shared" si="114"/>
        <v>4909.6499999999996</v>
      </c>
      <c r="M1518" s="54">
        <f t="shared" si="117"/>
        <v>49096.53</v>
      </c>
      <c r="N1518" s="50">
        <f>ROUND('Смета ЕР (общ) '!$I1518*'Смета ЕР (общ) '!$L1518,2)</f>
        <v>0</v>
      </c>
      <c r="O1518" s="50">
        <f>ROUND('Смета ЕР (общ) '!$I1518*'Смета ЕР (общ) '!$M1518,2)</f>
        <v>0</v>
      </c>
      <c r="P1518" s="61" t="s">
        <v>1550</v>
      </c>
      <c r="Q1518" s="56"/>
    </row>
    <row r="1519" spans="1:17" s="35" customFormat="1" ht="14.4" hidden="1" x14ac:dyDescent="0.3">
      <c r="A1519" s="174" t="s">
        <v>1170</v>
      </c>
      <c r="B1519" s="174">
        <v>2</v>
      </c>
      <c r="C1519" s="174"/>
      <c r="D1519" s="174">
        <v>500</v>
      </c>
      <c r="E1519" s="174" t="str">
        <f>CONCATENATE('Смета ЕР (общ) '!$A1519,".",'Смета ЕР (общ) '!$B1519,".",'Смета ЕР (общ) '!$D1519)</f>
        <v>Р9.2.500</v>
      </c>
      <c r="F1519" s="26">
        <f t="shared" si="116"/>
        <v>1</v>
      </c>
      <c r="G1519" s="128" t="s">
        <v>1605</v>
      </c>
      <c r="H1519" s="28" t="s">
        <v>118</v>
      </c>
      <c r="I1519" s="158"/>
      <c r="J1519" s="30">
        <f t="shared" si="115"/>
        <v>5132.7675000000008</v>
      </c>
      <c r="K1519" s="30">
        <f>[14]Освещение!H69</f>
        <v>51327.675000000003</v>
      </c>
      <c r="L1519" s="30">
        <f t="shared" si="114"/>
        <v>5132.7700000000004</v>
      </c>
      <c r="M1519" s="54">
        <f t="shared" si="117"/>
        <v>51327.675000000003</v>
      </c>
      <c r="N1519" s="50">
        <f>ROUND('Смета ЕР (общ) '!$I1519*'Смета ЕР (общ) '!$L1519,2)</f>
        <v>0</v>
      </c>
      <c r="O1519" s="50">
        <f>ROUND('Смета ЕР (общ) '!$I1519*'Смета ЕР (общ) '!$M1519,2)</f>
        <v>0</v>
      </c>
      <c r="P1519" s="61" t="s">
        <v>1550</v>
      </c>
      <c r="Q1519" s="56"/>
    </row>
    <row r="1520" spans="1:17" s="35" customFormat="1" ht="14.4" hidden="1" x14ac:dyDescent="0.3">
      <c r="A1520" s="174" t="s">
        <v>1170</v>
      </c>
      <c r="B1520" s="174">
        <v>2</v>
      </c>
      <c r="C1520" s="174"/>
      <c r="D1520" s="174">
        <v>501</v>
      </c>
      <c r="E1520" s="174" t="str">
        <f>CONCATENATE('Смета ЕР (общ) '!$A1520,".",'Смета ЕР (общ) '!$B1520,".",'Смета ЕР (общ) '!$D1520)</f>
        <v>Р9.2.501</v>
      </c>
      <c r="F1520" s="26">
        <f t="shared" si="116"/>
        <v>1</v>
      </c>
      <c r="G1520" s="128" t="s">
        <v>1606</v>
      </c>
      <c r="H1520" s="28" t="s">
        <v>118</v>
      </c>
      <c r="I1520" s="158"/>
      <c r="J1520" s="30">
        <f t="shared" si="115"/>
        <v>5355.1260000000002</v>
      </c>
      <c r="K1520" s="30">
        <f>[14]Освещение!H70</f>
        <v>53551.26</v>
      </c>
      <c r="L1520" s="30">
        <f t="shared" si="114"/>
        <v>5355.13</v>
      </c>
      <c r="M1520" s="54">
        <f t="shared" si="117"/>
        <v>53551.26</v>
      </c>
      <c r="N1520" s="50">
        <f>ROUND('Смета ЕР (общ) '!$I1520*'Смета ЕР (общ) '!$L1520,2)</f>
        <v>0</v>
      </c>
      <c r="O1520" s="50">
        <f>ROUND('Смета ЕР (общ) '!$I1520*'Смета ЕР (общ) '!$M1520,2)</f>
        <v>0</v>
      </c>
      <c r="P1520" s="61" t="s">
        <v>1550</v>
      </c>
      <c r="Q1520" s="56"/>
    </row>
    <row r="1521" spans="1:17" s="35" customFormat="1" ht="14.4" hidden="1" x14ac:dyDescent="0.3">
      <c r="A1521" s="174" t="s">
        <v>1170</v>
      </c>
      <c r="B1521" s="174">
        <v>2</v>
      </c>
      <c r="C1521" s="174"/>
      <c r="D1521" s="174">
        <v>502</v>
      </c>
      <c r="E1521" s="174" t="str">
        <f>CONCATENATE('Смета ЕР (общ) '!$A1521,".",'Смета ЕР (общ) '!$B1521,".",'Смета ЕР (общ) '!$D1521)</f>
        <v>Р9.2.502</v>
      </c>
      <c r="F1521" s="26">
        <f t="shared" si="116"/>
        <v>1</v>
      </c>
      <c r="G1521" s="128" t="s">
        <v>1607</v>
      </c>
      <c r="H1521" s="28" t="s">
        <v>118</v>
      </c>
      <c r="I1521" s="158"/>
      <c r="J1521" s="30">
        <f t="shared" si="115"/>
        <v>5578.4295000000011</v>
      </c>
      <c r="K1521" s="30">
        <f>[14]Освещение!H71</f>
        <v>55784.295000000006</v>
      </c>
      <c r="L1521" s="30">
        <f t="shared" si="114"/>
        <v>5578.43</v>
      </c>
      <c r="M1521" s="54">
        <f t="shared" si="117"/>
        <v>55784.295000000006</v>
      </c>
      <c r="N1521" s="50">
        <f>ROUND('Смета ЕР (общ) '!$I1521*'Смета ЕР (общ) '!$L1521,2)</f>
        <v>0</v>
      </c>
      <c r="O1521" s="50">
        <f>ROUND('Смета ЕР (общ) '!$I1521*'Смета ЕР (общ) '!$M1521,2)</f>
        <v>0</v>
      </c>
      <c r="P1521" s="61" t="s">
        <v>1550</v>
      </c>
      <c r="Q1521" s="56"/>
    </row>
    <row r="1522" spans="1:17" s="35" customFormat="1" ht="14.4" hidden="1" x14ac:dyDescent="0.3">
      <c r="A1522" s="174" t="s">
        <v>1170</v>
      </c>
      <c r="B1522" s="174">
        <v>2</v>
      </c>
      <c r="C1522" s="174"/>
      <c r="D1522" s="174">
        <v>503</v>
      </c>
      <c r="E1522" s="174" t="str">
        <f>CONCATENATE('Смета ЕР (общ) '!$A1522,".",'Смета ЕР (общ) '!$B1522,".",'Смета ЕР (общ) '!$D1522)</f>
        <v>Р9.2.503</v>
      </c>
      <c r="F1522" s="26">
        <f t="shared" si="116"/>
        <v>1</v>
      </c>
      <c r="G1522" s="128" t="s">
        <v>1608</v>
      </c>
      <c r="H1522" s="28" t="s">
        <v>118</v>
      </c>
      <c r="I1522" s="158"/>
      <c r="J1522" s="30">
        <f t="shared" si="115"/>
        <v>6469.375500000001</v>
      </c>
      <c r="K1522" s="30">
        <f>[14]Освещение!H72</f>
        <v>64693.755000000005</v>
      </c>
      <c r="L1522" s="30">
        <f t="shared" si="114"/>
        <v>6469.38</v>
      </c>
      <c r="M1522" s="54">
        <f t="shared" si="117"/>
        <v>64693.755000000005</v>
      </c>
      <c r="N1522" s="50">
        <f>ROUND('Смета ЕР (общ) '!$I1522*'Смета ЕР (общ) '!$L1522,2)</f>
        <v>0</v>
      </c>
      <c r="O1522" s="50">
        <f>ROUND('Смета ЕР (общ) '!$I1522*'Смета ЕР (общ) '!$M1522,2)</f>
        <v>0</v>
      </c>
      <c r="P1522" s="61" t="s">
        <v>1550</v>
      </c>
      <c r="Q1522" s="56"/>
    </row>
    <row r="1523" spans="1:17" s="35" customFormat="1" ht="14.4" hidden="1" x14ac:dyDescent="0.3">
      <c r="A1523" s="174" t="s">
        <v>1170</v>
      </c>
      <c r="B1523" s="174">
        <v>2</v>
      </c>
      <c r="C1523" s="174"/>
      <c r="D1523" s="174">
        <v>504</v>
      </c>
      <c r="E1523" s="174" t="str">
        <f>CONCATENATE('Смета ЕР (общ) '!$A1523,".",'Смета ЕР (общ) '!$B1523,".",'Смета ЕР (общ) '!$D1523)</f>
        <v>Р9.2.504</v>
      </c>
      <c r="F1523" s="26">
        <f t="shared" si="116"/>
        <v>1</v>
      </c>
      <c r="G1523" s="128" t="s">
        <v>1609</v>
      </c>
      <c r="H1523" s="28" t="s">
        <v>118</v>
      </c>
      <c r="I1523" s="158"/>
      <c r="J1523" s="30">
        <f t="shared" si="115"/>
        <v>6691.6395000000011</v>
      </c>
      <c r="K1523" s="30">
        <f>[14]Освещение!H73</f>
        <v>66916.395000000004</v>
      </c>
      <c r="L1523" s="30">
        <f t="shared" si="114"/>
        <v>6691.64</v>
      </c>
      <c r="M1523" s="54">
        <f t="shared" si="117"/>
        <v>66916.395000000004</v>
      </c>
      <c r="N1523" s="50">
        <f>ROUND('Смета ЕР (общ) '!$I1523*'Смета ЕР (общ) '!$L1523,2)</f>
        <v>0</v>
      </c>
      <c r="O1523" s="50">
        <f>ROUND('Смета ЕР (общ) '!$I1523*'Смета ЕР (общ) '!$M1523,2)</f>
        <v>0</v>
      </c>
      <c r="P1523" s="61" t="s">
        <v>1550</v>
      </c>
      <c r="Q1523" s="56"/>
    </row>
    <row r="1524" spans="1:17" s="35" customFormat="1" ht="14.4" hidden="1" x14ac:dyDescent="0.3">
      <c r="A1524" s="174" t="s">
        <v>1170</v>
      </c>
      <c r="B1524" s="174">
        <v>2</v>
      </c>
      <c r="C1524" s="174"/>
      <c r="D1524" s="174">
        <v>505</v>
      </c>
      <c r="E1524" s="174" t="str">
        <f>CONCATENATE('Смета ЕР (общ) '!$A1524,".",'Смета ЕР (общ) '!$B1524,".",'Смета ЕР (общ) '!$D1524)</f>
        <v>Р9.2.505</v>
      </c>
      <c r="F1524" s="26">
        <f t="shared" si="116"/>
        <v>1</v>
      </c>
      <c r="G1524" s="128" t="s">
        <v>1610</v>
      </c>
      <c r="H1524" s="28" t="s">
        <v>118</v>
      </c>
      <c r="I1524" s="158"/>
      <c r="J1524" s="30">
        <f t="shared" si="115"/>
        <v>7582.8690000000006</v>
      </c>
      <c r="K1524" s="30">
        <f>[14]Освещение!H74</f>
        <v>75828.69</v>
      </c>
      <c r="L1524" s="30">
        <f t="shared" si="114"/>
        <v>7582.87</v>
      </c>
      <c r="M1524" s="54">
        <f t="shared" si="117"/>
        <v>75828.69</v>
      </c>
      <c r="N1524" s="50">
        <f>ROUND('Смета ЕР (общ) '!$I1524*'Смета ЕР (общ) '!$L1524,2)</f>
        <v>0</v>
      </c>
      <c r="O1524" s="50">
        <f>ROUND('Смета ЕР (общ) '!$I1524*'Смета ЕР (общ) '!$M1524,2)</f>
        <v>0</v>
      </c>
      <c r="P1524" s="61" t="s">
        <v>1550</v>
      </c>
      <c r="Q1524" s="56"/>
    </row>
    <row r="1525" spans="1:17" s="35" customFormat="1" ht="14.4" hidden="1" x14ac:dyDescent="0.3">
      <c r="A1525" s="174" t="s">
        <v>1170</v>
      </c>
      <c r="B1525" s="174">
        <v>2</v>
      </c>
      <c r="C1525" s="174"/>
      <c r="D1525" s="174">
        <v>506</v>
      </c>
      <c r="E1525" s="174" t="str">
        <f>CONCATENATE('Смета ЕР (общ) '!$A1525,".",'Смета ЕР (общ) '!$B1525,".",'Смета ЕР (общ) '!$D1525)</f>
        <v>Р9.2.506</v>
      </c>
      <c r="F1525" s="26">
        <f t="shared" si="116"/>
        <v>1</v>
      </c>
      <c r="G1525" s="128" t="s">
        <v>1611</v>
      </c>
      <c r="H1525" s="28" t="s">
        <v>118</v>
      </c>
      <c r="I1525" s="158"/>
      <c r="J1525" s="30">
        <f t="shared" si="115"/>
        <v>7805.9835000000012</v>
      </c>
      <c r="K1525" s="30">
        <f>[14]Освещение!H75</f>
        <v>78059.835000000006</v>
      </c>
      <c r="L1525" s="30">
        <f t="shared" si="114"/>
        <v>7805.98</v>
      </c>
      <c r="M1525" s="54">
        <f t="shared" si="117"/>
        <v>78059.835000000006</v>
      </c>
      <c r="N1525" s="50">
        <f>ROUND('Смета ЕР (общ) '!$I1525*'Смета ЕР (общ) '!$L1525,2)</f>
        <v>0</v>
      </c>
      <c r="O1525" s="50">
        <f>ROUND('Смета ЕР (общ) '!$I1525*'Смета ЕР (общ) '!$M1525,2)</f>
        <v>0</v>
      </c>
      <c r="P1525" s="61" t="s">
        <v>1550</v>
      </c>
      <c r="Q1525" s="56"/>
    </row>
    <row r="1526" spans="1:17" s="35" customFormat="1" ht="14.4" hidden="1" x14ac:dyDescent="0.3">
      <c r="A1526" s="174" t="s">
        <v>1170</v>
      </c>
      <c r="B1526" s="174">
        <v>2</v>
      </c>
      <c r="C1526" s="174"/>
      <c r="D1526" s="174">
        <v>507</v>
      </c>
      <c r="E1526" s="174" t="str">
        <f>CONCATENATE('Смета ЕР (общ) '!$A1526,".",'Смета ЕР (общ) '!$B1526,".",'Смета ЕР (общ) '!$D1526)</f>
        <v>Р9.2.507</v>
      </c>
      <c r="F1526" s="26">
        <f t="shared" si="116"/>
        <v>1</v>
      </c>
      <c r="G1526" s="128" t="s">
        <v>1612</v>
      </c>
      <c r="H1526" s="28" t="s">
        <v>118</v>
      </c>
      <c r="I1526" s="158"/>
      <c r="J1526" s="30">
        <f t="shared" si="115"/>
        <v>8028.2475000000013</v>
      </c>
      <c r="K1526" s="30">
        <f>[14]Освещение!H76</f>
        <v>80282.475000000006</v>
      </c>
      <c r="L1526" s="30">
        <f t="shared" si="114"/>
        <v>8028.25</v>
      </c>
      <c r="M1526" s="54">
        <f t="shared" si="117"/>
        <v>80282.475000000006</v>
      </c>
      <c r="N1526" s="50">
        <f>ROUND('Смета ЕР (общ) '!$I1526*'Смета ЕР (общ) '!$L1526,2)</f>
        <v>0</v>
      </c>
      <c r="O1526" s="50">
        <f>ROUND('Смета ЕР (общ) '!$I1526*'Смета ЕР (общ) '!$M1526,2)</f>
        <v>0</v>
      </c>
      <c r="P1526" s="61" t="s">
        <v>1550</v>
      </c>
      <c r="Q1526" s="56"/>
    </row>
    <row r="1527" spans="1:17" s="35" customFormat="1" ht="14.4" hidden="1" x14ac:dyDescent="0.3">
      <c r="A1527" s="174" t="s">
        <v>1170</v>
      </c>
      <c r="B1527" s="174">
        <v>2</v>
      </c>
      <c r="C1527" s="174"/>
      <c r="D1527" s="174">
        <v>508</v>
      </c>
      <c r="E1527" s="174" t="str">
        <f>CONCATENATE('Смета ЕР (общ) '!$A1527,".",'Смета ЕР (общ) '!$B1527,".",'Смета ЕР (общ) '!$D1527)</f>
        <v>Р9.2.508</v>
      </c>
      <c r="F1527" s="26">
        <f t="shared" si="116"/>
        <v>1</v>
      </c>
      <c r="G1527" s="128" t="s">
        <v>1613</v>
      </c>
      <c r="H1527" s="28" t="s">
        <v>118</v>
      </c>
      <c r="I1527" s="158"/>
      <c r="J1527" s="30">
        <f t="shared" si="115"/>
        <v>8697.1185000000005</v>
      </c>
      <c r="K1527" s="30">
        <f>[14]Освещение!H77</f>
        <v>86971.184999999998</v>
      </c>
      <c r="L1527" s="30">
        <f t="shared" si="114"/>
        <v>8697.1200000000008</v>
      </c>
      <c r="M1527" s="54">
        <f t="shared" si="117"/>
        <v>86971.184999999998</v>
      </c>
      <c r="N1527" s="50">
        <f>ROUND('Смета ЕР (общ) '!$I1527*'Смета ЕР (общ) '!$L1527,2)</f>
        <v>0</v>
      </c>
      <c r="O1527" s="50">
        <f>ROUND('Смета ЕР (общ) '!$I1527*'Смета ЕР (общ) '!$M1527,2)</f>
        <v>0</v>
      </c>
      <c r="P1527" s="61" t="s">
        <v>1550</v>
      </c>
      <c r="Q1527" s="56"/>
    </row>
    <row r="1528" spans="1:17" s="35" customFormat="1" ht="14.4" hidden="1" x14ac:dyDescent="0.3">
      <c r="A1528" s="174" t="s">
        <v>1170</v>
      </c>
      <c r="B1528" s="174">
        <v>2</v>
      </c>
      <c r="C1528" s="174"/>
      <c r="D1528" s="174">
        <v>509</v>
      </c>
      <c r="E1528" s="174" t="str">
        <f>CONCATENATE('Смета ЕР (общ) '!$A1528,".",'Смета ЕР (общ) '!$B1528,".",'Смета ЕР (общ) '!$D1528)</f>
        <v>Р9.2.509</v>
      </c>
      <c r="F1528" s="26">
        <f t="shared" si="116"/>
        <v>1</v>
      </c>
      <c r="G1528" s="128" t="s">
        <v>1614</v>
      </c>
      <c r="H1528" s="28" t="s">
        <v>118</v>
      </c>
      <c r="I1528" s="158"/>
      <c r="J1528" s="30">
        <f t="shared" ref="J1528:J1591" si="118">K1528*0.1</f>
        <v>492.34500000000003</v>
      </c>
      <c r="K1528" s="30">
        <f>[14]Освещение!H78</f>
        <v>4923.45</v>
      </c>
      <c r="L1528" s="30">
        <f t="shared" si="114"/>
        <v>492.35</v>
      </c>
      <c r="M1528" s="54">
        <f t="shared" si="117"/>
        <v>4923.45</v>
      </c>
      <c r="N1528" s="50">
        <f>ROUND('Смета ЕР (общ) '!$I1528*'Смета ЕР (общ) '!$L1528,2)</f>
        <v>0</v>
      </c>
      <c r="O1528" s="50">
        <f>ROUND('Смета ЕР (общ) '!$I1528*'Смета ЕР (общ) '!$M1528,2)</f>
        <v>0</v>
      </c>
      <c r="P1528" s="61" t="s">
        <v>1550</v>
      </c>
      <c r="Q1528" s="56"/>
    </row>
    <row r="1529" spans="1:17" s="35" customFormat="1" ht="14.4" hidden="1" x14ac:dyDescent="0.3">
      <c r="A1529" s="174" t="s">
        <v>1170</v>
      </c>
      <c r="B1529" s="174">
        <v>2</v>
      </c>
      <c r="C1529" s="174"/>
      <c r="D1529" s="174">
        <v>510</v>
      </c>
      <c r="E1529" s="174" t="str">
        <f>CONCATENATE('Смета ЕР (общ) '!$A1529,".",'Смета ЕР (общ) '!$B1529,".",'Смета ЕР (общ) '!$D1529)</f>
        <v>Р9.2.510</v>
      </c>
      <c r="F1529" s="26">
        <f t="shared" si="116"/>
        <v>1</v>
      </c>
      <c r="G1529" s="128" t="s">
        <v>1615</v>
      </c>
      <c r="H1529" s="28" t="s">
        <v>118</v>
      </c>
      <c r="I1529" s="158"/>
      <c r="J1529" s="30">
        <f t="shared" si="118"/>
        <v>1005.9525</v>
      </c>
      <c r="K1529" s="30">
        <f>[14]Освещение!H79</f>
        <v>10059.525</v>
      </c>
      <c r="L1529" s="30">
        <f t="shared" si="114"/>
        <v>1005.95</v>
      </c>
      <c r="M1529" s="54">
        <f t="shared" si="117"/>
        <v>10059.525</v>
      </c>
      <c r="N1529" s="50">
        <f>ROUND('Смета ЕР (общ) '!$I1529*'Смета ЕР (общ) '!$L1529,2)</f>
        <v>0</v>
      </c>
      <c r="O1529" s="50">
        <f>ROUND('Смета ЕР (общ) '!$I1529*'Смета ЕР (общ) '!$M1529,2)</f>
        <v>0</v>
      </c>
      <c r="P1529" s="61" t="s">
        <v>1550</v>
      </c>
      <c r="Q1529" s="56"/>
    </row>
    <row r="1530" spans="1:17" s="35" customFormat="1" ht="14.4" hidden="1" x14ac:dyDescent="0.3">
      <c r="A1530" s="174" t="s">
        <v>1170</v>
      </c>
      <c r="B1530" s="174">
        <v>2</v>
      </c>
      <c r="C1530" s="174"/>
      <c r="D1530" s="174">
        <v>511</v>
      </c>
      <c r="E1530" s="174" t="str">
        <f>CONCATENATE('Смета ЕР (общ) '!$A1530,".",'Смета ЕР (общ) '!$B1530,".",'Смета ЕР (общ) '!$D1530)</f>
        <v>Р9.2.511</v>
      </c>
      <c r="F1530" s="26">
        <f t="shared" si="116"/>
        <v>1</v>
      </c>
      <c r="G1530" s="128" t="s">
        <v>1616</v>
      </c>
      <c r="H1530" s="28" t="s">
        <v>118</v>
      </c>
      <c r="I1530" s="158"/>
      <c r="J1530" s="30">
        <f t="shared" si="118"/>
        <v>91.759500000000003</v>
      </c>
      <c r="K1530" s="30">
        <f>[14]Освещение!H80</f>
        <v>917.59500000000003</v>
      </c>
      <c r="L1530" s="30">
        <f t="shared" si="114"/>
        <v>91.76</v>
      </c>
      <c r="M1530" s="54">
        <f t="shared" si="117"/>
        <v>917.59500000000003</v>
      </c>
      <c r="N1530" s="50">
        <f>ROUND('Смета ЕР (общ) '!$I1530*'Смета ЕР (общ) '!$L1530,2)</f>
        <v>0</v>
      </c>
      <c r="O1530" s="50">
        <f>ROUND('Смета ЕР (общ) '!$I1530*'Смета ЕР (общ) '!$M1530,2)</f>
        <v>0</v>
      </c>
      <c r="P1530" s="61" t="s">
        <v>1550</v>
      </c>
      <c r="Q1530" s="56"/>
    </row>
    <row r="1531" spans="1:17" s="35" customFormat="1" ht="14.4" hidden="1" x14ac:dyDescent="0.3">
      <c r="A1531" s="174" t="s">
        <v>1170</v>
      </c>
      <c r="B1531" s="174">
        <v>2</v>
      </c>
      <c r="C1531" s="174"/>
      <c r="D1531" s="174">
        <v>512</v>
      </c>
      <c r="E1531" s="174" t="str">
        <f>CONCATENATE('Смета ЕР (общ) '!$A1531,".",'Смета ЕР (общ) '!$B1531,".",'Смета ЕР (общ) '!$D1531)</f>
        <v>Р9.2.512</v>
      </c>
      <c r="F1531" s="26">
        <f t="shared" si="116"/>
        <v>1</v>
      </c>
      <c r="G1531" s="128" t="s">
        <v>1617</v>
      </c>
      <c r="H1531" s="28" t="s">
        <v>118</v>
      </c>
      <c r="I1531" s="158"/>
      <c r="J1531" s="30">
        <f t="shared" si="118"/>
        <v>389.8125</v>
      </c>
      <c r="K1531" s="30">
        <f>[14]Освещение!H81</f>
        <v>3898.125</v>
      </c>
      <c r="L1531" s="30">
        <f t="shared" si="114"/>
        <v>389.81</v>
      </c>
      <c r="M1531" s="54">
        <f t="shared" si="117"/>
        <v>3898.125</v>
      </c>
      <c r="N1531" s="50">
        <f>ROUND('Смета ЕР (общ) '!$I1531*'Смета ЕР (общ) '!$L1531,2)</f>
        <v>0</v>
      </c>
      <c r="O1531" s="50">
        <f>ROUND('Смета ЕР (общ) '!$I1531*'Смета ЕР (общ) '!$M1531,2)</f>
        <v>0</v>
      </c>
      <c r="P1531" s="61" t="s">
        <v>1550</v>
      </c>
      <c r="Q1531" s="56"/>
    </row>
    <row r="1532" spans="1:17" s="35" customFormat="1" ht="14.4" hidden="1" x14ac:dyDescent="0.3">
      <c r="A1532" s="174" t="s">
        <v>1170</v>
      </c>
      <c r="B1532" s="174">
        <v>2</v>
      </c>
      <c r="C1532" s="174"/>
      <c r="D1532" s="174">
        <v>513</v>
      </c>
      <c r="E1532" s="174" t="str">
        <f>CONCATENATE('Смета ЕР (общ) '!$A1532,".",'Смета ЕР (общ) '!$B1532,".",'Смета ЕР (общ) '!$D1532)</f>
        <v>Р9.2.513</v>
      </c>
      <c r="F1532" s="26">
        <f t="shared" si="116"/>
        <v>1</v>
      </c>
      <c r="G1532" s="128" t="s">
        <v>1618</v>
      </c>
      <c r="H1532" s="28" t="s">
        <v>118</v>
      </c>
      <c r="I1532" s="158"/>
      <c r="J1532" s="30">
        <f t="shared" si="118"/>
        <v>239.36850000000001</v>
      </c>
      <c r="K1532" s="30">
        <f>[14]Освещение!H82</f>
        <v>2393.6849999999999</v>
      </c>
      <c r="L1532" s="30">
        <f t="shared" si="114"/>
        <v>239.37</v>
      </c>
      <c r="M1532" s="54">
        <f t="shared" si="117"/>
        <v>2393.6849999999999</v>
      </c>
      <c r="N1532" s="50">
        <f>ROUND('Смета ЕР (общ) '!$I1532*'Смета ЕР (общ) '!$L1532,2)</f>
        <v>0</v>
      </c>
      <c r="O1532" s="50">
        <f>ROUND('Смета ЕР (общ) '!$I1532*'Смета ЕР (общ) '!$M1532,2)</f>
        <v>0</v>
      </c>
      <c r="P1532" s="61" t="s">
        <v>1550</v>
      </c>
      <c r="Q1532" s="56"/>
    </row>
    <row r="1533" spans="1:17" s="35" customFormat="1" ht="14.4" hidden="1" x14ac:dyDescent="0.3">
      <c r="A1533" s="174" t="s">
        <v>1170</v>
      </c>
      <c r="B1533" s="174">
        <v>2</v>
      </c>
      <c r="C1533" s="174"/>
      <c r="D1533" s="174">
        <v>514</v>
      </c>
      <c r="E1533" s="174" t="str">
        <f>CONCATENATE('Смета ЕР (общ) '!$A1533,".",'Смета ЕР (общ) '!$B1533,".",'Смета ЕР (общ) '!$D1533)</f>
        <v>Р9.2.514</v>
      </c>
      <c r="F1533" s="26">
        <f t="shared" si="116"/>
        <v>1</v>
      </c>
      <c r="G1533" s="128" t="s">
        <v>1619</v>
      </c>
      <c r="H1533" s="28" t="s">
        <v>118</v>
      </c>
      <c r="I1533" s="158"/>
      <c r="J1533" s="30">
        <f t="shared" si="118"/>
        <v>309.29850000000005</v>
      </c>
      <c r="K1533" s="30">
        <f>[14]Освещение!H83</f>
        <v>3092.9850000000001</v>
      </c>
      <c r="L1533" s="30">
        <f t="shared" si="114"/>
        <v>309.3</v>
      </c>
      <c r="M1533" s="54">
        <f t="shared" si="117"/>
        <v>3092.9850000000001</v>
      </c>
      <c r="N1533" s="50">
        <f>ROUND('Смета ЕР (общ) '!$I1533*'Смета ЕР (общ) '!$L1533,2)</f>
        <v>0</v>
      </c>
      <c r="O1533" s="50">
        <f>ROUND('Смета ЕР (общ) '!$I1533*'Смета ЕР (общ) '!$M1533,2)</f>
        <v>0</v>
      </c>
      <c r="P1533" s="61" t="s">
        <v>1550</v>
      </c>
      <c r="Q1533" s="56"/>
    </row>
    <row r="1534" spans="1:17" s="35" customFormat="1" ht="14.4" hidden="1" x14ac:dyDescent="0.3">
      <c r="A1534" s="174" t="s">
        <v>1170</v>
      </c>
      <c r="B1534" s="174">
        <v>2</v>
      </c>
      <c r="C1534" s="174"/>
      <c r="D1534" s="174">
        <v>515</v>
      </c>
      <c r="E1534" s="174" t="str">
        <f>CONCATENATE('Смета ЕР (общ) '!$A1534,".",'Смета ЕР (общ) '!$B1534,".",'Смета ЕР (общ) '!$D1534)</f>
        <v>Р9.2.515</v>
      </c>
      <c r="F1534" s="26">
        <f t="shared" si="116"/>
        <v>1</v>
      </c>
      <c r="G1534" s="128" t="s">
        <v>1620</v>
      </c>
      <c r="H1534" s="28" t="s">
        <v>118</v>
      </c>
      <c r="I1534" s="158"/>
      <c r="J1534" s="30">
        <f t="shared" si="118"/>
        <v>346.81500000000005</v>
      </c>
      <c r="K1534" s="30">
        <f>[14]Освещение!H84</f>
        <v>3468.15</v>
      </c>
      <c r="L1534" s="30">
        <f t="shared" si="114"/>
        <v>346.82</v>
      </c>
      <c r="M1534" s="54">
        <f t="shared" si="117"/>
        <v>3468.15</v>
      </c>
      <c r="N1534" s="50">
        <f>ROUND('Смета ЕР (общ) '!$I1534*'Смета ЕР (общ) '!$L1534,2)</f>
        <v>0</v>
      </c>
      <c r="O1534" s="50">
        <f>ROUND('Смета ЕР (общ) '!$I1534*'Смета ЕР (общ) '!$M1534,2)</f>
        <v>0</v>
      </c>
      <c r="P1534" s="61" t="s">
        <v>1550</v>
      </c>
      <c r="Q1534" s="56"/>
    </row>
    <row r="1535" spans="1:17" s="35" customFormat="1" ht="20.399999999999999" hidden="1" x14ac:dyDescent="0.3">
      <c r="A1535" s="174" t="s">
        <v>1170</v>
      </c>
      <c r="B1535" s="174">
        <v>2</v>
      </c>
      <c r="C1535" s="174"/>
      <c r="D1535" s="174">
        <v>516</v>
      </c>
      <c r="E1535" s="174" t="str">
        <f>CONCATENATE('Смета ЕР (общ) '!$A1535,".",'Смета ЕР (общ) '!$B1535,".",'Смета ЕР (общ) '!$D1535)</f>
        <v>Р9.2.516</v>
      </c>
      <c r="F1535" s="26">
        <f t="shared" si="116"/>
        <v>1</v>
      </c>
      <c r="G1535" s="128" t="s">
        <v>1621</v>
      </c>
      <c r="H1535" s="28" t="s">
        <v>118</v>
      </c>
      <c r="I1535" s="158"/>
      <c r="J1535" s="30">
        <f t="shared" si="118"/>
        <v>125.30700000000002</v>
      </c>
      <c r="K1535" s="30">
        <f>[14]Освещение!H85</f>
        <v>1253.0700000000002</v>
      </c>
      <c r="L1535" s="30">
        <f t="shared" si="114"/>
        <v>125.31</v>
      </c>
      <c r="M1535" s="54">
        <f t="shared" si="117"/>
        <v>1253.0700000000002</v>
      </c>
      <c r="N1535" s="50">
        <f>ROUND('Смета ЕР (общ) '!$I1535*'Смета ЕР (общ) '!$L1535,2)</f>
        <v>0</v>
      </c>
      <c r="O1535" s="50">
        <f>ROUND('Смета ЕР (общ) '!$I1535*'Смета ЕР (общ) '!$M1535,2)</f>
        <v>0</v>
      </c>
      <c r="P1535" s="61" t="s">
        <v>1550</v>
      </c>
      <c r="Q1535" s="56"/>
    </row>
    <row r="1536" spans="1:17" s="35" customFormat="1" ht="14.4" hidden="1" x14ac:dyDescent="0.3">
      <c r="A1536" s="174" t="s">
        <v>1170</v>
      </c>
      <c r="B1536" s="174">
        <v>2</v>
      </c>
      <c r="C1536" s="174"/>
      <c r="D1536" s="174">
        <v>517</v>
      </c>
      <c r="E1536" s="174" t="str">
        <f>CONCATENATE('Смета ЕР (общ) '!$A1536,".",'Смета ЕР (общ) '!$B1536,".",'Смета ЕР (общ) '!$D1536)</f>
        <v>Р9.2.517</v>
      </c>
      <c r="F1536" s="26">
        <f t="shared" si="116"/>
        <v>1</v>
      </c>
      <c r="G1536" s="128" t="s">
        <v>1622</v>
      </c>
      <c r="H1536" s="28" t="s">
        <v>118</v>
      </c>
      <c r="I1536" s="158"/>
      <c r="J1536" s="30">
        <f t="shared" si="118"/>
        <v>24.381</v>
      </c>
      <c r="K1536" s="30">
        <f>[14]Освещение!H86</f>
        <v>243.81</v>
      </c>
      <c r="L1536" s="30">
        <f t="shared" si="114"/>
        <v>24.38</v>
      </c>
      <c r="M1536" s="54">
        <f t="shared" si="117"/>
        <v>243.81</v>
      </c>
      <c r="N1536" s="50">
        <f>ROUND('Смета ЕР (общ) '!$I1536*'Смета ЕР (общ) '!$L1536,2)</f>
        <v>0</v>
      </c>
      <c r="O1536" s="50">
        <f>ROUND('Смета ЕР (общ) '!$I1536*'Смета ЕР (общ) '!$M1536,2)</f>
        <v>0</v>
      </c>
      <c r="P1536" s="61" t="s">
        <v>1550</v>
      </c>
      <c r="Q1536" s="56"/>
    </row>
    <row r="1537" spans="1:17" s="35" customFormat="1" ht="14.4" hidden="1" x14ac:dyDescent="0.3">
      <c r="A1537" s="174" t="s">
        <v>1170</v>
      </c>
      <c r="B1537" s="174">
        <v>2</v>
      </c>
      <c r="C1537" s="174"/>
      <c r="D1537" s="174">
        <v>518</v>
      </c>
      <c r="E1537" s="174" t="str">
        <f>CONCATENATE('Смета ЕР (общ) '!$A1537,".",'Смета ЕР (общ) '!$B1537,".",'Смета ЕР (общ) '!$D1537)</f>
        <v>Р9.2.518</v>
      </c>
      <c r="F1537" s="26">
        <f t="shared" si="116"/>
        <v>1</v>
      </c>
      <c r="G1537" s="128" t="s">
        <v>1623</v>
      </c>
      <c r="H1537" s="28" t="s">
        <v>118</v>
      </c>
      <c r="I1537" s="158"/>
      <c r="J1537" s="30">
        <f t="shared" si="118"/>
        <v>500.56650000000002</v>
      </c>
      <c r="K1537" s="30">
        <f>[14]Освещение!H87</f>
        <v>5005.665</v>
      </c>
      <c r="L1537" s="30">
        <f t="shared" si="114"/>
        <v>500.57</v>
      </c>
      <c r="M1537" s="54">
        <f t="shared" si="117"/>
        <v>5005.665</v>
      </c>
      <c r="N1537" s="50">
        <f>ROUND('Смета ЕР (общ) '!$I1537*'Смета ЕР (общ) '!$L1537,2)</f>
        <v>0</v>
      </c>
      <c r="O1537" s="50">
        <f>ROUND('Смета ЕР (общ) '!$I1537*'Смета ЕР (общ) '!$M1537,2)</f>
        <v>0</v>
      </c>
      <c r="P1537" s="61" t="s">
        <v>1550</v>
      </c>
      <c r="Q1537" s="56"/>
    </row>
    <row r="1538" spans="1:17" s="35" customFormat="1" ht="14.4" hidden="1" x14ac:dyDescent="0.3">
      <c r="A1538" s="174" t="s">
        <v>1170</v>
      </c>
      <c r="B1538" s="174">
        <v>2</v>
      </c>
      <c r="C1538" s="174"/>
      <c r="D1538" s="174">
        <v>519</v>
      </c>
      <c r="E1538" s="174" t="str">
        <f>CONCATENATE('Смета ЕР (общ) '!$A1538,".",'Смета ЕР (общ) '!$B1538,".",'Смета ЕР (общ) '!$D1538)</f>
        <v>Р9.2.519</v>
      </c>
      <c r="F1538" s="26">
        <f t="shared" si="116"/>
        <v>1</v>
      </c>
      <c r="G1538" s="128" t="s">
        <v>1624</v>
      </c>
      <c r="H1538" s="28" t="s">
        <v>118</v>
      </c>
      <c r="I1538" s="158"/>
      <c r="J1538" s="30">
        <f t="shared" si="118"/>
        <v>66.528000000000006</v>
      </c>
      <c r="K1538" s="30">
        <f>[14]Освещение!H88</f>
        <v>665.28000000000009</v>
      </c>
      <c r="L1538" s="30">
        <f t="shared" si="114"/>
        <v>66.53</v>
      </c>
      <c r="M1538" s="54">
        <f t="shared" si="117"/>
        <v>665.28000000000009</v>
      </c>
      <c r="N1538" s="50">
        <f>ROUND('Смета ЕР (общ) '!$I1538*'Смета ЕР (общ) '!$L1538,2)</f>
        <v>0</v>
      </c>
      <c r="O1538" s="50">
        <f>ROUND('Смета ЕР (общ) '!$I1538*'Смета ЕР (общ) '!$M1538,2)</f>
        <v>0</v>
      </c>
      <c r="P1538" s="61" t="s">
        <v>1550</v>
      </c>
      <c r="Q1538" s="56"/>
    </row>
    <row r="1539" spans="1:17" s="35" customFormat="1" ht="14.4" hidden="1" x14ac:dyDescent="0.3">
      <c r="A1539" s="174" t="s">
        <v>1170</v>
      </c>
      <c r="B1539" s="174">
        <v>2</v>
      </c>
      <c r="C1539" s="174"/>
      <c r="D1539" s="174">
        <v>520</v>
      </c>
      <c r="E1539" s="174" t="str">
        <f>CONCATENATE('Смета ЕР (общ) '!$A1539,".",'Смета ЕР (общ) '!$B1539,".",'Смета ЕР (общ) '!$D1539)</f>
        <v>Р9.2.520</v>
      </c>
      <c r="F1539" s="26">
        <f t="shared" si="116"/>
        <v>1</v>
      </c>
      <c r="G1539" s="128" t="s">
        <v>1625</v>
      </c>
      <c r="H1539" s="28" t="s">
        <v>118</v>
      </c>
      <c r="I1539" s="158"/>
      <c r="J1539" s="30">
        <f t="shared" si="118"/>
        <v>22.302000000000003</v>
      </c>
      <c r="K1539" s="30">
        <f>[14]Освещение!H89</f>
        <v>223.02</v>
      </c>
      <c r="L1539" s="30">
        <f t="shared" si="114"/>
        <v>22.3</v>
      </c>
      <c r="M1539" s="54">
        <f t="shared" si="117"/>
        <v>223.02</v>
      </c>
      <c r="N1539" s="50">
        <f>ROUND('Смета ЕР (общ) '!$I1539*'Смета ЕР (общ) '!$L1539,2)</f>
        <v>0</v>
      </c>
      <c r="O1539" s="50">
        <f>ROUND('Смета ЕР (общ) '!$I1539*'Смета ЕР (общ) '!$M1539,2)</f>
        <v>0</v>
      </c>
      <c r="P1539" s="61" t="s">
        <v>1550</v>
      </c>
      <c r="Q1539" s="56"/>
    </row>
    <row r="1540" spans="1:17" s="35" customFormat="1" ht="14.4" hidden="1" x14ac:dyDescent="0.3">
      <c r="A1540" s="174" t="s">
        <v>1170</v>
      </c>
      <c r="B1540" s="174">
        <v>2</v>
      </c>
      <c r="C1540" s="174"/>
      <c r="D1540" s="174">
        <v>521</v>
      </c>
      <c r="E1540" s="174" t="str">
        <f>CONCATENATE('Смета ЕР (общ) '!$A1540,".",'Смета ЕР (общ) '!$B1540,".",'Смета ЕР (общ) '!$D1540)</f>
        <v>Р9.2.521</v>
      </c>
      <c r="F1540" s="26">
        <f t="shared" si="116"/>
        <v>1</v>
      </c>
      <c r="G1540" s="128" t="s">
        <v>1626</v>
      </c>
      <c r="H1540" s="28" t="s">
        <v>118</v>
      </c>
      <c r="I1540" s="158"/>
      <c r="J1540" s="30">
        <f t="shared" si="118"/>
        <v>91.66500000000002</v>
      </c>
      <c r="K1540" s="30">
        <f>[14]Освещение!H90</f>
        <v>916.65000000000009</v>
      </c>
      <c r="L1540" s="30">
        <f t="shared" si="114"/>
        <v>91.67</v>
      </c>
      <c r="M1540" s="54">
        <f t="shared" si="117"/>
        <v>916.65000000000009</v>
      </c>
      <c r="N1540" s="50">
        <f>ROUND('Смета ЕР (общ) '!$I1540*'Смета ЕР (общ) '!$L1540,2)</f>
        <v>0</v>
      </c>
      <c r="O1540" s="50">
        <f>ROUND('Смета ЕР (общ) '!$I1540*'Смета ЕР (общ) '!$M1540,2)</f>
        <v>0</v>
      </c>
      <c r="P1540" s="61" t="s">
        <v>1550</v>
      </c>
      <c r="Q1540" s="56"/>
    </row>
    <row r="1541" spans="1:17" s="35" customFormat="1" ht="14.4" hidden="1" x14ac:dyDescent="0.3">
      <c r="A1541" s="174" t="s">
        <v>1170</v>
      </c>
      <c r="B1541" s="174">
        <v>2</v>
      </c>
      <c r="C1541" s="174"/>
      <c r="D1541" s="174">
        <v>522</v>
      </c>
      <c r="E1541" s="174" t="str">
        <f>CONCATENATE('Смета ЕР (общ) '!$A1541,".",'Смета ЕР (общ) '!$B1541,".",'Смета ЕР (общ) '!$D1541)</f>
        <v>Р9.2.522</v>
      </c>
      <c r="F1541" s="26">
        <f t="shared" si="116"/>
        <v>1</v>
      </c>
      <c r="G1541" s="128" t="s">
        <v>1627</v>
      </c>
      <c r="H1541" s="28" t="s">
        <v>118</v>
      </c>
      <c r="I1541" s="158"/>
      <c r="J1541" s="30">
        <f t="shared" si="118"/>
        <v>17.482500000000002</v>
      </c>
      <c r="K1541" s="30">
        <f>[14]Освещение!H91</f>
        <v>174.82500000000002</v>
      </c>
      <c r="L1541" s="30">
        <f t="shared" si="114"/>
        <v>17.48</v>
      </c>
      <c r="M1541" s="54">
        <f t="shared" si="117"/>
        <v>174.82500000000002</v>
      </c>
      <c r="N1541" s="50">
        <f>ROUND('Смета ЕР (общ) '!$I1541*'Смета ЕР (общ) '!$L1541,2)</f>
        <v>0</v>
      </c>
      <c r="O1541" s="50">
        <f>ROUND('Смета ЕР (общ) '!$I1541*'Смета ЕР (общ) '!$M1541,2)</f>
        <v>0</v>
      </c>
      <c r="P1541" s="61" t="s">
        <v>1550</v>
      </c>
      <c r="Q1541" s="56"/>
    </row>
    <row r="1542" spans="1:17" s="35" customFormat="1" ht="14.4" hidden="1" x14ac:dyDescent="0.3">
      <c r="A1542" s="174" t="s">
        <v>1170</v>
      </c>
      <c r="B1542" s="174">
        <v>2</v>
      </c>
      <c r="C1542" s="174"/>
      <c r="D1542" s="174">
        <v>523</v>
      </c>
      <c r="E1542" s="174" t="str">
        <f>CONCATENATE('Смета ЕР (общ) '!$A1542,".",'Смета ЕР (общ) '!$B1542,".",'Смета ЕР (общ) '!$D1542)</f>
        <v>Р9.2.523</v>
      </c>
      <c r="F1542" s="26">
        <f t="shared" si="116"/>
        <v>1</v>
      </c>
      <c r="G1542" s="128" t="s">
        <v>1628</v>
      </c>
      <c r="H1542" s="28" t="s">
        <v>118</v>
      </c>
      <c r="I1542" s="158"/>
      <c r="J1542" s="30">
        <f t="shared" si="118"/>
        <v>51.786000000000001</v>
      </c>
      <c r="K1542" s="30">
        <f>[14]Освещение!H92</f>
        <v>517.86</v>
      </c>
      <c r="L1542" s="30">
        <f t="shared" si="114"/>
        <v>51.79</v>
      </c>
      <c r="M1542" s="54">
        <f t="shared" si="117"/>
        <v>517.86</v>
      </c>
      <c r="N1542" s="50">
        <f>ROUND('Смета ЕР (общ) '!$I1542*'Смета ЕР (общ) '!$L1542,2)</f>
        <v>0</v>
      </c>
      <c r="O1542" s="50">
        <f>ROUND('Смета ЕР (общ) '!$I1542*'Смета ЕР (общ) '!$M1542,2)</f>
        <v>0</v>
      </c>
      <c r="P1542" s="61" t="s">
        <v>1550</v>
      </c>
      <c r="Q1542" s="56"/>
    </row>
    <row r="1543" spans="1:17" s="35" customFormat="1" ht="14.4" hidden="1" x14ac:dyDescent="0.3">
      <c r="A1543" s="174" t="s">
        <v>1170</v>
      </c>
      <c r="B1543" s="174">
        <v>2</v>
      </c>
      <c r="C1543" s="174"/>
      <c r="D1543" s="174">
        <v>524</v>
      </c>
      <c r="E1543" s="174" t="str">
        <f>CONCATENATE('Смета ЕР (общ) '!$A1543,".",'Смета ЕР (общ) '!$B1543,".",'Смета ЕР (общ) '!$D1543)</f>
        <v>Р9.2.524</v>
      </c>
      <c r="F1543" s="26">
        <f t="shared" si="116"/>
        <v>1</v>
      </c>
      <c r="G1543" s="128" t="s">
        <v>1629</v>
      </c>
      <c r="H1543" s="28" t="s">
        <v>118</v>
      </c>
      <c r="I1543" s="158"/>
      <c r="J1543" s="30">
        <f t="shared" si="118"/>
        <v>27.971999999999998</v>
      </c>
      <c r="K1543" s="30">
        <f>[14]Освещение!H93</f>
        <v>279.71999999999997</v>
      </c>
      <c r="L1543" s="30">
        <f t="shared" si="114"/>
        <v>27.97</v>
      </c>
      <c r="M1543" s="54">
        <f t="shared" si="117"/>
        <v>279.71999999999997</v>
      </c>
      <c r="N1543" s="50">
        <f>ROUND('Смета ЕР (общ) '!$I1543*'Смета ЕР (общ) '!$L1543,2)</f>
        <v>0</v>
      </c>
      <c r="O1543" s="50">
        <f>ROUND('Смета ЕР (общ) '!$I1543*'Смета ЕР (общ) '!$M1543,2)</f>
        <v>0</v>
      </c>
      <c r="P1543" s="61" t="s">
        <v>1550</v>
      </c>
      <c r="Q1543" s="56"/>
    </row>
    <row r="1544" spans="1:17" s="35" customFormat="1" ht="14.4" hidden="1" x14ac:dyDescent="0.3">
      <c r="A1544" s="174" t="s">
        <v>1170</v>
      </c>
      <c r="B1544" s="174">
        <v>2</v>
      </c>
      <c r="C1544" s="174"/>
      <c r="D1544" s="174">
        <v>525</v>
      </c>
      <c r="E1544" s="174" t="str">
        <f>CONCATENATE('Смета ЕР (общ) '!$A1544,".",'Смета ЕР (общ) '!$B1544,".",'Смета ЕР (общ) '!$D1544)</f>
        <v>Р9.2.525</v>
      </c>
      <c r="F1544" s="26">
        <f t="shared" si="116"/>
        <v>1</v>
      </c>
      <c r="G1544" s="128" t="s">
        <v>1630</v>
      </c>
      <c r="H1544" s="28" t="s">
        <v>118</v>
      </c>
      <c r="I1544" s="158"/>
      <c r="J1544" s="30">
        <f t="shared" si="118"/>
        <v>793.70550000000003</v>
      </c>
      <c r="K1544" s="30">
        <f>[14]Освещение!H94</f>
        <v>7937.0550000000003</v>
      </c>
      <c r="L1544" s="30">
        <f t="shared" si="114"/>
        <v>793.71</v>
      </c>
      <c r="M1544" s="54">
        <f t="shared" si="117"/>
        <v>7937.0550000000003</v>
      </c>
      <c r="N1544" s="50">
        <f>ROUND('Смета ЕР (общ) '!$I1544*'Смета ЕР (общ) '!$L1544,2)</f>
        <v>0</v>
      </c>
      <c r="O1544" s="50">
        <f>ROUND('Смета ЕР (общ) '!$I1544*'Смета ЕР (общ) '!$M1544,2)</f>
        <v>0</v>
      </c>
      <c r="P1544" s="61" t="s">
        <v>1550</v>
      </c>
      <c r="Q1544" s="56"/>
    </row>
    <row r="1545" spans="1:17" s="35" customFormat="1" ht="14.4" hidden="1" x14ac:dyDescent="0.3">
      <c r="A1545" s="174" t="s">
        <v>1170</v>
      </c>
      <c r="B1545" s="174">
        <v>2</v>
      </c>
      <c r="C1545" s="174"/>
      <c r="D1545" s="174">
        <v>526</v>
      </c>
      <c r="E1545" s="174" t="str">
        <f>CONCATENATE('Смета ЕР (общ) '!$A1545,".",'Смета ЕР (общ) '!$B1545,".",'Смета ЕР (общ) '!$D1545)</f>
        <v>Р9.2.526</v>
      </c>
      <c r="F1545" s="26">
        <f t="shared" si="116"/>
        <v>1</v>
      </c>
      <c r="G1545" s="128" t="s">
        <v>1631</v>
      </c>
      <c r="H1545" s="28" t="s">
        <v>118</v>
      </c>
      <c r="I1545" s="158"/>
      <c r="J1545" s="30">
        <f t="shared" si="118"/>
        <v>177.75450000000001</v>
      </c>
      <c r="K1545" s="30">
        <f>[14]Освещение!H95</f>
        <v>1777.5450000000001</v>
      </c>
      <c r="L1545" s="30">
        <f t="shared" si="114"/>
        <v>177.75</v>
      </c>
      <c r="M1545" s="54">
        <f t="shared" si="117"/>
        <v>1777.5450000000001</v>
      </c>
      <c r="N1545" s="50">
        <f>ROUND('Смета ЕР (общ) '!$I1545*'Смета ЕР (общ) '!$L1545,2)</f>
        <v>0</v>
      </c>
      <c r="O1545" s="50">
        <f>ROUND('Смета ЕР (общ) '!$I1545*'Смета ЕР (общ) '!$M1545,2)</f>
        <v>0</v>
      </c>
      <c r="P1545" s="61" t="s">
        <v>1550</v>
      </c>
      <c r="Q1545" s="56"/>
    </row>
    <row r="1546" spans="1:17" s="35" customFormat="1" ht="14.4" hidden="1" x14ac:dyDescent="0.3">
      <c r="A1546" s="174" t="s">
        <v>1170</v>
      </c>
      <c r="B1546" s="174">
        <v>2</v>
      </c>
      <c r="C1546" s="174"/>
      <c r="D1546" s="174">
        <v>527</v>
      </c>
      <c r="E1546" s="174" t="str">
        <f>CONCATENATE('Смета ЕР (общ) '!$A1546,".",'Смета ЕР (общ) '!$B1546,".",'Смета ЕР (общ) '!$D1546)</f>
        <v>Р9.2.527</v>
      </c>
      <c r="F1546" s="26">
        <f t="shared" si="116"/>
        <v>1</v>
      </c>
      <c r="G1546" s="128" t="s">
        <v>1623</v>
      </c>
      <c r="H1546" s="28" t="s">
        <v>118</v>
      </c>
      <c r="I1546" s="158"/>
      <c r="J1546" s="30">
        <f t="shared" si="118"/>
        <v>500.56650000000002</v>
      </c>
      <c r="K1546" s="30">
        <f>[14]Освещение!H96</f>
        <v>5005.665</v>
      </c>
      <c r="L1546" s="30">
        <f t="shared" si="114"/>
        <v>500.57</v>
      </c>
      <c r="M1546" s="54">
        <f t="shared" si="117"/>
        <v>5005.665</v>
      </c>
      <c r="N1546" s="50">
        <f>ROUND('Смета ЕР (общ) '!$I1546*'Смета ЕР (общ) '!$L1546,2)</f>
        <v>0</v>
      </c>
      <c r="O1546" s="50">
        <f>ROUND('Смета ЕР (общ) '!$I1546*'Смета ЕР (общ) '!$M1546,2)</f>
        <v>0</v>
      </c>
      <c r="P1546" s="61" t="s">
        <v>1550</v>
      </c>
      <c r="Q1546" s="56"/>
    </row>
    <row r="1547" spans="1:17" s="35" customFormat="1" ht="14.4" hidden="1" x14ac:dyDescent="0.3">
      <c r="A1547" s="174" t="s">
        <v>1170</v>
      </c>
      <c r="B1547" s="174">
        <v>2</v>
      </c>
      <c r="C1547" s="174"/>
      <c r="D1547" s="174">
        <v>528</v>
      </c>
      <c r="E1547" s="174" t="str">
        <f>CONCATENATE('Смета ЕР (общ) '!$A1547,".",'Смета ЕР (общ) '!$B1547,".",'Смета ЕР (общ) '!$D1547)</f>
        <v>Р9.2.528</v>
      </c>
      <c r="F1547" s="26">
        <f t="shared" si="116"/>
        <v>1</v>
      </c>
      <c r="G1547" s="128" t="s">
        <v>1627</v>
      </c>
      <c r="H1547" s="28" t="s">
        <v>118</v>
      </c>
      <c r="I1547" s="158"/>
      <c r="J1547" s="30">
        <f t="shared" si="118"/>
        <v>17.482500000000002</v>
      </c>
      <c r="K1547" s="30">
        <f>[14]Освещение!H97</f>
        <v>174.82500000000002</v>
      </c>
      <c r="L1547" s="30">
        <f t="shared" si="114"/>
        <v>17.48</v>
      </c>
      <c r="M1547" s="54">
        <f t="shared" si="117"/>
        <v>174.82500000000002</v>
      </c>
      <c r="N1547" s="50">
        <f>ROUND('Смета ЕР (общ) '!$I1547*'Смета ЕР (общ) '!$L1547,2)</f>
        <v>0</v>
      </c>
      <c r="O1547" s="50">
        <f>ROUND('Смета ЕР (общ) '!$I1547*'Смета ЕР (общ) '!$M1547,2)</f>
        <v>0</v>
      </c>
      <c r="P1547" s="61" t="s">
        <v>1550</v>
      </c>
      <c r="Q1547" s="56"/>
    </row>
    <row r="1548" spans="1:17" s="35" customFormat="1" ht="14.4" hidden="1" x14ac:dyDescent="0.3">
      <c r="A1548" s="174" t="s">
        <v>1170</v>
      </c>
      <c r="B1548" s="174">
        <v>2</v>
      </c>
      <c r="C1548" s="174"/>
      <c r="D1548" s="174">
        <v>529</v>
      </c>
      <c r="E1548" s="174" t="str">
        <f>CONCATENATE('Смета ЕР (общ) '!$A1548,".",'Смета ЕР (общ) '!$B1548,".",'Смета ЕР (общ) '!$D1548)</f>
        <v>Р9.2.529</v>
      </c>
      <c r="F1548" s="26">
        <f t="shared" si="116"/>
        <v>1</v>
      </c>
      <c r="G1548" s="128" t="s">
        <v>1628</v>
      </c>
      <c r="H1548" s="28" t="s">
        <v>118</v>
      </c>
      <c r="I1548" s="158"/>
      <c r="J1548" s="30">
        <f t="shared" si="118"/>
        <v>51.786000000000001</v>
      </c>
      <c r="K1548" s="30">
        <f>[14]Освещение!H98</f>
        <v>517.86</v>
      </c>
      <c r="L1548" s="30">
        <f t="shared" si="114"/>
        <v>51.79</v>
      </c>
      <c r="M1548" s="54">
        <f t="shared" si="117"/>
        <v>517.86</v>
      </c>
      <c r="N1548" s="50">
        <f>ROUND('Смета ЕР (общ) '!$I1548*'Смета ЕР (общ) '!$L1548,2)</f>
        <v>0</v>
      </c>
      <c r="O1548" s="50">
        <f>ROUND('Смета ЕР (общ) '!$I1548*'Смета ЕР (общ) '!$M1548,2)</f>
        <v>0</v>
      </c>
      <c r="P1548" s="61" t="s">
        <v>1550</v>
      </c>
      <c r="Q1548" s="56"/>
    </row>
    <row r="1549" spans="1:17" s="35" customFormat="1" ht="14.4" hidden="1" x14ac:dyDescent="0.3">
      <c r="A1549" s="174" t="s">
        <v>1170</v>
      </c>
      <c r="B1549" s="174">
        <v>2</v>
      </c>
      <c r="C1549" s="174"/>
      <c r="D1549" s="174">
        <v>530</v>
      </c>
      <c r="E1549" s="174" t="str">
        <f>CONCATENATE('Смета ЕР (общ) '!$A1549,".",'Смета ЕР (общ) '!$B1549,".",'Смета ЕР (общ) '!$D1549)</f>
        <v>Р9.2.530</v>
      </c>
      <c r="F1549" s="26">
        <f t="shared" si="116"/>
        <v>1</v>
      </c>
      <c r="G1549" s="128" t="s">
        <v>1632</v>
      </c>
      <c r="H1549" s="28" t="s">
        <v>118</v>
      </c>
      <c r="I1549" s="158"/>
      <c r="J1549" s="30">
        <f t="shared" si="118"/>
        <v>27.971999999999998</v>
      </c>
      <c r="K1549" s="30">
        <f>[14]Освещение!H99</f>
        <v>279.71999999999997</v>
      </c>
      <c r="L1549" s="30">
        <f t="shared" si="114"/>
        <v>27.97</v>
      </c>
      <c r="M1549" s="54">
        <f t="shared" si="117"/>
        <v>279.71999999999997</v>
      </c>
      <c r="N1549" s="50">
        <f>ROUND('Смета ЕР (общ) '!$I1549*'Смета ЕР (общ) '!$L1549,2)</f>
        <v>0</v>
      </c>
      <c r="O1549" s="50">
        <f>ROUND('Смета ЕР (общ) '!$I1549*'Смета ЕР (общ) '!$M1549,2)</f>
        <v>0</v>
      </c>
      <c r="P1549" s="61" t="s">
        <v>1550</v>
      </c>
      <c r="Q1549" s="56"/>
    </row>
    <row r="1550" spans="1:17" s="35" customFormat="1" ht="14.4" hidden="1" x14ac:dyDescent="0.3">
      <c r="A1550" s="174" t="s">
        <v>1170</v>
      </c>
      <c r="B1550" s="174">
        <v>2</v>
      </c>
      <c r="C1550" s="174"/>
      <c r="D1550" s="174">
        <v>531</v>
      </c>
      <c r="E1550" s="174" t="str">
        <f>CONCATENATE('Смета ЕР (общ) '!$A1550,".",'Смета ЕР (общ) '!$B1550,".",'Смета ЕР (общ) '!$D1550)</f>
        <v>Р9.2.531</v>
      </c>
      <c r="F1550" s="26">
        <f t="shared" si="116"/>
        <v>1</v>
      </c>
      <c r="G1550" s="128" t="s">
        <v>1630</v>
      </c>
      <c r="H1550" s="28" t="s">
        <v>118</v>
      </c>
      <c r="I1550" s="158"/>
      <c r="J1550" s="30">
        <f t="shared" si="118"/>
        <v>793.70550000000003</v>
      </c>
      <c r="K1550" s="30">
        <f>[14]Освещение!H100</f>
        <v>7937.0550000000003</v>
      </c>
      <c r="L1550" s="30">
        <f t="shared" si="114"/>
        <v>793.71</v>
      </c>
      <c r="M1550" s="54">
        <f t="shared" si="117"/>
        <v>7937.0550000000003</v>
      </c>
      <c r="N1550" s="50">
        <f>ROUND('Смета ЕР (общ) '!$I1550*'Смета ЕР (общ) '!$L1550,2)</f>
        <v>0</v>
      </c>
      <c r="O1550" s="50">
        <f>ROUND('Смета ЕР (общ) '!$I1550*'Смета ЕР (общ) '!$M1550,2)</f>
        <v>0</v>
      </c>
      <c r="P1550" s="61" t="s">
        <v>1550</v>
      </c>
      <c r="Q1550" s="56"/>
    </row>
    <row r="1551" spans="1:17" s="35" customFormat="1" ht="14.4" hidden="1" x14ac:dyDescent="0.3">
      <c r="A1551" s="174" t="s">
        <v>1170</v>
      </c>
      <c r="B1551" s="174">
        <v>2</v>
      </c>
      <c r="C1551" s="174"/>
      <c r="D1551" s="174">
        <v>532</v>
      </c>
      <c r="E1551" s="174" t="str">
        <f>CONCATENATE('Смета ЕР (общ) '!$A1551,".",'Смета ЕР (общ) '!$B1551,".",'Смета ЕР (общ) '!$D1551)</f>
        <v>Р9.2.532</v>
      </c>
      <c r="F1551" s="26">
        <f t="shared" si="116"/>
        <v>1</v>
      </c>
      <c r="G1551" s="128" t="s">
        <v>1623</v>
      </c>
      <c r="H1551" s="28" t="s">
        <v>118</v>
      </c>
      <c r="I1551" s="158"/>
      <c r="J1551" s="30">
        <f t="shared" si="118"/>
        <v>500.56650000000002</v>
      </c>
      <c r="K1551" s="30">
        <f>[14]Освещение!H101</f>
        <v>5005.665</v>
      </c>
      <c r="L1551" s="30">
        <f t="shared" si="114"/>
        <v>500.57</v>
      </c>
      <c r="M1551" s="54">
        <f t="shared" si="117"/>
        <v>5005.665</v>
      </c>
      <c r="N1551" s="50">
        <f>ROUND('Смета ЕР (общ) '!$I1551*'Смета ЕР (общ) '!$L1551,2)</f>
        <v>0</v>
      </c>
      <c r="O1551" s="50">
        <f>ROUND('Смета ЕР (общ) '!$I1551*'Смета ЕР (общ) '!$M1551,2)</f>
        <v>0</v>
      </c>
      <c r="P1551" s="61" t="s">
        <v>1550</v>
      </c>
      <c r="Q1551" s="56"/>
    </row>
    <row r="1552" spans="1:17" s="35" customFormat="1" ht="14.4" hidden="1" x14ac:dyDescent="0.3">
      <c r="A1552" s="174" t="s">
        <v>1170</v>
      </c>
      <c r="B1552" s="174">
        <v>2</v>
      </c>
      <c r="C1552" s="174"/>
      <c r="D1552" s="174">
        <v>533</v>
      </c>
      <c r="E1552" s="174" t="str">
        <f>CONCATENATE('Смета ЕР (общ) '!$A1552,".",'Смета ЕР (общ) '!$B1552,".",'Смета ЕР (общ) '!$D1552)</f>
        <v>Р9.2.533</v>
      </c>
      <c r="F1552" s="26">
        <f t="shared" si="116"/>
        <v>1</v>
      </c>
      <c r="G1552" s="128" t="s">
        <v>1633</v>
      </c>
      <c r="H1552" s="28" t="s">
        <v>118</v>
      </c>
      <c r="I1552" s="158"/>
      <c r="J1552" s="30">
        <f t="shared" si="118"/>
        <v>166.88700000000003</v>
      </c>
      <c r="K1552" s="30">
        <f>[14]Освещение!H102</f>
        <v>1668.8700000000001</v>
      </c>
      <c r="L1552" s="30">
        <f t="shared" si="114"/>
        <v>166.89</v>
      </c>
      <c r="M1552" s="54">
        <f t="shared" si="117"/>
        <v>1668.8700000000001</v>
      </c>
      <c r="N1552" s="50">
        <f>ROUND('Смета ЕР (общ) '!$I1552*'Смета ЕР (общ) '!$L1552,2)</f>
        <v>0</v>
      </c>
      <c r="O1552" s="50">
        <f>ROUND('Смета ЕР (общ) '!$I1552*'Смета ЕР (общ) '!$M1552,2)</f>
        <v>0</v>
      </c>
      <c r="P1552" s="61" t="s">
        <v>1550</v>
      </c>
      <c r="Q1552" s="56"/>
    </row>
    <row r="1553" spans="1:17" s="35" customFormat="1" ht="14.4" hidden="1" x14ac:dyDescent="0.3">
      <c r="A1553" s="174" t="s">
        <v>1170</v>
      </c>
      <c r="B1553" s="174">
        <v>2</v>
      </c>
      <c r="C1553" s="174"/>
      <c r="D1553" s="174">
        <v>534</v>
      </c>
      <c r="E1553" s="174" t="str">
        <f>CONCATENATE('Смета ЕР (общ) '!$A1553,".",'Смета ЕР (общ) '!$B1553,".",'Смета ЕР (общ) '!$D1553)</f>
        <v>Р9.2.534</v>
      </c>
      <c r="F1553" s="26">
        <f t="shared" si="116"/>
        <v>1</v>
      </c>
      <c r="G1553" s="128" t="s">
        <v>1624</v>
      </c>
      <c r="H1553" s="28" t="s">
        <v>118</v>
      </c>
      <c r="I1553" s="158"/>
      <c r="J1553" s="30">
        <f t="shared" si="118"/>
        <v>66.528000000000006</v>
      </c>
      <c r="K1553" s="30">
        <f>[14]Освещение!H103</f>
        <v>665.28000000000009</v>
      </c>
      <c r="L1553" s="30">
        <f t="shared" si="114"/>
        <v>66.53</v>
      </c>
      <c r="M1553" s="54">
        <f t="shared" si="117"/>
        <v>665.28000000000009</v>
      </c>
      <c r="N1553" s="50">
        <f>ROUND('Смета ЕР (общ) '!$I1553*'Смета ЕР (общ) '!$L1553,2)</f>
        <v>0</v>
      </c>
      <c r="O1553" s="50">
        <f>ROUND('Смета ЕР (общ) '!$I1553*'Смета ЕР (общ) '!$M1553,2)</f>
        <v>0</v>
      </c>
      <c r="P1553" s="61" t="s">
        <v>1550</v>
      </c>
      <c r="Q1553" s="56"/>
    </row>
    <row r="1554" spans="1:17" s="35" customFormat="1" ht="14.4" hidden="1" x14ac:dyDescent="0.3">
      <c r="A1554" s="174" t="s">
        <v>1170</v>
      </c>
      <c r="B1554" s="174">
        <v>2</v>
      </c>
      <c r="C1554" s="174"/>
      <c r="D1554" s="174">
        <v>535</v>
      </c>
      <c r="E1554" s="174" t="str">
        <f>CONCATENATE('Смета ЕР (общ) '!$A1554,".",'Смета ЕР (общ) '!$B1554,".",'Смета ЕР (общ) '!$D1554)</f>
        <v>Р9.2.535</v>
      </c>
      <c r="F1554" s="26">
        <f t="shared" si="116"/>
        <v>1</v>
      </c>
      <c r="G1554" s="128" t="s">
        <v>1626</v>
      </c>
      <c r="H1554" s="28" t="s">
        <v>118</v>
      </c>
      <c r="I1554" s="158"/>
      <c r="J1554" s="30">
        <f t="shared" si="118"/>
        <v>91.66500000000002</v>
      </c>
      <c r="K1554" s="30">
        <f>[14]Освещение!H104</f>
        <v>916.65000000000009</v>
      </c>
      <c r="L1554" s="30">
        <f t="shared" si="114"/>
        <v>91.67</v>
      </c>
      <c r="M1554" s="54">
        <f t="shared" si="117"/>
        <v>916.65000000000009</v>
      </c>
      <c r="N1554" s="50">
        <f>ROUND('Смета ЕР (общ) '!$I1554*'Смета ЕР (общ) '!$L1554,2)</f>
        <v>0</v>
      </c>
      <c r="O1554" s="50">
        <f>ROUND('Смета ЕР (общ) '!$I1554*'Смета ЕР (общ) '!$M1554,2)</f>
        <v>0</v>
      </c>
      <c r="P1554" s="61" t="s">
        <v>1550</v>
      </c>
      <c r="Q1554" s="56"/>
    </row>
    <row r="1555" spans="1:17" s="35" customFormat="1" ht="14.4" hidden="1" x14ac:dyDescent="0.3">
      <c r="A1555" s="174" t="s">
        <v>1170</v>
      </c>
      <c r="B1555" s="174">
        <v>2</v>
      </c>
      <c r="C1555" s="174"/>
      <c r="D1555" s="174">
        <v>536</v>
      </c>
      <c r="E1555" s="174" t="str">
        <f>CONCATENATE('Смета ЕР (общ) '!$A1555,".",'Смета ЕР (общ) '!$B1555,".",'Смета ЕР (общ) '!$D1555)</f>
        <v>Р9.2.536</v>
      </c>
      <c r="F1555" s="26">
        <f t="shared" si="116"/>
        <v>1</v>
      </c>
      <c r="G1555" s="128" t="s">
        <v>1634</v>
      </c>
      <c r="H1555" s="28" t="s">
        <v>118</v>
      </c>
      <c r="I1555" s="158"/>
      <c r="J1555" s="30">
        <f t="shared" si="118"/>
        <v>4.0635000000000003</v>
      </c>
      <c r="K1555" s="30">
        <f>[14]Освещение!H105</f>
        <v>40.635000000000005</v>
      </c>
      <c r="L1555" s="30">
        <f t="shared" si="114"/>
        <v>4.0599999999999996</v>
      </c>
      <c r="M1555" s="54">
        <f t="shared" si="117"/>
        <v>40.635000000000005</v>
      </c>
      <c r="N1555" s="50">
        <f>ROUND('Смета ЕР (общ) '!$I1555*'Смета ЕР (общ) '!$L1555,2)</f>
        <v>0</v>
      </c>
      <c r="O1555" s="50">
        <f>ROUND('Смета ЕР (общ) '!$I1555*'Смета ЕР (общ) '!$M1555,2)</f>
        <v>0</v>
      </c>
      <c r="P1555" s="61" t="s">
        <v>1550</v>
      </c>
      <c r="Q1555" s="56"/>
    </row>
    <row r="1556" spans="1:17" s="35" customFormat="1" ht="14.4" hidden="1" x14ac:dyDescent="0.3">
      <c r="A1556" s="174" t="s">
        <v>1170</v>
      </c>
      <c r="B1556" s="174">
        <v>2</v>
      </c>
      <c r="C1556" s="174"/>
      <c r="D1556" s="174">
        <v>537</v>
      </c>
      <c r="E1556" s="174" t="str">
        <f>CONCATENATE('Смета ЕР (общ) '!$A1556,".",'Смета ЕР (общ) '!$B1556,".",'Смета ЕР (общ) '!$D1556)</f>
        <v>Р9.2.537</v>
      </c>
      <c r="F1556" s="26">
        <f t="shared" si="116"/>
        <v>1</v>
      </c>
      <c r="G1556" s="128" t="s">
        <v>1627</v>
      </c>
      <c r="H1556" s="28" t="s">
        <v>118</v>
      </c>
      <c r="I1556" s="158"/>
      <c r="J1556" s="30">
        <f t="shared" si="118"/>
        <v>17.482500000000002</v>
      </c>
      <c r="K1556" s="30">
        <f>[14]Освещение!H106</f>
        <v>174.82500000000002</v>
      </c>
      <c r="L1556" s="30">
        <f t="shared" si="114"/>
        <v>17.48</v>
      </c>
      <c r="M1556" s="54">
        <f t="shared" si="117"/>
        <v>174.82500000000002</v>
      </c>
      <c r="N1556" s="50">
        <f>ROUND('Смета ЕР (общ) '!$I1556*'Смета ЕР (общ) '!$L1556,2)</f>
        <v>0</v>
      </c>
      <c r="O1556" s="50">
        <f>ROUND('Смета ЕР (общ) '!$I1556*'Смета ЕР (общ) '!$M1556,2)</f>
        <v>0</v>
      </c>
      <c r="P1556" s="61" t="s">
        <v>1550</v>
      </c>
      <c r="Q1556" s="56"/>
    </row>
    <row r="1557" spans="1:17" s="35" customFormat="1" ht="14.4" hidden="1" x14ac:dyDescent="0.3">
      <c r="A1557" s="174" t="s">
        <v>1170</v>
      </c>
      <c r="B1557" s="174">
        <v>2</v>
      </c>
      <c r="C1557" s="174"/>
      <c r="D1557" s="174">
        <v>538</v>
      </c>
      <c r="E1557" s="174" t="str">
        <f>CONCATENATE('Смета ЕР (общ) '!$A1557,".",'Смета ЕР (общ) '!$B1557,".",'Смета ЕР (общ) '!$D1557)</f>
        <v>Р9.2.538</v>
      </c>
      <c r="F1557" s="26">
        <f t="shared" ref="F1557:F1620" si="119">IF(I1557&gt;0,F1556+1,F1556)</f>
        <v>1</v>
      </c>
      <c r="G1557" s="128" t="s">
        <v>1628</v>
      </c>
      <c r="H1557" s="28" t="s">
        <v>118</v>
      </c>
      <c r="I1557" s="158"/>
      <c r="J1557" s="30">
        <f t="shared" si="118"/>
        <v>51.786000000000001</v>
      </c>
      <c r="K1557" s="30">
        <f>[14]Освещение!H107</f>
        <v>517.86</v>
      </c>
      <c r="L1557" s="30">
        <f t="shared" si="114"/>
        <v>51.79</v>
      </c>
      <c r="M1557" s="54">
        <f t="shared" si="117"/>
        <v>517.86</v>
      </c>
      <c r="N1557" s="50">
        <f>ROUND('Смета ЕР (общ) '!$I1557*'Смета ЕР (общ) '!$L1557,2)</f>
        <v>0</v>
      </c>
      <c r="O1557" s="50">
        <f>ROUND('Смета ЕР (общ) '!$I1557*'Смета ЕР (общ) '!$M1557,2)</f>
        <v>0</v>
      </c>
      <c r="P1557" s="61" t="s">
        <v>1550</v>
      </c>
      <c r="Q1557" s="56"/>
    </row>
    <row r="1558" spans="1:17" s="35" customFormat="1" ht="14.4" hidden="1" x14ac:dyDescent="0.3">
      <c r="A1558" s="174" t="s">
        <v>1170</v>
      </c>
      <c r="B1558" s="174">
        <v>2</v>
      </c>
      <c r="C1558" s="174"/>
      <c r="D1558" s="174">
        <v>539</v>
      </c>
      <c r="E1558" s="174" t="str">
        <f>CONCATENATE('Смета ЕР (общ) '!$A1558,".",'Смета ЕР (общ) '!$B1558,".",'Смета ЕР (общ) '!$D1558)</f>
        <v>Р9.2.539</v>
      </c>
      <c r="F1558" s="26">
        <f t="shared" si="119"/>
        <v>1</v>
      </c>
      <c r="G1558" s="128" t="s">
        <v>1632</v>
      </c>
      <c r="H1558" s="28" t="s">
        <v>118</v>
      </c>
      <c r="I1558" s="158"/>
      <c r="J1558" s="30">
        <f t="shared" si="118"/>
        <v>27.971999999999998</v>
      </c>
      <c r="K1558" s="30">
        <f>[14]Освещение!H108</f>
        <v>279.71999999999997</v>
      </c>
      <c r="L1558" s="30">
        <f t="shared" si="114"/>
        <v>27.97</v>
      </c>
      <c r="M1558" s="54">
        <f t="shared" si="117"/>
        <v>279.71999999999997</v>
      </c>
      <c r="N1558" s="50">
        <f>ROUND('Смета ЕР (общ) '!$I1558*'Смета ЕР (общ) '!$L1558,2)</f>
        <v>0</v>
      </c>
      <c r="O1558" s="50">
        <f>ROUND('Смета ЕР (общ) '!$I1558*'Смета ЕР (общ) '!$M1558,2)</f>
        <v>0</v>
      </c>
      <c r="P1558" s="61" t="s">
        <v>1550</v>
      </c>
      <c r="Q1558" s="56"/>
    </row>
    <row r="1559" spans="1:17" s="35" customFormat="1" ht="14.4" hidden="1" x14ac:dyDescent="0.3">
      <c r="A1559" s="174" t="s">
        <v>1170</v>
      </c>
      <c r="B1559" s="174">
        <v>2</v>
      </c>
      <c r="C1559" s="174"/>
      <c r="D1559" s="174">
        <v>540</v>
      </c>
      <c r="E1559" s="174" t="str">
        <f>CONCATENATE('Смета ЕР (общ) '!$A1559,".",'Смета ЕР (общ) '!$B1559,".",'Смета ЕР (общ) '!$D1559)</f>
        <v>Р9.2.540</v>
      </c>
      <c r="F1559" s="26">
        <f t="shared" si="119"/>
        <v>1</v>
      </c>
      <c r="G1559" s="128" t="s">
        <v>1630</v>
      </c>
      <c r="H1559" s="28" t="s">
        <v>118</v>
      </c>
      <c r="I1559" s="158"/>
      <c r="J1559" s="30">
        <f t="shared" si="118"/>
        <v>793.70550000000003</v>
      </c>
      <c r="K1559" s="30">
        <f>[14]Освещение!H109</f>
        <v>7937.0550000000003</v>
      </c>
      <c r="L1559" s="30">
        <f t="shared" si="114"/>
        <v>793.71</v>
      </c>
      <c r="M1559" s="54">
        <f t="shared" si="117"/>
        <v>7937.0550000000003</v>
      </c>
      <c r="N1559" s="50">
        <f>ROUND('Смета ЕР (общ) '!$I1559*'Смета ЕР (общ) '!$L1559,2)</f>
        <v>0</v>
      </c>
      <c r="O1559" s="50">
        <f>ROUND('Смета ЕР (общ) '!$I1559*'Смета ЕР (общ) '!$M1559,2)</f>
        <v>0</v>
      </c>
      <c r="P1559" s="61" t="s">
        <v>1550</v>
      </c>
      <c r="Q1559" s="56"/>
    </row>
    <row r="1560" spans="1:17" s="35" customFormat="1" ht="14.4" hidden="1" x14ac:dyDescent="0.3">
      <c r="A1560" s="174" t="s">
        <v>1170</v>
      </c>
      <c r="B1560" s="174">
        <v>2</v>
      </c>
      <c r="C1560" s="174"/>
      <c r="D1560" s="174">
        <v>541</v>
      </c>
      <c r="E1560" s="174" t="str">
        <f>CONCATENATE('Смета ЕР (общ) '!$A1560,".",'Смета ЕР (общ) '!$B1560,".",'Смета ЕР (общ) '!$D1560)</f>
        <v>Р9.2.541</v>
      </c>
      <c r="F1560" s="26">
        <f t="shared" si="119"/>
        <v>1</v>
      </c>
      <c r="G1560" s="128" t="s">
        <v>1623</v>
      </c>
      <c r="H1560" s="28" t="s">
        <v>118</v>
      </c>
      <c r="I1560" s="158"/>
      <c r="J1560" s="30">
        <f t="shared" si="118"/>
        <v>500.56650000000002</v>
      </c>
      <c r="K1560" s="30">
        <f>[14]Освещение!H110</f>
        <v>5005.665</v>
      </c>
      <c r="L1560" s="30">
        <f t="shared" si="114"/>
        <v>500.57</v>
      </c>
      <c r="M1560" s="54">
        <f t="shared" si="117"/>
        <v>5005.665</v>
      </c>
      <c r="N1560" s="50">
        <f>ROUND('Смета ЕР (общ) '!$I1560*'Смета ЕР (общ) '!$L1560,2)</f>
        <v>0</v>
      </c>
      <c r="O1560" s="50">
        <f>ROUND('Смета ЕР (общ) '!$I1560*'Смета ЕР (общ) '!$M1560,2)</f>
        <v>0</v>
      </c>
      <c r="P1560" s="61" t="s">
        <v>1550</v>
      </c>
      <c r="Q1560" s="56"/>
    </row>
    <row r="1561" spans="1:17" s="35" customFormat="1" ht="14.4" hidden="1" x14ac:dyDescent="0.3">
      <c r="A1561" s="174" t="s">
        <v>1170</v>
      </c>
      <c r="B1561" s="174">
        <v>2</v>
      </c>
      <c r="C1561" s="174"/>
      <c r="D1561" s="174">
        <v>542</v>
      </c>
      <c r="E1561" s="174" t="str">
        <f>CONCATENATE('Смета ЕР (общ) '!$A1561,".",'Смета ЕР (общ) '!$B1561,".",'Смета ЕР (общ) '!$D1561)</f>
        <v>Р9.2.542</v>
      </c>
      <c r="F1561" s="26">
        <f t="shared" si="119"/>
        <v>1</v>
      </c>
      <c r="G1561" s="128" t="s">
        <v>1633</v>
      </c>
      <c r="H1561" s="28" t="s">
        <v>118</v>
      </c>
      <c r="I1561" s="158"/>
      <c r="J1561" s="30">
        <f t="shared" si="118"/>
        <v>166.88700000000003</v>
      </c>
      <c r="K1561" s="30">
        <f>[14]Освещение!H111</f>
        <v>1668.8700000000001</v>
      </c>
      <c r="L1561" s="30">
        <f t="shared" si="114"/>
        <v>166.89</v>
      </c>
      <c r="M1561" s="54">
        <f t="shared" si="117"/>
        <v>1668.8700000000001</v>
      </c>
      <c r="N1561" s="50">
        <f>ROUND('Смета ЕР (общ) '!$I1561*'Смета ЕР (общ) '!$L1561,2)</f>
        <v>0</v>
      </c>
      <c r="O1561" s="50">
        <f>ROUND('Смета ЕР (общ) '!$I1561*'Смета ЕР (общ) '!$M1561,2)</f>
        <v>0</v>
      </c>
      <c r="P1561" s="61" t="s">
        <v>1550</v>
      </c>
      <c r="Q1561" s="56"/>
    </row>
    <row r="1562" spans="1:17" s="35" customFormat="1" ht="14.4" hidden="1" x14ac:dyDescent="0.3">
      <c r="A1562" s="174" t="s">
        <v>1170</v>
      </c>
      <c r="B1562" s="174">
        <v>2</v>
      </c>
      <c r="C1562" s="174"/>
      <c r="D1562" s="174">
        <v>543</v>
      </c>
      <c r="E1562" s="174" t="str">
        <f>CONCATENATE('Смета ЕР (общ) '!$A1562,".",'Смета ЕР (общ) '!$B1562,".",'Смета ЕР (общ) '!$D1562)</f>
        <v>Р9.2.543</v>
      </c>
      <c r="F1562" s="26">
        <f t="shared" si="119"/>
        <v>1</v>
      </c>
      <c r="G1562" s="128" t="s">
        <v>1624</v>
      </c>
      <c r="H1562" s="28" t="s">
        <v>118</v>
      </c>
      <c r="I1562" s="158"/>
      <c r="J1562" s="30">
        <f t="shared" si="118"/>
        <v>66.528000000000006</v>
      </c>
      <c r="K1562" s="30">
        <f>[14]Освещение!H112</f>
        <v>665.28000000000009</v>
      </c>
      <c r="L1562" s="30">
        <f t="shared" si="114"/>
        <v>66.53</v>
      </c>
      <c r="M1562" s="54">
        <f t="shared" si="117"/>
        <v>665.28000000000009</v>
      </c>
      <c r="N1562" s="50">
        <f>ROUND('Смета ЕР (общ) '!$I1562*'Смета ЕР (общ) '!$L1562,2)</f>
        <v>0</v>
      </c>
      <c r="O1562" s="50">
        <f>ROUND('Смета ЕР (общ) '!$I1562*'Смета ЕР (общ) '!$M1562,2)</f>
        <v>0</v>
      </c>
      <c r="P1562" s="61" t="s">
        <v>1550</v>
      </c>
      <c r="Q1562" s="56"/>
    </row>
    <row r="1563" spans="1:17" s="35" customFormat="1" ht="14.4" hidden="1" x14ac:dyDescent="0.3">
      <c r="A1563" s="174" t="s">
        <v>1170</v>
      </c>
      <c r="B1563" s="174">
        <v>2</v>
      </c>
      <c r="C1563" s="174"/>
      <c r="D1563" s="174">
        <v>544</v>
      </c>
      <c r="E1563" s="174" t="str">
        <f>CONCATENATE('Смета ЕР (общ) '!$A1563,".",'Смета ЕР (общ) '!$B1563,".",'Смета ЕР (общ) '!$D1563)</f>
        <v>Р9.2.544</v>
      </c>
      <c r="F1563" s="26">
        <f t="shared" si="119"/>
        <v>1</v>
      </c>
      <c r="G1563" s="128" t="s">
        <v>1626</v>
      </c>
      <c r="H1563" s="28" t="s">
        <v>118</v>
      </c>
      <c r="I1563" s="158"/>
      <c r="J1563" s="30">
        <f t="shared" si="118"/>
        <v>91.66500000000002</v>
      </c>
      <c r="K1563" s="30">
        <f>[14]Освещение!H113</f>
        <v>916.65000000000009</v>
      </c>
      <c r="L1563" s="30">
        <f t="shared" si="114"/>
        <v>91.67</v>
      </c>
      <c r="M1563" s="54">
        <f t="shared" si="117"/>
        <v>916.65000000000009</v>
      </c>
      <c r="N1563" s="50">
        <f>ROUND('Смета ЕР (общ) '!$I1563*'Смета ЕР (общ) '!$L1563,2)</f>
        <v>0</v>
      </c>
      <c r="O1563" s="50">
        <f>ROUND('Смета ЕР (общ) '!$I1563*'Смета ЕР (общ) '!$M1563,2)</f>
        <v>0</v>
      </c>
      <c r="P1563" s="61" t="s">
        <v>1550</v>
      </c>
      <c r="Q1563" s="56"/>
    </row>
    <row r="1564" spans="1:17" s="35" customFormat="1" ht="14.4" hidden="1" x14ac:dyDescent="0.3">
      <c r="A1564" s="174" t="s">
        <v>1170</v>
      </c>
      <c r="B1564" s="174">
        <v>2</v>
      </c>
      <c r="C1564" s="174"/>
      <c r="D1564" s="174">
        <v>545</v>
      </c>
      <c r="E1564" s="174" t="str">
        <f>CONCATENATE('Смета ЕР (общ) '!$A1564,".",'Смета ЕР (общ) '!$B1564,".",'Смета ЕР (общ) '!$D1564)</f>
        <v>Р9.2.545</v>
      </c>
      <c r="F1564" s="26">
        <f t="shared" si="119"/>
        <v>1</v>
      </c>
      <c r="G1564" s="128" t="s">
        <v>1634</v>
      </c>
      <c r="H1564" s="28" t="s">
        <v>118</v>
      </c>
      <c r="I1564" s="158"/>
      <c r="J1564" s="30">
        <f t="shared" si="118"/>
        <v>4.0635000000000003</v>
      </c>
      <c r="K1564" s="30">
        <f>[14]Освещение!H114</f>
        <v>40.635000000000005</v>
      </c>
      <c r="L1564" s="30">
        <f t="shared" si="114"/>
        <v>4.0599999999999996</v>
      </c>
      <c r="M1564" s="54">
        <f t="shared" si="117"/>
        <v>40.635000000000005</v>
      </c>
      <c r="N1564" s="50">
        <f>ROUND('Смета ЕР (общ) '!$I1564*'Смета ЕР (общ) '!$L1564,2)</f>
        <v>0</v>
      </c>
      <c r="O1564" s="50">
        <f>ROUND('Смета ЕР (общ) '!$I1564*'Смета ЕР (общ) '!$M1564,2)</f>
        <v>0</v>
      </c>
      <c r="P1564" s="61" t="s">
        <v>1550</v>
      </c>
      <c r="Q1564" s="56"/>
    </row>
    <row r="1565" spans="1:17" s="35" customFormat="1" ht="14.4" hidden="1" x14ac:dyDescent="0.3">
      <c r="A1565" s="174" t="s">
        <v>1170</v>
      </c>
      <c r="B1565" s="174">
        <v>2</v>
      </c>
      <c r="C1565" s="174"/>
      <c r="D1565" s="174">
        <v>546</v>
      </c>
      <c r="E1565" s="174" t="str">
        <f>CONCATENATE('Смета ЕР (общ) '!$A1565,".",'Смета ЕР (общ) '!$B1565,".",'Смета ЕР (общ) '!$D1565)</f>
        <v>Р9.2.546</v>
      </c>
      <c r="F1565" s="26">
        <f t="shared" si="119"/>
        <v>1</v>
      </c>
      <c r="G1565" s="128" t="s">
        <v>1627</v>
      </c>
      <c r="H1565" s="28" t="s">
        <v>118</v>
      </c>
      <c r="I1565" s="158"/>
      <c r="J1565" s="30">
        <f t="shared" si="118"/>
        <v>17.482500000000002</v>
      </c>
      <c r="K1565" s="30">
        <f>[14]Освещение!H115</f>
        <v>174.82500000000002</v>
      </c>
      <c r="L1565" s="30">
        <f t="shared" si="114"/>
        <v>17.48</v>
      </c>
      <c r="M1565" s="54">
        <f t="shared" si="117"/>
        <v>174.82500000000002</v>
      </c>
      <c r="N1565" s="50">
        <f>ROUND('Смета ЕР (общ) '!$I1565*'Смета ЕР (общ) '!$L1565,2)</f>
        <v>0</v>
      </c>
      <c r="O1565" s="50">
        <f>ROUND('Смета ЕР (общ) '!$I1565*'Смета ЕР (общ) '!$M1565,2)</f>
        <v>0</v>
      </c>
      <c r="P1565" s="61" t="s">
        <v>1550</v>
      </c>
      <c r="Q1565" s="56"/>
    </row>
    <row r="1566" spans="1:17" s="35" customFormat="1" ht="14.4" hidden="1" x14ac:dyDescent="0.3">
      <c r="A1566" s="174" t="s">
        <v>1170</v>
      </c>
      <c r="B1566" s="174">
        <v>2</v>
      </c>
      <c r="C1566" s="174"/>
      <c r="D1566" s="174">
        <v>547</v>
      </c>
      <c r="E1566" s="174" t="str">
        <f>CONCATENATE('Смета ЕР (общ) '!$A1566,".",'Смета ЕР (общ) '!$B1566,".",'Смета ЕР (общ) '!$D1566)</f>
        <v>Р9.2.547</v>
      </c>
      <c r="F1566" s="26">
        <f t="shared" si="119"/>
        <v>1</v>
      </c>
      <c r="G1566" s="128" t="s">
        <v>1628</v>
      </c>
      <c r="H1566" s="28" t="s">
        <v>118</v>
      </c>
      <c r="I1566" s="158"/>
      <c r="J1566" s="30">
        <f t="shared" si="118"/>
        <v>51.786000000000001</v>
      </c>
      <c r="K1566" s="30">
        <f>[14]Освещение!H116</f>
        <v>517.86</v>
      </c>
      <c r="L1566" s="30">
        <f t="shared" si="114"/>
        <v>51.79</v>
      </c>
      <c r="M1566" s="54">
        <f t="shared" si="117"/>
        <v>517.86</v>
      </c>
      <c r="N1566" s="50">
        <f>ROUND('Смета ЕР (общ) '!$I1566*'Смета ЕР (общ) '!$L1566,2)</f>
        <v>0</v>
      </c>
      <c r="O1566" s="50">
        <f>ROUND('Смета ЕР (общ) '!$I1566*'Смета ЕР (общ) '!$M1566,2)</f>
        <v>0</v>
      </c>
      <c r="P1566" s="61" t="s">
        <v>1550</v>
      </c>
      <c r="Q1566" s="56"/>
    </row>
    <row r="1567" spans="1:17" s="35" customFormat="1" ht="14.4" hidden="1" x14ac:dyDescent="0.3">
      <c r="A1567" s="174" t="s">
        <v>1170</v>
      </c>
      <c r="B1567" s="174">
        <v>2</v>
      </c>
      <c r="C1567" s="174"/>
      <c r="D1567" s="174">
        <v>548</v>
      </c>
      <c r="E1567" s="174" t="str">
        <f>CONCATENATE('Смета ЕР (общ) '!$A1567,".",'Смета ЕР (общ) '!$B1567,".",'Смета ЕР (общ) '!$D1567)</f>
        <v>Р9.2.548</v>
      </c>
      <c r="F1567" s="26">
        <f t="shared" si="119"/>
        <v>1</v>
      </c>
      <c r="G1567" s="128" t="s">
        <v>1632</v>
      </c>
      <c r="H1567" s="28" t="s">
        <v>118</v>
      </c>
      <c r="I1567" s="158"/>
      <c r="J1567" s="30">
        <f t="shared" si="118"/>
        <v>27.971999999999998</v>
      </c>
      <c r="K1567" s="30">
        <f>[14]Освещение!H117</f>
        <v>279.71999999999997</v>
      </c>
      <c r="L1567" s="30">
        <f t="shared" si="114"/>
        <v>27.97</v>
      </c>
      <c r="M1567" s="54">
        <f t="shared" si="117"/>
        <v>279.71999999999997</v>
      </c>
      <c r="N1567" s="50">
        <f>ROUND('Смета ЕР (общ) '!$I1567*'Смета ЕР (общ) '!$L1567,2)</f>
        <v>0</v>
      </c>
      <c r="O1567" s="50">
        <f>ROUND('Смета ЕР (общ) '!$I1567*'Смета ЕР (общ) '!$M1567,2)</f>
        <v>0</v>
      </c>
      <c r="P1567" s="61" t="s">
        <v>1550</v>
      </c>
      <c r="Q1567" s="56"/>
    </row>
    <row r="1568" spans="1:17" s="35" customFormat="1" ht="14.4" hidden="1" x14ac:dyDescent="0.3">
      <c r="A1568" s="174" t="s">
        <v>1170</v>
      </c>
      <c r="B1568" s="174">
        <v>2</v>
      </c>
      <c r="C1568" s="174"/>
      <c r="D1568" s="174">
        <v>549</v>
      </c>
      <c r="E1568" s="174" t="str">
        <f>CONCATENATE('Смета ЕР (общ) '!$A1568,".",'Смета ЕР (общ) '!$B1568,".",'Смета ЕР (общ) '!$D1568)</f>
        <v>Р9.2.549</v>
      </c>
      <c r="F1568" s="26">
        <f t="shared" si="119"/>
        <v>1</v>
      </c>
      <c r="G1568" s="128" t="s">
        <v>1630</v>
      </c>
      <c r="H1568" s="28" t="s">
        <v>118</v>
      </c>
      <c r="I1568" s="158"/>
      <c r="J1568" s="30">
        <f t="shared" si="118"/>
        <v>793.70550000000003</v>
      </c>
      <c r="K1568" s="30">
        <f>[14]Освещение!H118</f>
        <v>7937.0550000000003</v>
      </c>
      <c r="L1568" s="30">
        <f t="shared" si="114"/>
        <v>793.71</v>
      </c>
      <c r="M1568" s="54">
        <f t="shared" si="117"/>
        <v>7937.0550000000003</v>
      </c>
      <c r="N1568" s="50">
        <f>ROUND('Смета ЕР (общ) '!$I1568*'Смета ЕР (общ) '!$L1568,2)</f>
        <v>0</v>
      </c>
      <c r="O1568" s="50">
        <f>ROUND('Смета ЕР (общ) '!$I1568*'Смета ЕР (общ) '!$M1568,2)</f>
        <v>0</v>
      </c>
      <c r="P1568" s="61" t="s">
        <v>1550</v>
      </c>
      <c r="Q1568" s="56"/>
    </row>
    <row r="1569" spans="1:17" s="35" customFormat="1" ht="14.4" hidden="1" x14ac:dyDescent="0.3">
      <c r="A1569" s="174" t="s">
        <v>1170</v>
      </c>
      <c r="B1569" s="174">
        <v>2</v>
      </c>
      <c r="C1569" s="174"/>
      <c r="D1569" s="174">
        <v>550</v>
      </c>
      <c r="E1569" s="174" t="str">
        <f>CONCATENATE('Смета ЕР (общ) '!$A1569,".",'Смета ЕР (общ) '!$B1569,".",'Смета ЕР (общ) '!$D1569)</f>
        <v>Р9.2.550</v>
      </c>
      <c r="F1569" s="26">
        <f t="shared" si="119"/>
        <v>1</v>
      </c>
      <c r="G1569" s="128" t="s">
        <v>1623</v>
      </c>
      <c r="H1569" s="28" t="s">
        <v>118</v>
      </c>
      <c r="I1569" s="158"/>
      <c r="J1569" s="30">
        <f t="shared" si="118"/>
        <v>500.56650000000002</v>
      </c>
      <c r="K1569" s="30">
        <f>[14]Освещение!H119</f>
        <v>5005.665</v>
      </c>
      <c r="L1569" s="30">
        <f t="shared" si="114"/>
        <v>500.57</v>
      </c>
      <c r="M1569" s="54">
        <f t="shared" si="117"/>
        <v>5005.665</v>
      </c>
      <c r="N1569" s="50">
        <f>ROUND('Смета ЕР (общ) '!$I1569*'Смета ЕР (общ) '!$L1569,2)</f>
        <v>0</v>
      </c>
      <c r="O1569" s="50">
        <f>ROUND('Смета ЕР (общ) '!$I1569*'Смета ЕР (общ) '!$M1569,2)</f>
        <v>0</v>
      </c>
      <c r="P1569" s="61" t="s">
        <v>1550</v>
      </c>
      <c r="Q1569" s="56"/>
    </row>
    <row r="1570" spans="1:17" s="35" customFormat="1" ht="14.4" hidden="1" x14ac:dyDescent="0.3">
      <c r="A1570" s="174" t="s">
        <v>1170</v>
      </c>
      <c r="B1570" s="174">
        <v>2</v>
      </c>
      <c r="C1570" s="174"/>
      <c r="D1570" s="174">
        <v>551</v>
      </c>
      <c r="E1570" s="174" t="str">
        <f>CONCATENATE('Смета ЕР (общ) '!$A1570,".",'Смета ЕР (общ) '!$B1570,".",'Смета ЕР (общ) '!$D1570)</f>
        <v>Р9.2.551</v>
      </c>
      <c r="F1570" s="26">
        <f t="shared" si="119"/>
        <v>1</v>
      </c>
      <c r="G1570" s="128" t="s">
        <v>1635</v>
      </c>
      <c r="H1570" s="28" t="s">
        <v>118</v>
      </c>
      <c r="I1570" s="158"/>
      <c r="J1570" s="30">
        <f t="shared" si="118"/>
        <v>372.99150000000009</v>
      </c>
      <c r="K1570" s="30">
        <f>[14]Освещение!H120</f>
        <v>3729.9150000000004</v>
      </c>
      <c r="L1570" s="30">
        <f t="shared" si="114"/>
        <v>372.99</v>
      </c>
      <c r="M1570" s="54">
        <f t="shared" si="117"/>
        <v>3729.9150000000004</v>
      </c>
      <c r="N1570" s="50">
        <f>ROUND('Смета ЕР (общ) '!$I1570*'Смета ЕР (общ) '!$L1570,2)</f>
        <v>0</v>
      </c>
      <c r="O1570" s="50">
        <f>ROUND('Смета ЕР (общ) '!$I1570*'Смета ЕР (общ) '!$M1570,2)</f>
        <v>0</v>
      </c>
      <c r="P1570" s="61" t="s">
        <v>1550</v>
      </c>
      <c r="Q1570" s="56"/>
    </row>
    <row r="1571" spans="1:17" s="35" customFormat="1" ht="14.4" hidden="1" x14ac:dyDescent="0.3">
      <c r="A1571" s="174" t="s">
        <v>1170</v>
      </c>
      <c r="B1571" s="174">
        <v>2</v>
      </c>
      <c r="C1571" s="174"/>
      <c r="D1571" s="174">
        <v>552</v>
      </c>
      <c r="E1571" s="174" t="str">
        <f>CONCATENATE('Смета ЕР (общ) '!$A1571,".",'Смета ЕР (общ) '!$B1571,".",'Смета ЕР (общ) '!$D1571)</f>
        <v>Р9.2.552</v>
      </c>
      <c r="F1571" s="26">
        <f t="shared" si="119"/>
        <v>1</v>
      </c>
      <c r="G1571" s="128" t="s">
        <v>1624</v>
      </c>
      <c r="H1571" s="28" t="s">
        <v>118</v>
      </c>
      <c r="I1571" s="158"/>
      <c r="J1571" s="30">
        <f t="shared" si="118"/>
        <v>66.528000000000006</v>
      </c>
      <c r="K1571" s="30">
        <f>[14]Освещение!H121</f>
        <v>665.28000000000009</v>
      </c>
      <c r="L1571" s="30">
        <f t="shared" si="114"/>
        <v>66.53</v>
      </c>
      <c r="M1571" s="54">
        <f t="shared" ref="M1571:M1592" si="120">K1571</f>
        <v>665.28000000000009</v>
      </c>
      <c r="N1571" s="50">
        <f>ROUND('Смета ЕР (общ) '!$I1571*'Смета ЕР (общ) '!$L1571,2)</f>
        <v>0</v>
      </c>
      <c r="O1571" s="50">
        <f>ROUND('Смета ЕР (общ) '!$I1571*'Смета ЕР (общ) '!$M1571,2)</f>
        <v>0</v>
      </c>
      <c r="P1571" s="61" t="s">
        <v>1550</v>
      </c>
      <c r="Q1571" s="56"/>
    </row>
    <row r="1572" spans="1:17" s="35" customFormat="1" ht="14.4" hidden="1" x14ac:dyDescent="0.3">
      <c r="A1572" s="174" t="s">
        <v>1170</v>
      </c>
      <c r="B1572" s="174">
        <v>2</v>
      </c>
      <c r="C1572" s="174"/>
      <c r="D1572" s="174">
        <v>553</v>
      </c>
      <c r="E1572" s="174" t="str">
        <f>CONCATENATE('Смета ЕР (общ) '!$A1572,".",'Смета ЕР (общ) '!$B1572,".",'Смета ЕР (общ) '!$D1572)</f>
        <v>Р9.2.553</v>
      </c>
      <c r="F1572" s="26">
        <f t="shared" si="119"/>
        <v>1</v>
      </c>
      <c r="G1572" s="128" t="s">
        <v>1626</v>
      </c>
      <c r="H1572" s="28" t="s">
        <v>118</v>
      </c>
      <c r="I1572" s="158"/>
      <c r="J1572" s="30">
        <f t="shared" si="118"/>
        <v>91.66500000000002</v>
      </c>
      <c r="K1572" s="30">
        <f>[14]Освещение!H122</f>
        <v>916.65000000000009</v>
      </c>
      <c r="L1572" s="30">
        <f t="shared" si="114"/>
        <v>91.67</v>
      </c>
      <c r="M1572" s="54">
        <f t="shared" si="120"/>
        <v>916.65000000000009</v>
      </c>
      <c r="N1572" s="50">
        <f>ROUND('Смета ЕР (общ) '!$I1572*'Смета ЕР (общ) '!$L1572,2)</f>
        <v>0</v>
      </c>
      <c r="O1572" s="50">
        <f>ROUND('Смета ЕР (общ) '!$I1572*'Смета ЕР (общ) '!$M1572,2)</f>
        <v>0</v>
      </c>
      <c r="P1572" s="61" t="s">
        <v>1550</v>
      </c>
      <c r="Q1572" s="56"/>
    </row>
    <row r="1573" spans="1:17" s="35" customFormat="1" ht="14.4" hidden="1" x14ac:dyDescent="0.3">
      <c r="A1573" s="174" t="s">
        <v>1170</v>
      </c>
      <c r="B1573" s="174">
        <v>2</v>
      </c>
      <c r="C1573" s="174"/>
      <c r="D1573" s="174">
        <v>554</v>
      </c>
      <c r="E1573" s="174" t="str">
        <f>CONCATENATE('Смета ЕР (общ) '!$A1573,".",'Смета ЕР (общ) '!$B1573,".",'Смета ЕР (общ) '!$D1573)</f>
        <v>Р9.2.554</v>
      </c>
      <c r="F1573" s="26">
        <f t="shared" si="119"/>
        <v>1</v>
      </c>
      <c r="G1573" s="128" t="s">
        <v>1634</v>
      </c>
      <c r="H1573" s="28" t="s">
        <v>118</v>
      </c>
      <c r="I1573" s="158"/>
      <c r="J1573" s="30">
        <f t="shared" si="118"/>
        <v>4.0635000000000003</v>
      </c>
      <c r="K1573" s="30">
        <f>[14]Освещение!H123</f>
        <v>40.635000000000005</v>
      </c>
      <c r="L1573" s="30">
        <f t="shared" si="114"/>
        <v>4.0599999999999996</v>
      </c>
      <c r="M1573" s="54">
        <f t="shared" si="120"/>
        <v>40.635000000000005</v>
      </c>
      <c r="N1573" s="50">
        <f>ROUND('Смета ЕР (общ) '!$I1573*'Смета ЕР (общ) '!$L1573,2)</f>
        <v>0</v>
      </c>
      <c r="O1573" s="50">
        <f>ROUND('Смета ЕР (общ) '!$I1573*'Смета ЕР (общ) '!$M1573,2)</f>
        <v>0</v>
      </c>
      <c r="P1573" s="61" t="s">
        <v>1550</v>
      </c>
      <c r="Q1573" s="56"/>
    </row>
    <row r="1574" spans="1:17" s="35" customFormat="1" ht="14.4" hidden="1" x14ac:dyDescent="0.3">
      <c r="A1574" s="174" t="s">
        <v>1170</v>
      </c>
      <c r="B1574" s="174">
        <v>2</v>
      </c>
      <c r="C1574" s="174"/>
      <c r="D1574" s="174">
        <v>555</v>
      </c>
      <c r="E1574" s="174" t="str">
        <f>CONCATENATE('Смета ЕР (общ) '!$A1574,".",'Смета ЕР (общ) '!$B1574,".",'Смета ЕР (общ) '!$D1574)</f>
        <v>Р9.2.555</v>
      </c>
      <c r="F1574" s="26">
        <f t="shared" si="119"/>
        <v>1</v>
      </c>
      <c r="G1574" s="128" t="s">
        <v>1627</v>
      </c>
      <c r="H1574" s="28" t="s">
        <v>118</v>
      </c>
      <c r="I1574" s="158"/>
      <c r="J1574" s="30">
        <f t="shared" si="118"/>
        <v>17.482500000000002</v>
      </c>
      <c r="K1574" s="30">
        <f>[14]Освещение!H124</f>
        <v>174.82500000000002</v>
      </c>
      <c r="L1574" s="30">
        <f t="shared" si="114"/>
        <v>17.48</v>
      </c>
      <c r="M1574" s="54">
        <f t="shared" si="120"/>
        <v>174.82500000000002</v>
      </c>
      <c r="N1574" s="50">
        <f>ROUND('Смета ЕР (общ) '!$I1574*'Смета ЕР (общ) '!$L1574,2)</f>
        <v>0</v>
      </c>
      <c r="O1574" s="50">
        <f>ROUND('Смета ЕР (общ) '!$I1574*'Смета ЕР (общ) '!$M1574,2)</f>
        <v>0</v>
      </c>
      <c r="P1574" s="61" t="s">
        <v>1550</v>
      </c>
      <c r="Q1574" s="56"/>
    </row>
    <row r="1575" spans="1:17" s="35" customFormat="1" ht="14.4" hidden="1" x14ac:dyDescent="0.3">
      <c r="A1575" s="174" t="s">
        <v>1170</v>
      </c>
      <c r="B1575" s="174">
        <v>2</v>
      </c>
      <c r="C1575" s="174"/>
      <c r="D1575" s="174">
        <v>556</v>
      </c>
      <c r="E1575" s="174" t="str">
        <f>CONCATENATE('Смета ЕР (общ) '!$A1575,".",'Смета ЕР (общ) '!$B1575,".",'Смета ЕР (общ) '!$D1575)</f>
        <v>Р9.2.556</v>
      </c>
      <c r="F1575" s="26">
        <f t="shared" si="119"/>
        <v>1</v>
      </c>
      <c r="G1575" s="128" t="s">
        <v>1628</v>
      </c>
      <c r="H1575" s="28" t="s">
        <v>118</v>
      </c>
      <c r="I1575" s="158"/>
      <c r="J1575" s="30">
        <f t="shared" si="118"/>
        <v>51.786000000000001</v>
      </c>
      <c r="K1575" s="30">
        <f>[14]Освещение!H125</f>
        <v>517.86</v>
      </c>
      <c r="L1575" s="30">
        <f t="shared" si="114"/>
        <v>51.79</v>
      </c>
      <c r="M1575" s="54">
        <f t="shared" si="120"/>
        <v>517.86</v>
      </c>
      <c r="N1575" s="50">
        <f>ROUND('Смета ЕР (общ) '!$I1575*'Смета ЕР (общ) '!$L1575,2)</f>
        <v>0</v>
      </c>
      <c r="O1575" s="50">
        <f>ROUND('Смета ЕР (общ) '!$I1575*'Смета ЕР (общ) '!$M1575,2)</f>
        <v>0</v>
      </c>
      <c r="P1575" s="61" t="s">
        <v>1550</v>
      </c>
      <c r="Q1575" s="56"/>
    </row>
    <row r="1576" spans="1:17" s="35" customFormat="1" ht="14.4" hidden="1" x14ac:dyDescent="0.3">
      <c r="A1576" s="174" t="s">
        <v>1170</v>
      </c>
      <c r="B1576" s="174">
        <v>2</v>
      </c>
      <c r="C1576" s="174"/>
      <c r="D1576" s="174">
        <v>557</v>
      </c>
      <c r="E1576" s="174" t="str">
        <f>CONCATENATE('Смета ЕР (общ) '!$A1576,".",'Смета ЕР (общ) '!$B1576,".",'Смета ЕР (общ) '!$D1576)</f>
        <v>Р9.2.557</v>
      </c>
      <c r="F1576" s="26">
        <f t="shared" si="119"/>
        <v>1</v>
      </c>
      <c r="G1576" s="128" t="s">
        <v>1632</v>
      </c>
      <c r="H1576" s="28" t="s">
        <v>118</v>
      </c>
      <c r="I1576" s="158"/>
      <c r="J1576" s="30">
        <f t="shared" si="118"/>
        <v>27.971999999999998</v>
      </c>
      <c r="K1576" s="30">
        <f>[14]Освещение!H126</f>
        <v>279.71999999999997</v>
      </c>
      <c r="L1576" s="30">
        <f t="shared" si="114"/>
        <v>27.97</v>
      </c>
      <c r="M1576" s="54">
        <f t="shared" si="120"/>
        <v>279.71999999999997</v>
      </c>
      <c r="N1576" s="50">
        <f>ROUND('Смета ЕР (общ) '!$I1576*'Смета ЕР (общ) '!$L1576,2)</f>
        <v>0</v>
      </c>
      <c r="O1576" s="50">
        <f>ROUND('Смета ЕР (общ) '!$I1576*'Смета ЕР (общ) '!$M1576,2)</f>
        <v>0</v>
      </c>
      <c r="P1576" s="61" t="s">
        <v>1550</v>
      </c>
      <c r="Q1576" s="56"/>
    </row>
    <row r="1577" spans="1:17" s="35" customFormat="1" ht="14.4" hidden="1" x14ac:dyDescent="0.3">
      <c r="A1577" s="174" t="s">
        <v>1170</v>
      </c>
      <c r="B1577" s="174">
        <v>2</v>
      </c>
      <c r="C1577" s="174"/>
      <c r="D1577" s="174">
        <v>558</v>
      </c>
      <c r="E1577" s="174" t="str">
        <f>CONCATENATE('Смета ЕР (общ) '!$A1577,".",'Смета ЕР (общ) '!$B1577,".",'Смета ЕР (общ) '!$D1577)</f>
        <v>Р9.2.558</v>
      </c>
      <c r="F1577" s="26">
        <f t="shared" si="119"/>
        <v>1</v>
      </c>
      <c r="G1577" s="128" t="s">
        <v>1630</v>
      </c>
      <c r="H1577" s="28" t="s">
        <v>118</v>
      </c>
      <c r="I1577" s="158"/>
      <c r="J1577" s="30">
        <f t="shared" si="118"/>
        <v>793.70550000000003</v>
      </c>
      <c r="K1577" s="30">
        <f>[14]Освещение!H127</f>
        <v>7937.0550000000003</v>
      </c>
      <c r="L1577" s="30">
        <f t="shared" si="114"/>
        <v>793.71</v>
      </c>
      <c r="M1577" s="54">
        <f t="shared" si="120"/>
        <v>7937.0550000000003</v>
      </c>
      <c r="N1577" s="50">
        <f>ROUND('Смета ЕР (общ) '!$I1577*'Смета ЕР (общ) '!$L1577,2)</f>
        <v>0</v>
      </c>
      <c r="O1577" s="50">
        <f>ROUND('Смета ЕР (общ) '!$I1577*'Смета ЕР (общ) '!$M1577,2)</f>
        <v>0</v>
      </c>
      <c r="P1577" s="61" t="s">
        <v>1550</v>
      </c>
      <c r="Q1577" s="56"/>
    </row>
    <row r="1578" spans="1:17" s="35" customFormat="1" ht="14.4" hidden="1" x14ac:dyDescent="0.3">
      <c r="A1578" s="174" t="s">
        <v>1170</v>
      </c>
      <c r="B1578" s="174">
        <v>2</v>
      </c>
      <c r="C1578" s="174"/>
      <c r="D1578" s="174">
        <v>559</v>
      </c>
      <c r="E1578" s="174" t="str">
        <f>CONCATENATE('Смета ЕР (общ) '!$A1578,".",'Смета ЕР (общ) '!$B1578,".",'Смета ЕР (общ) '!$D1578)</f>
        <v>Р9.2.559</v>
      </c>
      <c r="F1578" s="26">
        <f t="shared" si="119"/>
        <v>1</v>
      </c>
      <c r="G1578" s="128" t="s">
        <v>1623</v>
      </c>
      <c r="H1578" s="28" t="s">
        <v>118</v>
      </c>
      <c r="I1578" s="158"/>
      <c r="J1578" s="30">
        <f t="shared" si="118"/>
        <v>500.56650000000002</v>
      </c>
      <c r="K1578" s="30">
        <f>[14]Освещение!H128</f>
        <v>5005.665</v>
      </c>
      <c r="L1578" s="30">
        <f t="shared" si="114"/>
        <v>500.57</v>
      </c>
      <c r="M1578" s="54">
        <f t="shared" si="120"/>
        <v>5005.665</v>
      </c>
      <c r="N1578" s="50">
        <f>ROUND('Смета ЕР (общ) '!$I1578*'Смета ЕР (общ) '!$L1578,2)</f>
        <v>0</v>
      </c>
      <c r="O1578" s="50">
        <f>ROUND('Смета ЕР (общ) '!$I1578*'Смета ЕР (общ) '!$M1578,2)</f>
        <v>0</v>
      </c>
      <c r="P1578" s="61" t="s">
        <v>1550</v>
      </c>
      <c r="Q1578" s="56"/>
    </row>
    <row r="1579" spans="1:17" s="35" customFormat="1" ht="14.4" hidden="1" x14ac:dyDescent="0.3">
      <c r="A1579" s="174" t="s">
        <v>1170</v>
      </c>
      <c r="B1579" s="174">
        <v>2</v>
      </c>
      <c r="C1579" s="174"/>
      <c r="D1579" s="174">
        <v>560</v>
      </c>
      <c r="E1579" s="174" t="str">
        <f>CONCATENATE('Смета ЕР (общ) '!$A1579,".",'Смета ЕР (общ) '!$B1579,".",'Смета ЕР (общ) '!$D1579)</f>
        <v>Р9.2.560</v>
      </c>
      <c r="F1579" s="26">
        <f t="shared" si="119"/>
        <v>1</v>
      </c>
      <c r="G1579" s="128" t="s">
        <v>1626</v>
      </c>
      <c r="H1579" s="28" t="s">
        <v>118</v>
      </c>
      <c r="I1579" s="158"/>
      <c r="J1579" s="30">
        <f t="shared" si="118"/>
        <v>91.66500000000002</v>
      </c>
      <c r="K1579" s="30">
        <f>[14]Освещение!H129</f>
        <v>916.65000000000009</v>
      </c>
      <c r="L1579" s="30">
        <f t="shared" si="114"/>
        <v>91.67</v>
      </c>
      <c r="M1579" s="54">
        <f t="shared" si="120"/>
        <v>916.65000000000009</v>
      </c>
      <c r="N1579" s="50">
        <f>ROUND('Смета ЕР (общ) '!$I1579*'Смета ЕР (общ) '!$L1579,2)</f>
        <v>0</v>
      </c>
      <c r="O1579" s="50">
        <f>ROUND('Смета ЕР (общ) '!$I1579*'Смета ЕР (общ) '!$M1579,2)</f>
        <v>0</v>
      </c>
      <c r="P1579" s="61" t="s">
        <v>1550</v>
      </c>
      <c r="Q1579" s="56"/>
    </row>
    <row r="1580" spans="1:17" s="35" customFormat="1" ht="14.4" hidden="1" x14ac:dyDescent="0.3">
      <c r="A1580" s="174" t="s">
        <v>1170</v>
      </c>
      <c r="B1580" s="174">
        <v>2</v>
      </c>
      <c r="C1580" s="174"/>
      <c r="D1580" s="174">
        <v>561</v>
      </c>
      <c r="E1580" s="174" t="str">
        <f>CONCATENATE('Смета ЕР (общ) '!$A1580,".",'Смета ЕР (общ) '!$B1580,".",'Смета ЕР (общ) '!$D1580)</f>
        <v>Р9.2.561</v>
      </c>
      <c r="F1580" s="26">
        <f t="shared" si="119"/>
        <v>1</v>
      </c>
      <c r="G1580" s="128" t="s">
        <v>1634</v>
      </c>
      <c r="H1580" s="28" t="s">
        <v>118</v>
      </c>
      <c r="I1580" s="158"/>
      <c r="J1580" s="30">
        <f t="shared" si="118"/>
        <v>4.0635000000000003</v>
      </c>
      <c r="K1580" s="30">
        <f>[14]Освещение!H130</f>
        <v>40.635000000000005</v>
      </c>
      <c r="L1580" s="30">
        <f t="shared" si="114"/>
        <v>4.0599999999999996</v>
      </c>
      <c r="M1580" s="54">
        <f t="shared" si="120"/>
        <v>40.635000000000005</v>
      </c>
      <c r="N1580" s="50">
        <f>ROUND('Смета ЕР (общ) '!$I1580*'Смета ЕР (общ) '!$L1580,2)</f>
        <v>0</v>
      </c>
      <c r="O1580" s="50">
        <f>ROUND('Смета ЕР (общ) '!$I1580*'Смета ЕР (общ) '!$M1580,2)</f>
        <v>0</v>
      </c>
      <c r="P1580" s="61" t="s">
        <v>1550</v>
      </c>
      <c r="Q1580" s="56"/>
    </row>
    <row r="1581" spans="1:17" s="35" customFormat="1" ht="14.4" hidden="1" x14ac:dyDescent="0.3">
      <c r="A1581" s="174" t="s">
        <v>1170</v>
      </c>
      <c r="B1581" s="174">
        <v>2</v>
      </c>
      <c r="C1581" s="174"/>
      <c r="D1581" s="174">
        <v>562</v>
      </c>
      <c r="E1581" s="174" t="str">
        <f>CONCATENATE('Смета ЕР (общ) '!$A1581,".",'Смета ЕР (общ) '!$B1581,".",'Смета ЕР (общ) '!$D1581)</f>
        <v>Р9.2.562</v>
      </c>
      <c r="F1581" s="26">
        <f t="shared" si="119"/>
        <v>1</v>
      </c>
      <c r="G1581" s="128" t="s">
        <v>1627</v>
      </c>
      <c r="H1581" s="28" t="s">
        <v>118</v>
      </c>
      <c r="I1581" s="158"/>
      <c r="J1581" s="30">
        <f t="shared" si="118"/>
        <v>17.482500000000002</v>
      </c>
      <c r="K1581" s="30">
        <f>[14]Освещение!H131</f>
        <v>174.82500000000002</v>
      </c>
      <c r="L1581" s="30">
        <f t="shared" si="114"/>
        <v>17.48</v>
      </c>
      <c r="M1581" s="54">
        <f t="shared" si="120"/>
        <v>174.82500000000002</v>
      </c>
      <c r="N1581" s="50">
        <f>ROUND('Смета ЕР (общ) '!$I1581*'Смета ЕР (общ) '!$L1581,2)</f>
        <v>0</v>
      </c>
      <c r="O1581" s="50">
        <f>ROUND('Смета ЕР (общ) '!$I1581*'Смета ЕР (общ) '!$M1581,2)</f>
        <v>0</v>
      </c>
      <c r="P1581" s="61" t="s">
        <v>1550</v>
      </c>
      <c r="Q1581" s="56"/>
    </row>
    <row r="1582" spans="1:17" s="35" customFormat="1" ht="14.4" hidden="1" x14ac:dyDescent="0.3">
      <c r="A1582" s="174" t="s">
        <v>1170</v>
      </c>
      <c r="B1582" s="174">
        <v>2</v>
      </c>
      <c r="C1582" s="174"/>
      <c r="D1582" s="174">
        <v>563</v>
      </c>
      <c r="E1582" s="174" t="str">
        <f>CONCATENATE('Смета ЕР (общ) '!$A1582,".",'Смета ЕР (общ) '!$B1582,".",'Смета ЕР (общ) '!$D1582)</f>
        <v>Р9.2.563</v>
      </c>
      <c r="F1582" s="26">
        <f t="shared" si="119"/>
        <v>1</v>
      </c>
      <c r="G1582" s="128" t="s">
        <v>1628</v>
      </c>
      <c r="H1582" s="28" t="s">
        <v>118</v>
      </c>
      <c r="I1582" s="158"/>
      <c r="J1582" s="30">
        <f t="shared" si="118"/>
        <v>51.786000000000001</v>
      </c>
      <c r="K1582" s="30">
        <f>[14]Освещение!H132</f>
        <v>517.86</v>
      </c>
      <c r="L1582" s="30">
        <f t="shared" si="114"/>
        <v>51.79</v>
      </c>
      <c r="M1582" s="54">
        <f t="shared" si="120"/>
        <v>517.86</v>
      </c>
      <c r="N1582" s="50">
        <f>ROUND('Смета ЕР (общ) '!$I1582*'Смета ЕР (общ) '!$L1582,2)</f>
        <v>0</v>
      </c>
      <c r="O1582" s="50">
        <f>ROUND('Смета ЕР (общ) '!$I1582*'Смета ЕР (общ) '!$M1582,2)</f>
        <v>0</v>
      </c>
      <c r="P1582" s="61" t="s">
        <v>1550</v>
      </c>
      <c r="Q1582" s="56"/>
    </row>
    <row r="1583" spans="1:17" s="35" customFormat="1" ht="14.4" hidden="1" x14ac:dyDescent="0.3">
      <c r="A1583" s="174" t="s">
        <v>1170</v>
      </c>
      <c r="B1583" s="174">
        <v>2</v>
      </c>
      <c r="C1583" s="174"/>
      <c r="D1583" s="174">
        <v>564</v>
      </c>
      <c r="E1583" s="174" t="str">
        <f>CONCATENATE('Смета ЕР (общ) '!$A1583,".",'Смета ЕР (общ) '!$B1583,".",'Смета ЕР (общ) '!$D1583)</f>
        <v>Р9.2.564</v>
      </c>
      <c r="F1583" s="26">
        <f t="shared" si="119"/>
        <v>1</v>
      </c>
      <c r="G1583" s="128" t="s">
        <v>1632</v>
      </c>
      <c r="H1583" s="28" t="s">
        <v>118</v>
      </c>
      <c r="I1583" s="158"/>
      <c r="J1583" s="30">
        <f t="shared" si="118"/>
        <v>27.971999999999998</v>
      </c>
      <c r="K1583" s="30">
        <f>[14]Освещение!H133</f>
        <v>279.71999999999997</v>
      </c>
      <c r="L1583" s="30">
        <f t="shared" si="114"/>
        <v>27.97</v>
      </c>
      <c r="M1583" s="54">
        <f t="shared" si="120"/>
        <v>279.71999999999997</v>
      </c>
      <c r="N1583" s="50">
        <f>ROUND('Смета ЕР (общ) '!$I1583*'Смета ЕР (общ) '!$L1583,2)</f>
        <v>0</v>
      </c>
      <c r="O1583" s="50">
        <f>ROUND('Смета ЕР (общ) '!$I1583*'Смета ЕР (общ) '!$M1583,2)</f>
        <v>0</v>
      </c>
      <c r="P1583" s="61" t="s">
        <v>1550</v>
      </c>
      <c r="Q1583" s="56"/>
    </row>
    <row r="1584" spans="1:17" s="35" customFormat="1" ht="14.4" hidden="1" x14ac:dyDescent="0.3">
      <c r="A1584" s="174" t="s">
        <v>1170</v>
      </c>
      <c r="B1584" s="174">
        <v>2</v>
      </c>
      <c r="C1584" s="174"/>
      <c r="D1584" s="174">
        <v>565</v>
      </c>
      <c r="E1584" s="174" t="str">
        <f>CONCATENATE('Смета ЕР (общ) '!$A1584,".",'Смета ЕР (общ) '!$B1584,".",'Смета ЕР (общ) '!$D1584)</f>
        <v>Р9.2.565</v>
      </c>
      <c r="F1584" s="26">
        <f t="shared" si="119"/>
        <v>1</v>
      </c>
      <c r="G1584" s="128" t="s">
        <v>1630</v>
      </c>
      <c r="H1584" s="28" t="s">
        <v>118</v>
      </c>
      <c r="I1584" s="158"/>
      <c r="J1584" s="30">
        <f t="shared" si="118"/>
        <v>793.70550000000003</v>
      </c>
      <c r="K1584" s="30">
        <f>[14]Освещение!H134</f>
        <v>7937.0550000000003</v>
      </c>
      <c r="L1584" s="30">
        <f t="shared" si="114"/>
        <v>793.71</v>
      </c>
      <c r="M1584" s="54">
        <f t="shared" si="120"/>
        <v>7937.0550000000003</v>
      </c>
      <c r="N1584" s="50">
        <f>ROUND('Смета ЕР (общ) '!$I1584*'Смета ЕР (общ) '!$L1584,2)</f>
        <v>0</v>
      </c>
      <c r="O1584" s="50">
        <f>ROUND('Смета ЕР (общ) '!$I1584*'Смета ЕР (общ) '!$M1584,2)</f>
        <v>0</v>
      </c>
      <c r="P1584" s="61" t="s">
        <v>1550</v>
      </c>
      <c r="Q1584" s="56"/>
    </row>
    <row r="1585" spans="1:20" s="35" customFormat="1" ht="20.399999999999999" hidden="1" x14ac:dyDescent="0.3">
      <c r="A1585" s="174" t="s">
        <v>1170</v>
      </c>
      <c r="B1585" s="174">
        <v>2</v>
      </c>
      <c r="C1585" s="174"/>
      <c r="D1585" s="174">
        <v>566</v>
      </c>
      <c r="E1585" s="174" t="str">
        <f>CONCATENATE('Смета ЕР (общ) '!$A1585,".",'Смета ЕР (общ) '!$B1585,".",'Смета ЕР (общ) '!$D1585)</f>
        <v>Р9.2.566</v>
      </c>
      <c r="F1585" s="26">
        <f t="shared" si="119"/>
        <v>1</v>
      </c>
      <c r="G1585" s="128" t="s">
        <v>1636</v>
      </c>
      <c r="H1585" s="28" t="s">
        <v>118</v>
      </c>
      <c r="I1585" s="158"/>
      <c r="J1585" s="30">
        <f t="shared" si="118"/>
        <v>2896.1415000000002</v>
      </c>
      <c r="K1585" s="30">
        <f>[14]Освещение!H135</f>
        <v>28961.415000000001</v>
      </c>
      <c r="L1585" s="30">
        <f t="shared" si="114"/>
        <v>2896.14</v>
      </c>
      <c r="M1585" s="54">
        <f t="shared" si="120"/>
        <v>28961.415000000001</v>
      </c>
      <c r="N1585" s="50">
        <f>ROUND('Смета ЕР (общ) '!$I1585*'Смета ЕР (общ) '!$L1585,2)</f>
        <v>0</v>
      </c>
      <c r="O1585" s="50">
        <f>ROUND('Смета ЕР (общ) '!$I1585*'Смета ЕР (общ) '!$M1585,2)</f>
        <v>0</v>
      </c>
      <c r="P1585" s="61" t="s">
        <v>1550</v>
      </c>
      <c r="Q1585" s="56"/>
    </row>
    <row r="1586" spans="1:20" s="35" customFormat="1" ht="20.399999999999999" hidden="1" x14ac:dyDescent="0.3">
      <c r="A1586" s="174" t="s">
        <v>1170</v>
      </c>
      <c r="B1586" s="174">
        <v>2</v>
      </c>
      <c r="C1586" s="174"/>
      <c r="D1586" s="174">
        <v>567</v>
      </c>
      <c r="E1586" s="174" t="str">
        <f>CONCATENATE('Смета ЕР (общ) '!$A1586,".",'Смета ЕР (общ) '!$B1586,".",'Смета ЕР (общ) '!$D1586)</f>
        <v>Р9.2.567</v>
      </c>
      <c r="F1586" s="26">
        <f t="shared" si="119"/>
        <v>1</v>
      </c>
      <c r="G1586" s="128" t="s">
        <v>1637</v>
      </c>
      <c r="H1586" s="28" t="s">
        <v>118</v>
      </c>
      <c r="I1586" s="158"/>
      <c r="J1586" s="30">
        <f t="shared" si="118"/>
        <v>1209.3164999999999</v>
      </c>
      <c r="K1586" s="30">
        <f>[14]Освещение!H136</f>
        <v>12093.164999999999</v>
      </c>
      <c r="L1586" s="30">
        <f t="shared" si="114"/>
        <v>1209.32</v>
      </c>
      <c r="M1586" s="54">
        <f t="shared" si="120"/>
        <v>12093.164999999999</v>
      </c>
      <c r="N1586" s="50">
        <f>ROUND('Смета ЕР (общ) '!$I1586*'Смета ЕР (общ) '!$L1586,2)</f>
        <v>0</v>
      </c>
      <c r="O1586" s="50">
        <f>ROUND('Смета ЕР (общ) '!$I1586*'Смета ЕР (общ) '!$M1586,2)</f>
        <v>0</v>
      </c>
      <c r="P1586" s="61" t="s">
        <v>1550</v>
      </c>
      <c r="Q1586" s="56"/>
    </row>
    <row r="1587" spans="1:20" s="35" customFormat="1" ht="14.4" hidden="1" x14ac:dyDescent="0.3">
      <c r="A1587" s="174" t="s">
        <v>1170</v>
      </c>
      <c r="B1587" s="174">
        <v>2</v>
      </c>
      <c r="C1587" s="174"/>
      <c r="D1587" s="174">
        <v>568</v>
      </c>
      <c r="E1587" s="174" t="str">
        <f>CONCATENATE('Смета ЕР (общ) '!$A1587,".",'Смета ЕР (общ) '!$B1587,".",'Смета ЕР (общ) '!$D1587)</f>
        <v>Р9.2.568</v>
      </c>
      <c r="F1587" s="26">
        <f t="shared" si="119"/>
        <v>1</v>
      </c>
      <c r="G1587" s="128" t="s">
        <v>1638</v>
      </c>
      <c r="H1587" s="28" t="s">
        <v>118</v>
      </c>
      <c r="I1587" s="158"/>
      <c r="J1587" s="30">
        <f t="shared" si="118"/>
        <v>2342.7495000000004</v>
      </c>
      <c r="K1587" s="30">
        <f>[14]Освещение!H137</f>
        <v>23427.495000000003</v>
      </c>
      <c r="L1587" s="30">
        <f t="shared" si="114"/>
        <v>2342.75</v>
      </c>
      <c r="M1587" s="54">
        <f t="shared" si="120"/>
        <v>23427.495000000003</v>
      </c>
      <c r="N1587" s="50">
        <f>ROUND('Смета ЕР (общ) '!$I1587*'Смета ЕР (общ) '!$L1587,2)</f>
        <v>0</v>
      </c>
      <c r="O1587" s="50">
        <f>ROUND('Смета ЕР (общ) '!$I1587*'Смета ЕР (общ) '!$M1587,2)</f>
        <v>0</v>
      </c>
      <c r="P1587" s="61" t="s">
        <v>1550</v>
      </c>
      <c r="Q1587" s="56"/>
    </row>
    <row r="1588" spans="1:20" s="35" customFormat="1" ht="14.4" hidden="1" x14ac:dyDescent="0.3">
      <c r="A1588" s="174" t="s">
        <v>1170</v>
      </c>
      <c r="B1588" s="174">
        <v>2</v>
      </c>
      <c r="C1588" s="174"/>
      <c r="D1588" s="175">
        <v>431</v>
      </c>
      <c r="E1588" s="174" t="str">
        <f>CONCATENATE('Смета ЕР (общ) '!$A1588,".",'Смета ЕР (общ) '!$B1588,".",'Смета ЕР (общ) '!$D1588)</f>
        <v>Р9.2.431</v>
      </c>
      <c r="F1588" s="26">
        <f t="shared" si="119"/>
        <v>1</v>
      </c>
      <c r="G1588" s="128" t="s">
        <v>1639</v>
      </c>
      <c r="H1588" s="28" t="s">
        <v>118</v>
      </c>
      <c r="I1588" s="158"/>
      <c r="J1588" s="30">
        <f t="shared" si="118"/>
        <v>3553.578</v>
      </c>
      <c r="K1588" s="30">
        <f>[14]Освещение!H138</f>
        <v>35535.78</v>
      </c>
      <c r="L1588" s="30">
        <f t="shared" si="114"/>
        <v>3553.58</v>
      </c>
      <c r="M1588" s="54">
        <f t="shared" si="120"/>
        <v>35535.78</v>
      </c>
      <c r="N1588" s="50">
        <f>ROUND('Смета ЕР (общ) '!$I1588*'Смета ЕР (общ) '!$L1588,2)</f>
        <v>0</v>
      </c>
      <c r="O1588" s="50">
        <f>ROUND('Смета ЕР (общ) '!$I1588*'Смета ЕР (общ) '!$M1588,2)</f>
        <v>0</v>
      </c>
      <c r="P1588" s="61" t="s">
        <v>1550</v>
      </c>
      <c r="Q1588" s="56"/>
    </row>
    <row r="1589" spans="1:20" s="35" customFormat="1" ht="14.4" hidden="1" x14ac:dyDescent="0.3">
      <c r="A1589" s="174" t="s">
        <v>1170</v>
      </c>
      <c r="B1589" s="174">
        <v>2</v>
      </c>
      <c r="C1589" s="174"/>
      <c r="D1589" s="175">
        <v>432</v>
      </c>
      <c r="E1589" s="174" t="str">
        <f>CONCATENATE('Смета ЕР (общ) '!$A1589,".",'Смета ЕР (общ) '!$B1589,".",'Смета ЕР (общ) '!$D1589)</f>
        <v>Р9.2.432</v>
      </c>
      <c r="F1589" s="26">
        <f t="shared" si="119"/>
        <v>1</v>
      </c>
      <c r="G1589" s="128" t="s">
        <v>1640</v>
      </c>
      <c r="H1589" s="28" t="s">
        <v>118</v>
      </c>
      <c r="I1589" s="158"/>
      <c r="J1589" s="30">
        <f t="shared" si="118"/>
        <v>27.688500000000001</v>
      </c>
      <c r="K1589" s="30">
        <f>[14]Освещение!H139</f>
        <v>276.88499999999999</v>
      </c>
      <c r="L1589" s="30">
        <f t="shared" si="114"/>
        <v>27.69</v>
      </c>
      <c r="M1589" s="54">
        <f t="shared" si="120"/>
        <v>276.88499999999999</v>
      </c>
      <c r="N1589" s="50">
        <f>ROUND('Смета ЕР (общ) '!$I1589*'Смета ЕР (общ) '!$L1589,2)</f>
        <v>0</v>
      </c>
      <c r="O1589" s="50">
        <f>ROUND('Смета ЕР (общ) '!$I1589*'Смета ЕР (общ) '!$M1589,2)</f>
        <v>0</v>
      </c>
      <c r="P1589" s="61" t="s">
        <v>1550</v>
      </c>
      <c r="Q1589" s="56"/>
    </row>
    <row r="1590" spans="1:20" s="35" customFormat="1" ht="14.4" hidden="1" x14ac:dyDescent="0.3">
      <c r="A1590" s="174" t="s">
        <v>1170</v>
      </c>
      <c r="B1590" s="174">
        <v>2</v>
      </c>
      <c r="C1590" s="174"/>
      <c r="D1590" s="175">
        <v>433</v>
      </c>
      <c r="E1590" s="174" t="str">
        <f>CONCATENATE('Смета ЕР (общ) '!$A1590,".",'Смета ЕР (общ) '!$B1590,".",'Смета ЕР (общ) '!$D1590)</f>
        <v>Р9.2.433</v>
      </c>
      <c r="F1590" s="26">
        <f t="shared" si="119"/>
        <v>1</v>
      </c>
      <c r="G1590" s="128" t="s">
        <v>1640</v>
      </c>
      <c r="H1590" s="28" t="s">
        <v>118</v>
      </c>
      <c r="I1590" s="158"/>
      <c r="J1590" s="30">
        <f t="shared" si="118"/>
        <v>27.688500000000001</v>
      </c>
      <c r="K1590" s="30">
        <f>[14]Освещение!H140</f>
        <v>276.88499999999999</v>
      </c>
      <c r="L1590" s="30">
        <f t="shared" si="114"/>
        <v>27.69</v>
      </c>
      <c r="M1590" s="54">
        <f t="shared" si="120"/>
        <v>276.88499999999999</v>
      </c>
      <c r="N1590" s="50">
        <f>ROUND('Смета ЕР (общ) '!$I1590*'Смета ЕР (общ) '!$L1590,2)</f>
        <v>0</v>
      </c>
      <c r="O1590" s="50">
        <f>ROUND('Смета ЕР (общ) '!$I1590*'Смета ЕР (общ) '!$M1590,2)</f>
        <v>0</v>
      </c>
      <c r="P1590" s="61" t="s">
        <v>1550</v>
      </c>
      <c r="Q1590" s="56"/>
    </row>
    <row r="1591" spans="1:20" s="35" customFormat="1" ht="14.4" hidden="1" x14ac:dyDescent="0.3">
      <c r="A1591" s="174" t="s">
        <v>1170</v>
      </c>
      <c r="B1591" s="174">
        <v>2</v>
      </c>
      <c r="C1591" s="174"/>
      <c r="D1591" s="175">
        <v>434</v>
      </c>
      <c r="E1591" s="174" t="str">
        <f>CONCATENATE('Смета ЕР (общ) '!$A1591,".",'Смета ЕР (общ) '!$B1591,".",'Смета ЕР (общ) '!$D1591)</f>
        <v>Р9.2.434</v>
      </c>
      <c r="F1591" s="26">
        <f t="shared" si="119"/>
        <v>1</v>
      </c>
      <c r="G1591" s="128" t="s">
        <v>1640</v>
      </c>
      <c r="H1591" s="28" t="s">
        <v>118</v>
      </c>
      <c r="I1591" s="158"/>
      <c r="J1591" s="30">
        <f t="shared" si="118"/>
        <v>27.688500000000001</v>
      </c>
      <c r="K1591" s="30">
        <f>[14]Освещение!H141</f>
        <v>276.88499999999999</v>
      </c>
      <c r="L1591" s="30">
        <f t="shared" si="114"/>
        <v>27.69</v>
      </c>
      <c r="M1591" s="54">
        <f t="shared" si="120"/>
        <v>276.88499999999999</v>
      </c>
      <c r="N1591" s="50">
        <f>ROUND('Смета ЕР (общ) '!$I1591*'Смета ЕР (общ) '!$L1591,2)</f>
        <v>0</v>
      </c>
      <c r="O1591" s="50">
        <f>ROUND('Смета ЕР (общ) '!$I1591*'Смета ЕР (общ) '!$M1591,2)</f>
        <v>0</v>
      </c>
      <c r="P1591" s="61" t="s">
        <v>1550</v>
      </c>
      <c r="Q1591" s="56"/>
    </row>
    <row r="1592" spans="1:20" s="35" customFormat="1" ht="14.4" hidden="1" x14ac:dyDescent="0.3">
      <c r="A1592" s="174" t="s">
        <v>1170</v>
      </c>
      <c r="B1592" s="174">
        <v>2</v>
      </c>
      <c r="C1592" s="174"/>
      <c r="D1592" s="175">
        <v>435</v>
      </c>
      <c r="E1592" s="174" t="str">
        <f>CONCATENATE('Смета ЕР (общ) '!$A1592,".",'Смета ЕР (общ) '!$B1592,".",'Смета ЕР (общ) '!$D1592)</f>
        <v>Р9.2.435</v>
      </c>
      <c r="F1592" s="26">
        <f t="shared" si="119"/>
        <v>1</v>
      </c>
      <c r="G1592" s="128" t="s">
        <v>1641</v>
      </c>
      <c r="H1592" s="28" t="s">
        <v>118</v>
      </c>
      <c r="I1592" s="158"/>
      <c r="J1592" s="30">
        <f t="shared" ref="J1592" si="121">K1592*0.1</f>
        <v>1201.0005000000001</v>
      </c>
      <c r="K1592" s="30">
        <f>[14]Освещение!H142</f>
        <v>12010.005000000001</v>
      </c>
      <c r="L1592" s="30">
        <f t="shared" si="114"/>
        <v>1201</v>
      </c>
      <c r="M1592" s="54">
        <f t="shared" si="120"/>
        <v>12010.005000000001</v>
      </c>
      <c r="N1592" s="50">
        <f>ROUND('Смета ЕР (общ) '!$I1592*'Смета ЕР (общ) '!$L1592,2)</f>
        <v>0</v>
      </c>
      <c r="O1592" s="50">
        <f>ROUND('Смета ЕР (общ) '!$I1592*'Смета ЕР (общ) '!$M1592,2)</f>
        <v>0</v>
      </c>
      <c r="P1592" s="61" t="s">
        <v>1550</v>
      </c>
      <c r="Q1592" s="56"/>
    </row>
    <row r="1593" spans="1:20" s="35" customFormat="1" ht="14.4" hidden="1" x14ac:dyDescent="0.3">
      <c r="A1593" s="174" t="s">
        <v>1170</v>
      </c>
      <c r="B1593" s="174">
        <v>2</v>
      </c>
      <c r="C1593" s="174"/>
      <c r="D1593" s="174">
        <v>418</v>
      </c>
      <c r="E1593" s="174" t="str">
        <f>CONCATENATE('Смета ЕР (общ) '!$A1593,".",'Смета ЕР (общ) '!$B1593,".",'Смета ЕР (общ) '!$D1593)</f>
        <v>Р9.2.418</v>
      </c>
      <c r="F1593" s="26">
        <f t="shared" si="119"/>
        <v>1</v>
      </c>
      <c r="G1593" s="27" t="s">
        <v>1642</v>
      </c>
      <c r="H1593" s="28" t="s">
        <v>118</v>
      </c>
      <c r="I1593" s="158"/>
      <c r="J1593" s="30">
        <v>2406.12</v>
      </c>
      <c r="K1593" s="30">
        <v>20963.61</v>
      </c>
      <c r="L1593" s="30">
        <f t="shared" si="114"/>
        <v>2406.12</v>
      </c>
      <c r="M1593" s="30">
        <f t="shared" si="114"/>
        <v>20963.61</v>
      </c>
      <c r="N1593" s="50">
        <f>ROUND('Смета ЕР (общ) '!$I1593*'Смета ЕР (общ) '!$L1593,2)</f>
        <v>0</v>
      </c>
      <c r="O1593" s="50">
        <f>ROUND('Смета ЕР (общ) '!$I1593*'Смета ЕР (общ) '!$M1593,2)</f>
        <v>0</v>
      </c>
      <c r="P1593" s="45"/>
      <c r="T1593" s="35">
        <v>7</v>
      </c>
    </row>
    <row r="1594" spans="1:20" ht="14.4" hidden="1" x14ac:dyDescent="0.3">
      <c r="A1594" s="174" t="s">
        <v>1170</v>
      </c>
      <c r="B1594" s="174">
        <v>2</v>
      </c>
      <c r="C1594" s="174"/>
      <c r="D1594" s="174">
        <v>222</v>
      </c>
      <c r="E1594" s="174" t="str">
        <f>CONCATENATE('Смета ЕР (общ) '!$A1594,".",'Смета ЕР (общ) '!$B1594,".",'Смета ЕР (общ) '!$D1594)</f>
        <v>Р9.2.222</v>
      </c>
      <c r="F1594" s="26">
        <f t="shared" si="119"/>
        <v>1</v>
      </c>
      <c r="G1594" s="27" t="s">
        <v>1643</v>
      </c>
      <c r="H1594" s="28" t="s">
        <v>147</v>
      </c>
      <c r="I1594" s="158"/>
      <c r="J1594" s="30">
        <v>200.45</v>
      </c>
      <c r="K1594" s="30">
        <v>1338.38</v>
      </c>
      <c r="L1594" s="30">
        <v>200.45</v>
      </c>
      <c r="M1594" s="30">
        <v>1338.38</v>
      </c>
      <c r="N1594" s="50">
        <f>ROUND('Смета ЕР (общ) '!$I1594*'Смета ЕР (общ) '!$L1594,2)</f>
        <v>0</v>
      </c>
      <c r="O1594" s="50">
        <f>ROUND('Смета ЕР (общ) '!$I1594*'Смета ЕР (общ) '!$M1594,2)</f>
        <v>0</v>
      </c>
      <c r="P1594" s="45"/>
    </row>
    <row r="1595" spans="1:20" ht="14.4" hidden="1" x14ac:dyDescent="0.3">
      <c r="A1595" s="174" t="s">
        <v>1170</v>
      </c>
      <c r="B1595" s="174">
        <v>2</v>
      </c>
      <c r="C1595" s="174"/>
      <c r="D1595" s="174">
        <v>180</v>
      </c>
      <c r="E1595" s="174" t="str">
        <f>CONCATENATE('Смета ЕР (общ) '!$A1595,".",'Смета ЕР (общ) '!$B1595,".",'Смета ЕР (общ) '!$D1595)</f>
        <v>Р9.2.180</v>
      </c>
      <c r="F1595" s="26">
        <f t="shared" si="119"/>
        <v>1</v>
      </c>
      <c r="G1595" s="27" t="s">
        <v>1644</v>
      </c>
      <c r="H1595" s="28" t="s">
        <v>147</v>
      </c>
      <c r="I1595" s="158"/>
      <c r="J1595" s="30">
        <v>150.34</v>
      </c>
      <c r="K1595" s="30">
        <v>838.1</v>
      </c>
      <c r="L1595" s="30">
        <v>150.34</v>
      </c>
      <c r="M1595" s="30">
        <v>838.1</v>
      </c>
      <c r="N1595" s="50">
        <f>ROUND('Смета ЕР (общ) '!$I1595*'Смета ЕР (общ) '!$L1595,2)</f>
        <v>0</v>
      </c>
      <c r="O1595" s="50">
        <f>ROUND('Смета ЕР (общ) '!$I1595*'Смета ЕР (общ) '!$M1595,2)</f>
        <v>0</v>
      </c>
      <c r="P1595" s="45"/>
      <c r="Q1595"/>
    </row>
    <row r="1596" spans="1:20" ht="14.4" hidden="1" x14ac:dyDescent="0.3">
      <c r="A1596" s="174" t="s">
        <v>1170</v>
      </c>
      <c r="B1596" s="174">
        <v>2</v>
      </c>
      <c r="C1596" s="174"/>
      <c r="D1596" s="174">
        <v>181</v>
      </c>
      <c r="E1596" s="174" t="str">
        <f>CONCATENATE('Смета ЕР (общ) '!$A1596,".",'Смета ЕР (общ) '!$B1596,".",'Смета ЕР (общ) '!$D1596)</f>
        <v>Р9.2.181</v>
      </c>
      <c r="F1596" s="26">
        <f t="shared" si="119"/>
        <v>1</v>
      </c>
      <c r="G1596" s="27" t="s">
        <v>1645</v>
      </c>
      <c r="H1596" s="28" t="s">
        <v>147</v>
      </c>
      <c r="I1596" s="158"/>
      <c r="J1596" s="30">
        <v>143.55000000000001</v>
      </c>
      <c r="K1596" s="30">
        <v>518.41999999999996</v>
      </c>
      <c r="L1596" s="30">
        <v>143.55000000000001</v>
      </c>
      <c r="M1596" s="30">
        <v>518.41999999999996</v>
      </c>
      <c r="N1596" s="50">
        <f>ROUND('Смета ЕР (общ) '!$I1596*'Смета ЕР (общ) '!$L1596,2)</f>
        <v>0</v>
      </c>
      <c r="O1596" s="50">
        <f>ROUND('Смета ЕР (общ) '!$I1596*'Смета ЕР (общ) '!$M1596,2)</f>
        <v>0</v>
      </c>
      <c r="P1596" s="45"/>
      <c r="Q1596"/>
    </row>
    <row r="1597" spans="1:20" ht="14.4" hidden="1" x14ac:dyDescent="0.3">
      <c r="A1597" s="174" t="s">
        <v>1170</v>
      </c>
      <c r="B1597" s="174">
        <v>2</v>
      </c>
      <c r="C1597" s="174"/>
      <c r="D1597" s="174">
        <v>182</v>
      </c>
      <c r="E1597" s="174" t="str">
        <f>CONCATENATE('Смета ЕР (общ) '!$A1597,".",'Смета ЕР (общ) '!$B1597,".",'Смета ЕР (общ) '!$D1597)</f>
        <v>Р9.2.182</v>
      </c>
      <c r="F1597" s="26">
        <f t="shared" si="119"/>
        <v>1</v>
      </c>
      <c r="G1597" s="27" t="s">
        <v>1646</v>
      </c>
      <c r="H1597" s="28" t="s">
        <v>147</v>
      </c>
      <c r="I1597" s="158"/>
      <c r="J1597" s="30">
        <v>124.41</v>
      </c>
      <c r="K1597" s="30">
        <v>354.66</v>
      </c>
      <c r="L1597" s="30">
        <v>124.41</v>
      </c>
      <c r="M1597" s="30">
        <v>354.66</v>
      </c>
      <c r="N1597" s="50">
        <f>ROUND('Смета ЕР (общ) '!$I1597*'Смета ЕР (общ) '!$L1597,2)</f>
        <v>0</v>
      </c>
      <c r="O1597" s="50">
        <f>ROUND('Смета ЕР (общ) '!$I1597*'Смета ЕР (общ) '!$M1597,2)</f>
        <v>0</v>
      </c>
      <c r="P1597" s="45"/>
      <c r="Q1597"/>
    </row>
    <row r="1598" spans="1:20" ht="14.4" hidden="1" x14ac:dyDescent="0.3">
      <c r="A1598" s="174" t="s">
        <v>1170</v>
      </c>
      <c r="B1598" s="174">
        <v>2</v>
      </c>
      <c r="C1598" s="174"/>
      <c r="D1598" s="174">
        <v>183</v>
      </c>
      <c r="E1598" s="174" t="str">
        <f>CONCATENATE('Смета ЕР (общ) '!$A1598,".",'Смета ЕР (общ) '!$B1598,".",'Смета ЕР (общ) '!$D1598)</f>
        <v>Р9.2.183</v>
      </c>
      <c r="F1598" s="26">
        <f t="shared" si="119"/>
        <v>1</v>
      </c>
      <c r="G1598" s="27" t="s">
        <v>1647</v>
      </c>
      <c r="H1598" s="28" t="s">
        <v>147</v>
      </c>
      <c r="I1598" s="158"/>
      <c r="J1598" s="30">
        <v>129.46</v>
      </c>
      <c r="K1598" s="30">
        <v>227.69</v>
      </c>
      <c r="L1598" s="30">
        <v>129.46</v>
      </c>
      <c r="M1598" s="30">
        <v>227.69</v>
      </c>
      <c r="N1598" s="50">
        <f>ROUND('Смета ЕР (общ) '!$I1598*'Смета ЕР (общ) '!$L1598,2)</f>
        <v>0</v>
      </c>
      <c r="O1598" s="50">
        <f>ROUND('Смета ЕР (общ) '!$I1598*'Смета ЕР (общ) '!$M1598,2)</f>
        <v>0</v>
      </c>
      <c r="P1598" s="45"/>
      <c r="Q1598"/>
    </row>
    <row r="1599" spans="1:20" ht="14.4" hidden="1" x14ac:dyDescent="0.3">
      <c r="A1599" s="26" t="s">
        <v>1170</v>
      </c>
      <c r="B1599" s="26">
        <v>2</v>
      </c>
      <c r="C1599" s="26"/>
      <c r="D1599" s="26">
        <v>184</v>
      </c>
      <c r="E1599" s="26" t="str">
        <f>CONCATENATE('Смета ЕР (общ) '!$A1599,".",'Смета ЕР (общ) '!$B1599,".",'Смета ЕР (общ) '!$D1599)</f>
        <v>Р9.2.184</v>
      </c>
      <c r="F1599" s="26">
        <f t="shared" si="119"/>
        <v>1</v>
      </c>
      <c r="G1599" s="27" t="s">
        <v>1647</v>
      </c>
      <c r="H1599" s="28" t="s">
        <v>147</v>
      </c>
      <c r="I1599" s="158"/>
      <c r="J1599" s="30">
        <v>129.46</v>
      </c>
      <c r="K1599" s="30">
        <v>227.69</v>
      </c>
      <c r="L1599" s="30">
        <v>129.46</v>
      </c>
      <c r="M1599" s="30">
        <v>227.69</v>
      </c>
      <c r="N1599" s="50">
        <f>ROUND('Смета ЕР (общ) '!$I1599*'Смета ЕР (общ) '!$L1599,2)</f>
        <v>0</v>
      </c>
      <c r="O1599" s="50">
        <f>ROUND('Смета ЕР (общ) '!$I1599*'Смета ЕР (общ) '!$M1599,2)</f>
        <v>0</v>
      </c>
      <c r="P1599" s="45"/>
      <c r="Q1599"/>
    </row>
    <row r="1600" spans="1:20" ht="14.4" hidden="1" x14ac:dyDescent="0.3">
      <c r="A1600" s="26" t="s">
        <v>1170</v>
      </c>
      <c r="B1600" s="26">
        <v>2</v>
      </c>
      <c r="C1600" s="26"/>
      <c r="D1600" s="26">
        <v>185</v>
      </c>
      <c r="E1600" s="26" t="str">
        <f>CONCATENATE('Смета ЕР (общ) '!$A1600,".",'Смета ЕР (общ) '!$B1600,".",'Смета ЕР (общ) '!$D1600)</f>
        <v>Р9.2.185</v>
      </c>
      <c r="F1600" s="26">
        <f t="shared" si="119"/>
        <v>1</v>
      </c>
      <c r="G1600" s="27" t="s">
        <v>1648</v>
      </c>
      <c r="H1600" s="28" t="s">
        <v>147</v>
      </c>
      <c r="I1600" s="158"/>
      <c r="J1600" s="30">
        <v>110.06</v>
      </c>
      <c r="K1600" s="30">
        <v>148.43</v>
      </c>
      <c r="L1600" s="30">
        <v>110.06</v>
      </c>
      <c r="M1600" s="30">
        <v>148.43</v>
      </c>
      <c r="N1600" s="50">
        <f>ROUND('Смета ЕР (общ) '!$I1600*'Смета ЕР (общ) '!$L1600,2)</f>
        <v>0</v>
      </c>
      <c r="O1600" s="50">
        <f>ROUND('Смета ЕР (общ) '!$I1600*'Смета ЕР (общ) '!$M1600,2)</f>
        <v>0</v>
      </c>
      <c r="P1600" s="45"/>
      <c r="Q1600"/>
    </row>
    <row r="1601" spans="1:20" ht="14.4" hidden="1" x14ac:dyDescent="0.3">
      <c r="A1601" s="26" t="s">
        <v>1170</v>
      </c>
      <c r="B1601" s="26">
        <v>2</v>
      </c>
      <c r="C1601" s="26"/>
      <c r="D1601" s="26">
        <v>186</v>
      </c>
      <c r="E1601" s="26" t="str">
        <f>CONCATENATE('Смета ЕР (общ) '!$A1601,".",'Смета ЕР (общ) '!$B1601,".",'Смета ЕР (общ) '!$D1601)</f>
        <v>Р9.2.186</v>
      </c>
      <c r="F1601" s="26">
        <f t="shared" si="119"/>
        <v>1</v>
      </c>
      <c r="G1601" s="27" t="s">
        <v>1649</v>
      </c>
      <c r="H1601" s="28" t="s">
        <v>147</v>
      </c>
      <c r="I1601" s="158"/>
      <c r="J1601" s="30">
        <v>110.06</v>
      </c>
      <c r="K1601" s="30">
        <v>186.41</v>
      </c>
      <c r="L1601" s="30">
        <v>110.06</v>
      </c>
      <c r="M1601" s="30">
        <v>186.41</v>
      </c>
      <c r="N1601" s="50">
        <f>ROUND('Смета ЕР (общ) '!$I1601*'Смета ЕР (общ) '!$L1601,2)</f>
        <v>0</v>
      </c>
      <c r="O1601" s="50">
        <f>ROUND('Смета ЕР (общ) '!$I1601*'Смета ЕР (общ) '!$M1601,2)</f>
        <v>0</v>
      </c>
      <c r="P1601" s="45"/>
      <c r="Q1601"/>
    </row>
    <row r="1602" spans="1:20" ht="14.4" hidden="1" x14ac:dyDescent="0.3">
      <c r="A1602" s="26" t="s">
        <v>1170</v>
      </c>
      <c r="B1602" s="26">
        <v>2</v>
      </c>
      <c r="C1602" s="26"/>
      <c r="D1602" s="26">
        <v>187</v>
      </c>
      <c r="E1602" s="26" t="str">
        <f>CONCATENATE('Смета ЕР (общ) '!$A1602,".",'Смета ЕР (общ) '!$B1602,".",'Смета ЕР (общ) '!$D1602)</f>
        <v>Р9.2.187</v>
      </c>
      <c r="F1602" s="26">
        <f t="shared" si="119"/>
        <v>1</v>
      </c>
      <c r="G1602" s="27" t="s">
        <v>1650</v>
      </c>
      <c r="H1602" s="28" t="s">
        <v>147</v>
      </c>
      <c r="I1602" s="158"/>
      <c r="J1602" s="30">
        <v>110.06</v>
      </c>
      <c r="K1602" s="30">
        <v>122.81</v>
      </c>
      <c r="L1602" s="30">
        <v>110.06</v>
      </c>
      <c r="M1602" s="30">
        <v>122.81</v>
      </c>
      <c r="N1602" s="50">
        <f>ROUND('Смета ЕР (общ) '!$I1602*'Смета ЕР (общ) '!$L1602,2)</f>
        <v>0</v>
      </c>
      <c r="O1602" s="50">
        <f>ROUND('Смета ЕР (общ) '!$I1602*'Смета ЕР (общ) '!$M1602,2)</f>
        <v>0</v>
      </c>
      <c r="P1602" s="45"/>
      <c r="Q1602"/>
    </row>
    <row r="1603" spans="1:20" ht="14.4" hidden="1" x14ac:dyDescent="0.3">
      <c r="A1603" s="26" t="s">
        <v>1170</v>
      </c>
      <c r="B1603" s="26">
        <v>2</v>
      </c>
      <c r="C1603" s="26"/>
      <c r="D1603" s="26">
        <v>188</v>
      </c>
      <c r="E1603" s="26" t="str">
        <f>CONCATENATE('Смета ЕР (общ) '!$A1603,".",'Смета ЕР (общ) '!$B1603,".",'Смета ЕР (общ) '!$D1603)</f>
        <v>Р9.2.188</v>
      </c>
      <c r="F1603" s="26">
        <f t="shared" si="119"/>
        <v>1</v>
      </c>
      <c r="G1603" s="27" t="s">
        <v>1651</v>
      </c>
      <c r="H1603" s="28" t="s">
        <v>147</v>
      </c>
      <c r="I1603" s="158"/>
      <c r="J1603" s="30">
        <v>100.22</v>
      </c>
      <c r="K1603" s="30">
        <v>146.25</v>
      </c>
      <c r="L1603" s="30">
        <v>100.22</v>
      </c>
      <c r="M1603" s="30">
        <v>146.25</v>
      </c>
      <c r="N1603" s="50">
        <f>ROUND('Смета ЕР (общ) '!$I1603*'Смета ЕР (общ) '!$L1603,2)</f>
        <v>0</v>
      </c>
      <c r="O1603" s="50">
        <f>ROUND('Смета ЕР (общ) '!$I1603*'Смета ЕР (общ) '!$M1603,2)</f>
        <v>0</v>
      </c>
      <c r="P1603" s="45"/>
      <c r="Q1603"/>
    </row>
    <row r="1604" spans="1:20" ht="14.4" hidden="1" x14ac:dyDescent="0.3">
      <c r="A1604" s="26" t="s">
        <v>1170</v>
      </c>
      <c r="B1604" s="26">
        <v>2</v>
      </c>
      <c r="C1604" s="26"/>
      <c r="D1604" s="26">
        <v>189</v>
      </c>
      <c r="E1604" s="26" t="str">
        <f>CONCATENATE('Смета ЕР (общ) '!$A1604,".",'Смета ЕР (общ) '!$B1604,".",'Смета ЕР (общ) '!$D1604)</f>
        <v>Р9.2.189</v>
      </c>
      <c r="F1604" s="26">
        <f t="shared" si="119"/>
        <v>1</v>
      </c>
      <c r="G1604" s="27" t="s">
        <v>1652</v>
      </c>
      <c r="H1604" s="28" t="s">
        <v>147</v>
      </c>
      <c r="I1604" s="158"/>
      <c r="J1604" s="30">
        <v>100.22</v>
      </c>
      <c r="K1604" s="30">
        <v>98.52</v>
      </c>
      <c r="L1604" s="30">
        <v>100.22</v>
      </c>
      <c r="M1604" s="30">
        <v>98.52</v>
      </c>
      <c r="N1604" s="50">
        <f>ROUND('Смета ЕР (общ) '!$I1604*'Смета ЕР (общ) '!$L1604,2)</f>
        <v>0</v>
      </c>
      <c r="O1604" s="50">
        <f>ROUND('Смета ЕР (общ) '!$I1604*'Смета ЕР (общ) '!$M1604,2)</f>
        <v>0</v>
      </c>
      <c r="P1604" s="45"/>
      <c r="Q1604"/>
    </row>
    <row r="1605" spans="1:20" ht="14.4" hidden="1" x14ac:dyDescent="0.3">
      <c r="A1605" s="26" t="s">
        <v>1170</v>
      </c>
      <c r="B1605" s="26">
        <v>2</v>
      </c>
      <c r="C1605" s="26"/>
      <c r="D1605" s="26">
        <v>190</v>
      </c>
      <c r="E1605" s="26" t="str">
        <f>CONCATENATE('Смета ЕР (общ) '!$A1605,".",'Смета ЕР (общ) '!$B1605,".",'Смета ЕР (общ) '!$D1605)</f>
        <v>Р9.2.190</v>
      </c>
      <c r="F1605" s="26">
        <f t="shared" si="119"/>
        <v>1</v>
      </c>
      <c r="G1605" s="27" t="s">
        <v>1653</v>
      </c>
      <c r="H1605" s="28" t="s">
        <v>147</v>
      </c>
      <c r="I1605" s="158"/>
      <c r="J1605" s="30">
        <v>100.22</v>
      </c>
      <c r="K1605" s="30">
        <v>55.79</v>
      </c>
      <c r="L1605" s="30">
        <v>100.22</v>
      </c>
      <c r="M1605" s="30">
        <v>55.79</v>
      </c>
      <c r="N1605" s="50">
        <f>ROUND('Смета ЕР (общ) '!$I1605*'Смета ЕР (общ) '!$L1605,2)</f>
        <v>0</v>
      </c>
      <c r="O1605" s="50">
        <f>ROUND('Смета ЕР (общ) '!$I1605*'Смета ЕР (общ) '!$M1605,2)</f>
        <v>0</v>
      </c>
      <c r="P1605" s="45"/>
      <c r="Q1605"/>
    </row>
    <row r="1606" spans="1:20" ht="14.4" hidden="1" x14ac:dyDescent="0.3">
      <c r="A1606" s="26" t="s">
        <v>1170</v>
      </c>
      <c r="B1606" s="26">
        <v>2</v>
      </c>
      <c r="C1606" s="26"/>
      <c r="D1606" s="26">
        <v>191</v>
      </c>
      <c r="E1606" s="26" t="str">
        <f>CONCATENATE('Смета ЕР (общ) '!$A1606,".",'Смета ЕР (общ) '!$B1606,".",'Смета ЕР (общ) '!$D1606)</f>
        <v>Р9.2.191</v>
      </c>
      <c r="F1606" s="26">
        <f t="shared" si="119"/>
        <v>1</v>
      </c>
      <c r="G1606" s="27" t="s">
        <v>1654</v>
      </c>
      <c r="H1606" s="28" t="s">
        <v>147</v>
      </c>
      <c r="I1606" s="158"/>
      <c r="J1606" s="30">
        <v>100.22</v>
      </c>
      <c r="K1606" s="30">
        <v>110.66</v>
      </c>
      <c r="L1606" s="30">
        <v>100.22</v>
      </c>
      <c r="M1606" s="30">
        <v>110.66</v>
      </c>
      <c r="N1606" s="50">
        <f>ROUND('Смета ЕР (общ) '!$I1606*'Смета ЕР (общ) '!$L1606,2)</f>
        <v>0</v>
      </c>
      <c r="O1606" s="50">
        <f>ROUND('Смета ЕР (общ) '!$I1606*'Смета ЕР (общ) '!$M1606,2)</f>
        <v>0</v>
      </c>
      <c r="P1606" s="45"/>
      <c r="Q1606"/>
    </row>
    <row r="1607" spans="1:20" ht="14.4" hidden="1" x14ac:dyDescent="0.3">
      <c r="A1607" s="26" t="s">
        <v>1170</v>
      </c>
      <c r="B1607" s="26">
        <v>2</v>
      </c>
      <c r="C1607" s="26"/>
      <c r="D1607" s="26">
        <v>192</v>
      </c>
      <c r="E1607" s="26" t="str">
        <f>CONCATENATE('Смета ЕР (общ) '!$A1607,".",'Смета ЕР (общ) '!$B1607,".",'Смета ЕР (общ) '!$D1607)</f>
        <v>Р9.2.192</v>
      </c>
      <c r="F1607" s="26">
        <f t="shared" si="119"/>
        <v>1</v>
      </c>
      <c r="G1607" s="27" t="s">
        <v>1655</v>
      </c>
      <c r="H1607" s="28" t="s">
        <v>147</v>
      </c>
      <c r="I1607" s="158"/>
      <c r="J1607" s="30">
        <v>100.22</v>
      </c>
      <c r="K1607" s="30">
        <v>69.239999999999995</v>
      </c>
      <c r="L1607" s="30">
        <v>100.22</v>
      </c>
      <c r="M1607" s="30">
        <v>69.239999999999995</v>
      </c>
      <c r="N1607" s="50">
        <f>ROUND('Смета ЕР (общ) '!$I1607*'Смета ЕР (общ) '!$L1607,2)</f>
        <v>0</v>
      </c>
      <c r="O1607" s="50">
        <f>ROUND('Смета ЕР (общ) '!$I1607*'Смета ЕР (общ) '!$M1607,2)</f>
        <v>0</v>
      </c>
      <c r="P1607" s="45"/>
      <c r="Q1607"/>
    </row>
    <row r="1608" spans="1:20" ht="14.4" hidden="1" x14ac:dyDescent="0.3">
      <c r="A1608" s="26" t="s">
        <v>1170</v>
      </c>
      <c r="B1608" s="26">
        <v>2</v>
      </c>
      <c r="C1608" s="26"/>
      <c r="D1608" s="26">
        <v>193</v>
      </c>
      <c r="E1608" s="26" t="str">
        <f>CONCATENATE('Смета ЕР (общ) '!$A1608,".",'Смета ЕР (общ) '!$B1608,".",'Смета ЕР (общ) '!$D1608)</f>
        <v>Р9.2.193</v>
      </c>
      <c r="F1608" s="26">
        <f t="shared" si="119"/>
        <v>1</v>
      </c>
      <c r="G1608" s="27" t="s">
        <v>1656</v>
      </c>
      <c r="H1608" s="28" t="s">
        <v>147</v>
      </c>
      <c r="I1608" s="158"/>
      <c r="J1608" s="30">
        <v>100.22</v>
      </c>
      <c r="K1608" s="30">
        <v>108.32</v>
      </c>
      <c r="L1608" s="30">
        <v>100.22</v>
      </c>
      <c r="M1608" s="30">
        <v>108.32</v>
      </c>
      <c r="N1608" s="50">
        <f>ROUND('Смета ЕР (общ) '!$I1608*'Смета ЕР (общ) '!$L1608,2)</f>
        <v>0</v>
      </c>
      <c r="O1608" s="50">
        <f>ROUND('Смета ЕР (общ) '!$I1608*'Смета ЕР (общ) '!$M1608,2)</f>
        <v>0</v>
      </c>
      <c r="P1608" s="45"/>
      <c r="Q1608"/>
    </row>
    <row r="1609" spans="1:20" ht="14.4" hidden="1" x14ac:dyDescent="0.3">
      <c r="A1609" s="26" t="s">
        <v>1170</v>
      </c>
      <c r="B1609" s="26">
        <v>2</v>
      </c>
      <c r="C1609" s="26"/>
      <c r="D1609" s="26">
        <v>194</v>
      </c>
      <c r="E1609" s="26" t="str">
        <f>CONCATENATE('Смета ЕР (общ) '!$A1609,".",'Смета ЕР (общ) '!$B1609,".",'Смета ЕР (общ) '!$D1609)</f>
        <v>Р9.2.194</v>
      </c>
      <c r="F1609" s="26">
        <f t="shared" si="119"/>
        <v>1</v>
      </c>
      <c r="G1609" s="27" t="s">
        <v>1657</v>
      </c>
      <c r="H1609" s="28" t="s">
        <v>147</v>
      </c>
      <c r="I1609" s="158"/>
      <c r="J1609" s="30">
        <v>100.22</v>
      </c>
      <c r="K1609" s="30">
        <v>159.21</v>
      </c>
      <c r="L1609" s="30">
        <v>100.22</v>
      </c>
      <c r="M1609" s="30">
        <v>159.21</v>
      </c>
      <c r="N1609" s="50">
        <f>ROUND('Смета ЕР (общ) '!$I1609*'Смета ЕР (общ) '!$L1609,2)</f>
        <v>0</v>
      </c>
      <c r="O1609" s="50">
        <f>ROUND('Смета ЕР (общ) '!$I1609*'Смета ЕР (общ) '!$M1609,2)</f>
        <v>0</v>
      </c>
      <c r="P1609" s="45"/>
      <c r="Q1609"/>
    </row>
    <row r="1610" spans="1:20" ht="14.4" hidden="1" x14ac:dyDescent="0.3">
      <c r="A1610" s="26" t="s">
        <v>1170</v>
      </c>
      <c r="B1610" s="26">
        <v>2</v>
      </c>
      <c r="C1610" s="26"/>
      <c r="D1610" s="26">
        <v>195</v>
      </c>
      <c r="E1610" s="26" t="str">
        <f>CONCATENATE('Смета ЕР (общ) '!$A1610,".",'Смета ЕР (общ) '!$B1610,".",'Смета ЕР (общ) '!$D1610)</f>
        <v>Р9.2.195</v>
      </c>
      <c r="F1610" s="26">
        <f t="shared" si="119"/>
        <v>1</v>
      </c>
      <c r="G1610" s="27" t="s">
        <v>1658</v>
      </c>
      <c r="H1610" s="28" t="s">
        <v>147</v>
      </c>
      <c r="I1610" s="158"/>
      <c r="J1610" s="30">
        <v>90.48</v>
      </c>
      <c r="K1610" s="30">
        <v>98.47</v>
      </c>
      <c r="L1610" s="30">
        <v>90.48</v>
      </c>
      <c r="M1610" s="30">
        <v>98.47</v>
      </c>
      <c r="N1610" s="50">
        <f>ROUND('Смета ЕР (общ) '!$I1610*'Смета ЕР (общ) '!$L1610,2)</f>
        <v>0</v>
      </c>
      <c r="O1610" s="50">
        <f>ROUND('Смета ЕР (общ) '!$I1610*'Смета ЕР (общ) '!$M1610,2)</f>
        <v>0</v>
      </c>
      <c r="P1610" s="45"/>
      <c r="Q1610"/>
      <c r="T1610">
        <v>11</v>
      </c>
    </row>
    <row r="1611" spans="1:20" ht="14.4" hidden="1" x14ac:dyDescent="0.3">
      <c r="A1611" s="26" t="s">
        <v>1170</v>
      </c>
      <c r="B1611" s="26">
        <v>2</v>
      </c>
      <c r="C1611" s="26"/>
      <c r="D1611" s="26">
        <v>196</v>
      </c>
      <c r="E1611" s="26" t="str">
        <f>CONCATENATE('Смета ЕР (общ) '!$A1611,".",'Смета ЕР (общ) '!$B1611,".",'Смета ЕР (общ) '!$D1611)</f>
        <v>Р9.2.196</v>
      </c>
      <c r="F1611" s="26">
        <f t="shared" si="119"/>
        <v>1</v>
      </c>
      <c r="G1611" s="27" t="s">
        <v>1659</v>
      </c>
      <c r="H1611" s="28" t="s">
        <v>147</v>
      </c>
      <c r="I1611" s="158"/>
      <c r="J1611" s="30">
        <v>90.48</v>
      </c>
      <c r="K1611" s="30">
        <v>41.44</v>
      </c>
      <c r="L1611" s="30">
        <v>90.48</v>
      </c>
      <c r="M1611" s="30">
        <v>41.44</v>
      </c>
      <c r="N1611" s="50">
        <f>ROUND('Смета ЕР (общ) '!$I1611*'Смета ЕР (общ) '!$L1611,2)</f>
        <v>0</v>
      </c>
      <c r="O1611" s="50">
        <f>ROUND('Смета ЕР (общ) '!$I1611*'Смета ЕР (общ) '!$M1611,2)</f>
        <v>0</v>
      </c>
      <c r="P1611" s="45"/>
      <c r="Q1611"/>
      <c r="T1611">
        <v>22</v>
      </c>
    </row>
    <row r="1612" spans="1:20" ht="14.4" hidden="1" x14ac:dyDescent="0.3">
      <c r="A1612" s="26" t="s">
        <v>1170</v>
      </c>
      <c r="B1612" s="26">
        <v>2</v>
      </c>
      <c r="C1612" s="26"/>
      <c r="D1612" s="26">
        <v>223</v>
      </c>
      <c r="E1612" s="26" t="str">
        <f>CONCATENATE('Смета ЕР (общ) '!$A1612,".",'Смета ЕР (общ) '!$B1612,".",'Смета ЕР (общ) '!$D1612)</f>
        <v>Р9.2.223</v>
      </c>
      <c r="F1612" s="26">
        <f t="shared" si="119"/>
        <v>1</v>
      </c>
      <c r="G1612" s="27" t="s">
        <v>1660</v>
      </c>
      <c r="H1612" s="28" t="s">
        <v>147</v>
      </c>
      <c r="I1612" s="158"/>
      <c r="J1612" s="30">
        <v>334.95</v>
      </c>
      <c r="K1612" s="30">
        <v>3155.18</v>
      </c>
      <c r="L1612" s="30">
        <f t="shared" ref="L1612:M1628" si="122">ROUND(J1612-J1612*$Q$3,2)</f>
        <v>334.95</v>
      </c>
      <c r="M1612" s="30">
        <f t="shared" si="122"/>
        <v>3155.18</v>
      </c>
      <c r="N1612" s="50">
        <f>ROUND('Смета ЕР (общ) '!$I1612*'Смета ЕР (общ) '!$L1612,2)</f>
        <v>0</v>
      </c>
      <c r="O1612" s="50">
        <f>ROUND('Смета ЕР (общ) '!$I1612*'Смета ЕР (общ) '!$M1612,2)</f>
        <v>0</v>
      </c>
      <c r="P1612" s="45"/>
    </row>
    <row r="1613" spans="1:20" ht="14.4" hidden="1" x14ac:dyDescent="0.3">
      <c r="A1613" s="26" t="s">
        <v>1170</v>
      </c>
      <c r="B1613" s="26">
        <v>2</v>
      </c>
      <c r="C1613" s="26"/>
      <c r="D1613" s="26">
        <v>224</v>
      </c>
      <c r="E1613" s="26" t="str">
        <f>CONCATENATE('Смета ЕР (общ) '!$A1613,".",'Смета ЕР (общ) '!$B1613,".",'Смета ЕР (общ) '!$D1613)</f>
        <v>Р9.2.224</v>
      </c>
      <c r="F1613" s="26">
        <f t="shared" si="119"/>
        <v>1</v>
      </c>
      <c r="G1613" s="27" t="s">
        <v>1661</v>
      </c>
      <c r="H1613" s="28" t="s">
        <v>147</v>
      </c>
      <c r="I1613" s="158"/>
      <c r="J1613" s="30">
        <v>226.2</v>
      </c>
      <c r="K1613" s="30">
        <v>2249.58</v>
      </c>
      <c r="L1613" s="30">
        <f t="shared" si="122"/>
        <v>226.2</v>
      </c>
      <c r="M1613" s="30">
        <f t="shared" si="122"/>
        <v>2249.58</v>
      </c>
      <c r="N1613" s="50">
        <f>ROUND('Смета ЕР (общ) '!$I1613*'Смета ЕР (общ) '!$L1613,2)</f>
        <v>0</v>
      </c>
      <c r="O1613" s="50">
        <f>ROUND('Смета ЕР (общ) '!$I1613*'Смета ЕР (общ) '!$M1613,2)</f>
        <v>0</v>
      </c>
      <c r="P1613" s="45"/>
    </row>
    <row r="1614" spans="1:20" ht="14.4" hidden="1" x14ac:dyDescent="0.3">
      <c r="A1614" s="26" t="s">
        <v>1170</v>
      </c>
      <c r="B1614" s="26">
        <v>2</v>
      </c>
      <c r="C1614" s="26"/>
      <c r="D1614" s="26">
        <v>225</v>
      </c>
      <c r="E1614" s="26" t="str">
        <f>CONCATENATE('Смета ЕР (общ) '!$A1614,".",'Смета ЕР (общ) '!$B1614,".",'Смета ЕР (общ) '!$D1614)</f>
        <v>Р9.2.225</v>
      </c>
      <c r="F1614" s="26">
        <f t="shared" si="119"/>
        <v>1</v>
      </c>
      <c r="G1614" s="27" t="s">
        <v>1662</v>
      </c>
      <c r="H1614" s="28" t="s">
        <v>147</v>
      </c>
      <c r="I1614" s="158"/>
      <c r="J1614" s="30">
        <v>209</v>
      </c>
      <c r="K1614" s="30">
        <v>1423.57</v>
      </c>
      <c r="L1614" s="30">
        <f t="shared" si="122"/>
        <v>209</v>
      </c>
      <c r="M1614" s="30">
        <f t="shared" si="122"/>
        <v>1423.57</v>
      </c>
      <c r="N1614" s="50">
        <f>ROUND('Смета ЕР (общ) '!$I1614*'Смета ЕР (общ) '!$L1614,2)</f>
        <v>0</v>
      </c>
      <c r="O1614" s="50">
        <f>ROUND('Смета ЕР (общ) '!$I1614*'Смета ЕР (общ) '!$M1614,2)</f>
        <v>0</v>
      </c>
      <c r="P1614" s="45"/>
    </row>
    <row r="1615" spans="1:20" ht="14.4" hidden="1" x14ac:dyDescent="0.3">
      <c r="A1615" s="26" t="s">
        <v>1170</v>
      </c>
      <c r="B1615" s="26">
        <v>2</v>
      </c>
      <c r="C1615" s="26"/>
      <c r="D1615" s="26">
        <v>268</v>
      </c>
      <c r="E1615" s="26" t="str">
        <f>CONCATENATE('Смета ЕР (общ) '!$A1615,".",'Смета ЕР (общ) '!$B1615,".",'Смета ЕР (общ) '!$D1615)</f>
        <v>Р9.2.268</v>
      </c>
      <c r="F1615" s="26">
        <f t="shared" si="119"/>
        <v>1</v>
      </c>
      <c r="G1615" s="27" t="s">
        <v>1663</v>
      </c>
      <c r="H1615" s="28" t="s">
        <v>147</v>
      </c>
      <c r="I1615" s="158"/>
      <c r="J1615" s="30">
        <v>209</v>
      </c>
      <c r="K1615" s="30">
        <v>938.52</v>
      </c>
      <c r="L1615" s="30">
        <f t="shared" si="122"/>
        <v>209</v>
      </c>
      <c r="M1615" s="30">
        <f t="shared" si="122"/>
        <v>938.52</v>
      </c>
      <c r="N1615" s="50">
        <f>ROUND('Смета ЕР (общ) '!$I1615*'Смета ЕР (общ) '!$L1615,2)</f>
        <v>0</v>
      </c>
      <c r="O1615" s="50">
        <f>ROUND('Смета ЕР (общ) '!$I1615*'Смета ЕР (общ) '!$M1615,2)</f>
        <v>0</v>
      </c>
      <c r="P1615" s="45"/>
    </row>
    <row r="1616" spans="1:20" ht="14.4" hidden="1" x14ac:dyDescent="0.3">
      <c r="A1616" s="26" t="s">
        <v>1170</v>
      </c>
      <c r="B1616" s="26">
        <v>2</v>
      </c>
      <c r="C1616" s="26"/>
      <c r="D1616" s="26">
        <v>226</v>
      </c>
      <c r="E1616" s="26" t="str">
        <f>CONCATENATE('Смета ЕР (общ) '!$A1616,".",'Смета ЕР (общ) '!$B1616,".",'Смета ЕР (общ) '!$D1616)</f>
        <v>Р9.2.226</v>
      </c>
      <c r="F1616" s="26">
        <f t="shared" si="119"/>
        <v>1</v>
      </c>
      <c r="G1616" s="27" t="s">
        <v>1664</v>
      </c>
      <c r="H1616" s="28" t="s">
        <v>147</v>
      </c>
      <c r="I1616" s="158"/>
      <c r="J1616" s="30">
        <v>198</v>
      </c>
      <c r="K1616" s="30">
        <v>579.13</v>
      </c>
      <c r="L1616" s="30">
        <f t="shared" si="122"/>
        <v>198</v>
      </c>
      <c r="M1616" s="30">
        <f t="shared" si="122"/>
        <v>579.13</v>
      </c>
      <c r="N1616" s="50">
        <f>ROUND('Смета ЕР (общ) '!$I1616*'Смета ЕР (общ) '!$L1616,2)</f>
        <v>0</v>
      </c>
      <c r="O1616" s="50">
        <f>ROUND('Смета ЕР (общ) '!$I1616*'Смета ЕР (общ) '!$M1616,2)</f>
        <v>0</v>
      </c>
      <c r="P1616" s="45"/>
      <c r="T1616">
        <v>6</v>
      </c>
    </row>
    <row r="1617" spans="1:20" ht="14.4" hidden="1" x14ac:dyDescent="0.3">
      <c r="A1617" s="26" t="s">
        <v>1170</v>
      </c>
      <c r="B1617" s="26">
        <v>2</v>
      </c>
      <c r="C1617" s="26"/>
      <c r="D1617" s="26">
        <v>227</v>
      </c>
      <c r="E1617" s="26" t="str">
        <f>CONCATENATE('Смета ЕР (общ) '!$A1617,".",'Смета ЕР (общ) '!$B1617,".",'Смета ЕР (общ) '!$D1617)</f>
        <v>Р9.2.227</v>
      </c>
      <c r="F1617" s="26">
        <f t="shared" si="119"/>
        <v>1</v>
      </c>
      <c r="G1617" s="27" t="s">
        <v>1665</v>
      </c>
      <c r="H1617" s="28" t="s">
        <v>147</v>
      </c>
      <c r="I1617" s="158"/>
      <c r="J1617" s="30">
        <v>132</v>
      </c>
      <c r="K1617" s="30">
        <v>412.57</v>
      </c>
      <c r="L1617" s="30">
        <f t="shared" si="122"/>
        <v>132</v>
      </c>
      <c r="M1617" s="30">
        <f t="shared" si="122"/>
        <v>412.57</v>
      </c>
      <c r="N1617" s="50">
        <f>ROUND('Смета ЕР (общ) '!$I1617*'Смета ЕР (общ) '!$L1617,2)</f>
        <v>0</v>
      </c>
      <c r="O1617" s="50">
        <f>ROUND('Смета ЕР (общ) '!$I1617*'Смета ЕР (общ) '!$M1617,2)</f>
        <v>0</v>
      </c>
      <c r="P1617" s="45"/>
    </row>
    <row r="1618" spans="1:20" ht="14.4" hidden="1" x14ac:dyDescent="0.3">
      <c r="A1618" s="26" t="s">
        <v>1170</v>
      </c>
      <c r="B1618" s="26">
        <v>2</v>
      </c>
      <c r="C1618" s="26"/>
      <c r="D1618" s="26">
        <v>228</v>
      </c>
      <c r="E1618" s="26" t="str">
        <f>CONCATENATE('Смета ЕР (общ) '!$A1618,".",'Смета ЕР (общ) '!$B1618,".",'Смета ЕР (общ) '!$D1618)</f>
        <v>Р9.2.228</v>
      </c>
      <c r="F1618" s="26">
        <f t="shared" si="119"/>
        <v>1</v>
      </c>
      <c r="G1618" s="27" t="s">
        <v>1666</v>
      </c>
      <c r="H1618" s="28" t="s">
        <v>147</v>
      </c>
      <c r="I1618" s="158"/>
      <c r="J1618" s="30">
        <v>110.06</v>
      </c>
      <c r="K1618" s="30">
        <v>274.42</v>
      </c>
      <c r="L1618" s="30">
        <f t="shared" si="122"/>
        <v>110.06</v>
      </c>
      <c r="M1618" s="30">
        <f t="shared" si="122"/>
        <v>274.42</v>
      </c>
      <c r="N1618" s="50">
        <f>ROUND('Смета ЕР (общ) '!$I1618*'Смета ЕР (общ) '!$L1618,2)</f>
        <v>0</v>
      </c>
      <c r="O1618" s="50">
        <f>ROUND('Смета ЕР (общ) '!$I1618*'Смета ЕР (общ) '!$M1618,2)</f>
        <v>0</v>
      </c>
      <c r="P1618" s="45"/>
      <c r="T1618">
        <v>15</v>
      </c>
    </row>
    <row r="1619" spans="1:20" ht="14.4" hidden="1" x14ac:dyDescent="0.3">
      <c r="A1619" s="26" t="s">
        <v>1170</v>
      </c>
      <c r="B1619" s="26">
        <v>2</v>
      </c>
      <c r="C1619" s="26"/>
      <c r="D1619" s="26">
        <v>229</v>
      </c>
      <c r="E1619" s="26" t="str">
        <f>CONCATENATE('Смета ЕР (общ) '!$A1619,".",'Смета ЕР (общ) '!$B1619,".",'Смета ЕР (общ) '!$D1619)</f>
        <v>Р9.2.229</v>
      </c>
      <c r="F1619" s="26">
        <f t="shared" si="119"/>
        <v>1</v>
      </c>
      <c r="G1619" s="27" t="s">
        <v>1667</v>
      </c>
      <c r="H1619" s="28" t="s">
        <v>147</v>
      </c>
      <c r="I1619" s="158"/>
      <c r="J1619" s="30">
        <v>110.06</v>
      </c>
      <c r="K1619" s="30">
        <v>191.72</v>
      </c>
      <c r="L1619" s="30">
        <f t="shared" si="122"/>
        <v>110.06</v>
      </c>
      <c r="M1619" s="30">
        <f t="shared" si="122"/>
        <v>191.72</v>
      </c>
      <c r="N1619" s="50">
        <f>ROUND('Смета ЕР (общ) '!$I1619*'Смета ЕР (общ) '!$L1619,2)</f>
        <v>0</v>
      </c>
      <c r="O1619" s="50">
        <f>ROUND('Смета ЕР (общ) '!$I1619*'Смета ЕР (общ) '!$M1619,2)</f>
        <v>0</v>
      </c>
      <c r="P1619" s="45"/>
    </row>
    <row r="1620" spans="1:20" ht="14.4" hidden="1" x14ac:dyDescent="0.3">
      <c r="A1620" s="26" t="s">
        <v>1170</v>
      </c>
      <c r="B1620" s="26">
        <v>2</v>
      </c>
      <c r="C1620" s="26"/>
      <c r="D1620" s="26">
        <v>230</v>
      </c>
      <c r="E1620" s="26" t="str">
        <f>CONCATENATE('Смета ЕР (общ) '!$A1620,".",'Смета ЕР (общ) '!$B1620,".",'Смета ЕР (общ) '!$D1620)</f>
        <v>Р9.2.230</v>
      </c>
      <c r="F1620" s="26">
        <f t="shared" si="119"/>
        <v>1</v>
      </c>
      <c r="G1620" s="27" t="s">
        <v>1668</v>
      </c>
      <c r="H1620" s="28" t="s">
        <v>147</v>
      </c>
      <c r="I1620" s="158"/>
      <c r="J1620" s="30">
        <v>118.67</v>
      </c>
      <c r="K1620" s="30">
        <v>192.49</v>
      </c>
      <c r="L1620" s="30">
        <f t="shared" si="122"/>
        <v>118.67</v>
      </c>
      <c r="M1620" s="30">
        <f t="shared" si="122"/>
        <v>192.49</v>
      </c>
      <c r="N1620" s="50">
        <f>ROUND('Смета ЕР (общ) '!$I1620*'Смета ЕР (общ) '!$L1620,2)</f>
        <v>0</v>
      </c>
      <c r="O1620" s="50">
        <f>ROUND('Смета ЕР (общ) '!$I1620*'Смета ЕР (общ) '!$M1620,2)</f>
        <v>0</v>
      </c>
      <c r="P1620" s="45"/>
    </row>
    <row r="1621" spans="1:20" ht="14.4" hidden="1" x14ac:dyDescent="0.3">
      <c r="A1621" s="26" t="s">
        <v>1170</v>
      </c>
      <c r="B1621" s="26">
        <v>2</v>
      </c>
      <c r="C1621" s="26"/>
      <c r="D1621" s="26">
        <v>231</v>
      </c>
      <c r="E1621" s="26" t="str">
        <f>CONCATENATE('Смета ЕР (общ) '!$A1621,".",'Смета ЕР (общ) '!$B1621,".",'Смета ЕР (общ) '!$D1621)</f>
        <v>Р9.2.231</v>
      </c>
      <c r="F1621" s="26">
        <f t="shared" ref="F1621:F1684" si="123">IF(I1621&gt;0,F1620+1,F1620)</f>
        <v>1</v>
      </c>
      <c r="G1621" s="27" t="s">
        <v>1669</v>
      </c>
      <c r="H1621" s="28" t="s">
        <v>147</v>
      </c>
      <c r="I1621" s="158"/>
      <c r="J1621" s="30">
        <v>100.22</v>
      </c>
      <c r="K1621" s="30">
        <v>160.36000000000001</v>
      </c>
      <c r="L1621" s="30">
        <f t="shared" si="122"/>
        <v>100.22</v>
      </c>
      <c r="M1621" s="30">
        <f t="shared" si="122"/>
        <v>160.36000000000001</v>
      </c>
      <c r="N1621" s="50">
        <f>ROUND('Смета ЕР (общ) '!$I1621*'Смета ЕР (общ) '!$L1621,2)</f>
        <v>0</v>
      </c>
      <c r="O1621" s="50">
        <f>ROUND('Смета ЕР (общ) '!$I1621*'Смета ЕР (общ) '!$M1621,2)</f>
        <v>0</v>
      </c>
      <c r="P1621" s="45"/>
      <c r="T1621">
        <v>1177</v>
      </c>
    </row>
    <row r="1622" spans="1:20" ht="14.4" hidden="1" x14ac:dyDescent="0.3">
      <c r="A1622" s="26" t="s">
        <v>1170</v>
      </c>
      <c r="B1622" s="26">
        <v>2</v>
      </c>
      <c r="C1622" s="26"/>
      <c r="D1622" s="26">
        <v>232</v>
      </c>
      <c r="E1622" s="26" t="str">
        <f>CONCATENATE('Смета ЕР (общ) '!$A1622,".",'Смета ЕР (общ) '!$B1622,".",'Смета ЕР (общ) '!$D1622)</f>
        <v>Р9.2.232</v>
      </c>
      <c r="F1622" s="26">
        <f t="shared" si="123"/>
        <v>1</v>
      </c>
      <c r="G1622" s="27" t="s">
        <v>1670</v>
      </c>
      <c r="H1622" s="28" t="s">
        <v>147</v>
      </c>
      <c r="I1622" s="158"/>
      <c r="J1622" s="30">
        <v>100.22</v>
      </c>
      <c r="K1622" s="30">
        <v>106.64</v>
      </c>
      <c r="L1622" s="30">
        <f t="shared" si="122"/>
        <v>100.22</v>
      </c>
      <c r="M1622" s="30">
        <f t="shared" si="122"/>
        <v>106.64</v>
      </c>
      <c r="N1622" s="50">
        <f>ROUND('Смета ЕР (общ) '!$I1622*'Смета ЕР (общ) '!$L1622,2)</f>
        <v>0</v>
      </c>
      <c r="O1622" s="50">
        <f>ROUND('Смета ЕР (общ) '!$I1622*'Смета ЕР (общ) '!$M1622,2)</f>
        <v>0</v>
      </c>
      <c r="P1622" s="45"/>
      <c r="T1622">
        <v>814</v>
      </c>
    </row>
    <row r="1623" spans="1:20" ht="14.4" hidden="1" x14ac:dyDescent="0.3">
      <c r="A1623" s="26" t="s">
        <v>1170</v>
      </c>
      <c r="B1623" s="26">
        <v>2</v>
      </c>
      <c r="C1623" s="26"/>
      <c r="D1623" s="26">
        <v>419</v>
      </c>
      <c r="E1623" s="26" t="str">
        <f>CONCATENATE('Смета ЕР (общ) '!$A1623,".",'Смета ЕР (общ) '!$B1623,".",'Смета ЕР (общ) '!$D1623)</f>
        <v>Р9.2.419</v>
      </c>
      <c r="F1623" s="26">
        <f t="shared" si="123"/>
        <v>1</v>
      </c>
      <c r="G1623" s="27" t="s">
        <v>1671</v>
      </c>
      <c r="H1623" s="28" t="s">
        <v>147</v>
      </c>
      <c r="I1623" s="158"/>
      <c r="J1623" s="30">
        <v>138.5</v>
      </c>
      <c r="K1623" s="30">
        <v>128.51</v>
      </c>
      <c r="L1623" s="30">
        <f t="shared" si="122"/>
        <v>138.5</v>
      </c>
      <c r="M1623" s="30">
        <f t="shared" si="122"/>
        <v>128.51</v>
      </c>
      <c r="N1623" s="50">
        <f>ROUND('Смета ЕР (общ) '!$I1623*'Смета ЕР (общ) '!$L1623,2)</f>
        <v>0</v>
      </c>
      <c r="O1623" s="50">
        <f>ROUND('Смета ЕР (общ) '!$I1623*'Смета ЕР (общ) '!$M1623,2)</f>
        <v>0</v>
      </c>
      <c r="P1623" s="45"/>
    </row>
    <row r="1624" spans="1:20" ht="14.4" hidden="1" x14ac:dyDescent="0.3">
      <c r="A1624" s="26" t="s">
        <v>1170</v>
      </c>
      <c r="B1624" s="26">
        <v>2</v>
      </c>
      <c r="C1624" s="26"/>
      <c r="D1624" s="26">
        <v>233</v>
      </c>
      <c r="E1624" s="26" t="str">
        <f>CONCATENATE('Смета ЕР (общ) '!$A1624,".",'Смета ЕР (общ) '!$B1624,".",'Смета ЕР (общ) '!$D1624)</f>
        <v>Р9.2.233</v>
      </c>
      <c r="F1624" s="26">
        <f t="shared" si="123"/>
        <v>1</v>
      </c>
      <c r="G1624" s="27" t="s">
        <v>1672</v>
      </c>
      <c r="H1624" s="28" t="s">
        <v>147</v>
      </c>
      <c r="I1624" s="158"/>
      <c r="J1624" s="30">
        <v>100.22</v>
      </c>
      <c r="K1624" s="30">
        <v>177.72</v>
      </c>
      <c r="L1624" s="30">
        <f t="shared" si="122"/>
        <v>100.22</v>
      </c>
      <c r="M1624" s="30">
        <f t="shared" si="122"/>
        <v>177.72</v>
      </c>
      <c r="N1624" s="50">
        <f>ROUND('Смета ЕР (общ) '!$I1624*'Смета ЕР (общ) '!$L1624,2)</f>
        <v>0</v>
      </c>
      <c r="O1624" s="50">
        <f>ROUND('Смета ЕР (общ) '!$I1624*'Смета ЕР (общ) '!$M1624,2)</f>
        <v>0</v>
      </c>
      <c r="P1624" s="45"/>
    </row>
    <row r="1625" spans="1:20" ht="14.4" hidden="1" x14ac:dyDescent="0.3">
      <c r="A1625" s="26" t="s">
        <v>1170</v>
      </c>
      <c r="B1625" s="26">
        <v>2</v>
      </c>
      <c r="C1625" s="26"/>
      <c r="D1625" s="26">
        <v>263</v>
      </c>
      <c r="E1625" s="26" t="str">
        <f>CONCATENATE('Смета ЕР (общ) '!$A1625,".",'Смета ЕР (общ) '!$B1625,".",'Смета ЕР (общ) '!$D1625)</f>
        <v>Р9.2.263</v>
      </c>
      <c r="F1625" s="26">
        <f t="shared" si="123"/>
        <v>1</v>
      </c>
      <c r="G1625" s="27" t="s">
        <v>1673</v>
      </c>
      <c r="H1625" s="28" t="s">
        <v>147</v>
      </c>
      <c r="I1625" s="158"/>
      <c r="J1625" s="30">
        <v>100.22</v>
      </c>
      <c r="K1625" s="30">
        <v>122.91</v>
      </c>
      <c r="L1625" s="30">
        <f t="shared" si="122"/>
        <v>100.22</v>
      </c>
      <c r="M1625" s="30">
        <f t="shared" si="122"/>
        <v>122.91</v>
      </c>
      <c r="N1625" s="50">
        <f>ROUND('Смета ЕР (общ) '!$I1625*'Смета ЕР (общ) '!$L1625,2)</f>
        <v>0</v>
      </c>
      <c r="O1625" s="50">
        <f>ROUND('Смета ЕР (общ) '!$I1625*'Смета ЕР (общ) '!$M1625,2)</f>
        <v>0</v>
      </c>
      <c r="P1625" s="45"/>
    </row>
    <row r="1626" spans="1:20" ht="14.4" hidden="1" x14ac:dyDescent="0.3">
      <c r="A1626" s="26" t="s">
        <v>1170</v>
      </c>
      <c r="B1626" s="26">
        <v>2</v>
      </c>
      <c r="C1626" s="26"/>
      <c r="D1626" s="26">
        <v>420</v>
      </c>
      <c r="E1626" s="26" t="str">
        <f>CONCATENATE('Смета ЕР (общ) '!$A1626,".",'Смета ЕР (общ) '!$B1626,".",'Смета ЕР (общ) '!$D1626)</f>
        <v>Р9.2.420</v>
      </c>
      <c r="F1626" s="26">
        <f t="shared" si="123"/>
        <v>1</v>
      </c>
      <c r="G1626" s="27" t="s">
        <v>1674</v>
      </c>
      <c r="H1626" s="28" t="s">
        <v>147</v>
      </c>
      <c r="I1626" s="158"/>
      <c r="J1626" s="30">
        <v>138.5</v>
      </c>
      <c r="K1626" s="30">
        <v>182.08</v>
      </c>
      <c r="L1626" s="30">
        <f t="shared" si="122"/>
        <v>138.5</v>
      </c>
      <c r="M1626" s="30">
        <f t="shared" si="122"/>
        <v>182.08</v>
      </c>
      <c r="N1626" s="50">
        <f>ROUND('Смета ЕР (общ) '!$I1626*'Смета ЕР (общ) '!$L1626,2)</f>
        <v>0</v>
      </c>
      <c r="O1626" s="50">
        <f>ROUND('Смета ЕР (общ) '!$I1626*'Смета ЕР (общ) '!$M1626,2)</f>
        <v>0</v>
      </c>
      <c r="P1626" s="45"/>
    </row>
    <row r="1627" spans="1:20" ht="14.4" hidden="1" x14ac:dyDescent="0.3">
      <c r="A1627" s="26" t="s">
        <v>1170</v>
      </c>
      <c r="B1627" s="26">
        <v>2</v>
      </c>
      <c r="C1627" s="26"/>
      <c r="D1627" s="26">
        <v>421</v>
      </c>
      <c r="E1627" s="26" t="str">
        <f>CONCATENATE('Смета ЕР (общ) '!$A1627,".",'Смета ЕР (общ) '!$B1627,".",'Смета ЕР (общ) '!$D1627)</f>
        <v>Р9.2.421</v>
      </c>
      <c r="F1627" s="26">
        <f t="shared" si="123"/>
        <v>1</v>
      </c>
      <c r="G1627" s="27" t="s">
        <v>1675</v>
      </c>
      <c r="H1627" s="28" t="s">
        <v>147</v>
      </c>
      <c r="I1627" s="158"/>
      <c r="J1627" s="30">
        <v>145.51</v>
      </c>
      <c r="K1627" s="30">
        <v>98.8</v>
      </c>
      <c r="L1627" s="30">
        <f t="shared" si="122"/>
        <v>145.51</v>
      </c>
      <c r="M1627" s="30">
        <f t="shared" si="122"/>
        <v>98.8</v>
      </c>
      <c r="N1627" s="50">
        <f>ROUND('Смета ЕР (общ) '!$I1627*'Смета ЕР (общ) '!$L1627,2)</f>
        <v>0</v>
      </c>
      <c r="O1627" s="50">
        <f>ROUND('Смета ЕР (общ) '!$I1627*'Смета ЕР (общ) '!$M1627,2)</f>
        <v>0</v>
      </c>
      <c r="P1627" s="45"/>
    </row>
    <row r="1628" spans="1:20" ht="14.4" hidden="1" x14ac:dyDescent="0.3">
      <c r="A1628" s="26" t="s">
        <v>1170</v>
      </c>
      <c r="B1628" s="26">
        <v>2</v>
      </c>
      <c r="C1628" s="26"/>
      <c r="D1628" s="26">
        <v>422</v>
      </c>
      <c r="E1628" s="26" t="str">
        <f>CONCATENATE('Смета ЕР (общ) '!$A1628,".",'Смета ЕР (общ) '!$B1628,".",'Смета ЕР (общ) '!$D1628)</f>
        <v>Р9.2.422</v>
      </c>
      <c r="F1628" s="26">
        <f t="shared" si="123"/>
        <v>1</v>
      </c>
      <c r="G1628" s="27" t="s">
        <v>1676</v>
      </c>
      <c r="H1628" s="28" t="s">
        <v>147</v>
      </c>
      <c r="I1628" s="158"/>
      <c r="J1628" s="30">
        <v>145.51</v>
      </c>
      <c r="K1628" s="30">
        <v>120.04</v>
      </c>
      <c r="L1628" s="30">
        <f t="shared" si="122"/>
        <v>145.51</v>
      </c>
      <c r="M1628" s="30">
        <f t="shared" si="122"/>
        <v>120.04</v>
      </c>
      <c r="N1628" s="50">
        <f>ROUND('Смета ЕР (общ) '!$I1628*'Смета ЕР (общ) '!$L1628,2)</f>
        <v>0</v>
      </c>
      <c r="O1628" s="50">
        <f>ROUND('Смета ЕР (общ) '!$I1628*'Смета ЕР (общ) '!$M1628,2)</f>
        <v>0</v>
      </c>
      <c r="P1628" s="45"/>
    </row>
    <row r="1629" spans="1:20" ht="14.4" hidden="1" x14ac:dyDescent="0.3">
      <c r="A1629" s="129" t="s">
        <v>1170</v>
      </c>
      <c r="B1629" s="129">
        <v>2</v>
      </c>
      <c r="C1629" s="129"/>
      <c r="D1629" s="129">
        <v>423</v>
      </c>
      <c r="E1629" s="129" t="str">
        <f>CONCATENATE('Смета ЕР (общ) '!$A1629,".",'Смета ЕР (общ) '!$B1629,".",'Смета ЕР (общ) '!$D1629)</f>
        <v>Р9.2.423</v>
      </c>
      <c r="F1629" s="129">
        <f t="shared" si="123"/>
        <v>1</v>
      </c>
      <c r="G1629" s="130" t="s">
        <v>1677</v>
      </c>
      <c r="H1629" s="28" t="s">
        <v>147</v>
      </c>
      <c r="I1629" s="158"/>
      <c r="J1629" s="30">
        <v>100.22</v>
      </c>
      <c r="K1629" s="30">
        <v>58.1</v>
      </c>
      <c r="L1629" s="30">
        <f t="shared" ref="L1629:M1640" si="124">ROUND(J1629-J1629*$Q$3,2)</f>
        <v>100.22</v>
      </c>
      <c r="M1629" s="30">
        <f t="shared" si="124"/>
        <v>58.1</v>
      </c>
      <c r="N1629" s="50">
        <f>ROUND('Смета ЕР (общ) '!$I1629*'Смета ЕР (общ) '!$L1629,2)</f>
        <v>0</v>
      </c>
      <c r="O1629" s="50">
        <f>ROUND('Смета ЕР (общ) '!$I1629*'Смета ЕР (общ) '!$M1629,2)</f>
        <v>0</v>
      </c>
      <c r="P1629" s="45"/>
      <c r="Q1629"/>
    </row>
    <row r="1630" spans="1:20" ht="14.4" hidden="1" x14ac:dyDescent="0.3">
      <c r="A1630" s="129" t="s">
        <v>1170</v>
      </c>
      <c r="B1630" s="129">
        <v>2</v>
      </c>
      <c r="C1630" s="129"/>
      <c r="D1630" s="129">
        <v>424</v>
      </c>
      <c r="E1630" s="129" t="str">
        <f>CONCATENATE('Смета ЕР (общ) '!$A1630,".",'Смета ЕР (общ) '!$B1630,".",'Смета ЕР (общ) '!$D1630)</f>
        <v>Р9.2.424</v>
      </c>
      <c r="F1630" s="129">
        <f t="shared" si="123"/>
        <v>1</v>
      </c>
      <c r="G1630" s="130" t="s">
        <v>1678</v>
      </c>
      <c r="H1630" s="28" t="s">
        <v>147</v>
      </c>
      <c r="I1630" s="158"/>
      <c r="J1630" s="30">
        <v>100.22</v>
      </c>
      <c r="K1630" s="30">
        <v>37.53</v>
      </c>
      <c r="L1630" s="30">
        <f t="shared" si="124"/>
        <v>100.22</v>
      </c>
      <c r="M1630" s="30">
        <f t="shared" si="124"/>
        <v>37.53</v>
      </c>
      <c r="N1630" s="50">
        <f>ROUND('Смета ЕР (общ) '!$I1630*'Смета ЕР (общ) '!$L1630,2)</f>
        <v>0</v>
      </c>
      <c r="O1630" s="50">
        <f>ROUND('Смета ЕР (общ) '!$I1630*'Смета ЕР (общ) '!$M1630,2)</f>
        <v>0</v>
      </c>
      <c r="P1630" s="45"/>
      <c r="Q1630"/>
    </row>
    <row r="1631" spans="1:20" ht="14.4" hidden="1" x14ac:dyDescent="0.3">
      <c r="A1631" s="26" t="s">
        <v>1170</v>
      </c>
      <c r="B1631" s="26">
        <v>2</v>
      </c>
      <c r="C1631" s="26"/>
      <c r="D1631" s="26">
        <v>234</v>
      </c>
      <c r="E1631" s="26" t="str">
        <f>CONCATENATE('Смета ЕР (общ) '!$A1631,".",'Смета ЕР (общ) '!$B1631,".",'Смета ЕР (общ) '!$D1631)</f>
        <v>Р9.2.234</v>
      </c>
      <c r="F1631" s="26">
        <f t="shared" si="123"/>
        <v>1</v>
      </c>
      <c r="G1631" s="27" t="s">
        <v>1679</v>
      </c>
      <c r="H1631" s="28" t="s">
        <v>118</v>
      </c>
      <c r="I1631" s="158"/>
      <c r="J1631" s="30">
        <v>1045</v>
      </c>
      <c r="K1631" s="30">
        <v>250.1</v>
      </c>
      <c r="L1631" s="30">
        <f t="shared" si="124"/>
        <v>1045</v>
      </c>
      <c r="M1631" s="30">
        <f t="shared" si="124"/>
        <v>250.1</v>
      </c>
      <c r="N1631" s="50">
        <f>ROUND('Смета ЕР (общ) '!$I1631*'Смета ЕР (общ) '!$L1631,2)</f>
        <v>0</v>
      </c>
      <c r="O1631" s="50">
        <f>ROUND('Смета ЕР (общ) '!$I1631*'Смета ЕР (общ) '!$M1631,2)</f>
        <v>0</v>
      </c>
      <c r="P1631" s="45"/>
    </row>
    <row r="1632" spans="1:20" ht="14.4" hidden="1" x14ac:dyDescent="0.3">
      <c r="A1632" s="26" t="s">
        <v>1170</v>
      </c>
      <c r="B1632" s="26">
        <v>2</v>
      </c>
      <c r="C1632" s="26"/>
      <c r="D1632" s="26">
        <v>235</v>
      </c>
      <c r="E1632" s="26" t="str">
        <f>CONCATENATE('Смета ЕР (общ) '!$A1632,".",'Смета ЕР (общ) '!$B1632,".",'Смета ЕР (общ) '!$D1632)</f>
        <v>Р9.2.235</v>
      </c>
      <c r="F1632" s="26">
        <f t="shared" si="123"/>
        <v>1</v>
      </c>
      <c r="G1632" s="27" t="s">
        <v>1680</v>
      </c>
      <c r="H1632" s="28" t="s">
        <v>118</v>
      </c>
      <c r="I1632" s="158"/>
      <c r="J1632" s="30">
        <v>1210</v>
      </c>
      <c r="K1632" s="30">
        <v>683.59</v>
      </c>
      <c r="L1632" s="30">
        <f t="shared" si="124"/>
        <v>1210</v>
      </c>
      <c r="M1632" s="30">
        <f t="shared" si="124"/>
        <v>683.59</v>
      </c>
      <c r="N1632" s="50">
        <f>ROUND('Смета ЕР (общ) '!$I1632*'Смета ЕР (общ) '!$L1632,2)</f>
        <v>0</v>
      </c>
      <c r="O1632" s="50">
        <f>ROUND('Смета ЕР (общ) '!$I1632*'Смета ЕР (общ) '!$M1632,2)</f>
        <v>0</v>
      </c>
      <c r="P1632" s="45"/>
    </row>
    <row r="1633" spans="1:20" ht="14.4" hidden="1" x14ac:dyDescent="0.3">
      <c r="A1633" s="26" t="s">
        <v>1170</v>
      </c>
      <c r="B1633" s="26">
        <v>2</v>
      </c>
      <c r="C1633" s="26"/>
      <c r="D1633" s="26">
        <v>247</v>
      </c>
      <c r="E1633" s="26" t="str">
        <f>CONCATENATE('Смета ЕР (общ) '!$A1633,".",'Смета ЕР (общ) '!$B1633,".",'Смета ЕР (общ) '!$D1633)</f>
        <v>Р9.2.247</v>
      </c>
      <c r="F1633" s="26">
        <f t="shared" si="123"/>
        <v>1</v>
      </c>
      <c r="G1633" s="27" t="s">
        <v>1681</v>
      </c>
      <c r="H1633" s="28" t="s">
        <v>118</v>
      </c>
      <c r="I1633" s="158"/>
      <c r="J1633" s="30">
        <v>2592.6</v>
      </c>
      <c r="K1633" s="30">
        <v>10656.88</v>
      </c>
      <c r="L1633" s="30">
        <f t="shared" si="124"/>
        <v>2592.6</v>
      </c>
      <c r="M1633" s="30">
        <f t="shared" si="124"/>
        <v>10656.88</v>
      </c>
      <c r="N1633" s="50">
        <f>ROUND('Смета ЕР (общ) '!$I1633*'Смета ЕР (общ) '!$L1633,2)</f>
        <v>0</v>
      </c>
      <c r="O1633" s="50">
        <f>ROUND('Смета ЕР (общ) '!$I1633*'Смета ЕР (общ) '!$M1633,2)</f>
        <v>0</v>
      </c>
      <c r="P1633" s="45"/>
    </row>
    <row r="1634" spans="1:20" ht="24" hidden="1" x14ac:dyDescent="0.3">
      <c r="A1634" s="26" t="s">
        <v>1170</v>
      </c>
      <c r="B1634" s="26">
        <v>2</v>
      </c>
      <c r="C1634" s="26"/>
      <c r="D1634" s="26">
        <v>249</v>
      </c>
      <c r="E1634" s="26" t="str">
        <f>CONCATENATE('Смета ЕР (общ) '!$A1634,".",'Смета ЕР (общ) '!$B1634,".",'Смета ЕР (общ) '!$D1634)</f>
        <v>Р9.2.249</v>
      </c>
      <c r="F1634" s="26">
        <f t="shared" si="123"/>
        <v>1</v>
      </c>
      <c r="G1634" s="27" t="s">
        <v>1682</v>
      </c>
      <c r="H1634" s="28" t="s">
        <v>118</v>
      </c>
      <c r="I1634" s="158"/>
      <c r="J1634" s="30">
        <v>3125.04</v>
      </c>
      <c r="K1634" s="30">
        <v>13916.77</v>
      </c>
      <c r="L1634" s="30">
        <f t="shared" si="124"/>
        <v>3125.04</v>
      </c>
      <c r="M1634" s="30">
        <f t="shared" si="124"/>
        <v>13916.77</v>
      </c>
      <c r="N1634" s="50">
        <f>ROUND('Смета ЕР (общ) '!$I1634*'Смета ЕР (общ) '!$L1634,2)</f>
        <v>0</v>
      </c>
      <c r="O1634" s="50">
        <f>ROUND('Смета ЕР (общ) '!$I1634*'Смета ЕР (общ) '!$M1634,2)</f>
        <v>0</v>
      </c>
      <c r="P1634" s="86" t="s">
        <v>435</v>
      </c>
      <c r="T1634">
        <v>1</v>
      </c>
    </row>
    <row r="1635" spans="1:20" ht="24" hidden="1" x14ac:dyDescent="0.3">
      <c r="A1635" s="26" t="s">
        <v>1170</v>
      </c>
      <c r="B1635" s="26">
        <v>2</v>
      </c>
      <c r="C1635" s="26"/>
      <c r="D1635" s="26">
        <v>425</v>
      </c>
      <c r="E1635" s="26" t="str">
        <f>CONCATENATE('Смета ЕР (общ) '!$A1635,".",'Смета ЕР (общ) '!$B1635,".",'Смета ЕР (общ) '!$D1635)</f>
        <v>Р9.2.425</v>
      </c>
      <c r="F1635" s="26">
        <f t="shared" si="123"/>
        <v>1</v>
      </c>
      <c r="G1635" s="27" t="s">
        <v>1683</v>
      </c>
      <c r="H1635" s="28" t="s">
        <v>118</v>
      </c>
      <c r="I1635" s="158"/>
      <c r="J1635" s="30">
        <v>3125.04</v>
      </c>
      <c r="K1635" s="30">
        <v>19947.27</v>
      </c>
      <c r="L1635" s="30">
        <f t="shared" si="124"/>
        <v>3125.04</v>
      </c>
      <c r="M1635" s="30">
        <f t="shared" si="124"/>
        <v>19947.27</v>
      </c>
      <c r="N1635" s="50">
        <f>ROUND('Смета ЕР (общ) '!$I1635*'Смета ЕР (общ) '!$L1635,2)</f>
        <v>0</v>
      </c>
      <c r="O1635" s="50">
        <f>ROUND('Смета ЕР (общ) '!$I1635*'Смета ЕР (общ) '!$M1635,2)</f>
        <v>0</v>
      </c>
      <c r="P1635" s="86" t="s">
        <v>435</v>
      </c>
      <c r="T1635">
        <v>1</v>
      </c>
    </row>
    <row r="1636" spans="1:20" ht="24" hidden="1" x14ac:dyDescent="0.3">
      <c r="A1636" s="26" t="s">
        <v>1170</v>
      </c>
      <c r="B1636" s="26">
        <v>2</v>
      </c>
      <c r="C1636" s="26"/>
      <c r="D1636" s="26">
        <v>426</v>
      </c>
      <c r="E1636" s="26" t="str">
        <f>CONCATENATE('Смета ЕР (общ) '!$A1636,".",'Смета ЕР (общ) '!$B1636,".",'Смета ЕР (общ) '!$D1636)</f>
        <v>Р9.2.426</v>
      </c>
      <c r="F1636" s="26">
        <f t="shared" si="123"/>
        <v>1</v>
      </c>
      <c r="G1636" s="27" t="s">
        <v>1684</v>
      </c>
      <c r="H1636" s="28" t="s">
        <v>118</v>
      </c>
      <c r="I1636" s="158"/>
      <c r="J1636" s="30">
        <v>3125.04</v>
      </c>
      <c r="K1636" s="30">
        <v>6884.26</v>
      </c>
      <c r="L1636" s="30">
        <f t="shared" si="124"/>
        <v>3125.04</v>
      </c>
      <c r="M1636" s="30">
        <f t="shared" si="124"/>
        <v>6884.26</v>
      </c>
      <c r="N1636" s="50">
        <f>ROUND('Смета ЕР (общ) '!$I1636*'Смета ЕР (общ) '!$L1636,2)</f>
        <v>0</v>
      </c>
      <c r="O1636" s="50">
        <f>ROUND('Смета ЕР (общ) '!$I1636*'Смета ЕР (общ) '!$M1636,2)</f>
        <v>0</v>
      </c>
      <c r="P1636" s="86"/>
    </row>
    <row r="1637" spans="1:20" ht="36" hidden="1" customHeight="1" x14ac:dyDescent="0.3">
      <c r="A1637" s="26" t="s">
        <v>1170</v>
      </c>
      <c r="B1637" s="26">
        <v>2</v>
      </c>
      <c r="C1637" s="26"/>
      <c r="D1637" s="26">
        <v>427</v>
      </c>
      <c r="E1637" s="26" t="str">
        <f>CONCATENATE('Смета ЕР (общ) '!$A1637,".",'Смета ЕР (общ) '!$B1637,".",'Смета ЕР (общ) '!$D1637)</f>
        <v>Р9.2.427</v>
      </c>
      <c r="F1637" s="26">
        <f t="shared" si="123"/>
        <v>1</v>
      </c>
      <c r="G1637" s="27" t="s">
        <v>1685</v>
      </c>
      <c r="H1637" s="28" t="s">
        <v>118</v>
      </c>
      <c r="I1637" s="158"/>
      <c r="J1637" s="30">
        <v>3125.04</v>
      </c>
      <c r="K1637" s="30">
        <f>'[14]Лючек напольный.'!G15</f>
        <v>9303.8700000000008</v>
      </c>
      <c r="L1637" s="30">
        <f t="shared" si="124"/>
        <v>3125.04</v>
      </c>
      <c r="M1637" s="54">
        <f>K1637</f>
        <v>9303.8700000000008</v>
      </c>
      <c r="N1637" s="50">
        <f>ROUND('Смета ЕР (общ) '!$I1637*'Смета ЕР (общ) '!$L1637,2)</f>
        <v>0</v>
      </c>
      <c r="O1637" s="50">
        <f>ROUND('Смета ЕР (общ) '!$I1637*'Смета ЕР (общ) '!$M1637,2)</f>
        <v>0</v>
      </c>
      <c r="P1637" s="61" t="s">
        <v>1686</v>
      </c>
    </row>
    <row r="1638" spans="1:20" ht="48" hidden="1" x14ac:dyDescent="0.3">
      <c r="A1638" s="131" t="s">
        <v>1170</v>
      </c>
      <c r="B1638" s="131">
        <v>2</v>
      </c>
      <c r="C1638" s="131"/>
      <c r="D1638" s="131">
        <v>248</v>
      </c>
      <c r="E1638" s="131" t="str">
        <f>CONCATENATE('Смета ЕР (общ) '!$A1638,".",'Смета ЕР (общ) '!$B1638,".",'Смета ЕР (общ) '!$D1638)</f>
        <v>Р9.2.248</v>
      </c>
      <c r="F1638" s="131">
        <f t="shared" si="123"/>
        <v>1</v>
      </c>
      <c r="G1638" s="132" t="s">
        <v>1687</v>
      </c>
      <c r="H1638" s="28" t="s">
        <v>147</v>
      </c>
      <c r="I1638" s="158"/>
      <c r="J1638" s="30">
        <v>256</v>
      </c>
      <c r="K1638" s="30">
        <v>420.63</v>
      </c>
      <c r="L1638" s="30">
        <f t="shared" si="124"/>
        <v>256</v>
      </c>
      <c r="M1638" s="30">
        <f t="shared" si="124"/>
        <v>420.63</v>
      </c>
      <c r="N1638" s="50">
        <f>ROUND('Смета ЕР (общ) '!$I1638*'Смета ЕР (общ) '!$L1638,2)</f>
        <v>0</v>
      </c>
      <c r="O1638" s="50">
        <f>ROUND('Смета ЕР (общ) '!$I1638*'Смета ЕР (общ) '!$M1638,2)</f>
        <v>0</v>
      </c>
      <c r="P1638" s="86"/>
    </row>
    <row r="1639" spans="1:20" ht="14.4" hidden="1" x14ac:dyDescent="0.3">
      <c r="A1639" s="26" t="s">
        <v>1170</v>
      </c>
      <c r="B1639" s="26">
        <v>2</v>
      </c>
      <c r="C1639" s="26"/>
      <c r="D1639" s="26">
        <v>428</v>
      </c>
      <c r="E1639" s="26" t="str">
        <f>CONCATENATE('Смета ЕР (общ) '!$A1639,".",'Смета ЕР (общ) '!$B1639,".",'Смета ЕР (общ) '!$D1639)</f>
        <v>Р9.2.428</v>
      </c>
      <c r="F1639" s="26">
        <f>IF(I1639&gt;0,F1638+1,F1638)</f>
        <v>1</v>
      </c>
      <c r="G1639" s="27" t="s">
        <v>1688</v>
      </c>
      <c r="H1639" s="28" t="s">
        <v>118</v>
      </c>
      <c r="I1639" s="158"/>
      <c r="J1639" s="30">
        <v>1210</v>
      </c>
      <c r="K1639" s="30">
        <v>2158.5700000000002</v>
      </c>
      <c r="L1639" s="30">
        <f t="shared" si="124"/>
        <v>1210</v>
      </c>
      <c r="M1639" s="30">
        <f t="shared" si="124"/>
        <v>2158.5700000000002</v>
      </c>
      <c r="N1639" s="50">
        <f>ROUND('Смета ЕР (общ) '!$I1639*'Смета ЕР (общ) '!$L1639,2)</f>
        <v>0</v>
      </c>
      <c r="O1639" s="50">
        <f>ROUND('Смета ЕР (общ) '!$I1639*'Смета ЕР (общ) '!$M1639,2)</f>
        <v>0</v>
      </c>
      <c r="P1639" s="86"/>
    </row>
    <row r="1640" spans="1:20" ht="14.4" hidden="1" x14ac:dyDescent="0.3">
      <c r="A1640" s="26" t="s">
        <v>1170</v>
      </c>
      <c r="B1640" s="26">
        <v>2</v>
      </c>
      <c r="C1640" s="26"/>
      <c r="D1640" s="26">
        <v>246</v>
      </c>
      <c r="E1640" s="26" t="str">
        <f>CONCATENATE('Смета ЕР (общ) '!$A1640,".",'Смета ЕР (общ) '!$B1640,".",'Смета ЕР (общ) '!$D1640)</f>
        <v>Р9.2.246</v>
      </c>
      <c r="F1640" s="26">
        <f t="shared" si="123"/>
        <v>1</v>
      </c>
      <c r="G1640" s="27" t="s">
        <v>1689</v>
      </c>
      <c r="H1640" s="28" t="s">
        <v>118</v>
      </c>
      <c r="I1640" s="158"/>
      <c r="J1640" s="30">
        <v>250.56</v>
      </c>
      <c r="K1640" s="30">
        <v>416.63</v>
      </c>
      <c r="L1640" s="30">
        <f t="shared" si="124"/>
        <v>250.56</v>
      </c>
      <c r="M1640" s="30">
        <f t="shared" si="124"/>
        <v>416.63</v>
      </c>
      <c r="N1640" s="50">
        <f>ROUND('Смета ЕР (общ) '!$I1640*'Смета ЕР (общ) '!$L1640,2)</f>
        <v>0</v>
      </c>
      <c r="O1640" s="50">
        <f>ROUND('Смета ЕР (общ) '!$I1640*'Смета ЕР (общ) '!$M1640,2)</f>
        <v>0</v>
      </c>
      <c r="P1640" s="45"/>
      <c r="T1640">
        <v>15</v>
      </c>
    </row>
    <row r="1641" spans="1:20" ht="14.4" hidden="1" x14ac:dyDescent="0.3">
      <c r="A1641" s="19" t="s">
        <v>1170</v>
      </c>
      <c r="B1641" s="19">
        <v>3</v>
      </c>
      <c r="C1641" s="19"/>
      <c r="D1641" s="19">
        <v>0</v>
      </c>
      <c r="E1641" s="19" t="str">
        <f>CONCATENATE('Смета ЕР (общ) '!$A1641,".",'Смета ЕР (общ) '!$B1641,".",'Смета ЕР (общ) '!$D1641)</f>
        <v>Р9.3.0</v>
      </c>
      <c r="F1641" s="19">
        <f t="shared" si="123"/>
        <v>1</v>
      </c>
      <c r="G1641" s="21" t="s">
        <v>1690</v>
      </c>
      <c r="H1641" s="22"/>
      <c r="I1641" s="23"/>
      <c r="J1641" s="36"/>
      <c r="K1641" s="36"/>
      <c r="L1641" s="25"/>
      <c r="M1641" s="25"/>
      <c r="N1641" s="25">
        <f>ROUND(SUM(N1642:N1643),2)</f>
        <v>0</v>
      </c>
      <c r="O1641" s="25">
        <f>ROUND(SUM(O1642:O1643),2)</f>
        <v>0</v>
      </c>
      <c r="P1641" s="45"/>
      <c r="T1641">
        <v>0</v>
      </c>
    </row>
    <row r="1642" spans="1:20" ht="34.5" hidden="1" customHeight="1" x14ac:dyDescent="0.3">
      <c r="A1642" s="26" t="s">
        <v>1170</v>
      </c>
      <c r="B1642" s="26">
        <v>3</v>
      </c>
      <c r="C1642" s="26"/>
      <c r="D1642" s="26">
        <v>1</v>
      </c>
      <c r="E1642" s="26" t="str">
        <f>CONCATENATE('Смета ЕР (общ) '!$A1642,".",'Смета ЕР (общ) '!$B1642,".",'Смета ЕР (общ) '!$D1642)</f>
        <v>Р9.3.1</v>
      </c>
      <c r="F1642" s="26">
        <f t="shared" si="123"/>
        <v>1</v>
      </c>
      <c r="G1642" s="41" t="s">
        <v>1691</v>
      </c>
      <c r="H1642" s="28" t="s">
        <v>118</v>
      </c>
      <c r="I1642" s="158"/>
      <c r="J1642" s="30">
        <v>12000</v>
      </c>
      <c r="K1642" s="30">
        <f>'[14]Щиты в сборе'!M31</f>
        <v>187951.05</v>
      </c>
      <c r="L1642" s="30">
        <f>ROUND(J1642-J1642*$Q$3,2)</f>
        <v>12000</v>
      </c>
      <c r="M1642" s="54">
        <f>K1642</f>
        <v>187951.05</v>
      </c>
      <c r="N1642" s="30">
        <f>ROUND('Смета ЕР (общ) '!$I1642*'Смета ЕР (общ) '!$L1642,2)</f>
        <v>0</v>
      </c>
      <c r="O1642" s="30">
        <f>ROUND('Смета ЕР (общ) '!$I1642*'Смета ЕР (общ) '!$M1642,2)</f>
        <v>0</v>
      </c>
      <c r="P1642" s="55" t="s">
        <v>1692</v>
      </c>
      <c r="Q1642" s="56"/>
    </row>
    <row r="1643" spans="1:20" ht="34.5" hidden="1" customHeight="1" x14ac:dyDescent="0.3">
      <c r="A1643" s="26" t="s">
        <v>1170</v>
      </c>
      <c r="B1643" s="26">
        <v>3</v>
      </c>
      <c r="C1643" s="26"/>
      <c r="D1643" s="26">
        <v>2</v>
      </c>
      <c r="E1643" s="26" t="str">
        <f>CONCATENATE('Смета ЕР (общ) '!$A1643,".",'Смета ЕР (общ) '!$B1643,".",'Смета ЕР (общ) '!$D1643)</f>
        <v>Р9.3.2</v>
      </c>
      <c r="F1643" s="26">
        <f t="shared" si="123"/>
        <v>1</v>
      </c>
      <c r="G1643" s="27" t="s">
        <v>1693</v>
      </c>
      <c r="H1643" s="28" t="s">
        <v>118</v>
      </c>
      <c r="I1643" s="158"/>
      <c r="J1643" s="30">
        <v>6878.97</v>
      </c>
      <c r="K1643" s="30">
        <f>'[14]Щиты в сборе'!M32</f>
        <v>22705.200000000001</v>
      </c>
      <c r="L1643" s="30">
        <f>ROUND(J1643-J1643*$Q$3,2)</f>
        <v>6878.97</v>
      </c>
      <c r="M1643" s="54">
        <f>K1643</f>
        <v>22705.200000000001</v>
      </c>
      <c r="N1643" s="30">
        <f>ROUND('Смета ЕР (общ) '!$I1643*'Смета ЕР (общ) '!$L1643,2)</f>
        <v>0</v>
      </c>
      <c r="O1643" s="30">
        <f>ROUND('Смета ЕР (общ) '!$I1643*'Смета ЕР (общ) '!$M1643,2)</f>
        <v>0</v>
      </c>
      <c r="P1643" s="55" t="s">
        <v>1692</v>
      </c>
      <c r="Q1643" s="56"/>
    </row>
    <row r="1644" spans="1:20" ht="13.2" hidden="1" customHeight="1" x14ac:dyDescent="0.3">
      <c r="A1644" s="19" t="s">
        <v>1170</v>
      </c>
      <c r="B1644" s="19">
        <v>4</v>
      </c>
      <c r="C1644" s="19"/>
      <c r="D1644" s="19">
        <v>0</v>
      </c>
      <c r="E1644" s="19" t="str">
        <f>CONCATENATE('Смета ЕР (общ) '!$A1644,".",'Смета ЕР (общ) '!$B1644,".",'Смета ЕР (общ) '!$D1644)</f>
        <v>Р9.4.0</v>
      </c>
      <c r="F1644" s="19">
        <f t="shared" si="123"/>
        <v>1</v>
      </c>
      <c r="G1644" s="21" t="s">
        <v>1694</v>
      </c>
      <c r="H1644" s="22"/>
      <c r="I1644" s="23"/>
      <c r="J1644" s="36"/>
      <c r="K1644" s="36"/>
      <c r="L1644" s="25"/>
      <c r="M1644" s="25"/>
      <c r="N1644" s="25">
        <f>ROUND(SUM(N1645:N1666),2)</f>
        <v>0</v>
      </c>
      <c r="O1644" s="25">
        <f>ROUND(SUM(O1645:O1666),2)</f>
        <v>0</v>
      </c>
      <c r="P1644" s="45"/>
      <c r="T1644">
        <v>0</v>
      </c>
    </row>
    <row r="1645" spans="1:20" ht="34.5" hidden="1" customHeight="1" x14ac:dyDescent="0.3">
      <c r="A1645" s="26" t="s">
        <v>1170</v>
      </c>
      <c r="B1645" s="26">
        <v>4</v>
      </c>
      <c r="C1645" s="26"/>
      <c r="D1645" s="26">
        <v>1</v>
      </c>
      <c r="E1645" s="26" t="str">
        <f>CONCATENATE('Смета ЕР (общ) '!$A1645,".",'Смета ЕР (общ) '!$B1645,".",'Смета ЕР (общ) '!$D1645)</f>
        <v>Р9.4.1</v>
      </c>
      <c r="F1645" s="26">
        <f t="shared" si="123"/>
        <v>1</v>
      </c>
      <c r="G1645" s="27" t="s">
        <v>1432</v>
      </c>
      <c r="H1645" s="28" t="s">
        <v>118</v>
      </c>
      <c r="I1645" s="158"/>
      <c r="J1645" s="30">
        <v>1591.19</v>
      </c>
      <c r="K1645" s="30">
        <v>9418.44</v>
      </c>
      <c r="L1645" s="30">
        <f t="shared" ref="L1645:M1666" si="125">ROUND(J1645-J1645*$Q$3,2)</f>
        <v>1591.19</v>
      </c>
      <c r="M1645" s="30">
        <f t="shared" si="125"/>
        <v>9418.44</v>
      </c>
      <c r="N1645" s="30">
        <f>ROUND('Смета ЕР (общ) '!$I1645*'Смета ЕР (общ) '!$L1645,2)</f>
        <v>0</v>
      </c>
      <c r="O1645" s="30">
        <f>ROUND('Смета ЕР (общ) '!$I1645*'Смета ЕР (общ) '!$M1645,2)</f>
        <v>0</v>
      </c>
      <c r="P1645" s="45"/>
    </row>
    <row r="1646" spans="1:20" ht="34.5" hidden="1" customHeight="1" x14ac:dyDescent="0.3">
      <c r="A1646" s="26" t="s">
        <v>1170</v>
      </c>
      <c r="B1646" s="26">
        <v>4</v>
      </c>
      <c r="C1646" s="26"/>
      <c r="D1646" s="26">
        <v>2</v>
      </c>
      <c r="E1646" s="26" t="str">
        <f>CONCATENATE('Смета ЕР (общ) '!$A1646,".",'Смета ЕР (общ) '!$B1646,".",'Смета ЕР (общ) '!$D1646)</f>
        <v>Р9.4.2</v>
      </c>
      <c r="F1646" s="26">
        <f t="shared" si="123"/>
        <v>1</v>
      </c>
      <c r="G1646" s="27" t="s">
        <v>1444</v>
      </c>
      <c r="H1646" s="28" t="s">
        <v>147</v>
      </c>
      <c r="I1646" s="158"/>
      <c r="J1646" s="30">
        <v>75.8</v>
      </c>
      <c r="K1646" s="30">
        <v>23.31</v>
      </c>
      <c r="L1646" s="30">
        <f t="shared" si="125"/>
        <v>75.8</v>
      </c>
      <c r="M1646" s="30">
        <f t="shared" si="125"/>
        <v>23.31</v>
      </c>
      <c r="N1646" s="30">
        <f>ROUND('Смета ЕР (общ) '!$I1646*'Смета ЕР (общ) '!$L1646,2)</f>
        <v>0</v>
      </c>
      <c r="O1646" s="30">
        <f>ROUND('Смета ЕР (общ) '!$I1646*'Смета ЕР (общ) '!$M1646,2)</f>
        <v>0</v>
      </c>
      <c r="P1646" s="45"/>
    </row>
    <row r="1647" spans="1:20" ht="34.5" hidden="1" customHeight="1" x14ac:dyDescent="0.3">
      <c r="A1647" s="26" t="s">
        <v>1170</v>
      </c>
      <c r="B1647" s="26">
        <v>4</v>
      </c>
      <c r="C1647" s="26"/>
      <c r="D1647" s="26">
        <v>3</v>
      </c>
      <c r="E1647" s="26" t="str">
        <f>CONCATENATE('Смета ЕР (общ) '!$A1647,".",'Смета ЕР (общ) '!$B1647,".",'Смета ЕР (общ) '!$D1647)</f>
        <v>Р9.4.3</v>
      </c>
      <c r="F1647" s="26">
        <f t="shared" si="123"/>
        <v>1</v>
      </c>
      <c r="G1647" s="27" t="s">
        <v>1446</v>
      </c>
      <c r="H1647" s="28" t="s">
        <v>147</v>
      </c>
      <c r="I1647" s="158"/>
      <c r="J1647" s="30">
        <v>113.3</v>
      </c>
      <c r="K1647" s="30">
        <v>134.07</v>
      </c>
      <c r="L1647" s="30">
        <f t="shared" si="125"/>
        <v>113.3</v>
      </c>
      <c r="M1647" s="30">
        <f t="shared" si="125"/>
        <v>134.07</v>
      </c>
      <c r="N1647" s="30">
        <f>ROUND('Смета ЕР (общ) '!$I1647*'Смета ЕР (общ) '!$L1647,2)</f>
        <v>0</v>
      </c>
      <c r="O1647" s="30">
        <f>ROUND('Смета ЕР (общ) '!$I1647*'Смета ЕР (общ) '!$M1647,2)</f>
        <v>0</v>
      </c>
      <c r="P1647" s="45"/>
    </row>
    <row r="1648" spans="1:20" ht="34.5" hidden="1" customHeight="1" x14ac:dyDescent="0.3">
      <c r="A1648" s="26" t="s">
        <v>1170</v>
      </c>
      <c r="B1648" s="26">
        <v>4</v>
      </c>
      <c r="C1648" s="26"/>
      <c r="D1648" s="26">
        <v>4</v>
      </c>
      <c r="E1648" s="26" t="str">
        <f>CONCATENATE('Смета ЕР (общ) '!$A1648,".",'Смета ЕР (общ) '!$B1648,".",'Смета ЕР (общ) '!$D1648)</f>
        <v>Р9.4.4</v>
      </c>
      <c r="F1648" s="26">
        <f t="shared" si="123"/>
        <v>1</v>
      </c>
      <c r="G1648" s="27" t="s">
        <v>1453</v>
      </c>
      <c r="H1648" s="28" t="s">
        <v>147</v>
      </c>
      <c r="I1648" s="158"/>
      <c r="J1648" s="30">
        <v>469.8</v>
      </c>
      <c r="K1648" s="30">
        <v>1933.06</v>
      </c>
      <c r="L1648" s="30">
        <f t="shared" si="125"/>
        <v>469.8</v>
      </c>
      <c r="M1648" s="30">
        <f t="shared" si="125"/>
        <v>1933.06</v>
      </c>
      <c r="N1648" s="30">
        <f>ROUND('Смета ЕР (общ) '!$I1648*'Смета ЕР (общ) '!$L1648,2)</f>
        <v>0</v>
      </c>
      <c r="O1648" s="30">
        <f>ROUND('Смета ЕР (общ) '!$I1648*'Смета ЕР (общ) '!$M1648,2)</f>
        <v>0</v>
      </c>
      <c r="P1648" s="45"/>
    </row>
    <row r="1649" spans="1:16" ht="34.5" hidden="1" customHeight="1" x14ac:dyDescent="0.3">
      <c r="A1649" s="26" t="s">
        <v>1170</v>
      </c>
      <c r="B1649" s="26">
        <v>4</v>
      </c>
      <c r="C1649" s="26"/>
      <c r="D1649" s="26">
        <v>5</v>
      </c>
      <c r="E1649" s="26" t="str">
        <f>CONCATENATE('Смета ЕР (общ) '!$A1649,".",'Смета ЕР (общ) '!$B1649,".",'Смета ЕР (общ) '!$D1649)</f>
        <v>Р9.4.5</v>
      </c>
      <c r="F1649" s="26">
        <f t="shared" si="123"/>
        <v>1</v>
      </c>
      <c r="G1649" s="27" t="s">
        <v>1695</v>
      </c>
      <c r="H1649" s="28" t="s">
        <v>118</v>
      </c>
      <c r="I1649" s="158"/>
      <c r="J1649" s="30">
        <v>10.45</v>
      </c>
      <c r="K1649" s="30">
        <v>53.01</v>
      </c>
      <c r="L1649" s="30">
        <f t="shared" si="125"/>
        <v>10.45</v>
      </c>
      <c r="M1649" s="30">
        <f t="shared" si="125"/>
        <v>53.01</v>
      </c>
      <c r="N1649" s="30">
        <f>ROUND('Смета ЕР (общ) '!$I1649*'Смета ЕР (общ) '!$L1649,2)</f>
        <v>0</v>
      </c>
      <c r="O1649" s="30">
        <f>ROUND('Смета ЕР (общ) '!$I1649*'Смета ЕР (общ) '!$M1649,2)</f>
        <v>0</v>
      </c>
      <c r="P1649" s="45"/>
    </row>
    <row r="1650" spans="1:16" ht="34.5" hidden="1" customHeight="1" x14ac:dyDescent="0.3">
      <c r="A1650" s="26" t="s">
        <v>1170</v>
      </c>
      <c r="B1650" s="26">
        <v>4</v>
      </c>
      <c r="C1650" s="26"/>
      <c r="D1650" s="26">
        <v>6</v>
      </c>
      <c r="E1650" s="26" t="str">
        <f>CONCATENATE('Смета ЕР (общ) '!$A1650,".",'Смета ЕР (общ) '!$B1650,".",'Смета ЕР (общ) '!$D1650)</f>
        <v>Р9.4.6</v>
      </c>
      <c r="F1650" s="26">
        <f t="shared" si="123"/>
        <v>1</v>
      </c>
      <c r="G1650" s="27" t="s">
        <v>1658</v>
      </c>
      <c r="H1650" s="28" t="s">
        <v>147</v>
      </c>
      <c r="I1650" s="158"/>
      <c r="J1650" s="30">
        <v>126.67</v>
      </c>
      <c r="K1650" s="30">
        <v>55.41</v>
      </c>
      <c r="L1650" s="30">
        <f t="shared" si="125"/>
        <v>126.67</v>
      </c>
      <c r="M1650" s="30">
        <f t="shared" si="125"/>
        <v>55.41</v>
      </c>
      <c r="N1650" s="30">
        <f>ROUND('Смета ЕР (общ) '!$I1650*'Смета ЕР (общ) '!$L1650,2)</f>
        <v>0</v>
      </c>
      <c r="O1650" s="30">
        <f>ROUND('Смета ЕР (общ) '!$I1650*'Смета ЕР (общ) '!$M1650,2)</f>
        <v>0</v>
      </c>
      <c r="P1650" s="45"/>
    </row>
    <row r="1651" spans="1:16" ht="34.5" hidden="1" customHeight="1" x14ac:dyDescent="0.3">
      <c r="A1651" s="26" t="s">
        <v>1170</v>
      </c>
      <c r="B1651" s="26">
        <v>4</v>
      </c>
      <c r="C1651" s="26"/>
      <c r="D1651" s="26">
        <v>7</v>
      </c>
      <c r="E1651" s="26" t="str">
        <f>CONCATENATE('Смета ЕР (общ) '!$A1651,".",'Смета ЕР (общ) '!$B1651,".",'Смета ЕР (общ) '!$D1651)</f>
        <v>Р9.4.7</v>
      </c>
      <c r="F1651" s="26">
        <f t="shared" si="123"/>
        <v>1</v>
      </c>
      <c r="G1651" s="27" t="s">
        <v>1696</v>
      </c>
      <c r="H1651" s="28" t="s">
        <v>147</v>
      </c>
      <c r="I1651" s="158"/>
      <c r="J1651" s="30">
        <v>87.7</v>
      </c>
      <c r="K1651" s="30">
        <v>36.369999999999997</v>
      </c>
      <c r="L1651" s="30">
        <f t="shared" si="125"/>
        <v>87.7</v>
      </c>
      <c r="M1651" s="30">
        <f t="shared" si="125"/>
        <v>36.369999999999997</v>
      </c>
      <c r="N1651" s="30">
        <f>ROUND('Смета ЕР (общ) '!$I1651*'Смета ЕР (общ) '!$L1651,2)</f>
        <v>0</v>
      </c>
      <c r="O1651" s="30">
        <f>ROUND('Смета ЕР (общ) '!$I1651*'Смета ЕР (общ) '!$M1651,2)</f>
        <v>0</v>
      </c>
      <c r="P1651" s="45"/>
    </row>
    <row r="1652" spans="1:16" ht="34.5" hidden="1" customHeight="1" x14ac:dyDescent="0.3">
      <c r="A1652" s="26" t="s">
        <v>1170</v>
      </c>
      <c r="B1652" s="26">
        <v>4</v>
      </c>
      <c r="C1652" s="26"/>
      <c r="D1652" s="26">
        <v>8</v>
      </c>
      <c r="E1652" s="26" t="str">
        <f>CONCATENATE('Смета ЕР (общ) '!$A1652,".",'Смета ЕР (общ) '!$B1652,".",'Смета ЕР (общ) '!$D1652)</f>
        <v>Р9.4.8</v>
      </c>
      <c r="F1652" s="26">
        <f t="shared" si="123"/>
        <v>1</v>
      </c>
      <c r="G1652" s="27" t="s">
        <v>1475</v>
      </c>
      <c r="H1652" s="28" t="s">
        <v>118</v>
      </c>
      <c r="I1652" s="158"/>
      <c r="J1652" s="30">
        <v>679.25</v>
      </c>
      <c r="K1652" s="30">
        <v>676.91</v>
      </c>
      <c r="L1652" s="30">
        <f t="shared" si="125"/>
        <v>679.25</v>
      </c>
      <c r="M1652" s="30">
        <f t="shared" si="125"/>
        <v>676.91</v>
      </c>
      <c r="N1652" s="30">
        <f>ROUND('Смета ЕР (общ) '!$I1652*'Смета ЕР (общ) '!$L1652,2)</f>
        <v>0</v>
      </c>
      <c r="O1652" s="30">
        <f>ROUND('Смета ЕР (общ) '!$I1652*'Смета ЕР (общ) '!$M1652,2)</f>
        <v>0</v>
      </c>
      <c r="P1652" s="45"/>
    </row>
    <row r="1653" spans="1:16" ht="34.5" hidden="1" customHeight="1" x14ac:dyDescent="0.3">
      <c r="A1653" s="26" t="s">
        <v>1170</v>
      </c>
      <c r="B1653" s="26">
        <v>4</v>
      </c>
      <c r="C1653" s="26"/>
      <c r="D1653" s="26">
        <v>9</v>
      </c>
      <c r="E1653" s="26" t="str">
        <f>CONCATENATE('Смета ЕР (общ) '!$A1653,".",'Смета ЕР (общ) '!$B1653,".",'Смета ЕР (общ) '!$D1653)</f>
        <v>Р9.4.9</v>
      </c>
      <c r="F1653" s="26">
        <f t="shared" si="123"/>
        <v>1</v>
      </c>
      <c r="G1653" s="27" t="s">
        <v>1479</v>
      </c>
      <c r="H1653" s="28" t="s">
        <v>118</v>
      </c>
      <c r="I1653" s="158"/>
      <c r="J1653" s="30">
        <v>679.25</v>
      </c>
      <c r="K1653" s="30">
        <v>345.43</v>
      </c>
      <c r="L1653" s="30">
        <f t="shared" si="125"/>
        <v>679.25</v>
      </c>
      <c r="M1653" s="30">
        <f t="shared" si="125"/>
        <v>345.43</v>
      </c>
      <c r="N1653" s="30">
        <f>ROUND('Смета ЕР (общ) '!$I1653*'Смета ЕР (общ) '!$L1653,2)</f>
        <v>0</v>
      </c>
      <c r="O1653" s="30">
        <f>ROUND('Смета ЕР (общ) '!$I1653*'Смета ЕР (общ) '!$M1653,2)</f>
        <v>0</v>
      </c>
      <c r="P1653" s="45"/>
    </row>
    <row r="1654" spans="1:16" ht="34.5" hidden="1" customHeight="1" x14ac:dyDescent="0.3">
      <c r="A1654" s="26" t="s">
        <v>1170</v>
      </c>
      <c r="B1654" s="26">
        <v>4</v>
      </c>
      <c r="C1654" s="26"/>
      <c r="D1654" s="26">
        <v>10</v>
      </c>
      <c r="E1654" s="26" t="str">
        <f>CONCATENATE('Смета ЕР (общ) '!$A1654,".",'Смета ЕР (общ) '!$B1654,".",'Смета ЕР (общ) '!$D1654)</f>
        <v>Р9.4.10</v>
      </c>
      <c r="F1654" s="26">
        <f t="shared" si="123"/>
        <v>1</v>
      </c>
      <c r="G1654" s="27" t="s">
        <v>1476</v>
      </c>
      <c r="H1654" s="28" t="s">
        <v>118</v>
      </c>
      <c r="I1654" s="158"/>
      <c r="J1654" s="30">
        <v>679.25</v>
      </c>
      <c r="K1654" s="30">
        <v>229.43</v>
      </c>
      <c r="L1654" s="30">
        <f t="shared" si="125"/>
        <v>679.25</v>
      </c>
      <c r="M1654" s="30">
        <f t="shared" si="125"/>
        <v>229.43</v>
      </c>
      <c r="N1654" s="30">
        <f>ROUND('Смета ЕР (общ) '!$I1654*'Смета ЕР (общ) '!$L1654,2)</f>
        <v>0</v>
      </c>
      <c r="O1654" s="30">
        <f>ROUND('Смета ЕР (общ) '!$I1654*'Смета ЕР (общ) '!$M1654,2)</f>
        <v>0</v>
      </c>
      <c r="P1654" s="45"/>
    </row>
    <row r="1655" spans="1:16" ht="34.5" hidden="1" customHeight="1" x14ac:dyDescent="0.3">
      <c r="A1655" s="26" t="s">
        <v>1170</v>
      </c>
      <c r="B1655" s="26">
        <v>4</v>
      </c>
      <c r="C1655" s="26"/>
      <c r="D1655" s="26">
        <v>11</v>
      </c>
      <c r="E1655" s="26" t="str">
        <f>CONCATENATE('Смета ЕР (общ) '!$A1655,".",'Смета ЕР (общ) '!$B1655,".",'Смета ЕР (общ) '!$D1655)</f>
        <v>Р9.4.11</v>
      </c>
      <c r="F1655" s="26">
        <f t="shared" si="123"/>
        <v>1</v>
      </c>
      <c r="G1655" s="27" t="s">
        <v>1484</v>
      </c>
      <c r="H1655" s="28" t="s">
        <v>118</v>
      </c>
      <c r="I1655" s="158"/>
      <c r="J1655" s="30">
        <v>679.25</v>
      </c>
      <c r="K1655" s="30">
        <v>781.31</v>
      </c>
      <c r="L1655" s="30">
        <f t="shared" si="125"/>
        <v>679.25</v>
      </c>
      <c r="M1655" s="30">
        <f t="shared" si="125"/>
        <v>781.31</v>
      </c>
      <c r="N1655" s="30">
        <f>ROUND('Смета ЕР (общ) '!$I1655*'Смета ЕР (общ) '!$L1655,2)</f>
        <v>0</v>
      </c>
      <c r="O1655" s="30">
        <f>ROUND('Смета ЕР (общ) '!$I1655*'Смета ЕР (общ) '!$M1655,2)</f>
        <v>0</v>
      </c>
      <c r="P1655" s="45"/>
    </row>
    <row r="1656" spans="1:16" ht="34.5" hidden="1" customHeight="1" x14ac:dyDescent="0.3">
      <c r="A1656" s="26" t="s">
        <v>1170</v>
      </c>
      <c r="B1656" s="26">
        <v>4</v>
      </c>
      <c r="C1656" s="26"/>
      <c r="D1656" s="26">
        <v>12</v>
      </c>
      <c r="E1656" s="26" t="str">
        <f>CONCATENATE('Смета ЕР (общ) '!$A1656,".",'Смета ЕР (общ) '!$B1656,".",'Смета ЕР (общ) '!$D1656)</f>
        <v>Р9.4.12</v>
      </c>
      <c r="F1656" s="26">
        <f t="shared" si="123"/>
        <v>1</v>
      </c>
      <c r="G1656" s="27" t="s">
        <v>1490</v>
      </c>
      <c r="H1656" s="28" t="s">
        <v>118</v>
      </c>
      <c r="I1656" s="158"/>
      <c r="J1656" s="30">
        <v>679.25</v>
      </c>
      <c r="K1656" s="30">
        <v>355.58</v>
      </c>
      <c r="L1656" s="30">
        <f t="shared" si="125"/>
        <v>679.25</v>
      </c>
      <c r="M1656" s="30">
        <f t="shared" si="125"/>
        <v>355.58</v>
      </c>
      <c r="N1656" s="30">
        <f>ROUND('Смета ЕР (общ) '!$I1656*'Смета ЕР (общ) '!$L1656,2)</f>
        <v>0</v>
      </c>
      <c r="O1656" s="30">
        <f>ROUND('Смета ЕР (общ) '!$I1656*'Смета ЕР (общ) '!$M1656,2)</f>
        <v>0</v>
      </c>
      <c r="P1656" s="45"/>
    </row>
    <row r="1657" spans="1:16" ht="34.5" hidden="1" customHeight="1" x14ac:dyDescent="0.3">
      <c r="A1657" s="26" t="s">
        <v>1170</v>
      </c>
      <c r="B1657" s="26">
        <v>4</v>
      </c>
      <c r="C1657" s="26"/>
      <c r="D1657" s="26">
        <v>13</v>
      </c>
      <c r="E1657" s="26" t="str">
        <f>CONCATENATE('Смета ЕР (общ) '!$A1657,".",'Смета ЕР (общ) '!$B1657,".",'Смета ЕР (общ) '!$D1657)</f>
        <v>Р9.4.13</v>
      </c>
      <c r="F1657" s="26">
        <f t="shared" si="123"/>
        <v>1</v>
      </c>
      <c r="G1657" s="27" t="s">
        <v>1496</v>
      </c>
      <c r="H1657" s="28" t="s">
        <v>118</v>
      </c>
      <c r="I1657" s="158"/>
      <c r="J1657" s="30">
        <v>698.42</v>
      </c>
      <c r="K1657" s="30">
        <v>2656.24</v>
      </c>
      <c r="L1657" s="30">
        <f t="shared" si="125"/>
        <v>698.42</v>
      </c>
      <c r="M1657" s="30">
        <f t="shared" si="125"/>
        <v>2656.24</v>
      </c>
      <c r="N1657" s="30">
        <f>ROUND('Смета ЕР (общ) '!$I1657*'Смета ЕР (общ) '!$L1657,2)</f>
        <v>0</v>
      </c>
      <c r="O1657" s="30">
        <f>ROUND('Смета ЕР (общ) '!$I1657*'Смета ЕР (общ) '!$M1657,2)</f>
        <v>0</v>
      </c>
      <c r="P1657" s="45"/>
    </row>
    <row r="1658" spans="1:16" ht="34.5" hidden="1" customHeight="1" x14ac:dyDescent="0.3">
      <c r="A1658" s="26" t="s">
        <v>1170</v>
      </c>
      <c r="B1658" s="26">
        <v>4</v>
      </c>
      <c r="C1658" s="26"/>
      <c r="D1658" s="26">
        <v>14</v>
      </c>
      <c r="E1658" s="26" t="str">
        <f>CONCATENATE('Смета ЕР (общ) '!$A1658,".",'Смета ЕР (общ) '!$B1658,".",'Смета ЕР (общ) '!$D1658)</f>
        <v>Р9.4.14</v>
      </c>
      <c r="F1658" s="26">
        <f t="shared" si="123"/>
        <v>1</v>
      </c>
      <c r="G1658" s="27" t="s">
        <v>1505</v>
      </c>
      <c r="H1658" s="28" t="s">
        <v>64</v>
      </c>
      <c r="I1658" s="158"/>
      <c r="J1658" s="30">
        <v>25099.8</v>
      </c>
      <c r="K1658" s="30">
        <v>2641.06</v>
      </c>
      <c r="L1658" s="30">
        <f t="shared" si="125"/>
        <v>25099.8</v>
      </c>
      <c r="M1658" s="30">
        <f t="shared" si="125"/>
        <v>2641.06</v>
      </c>
      <c r="N1658" s="30">
        <f>ROUND('Смета ЕР (общ) '!$I1658*'Смета ЕР (общ) '!$L1658,2)</f>
        <v>0</v>
      </c>
      <c r="O1658" s="30">
        <f>ROUND('Смета ЕР (общ) '!$I1658*'Смета ЕР (общ) '!$M1658,2)</f>
        <v>0</v>
      </c>
      <c r="P1658" s="45"/>
    </row>
    <row r="1659" spans="1:16" ht="34.5" hidden="1" customHeight="1" x14ac:dyDescent="0.3">
      <c r="A1659" s="26" t="s">
        <v>1170</v>
      </c>
      <c r="B1659" s="26">
        <v>4</v>
      </c>
      <c r="C1659" s="26"/>
      <c r="D1659" s="26">
        <v>15</v>
      </c>
      <c r="E1659" s="26" t="str">
        <f>CONCATENATE('Смета ЕР (общ) '!$A1659,".",'Смета ЕР (общ) '!$B1659,".",'Смета ЕР (общ) '!$D1659)</f>
        <v>Р9.4.15</v>
      </c>
      <c r="F1659" s="26">
        <f t="shared" si="123"/>
        <v>1</v>
      </c>
      <c r="G1659" s="27" t="s">
        <v>961</v>
      </c>
      <c r="H1659" s="28" t="s">
        <v>64</v>
      </c>
      <c r="I1659" s="158"/>
      <c r="J1659" s="30">
        <v>0</v>
      </c>
      <c r="K1659" s="30">
        <v>20060.419999999998</v>
      </c>
      <c r="L1659" s="30">
        <f t="shared" si="125"/>
        <v>0</v>
      </c>
      <c r="M1659" s="30">
        <f t="shared" si="125"/>
        <v>20060.419999999998</v>
      </c>
      <c r="N1659" s="30">
        <f>ROUND('Смета ЕР (общ) '!$I1659*'Смета ЕР (общ) '!$L1659,2)</f>
        <v>0</v>
      </c>
      <c r="O1659" s="30">
        <f>ROUND('Смета ЕР (общ) '!$I1659*'Смета ЕР (общ) '!$M1659,2)</f>
        <v>0</v>
      </c>
      <c r="P1659" s="45"/>
    </row>
    <row r="1660" spans="1:16" ht="34.5" hidden="1" customHeight="1" x14ac:dyDescent="0.3">
      <c r="A1660" s="26" t="s">
        <v>1170</v>
      </c>
      <c r="B1660" s="26">
        <v>4</v>
      </c>
      <c r="C1660" s="26"/>
      <c r="D1660" s="26">
        <v>16</v>
      </c>
      <c r="E1660" s="26" t="str">
        <f>CONCATENATE('Смета ЕР (общ) '!$A1660,".",'Смета ЕР (общ) '!$B1660,".",'Смета ЕР (общ) '!$D1660)</f>
        <v>Р9.4.16</v>
      </c>
      <c r="F1660" s="26">
        <f t="shared" si="123"/>
        <v>1</v>
      </c>
      <c r="G1660" s="27" t="s">
        <v>1516</v>
      </c>
      <c r="H1660" s="28" t="s">
        <v>118</v>
      </c>
      <c r="I1660" s="158"/>
      <c r="J1660" s="30">
        <v>295.19</v>
      </c>
      <c r="K1660" s="30">
        <v>259.11</v>
      </c>
      <c r="L1660" s="30">
        <f t="shared" si="125"/>
        <v>295.19</v>
      </c>
      <c r="M1660" s="30">
        <f t="shared" si="125"/>
        <v>259.11</v>
      </c>
      <c r="N1660" s="30">
        <f>ROUND('Смета ЕР (общ) '!$I1660*'Смета ЕР (общ) '!$L1660,2)</f>
        <v>0</v>
      </c>
      <c r="O1660" s="30">
        <f>ROUND('Смета ЕР (общ) '!$I1660*'Смета ЕР (общ) '!$M1660,2)</f>
        <v>0</v>
      </c>
      <c r="P1660" s="45"/>
    </row>
    <row r="1661" spans="1:16" ht="34.5" hidden="1" customHeight="1" x14ac:dyDescent="0.3">
      <c r="A1661" s="26" t="s">
        <v>1170</v>
      </c>
      <c r="B1661" s="26">
        <v>4</v>
      </c>
      <c r="C1661" s="26"/>
      <c r="D1661" s="26">
        <v>17</v>
      </c>
      <c r="E1661" s="26" t="str">
        <f>CONCATENATE('Смета ЕР (общ) '!$A1661,".",'Смета ЕР (общ) '!$B1661,".",'Смета ЕР (общ) '!$D1661)</f>
        <v>Р9.4.17</v>
      </c>
      <c r="F1661" s="26">
        <f t="shared" si="123"/>
        <v>1</v>
      </c>
      <c r="G1661" s="27" t="s">
        <v>1517</v>
      </c>
      <c r="H1661" s="28" t="s">
        <v>118</v>
      </c>
      <c r="I1661" s="158"/>
      <c r="J1661" s="30">
        <v>295.19</v>
      </c>
      <c r="K1661" s="30">
        <v>832.7</v>
      </c>
      <c r="L1661" s="30">
        <f t="shared" si="125"/>
        <v>295.19</v>
      </c>
      <c r="M1661" s="30">
        <f t="shared" si="125"/>
        <v>832.7</v>
      </c>
      <c r="N1661" s="30">
        <f>ROUND('Смета ЕР (общ) '!$I1661*'Смета ЕР (общ) '!$L1661,2)</f>
        <v>0</v>
      </c>
      <c r="O1661" s="30">
        <f>ROUND('Смета ЕР (общ) '!$I1661*'Смета ЕР (общ) '!$M1661,2)</f>
        <v>0</v>
      </c>
      <c r="P1661" s="45"/>
    </row>
    <row r="1662" spans="1:16" ht="34.5" hidden="1" customHeight="1" x14ac:dyDescent="0.3">
      <c r="A1662" s="26" t="s">
        <v>1170</v>
      </c>
      <c r="B1662" s="26">
        <v>4</v>
      </c>
      <c r="C1662" s="26"/>
      <c r="D1662" s="26">
        <v>18</v>
      </c>
      <c r="E1662" s="26" t="str">
        <f>CONCATENATE('Смета ЕР (общ) '!$A1662,".",'Смета ЕР (общ) '!$B1662,".",'Смета ЕР (общ) '!$D1662)</f>
        <v>Р9.4.18</v>
      </c>
      <c r="F1662" s="26">
        <f t="shared" si="123"/>
        <v>1</v>
      </c>
      <c r="G1662" s="27" t="s">
        <v>1666</v>
      </c>
      <c r="H1662" s="28" t="s">
        <v>147</v>
      </c>
      <c r="I1662" s="158"/>
      <c r="J1662" s="30">
        <v>124.41</v>
      </c>
      <c r="K1662" s="30">
        <v>276.2</v>
      </c>
      <c r="L1662" s="30">
        <f t="shared" si="125"/>
        <v>124.41</v>
      </c>
      <c r="M1662" s="30">
        <f t="shared" si="125"/>
        <v>276.2</v>
      </c>
      <c r="N1662" s="30">
        <f>ROUND('Смета ЕР (общ) '!$I1662*'Смета ЕР (общ) '!$L1662,2)</f>
        <v>0</v>
      </c>
      <c r="O1662" s="30">
        <f>ROUND('Смета ЕР (общ) '!$I1662*'Смета ЕР (общ) '!$M1662,2)</f>
        <v>0</v>
      </c>
      <c r="P1662" s="45"/>
    </row>
    <row r="1663" spans="1:16" ht="34.5" hidden="1" customHeight="1" x14ac:dyDescent="0.3">
      <c r="A1663" s="26" t="s">
        <v>1170</v>
      </c>
      <c r="B1663" s="26">
        <v>4</v>
      </c>
      <c r="C1663" s="26"/>
      <c r="D1663" s="26">
        <v>19</v>
      </c>
      <c r="E1663" s="26" t="str">
        <f>CONCATENATE('Смета ЕР (общ) '!$A1663,".",'Смета ЕР (общ) '!$B1663,".",'Смета ЕР (общ) '!$D1663)</f>
        <v>Р9.4.19</v>
      </c>
      <c r="F1663" s="26">
        <f t="shared" si="123"/>
        <v>1</v>
      </c>
      <c r="G1663" s="27" t="s">
        <v>1667</v>
      </c>
      <c r="H1663" s="28" t="s">
        <v>147</v>
      </c>
      <c r="I1663" s="158"/>
      <c r="J1663" s="30">
        <v>124.41</v>
      </c>
      <c r="K1663" s="30">
        <v>200.93</v>
      </c>
      <c r="L1663" s="30">
        <f t="shared" si="125"/>
        <v>124.41</v>
      </c>
      <c r="M1663" s="30">
        <f t="shared" si="125"/>
        <v>200.93</v>
      </c>
      <c r="N1663" s="30">
        <f>ROUND('Смета ЕР (общ) '!$I1663*'Смета ЕР (общ) '!$L1663,2)</f>
        <v>0</v>
      </c>
      <c r="O1663" s="30">
        <f>ROUND('Смета ЕР (общ) '!$I1663*'Смета ЕР (общ) '!$M1663,2)</f>
        <v>0</v>
      </c>
      <c r="P1663" s="45"/>
    </row>
    <row r="1664" spans="1:16" ht="34.5" hidden="1" customHeight="1" x14ac:dyDescent="0.3">
      <c r="A1664" s="26" t="s">
        <v>1170</v>
      </c>
      <c r="B1664" s="26">
        <v>4</v>
      </c>
      <c r="C1664" s="26"/>
      <c r="D1664" s="26">
        <v>20</v>
      </c>
      <c r="E1664" s="26" t="str">
        <f>CONCATENATE('Смета ЕР (общ) '!$A1664,".",'Смета ЕР (общ) '!$B1664,".",'Смета ЕР (общ) '!$D1664)</f>
        <v>Р9.4.20</v>
      </c>
      <c r="F1664" s="26">
        <f t="shared" si="123"/>
        <v>1</v>
      </c>
      <c r="G1664" s="27" t="s">
        <v>1669</v>
      </c>
      <c r="H1664" s="28" t="s">
        <v>147</v>
      </c>
      <c r="I1664" s="158"/>
      <c r="J1664" s="30">
        <v>108.58</v>
      </c>
      <c r="K1664" s="30">
        <v>161.85</v>
      </c>
      <c r="L1664" s="30">
        <f t="shared" si="125"/>
        <v>108.58</v>
      </c>
      <c r="M1664" s="30">
        <f t="shared" si="125"/>
        <v>161.85</v>
      </c>
      <c r="N1664" s="30">
        <f>ROUND('Смета ЕР (общ) '!$I1664*'Смета ЕР (общ) '!$L1664,2)</f>
        <v>0</v>
      </c>
      <c r="O1664" s="30">
        <f>ROUND('Смета ЕР (общ) '!$I1664*'Смета ЕР (общ) '!$M1664,2)</f>
        <v>0</v>
      </c>
      <c r="P1664" s="45"/>
    </row>
    <row r="1665" spans="1:20" ht="34.5" hidden="1" customHeight="1" x14ac:dyDescent="0.3">
      <c r="A1665" s="26" t="s">
        <v>1170</v>
      </c>
      <c r="B1665" s="26">
        <v>4</v>
      </c>
      <c r="C1665" s="26"/>
      <c r="D1665" s="26">
        <v>21</v>
      </c>
      <c r="E1665" s="26" t="str">
        <f>CONCATENATE('Смета ЕР (общ) '!$A1665,".",'Смета ЕР (общ) '!$B1665,".",'Смета ЕР (общ) '!$D1665)</f>
        <v>Р9.4.21</v>
      </c>
      <c r="F1665" s="26">
        <f t="shared" si="123"/>
        <v>1</v>
      </c>
      <c r="G1665" s="27" t="s">
        <v>1670</v>
      </c>
      <c r="H1665" s="28" t="s">
        <v>147</v>
      </c>
      <c r="I1665" s="158"/>
      <c r="J1665" s="30">
        <v>108.58</v>
      </c>
      <c r="K1665" s="30">
        <v>103.69</v>
      </c>
      <c r="L1665" s="30">
        <f t="shared" si="125"/>
        <v>108.58</v>
      </c>
      <c r="M1665" s="30">
        <f t="shared" si="125"/>
        <v>103.69</v>
      </c>
      <c r="N1665" s="30">
        <f>ROUND('Смета ЕР (общ) '!$I1665*'Смета ЕР (общ) '!$L1665,2)</f>
        <v>0</v>
      </c>
      <c r="O1665" s="30">
        <f>ROUND('Смета ЕР (общ) '!$I1665*'Смета ЕР (общ) '!$M1665,2)</f>
        <v>0</v>
      </c>
      <c r="P1665" s="45"/>
    </row>
    <row r="1666" spans="1:20" ht="34.5" hidden="1" customHeight="1" x14ac:dyDescent="0.3">
      <c r="A1666" s="26" t="s">
        <v>1170</v>
      </c>
      <c r="B1666" s="26">
        <v>4</v>
      </c>
      <c r="C1666" s="26"/>
      <c r="D1666" s="26">
        <v>22</v>
      </c>
      <c r="E1666" s="26" t="str">
        <f>CONCATENATE('Смета ЕР (общ) '!$A1666,".",'Смета ЕР (общ) '!$B1666,".",'Смета ЕР (общ) '!$D1666)</f>
        <v>Р9.4.22</v>
      </c>
      <c r="F1666" s="26">
        <f t="shared" si="123"/>
        <v>1</v>
      </c>
      <c r="G1666" s="27" t="s">
        <v>1673</v>
      </c>
      <c r="H1666" s="28" t="s">
        <v>147</v>
      </c>
      <c r="I1666" s="158"/>
      <c r="J1666" s="30">
        <v>108.58</v>
      </c>
      <c r="K1666" s="30">
        <v>125.57</v>
      </c>
      <c r="L1666" s="30">
        <f t="shared" si="125"/>
        <v>108.58</v>
      </c>
      <c r="M1666" s="30">
        <f t="shared" si="125"/>
        <v>125.57</v>
      </c>
      <c r="N1666" s="30">
        <f>ROUND('Смета ЕР (общ) '!$I1666*'Смета ЕР (общ) '!$L1666,2)</f>
        <v>0</v>
      </c>
      <c r="O1666" s="30">
        <f>ROUND('Смета ЕР (общ) '!$I1666*'Смета ЕР (общ) '!$M1666,2)</f>
        <v>0</v>
      </c>
      <c r="P1666" s="45"/>
    </row>
    <row r="1667" spans="1:20" ht="14.4" hidden="1" x14ac:dyDescent="0.3">
      <c r="A1667" s="26" t="s">
        <v>1170</v>
      </c>
      <c r="B1667" s="26">
        <v>5</v>
      </c>
      <c r="C1667" s="26"/>
      <c r="D1667" s="26">
        <v>0</v>
      </c>
      <c r="E1667" s="26" t="str">
        <f>CONCATENATE('Смета ЕР (общ) '!$A1667,".",'Смета ЕР (общ) '!$B1667,".",'Смета ЕР (общ) '!$D1667)</f>
        <v>Р9.5.0</v>
      </c>
      <c r="F1667" s="19">
        <f t="shared" si="123"/>
        <v>1</v>
      </c>
      <c r="G1667" s="21" t="s">
        <v>1697</v>
      </c>
      <c r="H1667" s="22"/>
      <c r="I1667" s="23"/>
      <c r="J1667" s="36"/>
      <c r="K1667" s="36"/>
      <c r="L1667" s="25"/>
      <c r="M1667" s="25"/>
      <c r="N1667" s="25">
        <f>ROUND(SUM(N1668:N1679),2)</f>
        <v>0</v>
      </c>
      <c r="O1667" s="25">
        <f>ROUND(SUM(O1668:O1679),2)</f>
        <v>0</v>
      </c>
      <c r="P1667" s="45"/>
    </row>
    <row r="1668" spans="1:20" ht="14.4" hidden="1" x14ac:dyDescent="0.3">
      <c r="A1668" s="26" t="s">
        <v>1170</v>
      </c>
      <c r="B1668" s="26">
        <v>5</v>
      </c>
      <c r="C1668" s="26"/>
      <c r="D1668" s="26">
        <v>1</v>
      </c>
      <c r="E1668" s="26" t="str">
        <f>CONCATENATE('Смета ЕР (общ) '!$A1668,".",'Смета ЕР (общ) '!$B1668,".",'Смета ЕР (общ) '!$D1668)</f>
        <v>Р9.5.1</v>
      </c>
      <c r="F1668" s="26">
        <f t="shared" si="123"/>
        <v>1</v>
      </c>
      <c r="G1668" s="130" t="s">
        <v>1698</v>
      </c>
      <c r="H1668" s="28" t="s">
        <v>147</v>
      </c>
      <c r="I1668" s="158"/>
      <c r="J1668" s="30">
        <v>51.97</v>
      </c>
      <c r="K1668" s="30">
        <f>494.95*1.05</f>
        <v>519.69749999999999</v>
      </c>
      <c r="L1668" s="30">
        <f t="shared" ref="L1668:M1679" si="126">ROUND(J1668-J1668*$Q$3,2)</f>
        <v>51.97</v>
      </c>
      <c r="M1668" s="30">
        <f t="shared" si="126"/>
        <v>519.70000000000005</v>
      </c>
      <c r="N1668" s="30">
        <f>ROUND('Смета ЕР (общ) '!$I1668*'Смета ЕР (общ) '!$L1668,2)</f>
        <v>0</v>
      </c>
      <c r="O1668" s="30">
        <f>ROUND('Смета ЕР (общ) '!$I1668*'Смета ЕР (общ) '!$M1668,2)</f>
        <v>0</v>
      </c>
      <c r="P1668" s="45"/>
    </row>
    <row r="1669" spans="1:20" ht="14.4" hidden="1" x14ac:dyDescent="0.3">
      <c r="A1669" s="26" t="s">
        <v>1170</v>
      </c>
      <c r="B1669" s="26">
        <v>5</v>
      </c>
      <c r="C1669" s="26"/>
      <c r="D1669" s="26">
        <v>2</v>
      </c>
      <c r="E1669" s="26" t="str">
        <f>CONCATENATE('Смета ЕР (общ) '!$A1669,".",'Смета ЕР (общ) '!$B1669,".",'Смета ЕР (общ) '!$D1669)</f>
        <v>Р9.5.2</v>
      </c>
      <c r="F1669" s="26">
        <f t="shared" si="123"/>
        <v>1</v>
      </c>
      <c r="G1669" s="130" t="s">
        <v>1699</v>
      </c>
      <c r="H1669" s="28" t="s">
        <v>147</v>
      </c>
      <c r="I1669" s="158"/>
      <c r="J1669" s="30">
        <v>12.29</v>
      </c>
      <c r="K1669" s="30">
        <f>117.11*1.05</f>
        <v>122.96550000000001</v>
      </c>
      <c r="L1669" s="30">
        <f t="shared" si="126"/>
        <v>12.29</v>
      </c>
      <c r="M1669" s="30">
        <f t="shared" si="126"/>
        <v>122.97</v>
      </c>
      <c r="N1669" s="30">
        <f>ROUND('Смета ЕР (общ) '!$I1669*'Смета ЕР (общ) '!$L1669,2)</f>
        <v>0</v>
      </c>
      <c r="O1669" s="30">
        <f>ROUND('Смета ЕР (общ) '!$I1669*'Смета ЕР (общ) '!$M1669,2)</f>
        <v>0</v>
      </c>
      <c r="P1669" s="45"/>
    </row>
    <row r="1670" spans="1:20" ht="14.4" hidden="1" x14ac:dyDescent="0.3">
      <c r="A1670" s="26" t="s">
        <v>1170</v>
      </c>
      <c r="B1670" s="26">
        <v>5</v>
      </c>
      <c r="C1670" s="26"/>
      <c r="D1670" s="26">
        <v>3</v>
      </c>
      <c r="E1670" s="26" t="str">
        <f>CONCATENATE('Смета ЕР (общ) '!$A1670,".",'Смета ЕР (общ) '!$B1670,".",'Смета ЕР (общ) '!$D1670)</f>
        <v>Р9.5.3</v>
      </c>
      <c r="F1670" s="26">
        <f t="shared" si="123"/>
        <v>1</v>
      </c>
      <c r="G1670" s="130" t="s">
        <v>1700</v>
      </c>
      <c r="H1670" s="28" t="s">
        <v>118</v>
      </c>
      <c r="I1670" s="158"/>
      <c r="J1670" s="30">
        <v>34.659999999999997</v>
      </c>
      <c r="K1670" s="30">
        <f>330.1*1.05</f>
        <v>346.60500000000002</v>
      </c>
      <c r="L1670" s="30">
        <f t="shared" si="126"/>
        <v>34.659999999999997</v>
      </c>
      <c r="M1670" s="30">
        <f t="shared" si="126"/>
        <v>346.61</v>
      </c>
      <c r="N1670" s="30">
        <f>ROUND('Смета ЕР (общ) '!$I1670*'Смета ЕР (общ) '!$L1670,2)</f>
        <v>0</v>
      </c>
      <c r="O1670" s="30">
        <f>ROUND('Смета ЕР (общ) '!$I1670*'Смета ЕР (общ) '!$M1670,2)</f>
        <v>0</v>
      </c>
      <c r="P1670" s="45"/>
    </row>
    <row r="1671" spans="1:20" ht="14.4" hidden="1" x14ac:dyDescent="0.3">
      <c r="A1671" s="26" t="s">
        <v>1170</v>
      </c>
      <c r="B1671" s="26">
        <v>5</v>
      </c>
      <c r="C1671" s="26"/>
      <c r="D1671" s="26">
        <v>4</v>
      </c>
      <c r="E1671" s="26" t="str">
        <f>CONCATENATE('Смета ЕР (общ) '!$A1671,".",'Смета ЕР (общ) '!$B1671,".",'Смета ЕР (общ) '!$D1671)</f>
        <v>Р9.5.4</v>
      </c>
      <c r="F1671" s="26">
        <f t="shared" si="123"/>
        <v>1</v>
      </c>
      <c r="G1671" s="130" t="s">
        <v>1701</v>
      </c>
      <c r="H1671" s="28" t="s">
        <v>118</v>
      </c>
      <c r="I1671" s="158"/>
      <c r="J1671" s="30">
        <v>24.27</v>
      </c>
      <c r="K1671" s="30">
        <f>231.17*1.05</f>
        <v>242.7285</v>
      </c>
      <c r="L1671" s="30">
        <f t="shared" si="126"/>
        <v>24.27</v>
      </c>
      <c r="M1671" s="30">
        <f t="shared" si="126"/>
        <v>242.73</v>
      </c>
      <c r="N1671" s="30">
        <f>ROUND('Смета ЕР (общ) '!$I1671*'Смета ЕР (общ) '!$L1671,2)</f>
        <v>0</v>
      </c>
      <c r="O1671" s="30">
        <f>ROUND('Смета ЕР (общ) '!$I1671*'Смета ЕР (общ) '!$M1671,2)</f>
        <v>0</v>
      </c>
      <c r="P1671" s="45"/>
    </row>
    <row r="1672" spans="1:20" ht="14.4" hidden="1" x14ac:dyDescent="0.3">
      <c r="A1672" s="26" t="s">
        <v>1170</v>
      </c>
      <c r="B1672" s="26">
        <v>5</v>
      </c>
      <c r="C1672" s="26"/>
      <c r="D1672" s="26">
        <v>5</v>
      </c>
      <c r="E1672" s="26" t="str">
        <f>CONCATENATE('Смета ЕР (общ) '!$A1672,".",'Смета ЕР (общ) '!$B1672,".",'Смета ЕР (общ) '!$D1672)</f>
        <v>Р9.5.5</v>
      </c>
      <c r="F1672" s="26">
        <f t="shared" si="123"/>
        <v>1</v>
      </c>
      <c r="G1672" s="130" t="s">
        <v>1702</v>
      </c>
      <c r="H1672" s="28" t="s">
        <v>118</v>
      </c>
      <c r="I1672" s="158"/>
      <c r="J1672" s="30">
        <v>22.45</v>
      </c>
      <c r="K1672" s="30">
        <f>213.84*1.05</f>
        <v>224.53200000000001</v>
      </c>
      <c r="L1672" s="30">
        <f t="shared" si="126"/>
        <v>22.45</v>
      </c>
      <c r="M1672" s="30">
        <f t="shared" si="126"/>
        <v>224.53</v>
      </c>
      <c r="N1672" s="30">
        <f>ROUND('Смета ЕР (общ) '!$I1672*'Смета ЕР (общ) '!$L1672,2)</f>
        <v>0</v>
      </c>
      <c r="O1672" s="30">
        <f>ROUND('Смета ЕР (общ) '!$I1672*'Смета ЕР (общ) '!$M1672,2)</f>
        <v>0</v>
      </c>
      <c r="P1672" s="45"/>
    </row>
    <row r="1673" spans="1:20" ht="14.4" hidden="1" x14ac:dyDescent="0.3">
      <c r="A1673" s="26" t="s">
        <v>1170</v>
      </c>
      <c r="B1673" s="26">
        <v>5</v>
      </c>
      <c r="C1673" s="26"/>
      <c r="D1673" s="26">
        <v>6</v>
      </c>
      <c r="E1673" s="26" t="str">
        <f>CONCATENATE('Смета ЕР (общ) '!$A1673,".",'Смета ЕР (общ) '!$B1673,".",'Смета ЕР (общ) '!$D1673)</f>
        <v>Р9.5.6</v>
      </c>
      <c r="F1673" s="26">
        <f t="shared" si="123"/>
        <v>1</v>
      </c>
      <c r="G1673" s="130" t="s">
        <v>1703</v>
      </c>
      <c r="H1673" s="28" t="s">
        <v>118</v>
      </c>
      <c r="I1673" s="158"/>
      <c r="J1673" s="30">
        <v>474.27</v>
      </c>
      <c r="K1673" s="30">
        <f>4516.87*1.05</f>
        <v>4742.7134999999998</v>
      </c>
      <c r="L1673" s="30">
        <f t="shared" si="126"/>
        <v>474.27</v>
      </c>
      <c r="M1673" s="30">
        <f t="shared" si="126"/>
        <v>4742.71</v>
      </c>
      <c r="N1673" s="30">
        <f>ROUND('Смета ЕР (общ) '!$I1673*'Смета ЕР (общ) '!$L1673,2)</f>
        <v>0</v>
      </c>
      <c r="O1673" s="30">
        <f>ROUND('Смета ЕР (общ) '!$I1673*'Смета ЕР (общ) '!$M1673,2)</f>
        <v>0</v>
      </c>
      <c r="P1673" s="45"/>
    </row>
    <row r="1674" spans="1:20" ht="14.4" hidden="1" x14ac:dyDescent="0.3">
      <c r="A1674" s="26" t="s">
        <v>1170</v>
      </c>
      <c r="B1674" s="26">
        <v>5</v>
      </c>
      <c r="C1674" s="26"/>
      <c r="D1674" s="26">
        <v>7</v>
      </c>
      <c r="E1674" s="26" t="str">
        <f>CONCATENATE('Смета ЕР (общ) '!$A1674,".",'Смета ЕР (общ) '!$B1674,".",'Смета ЕР (общ) '!$D1674)</f>
        <v>Р9.5.7</v>
      </c>
      <c r="F1674" s="26">
        <f t="shared" si="123"/>
        <v>1</v>
      </c>
      <c r="G1674" s="130" t="s">
        <v>1704</v>
      </c>
      <c r="H1674" s="28" t="s">
        <v>118</v>
      </c>
      <c r="I1674" s="158"/>
      <c r="J1674" s="30">
        <v>14.45</v>
      </c>
      <c r="K1674" s="30">
        <f>137.65*1.05</f>
        <v>144.5325</v>
      </c>
      <c r="L1674" s="30">
        <f t="shared" si="126"/>
        <v>14.45</v>
      </c>
      <c r="M1674" s="30">
        <f t="shared" si="126"/>
        <v>144.53</v>
      </c>
      <c r="N1674" s="30">
        <f>ROUND('Смета ЕР (общ) '!$I1674*'Смета ЕР (общ) '!$L1674,2)</f>
        <v>0</v>
      </c>
      <c r="O1674" s="30">
        <f>ROUND('Смета ЕР (общ) '!$I1674*'Смета ЕР (общ) '!$M1674,2)</f>
        <v>0</v>
      </c>
      <c r="P1674" s="45"/>
    </row>
    <row r="1675" spans="1:20" ht="14.4" hidden="1" x14ac:dyDescent="0.3">
      <c r="A1675" s="26" t="s">
        <v>1170</v>
      </c>
      <c r="B1675" s="26">
        <v>5</v>
      </c>
      <c r="C1675" s="26"/>
      <c r="D1675" s="26">
        <v>8</v>
      </c>
      <c r="E1675" s="26" t="str">
        <f>CONCATENATE('Смета ЕР (общ) '!$A1675,".",'Смета ЕР (общ) '!$B1675,".",'Смета ЕР (общ) '!$D1675)</f>
        <v>Р9.5.8</v>
      </c>
      <c r="F1675" s="26">
        <f t="shared" si="123"/>
        <v>1</v>
      </c>
      <c r="G1675" s="130" t="s">
        <v>1705</v>
      </c>
      <c r="H1675" s="28" t="s">
        <v>118</v>
      </c>
      <c r="I1675" s="158"/>
      <c r="J1675" s="30">
        <v>17.079999999999998</v>
      </c>
      <c r="K1675" s="30">
        <f>162.7*1.05</f>
        <v>170.83500000000001</v>
      </c>
      <c r="L1675" s="30">
        <f t="shared" si="126"/>
        <v>17.079999999999998</v>
      </c>
      <c r="M1675" s="30">
        <f t="shared" si="126"/>
        <v>170.84</v>
      </c>
      <c r="N1675" s="30">
        <f>ROUND('Смета ЕР (общ) '!$I1675*'Смета ЕР (общ) '!$L1675,2)</f>
        <v>0</v>
      </c>
      <c r="O1675" s="30">
        <f>ROUND('Смета ЕР (общ) '!$I1675*'Смета ЕР (общ) '!$M1675,2)</f>
        <v>0</v>
      </c>
      <c r="P1675" s="45"/>
    </row>
    <row r="1676" spans="1:20" ht="14.4" hidden="1" x14ac:dyDescent="0.3">
      <c r="A1676" s="26" t="s">
        <v>1170</v>
      </c>
      <c r="B1676" s="26">
        <v>5</v>
      </c>
      <c r="C1676" s="26"/>
      <c r="D1676" s="26">
        <v>9</v>
      </c>
      <c r="E1676" s="26" t="str">
        <f>CONCATENATE('Смета ЕР (общ) '!$A1676,".",'Смета ЕР (общ) '!$B1676,".",'Смета ЕР (общ) '!$D1676)</f>
        <v>Р9.5.9</v>
      </c>
      <c r="F1676" s="26">
        <f t="shared" si="123"/>
        <v>1</v>
      </c>
      <c r="G1676" s="130" t="s">
        <v>1706</v>
      </c>
      <c r="H1676" s="28" t="s">
        <v>118</v>
      </c>
      <c r="I1676" s="158"/>
      <c r="J1676" s="30">
        <v>27.98</v>
      </c>
      <c r="K1676" s="30">
        <f>266.5*1.05</f>
        <v>279.82499999999999</v>
      </c>
      <c r="L1676" s="30">
        <f t="shared" si="126"/>
        <v>27.98</v>
      </c>
      <c r="M1676" s="30">
        <f t="shared" si="126"/>
        <v>279.83</v>
      </c>
      <c r="N1676" s="30">
        <f>ROUND('Смета ЕР (общ) '!$I1676*'Смета ЕР (общ) '!$L1676,2)</f>
        <v>0</v>
      </c>
      <c r="O1676" s="30">
        <f>ROUND('Смета ЕР (общ) '!$I1676*'Смета ЕР (общ) '!$M1676,2)</f>
        <v>0</v>
      </c>
      <c r="P1676" s="45"/>
    </row>
    <row r="1677" spans="1:20" ht="14.4" hidden="1" x14ac:dyDescent="0.3">
      <c r="A1677" s="26" t="s">
        <v>1170</v>
      </c>
      <c r="B1677" s="26">
        <v>5</v>
      </c>
      <c r="C1677" s="26"/>
      <c r="D1677" s="26">
        <v>10</v>
      </c>
      <c r="E1677" s="26" t="str">
        <f>CONCATENATE('Смета ЕР (общ) '!$A1677,".",'Смета ЕР (общ) '!$B1677,".",'Смета ЕР (общ) '!$D1677)</f>
        <v>Р9.5.10</v>
      </c>
      <c r="F1677" s="26">
        <f t="shared" si="123"/>
        <v>1</v>
      </c>
      <c r="G1677" s="130" t="s">
        <v>1707</v>
      </c>
      <c r="H1677" s="28" t="s">
        <v>118</v>
      </c>
      <c r="I1677" s="158"/>
      <c r="J1677" s="30">
        <v>48.99</v>
      </c>
      <c r="K1677" s="30">
        <f>466.63*1.05</f>
        <v>489.9615</v>
      </c>
      <c r="L1677" s="30">
        <f t="shared" si="126"/>
        <v>48.99</v>
      </c>
      <c r="M1677" s="30">
        <f t="shared" si="126"/>
        <v>489.96</v>
      </c>
      <c r="N1677" s="30">
        <f>ROUND('Смета ЕР (общ) '!$I1677*'Смета ЕР (общ) '!$L1677,2)</f>
        <v>0</v>
      </c>
      <c r="O1677" s="30">
        <f>ROUND('Смета ЕР (общ) '!$I1677*'Смета ЕР (общ) '!$M1677,2)</f>
        <v>0</v>
      </c>
      <c r="P1677" s="45"/>
    </row>
    <row r="1678" spans="1:20" ht="14.4" hidden="1" x14ac:dyDescent="0.3">
      <c r="A1678" s="26" t="s">
        <v>1170</v>
      </c>
      <c r="B1678" s="26">
        <v>5</v>
      </c>
      <c r="C1678" s="26"/>
      <c r="D1678" s="26">
        <v>11</v>
      </c>
      <c r="E1678" s="26" t="str">
        <f>CONCATENATE('Смета ЕР (общ) '!$A1678,".",'Смета ЕР (общ) '!$B1678,".",'Смета ЕР (общ) '!$D1678)</f>
        <v>Р9.5.11</v>
      </c>
      <c r="F1678" s="26">
        <f t="shared" si="123"/>
        <v>1</v>
      </c>
      <c r="G1678" s="130" t="s">
        <v>1708</v>
      </c>
      <c r="H1678" s="28" t="s">
        <v>118</v>
      </c>
      <c r="I1678" s="158"/>
      <c r="J1678" s="30">
        <v>48.51</v>
      </c>
      <c r="K1678" s="30">
        <f>462*1.05</f>
        <v>485.1</v>
      </c>
      <c r="L1678" s="30">
        <f t="shared" si="126"/>
        <v>48.51</v>
      </c>
      <c r="M1678" s="30">
        <f t="shared" si="126"/>
        <v>485.1</v>
      </c>
      <c r="N1678" s="30">
        <f>ROUND('Смета ЕР (общ) '!$I1678*'Смета ЕР (общ) '!$L1678,2)</f>
        <v>0</v>
      </c>
      <c r="O1678" s="30">
        <f>ROUND('Смета ЕР (общ) '!$I1678*'Смета ЕР (общ) '!$M1678,2)</f>
        <v>0</v>
      </c>
      <c r="P1678" s="45"/>
    </row>
    <row r="1679" spans="1:20" ht="14.4" hidden="1" x14ac:dyDescent="0.3">
      <c r="A1679" s="26" t="s">
        <v>1170</v>
      </c>
      <c r="B1679" s="26">
        <v>5</v>
      </c>
      <c r="C1679" s="26"/>
      <c r="D1679" s="26">
        <v>12</v>
      </c>
      <c r="E1679" s="26" t="str">
        <f>CONCATENATE('Смета ЕР (общ) '!$A1679,".",'Смета ЕР (общ) '!$B1679,".",'Смета ЕР (общ) '!$D1679)</f>
        <v>Р9.5.12</v>
      </c>
      <c r="F1679" s="26">
        <f t="shared" si="123"/>
        <v>1</v>
      </c>
      <c r="G1679" s="130" t="s">
        <v>1709</v>
      </c>
      <c r="H1679" s="28" t="s">
        <v>118</v>
      </c>
      <c r="I1679" s="158"/>
      <c r="J1679" s="30">
        <v>35.299999999999997</v>
      </c>
      <c r="K1679" s="30">
        <f>336.2*1.05</f>
        <v>353.01</v>
      </c>
      <c r="L1679" s="30">
        <f t="shared" si="126"/>
        <v>35.299999999999997</v>
      </c>
      <c r="M1679" s="30">
        <f t="shared" si="126"/>
        <v>353.01</v>
      </c>
      <c r="N1679" s="30">
        <f>ROUND('Смета ЕР (общ) '!$I1679*'Смета ЕР (общ) '!$L1679,2)</f>
        <v>0</v>
      </c>
      <c r="O1679" s="30">
        <f>ROUND('Смета ЕР (общ) '!$I1679*'Смета ЕР (общ) '!$M1679,2)</f>
        <v>0</v>
      </c>
      <c r="P1679" s="45"/>
    </row>
    <row r="1680" spans="1:20" ht="34.5" hidden="1" customHeight="1" x14ac:dyDescent="0.3">
      <c r="A1680" s="19" t="s">
        <v>1710</v>
      </c>
      <c r="B1680" s="19">
        <v>0</v>
      </c>
      <c r="C1680" s="19"/>
      <c r="D1680" s="19">
        <v>0</v>
      </c>
      <c r="E1680" s="19" t="str">
        <f>CONCATENATE('Смета ЕР (общ) '!$A1680,".",'Смета ЕР (общ) '!$B1680,".",'Смета ЕР (общ) '!$D1680)</f>
        <v>Р10.0.0</v>
      </c>
      <c r="F1680" s="19">
        <f>IF(I1680&gt;0,F1666+1,F1666)</f>
        <v>1</v>
      </c>
      <c r="G1680" s="21" t="s">
        <v>1711</v>
      </c>
      <c r="H1680" s="22"/>
      <c r="I1680" s="23"/>
      <c r="J1680" s="36"/>
      <c r="K1680" s="36"/>
      <c r="L1680" s="25"/>
      <c r="M1680" s="25"/>
      <c r="N1680" s="25">
        <f>N1681</f>
        <v>0</v>
      </c>
      <c r="O1680" s="25">
        <f>O1681</f>
        <v>0</v>
      </c>
      <c r="P1680" s="45"/>
      <c r="T1680">
        <v>0</v>
      </c>
    </row>
    <row r="1681" spans="1:20" ht="34.5" hidden="1" customHeight="1" x14ac:dyDescent="0.3">
      <c r="A1681" s="19" t="s">
        <v>1710</v>
      </c>
      <c r="B1681" s="19">
        <v>1</v>
      </c>
      <c r="C1681" s="19"/>
      <c r="D1681" s="19">
        <v>0</v>
      </c>
      <c r="E1681" s="19" t="str">
        <f>CONCATENATE('Смета ЕР (общ) '!$A1681,".",'Смета ЕР (общ) '!$B1681,".",'Смета ЕР (общ) '!$D1681)</f>
        <v>Р10.1.0</v>
      </c>
      <c r="F1681" s="19">
        <f t="shared" si="123"/>
        <v>1</v>
      </c>
      <c r="G1681" s="21" t="s">
        <v>1712</v>
      </c>
      <c r="H1681" s="22"/>
      <c r="I1681" s="23"/>
      <c r="J1681" s="36"/>
      <c r="K1681" s="36"/>
      <c r="L1681" s="25"/>
      <c r="M1681" s="25"/>
      <c r="N1681" s="25">
        <f>ROUND(SUM(N1682:N1704),2)</f>
        <v>0</v>
      </c>
      <c r="O1681" s="25">
        <f>ROUND(SUM(O1682:O1704),2)</f>
        <v>0</v>
      </c>
      <c r="P1681" s="45" t="s">
        <v>1713</v>
      </c>
      <c r="T1681">
        <v>0</v>
      </c>
    </row>
    <row r="1682" spans="1:20" ht="34.5" hidden="1" customHeight="1" x14ac:dyDescent="0.3">
      <c r="A1682" s="82" t="s">
        <v>1710</v>
      </c>
      <c r="B1682" s="82">
        <v>1</v>
      </c>
      <c r="C1682" s="82"/>
      <c r="D1682" s="82">
        <v>1</v>
      </c>
      <c r="E1682" s="82" t="str">
        <f>CONCATENATE('Смета ЕР (общ) '!$A1682,".",'Смета ЕР (общ) '!$B1682,".",'Смета ЕР (общ) '!$D1682)</f>
        <v>Р10.1.1</v>
      </c>
      <c r="F1682" s="82">
        <f t="shared" si="123"/>
        <v>1</v>
      </c>
      <c r="G1682" s="83" t="s">
        <v>1714</v>
      </c>
      <c r="H1682" s="28" t="s">
        <v>64</v>
      </c>
      <c r="I1682" s="158"/>
      <c r="J1682" s="30">
        <v>217152</v>
      </c>
      <c r="K1682" s="30">
        <v>0</v>
      </c>
      <c r="L1682" s="30">
        <f t="shared" ref="L1682:M1697" si="127">ROUND(J1682-J1682*$Q$3,2)</f>
        <v>217152</v>
      </c>
      <c r="M1682" s="30">
        <f t="shared" si="127"/>
        <v>0</v>
      </c>
      <c r="N1682" s="30">
        <f>ROUND('Смета ЕР (общ) '!$I1682*'Смета ЕР (общ) '!$L1682,2)</f>
        <v>0</v>
      </c>
      <c r="O1682" s="30">
        <f>ROUND('Смета ЕР (общ) '!$I1682*'Смета ЕР (общ) '!$M1682,2)</f>
        <v>0</v>
      </c>
      <c r="P1682" s="45"/>
    </row>
    <row r="1683" spans="1:20" ht="34.5" hidden="1" customHeight="1" x14ac:dyDescent="0.3">
      <c r="A1683" s="82" t="s">
        <v>1710</v>
      </c>
      <c r="B1683" s="82">
        <v>1</v>
      </c>
      <c r="C1683" s="82"/>
      <c r="D1683" s="82">
        <v>2</v>
      </c>
      <c r="E1683" s="82" t="str">
        <f>CONCATENATE('Смета ЕР (общ) '!$A1683,".",'Смета ЕР (общ) '!$B1683,".",'Смета ЕР (общ) '!$D1683)</f>
        <v>Р10.1.2</v>
      </c>
      <c r="F1683" s="82">
        <f t="shared" si="123"/>
        <v>1</v>
      </c>
      <c r="G1683" s="83" t="s">
        <v>1715</v>
      </c>
      <c r="H1683" s="28" t="s">
        <v>64</v>
      </c>
      <c r="I1683" s="158"/>
      <c r="J1683" s="30">
        <v>162864</v>
      </c>
      <c r="K1683" s="30">
        <v>1070841.8899999999</v>
      </c>
      <c r="L1683" s="30">
        <f t="shared" si="127"/>
        <v>162864</v>
      </c>
      <c r="M1683" s="30">
        <f t="shared" si="127"/>
        <v>1070841.8899999999</v>
      </c>
      <c r="N1683" s="30">
        <f>ROUND('Смета ЕР (общ) '!$I1683*'Смета ЕР (общ) '!$L1683,2)</f>
        <v>0</v>
      </c>
      <c r="O1683" s="30">
        <f>ROUND('Смета ЕР (общ) '!$I1683*'Смета ЕР (общ) '!$M1683,2)</f>
        <v>0</v>
      </c>
      <c r="P1683" s="45"/>
    </row>
    <row r="1684" spans="1:20" ht="60.75" hidden="1" customHeight="1" x14ac:dyDescent="0.3">
      <c r="A1684" s="26" t="s">
        <v>1710</v>
      </c>
      <c r="B1684" s="26">
        <v>1</v>
      </c>
      <c r="C1684" s="26"/>
      <c r="D1684" s="26">
        <v>3</v>
      </c>
      <c r="E1684" s="26" t="str">
        <f>CONCATENATE('Смета ЕР (общ) '!$A1684,".",'Смета ЕР (общ) '!$B1684,".",'Смета ЕР (общ) '!$D1684)</f>
        <v>Р10.1.3</v>
      </c>
      <c r="F1684" s="26">
        <f t="shared" si="123"/>
        <v>1</v>
      </c>
      <c r="G1684" s="27" t="s">
        <v>1716</v>
      </c>
      <c r="H1684" s="28" t="s">
        <v>64</v>
      </c>
      <c r="I1684" s="158"/>
      <c r="J1684" s="30">
        <v>678.6</v>
      </c>
      <c r="K1684" s="30">
        <v>44459.07</v>
      </c>
      <c r="L1684" s="30">
        <f t="shared" si="127"/>
        <v>678.6</v>
      </c>
      <c r="M1684" s="30">
        <f t="shared" si="127"/>
        <v>44459.07</v>
      </c>
      <c r="N1684" s="30">
        <f>ROUND('Смета ЕР (общ) '!$I1684*'Смета ЕР (общ) '!$L1684,2)</f>
        <v>0</v>
      </c>
      <c r="O1684" s="30">
        <f>ROUND('Смета ЕР (общ) '!$I1684*'Смета ЕР (общ) '!$M1684,2)</f>
        <v>0</v>
      </c>
      <c r="P1684" s="45"/>
    </row>
    <row r="1685" spans="1:20" ht="38.25" hidden="1" customHeight="1" x14ac:dyDescent="0.3">
      <c r="A1685" s="26" t="s">
        <v>1710</v>
      </c>
      <c r="B1685" s="26">
        <v>1</v>
      </c>
      <c r="C1685" s="26"/>
      <c r="D1685" s="26">
        <v>4</v>
      </c>
      <c r="E1685" s="26" t="str">
        <f>CONCATENATE('Смета ЕР (общ) '!$A1685,".",'Смета ЕР (общ) '!$B1685,".",'Смета ЕР (общ) '!$D1685)</f>
        <v>Р10.1.4</v>
      </c>
      <c r="F1685" s="26">
        <f t="shared" ref="F1685:F1704" si="128">IF(I1685&gt;0,F1684+1,F1684)</f>
        <v>1</v>
      </c>
      <c r="G1685" s="27" t="s">
        <v>1717</v>
      </c>
      <c r="H1685" s="28" t="s">
        <v>64</v>
      </c>
      <c r="I1685" s="158"/>
      <c r="J1685" s="30">
        <v>678.6</v>
      </c>
      <c r="K1685" s="30">
        <v>4700.38</v>
      </c>
      <c r="L1685" s="30">
        <f t="shared" si="127"/>
        <v>678.6</v>
      </c>
      <c r="M1685" s="30">
        <f t="shared" si="127"/>
        <v>4700.38</v>
      </c>
      <c r="N1685" s="30">
        <f>ROUND('Смета ЕР (общ) '!$I1685*'Смета ЕР (общ) '!$L1685,2)</f>
        <v>0</v>
      </c>
      <c r="O1685" s="30">
        <f>ROUND('Смета ЕР (общ) '!$I1685*'Смета ЕР (общ) '!$M1685,2)</f>
        <v>0</v>
      </c>
      <c r="P1685" s="45"/>
    </row>
    <row r="1686" spans="1:20" ht="26.25" hidden="1" customHeight="1" x14ac:dyDescent="0.3">
      <c r="A1686" s="26" t="s">
        <v>1710</v>
      </c>
      <c r="B1686" s="26">
        <v>1</v>
      </c>
      <c r="C1686" s="26"/>
      <c r="D1686" s="26">
        <v>5</v>
      </c>
      <c r="E1686" s="26" t="str">
        <f>CONCATENATE('Смета ЕР (общ) '!$A1686,".",'Смета ЕР (общ) '!$B1686,".",'Смета ЕР (общ) '!$D1686)</f>
        <v>Р10.1.5</v>
      </c>
      <c r="F1686" s="26">
        <f t="shared" si="128"/>
        <v>1</v>
      </c>
      <c r="G1686" s="27" t="s">
        <v>1718</v>
      </c>
      <c r="H1686" s="28" t="s">
        <v>147</v>
      </c>
      <c r="I1686" s="158"/>
      <c r="J1686" s="30">
        <v>393.59</v>
      </c>
      <c r="K1686" s="30">
        <v>1292.77</v>
      </c>
      <c r="L1686" s="30">
        <f t="shared" si="127"/>
        <v>393.59</v>
      </c>
      <c r="M1686" s="30">
        <f t="shared" si="127"/>
        <v>1292.77</v>
      </c>
      <c r="N1686" s="30">
        <f>ROUND('Смета ЕР (общ) '!$I1686*'Смета ЕР (общ) '!$L1686,2)</f>
        <v>0</v>
      </c>
      <c r="O1686" s="30">
        <f>ROUND('Смета ЕР (общ) '!$I1686*'Смета ЕР (общ) '!$M1686,2)</f>
        <v>0</v>
      </c>
      <c r="P1686" s="45"/>
    </row>
    <row r="1687" spans="1:20" ht="34.5" hidden="1" customHeight="1" x14ac:dyDescent="0.3">
      <c r="A1687" s="26" t="s">
        <v>1710</v>
      </c>
      <c r="B1687" s="26">
        <v>1</v>
      </c>
      <c r="C1687" s="26"/>
      <c r="D1687" s="26">
        <v>6</v>
      </c>
      <c r="E1687" s="26" t="str">
        <f>CONCATENATE('Смета ЕР (общ) '!$A1687,".",'Смета ЕР (общ) '!$B1687,".",'Смета ЕР (общ) '!$D1687)</f>
        <v>Р10.1.6</v>
      </c>
      <c r="F1687" s="26">
        <f t="shared" si="128"/>
        <v>1</v>
      </c>
      <c r="G1687" s="27" t="s">
        <v>1719</v>
      </c>
      <c r="H1687" s="48" t="s">
        <v>118</v>
      </c>
      <c r="I1687" s="158"/>
      <c r="J1687" s="30">
        <v>1413.71</v>
      </c>
      <c r="K1687" s="30">
        <v>23702.880000000001</v>
      </c>
      <c r="L1687" s="30">
        <f t="shared" si="127"/>
        <v>1413.71</v>
      </c>
      <c r="M1687" s="30">
        <f t="shared" si="127"/>
        <v>23702.880000000001</v>
      </c>
      <c r="N1687" s="30">
        <f>ROUND('Смета ЕР (общ) '!$I1687*'Смета ЕР (общ) '!$L1687,2)</f>
        <v>0</v>
      </c>
      <c r="O1687" s="30">
        <f>ROUND('Смета ЕР (общ) '!$I1687*'Смета ЕР (общ) '!$M1687,2)</f>
        <v>0</v>
      </c>
      <c r="P1687" s="45"/>
    </row>
    <row r="1688" spans="1:20" ht="34.5" hidden="1" customHeight="1" x14ac:dyDescent="0.3">
      <c r="A1688" s="26" t="s">
        <v>1710</v>
      </c>
      <c r="B1688" s="26">
        <v>1</v>
      </c>
      <c r="C1688" s="26"/>
      <c r="D1688" s="26">
        <v>7</v>
      </c>
      <c r="E1688" s="26" t="str">
        <f>CONCATENATE('Смета ЕР (общ) '!$A1688,".",'Смета ЕР (общ) '!$B1688,".",'Смета ЕР (общ) '!$D1688)</f>
        <v>Р10.1.7</v>
      </c>
      <c r="F1688" s="26">
        <f t="shared" si="128"/>
        <v>1</v>
      </c>
      <c r="G1688" s="27" t="s">
        <v>1720</v>
      </c>
      <c r="H1688" s="48" t="s">
        <v>118</v>
      </c>
      <c r="I1688" s="158"/>
      <c r="J1688" s="30">
        <v>1414.58</v>
      </c>
      <c r="K1688" s="30">
        <v>30130.62</v>
      </c>
      <c r="L1688" s="30">
        <f t="shared" si="127"/>
        <v>1414.58</v>
      </c>
      <c r="M1688" s="30">
        <f t="shared" si="127"/>
        <v>30130.62</v>
      </c>
      <c r="N1688" s="30">
        <f>ROUND('Смета ЕР (общ) '!$I1688*'Смета ЕР (общ) '!$L1688,2)</f>
        <v>0</v>
      </c>
      <c r="O1688" s="30">
        <f>ROUND('Смета ЕР (общ) '!$I1688*'Смета ЕР (общ) '!$M1688,2)</f>
        <v>0</v>
      </c>
      <c r="P1688" s="45"/>
    </row>
    <row r="1689" spans="1:20" ht="34.5" hidden="1" customHeight="1" x14ac:dyDescent="0.3">
      <c r="A1689" s="26" t="s">
        <v>1710</v>
      </c>
      <c r="B1689" s="26">
        <v>1</v>
      </c>
      <c r="C1689" s="26"/>
      <c r="D1689" s="26">
        <v>8</v>
      </c>
      <c r="E1689" s="26" t="str">
        <f>CONCATENATE('Смета ЕР (общ) '!$A1689,".",'Смета ЕР (общ) '!$B1689,".",'Смета ЕР (общ) '!$D1689)</f>
        <v>Р10.1.8</v>
      </c>
      <c r="F1689" s="26">
        <f t="shared" si="128"/>
        <v>1</v>
      </c>
      <c r="G1689" s="27" t="s">
        <v>1721</v>
      </c>
      <c r="H1689" s="48" t="s">
        <v>118</v>
      </c>
      <c r="I1689" s="158"/>
      <c r="J1689" s="30">
        <v>1415.45</v>
      </c>
      <c r="K1689" s="30">
        <v>39550.85</v>
      </c>
      <c r="L1689" s="30">
        <f t="shared" si="127"/>
        <v>1415.45</v>
      </c>
      <c r="M1689" s="30">
        <f t="shared" si="127"/>
        <v>39550.85</v>
      </c>
      <c r="N1689" s="30">
        <f>ROUND('Смета ЕР (общ) '!$I1689*'Смета ЕР (общ) '!$L1689,2)</f>
        <v>0</v>
      </c>
      <c r="O1689" s="30">
        <f>ROUND('Смета ЕР (общ) '!$I1689*'Смета ЕР (общ) '!$M1689,2)</f>
        <v>0</v>
      </c>
      <c r="P1689" s="45"/>
    </row>
    <row r="1690" spans="1:20" ht="34.5" hidden="1" customHeight="1" x14ac:dyDescent="0.3">
      <c r="A1690" s="26" t="s">
        <v>1710</v>
      </c>
      <c r="B1690" s="26">
        <v>1</v>
      </c>
      <c r="C1690" s="26"/>
      <c r="D1690" s="26">
        <v>9</v>
      </c>
      <c r="E1690" s="26" t="str">
        <f>CONCATENATE('Смета ЕР (общ) '!$A1690,".",'Смета ЕР (общ) '!$B1690,".",'Смета ЕР (общ) '!$D1690)</f>
        <v>Р10.1.9</v>
      </c>
      <c r="F1690" s="26">
        <f t="shared" si="128"/>
        <v>1</v>
      </c>
      <c r="G1690" s="27" t="s">
        <v>1722</v>
      </c>
      <c r="H1690" s="48" t="s">
        <v>118</v>
      </c>
      <c r="I1690" s="158"/>
      <c r="J1690" s="30">
        <v>1416.32</v>
      </c>
      <c r="K1690" s="30">
        <v>56507.03</v>
      </c>
      <c r="L1690" s="30">
        <f t="shared" si="127"/>
        <v>1416.32</v>
      </c>
      <c r="M1690" s="30">
        <f t="shared" si="127"/>
        <v>56507.03</v>
      </c>
      <c r="N1690" s="30">
        <f>ROUND('Смета ЕР (общ) '!$I1690*'Смета ЕР (общ) '!$L1690,2)</f>
        <v>0</v>
      </c>
      <c r="O1690" s="30">
        <f>ROUND('Смета ЕР (общ) '!$I1690*'Смета ЕР (общ) '!$M1690,2)</f>
        <v>0</v>
      </c>
      <c r="P1690" s="45"/>
    </row>
    <row r="1691" spans="1:20" ht="34.5" hidden="1" customHeight="1" x14ac:dyDescent="0.3">
      <c r="A1691" s="26" t="s">
        <v>1710</v>
      </c>
      <c r="B1691" s="26">
        <v>1</v>
      </c>
      <c r="C1691" s="26"/>
      <c r="D1691" s="26">
        <v>10</v>
      </c>
      <c r="E1691" s="26" t="str">
        <f>CONCATENATE('Смета ЕР (общ) '!$A1691,".",'Смета ЕР (общ) '!$B1691,".",'Смета ЕР (общ) '!$D1691)</f>
        <v>Р10.1.10</v>
      </c>
      <c r="F1691" s="26">
        <f t="shared" si="128"/>
        <v>1</v>
      </c>
      <c r="G1691" s="27" t="s">
        <v>1723</v>
      </c>
      <c r="H1691" s="48" t="s">
        <v>118</v>
      </c>
      <c r="I1691" s="158"/>
      <c r="J1691" s="30">
        <v>1417.19</v>
      </c>
      <c r="K1691" s="30">
        <v>72157.89</v>
      </c>
      <c r="L1691" s="30">
        <f t="shared" si="127"/>
        <v>1417.19</v>
      </c>
      <c r="M1691" s="30">
        <f t="shared" si="127"/>
        <v>72157.89</v>
      </c>
      <c r="N1691" s="30">
        <f>ROUND('Смета ЕР (общ) '!$I1691*'Смета ЕР (общ) '!$L1691,2)</f>
        <v>0</v>
      </c>
      <c r="O1691" s="30">
        <f>ROUND('Смета ЕР (общ) '!$I1691*'Смета ЕР (общ) '!$M1691,2)</f>
        <v>0</v>
      </c>
      <c r="P1691" s="45"/>
    </row>
    <row r="1692" spans="1:20" ht="34.5" hidden="1" customHeight="1" x14ac:dyDescent="0.3">
      <c r="A1692" s="26" t="s">
        <v>1710</v>
      </c>
      <c r="B1692" s="26">
        <v>1</v>
      </c>
      <c r="C1692" s="26"/>
      <c r="D1692" s="26">
        <v>12</v>
      </c>
      <c r="E1692" s="26" t="str">
        <f>CONCATENATE('Смета ЕР (общ) '!$A1692,".",'Смета ЕР (общ) '!$B1692,".",'Смета ЕР (общ) '!$D1692)</f>
        <v>Р10.1.12</v>
      </c>
      <c r="F1692" s="26">
        <f t="shared" si="128"/>
        <v>1</v>
      </c>
      <c r="G1692" s="27" t="s">
        <v>1724</v>
      </c>
      <c r="H1692" s="28" t="s">
        <v>118</v>
      </c>
      <c r="I1692" s="158"/>
      <c r="J1692" s="30">
        <v>271.44</v>
      </c>
      <c r="K1692" s="30">
        <v>401.46</v>
      </c>
      <c r="L1692" s="30">
        <f t="shared" si="127"/>
        <v>271.44</v>
      </c>
      <c r="M1692" s="30">
        <f t="shared" si="127"/>
        <v>401.46</v>
      </c>
      <c r="N1692" s="30">
        <f>ROUND('Смета ЕР (общ) '!$I1692*'Смета ЕР (общ) '!$L1692,2)</f>
        <v>0</v>
      </c>
      <c r="O1692" s="30">
        <f>ROUND('Смета ЕР (общ) '!$I1692*'Смета ЕР (общ) '!$M1692,2)</f>
        <v>0</v>
      </c>
      <c r="P1692" s="45"/>
    </row>
    <row r="1693" spans="1:20" ht="34.5" hidden="1" customHeight="1" x14ac:dyDescent="0.3">
      <c r="A1693" s="26" t="s">
        <v>1710</v>
      </c>
      <c r="B1693" s="26">
        <v>1</v>
      </c>
      <c r="C1693" s="26"/>
      <c r="D1693" s="26">
        <v>13</v>
      </c>
      <c r="E1693" s="26" t="str">
        <f>CONCATENATE('Смета ЕР (общ) '!$A1693,".",'Смета ЕР (общ) '!$B1693,".",'Смета ЕР (общ) '!$D1693)</f>
        <v>Р10.1.13</v>
      </c>
      <c r="F1693" s="26">
        <f t="shared" si="128"/>
        <v>1</v>
      </c>
      <c r="G1693" s="27" t="s">
        <v>1725</v>
      </c>
      <c r="H1693" s="28" t="s">
        <v>118</v>
      </c>
      <c r="I1693" s="158"/>
      <c r="J1693" s="30">
        <v>271.44</v>
      </c>
      <c r="K1693" s="30">
        <v>403.81</v>
      </c>
      <c r="L1693" s="30">
        <f t="shared" si="127"/>
        <v>271.44</v>
      </c>
      <c r="M1693" s="30">
        <f t="shared" si="127"/>
        <v>403.81</v>
      </c>
      <c r="N1693" s="30">
        <f>ROUND('Смета ЕР (общ) '!$I1693*'Смета ЕР (общ) '!$L1693,2)</f>
        <v>0</v>
      </c>
      <c r="O1693" s="30">
        <f>ROUND('Смета ЕР (общ) '!$I1693*'Смета ЕР (общ) '!$M1693,2)</f>
        <v>0</v>
      </c>
      <c r="P1693" s="45"/>
    </row>
    <row r="1694" spans="1:20" ht="34.5" hidden="1" customHeight="1" x14ac:dyDescent="0.3">
      <c r="A1694" s="26" t="s">
        <v>1710</v>
      </c>
      <c r="B1694" s="26">
        <v>1</v>
      </c>
      <c r="C1694" s="26"/>
      <c r="D1694" s="26">
        <v>14</v>
      </c>
      <c r="E1694" s="26" t="str">
        <f>CONCATENATE('Смета ЕР (общ) '!$A1694,".",'Смета ЕР (общ) '!$B1694,".",'Смета ЕР (общ) '!$D1694)</f>
        <v>Р10.1.14</v>
      </c>
      <c r="F1694" s="26">
        <f t="shared" si="128"/>
        <v>1</v>
      </c>
      <c r="G1694" s="27" t="s">
        <v>1726</v>
      </c>
      <c r="H1694" s="28" t="s">
        <v>118</v>
      </c>
      <c r="I1694" s="158"/>
      <c r="J1694" s="30">
        <v>271.44</v>
      </c>
      <c r="K1694" s="30">
        <v>401.31</v>
      </c>
      <c r="L1694" s="30">
        <f t="shared" si="127"/>
        <v>271.44</v>
      </c>
      <c r="M1694" s="30">
        <f t="shared" si="127"/>
        <v>401.31</v>
      </c>
      <c r="N1694" s="30">
        <f>ROUND('Смета ЕР (общ) '!$I1694*'Смета ЕР (общ) '!$L1694,2)</f>
        <v>0</v>
      </c>
      <c r="O1694" s="30">
        <f>ROUND('Смета ЕР (общ) '!$I1694*'Смета ЕР (общ) '!$M1694,2)</f>
        <v>0</v>
      </c>
      <c r="P1694" s="45"/>
    </row>
    <row r="1695" spans="1:20" ht="34.5" hidden="1" customHeight="1" x14ac:dyDescent="0.3">
      <c r="A1695" s="26" t="s">
        <v>1710</v>
      </c>
      <c r="B1695" s="26">
        <v>1</v>
      </c>
      <c r="C1695" s="26"/>
      <c r="D1695" s="26">
        <v>15</v>
      </c>
      <c r="E1695" s="26" t="str">
        <f>CONCATENATE('Смета ЕР (общ) '!$A1695,".",'Смета ЕР (общ) '!$B1695,".",'Смета ЕР (общ) '!$D1695)</f>
        <v>Р10.1.15</v>
      </c>
      <c r="F1695" s="26">
        <f t="shared" si="128"/>
        <v>1</v>
      </c>
      <c r="G1695" s="27" t="s">
        <v>1727</v>
      </c>
      <c r="H1695" s="28" t="s">
        <v>118</v>
      </c>
      <c r="I1695" s="158"/>
      <c r="J1695" s="30">
        <v>271.44</v>
      </c>
      <c r="K1695" s="30">
        <v>395.1</v>
      </c>
      <c r="L1695" s="30">
        <f t="shared" si="127"/>
        <v>271.44</v>
      </c>
      <c r="M1695" s="30">
        <f t="shared" si="127"/>
        <v>395.1</v>
      </c>
      <c r="N1695" s="30">
        <f>ROUND('Смета ЕР (общ) '!$I1695*'Смета ЕР (общ) '!$L1695,2)</f>
        <v>0</v>
      </c>
      <c r="O1695" s="30">
        <f>ROUND('Смета ЕР (общ) '!$I1695*'Смета ЕР (общ) '!$M1695,2)</f>
        <v>0</v>
      </c>
      <c r="P1695" s="45"/>
    </row>
    <row r="1696" spans="1:20" ht="34.5" hidden="1" customHeight="1" x14ac:dyDescent="0.3">
      <c r="A1696" s="26" t="s">
        <v>1710</v>
      </c>
      <c r="B1696" s="26">
        <v>1</v>
      </c>
      <c r="C1696" s="26"/>
      <c r="D1696" s="26">
        <v>16</v>
      </c>
      <c r="E1696" s="26" t="str">
        <f>CONCATENATE('Смета ЕР (общ) '!$A1696,".",'Смета ЕР (общ) '!$B1696,".",'Смета ЕР (общ) '!$D1696)</f>
        <v>Р10.1.16</v>
      </c>
      <c r="F1696" s="26">
        <f t="shared" si="128"/>
        <v>1</v>
      </c>
      <c r="G1696" s="27" t="s">
        <v>1728</v>
      </c>
      <c r="H1696" s="28" t="s">
        <v>118</v>
      </c>
      <c r="I1696" s="158"/>
      <c r="J1696" s="30">
        <v>271.44</v>
      </c>
      <c r="K1696" s="30">
        <v>394.86</v>
      </c>
      <c r="L1696" s="30">
        <f t="shared" si="127"/>
        <v>271.44</v>
      </c>
      <c r="M1696" s="30">
        <f t="shared" si="127"/>
        <v>394.86</v>
      </c>
      <c r="N1696" s="30">
        <f>ROUND('Смета ЕР (общ) '!$I1696*'Смета ЕР (общ) '!$L1696,2)</f>
        <v>0</v>
      </c>
      <c r="O1696" s="30">
        <f>ROUND('Смета ЕР (общ) '!$I1696*'Смета ЕР (общ) '!$M1696,2)</f>
        <v>0</v>
      </c>
      <c r="P1696" s="45"/>
    </row>
    <row r="1697" spans="1:20" ht="34.5" hidden="1" customHeight="1" x14ac:dyDescent="0.3">
      <c r="A1697" s="26" t="s">
        <v>1710</v>
      </c>
      <c r="B1697" s="26">
        <v>1</v>
      </c>
      <c r="C1697" s="26"/>
      <c r="D1697" s="26">
        <v>17</v>
      </c>
      <c r="E1697" s="26" t="str">
        <f>CONCATENATE('Смета ЕР (общ) '!$A1697,".",'Смета ЕР (общ) '!$B1697,".",'Смета ЕР (общ) '!$D1697)</f>
        <v>Р10.1.17</v>
      </c>
      <c r="F1697" s="26">
        <f t="shared" si="128"/>
        <v>1</v>
      </c>
      <c r="G1697" s="27" t="s">
        <v>1729</v>
      </c>
      <c r="H1697" s="28" t="s">
        <v>118</v>
      </c>
      <c r="I1697" s="158"/>
      <c r="J1697" s="30">
        <v>271.44</v>
      </c>
      <c r="K1697" s="30">
        <v>404.7</v>
      </c>
      <c r="L1697" s="30">
        <f t="shared" si="127"/>
        <v>271.44</v>
      </c>
      <c r="M1697" s="30">
        <f t="shared" si="127"/>
        <v>404.7</v>
      </c>
      <c r="N1697" s="30">
        <f>ROUND('Смета ЕР (общ) '!$I1697*'Смета ЕР (общ) '!$L1697,2)</f>
        <v>0</v>
      </c>
      <c r="O1697" s="30">
        <f>ROUND('Смета ЕР (общ) '!$I1697*'Смета ЕР (общ) '!$M1697,2)</f>
        <v>0</v>
      </c>
      <c r="P1697" s="45"/>
    </row>
    <row r="1698" spans="1:20" ht="34.5" hidden="1" customHeight="1" x14ac:dyDescent="0.3">
      <c r="A1698" s="26" t="s">
        <v>1710</v>
      </c>
      <c r="B1698" s="26">
        <v>1</v>
      </c>
      <c r="C1698" s="26"/>
      <c r="D1698" s="26">
        <v>18</v>
      </c>
      <c r="E1698" s="26" t="str">
        <f>CONCATENATE('Смета ЕР (общ) '!$A1698,".",'Смета ЕР (общ) '!$B1698,".",'Смета ЕР (общ) '!$D1698)</f>
        <v>Р10.1.18</v>
      </c>
      <c r="F1698" s="26">
        <f t="shared" si="128"/>
        <v>1</v>
      </c>
      <c r="G1698" s="27" t="s">
        <v>1730</v>
      </c>
      <c r="H1698" s="28" t="s">
        <v>118</v>
      </c>
      <c r="I1698" s="158"/>
      <c r="J1698" s="30">
        <v>271.44</v>
      </c>
      <c r="K1698" s="30">
        <v>397</v>
      </c>
      <c r="L1698" s="30">
        <f t="shared" ref="L1698:M1704" si="129">ROUND(J1698-J1698*$Q$3,2)</f>
        <v>271.44</v>
      </c>
      <c r="M1698" s="30">
        <f t="shared" si="129"/>
        <v>397</v>
      </c>
      <c r="N1698" s="30">
        <f>ROUND('Смета ЕР (общ) '!$I1698*'Смета ЕР (общ) '!$L1698,2)</f>
        <v>0</v>
      </c>
      <c r="O1698" s="30">
        <f>ROUND('Смета ЕР (общ) '!$I1698*'Смета ЕР (общ) '!$M1698,2)</f>
        <v>0</v>
      </c>
      <c r="P1698" s="45"/>
    </row>
    <row r="1699" spans="1:20" ht="34.5" hidden="1" customHeight="1" x14ac:dyDescent="0.3">
      <c r="A1699" s="26" t="s">
        <v>1710</v>
      </c>
      <c r="B1699" s="26">
        <v>1</v>
      </c>
      <c r="C1699" s="26"/>
      <c r="D1699" s="26">
        <v>19</v>
      </c>
      <c r="E1699" s="26" t="str">
        <f>CONCATENATE('Смета ЕР (общ) '!$A1699,".",'Смета ЕР (общ) '!$B1699,".",'Смета ЕР (общ) '!$D1699)</f>
        <v>Р10.1.19</v>
      </c>
      <c r="F1699" s="26">
        <f t="shared" si="128"/>
        <v>1</v>
      </c>
      <c r="G1699" s="27" t="s">
        <v>1731</v>
      </c>
      <c r="H1699" s="28" t="s">
        <v>118</v>
      </c>
      <c r="I1699" s="158"/>
      <c r="J1699" s="30">
        <v>271.44</v>
      </c>
      <c r="K1699" s="30">
        <v>2409.71</v>
      </c>
      <c r="L1699" s="30">
        <f t="shared" si="129"/>
        <v>271.44</v>
      </c>
      <c r="M1699" s="30">
        <f t="shared" si="129"/>
        <v>2409.71</v>
      </c>
      <c r="N1699" s="30">
        <f>ROUND('Смета ЕР (общ) '!$I1699*'Смета ЕР (общ) '!$L1699,2)</f>
        <v>0</v>
      </c>
      <c r="O1699" s="30">
        <f>ROUND('Смета ЕР (общ) '!$I1699*'Смета ЕР (общ) '!$M1699,2)</f>
        <v>0</v>
      </c>
      <c r="P1699" s="45"/>
    </row>
    <row r="1700" spans="1:20" ht="34.5" hidden="1" customHeight="1" x14ac:dyDescent="0.3">
      <c r="A1700" s="26" t="s">
        <v>1710</v>
      </c>
      <c r="B1700" s="26">
        <v>1</v>
      </c>
      <c r="C1700" s="26"/>
      <c r="D1700" s="26">
        <v>20</v>
      </c>
      <c r="E1700" s="26" t="str">
        <f>CONCATENATE('Смета ЕР (общ) '!$A1700,".",'Смета ЕР (общ) '!$B1700,".",'Смета ЕР (общ) '!$D1700)</f>
        <v>Р10.1.20</v>
      </c>
      <c r="F1700" s="26">
        <f t="shared" si="128"/>
        <v>1</v>
      </c>
      <c r="G1700" s="27" t="s">
        <v>1732</v>
      </c>
      <c r="H1700" s="28" t="s">
        <v>118</v>
      </c>
      <c r="I1700" s="158"/>
      <c r="J1700" s="30">
        <v>271.44</v>
      </c>
      <c r="K1700" s="30">
        <v>2387.1</v>
      </c>
      <c r="L1700" s="30">
        <f t="shared" si="129"/>
        <v>271.44</v>
      </c>
      <c r="M1700" s="30">
        <f t="shared" si="129"/>
        <v>2387.1</v>
      </c>
      <c r="N1700" s="30">
        <f>ROUND('Смета ЕР (общ) '!$I1700*'Смета ЕР (общ) '!$L1700,2)</f>
        <v>0</v>
      </c>
      <c r="O1700" s="30">
        <f>ROUND('Смета ЕР (общ) '!$I1700*'Смета ЕР (общ) '!$M1700,2)</f>
        <v>0</v>
      </c>
      <c r="P1700" s="45"/>
    </row>
    <row r="1701" spans="1:20" ht="34.5" hidden="1" customHeight="1" x14ac:dyDescent="0.3">
      <c r="A1701" s="26" t="s">
        <v>1710</v>
      </c>
      <c r="B1701" s="26">
        <v>1</v>
      </c>
      <c r="C1701" s="26"/>
      <c r="D1701" s="26">
        <v>21</v>
      </c>
      <c r="E1701" s="26" t="str">
        <f>CONCATENATE('Смета ЕР (общ) '!$A1701,".",'Смета ЕР (общ) '!$B1701,".",'Смета ЕР (общ) '!$D1701)</f>
        <v>Р10.1.21</v>
      </c>
      <c r="F1701" s="26">
        <f t="shared" si="128"/>
        <v>1</v>
      </c>
      <c r="G1701" s="27" t="s">
        <v>1733</v>
      </c>
      <c r="H1701" s="28" t="s">
        <v>118</v>
      </c>
      <c r="I1701" s="158"/>
      <c r="J1701" s="30">
        <v>271.44</v>
      </c>
      <c r="K1701" s="30">
        <v>2383.2800000000002</v>
      </c>
      <c r="L1701" s="30">
        <f t="shared" si="129"/>
        <v>271.44</v>
      </c>
      <c r="M1701" s="30">
        <f t="shared" si="129"/>
        <v>2383.2800000000002</v>
      </c>
      <c r="N1701" s="30">
        <f>ROUND('Смета ЕР (общ) '!$I1701*'Смета ЕР (общ) '!$L1701,2)</f>
        <v>0</v>
      </c>
      <c r="O1701" s="30">
        <f>ROUND('Смета ЕР (общ) '!$I1701*'Смета ЕР (общ) '!$M1701,2)</f>
        <v>0</v>
      </c>
      <c r="P1701" s="45"/>
    </row>
    <row r="1702" spans="1:20" ht="34.5" hidden="1" customHeight="1" x14ac:dyDescent="0.3">
      <c r="A1702" s="26" t="s">
        <v>1710</v>
      </c>
      <c r="B1702" s="26">
        <v>1</v>
      </c>
      <c r="C1702" s="26"/>
      <c r="D1702" s="26">
        <v>22</v>
      </c>
      <c r="E1702" s="26" t="str">
        <f>CONCATENATE('Смета ЕР (общ) '!$A1702,".",'Смета ЕР (общ) '!$B1702,".",'Смета ЕР (общ) '!$D1702)</f>
        <v>Р10.1.22</v>
      </c>
      <c r="F1702" s="26">
        <f t="shared" si="128"/>
        <v>1</v>
      </c>
      <c r="G1702" s="27" t="s">
        <v>1734</v>
      </c>
      <c r="H1702" s="28" t="s">
        <v>118</v>
      </c>
      <c r="I1702" s="158"/>
      <c r="J1702" s="30">
        <v>271.44</v>
      </c>
      <c r="K1702" s="30">
        <v>2441.71</v>
      </c>
      <c r="L1702" s="30">
        <f t="shared" si="129"/>
        <v>271.44</v>
      </c>
      <c r="M1702" s="30">
        <f t="shared" si="129"/>
        <v>2441.71</v>
      </c>
      <c r="N1702" s="30">
        <f>ROUND('Смета ЕР (общ) '!$I1702*'Смета ЕР (общ) '!$L1702,2)</f>
        <v>0</v>
      </c>
      <c r="O1702" s="30">
        <f>ROUND('Смета ЕР (общ) '!$I1702*'Смета ЕР (общ) '!$M1702,2)</f>
        <v>0</v>
      </c>
      <c r="P1702" s="45"/>
    </row>
    <row r="1703" spans="1:20" ht="34.5" hidden="1" customHeight="1" x14ac:dyDescent="0.3">
      <c r="A1703" s="26" t="s">
        <v>1710</v>
      </c>
      <c r="B1703" s="26">
        <v>1</v>
      </c>
      <c r="C1703" s="26"/>
      <c r="D1703" s="26">
        <v>23</v>
      </c>
      <c r="E1703" s="26" t="str">
        <f>CONCATENATE('Смета ЕР (общ) '!$A1703,".",'Смета ЕР (общ) '!$B1703,".",'Смета ЕР (общ) '!$D1703)</f>
        <v>Р10.1.23</v>
      </c>
      <c r="F1703" s="26">
        <f t="shared" si="128"/>
        <v>1</v>
      </c>
      <c r="G1703" s="27" t="s">
        <v>1735</v>
      </c>
      <c r="H1703" s="28" t="s">
        <v>118</v>
      </c>
      <c r="I1703" s="158"/>
      <c r="J1703" s="30">
        <v>271.44</v>
      </c>
      <c r="K1703" s="30">
        <v>2449.9299999999998</v>
      </c>
      <c r="L1703" s="30">
        <f t="shared" si="129"/>
        <v>271.44</v>
      </c>
      <c r="M1703" s="30">
        <f t="shared" si="129"/>
        <v>2449.9299999999998</v>
      </c>
      <c r="N1703" s="30">
        <f>ROUND('Смета ЕР (общ) '!$I1703*'Смета ЕР (общ) '!$L1703,2)</f>
        <v>0</v>
      </c>
      <c r="O1703" s="30">
        <f>ROUND('Смета ЕР (общ) '!$I1703*'Смета ЕР (общ) '!$M1703,2)</f>
        <v>0</v>
      </c>
      <c r="P1703" s="45"/>
    </row>
    <row r="1704" spans="1:20" ht="14.4" hidden="1" x14ac:dyDescent="0.3">
      <c r="A1704" s="26" t="s">
        <v>1710</v>
      </c>
      <c r="B1704" s="26">
        <v>1</v>
      </c>
      <c r="C1704" s="26"/>
      <c r="D1704" s="26">
        <v>24</v>
      </c>
      <c r="E1704" s="26" t="str">
        <f>CONCATENATE('Смета ЕР (общ) '!$A1704,".",'Смета ЕР (общ) '!$B1704,".",'Смета ЕР (общ) '!$D1704)</f>
        <v>Р10.1.24</v>
      </c>
      <c r="F1704" s="26">
        <f t="shared" si="128"/>
        <v>1</v>
      </c>
      <c r="G1704" s="27" t="s">
        <v>1736</v>
      </c>
      <c r="H1704" s="28" t="s">
        <v>118</v>
      </c>
      <c r="I1704" s="158"/>
      <c r="J1704" s="30">
        <v>271.44</v>
      </c>
      <c r="K1704" s="30">
        <v>2453.48</v>
      </c>
      <c r="L1704" s="30">
        <f t="shared" si="129"/>
        <v>271.44</v>
      </c>
      <c r="M1704" s="30">
        <f t="shared" si="129"/>
        <v>2453.48</v>
      </c>
      <c r="N1704" s="30">
        <f>ROUND('Смета ЕР (общ) '!$I1704*'Смета ЕР (общ) '!$L1704,2)</f>
        <v>0</v>
      </c>
      <c r="O1704" s="30">
        <f>ROUND('Смета ЕР (общ) '!$I1704*'Смета ЕР (общ) '!$M1704,2)</f>
        <v>0</v>
      </c>
      <c r="P1704" s="45"/>
    </row>
    <row r="1705" spans="1:20" ht="34.950000000000003" customHeight="1" x14ac:dyDescent="0.3">
      <c r="A1705" s="133"/>
      <c r="B1705" s="133"/>
      <c r="C1705" s="133"/>
      <c r="D1705" s="133">
        <v>0</v>
      </c>
      <c r="E1705" s="133"/>
      <c r="F1705" s="133"/>
      <c r="G1705" s="134" t="s">
        <v>1737</v>
      </c>
      <c r="H1705" s="135" t="s">
        <v>1738</v>
      </c>
      <c r="I1705" s="136">
        <v>1</v>
      </c>
      <c r="J1705" s="146"/>
      <c r="K1705" s="146"/>
      <c r="L1705" s="137"/>
      <c r="M1705" s="137"/>
      <c r="N1705" s="146">
        <f>ROUND(N15+N109+N253+N592+N658+N770+N898+N1007+N1096+N1680,2)</f>
        <v>0</v>
      </c>
      <c r="O1705" s="146"/>
      <c r="P1705" s="45"/>
      <c r="T1705">
        <v>1</v>
      </c>
    </row>
    <row r="1706" spans="1:20" ht="34.950000000000003" customHeight="1" x14ac:dyDescent="0.3">
      <c r="A1706" s="133"/>
      <c r="B1706" s="133"/>
      <c r="C1706" s="133"/>
      <c r="D1706" s="133">
        <v>0</v>
      </c>
      <c r="E1706" s="133"/>
      <c r="F1706" s="133"/>
      <c r="G1706" s="134" t="s">
        <v>1739</v>
      </c>
      <c r="H1706" s="135" t="s">
        <v>1738</v>
      </c>
      <c r="I1706" s="136">
        <v>1</v>
      </c>
      <c r="J1706" s="146"/>
      <c r="K1706" s="146"/>
      <c r="L1706" s="137"/>
      <c r="M1706" s="137"/>
      <c r="N1706" s="146">
        <f>ROUND(O15+O109+O253+O592+O658+O770+O898+O1007+O1096+O1680,2)</f>
        <v>0</v>
      </c>
      <c r="O1706" s="146"/>
      <c r="P1706" s="45"/>
      <c r="T1706">
        <v>1</v>
      </c>
    </row>
    <row r="1707" spans="1:20" ht="34.950000000000003" customHeight="1" x14ac:dyDescent="0.3">
      <c r="A1707" s="133"/>
      <c r="B1707" s="133"/>
      <c r="C1707" s="133"/>
      <c r="D1707" s="133">
        <v>0</v>
      </c>
      <c r="E1707" s="133" t="s">
        <v>1740</v>
      </c>
      <c r="F1707" s="133"/>
      <c r="G1707" s="138" t="s">
        <v>1741</v>
      </c>
      <c r="H1707" s="139" t="s">
        <v>1742</v>
      </c>
      <c r="I1707" s="178">
        <v>1</v>
      </c>
      <c r="J1707" s="147"/>
      <c r="K1707" s="147"/>
      <c r="L1707" s="140"/>
      <c r="M1707" s="140"/>
      <c r="N1707" s="147">
        <f>ROUND(N1706*I1707,2)</f>
        <v>0</v>
      </c>
      <c r="O1707" s="147"/>
      <c r="P1707" s="45"/>
      <c r="T1707">
        <v>0.05</v>
      </c>
    </row>
    <row r="1708" spans="1:20" ht="34.950000000000003" customHeight="1" x14ac:dyDescent="0.3">
      <c r="A1708" s="133"/>
      <c r="B1708" s="133"/>
      <c r="C1708" s="133"/>
      <c r="D1708" s="133">
        <v>0</v>
      </c>
      <c r="E1708" s="133"/>
      <c r="F1708" s="133"/>
      <c r="G1708" s="138" t="s">
        <v>1743</v>
      </c>
      <c r="H1708" s="141" t="s">
        <v>1738</v>
      </c>
      <c r="I1708" s="142">
        <v>1</v>
      </c>
      <c r="J1708" s="147"/>
      <c r="K1708" s="147"/>
      <c r="L1708" s="140"/>
      <c r="M1708" s="140"/>
      <c r="N1708" s="147">
        <f>ROUND(N1705+N1706+N1707,2)</f>
        <v>0</v>
      </c>
      <c r="O1708" s="147"/>
      <c r="P1708" s="45"/>
      <c r="T1708">
        <v>1</v>
      </c>
    </row>
    <row r="1709" spans="1:20" ht="34.950000000000003" customHeight="1" x14ac:dyDescent="0.3">
      <c r="A1709" s="143"/>
      <c r="B1709" s="133"/>
      <c r="C1709" s="133"/>
      <c r="D1709" s="133">
        <v>0</v>
      </c>
      <c r="E1709" s="133"/>
      <c r="F1709" s="143"/>
      <c r="G1709" s="176" t="s">
        <v>1744</v>
      </c>
      <c r="H1709" s="176"/>
      <c r="I1709" s="176"/>
      <c r="J1709" s="176"/>
      <c r="K1709" s="176"/>
      <c r="L1709" s="176"/>
      <c r="M1709" s="176"/>
      <c r="N1709" s="176"/>
      <c r="O1709" s="176"/>
      <c r="P1709" s="143"/>
      <c r="T1709">
        <v>1</v>
      </c>
    </row>
  </sheetData>
  <autoFilter ref="A14:P1709" xr:uid="{00000000-0009-0000-0000-000000000000}">
    <filterColumn colId="8">
      <customFilters>
        <customFilter operator="notEqual" val=" "/>
      </customFilters>
    </filterColumn>
  </autoFilter>
  <mergeCells count="31">
    <mergeCell ref="F1:G1"/>
    <mergeCell ref="H1:O1"/>
    <mergeCell ref="F2:G2"/>
    <mergeCell ref="H2:O2"/>
    <mergeCell ref="F3:G3"/>
    <mergeCell ref="H3:O3"/>
    <mergeCell ref="F4:G4"/>
    <mergeCell ref="H4:O4"/>
    <mergeCell ref="F5:G5"/>
    <mergeCell ref="H5:O5"/>
    <mergeCell ref="F6:G6"/>
    <mergeCell ref="H6:O6"/>
    <mergeCell ref="F7:G7"/>
    <mergeCell ref="H7:O7"/>
    <mergeCell ref="F8:G8"/>
    <mergeCell ref="H8:O8"/>
    <mergeCell ref="F9:G9"/>
    <mergeCell ref="H9:O9"/>
    <mergeCell ref="F10:G10"/>
    <mergeCell ref="H10:O10"/>
    <mergeCell ref="F11:G11"/>
    <mergeCell ref="H11:O11"/>
    <mergeCell ref="J1705:K1705"/>
    <mergeCell ref="N1705:O1705"/>
    <mergeCell ref="G1709:O1709"/>
    <mergeCell ref="J1706:K1706"/>
    <mergeCell ref="N1706:O1706"/>
    <mergeCell ref="J1707:K1707"/>
    <mergeCell ref="N1707:O1707"/>
    <mergeCell ref="J1708:K1708"/>
    <mergeCell ref="N1708:O1708"/>
  </mergeCells>
  <conditionalFormatting sqref="J111 J113:J127 J129:J145 J147:J163 J165:J173 J175:J183 J185:J189 J191:J204 J206:J214 J216:J220 J222:J234 J236:J243 J245:J252 J297:J300 J312:J316 J354:J357 J369:J376 J378:J379 J539:J550 J552:J557 J561:J562 J594 J607 J641:J652 J753:J757 J759:J766 J768:J769 J998:J999 J1001 J1085:J1095 J1098:J1106 J1361 J1414:J1423 J1425:J1441 J1640 J1642:J1643 J1645:J1658 J1660:J1666 J1682:J1691 J255 J394:J412 J596:J605 J609:J610 J612:J614 J617:J619 J621 J623:J624 J626:J629 J656:J657 J920:J926 J1612:J1637 J1402:J1409 J39:J48 J80:J85 J896:J897 J87 J91:J92 J94 J99:J108 J688:J751 J1668:J1679 K1387:K1392 J565:J580 J96 J414:J446 J479:J537 J678:J684 J321:J346 J772:J794 J799:J863 J1017:J1026 J1015 J1365:J1400 J865:J894 J1037:J1079 J1009:J1013 J900:J918 J449:J455 J474:J477 J461:K461 J257:J295">
    <cfRule type="cellIs" dxfId="150" priority="147" operator="equal">
      <formula>0</formula>
    </cfRule>
  </conditionalFormatting>
  <conditionalFormatting sqref="J113:J127 J129:J145 J147:J163 J165:J173 J175:J183 J185:J189 J191:J204 J206:J214 J216:J220 J222:J234 J236:J243 J245:J252 J297:J300 J312:J316 J354:J357 J369:J376 J378:J379 J594 J607:K607 J641:J652 J753:K757 J759:J766 J998:J999 J1001 J1085:J1095 J1414:J1423 J1425:J1441 J1640 J1642:J1643 J1645:J1658 J1660:J1666 J1682:J1691 J255:K255 J394:J412 J596:J605 J609:K610 K608 J612:K614 J617:K619 K615:K616 J621:K621 K620 J623:K624 K622 J626:K629 K625 J920:J926 J1612:J1637 J1402:J1409 J39:J48 J80:J85 J896:J897 J1692:K1704 J552:J562 K539:K557 J1098:J1361 K1108:K1361 J87 J91:J92 J94 J99:J109 J688:J751 K698:K751 J111 J1395:J1400 K1395:K1399 J1668:J1679 J565:J580 J96 K17:K108 J1365:K1394 J414:J446 K479:K508 J479:J550 J1463:J1592 K1456:K1593 K660:K694 J656:J669 J678:J684 J671 J673:J675 J321:K346 K772:K773 J768:J773 J799:K831 J774:K794 K832:K851 J832:J863 K1015 J1015:J1026 J865:J894 K865:K897 J1037:K1079 J1009:J1013 K900:K926 J900:J918 J449:J455 K455:K461 J474:K477 J461 J257:K295">
    <cfRule type="containsText" dxfId="149" priority="148" operator="containsText" text="!">
      <formula>NOT(ISERROR(SEARCH("!",J17)))</formula>
    </cfRule>
  </conditionalFormatting>
  <conditionalFormatting sqref="J112">
    <cfRule type="containsText" dxfId="148" priority="146" operator="containsText" text="!">
      <formula>NOT(ISERROR(SEARCH("!",J112)))</formula>
    </cfRule>
  </conditionalFormatting>
  <conditionalFormatting sqref="J128">
    <cfRule type="containsText" dxfId="147" priority="145" operator="containsText" text="!">
      <formula>NOT(ISERROR(SEARCH("!",J128)))</formula>
    </cfRule>
  </conditionalFormatting>
  <conditionalFormatting sqref="J146">
    <cfRule type="containsText" dxfId="146" priority="144" operator="containsText" text="!">
      <formula>NOT(ISERROR(SEARCH("!",J146)))</formula>
    </cfRule>
  </conditionalFormatting>
  <conditionalFormatting sqref="J164">
    <cfRule type="containsText" dxfId="145" priority="143" operator="containsText" text="!">
      <formula>NOT(ISERROR(SEARCH("!",J164)))</formula>
    </cfRule>
  </conditionalFormatting>
  <conditionalFormatting sqref="J174">
    <cfRule type="containsText" dxfId="144" priority="142" operator="containsText" text="!">
      <formula>NOT(ISERROR(SEARCH("!",J174)))</formula>
    </cfRule>
  </conditionalFormatting>
  <conditionalFormatting sqref="J184">
    <cfRule type="containsText" dxfId="143" priority="141" operator="containsText" text="!">
      <formula>NOT(ISERROR(SEARCH("!",J184)))</formula>
    </cfRule>
  </conditionalFormatting>
  <conditionalFormatting sqref="J190">
    <cfRule type="containsText" dxfId="142" priority="140" operator="containsText" text="!">
      <formula>NOT(ISERROR(SEARCH("!",J190)))</formula>
    </cfRule>
  </conditionalFormatting>
  <conditionalFormatting sqref="J205">
    <cfRule type="containsText" dxfId="141" priority="139" operator="containsText" text="!">
      <formula>NOT(ISERROR(SEARCH("!",J205)))</formula>
    </cfRule>
  </conditionalFormatting>
  <conditionalFormatting sqref="J215">
    <cfRule type="containsText" dxfId="140" priority="138" operator="containsText" text="!">
      <formula>NOT(ISERROR(SEARCH("!",J215)))</formula>
    </cfRule>
  </conditionalFormatting>
  <conditionalFormatting sqref="J221">
    <cfRule type="containsText" dxfId="139" priority="137" operator="containsText" text="!">
      <formula>NOT(ISERROR(SEARCH("!",J221)))</formula>
    </cfRule>
  </conditionalFormatting>
  <conditionalFormatting sqref="J235">
    <cfRule type="containsText" dxfId="138" priority="136" operator="containsText" text="!">
      <formula>NOT(ISERROR(SEARCH("!",J235)))</formula>
    </cfRule>
  </conditionalFormatting>
  <conditionalFormatting sqref="J244">
    <cfRule type="containsText" dxfId="137" priority="135" operator="containsText" text="!">
      <formula>NOT(ISERROR(SEARCH("!",J244)))</formula>
    </cfRule>
  </conditionalFormatting>
  <conditionalFormatting sqref="J253:J254">
    <cfRule type="containsText" dxfId="136" priority="134" operator="containsText" text="!">
      <formula>NOT(ISERROR(SEARCH("!",J253)))</formula>
    </cfRule>
  </conditionalFormatting>
  <conditionalFormatting sqref="J296">
    <cfRule type="containsText" dxfId="135" priority="133" operator="containsText" text="!">
      <formula>NOT(ISERROR(SEARCH("!",J296)))</formula>
    </cfRule>
  </conditionalFormatting>
  <conditionalFormatting sqref="J302:J311">
    <cfRule type="containsText" dxfId="134" priority="132" operator="containsText" text="!">
      <formula>NOT(ISERROR(SEARCH("!",J302)))</formula>
    </cfRule>
  </conditionalFormatting>
  <conditionalFormatting sqref="J347:J353">
    <cfRule type="containsText" dxfId="133" priority="131" operator="containsText" text="!">
      <formula>NOT(ISERROR(SEARCH("!",J347)))</formula>
    </cfRule>
  </conditionalFormatting>
  <conditionalFormatting sqref="J358:J365">
    <cfRule type="containsText" dxfId="132" priority="111" operator="containsText" text="!">
      <formula>NOT(ISERROR(SEARCH("!",J358)))</formula>
    </cfRule>
  </conditionalFormatting>
  <conditionalFormatting sqref="J363:J366">
    <cfRule type="cellIs" dxfId="131" priority="86" operator="equal">
      <formula>0</formula>
    </cfRule>
  </conditionalFormatting>
  <conditionalFormatting sqref="J366">
    <cfRule type="containsText" dxfId="130" priority="87" operator="containsText" text="!">
      <formula>NOT(ISERROR(SEARCH("!",J366)))</formula>
    </cfRule>
  </conditionalFormatting>
  <conditionalFormatting sqref="J368">
    <cfRule type="containsText" dxfId="129" priority="130" operator="containsText" text="!">
      <formula>NOT(ISERROR(SEARCH("!",J368)))</formula>
    </cfRule>
  </conditionalFormatting>
  <conditionalFormatting sqref="J377">
    <cfRule type="containsText" dxfId="128" priority="129" operator="containsText" text="!">
      <formula>NOT(ISERROR(SEARCH("!",J377)))</formula>
    </cfRule>
  </conditionalFormatting>
  <conditionalFormatting sqref="J380:J393">
    <cfRule type="containsText" dxfId="127" priority="85" operator="containsText" text="!">
      <formula>NOT(ISERROR(SEARCH("!",J380)))</formula>
    </cfRule>
  </conditionalFormatting>
  <conditionalFormatting sqref="J381:J392">
    <cfRule type="cellIs" dxfId="126" priority="84" operator="equal">
      <formula>0</formula>
    </cfRule>
  </conditionalFormatting>
  <conditionalFormatting sqref="J413">
    <cfRule type="containsText" dxfId="125" priority="128" operator="containsText" text="!">
      <formula>NOT(ISERROR(SEARCH("!",J413)))</formula>
    </cfRule>
  </conditionalFormatting>
  <conditionalFormatting sqref="J447:J448">
    <cfRule type="containsText" dxfId="124" priority="127" operator="containsText" text="!">
      <formula>NOT(ISERROR(SEARCH("!",J447)))</formula>
    </cfRule>
  </conditionalFormatting>
  <conditionalFormatting sqref="J478">
    <cfRule type="containsText" dxfId="123" priority="126" operator="containsText" text="!">
      <formula>NOT(ISERROR(SEARCH("!",J478)))</formula>
    </cfRule>
  </conditionalFormatting>
  <conditionalFormatting sqref="J551">
    <cfRule type="containsText" dxfId="122" priority="90" operator="containsText" text="!">
      <formula>NOT(ISERROR(SEARCH("!",J551)))</formula>
    </cfRule>
  </conditionalFormatting>
  <conditionalFormatting sqref="J581:J593">
    <cfRule type="containsText" dxfId="121" priority="125" operator="containsText" text="!">
      <formula>NOT(ISERROR(SEARCH("!",J581)))</formula>
    </cfRule>
  </conditionalFormatting>
  <conditionalFormatting sqref="J606">
    <cfRule type="containsText" dxfId="120" priority="113" operator="containsText" text="!">
      <formula>NOT(ISERROR(SEARCH("!",J606)))</formula>
    </cfRule>
  </conditionalFormatting>
  <conditionalFormatting sqref="J633:J640">
    <cfRule type="containsText" dxfId="119" priority="112" operator="containsText" text="!">
      <formula>NOT(ISERROR(SEARCH("!",J633)))</formula>
    </cfRule>
  </conditionalFormatting>
  <conditionalFormatting sqref="J660:J669 J671 J673:J675">
    <cfRule type="cellIs" dxfId="118" priority="83" operator="equal">
      <formula>0</formula>
    </cfRule>
  </conditionalFormatting>
  <conditionalFormatting sqref="J686">
    <cfRule type="cellIs" dxfId="117" priority="81" operator="equal">
      <formula>0</formula>
    </cfRule>
  </conditionalFormatting>
  <conditionalFormatting sqref="J686">
    <cfRule type="containsText" dxfId="116" priority="82" operator="containsText" text="!">
      <formula>NOT(ISERROR(SEARCH("!",J686)))</formula>
    </cfRule>
  </conditionalFormatting>
  <conditionalFormatting sqref="J752">
    <cfRule type="containsText" dxfId="115" priority="124" operator="containsText" text="!">
      <formula>NOT(ISERROR(SEARCH("!",J752)))</formula>
    </cfRule>
  </conditionalFormatting>
  <conditionalFormatting sqref="J758">
    <cfRule type="containsText" dxfId="114" priority="123" operator="containsText" text="!">
      <formula>NOT(ISERROR(SEARCH("!",J758)))</formula>
    </cfRule>
  </conditionalFormatting>
  <conditionalFormatting sqref="J767">
    <cfRule type="containsText" dxfId="113" priority="122" operator="containsText" text="!">
      <formula>NOT(ISERROR(SEARCH("!",J767)))</formula>
    </cfRule>
  </conditionalFormatting>
  <conditionalFormatting sqref="J898:J899">
    <cfRule type="containsText" dxfId="112" priority="121" operator="containsText" text="!">
      <formula>NOT(ISERROR(SEARCH("!",J898)))</formula>
    </cfRule>
  </conditionalFormatting>
  <conditionalFormatting sqref="J1000">
    <cfRule type="containsText" dxfId="111" priority="120" operator="containsText" text="!">
      <formula>NOT(ISERROR(SEARCH("!",J1000)))</formula>
    </cfRule>
  </conditionalFormatting>
  <conditionalFormatting sqref="J1005:J1006">
    <cfRule type="cellIs" dxfId="110" priority="72" operator="equal">
      <formula>0</formula>
    </cfRule>
  </conditionalFormatting>
  <conditionalFormatting sqref="J1005:J1008">
    <cfRule type="containsText" dxfId="109" priority="73" operator="containsText" text="!">
      <formula>NOT(ISERROR(SEARCH("!",J1005)))</formula>
    </cfRule>
  </conditionalFormatting>
  <conditionalFormatting sqref="J1096:J1097">
    <cfRule type="containsText" dxfId="108" priority="119" operator="containsText" text="!">
      <formula>NOT(ISERROR(SEARCH("!",J1096)))</formula>
    </cfRule>
  </conditionalFormatting>
  <conditionalFormatting sqref="J1424">
    <cfRule type="containsText" dxfId="107" priority="117" operator="containsText" text="!">
      <formula>NOT(ISERROR(SEARCH("!",J1424)))</formula>
    </cfRule>
  </conditionalFormatting>
  <conditionalFormatting sqref="J1641">
    <cfRule type="containsText" dxfId="106" priority="118" operator="containsText" text="!">
      <formula>NOT(ISERROR(SEARCH("!",J1641)))</formula>
    </cfRule>
  </conditionalFormatting>
  <conditionalFormatting sqref="J1644">
    <cfRule type="containsText" dxfId="105" priority="115" operator="containsText" text="!">
      <formula>NOT(ISERROR(SEARCH("!",J1644)))</formula>
    </cfRule>
  </conditionalFormatting>
  <conditionalFormatting sqref="J1659">
    <cfRule type="containsText" dxfId="104" priority="116" operator="containsText" text="!">
      <formula>NOT(ISERROR(SEARCH("!",J1659)))</formula>
    </cfRule>
  </conditionalFormatting>
  <conditionalFormatting sqref="J1680:J1681">
    <cfRule type="containsText" dxfId="103" priority="114" operator="containsText" text="!">
      <formula>NOT(ISERROR(SEARCH("!",J1680)))</formula>
    </cfRule>
  </conditionalFormatting>
  <conditionalFormatting sqref="J349:K352">
    <cfRule type="cellIs" dxfId="102" priority="109" operator="equal">
      <formula>0</formula>
    </cfRule>
  </conditionalFormatting>
  <conditionalFormatting sqref="J359:K361">
    <cfRule type="cellIs" dxfId="101" priority="107" operator="equal">
      <formula>0</formula>
    </cfRule>
  </conditionalFormatting>
  <conditionalFormatting sqref="J927:K997">
    <cfRule type="containsText" dxfId="100" priority="74" operator="containsText" text="!">
      <formula>NOT(ISERROR(SEARCH("!",J927)))</formula>
    </cfRule>
  </conditionalFormatting>
  <conditionalFormatting sqref="J1002:K1004">
    <cfRule type="containsText" dxfId="99" priority="75" operator="containsText" text="!">
      <formula>NOT(ISERROR(SEARCH("!",J1002)))</formula>
    </cfRule>
  </conditionalFormatting>
  <conditionalFormatting sqref="J1080:K1084">
    <cfRule type="containsText" dxfId="98" priority="76" operator="containsText" text="!">
      <formula>NOT(ISERROR(SEARCH("!",J1080)))</formula>
    </cfRule>
  </conditionalFormatting>
  <conditionalFormatting sqref="J1410:K1413">
    <cfRule type="containsText" dxfId="97" priority="79" operator="containsText" text="!">
      <formula>NOT(ISERROR(SEARCH("!",J1410)))</formula>
    </cfRule>
  </conditionalFormatting>
  <conditionalFormatting sqref="J1639:K1639">
    <cfRule type="containsText" dxfId="96" priority="78" operator="containsText" text="!">
      <formula>NOT(ISERROR(SEARCH("!",J1639)))</formula>
    </cfRule>
  </conditionalFormatting>
  <conditionalFormatting sqref="K111 K113:K127 K129:K145 K147:K163 K165:K173 K175:K183 K185:K189 K191:K204 K206:K214 K216:K220 K222:K234 K236:K243 K245:K252 K354:K357 K363:K367 K759:K766 K768:K769 K998:K999 K1001 K1098:K1106 K1642:K1643 K1645:K1666">
    <cfRule type="containsText" dxfId="95" priority="94" operator="containsText" text="!">
      <formula>NOT(ISERROR(SEARCH("!",K111)))</formula>
    </cfRule>
  </conditionalFormatting>
  <conditionalFormatting sqref="K255 K263:K271 K273 K279 K289 J302:K310 K312 K314:K316 K338 K341 K376 K384 K392 K406:K407 K414:K415 K429:K432 K442 K450:K451 K516:K517 K519 K522 K532 K545:K548 K559:K562 K575:K580 J581:K591 K594:K600 K602:K605 K607:K610 J634:K639 K643:K657 K1683:K1691 J1692:K1704 K434:K436 K612:K613 K565:K573 K257:K260">
    <cfRule type="cellIs" dxfId="94" priority="95" operator="equal">
      <formula>0</formula>
    </cfRule>
  </conditionalFormatting>
  <conditionalFormatting sqref="K297:K310 K374:K379 K381:K384 K387:K392 K394:K412 K414:K420 K425:K432 K449:K452 K559:K562 K594:K605 K634:K639 K641:K657 K1682:K1691 K434:K446 K513:K523 K565:K591 K525:K537">
    <cfRule type="containsText" dxfId="93" priority="96" operator="containsText" text="!">
      <formula>NOT(ISERROR(SEARCH("!",K297)))</formula>
    </cfRule>
  </conditionalFormatting>
  <conditionalFormatting sqref="K349:K352">
    <cfRule type="containsText" dxfId="92" priority="110" operator="containsText" text="!">
      <formula>NOT(ISERROR(SEARCH("!",K349)))</formula>
    </cfRule>
  </conditionalFormatting>
  <conditionalFormatting sqref="K359:K361">
    <cfRule type="containsText" dxfId="91" priority="108" operator="containsText" text="!">
      <formula>NOT(ISERROR(SEARCH("!",K359)))</formula>
    </cfRule>
  </conditionalFormatting>
  <conditionalFormatting sqref="K369:K373">
    <cfRule type="containsText" dxfId="90" priority="91" operator="containsText" text="!">
      <formula>NOT(ISERROR(SEARCH("!",K369)))</formula>
    </cfRule>
  </conditionalFormatting>
  <conditionalFormatting sqref="K418:K425">
    <cfRule type="cellIs" dxfId="89" priority="88" operator="equal">
      <formula>0</formula>
    </cfRule>
  </conditionalFormatting>
  <conditionalFormatting sqref="K421:K424">
    <cfRule type="containsText" dxfId="88" priority="89" operator="containsText" text="!">
      <formula>NOT(ISERROR(SEARCH("!",K421)))</formula>
    </cfRule>
  </conditionalFormatting>
  <conditionalFormatting sqref="K615:K629 J1108:J1360 K1272:K1333">
    <cfRule type="cellIs" dxfId="87" priority="92" operator="equal">
      <formula>0</formula>
    </cfRule>
  </conditionalFormatting>
  <conditionalFormatting sqref="K855:K863">
    <cfRule type="containsText" dxfId="86" priority="106" operator="containsText" text="!">
      <formula>NOT(ISERROR(SEARCH("!",K855)))</formula>
    </cfRule>
  </conditionalFormatting>
  <conditionalFormatting sqref="K832:K847">
    <cfRule type="cellIs" dxfId="85" priority="105" operator="equal">
      <formula>0</formula>
    </cfRule>
  </conditionalFormatting>
  <conditionalFormatting sqref="K1005:K1006">
    <cfRule type="containsText" dxfId="84" priority="71" operator="containsText" text="!">
      <formula>NOT(ISERROR(SEARCH("!",K1005)))</formula>
    </cfRule>
  </conditionalFormatting>
  <conditionalFormatting sqref="K1085:K1095 K1017:K1021">
    <cfRule type="containsText" dxfId="83" priority="104" operator="containsText" text="!">
      <formula>NOT(ISERROR(SEARCH("!",K1017)))</formula>
    </cfRule>
  </conditionalFormatting>
  <conditionalFormatting sqref="K1090:K1092">
    <cfRule type="cellIs" dxfId="82" priority="103" operator="equal">
      <formula>0</formula>
    </cfRule>
  </conditionalFormatting>
  <conditionalFormatting sqref="K1362:K1364">
    <cfRule type="containsText" dxfId="81" priority="80" operator="containsText" text="!">
      <formula>NOT(ISERROR(SEARCH("!",K1362)))</formula>
    </cfRule>
  </conditionalFormatting>
  <conditionalFormatting sqref="K1400">
    <cfRule type="cellIs" dxfId="80" priority="101" operator="equal">
      <formula>0</formula>
    </cfRule>
  </conditionalFormatting>
  <conditionalFormatting sqref="K1400 K1402:K1407">
    <cfRule type="containsText" dxfId="79" priority="102" operator="containsText" text="!">
      <formula>NOT(ISERROR(SEARCH("!",K1400)))</formula>
    </cfRule>
  </conditionalFormatting>
  <conditionalFormatting sqref="K1408:K1409">
    <cfRule type="containsText" dxfId="78" priority="93" operator="containsText" text="!">
      <formula>NOT(ISERROR(SEARCH("!",K1408)))</formula>
    </cfRule>
  </conditionalFormatting>
  <conditionalFormatting sqref="K1414:K1423 K1612:K1625 K1425:K1441">
    <cfRule type="containsText" dxfId="77" priority="100" operator="containsText" text="!">
      <formula>NOT(ISERROR(SEARCH("!",K1414)))</formula>
    </cfRule>
  </conditionalFormatting>
  <conditionalFormatting sqref="K1623">
    <cfRule type="cellIs" dxfId="76" priority="99" operator="equal">
      <formula>0</formula>
    </cfRule>
  </conditionalFormatting>
  <conditionalFormatting sqref="K1626:K1630">
    <cfRule type="cellIs" dxfId="75" priority="97" operator="equal">
      <formula>0</formula>
    </cfRule>
  </conditionalFormatting>
  <conditionalFormatting sqref="K1626:K1636 K1640">
    <cfRule type="containsText" dxfId="74" priority="98" operator="containsText" text="!">
      <formula>NOT(ISERROR(SEARCH("!",K1626)))</formula>
    </cfRule>
  </conditionalFormatting>
  <conditionalFormatting sqref="K1637:K1638">
    <cfRule type="containsText" dxfId="73" priority="77" operator="containsText" text="!">
      <formula>NOT(ISERROR(SEARCH("!",K1637)))</formula>
    </cfRule>
  </conditionalFormatting>
  <conditionalFormatting sqref="L560:O560">
    <cfRule type="containsText" dxfId="72" priority="149" operator="containsText" text="!">
      <formula>NOT(ISERROR(SEARCH("!",L560)))</formula>
    </cfRule>
  </conditionalFormatting>
  <conditionalFormatting sqref="K312:K316 I1235 J1442:K1455">
    <cfRule type="containsText" dxfId="71" priority="150" operator="containsText" text="!">
      <formula>NOT(ISERROR(SEARCH("!",I312)))</formula>
    </cfRule>
  </conditionalFormatting>
  <conditionalFormatting sqref="K509:K512">
    <cfRule type="containsText" dxfId="70" priority="70" operator="containsText" text="!">
      <formula>NOT(ISERROR(SEARCH("!",K509)))</formula>
    </cfRule>
  </conditionalFormatting>
  <conditionalFormatting sqref="K524">
    <cfRule type="containsText" dxfId="69" priority="69" operator="containsText" text="!">
      <formula>NOT(ISERROR(SEARCH("!",K524)))</formula>
    </cfRule>
  </conditionalFormatting>
  <conditionalFormatting sqref="J611">
    <cfRule type="cellIs" dxfId="68" priority="67" operator="equal">
      <formula>0</formula>
    </cfRule>
  </conditionalFormatting>
  <conditionalFormatting sqref="J611:K611">
    <cfRule type="containsText" dxfId="67" priority="68" operator="containsText" text="!">
      <formula>NOT(ISERROR(SEARCH("!",J611)))</formula>
    </cfRule>
  </conditionalFormatting>
  <conditionalFormatting sqref="K611">
    <cfRule type="cellIs" dxfId="66" priority="66" operator="equal">
      <formula>0</formula>
    </cfRule>
  </conditionalFormatting>
  <conditionalFormatting sqref="K630:K632">
    <cfRule type="containsText" dxfId="65" priority="65" operator="containsText" text="!">
      <formula>NOT(ISERROR(SEARCH("!",K630)))</formula>
    </cfRule>
  </conditionalFormatting>
  <conditionalFormatting sqref="K695:K697">
    <cfRule type="containsText" dxfId="64" priority="64" operator="containsText" text="!">
      <formula>NOT(ISERROR(SEARCH("!",K695)))</formula>
    </cfRule>
  </conditionalFormatting>
  <conditionalFormatting sqref="K852:K854">
    <cfRule type="containsText" dxfId="63" priority="63" operator="containsText" text="!">
      <formula>NOT(ISERROR(SEARCH("!",K852)))</formula>
    </cfRule>
  </conditionalFormatting>
  <conditionalFormatting sqref="K1600:K1611">
    <cfRule type="containsText" dxfId="62" priority="60" operator="containsText" text="!">
      <formula>NOT(ISERROR(SEARCH("!",K1600)))</formula>
    </cfRule>
  </conditionalFormatting>
  <conditionalFormatting sqref="J1600:J1611">
    <cfRule type="cellIs" dxfId="61" priority="61" operator="equal">
      <formula>0</formula>
    </cfRule>
  </conditionalFormatting>
  <conditionalFormatting sqref="J1600:J1611">
    <cfRule type="containsText" dxfId="60" priority="62" operator="containsText" text="!">
      <formula>NOT(ISERROR(SEARCH("!",J1600)))</formula>
    </cfRule>
  </conditionalFormatting>
  <conditionalFormatting sqref="J1401">
    <cfRule type="cellIs" dxfId="59" priority="58" operator="equal">
      <formula>0</formula>
    </cfRule>
  </conditionalFormatting>
  <conditionalFormatting sqref="J1401">
    <cfRule type="containsText" dxfId="58" priority="59" operator="containsText" text="!">
      <formula>NOT(ISERROR(SEARCH("!",J1401)))</formula>
    </cfRule>
  </conditionalFormatting>
  <conditionalFormatting sqref="K1401">
    <cfRule type="cellIs" dxfId="57" priority="56" operator="equal">
      <formula>0</formula>
    </cfRule>
  </conditionalFormatting>
  <conditionalFormatting sqref="K1401">
    <cfRule type="containsText" dxfId="56" priority="57" operator="containsText" text="!">
      <formula>NOT(ISERROR(SEARCH("!",K1401)))</formula>
    </cfRule>
  </conditionalFormatting>
  <conditionalFormatting sqref="J17:J28">
    <cfRule type="cellIs" dxfId="55" priority="54" operator="equal">
      <formula>0</formula>
    </cfRule>
  </conditionalFormatting>
  <conditionalFormatting sqref="J17:J28">
    <cfRule type="containsText" dxfId="54" priority="55" operator="containsText" text="!">
      <formula>NOT(ISERROR(SEARCH("!",J17)))</formula>
    </cfRule>
  </conditionalFormatting>
  <conditionalFormatting sqref="J38">
    <cfRule type="cellIs" dxfId="53" priority="52" operator="equal">
      <formula>0</formula>
    </cfRule>
  </conditionalFormatting>
  <conditionalFormatting sqref="J38">
    <cfRule type="containsText" dxfId="52" priority="53" operator="containsText" text="!">
      <formula>NOT(ISERROR(SEARCH("!",J38)))</formula>
    </cfRule>
  </conditionalFormatting>
  <conditionalFormatting sqref="J29:J37">
    <cfRule type="cellIs" dxfId="51" priority="50" operator="equal">
      <formula>0</formula>
    </cfRule>
  </conditionalFormatting>
  <conditionalFormatting sqref="J29:J37">
    <cfRule type="containsText" dxfId="50" priority="51" operator="containsText" text="!">
      <formula>NOT(ISERROR(SEARCH("!",J29)))</formula>
    </cfRule>
  </conditionalFormatting>
  <conditionalFormatting sqref="K453">
    <cfRule type="cellIs" dxfId="49" priority="48" operator="equal">
      <formula>0</formula>
    </cfRule>
  </conditionalFormatting>
  <conditionalFormatting sqref="K453:K454">
    <cfRule type="containsText" dxfId="48" priority="49" operator="containsText" text="!">
      <formula>NOT(ISERROR(SEARCH("!",K453)))</formula>
    </cfRule>
  </conditionalFormatting>
  <conditionalFormatting sqref="J110">
    <cfRule type="containsText" dxfId="47" priority="47" operator="containsText" text="!">
      <formula>NOT(ISERROR(SEARCH("!",J110)))</formula>
    </cfRule>
  </conditionalFormatting>
  <conditionalFormatting sqref="K1599">
    <cfRule type="containsText" dxfId="46" priority="44" operator="containsText" text="!">
      <formula>NOT(ISERROR(SEARCH("!",K1599)))</formula>
    </cfRule>
  </conditionalFormatting>
  <conditionalFormatting sqref="J1599">
    <cfRule type="cellIs" dxfId="45" priority="45" operator="equal">
      <formula>0</formula>
    </cfRule>
  </conditionalFormatting>
  <conditionalFormatting sqref="J1599">
    <cfRule type="containsText" dxfId="44" priority="46" operator="containsText" text="!">
      <formula>NOT(ISERROR(SEARCH("!",J1599)))</formula>
    </cfRule>
  </conditionalFormatting>
  <conditionalFormatting sqref="J1456:J1462 J1593">
    <cfRule type="cellIs" dxfId="43" priority="42" operator="equal">
      <formula>0</formula>
    </cfRule>
  </conditionalFormatting>
  <conditionalFormatting sqref="J1456:J1462 J1593">
    <cfRule type="containsText" dxfId="42" priority="43" operator="containsText" text="!">
      <formula>NOT(ISERROR(SEARCH("!",J1456)))</formula>
    </cfRule>
  </conditionalFormatting>
  <conditionalFormatting sqref="K1594:K1598">
    <cfRule type="containsText" dxfId="41" priority="39" operator="containsText" text="!">
      <formula>NOT(ISERROR(SEARCH("!",K1594)))</formula>
    </cfRule>
  </conditionalFormatting>
  <conditionalFormatting sqref="J1594:J1598">
    <cfRule type="cellIs" dxfId="40" priority="40" operator="equal">
      <formula>0</formula>
    </cfRule>
  </conditionalFormatting>
  <conditionalFormatting sqref="J1594:J1598">
    <cfRule type="containsText" dxfId="39" priority="41" operator="containsText" text="!">
      <formula>NOT(ISERROR(SEARCH("!",J1594)))</formula>
    </cfRule>
  </conditionalFormatting>
  <conditionalFormatting sqref="J1667">
    <cfRule type="containsText" dxfId="38" priority="38" operator="containsText" text="!">
      <formula>NOT(ISERROR(SEARCH("!",J1667)))</formula>
    </cfRule>
  </conditionalFormatting>
  <conditionalFormatting sqref="K1668:K1679">
    <cfRule type="containsText" dxfId="37" priority="37" operator="containsText" text="!">
      <formula>NOT(ISERROR(SEARCH("!",K1668)))</formula>
    </cfRule>
  </conditionalFormatting>
  <conditionalFormatting sqref="J563:J564">
    <cfRule type="cellIs" dxfId="36" priority="35" operator="equal">
      <formula>0</formula>
    </cfRule>
  </conditionalFormatting>
  <conditionalFormatting sqref="J563:J564">
    <cfRule type="containsText" dxfId="35" priority="36" operator="containsText" text="!">
      <formula>NOT(ISERROR(SEARCH("!",J563)))</formula>
    </cfRule>
  </conditionalFormatting>
  <conditionalFormatting sqref="K563">
    <cfRule type="cellIs" dxfId="34" priority="33" operator="equal">
      <formula>0</formula>
    </cfRule>
  </conditionalFormatting>
  <conditionalFormatting sqref="K563">
    <cfRule type="containsText" dxfId="33" priority="34" operator="containsText" text="!">
      <formula>NOT(ISERROR(SEARCH("!",K563)))</formula>
    </cfRule>
  </conditionalFormatting>
  <conditionalFormatting sqref="K564">
    <cfRule type="cellIs" dxfId="32" priority="31" operator="equal">
      <formula>0</formula>
    </cfRule>
  </conditionalFormatting>
  <conditionalFormatting sqref="K564">
    <cfRule type="containsText" dxfId="31" priority="32" operator="containsText" text="!">
      <formula>NOT(ISERROR(SEARCH("!",K564)))</formula>
    </cfRule>
  </conditionalFormatting>
  <conditionalFormatting sqref="J685">
    <cfRule type="containsText" dxfId="30" priority="30" operator="containsText" text="!">
      <formula>NOT(ISERROR(SEARCH("!",J685)))</formula>
    </cfRule>
  </conditionalFormatting>
  <conditionalFormatting sqref="J685">
    <cfRule type="cellIs" dxfId="29" priority="29" operator="equal">
      <formula>0</formula>
    </cfRule>
  </conditionalFormatting>
  <conditionalFormatting sqref="J687">
    <cfRule type="containsText" dxfId="28" priority="28" operator="containsText" text="!">
      <formula>NOT(ISERROR(SEARCH("!",J687)))</formula>
    </cfRule>
  </conditionalFormatting>
  <conditionalFormatting sqref="J687">
    <cfRule type="cellIs" dxfId="27" priority="27" operator="equal">
      <formula>0</formula>
    </cfRule>
  </conditionalFormatting>
  <conditionalFormatting sqref="J1362:J1364">
    <cfRule type="cellIs" dxfId="26" priority="25" operator="equal">
      <formula>0</formula>
    </cfRule>
  </conditionalFormatting>
  <conditionalFormatting sqref="J1362:J1364">
    <cfRule type="containsText" dxfId="25" priority="26" operator="containsText" text="!">
      <formula>NOT(ISERROR(SEARCH("!",J1362)))</formula>
    </cfRule>
  </conditionalFormatting>
  <conditionalFormatting sqref="J677">
    <cfRule type="cellIs" dxfId="24" priority="23" operator="equal">
      <formula>0</formula>
    </cfRule>
  </conditionalFormatting>
  <conditionalFormatting sqref="J677">
    <cfRule type="containsText" dxfId="23" priority="24" operator="containsText" text="!">
      <formula>NOT(ISERROR(SEARCH("!",J677)))</formula>
    </cfRule>
  </conditionalFormatting>
  <conditionalFormatting sqref="J670">
    <cfRule type="containsText" dxfId="22" priority="22" operator="containsText" text="!">
      <formula>NOT(ISERROR(SEARCH("!",J670)))</formula>
    </cfRule>
  </conditionalFormatting>
  <conditionalFormatting sqref="J670">
    <cfRule type="cellIs" dxfId="21" priority="21" operator="equal">
      <formula>0</formula>
    </cfRule>
  </conditionalFormatting>
  <conditionalFormatting sqref="J672">
    <cfRule type="containsText" dxfId="20" priority="20" operator="containsText" text="!">
      <formula>NOT(ISERROR(SEARCH("!",J672)))</formula>
    </cfRule>
  </conditionalFormatting>
  <conditionalFormatting sqref="J672">
    <cfRule type="cellIs" dxfId="19" priority="19" operator="equal">
      <formula>0</formula>
    </cfRule>
  </conditionalFormatting>
  <conditionalFormatting sqref="K795:K798">
    <cfRule type="containsText" dxfId="18" priority="18" operator="containsText" text="!">
      <formula>NOT(ISERROR(SEARCH("!",K795)))</formula>
    </cfRule>
  </conditionalFormatting>
  <conditionalFormatting sqref="J796:J798">
    <cfRule type="cellIs" dxfId="17" priority="16" operator="equal">
      <formula>0</formula>
    </cfRule>
  </conditionalFormatting>
  <conditionalFormatting sqref="J796:J798">
    <cfRule type="containsText" dxfId="16" priority="17" operator="containsText" text="!">
      <formula>NOT(ISERROR(SEARCH("!",J796)))</formula>
    </cfRule>
  </conditionalFormatting>
  <conditionalFormatting sqref="E1:E1048576">
    <cfRule type="duplicateValues" dxfId="15" priority="151"/>
  </conditionalFormatting>
  <conditionalFormatting sqref="J864">
    <cfRule type="cellIs" dxfId="14" priority="14" operator="equal">
      <formula>0</formula>
    </cfRule>
  </conditionalFormatting>
  <conditionalFormatting sqref="J864">
    <cfRule type="containsText" dxfId="13" priority="15" operator="containsText" text="!">
      <formula>NOT(ISERROR(SEARCH("!",J864)))</formula>
    </cfRule>
  </conditionalFormatting>
  <conditionalFormatting sqref="K864">
    <cfRule type="containsText" dxfId="12" priority="13" operator="containsText" text="!">
      <formula>NOT(ISERROR(SEARCH("!",K864)))</formula>
    </cfRule>
  </conditionalFormatting>
  <conditionalFormatting sqref="K1009:K1013">
    <cfRule type="containsText" dxfId="11" priority="12" operator="containsText" text="!">
      <formula>NOT(ISERROR(SEARCH("!",K1009)))</formula>
    </cfRule>
  </conditionalFormatting>
  <conditionalFormatting sqref="K1022:K1026">
    <cfRule type="containsText" dxfId="10" priority="11" operator="containsText" text="!">
      <formula>NOT(ISERROR(SEARCH("!",K1022)))</formula>
    </cfRule>
  </conditionalFormatting>
  <conditionalFormatting sqref="J1027">
    <cfRule type="cellIs" dxfId="9" priority="9" operator="equal">
      <formula>0</formula>
    </cfRule>
  </conditionalFormatting>
  <conditionalFormatting sqref="J1027">
    <cfRule type="containsText" dxfId="8" priority="10" operator="containsText" text="!">
      <formula>NOT(ISERROR(SEARCH("!",J1027)))</formula>
    </cfRule>
  </conditionalFormatting>
  <conditionalFormatting sqref="J1028:J1030">
    <cfRule type="cellIs" dxfId="7" priority="7" operator="equal">
      <formula>0</formula>
    </cfRule>
  </conditionalFormatting>
  <conditionalFormatting sqref="J1028:J1030">
    <cfRule type="containsText" dxfId="6" priority="8" operator="containsText" text="!">
      <formula>NOT(ISERROR(SEARCH("!",J1028)))</formula>
    </cfRule>
  </conditionalFormatting>
  <conditionalFormatting sqref="K1027:K1030">
    <cfRule type="containsText" dxfId="5" priority="6" operator="containsText" text="!">
      <formula>NOT(ISERROR(SEARCH("!",K1027)))</formula>
    </cfRule>
  </conditionalFormatting>
  <conditionalFormatting sqref="J1031:J1036">
    <cfRule type="cellIs" dxfId="4" priority="4" operator="equal">
      <formula>0</formula>
    </cfRule>
  </conditionalFormatting>
  <conditionalFormatting sqref="J1031:K1036">
    <cfRule type="containsText" dxfId="3" priority="5" operator="containsText" text="!">
      <formula>NOT(ISERROR(SEARCH("!",J1031)))</formula>
    </cfRule>
  </conditionalFormatting>
  <conditionalFormatting sqref="J1014:K1014">
    <cfRule type="containsText" dxfId="2" priority="3" operator="containsText" text="!">
      <formula>NOT(ISERROR(SEARCH("!",J1014)))</formula>
    </cfRule>
  </conditionalFormatting>
  <conditionalFormatting sqref="J1014">
    <cfRule type="cellIs" dxfId="1" priority="2" operator="equal">
      <formula>0</formula>
    </cfRule>
  </conditionalFormatting>
  <conditionalFormatting sqref="K1424">
    <cfRule type="containsText" dxfId="0" priority="1" operator="containsText" text="!">
      <formula>NOT(ISERROR(SEARCH("!",K1424)))</formula>
    </cfRule>
  </conditionalFormatting>
  <dataValidations count="1">
    <dataValidation type="list" allowBlank="1" showInputMessage="1" showErrorMessage="1" error="Выберите, пожалуйста, значение из списка" sqref="H1:O1" xr:uid="{069AC981-3440-4E05-8C74-C838D242D492}">
      <formula1>#REF!</formula1>
    </dataValidation>
  </dataValidations>
  <hyperlinks>
    <hyperlink ref="P301" location="'Стекл. перегородки'!A1" display="'Стекл. перегородки'!A1" xr:uid="{1357F890-B1CD-4C91-8FC8-37C067A842B0}"/>
    <hyperlink ref="P367" location="'Стекл. дв. полут в проем '!A1" display="'Стекл. дв. полут в проем '!A1" xr:uid="{EAE1B75C-FB64-47A1-A26A-97DDC623DDB7}"/>
    <hyperlink ref="P366" location="'Стекл. двери один в перегородку'!A1" display="'Стекл. двери один в перегородку'!A1" xr:uid="{20F2CDB5-6354-4289-B308-DA873AB703B0}"/>
    <hyperlink ref="P385" location="'Дерев. гл. скр. двери в проем'!A1" display="'Дерев. гл. скр. двери в проем'!A1" xr:uid="{BF5E42EA-CBBA-4AB6-9D88-0D54504368FF}"/>
    <hyperlink ref="P386" location="'Дерев. гл. двери в проем'!A1" display="'Дерев. гл. двери в проем'!A1" xr:uid="{DF3BCED4-EC6C-4924-931D-6B6B8385FCF9}"/>
    <hyperlink ref="P437" location="'Акустические потолки'!A1" display="'Акустические потолки'!A1" xr:uid="{6364B192-3BEB-4E43-81D1-77E7D4A95B92}"/>
    <hyperlink ref="P438" location="'Акустические потолки'!A1" display="'Акустические потолки'!A1" xr:uid="{A10B230D-9BDF-48E1-8B69-E7DD01A7AE1C}"/>
    <hyperlink ref="P439" location="'Акустические потолки'!A1" display="'Акустические потолки'!A1" xr:uid="{74C153BC-CB31-465B-8A0A-38220FA3684F}"/>
    <hyperlink ref="P440" location="'Акустические потолки'!A1" display="'Акустические потолки'!A1" xr:uid="{3BA924A2-78BF-429A-BE3F-3232769AED29}"/>
    <hyperlink ref="P297" location="'Бескаркасные двери и перегородк'!A1" display="см.лист &quot;Бескаркасные двери и перегородки&quot;" xr:uid="{7604281B-7003-4E86-BD42-3E216CD745F9}"/>
    <hyperlink ref="P298" location="'Бескаркасные двери и перегородк'!A1" display="см.лист &quot;Бескаркасные двери и перегородки&quot;" xr:uid="{E37F602D-4B3E-4547-B653-C10C3C5D5C68}"/>
    <hyperlink ref="P305" location="'Трансформируемая перегородка'!A1" display="см. лист &quot;Трансф. перег.&quot;" xr:uid="{8E2A3C3A-FB22-44EF-8F98-7AD6CFDE0E67}"/>
    <hyperlink ref="P306:P310" location="'Трансформируемая перегородка'!A1" display="см. лист &quot;Трансф. перег.&quot;" xr:uid="{D5DEBC0F-06A6-410C-9EDD-2581BF7A798E}"/>
    <hyperlink ref="P322" location="'Плитка СУ'!A1" display="вкладка Плитка СУ" xr:uid="{48018DA0-70B7-4DA6-B830-DC5FE747C473}"/>
    <hyperlink ref="P349" location="'Стекл двери в алюм. (2)'!A1" display="Вкладка &quot;Стекл двери а алюм.&quot;" xr:uid="{DCEEAB6B-DAED-4383-97A4-DBF98E2B70CF}"/>
    <hyperlink ref="P350:P351" location="'Стекл двери в алюм. (2)'!A1" display="Вкладка &quot;Стекл двери а алюм.&quot;" xr:uid="{BA62E017-6B4C-4920-9757-278FCE2928AA}"/>
    <hyperlink ref="P355" location="Броня!A1" display="вкладка &quot;Броня&quot;" xr:uid="{45851A47-BDBF-44E1-9C2E-D087EA2E65A1}"/>
    <hyperlink ref="P356" location="Броня!A1" display="вкладка &quot;Броня&quot;" xr:uid="{F6EA6CED-37BA-4C5F-B0C4-B0FC26D0874F}"/>
    <hyperlink ref="P539" location="Броня!A1" display="вкладка &quot;Броня&quot;" xr:uid="{DD0A4FE5-1C45-4798-8405-72F04591B401}"/>
    <hyperlink ref="P540" location="Броня!A1" display="вкладка &quot;Броня&quot;" xr:uid="{26E3EA65-9800-4129-8BD0-A8F5763F5A7E}"/>
    <hyperlink ref="P541:P542" location="Броня!A1" display="вкладка &quot;Броня&quot;" xr:uid="{2485646F-A9EF-4C91-9493-EEA4AFBF8589}"/>
    <hyperlink ref="P549" location="Броня!A1" display="вкладка &quot;Броня&quot;" xr:uid="{3DE03417-D45E-4386-A48A-8F4E0B0684FD}"/>
    <hyperlink ref="P550" location="Броня!A1" display="вкладка &quot;Броня&quot;" xr:uid="{747D2DC4-F7D3-459F-9CDE-E62B001D4931}"/>
    <hyperlink ref="P551" location="Броня!A1" display="вкладка &quot;Броня&quot;" xr:uid="{E4628DB4-43CC-4F2B-B422-7A8EE78E0574}"/>
    <hyperlink ref="P553" location="Броня!A1" display="вкладка &quot;Броня&quot;" xr:uid="{9E905FC9-19C3-47C1-A79C-F8ACE4F408A6}"/>
    <hyperlink ref="P556" location="Броня!A1" display="вкладка &quot;Броня&quot;" xr:uid="{1B62CD91-ED98-4117-BA95-A8FDF780C3AE}"/>
    <hyperlink ref="P552" location="Броня!A1" display="вкладка &quot;Броня&quot;" xr:uid="{7E23B487-B2A9-487E-9AF0-ACDB57407087}"/>
    <hyperlink ref="P554" location="Броня!A1" display="вкладка &quot;Броня&quot;" xr:uid="{5A4F93F9-EEFD-4E58-A48A-06FF9431B89C}"/>
    <hyperlink ref="P555" location="Броня!A1" display="вкладка &quot;Броня&quot;" xr:uid="{FFC5727B-9943-4DC6-9C84-53B9C00DD050}"/>
    <hyperlink ref="P557" location="Броня!A1" display="вкладка &quot;Броня&quot;" xr:uid="{7FE8C465-7850-494F-A72E-40F62D89DAA8}"/>
    <hyperlink ref="P359" location="'Бескаркасные двери и перегородк'!A1" display="см.лист &quot;Бескаркасные двери и перегородки&quot;" xr:uid="{0995C251-6996-4C1E-812A-653C055859B3}"/>
    <hyperlink ref="P360:P361" location="'Бескаркасные двери и перегородк'!A1" display="см.лист &quot;Бескаркасные двери и перегородки&quot;" xr:uid="{44943E25-D8AF-4E1F-BDD1-073D0BDB32FA}"/>
    <hyperlink ref="P363" location="'Стекл двери в алюм. (2)'!A1" display="Вкладка &quot;Стекл двери а алюм.&quot;" xr:uid="{C4C705DA-2CBB-4788-B017-0B4765B9C9A1}"/>
    <hyperlink ref="P364:P365" location="'Стекл двери в алюм. (2)'!A1" display="Вкладка &quot;Стекл двери а алюм.&quot;" xr:uid="{535822D1-E9CC-4403-A7DE-14A19F9E523D}"/>
    <hyperlink ref="P388" location="'Двери Kapelli'!A1" display="см. лист &quot;Двери Kapelli&quot;" xr:uid="{6B179E4F-A43F-4F8B-996E-DDF0FBED8600}"/>
    <hyperlink ref="P493" location="'Kerama Marazzi'!A1" display="см. лист &quot;Kerama Marazzi&quot;" xr:uid="{EC000F22-5278-449F-9EC4-9E7A53D54D9A}"/>
    <hyperlink ref="P497" location="'Ковровая плитка'!A1" display="'Ковровая плитка'!A1" xr:uid="{648D847F-8676-4AE9-9E5D-58CDBCF41C5F}"/>
    <hyperlink ref="P498:P500" location="'Ковровая плитка'!A1" display="'Ковровая плитка'!A1" xr:uid="{7BF5370C-1303-4022-99EB-63F9183C566D}"/>
    <hyperlink ref="P529" location="Фальшпол!A1" display="вкладка Фальшпол" xr:uid="{E1E261ED-A45A-4AA1-B3CA-CA2973F75514}"/>
    <hyperlink ref="P776" location="Радиаторы!A1" display="вкладка &quot;Радиаторы&quot;" xr:uid="{720A8B72-7DF7-47C6-9FE3-2A211487A005}"/>
    <hyperlink ref="P900:P904" location="Вентмашины!A1" display="см. вкладку &quot;вентмашины&quot;" xr:uid="{161FE975-A287-4A85-A2EE-26FBFC9A1CA5}"/>
    <hyperlink ref="P905" location="'Тепловые завесы'!A1" display="см. вкладку Тепловые завесы" xr:uid="{0FAB13C6-6FF2-477E-A256-1E36368530E7}"/>
    <hyperlink ref="P906:P908" location="'Тепловые завесы'!A1" display="см. вкладку Тепловые завесы" xr:uid="{A5547FEE-7682-4A68-B098-DEEAE8BC6340}"/>
    <hyperlink ref="P1098:P1106" location="'Щиты в сборе'!A1" display="см. вкладку Щиты в сборе" xr:uid="{F6C03CF8-2C49-44B5-9C4F-1565C553612F}"/>
    <hyperlink ref="P1398" location="'Розетки ДКС'!A1" display="см.розекти ДКС" xr:uid="{36E02391-085F-4FD2-835D-0593749A9C7C}"/>
    <hyperlink ref="P1399" location="'Розетки ДКС'!A1" display="см.розекти ДКС" xr:uid="{534CAFD5-F1C7-44F9-8E8C-4943DBAF5E09}"/>
    <hyperlink ref="P1408" location="'Розетки ДКС'!A1" display="см.розекти ДКС" xr:uid="{4DE15347-3E38-48FB-8AF1-A9F8C7E28C43}"/>
    <hyperlink ref="P1409" location="'Розетки ДКС'!A1" display="см.розекти ДКС" xr:uid="{143568CB-DF20-453A-8D3F-C00F539D2723}"/>
    <hyperlink ref="P1442" location="'Светильники ЭТМ'!A1" display="ООО &quot;ЭТМ&quot;" xr:uid="{2DAC5537-07D6-4909-86C4-A9AC2AAFDFAE}"/>
    <hyperlink ref="P1642" location="'Щиты в сборе'!A1" display="см вкладку щиты  сборе" xr:uid="{1259D7BA-84C8-41B6-8A6B-98A105697B03}"/>
    <hyperlink ref="P1643" location="'Щиты в сборе'!A1" display="см вкладку щиты  сборе" xr:uid="{F3350A58-72ED-49D0-B791-BD344768760E}"/>
    <hyperlink ref="P1017" location="' Кондиционеры бытовые'!A1" display="см. вкладку кондиционеры бытовые " xr:uid="{7F935D5C-677F-4D81-A37F-0DE0C3D3AB9F}"/>
    <hyperlink ref="P1456" location="'Светильники Профдед н'!A1" display="ООО ОКТАНТ (ТД ПРОФЛЕД)" xr:uid="{6CEC9E45-FD95-4323-908D-680D4CCC4043}"/>
    <hyperlink ref="P1457:P1463" location="'Светильники Профдед н'!A1" display="ООО ОКТАНТ (ТД ПРОФЛЕД)" xr:uid="{7C740B20-24FE-4F97-9BAE-26817CEFAE3B}"/>
    <hyperlink ref="P441" location="'Акустические потолки'!A1" display="'Акустические потолки'!A1" xr:uid="{E3C7B390-83D1-4A43-BD2D-B26BFEAB7297}"/>
    <hyperlink ref="P501" location="'ПВХ '!A1" display="ПВХ" xr:uid="{F1FB7348-CBA7-49F7-B533-9D7003E7CC42}"/>
    <hyperlink ref="P530" location="Фальшпол!A1" display="вкладка Фальшпол" xr:uid="{F3E57069-23D5-49B2-A6D9-A228CEBD2992}"/>
    <hyperlink ref="P326" location="Керамогранит!A1" display="Керамогранит" xr:uid="{F2BD7D0F-87A3-478B-82E2-EBAF8CD78C0D}"/>
    <hyperlink ref="P327:P330" location="Керамогранит!A1" display="Керамогранит" xr:uid="{77B121E8-5A2C-4ADE-BC9D-D59E67250361}"/>
    <hyperlink ref="P1464" location="Освещение!A1" display="Освещение Рефлекта" xr:uid="{CEE5EF7C-347B-4764-9B97-F2AFC6D960DA}"/>
    <hyperlink ref="P1465:P1592" location="Освещение!A1" display="Освещение Рефлекта" xr:uid="{BBEED287-86DD-4D5D-824A-4F65A6A4CB2B}"/>
    <hyperlink ref="P331" location="Керамогранит!A1" display="Керамогранит" xr:uid="{7EAC3DAA-139A-4D06-8573-5846890ECD24}"/>
    <hyperlink ref="P332" location="Керамогранит!A1" display="Керамогранит" xr:uid="{2D01C2C6-2DC7-495B-B948-4A0D605A0B9F}"/>
    <hyperlink ref="P1637" location="'Лючек напольный.'!A1" display="вкладка &quot;Лючек напольный&quot;" xr:uid="{D6E672A2-AF33-44CF-98A2-AA02383FAB8F}"/>
    <hyperlink ref="P795" location="Радиаторы!A1" display="вкладка &quot;Радиаторы&quot;" xr:uid="{5B093391-C6BB-4092-B987-7BBC6164C6C4}"/>
    <hyperlink ref="P829:P831" location="Радиаторы!A1" display="вкладка &quot;Радиаторы&quot;" xr:uid="{F3DBCED2-DBC1-4D39-AC5E-40278EBA17AE}"/>
    <hyperlink ref="P796:P798" location="Радиаторы!A1" display="вкладка &quot;Радиаторы&quot;" xr:uid="{C5144C9A-1ED2-4B9B-8369-59F09D30462C}"/>
    <hyperlink ref="P1009" location="' Кондиционеры бытовые'!A1" display="см. вкладку кондиционеры бытовые " xr:uid="{635D64D7-63AF-4126-9035-B7FDFF31ADD5}"/>
    <hyperlink ref="P1010:P1013" location="' Кондиционеры бытовые'!A1" display="см. вкладку кондиционеры бытовые " xr:uid="{B0DC83C4-95ED-44A1-9A26-5A5626D9357D}"/>
    <hyperlink ref="P1018:P1026" location="' Кондиционеры бытовые'!A1" display="см. вкладку кондиционеры бытовые " xr:uid="{9959D63F-0C8A-4330-A220-D3ACEEC90AF7}"/>
    <hyperlink ref="P1037" location="'Кондиционеры Haier VRF'!A1" display="Кондиционеры Haier VRF" xr:uid="{84DD1219-52A3-44CA-B87D-4282D1235BA8}"/>
    <hyperlink ref="P1038:P1050" location="'Кондиционеры Haier VRF'!A1" display="Кондиционеры Haier VRF" xr:uid="{6F8C9D44-562C-458C-A9D6-2B468CD6571D}"/>
    <hyperlink ref="P1051" location="'Кондиционеры MDV VRF'!A1" display="Кондиционеры MDV VRF" xr:uid="{8781FEAA-E98D-42A3-A78E-8F3D4C4ADE02}"/>
    <hyperlink ref="P1052:P1058" location="'Кондиционеры MDV VRF'!A1" display="Кондиционеры MDV VRF" xr:uid="{1E5B1CF7-E478-4143-9AD7-A2F210C0C291}"/>
    <hyperlink ref="P1059:P1066" location="'Кондиционеры MDV VRF'!A1" display="Кондиционеры MDV VRF" xr:uid="{C883140C-C25F-4E74-A12B-2E9F793B7C14}"/>
    <hyperlink ref="P1067:P1069" location="'Кондиционеры Haier VRF'!A1" display="Кондиционеры Haier VRF" xr:uid="{97883B2A-7A9E-4C0B-B7E7-742CC0C52CDD}"/>
    <hyperlink ref="P1073:P1074" location="'Кондиционеры Haier VRF'!A1" display="Кондиционеры Haier VRF" xr:uid="{ED8F7378-DFD9-4702-B949-B054786A8A12}"/>
    <hyperlink ref="P1070:P1072" location="'Кондиционеры MDV VRF'!A1" display="Кондиционеры MDV VRF" xr:uid="{D8439B1B-9830-4E72-96CD-24D2A43D58AE}"/>
    <hyperlink ref="P1075:P1079" location="'Кондиционеры MDV VRF'!A1" display="Кондиционеры MDV VRF" xr:uid="{1778BF65-B57C-4866-9D16-08C2565586CC}"/>
    <hyperlink ref="P1027:P1036" location="' Кондиционеры бытовые'!A1" display="см. вкладку кондиционеры бытовые " xr:uid="{CE9A75FC-8152-4DC9-97BD-53703116BB93}"/>
    <hyperlink ref="P1361" location="Сантехника!A1" display="см. лист &quot;Сантехника&quot;" xr:uid="{E1519888-67CF-4759-B74D-F6697578FD66}"/>
    <hyperlink ref="P669:P687" location="Сантехника!A1" display="см. лист &quot;Сантехника&quot;" xr:uid="{298F984C-27DA-4167-979F-BD95F54AE82F}"/>
  </hyperlinks>
  <pageMargins left="0.70866141732283472" right="0.70866141732283472" top="0.74803149606299213" bottom="0.74803149606299213" header="0.31496062992125984" footer="0.31496062992125984"/>
  <pageSetup paperSize="9" scale="57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15</xdr:col>
                <xdr:colOff>53340</xdr:colOff>
                <xdr:row>1691</xdr:row>
                <xdr:rowOff>45720</xdr:rowOff>
              </from>
              <to>
                <xdr:col>15</xdr:col>
                <xdr:colOff>396240</xdr:colOff>
                <xdr:row>1691</xdr:row>
                <xdr:rowOff>327660</xdr:rowOff>
              </to>
            </anchor>
          </objectPr>
        </oleObject>
      </mc:Choice>
      <mc:Fallback>
        <oleObject progId="PBrush" shapeId="1025" r:id="rId4"/>
      </mc:Fallback>
    </mc:AlternateContent>
    <mc:AlternateContent xmlns:mc="http://schemas.openxmlformats.org/markup-compatibility/2006">
      <mc:Choice Requires="x14">
        <oleObject progId="PBrush" shapeId="1026" r:id="rId6">
          <objectPr defaultSize="0" autoPict="0" r:id="rId7">
            <anchor moveWithCells="1" sizeWithCells="1">
              <from>
                <xdr:col>15</xdr:col>
                <xdr:colOff>91440</xdr:colOff>
                <xdr:row>1694</xdr:row>
                <xdr:rowOff>30480</xdr:rowOff>
              </from>
              <to>
                <xdr:col>15</xdr:col>
                <xdr:colOff>381000</xdr:colOff>
                <xdr:row>1694</xdr:row>
                <xdr:rowOff>327660</xdr:rowOff>
              </to>
            </anchor>
          </objectPr>
        </oleObject>
      </mc:Choice>
      <mc:Fallback>
        <oleObject progId="PBrush" shapeId="1026" r:id="rId6"/>
      </mc:Fallback>
    </mc:AlternateContent>
    <mc:AlternateContent xmlns:mc="http://schemas.openxmlformats.org/markup-compatibility/2006">
      <mc:Choice Requires="x14">
        <oleObject progId="PBrush" shapeId="1027" r:id="rId8">
          <objectPr defaultSize="0" autoPict="0" r:id="rId9">
            <anchor moveWithCells="1" sizeWithCells="1">
              <from>
                <xdr:col>15</xdr:col>
                <xdr:colOff>53340</xdr:colOff>
                <xdr:row>1694</xdr:row>
                <xdr:rowOff>327660</xdr:rowOff>
              </from>
              <to>
                <xdr:col>15</xdr:col>
                <xdr:colOff>403860</xdr:colOff>
                <xdr:row>1695</xdr:row>
                <xdr:rowOff>335280</xdr:rowOff>
              </to>
            </anchor>
          </objectPr>
        </oleObject>
      </mc:Choice>
      <mc:Fallback>
        <oleObject progId="PBrush" shapeId="1027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Смета ЕР (общ)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2026-08-27T12:29:54Z</dcterms:created>
  <dcterms:modified xsi:type="dcterms:W3CDTF">2026-08-27T12:50:24Z</dcterms:modified>
</cp:coreProperties>
</file>