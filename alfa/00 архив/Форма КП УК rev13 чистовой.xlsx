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01"/>
  <workbookPr/>
  <mc:AlternateContent xmlns:mc="http://schemas.openxmlformats.org/markup-compatibility/2006">
    <mc:Choice Requires="x15">
      <x15ac:absPath xmlns:x15ac="http://schemas.microsoft.com/office/spreadsheetml/2010/11/ac" url="D:\diploma\alfa\"/>
    </mc:Choice>
  </mc:AlternateContent>
  <xr:revisionPtr revIDLastSave="0" documentId="13_ncr:1_{420BDCD3-E66D-498C-ADAF-2A8DED21B24B}" xr6:coauthVersionLast="45" xr6:coauthVersionMax="45" xr10:uidLastSave="{00000000-0000-0000-0000-000000000000}"/>
  <bookViews>
    <workbookView xWindow="-108" yWindow="-108" windowWidth="23256" windowHeight="12576" xr2:uid="{00000000-000D-0000-FFFF-FFFF00000000}"/>
  </bookViews>
  <sheets>
    <sheet name="Форма КП" sheetId="1" r:id="rId1"/>
  </sheets>
  <definedNames>
    <definedName name="_xlnm._FilterDatabase" localSheetId="0" hidden="1">'Форма КП'!$A$16:$H$225</definedName>
    <definedName name="valuevx">42.314159</definedName>
    <definedName name="vertex42_copyright" hidden="1">"© 2009-2018 by Vertex42.com"</definedName>
    <definedName name="vertex42_id" hidden="1">"divisional-org-chart.xlsx"</definedName>
    <definedName name="vertex42_title" hidden="1">"Divisional Organizational Chart Template"</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160" i="1" l="1"/>
  <c r="G99" i="1" l="1"/>
  <c r="G90" i="1"/>
  <c r="G88" i="1"/>
  <c r="G188" i="1"/>
  <c r="G32" i="1"/>
  <c r="G38" i="1" l="1"/>
  <c r="F194" i="1" l="1"/>
  <c r="E194" i="1"/>
  <c r="G178" i="1"/>
  <c r="G19" i="1"/>
  <c r="G20" i="1"/>
  <c r="G21" i="1"/>
  <c r="G22" i="1"/>
  <c r="G23" i="1"/>
  <c r="G24" i="1"/>
  <c r="G25" i="1"/>
  <c r="G44" i="1"/>
  <c r="G45" i="1"/>
  <c r="G46" i="1"/>
  <c r="G48" i="1"/>
  <c r="G49" i="1"/>
  <c r="G50" i="1"/>
  <c r="G52" i="1"/>
  <c r="G53" i="1"/>
  <c r="G54" i="1"/>
  <c r="G56" i="1"/>
  <c r="G57" i="1"/>
  <c r="G58" i="1"/>
  <c r="G60" i="1"/>
  <c r="G61" i="1"/>
  <c r="G62" i="1"/>
  <c r="G40" i="1"/>
  <c r="G41" i="1"/>
  <c r="G42" i="1"/>
  <c r="G64" i="1"/>
  <c r="G65" i="1"/>
  <c r="G66" i="1"/>
  <c r="G28" i="1"/>
  <c r="G29" i="1"/>
  <c r="G30" i="1"/>
  <c r="G34" i="1"/>
  <c r="G35" i="1"/>
  <c r="G36" i="1"/>
  <c r="G72" i="1"/>
  <c r="G77" i="1"/>
  <c r="G73" i="1"/>
  <c r="G74" i="1"/>
  <c r="G75" i="1"/>
  <c r="G76" i="1"/>
  <c r="G81" i="1"/>
  <c r="G82" i="1"/>
  <c r="G83" i="1"/>
  <c r="G85" i="1"/>
  <c r="G86" i="1"/>
  <c r="G87" i="1"/>
  <c r="G89" i="1"/>
  <c r="G92" i="1"/>
  <c r="G93" i="1"/>
  <c r="G94" i="1"/>
  <c r="G96" i="1"/>
  <c r="G97" i="1"/>
  <c r="G98" i="1"/>
  <c r="G109" i="1"/>
  <c r="G110" i="1"/>
  <c r="G107" i="1"/>
  <c r="G108" i="1"/>
  <c r="G112" i="1"/>
  <c r="G113" i="1"/>
  <c r="G114" i="1"/>
  <c r="G116" i="1"/>
  <c r="G117" i="1"/>
  <c r="G118" i="1"/>
  <c r="G119" i="1"/>
  <c r="G101" i="1"/>
  <c r="G102" i="1"/>
  <c r="G103" i="1"/>
  <c r="G104" i="1"/>
  <c r="G105" i="1"/>
  <c r="G123" i="1"/>
  <c r="G124" i="1"/>
  <c r="G126" i="1"/>
  <c r="G125" i="1"/>
  <c r="G127" i="1"/>
  <c r="G129" i="1"/>
  <c r="G130" i="1"/>
  <c r="G131" i="1"/>
  <c r="G133" i="1"/>
  <c r="G137" i="1"/>
  <c r="G138" i="1"/>
  <c r="G139" i="1"/>
  <c r="G140" i="1"/>
  <c r="G142" i="1"/>
  <c r="G143" i="1"/>
  <c r="G144" i="1"/>
  <c r="G146" i="1"/>
  <c r="G147" i="1"/>
  <c r="G148" i="1"/>
  <c r="G150" i="1"/>
  <c r="G151" i="1"/>
  <c r="G152" i="1"/>
  <c r="G153" i="1"/>
  <c r="G154" i="1"/>
  <c r="G155" i="1"/>
  <c r="G156" i="1"/>
  <c r="G164" i="1"/>
  <c r="G162" i="1"/>
  <c r="G163" i="1"/>
  <c r="G166" i="1"/>
  <c r="G167" i="1"/>
  <c r="G170" i="1"/>
  <c r="G171" i="1"/>
  <c r="G174" i="1"/>
  <c r="G175" i="1"/>
  <c r="G180" i="1"/>
  <c r="G181" i="1"/>
  <c r="G185" i="1"/>
  <c r="G183" i="1"/>
  <c r="G184" i="1"/>
  <c r="G187" i="1"/>
  <c r="G198" i="1"/>
  <c r="G196" i="1"/>
  <c r="G197" i="1"/>
  <c r="G199" i="1"/>
  <c r="G194" i="1" l="1"/>
  <c r="G68" i="1"/>
  <c r="B16" i="1"/>
  <c r="C16" i="1" s="1"/>
  <c r="D16" i="1" s="1"/>
  <c r="E16" i="1" s="1"/>
  <c r="F16" i="1" s="1"/>
  <c r="G16" i="1" s="1"/>
  <c r="H16" i="1" s="1"/>
  <c r="G121" i="1" l="1"/>
  <c r="G26" i="1"/>
  <c r="G79" i="1"/>
  <c r="G17" i="1"/>
  <c r="G135" i="1"/>
</calcChain>
</file>

<file path=xl/sharedStrings.xml><?xml version="1.0" encoding="utf-8"?>
<sst xmlns="http://schemas.openxmlformats.org/spreadsheetml/2006/main" count="380" uniqueCount="375">
  <si>
    <t>ЗАКАЗЧИК:</t>
  </si>
  <si>
    <t>ОБЪЕКТ:</t>
  </si>
  <si>
    <t>мультимедийный центр, г. Москва</t>
  </si>
  <si>
    <t>Адрес:</t>
  </si>
  <si>
    <t>г.Москва</t>
  </si>
  <si>
    <t>КОНКУРСНОЕ ПРЕДЛОЖЕНИЕ</t>
  </si>
  <si>
    <t>КОМПАНИЯ (полное наименование в т.ч. форма собственности):</t>
  </si>
  <si>
    <t>Юридический адрес:</t>
  </si>
  <si>
    <t>Электронный адрес:</t>
  </si>
  <si>
    <t>Контактное лицо  (Ф.И.О.) :</t>
  </si>
  <si>
    <t>Контактный телефон:</t>
  </si>
  <si>
    <t>Реквизиты:</t>
  </si>
  <si>
    <t>Сроки производства работ</t>
  </si>
  <si>
    <t>60 месяцев</t>
  </si>
  <si>
    <t>№</t>
  </si>
  <si>
    <t xml:space="preserve">Наименование работ </t>
  </si>
  <si>
    <t>Услуги управляющей компании</t>
  </si>
  <si>
    <t>Результаты услуг управляющей компании</t>
  </si>
  <si>
    <t xml:space="preserve">Дата начала работ </t>
  </si>
  <si>
    <t xml:space="preserve">Дата окончания </t>
  </si>
  <si>
    <t>Длительность, к.д.</t>
  </si>
  <si>
    <t>1.1</t>
  </si>
  <si>
    <t>Правовой анализ имущественного комплекса</t>
  </si>
  <si>
    <t>1.1.1 Собирает и актуализирует исходные данные по земельным участкам, зданиям, помещениям, ЕГРН, арендаторам и пользователям.</t>
  </si>
  <si>
    <t>1.1.2 Анализирует состав ЗУ, права на здание кинотеатра и статус помещений Доходного дома. Оценивает риски, связанные со вторым собственником, последствиями консолидации прав и необходимостью переадресации объекта. Формирует юридически устойчивую модель реконструкции.</t>
  </si>
  <si>
    <t>1.1.4 Проводит комплексный анализ ПЗЗ, Генерального плана Москвы, ППТ/ПМТ, красных линий, ЗОУИТ и ограничений исторического центра. Оценивает влияние пешеходных и транспортных потоков, а также техническую возможность эксплуатации кровли под общественные зоны</t>
  </si>
  <si>
    <t>1.1.6 Готовит дорожную карту, матрицу ответственности участников проекта, регламенты, контроль сроков, бюджета, рисков и решений.</t>
  </si>
  <si>
    <t>1.1.7 Формирует первичную карту затрат, определяет лимиты по концептуальному блоку, изысканиям и обследованиям, закладывает базовые финансовые резервы на непредвиденные риски</t>
  </si>
  <si>
    <t>Инженерно-геологические, гидрологические и экологические изыскания</t>
  </si>
  <si>
    <t>Техническое обследование строительных конструкций</t>
  </si>
  <si>
    <t>Техническое обследование строительных конструкций зоны влияния</t>
  </si>
  <si>
    <t>Историко-культурные изыскания</t>
  </si>
  <si>
    <t>Изучение и систематизация материалов инженерно-геологических изысканий прошлых лет</t>
  </si>
  <si>
    <t>Этап - Архитектурная концепция и согласование</t>
  </si>
  <si>
    <t>2.1</t>
  </si>
  <si>
    <t>2.1.1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</si>
  <si>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2.1.2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</si>
  <si>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2.2</t>
  </si>
  <si>
    <t>2.3</t>
  </si>
  <si>
    <t>2.4</t>
  </si>
  <si>
    <t>Альбом АГР и ВПМ</t>
  </si>
  <si>
    <t>Свидетельство об утверждении АГР</t>
  </si>
  <si>
    <t xml:space="preserve">Этап - Получение ГПЗУ </t>
  </si>
  <si>
    <t>3.1</t>
  </si>
  <si>
    <t>Внесение изменений в ПЗЗ и ГПЗУ, сопровождение РГ и ГЗК</t>
  </si>
  <si>
    <t>3.2</t>
  </si>
  <si>
    <t>Этап - Выпуск Проектной документации стадии «Проект»</t>
  </si>
  <si>
    <t>4.1</t>
  </si>
  <si>
    <t>Проектная документация</t>
  </si>
  <si>
    <t>4.2</t>
  </si>
  <si>
    <t>Проект организации демонтажа</t>
  </si>
  <si>
    <t>Схема транспортного обеспечения объекта</t>
  </si>
  <si>
    <t>Мероприятия по обеспечению сохранности сооружений метрополитена с согласованием с ГУП "Московский метрополитен".</t>
  </si>
  <si>
    <t xml:space="preserve">Мероприятия по обеспечению сохранности подземных сооружений и инженерных коммуникаций </t>
  </si>
  <si>
    <t>4.7.c Мероприятия по сохранению подземных сооружений и коммуникаций</t>
  </si>
  <si>
    <t>Проект обеспечения сохранности ОКН, вкл. ГИКЭ и согласование ДКН</t>
  </si>
  <si>
    <t>Этап - Прохождение экспертизы и получение Разрешения на реконструкцию</t>
  </si>
  <si>
    <t>5.1</t>
  </si>
  <si>
    <t>Государственная экспертиза ПД и РИИ</t>
  </si>
  <si>
    <t>5.1.a Заявление в электронной форме (ЛК Застройщика)</t>
  </si>
  <si>
    <t>5.1.b Пакет проектной документации и изысканий</t>
  </si>
  <si>
    <t>5.2</t>
  </si>
  <si>
    <t>5.3</t>
  </si>
  <si>
    <t>Разрешение на реконструкцию</t>
  </si>
  <si>
    <t>5.4</t>
  </si>
  <si>
    <t xml:space="preserve">Этап - Реконструкция Объекта </t>
  </si>
  <si>
    <t>6.1</t>
  </si>
  <si>
    <t>Рабочая документация</t>
  </si>
  <si>
    <t>6.2</t>
  </si>
  <si>
    <t>Разработка дизайна и концепции интерьеров, рабочая документация на РСР</t>
  </si>
  <si>
    <t>6.3</t>
  </si>
  <si>
    <t>6.4</t>
  </si>
  <si>
    <t>Генеральный подряд, СМР</t>
  </si>
  <si>
    <t xml:space="preserve">Строительный контроль </t>
  </si>
  <si>
    <t xml:space="preserve">Автороский надзор иностранного архитектора </t>
  </si>
  <si>
    <t>Авторский надзор генерального проектировщика</t>
  </si>
  <si>
    <t>Аторский надзор дизайнера интерьеров</t>
  </si>
  <si>
    <t>Этап - Сдача Объекта, ЗОС, разрешение на ввод</t>
  </si>
  <si>
    <t>7.1</t>
  </si>
  <si>
    <t>7.2</t>
  </si>
  <si>
    <t>7.3</t>
  </si>
  <si>
    <t>Оформление паспорта БТИ всего комплекса зданий с учетом нового ОКС</t>
  </si>
  <si>
    <t>7.4</t>
  </si>
  <si>
    <t>Работы и услуги в течении реализации проекта</t>
  </si>
  <si>
    <t xml:space="preserve">Услуги технического заказчика </t>
  </si>
  <si>
    <t>ПЕРИОД РЕАЛИЗАЦИИ ПРОЕКТА</t>
  </si>
  <si>
    <t>Площадь объекта, м2</t>
  </si>
  <si>
    <t>Бонус УК за выполнение этапа, без НДС</t>
  </si>
  <si>
    <t>Ежемесячное вознаграждение, без НДС</t>
  </si>
  <si>
    <t>Вознаграждение УК за выполнение этапа (бонус)</t>
  </si>
  <si>
    <t>2.1.a Протокол о результатах закупки утвержден</t>
  </si>
  <si>
    <t>4.6.a Протокол о результатах закупки утвержден</t>
  </si>
  <si>
    <t>4.7.a Протокол о результатах закупки утвержден</t>
  </si>
  <si>
    <t>1.1.c Юридическое заключение о реализуемости проекта представлено</t>
  </si>
  <si>
    <t>1.1.d Аналитический отчёт по градостроительным ограничениям представлен</t>
  </si>
  <si>
    <t>1.1.e Заключение о необходимости изменения ПЗЗ представлено</t>
  </si>
  <si>
    <t>1.1.g Бюджетная структура проекта утверждена Застройщиком</t>
  </si>
  <si>
    <t>Буклет АГК, вкл. НПМ</t>
  </si>
  <si>
    <t>1.1.a Сведения ЕГРН актуализированы</t>
  </si>
  <si>
    <t>Демонтаж</t>
  </si>
  <si>
    <t>2.1.b Договор подписан и исполнен в полном объеме</t>
  </si>
  <si>
    <t>4.6.b Договор подписан и исполнен в полном объеме</t>
  </si>
  <si>
    <t>4.7.b Договор подписан и исполнен в полном объеме</t>
  </si>
  <si>
    <t>1.1.3 Анализирует возможности реализации проекта как единого комплекса и готовит юридическую позицию по реконструкции, проверяет необходимость объединения / перераспределения земельных участков и кадастровых работ по участкам и объектам недвижимости.</t>
  </si>
  <si>
    <t>1.1.5 Определяет необходимость корректировки ПЗЗ и проведения публичных процедур, готовит градостроительное заключение по реализуемости проекта.</t>
  </si>
  <si>
    <t>3.3</t>
  </si>
  <si>
    <t>3.4</t>
  </si>
  <si>
    <t>3.5</t>
  </si>
  <si>
    <t>3.6</t>
  </si>
  <si>
    <t>3.7</t>
  </si>
  <si>
    <t>3.8</t>
  </si>
  <si>
    <t>2.1.3 Организует подготовку буклета АГК и НПМ</t>
  </si>
  <si>
    <t>2.3.1 Организует регистрацию ЛК Застройщика и контролирует подачу техническим заказчиком заявления в электронной форме с использованием Портала государственных и муниципальных услуг (функций) города Москвы, интегрированной с автоматизированной информационной системой "Официальный портал Мэра и Правительства Москвы". Постановление Правительства Москвы от 30 апреля 2013 г. N 284-ПП «Административный регламент предоставления государственной услуги "Оформление свидетельства об утверждении архитектурно-градостроительного решения объекта капитального строительства».</t>
  </si>
  <si>
    <t>2.3.2 Сопровождает в ДГП, организует снятие и устранение замечаний.</t>
  </si>
  <si>
    <t>2.3.3 Сопровождает в оформлении Свидетельства об утверждении архитектурно-градостроительного решения объекта капитального строительства.</t>
  </si>
  <si>
    <t>2.3.a Заявление в электронной форме (ЛК Застройщика) подано</t>
  </si>
  <si>
    <t>2.3.b Согласование ДГП получено</t>
  </si>
  <si>
    <t>2.3.c Свидетельство об утверждении АГР получено</t>
  </si>
  <si>
    <t>9.1</t>
  </si>
  <si>
    <t>Этап - Изыскательских работ и обследований</t>
  </si>
  <si>
    <t>Инженерно-геодезические изыскания</t>
  </si>
  <si>
    <t>3.1.1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</si>
  <si>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3.1.2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</si>
  <si>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3.1.a Протокол о результатах закупки утвержден</t>
  </si>
  <si>
    <t>3.1.b Договор подписан и исполнен в полном объеме</t>
  </si>
  <si>
    <t>3.2.1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</si>
  <si>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3.2.2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</si>
  <si>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3.2.a Протокол о результатах закупки утвержден</t>
  </si>
  <si>
    <t>3.2.b Договор подписан и исполнен в полном объеме</t>
  </si>
  <si>
    <t>3.3.1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</si>
  <si>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3.3.2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</si>
  <si>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3.3.a Протокол о результатах закупки утвержден</t>
  </si>
  <si>
    <t>3.3.b Договор подписан и исполнен в полном объеме</t>
  </si>
  <si>
    <t>3.4.1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</si>
  <si>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3.4.2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</si>
  <si>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3.4.b Договор подписан и исполнен в полном объеме</t>
  </si>
  <si>
    <t>3.4.a Протокол о результатах закупки утвержден</t>
  </si>
  <si>
    <t>3.5.1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</si>
  <si>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3.5.2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</si>
  <si>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3.5.a Протокол о результатах закупки утвержден</t>
  </si>
  <si>
    <t>3.5.b Договор подписан и исполнен в полном объеме</t>
  </si>
  <si>
    <t>3.6.1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</si>
  <si>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3.6.2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</si>
  <si>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3.6.a Протокол о результатах закупки утвержден</t>
  </si>
  <si>
    <t>3.6.b Договор подписан и исполнен в полном объеме</t>
  </si>
  <si>
    <t>3.7.1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</si>
  <si>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3.7.2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</si>
  <si>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3.7.a Протокол о результатах закупки утвержден</t>
  </si>
  <si>
    <t>3.7.b Договор подписан и исполнен в полном объеме</t>
  </si>
  <si>
    <t>5.5</t>
  </si>
  <si>
    <t>5.6</t>
  </si>
  <si>
    <t>5.7</t>
  </si>
  <si>
    <t>5.8</t>
  </si>
  <si>
    <t>5.9</t>
  </si>
  <si>
    <t>7.5</t>
  </si>
  <si>
    <t>7.6</t>
  </si>
  <si>
    <t>7.7</t>
  </si>
  <si>
    <t>7.8</t>
  </si>
  <si>
    <t>8.1</t>
  </si>
  <si>
    <t>8.2</t>
  </si>
  <si>
    <t>8.3</t>
  </si>
  <si>
    <t>7.9</t>
  </si>
  <si>
    <t>Этап - Правовой аудит</t>
  </si>
  <si>
    <t>3.1.3 Организует привлечение технического заказчика и других участников, необходимых для выполнения обследований, изысканий и специальных исследований.</t>
  </si>
  <si>
    <t>3.2.3 Организует привлечение технического заказчика и других участников, необходимых для выполнения обследований, изысканий и специальных исследований.</t>
  </si>
  <si>
    <t>3.3.3 Организует привлечение технического заказчика и других участников, необходимых для выполнения обследований, изысканий и специальных исследований.</t>
  </si>
  <si>
    <t>3.5.3 Организует привлечение технического заказчика и других участников, необходимых для выполнения обследований, изысканий и специальных исследований.</t>
  </si>
  <si>
    <t>3.6.3 Организует привлечение технического заказчика и других участников, необходимых для выполнения обследований, изысканий и специальных исследований.</t>
  </si>
  <si>
    <t>3.7.3 Организует привлечение технического заказчика и других участников, необходимых для выполнения обследований, изысканий и специальных исследований.</t>
  </si>
  <si>
    <t>3.4.3 Организует привлечение технического заказчика и других участников, необходимых для выполнения обследований, изысканий и специальных исследований.</t>
  </si>
  <si>
    <t>5.1.1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</si>
  <si>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5.1.2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</si>
  <si>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5.1.a Протокол о результатах закупки утвержден</t>
  </si>
  <si>
    <t>5.1.b Договор подписан и исполнен в полном объеме</t>
  </si>
  <si>
    <t>5.1.3 Координирует разработку проектной документации стадии «Проект» по всем разделам ПД, включая, но не ограничиваясь: АР, КР, ИОС, ПОС, ООС, ПБ, МГН, энергоэффективность, СТУ.</t>
  </si>
  <si>
    <t>5.2.1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</si>
  <si>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5.2.2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</si>
  <si>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5.2.a Протокол о результатах закупки утвержден</t>
  </si>
  <si>
    <t>5.2.b Договор подписан и исполнен в полном объеме</t>
  </si>
  <si>
    <t>5.3.1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</si>
  <si>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5.3.2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</si>
  <si>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5.3.3 Координирует разработку проектной документации в соответствии требования к составу и содержанию проекта организации работ по демонтажу объекта капитального строительства</t>
  </si>
  <si>
    <t>5.3.a Протокол о результатах закупки утвержден</t>
  </si>
  <si>
    <t>5.3.b Договор подписан и исполнен в полном объеме</t>
  </si>
  <si>
    <t>Программа по обеспечению сохранности прилегающих строений</t>
  </si>
  <si>
    <t>5.4.1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</si>
  <si>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5.4.2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</si>
  <si>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5.4.3 Контролирует проектную организацию при сборе данных, моделировании транспортных потоков и расчёте нагрузки на улично-дорожную сеть (УДС).</t>
  </si>
  <si>
    <t>5.5.1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</si>
  <si>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5.5.2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</si>
  <si>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5.5.3 Координирует проведение ГИКЭ. Осуществляется в соответствии с нормами ФЗ N 73 от 25 июня 2002 года «Об объектах культурного наследия (памятниках истории и культуры) народов Российской Федерации» и ПП РФ от 25 апреля 2024 года № 530 «Об утверждении Положения о государственной историко-культурной экспертизе». Экспертиза проводится тремя аттестованными Министерством культуры РФ экспертами.</t>
  </si>
  <si>
    <t>5.5.4 Контролирует процесс согласования ПД техническим заказчиком в соответствии с положениями Административного регламента предоставления государственной услуги города Москвы "Согласование разделов проектной документации об обеспечении сохранности объекта культурного наследия, выявленного объекта культурного наследия или о проведении спасательных археологических полевых работ либо проекта обеспечения сохранности объекта культурного наследия, выявленного объекта культурного наследия или плана проведения спасательных археологических полевых работ при проведении изыскательских, проектных, земляных, строительных, мелиоративных, хозяйственных и иных работ в границах территории объекта культурного наследия, выявленного объекта культурного наследия либо на земельном участке, непосредственно связанном с земельным участком в границах территории объекта культурного наследия, выявленного объекта культурного наследия".</t>
  </si>
  <si>
    <t>5.5.5 Координирует работы для обеспечения комплекса мероприятий и документов, направленных на защиту объектов культурного наследия при проведении работ вблизи них или на самих объектах.</t>
  </si>
  <si>
    <t>5.6.1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</si>
  <si>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5.6.2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</si>
  <si>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5.6.3 Контролирует организацию мероприятий по сохранности окружающей застройки, археологии и историко-культурному наследию.</t>
  </si>
  <si>
    <t>5.6.4 Контролирует организацию логистики в центре Москвы и подготовки к началу основных работ</t>
  </si>
  <si>
    <t>5.7.1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</si>
  <si>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5.7.2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</si>
  <si>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5.7.3 Координирует процедуру согласования проведения работ и проектных решений в технических и охранных зонах метро согласно СП:
120.13330.2022 Регламент ГУП «Московский метрополитен» (Приказ от: 14.07.2017 № 740)</t>
  </si>
  <si>
    <t>5.8.1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</si>
  <si>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5.8.2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</si>
  <si>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5.8.3 Координирует работы для обеспечения комплекса мероприятий для сохранения подземных сооружений и инженерных коммуникаций</t>
  </si>
  <si>
    <t>5.8.4 Контролирует разработку проектной документации в соответствии с требованиями Постановления Правительства Москвы.</t>
  </si>
  <si>
    <t>5.4.a Протокол о результатах закупки утвержден</t>
  </si>
  <si>
    <t>5.4.b Договор подписан и исполнен в полном объеме</t>
  </si>
  <si>
    <t>5.4.c Модель транспортных потоков представлена</t>
  </si>
  <si>
    <t>5.5.a Протокол о результатах закупки утвержден</t>
  </si>
  <si>
    <t>5.5.b Договор подписан и исполнен в полном объеме</t>
  </si>
  <si>
    <t>5.5.c Заключение историко-культурной экспертизы представлено</t>
  </si>
  <si>
    <t>5.5.e Мероприятия и документы по защите объектов культурного наследия представлены</t>
  </si>
  <si>
    <t>5.6.a Протокол о результатах закупки утвержден</t>
  </si>
  <si>
    <t>5.6.b Договор подписан и исполнен в полном объеме в объеме, требуемом всеми нормативными документами и достаточном для  дальнейшей реализации проекта</t>
  </si>
  <si>
    <t>5.6.c Мероприятия по сохранности окружающей застройки и наследия представлены</t>
  </si>
  <si>
    <t>5.6.d Защитные мероприятия и логистика подготовительного периода поредставлены</t>
  </si>
  <si>
    <t>6.1.1 Контролирует регистрацию ЛК Застройщика и подачу техническим заказчиком заявления в электронной форме с использованием Портала государственных и муниципальных услуг (функций) города Москвы, интегрированной с автоматизированной информационной системой "Официальный портал Мэра и Правительства Москвы".</t>
  </si>
  <si>
    <t>6.1.2 Формирует пакет проектной документации и результатов инженерных изысканий, Заявления и Анкеты. Контролирует загрузку указанных документов на портал.</t>
  </si>
  <si>
    <t>6.1.5 Организует продление услуги техническим заказчиком в случае необходимости.</t>
  </si>
  <si>
    <t>5.1.c Заявки на консультации с экспертами</t>
  </si>
  <si>
    <t>5.1.e Продление срока услуги</t>
  </si>
  <si>
    <t>6.1.3 Контролирует регистрацию заявок на консультации с экспертами.</t>
  </si>
  <si>
    <t>6.1.4 Отслеживает и контролирует отработку и снятие замечаний экспертов. Контролирует дозагрузку ПД.</t>
  </si>
  <si>
    <t>6.2.1 Контролирует регистрацию ЛК Застройщика и подачу техническим заказчиком заявления в электронной форме с использованием Портала государственных и муниципальных услуг (функций) города Москвы, интегрированной с автоматизированной информационной системой "Официальный портал Мэра и Правительства Москвы".</t>
  </si>
  <si>
    <t>6.2.2 Формирует пакет проектной документации и результатов инженерных изысканий, Заявления и Анкеты, положительного заключения Мосгосэкспертизы.</t>
  </si>
  <si>
    <t>6.2.3 Сопровождает оформление разрешения на реконструкцию в соответствии с положениями Постановления Правительства Москвы от 17 апреля 2012 № 145-ПП «Об утверждении Административных регламентов предоставления государственных услуг города Москвы «выдача разрешения на строительство» и «выдача разрешения на ввод объекта в эксплуатацию».</t>
  </si>
  <si>
    <t>6.2.a Заявление в электронной форме (ЛК Застройщика) подано</t>
  </si>
  <si>
    <t>6.3.1 Контролирует подготовку, загрузку и сопровождение на портале пакета документов в соответствии с Положением о региональном государственном строительном надзоре в городе Москве (далее - Положение), определяющим порядок организации и осуществления регионального государственного строительного надзора в городе Москве.</t>
  </si>
  <si>
    <t>7.5.1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</si>
  <si>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7.5.2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</si>
  <si>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7.5.b Договор подписан и исполнен в полном объеме</t>
  </si>
  <si>
    <t>7.5.a Протокол о результатах закупки утвержден</t>
  </si>
  <si>
    <t>7.6.1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</si>
  <si>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7.6.2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</si>
  <si>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7.7.1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</si>
  <si>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7.7.2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</si>
  <si>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7.6.a Протокол о результатах закупки утвержден</t>
  </si>
  <si>
    <t>7.6.b Договор подписан и исполнен в полном объеме</t>
  </si>
  <si>
    <t>7.7.a Протокол о результатах закупки утвержден</t>
  </si>
  <si>
    <t>7.7.b Договор подписан и исполнен в полном объеме</t>
  </si>
  <si>
    <t>7.8.1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</si>
  <si>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7.8.2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</si>
  <si>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7.8.a Протокол о результатах закупки утвержден</t>
  </si>
  <si>
    <t>7.8.b Договор подписан и исполнен в полном объеме</t>
  </si>
  <si>
    <t>7.1.1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</si>
  <si>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7.1.2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</si>
  <si>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7.1.a Протокол о результатах закупки утвержден</t>
  </si>
  <si>
    <t>7.1.b Договор подписан и исполнен в полном объеме</t>
  </si>
  <si>
    <t>7.2.1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</si>
  <si>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7.2.2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</si>
  <si>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7.2.3 Координирует оформление пространства, определение стиля, атмосферы, функциональности и эстетики, разработку рабочей документации.</t>
  </si>
  <si>
    <t>7.2.a Протокол о результатах закупки утвержден</t>
  </si>
  <si>
    <t>7.2.b Договор подписан и исполнен в полном объеме</t>
  </si>
  <si>
    <t>7.3.1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</si>
  <si>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7.3.2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</si>
  <si>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7.3.3 Организует выполнение работ по демонтажу.</t>
  </si>
  <si>
    <t>7.3.a Протокол о результатах закупки утвержден</t>
  </si>
  <si>
    <t>7.3.b Договор подписан и исполнен в полном объеме</t>
  </si>
  <si>
    <t>7.4.1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</si>
  <si>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7.4.2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</si>
  <si>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7.4.3 Координирует процесс внесения изменений в РД.</t>
  </si>
  <si>
    <t>7.4.4 Контролирует устранение предписаний и замечаний надзорных органов, координирует управление изменениями на строительстве.</t>
  </si>
  <si>
    <t>7.4.7 Формирует резерв строительной стадии, ведёт cash-flow и план-факт анализ, управляет рисками подземной части, мультимедиа, фасадов, инженерных нагрузок, сроков и роста стоимости.</t>
  </si>
  <si>
    <t>7.4.a Протокол о результатах закупки утвержден</t>
  </si>
  <si>
    <t>7.4.b Договор подписан и исполнен в полном объеме</t>
  </si>
  <si>
    <t>7.4.c РД изменена</t>
  </si>
  <si>
    <t>7.4.d Предписания надзорных органов устранены</t>
  </si>
  <si>
    <t>7.4.e Документация в полном объеме проверена</t>
  </si>
  <si>
    <t>8.3.c Паспорт БТИ оформлен</t>
  </si>
  <si>
    <t>8.3.b Договор подписан и исполнен в полном объеме</t>
  </si>
  <si>
    <t>8.3.a Протокол о результатах закупки утвержден</t>
  </si>
  <si>
    <t>8.2.1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</si>
  <si>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8.2.2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</si>
  <si>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8.2.a Протокол о результатах закупки утвержден</t>
  </si>
  <si>
    <t>8.2.b Договор подписан и исполнен в полном объеме</t>
  </si>
  <si>
    <t>8.2.c Объект поставлен на Кадастровый учёт</t>
  </si>
  <si>
    <t>8.1.1 Контролирует получение техническим заказчиком ЗОС.</t>
  </si>
  <si>
    <t>8.1.2 Контролирует получение техническим заказчиком разрешения на ввод.</t>
  </si>
  <si>
    <t>ЗОС, разрешение на ввод</t>
  </si>
  <si>
    <t>9.1.1 Организует закупочные процедуры по подбору технического заказчика: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Заказчиком.</t>
  </si>
  <si>
    <t>9.1.2 Выполняет договорную работу по привлечению технического заказчика: согласовывает существенные условия, готовит проект договора, разрешает разногласия, заключает и регистрирует договор с техническим заказчиком, контролирует графики и оплаты, проверяет распределительные письма, контролирует исполнение и участвует в приёмке-сдаче услуг, проверяет УПД и первичные документы, регистрирует результаты, изменения и дополнения, закрывает договор, контролирует гарантийные обязательства, претензионную работу и урегулирует споры.</t>
  </si>
  <si>
    <t>9.1.a Протокол о результатах отбора технического заказчика</t>
  </si>
  <si>
    <t>1.1.b Юридическая модель реконструкции утверждена</t>
  </si>
  <si>
    <t>1.1.f Дорожная карта, матрицу ответственности, регламенты, сроки, бюджеты, риски и решения проекта утверждены Застройщиком</t>
  </si>
  <si>
    <t xml:space="preserve">5.2.6 Сопровождает в НТС ГУ ЧС </t>
  </si>
  <si>
    <t>5.2.f Согласование в НТС ГУ ЧС получено</t>
  </si>
  <si>
    <t>5.2.3 Организует подготовку и утверждение СТУ.</t>
  </si>
  <si>
    <t>5.2.4 Организует согласование материалов с уполномоченными органами, архитектурное рассмотрение, экспертизы и профильные согласования.</t>
  </si>
  <si>
    <t>5.2.c СТУ подготовлены и утверждены</t>
  </si>
  <si>
    <t>5.2.d Согласования с уполномоченными органами получены</t>
  </si>
  <si>
    <t>5.2.e Научно-техническое заключение получено</t>
  </si>
  <si>
    <t>5.4.4 Организует согласование материалов с уполномоченными органами, архитектурное рассмотрение, экспертизы и профильные согласования.</t>
  </si>
  <si>
    <t>5.4.d Согласования с уполномоченными органами получены</t>
  </si>
  <si>
    <t>6.3.a Пакет документов строительного надзора представлен, итоговая проверка Мосгосстройнадзора успешно пройдена</t>
  </si>
  <si>
    <t>Программа проверок Мосгосстройнадзора</t>
  </si>
  <si>
    <t>7.1.c Проверенная РД, соответствующая ПД, экспертизе и бюджету</t>
  </si>
  <si>
    <t>8.1.a Заключение о соответствии (ЗОС) получено</t>
  </si>
  <si>
    <t>8.1.b Разрешение на ввод объекта получено</t>
  </si>
  <si>
    <t>2.2.1 Организует подготовку альбома АГР и ВПМ</t>
  </si>
  <si>
    <t>3.1.c Технический отчет по результатам изучения и систематизации материалов инженерно-геологических изысканий прошлых лет представлен в объеме, требуемом всеми нормативными документами и достаточном для получения положительного заключения экспертизы и дальнейшей реализации проекта</t>
  </si>
  <si>
    <t>3.2.c Заключения по изысканиям представлены и согласованы в объеме, требуемом всеми нормативными документами и достаточном для получения положительного заключения экспертизы и дальнейшей реализации проекта</t>
  </si>
  <si>
    <t>3.3.c Заключения по изысканиям представлены и согласованы в объеме, требуемом всеми нормативными документами и достаточном для получения положительного заключения экспертизы и дальнейшей реализации проекта</t>
  </si>
  <si>
    <t>3.4.c Заключения по изысканиям представлены и согласованы в объеме, требуемом всеми нормативными документами и достаточном для получения положительного заключения экспертизы и дальнейшей реализации проекта</t>
  </si>
  <si>
    <t>3.5.c Заключения по изысканиям представлены и согласованы в объеме, требуемом всеми нормативными документами и достаточном для получения положительного заключения экспертизы и дальнейшей реализации проекта</t>
  </si>
  <si>
    <t>3.6.c Заключения по изысканиям представлены и согласованы в объеме, требуемом всеми нормативными документами и достаточном для получения положительного заключения экспертизы и дальнейшей реализации проекта</t>
  </si>
  <si>
    <t>3.7.c Заключения по изысканиям представлены и согласованы в объеме, требуемом всеми нормативными документами и достаточном для получения положительного заключения экспертизы и дальнейшей реализации проекта</t>
  </si>
  <si>
    <t>Специальные инженерно-геофизические изыскания (вертикальное сейсмопрофилирование, НТС в случае обнаружения опасных техногенных грунтов)</t>
  </si>
  <si>
    <t>4.1.1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</si>
  <si>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4.1.2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</si>
  <si>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4.1.3 Анализирует действующее ГПЗУ / имеющийся комплект градостроительных документов</t>
  </si>
  <si>
    <t>4.1.4 Проверяет соответствие ГПЗУ модели единого комплекса</t>
  </si>
  <si>
    <t>4.1.5 Готовит материалы для ГЗК и сопровождает рассмотрение на ГЗК.</t>
  </si>
  <si>
    <t>4.1.6 Готовит материалы по изменению ПЗЗ и сопровождает процедуру изменения ПЗЗ.</t>
  </si>
  <si>
    <t>4.1.7 Организует согласование материалов с уполномоченными органами, архитектурное рассмотрение и профильные согласования.</t>
  </si>
  <si>
    <t>4.1.8 Организует получение техническим заказчиком нового ГПЗУ или комплекта ГПЗУ.</t>
  </si>
  <si>
    <t>4.1.a Протокол о результатах закупки утвержден</t>
  </si>
  <si>
    <t>4.1.b Договор подписан и исполнен в полном объеме</t>
  </si>
  <si>
    <t>4.1.c Заключение по анализу ГПЗУ / имеющегося комплекта градостроительных документов представлено</t>
  </si>
  <si>
    <t>4.1.d Заключение о соответствии ГПЗУ модели единого комплекса представлено</t>
  </si>
  <si>
    <t>4.1.e Протокол ГЗК получен</t>
  </si>
  <si>
    <t>4.1.f Новый ПЗЗ получен</t>
  </si>
  <si>
    <t>4.1.g Согласования с уполномоченными органами получены</t>
  </si>
  <si>
    <t>4.1.h Новый ГПЗУ получен</t>
  </si>
  <si>
    <t>5.1.c Проектная документация предствлены в объеме, требуемом всеми нормативными документами и достаточном для получения положительного заключения экспертизы и дальнейшей реализации проекта</t>
  </si>
  <si>
    <t>5.2.5 Сопровождает подготовку научно-технического заключения и координирует все необходимые согласования</t>
  </si>
  <si>
    <t>СТУ, расчет пожарных рисков, НТС ГУ ЧС, НТЗ</t>
  </si>
  <si>
    <t>5.3.c Проектная документация по демонтажу представлена в объеме, требуемом всеми нормативными документами и достаточном для  дальнейшей реализации проекта</t>
  </si>
  <si>
    <t>5.5.d Согласование проектной документации по ОКН в объеме, требуемом всеми нормативными документами и достаточном для получения положительного заключения экспертизы и дальнейшей реализации проекта</t>
  </si>
  <si>
    <t>4.6.c Согласование работ в зонах метрополитена получены в объеме, требуемом всеми нормативными документами и достаточном для  дальнейшей реализации проекта</t>
  </si>
  <si>
    <t>4.7.d Проектная документация в объеме, требуемом всеми нормативными документами и достаточном для  дальнейшей реализации проекта</t>
  </si>
  <si>
    <t>6.2.b Пакет проектной документации и изысканий сформирован в объеме, требуемом всеми нормативными документами и достаточном для получения РнР и дальнейшей реализации проекта</t>
  </si>
  <si>
    <t>5.1.d Замечания экспертизы устранены, положительное заключение получено в объеме, требуемом всеми нормативными документами и достаточном для получения положительного заключения экспертизы и дальнейшей реализации проекта</t>
  </si>
  <si>
    <t>6.2.c Разрешение на реконструкцию получено</t>
  </si>
  <si>
    <t>7.1.3 Организует проверку Техническим заказчиком  РД на соответствие ПД, экспертизе и бюджету.</t>
  </si>
  <si>
    <t>7.1.4 Координирует разработку проектной документации стадии РД и выпуск «в производство работ» по всем необходимым разделам.</t>
  </si>
  <si>
    <t>7.1.d Рабочая документация выпущена "в производство работ"</t>
  </si>
  <si>
    <t>7.3.c Демонтаж выполнен  в объеме, требуемом всеми нормативными документами и достаточном дальнейшей реализации проекта</t>
  </si>
  <si>
    <t>7.2.c Дизайн-концепция интерьеров и рабочая документация утверждена в объеме, требуемом всеми нормативными документами и достаточном дальнейшей реализации проекта</t>
  </si>
  <si>
    <t>7.4.5 Координирует оплату Технического заказчика и всех других участников на строительной стадии: подписание КС-2 / КС-3, качество материалов, исполнительную документацию, проверки Мосгосстройнадзора, отчётность и координацию.</t>
  </si>
  <si>
    <t>7.4.6 Координирует работы Технического заказчика и всех других участников строительной стадии: контролирует сроки, бюджет, проектные решения, риски, отчётность, организует комитеты Заказчика и ключевые события.</t>
  </si>
  <si>
    <t>7.4.f Выполнены все мероприятия в объеме, требуемом нормативными документами и достаточном  для дальнейшей реализации проекта</t>
  </si>
  <si>
    <t>7.4.g Выполнены все мероприятия в объеме, требуемом нормативными документами и достаточном  для дальнейшей реализации проекта</t>
  </si>
  <si>
    <t>8.2.3 Организует кадастровый учёт реконструированного объекта техническим заказчиком.</t>
  </si>
  <si>
    <t>8.3.3 Организует оформление паспорта БТИ всего комплекса зданий с учетом нового ОКС техническим заказчиком</t>
  </si>
  <si>
    <t>9.1.3 Организует и контролирует работу технического заказчика и работу всех других участников проекта.</t>
  </si>
  <si>
    <t>9.1.c Выполнены все мероприятия в объеме, требуемом нормативными документами для обязательных функций Технического закзачика и достаточном  для дальнейшей эксплуатации объекта</t>
  </si>
  <si>
    <t>8.4</t>
  </si>
  <si>
    <t>Передача объекта оператору / эксплуатирующей организации</t>
  </si>
  <si>
    <t>8.3.1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</si>
  <si>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8.3.2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</si>
  <si>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8.4.1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</si>
  <si>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8.4.2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</si>
  <si>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8.4.3 Организует передача объекта оператору / эксплуатирующей организации</t>
  </si>
  <si>
    <t>8.4.a Протокол о результатах закупки утвержден</t>
  </si>
  <si>
    <t>8.4.b Договор подписан и исполнен в полном объеме</t>
  </si>
  <si>
    <t>8.4.c Объект передан оператору / эксплуатирующей организации</t>
  </si>
  <si>
    <t>9.1.b Договор с техническим заказчиком исполнен в полном объеме</t>
  </si>
  <si>
    <t>Мультимедиа, свет, звук, видео, IT, сценическое / выставочное оборудование, поставки и монтаж</t>
  </si>
  <si>
    <t>7.5.c Выполнены все мероприятия (мультимедиа, свет, звук, видео, IT, сценическое / выставочное оборудование, поставки и монтаж) в объеме, требуемом нормативными документами и достаточном  для дальнейшей реализации проекта</t>
  </si>
  <si>
    <t>7.6.3 Организует и координирует работу Строительного контроля и всех другрих участников проекта</t>
  </si>
  <si>
    <t>7.6.c Строительный контроль выполнен в объеме, требуемом всеми нормативными документами и достаточном дальнейшей реализации проекта</t>
  </si>
  <si>
    <t>7.7.3 Организует и координирует работу Авторского надзора иностранного архитектора и всех другрих участников проекта</t>
  </si>
  <si>
    <t>7.7.c Авторский надзор иностранного архитектора выполнен в объеме, требуемом всеми нормативными документами и достаточном дальнейшей реализации проекта</t>
  </si>
  <si>
    <t>7.10</t>
  </si>
  <si>
    <t>7.8.3 Организует и координирует работу Авторского надзора генерального проектировщика и всех другрих участников проекта</t>
  </si>
  <si>
    <t>7.8.c Авторский надзор генерального проектировщика выполнен в объеме, требуемом всеми нормативными документами и достаточном дальнейшей реализации проекта</t>
  </si>
  <si>
    <t>7.891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</si>
  <si>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7.9.2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</si>
  <si>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7.9.3 Организует и координирует работу Авторского надзора дизайнера интерьеров и всех другрих участников проекта</t>
  </si>
  <si>
    <t>7.9.a Протокол о результатах закупки утвержден</t>
  </si>
  <si>
    <t>7.9.b Договор подписан и исполнен в полном объеме</t>
  </si>
  <si>
    <t>7.9.c Авторский надзор дизайнера интерьеров выполнен в объеме, требуемом всеми нормативными документами и достаточном дальнейшей реализации проекта</t>
  </si>
  <si>
    <t>Кадастровые учет и Регистрация права собственности на ОКС</t>
  </si>
  <si>
    <t>2.1.c Буклет АГК и НПМ подготовлены в объеме, требуемом всеми нормативными документами и достаточном для получения положительного заключения экспертизы и дальнейшей реализации проекта</t>
  </si>
  <si>
    <t>2.2.a Альбом АГР и ВПМ подготовлены в объеме, требуемом всеми нормативными документами и достаточном для получения положительного заключения экспертизы и дальнейшей реализации проекта</t>
  </si>
  <si>
    <t>7.5.3 Сопровождает обеспечение объекта мультимедиа, светом, звуком, видео, IT, сценическим / выставочным оборудованием, поставки и монтаж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</si>
</sst>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
    <numFmt numFmtId="165" formatCode="dd\.mm\.yyyy"/>
    <numFmt numFmtId="166" formatCode="_-* #,##0.00\ [$₽-419]_-;\-* #,##0.00\ [$₽-419]_-;_-* &quot;-&quot;??\ [$₽-419]_-;_-@_-"/>
    <numFmt numFmtId="167" formatCode="#,##0.00\ &quot;₽&quot;"/>
    <numFmt numFmtId="168" formatCode="_-* #,##0\ _₽_-;\-* #,##0\ _₽_-;_-* &quot;-&quot;??\ _₽_-;_-@_-"/>
    <numFmt numFmtId="169" formatCode="_-* #\.##0.00\ &quot;₽&quot;_-;\-* #\.##0.00\ &quot;₽&quot;_-;_-* \-??\ &quot;₽&quot;_-;_-@_-"/>
    <numFmt numFmtId="170" formatCode="_-* #,##0.00&quot;р.&quot;_-;\-* #,##0.00&quot;р.&quot;_-;_-* &quot;-&quot;??&quot;р.&quot;_-;_-@_-"/>
  </numFmts>
  <fonts count="22">
    <font>
      <sz val="11"/>
      <color theme="1"/>
      <name val="Arial"/>
      <charset val="204"/>
    </font>
    <font>
      <sz val="10"/>
      <name val="Arial"/>
      <family val="2"/>
      <charset val="204"/>
    </font>
    <font>
      <b/>
      <sz val="8"/>
      <name val="Arial"/>
      <family val="2"/>
      <charset val="204"/>
    </font>
    <font>
      <b/>
      <sz val="11"/>
      <name val="Arial"/>
      <family val="2"/>
      <charset val="204"/>
    </font>
    <font>
      <b/>
      <sz val="10"/>
      <name val="Arial"/>
      <family val="2"/>
      <charset val="204"/>
    </font>
    <font>
      <sz val="8"/>
      <name val="Arial"/>
      <family val="2"/>
      <charset val="204"/>
    </font>
    <font>
      <sz val="8"/>
      <name val="Arial (Основной текст)"/>
      <charset val="204"/>
    </font>
    <font>
      <b/>
      <sz val="8"/>
      <name val="Arial (Основной текст)"/>
      <charset val="204"/>
    </font>
    <font>
      <sz val="11"/>
      <color indexed="8"/>
      <name val="Calibri"/>
      <family val="2"/>
      <charset val="204"/>
      <scheme val="minor"/>
    </font>
    <font>
      <sz val="10"/>
      <color indexed="12"/>
      <name val="Arial"/>
      <family val="2"/>
      <charset val="204"/>
    </font>
    <font>
      <sz val="10"/>
      <color theme="10"/>
      <name val="Arial Cyr"/>
      <charset val="204"/>
    </font>
    <font>
      <sz val="10"/>
      <name val="Arial Cyr"/>
      <charset val="204"/>
    </font>
    <font>
      <sz val="12"/>
      <color theme="1"/>
      <name val="Arial"/>
      <family val="2"/>
      <charset val="204"/>
    </font>
    <font>
      <sz val="12"/>
      <name val="Times New Roman Cyr"/>
      <charset val="204"/>
    </font>
    <font>
      <sz val="8"/>
      <name val="Arial"/>
      <family val="2"/>
      <charset val="204"/>
    </font>
    <font>
      <sz val="8"/>
      <name val="Arial"/>
      <charset val="204"/>
    </font>
    <font>
      <b/>
      <sz val="8"/>
      <name val="Arial"/>
      <charset val="204"/>
    </font>
    <font>
      <b/>
      <sz val="10"/>
      <name val="Arial"/>
      <charset val="204"/>
    </font>
    <font>
      <sz val="9"/>
      <color theme="0"/>
      <name val="Arial"/>
      <family val="2"/>
      <charset val="204"/>
    </font>
    <font>
      <b/>
      <sz val="9"/>
      <color theme="0"/>
      <name val="Arial"/>
      <family val="2"/>
      <charset val="204"/>
    </font>
    <font>
      <b/>
      <sz val="9"/>
      <name val="Arial"/>
      <family val="2"/>
      <charset val="204"/>
    </font>
    <font>
      <b/>
      <sz val="9"/>
      <name val="Arial (Основной текст)"/>
      <charset val="204"/>
    </font>
  </fonts>
  <fills count="9">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indexed="9"/>
        <bgColor indexed="64"/>
      </patternFill>
    </fill>
    <fill>
      <patternFill patternType="solid">
        <fgColor theme="8" tint="0.79998168889431442"/>
        <bgColor indexed="64"/>
      </patternFill>
    </fill>
    <fill>
      <patternFill patternType="solid">
        <fgColor theme="8" tint="-0.499984740745262"/>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style="thin">
        <color auto="1"/>
      </right>
      <top style="thin">
        <color indexed="64"/>
      </top>
      <bottom/>
      <diagonal/>
    </border>
    <border>
      <left style="thin">
        <color indexed="64"/>
      </left>
      <right/>
      <top/>
      <bottom/>
      <diagonal/>
    </border>
    <border>
      <left/>
      <right style="thin">
        <color auto="1"/>
      </right>
      <top style="thin">
        <color indexed="64"/>
      </top>
      <bottom/>
      <diagonal/>
    </border>
  </borders>
  <cellStyleXfs count="11">
    <xf numFmtId="0" fontId="0" fillId="0" borderId="0"/>
    <xf numFmtId="169" fontId="8" fillId="0" borderId="0">
      <alignment vertical="center"/>
    </xf>
    <xf numFmtId="0" fontId="9" fillId="0" borderId="0">
      <alignment vertical="top"/>
    </xf>
    <xf numFmtId="0" fontId="1" fillId="0" borderId="0"/>
    <xf numFmtId="0" fontId="10" fillId="0" borderId="0"/>
    <xf numFmtId="170" fontId="11" fillId="0" borderId="0"/>
    <xf numFmtId="0" fontId="11" fillId="0" borderId="0"/>
    <xf numFmtId="0" fontId="12" fillId="0" borderId="0"/>
    <xf numFmtId="0" fontId="13" fillId="0" borderId="0"/>
    <xf numFmtId="9" fontId="11" fillId="0" borderId="0"/>
    <xf numFmtId="43" fontId="11" fillId="0" borderId="0"/>
  </cellStyleXfs>
  <cellXfs count="109">
    <xf numFmtId="0" fontId="0" fillId="0" borderId="0" xfId="0"/>
    <xf numFmtId="0" fontId="1" fillId="0" borderId="0" xfId="6" applyFont="1" applyAlignment="1">
      <alignment horizontal="center" vertical="center"/>
    </xf>
    <xf numFmtId="0" fontId="2" fillId="0" borderId="0" xfId="6" applyFont="1" applyAlignment="1">
      <alignment horizontal="center" vertical="center"/>
    </xf>
    <xf numFmtId="0" fontId="3" fillId="0" borderId="0" xfId="6" applyFont="1" applyAlignment="1">
      <alignment horizontal="center" vertical="center"/>
    </xf>
    <xf numFmtId="0" fontId="4" fillId="0" borderId="0" xfId="6" applyFont="1" applyAlignment="1">
      <alignment horizontal="left" vertical="center"/>
    </xf>
    <xf numFmtId="0" fontId="4" fillId="0" borderId="0" xfId="6" applyFont="1" applyAlignment="1">
      <alignment horizontal="center" vertical="center"/>
    </xf>
    <xf numFmtId="0" fontId="5" fillId="0" borderId="0" xfId="6" applyFont="1" applyAlignment="1">
      <alignment horizontal="center" vertical="center"/>
    </xf>
    <xf numFmtId="1" fontId="5" fillId="0" borderId="0" xfId="6" applyNumberFormat="1" applyFont="1"/>
    <xf numFmtId="0" fontId="6" fillId="0" borderId="0" xfId="6" applyFont="1"/>
    <xf numFmtId="0" fontId="1" fillId="0" borderId="0" xfId="6" applyFont="1"/>
    <xf numFmtId="1" fontId="1" fillId="0" borderId="0" xfId="6" applyNumberFormat="1" applyFont="1"/>
    <xf numFmtId="14" fontId="5" fillId="0" borderId="1" xfId="0" applyNumberFormat="1" applyFont="1" applyBorder="1" applyAlignment="1">
      <alignment horizontal="center" vertical="center" wrapText="1"/>
    </xf>
    <xf numFmtId="0" fontId="14" fillId="0" borderId="1" xfId="0" applyFont="1" applyBorder="1" applyAlignment="1">
      <alignment horizontal="left" vertical="center" wrapText="1"/>
    </xf>
    <xf numFmtId="0" fontId="2" fillId="3" borderId="1" xfId="6" applyFont="1" applyFill="1" applyBorder="1" applyAlignment="1">
      <alignment horizontal="left" vertical="center" wrapText="1"/>
    </xf>
    <xf numFmtId="0" fontId="2" fillId="3" borderId="1" xfId="0" applyFont="1" applyFill="1" applyBorder="1" applyAlignment="1">
      <alignment horizontal="left" vertical="center" wrapText="1"/>
    </xf>
    <xf numFmtId="14" fontId="2" fillId="3" borderId="1" xfId="0" applyNumberFormat="1" applyFont="1" applyFill="1" applyBorder="1" applyAlignment="1">
      <alignment horizontal="center" vertical="center" wrapText="1"/>
    </xf>
    <xf numFmtId="1" fontId="2" fillId="3" borderId="1" xfId="0" applyNumberFormat="1" applyFont="1" applyFill="1" applyBorder="1" applyAlignment="1">
      <alignment horizontal="center" vertical="center" wrapText="1"/>
    </xf>
    <xf numFmtId="0" fontId="2" fillId="4" borderId="1" xfId="6" applyFont="1" applyFill="1" applyBorder="1" applyAlignment="1">
      <alignment horizontal="left" vertical="center" wrapText="1"/>
    </xf>
    <xf numFmtId="0" fontId="2" fillId="4" borderId="1" xfId="0" applyFont="1" applyFill="1" applyBorder="1" applyAlignment="1">
      <alignment horizontal="left" vertical="center" wrapText="1"/>
    </xf>
    <xf numFmtId="14" fontId="2" fillId="4" borderId="1" xfId="0" applyNumberFormat="1" applyFont="1" applyFill="1" applyBorder="1" applyAlignment="1">
      <alignment horizontal="center" vertical="center" wrapText="1"/>
    </xf>
    <xf numFmtId="1" fontId="2" fillId="4" borderId="1" xfId="0" applyNumberFormat="1" applyFont="1" applyFill="1" applyBorder="1" applyAlignment="1">
      <alignment horizontal="center" vertical="center" wrapText="1"/>
    </xf>
    <xf numFmtId="165" fontId="2" fillId="3" borderId="1" xfId="0" applyNumberFormat="1" applyFont="1" applyFill="1" applyBorder="1" applyAlignment="1">
      <alignment horizontal="center" vertical="center" wrapText="1"/>
    </xf>
    <xf numFmtId="166" fontId="2" fillId="3" borderId="1" xfId="1" applyNumberFormat="1" applyFont="1" applyFill="1" applyBorder="1" applyAlignment="1">
      <alignment horizontal="center" vertical="center"/>
    </xf>
    <xf numFmtId="165" fontId="2" fillId="4" borderId="1" xfId="0" applyNumberFormat="1" applyFont="1" applyFill="1" applyBorder="1" applyAlignment="1">
      <alignment horizontal="center" vertical="center" wrapText="1"/>
    </xf>
    <xf numFmtId="166" fontId="2" fillId="4" borderId="1" xfId="1" applyNumberFormat="1" applyFont="1" applyFill="1" applyBorder="1" applyAlignment="1">
      <alignment horizontal="center" vertical="center"/>
    </xf>
    <xf numFmtId="166" fontId="2" fillId="0" borderId="1" xfId="1" applyNumberFormat="1" applyFont="1" applyBorder="1" applyAlignment="1">
      <alignment horizontal="center" vertical="center"/>
    </xf>
    <xf numFmtId="166" fontId="4" fillId="0" borderId="1" xfId="1" applyNumberFormat="1" applyFont="1" applyBorder="1" applyAlignment="1">
      <alignment horizontal="center" vertical="center"/>
    </xf>
    <xf numFmtId="166" fontId="5" fillId="0" borderId="1" xfId="1" applyNumberFormat="1" applyFont="1" applyBorder="1" applyAlignment="1">
      <alignment horizontal="center" vertical="center"/>
    </xf>
    <xf numFmtId="166" fontId="1" fillId="0" borderId="0" xfId="6" applyNumberFormat="1" applyFont="1"/>
    <xf numFmtId="0" fontId="5" fillId="0" borderId="1" xfId="0" applyFont="1" applyBorder="1" applyAlignment="1">
      <alignment horizontal="left" vertical="center" wrapText="1"/>
    </xf>
    <xf numFmtId="167" fontId="5" fillId="0" borderId="1" xfId="8" applyNumberFormat="1" applyFont="1" applyBorder="1" applyAlignment="1">
      <alignment horizontal="left" vertical="center" wrapText="1"/>
    </xf>
    <xf numFmtId="166" fontId="1" fillId="0" borderId="1" xfId="1" applyNumberFormat="1" applyFont="1" applyBorder="1" applyAlignment="1">
      <alignment horizontal="center" vertical="center"/>
    </xf>
    <xf numFmtId="0" fontId="6" fillId="6" borderId="1" xfId="6" applyFont="1" applyFill="1" applyBorder="1" applyAlignment="1">
      <alignment vertical="center" wrapText="1"/>
    </xf>
    <xf numFmtId="0" fontId="15" fillId="6" borderId="1" xfId="6" applyFont="1" applyFill="1" applyBorder="1" applyAlignment="1">
      <alignment horizontal="left" vertical="center" wrapText="1"/>
    </xf>
    <xf numFmtId="0" fontId="7" fillId="6" borderId="1" xfId="6" applyFont="1" applyFill="1" applyBorder="1" applyAlignment="1">
      <alignment vertical="center" wrapText="1"/>
    </xf>
    <xf numFmtId="165" fontId="16" fillId="6" borderId="1" xfId="6" applyNumberFormat="1" applyFont="1" applyFill="1" applyBorder="1" applyAlignment="1">
      <alignment vertical="center" wrapText="1"/>
    </xf>
    <xf numFmtId="0" fontId="5" fillId="0" borderId="7" xfId="8" applyFont="1" applyBorder="1" applyAlignment="1">
      <alignment vertical="center" wrapText="1"/>
    </xf>
    <xf numFmtId="0" fontId="6" fillId="0" borderId="5" xfId="6" applyFont="1" applyBorder="1" applyAlignment="1">
      <alignment horizontal="left" vertical="center" wrapText="1"/>
    </xf>
    <xf numFmtId="167" fontId="5" fillId="0" borderId="5" xfId="8" applyNumberFormat="1" applyFont="1" applyBorder="1" applyAlignment="1">
      <alignment horizontal="left" vertical="center" wrapText="1"/>
    </xf>
    <xf numFmtId="14" fontId="5" fillId="0" borderId="7" xfId="8" applyNumberFormat="1" applyFont="1" applyBorder="1" applyAlignment="1">
      <alignment vertical="center" wrapText="1"/>
    </xf>
    <xf numFmtId="0" fontId="5" fillId="0" borderId="5" xfId="0" applyFont="1" applyBorder="1" applyAlignment="1">
      <alignment horizontal="left" vertical="center" wrapText="1"/>
    </xf>
    <xf numFmtId="168" fontId="15" fillId="6" borderId="1" xfId="10" applyNumberFormat="1" applyFont="1" applyFill="1" applyBorder="1" applyAlignment="1">
      <alignment vertical="center" wrapText="1"/>
    </xf>
    <xf numFmtId="0" fontId="0" fillId="0" borderId="5" xfId="0" applyBorder="1"/>
    <xf numFmtId="0" fontId="5" fillId="0" borderId="8" xfId="8" applyFont="1" applyBorder="1" applyAlignment="1">
      <alignment vertical="center" wrapText="1"/>
    </xf>
    <xf numFmtId="167" fontId="6" fillId="0" borderId="5" xfId="8" applyNumberFormat="1" applyFont="1" applyBorder="1" applyAlignment="1">
      <alignment horizontal="left" vertical="center" wrapText="1"/>
    </xf>
    <xf numFmtId="0" fontId="5" fillId="0" borderId="7" xfId="8" applyFont="1" applyBorder="1" applyAlignment="1">
      <alignment horizontal="center" vertical="center" wrapText="1"/>
    </xf>
    <xf numFmtId="0" fontId="5" fillId="0" borderId="3" xfId="8" applyFont="1" applyBorder="1" applyAlignment="1">
      <alignment horizontal="left" vertical="center" wrapText="1"/>
    </xf>
    <xf numFmtId="0" fontId="0" fillId="0" borderId="11" xfId="0" applyBorder="1"/>
    <xf numFmtId="0" fontId="0" fillId="0" borderId="10" xfId="0" applyBorder="1"/>
    <xf numFmtId="0" fontId="0" fillId="0" borderId="2" xfId="0" applyBorder="1"/>
    <xf numFmtId="0" fontId="0" fillId="0" borderId="3" xfId="0" applyBorder="1"/>
    <xf numFmtId="0" fontId="0" fillId="0" borderId="4" xfId="0" applyBorder="1"/>
    <xf numFmtId="0" fontId="0" fillId="0" borderId="11" xfId="0" applyBorder="1" applyAlignment="1"/>
    <xf numFmtId="0" fontId="0" fillId="0" borderId="10" xfId="0" applyBorder="1" applyAlignment="1"/>
    <xf numFmtId="0" fontId="0" fillId="0" borderId="2" xfId="0" applyBorder="1" applyAlignment="1"/>
    <xf numFmtId="0" fontId="5" fillId="0" borderId="10" xfId="8" applyFont="1" applyBorder="1" applyAlignment="1">
      <alignment vertical="center" wrapText="1"/>
    </xf>
    <xf numFmtId="0" fontId="5" fillId="0" borderId="7" xfId="8" applyFont="1" applyBorder="1" applyAlignment="1">
      <alignment horizontal="left" vertical="center" wrapText="1"/>
    </xf>
    <xf numFmtId="0" fontId="1" fillId="0" borderId="4" xfId="6" applyFont="1" applyBorder="1" applyAlignment="1">
      <alignment horizontal="center" vertical="center"/>
    </xf>
    <xf numFmtId="0" fontId="2" fillId="0" borderId="11" xfId="6" applyFont="1" applyBorder="1" applyAlignment="1">
      <alignment horizontal="left" vertical="center" wrapText="1"/>
    </xf>
    <xf numFmtId="0" fontId="5" fillId="0" borderId="10" xfId="8" applyFont="1" applyBorder="1" applyAlignment="1">
      <alignment horizontal="left" vertical="center" wrapText="1"/>
    </xf>
    <xf numFmtId="0" fontId="5" fillId="0" borderId="5" xfId="6" applyFont="1" applyFill="1" applyBorder="1" applyAlignment="1">
      <alignment horizontal="left" vertical="center" wrapText="1"/>
    </xf>
    <xf numFmtId="0" fontId="6" fillId="0" borderId="5" xfId="6" applyFont="1" applyFill="1" applyBorder="1" applyAlignment="1">
      <alignment horizontal="left" vertical="center" wrapText="1"/>
    </xf>
    <xf numFmtId="167" fontId="6" fillId="0" borderId="5" xfId="8" applyNumberFormat="1" applyFont="1" applyFill="1" applyBorder="1" applyAlignment="1">
      <alignment horizontal="left" vertical="center" wrapText="1"/>
    </xf>
    <xf numFmtId="0" fontId="6" fillId="0" borderId="5" xfId="0" applyFont="1" applyFill="1" applyBorder="1" applyAlignment="1">
      <alignment horizontal="left" vertical="center" wrapText="1"/>
    </xf>
    <xf numFmtId="167" fontId="5" fillId="0" borderId="5" xfId="8" applyNumberFormat="1" applyFont="1" applyFill="1" applyBorder="1" applyAlignment="1">
      <alignment horizontal="left" vertical="center" wrapText="1"/>
    </xf>
    <xf numFmtId="14" fontId="5" fillId="0" borderId="9" xfId="0" applyNumberFormat="1" applyFont="1" applyBorder="1" applyAlignment="1">
      <alignment horizontal="center" vertical="center" wrapText="1"/>
    </xf>
    <xf numFmtId="1" fontId="5" fillId="0" borderId="1" xfId="0" applyNumberFormat="1" applyFont="1" applyBorder="1" applyAlignment="1">
      <alignment horizontal="center" vertical="center" wrapText="1"/>
    </xf>
    <xf numFmtId="1" fontId="5" fillId="0" borderId="9" xfId="0" applyNumberFormat="1" applyFont="1" applyBorder="1" applyAlignment="1">
      <alignment horizontal="center" vertical="center" wrapText="1"/>
    </xf>
    <xf numFmtId="167" fontId="2" fillId="5" borderId="1" xfId="8" applyNumberFormat="1" applyFont="1" applyFill="1" applyBorder="1" applyAlignment="1">
      <alignment horizontal="left" vertical="center" wrapText="1"/>
    </xf>
    <xf numFmtId="0" fontId="2" fillId="5"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166" fontId="4" fillId="5" borderId="1" xfId="1" applyNumberFormat="1" applyFont="1" applyFill="1" applyBorder="1" applyAlignment="1">
      <alignment horizontal="center" vertical="center"/>
    </xf>
    <xf numFmtId="0" fontId="7" fillId="5" borderId="1" xfId="6" applyFont="1" applyFill="1" applyBorder="1" applyAlignment="1">
      <alignment horizontal="left" vertical="center" wrapText="1"/>
    </xf>
    <xf numFmtId="0" fontId="2" fillId="3" borderId="1" xfId="8" applyFont="1" applyFill="1" applyBorder="1" applyAlignment="1">
      <alignment horizontal="center" vertical="center" wrapText="1"/>
    </xf>
    <xf numFmtId="0" fontId="2" fillId="4" borderId="1" xfId="8" applyFont="1" applyFill="1" applyBorder="1" applyAlignment="1">
      <alignment horizontal="center" vertical="center" wrapText="1"/>
    </xf>
    <xf numFmtId="0" fontId="17" fillId="7" borderId="1" xfId="6" applyFont="1" applyFill="1" applyBorder="1" applyAlignment="1">
      <alignment horizontal="center" vertical="center" wrapText="1"/>
    </xf>
    <xf numFmtId="0" fontId="5" fillId="0" borderId="11" xfId="0" applyFont="1" applyBorder="1" applyAlignment="1">
      <alignment horizontal="left" vertical="center" wrapText="1"/>
    </xf>
    <xf numFmtId="166" fontId="1" fillId="0" borderId="9" xfId="1" applyNumberFormat="1" applyFont="1" applyBorder="1" applyAlignment="1">
      <alignment horizontal="center" vertical="center"/>
    </xf>
    <xf numFmtId="0" fontId="2" fillId="5" borderId="1" xfId="8" quotePrefix="1" applyFont="1" applyFill="1" applyBorder="1" applyAlignment="1">
      <alignment horizontal="center" vertical="center" wrapText="1"/>
    </xf>
    <xf numFmtId="49" fontId="18" fillId="8" borderId="6" xfId="8" applyNumberFormat="1" applyFont="1" applyFill="1" applyBorder="1" applyAlignment="1">
      <alignment horizontal="center" vertical="center" wrapText="1"/>
    </xf>
    <xf numFmtId="0" fontId="19" fillId="8" borderId="6" xfId="6" applyFont="1" applyFill="1" applyBorder="1" applyAlignment="1">
      <alignment horizontal="left" vertical="center" wrapText="1"/>
    </xf>
    <xf numFmtId="167" fontId="18" fillId="8" borderId="1" xfId="8" applyNumberFormat="1" applyFont="1" applyFill="1" applyBorder="1" applyAlignment="1">
      <alignment horizontal="left" vertical="center" wrapText="1"/>
    </xf>
    <xf numFmtId="0" fontId="19" fillId="8" borderId="1" xfId="0" applyFont="1" applyFill="1" applyBorder="1" applyAlignment="1">
      <alignment horizontal="left" vertical="center" wrapText="1"/>
    </xf>
    <xf numFmtId="14" fontId="19" fillId="8" borderId="1" xfId="0" applyNumberFormat="1" applyFont="1" applyFill="1" applyBorder="1" applyAlignment="1">
      <alignment horizontal="center" vertical="center" wrapText="1"/>
    </xf>
    <xf numFmtId="1" fontId="19" fillId="8" borderId="1" xfId="0" applyNumberFormat="1" applyFont="1" applyFill="1" applyBorder="1" applyAlignment="1">
      <alignment horizontal="center" vertical="center" wrapText="1"/>
    </xf>
    <xf numFmtId="166" fontId="18" fillId="8" borderId="1" xfId="1" applyNumberFormat="1" applyFont="1" applyFill="1" applyBorder="1" applyAlignment="1">
      <alignment horizontal="center" vertical="center"/>
    </xf>
    <xf numFmtId="49" fontId="18" fillId="8" borderId="1" xfId="6" applyNumberFormat="1" applyFont="1" applyFill="1" applyBorder="1" applyAlignment="1">
      <alignment horizontal="center" vertical="center" wrapText="1"/>
    </xf>
    <xf numFmtId="0" fontId="19" fillId="8" borderId="1" xfId="6" applyFont="1" applyFill="1" applyBorder="1" applyAlignment="1">
      <alignment horizontal="left" vertical="center" wrapText="1"/>
    </xf>
    <xf numFmtId="166" fontId="18" fillId="8" borderId="1" xfId="1" applyNumberFormat="1" applyFont="1" applyFill="1" applyBorder="1">
      <alignment vertical="center"/>
    </xf>
    <xf numFmtId="1" fontId="20" fillId="0" borderId="1" xfId="8" applyNumberFormat="1" applyFont="1" applyBorder="1" applyAlignment="1">
      <alignment horizontal="center" vertical="center" wrapText="1"/>
    </xf>
    <xf numFmtId="164" fontId="21" fillId="2" borderId="1" xfId="8" applyNumberFormat="1" applyFont="1" applyFill="1" applyBorder="1" applyAlignment="1">
      <alignment horizontal="center" vertical="center" wrapText="1"/>
    </xf>
    <xf numFmtId="4" fontId="20" fillId="2" borderId="1" xfId="8" applyNumberFormat="1" applyFont="1" applyFill="1" applyBorder="1" applyAlignment="1">
      <alignment horizontal="center" vertical="center" wrapText="1"/>
    </xf>
    <xf numFmtId="0" fontId="20" fillId="2" borderId="1" xfId="0" applyFont="1" applyFill="1" applyBorder="1" applyAlignment="1">
      <alignment horizontal="center" vertical="center" wrapText="1"/>
    </xf>
    <xf numFmtId="0" fontId="5" fillId="6" borderId="1" xfId="6" applyFont="1" applyFill="1" applyBorder="1" applyAlignment="1">
      <alignment horizontal="left" vertical="center" wrapText="1"/>
    </xf>
    <xf numFmtId="16" fontId="2" fillId="4" borderId="1" xfId="8" quotePrefix="1" applyNumberFormat="1" applyFont="1" applyFill="1" applyBorder="1" applyAlignment="1">
      <alignment horizontal="center" vertical="center" wrapText="1"/>
    </xf>
    <xf numFmtId="167" fontId="2" fillId="5" borderId="1" xfId="8" applyNumberFormat="1" applyFont="1" applyFill="1" applyBorder="1" applyAlignment="1">
      <alignment horizontal="center" vertical="center" wrapText="1"/>
    </xf>
    <xf numFmtId="0" fontId="2" fillId="4" borderId="1" xfId="8" quotePrefix="1" applyFont="1" applyFill="1" applyBorder="1" applyAlignment="1">
      <alignment horizontal="center" vertical="center" wrapText="1"/>
    </xf>
    <xf numFmtId="167" fontId="2" fillId="5" borderId="1" xfId="8" quotePrefix="1" applyNumberFormat="1" applyFont="1" applyFill="1" applyBorder="1" applyAlignment="1">
      <alignment horizontal="center" vertical="center" wrapText="1"/>
    </xf>
    <xf numFmtId="16" fontId="2" fillId="4" borderId="9" xfId="8" quotePrefix="1" applyNumberFormat="1" applyFont="1" applyFill="1" applyBorder="1" applyAlignment="1">
      <alignment horizontal="center" vertical="center" wrapText="1"/>
    </xf>
    <xf numFmtId="0" fontId="2" fillId="4" borderId="9" xfId="6" applyFont="1" applyFill="1" applyBorder="1" applyAlignment="1">
      <alignment horizontal="left" vertical="center" wrapText="1"/>
    </xf>
    <xf numFmtId="167" fontId="2" fillId="5" borderId="6" xfId="8" quotePrefix="1" applyNumberFormat="1" applyFont="1" applyFill="1" applyBorder="1" applyAlignment="1">
      <alignment horizontal="center" vertical="center" wrapText="1"/>
    </xf>
    <xf numFmtId="0" fontId="7" fillId="5" borderId="6" xfId="6" applyFont="1" applyFill="1" applyBorder="1" applyAlignment="1">
      <alignment horizontal="left" vertical="center" wrapText="1"/>
    </xf>
    <xf numFmtId="0" fontId="2" fillId="4" borderId="9" xfId="8" quotePrefix="1" applyFont="1" applyFill="1" applyBorder="1" applyAlignment="1">
      <alignment horizontal="center" vertical="center" wrapText="1"/>
    </xf>
    <xf numFmtId="0" fontId="2" fillId="4" borderId="6" xfId="8" quotePrefix="1" applyFont="1" applyFill="1" applyBorder="1" applyAlignment="1">
      <alignment horizontal="center" vertical="center" wrapText="1"/>
    </xf>
    <xf numFmtId="0" fontId="2" fillId="4" borderId="6" xfId="6" applyFont="1" applyFill="1" applyBorder="1" applyAlignment="1">
      <alignment horizontal="left" vertical="center" wrapText="1"/>
    </xf>
    <xf numFmtId="0" fontId="5" fillId="0"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5" fillId="4" borderId="5" xfId="6" applyFont="1" applyFill="1" applyBorder="1" applyAlignment="1">
      <alignment horizontal="left" vertical="center" wrapText="1"/>
    </xf>
    <xf numFmtId="0" fontId="5" fillId="4" borderId="1" xfId="6" applyFont="1" applyFill="1" applyBorder="1" applyAlignment="1">
      <alignment horizontal="left" vertical="center" wrapText="1"/>
    </xf>
  </cellXfs>
  <cellStyles count="11">
    <cellStyle name="Hyperlink 2" xfId="2" xr:uid="{00000000-0005-0000-0000-000002000000}"/>
    <cellStyle name="Normal 2" xfId="3" xr:uid="{00000000-0005-0000-0000-000003000000}"/>
    <cellStyle name="Гиперссылка 2" xfId="4" xr:uid="{00000000-0005-0000-0000-000004000000}"/>
    <cellStyle name="Денежный" xfId="1" builtinId="4"/>
    <cellStyle name="Денежный 2" xfId="5" xr:uid="{00000000-0005-0000-0000-000005000000}"/>
    <cellStyle name="Обычный" xfId="0" builtinId="0"/>
    <cellStyle name="Обычный 2" xfId="6" xr:uid="{00000000-0005-0000-0000-000006000000}"/>
    <cellStyle name="Обычный 3" xfId="7" xr:uid="{00000000-0005-0000-0000-000007000000}"/>
    <cellStyle name="Обычный_Смета_динамо" xfId="8" xr:uid="{00000000-0005-0000-0000-000008000000}"/>
    <cellStyle name="Процентный 2" xfId="9" xr:uid="{00000000-0005-0000-0000-000009000000}"/>
    <cellStyle name="Финансовый 2" xfId="10" xr:uid="{00000000-0005-0000-0000-00000A00000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H225"/>
  <sheetViews>
    <sheetView showGridLines="0" tabSelected="1" zoomScale="69" zoomScaleNormal="110" workbookViewId="0">
      <selection activeCell="C162" sqref="C162"/>
    </sheetView>
  </sheetViews>
  <sheetFormatPr defaultColWidth="9.19921875" defaultRowHeight="13.2"/>
  <cols>
    <col min="1" max="1" width="5.69921875" style="7" customWidth="1"/>
    <col min="2" max="2" width="50.59765625" style="8" customWidth="1"/>
    <col min="3" max="3" width="50.59765625" style="1" customWidth="1"/>
    <col min="4" max="4" width="50.59765625" style="9" customWidth="1"/>
    <col min="5" max="8" width="15.69921875" style="9" customWidth="1"/>
    <col min="9" max="12" width="9.19921875" style="9" customWidth="1"/>
    <col min="13" max="16384" width="9.19921875" style="9"/>
  </cols>
  <sheetData>
    <row r="2" spans="1:8">
      <c r="B2" s="32" t="s">
        <v>0</v>
      </c>
      <c r="C2" s="33"/>
    </row>
    <row r="3" spans="1:8">
      <c r="B3" s="32" t="s">
        <v>1</v>
      </c>
      <c r="C3" s="33" t="s">
        <v>2</v>
      </c>
    </row>
    <row r="4" spans="1:8">
      <c r="B4" s="32" t="s">
        <v>3</v>
      </c>
      <c r="C4" s="33" t="s">
        <v>4</v>
      </c>
    </row>
    <row r="5" spans="1:8">
      <c r="B5" s="32" t="s">
        <v>86</v>
      </c>
      <c r="C5" s="41">
        <v>21600</v>
      </c>
    </row>
    <row r="6" spans="1:8">
      <c r="B6" s="34" t="s">
        <v>5</v>
      </c>
      <c r="C6" s="35"/>
    </row>
    <row r="7" spans="1:8">
      <c r="B7" s="32" t="s">
        <v>6</v>
      </c>
      <c r="C7" s="75"/>
    </row>
    <row r="8" spans="1:8">
      <c r="B8" s="32" t="s">
        <v>7</v>
      </c>
      <c r="C8" s="75"/>
    </row>
    <row r="9" spans="1:8">
      <c r="B9" s="32" t="s">
        <v>8</v>
      </c>
      <c r="C9" s="75"/>
    </row>
    <row r="10" spans="1:8">
      <c r="B10" s="32" t="s">
        <v>9</v>
      </c>
      <c r="C10" s="75"/>
    </row>
    <row r="11" spans="1:8">
      <c r="B11" s="32" t="s">
        <v>10</v>
      </c>
      <c r="C11" s="75"/>
    </row>
    <row r="12" spans="1:8">
      <c r="B12" s="32" t="s">
        <v>11</v>
      </c>
      <c r="C12" s="75"/>
    </row>
    <row r="13" spans="1:8">
      <c r="B13" s="32" t="s">
        <v>12</v>
      </c>
      <c r="C13" s="93" t="s">
        <v>13</v>
      </c>
    </row>
    <row r="14" spans="1:8">
      <c r="A14" s="10"/>
    </row>
    <row r="15" spans="1:8" s="1" customFormat="1" ht="36">
      <c r="A15" s="89" t="s">
        <v>14</v>
      </c>
      <c r="B15" s="90" t="s">
        <v>15</v>
      </c>
      <c r="C15" s="91" t="s">
        <v>16</v>
      </c>
      <c r="D15" s="92" t="s">
        <v>17</v>
      </c>
      <c r="E15" s="92" t="s">
        <v>18</v>
      </c>
      <c r="F15" s="92" t="s">
        <v>19</v>
      </c>
      <c r="G15" s="92" t="s">
        <v>20</v>
      </c>
      <c r="H15" s="92" t="s">
        <v>87</v>
      </c>
    </row>
    <row r="16" spans="1:8" s="1" customFormat="1">
      <c r="A16" s="89">
        <v>1</v>
      </c>
      <c r="B16" s="89">
        <f t="shared" ref="B16:H16" si="0">+A16+1</f>
        <v>2</v>
      </c>
      <c r="C16" s="89">
        <f t="shared" si="0"/>
        <v>3</v>
      </c>
      <c r="D16" s="89">
        <f t="shared" si="0"/>
        <v>4</v>
      </c>
      <c r="E16" s="89">
        <f t="shared" si="0"/>
        <v>5</v>
      </c>
      <c r="F16" s="89">
        <f t="shared" si="0"/>
        <v>6</v>
      </c>
      <c r="G16" s="89">
        <f t="shared" si="0"/>
        <v>7</v>
      </c>
      <c r="H16" s="89">
        <f t="shared" si="0"/>
        <v>8</v>
      </c>
    </row>
    <row r="17" spans="1:8" s="2" customFormat="1" ht="30" customHeight="1">
      <c r="A17" s="73">
        <v>1</v>
      </c>
      <c r="B17" s="13" t="s">
        <v>162</v>
      </c>
      <c r="C17" s="13"/>
      <c r="D17" s="14"/>
      <c r="E17" s="15">
        <v>46204</v>
      </c>
      <c r="F17" s="21">
        <v>46356</v>
      </c>
      <c r="G17" s="16">
        <f>+F17-E17+1</f>
        <v>153</v>
      </c>
      <c r="H17" s="22"/>
    </row>
    <row r="18" spans="1:8" s="2" customFormat="1" ht="30" customHeight="1">
      <c r="A18" s="74" t="s">
        <v>21</v>
      </c>
      <c r="B18" s="17" t="s">
        <v>22</v>
      </c>
      <c r="C18" s="17"/>
      <c r="D18" s="18"/>
      <c r="E18" s="19"/>
      <c r="F18" s="23"/>
      <c r="G18" s="20"/>
      <c r="H18" s="24"/>
    </row>
    <row r="19" spans="1:8" s="2" customFormat="1" ht="20.399999999999999">
      <c r="A19" s="36"/>
      <c r="B19" s="47"/>
      <c r="C19" s="60" t="s">
        <v>23</v>
      </c>
      <c r="D19" s="29" t="s">
        <v>98</v>
      </c>
      <c r="E19" s="11">
        <v>46204</v>
      </c>
      <c r="F19" s="11">
        <v>46227</v>
      </c>
      <c r="G19" s="66">
        <f t="shared" ref="G19:G25" si="1">+F19-E19+1</f>
        <v>24</v>
      </c>
      <c r="H19" s="25"/>
    </row>
    <row r="20" spans="1:8" s="2" customFormat="1" ht="40.799999999999997">
      <c r="A20" s="48"/>
      <c r="B20" s="49"/>
      <c r="C20" s="60" t="s">
        <v>24</v>
      </c>
      <c r="D20" s="29" t="s">
        <v>281</v>
      </c>
      <c r="E20" s="11">
        <v>46204</v>
      </c>
      <c r="F20" s="11">
        <v>46272</v>
      </c>
      <c r="G20" s="66">
        <f t="shared" si="1"/>
        <v>69</v>
      </c>
      <c r="H20" s="25"/>
    </row>
    <row r="21" spans="1:8" s="2" customFormat="1" ht="40.799999999999997">
      <c r="A21" s="48"/>
      <c r="B21" s="49"/>
      <c r="C21" s="60" t="s">
        <v>103</v>
      </c>
      <c r="D21" s="29" t="s">
        <v>93</v>
      </c>
      <c r="E21" s="11">
        <v>46204</v>
      </c>
      <c r="F21" s="11">
        <v>46286</v>
      </c>
      <c r="G21" s="66">
        <f t="shared" si="1"/>
        <v>83</v>
      </c>
      <c r="H21" s="25"/>
    </row>
    <row r="22" spans="1:8" s="2" customFormat="1" ht="40.799999999999997">
      <c r="A22" s="48"/>
      <c r="B22" s="49"/>
      <c r="C22" s="60" t="s">
        <v>25</v>
      </c>
      <c r="D22" s="29" t="s">
        <v>94</v>
      </c>
      <c r="E22" s="11">
        <v>46204</v>
      </c>
      <c r="F22" s="11">
        <v>46272</v>
      </c>
      <c r="G22" s="66">
        <f t="shared" si="1"/>
        <v>69</v>
      </c>
      <c r="H22" s="25"/>
    </row>
    <row r="23" spans="1:8" s="2" customFormat="1" ht="20.399999999999999">
      <c r="A23" s="48"/>
      <c r="B23" s="49"/>
      <c r="C23" s="60" t="s">
        <v>104</v>
      </c>
      <c r="D23" s="29" t="s">
        <v>95</v>
      </c>
      <c r="E23" s="11">
        <v>46204</v>
      </c>
      <c r="F23" s="11">
        <v>46266</v>
      </c>
      <c r="G23" s="66">
        <f t="shared" si="1"/>
        <v>63</v>
      </c>
      <c r="H23" s="25"/>
    </row>
    <row r="24" spans="1:8" s="2" customFormat="1" ht="20.399999999999999">
      <c r="A24" s="48"/>
      <c r="B24" s="49"/>
      <c r="C24" s="60" t="s">
        <v>26</v>
      </c>
      <c r="D24" s="29" t="s">
        <v>282</v>
      </c>
      <c r="E24" s="11">
        <v>46231</v>
      </c>
      <c r="F24" s="11">
        <v>46341</v>
      </c>
      <c r="G24" s="66">
        <f t="shared" si="1"/>
        <v>111</v>
      </c>
      <c r="H24" s="25"/>
    </row>
    <row r="25" spans="1:8" s="2" customFormat="1" ht="30.6">
      <c r="A25" s="50"/>
      <c r="B25" s="51"/>
      <c r="C25" s="60" t="s">
        <v>27</v>
      </c>
      <c r="D25" s="29" t="s">
        <v>96</v>
      </c>
      <c r="E25" s="11">
        <v>46204</v>
      </c>
      <c r="F25" s="11">
        <v>46266</v>
      </c>
      <c r="G25" s="66">
        <f t="shared" si="1"/>
        <v>63</v>
      </c>
      <c r="H25" s="25"/>
    </row>
    <row r="26" spans="1:8" s="2" customFormat="1" ht="30" customHeight="1">
      <c r="A26" s="73">
        <v>2</v>
      </c>
      <c r="B26" s="13" t="s">
        <v>33</v>
      </c>
      <c r="C26" s="13"/>
      <c r="D26" s="14"/>
      <c r="E26" s="15">
        <v>46218</v>
      </c>
      <c r="F26" s="21">
        <v>46477</v>
      </c>
      <c r="G26" s="16">
        <f>+F26-E26+1</f>
        <v>260</v>
      </c>
      <c r="H26" s="22"/>
    </row>
    <row r="27" spans="1:8" s="2" customFormat="1" ht="30" customHeight="1">
      <c r="A27" s="96" t="s">
        <v>34</v>
      </c>
      <c r="B27" s="17" t="s">
        <v>97</v>
      </c>
      <c r="C27" s="17"/>
      <c r="D27" s="18"/>
      <c r="E27" s="19"/>
      <c r="F27" s="23"/>
      <c r="G27" s="20"/>
      <c r="H27" s="24"/>
    </row>
    <row r="28" spans="1:8" s="1" customFormat="1" ht="51">
      <c r="A28" s="39"/>
      <c r="B28" s="47"/>
      <c r="C28" s="62" t="s">
        <v>35</v>
      </c>
      <c r="D28" s="29" t="s">
        <v>90</v>
      </c>
      <c r="E28" s="11">
        <v>46218</v>
      </c>
      <c r="F28" s="11">
        <v>46241</v>
      </c>
      <c r="G28" s="66">
        <f t="shared" ref="G28:G30" si="2">+F28-E28+1</f>
        <v>24</v>
      </c>
      <c r="H28" s="31"/>
    </row>
    <row r="29" spans="1:8" s="1" customFormat="1" ht="91.8">
      <c r="A29" s="48"/>
      <c r="B29" s="49"/>
      <c r="C29" s="62" t="s">
        <v>36</v>
      </c>
      <c r="D29" s="29" t="s">
        <v>100</v>
      </c>
      <c r="E29" s="11">
        <v>46230</v>
      </c>
      <c r="F29" s="11">
        <v>46295</v>
      </c>
      <c r="G29" s="66">
        <f t="shared" si="2"/>
        <v>66</v>
      </c>
      <c r="H29" s="31"/>
    </row>
    <row r="30" spans="1:8" s="1" customFormat="1" ht="30.6">
      <c r="A30" s="50"/>
      <c r="B30" s="51"/>
      <c r="C30" s="64" t="s">
        <v>111</v>
      </c>
      <c r="D30" s="29" t="s">
        <v>372</v>
      </c>
      <c r="E30" s="11">
        <v>46264</v>
      </c>
      <c r="F30" s="11">
        <v>46295</v>
      </c>
      <c r="G30" s="66">
        <f t="shared" si="2"/>
        <v>32</v>
      </c>
      <c r="H30" s="31"/>
    </row>
    <row r="31" spans="1:8" s="1" customFormat="1" ht="30" customHeight="1">
      <c r="A31" s="96" t="s">
        <v>37</v>
      </c>
      <c r="B31" s="17" t="s">
        <v>40</v>
      </c>
      <c r="C31" s="17"/>
      <c r="D31" s="106"/>
      <c r="E31" s="19"/>
      <c r="F31" s="23"/>
      <c r="G31" s="20"/>
      <c r="H31" s="24"/>
    </row>
    <row r="32" spans="1:8" s="1" customFormat="1" ht="30.6">
      <c r="A32" s="53"/>
      <c r="B32" s="54"/>
      <c r="C32" s="64" t="s">
        <v>297</v>
      </c>
      <c r="D32" s="29" t="s">
        <v>373</v>
      </c>
      <c r="E32" s="11">
        <v>46325</v>
      </c>
      <c r="F32" s="11">
        <v>46386</v>
      </c>
      <c r="G32" s="66">
        <f t="shared" ref="G32" si="3">+F32-E32+1</f>
        <v>62</v>
      </c>
      <c r="H32" s="31"/>
    </row>
    <row r="33" spans="1:8" s="1" customFormat="1" ht="30" customHeight="1">
      <c r="A33" s="96" t="s">
        <v>38</v>
      </c>
      <c r="B33" s="17" t="s">
        <v>41</v>
      </c>
      <c r="C33" s="17"/>
      <c r="D33" s="106"/>
      <c r="E33" s="19"/>
      <c r="F33" s="23"/>
      <c r="G33" s="20"/>
      <c r="H33" s="24"/>
    </row>
    <row r="34" spans="1:8" s="1" customFormat="1" ht="91.8">
      <c r="A34" s="36"/>
      <c r="B34" s="47"/>
      <c r="C34" s="64" t="s">
        <v>112</v>
      </c>
      <c r="D34" s="29" t="s">
        <v>115</v>
      </c>
      <c r="E34" s="11">
        <v>46417</v>
      </c>
      <c r="F34" s="11">
        <v>46438</v>
      </c>
      <c r="G34" s="66">
        <f t="shared" ref="G34:G36" si="4">+F34-E34+1</f>
        <v>22</v>
      </c>
      <c r="H34" s="31"/>
    </row>
    <row r="35" spans="1:8" s="1" customFormat="1" ht="13.8">
      <c r="A35" s="48"/>
      <c r="B35" s="49"/>
      <c r="C35" s="64" t="s">
        <v>113</v>
      </c>
      <c r="D35" s="29" t="s">
        <v>116</v>
      </c>
      <c r="E35" s="11">
        <v>46429</v>
      </c>
      <c r="F35" s="11">
        <v>46477</v>
      </c>
      <c r="G35" s="66">
        <f t="shared" si="4"/>
        <v>49</v>
      </c>
      <c r="H35" s="31"/>
    </row>
    <row r="36" spans="1:8" s="1" customFormat="1" ht="30.6">
      <c r="A36" s="50"/>
      <c r="B36" s="51"/>
      <c r="C36" s="64" t="s">
        <v>114</v>
      </c>
      <c r="D36" s="29" t="s">
        <v>117</v>
      </c>
      <c r="E36" s="11">
        <v>46447</v>
      </c>
      <c r="F36" s="11">
        <v>46477</v>
      </c>
      <c r="G36" s="66">
        <f t="shared" si="4"/>
        <v>31</v>
      </c>
      <c r="H36" s="31"/>
    </row>
    <row r="37" spans="1:8" s="1" customFormat="1" ht="30" customHeight="1">
      <c r="A37" s="78" t="s">
        <v>39</v>
      </c>
      <c r="B37" s="72" t="s">
        <v>89</v>
      </c>
      <c r="C37" s="68"/>
      <c r="D37" s="69"/>
      <c r="E37" s="70"/>
      <c r="F37" s="70"/>
      <c r="G37" s="70"/>
      <c r="H37" s="71"/>
    </row>
    <row r="38" spans="1:8" s="1" customFormat="1" ht="30" customHeight="1">
      <c r="A38" s="73">
        <v>3</v>
      </c>
      <c r="B38" s="13" t="s">
        <v>119</v>
      </c>
      <c r="C38" s="13"/>
      <c r="D38" s="14"/>
      <c r="E38" s="15">
        <v>46204</v>
      </c>
      <c r="F38" s="21">
        <v>46356</v>
      </c>
      <c r="G38" s="16">
        <f>+F38-E38+1</f>
        <v>153</v>
      </c>
      <c r="H38" s="22"/>
    </row>
    <row r="39" spans="1:8" s="1" customFormat="1" ht="30" customHeight="1">
      <c r="A39" s="94" t="s">
        <v>43</v>
      </c>
      <c r="B39" s="17" t="s">
        <v>32</v>
      </c>
      <c r="C39" s="17"/>
      <c r="D39" s="18"/>
      <c r="E39" s="19"/>
      <c r="F39" s="23"/>
      <c r="G39" s="20"/>
      <c r="H39" s="24"/>
    </row>
    <row r="40" spans="1:8" s="1" customFormat="1" ht="51">
      <c r="A40" s="39"/>
      <c r="B40" s="47"/>
      <c r="C40" s="62" t="s">
        <v>121</v>
      </c>
      <c r="D40" s="29" t="s">
        <v>123</v>
      </c>
      <c r="E40" s="11">
        <v>46218</v>
      </c>
      <c r="F40" s="11">
        <v>46227</v>
      </c>
      <c r="G40" s="66">
        <f t="shared" ref="G40:G42" si="5">+F40-E40+1</f>
        <v>10</v>
      </c>
      <c r="H40" s="31"/>
    </row>
    <row r="41" spans="1:8" s="1" customFormat="1" ht="91.8">
      <c r="A41" s="48"/>
      <c r="B41" s="49"/>
      <c r="C41" s="62" t="s">
        <v>122</v>
      </c>
      <c r="D41" s="29" t="s">
        <v>124</v>
      </c>
      <c r="E41" s="11">
        <v>46223</v>
      </c>
      <c r="F41" s="11">
        <v>46249</v>
      </c>
      <c r="G41" s="66">
        <f t="shared" si="5"/>
        <v>27</v>
      </c>
      <c r="H41" s="31"/>
    </row>
    <row r="42" spans="1:8" s="3" customFormat="1" ht="40.799999999999997">
      <c r="A42" s="50"/>
      <c r="B42" s="51"/>
      <c r="C42" s="38" t="s">
        <v>163</v>
      </c>
      <c r="D42" s="30" t="s">
        <v>298</v>
      </c>
      <c r="E42" s="11">
        <v>46235</v>
      </c>
      <c r="F42" s="11">
        <v>46249</v>
      </c>
      <c r="G42" s="66">
        <f t="shared" si="5"/>
        <v>15</v>
      </c>
      <c r="H42" s="31"/>
    </row>
    <row r="43" spans="1:8" s="3" customFormat="1" ht="30" customHeight="1">
      <c r="A43" s="94" t="s">
        <v>45</v>
      </c>
      <c r="B43" s="17" t="s">
        <v>120</v>
      </c>
      <c r="C43" s="17"/>
      <c r="D43" s="106"/>
      <c r="E43" s="19"/>
      <c r="F43" s="23"/>
      <c r="G43" s="20"/>
      <c r="H43" s="24"/>
    </row>
    <row r="44" spans="1:8" s="1" customFormat="1" ht="51">
      <c r="A44" s="55"/>
      <c r="B44" s="49"/>
      <c r="C44" s="61" t="s">
        <v>125</v>
      </c>
      <c r="D44" s="29" t="s">
        <v>127</v>
      </c>
      <c r="E44" s="11">
        <v>46218</v>
      </c>
      <c r="F44" s="11">
        <v>46255</v>
      </c>
      <c r="G44" s="66">
        <f t="shared" ref="G44:G46" si="6">+F44-E44+1</f>
        <v>38</v>
      </c>
      <c r="H44" s="31"/>
    </row>
    <row r="45" spans="1:8" s="1" customFormat="1" ht="91.8">
      <c r="A45" s="48"/>
      <c r="B45" s="49"/>
      <c r="C45" s="61" t="s">
        <v>126</v>
      </c>
      <c r="D45" s="29" t="s">
        <v>128</v>
      </c>
      <c r="E45" s="11">
        <v>46236</v>
      </c>
      <c r="F45" s="11">
        <v>46341</v>
      </c>
      <c r="G45" s="66">
        <f t="shared" si="6"/>
        <v>106</v>
      </c>
      <c r="H45" s="31"/>
    </row>
    <row r="46" spans="1:8" s="1" customFormat="1" ht="30.6">
      <c r="A46" s="48"/>
      <c r="B46" s="49"/>
      <c r="C46" s="61" t="s">
        <v>164</v>
      </c>
      <c r="D46" s="29" t="s">
        <v>299</v>
      </c>
      <c r="E46" s="11">
        <v>46218</v>
      </c>
      <c r="F46" s="11">
        <v>46341</v>
      </c>
      <c r="G46" s="66">
        <f t="shared" si="6"/>
        <v>124</v>
      </c>
      <c r="H46" s="31"/>
    </row>
    <row r="47" spans="1:8" s="1" customFormat="1" ht="30" customHeight="1">
      <c r="A47" s="94" t="s">
        <v>105</v>
      </c>
      <c r="B47" s="17" t="s">
        <v>28</v>
      </c>
      <c r="C47" s="17"/>
      <c r="D47" s="106"/>
      <c r="E47" s="19"/>
      <c r="F47" s="23"/>
      <c r="G47" s="20"/>
      <c r="H47" s="24"/>
    </row>
    <row r="48" spans="1:8" s="1" customFormat="1" ht="51">
      <c r="A48" s="39"/>
      <c r="B48" s="47"/>
      <c r="C48" s="61" t="s">
        <v>129</v>
      </c>
      <c r="D48" s="29" t="s">
        <v>131</v>
      </c>
      <c r="E48" s="11">
        <v>46235</v>
      </c>
      <c r="F48" s="11">
        <v>46271</v>
      </c>
      <c r="G48" s="66">
        <f t="shared" ref="G48:G50" si="7">+F48-E48+1</f>
        <v>37</v>
      </c>
      <c r="H48" s="31"/>
    </row>
    <row r="49" spans="1:8" s="1" customFormat="1" ht="91.8">
      <c r="A49" s="48"/>
      <c r="B49" s="49"/>
      <c r="C49" s="61" t="s">
        <v>130</v>
      </c>
      <c r="D49" s="29" t="s">
        <v>132</v>
      </c>
      <c r="E49" s="11">
        <v>46253</v>
      </c>
      <c r="F49" s="11">
        <v>46356</v>
      </c>
      <c r="G49" s="66">
        <f t="shared" si="7"/>
        <v>104</v>
      </c>
      <c r="H49" s="31"/>
    </row>
    <row r="50" spans="1:8" s="1" customFormat="1" ht="30.6">
      <c r="A50" s="48"/>
      <c r="B50" s="49"/>
      <c r="C50" s="37" t="s">
        <v>165</v>
      </c>
      <c r="D50" s="29" t="s">
        <v>300</v>
      </c>
      <c r="E50" s="11">
        <v>46235</v>
      </c>
      <c r="F50" s="11">
        <v>46356</v>
      </c>
      <c r="G50" s="66">
        <f t="shared" si="7"/>
        <v>122</v>
      </c>
      <c r="H50" s="31"/>
    </row>
    <row r="51" spans="1:8" s="1" customFormat="1" ht="30" customHeight="1">
      <c r="A51" s="94" t="s">
        <v>106</v>
      </c>
      <c r="B51" s="17" t="s">
        <v>29</v>
      </c>
      <c r="C51" s="17"/>
      <c r="D51" s="106"/>
      <c r="E51" s="19"/>
      <c r="F51" s="23"/>
      <c r="G51" s="20"/>
      <c r="H51" s="24"/>
    </row>
    <row r="52" spans="1:8" s="1" customFormat="1" ht="51">
      <c r="A52" s="36"/>
      <c r="B52" s="47"/>
      <c r="C52" s="61" t="s">
        <v>133</v>
      </c>
      <c r="D52" s="29" t="s">
        <v>136</v>
      </c>
      <c r="E52" s="11">
        <v>46218</v>
      </c>
      <c r="F52" s="11">
        <v>46255</v>
      </c>
      <c r="G52" s="66">
        <f t="shared" ref="G52:G54" si="8">+F52-E52+1</f>
        <v>38</v>
      </c>
      <c r="H52" s="31"/>
    </row>
    <row r="53" spans="1:8" s="1" customFormat="1" ht="91.8">
      <c r="A53" s="48"/>
      <c r="B53" s="49"/>
      <c r="C53" s="61" t="s">
        <v>134</v>
      </c>
      <c r="D53" s="29" t="s">
        <v>135</v>
      </c>
      <c r="E53" s="11">
        <v>46236</v>
      </c>
      <c r="F53" s="11">
        <v>46341</v>
      </c>
      <c r="G53" s="66">
        <f t="shared" si="8"/>
        <v>106</v>
      </c>
      <c r="H53" s="31"/>
    </row>
    <row r="54" spans="1:8" s="1" customFormat="1" ht="30.6">
      <c r="A54" s="48"/>
      <c r="B54" s="49"/>
      <c r="C54" s="38" t="s">
        <v>169</v>
      </c>
      <c r="D54" s="29" t="s">
        <v>301</v>
      </c>
      <c r="E54" s="11">
        <v>46218</v>
      </c>
      <c r="F54" s="11">
        <v>46341</v>
      </c>
      <c r="G54" s="66">
        <f t="shared" si="8"/>
        <v>124</v>
      </c>
      <c r="H54" s="31"/>
    </row>
    <row r="55" spans="1:8" s="1" customFormat="1" ht="30" customHeight="1">
      <c r="A55" s="94" t="s">
        <v>107</v>
      </c>
      <c r="B55" s="17" t="s">
        <v>30</v>
      </c>
      <c r="C55" s="17"/>
      <c r="D55" s="106"/>
      <c r="E55" s="19"/>
      <c r="F55" s="23"/>
      <c r="G55" s="20"/>
      <c r="H55" s="24"/>
    </row>
    <row r="56" spans="1:8" s="1" customFormat="1" ht="51">
      <c r="A56" s="36"/>
      <c r="B56" s="47"/>
      <c r="C56" s="61" t="s">
        <v>137</v>
      </c>
      <c r="D56" s="29" t="s">
        <v>139</v>
      </c>
      <c r="E56" s="11">
        <v>46218</v>
      </c>
      <c r="F56" s="11">
        <v>46255</v>
      </c>
      <c r="G56" s="66">
        <f t="shared" ref="G56:G58" si="9">+F56-E56+1</f>
        <v>38</v>
      </c>
      <c r="H56" s="31"/>
    </row>
    <row r="57" spans="1:8" s="1" customFormat="1" ht="91.8">
      <c r="A57" s="48"/>
      <c r="B57" s="49"/>
      <c r="C57" s="61" t="s">
        <v>138</v>
      </c>
      <c r="D57" s="29" t="s">
        <v>140</v>
      </c>
      <c r="E57" s="11">
        <v>46236</v>
      </c>
      <c r="F57" s="11">
        <v>46341</v>
      </c>
      <c r="G57" s="66">
        <f t="shared" si="9"/>
        <v>106</v>
      </c>
      <c r="H57" s="31"/>
    </row>
    <row r="58" spans="1:8" s="1" customFormat="1" ht="30.6">
      <c r="A58" s="48"/>
      <c r="B58" s="49"/>
      <c r="C58" s="38" t="s">
        <v>166</v>
      </c>
      <c r="D58" s="29" t="s">
        <v>302</v>
      </c>
      <c r="E58" s="11">
        <v>46218</v>
      </c>
      <c r="F58" s="11">
        <v>46341</v>
      </c>
      <c r="G58" s="66">
        <f t="shared" si="9"/>
        <v>124</v>
      </c>
      <c r="H58" s="31"/>
    </row>
    <row r="59" spans="1:8" s="1" customFormat="1" ht="30" customHeight="1">
      <c r="A59" s="94" t="s">
        <v>108</v>
      </c>
      <c r="B59" s="17" t="s">
        <v>31</v>
      </c>
      <c r="C59" s="17"/>
      <c r="D59" s="106"/>
      <c r="E59" s="19"/>
      <c r="F59" s="23"/>
      <c r="G59" s="20"/>
      <c r="H59" s="24"/>
    </row>
    <row r="60" spans="1:8" s="1" customFormat="1" ht="51">
      <c r="A60" s="39"/>
      <c r="B60" s="47"/>
      <c r="C60" s="62" t="s">
        <v>141</v>
      </c>
      <c r="D60" s="29" t="s">
        <v>143</v>
      </c>
      <c r="E60" s="11">
        <v>46218</v>
      </c>
      <c r="F60" s="11">
        <v>46255</v>
      </c>
      <c r="G60" s="66">
        <f t="shared" ref="G60:G62" si="10">+F60-E60+1</f>
        <v>38</v>
      </c>
      <c r="H60" s="31"/>
    </row>
    <row r="61" spans="1:8" s="1" customFormat="1" ht="91.8">
      <c r="A61" s="48"/>
      <c r="B61" s="49"/>
      <c r="C61" s="62" t="s">
        <v>142</v>
      </c>
      <c r="D61" s="29" t="s">
        <v>144</v>
      </c>
      <c r="E61" s="11">
        <v>46236</v>
      </c>
      <c r="F61" s="11">
        <v>46341</v>
      </c>
      <c r="G61" s="66">
        <f t="shared" si="10"/>
        <v>106</v>
      </c>
      <c r="H61" s="31"/>
    </row>
    <row r="62" spans="1:8" s="1" customFormat="1" ht="30.6">
      <c r="A62" s="48"/>
      <c r="B62" s="49"/>
      <c r="C62" s="38" t="s">
        <v>167</v>
      </c>
      <c r="D62" s="105" t="s">
        <v>303</v>
      </c>
      <c r="E62" s="11">
        <v>46292</v>
      </c>
      <c r="F62" s="11">
        <v>46341</v>
      </c>
      <c r="G62" s="66">
        <f t="shared" si="10"/>
        <v>50</v>
      </c>
      <c r="H62" s="31"/>
    </row>
    <row r="63" spans="1:8" s="1" customFormat="1" ht="30" customHeight="1">
      <c r="A63" s="94" t="s">
        <v>109</v>
      </c>
      <c r="B63" s="17" t="s">
        <v>305</v>
      </c>
      <c r="C63" s="17"/>
      <c r="D63" s="106"/>
      <c r="E63" s="19"/>
      <c r="F63" s="23"/>
      <c r="G63" s="20"/>
      <c r="H63" s="24"/>
    </row>
    <row r="64" spans="1:8" s="1" customFormat="1" ht="51">
      <c r="A64" s="39"/>
      <c r="B64" s="47"/>
      <c r="C64" s="63" t="s">
        <v>145</v>
      </c>
      <c r="D64" s="29" t="s">
        <v>147</v>
      </c>
      <c r="E64" s="11">
        <v>46235</v>
      </c>
      <c r="F64" s="11">
        <v>46271</v>
      </c>
      <c r="G64" s="66">
        <f t="shared" ref="G64:G66" si="11">+F64-E64+1</f>
        <v>37</v>
      </c>
      <c r="H64" s="31"/>
    </row>
    <row r="65" spans="1:8" s="1" customFormat="1" ht="91.8">
      <c r="A65" s="48"/>
      <c r="B65" s="49"/>
      <c r="C65" s="63" t="s">
        <v>146</v>
      </c>
      <c r="D65" s="29" t="s">
        <v>148</v>
      </c>
      <c r="E65" s="11">
        <v>46253</v>
      </c>
      <c r="F65" s="11">
        <v>46356</v>
      </c>
      <c r="G65" s="66">
        <f t="shared" si="11"/>
        <v>104</v>
      </c>
      <c r="H65" s="31"/>
    </row>
    <row r="66" spans="1:8" s="1" customFormat="1" ht="30.6">
      <c r="A66" s="48"/>
      <c r="B66" s="49"/>
      <c r="C66" s="76" t="s">
        <v>168</v>
      </c>
      <c r="D66" s="105" t="s">
        <v>304</v>
      </c>
      <c r="E66" s="65">
        <v>46235</v>
      </c>
      <c r="F66" s="65">
        <v>46356</v>
      </c>
      <c r="G66" s="67">
        <f t="shared" si="11"/>
        <v>122</v>
      </c>
      <c r="H66" s="77"/>
    </row>
    <row r="67" spans="1:8" s="1" customFormat="1" ht="30" customHeight="1">
      <c r="A67" s="95" t="s">
        <v>110</v>
      </c>
      <c r="B67" s="72" t="s">
        <v>89</v>
      </c>
      <c r="C67" s="68"/>
      <c r="D67" s="69"/>
      <c r="E67" s="70"/>
      <c r="F67" s="70"/>
      <c r="G67" s="70"/>
      <c r="H67" s="71"/>
    </row>
    <row r="68" spans="1:8" s="3" customFormat="1" ht="30" customHeight="1">
      <c r="A68" s="73">
        <v>4</v>
      </c>
      <c r="B68" s="13" t="s">
        <v>42</v>
      </c>
      <c r="C68" s="13"/>
      <c r="D68" s="14"/>
      <c r="E68" s="15">
        <v>46326</v>
      </c>
      <c r="F68" s="21">
        <v>46599</v>
      </c>
      <c r="G68" s="16">
        <f>+F68-E68+1</f>
        <v>274</v>
      </c>
      <c r="H68" s="22"/>
    </row>
    <row r="69" spans="1:8" s="3" customFormat="1" ht="30" customHeight="1">
      <c r="A69" s="98" t="s">
        <v>47</v>
      </c>
      <c r="B69" s="99" t="s">
        <v>44</v>
      </c>
      <c r="C69" s="17"/>
      <c r="D69" s="18"/>
      <c r="E69" s="19"/>
      <c r="F69" s="23"/>
      <c r="G69" s="20"/>
      <c r="H69" s="24"/>
    </row>
    <row r="70" spans="1:8" s="3" customFormat="1" ht="51">
      <c r="A70" s="36"/>
      <c r="B70" s="47"/>
      <c r="C70" s="63" t="s">
        <v>306</v>
      </c>
      <c r="D70" s="29" t="s">
        <v>314</v>
      </c>
      <c r="E70" s="11"/>
      <c r="F70" s="11"/>
      <c r="G70" s="66"/>
      <c r="H70" s="26"/>
    </row>
    <row r="71" spans="1:8" s="3" customFormat="1" ht="91.8">
      <c r="A71" s="55"/>
      <c r="B71" s="49"/>
      <c r="C71" s="63" t="s">
        <v>307</v>
      </c>
      <c r="D71" s="29" t="s">
        <v>315</v>
      </c>
      <c r="E71" s="11"/>
      <c r="F71" s="11"/>
      <c r="G71" s="66"/>
      <c r="H71" s="26"/>
    </row>
    <row r="72" spans="1:8" s="4" customFormat="1" ht="20.399999999999999">
      <c r="A72" s="55"/>
      <c r="B72" s="49"/>
      <c r="C72" s="64" t="s">
        <v>308</v>
      </c>
      <c r="D72" s="29" t="s">
        <v>316</v>
      </c>
      <c r="E72" s="11">
        <v>46326</v>
      </c>
      <c r="F72" s="11">
        <v>46462</v>
      </c>
      <c r="G72" s="66">
        <f t="shared" ref="G72:G77" si="12">+F72-E72+1</f>
        <v>137</v>
      </c>
      <c r="H72" s="26"/>
    </row>
    <row r="73" spans="1:8" s="4" customFormat="1" ht="20.399999999999999">
      <c r="A73" s="48"/>
      <c r="B73" s="49"/>
      <c r="C73" s="64" t="s">
        <v>309</v>
      </c>
      <c r="D73" s="29" t="s">
        <v>317</v>
      </c>
      <c r="E73" s="11">
        <v>46353</v>
      </c>
      <c r="F73" s="11">
        <v>46389</v>
      </c>
      <c r="G73" s="66">
        <f>+F73-E73+1</f>
        <v>37</v>
      </c>
      <c r="H73" s="26"/>
    </row>
    <row r="74" spans="1:8" s="4" customFormat="1" ht="13.8">
      <c r="A74" s="48"/>
      <c r="B74" s="49"/>
      <c r="C74" s="64" t="s">
        <v>310</v>
      </c>
      <c r="D74" s="29" t="s">
        <v>318</v>
      </c>
      <c r="E74" s="11">
        <v>46381</v>
      </c>
      <c r="F74" s="11">
        <v>46599</v>
      </c>
      <c r="G74" s="66">
        <f>+F74-E74+1</f>
        <v>219</v>
      </c>
      <c r="H74" s="26"/>
    </row>
    <row r="75" spans="1:8" s="4" customFormat="1" ht="20.399999999999999">
      <c r="A75" s="48"/>
      <c r="B75" s="49"/>
      <c r="C75" s="64" t="s">
        <v>311</v>
      </c>
      <c r="D75" s="29" t="s">
        <v>319</v>
      </c>
      <c r="E75" s="11">
        <v>46381</v>
      </c>
      <c r="F75" s="11">
        <v>46599</v>
      </c>
      <c r="G75" s="66">
        <f>+F75-E75+1</f>
        <v>219</v>
      </c>
      <c r="H75" s="26"/>
    </row>
    <row r="76" spans="1:8" s="4" customFormat="1" ht="20.399999999999999">
      <c r="A76" s="48"/>
      <c r="B76" s="49"/>
      <c r="C76" s="64" t="s">
        <v>312</v>
      </c>
      <c r="D76" s="29" t="s">
        <v>320</v>
      </c>
      <c r="E76" s="11">
        <v>46490</v>
      </c>
      <c r="F76" s="11">
        <v>46599</v>
      </c>
      <c r="G76" s="66">
        <f>+F76-E76+1</f>
        <v>110</v>
      </c>
      <c r="H76" s="26"/>
    </row>
    <row r="77" spans="1:8" s="4" customFormat="1" ht="20.399999999999999">
      <c r="A77" s="50"/>
      <c r="B77" s="51"/>
      <c r="C77" s="64" t="s">
        <v>313</v>
      </c>
      <c r="D77" s="29" t="s">
        <v>321</v>
      </c>
      <c r="E77" s="11">
        <v>46517</v>
      </c>
      <c r="F77" s="11">
        <v>46599</v>
      </c>
      <c r="G77" s="66">
        <f t="shared" si="12"/>
        <v>83</v>
      </c>
      <c r="H77" s="26"/>
    </row>
    <row r="78" spans="1:8" s="1" customFormat="1" ht="30" customHeight="1">
      <c r="A78" s="100" t="s">
        <v>49</v>
      </c>
      <c r="B78" s="101" t="s">
        <v>89</v>
      </c>
      <c r="C78" s="68"/>
      <c r="D78" s="69"/>
      <c r="E78" s="70"/>
      <c r="F78" s="70"/>
      <c r="G78" s="70"/>
      <c r="H78" s="71"/>
    </row>
    <row r="79" spans="1:8" s="5" customFormat="1" ht="30" customHeight="1">
      <c r="A79" s="73">
        <v>5</v>
      </c>
      <c r="B79" s="13" t="s">
        <v>46</v>
      </c>
      <c r="C79" s="13"/>
      <c r="D79" s="14"/>
      <c r="E79" s="15">
        <v>46341</v>
      </c>
      <c r="F79" s="21">
        <v>46660</v>
      </c>
      <c r="G79" s="16">
        <f>+F79-E79+1</f>
        <v>320</v>
      </c>
      <c r="H79" s="22"/>
    </row>
    <row r="80" spans="1:8" s="5" customFormat="1" ht="30" customHeight="1">
      <c r="A80" s="94" t="s">
        <v>57</v>
      </c>
      <c r="B80" s="17" t="s">
        <v>48</v>
      </c>
      <c r="C80" s="17"/>
      <c r="D80" s="18"/>
      <c r="E80" s="19"/>
      <c r="F80" s="23"/>
      <c r="G80" s="20"/>
      <c r="H80" s="24"/>
    </row>
    <row r="81" spans="1:8" s="1" customFormat="1" ht="51">
      <c r="A81" s="36"/>
      <c r="B81" s="47"/>
      <c r="C81" s="62" t="s">
        <v>170</v>
      </c>
      <c r="D81" s="29" t="s">
        <v>172</v>
      </c>
      <c r="E81" s="11">
        <v>46477</v>
      </c>
      <c r="F81" s="11">
        <v>46532</v>
      </c>
      <c r="G81" s="66">
        <f t="shared" ref="G81:G83" si="13">+F81-E81+1</f>
        <v>56</v>
      </c>
      <c r="H81" s="31"/>
    </row>
    <row r="82" spans="1:8" s="1" customFormat="1" ht="91.8">
      <c r="A82" s="48"/>
      <c r="B82" s="49"/>
      <c r="C82" s="62" t="s">
        <v>171</v>
      </c>
      <c r="D82" s="29" t="s">
        <v>173</v>
      </c>
      <c r="E82" s="11">
        <v>46504</v>
      </c>
      <c r="F82" s="11">
        <v>46660</v>
      </c>
      <c r="G82" s="66">
        <f t="shared" si="13"/>
        <v>157</v>
      </c>
      <c r="H82" s="31"/>
    </row>
    <row r="83" spans="1:8" s="1" customFormat="1" ht="30.6">
      <c r="A83" s="50"/>
      <c r="B83" s="51"/>
      <c r="C83" s="64" t="s">
        <v>174</v>
      </c>
      <c r="D83" s="30" t="s">
        <v>322</v>
      </c>
      <c r="E83" s="11">
        <v>46569</v>
      </c>
      <c r="F83" s="11">
        <v>46652</v>
      </c>
      <c r="G83" s="66">
        <f t="shared" si="13"/>
        <v>84</v>
      </c>
      <c r="H83" s="31"/>
    </row>
    <row r="84" spans="1:8" s="1" customFormat="1" ht="30" customHeight="1">
      <c r="A84" s="94" t="s">
        <v>61</v>
      </c>
      <c r="B84" s="17" t="s">
        <v>324</v>
      </c>
      <c r="C84" s="17"/>
      <c r="D84" s="18"/>
      <c r="E84" s="19"/>
      <c r="F84" s="23"/>
      <c r="G84" s="20"/>
      <c r="H84" s="24"/>
    </row>
    <row r="85" spans="1:8" s="1" customFormat="1" ht="51">
      <c r="A85" s="36"/>
      <c r="B85" s="47"/>
      <c r="C85" s="62" t="s">
        <v>175</v>
      </c>
      <c r="D85" s="29" t="s">
        <v>177</v>
      </c>
      <c r="E85" s="11">
        <v>46477</v>
      </c>
      <c r="F85" s="11">
        <v>46532</v>
      </c>
      <c r="G85" s="66">
        <f t="shared" ref="G85:G86" si="14">+F85-E85+1</f>
        <v>56</v>
      </c>
      <c r="H85" s="31"/>
    </row>
    <row r="86" spans="1:8" s="1" customFormat="1" ht="91.8">
      <c r="A86" s="48"/>
      <c r="B86" s="49"/>
      <c r="C86" s="62" t="s">
        <v>176</v>
      </c>
      <c r="D86" s="29" t="s">
        <v>178</v>
      </c>
      <c r="E86" s="11">
        <v>46504</v>
      </c>
      <c r="F86" s="11">
        <v>46660</v>
      </c>
      <c r="G86" s="66">
        <f t="shared" si="14"/>
        <v>157</v>
      </c>
      <c r="H86" s="31"/>
    </row>
    <row r="87" spans="1:8" s="1" customFormat="1" ht="13.8">
      <c r="A87" s="48"/>
      <c r="B87" s="49"/>
      <c r="C87" s="62" t="s">
        <v>285</v>
      </c>
      <c r="D87" s="29" t="s">
        <v>287</v>
      </c>
      <c r="E87" s="11">
        <v>46477</v>
      </c>
      <c r="F87" s="11">
        <v>46660</v>
      </c>
      <c r="G87" s="66">
        <f>+F87-E87+1</f>
        <v>184</v>
      </c>
      <c r="H87" s="31"/>
    </row>
    <row r="88" spans="1:8" s="1" customFormat="1" ht="20.399999999999999">
      <c r="A88" s="48"/>
      <c r="B88" s="49"/>
      <c r="C88" s="64" t="s">
        <v>286</v>
      </c>
      <c r="D88" s="29" t="s">
        <v>288</v>
      </c>
      <c r="E88" s="11">
        <v>46514</v>
      </c>
      <c r="F88" s="11">
        <v>46627</v>
      </c>
      <c r="G88" s="66">
        <f>+F88-E88+1</f>
        <v>114</v>
      </c>
      <c r="H88" s="31"/>
    </row>
    <row r="89" spans="1:8" s="1" customFormat="1" ht="20.399999999999999">
      <c r="A89" s="48"/>
      <c r="B89" s="49"/>
      <c r="C89" s="64" t="s">
        <v>323</v>
      </c>
      <c r="D89" s="29" t="s">
        <v>289</v>
      </c>
      <c r="E89" s="11">
        <v>46514</v>
      </c>
      <c r="F89" s="11">
        <v>46660</v>
      </c>
      <c r="G89" s="66">
        <f>+F89-E89+1</f>
        <v>147</v>
      </c>
      <c r="H89" s="31"/>
    </row>
    <row r="90" spans="1:8" s="1" customFormat="1" ht="13.8">
      <c r="A90" s="48"/>
      <c r="B90" s="49"/>
      <c r="C90" s="64" t="s">
        <v>283</v>
      </c>
      <c r="D90" s="29" t="s">
        <v>284</v>
      </c>
      <c r="E90" s="11">
        <v>46555</v>
      </c>
      <c r="F90" s="11">
        <v>46627</v>
      </c>
      <c r="G90" s="66">
        <f>+F90-E90+1</f>
        <v>73</v>
      </c>
      <c r="H90" s="31"/>
    </row>
    <row r="91" spans="1:8" s="1" customFormat="1" ht="30" customHeight="1">
      <c r="A91" s="94" t="s">
        <v>62</v>
      </c>
      <c r="B91" s="17" t="s">
        <v>50</v>
      </c>
      <c r="C91" s="17"/>
      <c r="D91" s="18"/>
      <c r="E91" s="19"/>
      <c r="F91" s="23"/>
      <c r="G91" s="20"/>
      <c r="H91" s="24"/>
    </row>
    <row r="92" spans="1:8" s="1" customFormat="1" ht="51">
      <c r="A92" s="39"/>
      <c r="B92" s="47"/>
      <c r="C92" s="62" t="s">
        <v>179</v>
      </c>
      <c r="D92" s="29" t="s">
        <v>182</v>
      </c>
      <c r="E92" s="11">
        <v>46341</v>
      </c>
      <c r="F92" s="11">
        <v>46373</v>
      </c>
      <c r="G92" s="66">
        <f t="shared" ref="G92:G94" si="15">+F92-E92+1</f>
        <v>33</v>
      </c>
      <c r="H92" s="31"/>
    </row>
    <row r="93" spans="1:8" s="1" customFormat="1" ht="91.8">
      <c r="A93" s="48"/>
      <c r="B93" s="49"/>
      <c r="C93" s="62" t="s">
        <v>180</v>
      </c>
      <c r="D93" s="29" t="s">
        <v>183</v>
      </c>
      <c r="E93" s="11">
        <v>46357</v>
      </c>
      <c r="F93" s="11">
        <v>46446</v>
      </c>
      <c r="G93" s="66">
        <f t="shared" si="15"/>
        <v>90</v>
      </c>
      <c r="H93" s="31"/>
    </row>
    <row r="94" spans="1:8" s="1" customFormat="1" ht="30.6">
      <c r="A94" s="50"/>
      <c r="B94" s="51"/>
      <c r="C94" s="64" t="s">
        <v>181</v>
      </c>
      <c r="D94" s="29" t="s">
        <v>325</v>
      </c>
      <c r="E94" s="11">
        <v>46400</v>
      </c>
      <c r="F94" s="11">
        <v>46446</v>
      </c>
      <c r="G94" s="66">
        <f t="shared" si="15"/>
        <v>47</v>
      </c>
      <c r="H94" s="31"/>
    </row>
    <row r="95" spans="1:8" s="1" customFormat="1" ht="30" customHeight="1">
      <c r="A95" s="94" t="s">
        <v>64</v>
      </c>
      <c r="B95" s="17" t="s">
        <v>51</v>
      </c>
      <c r="C95" s="17"/>
      <c r="D95" s="18"/>
      <c r="E95" s="19"/>
      <c r="F95" s="23"/>
      <c r="G95" s="20"/>
      <c r="H95" s="24"/>
    </row>
    <row r="96" spans="1:8" s="1" customFormat="1" ht="51">
      <c r="A96" s="36"/>
      <c r="B96" s="47"/>
      <c r="C96" s="62" t="s">
        <v>185</v>
      </c>
      <c r="D96" s="29" t="s">
        <v>204</v>
      </c>
      <c r="E96" s="11">
        <v>46477</v>
      </c>
      <c r="F96" s="11">
        <v>46532</v>
      </c>
      <c r="G96" s="66">
        <f t="shared" ref="G96:G99" si="16">+F96-E96+1</f>
        <v>56</v>
      </c>
      <c r="H96" s="31"/>
    </row>
    <row r="97" spans="1:8" s="1" customFormat="1" ht="91.8">
      <c r="A97" s="48"/>
      <c r="B97" s="49"/>
      <c r="C97" s="62" t="s">
        <v>186</v>
      </c>
      <c r="D97" s="29" t="s">
        <v>205</v>
      </c>
      <c r="E97" s="11">
        <v>46504</v>
      </c>
      <c r="F97" s="11">
        <v>46660</v>
      </c>
      <c r="G97" s="66">
        <f t="shared" si="16"/>
        <v>157</v>
      </c>
      <c r="H97" s="31"/>
    </row>
    <row r="98" spans="1:8" s="1" customFormat="1" ht="20.399999999999999">
      <c r="A98" s="48"/>
      <c r="B98" s="49"/>
      <c r="C98" s="64" t="s">
        <v>187</v>
      </c>
      <c r="D98" s="29" t="s">
        <v>206</v>
      </c>
      <c r="E98" s="11">
        <v>46523</v>
      </c>
      <c r="F98" s="11">
        <v>46582</v>
      </c>
      <c r="G98" s="66">
        <f t="shared" si="16"/>
        <v>60</v>
      </c>
      <c r="H98" s="31"/>
    </row>
    <row r="99" spans="1:8" s="1" customFormat="1" ht="20.399999999999999">
      <c r="A99" s="48"/>
      <c r="B99" s="49"/>
      <c r="C99" s="64" t="s">
        <v>290</v>
      </c>
      <c r="D99" s="29" t="s">
        <v>291</v>
      </c>
      <c r="E99" s="11">
        <v>46514</v>
      </c>
      <c r="F99" s="11">
        <v>46660</v>
      </c>
      <c r="G99" s="66">
        <f t="shared" si="16"/>
        <v>147</v>
      </c>
      <c r="H99" s="31"/>
    </row>
    <row r="100" spans="1:8" s="1" customFormat="1" ht="30" customHeight="1">
      <c r="A100" s="94" t="s">
        <v>149</v>
      </c>
      <c r="B100" s="17" t="s">
        <v>55</v>
      </c>
      <c r="C100" s="17"/>
      <c r="D100" s="18"/>
      <c r="E100" s="19"/>
      <c r="F100" s="23"/>
      <c r="G100" s="20"/>
      <c r="H100" s="24"/>
    </row>
    <row r="101" spans="1:8" s="1" customFormat="1" ht="51">
      <c r="A101" s="39"/>
      <c r="B101" s="47"/>
      <c r="C101" s="62" t="s">
        <v>188</v>
      </c>
      <c r="D101" s="29" t="s">
        <v>207</v>
      </c>
      <c r="E101" s="11">
        <v>46477</v>
      </c>
      <c r="F101" s="11">
        <v>46532</v>
      </c>
      <c r="G101" s="66">
        <f t="shared" ref="G101:G105" si="17">+F101-E101+1</f>
        <v>56</v>
      </c>
      <c r="H101" s="27"/>
    </row>
    <row r="102" spans="1:8" s="1" customFormat="1" ht="91.8">
      <c r="A102" s="48"/>
      <c r="B102" s="49"/>
      <c r="C102" s="62" t="s">
        <v>189</v>
      </c>
      <c r="D102" s="29" t="s">
        <v>208</v>
      </c>
      <c r="E102" s="11">
        <v>46504</v>
      </c>
      <c r="F102" s="11">
        <v>46660</v>
      </c>
      <c r="G102" s="66">
        <f t="shared" si="17"/>
        <v>157</v>
      </c>
      <c r="H102" s="27"/>
    </row>
    <row r="103" spans="1:8" s="1" customFormat="1" ht="61.2">
      <c r="A103" s="48"/>
      <c r="B103" s="49"/>
      <c r="C103" s="64" t="s">
        <v>190</v>
      </c>
      <c r="D103" s="29" t="s">
        <v>209</v>
      </c>
      <c r="E103" s="11">
        <v>46532</v>
      </c>
      <c r="F103" s="11">
        <v>46603</v>
      </c>
      <c r="G103" s="66">
        <f t="shared" si="17"/>
        <v>72</v>
      </c>
      <c r="H103" s="27"/>
    </row>
    <row r="104" spans="1:8" s="1" customFormat="1" ht="142.80000000000001">
      <c r="A104" s="48"/>
      <c r="B104" s="49"/>
      <c r="C104" s="64" t="s">
        <v>191</v>
      </c>
      <c r="D104" s="29" t="s">
        <v>326</v>
      </c>
      <c r="E104" s="11">
        <v>46559</v>
      </c>
      <c r="F104" s="11">
        <v>46645</v>
      </c>
      <c r="G104" s="66">
        <f>+F104-E104+1</f>
        <v>87</v>
      </c>
      <c r="H104" s="27"/>
    </row>
    <row r="105" spans="1:8" s="1" customFormat="1" ht="30" customHeight="1">
      <c r="A105" s="50"/>
      <c r="B105" s="51"/>
      <c r="C105" s="64" t="s">
        <v>192</v>
      </c>
      <c r="D105" s="29" t="s">
        <v>210</v>
      </c>
      <c r="E105" s="11">
        <v>46514</v>
      </c>
      <c r="F105" s="11">
        <v>46660</v>
      </c>
      <c r="G105" s="66">
        <f t="shared" si="17"/>
        <v>147</v>
      </c>
      <c r="H105" s="27"/>
    </row>
    <row r="106" spans="1:8" s="6" customFormat="1" ht="10.199999999999999">
      <c r="A106" s="94" t="s">
        <v>150</v>
      </c>
      <c r="B106" s="17" t="s">
        <v>184</v>
      </c>
      <c r="C106" s="17"/>
      <c r="D106" s="18"/>
      <c r="E106" s="19"/>
      <c r="F106" s="23"/>
      <c r="G106" s="20"/>
      <c r="H106" s="24"/>
    </row>
    <row r="107" spans="1:8" s="6" customFormat="1" ht="51">
      <c r="A107" s="36"/>
      <c r="B107" s="47"/>
      <c r="C107" s="62" t="s">
        <v>193</v>
      </c>
      <c r="D107" s="29" t="s">
        <v>211</v>
      </c>
      <c r="E107" s="11">
        <v>46477</v>
      </c>
      <c r="F107" s="11">
        <v>46532</v>
      </c>
      <c r="G107" s="66">
        <f>+F107-E107+1</f>
        <v>56</v>
      </c>
      <c r="H107" s="31"/>
    </row>
    <row r="108" spans="1:8" s="6" customFormat="1" ht="91.8">
      <c r="A108" s="55"/>
      <c r="B108" s="49"/>
      <c r="C108" s="62" t="s">
        <v>194</v>
      </c>
      <c r="D108" s="29" t="s">
        <v>212</v>
      </c>
      <c r="E108" s="11">
        <v>46504</v>
      </c>
      <c r="F108" s="11">
        <v>46660</v>
      </c>
      <c r="G108" s="66">
        <f>+F108-E108+1</f>
        <v>157</v>
      </c>
      <c r="H108" s="31"/>
    </row>
    <row r="109" spans="1:8" s="6" customFormat="1" ht="30" customHeight="1">
      <c r="A109" s="55"/>
      <c r="B109" s="49"/>
      <c r="C109" s="62" t="s">
        <v>195</v>
      </c>
      <c r="D109" s="29" t="s">
        <v>213</v>
      </c>
      <c r="E109" s="11">
        <v>46477</v>
      </c>
      <c r="F109" s="11">
        <v>46660</v>
      </c>
      <c r="G109" s="66">
        <f t="shared" ref="G109:G110" si="18">+F109-E109+1</f>
        <v>184</v>
      </c>
      <c r="H109" s="31"/>
    </row>
    <row r="110" spans="1:8" s="6" customFormat="1" ht="20.399999999999999">
      <c r="A110" s="50"/>
      <c r="B110" s="51"/>
      <c r="C110" s="62" t="s">
        <v>196</v>
      </c>
      <c r="D110" s="29" t="s">
        <v>214</v>
      </c>
      <c r="E110" s="11">
        <v>46477</v>
      </c>
      <c r="F110" s="11">
        <v>46660</v>
      </c>
      <c r="G110" s="66">
        <f t="shared" si="18"/>
        <v>184</v>
      </c>
      <c r="H110" s="31"/>
    </row>
    <row r="111" spans="1:8" s="6" customFormat="1" ht="20.399999999999999">
      <c r="A111" s="94" t="s">
        <v>151</v>
      </c>
      <c r="B111" s="17" t="s">
        <v>52</v>
      </c>
      <c r="C111" s="17"/>
      <c r="D111" s="18"/>
      <c r="E111" s="19"/>
      <c r="F111" s="23"/>
      <c r="G111" s="20"/>
      <c r="H111" s="24"/>
    </row>
    <row r="112" spans="1:8" s="6" customFormat="1" ht="51">
      <c r="A112" s="36"/>
      <c r="B112" s="47"/>
      <c r="C112" s="62" t="s">
        <v>197</v>
      </c>
      <c r="D112" s="12" t="s">
        <v>91</v>
      </c>
      <c r="E112" s="11">
        <v>46477</v>
      </c>
      <c r="F112" s="11">
        <v>46532</v>
      </c>
      <c r="G112" s="66">
        <f t="shared" ref="G112:G114" si="19">+F112-E112+1</f>
        <v>56</v>
      </c>
      <c r="H112" s="27"/>
    </row>
    <row r="113" spans="1:8" s="6" customFormat="1" ht="91.8">
      <c r="A113" s="48"/>
      <c r="B113" s="49"/>
      <c r="C113" s="62" t="s">
        <v>198</v>
      </c>
      <c r="D113" s="29" t="s">
        <v>101</v>
      </c>
      <c r="E113" s="11">
        <v>46504</v>
      </c>
      <c r="F113" s="11">
        <v>46660</v>
      </c>
      <c r="G113" s="66">
        <f t="shared" si="19"/>
        <v>157</v>
      </c>
      <c r="H113" s="27"/>
    </row>
    <row r="114" spans="1:8" s="6" customFormat="1" ht="40.799999999999997">
      <c r="A114" s="50"/>
      <c r="B114" s="51"/>
      <c r="C114" s="64" t="s">
        <v>199</v>
      </c>
      <c r="D114" s="29" t="s">
        <v>327</v>
      </c>
      <c r="E114" s="11">
        <v>46587</v>
      </c>
      <c r="F114" s="11">
        <v>46660</v>
      </c>
      <c r="G114" s="66">
        <f t="shared" si="19"/>
        <v>74</v>
      </c>
      <c r="H114" s="27"/>
    </row>
    <row r="115" spans="1:8" s="6" customFormat="1" ht="20.399999999999999">
      <c r="A115" s="94" t="s">
        <v>152</v>
      </c>
      <c r="B115" s="17" t="s">
        <v>53</v>
      </c>
      <c r="C115" s="17"/>
      <c r="D115" s="18"/>
      <c r="E115" s="19"/>
      <c r="F115" s="23"/>
      <c r="G115" s="20"/>
      <c r="H115" s="24"/>
    </row>
    <row r="116" spans="1:8" s="6" customFormat="1" ht="51">
      <c r="A116" s="39"/>
      <c r="B116" s="47"/>
      <c r="C116" s="62" t="s">
        <v>200</v>
      </c>
      <c r="D116" s="12" t="s">
        <v>92</v>
      </c>
      <c r="E116" s="11">
        <v>46477</v>
      </c>
      <c r="F116" s="11">
        <v>46532</v>
      </c>
      <c r="G116" s="66">
        <f t="shared" ref="G116:G119" si="20">+F116-E116+1</f>
        <v>56</v>
      </c>
      <c r="H116" s="27"/>
    </row>
    <row r="117" spans="1:8" s="6" customFormat="1" ht="91.8">
      <c r="A117" s="48"/>
      <c r="B117" s="49"/>
      <c r="C117" s="62" t="s">
        <v>201</v>
      </c>
      <c r="D117" s="29" t="s">
        <v>102</v>
      </c>
      <c r="E117" s="11">
        <v>46504</v>
      </c>
      <c r="F117" s="11">
        <v>46660</v>
      </c>
      <c r="G117" s="66">
        <f t="shared" si="20"/>
        <v>157</v>
      </c>
      <c r="H117" s="27"/>
    </row>
    <row r="118" spans="1:8" s="6" customFormat="1" ht="20.399999999999999">
      <c r="A118" s="48"/>
      <c r="B118" s="49"/>
      <c r="C118" s="62" t="s">
        <v>202</v>
      </c>
      <c r="D118" s="29" t="s">
        <v>54</v>
      </c>
      <c r="E118" s="11">
        <v>46477</v>
      </c>
      <c r="F118" s="11">
        <v>46660</v>
      </c>
      <c r="G118" s="66">
        <f t="shared" si="20"/>
        <v>184</v>
      </c>
      <c r="H118" s="27"/>
    </row>
    <row r="119" spans="1:8" s="6" customFormat="1" ht="20.399999999999999">
      <c r="A119" s="50"/>
      <c r="B119" s="51"/>
      <c r="C119" s="64" t="s">
        <v>203</v>
      </c>
      <c r="D119" s="29" t="s">
        <v>328</v>
      </c>
      <c r="E119" s="11">
        <v>46569</v>
      </c>
      <c r="F119" s="11">
        <v>46660</v>
      </c>
      <c r="G119" s="66">
        <f t="shared" si="20"/>
        <v>92</v>
      </c>
      <c r="H119" s="27"/>
    </row>
    <row r="120" spans="1:8" s="1" customFormat="1" ht="30" customHeight="1">
      <c r="A120" s="97" t="s">
        <v>153</v>
      </c>
      <c r="B120" s="72" t="s">
        <v>89</v>
      </c>
      <c r="C120" s="68"/>
      <c r="D120" s="69"/>
      <c r="E120" s="70"/>
      <c r="F120" s="70"/>
      <c r="G120" s="70"/>
      <c r="H120" s="71"/>
    </row>
    <row r="121" spans="1:8" s="1" customFormat="1" ht="30" customHeight="1">
      <c r="A121" s="73">
        <v>6</v>
      </c>
      <c r="B121" s="13" t="s">
        <v>56</v>
      </c>
      <c r="C121" s="13"/>
      <c r="D121" s="14"/>
      <c r="E121" s="15">
        <v>46660</v>
      </c>
      <c r="F121" s="21">
        <v>46827</v>
      </c>
      <c r="G121" s="16">
        <f>+F121-E121+1</f>
        <v>168</v>
      </c>
      <c r="H121" s="22"/>
    </row>
    <row r="122" spans="1:8" s="1" customFormat="1" ht="30" customHeight="1">
      <c r="A122" s="94" t="s">
        <v>66</v>
      </c>
      <c r="B122" s="17" t="s">
        <v>58</v>
      </c>
      <c r="C122" s="17"/>
      <c r="D122" s="18"/>
      <c r="E122" s="19"/>
      <c r="F122" s="23"/>
      <c r="G122" s="20"/>
      <c r="H122" s="24"/>
    </row>
    <row r="123" spans="1:8" s="1" customFormat="1" ht="51">
      <c r="A123" s="36"/>
      <c r="B123" s="47"/>
      <c r="C123" s="64" t="s">
        <v>215</v>
      </c>
      <c r="D123" s="29" t="s">
        <v>59</v>
      </c>
      <c r="E123" s="11">
        <v>46660</v>
      </c>
      <c r="F123" s="11">
        <v>46708</v>
      </c>
      <c r="G123" s="66">
        <f t="shared" ref="G123:G127" si="21">+F123-E123+1</f>
        <v>49</v>
      </c>
      <c r="H123" s="31"/>
    </row>
    <row r="124" spans="1:8" s="1" customFormat="1" ht="30.6">
      <c r="A124" s="48"/>
      <c r="B124" s="49"/>
      <c r="C124" s="64" t="s">
        <v>216</v>
      </c>
      <c r="D124" s="29" t="s">
        <v>60</v>
      </c>
      <c r="E124" s="11">
        <v>46660</v>
      </c>
      <c r="F124" s="11">
        <v>46722</v>
      </c>
      <c r="G124" s="66">
        <f t="shared" si="21"/>
        <v>63</v>
      </c>
      <c r="H124" s="31"/>
    </row>
    <row r="125" spans="1:8" s="1" customFormat="1" ht="13.8">
      <c r="A125" s="48"/>
      <c r="B125" s="49"/>
      <c r="C125" s="64" t="s">
        <v>220</v>
      </c>
      <c r="D125" s="29" t="s">
        <v>218</v>
      </c>
      <c r="E125" s="11">
        <v>46729</v>
      </c>
      <c r="F125" s="11">
        <v>46783</v>
      </c>
      <c r="G125" s="66">
        <f>+F125-E125+1</f>
        <v>55</v>
      </c>
      <c r="H125" s="31"/>
    </row>
    <row r="126" spans="1:8" s="1" customFormat="1" ht="40.799999999999997">
      <c r="A126" s="48"/>
      <c r="B126" s="49"/>
      <c r="C126" s="64" t="s">
        <v>221</v>
      </c>
      <c r="D126" s="29" t="s">
        <v>330</v>
      </c>
      <c r="E126" s="11">
        <v>46688</v>
      </c>
      <c r="F126" s="11">
        <v>46798</v>
      </c>
      <c r="G126" s="66">
        <f t="shared" si="21"/>
        <v>111</v>
      </c>
      <c r="H126" s="31"/>
    </row>
    <row r="127" spans="1:8" s="1" customFormat="1" ht="20.399999999999999">
      <c r="A127" s="50"/>
      <c r="B127" s="51"/>
      <c r="C127" s="64" t="s">
        <v>217</v>
      </c>
      <c r="D127" s="29" t="s">
        <v>219</v>
      </c>
      <c r="E127" s="11">
        <v>46752</v>
      </c>
      <c r="F127" s="11">
        <v>46798</v>
      </c>
      <c r="G127" s="66">
        <f t="shared" si="21"/>
        <v>47</v>
      </c>
      <c r="H127" s="31"/>
    </row>
    <row r="128" spans="1:8" s="1" customFormat="1" ht="30" customHeight="1">
      <c r="A128" s="96" t="s">
        <v>68</v>
      </c>
      <c r="B128" s="17" t="s">
        <v>63</v>
      </c>
      <c r="C128" s="17"/>
      <c r="D128" s="106"/>
      <c r="E128" s="19"/>
      <c r="F128" s="23"/>
      <c r="G128" s="20"/>
      <c r="H128" s="24"/>
    </row>
    <row r="129" spans="1:8" s="1" customFormat="1" ht="51">
      <c r="A129" s="36"/>
      <c r="B129" s="47"/>
      <c r="C129" s="64" t="s">
        <v>222</v>
      </c>
      <c r="D129" s="29" t="s">
        <v>225</v>
      </c>
      <c r="E129" s="11">
        <v>46798</v>
      </c>
      <c r="F129" s="11">
        <v>46808</v>
      </c>
      <c r="G129" s="66">
        <f t="shared" ref="G129:G131" si="22">+F129-E129+1</f>
        <v>11</v>
      </c>
      <c r="H129" s="31"/>
    </row>
    <row r="130" spans="1:8" s="1" customFormat="1" ht="30.6">
      <c r="A130" s="48"/>
      <c r="B130" s="49"/>
      <c r="C130" s="64" t="s">
        <v>223</v>
      </c>
      <c r="D130" s="29" t="s">
        <v>329</v>
      </c>
      <c r="E130" s="11">
        <v>46798</v>
      </c>
      <c r="F130" s="11">
        <v>46811</v>
      </c>
      <c r="G130" s="66">
        <f t="shared" si="22"/>
        <v>14</v>
      </c>
      <c r="H130" s="31"/>
    </row>
    <row r="131" spans="1:8" s="1" customFormat="1" ht="51">
      <c r="A131" s="50"/>
      <c r="B131" s="51"/>
      <c r="C131" s="64" t="s">
        <v>224</v>
      </c>
      <c r="D131" s="29" t="s">
        <v>331</v>
      </c>
      <c r="E131" s="11">
        <v>46804</v>
      </c>
      <c r="F131" s="11">
        <v>46827</v>
      </c>
      <c r="G131" s="66">
        <f t="shared" si="22"/>
        <v>24</v>
      </c>
      <c r="H131" s="31"/>
    </row>
    <row r="132" spans="1:8" s="1" customFormat="1" ht="30" customHeight="1">
      <c r="A132" s="96" t="s">
        <v>70</v>
      </c>
      <c r="B132" s="17" t="s">
        <v>293</v>
      </c>
      <c r="C132" s="17"/>
      <c r="D132" s="18"/>
      <c r="E132" s="19"/>
      <c r="F132" s="23"/>
      <c r="G132" s="20"/>
      <c r="H132" s="24"/>
    </row>
    <row r="133" spans="1:8" s="1" customFormat="1" ht="51">
      <c r="A133" s="43"/>
      <c r="B133" s="42"/>
      <c r="C133" s="64" t="s">
        <v>226</v>
      </c>
      <c r="D133" s="29" t="s">
        <v>292</v>
      </c>
      <c r="E133" s="11">
        <v>46804</v>
      </c>
      <c r="F133" s="11">
        <v>46827</v>
      </c>
      <c r="G133" s="66">
        <f>+F133-E133+1</f>
        <v>24</v>
      </c>
      <c r="H133" s="31"/>
    </row>
    <row r="134" spans="1:8" s="1" customFormat="1" ht="30" customHeight="1">
      <c r="A134" s="78" t="s">
        <v>71</v>
      </c>
      <c r="B134" s="72" t="s">
        <v>89</v>
      </c>
      <c r="C134" s="68"/>
      <c r="D134" s="69"/>
      <c r="E134" s="70"/>
      <c r="F134" s="70"/>
      <c r="G134" s="70"/>
      <c r="H134" s="71"/>
    </row>
    <row r="135" spans="1:8" s="1" customFormat="1" ht="30" customHeight="1">
      <c r="A135" s="73">
        <v>7</v>
      </c>
      <c r="B135" s="13" t="s">
        <v>65</v>
      </c>
      <c r="C135" s="13"/>
      <c r="D135" s="14"/>
      <c r="E135" s="15">
        <v>46295</v>
      </c>
      <c r="F135" s="21">
        <v>48000</v>
      </c>
      <c r="G135" s="16">
        <f>+F135-E135+1</f>
        <v>1706</v>
      </c>
      <c r="H135" s="22"/>
    </row>
    <row r="136" spans="1:8" s="1" customFormat="1" ht="30" customHeight="1">
      <c r="A136" s="96" t="s">
        <v>78</v>
      </c>
      <c r="B136" s="17" t="s">
        <v>67</v>
      </c>
      <c r="C136" s="17"/>
      <c r="D136" s="18"/>
      <c r="E136" s="19"/>
      <c r="F136" s="23"/>
      <c r="G136" s="20"/>
      <c r="H136" s="24"/>
    </row>
    <row r="137" spans="1:8" s="1" customFormat="1" ht="51">
      <c r="A137" s="36"/>
      <c r="B137" s="52"/>
      <c r="C137" s="62" t="s">
        <v>243</v>
      </c>
      <c r="D137" s="29" t="s">
        <v>245</v>
      </c>
      <c r="E137" s="11">
        <v>46660</v>
      </c>
      <c r="F137" s="11">
        <v>46984</v>
      </c>
      <c r="G137" s="66">
        <f t="shared" ref="G137:G140" si="23">+F137-E137+1</f>
        <v>325</v>
      </c>
      <c r="H137" s="31"/>
    </row>
    <row r="138" spans="1:8" s="1" customFormat="1" ht="91.8">
      <c r="A138" s="53"/>
      <c r="B138" s="54"/>
      <c r="C138" s="62" t="s">
        <v>244</v>
      </c>
      <c r="D138" s="29" t="s">
        <v>246</v>
      </c>
      <c r="E138" s="11">
        <v>46822</v>
      </c>
      <c r="F138" s="11">
        <v>47741</v>
      </c>
      <c r="G138" s="66">
        <f t="shared" si="23"/>
        <v>920</v>
      </c>
      <c r="H138" s="31"/>
    </row>
    <row r="139" spans="1:8" s="1" customFormat="1" ht="20.399999999999999">
      <c r="A139" s="48"/>
      <c r="B139" s="49"/>
      <c r="C139" s="44" t="s">
        <v>332</v>
      </c>
      <c r="D139" s="29" t="s">
        <v>294</v>
      </c>
      <c r="E139" s="11">
        <v>46660</v>
      </c>
      <c r="F139" s="11">
        <v>47741</v>
      </c>
      <c r="G139" s="66">
        <f t="shared" si="23"/>
        <v>1082</v>
      </c>
      <c r="H139" s="31"/>
    </row>
    <row r="140" spans="1:8" s="1" customFormat="1" ht="20.399999999999999">
      <c r="A140" s="48"/>
      <c r="B140" s="49"/>
      <c r="C140" s="44" t="s">
        <v>333</v>
      </c>
      <c r="D140" s="29" t="s">
        <v>334</v>
      </c>
      <c r="E140" s="11">
        <v>46660</v>
      </c>
      <c r="F140" s="11">
        <v>47741</v>
      </c>
      <c r="G140" s="66">
        <f t="shared" si="23"/>
        <v>1082</v>
      </c>
      <c r="H140" s="31"/>
    </row>
    <row r="141" spans="1:8" s="1" customFormat="1" ht="30" customHeight="1">
      <c r="A141" s="96" t="s">
        <v>79</v>
      </c>
      <c r="B141" s="17" t="s">
        <v>69</v>
      </c>
      <c r="C141" s="107"/>
      <c r="D141" s="106"/>
      <c r="E141" s="19"/>
      <c r="F141" s="23"/>
      <c r="G141" s="20"/>
      <c r="H141" s="24"/>
    </row>
    <row r="142" spans="1:8" s="1" customFormat="1" ht="51">
      <c r="A142" s="56"/>
      <c r="B142" s="47"/>
      <c r="C142" s="62" t="s">
        <v>247</v>
      </c>
      <c r="D142" s="29" t="s">
        <v>250</v>
      </c>
      <c r="E142" s="11">
        <v>47299</v>
      </c>
      <c r="F142" s="11">
        <v>47741</v>
      </c>
      <c r="G142" s="66">
        <f t="shared" ref="G142:G144" si="24">+F142-E142+1</f>
        <v>443</v>
      </c>
      <c r="H142" s="31"/>
    </row>
    <row r="143" spans="1:8" s="1" customFormat="1" ht="91.8">
      <c r="A143" s="48"/>
      <c r="B143" s="49"/>
      <c r="C143" s="62" t="s">
        <v>248</v>
      </c>
      <c r="D143" s="29" t="s">
        <v>251</v>
      </c>
      <c r="E143" s="11">
        <v>47299</v>
      </c>
      <c r="F143" s="11">
        <v>47741</v>
      </c>
      <c r="G143" s="66">
        <f t="shared" si="24"/>
        <v>443</v>
      </c>
      <c r="H143" s="31"/>
    </row>
    <row r="144" spans="1:8" s="1" customFormat="1" ht="30.6">
      <c r="A144" s="50"/>
      <c r="B144" s="57"/>
      <c r="C144" s="62" t="s">
        <v>249</v>
      </c>
      <c r="D144" s="29" t="s">
        <v>336</v>
      </c>
      <c r="E144" s="11">
        <v>47299</v>
      </c>
      <c r="F144" s="11">
        <v>47741</v>
      </c>
      <c r="G144" s="66">
        <f t="shared" si="24"/>
        <v>443</v>
      </c>
      <c r="H144" s="31"/>
    </row>
    <row r="145" spans="1:8" s="1" customFormat="1" ht="30" customHeight="1">
      <c r="A145" s="96" t="s">
        <v>80</v>
      </c>
      <c r="B145" s="17" t="s">
        <v>99</v>
      </c>
      <c r="C145" s="108"/>
      <c r="D145" s="106"/>
      <c r="E145" s="19"/>
      <c r="F145" s="23"/>
      <c r="G145" s="20"/>
      <c r="H145" s="24"/>
    </row>
    <row r="146" spans="1:8" s="1" customFormat="1" ht="51">
      <c r="A146" s="56"/>
      <c r="B146" s="47"/>
      <c r="C146" s="62" t="s">
        <v>252</v>
      </c>
      <c r="D146" s="29" t="s">
        <v>255</v>
      </c>
      <c r="E146" s="11">
        <v>46660</v>
      </c>
      <c r="F146" s="11">
        <v>46710</v>
      </c>
      <c r="G146" s="66">
        <f t="shared" ref="G146:G148" si="25">+F146-E146+1</f>
        <v>51</v>
      </c>
      <c r="H146" s="31"/>
    </row>
    <row r="147" spans="1:8" s="1" customFormat="1" ht="91.8">
      <c r="A147" s="48"/>
      <c r="B147" s="49"/>
      <c r="C147" s="62" t="s">
        <v>253</v>
      </c>
      <c r="D147" s="29" t="s">
        <v>256</v>
      </c>
      <c r="E147" s="11">
        <v>46685</v>
      </c>
      <c r="F147" s="11">
        <v>46827</v>
      </c>
      <c r="G147" s="66">
        <f t="shared" si="25"/>
        <v>143</v>
      </c>
      <c r="H147" s="31"/>
    </row>
    <row r="148" spans="1:8" s="1" customFormat="1" ht="20.399999999999999">
      <c r="A148" s="53"/>
      <c r="B148" s="54"/>
      <c r="C148" s="62" t="s">
        <v>254</v>
      </c>
      <c r="D148" s="29" t="s">
        <v>335</v>
      </c>
      <c r="E148" s="11">
        <v>46660</v>
      </c>
      <c r="F148" s="11">
        <v>46827</v>
      </c>
      <c r="G148" s="66">
        <f t="shared" si="25"/>
        <v>168</v>
      </c>
      <c r="H148" s="31"/>
    </row>
    <row r="149" spans="1:8" s="1" customFormat="1" ht="30" customHeight="1">
      <c r="A149" s="96" t="s">
        <v>82</v>
      </c>
      <c r="B149" s="17" t="s">
        <v>72</v>
      </c>
      <c r="C149" s="108"/>
      <c r="D149" s="106"/>
      <c r="E149" s="19"/>
      <c r="F149" s="23"/>
      <c r="G149" s="20"/>
      <c r="H149" s="24"/>
    </row>
    <row r="150" spans="1:8" s="1" customFormat="1" ht="51">
      <c r="A150" s="36"/>
      <c r="B150" s="47"/>
      <c r="C150" s="62" t="s">
        <v>257</v>
      </c>
      <c r="D150" s="29" t="s">
        <v>262</v>
      </c>
      <c r="E150" s="11">
        <v>46827</v>
      </c>
      <c r="F150" s="11">
        <v>47101</v>
      </c>
      <c r="G150" s="66">
        <f t="shared" ref="G150:G156" si="26">+F150-E150+1</f>
        <v>275</v>
      </c>
      <c r="H150" s="31"/>
    </row>
    <row r="151" spans="1:8" s="1" customFormat="1" ht="91.8">
      <c r="A151" s="48"/>
      <c r="B151" s="49"/>
      <c r="C151" s="62" t="s">
        <v>258</v>
      </c>
      <c r="D151" s="29" t="s">
        <v>263</v>
      </c>
      <c r="E151" s="11">
        <v>46964</v>
      </c>
      <c r="F151" s="11">
        <v>47741</v>
      </c>
      <c r="G151" s="66">
        <f t="shared" si="26"/>
        <v>778</v>
      </c>
      <c r="H151" s="31"/>
    </row>
    <row r="152" spans="1:8" s="1" customFormat="1" ht="13.8">
      <c r="A152" s="48"/>
      <c r="B152" s="49"/>
      <c r="C152" s="38" t="s">
        <v>259</v>
      </c>
      <c r="D152" s="29" t="s">
        <v>264</v>
      </c>
      <c r="E152" s="11">
        <v>46990</v>
      </c>
      <c r="F152" s="11">
        <v>47127</v>
      </c>
      <c r="G152" s="66">
        <f t="shared" si="26"/>
        <v>138</v>
      </c>
      <c r="H152" s="31"/>
    </row>
    <row r="153" spans="1:8" s="1" customFormat="1" ht="20.399999999999999">
      <c r="A153" s="48"/>
      <c r="B153" s="49"/>
      <c r="C153" s="38" t="s">
        <v>260</v>
      </c>
      <c r="D153" s="29" t="s">
        <v>265</v>
      </c>
      <c r="E153" s="11">
        <v>47382</v>
      </c>
      <c r="F153" s="11">
        <v>47728</v>
      </c>
      <c r="G153" s="66">
        <f t="shared" si="26"/>
        <v>347</v>
      </c>
      <c r="H153" s="31"/>
    </row>
    <row r="154" spans="1:8" s="1" customFormat="1" ht="40.799999999999997">
      <c r="A154" s="48"/>
      <c r="B154" s="49"/>
      <c r="C154" s="38" t="s">
        <v>337</v>
      </c>
      <c r="D154" s="29" t="s">
        <v>266</v>
      </c>
      <c r="E154" s="11">
        <v>47010</v>
      </c>
      <c r="F154" s="11">
        <v>47741</v>
      </c>
      <c r="G154" s="66">
        <f t="shared" si="26"/>
        <v>732</v>
      </c>
      <c r="H154" s="31"/>
    </row>
    <row r="155" spans="1:8" s="1" customFormat="1" ht="30.6">
      <c r="A155" s="48"/>
      <c r="B155" s="49"/>
      <c r="C155" s="38" t="s">
        <v>338</v>
      </c>
      <c r="D155" s="29" t="s">
        <v>339</v>
      </c>
      <c r="E155" s="11">
        <v>47010</v>
      </c>
      <c r="F155" s="11">
        <v>47741</v>
      </c>
      <c r="G155" s="66">
        <f t="shared" si="26"/>
        <v>732</v>
      </c>
      <c r="H155" s="31"/>
    </row>
    <row r="156" spans="1:8" s="1" customFormat="1" ht="30.6">
      <c r="A156" s="50"/>
      <c r="B156" s="51"/>
      <c r="C156" s="38" t="s">
        <v>261</v>
      </c>
      <c r="D156" s="29" t="s">
        <v>340</v>
      </c>
      <c r="E156" s="11">
        <v>47480</v>
      </c>
      <c r="F156" s="11">
        <v>47741</v>
      </c>
      <c r="G156" s="66">
        <f t="shared" si="26"/>
        <v>262</v>
      </c>
      <c r="H156" s="31"/>
    </row>
    <row r="157" spans="1:8" s="1" customFormat="1" ht="20.399999999999999">
      <c r="A157" s="96" t="s">
        <v>154</v>
      </c>
      <c r="B157" s="17" t="s">
        <v>356</v>
      </c>
      <c r="C157" s="108"/>
      <c r="D157" s="106"/>
      <c r="E157" s="19"/>
      <c r="F157" s="23"/>
      <c r="G157" s="20"/>
      <c r="H157" s="24"/>
    </row>
    <row r="158" spans="1:8" s="1" customFormat="1" ht="51">
      <c r="A158" s="36"/>
      <c r="B158" s="47"/>
      <c r="C158" s="62" t="s">
        <v>227</v>
      </c>
      <c r="D158" s="29" t="s">
        <v>230</v>
      </c>
      <c r="E158" s="11"/>
      <c r="F158" s="11"/>
      <c r="G158" s="66"/>
      <c r="H158" s="31"/>
    </row>
    <row r="159" spans="1:8" s="1" customFormat="1" ht="91.8">
      <c r="A159" s="48"/>
      <c r="B159" s="49"/>
      <c r="C159" s="62" t="s">
        <v>228</v>
      </c>
      <c r="D159" s="29" t="s">
        <v>229</v>
      </c>
      <c r="E159" s="11"/>
      <c r="F159" s="11"/>
      <c r="G159" s="66"/>
      <c r="H159" s="31"/>
    </row>
    <row r="160" spans="1:8" s="1" customFormat="1" ht="40.799999999999997">
      <c r="A160" s="48"/>
      <c r="B160" s="49"/>
      <c r="C160" s="38" t="s">
        <v>374</v>
      </c>
      <c r="D160" s="29" t="s">
        <v>357</v>
      </c>
      <c r="E160" s="11">
        <v>47219</v>
      </c>
      <c r="F160" s="11">
        <v>47478</v>
      </c>
      <c r="G160" s="66">
        <f>+F160-E160+1</f>
        <v>260</v>
      </c>
      <c r="H160" s="31"/>
    </row>
    <row r="161" spans="1:8" s="1" customFormat="1" ht="30" customHeight="1">
      <c r="A161" s="96" t="s">
        <v>155</v>
      </c>
      <c r="B161" s="17" t="s">
        <v>73</v>
      </c>
      <c r="C161" s="17"/>
      <c r="D161" s="18"/>
      <c r="E161" s="19"/>
      <c r="F161" s="23"/>
      <c r="G161" s="20"/>
      <c r="H161" s="24"/>
    </row>
    <row r="162" spans="1:8" s="1" customFormat="1" ht="51">
      <c r="A162" s="45"/>
      <c r="B162" s="58"/>
      <c r="C162" s="62" t="s">
        <v>231</v>
      </c>
      <c r="D162" s="29" t="s">
        <v>235</v>
      </c>
      <c r="E162" s="11">
        <v>47023</v>
      </c>
      <c r="F162" s="11">
        <v>47084</v>
      </c>
      <c r="G162" s="66">
        <f>+F162-E162+1</f>
        <v>62</v>
      </c>
      <c r="H162" s="31"/>
    </row>
    <row r="163" spans="1:8" s="1" customFormat="1" ht="91.8">
      <c r="A163" s="55"/>
      <c r="B163" s="49"/>
      <c r="C163" s="62" t="s">
        <v>232</v>
      </c>
      <c r="D163" s="29" t="s">
        <v>236</v>
      </c>
      <c r="E163" s="11">
        <v>47011</v>
      </c>
      <c r="F163" s="11">
        <v>47741</v>
      </c>
      <c r="G163" s="66">
        <f>+F163-E163+1</f>
        <v>731</v>
      </c>
      <c r="H163" s="31"/>
    </row>
    <row r="164" spans="1:8" s="1" customFormat="1" ht="20.399999999999999">
      <c r="A164" s="50"/>
      <c r="B164" s="51"/>
      <c r="C164" s="44" t="s">
        <v>358</v>
      </c>
      <c r="D164" s="29" t="s">
        <v>359</v>
      </c>
      <c r="E164" s="11">
        <v>47011</v>
      </c>
      <c r="F164" s="11">
        <v>47741</v>
      </c>
      <c r="G164" s="66">
        <f t="shared" ref="G164" si="27">+F164-E164+1</f>
        <v>731</v>
      </c>
      <c r="H164" s="31"/>
    </row>
    <row r="165" spans="1:8" s="1" customFormat="1" ht="30" customHeight="1">
      <c r="A165" s="96" t="s">
        <v>156</v>
      </c>
      <c r="B165" s="17" t="s">
        <v>74</v>
      </c>
      <c r="C165" s="17"/>
      <c r="D165" s="18"/>
      <c r="E165" s="19"/>
      <c r="F165" s="23"/>
      <c r="G165" s="20"/>
      <c r="H165" s="24"/>
    </row>
    <row r="166" spans="1:8" s="1" customFormat="1" ht="51">
      <c r="A166" s="45"/>
      <c r="B166" s="58"/>
      <c r="C166" s="62" t="s">
        <v>233</v>
      </c>
      <c r="D166" s="29" t="s">
        <v>237</v>
      </c>
      <c r="E166" s="11">
        <v>47011</v>
      </c>
      <c r="F166" s="11">
        <v>47741</v>
      </c>
      <c r="G166" s="66">
        <f t="shared" ref="G166:G167" si="28">+F166-E166+1</f>
        <v>731</v>
      </c>
      <c r="H166" s="31"/>
    </row>
    <row r="167" spans="1:8" s="1" customFormat="1" ht="91.8">
      <c r="A167" s="55"/>
      <c r="B167" s="49"/>
      <c r="C167" s="62" t="s">
        <v>234</v>
      </c>
      <c r="D167" s="29" t="s">
        <v>238</v>
      </c>
      <c r="E167" s="11">
        <v>47011</v>
      </c>
      <c r="F167" s="11">
        <v>47741</v>
      </c>
      <c r="G167" s="66">
        <f t="shared" si="28"/>
        <v>731</v>
      </c>
      <c r="H167" s="31"/>
    </row>
    <row r="168" spans="1:8" s="1" customFormat="1" ht="30.6">
      <c r="A168" s="50"/>
      <c r="B168" s="51"/>
      <c r="C168" s="44" t="s">
        <v>360</v>
      </c>
      <c r="D168" s="29" t="s">
        <v>361</v>
      </c>
      <c r="E168" s="11"/>
      <c r="F168" s="11"/>
      <c r="G168" s="66"/>
      <c r="H168" s="31"/>
    </row>
    <row r="169" spans="1:8" s="1" customFormat="1" ht="30" customHeight="1">
      <c r="A169" s="102" t="s">
        <v>157</v>
      </c>
      <c r="B169" s="99" t="s">
        <v>75</v>
      </c>
      <c r="C169" s="17"/>
      <c r="D169" s="18"/>
      <c r="E169" s="19"/>
      <c r="F169" s="23"/>
      <c r="G169" s="20"/>
      <c r="H169" s="24"/>
    </row>
    <row r="170" spans="1:8" s="1" customFormat="1" ht="51">
      <c r="A170" s="45"/>
      <c r="B170" s="58"/>
      <c r="C170" s="62" t="s">
        <v>239</v>
      </c>
      <c r="D170" s="29" t="s">
        <v>241</v>
      </c>
      <c r="E170" s="11">
        <v>47011</v>
      </c>
      <c r="F170" s="11">
        <v>47741</v>
      </c>
      <c r="G170" s="66">
        <f t="shared" ref="G170:G171" si="29">+F170-E170+1</f>
        <v>731</v>
      </c>
      <c r="H170" s="31"/>
    </row>
    <row r="171" spans="1:8" s="1" customFormat="1" ht="91.8">
      <c r="A171" s="55"/>
      <c r="B171" s="49"/>
      <c r="C171" s="62" t="s">
        <v>240</v>
      </c>
      <c r="D171" s="29" t="s">
        <v>242</v>
      </c>
      <c r="E171" s="11">
        <v>47011</v>
      </c>
      <c r="F171" s="11">
        <v>47741</v>
      </c>
      <c r="G171" s="66">
        <f t="shared" si="29"/>
        <v>731</v>
      </c>
      <c r="H171" s="31"/>
    </row>
    <row r="172" spans="1:8" s="1" customFormat="1" ht="30.6">
      <c r="A172" s="50"/>
      <c r="B172" s="51"/>
      <c r="C172" s="44" t="s">
        <v>363</v>
      </c>
      <c r="D172" s="29" t="s">
        <v>364</v>
      </c>
      <c r="E172" s="11"/>
      <c r="F172" s="11"/>
      <c r="G172" s="66"/>
      <c r="H172" s="31"/>
    </row>
    <row r="173" spans="1:8" s="1" customFormat="1" ht="30" customHeight="1">
      <c r="A173" s="103" t="s">
        <v>161</v>
      </c>
      <c r="B173" s="104" t="s">
        <v>76</v>
      </c>
      <c r="C173" s="17"/>
      <c r="D173" s="18"/>
      <c r="E173" s="19"/>
      <c r="F173" s="23"/>
      <c r="G173" s="20"/>
      <c r="H173" s="24"/>
    </row>
    <row r="174" spans="1:8" s="1" customFormat="1" ht="51">
      <c r="A174" s="45"/>
      <c r="B174" s="58"/>
      <c r="C174" s="62" t="s">
        <v>365</v>
      </c>
      <c r="D174" s="29" t="s">
        <v>368</v>
      </c>
      <c r="E174" s="11">
        <v>47251</v>
      </c>
      <c r="F174" s="11">
        <v>47741</v>
      </c>
      <c r="G174" s="66">
        <f t="shared" ref="G174:G175" si="30">+F174-E174+1</f>
        <v>491</v>
      </c>
      <c r="H174" s="31"/>
    </row>
    <row r="175" spans="1:8" s="1" customFormat="1" ht="91.8">
      <c r="A175" s="55"/>
      <c r="B175" s="49"/>
      <c r="C175" s="62" t="s">
        <v>366</v>
      </c>
      <c r="D175" s="29" t="s">
        <v>369</v>
      </c>
      <c r="E175" s="11">
        <v>47251</v>
      </c>
      <c r="F175" s="11">
        <v>47741</v>
      </c>
      <c r="G175" s="66">
        <f t="shared" si="30"/>
        <v>491</v>
      </c>
      <c r="H175" s="31"/>
    </row>
    <row r="176" spans="1:8" s="1" customFormat="1" ht="30.6">
      <c r="A176" s="50"/>
      <c r="B176" s="51"/>
      <c r="C176" s="44" t="s">
        <v>367</v>
      </c>
      <c r="D176" s="29" t="s">
        <v>370</v>
      </c>
      <c r="E176" s="11"/>
      <c r="F176" s="11"/>
      <c r="G176" s="66"/>
      <c r="H176" s="31"/>
    </row>
    <row r="177" spans="1:8" s="1" customFormat="1" ht="30" customHeight="1">
      <c r="A177" s="78" t="s">
        <v>362</v>
      </c>
      <c r="B177" s="72" t="s">
        <v>89</v>
      </c>
      <c r="C177" s="68"/>
      <c r="D177" s="69"/>
      <c r="E177" s="70"/>
      <c r="F177" s="70"/>
      <c r="G177" s="70"/>
      <c r="H177" s="71"/>
    </row>
    <row r="178" spans="1:8" s="1" customFormat="1" ht="30" customHeight="1">
      <c r="A178" s="73">
        <v>8</v>
      </c>
      <c r="B178" s="13" t="s">
        <v>77</v>
      </c>
      <c r="C178" s="13"/>
      <c r="D178" s="14"/>
      <c r="E178" s="15">
        <v>46295</v>
      </c>
      <c r="F178" s="15">
        <v>48000</v>
      </c>
      <c r="G178" s="16">
        <f>+F178-E178+1</f>
        <v>1706</v>
      </c>
      <c r="H178" s="22"/>
    </row>
    <row r="179" spans="1:8" s="1" customFormat="1" ht="30" customHeight="1">
      <c r="A179" s="96" t="s">
        <v>158</v>
      </c>
      <c r="B179" s="17" t="s">
        <v>277</v>
      </c>
      <c r="C179" s="17"/>
      <c r="D179" s="18"/>
      <c r="E179" s="19"/>
      <c r="F179" s="23"/>
      <c r="G179" s="20"/>
      <c r="H179" s="24"/>
    </row>
    <row r="180" spans="1:8" s="1" customFormat="1" ht="13.8">
      <c r="A180" s="59"/>
      <c r="B180" s="49"/>
      <c r="C180" s="64" t="s">
        <v>275</v>
      </c>
      <c r="D180" s="29" t="s">
        <v>295</v>
      </c>
      <c r="E180" s="11">
        <v>47664</v>
      </c>
      <c r="F180" s="11">
        <v>47741</v>
      </c>
      <c r="G180" s="66">
        <f t="shared" ref="G180:G181" si="31">+F180-E180+1</f>
        <v>78</v>
      </c>
      <c r="H180" s="31"/>
    </row>
    <row r="181" spans="1:8" s="1" customFormat="1" ht="13.8">
      <c r="A181" s="46"/>
      <c r="B181" s="51"/>
      <c r="C181" s="64" t="s">
        <v>276</v>
      </c>
      <c r="D181" s="29" t="s">
        <v>296</v>
      </c>
      <c r="E181" s="11">
        <v>47664</v>
      </c>
      <c r="F181" s="11">
        <v>47741</v>
      </c>
      <c r="G181" s="66">
        <f t="shared" si="31"/>
        <v>78</v>
      </c>
      <c r="H181" s="31"/>
    </row>
    <row r="182" spans="1:8" s="1" customFormat="1" ht="30" customHeight="1">
      <c r="A182" s="96" t="s">
        <v>159</v>
      </c>
      <c r="B182" s="17" t="s">
        <v>371</v>
      </c>
      <c r="C182" s="17"/>
      <c r="D182" s="18"/>
      <c r="E182" s="19"/>
      <c r="F182" s="23"/>
      <c r="G182" s="20"/>
      <c r="H182" s="24"/>
    </row>
    <row r="183" spans="1:8" s="1" customFormat="1" ht="51">
      <c r="A183" s="45"/>
      <c r="B183" s="58"/>
      <c r="C183" s="62" t="s">
        <v>270</v>
      </c>
      <c r="D183" s="29" t="s">
        <v>272</v>
      </c>
      <c r="E183" s="11">
        <v>47664</v>
      </c>
      <c r="F183" s="11">
        <v>48000</v>
      </c>
      <c r="G183" s="66">
        <f>+F183-E183+1</f>
        <v>337</v>
      </c>
      <c r="H183" s="31"/>
    </row>
    <row r="184" spans="1:8" s="1" customFormat="1" ht="91.8">
      <c r="A184" s="55"/>
      <c r="B184" s="49"/>
      <c r="C184" s="62" t="s">
        <v>271</v>
      </c>
      <c r="D184" s="29" t="s">
        <v>273</v>
      </c>
      <c r="E184" s="11">
        <v>47664</v>
      </c>
      <c r="F184" s="11">
        <v>48000</v>
      </c>
      <c r="G184" s="66">
        <f>+F184-E184+1</f>
        <v>337</v>
      </c>
      <c r="H184" s="31"/>
    </row>
    <row r="185" spans="1:8" s="1" customFormat="1" ht="20.399999999999999">
      <c r="A185" s="50"/>
      <c r="B185" s="51"/>
      <c r="C185" s="40" t="s">
        <v>341</v>
      </c>
      <c r="D185" s="29" t="s">
        <v>274</v>
      </c>
      <c r="E185" s="11">
        <v>47664</v>
      </c>
      <c r="F185" s="11">
        <v>48000</v>
      </c>
      <c r="G185" s="66">
        <f t="shared" ref="G185" si="32">+F185-E185+1</f>
        <v>337</v>
      </c>
      <c r="H185" s="31"/>
    </row>
    <row r="186" spans="1:8" s="1" customFormat="1" ht="30" customHeight="1">
      <c r="A186" s="96" t="s">
        <v>160</v>
      </c>
      <c r="B186" s="17" t="s">
        <v>81</v>
      </c>
      <c r="C186" s="17"/>
      <c r="D186" s="18"/>
      <c r="E186" s="19"/>
      <c r="F186" s="23"/>
      <c r="G186" s="20"/>
      <c r="H186" s="24"/>
    </row>
    <row r="187" spans="1:8" s="1" customFormat="1" ht="51">
      <c r="A187" s="55"/>
      <c r="B187" s="49"/>
      <c r="C187" s="62" t="s">
        <v>347</v>
      </c>
      <c r="D187" s="29" t="s">
        <v>269</v>
      </c>
      <c r="E187" s="11">
        <v>47664</v>
      </c>
      <c r="F187" s="11">
        <v>48000</v>
      </c>
      <c r="G187" s="66">
        <f t="shared" ref="G187" si="33">+F187-E187+1</f>
        <v>337</v>
      </c>
      <c r="H187" s="31"/>
    </row>
    <row r="188" spans="1:8" s="1" customFormat="1" ht="91.8">
      <c r="A188" s="55"/>
      <c r="B188" s="49"/>
      <c r="C188" s="62" t="s">
        <v>348</v>
      </c>
      <c r="D188" s="29" t="s">
        <v>268</v>
      </c>
      <c r="E188" s="11">
        <v>47664</v>
      </c>
      <c r="F188" s="11">
        <v>48000</v>
      </c>
      <c r="G188" s="66">
        <f t="shared" ref="G188" si="34">+F188-E188+1</f>
        <v>337</v>
      </c>
      <c r="H188" s="31"/>
    </row>
    <row r="189" spans="1:8" s="1" customFormat="1" ht="20.399999999999999">
      <c r="A189" s="50"/>
      <c r="B189" s="51"/>
      <c r="C189" s="62" t="s">
        <v>342</v>
      </c>
      <c r="D189" s="29" t="s">
        <v>267</v>
      </c>
      <c r="E189" s="11"/>
      <c r="F189" s="11"/>
      <c r="G189" s="66"/>
      <c r="H189" s="31"/>
    </row>
    <row r="190" spans="1:8" s="1" customFormat="1">
      <c r="A190" s="96" t="s">
        <v>345</v>
      </c>
      <c r="B190" s="17" t="s">
        <v>346</v>
      </c>
      <c r="C190" s="17"/>
      <c r="D190" s="18"/>
      <c r="E190" s="19"/>
      <c r="F190" s="23"/>
      <c r="G190" s="20"/>
      <c r="H190" s="24"/>
    </row>
    <row r="191" spans="1:8" s="1" customFormat="1" ht="51">
      <c r="A191" s="55"/>
      <c r="B191" s="49"/>
      <c r="C191" s="62" t="s">
        <v>349</v>
      </c>
      <c r="D191" s="29" t="s">
        <v>352</v>
      </c>
      <c r="E191" s="11"/>
      <c r="F191" s="11"/>
      <c r="G191" s="66"/>
      <c r="H191" s="31"/>
    </row>
    <row r="192" spans="1:8" s="1" customFormat="1" ht="91.8">
      <c r="A192" s="55"/>
      <c r="B192" s="49"/>
      <c r="C192" s="62" t="s">
        <v>350</v>
      </c>
      <c r="D192" s="29" t="s">
        <v>353</v>
      </c>
      <c r="E192" s="11"/>
      <c r="F192" s="11"/>
      <c r="G192" s="66"/>
      <c r="H192" s="31"/>
    </row>
    <row r="193" spans="1:8" s="1" customFormat="1" ht="13.8">
      <c r="A193" s="50"/>
      <c r="B193" s="51"/>
      <c r="C193" s="62" t="s">
        <v>351</v>
      </c>
      <c r="D193" s="29" t="s">
        <v>354</v>
      </c>
      <c r="E193" s="11"/>
      <c r="F193" s="11"/>
      <c r="G193" s="66"/>
      <c r="H193" s="31"/>
    </row>
    <row r="194" spans="1:8" s="1" customFormat="1" ht="30" customHeight="1">
      <c r="A194" s="73">
        <v>9</v>
      </c>
      <c r="B194" s="13" t="s">
        <v>83</v>
      </c>
      <c r="C194" s="13"/>
      <c r="D194" s="14"/>
      <c r="E194" s="15">
        <f>SMALL(E198:E198,1)</f>
        <v>46295</v>
      </c>
      <c r="F194" s="15">
        <f>LARGE(F198:F198,1)</f>
        <v>48000</v>
      </c>
      <c r="G194" s="16">
        <f>+F194-E194+1</f>
        <v>1706</v>
      </c>
      <c r="H194" s="22"/>
    </row>
    <row r="195" spans="1:8" s="1" customFormat="1" ht="30" customHeight="1">
      <c r="A195" s="96" t="s">
        <v>118</v>
      </c>
      <c r="B195" s="17" t="s">
        <v>84</v>
      </c>
      <c r="C195" s="17"/>
      <c r="D195" s="18"/>
      <c r="E195" s="19"/>
      <c r="F195" s="23"/>
      <c r="G195" s="20"/>
      <c r="H195" s="24"/>
    </row>
    <row r="196" spans="1:8" s="1" customFormat="1" ht="51">
      <c r="A196" s="45"/>
      <c r="B196" s="58"/>
      <c r="C196" s="62" t="s">
        <v>278</v>
      </c>
      <c r="D196" s="29" t="s">
        <v>280</v>
      </c>
      <c r="E196" s="11">
        <v>46295</v>
      </c>
      <c r="F196" s="11">
        <v>46381</v>
      </c>
      <c r="G196" s="66">
        <f>+F196-E196+1</f>
        <v>87</v>
      </c>
      <c r="H196" s="31"/>
    </row>
    <row r="197" spans="1:8" s="3" customFormat="1" ht="81.599999999999994">
      <c r="A197" s="55"/>
      <c r="B197" s="49"/>
      <c r="C197" s="62" t="s">
        <v>279</v>
      </c>
      <c r="D197" s="29" t="s">
        <v>355</v>
      </c>
      <c r="E197" s="11">
        <v>46351</v>
      </c>
      <c r="F197" s="11">
        <v>48000</v>
      </c>
      <c r="G197" s="66">
        <f>+F197-E197+1</f>
        <v>1650</v>
      </c>
      <c r="H197" s="31"/>
    </row>
    <row r="198" spans="1:8" s="3" customFormat="1" ht="30.6">
      <c r="A198" s="50"/>
      <c r="B198" s="51"/>
      <c r="C198" s="62" t="s">
        <v>343</v>
      </c>
      <c r="D198" s="29" t="s">
        <v>344</v>
      </c>
      <c r="E198" s="11">
        <v>46295</v>
      </c>
      <c r="F198" s="11">
        <v>48000</v>
      </c>
      <c r="G198" s="66">
        <f t="shared" ref="G198:G199" si="35">+F198-E198+1</f>
        <v>1706</v>
      </c>
      <c r="H198" s="31"/>
    </row>
    <row r="199" spans="1:8" s="1" customFormat="1" ht="30" customHeight="1">
      <c r="A199" s="79"/>
      <c r="B199" s="80" t="s">
        <v>85</v>
      </c>
      <c r="C199" s="81"/>
      <c r="D199" s="82"/>
      <c r="E199" s="83">
        <v>46204</v>
      </c>
      <c r="F199" s="83">
        <v>48000</v>
      </c>
      <c r="G199" s="84">
        <f t="shared" si="35"/>
        <v>1797</v>
      </c>
      <c r="H199" s="85"/>
    </row>
    <row r="200" spans="1:8" s="1" customFormat="1" ht="30" customHeight="1">
      <c r="A200" s="86"/>
      <c r="B200" s="87" t="s">
        <v>88</v>
      </c>
      <c r="C200" s="88"/>
      <c r="D200" s="88"/>
      <c r="E200" s="88"/>
      <c r="F200" s="88"/>
      <c r="G200" s="88"/>
      <c r="H200" s="88"/>
    </row>
    <row r="201" spans="1:8" s="1" customFormat="1">
      <c r="H201" s="28"/>
    </row>
    <row r="202" spans="1:8" s="1" customFormat="1"/>
    <row r="203" spans="1:8" s="1" customFormat="1"/>
    <row r="204" spans="1:8" s="1" customFormat="1"/>
    <row r="205" spans="1:8" s="1" customFormat="1"/>
    <row r="206" spans="1:8" s="1" customFormat="1"/>
    <row r="207" spans="1:8" s="1" customFormat="1"/>
    <row r="208" spans="1: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sheetData>
  <autoFilter ref="A16:H225" xr:uid="{00000000-0009-0000-0000-000000000000}"/>
  <pageMargins left="0.7" right="0.7" top="0.75" bottom="0.75" header="0.3" footer="0.3"/>
  <pageSetup paperSize="9" scale="3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Форма КП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Дмитрий Бабкин</dc:creator>
  <cp:lastModifiedBy>ALI</cp:lastModifiedBy>
  <cp:lastPrinted>2026-06-16T11:05:00Z</cp:lastPrinted>
  <dcterms:created xsi:type="dcterms:W3CDTF">2026-06-08T18:18:00Z</dcterms:created>
  <dcterms:modified xsi:type="dcterms:W3CDTF">2026-08-06T13:34:59Z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213CBC7DBC574383AC3ECB66523F3111_13</vt:lpwstr>
  </property>
  <property fmtid="{D5CDD505-2E9C-101B-9397-08002B2CF9AE}" pid="3" name="KSOProductBuildVer">
    <vt:lpwstr>1049-12.1.0.27458</vt:lpwstr>
  </property>
  <property fmtid="{D5CDD505-2E9C-101B-9397-08002B2CF9AE}" pid="4" name="CalculationRule">
    <vt:i4>0</vt:i4>
  </property>
</Properties>
</file>