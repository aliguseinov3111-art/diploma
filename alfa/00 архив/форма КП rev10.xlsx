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13_ncr:1_{D100B7D6-0CD0-4C20-B837-A3167F9EAE39}"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КП'!$A$16:$P$284</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58" i="1" l="1"/>
  <c r="G257" i="1"/>
  <c r="G256" i="1"/>
  <c r="G253" i="1"/>
  <c r="G229" i="1"/>
  <c r="G251" i="1"/>
  <c r="G250" i="1"/>
  <c r="G248" i="1"/>
  <c r="G247" i="1"/>
  <c r="G244" i="1"/>
  <c r="G243" i="1"/>
  <c r="G231" i="1"/>
  <c r="G226" i="1"/>
  <c r="G223" i="1"/>
  <c r="G220" i="1"/>
  <c r="G219" i="1"/>
  <c r="G216" i="1"/>
  <c r="G215" i="1"/>
  <c r="G214" i="1"/>
  <c r="G213" i="1"/>
  <c r="G212" i="1"/>
  <c r="G211" i="1"/>
  <c r="G210" i="1"/>
  <c r="G209" i="1"/>
  <c r="G208" i="1"/>
  <c r="G207" i="1"/>
  <c r="G206" i="1"/>
  <c r="G205" i="1"/>
  <c r="G204" i="1"/>
  <c r="G203" i="1"/>
  <c r="G202" i="1"/>
  <c r="G201" i="1"/>
  <c r="G200" i="1"/>
  <c r="G199" i="1"/>
  <c r="G198" i="1"/>
  <c r="G197" i="1"/>
  <c r="G196" i="1"/>
  <c r="G192" i="1"/>
  <c r="G191" i="1"/>
  <c r="G187" i="1"/>
  <c r="G183" i="1"/>
  <c r="G182" i="1"/>
  <c r="G178" i="1"/>
  <c r="G176" i="1"/>
  <c r="G175" i="1"/>
  <c r="G174" i="1"/>
  <c r="G172" i="1"/>
  <c r="G171" i="1"/>
  <c r="G170" i="1"/>
  <c r="G168" i="1"/>
  <c r="G167" i="1"/>
  <c r="G166" i="1"/>
  <c r="G165" i="1"/>
  <c r="G164" i="1"/>
  <c r="G163" i="1"/>
  <c r="G162" i="1"/>
  <c r="G161" i="1"/>
  <c r="G160" i="1"/>
  <c r="F158" i="1"/>
  <c r="E158" i="1"/>
  <c r="G156" i="1"/>
  <c r="G155" i="1"/>
  <c r="G154" i="1"/>
  <c r="G153" i="1"/>
  <c r="G152" i="1"/>
  <c r="G150" i="1"/>
  <c r="G148" i="1"/>
  <c r="G147" i="1"/>
  <c r="G145" i="1"/>
  <c r="G144" i="1"/>
  <c r="G143" i="1"/>
  <c r="G141" i="1"/>
  <c r="G140" i="1"/>
  <c r="G136" i="1"/>
  <c r="G135" i="1"/>
  <c r="G134" i="1"/>
  <c r="G133" i="1"/>
  <c r="G132" i="1"/>
  <c r="G131" i="1"/>
  <c r="G129" i="1"/>
  <c r="G127" i="1"/>
  <c r="G126" i="1"/>
  <c r="G124" i="1"/>
  <c r="G123" i="1"/>
  <c r="G122" i="1"/>
  <c r="G117" i="1"/>
  <c r="G116" i="1"/>
  <c r="G114" i="1"/>
  <c r="G113" i="1"/>
  <c r="G112" i="1"/>
  <c r="F110" i="1"/>
  <c r="E110" i="1"/>
  <c r="G108" i="1"/>
  <c r="G107" i="1"/>
  <c r="G106" i="1"/>
  <c r="G105" i="1"/>
  <c r="G104" i="1"/>
  <c r="G103" i="1"/>
  <c r="G102" i="1"/>
  <c r="G101" i="1"/>
  <c r="G100" i="1"/>
  <c r="G99" i="1"/>
  <c r="G98" i="1"/>
  <c r="G97" i="1"/>
  <c r="G96" i="1"/>
  <c r="G95" i="1"/>
  <c r="G94" i="1"/>
  <c r="F92" i="1"/>
  <c r="G92" i="1" s="1"/>
  <c r="E92" i="1"/>
  <c r="G90" i="1"/>
  <c r="G89" i="1"/>
  <c r="G88" i="1"/>
  <c r="G86" i="1"/>
  <c r="G85" i="1"/>
  <c r="G83" i="1"/>
  <c r="G82" i="1"/>
  <c r="G81" i="1"/>
  <c r="G80" i="1"/>
  <c r="G78" i="1"/>
  <c r="G77" i="1"/>
  <c r="G75" i="1"/>
  <c r="G74" i="1"/>
  <c r="G72" i="1"/>
  <c r="G68" i="1"/>
  <c r="G67" i="1"/>
  <c r="F65" i="1"/>
  <c r="E65" i="1"/>
  <c r="G63" i="1"/>
  <c r="G62" i="1"/>
  <c r="G61" i="1"/>
  <c r="G60" i="1"/>
  <c r="G59" i="1"/>
  <c r="G57" i="1"/>
  <c r="G56" i="1"/>
  <c r="G55" i="1"/>
  <c r="G53" i="1"/>
  <c r="G52" i="1"/>
  <c r="G51" i="1"/>
  <c r="G50" i="1"/>
  <c r="G48" i="1"/>
  <c r="G47" i="1"/>
  <c r="G46" i="1"/>
  <c r="G45" i="1"/>
  <c r="G44" i="1"/>
  <c r="G42" i="1"/>
  <c r="G41" i="1"/>
  <c r="G40" i="1"/>
  <c r="G39" i="1"/>
  <c r="G38" i="1"/>
  <c r="G36" i="1"/>
  <c r="G35" i="1"/>
  <c r="G34" i="1"/>
  <c r="G33" i="1"/>
  <c r="G31" i="1"/>
  <c r="G30" i="1"/>
  <c r="G29" i="1"/>
  <c r="G28" i="1"/>
  <c r="G25" i="1"/>
  <c r="G24" i="1"/>
  <c r="G23" i="1"/>
  <c r="G22" i="1"/>
  <c r="G21" i="1"/>
  <c r="G20" i="1"/>
  <c r="G19" i="1"/>
  <c r="F17" i="1"/>
  <c r="E17" i="1"/>
  <c r="C16" i="1"/>
  <c r="D16" i="1" s="1"/>
  <c r="E16" i="1" s="1"/>
  <c r="F16" i="1" s="1"/>
  <c r="G16" i="1" s="1"/>
  <c r="H16" i="1" s="1"/>
  <c r="K16" i="1" s="1"/>
  <c r="L16" i="1" s="1"/>
  <c r="M16" i="1" s="1"/>
  <c r="N16" i="1" s="1"/>
  <c r="O16" i="1" s="1"/>
  <c r="P16" i="1" s="1"/>
  <c r="B16" i="1"/>
  <c r="G158" i="1" l="1"/>
  <c r="G65" i="1"/>
  <c r="G110" i="1"/>
  <c r="G17" i="1"/>
  <c r="E231" i="1"/>
  <c r="E180" i="1"/>
  <c r="E258" i="1"/>
  <c r="G180" i="1"/>
  <c r="F231" i="1"/>
  <c r="F180" i="1"/>
  <c r="F258" i="1"/>
  <c r="G233" i="1"/>
</calcChain>
</file>

<file path=xl/sharedStrings.xml><?xml version="1.0" encoding="utf-8"?>
<sst xmlns="http://schemas.openxmlformats.org/spreadsheetml/2006/main" count="1402" uniqueCount="490">
  <si>
    <t>ЗАКАЗЧИК:</t>
  </si>
  <si>
    <t>ОБЪЕКТ:</t>
  </si>
  <si>
    <t>мультимедийный центр, г. Москва</t>
  </si>
  <si>
    <t>Адрес:</t>
  </si>
  <si>
    <t>г.Москва</t>
  </si>
  <si>
    <t>Площадь объекта по данным КБ Стрелки м2</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</si>
  <si>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</si>
  <si>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</si>
  <si>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</si>
  <si>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</si>
  <si>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</si>
  <si>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</si>
  <si>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</si>
  <si>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</si>
  <si>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</si>
  <si>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</si>
  <si>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</si>
  <si>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</si>
  <si>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</si>
  <si>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</si>
  <si>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</si>
  <si>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</si>
  <si>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Бонус Девелопера за выполнение этапа, без НДС</t>
  </si>
  <si>
    <t>ГрадК 
(1)</t>
  </si>
  <si>
    <t>Приказ 
(2)</t>
  </si>
  <si>
    <t>ГОСТ 
(3)</t>
  </si>
  <si>
    <t>ЮД 
(4)</t>
  </si>
  <si>
    <t>СРО, указать если требуется</t>
  </si>
  <si>
    <t>Обоснование требований СРО</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</si>
  <si>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</si>
  <si>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</si>
  <si>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</si>
  <si>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</si>
  <si>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1.1.a Актуализированные сведения ЕГРН</t>
  </si>
  <si>
    <t>УК</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</si>
  <si>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</si>
  <si>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1.1.b Юридическая модель реконструкции</t>
  </si>
  <si>
    <t>1.1.3 Анализирует возможности реализации проекта как единого комплекса и готовит юридическую позицию по глубокой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</si>
  <si>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1.1.c Юридическое заключение о реализуемости проекта</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</si>
  <si>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</si>
  <si>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1.1.d Аналитический отчёт по градостроительным ограничениям</t>
  </si>
  <si>
    <t>ТЗ</t>
  </si>
  <si>
    <t>СРО</t>
  </si>
  <si>
    <t>2</t>
  </si>
  <si>
    <t>1.1.5 Определяет необходимость корректировки ПЗЗ/ГЗ и проведения публичных процедур, готовит градостроительное заключение по реализуемости проекта.</t>
  </si>
  <si>
    <t>1.1.e Заключение о необходимости изменения ПЗЗ</t>
  </si>
  <si>
    <t>1.1.6 Готовит дорожную карту, матрицу ответственности участников проекта, регламенты, контроль сроков, бюджета, рисков и решений.</t>
  </si>
  <si>
    <t>1.1.f Дорожная карта проекта</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</si>
  <si>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</si>
  <si>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1.1.g Бюджетная структура проекта</t>
  </si>
  <si>
    <t>1.2</t>
  </si>
  <si>
    <t>Инженерно-геодезические изыскания, регистрации в ГИС ОГД</t>
  </si>
  <si>
    <t>1.2.1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</si>
  <si>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1.2.a Перечень привлечённых участников изысканий</t>
  </si>
  <si>
    <t>1,2,3</t>
  </si>
  <si>
    <t>1.2.2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</si>
  <si>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1.2.b Протокол о результатах закупки</t>
  </si>
  <si>
    <t>1.2.3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</si>
  <si>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1.2.c Исполненный договор</t>
  </si>
  <si>
    <t>1,2,3,4</t>
  </si>
  <si>
    <t>1.2.d Программа изыскательских работ и техническое задание</t>
  </si>
  <si>
    <t>1.2.e Согласованное заключение по изысканиям</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</si>
  <si>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</si>
  <si>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</si>
  <si>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</si>
  <si>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1.3.a Протокол о результатах закупки</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</si>
  <si>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</si>
  <si>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1.3.b Исполненный договор</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</si>
  <si>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</si>
  <si>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1.3.c Программа изыскательских работ и техническое задание</t>
  </si>
  <si>
    <t>1.3.d Согласованное заключение по изысканиям</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</si>
  <si>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</si>
  <si>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</si>
  <si>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</si>
  <si>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1.4.a Протокол о результатах закупки</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</si>
  <si>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</si>
  <si>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1.4.b Исполненный договор</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</si>
  <si>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</si>
  <si>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1.4.c Программа изыскательских работ и техническое задание</t>
  </si>
  <si>
    <t>1.4.d Согласованное заключение по изысканиям</t>
  </si>
  <si>
    <t>1.4.e Техническое заключение. Правила обследования и мониторинга технического состояния ГОСТ 31937-2024</t>
  </si>
  <si>
    <t>1.4.А</t>
  </si>
  <si>
    <t>Техническое обследование строительных конструкций зоны влияния</t>
  </si>
  <si>
    <t>1.4.А.1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</si>
  <si>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1.4.А.a Протокол о результатах закупки</t>
  </si>
  <si>
    <t>1.4.А.2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</si>
  <si>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1.4.А.b Исполненный договор</t>
  </si>
  <si>
    <t>1.4.А.3 Организует обследования, изыскания и специальные исследования зоны влияния.</t>
  </si>
  <si>
    <t>1.4.А.c Программа изыскательских работ и техническое задание</t>
  </si>
  <si>
    <t>1.4.А.d Согласованное заключение по изысканиям</t>
  </si>
  <si>
    <t>1.4.А.e Техническое заключение. Правила обследования и мониторинга технического состояния ГОСТ 31937-2024</t>
  </si>
  <si>
    <t>1.5</t>
  </si>
  <si>
    <t>Историко-культурные изыскания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</si>
  <si>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</si>
  <si>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1.5.a Протокол о результатах закупки</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</si>
  <si>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</si>
  <si>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1.5.b Исполненный договор</t>
  </si>
  <si>
    <t>1.5.3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</si>
  <si>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1.5.c Согласованное заключение по изысканиям</t>
  </si>
  <si>
    <t>1.5.d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</si>
  <si>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1.6</t>
  </si>
  <si>
    <t>Изучение и систематизация материалов инженерно-геологических изысканий прошлых лет</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</si>
  <si>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</si>
  <si>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1.6.a Протокол о результатах закупки</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</si>
  <si>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</si>
  <si>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1.6.b Исполненный договор</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</si>
  <si>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</si>
  <si>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1.6.c 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</si>
  <si>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</si>
  <si>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</si>
  <si>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</si>
  <si>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1.7.a Протокол о результатах закупки</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</si>
  <si>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</si>
  <si>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1.7.b Исполненный договор</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</si>
  <si>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</si>
  <si>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1.7.c Программа изыскательских работ и техническое задание</t>
  </si>
  <si>
    <t>1.7.d Согласованное заключение по изысканиям</t>
  </si>
  <si>
    <t>1.7.e Техническое заключение</t>
  </si>
  <si>
    <t>1.8</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</si>
  <si>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</si>
  <si>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</si>
  <si>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</si>
  <si>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</si>
  <si>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</si>
  <si>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2.1.a Протокол о результатах закупки</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</si>
  <si>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</si>
  <si>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2.1.b Исполненный договор</t>
  </si>
  <si>
    <t>2.1.3 Формирует архитектурную концепцию мультимедийного центра.</t>
  </si>
  <si>
    <t>2.1.c Архитектурная концепция мультимедийного центра</t>
  </si>
  <si>
    <t>2.1.4 Обеспечивает разработку schematic design и сохранение design intent / авторской идеи.</t>
  </si>
  <si>
    <t>2.1.d Schematic design и design intent</t>
  </si>
  <si>
    <t>2.1.5 Готовит презентационные материалы для Заказчика, города / Мэра Москвы и публичного контура.</t>
  </si>
  <si>
    <t>2.1.e Презентационные материалы</t>
  </si>
  <si>
    <t>2.1.6 Организует подготовку буклета АГК и НПМ в соответствии с: Приказом Департамента градостроительной политики города Москвы от: 02.04.2026 № ДГП-ПР-64/26 "Об Архитектурной комиссии по рассмотрению проектных материалов",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</si>
  <si>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2.1.f Буклет АГК и НПМ</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</si>
  <si>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</si>
  <si>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</si>
  <si>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</si>
  <si>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2.2.a Презентационные материалы</t>
  </si>
  <si>
    <t>2,3</t>
  </si>
  <si>
    <t>2.2.2 Сопровождает рассмотрение и доработку материалов у Мэра Москвы, «Активный гражданин», материалы для общественных обсуждений.</t>
  </si>
  <si>
    <t>2.2.b Согласованные материалы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</si>
  <si>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</si>
  <si>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</si>
  <si>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</si>
  <si>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</si>
  <si>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2.3.2 Сопровождает согласование АГР / АГО, архитектурно-градостроительные решения и формирование «цифрового двойника» города.</t>
  </si>
  <si>
    <t>2.3.b Согласованное АГР / АГО</t>
  </si>
  <si>
    <t>2.4</t>
  </si>
  <si>
    <t>Альбом АГР и ВПМ</t>
  </si>
  <si>
    <t>2.4.1 Проводит административное сопровождение через Техзаказчика, организует подачу документов, сопровождает прохождение Архкомиссии ДГП.</t>
  </si>
  <si>
    <t>2.4.a Заключение Архитектурной комиссии ДГП</t>
  </si>
  <si>
    <t>2.4.2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</si>
  <si>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2.4.b Протокол о результатах закупки</t>
  </si>
  <si>
    <t>2.4.3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</si>
  <si>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2.4.c Исполненный договор</t>
  </si>
  <si>
    <t>2.4.d 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</si>
  <si>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</si>
  <si>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</si>
  <si>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</si>
  <si>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</si>
  <si>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</si>
  <si>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</si>
  <si>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</si>
  <si>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</si>
  <si>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2.6.a Заявление в электронной форме (ЛК Застройщика)</t>
  </si>
  <si>
    <t>2.6.2 Сопровождает в ДГП, организует снятие и устранение замечаний.</t>
  </si>
  <si>
    <t>2.6.b Согласование ДГП</t>
  </si>
  <si>
    <t>2.6.3 Сопровождает в оформлении Свидетельства об утверждении архитектурно-градостроительного решения объекта капитального строительства.</t>
  </si>
  <si>
    <t>2.6.c Свидетельство об утверждении АГР</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</si>
  <si>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</si>
  <si>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</si>
  <si>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</si>
  <si>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</si>
  <si>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</si>
  <si>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</si>
  <si>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</si>
  <si>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3.1.b Новый ГПЗУ или комплект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</si>
  <si>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</si>
  <si>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</si>
  <si>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</si>
  <si>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</si>
  <si>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</si>
  <si>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</si>
  <si>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</si>
  <si>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3.1.f Изменение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</si>
  <si>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</si>
  <si>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</si>
  <si>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</si>
  <si>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3.1.h Согласование с уполномоченными органами</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</si>
  <si>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</si>
  <si>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3.1.i Согласование с балансодержателями сетей</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</si>
  <si>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</si>
  <si>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</si>
  <si>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2,3,4</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</si>
  <si>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</si>
  <si>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3.1.k Протокол о результатах закупки</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</si>
  <si>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</si>
  <si>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3.1.l Исполненный договор</t>
  </si>
  <si>
    <t>3.1.m График прохождения согласований</t>
  </si>
  <si>
    <t>3.1.n Заключения профильных департаментов</t>
  </si>
  <si>
    <t>3.1.o Протоколы РГ, ГЗК, ППМ</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</si>
  <si>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</si>
  <si>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</si>
  <si>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</si>
  <si>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</si>
  <si>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</si>
  <si>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4.1.a Протокол о результатах закупки</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</si>
  <si>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</si>
  <si>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4.1.b Исполненный договор</t>
  </si>
  <si>
    <t>4.1.3 Координирует разработку проектной документации стадии «Проект» и по отдельным разделам ПД: АР, КР, ИОС, ПОС, ООС, ПБ, МГН, энергоэффективность, СТУ при необходимости.</t>
  </si>
  <si>
    <t>4.1.c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</si>
  <si>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4.2</t>
  </si>
  <si>
    <t>СТУ, расчет пожарных рисков, НТС ГУ ЧС, НТЗ, Согласование Москомэкспертизы</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</si>
  <si>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</si>
  <si>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4.2.a Протокол о результатах закупки</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</si>
  <si>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</si>
  <si>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4.2.b Исполненный договор</t>
  </si>
  <si>
    <t>4.2.3 Организует подготовку разделов СТУ.</t>
  </si>
  <si>
    <t>4.2.c Разделы СТУ</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</si>
  <si>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</si>
  <si>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</si>
  <si>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</si>
  <si>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</si>
  <si>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</si>
  <si>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4.2.f Заключения специальных экспертиз</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</si>
  <si>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</si>
  <si>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4.2.g Перечень отступлений и предварительных компенсирующих мероприятий</t>
  </si>
  <si>
    <t>4.2.8 Сопровождает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</si>
  <si>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4.2.h Согласование в НТС ГО ЧС</t>
  </si>
  <si>
    <t>4.2.9 Сопровождает в заключении договора на подготовку научно-технического заключения и координирует согласования Москомэкспертизы</t>
  </si>
  <si>
    <t>4.2.i Научно-техническое заключение</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</si>
  <si>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</si>
  <si>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</si>
  <si>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</si>
  <si>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4.3.a Протокол о результатах закупки</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</si>
  <si>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</si>
  <si>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4.3.b Исполненный договор</t>
  </si>
  <si>
    <t>4.3.3 Организует разработку проекта подготовительных работ и проекта демонтажа отдельных конструкций.</t>
  </si>
  <si>
    <t>4.3.c Проект подготовительных работ и проект демонтажа</t>
  </si>
  <si>
    <t>4.3.4 Координирует разработку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</si>
  <si>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4.3.d Проектная документация по сносу</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</si>
  <si>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</si>
  <si>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</si>
  <si>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</si>
  <si>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4.4.a Протокол о результатах закупки</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</si>
  <si>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</si>
  <si>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4.4.b Исполненный договор</t>
  </si>
  <si>
    <t>4.4.3 Контролирует проектную организацию при сборе данных, моделировании транспортных потоков и расчёте нагрузки на улично-дорожную сеть (УДС).</t>
  </si>
  <si>
    <t>4.4.c Модель транспортных потоков</t>
  </si>
  <si>
    <t>4.4.4 Сопровождает согласования в ДГП</t>
  </si>
  <si>
    <t>4.4.d Согласование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</si>
  <si>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</si>
  <si>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4.4.e Согласование в Дептрансе</t>
  </si>
  <si>
    <t>4.4.6 Сопровождает согласования в УГИБДД, ЦОДД</t>
  </si>
  <si>
    <t>4.4.f Согласование в УГИБДД, ЦОДД</t>
  </si>
  <si>
    <t>4.5</t>
  </si>
  <si>
    <t>Программа мониторинга прилегающих строений</t>
  </si>
  <si>
    <t>4.5.1 Контролирует организацию мероприятий по сохранности окружающей застройки, археологии и историко-культурному наследию.</t>
  </si>
  <si>
    <t>4.5.a Мероприятия по сохранности окружающей застройки и наследия</t>
  </si>
  <si>
    <t>4.5.2 Контролирует организацию защитных мероприятий по соседним зданиям, логистики в центре Москвы и подготовки к началу основных работ</t>
  </si>
  <si>
    <t>4.5.b Защитные мероприятия и логистика подготовительного периода</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</si>
  <si>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</si>
  <si>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4.5.c Протокол о результатах закупки</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</si>
  <si>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</si>
  <si>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4.5.d Исполненный договор</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</si>
  <si>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</si>
  <si>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</si>
  <si>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</si>
  <si>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4.6.a Протокол о результатах закупки</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</si>
  <si>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</si>
  <si>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4.6.b Исполненный договор</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</si>
  <si>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</si>
  <si>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4.6.c 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</si>
  <si>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</si>
  <si>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</si>
  <si>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</si>
  <si>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4.7.a Протокол о результатах закупки</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</si>
  <si>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</si>
  <si>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4.7.b Исполненный договор</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</si>
  <si>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</si>
  <si>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</si>
  <si>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</si>
  <si>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4.7.d Проектная документация</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</si>
  <si>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</si>
  <si>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</si>
  <si>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</si>
  <si>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4.8.a Протокол о результатах закупки</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</si>
  <si>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</si>
  <si>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4.8.b Исполненный договор</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</si>
  <si>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</si>
  <si>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</si>
  <si>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</si>
  <si>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4.8.d Согласование проектной документации по ОКН</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</si>
  <si>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</si>
  <si>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</si>
  <si>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</si>
  <si>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</si>
  <si>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</si>
  <si>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</si>
  <si>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</si>
  <si>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</si>
  <si>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</si>
  <si>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</si>
  <si>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</si>
  <si>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</si>
  <si>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</si>
  <si>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5.1.d Исполненный договор</t>
  </si>
  <si>
    <t>5.1.5 Отслеживает и контролирует отработку и снятие замечаний экспертов. Контролирует дозагрузку ПД.</t>
  </si>
  <si>
    <t>5.1.e Отработанные замечания экспертизы</t>
  </si>
  <si>
    <t>5.1.f Заключения экспертов. Сводное заключение</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</si>
  <si>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</si>
  <si>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</si>
  <si>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</si>
  <si>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</si>
  <si>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</si>
  <si>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</si>
  <si>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</si>
  <si>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</si>
  <si>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5.2.a Исполненный договор</t>
  </si>
  <si>
    <t>5.2.2 Сопровождает загрузку документов, обеспечивает дополнительные консультации экспертов, сопровождает дозагрузку.</t>
  </si>
  <si>
    <t>5.2.b Сопровождение экспертизы</t>
  </si>
  <si>
    <t>5.2.3 Координирует работу участников.</t>
  </si>
  <si>
    <t>5.2.c Координация работ</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</si>
  <si>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</si>
  <si>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</si>
  <si>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</si>
  <si>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</si>
  <si>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</si>
  <si>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5.3.b Пакет проектной документации и изысканий</t>
  </si>
  <si>
    <t>5.3.3 Сопровождает оформление разрешения на строительство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</si>
  <si>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5.3.c Разрешение на строительство</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</si>
  <si>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</si>
  <si>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</si>
  <si>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</si>
  <si>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5.4.a Пакет документов строительного надзора</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</si>
  <si>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</si>
  <si>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</si>
  <si>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</si>
  <si>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</si>
  <si>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</si>
  <si>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6.1.a Протокол о результатах закупки</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</si>
  <si>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</si>
  <si>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6.1.b Исполненный договор</t>
  </si>
  <si>
    <t>6.1.3 Проверяет РД на соответствие ПД, экспертизе и бюджету; координирует управление изменениями РД.</t>
  </si>
  <si>
    <t>6.1.c Проверенная РД, соответствующая ПД и бюджету</t>
  </si>
  <si>
    <t>6.1.4 Координирует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</si>
  <si>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6.1.d Рабочая документация</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</si>
  <si>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</si>
  <si>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</si>
  <si>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</si>
  <si>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6.2.a Протокол о результатах закупки</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</si>
  <si>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</si>
  <si>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6.2.b Исполненный договор</t>
  </si>
  <si>
    <t>6.2.3 Координирует оформление пространства, определение стиля, атмосферы, функциональности и эстетики, разработку рабочей документации.</t>
  </si>
  <si>
    <t>6.2.c Дизайн-концепция интерьеров и рабочая документация</t>
  </si>
  <si>
    <t>6.3</t>
  </si>
  <si>
    <t>Тендерный пакет и закупочная документация</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</si>
  <si>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</si>
  <si>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6.3.a Протокол о результатах закупки</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</si>
  <si>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</si>
  <si>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6.3.b Исполненный договор</t>
  </si>
  <si>
    <t>6.3.3 Организует подготовку тендера на генподрядчика и тендера на демонтаж / подготовительные работы.</t>
  </si>
  <si>
    <t>6.3.c Тендерная документация на генподряд и демонтаж</t>
  </si>
  <si>
    <t>6.3.4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</si>
  <si>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6.3.d Заключённые договоры строительной стадии</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</si>
  <si>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</si>
  <si>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</si>
  <si>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</si>
  <si>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6.4.a Протокол о результатах закупки</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</si>
  <si>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</si>
  <si>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6.4.b Исполненный договор</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</si>
  <si>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</si>
  <si>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</si>
  <si>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</si>
  <si>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</si>
  <si>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</si>
  <si>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</si>
  <si>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</si>
  <si>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6.4.f Управление изменениями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</si>
  <si>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</si>
  <si>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</si>
  <si>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6.4.8 Контролирует основные работы по глубокой реконструкции.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</si>
  <si>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</si>
  <si>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</si>
  <si>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6.4.i Демонтаж и усиление конструкций</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</si>
  <si>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</si>
  <si>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</si>
  <si>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</si>
  <si>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</si>
  <si>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</si>
  <si>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</si>
  <si>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</si>
  <si>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</si>
  <si>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</si>
  <si>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</si>
  <si>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</si>
  <si>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</si>
  <si>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</si>
  <si>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</si>
  <si>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</si>
  <si>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6.4.q Контроль графика, бюджета и качества СМР</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</si>
  <si>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</si>
  <si>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</si>
  <si>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6.4.19 Контролирует работу технического заказчика и строительного контроля на строительной стадии: подписание КС-2 / КС-3, качество материалов, исполнительную документацию, проверки Мосгосстройнадзора, отчётность и координацию.</t>
  </si>
  <si>
    <t>6.4.s Строительный контроль (КС-2, КС-3)</t>
  </si>
  <si>
    <t>6.4.20 Управляет строительной стадией: контролирует сроки, бюджет, проектные решения, риски, отчётность, организует комитеты Заказчика и ключевые события.</t>
  </si>
  <si>
    <t>6.4.t Управление строительной стадией</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</si>
  <si>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</si>
  <si>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</si>
  <si>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</si>
  <si>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</si>
  <si>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6.5.1 Организует подбор компании, осуществляющей строительный контроль, и контролирует её работу.</t>
  </si>
  <si>
    <t>6.5.a Подобранная компания строительного контроля</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</si>
  <si>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</si>
  <si>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6.5.b Протокол о результатах закупки</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</si>
  <si>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</si>
  <si>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6.5.c Исполненный договор</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</si>
  <si>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</si>
  <si>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</si>
  <si>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</si>
  <si>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</si>
  <si>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</si>
  <si>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6.6.b Исполненный договор</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</si>
  <si>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</si>
  <si>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</si>
  <si>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</si>
  <si>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</si>
  <si>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</si>
  <si>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6.7.b Исполненный договор</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</si>
  <si>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</si>
  <si>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</si>
  <si>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</si>
  <si>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</si>
  <si>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</si>
  <si>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6.8.b Исполненный договор</t>
  </si>
  <si>
    <t>6.9</t>
  </si>
  <si>
    <t>Этап - Сдача Объекта, ЗОС, разрешение на ввод</t>
  </si>
  <si>
    <t>7.1</t>
  </si>
  <si>
    <t xml:space="preserve">Программа испытаний, ЗОС и Акт ввода </t>
  </si>
  <si>
    <t>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выдаётся Мосгосстройнадзором по результатам итоговой проверки, если при её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</si>
  <si>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7.1.a Заключение о соответствии (ЗОС)</t>
  </si>
  <si>
    <t>7.1.2 Контролирует исполнительную документацию и участвует в проверках Мосгосстройнадзора.</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</si>
  <si>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</si>
  <si>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</si>
  <si>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</si>
  <si>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</si>
  <si>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</si>
  <si>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</si>
  <si>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</si>
  <si>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</si>
  <si>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</si>
  <si>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</si>
  <si>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</si>
  <si>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</si>
  <si>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</si>
  <si>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</si>
  <si>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</si>
  <si>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7.2.1 Организует кадастровый учёт реконструированного объекта техническим заказчиком.</t>
  </si>
  <si>
    <t>7.2.a Кадастровый учёт реконструированного объекта</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</si>
  <si>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</si>
  <si>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7.2.b Протокол о результатах закупки</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</si>
  <si>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</si>
  <si>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7.2.c Исполненный договор</t>
  </si>
  <si>
    <t>7.3</t>
  </si>
  <si>
    <t>Оформление паспорта БТИ всего комплекса зданий с учетом нового ОКС</t>
  </si>
  <si>
    <t>7.3.1 Организует передачу объекта оператору / эксплуатирующей организации.</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</si>
  <si>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</si>
  <si>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</si>
  <si>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7.3.b Протокол о результатах закупки</t>
  </si>
  <si>
    <t>7.3.3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</si>
  <si>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7.3.c Исполненный договор</t>
  </si>
  <si>
    <t>7.4</t>
  </si>
  <si>
    <t>Акт ввода (КС-14)</t>
  </si>
  <si>
    <t>7.4.1 Контролирует организацию итоговой проверки Мосгосстройнадзора.</t>
  </si>
  <si>
    <t>7.4.a Контроль итоговой проверки Мосгосстройнадзора</t>
  </si>
  <si>
    <t>7.4.2 Контролирует организацию получения техническим заказчиком разрешения на ввод.</t>
  </si>
  <si>
    <t>7.4.b Разрешение на ввод объекта</t>
  </si>
  <si>
    <t>7.4.c ЗОС и разрешение на ввод объекта в эксплуатацию</t>
  </si>
  <si>
    <t>8</t>
  </si>
  <si>
    <t>Работы и услуги в течении реализации проекта</t>
  </si>
  <si>
    <t>8.1</t>
  </si>
  <si>
    <t xml:space="preserve">Услуги технического заказчика </t>
  </si>
  <si>
    <t>8.1.1 Организует подбор технического заказчика и контролирует его работу.</t>
  </si>
  <si>
    <t>8.1.a Подобранный технический заказчик</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</si>
  <si>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</si>
  <si>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</si>
  <si>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</si>
  <si>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8.1.c Договор с техническим заказчиком</t>
  </si>
  <si>
    <t>ПЕРИОД РЕАЛИЗАЦИИ ПРОЕКТА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</si>
</sst>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0">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b/>
      <sz val="8"/>
      <name val="Arial"/>
      <family val="2"/>
      <charset val="204"/>
    </font>
    <font>
      <sz val="8"/>
      <name val="Arial"/>
      <family val="2"/>
      <charset val="204"/>
    </font>
    <font>
      <b/>
      <sz val="10"/>
      <name val="Arial"/>
      <family val="2"/>
      <charset val="204"/>
    </font>
    <font>
      <sz val="8"/>
      <name val="Arial"/>
      <charset val="204"/>
    </font>
    <font>
      <b/>
      <sz val="8"/>
      <name val="Arial"/>
      <charset val="204"/>
    </font>
    <font>
      <b/>
      <sz val="10"/>
      <name val="Arial"/>
      <charset val="204"/>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indexed="9"/>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97">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 fontId="2" fillId="0" borderId="1" xfId="8" applyNumberFormat="1" applyFont="1" applyBorder="1" applyAlignment="1">
      <alignment horizontal="center" vertical="center" wrapText="1"/>
    </xf>
    <xf numFmtId="4" fontId="2" fillId="2" borderId="1" xfId="8"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0" borderId="0" xfId="6" applyFont="1" applyAlignment="1">
      <alignment wrapText="1"/>
    </xf>
    <xf numFmtId="14" fontId="5" fillId="0" borderId="1" xfId="0" applyNumberFormat="1" applyFont="1" applyBorder="1" applyAlignment="1">
      <alignment horizontal="center" vertical="center" wrapText="1"/>
    </xf>
    <xf numFmtId="0" fontId="14" fillId="2" borderId="1" xfId="0" applyFont="1" applyFill="1" applyBorder="1" applyAlignment="1">
      <alignment horizontal="center" vertical="center" wrapText="1"/>
    </xf>
    <xf numFmtId="0" fontId="6" fillId="0" borderId="1" xfId="6" applyFont="1" applyBorder="1" applyAlignment="1">
      <alignment horizontal="left" vertical="center" wrapText="1"/>
    </xf>
    <xf numFmtId="0" fontId="15" fillId="0" borderId="1" xfId="0" applyFont="1" applyBorder="1" applyAlignment="1">
      <alignment horizontal="left"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2" fillId="4" borderId="1" xfId="1" applyNumberFormat="1" applyFont="1" applyFill="1" applyBorder="1" applyAlignment="1">
      <alignment horizontal="center" vertical="center"/>
    </xf>
    <xf numFmtId="0" fontId="2" fillId="5" borderId="1" xfId="6" applyFont="1" applyFill="1" applyBorder="1" applyAlignment="1">
      <alignment horizontal="left" vertical="center" wrapText="1"/>
    </xf>
    <xf numFmtId="0" fontId="2" fillId="5" borderId="1" xfId="0" applyFont="1" applyFill="1" applyBorder="1" applyAlignment="1">
      <alignment horizontal="left" vertical="center" wrapText="1"/>
    </xf>
    <xf numFmtId="14"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2" fillId="5" borderId="1" xfId="1" applyNumberFormat="1" applyFont="1" applyFill="1" applyBorder="1" applyAlignment="1">
      <alignment horizontal="center" vertical="center"/>
    </xf>
    <xf numFmtId="0" fontId="1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1" fillId="6" borderId="1" xfId="1" applyNumberFormat="1" applyFont="1" applyFill="1" applyBorder="1" applyAlignment="1">
      <alignment horizontal="center" vertical="center"/>
    </xf>
    <xf numFmtId="0" fontId="5" fillId="6" borderId="1" xfId="0" applyFont="1" applyFill="1" applyBorder="1" applyAlignment="1">
      <alignment horizontal="left" vertical="center" wrapText="1"/>
    </xf>
    <xf numFmtId="0" fontId="4" fillId="6" borderId="1" xfId="1" applyNumberFormat="1" applyFont="1" applyFill="1" applyBorder="1" applyAlignment="1">
      <alignment horizontal="center" vertical="center"/>
    </xf>
    <xf numFmtId="0" fontId="2" fillId="0" borderId="1" xfId="1" applyNumberFormat="1" applyFont="1" applyBorder="1" applyAlignment="1">
      <alignment horizontal="left" vertical="center"/>
    </xf>
    <xf numFmtId="0" fontId="2" fillId="5" borderId="1" xfId="1" applyNumberFormat="1" applyFont="1" applyFill="1" applyBorder="1" applyAlignment="1">
      <alignment horizontal="left" vertical="center"/>
    </xf>
    <xf numFmtId="0" fontId="1" fillId="6" borderId="1" xfId="1" applyNumberFormat="1" applyFont="1" applyFill="1" applyBorder="1" applyAlignment="1">
      <alignment horizontal="left" vertical="center"/>
    </xf>
    <xf numFmtId="0" fontId="2" fillId="4" borderId="1" xfId="1" applyNumberFormat="1" applyFont="1" applyFill="1" applyBorder="1" applyAlignment="1">
      <alignment horizontal="left" vertical="center"/>
    </xf>
    <xf numFmtId="0" fontId="5" fillId="4" borderId="1" xfId="8" applyFont="1" applyFill="1" applyBorder="1" applyAlignment="1">
      <alignment horizontal="center" vertical="center" wrapText="1"/>
    </xf>
    <xf numFmtId="0" fontId="14" fillId="0" borderId="1" xfId="1" applyNumberFormat="1" applyFont="1" applyBorder="1" applyAlignment="1">
      <alignment horizontal="center" vertical="center" wrapText="1"/>
    </xf>
    <xf numFmtId="164" fontId="7" fillId="2" borderId="1" xfId="8"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5" fontId="2" fillId="5" borderId="1" xfId="0" applyNumberFormat="1" applyFont="1" applyFill="1" applyBorder="1" applyAlignment="1">
      <alignment horizontal="center" vertical="center" wrapText="1"/>
    </xf>
    <xf numFmtId="166" fontId="2" fillId="5"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7" fontId="5" fillId="6" borderId="1" xfId="8" applyNumberFormat="1" applyFont="1" applyFill="1" applyBorder="1" applyAlignment="1">
      <alignment horizontal="left" vertical="center" wrapText="1"/>
    </xf>
    <xf numFmtId="166" fontId="1" fillId="6" borderId="1" xfId="1" applyNumberFormat="1" applyFont="1" applyFill="1" applyBorder="1" applyAlignment="1">
      <alignment horizontal="center" vertical="center"/>
    </xf>
    <xf numFmtId="167" fontId="5" fillId="3" borderId="1" xfId="8" applyNumberFormat="1" applyFont="1" applyFill="1" applyBorder="1" applyAlignment="1">
      <alignment horizontal="left" vertical="center" wrapText="1"/>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2" fillId="0" borderId="1" xfId="1" applyNumberFormat="1"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6" fillId="6" borderId="1" xfId="1" applyNumberFormat="1" applyFont="1" applyFill="1" applyBorder="1" applyAlignment="1">
      <alignment horizontal="center" vertical="center"/>
    </xf>
    <xf numFmtId="0" fontId="16" fillId="7" borderId="1" xfId="1" applyNumberFormat="1" applyFont="1" applyFill="1" applyBorder="1" applyAlignment="1">
      <alignment horizontal="center" vertical="center"/>
    </xf>
    <xf numFmtId="167" fontId="5" fillId="0" borderId="1" xfId="8" applyNumberFormat="1" applyFont="1" applyBorder="1" applyAlignment="1">
      <alignment horizontal="left" vertical="center" wrapText="1"/>
    </xf>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6" fontId="1" fillId="0" borderId="1" xfId="1" applyNumberFormat="1" applyFont="1" applyBorder="1" applyAlignment="1">
      <alignment horizontal="center" vertical="center"/>
    </xf>
    <xf numFmtId="0" fontId="1" fillId="0" borderId="1" xfId="1" applyNumberFormat="1" applyFont="1" applyBorder="1" applyAlignment="1">
      <alignment horizontal="center" vertical="center"/>
    </xf>
    <xf numFmtId="0" fontId="16" fillId="0" borderId="1" xfId="1" applyNumberFormat="1" applyFont="1" applyBorder="1" applyAlignment="1">
      <alignment horizontal="center" vertical="center"/>
    </xf>
    <xf numFmtId="1" fontId="17" fillId="0" borderId="1" xfId="6" applyNumberFormat="1" applyFont="1" applyBorder="1"/>
    <xf numFmtId="0" fontId="6" fillId="8" borderId="1" xfId="6" applyFont="1" applyFill="1" applyBorder="1" applyAlignment="1">
      <alignment vertical="center" wrapText="1"/>
    </xf>
    <xf numFmtId="0" fontId="17" fillId="8" borderId="1" xfId="6" applyFont="1" applyFill="1" applyBorder="1" applyAlignment="1">
      <alignment horizontal="left" vertical="center" wrapText="1"/>
    </xf>
    <xf numFmtId="0" fontId="7" fillId="8" borderId="1" xfId="6" applyFont="1" applyFill="1" applyBorder="1" applyAlignment="1">
      <alignment vertical="center" wrapText="1"/>
    </xf>
    <xf numFmtId="165" fontId="18" fillId="8" borderId="1" xfId="6" applyNumberFormat="1" applyFont="1" applyFill="1" applyBorder="1" applyAlignment="1">
      <alignment vertical="center" wrapText="1"/>
    </xf>
    <xf numFmtId="0" fontId="19" fillId="9" borderId="1" xfId="6" applyFont="1" applyFill="1" applyBorder="1" applyAlignment="1">
      <alignment horizontal="center" vertical="center" wrapText="1"/>
    </xf>
    <xf numFmtId="1" fontId="17" fillId="0" borderId="2" xfId="6" applyNumberFormat="1" applyFont="1" applyBorder="1"/>
    <xf numFmtId="0" fontId="2" fillId="8" borderId="1" xfId="6" applyFont="1" applyFill="1" applyBorder="1" applyAlignment="1">
      <alignment horizontal="left" vertical="center" wrapText="1"/>
    </xf>
    <xf numFmtId="167" fontId="6" fillId="9" borderId="1" xfId="8" applyNumberFormat="1" applyFont="1" applyFill="1" applyBorder="1" applyAlignment="1">
      <alignment horizontal="left" vertical="center" wrapText="1"/>
    </xf>
    <xf numFmtId="168" fontId="17" fillId="8" borderId="1" xfId="10" applyNumberFormat="1" applyFont="1" applyFill="1" applyBorder="1" applyAlignment="1">
      <alignment vertical="center" wrapText="1"/>
    </xf>
    <xf numFmtId="0" fontId="5" fillId="0" borderId="1" xfId="8" applyFont="1" applyBorder="1" applyAlignment="1">
      <alignment horizontal="left" vertical="center" wrapText="1"/>
    </xf>
    <xf numFmtId="0" fontId="5" fillId="0" borderId="1" xfId="8" applyFont="1" applyBorder="1" applyAlignment="1">
      <alignment horizontal="left" vertical="center" wrapText="1"/>
    </xf>
    <xf numFmtId="0" fontId="5" fillId="5" borderId="1" xfId="8" applyFont="1" applyFill="1" applyBorder="1" applyAlignment="1">
      <alignment horizontal="center" vertical="center" wrapText="1"/>
    </xf>
    <xf numFmtId="0" fontId="5" fillId="0" borderId="1" xfId="8" applyFont="1" applyBorder="1" applyAlignment="1">
      <alignment vertical="center" wrapText="1"/>
    </xf>
    <xf numFmtId="0" fontId="0" fillId="0" borderId="1" xfId="0" applyBorder="1"/>
    <xf numFmtId="0" fontId="5" fillId="9" borderId="1" xfId="6" applyFont="1" applyFill="1" applyBorder="1" applyAlignment="1">
      <alignment horizontal="left" vertical="center" wrapText="1"/>
    </xf>
    <xf numFmtId="0" fontId="6" fillId="9" borderId="1" xfId="6" applyFont="1" applyFill="1" applyBorder="1" applyAlignment="1">
      <alignment horizontal="left" vertical="center" wrapText="1"/>
    </xf>
    <xf numFmtId="14" fontId="5" fillId="0" borderId="1" xfId="8" applyNumberFormat="1" applyFont="1" applyBorder="1" applyAlignment="1">
      <alignment vertical="center" wrapText="1"/>
    </xf>
    <xf numFmtId="0" fontId="6" fillId="9" borderId="1" xfId="0" applyFont="1" applyFill="1" applyBorder="1" applyAlignment="1">
      <alignment horizontal="left" vertical="center" wrapText="1"/>
    </xf>
    <xf numFmtId="0" fontId="5" fillId="6" borderId="1" xfId="8" applyFont="1" applyFill="1" applyBorder="1" applyAlignment="1">
      <alignment horizontal="center" vertical="center" wrapText="1"/>
    </xf>
    <xf numFmtId="0" fontId="6" fillId="6" borderId="1" xfId="6" applyFont="1" applyFill="1" applyBorder="1" applyAlignment="1">
      <alignment horizontal="left" vertical="center" wrapText="1"/>
    </xf>
    <xf numFmtId="167" fontId="6" fillId="0" borderId="1" xfId="8" applyNumberFormat="1" applyFont="1" applyBorder="1" applyAlignment="1">
      <alignment horizontal="left" vertical="center" wrapText="1"/>
    </xf>
    <xf numFmtId="167" fontId="5" fillId="9" borderId="1" xfId="8" applyNumberFormat="1" applyFont="1" applyFill="1" applyBorder="1" applyAlignment="1">
      <alignment horizontal="left" vertical="center" wrapText="1"/>
    </xf>
    <xf numFmtId="0" fontId="0" fillId="0" borderId="1" xfId="0" applyBorder="1"/>
    <xf numFmtId="167" fontId="15" fillId="0" borderId="1" xfId="8" applyNumberFormat="1" applyFont="1" applyBorder="1" applyAlignment="1">
      <alignment horizontal="left" vertical="center" wrapText="1"/>
    </xf>
    <xf numFmtId="0" fontId="1" fillId="0" borderId="1" xfId="6" applyFont="1" applyBorder="1" applyAlignment="1">
      <alignment horizontal="center" vertical="center"/>
    </xf>
    <xf numFmtId="0" fontId="5" fillId="0" borderId="1" xfId="8" applyFont="1" applyBorder="1" applyAlignment="1">
      <alignment horizontal="center" vertical="center" wrapText="1"/>
    </xf>
    <xf numFmtId="0" fontId="2" fillId="0" borderId="1" xfId="6" applyFont="1" applyBorder="1" applyAlignment="1">
      <alignment horizontal="left" vertical="center" wrapText="1"/>
    </xf>
    <xf numFmtId="167" fontId="6" fillId="9" borderId="1" xfId="8" applyNumberFormat="1" applyFont="1" applyFill="1" applyBorder="1" applyAlignment="1">
      <alignment horizontal="left" vertical="center"/>
    </xf>
    <xf numFmtId="49" fontId="5" fillId="0" borderId="1" xfId="8" applyNumberFormat="1" applyFont="1" applyBorder="1" applyAlignment="1">
      <alignment horizontal="left" vertical="center" wrapText="1"/>
    </xf>
    <xf numFmtId="49" fontId="6" fillId="9" borderId="1" xfId="8" applyNumberFormat="1" applyFont="1" applyFill="1" applyBorder="1" applyAlignment="1">
      <alignment horizontal="left" vertical="center" wrapText="1"/>
    </xf>
    <xf numFmtId="49" fontId="5" fillId="0" borderId="1" xfId="8" applyNumberFormat="1" applyFont="1" applyBorder="1" applyAlignment="1">
      <alignment horizontal="center"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R284"/>
  <sheetViews>
    <sheetView showGridLines="0" tabSelected="1" topLeftCell="A78" zoomScaleNormal="100" workbookViewId="0">
      <selection activeCell="A88" sqref="A88"/>
    </sheetView>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10" width="10.59765625" style="9" customWidth="1"/>
    <col min="11" max="16" width="10.59765625" style="9" hidden="1" customWidth="1"/>
    <col min="17" max="22" width="9.19921875" style="9" customWidth="1"/>
    <col min="23" max="16384" width="9.19921875" style="9"/>
  </cols>
  <sheetData>
    <row r="2" spans="1:16">
      <c r="A2" s="65"/>
      <c r="B2" s="66" t="s">
        <v>0</v>
      </c>
      <c r="C2" s="67"/>
    </row>
    <row r="3" spans="1:16">
      <c r="A3" s="65"/>
      <c r="B3" s="66" t="s">
        <v>1</v>
      </c>
      <c r="C3" s="67" t="s">
        <v>2</v>
      </c>
    </row>
    <row r="4" spans="1:16">
      <c r="A4" s="65"/>
      <c r="B4" s="66" t="s">
        <v>3</v>
      </c>
      <c r="C4" s="67" t="s">
        <v>4</v>
      </c>
    </row>
    <row r="5" spans="1:16">
      <c r="A5" s="65"/>
      <c r="B5" s="66" t="s">
        <v>5</v>
      </c>
      <c r="C5" s="74">
        <v>21600</v>
      </c>
    </row>
    <row r="6" spans="1:16">
      <c r="A6" s="65"/>
      <c r="B6" s="68" t="s">
        <v>6</v>
      </c>
      <c r="C6" s="69"/>
    </row>
    <row r="7" spans="1:16">
      <c r="A7" s="65"/>
      <c r="B7" s="66" t="s">
        <v>7</v>
      </c>
      <c r="C7" s="70"/>
    </row>
    <row r="8" spans="1:16">
      <c r="A8" s="65"/>
      <c r="B8" s="66" t="s">
        <v>8</v>
      </c>
      <c r="C8" s="70"/>
    </row>
    <row r="9" spans="1:16">
      <c r="A9" s="65"/>
      <c r="B9" s="66" t="s">
        <v>9</v>
      </c>
      <c r="C9" s="70"/>
    </row>
    <row r="10" spans="1:16">
      <c r="A10" s="65"/>
      <c r="B10" s="66" t="s">
        <v>10</v>
      </c>
      <c r="C10" s="70"/>
    </row>
    <row r="11" spans="1:16">
      <c r="A11" s="65"/>
      <c r="B11" s="66" t="s">
        <v>11</v>
      </c>
      <c r="C11" s="70"/>
    </row>
    <row r="12" spans="1:16">
      <c r="A12" s="65"/>
      <c r="B12" s="66" t="s">
        <v>12</v>
      </c>
      <c r="C12" s="70"/>
    </row>
    <row r="13" spans="1:16">
      <c r="A13" s="71"/>
      <c r="B13" s="66" t="s">
        <v>13</v>
      </c>
      <c r="C13" s="72" t="s">
        <v>14</v>
      </c>
    </row>
    <row r="14" spans="1:16">
      <c r="A14" s="10"/>
    </row>
    <row r="15" spans="1:16" s="1" customFormat="1" ht="67.5" customHeight="1">
      <c r="A15" s="11" t="s">
        <v>15</v>
      </c>
      <c r="B15" s="40" t="s">
        <v>16</v>
      </c>
      <c r="C15" s="12" t="s">
        <v>17</v>
      </c>
      <c r="D15" s="13" t="s">
        <v>18</v>
      </c>
      <c r="E15" s="13" t="s">
        <v>19</v>
      </c>
      <c r="F15" s="13" t="s">
        <v>20</v>
      </c>
      <c r="G15" s="13" t="s">
        <v>21</v>
      </c>
      <c r="H15" s="13" t="s">
        <v>22</v>
      </c>
      <c r="I15" s="9"/>
      <c r="J15" s="9"/>
      <c r="K15" s="16" t="s">
        <v>23</v>
      </c>
      <c r="L15" s="16" t="s">
        <v>24</v>
      </c>
      <c r="M15" s="16" t="s">
        <v>25</v>
      </c>
      <c r="N15" s="16" t="s">
        <v>26</v>
      </c>
      <c r="O15" s="13" t="s">
        <v>27</v>
      </c>
      <c r="P15" s="13" t="s">
        <v>28</v>
      </c>
    </row>
    <row r="16" spans="1:16" s="1" customFormat="1">
      <c r="A16" s="11">
        <v>1</v>
      </c>
      <c r="B16" s="11">
        <f t="shared" ref="B16:H16" si="0">+A16+1</f>
        <v>2</v>
      </c>
      <c r="C16" s="11">
        <f t="shared" si="0"/>
        <v>3</v>
      </c>
      <c r="D16" s="11">
        <f t="shared" si="0"/>
        <v>4</v>
      </c>
      <c r="E16" s="11">
        <f t="shared" si="0"/>
        <v>5</v>
      </c>
      <c r="F16" s="11">
        <f t="shared" si="0"/>
        <v>6</v>
      </c>
      <c r="G16" s="11">
        <f t="shared" si="0"/>
        <v>7</v>
      </c>
      <c r="H16" s="11">
        <f t="shared" si="0"/>
        <v>8</v>
      </c>
      <c r="I16" s="9"/>
      <c r="J16" s="9"/>
      <c r="K16" s="11">
        <f>+H16+1</f>
        <v>9</v>
      </c>
      <c r="L16" s="11">
        <f>+K16+1</f>
        <v>10</v>
      </c>
      <c r="M16" s="11">
        <f>+L16+1</f>
        <v>11</v>
      </c>
      <c r="N16" s="11">
        <f>+M16+1</f>
        <v>12</v>
      </c>
      <c r="O16" s="11">
        <f>+N16+1</f>
        <v>13</v>
      </c>
      <c r="P16" s="11">
        <f>+O16+1</f>
        <v>14</v>
      </c>
    </row>
    <row r="17" spans="1:18" s="2" customFormat="1" ht="20.399999999999999">
      <c r="A17" s="38">
        <v>1</v>
      </c>
      <c r="B17" s="19" t="s">
        <v>29</v>
      </c>
      <c r="C17" s="19"/>
      <c r="D17" s="20"/>
      <c r="E17" s="21">
        <f>SMALL(E19:E64,1)</f>
        <v>46204</v>
      </c>
      <c r="F17" s="41">
        <f>LARGE(F19:F64,1)</f>
        <v>46356</v>
      </c>
      <c r="G17" s="22">
        <f>+F17-E17+1</f>
        <v>153</v>
      </c>
      <c r="H17" s="42"/>
      <c r="I17" s="9"/>
      <c r="J17" s="9"/>
      <c r="K17" s="23"/>
      <c r="L17" s="23"/>
      <c r="M17" s="23"/>
      <c r="N17" s="23"/>
      <c r="O17" s="23"/>
      <c r="P17" s="23"/>
    </row>
    <row r="18" spans="1:18" s="2" customFormat="1">
      <c r="A18" s="77" t="s">
        <v>30</v>
      </c>
      <c r="B18" s="24" t="s">
        <v>31</v>
      </c>
      <c r="C18" s="24"/>
      <c r="D18" s="25"/>
      <c r="E18" s="26"/>
      <c r="F18" s="43"/>
      <c r="G18" s="27"/>
      <c r="H18" s="44"/>
      <c r="I18" s="9"/>
      <c r="J18" s="9"/>
      <c r="K18" s="28"/>
      <c r="L18" s="28"/>
      <c r="M18" s="28"/>
      <c r="N18" s="28"/>
      <c r="O18" s="28"/>
      <c r="P18" s="28"/>
    </row>
    <row r="19" spans="1:18" s="2" customFormat="1" ht="20.399999999999999">
      <c r="A19" s="78"/>
      <c r="B19" s="79"/>
      <c r="C19" s="80" t="s">
        <v>32</v>
      </c>
      <c r="D19" s="53" t="s">
        <v>33</v>
      </c>
      <c r="E19" s="15">
        <v>46204</v>
      </c>
      <c r="F19" s="15">
        <v>46227</v>
      </c>
      <c r="G19" s="54">
        <f t="shared" ref="G19:G25" si="1">+F19-E19+1</f>
        <v>24</v>
      </c>
      <c r="H19" s="45"/>
      <c r="I19" s="9"/>
      <c r="J19" s="9"/>
      <c r="K19" s="64" t="s">
        <v>34</v>
      </c>
      <c r="L19" s="64" t="s">
        <v>34</v>
      </c>
      <c r="M19" s="64" t="s">
        <v>34</v>
      </c>
      <c r="N19" s="64" t="s">
        <v>34</v>
      </c>
      <c r="O19" s="56"/>
      <c r="P19" s="52"/>
      <c r="Q19" s="2">
        <v>1</v>
      </c>
      <c r="R19" s="2">
        <v>1</v>
      </c>
    </row>
    <row r="20" spans="1:18" s="2" customFormat="1" ht="40.799999999999997">
      <c r="A20" s="79"/>
      <c r="B20" s="79"/>
      <c r="C20" s="80" t="s">
        <v>35</v>
      </c>
      <c r="D20" s="18" t="s">
        <v>36</v>
      </c>
      <c r="E20" s="15">
        <v>46204</v>
      </c>
      <c r="F20" s="15">
        <v>46272</v>
      </c>
      <c r="G20" s="54">
        <f t="shared" si="1"/>
        <v>69</v>
      </c>
      <c r="H20" s="45"/>
      <c r="I20" s="9"/>
      <c r="J20" s="9"/>
      <c r="K20" s="64" t="s">
        <v>34</v>
      </c>
      <c r="L20" s="64" t="s">
        <v>34</v>
      </c>
      <c r="M20" s="64" t="s">
        <v>34</v>
      </c>
      <c r="N20" s="64" t="s">
        <v>34</v>
      </c>
      <c r="O20" s="56"/>
      <c r="P20" s="52"/>
      <c r="Q20" s="2">
        <v>1</v>
      </c>
      <c r="R20" s="2">
        <v>1</v>
      </c>
    </row>
    <row r="21" spans="1:18" s="2" customFormat="1" ht="40.799999999999997">
      <c r="A21" s="79"/>
      <c r="B21" s="79"/>
      <c r="C21" s="80" t="s">
        <v>37</v>
      </c>
      <c r="D21" s="18" t="s">
        <v>38</v>
      </c>
      <c r="E21" s="15">
        <v>46204</v>
      </c>
      <c r="F21" s="15">
        <v>46286</v>
      </c>
      <c r="G21" s="54">
        <f t="shared" si="1"/>
        <v>83</v>
      </c>
      <c r="H21" s="45"/>
      <c r="I21" s="9"/>
      <c r="J21" s="9"/>
      <c r="K21" s="64" t="s">
        <v>34</v>
      </c>
      <c r="L21" s="64" t="s">
        <v>34</v>
      </c>
      <c r="M21" s="64" t="s">
        <v>34</v>
      </c>
      <c r="N21" s="64" t="s">
        <v>34</v>
      </c>
      <c r="O21" s="56"/>
      <c r="P21" s="52"/>
      <c r="Q21" s="2">
        <v>1</v>
      </c>
      <c r="R21" s="2">
        <v>1</v>
      </c>
    </row>
    <row r="22" spans="1:18" s="2" customFormat="1" ht="40.799999999999997">
      <c r="A22" s="79"/>
      <c r="B22" s="79"/>
      <c r="C22" s="80" t="s">
        <v>39</v>
      </c>
      <c r="D22" s="18" t="s">
        <v>40</v>
      </c>
      <c r="E22" s="15">
        <v>46204</v>
      </c>
      <c r="F22" s="15">
        <v>46272</v>
      </c>
      <c r="G22" s="54">
        <f t="shared" si="1"/>
        <v>69</v>
      </c>
      <c r="H22" s="45"/>
      <c r="I22" s="9"/>
      <c r="J22" s="9"/>
      <c r="K22" s="64" t="s">
        <v>34</v>
      </c>
      <c r="L22" s="64" t="s">
        <v>41</v>
      </c>
      <c r="M22" s="64" t="s">
        <v>34</v>
      </c>
      <c r="N22" s="64" t="s">
        <v>34</v>
      </c>
      <c r="O22" s="56" t="s">
        <v>42</v>
      </c>
      <c r="P22" s="52" t="s">
        <v>43</v>
      </c>
      <c r="Q22" s="2">
        <v>1</v>
      </c>
      <c r="R22" s="2">
        <v>1</v>
      </c>
    </row>
    <row r="23" spans="1:18" s="2" customFormat="1" ht="30.6">
      <c r="A23" s="79"/>
      <c r="B23" s="79"/>
      <c r="C23" s="80" t="s">
        <v>44</v>
      </c>
      <c r="D23" s="18" t="s">
        <v>45</v>
      </c>
      <c r="E23" s="15">
        <v>46204</v>
      </c>
      <c r="F23" s="15">
        <v>46266</v>
      </c>
      <c r="G23" s="54">
        <f t="shared" si="1"/>
        <v>63</v>
      </c>
      <c r="H23" s="45"/>
      <c r="I23" s="9"/>
      <c r="J23" s="9"/>
      <c r="K23" s="64" t="s">
        <v>34</v>
      </c>
      <c r="L23" s="64" t="s">
        <v>41</v>
      </c>
      <c r="M23" s="64" t="s">
        <v>34</v>
      </c>
      <c r="N23" s="64" t="s">
        <v>34</v>
      </c>
      <c r="O23" s="56" t="s">
        <v>42</v>
      </c>
      <c r="P23" s="52" t="s">
        <v>43</v>
      </c>
      <c r="Q23" s="2">
        <v>1</v>
      </c>
      <c r="R23" s="2">
        <v>1</v>
      </c>
    </row>
    <row r="24" spans="1:18" s="2" customFormat="1" ht="20.399999999999999">
      <c r="A24" s="79"/>
      <c r="B24" s="79"/>
      <c r="C24" s="80" t="s">
        <v>46</v>
      </c>
      <c r="D24" s="18" t="s">
        <v>47</v>
      </c>
      <c r="E24" s="15">
        <v>46231</v>
      </c>
      <c r="F24" s="15">
        <v>46341</v>
      </c>
      <c r="G24" s="54">
        <f t="shared" si="1"/>
        <v>111</v>
      </c>
      <c r="H24" s="45"/>
      <c r="I24" s="9"/>
      <c r="J24" s="9"/>
      <c r="K24" s="64" t="s">
        <v>34</v>
      </c>
      <c r="L24" s="64" t="s">
        <v>41</v>
      </c>
      <c r="M24" s="64" t="s">
        <v>34</v>
      </c>
      <c r="N24" s="64" t="s">
        <v>34</v>
      </c>
      <c r="O24" s="56" t="s">
        <v>42</v>
      </c>
      <c r="P24" s="52" t="s">
        <v>43</v>
      </c>
      <c r="Q24" s="2">
        <v>1</v>
      </c>
      <c r="R24" s="2">
        <v>1</v>
      </c>
    </row>
    <row r="25" spans="1:18" s="2" customFormat="1" ht="30.6">
      <c r="A25" s="79"/>
      <c r="B25" s="79"/>
      <c r="C25" s="80" t="s">
        <v>48</v>
      </c>
      <c r="D25" s="18" t="s">
        <v>49</v>
      </c>
      <c r="E25" s="15">
        <v>46204</v>
      </c>
      <c r="F25" s="15">
        <v>46266</v>
      </c>
      <c r="G25" s="54">
        <f t="shared" si="1"/>
        <v>63</v>
      </c>
      <c r="H25" s="45"/>
      <c r="I25" s="9"/>
      <c r="J25" s="9"/>
      <c r="K25" s="64" t="s">
        <v>34</v>
      </c>
      <c r="L25" s="64" t="s">
        <v>41</v>
      </c>
      <c r="M25" s="64" t="s">
        <v>34</v>
      </c>
      <c r="N25" s="64" t="s">
        <v>34</v>
      </c>
      <c r="O25" s="56" t="s">
        <v>42</v>
      </c>
      <c r="P25" s="52" t="s">
        <v>43</v>
      </c>
      <c r="Q25" s="2">
        <v>1</v>
      </c>
      <c r="R25" s="2">
        <v>1</v>
      </c>
    </row>
    <row r="26" spans="1:18" s="2" customFormat="1">
      <c r="A26" s="77" t="s">
        <v>50</v>
      </c>
      <c r="B26" s="24" t="s">
        <v>51</v>
      </c>
      <c r="C26" s="24"/>
      <c r="D26" s="25"/>
      <c r="E26" s="26"/>
      <c r="F26" s="43"/>
      <c r="G26" s="27"/>
      <c r="H26" s="44"/>
      <c r="I26" s="9"/>
      <c r="J26" s="9"/>
      <c r="K26" s="28"/>
      <c r="L26" s="28"/>
      <c r="M26" s="28"/>
      <c r="N26" s="28"/>
      <c r="O26" s="28"/>
      <c r="P26" s="35"/>
    </row>
    <row r="27" spans="1:18" s="1" customFormat="1" ht="51">
      <c r="A27" s="78"/>
      <c r="B27" s="79"/>
      <c r="C27" s="81" t="s">
        <v>52</v>
      </c>
      <c r="D27" s="53" t="s">
        <v>53</v>
      </c>
      <c r="E27" s="15"/>
      <c r="F27" s="15"/>
      <c r="G27" s="54"/>
      <c r="H27" s="62"/>
      <c r="I27" s="9"/>
      <c r="J27" s="9"/>
      <c r="K27" s="64" t="s">
        <v>41</v>
      </c>
      <c r="L27" s="64" t="s">
        <v>41</v>
      </c>
      <c r="M27" s="64" t="s">
        <v>41</v>
      </c>
      <c r="N27" s="64" t="s">
        <v>34</v>
      </c>
      <c r="O27" s="56" t="s">
        <v>42</v>
      </c>
      <c r="P27" s="52" t="s">
        <v>54</v>
      </c>
      <c r="Q27" s="1">
        <v>1</v>
      </c>
      <c r="R27" s="1">
        <v>2</v>
      </c>
    </row>
    <row r="28" spans="1:18" s="1" customFormat="1" ht="51">
      <c r="A28" s="78"/>
      <c r="B28" s="79"/>
      <c r="C28" s="81" t="s">
        <v>55</v>
      </c>
      <c r="D28" s="18" t="s">
        <v>56</v>
      </c>
      <c r="E28" s="15">
        <v>46218</v>
      </c>
      <c r="F28" s="15">
        <v>46255</v>
      </c>
      <c r="G28" s="54">
        <f>+F28-E28+1</f>
        <v>38</v>
      </c>
      <c r="H28" s="62"/>
      <c r="I28" s="9"/>
      <c r="J28" s="9"/>
      <c r="K28" s="64"/>
      <c r="L28" s="64"/>
      <c r="M28" s="64"/>
      <c r="N28" s="64"/>
      <c r="O28" s="56"/>
      <c r="P28" s="52"/>
    </row>
    <row r="29" spans="1:18" s="1" customFormat="1" ht="91.8">
      <c r="A29" s="79"/>
      <c r="B29" s="79"/>
      <c r="C29" s="81" t="s">
        <v>57</v>
      </c>
      <c r="D29" s="53" t="s">
        <v>58</v>
      </c>
      <c r="E29" s="15">
        <v>46236</v>
      </c>
      <c r="F29" s="15">
        <v>46341</v>
      </c>
      <c r="G29" s="54">
        <f>+F29-E29+1</f>
        <v>106</v>
      </c>
      <c r="H29" s="62"/>
      <c r="I29" s="9"/>
      <c r="J29" s="9"/>
      <c r="K29" s="64" t="s">
        <v>41</v>
      </c>
      <c r="L29" s="64" t="s">
        <v>41</v>
      </c>
      <c r="M29" s="64" t="s">
        <v>41</v>
      </c>
      <c r="N29" s="64" t="s">
        <v>41</v>
      </c>
      <c r="O29" s="64" t="s">
        <v>42</v>
      </c>
      <c r="P29" s="39" t="s">
        <v>59</v>
      </c>
      <c r="Q29" s="1">
        <v>1</v>
      </c>
      <c r="R29" s="1">
        <v>2</v>
      </c>
    </row>
    <row r="30" spans="1:18" s="1" customFormat="1" ht="13.8">
      <c r="A30" s="79"/>
      <c r="B30" s="79"/>
      <c r="C30" s="17"/>
      <c r="D30" s="53" t="s">
        <v>60</v>
      </c>
      <c r="E30" s="15">
        <v>46218</v>
      </c>
      <c r="F30" s="15">
        <v>46255</v>
      </c>
      <c r="G30" s="54">
        <f>+F30-E30+1</f>
        <v>38</v>
      </c>
      <c r="H30" s="62"/>
      <c r="I30" s="9"/>
      <c r="J30" s="9"/>
      <c r="K30" s="64" t="s">
        <v>41</v>
      </c>
      <c r="L30" s="64" t="s">
        <v>41</v>
      </c>
      <c r="M30" s="64" t="s">
        <v>41</v>
      </c>
      <c r="N30" s="64" t="s">
        <v>41</v>
      </c>
      <c r="O30" s="64" t="s">
        <v>42</v>
      </c>
      <c r="P30" s="39" t="s">
        <v>59</v>
      </c>
      <c r="Q30" s="1">
        <v>1</v>
      </c>
      <c r="R30" s="1">
        <v>2</v>
      </c>
    </row>
    <row r="31" spans="1:18" s="1" customFormat="1" ht="13.8">
      <c r="A31" s="79"/>
      <c r="B31" s="79"/>
      <c r="C31" s="17"/>
      <c r="D31" s="18" t="s">
        <v>61</v>
      </c>
      <c r="E31" s="15">
        <v>46292</v>
      </c>
      <c r="F31" s="15">
        <v>46341</v>
      </c>
      <c r="G31" s="54">
        <f>+F31-E31+1</f>
        <v>50</v>
      </c>
      <c r="H31" s="62"/>
      <c r="I31" s="9"/>
      <c r="J31" s="9"/>
      <c r="K31" s="64" t="s">
        <v>41</v>
      </c>
      <c r="L31" s="64" t="s">
        <v>41</v>
      </c>
      <c r="M31" s="64" t="s">
        <v>41</v>
      </c>
      <c r="N31" s="64" t="s">
        <v>41</v>
      </c>
      <c r="O31" s="64" t="s">
        <v>42</v>
      </c>
      <c r="P31" s="39" t="s">
        <v>59</v>
      </c>
      <c r="Q31" s="1">
        <v>1</v>
      </c>
      <c r="R31" s="1">
        <v>2</v>
      </c>
    </row>
    <row r="32" spans="1:18" s="1" customFormat="1">
      <c r="A32" s="77" t="s">
        <v>62</v>
      </c>
      <c r="B32" s="24" t="s">
        <v>63</v>
      </c>
      <c r="C32" s="24"/>
      <c r="D32" s="25"/>
      <c r="E32" s="26"/>
      <c r="F32" s="43"/>
      <c r="G32" s="27"/>
      <c r="H32" s="44"/>
      <c r="I32" s="9"/>
      <c r="J32" s="9"/>
      <c r="K32" s="28"/>
      <c r="L32" s="28"/>
      <c r="M32" s="28"/>
      <c r="N32" s="28"/>
      <c r="O32" s="28"/>
      <c r="P32" s="35"/>
    </row>
    <row r="33" spans="1:18" s="1" customFormat="1" ht="51">
      <c r="A33" s="82"/>
      <c r="B33" s="79"/>
      <c r="C33" s="81" t="s">
        <v>64</v>
      </c>
      <c r="D33" s="18" t="s">
        <v>65</v>
      </c>
      <c r="E33" s="15">
        <v>46235</v>
      </c>
      <c r="F33" s="15">
        <v>46271</v>
      </c>
      <c r="G33" s="54">
        <f>+F33-E33+1</f>
        <v>37</v>
      </c>
      <c r="H33" s="62"/>
      <c r="I33" s="9"/>
      <c r="J33" s="9"/>
      <c r="K33" s="64" t="s">
        <v>41</v>
      </c>
      <c r="L33" s="64" t="s">
        <v>41</v>
      </c>
      <c r="M33" s="64" t="s">
        <v>41</v>
      </c>
      <c r="N33" s="64" t="s">
        <v>34</v>
      </c>
      <c r="O33" s="56" t="s">
        <v>42</v>
      </c>
      <c r="P33" s="52" t="s">
        <v>54</v>
      </c>
      <c r="Q33" s="1">
        <v>1</v>
      </c>
      <c r="R33" s="1">
        <v>3</v>
      </c>
    </row>
    <row r="34" spans="1:18" s="1" customFormat="1" ht="91.8">
      <c r="A34" s="79"/>
      <c r="B34" s="79"/>
      <c r="C34" s="81" t="s">
        <v>66</v>
      </c>
      <c r="D34" s="53" t="s">
        <v>67</v>
      </c>
      <c r="E34" s="15">
        <v>46253</v>
      </c>
      <c r="F34" s="15">
        <v>46356</v>
      </c>
      <c r="G34" s="54">
        <f>+F34-E34+1</f>
        <v>104</v>
      </c>
      <c r="H34" s="62"/>
      <c r="I34" s="9"/>
      <c r="J34" s="9"/>
      <c r="K34" s="64" t="s">
        <v>41</v>
      </c>
      <c r="L34" s="64" t="s">
        <v>41</v>
      </c>
      <c r="M34" s="64" t="s">
        <v>41</v>
      </c>
      <c r="N34" s="64" t="s">
        <v>41</v>
      </c>
      <c r="O34" s="64" t="s">
        <v>42</v>
      </c>
      <c r="P34" s="39" t="s">
        <v>59</v>
      </c>
      <c r="Q34" s="1">
        <v>1</v>
      </c>
      <c r="R34" s="1">
        <v>3</v>
      </c>
    </row>
    <row r="35" spans="1:18" s="1" customFormat="1" ht="40.799999999999997">
      <c r="A35" s="79"/>
      <c r="B35" s="79"/>
      <c r="C35" s="17" t="s">
        <v>68</v>
      </c>
      <c r="D35" s="17" t="s">
        <v>69</v>
      </c>
      <c r="E35" s="15">
        <v>46235</v>
      </c>
      <c r="F35" s="15">
        <v>46271</v>
      </c>
      <c r="G35" s="54">
        <f>+F35-E35+1</f>
        <v>37</v>
      </c>
      <c r="H35" s="62"/>
      <c r="I35" s="9"/>
      <c r="J35" s="9"/>
      <c r="K35" s="64" t="s">
        <v>41</v>
      </c>
      <c r="L35" s="64" t="s">
        <v>41</v>
      </c>
      <c r="M35" s="64" t="s">
        <v>41</v>
      </c>
      <c r="N35" s="64" t="s">
        <v>41</v>
      </c>
      <c r="O35" s="64" t="s">
        <v>42</v>
      </c>
      <c r="P35" s="39" t="s">
        <v>59</v>
      </c>
      <c r="Q35" s="1">
        <v>1</v>
      </c>
      <c r="R35" s="1">
        <v>3</v>
      </c>
    </row>
    <row r="36" spans="1:18" s="1" customFormat="1" ht="13.8">
      <c r="A36" s="79"/>
      <c r="B36" s="79"/>
      <c r="C36" s="17"/>
      <c r="D36" s="18" t="s">
        <v>70</v>
      </c>
      <c r="E36" s="15">
        <v>46308</v>
      </c>
      <c r="F36" s="15">
        <v>46356</v>
      </c>
      <c r="G36" s="54">
        <f>+F36-E36+1</f>
        <v>49</v>
      </c>
      <c r="H36" s="62"/>
      <c r="I36" s="9"/>
      <c r="J36" s="9"/>
      <c r="K36" s="64" t="s">
        <v>41</v>
      </c>
      <c r="L36" s="64" t="s">
        <v>41</v>
      </c>
      <c r="M36" s="64" t="s">
        <v>41</v>
      </c>
      <c r="N36" s="64" t="s">
        <v>41</v>
      </c>
      <c r="O36" s="64" t="s">
        <v>42</v>
      </c>
      <c r="P36" s="39" t="s">
        <v>59</v>
      </c>
      <c r="Q36" s="1">
        <v>1</v>
      </c>
      <c r="R36" s="1">
        <v>3</v>
      </c>
    </row>
    <row r="37" spans="1:18" s="1" customFormat="1">
      <c r="A37" s="77" t="s">
        <v>71</v>
      </c>
      <c r="B37" s="24" t="s">
        <v>72</v>
      </c>
      <c r="C37" s="24"/>
      <c r="D37" s="25"/>
      <c r="E37" s="26"/>
      <c r="F37" s="43"/>
      <c r="G37" s="27"/>
      <c r="H37" s="44"/>
      <c r="I37" s="9"/>
      <c r="J37" s="9"/>
      <c r="K37" s="28"/>
      <c r="L37" s="28"/>
      <c r="M37" s="28"/>
      <c r="N37" s="28"/>
      <c r="O37" s="28"/>
      <c r="P37" s="35"/>
    </row>
    <row r="38" spans="1:18" s="1" customFormat="1" ht="51">
      <c r="A38" s="78"/>
      <c r="B38" s="79"/>
      <c r="C38" s="81" t="s">
        <v>73</v>
      </c>
      <c r="D38" s="18" t="s">
        <v>74</v>
      </c>
      <c r="E38" s="15">
        <v>46218</v>
      </c>
      <c r="F38" s="15">
        <v>46255</v>
      </c>
      <c r="G38" s="54">
        <f>+F38-E38+1</f>
        <v>38</v>
      </c>
      <c r="H38" s="62"/>
      <c r="I38" s="9"/>
      <c r="J38" s="9"/>
      <c r="K38" s="64" t="s">
        <v>41</v>
      </c>
      <c r="L38" s="64" t="s">
        <v>41</v>
      </c>
      <c r="M38" s="64" t="s">
        <v>41</v>
      </c>
      <c r="N38" s="64" t="s">
        <v>34</v>
      </c>
      <c r="O38" s="56" t="s">
        <v>42</v>
      </c>
      <c r="P38" s="52" t="s">
        <v>54</v>
      </c>
      <c r="Q38" s="1">
        <v>1</v>
      </c>
      <c r="R38" s="1">
        <v>4</v>
      </c>
    </row>
    <row r="39" spans="1:18" s="1" customFormat="1" ht="91.8">
      <c r="A39" s="79"/>
      <c r="B39" s="79"/>
      <c r="C39" s="81" t="s">
        <v>75</v>
      </c>
      <c r="D39" s="53" t="s">
        <v>76</v>
      </c>
      <c r="E39" s="15">
        <v>46236</v>
      </c>
      <c r="F39" s="15">
        <v>46341</v>
      </c>
      <c r="G39" s="54">
        <f>+F39-E39+1</f>
        <v>106</v>
      </c>
      <c r="H39" s="62"/>
      <c r="I39" s="9"/>
      <c r="J39" s="9"/>
      <c r="K39" s="64" t="s">
        <v>41</v>
      </c>
      <c r="L39" s="64" t="s">
        <v>41</v>
      </c>
      <c r="M39" s="64" t="s">
        <v>41</v>
      </c>
      <c r="N39" s="64" t="s">
        <v>41</v>
      </c>
      <c r="O39" s="64" t="s">
        <v>42</v>
      </c>
      <c r="P39" s="39" t="s">
        <v>59</v>
      </c>
      <c r="Q39" s="1">
        <v>1</v>
      </c>
      <c r="R39" s="1">
        <v>4</v>
      </c>
    </row>
    <row r="40" spans="1:18" s="1" customFormat="1" ht="40.799999999999997">
      <c r="A40" s="79"/>
      <c r="B40" s="79"/>
      <c r="C40" s="57" t="s">
        <v>77</v>
      </c>
      <c r="D40" s="57" t="s">
        <v>78</v>
      </c>
      <c r="E40" s="15">
        <v>46218</v>
      </c>
      <c r="F40" s="15">
        <v>46255</v>
      </c>
      <c r="G40" s="54">
        <f>+F40-E40+1</f>
        <v>38</v>
      </c>
      <c r="H40" s="62"/>
      <c r="I40" s="9"/>
      <c r="J40" s="9"/>
      <c r="K40" s="64" t="s">
        <v>41</v>
      </c>
      <c r="L40" s="64" t="s">
        <v>41</v>
      </c>
      <c r="M40" s="64" t="s">
        <v>41</v>
      </c>
      <c r="N40" s="64" t="s">
        <v>41</v>
      </c>
      <c r="O40" s="64" t="s">
        <v>42</v>
      </c>
      <c r="P40" s="39" t="s">
        <v>59</v>
      </c>
      <c r="Q40" s="1">
        <v>1</v>
      </c>
      <c r="R40" s="1">
        <v>4</v>
      </c>
    </row>
    <row r="41" spans="1:18" s="1" customFormat="1" ht="13.8">
      <c r="A41" s="79"/>
      <c r="B41" s="79"/>
      <c r="C41" s="57"/>
      <c r="D41" s="18" t="s">
        <v>79</v>
      </c>
      <c r="E41" s="15">
        <v>46292</v>
      </c>
      <c r="F41" s="15">
        <v>46341</v>
      </c>
      <c r="G41" s="54">
        <f>+F41-E41+1</f>
        <v>50</v>
      </c>
      <c r="H41" s="62"/>
      <c r="I41" s="9"/>
      <c r="J41" s="9"/>
      <c r="K41" s="64" t="s">
        <v>41</v>
      </c>
      <c r="L41" s="64" t="s">
        <v>41</v>
      </c>
      <c r="M41" s="64" t="s">
        <v>41</v>
      </c>
      <c r="N41" s="64" t="s">
        <v>41</v>
      </c>
      <c r="O41" s="64" t="s">
        <v>42</v>
      </c>
      <c r="P41" s="39" t="s">
        <v>59</v>
      </c>
      <c r="Q41" s="1">
        <v>1</v>
      </c>
      <c r="R41" s="1">
        <v>4</v>
      </c>
    </row>
    <row r="42" spans="1:18" s="1" customFormat="1" ht="20.399999999999999">
      <c r="A42" s="79"/>
      <c r="B42" s="79"/>
      <c r="C42" s="57"/>
      <c r="D42" s="57" t="s">
        <v>80</v>
      </c>
      <c r="E42" s="15">
        <v>46304</v>
      </c>
      <c r="F42" s="15">
        <v>46341</v>
      </c>
      <c r="G42" s="54">
        <f>+F42-E42+1</f>
        <v>38</v>
      </c>
      <c r="H42" s="62"/>
      <c r="I42" s="9"/>
      <c r="J42" s="9"/>
      <c r="K42" s="64" t="s">
        <v>41</v>
      </c>
      <c r="L42" s="64" t="s">
        <v>41</v>
      </c>
      <c r="M42" s="64" t="s">
        <v>41</v>
      </c>
      <c r="N42" s="64" t="s">
        <v>41</v>
      </c>
      <c r="O42" s="64" t="s">
        <v>42</v>
      </c>
      <c r="P42" s="39" t="s">
        <v>59</v>
      </c>
      <c r="Q42" s="1">
        <v>1</v>
      </c>
      <c r="R42" s="1">
        <v>4</v>
      </c>
    </row>
    <row r="43" spans="1:18" s="1" customFormat="1">
      <c r="A43" s="77" t="s">
        <v>81</v>
      </c>
      <c r="B43" s="24" t="s">
        <v>82</v>
      </c>
      <c r="C43" s="24"/>
      <c r="D43" s="25"/>
      <c r="E43" s="26"/>
      <c r="F43" s="43"/>
      <c r="G43" s="27"/>
      <c r="H43" s="44"/>
      <c r="I43" s="9"/>
      <c r="J43" s="9"/>
      <c r="K43" s="28"/>
      <c r="L43" s="28"/>
      <c r="M43" s="28"/>
      <c r="N43" s="28"/>
      <c r="O43" s="28"/>
      <c r="P43" s="35"/>
    </row>
    <row r="44" spans="1:18" s="1" customFormat="1" ht="51">
      <c r="A44" s="78"/>
      <c r="B44" s="79"/>
      <c r="C44" s="81" t="s">
        <v>83</v>
      </c>
      <c r="D44" s="18" t="s">
        <v>84</v>
      </c>
      <c r="E44" s="15">
        <v>46218</v>
      </c>
      <c r="F44" s="15">
        <v>46255</v>
      </c>
      <c r="G44" s="54">
        <f>+F44-E44+1</f>
        <v>38</v>
      </c>
      <c r="H44" s="62"/>
      <c r="I44" s="9"/>
      <c r="J44" s="9"/>
      <c r="K44" s="64" t="s">
        <v>41</v>
      </c>
      <c r="L44" s="64" t="s">
        <v>41</v>
      </c>
      <c r="M44" s="64" t="s">
        <v>41</v>
      </c>
      <c r="N44" s="64" t="s">
        <v>34</v>
      </c>
      <c r="O44" s="56" t="s">
        <v>42</v>
      </c>
      <c r="P44" s="52" t="s">
        <v>54</v>
      </c>
      <c r="Q44" s="1">
        <v>1</v>
      </c>
      <c r="R44" s="1">
        <v>5</v>
      </c>
    </row>
    <row r="45" spans="1:18" s="1" customFormat="1" ht="91.8">
      <c r="A45" s="79"/>
      <c r="B45" s="79"/>
      <c r="C45" s="81" t="s">
        <v>85</v>
      </c>
      <c r="D45" s="53" t="s">
        <v>86</v>
      </c>
      <c r="E45" s="15">
        <v>46236</v>
      </c>
      <c r="F45" s="15">
        <v>46341</v>
      </c>
      <c r="G45" s="54">
        <f>+F45-E45+1</f>
        <v>106</v>
      </c>
      <c r="H45" s="62"/>
      <c r="I45" s="9"/>
      <c r="J45" s="9"/>
      <c r="K45" s="64" t="s">
        <v>41</v>
      </c>
      <c r="L45" s="64" t="s">
        <v>41</v>
      </c>
      <c r="M45" s="64" t="s">
        <v>41</v>
      </c>
      <c r="N45" s="64" t="s">
        <v>41</v>
      </c>
      <c r="O45" s="64" t="s">
        <v>42</v>
      </c>
      <c r="P45" s="39" t="s">
        <v>59</v>
      </c>
      <c r="Q45" s="1">
        <v>1</v>
      </c>
      <c r="R45" s="1">
        <v>5</v>
      </c>
    </row>
    <row r="46" spans="1:18" s="1" customFormat="1" ht="20.399999999999999">
      <c r="A46" s="79"/>
      <c r="B46" s="79"/>
      <c r="C46" s="57" t="s">
        <v>87</v>
      </c>
      <c r="D46" s="57" t="s">
        <v>88</v>
      </c>
      <c r="E46" s="15">
        <v>46218</v>
      </c>
      <c r="F46" s="15">
        <v>46255</v>
      </c>
      <c r="G46" s="54">
        <f>+F46-E46+1</f>
        <v>38</v>
      </c>
      <c r="H46" s="62"/>
      <c r="I46" s="9"/>
      <c r="J46" s="9"/>
      <c r="K46" s="64" t="s">
        <v>41</v>
      </c>
      <c r="L46" s="64" t="s">
        <v>41</v>
      </c>
      <c r="M46" s="64" t="s">
        <v>41</v>
      </c>
      <c r="N46" s="64" t="s">
        <v>41</v>
      </c>
      <c r="O46" s="64" t="s">
        <v>42</v>
      </c>
      <c r="P46" s="39" t="s">
        <v>59</v>
      </c>
      <c r="Q46" s="1">
        <v>1</v>
      </c>
      <c r="R46" s="1">
        <v>5</v>
      </c>
    </row>
    <row r="47" spans="1:18" s="1" customFormat="1" ht="13.8">
      <c r="A47" s="79"/>
      <c r="B47" s="79"/>
      <c r="C47" s="57"/>
      <c r="D47" s="18" t="s">
        <v>89</v>
      </c>
      <c r="E47" s="15">
        <v>46292</v>
      </c>
      <c r="F47" s="15">
        <v>46341</v>
      </c>
      <c r="G47" s="54">
        <f>+F47-E47+1</f>
        <v>50</v>
      </c>
      <c r="H47" s="62"/>
      <c r="I47" s="9"/>
      <c r="J47" s="9"/>
      <c r="K47" s="64" t="s">
        <v>41</v>
      </c>
      <c r="L47" s="64" t="s">
        <v>41</v>
      </c>
      <c r="M47" s="64" t="s">
        <v>41</v>
      </c>
      <c r="N47" s="64" t="s">
        <v>41</v>
      </c>
      <c r="O47" s="64" t="s">
        <v>42</v>
      </c>
      <c r="P47" s="39" t="s">
        <v>59</v>
      </c>
      <c r="Q47" s="1">
        <v>1</v>
      </c>
      <c r="R47" s="1">
        <v>5</v>
      </c>
    </row>
    <row r="48" spans="1:18" s="1" customFormat="1" ht="20.399999999999999">
      <c r="A48" s="79"/>
      <c r="B48" s="79"/>
      <c r="C48" s="57"/>
      <c r="D48" s="57" t="s">
        <v>90</v>
      </c>
      <c r="E48" s="15">
        <v>46304</v>
      </c>
      <c r="F48" s="15">
        <v>46341</v>
      </c>
      <c r="G48" s="54">
        <f>+F48-E48+1</f>
        <v>38</v>
      </c>
      <c r="H48" s="62"/>
      <c r="I48" s="9"/>
      <c r="J48" s="9"/>
      <c r="K48" s="64" t="s">
        <v>41</v>
      </c>
      <c r="L48" s="64" t="s">
        <v>41</v>
      </c>
      <c r="M48" s="64" t="s">
        <v>41</v>
      </c>
      <c r="N48" s="64" t="s">
        <v>41</v>
      </c>
      <c r="O48" s="64" t="s">
        <v>42</v>
      </c>
      <c r="P48" s="39" t="s">
        <v>59</v>
      </c>
      <c r="Q48" s="1">
        <v>1</v>
      </c>
      <c r="R48" s="1">
        <v>5</v>
      </c>
    </row>
    <row r="49" spans="1:18" s="1" customFormat="1">
      <c r="A49" s="77" t="s">
        <v>91</v>
      </c>
      <c r="B49" s="24" t="s">
        <v>92</v>
      </c>
      <c r="C49" s="24"/>
      <c r="D49" s="25"/>
      <c r="E49" s="26"/>
      <c r="F49" s="43"/>
      <c r="G49" s="27"/>
      <c r="H49" s="44"/>
      <c r="I49" s="9"/>
      <c r="J49" s="9"/>
      <c r="K49" s="28"/>
      <c r="L49" s="28"/>
      <c r="M49" s="28"/>
      <c r="N49" s="28"/>
      <c r="O49" s="28"/>
      <c r="P49" s="35"/>
    </row>
    <row r="50" spans="1:18" s="1" customFormat="1" ht="51">
      <c r="A50" s="82"/>
      <c r="B50" s="79"/>
      <c r="C50" s="73" t="s">
        <v>93</v>
      </c>
      <c r="D50" s="18" t="s">
        <v>94</v>
      </c>
      <c r="E50" s="15">
        <v>46218</v>
      </c>
      <c r="F50" s="15">
        <v>46255</v>
      </c>
      <c r="G50" s="54">
        <f>+F50-E50+1</f>
        <v>38</v>
      </c>
      <c r="H50" s="62"/>
      <c r="I50" s="9"/>
      <c r="J50" s="9"/>
      <c r="K50" s="64" t="s">
        <v>41</v>
      </c>
      <c r="L50" s="64" t="s">
        <v>41</v>
      </c>
      <c r="M50" s="64" t="s">
        <v>41</v>
      </c>
      <c r="N50" s="64" t="s">
        <v>34</v>
      </c>
      <c r="O50" s="56" t="s">
        <v>42</v>
      </c>
      <c r="P50" s="52" t="s">
        <v>54</v>
      </c>
      <c r="Q50" s="1">
        <v>1</v>
      </c>
      <c r="R50" s="1">
        <v>6</v>
      </c>
    </row>
    <row r="51" spans="1:18" s="1" customFormat="1" ht="91.8">
      <c r="A51" s="79"/>
      <c r="B51" s="79"/>
      <c r="C51" s="73" t="s">
        <v>95</v>
      </c>
      <c r="D51" s="53" t="s">
        <v>96</v>
      </c>
      <c r="E51" s="15">
        <v>46236</v>
      </c>
      <c r="F51" s="15">
        <v>46341</v>
      </c>
      <c r="G51" s="54">
        <f>+F51-E51+1</f>
        <v>106</v>
      </c>
      <c r="H51" s="62"/>
      <c r="I51" s="9"/>
      <c r="J51" s="9"/>
      <c r="K51" s="64" t="s">
        <v>41</v>
      </c>
      <c r="L51" s="64" t="s">
        <v>41</v>
      </c>
      <c r="M51" s="64" t="s">
        <v>41</v>
      </c>
      <c r="N51" s="64" t="s">
        <v>41</v>
      </c>
      <c r="O51" s="64" t="s">
        <v>42</v>
      </c>
      <c r="P51" s="39" t="s">
        <v>59</v>
      </c>
      <c r="Q51" s="1">
        <v>1</v>
      </c>
      <c r="R51" s="1">
        <v>6</v>
      </c>
    </row>
    <row r="52" spans="1:18" s="1" customFormat="1" ht="40.799999999999997">
      <c r="A52" s="79"/>
      <c r="B52" s="79"/>
      <c r="C52" s="57" t="s">
        <v>97</v>
      </c>
      <c r="D52" s="18" t="s">
        <v>98</v>
      </c>
      <c r="E52" s="15">
        <v>46292</v>
      </c>
      <c r="F52" s="15">
        <v>46341</v>
      </c>
      <c r="G52" s="54">
        <f>+F52-E52+1</f>
        <v>50</v>
      </c>
      <c r="H52" s="62"/>
      <c r="I52" s="9"/>
      <c r="J52" s="9"/>
      <c r="K52" s="64" t="s">
        <v>41</v>
      </c>
      <c r="L52" s="64" t="s">
        <v>41</v>
      </c>
      <c r="M52" s="64" t="s">
        <v>41</v>
      </c>
      <c r="N52" s="64" t="s">
        <v>41</v>
      </c>
      <c r="O52" s="64" t="s">
        <v>42</v>
      </c>
      <c r="P52" s="39" t="s">
        <v>59</v>
      </c>
      <c r="Q52" s="1">
        <v>1</v>
      </c>
      <c r="R52" s="1">
        <v>6</v>
      </c>
    </row>
    <row r="53" spans="1:18" s="1" customFormat="1" ht="40.799999999999997">
      <c r="A53" s="79"/>
      <c r="B53" s="79"/>
      <c r="C53" s="57"/>
      <c r="D53" s="57" t="s">
        <v>99</v>
      </c>
      <c r="E53" s="15">
        <v>46304</v>
      </c>
      <c r="F53" s="15">
        <v>46341</v>
      </c>
      <c r="G53" s="54">
        <f>+F53-E53+1</f>
        <v>38</v>
      </c>
      <c r="H53" s="62"/>
      <c r="I53" s="9"/>
      <c r="J53" s="9"/>
      <c r="K53" s="64" t="s">
        <v>41</v>
      </c>
      <c r="L53" s="64" t="s">
        <v>41</v>
      </c>
      <c r="M53" s="64" t="s">
        <v>41</v>
      </c>
      <c r="N53" s="64" t="s">
        <v>41</v>
      </c>
      <c r="O53" s="64" t="s">
        <v>42</v>
      </c>
      <c r="P53" s="39" t="s">
        <v>59</v>
      </c>
      <c r="Q53" s="1">
        <v>1</v>
      </c>
      <c r="R53" s="1">
        <v>6</v>
      </c>
    </row>
    <row r="54" spans="1:18" s="1" customFormat="1" ht="20.399999999999999">
      <c r="A54" s="77" t="s">
        <v>100</v>
      </c>
      <c r="B54" s="24" t="s">
        <v>101</v>
      </c>
      <c r="C54" s="24"/>
      <c r="D54" s="25"/>
      <c r="E54" s="26"/>
      <c r="F54" s="43"/>
      <c r="G54" s="27"/>
      <c r="H54" s="44"/>
      <c r="I54" s="9"/>
      <c r="J54" s="9"/>
      <c r="K54" s="28"/>
      <c r="L54" s="28"/>
      <c r="M54" s="28"/>
      <c r="N54" s="28"/>
      <c r="O54" s="28"/>
      <c r="P54" s="35"/>
    </row>
    <row r="55" spans="1:18" s="1" customFormat="1" ht="51">
      <c r="A55" s="82"/>
      <c r="B55" s="79"/>
      <c r="C55" s="73" t="s">
        <v>102</v>
      </c>
      <c r="D55" s="18" t="s">
        <v>103</v>
      </c>
      <c r="E55" s="15">
        <v>46218</v>
      </c>
      <c r="F55" s="15">
        <v>46227</v>
      </c>
      <c r="G55" s="54">
        <f>+F55-E55+1</f>
        <v>10</v>
      </c>
      <c r="H55" s="62"/>
      <c r="I55" s="9"/>
      <c r="J55" s="9"/>
      <c r="K55" s="64" t="s">
        <v>41</v>
      </c>
      <c r="L55" s="64" t="s">
        <v>41</v>
      </c>
      <c r="M55" s="64" t="s">
        <v>41</v>
      </c>
      <c r="N55" s="64" t="s">
        <v>34</v>
      </c>
      <c r="O55" s="56" t="s">
        <v>42</v>
      </c>
      <c r="P55" s="52" t="s">
        <v>54</v>
      </c>
      <c r="Q55" s="1">
        <v>1</v>
      </c>
      <c r="R55" s="1">
        <v>7</v>
      </c>
    </row>
    <row r="56" spans="1:18" s="1" customFormat="1" ht="91.8">
      <c r="A56" s="79"/>
      <c r="B56" s="79"/>
      <c r="C56" s="73" t="s">
        <v>104</v>
      </c>
      <c r="D56" s="53" t="s">
        <v>105</v>
      </c>
      <c r="E56" s="15">
        <v>46223</v>
      </c>
      <c r="F56" s="15">
        <v>46249</v>
      </c>
      <c r="G56" s="54">
        <f>+F56-E56+1</f>
        <v>27</v>
      </c>
      <c r="H56" s="62"/>
      <c r="I56" s="9"/>
      <c r="J56" s="9"/>
      <c r="K56" s="64" t="s">
        <v>41</v>
      </c>
      <c r="L56" s="64" t="s">
        <v>41</v>
      </c>
      <c r="M56" s="64" t="s">
        <v>41</v>
      </c>
      <c r="N56" s="64" t="s">
        <v>41</v>
      </c>
      <c r="O56" s="64" t="s">
        <v>42</v>
      </c>
      <c r="P56" s="39" t="s">
        <v>59</v>
      </c>
      <c r="Q56" s="1">
        <v>1</v>
      </c>
      <c r="R56" s="1">
        <v>7</v>
      </c>
    </row>
    <row r="57" spans="1:18" s="1" customFormat="1" ht="40.799999999999997">
      <c r="A57" s="79"/>
      <c r="B57" s="79"/>
      <c r="C57" s="57" t="s">
        <v>106</v>
      </c>
      <c r="D57" s="57" t="s">
        <v>107</v>
      </c>
      <c r="E57" s="15">
        <v>46235</v>
      </c>
      <c r="F57" s="15">
        <v>46249</v>
      </c>
      <c r="G57" s="54">
        <f>+F57-E57+1</f>
        <v>15</v>
      </c>
      <c r="H57" s="62"/>
      <c r="I57" s="9"/>
      <c r="J57" s="9"/>
      <c r="K57" s="64" t="s">
        <v>41</v>
      </c>
      <c r="L57" s="64" t="s">
        <v>41</v>
      </c>
      <c r="M57" s="64" t="s">
        <v>41</v>
      </c>
      <c r="N57" s="64" t="s">
        <v>41</v>
      </c>
      <c r="O57" s="64" t="s">
        <v>42</v>
      </c>
      <c r="P57" s="39" t="s">
        <v>59</v>
      </c>
      <c r="Q57" s="1">
        <v>1</v>
      </c>
      <c r="R57" s="1">
        <v>7</v>
      </c>
    </row>
    <row r="58" spans="1:18" s="1" customFormat="1" ht="30.6">
      <c r="A58" s="77" t="s">
        <v>108</v>
      </c>
      <c r="B58" s="24" t="s">
        <v>109</v>
      </c>
      <c r="C58" s="24"/>
      <c r="D58" s="25"/>
      <c r="E58" s="26"/>
      <c r="F58" s="43"/>
      <c r="G58" s="27"/>
      <c r="H58" s="44"/>
      <c r="I58" s="9"/>
      <c r="J58" s="9"/>
      <c r="K58" s="28"/>
      <c r="L58" s="28"/>
      <c r="M58" s="28"/>
      <c r="N58" s="28"/>
      <c r="O58" s="28"/>
      <c r="P58" s="35"/>
    </row>
    <row r="59" spans="1:18" s="1" customFormat="1" ht="51">
      <c r="A59" s="82"/>
      <c r="B59" s="79"/>
      <c r="C59" s="83" t="s">
        <v>110</v>
      </c>
      <c r="D59" s="18" t="s">
        <v>111</v>
      </c>
      <c r="E59" s="15">
        <v>46235</v>
      </c>
      <c r="F59" s="15">
        <v>46271</v>
      </c>
      <c r="G59" s="54">
        <f>+F59-E59+1</f>
        <v>37</v>
      </c>
      <c r="H59" s="62"/>
      <c r="I59" s="9"/>
      <c r="J59" s="9"/>
      <c r="K59" s="64" t="s">
        <v>41</v>
      </c>
      <c r="L59" s="64" t="s">
        <v>41</v>
      </c>
      <c r="M59" s="64" t="s">
        <v>41</v>
      </c>
      <c r="N59" s="64" t="s">
        <v>34</v>
      </c>
      <c r="O59" s="56" t="s">
        <v>42</v>
      </c>
      <c r="P59" s="52" t="s">
        <v>54</v>
      </c>
      <c r="Q59" s="1">
        <v>1</v>
      </c>
      <c r="R59" s="1">
        <v>8</v>
      </c>
    </row>
    <row r="60" spans="1:18" s="1" customFormat="1" ht="91.8">
      <c r="A60" s="79"/>
      <c r="B60" s="79"/>
      <c r="C60" s="83" t="s">
        <v>112</v>
      </c>
      <c r="D60" s="53" t="s">
        <v>113</v>
      </c>
      <c r="E60" s="15">
        <v>46253</v>
      </c>
      <c r="F60" s="15">
        <v>46356</v>
      </c>
      <c r="G60" s="54">
        <f>+F60-E60+1</f>
        <v>104</v>
      </c>
      <c r="H60" s="62"/>
      <c r="I60" s="9"/>
      <c r="J60" s="9"/>
      <c r="K60" s="64" t="s">
        <v>41</v>
      </c>
      <c r="L60" s="64" t="s">
        <v>41</v>
      </c>
      <c r="M60" s="64" t="s">
        <v>41</v>
      </c>
      <c r="N60" s="64" t="s">
        <v>41</v>
      </c>
      <c r="O60" s="64" t="s">
        <v>42</v>
      </c>
      <c r="P60" s="39" t="s">
        <v>59</v>
      </c>
      <c r="Q60" s="1">
        <v>1</v>
      </c>
      <c r="R60" s="1">
        <v>8</v>
      </c>
    </row>
    <row r="61" spans="1:18" s="1" customFormat="1" ht="40.799999999999997">
      <c r="A61" s="79"/>
      <c r="B61" s="79"/>
      <c r="C61" s="53" t="s">
        <v>114</v>
      </c>
      <c r="D61" s="53" t="s">
        <v>115</v>
      </c>
      <c r="E61" s="15">
        <v>46235</v>
      </c>
      <c r="F61" s="15">
        <v>46271</v>
      </c>
      <c r="G61" s="54">
        <f>+F61-E61+1</f>
        <v>37</v>
      </c>
      <c r="H61" s="62"/>
      <c r="I61" s="9"/>
      <c r="J61" s="9"/>
      <c r="K61" s="64" t="s">
        <v>41</v>
      </c>
      <c r="L61" s="64" t="s">
        <v>41</v>
      </c>
      <c r="M61" s="64" t="s">
        <v>41</v>
      </c>
      <c r="N61" s="64" t="s">
        <v>41</v>
      </c>
      <c r="O61" s="64" t="s">
        <v>42</v>
      </c>
      <c r="P61" s="39" t="s">
        <v>59</v>
      </c>
      <c r="Q61" s="1">
        <v>1</v>
      </c>
      <c r="R61" s="1">
        <v>8</v>
      </c>
    </row>
    <row r="62" spans="1:18" s="1" customFormat="1" ht="13.8">
      <c r="A62" s="79"/>
      <c r="B62" s="79"/>
      <c r="C62" s="53"/>
      <c r="D62" s="18" t="s">
        <v>116</v>
      </c>
      <c r="E62" s="15">
        <v>46308</v>
      </c>
      <c r="F62" s="15">
        <v>46356</v>
      </c>
      <c r="G62" s="54">
        <f>+F62-E62+1</f>
        <v>49</v>
      </c>
      <c r="H62" s="62"/>
      <c r="I62" s="9"/>
      <c r="J62" s="9"/>
      <c r="K62" s="64" t="s">
        <v>41</v>
      </c>
      <c r="L62" s="64" t="s">
        <v>41</v>
      </c>
      <c r="M62" s="64" t="s">
        <v>41</v>
      </c>
      <c r="N62" s="64" t="s">
        <v>41</v>
      </c>
      <c r="O62" s="64" t="s">
        <v>42</v>
      </c>
      <c r="P62" s="39" t="s">
        <v>59</v>
      </c>
      <c r="Q62" s="1">
        <v>1</v>
      </c>
      <c r="R62" s="1">
        <v>8</v>
      </c>
    </row>
    <row r="63" spans="1:18" s="1" customFormat="1" ht="13.8">
      <c r="A63" s="79"/>
      <c r="B63" s="79"/>
      <c r="C63" s="53"/>
      <c r="D63" s="18" t="s">
        <v>117</v>
      </c>
      <c r="E63" s="15">
        <v>46320</v>
      </c>
      <c r="F63" s="15">
        <v>46356</v>
      </c>
      <c r="G63" s="54">
        <f>+F63-E63+1</f>
        <v>37</v>
      </c>
      <c r="H63" s="62"/>
      <c r="I63" s="9"/>
      <c r="J63" s="9"/>
      <c r="K63" s="64" t="s">
        <v>41</v>
      </c>
      <c r="L63" s="64" t="s">
        <v>41</v>
      </c>
      <c r="M63" s="64" t="s">
        <v>41</v>
      </c>
      <c r="N63" s="64" t="s">
        <v>41</v>
      </c>
      <c r="O63" s="64" t="s">
        <v>42</v>
      </c>
      <c r="P63" s="39" t="s">
        <v>59</v>
      </c>
      <c r="Q63" s="1">
        <v>1</v>
      </c>
      <c r="R63" s="1">
        <v>8</v>
      </c>
    </row>
    <row r="64" spans="1:18" s="1" customFormat="1">
      <c r="A64" s="84" t="s">
        <v>118</v>
      </c>
      <c r="B64" s="85" t="s">
        <v>119</v>
      </c>
      <c r="C64" s="46"/>
      <c r="D64" s="29"/>
      <c r="E64" s="30"/>
      <c r="F64" s="30"/>
      <c r="G64" s="30"/>
      <c r="H64" s="47"/>
      <c r="I64" s="9"/>
      <c r="J64" s="9"/>
      <c r="K64" s="31"/>
      <c r="L64" s="31"/>
      <c r="M64" s="31"/>
      <c r="N64" s="31"/>
      <c r="O64" s="55"/>
      <c r="P64" s="31"/>
    </row>
    <row r="65" spans="1:18" s="3" customFormat="1" ht="13.8">
      <c r="A65" s="38">
        <v>2</v>
      </c>
      <c r="B65" s="19" t="s">
        <v>120</v>
      </c>
      <c r="C65" s="19"/>
      <c r="D65" s="20"/>
      <c r="E65" s="21">
        <f>SMALL(E67:E91,1)</f>
        <v>46218</v>
      </c>
      <c r="F65" s="41">
        <f>LARGE(F67:F91,1)</f>
        <v>46477</v>
      </c>
      <c r="G65" s="22">
        <f>+F65-E65+1</f>
        <v>260</v>
      </c>
      <c r="H65" s="42"/>
      <c r="I65" s="9"/>
      <c r="J65" s="9"/>
      <c r="K65" s="23"/>
      <c r="L65" s="23"/>
      <c r="M65" s="23"/>
      <c r="N65" s="23"/>
      <c r="O65" s="23"/>
      <c r="P65" s="37"/>
    </row>
    <row r="66" spans="1:18" s="3" customFormat="1" ht="13.8">
      <c r="A66" s="77" t="s">
        <v>121</v>
      </c>
      <c r="B66" s="24" t="s">
        <v>122</v>
      </c>
      <c r="C66" s="24"/>
      <c r="D66" s="25"/>
      <c r="E66" s="26"/>
      <c r="F66" s="43"/>
      <c r="G66" s="27"/>
      <c r="H66" s="44"/>
      <c r="I66" s="9"/>
      <c r="J66" s="9"/>
      <c r="K66" s="28"/>
      <c r="L66" s="28"/>
      <c r="M66" s="28"/>
      <c r="N66" s="28"/>
      <c r="O66" s="28"/>
      <c r="P66" s="35"/>
    </row>
    <row r="67" spans="1:18" s="1" customFormat="1" ht="51">
      <c r="A67" s="82"/>
      <c r="B67" s="79"/>
      <c r="C67" s="73" t="s">
        <v>123</v>
      </c>
      <c r="D67" s="53" t="s">
        <v>124</v>
      </c>
      <c r="E67" s="15">
        <v>46218</v>
      </c>
      <c r="F67" s="15">
        <v>46241</v>
      </c>
      <c r="G67" s="54">
        <f>+F67-E67+1</f>
        <v>24</v>
      </c>
      <c r="H67" s="62"/>
      <c r="I67" s="9"/>
      <c r="J67" s="9"/>
      <c r="K67" s="64" t="s">
        <v>41</v>
      </c>
      <c r="L67" s="64" t="s">
        <v>41</v>
      </c>
      <c r="M67" s="64" t="s">
        <v>41</v>
      </c>
      <c r="N67" s="64" t="s">
        <v>41</v>
      </c>
      <c r="O67" s="56" t="s">
        <v>42</v>
      </c>
      <c r="P67" s="52" t="s">
        <v>59</v>
      </c>
      <c r="Q67" s="1">
        <v>2</v>
      </c>
      <c r="R67" s="1">
        <v>1</v>
      </c>
    </row>
    <row r="68" spans="1:18" s="1" customFormat="1" ht="91.8">
      <c r="A68" s="79"/>
      <c r="B68" s="79"/>
      <c r="C68" s="73" t="s">
        <v>125</v>
      </c>
      <c r="D68" s="53" t="s">
        <v>126</v>
      </c>
      <c r="E68" s="15">
        <v>46230</v>
      </c>
      <c r="F68" s="15">
        <v>46295</v>
      </c>
      <c r="G68" s="54">
        <f>+F68-E68+1</f>
        <v>66</v>
      </c>
      <c r="H68" s="62"/>
      <c r="I68" s="9"/>
      <c r="J68" s="9"/>
      <c r="K68" s="64" t="s">
        <v>41</v>
      </c>
      <c r="L68" s="64" t="s">
        <v>41</v>
      </c>
      <c r="M68" s="64" t="s">
        <v>41</v>
      </c>
      <c r="N68" s="64" t="s">
        <v>41</v>
      </c>
      <c r="O68" s="64" t="s">
        <v>42</v>
      </c>
      <c r="P68" s="52" t="s">
        <v>59</v>
      </c>
      <c r="Q68" s="1">
        <v>2</v>
      </c>
      <c r="R68" s="1">
        <v>1</v>
      </c>
    </row>
    <row r="69" spans="1:18" s="1" customFormat="1" ht="13.8">
      <c r="A69" s="79"/>
      <c r="B69" s="79"/>
      <c r="C69" s="86" t="s">
        <v>127</v>
      </c>
      <c r="D69" s="53" t="s">
        <v>128</v>
      </c>
      <c r="E69" s="15"/>
      <c r="F69" s="15"/>
      <c r="G69" s="54"/>
      <c r="H69" s="62"/>
      <c r="I69" s="9"/>
      <c r="J69" s="9"/>
      <c r="K69" s="64"/>
      <c r="L69" s="64"/>
      <c r="M69" s="64"/>
      <c r="N69" s="64"/>
      <c r="O69" s="64"/>
      <c r="P69" s="52"/>
    </row>
    <row r="70" spans="1:18" s="1" customFormat="1" ht="20.399999999999999">
      <c r="A70" s="79"/>
      <c r="B70" s="79"/>
      <c r="C70" s="86" t="s">
        <v>129</v>
      </c>
      <c r="D70" s="53" t="s">
        <v>130</v>
      </c>
      <c r="E70" s="15"/>
      <c r="F70" s="15"/>
      <c r="G70" s="54"/>
      <c r="H70" s="62"/>
      <c r="I70" s="9"/>
      <c r="J70" s="9"/>
      <c r="K70" s="64"/>
      <c r="L70" s="64"/>
      <c r="M70" s="64"/>
      <c r="N70" s="64"/>
      <c r="O70" s="64"/>
      <c r="P70" s="52"/>
    </row>
    <row r="71" spans="1:18" s="1" customFormat="1" ht="20.399999999999999">
      <c r="A71" s="79"/>
      <c r="B71" s="79"/>
      <c r="C71" s="86" t="s">
        <v>131</v>
      </c>
      <c r="D71" s="53" t="s">
        <v>132</v>
      </c>
      <c r="E71" s="15"/>
      <c r="F71" s="15"/>
      <c r="G71" s="54"/>
      <c r="H71" s="62"/>
      <c r="I71" s="9"/>
      <c r="J71" s="9"/>
      <c r="K71" s="64"/>
      <c r="L71" s="64"/>
      <c r="M71" s="64"/>
      <c r="N71" s="64"/>
      <c r="O71" s="64"/>
      <c r="P71" s="52"/>
    </row>
    <row r="72" spans="1:18" s="1" customFormat="1" ht="102">
      <c r="A72" s="79"/>
      <c r="B72" s="79"/>
      <c r="C72" s="87" t="s">
        <v>133</v>
      </c>
      <c r="D72" s="18" t="s">
        <v>134</v>
      </c>
      <c r="E72" s="15">
        <v>46264</v>
      </c>
      <c r="F72" s="15">
        <v>46295</v>
      </c>
      <c r="G72" s="54">
        <f>+F72-E72+1</f>
        <v>32</v>
      </c>
      <c r="H72" s="62"/>
      <c r="I72" s="9"/>
      <c r="J72" s="9"/>
      <c r="K72" s="64" t="s">
        <v>41</v>
      </c>
      <c r="L72" s="64" t="s">
        <v>41</v>
      </c>
      <c r="M72" s="64" t="s">
        <v>41</v>
      </c>
      <c r="N72" s="64" t="s">
        <v>41</v>
      </c>
      <c r="O72" s="56" t="s">
        <v>42</v>
      </c>
      <c r="P72" s="52" t="s">
        <v>59</v>
      </c>
      <c r="Q72" s="1">
        <v>2</v>
      </c>
      <c r="R72" s="1">
        <v>1</v>
      </c>
    </row>
    <row r="73" spans="1:18" s="1" customFormat="1">
      <c r="A73" s="77" t="s">
        <v>135</v>
      </c>
      <c r="B73" s="24" t="s">
        <v>136</v>
      </c>
      <c r="C73" s="24"/>
      <c r="D73" s="25"/>
      <c r="E73" s="26"/>
      <c r="F73" s="43"/>
      <c r="G73" s="27"/>
      <c r="H73" s="44"/>
      <c r="I73" s="9"/>
      <c r="J73" s="9"/>
      <c r="K73" s="28"/>
      <c r="L73" s="28"/>
      <c r="M73" s="28"/>
      <c r="N73" s="28"/>
      <c r="O73" s="28"/>
      <c r="P73" s="35"/>
    </row>
    <row r="74" spans="1:18" s="1" customFormat="1" ht="20.399999999999999">
      <c r="A74" s="78"/>
      <c r="B74" s="79"/>
      <c r="C74" s="87" t="s">
        <v>137</v>
      </c>
      <c r="D74" s="18" t="s">
        <v>138</v>
      </c>
      <c r="E74" s="15">
        <v>46295</v>
      </c>
      <c r="F74" s="15">
        <v>46314</v>
      </c>
      <c r="G74" s="54">
        <f>+F74-E74+1</f>
        <v>20</v>
      </c>
      <c r="H74" s="62"/>
      <c r="I74" s="9"/>
      <c r="J74" s="9"/>
      <c r="K74" s="64" t="s">
        <v>34</v>
      </c>
      <c r="L74" s="64" t="s">
        <v>41</v>
      </c>
      <c r="M74" s="64" t="s">
        <v>41</v>
      </c>
      <c r="N74" s="64" t="s">
        <v>34</v>
      </c>
      <c r="O74" s="56" t="s">
        <v>42</v>
      </c>
      <c r="P74" s="52" t="s">
        <v>139</v>
      </c>
      <c r="Q74" s="1">
        <v>2</v>
      </c>
      <c r="R74" s="1">
        <v>2</v>
      </c>
    </row>
    <row r="75" spans="1:18" s="1" customFormat="1" ht="20.399999999999999">
      <c r="A75" s="79"/>
      <c r="B75" s="79"/>
      <c r="C75" s="87" t="s">
        <v>140</v>
      </c>
      <c r="D75" s="18" t="s">
        <v>141</v>
      </c>
      <c r="E75" s="15">
        <v>46301</v>
      </c>
      <c r="F75" s="15">
        <v>46326</v>
      </c>
      <c r="G75" s="54">
        <f>+F75-E75+1</f>
        <v>26</v>
      </c>
      <c r="H75" s="62"/>
      <c r="I75" s="9"/>
      <c r="J75" s="9"/>
      <c r="K75" s="64" t="s">
        <v>34</v>
      </c>
      <c r="L75" s="64" t="s">
        <v>41</v>
      </c>
      <c r="M75" s="64" t="s">
        <v>41</v>
      </c>
      <c r="N75" s="64" t="s">
        <v>34</v>
      </c>
      <c r="O75" s="56" t="s">
        <v>42</v>
      </c>
      <c r="P75" s="52" t="s">
        <v>139</v>
      </c>
      <c r="Q75" s="1">
        <v>2</v>
      </c>
      <c r="R75" s="1">
        <v>2</v>
      </c>
    </row>
    <row r="76" spans="1:18" s="1" customFormat="1">
      <c r="A76" s="77" t="s">
        <v>142</v>
      </c>
      <c r="B76" s="24" t="s">
        <v>143</v>
      </c>
      <c r="C76" s="24"/>
      <c r="D76" s="25"/>
      <c r="E76" s="26"/>
      <c r="F76" s="43"/>
      <c r="G76" s="27"/>
      <c r="H76" s="44"/>
      <c r="I76" s="9"/>
      <c r="J76" s="9"/>
      <c r="K76" s="28"/>
      <c r="L76" s="28"/>
      <c r="M76" s="28"/>
      <c r="N76" s="28"/>
      <c r="O76" s="28"/>
      <c r="P76" s="35"/>
    </row>
    <row r="77" spans="1:18" s="1" customFormat="1" ht="20.399999999999999">
      <c r="A77" s="78"/>
      <c r="B77" s="79"/>
      <c r="C77" s="87" t="s">
        <v>144</v>
      </c>
      <c r="D77" s="53" t="s">
        <v>145</v>
      </c>
      <c r="E77" s="15">
        <v>46326</v>
      </c>
      <c r="F77" s="15">
        <v>46356</v>
      </c>
      <c r="G77" s="54">
        <f>+F77-E77+1</f>
        <v>31</v>
      </c>
      <c r="H77" s="62"/>
      <c r="I77" s="9"/>
      <c r="J77" s="9"/>
      <c r="K77" s="64" t="s">
        <v>41</v>
      </c>
      <c r="L77" s="64" t="s">
        <v>41</v>
      </c>
      <c r="M77" s="64" t="s">
        <v>41</v>
      </c>
      <c r="N77" s="64" t="s">
        <v>41</v>
      </c>
      <c r="O77" s="64" t="s">
        <v>42</v>
      </c>
      <c r="P77" s="39" t="s">
        <v>59</v>
      </c>
      <c r="Q77" s="1">
        <v>2</v>
      </c>
      <c r="R77" s="1">
        <v>3</v>
      </c>
    </row>
    <row r="78" spans="1:18" s="1" customFormat="1" ht="20.399999999999999">
      <c r="A78" s="79"/>
      <c r="B78" s="79"/>
      <c r="C78" s="87" t="s">
        <v>146</v>
      </c>
      <c r="D78" s="53" t="s">
        <v>147</v>
      </c>
      <c r="E78" s="15">
        <v>46326</v>
      </c>
      <c r="F78" s="15">
        <v>46356</v>
      </c>
      <c r="G78" s="54">
        <f>+F78-E78+1</f>
        <v>31</v>
      </c>
      <c r="H78" s="62"/>
      <c r="I78" s="9"/>
      <c r="J78" s="9"/>
      <c r="K78" s="64" t="s">
        <v>41</v>
      </c>
      <c r="L78" s="64" t="s">
        <v>41</v>
      </c>
      <c r="M78" s="64" t="s">
        <v>41</v>
      </c>
      <c r="N78" s="64" t="s">
        <v>41</v>
      </c>
      <c r="O78" s="64" t="s">
        <v>42</v>
      </c>
      <c r="P78" s="39" t="s">
        <v>59</v>
      </c>
      <c r="Q78" s="1">
        <v>2</v>
      </c>
      <c r="R78" s="1">
        <v>3</v>
      </c>
    </row>
    <row r="79" spans="1:18" s="1" customFormat="1">
      <c r="A79" s="77" t="s">
        <v>148</v>
      </c>
      <c r="B79" s="24" t="s">
        <v>149</v>
      </c>
      <c r="C79" s="24"/>
      <c r="D79" s="25"/>
      <c r="E79" s="26"/>
      <c r="F79" s="43"/>
      <c r="G79" s="27"/>
      <c r="H79" s="44"/>
      <c r="I79" s="9"/>
      <c r="J79" s="9"/>
      <c r="K79" s="28"/>
      <c r="L79" s="28"/>
      <c r="M79" s="28"/>
      <c r="N79" s="28"/>
      <c r="O79" s="28"/>
      <c r="P79" s="35"/>
    </row>
    <row r="80" spans="1:18" s="1" customFormat="1" ht="20.399999999999999">
      <c r="A80" s="76"/>
      <c r="B80" s="88"/>
      <c r="C80" s="73" t="s">
        <v>150</v>
      </c>
      <c r="D80" s="18" t="s">
        <v>151</v>
      </c>
      <c r="E80" s="15">
        <v>46325</v>
      </c>
      <c r="F80" s="15">
        <v>46343</v>
      </c>
      <c r="G80" s="54">
        <f>+F80-E80+1</f>
        <v>19</v>
      </c>
      <c r="H80" s="62"/>
      <c r="I80" s="9"/>
      <c r="J80" s="9"/>
      <c r="K80" s="64" t="s">
        <v>41</v>
      </c>
      <c r="L80" s="64" t="s">
        <v>41</v>
      </c>
      <c r="M80" s="64" t="s">
        <v>41</v>
      </c>
      <c r="N80" s="64" t="s">
        <v>34</v>
      </c>
      <c r="O80" s="56" t="s">
        <v>42</v>
      </c>
      <c r="P80" s="52" t="s">
        <v>54</v>
      </c>
      <c r="Q80" s="1">
        <v>2</v>
      </c>
      <c r="R80" s="1">
        <v>4</v>
      </c>
    </row>
    <row r="81" spans="1:18" s="1" customFormat="1" ht="51">
      <c r="A81" s="88"/>
      <c r="B81" s="88"/>
      <c r="C81" s="73" t="s">
        <v>152</v>
      </c>
      <c r="D81" s="18" t="s">
        <v>153</v>
      </c>
      <c r="E81" s="15">
        <v>46325</v>
      </c>
      <c r="F81" s="15">
        <v>46343</v>
      </c>
      <c r="G81" s="54">
        <f>+F81-E81+1</f>
        <v>19</v>
      </c>
      <c r="H81" s="62"/>
      <c r="I81" s="9"/>
      <c r="J81" s="9"/>
      <c r="K81" s="64"/>
      <c r="L81" s="64"/>
      <c r="M81" s="64"/>
      <c r="N81" s="64"/>
      <c r="O81" s="56"/>
      <c r="P81" s="52"/>
    </row>
    <row r="82" spans="1:18" s="1" customFormat="1" ht="91.8">
      <c r="A82" s="88"/>
      <c r="B82" s="88"/>
      <c r="C82" s="73" t="s">
        <v>154</v>
      </c>
      <c r="D82" s="53" t="s">
        <v>155</v>
      </c>
      <c r="E82" s="15">
        <v>46334</v>
      </c>
      <c r="F82" s="15">
        <v>46386</v>
      </c>
      <c r="G82" s="54">
        <f>+F82-E82+1</f>
        <v>53</v>
      </c>
      <c r="H82" s="62"/>
      <c r="I82" s="9"/>
      <c r="J82" s="9"/>
      <c r="K82" s="64" t="s">
        <v>41</v>
      </c>
      <c r="L82" s="64" t="s">
        <v>41</v>
      </c>
      <c r="M82" s="64" t="s">
        <v>41</v>
      </c>
      <c r="N82" s="64" t="s">
        <v>41</v>
      </c>
      <c r="O82" s="64" t="s">
        <v>42</v>
      </c>
      <c r="P82" s="39" t="s">
        <v>59</v>
      </c>
      <c r="Q82" s="1">
        <v>2</v>
      </c>
      <c r="R82" s="1">
        <v>4</v>
      </c>
    </row>
    <row r="83" spans="1:18" s="1" customFormat="1" ht="102">
      <c r="A83" s="88"/>
      <c r="B83" s="88"/>
      <c r="C83" s="48"/>
      <c r="D83" s="48" t="s">
        <v>156</v>
      </c>
      <c r="E83" s="15">
        <v>46362</v>
      </c>
      <c r="F83" s="15">
        <v>46386</v>
      </c>
      <c r="G83" s="54">
        <f>+F83-E83+1</f>
        <v>25</v>
      </c>
      <c r="H83" s="62"/>
      <c r="I83" s="9"/>
      <c r="J83" s="9"/>
      <c r="K83" s="64" t="s">
        <v>41</v>
      </c>
      <c r="L83" s="64" t="s">
        <v>41</v>
      </c>
      <c r="M83" s="64" t="s">
        <v>41</v>
      </c>
      <c r="N83" s="64" t="s">
        <v>41</v>
      </c>
      <c r="O83" s="64" t="s">
        <v>42</v>
      </c>
      <c r="P83" s="39" t="s">
        <v>59</v>
      </c>
      <c r="Q83" s="1">
        <v>2</v>
      </c>
      <c r="R83" s="1">
        <v>4</v>
      </c>
    </row>
    <row r="84" spans="1:18" s="1" customFormat="1">
      <c r="A84" s="77" t="s">
        <v>157</v>
      </c>
      <c r="B84" s="24" t="s">
        <v>143</v>
      </c>
      <c r="C84" s="24"/>
      <c r="D84" s="25"/>
      <c r="E84" s="26"/>
      <c r="F84" s="43"/>
      <c r="G84" s="27"/>
      <c r="H84" s="44"/>
      <c r="I84" s="9"/>
      <c r="J84" s="9"/>
      <c r="K84" s="28"/>
      <c r="L84" s="28"/>
      <c r="M84" s="28"/>
      <c r="N84" s="28"/>
      <c r="O84" s="28"/>
      <c r="P84" s="35"/>
    </row>
    <row r="85" spans="1:18" s="1" customFormat="1" ht="20.399999999999999">
      <c r="A85" s="78"/>
      <c r="B85" s="79"/>
      <c r="C85" s="87" t="s">
        <v>158</v>
      </c>
      <c r="D85" s="53" t="s">
        <v>159</v>
      </c>
      <c r="E85" s="15">
        <v>46386</v>
      </c>
      <c r="F85" s="15">
        <v>46417</v>
      </c>
      <c r="G85" s="54">
        <f>+F85-E85+1</f>
        <v>32</v>
      </c>
      <c r="H85" s="62"/>
      <c r="I85" s="9"/>
      <c r="J85" s="9"/>
      <c r="K85" s="64" t="s">
        <v>41</v>
      </c>
      <c r="L85" s="64" t="s">
        <v>41</v>
      </c>
      <c r="M85" s="64" t="s">
        <v>41</v>
      </c>
      <c r="N85" s="64" t="s">
        <v>41</v>
      </c>
      <c r="O85" s="64" t="s">
        <v>42</v>
      </c>
      <c r="P85" s="39" t="s">
        <v>59</v>
      </c>
      <c r="Q85" s="1">
        <v>2</v>
      </c>
      <c r="R85" s="1">
        <v>5</v>
      </c>
    </row>
    <row r="86" spans="1:18" s="1" customFormat="1" ht="61.2">
      <c r="A86" s="79"/>
      <c r="B86" s="79"/>
      <c r="C86" s="87" t="s">
        <v>160</v>
      </c>
      <c r="D86" s="53" t="s">
        <v>161</v>
      </c>
      <c r="E86" s="15">
        <v>46386</v>
      </c>
      <c r="F86" s="15">
        <v>46417</v>
      </c>
      <c r="G86" s="54">
        <f>+F86-E86+1</f>
        <v>32</v>
      </c>
      <c r="H86" s="62"/>
      <c r="I86" s="9"/>
      <c r="J86" s="9"/>
      <c r="K86" s="64" t="s">
        <v>41</v>
      </c>
      <c r="L86" s="64" t="s">
        <v>41</v>
      </c>
      <c r="M86" s="64" t="s">
        <v>41</v>
      </c>
      <c r="N86" s="64" t="s">
        <v>41</v>
      </c>
      <c r="O86" s="64" t="s">
        <v>42</v>
      </c>
      <c r="P86" s="39" t="s">
        <v>59</v>
      </c>
      <c r="Q86" s="1">
        <v>2</v>
      </c>
      <c r="R86" s="1">
        <v>5</v>
      </c>
    </row>
    <row r="87" spans="1:18" s="1" customFormat="1">
      <c r="A87" s="77" t="s">
        <v>162</v>
      </c>
      <c r="B87" s="24" t="s">
        <v>163</v>
      </c>
      <c r="C87" s="24"/>
      <c r="D87" s="25"/>
      <c r="E87" s="26"/>
      <c r="F87" s="43"/>
      <c r="G87" s="27"/>
      <c r="H87" s="44"/>
      <c r="I87" s="9"/>
      <c r="J87" s="9"/>
      <c r="K87" s="28"/>
      <c r="L87" s="28"/>
      <c r="M87" s="28"/>
      <c r="N87" s="28"/>
      <c r="O87" s="28"/>
      <c r="P87" s="35"/>
    </row>
    <row r="88" spans="1:18" s="1" customFormat="1" ht="91.8">
      <c r="A88" s="78"/>
      <c r="B88" s="79"/>
      <c r="C88" s="87" t="s">
        <v>164</v>
      </c>
      <c r="D88" s="18" t="s">
        <v>165</v>
      </c>
      <c r="E88" s="15">
        <v>46417</v>
      </c>
      <c r="F88" s="15">
        <v>46438</v>
      </c>
      <c r="G88" s="54">
        <f>+F88-E88+1</f>
        <v>22</v>
      </c>
      <c r="H88" s="62"/>
      <c r="I88" s="9"/>
      <c r="J88" s="9"/>
      <c r="K88" s="64" t="s">
        <v>41</v>
      </c>
      <c r="L88" s="64" t="s">
        <v>41</v>
      </c>
      <c r="M88" s="64" t="s">
        <v>41</v>
      </c>
      <c r="N88" s="64" t="s">
        <v>41</v>
      </c>
      <c r="O88" s="64" t="s">
        <v>42</v>
      </c>
      <c r="P88" s="39" t="s">
        <v>59</v>
      </c>
      <c r="Q88" s="1">
        <v>2</v>
      </c>
      <c r="R88" s="1">
        <v>6</v>
      </c>
    </row>
    <row r="89" spans="1:18" s="1" customFormat="1" ht="13.8">
      <c r="A89" s="79"/>
      <c r="B89" s="79"/>
      <c r="C89" s="87" t="s">
        <v>166</v>
      </c>
      <c r="D89" s="53" t="s">
        <v>167</v>
      </c>
      <c r="E89" s="15">
        <v>46429</v>
      </c>
      <c r="F89" s="15">
        <v>46477</v>
      </c>
      <c r="G89" s="54">
        <f>+F89-E89+1</f>
        <v>49</v>
      </c>
      <c r="H89" s="62"/>
      <c r="I89" s="9"/>
      <c r="J89" s="9"/>
      <c r="K89" s="64" t="s">
        <v>41</v>
      </c>
      <c r="L89" s="64" t="s">
        <v>41</v>
      </c>
      <c r="M89" s="64" t="s">
        <v>41</v>
      </c>
      <c r="N89" s="64" t="s">
        <v>41</v>
      </c>
      <c r="O89" s="64" t="s">
        <v>42</v>
      </c>
      <c r="P89" s="39" t="s">
        <v>59</v>
      </c>
      <c r="Q89" s="1">
        <v>2</v>
      </c>
      <c r="R89" s="1">
        <v>6</v>
      </c>
    </row>
    <row r="90" spans="1:18" s="1" customFormat="1" ht="20.399999999999999">
      <c r="A90" s="79"/>
      <c r="B90" s="79"/>
      <c r="C90" s="87" t="s">
        <v>168</v>
      </c>
      <c r="D90" s="18" t="s">
        <v>169</v>
      </c>
      <c r="E90" s="15">
        <v>46447</v>
      </c>
      <c r="F90" s="15">
        <v>46477</v>
      </c>
      <c r="G90" s="54">
        <f>+F90-E90+1</f>
        <v>31</v>
      </c>
      <c r="H90" s="62"/>
      <c r="I90" s="9"/>
      <c r="J90" s="9"/>
      <c r="K90" s="64" t="s">
        <v>41</v>
      </c>
      <c r="L90" s="64" t="s">
        <v>41</v>
      </c>
      <c r="M90" s="64" t="s">
        <v>41</v>
      </c>
      <c r="N90" s="64" t="s">
        <v>41</v>
      </c>
      <c r="O90" s="64" t="s">
        <v>42</v>
      </c>
      <c r="P90" s="39" t="s">
        <v>59</v>
      </c>
      <c r="Q90" s="1">
        <v>2</v>
      </c>
      <c r="R90" s="1">
        <v>6</v>
      </c>
    </row>
    <row r="91" spans="1:18" s="1" customFormat="1">
      <c r="A91" s="84" t="s">
        <v>170</v>
      </c>
      <c r="B91" s="85" t="s">
        <v>119</v>
      </c>
      <c r="C91" s="46"/>
      <c r="D91" s="29"/>
      <c r="E91" s="30"/>
      <c r="F91" s="30"/>
      <c r="G91" s="30"/>
      <c r="H91" s="47"/>
      <c r="I91" s="9"/>
      <c r="J91" s="9"/>
      <c r="K91" s="31"/>
      <c r="L91" s="31"/>
      <c r="M91" s="31"/>
      <c r="N91" s="31"/>
      <c r="O91" s="55"/>
      <c r="P91" s="31"/>
    </row>
    <row r="92" spans="1:18" s="3" customFormat="1" ht="13.8">
      <c r="A92" s="38">
        <v>3</v>
      </c>
      <c r="B92" s="19" t="s">
        <v>171</v>
      </c>
      <c r="C92" s="19"/>
      <c r="D92" s="20"/>
      <c r="E92" s="21">
        <f>SMALL(E94:E109,1)</f>
        <v>46326</v>
      </c>
      <c r="F92" s="41">
        <f>LARGE(F94:F109,1)</f>
        <v>46599</v>
      </c>
      <c r="G92" s="22">
        <f>+F92-E92+1</f>
        <v>274</v>
      </c>
      <c r="H92" s="42"/>
      <c r="I92" s="9"/>
      <c r="J92" s="9"/>
      <c r="K92" s="23"/>
      <c r="L92" s="23"/>
      <c r="M92" s="23"/>
      <c r="N92" s="23"/>
      <c r="O92" s="23"/>
      <c r="P92" s="37"/>
    </row>
    <row r="93" spans="1:18" s="3" customFormat="1" ht="13.8">
      <c r="A93" s="77" t="s">
        <v>172</v>
      </c>
      <c r="B93" s="24" t="s">
        <v>173</v>
      </c>
      <c r="C93" s="24"/>
      <c r="D93" s="25"/>
      <c r="E93" s="26"/>
      <c r="F93" s="43"/>
      <c r="G93" s="27"/>
      <c r="H93" s="44"/>
      <c r="I93" s="9"/>
      <c r="J93" s="9"/>
      <c r="K93" s="28"/>
      <c r="L93" s="28"/>
      <c r="M93" s="28"/>
      <c r="N93" s="28"/>
      <c r="O93" s="28"/>
      <c r="P93" s="35"/>
    </row>
    <row r="94" spans="1:18" s="4" customFormat="1" ht="20.399999999999999">
      <c r="A94" s="78"/>
      <c r="B94" s="79"/>
      <c r="C94" s="87" t="s">
        <v>174</v>
      </c>
      <c r="D94" s="53" t="s">
        <v>175</v>
      </c>
      <c r="E94" s="15">
        <v>46326</v>
      </c>
      <c r="F94" s="15">
        <v>46462</v>
      </c>
      <c r="G94" s="54">
        <f t="shared" ref="G94:G108" si="2">+F94-E94+1</f>
        <v>137</v>
      </c>
      <c r="H94" s="49"/>
      <c r="I94" s="9"/>
      <c r="J94" s="9"/>
      <c r="K94" s="64" t="s">
        <v>41</v>
      </c>
      <c r="L94" s="64" t="s">
        <v>41</v>
      </c>
      <c r="M94" s="64" t="s">
        <v>41</v>
      </c>
      <c r="N94" s="64" t="s">
        <v>41</v>
      </c>
      <c r="O94" s="64" t="s">
        <v>42</v>
      </c>
      <c r="P94" s="39" t="s">
        <v>59</v>
      </c>
      <c r="Q94" s="4">
        <v>3</v>
      </c>
      <c r="R94" s="4">
        <v>1</v>
      </c>
    </row>
    <row r="95" spans="1:18" s="4" customFormat="1" ht="20.399999999999999">
      <c r="A95" s="79"/>
      <c r="B95" s="79"/>
      <c r="C95" s="87" t="s">
        <v>176</v>
      </c>
      <c r="D95" s="53" t="s">
        <v>177</v>
      </c>
      <c r="E95" s="15">
        <v>46517</v>
      </c>
      <c r="F95" s="15">
        <v>46599</v>
      </c>
      <c r="G95" s="54">
        <f t="shared" si="2"/>
        <v>83</v>
      </c>
      <c r="H95" s="49"/>
      <c r="I95" s="9"/>
      <c r="J95" s="9"/>
      <c r="K95" s="64" t="s">
        <v>41</v>
      </c>
      <c r="L95" s="64" t="s">
        <v>41</v>
      </c>
      <c r="M95" s="64" t="s">
        <v>41</v>
      </c>
      <c r="N95" s="64" t="s">
        <v>41</v>
      </c>
      <c r="O95" s="64" t="s">
        <v>42</v>
      </c>
      <c r="P95" s="39" t="s">
        <v>59</v>
      </c>
      <c r="Q95" s="4">
        <v>3</v>
      </c>
      <c r="R95" s="4">
        <v>1</v>
      </c>
    </row>
    <row r="96" spans="1:18" s="4" customFormat="1" ht="13.8">
      <c r="A96" s="79"/>
      <c r="B96" s="79"/>
      <c r="C96" s="87" t="s">
        <v>178</v>
      </c>
      <c r="D96" s="53" t="s">
        <v>179</v>
      </c>
      <c r="E96" s="15">
        <v>46353</v>
      </c>
      <c r="F96" s="15">
        <v>46389</v>
      </c>
      <c r="G96" s="54">
        <f t="shared" si="2"/>
        <v>37</v>
      </c>
      <c r="H96" s="49"/>
      <c r="I96" s="9"/>
      <c r="J96" s="9"/>
      <c r="K96" s="64" t="s">
        <v>41</v>
      </c>
      <c r="L96" s="64" t="s">
        <v>41</v>
      </c>
      <c r="M96" s="64" t="s">
        <v>41</v>
      </c>
      <c r="N96" s="64" t="s">
        <v>41</v>
      </c>
      <c r="O96" s="64" t="s">
        <v>42</v>
      </c>
      <c r="P96" s="39" t="s">
        <v>59</v>
      </c>
      <c r="Q96" s="4">
        <v>3</v>
      </c>
      <c r="R96" s="4">
        <v>1</v>
      </c>
    </row>
    <row r="97" spans="1:18" s="4" customFormat="1" ht="20.399999999999999">
      <c r="A97" s="79"/>
      <c r="B97" s="79"/>
      <c r="C97" s="87" t="s">
        <v>180</v>
      </c>
      <c r="D97" s="53" t="s">
        <v>181</v>
      </c>
      <c r="E97" s="15">
        <v>46367</v>
      </c>
      <c r="F97" s="15">
        <v>46410</v>
      </c>
      <c r="G97" s="54">
        <f t="shared" si="2"/>
        <v>44</v>
      </c>
      <c r="H97" s="49"/>
      <c r="I97" s="9"/>
      <c r="J97" s="9"/>
      <c r="K97" s="64" t="s">
        <v>41</v>
      </c>
      <c r="L97" s="64" t="s">
        <v>41</v>
      </c>
      <c r="M97" s="64" t="s">
        <v>41</v>
      </c>
      <c r="N97" s="64" t="s">
        <v>41</v>
      </c>
      <c r="O97" s="64" t="s">
        <v>42</v>
      </c>
      <c r="P97" s="39" t="s">
        <v>59</v>
      </c>
      <c r="Q97" s="4">
        <v>3</v>
      </c>
      <c r="R97" s="4">
        <v>1</v>
      </c>
    </row>
    <row r="98" spans="1:18" s="4" customFormat="1" ht="13.8">
      <c r="A98" s="79"/>
      <c r="B98" s="79"/>
      <c r="C98" s="87" t="s">
        <v>182</v>
      </c>
      <c r="D98" s="53" t="s">
        <v>183</v>
      </c>
      <c r="E98" s="15">
        <v>46381</v>
      </c>
      <c r="F98" s="15">
        <v>46599</v>
      </c>
      <c r="G98" s="54">
        <f t="shared" si="2"/>
        <v>219</v>
      </c>
      <c r="H98" s="49"/>
      <c r="I98" s="9"/>
      <c r="J98" s="9"/>
      <c r="K98" s="64" t="s">
        <v>41</v>
      </c>
      <c r="L98" s="64" t="s">
        <v>41</v>
      </c>
      <c r="M98" s="64" t="s">
        <v>41</v>
      </c>
      <c r="N98" s="64" t="s">
        <v>41</v>
      </c>
      <c r="O98" s="64" t="s">
        <v>42</v>
      </c>
      <c r="P98" s="39" t="s">
        <v>59</v>
      </c>
      <c r="Q98" s="4">
        <v>3</v>
      </c>
      <c r="R98" s="4">
        <v>1</v>
      </c>
    </row>
    <row r="99" spans="1:18" s="4" customFormat="1" ht="20.399999999999999">
      <c r="A99" s="79"/>
      <c r="B99" s="79"/>
      <c r="C99" s="87" t="s">
        <v>184</v>
      </c>
      <c r="D99" s="53" t="s">
        <v>185</v>
      </c>
      <c r="E99" s="15">
        <v>46381</v>
      </c>
      <c r="F99" s="15">
        <v>46599</v>
      </c>
      <c r="G99" s="54">
        <f t="shared" si="2"/>
        <v>219</v>
      </c>
      <c r="H99" s="49"/>
      <c r="I99" s="9"/>
      <c r="J99" s="9"/>
      <c r="K99" s="64" t="s">
        <v>41</v>
      </c>
      <c r="L99" s="64" t="s">
        <v>41</v>
      </c>
      <c r="M99" s="64" t="s">
        <v>41</v>
      </c>
      <c r="N99" s="64" t="s">
        <v>41</v>
      </c>
      <c r="O99" s="64" t="s">
        <v>42</v>
      </c>
      <c r="P99" s="39" t="s">
        <v>59</v>
      </c>
      <c r="Q99" s="4">
        <v>3</v>
      </c>
      <c r="R99" s="4">
        <v>1</v>
      </c>
    </row>
    <row r="100" spans="1:18" s="4" customFormat="1" ht="20.399999999999999">
      <c r="A100" s="79"/>
      <c r="B100" s="79"/>
      <c r="C100" s="87" t="s">
        <v>186</v>
      </c>
      <c r="D100" s="53" t="s">
        <v>187</v>
      </c>
      <c r="E100" s="15">
        <v>46408</v>
      </c>
      <c r="F100" s="15">
        <v>46473</v>
      </c>
      <c r="G100" s="54">
        <f t="shared" si="2"/>
        <v>66</v>
      </c>
      <c r="H100" s="49"/>
      <c r="I100" s="9"/>
      <c r="J100" s="9"/>
      <c r="K100" s="64" t="s">
        <v>34</v>
      </c>
      <c r="L100" s="64" t="s">
        <v>41</v>
      </c>
      <c r="M100" s="64" t="s">
        <v>41</v>
      </c>
      <c r="N100" s="64" t="s">
        <v>34</v>
      </c>
      <c r="O100" s="56" t="s">
        <v>42</v>
      </c>
      <c r="P100" s="52" t="s">
        <v>139</v>
      </c>
      <c r="Q100" s="4">
        <v>3</v>
      </c>
      <c r="R100" s="4">
        <v>1</v>
      </c>
    </row>
    <row r="101" spans="1:18" s="4" customFormat="1" ht="20.399999999999999">
      <c r="A101" s="79"/>
      <c r="B101" s="79"/>
      <c r="C101" s="87" t="s">
        <v>188</v>
      </c>
      <c r="D101" s="53" t="s">
        <v>189</v>
      </c>
      <c r="E101" s="15">
        <v>46490</v>
      </c>
      <c r="F101" s="15">
        <v>46599</v>
      </c>
      <c r="G101" s="54">
        <f t="shared" si="2"/>
        <v>110</v>
      </c>
      <c r="H101" s="49"/>
      <c r="I101" s="9"/>
      <c r="J101" s="9"/>
      <c r="K101" s="64" t="s">
        <v>41</v>
      </c>
      <c r="L101" s="64" t="s">
        <v>41</v>
      </c>
      <c r="M101" s="64" t="s">
        <v>41</v>
      </c>
      <c r="N101" s="64" t="s">
        <v>41</v>
      </c>
      <c r="O101" s="64" t="s">
        <v>42</v>
      </c>
      <c r="P101" s="39" t="s">
        <v>59</v>
      </c>
      <c r="Q101" s="4">
        <v>3</v>
      </c>
      <c r="R101" s="4">
        <v>1</v>
      </c>
    </row>
    <row r="102" spans="1:18" s="4" customFormat="1" ht="30.6">
      <c r="A102" s="79"/>
      <c r="B102" s="79"/>
      <c r="C102" s="87" t="s">
        <v>190</v>
      </c>
      <c r="D102" s="53" t="s">
        <v>191</v>
      </c>
      <c r="E102" s="15">
        <v>46435</v>
      </c>
      <c r="F102" s="15">
        <v>46514</v>
      </c>
      <c r="G102" s="54">
        <f t="shared" si="2"/>
        <v>80</v>
      </c>
      <c r="H102" s="49"/>
      <c r="I102" s="9"/>
      <c r="J102" s="9"/>
      <c r="K102" s="64" t="s">
        <v>41</v>
      </c>
      <c r="L102" s="64" t="s">
        <v>41</v>
      </c>
      <c r="M102" s="64" t="s">
        <v>41</v>
      </c>
      <c r="N102" s="64" t="s">
        <v>41</v>
      </c>
      <c r="O102" s="64" t="s">
        <v>42</v>
      </c>
      <c r="P102" s="39" t="s">
        <v>59</v>
      </c>
      <c r="Q102" s="4">
        <v>3</v>
      </c>
      <c r="R102" s="4">
        <v>1</v>
      </c>
    </row>
    <row r="103" spans="1:18" s="4" customFormat="1" ht="20.399999999999999">
      <c r="A103" s="79"/>
      <c r="B103" s="79"/>
      <c r="C103" s="87" t="s">
        <v>192</v>
      </c>
      <c r="D103" s="53" t="s">
        <v>193</v>
      </c>
      <c r="E103" s="15">
        <v>46381</v>
      </c>
      <c r="F103" s="15">
        <v>46599</v>
      </c>
      <c r="G103" s="54">
        <f t="shared" si="2"/>
        <v>219</v>
      </c>
      <c r="H103" s="49"/>
      <c r="I103" s="9"/>
      <c r="J103" s="9"/>
      <c r="K103" s="64" t="s">
        <v>34</v>
      </c>
      <c r="L103" s="64" t="s">
        <v>41</v>
      </c>
      <c r="M103" s="64" t="s">
        <v>41</v>
      </c>
      <c r="N103" s="64" t="s">
        <v>41</v>
      </c>
      <c r="O103" s="64" t="s">
        <v>42</v>
      </c>
      <c r="P103" s="52" t="s">
        <v>194</v>
      </c>
      <c r="Q103" s="4">
        <v>3</v>
      </c>
      <c r="R103" s="4">
        <v>1</v>
      </c>
    </row>
    <row r="104" spans="1:18" s="4" customFormat="1" ht="51">
      <c r="A104" s="79"/>
      <c r="B104" s="79"/>
      <c r="C104" s="73" t="s">
        <v>195</v>
      </c>
      <c r="D104" s="18" t="s">
        <v>196</v>
      </c>
      <c r="E104" s="15">
        <v>46326</v>
      </c>
      <c r="F104" s="15">
        <v>46408</v>
      </c>
      <c r="G104" s="54">
        <f t="shared" si="2"/>
        <v>83</v>
      </c>
      <c r="H104" s="49"/>
      <c r="I104" s="9"/>
      <c r="J104" s="9"/>
      <c r="K104" s="64" t="s">
        <v>41</v>
      </c>
      <c r="L104" s="64" t="s">
        <v>41</v>
      </c>
      <c r="M104" s="64" t="s">
        <v>41</v>
      </c>
      <c r="N104" s="64" t="s">
        <v>34</v>
      </c>
      <c r="O104" s="56" t="s">
        <v>42</v>
      </c>
      <c r="P104" s="52" t="s">
        <v>54</v>
      </c>
      <c r="Q104" s="4">
        <v>3</v>
      </c>
      <c r="R104" s="4">
        <v>1</v>
      </c>
    </row>
    <row r="105" spans="1:18" s="4" customFormat="1" ht="91.8">
      <c r="A105" s="79"/>
      <c r="B105" s="79"/>
      <c r="C105" s="73" t="s">
        <v>197</v>
      </c>
      <c r="D105" s="53" t="s">
        <v>198</v>
      </c>
      <c r="E105" s="15">
        <v>46367</v>
      </c>
      <c r="F105" s="15">
        <v>46599</v>
      </c>
      <c r="G105" s="54">
        <f t="shared" si="2"/>
        <v>233</v>
      </c>
      <c r="H105" s="49"/>
      <c r="I105" s="9"/>
      <c r="J105" s="9"/>
      <c r="K105" s="64" t="s">
        <v>41</v>
      </c>
      <c r="L105" s="64" t="s">
        <v>41</v>
      </c>
      <c r="M105" s="64" t="s">
        <v>41</v>
      </c>
      <c r="N105" s="64" t="s">
        <v>41</v>
      </c>
      <c r="O105" s="64" t="s">
        <v>42</v>
      </c>
      <c r="P105" s="39" t="s">
        <v>59</v>
      </c>
      <c r="Q105" s="4">
        <v>3</v>
      </c>
      <c r="R105" s="4">
        <v>1</v>
      </c>
    </row>
    <row r="106" spans="1:18" s="4" customFormat="1" ht="13.8">
      <c r="A106" s="79"/>
      <c r="B106" s="79"/>
      <c r="C106" s="89"/>
      <c r="D106" s="89" t="s">
        <v>199</v>
      </c>
      <c r="E106" s="15">
        <v>46490</v>
      </c>
      <c r="F106" s="15">
        <v>46598</v>
      </c>
      <c r="G106" s="54">
        <f t="shared" si="2"/>
        <v>109</v>
      </c>
      <c r="H106" s="49"/>
      <c r="I106" s="9"/>
      <c r="J106" s="9"/>
      <c r="K106" s="64" t="s">
        <v>34</v>
      </c>
      <c r="L106" s="64" t="s">
        <v>41</v>
      </c>
      <c r="M106" s="64" t="s">
        <v>41</v>
      </c>
      <c r="N106" s="64" t="s">
        <v>41</v>
      </c>
      <c r="O106" s="64" t="s">
        <v>42</v>
      </c>
      <c r="P106" s="52" t="s">
        <v>194</v>
      </c>
      <c r="Q106" s="4">
        <v>3</v>
      </c>
      <c r="R106" s="4">
        <v>1</v>
      </c>
    </row>
    <row r="107" spans="1:18" s="4" customFormat="1" ht="13.8">
      <c r="A107" s="79"/>
      <c r="B107" s="79"/>
      <c r="C107" s="57"/>
      <c r="D107" s="53" t="s">
        <v>200</v>
      </c>
      <c r="E107" s="15">
        <v>46503</v>
      </c>
      <c r="F107" s="15">
        <v>46599</v>
      </c>
      <c r="G107" s="54">
        <f t="shared" si="2"/>
        <v>97</v>
      </c>
      <c r="H107" s="49"/>
      <c r="I107" s="9"/>
      <c r="J107" s="9"/>
      <c r="K107" s="64" t="s">
        <v>41</v>
      </c>
      <c r="L107" s="64" t="s">
        <v>41</v>
      </c>
      <c r="M107" s="64" t="s">
        <v>41</v>
      </c>
      <c r="N107" s="64" t="s">
        <v>41</v>
      </c>
      <c r="O107" s="64" t="s">
        <v>42</v>
      </c>
      <c r="P107" s="39" t="s">
        <v>59</v>
      </c>
      <c r="Q107" s="4">
        <v>3</v>
      </c>
      <c r="R107" s="4">
        <v>1</v>
      </c>
    </row>
    <row r="108" spans="1:18" s="4" customFormat="1" ht="13.8">
      <c r="A108" s="79"/>
      <c r="B108" s="79"/>
      <c r="C108" s="57"/>
      <c r="D108" s="53" t="s">
        <v>201</v>
      </c>
      <c r="E108" s="15">
        <v>46517</v>
      </c>
      <c r="F108" s="15">
        <v>46599</v>
      </c>
      <c r="G108" s="54">
        <f t="shared" si="2"/>
        <v>83</v>
      </c>
      <c r="H108" s="49"/>
      <c r="I108" s="9"/>
      <c r="J108" s="9"/>
      <c r="K108" s="64" t="s">
        <v>41</v>
      </c>
      <c r="L108" s="64" t="s">
        <v>41</v>
      </c>
      <c r="M108" s="64" t="s">
        <v>41</v>
      </c>
      <c r="N108" s="64" t="s">
        <v>41</v>
      </c>
      <c r="O108" s="64" t="s">
        <v>42</v>
      </c>
      <c r="P108" s="39" t="s">
        <v>59</v>
      </c>
      <c r="Q108" s="4">
        <v>3</v>
      </c>
      <c r="R108" s="4">
        <v>1</v>
      </c>
    </row>
    <row r="109" spans="1:18" s="1" customFormat="1">
      <c r="A109" s="84" t="s">
        <v>202</v>
      </c>
      <c r="B109" s="85" t="s">
        <v>119</v>
      </c>
      <c r="C109" s="46"/>
      <c r="D109" s="32"/>
      <c r="E109" s="30"/>
      <c r="F109" s="30"/>
      <c r="G109" s="30"/>
      <c r="H109" s="47"/>
      <c r="I109" s="9"/>
      <c r="J109" s="9"/>
      <c r="K109" s="33"/>
      <c r="L109" s="33"/>
      <c r="M109" s="33"/>
      <c r="N109" s="33"/>
      <c r="O109" s="55"/>
      <c r="P109" s="31"/>
    </row>
    <row r="110" spans="1:18" s="5" customFormat="1">
      <c r="A110" s="38">
        <v>4</v>
      </c>
      <c r="B110" s="19" t="s">
        <v>203</v>
      </c>
      <c r="C110" s="19"/>
      <c r="D110" s="20"/>
      <c r="E110" s="21">
        <f>SMALL(E112:E157,1)</f>
        <v>46341</v>
      </c>
      <c r="F110" s="41">
        <f>LARGE(F112:F157,1)</f>
        <v>46660</v>
      </c>
      <c r="G110" s="22">
        <f>+F110-E110+1</f>
        <v>320</v>
      </c>
      <c r="H110" s="42"/>
      <c r="I110" s="9"/>
      <c r="J110" s="9"/>
      <c r="K110" s="23"/>
      <c r="L110" s="23"/>
      <c r="M110" s="23"/>
      <c r="N110" s="23"/>
      <c r="O110" s="23"/>
      <c r="P110" s="37"/>
    </row>
    <row r="111" spans="1:18" s="5" customFormat="1">
      <c r="A111" s="77" t="s">
        <v>204</v>
      </c>
      <c r="B111" s="24" t="s">
        <v>205</v>
      </c>
      <c r="C111" s="24"/>
      <c r="D111" s="25"/>
      <c r="E111" s="26"/>
      <c r="F111" s="43"/>
      <c r="G111" s="27"/>
      <c r="H111" s="44"/>
      <c r="I111" s="9"/>
      <c r="J111" s="9"/>
      <c r="K111" s="28"/>
      <c r="L111" s="28"/>
      <c r="M111" s="28"/>
      <c r="N111" s="28"/>
      <c r="O111" s="28"/>
      <c r="P111" s="35"/>
    </row>
    <row r="112" spans="1:18" s="1" customFormat="1" ht="51">
      <c r="A112" s="78"/>
      <c r="B112" s="79"/>
      <c r="C112" s="73" t="s">
        <v>206</v>
      </c>
      <c r="D112" s="18" t="s">
        <v>207</v>
      </c>
      <c r="E112" s="15">
        <v>46477</v>
      </c>
      <c r="F112" s="15">
        <v>46532</v>
      </c>
      <c r="G112" s="54">
        <f>+F112-E112+1</f>
        <v>56</v>
      </c>
      <c r="H112" s="62"/>
      <c r="I112" s="9"/>
      <c r="J112" s="9"/>
      <c r="K112" s="64"/>
      <c r="L112" s="64"/>
      <c r="M112" s="64"/>
      <c r="N112" s="64"/>
      <c r="O112" s="56"/>
      <c r="P112" s="52"/>
    </row>
    <row r="113" spans="1:18" s="1" customFormat="1" ht="91.8">
      <c r="A113" s="79"/>
      <c r="B113" s="79"/>
      <c r="C113" s="73" t="s">
        <v>208</v>
      </c>
      <c r="D113" s="53" t="s">
        <v>209</v>
      </c>
      <c r="E113" s="15">
        <v>46504</v>
      </c>
      <c r="F113" s="15">
        <v>46660</v>
      </c>
      <c r="G113" s="54">
        <f>+F113-E113+1</f>
        <v>157</v>
      </c>
      <c r="H113" s="62"/>
      <c r="I113" s="9"/>
      <c r="J113" s="9"/>
      <c r="K113" s="64" t="s">
        <v>41</v>
      </c>
      <c r="L113" s="64" t="s">
        <v>41</v>
      </c>
      <c r="M113" s="64" t="s">
        <v>41</v>
      </c>
      <c r="N113" s="64" t="s">
        <v>41</v>
      </c>
      <c r="O113" s="64" t="s">
        <v>42</v>
      </c>
      <c r="P113" s="39" t="s">
        <v>59</v>
      </c>
      <c r="Q113" s="1">
        <v>4</v>
      </c>
      <c r="R113" s="1">
        <v>1</v>
      </c>
    </row>
    <row r="114" spans="1:18" s="1" customFormat="1" ht="51">
      <c r="A114" s="79"/>
      <c r="B114" s="79"/>
      <c r="C114" s="87" t="s">
        <v>210</v>
      </c>
      <c r="D114" s="57" t="s">
        <v>211</v>
      </c>
      <c r="E114" s="15">
        <v>46569</v>
      </c>
      <c r="F114" s="15">
        <v>46652</v>
      </c>
      <c r="G114" s="54">
        <f>+F114-E114+1</f>
        <v>84</v>
      </c>
      <c r="H114" s="62"/>
      <c r="I114" s="9"/>
      <c r="J114" s="9"/>
      <c r="K114" s="64" t="s">
        <v>41</v>
      </c>
      <c r="L114" s="64" t="s">
        <v>41</v>
      </c>
      <c r="M114" s="64" t="s">
        <v>41</v>
      </c>
      <c r="N114" s="64" t="s">
        <v>41</v>
      </c>
      <c r="O114" s="64" t="s">
        <v>42</v>
      </c>
      <c r="P114" s="52" t="s">
        <v>59</v>
      </c>
      <c r="Q114" s="1">
        <v>4</v>
      </c>
      <c r="R114" s="1">
        <v>1</v>
      </c>
    </row>
    <row r="115" spans="1:18" s="1" customFormat="1" ht="20.399999999999999">
      <c r="A115" s="77" t="s">
        <v>212</v>
      </c>
      <c r="B115" s="24" t="s">
        <v>213</v>
      </c>
      <c r="C115" s="24"/>
      <c r="D115" s="25"/>
      <c r="E115" s="26"/>
      <c r="F115" s="43"/>
      <c r="G115" s="27"/>
      <c r="H115" s="44"/>
      <c r="I115" s="9"/>
      <c r="J115" s="9"/>
      <c r="K115" s="28"/>
      <c r="L115" s="28"/>
      <c r="M115" s="28"/>
      <c r="N115" s="28"/>
      <c r="O115" s="28"/>
      <c r="P115" s="35"/>
    </row>
    <row r="116" spans="1:18" s="1" customFormat="1" ht="51">
      <c r="A116" s="78"/>
      <c r="B116" s="79"/>
      <c r="C116" s="73" t="s">
        <v>214</v>
      </c>
      <c r="D116" s="18" t="s">
        <v>215</v>
      </c>
      <c r="E116" s="15">
        <v>46477</v>
      </c>
      <c r="F116" s="15">
        <v>46532</v>
      </c>
      <c r="G116" s="54">
        <f>+F116-E116+1</f>
        <v>56</v>
      </c>
      <c r="H116" s="62"/>
      <c r="I116" s="9"/>
      <c r="J116" s="9"/>
      <c r="K116" s="64" t="s">
        <v>41</v>
      </c>
      <c r="L116" s="64" t="s">
        <v>41</v>
      </c>
      <c r="M116" s="64" t="s">
        <v>41</v>
      </c>
      <c r="N116" s="64" t="s">
        <v>34</v>
      </c>
      <c r="O116" s="56" t="s">
        <v>42</v>
      </c>
      <c r="P116" s="52" t="s">
        <v>54</v>
      </c>
      <c r="Q116" s="1">
        <v>4</v>
      </c>
      <c r="R116" s="1">
        <v>2</v>
      </c>
    </row>
    <row r="117" spans="1:18" s="1" customFormat="1" ht="91.8">
      <c r="A117" s="79"/>
      <c r="B117" s="79"/>
      <c r="C117" s="73" t="s">
        <v>216</v>
      </c>
      <c r="D117" s="53" t="s">
        <v>217</v>
      </c>
      <c r="E117" s="15">
        <v>46504</v>
      </c>
      <c r="F117" s="15">
        <v>46660</v>
      </c>
      <c r="G117" s="54">
        <f>+F117-E117+1</f>
        <v>157</v>
      </c>
      <c r="H117" s="62"/>
      <c r="I117" s="9"/>
      <c r="J117" s="9"/>
      <c r="K117" s="64" t="s">
        <v>41</v>
      </c>
      <c r="L117" s="64" t="s">
        <v>41</v>
      </c>
      <c r="M117" s="64" t="s">
        <v>41</v>
      </c>
      <c r="N117" s="64" t="s">
        <v>41</v>
      </c>
      <c r="O117" s="64" t="s">
        <v>42</v>
      </c>
      <c r="P117" s="39" t="s">
        <v>59</v>
      </c>
      <c r="Q117" s="1">
        <v>4</v>
      </c>
      <c r="R117" s="1">
        <v>2</v>
      </c>
    </row>
    <row r="118" spans="1:18" s="1" customFormat="1" ht="13.8">
      <c r="A118" s="79"/>
      <c r="B118" s="79"/>
      <c r="C118" s="73" t="s">
        <v>218</v>
      </c>
      <c r="D118" s="53" t="s">
        <v>219</v>
      </c>
      <c r="E118" s="15"/>
      <c r="F118" s="15"/>
      <c r="G118" s="54"/>
      <c r="H118" s="62"/>
      <c r="I118" s="9"/>
      <c r="J118" s="9"/>
      <c r="K118" s="64"/>
      <c r="L118" s="64"/>
      <c r="M118" s="64"/>
      <c r="N118" s="64"/>
      <c r="O118" s="64"/>
      <c r="P118" s="39"/>
    </row>
    <row r="119" spans="1:18" s="1" customFormat="1" ht="13.8">
      <c r="A119" s="79"/>
      <c r="B119" s="79"/>
      <c r="C119" s="73" t="s">
        <v>220</v>
      </c>
      <c r="D119" s="53" t="s">
        <v>221</v>
      </c>
      <c r="E119" s="15"/>
      <c r="F119" s="15"/>
      <c r="G119" s="54"/>
      <c r="H119" s="62"/>
      <c r="I119" s="9"/>
      <c r="J119" s="9"/>
      <c r="K119" s="64"/>
      <c r="L119" s="64"/>
      <c r="M119" s="64"/>
      <c r="N119" s="64"/>
      <c r="O119" s="64"/>
      <c r="P119" s="39"/>
    </row>
    <row r="120" spans="1:18" s="1" customFormat="1" ht="13.8">
      <c r="A120" s="79"/>
      <c r="B120" s="79"/>
      <c r="C120" s="73" t="s">
        <v>222</v>
      </c>
      <c r="D120" s="53" t="s">
        <v>223</v>
      </c>
      <c r="E120" s="15"/>
      <c r="F120" s="15"/>
      <c r="G120" s="54"/>
      <c r="H120" s="62"/>
      <c r="I120" s="9"/>
      <c r="J120" s="9"/>
      <c r="K120" s="64"/>
      <c r="L120" s="64"/>
      <c r="M120" s="64"/>
      <c r="N120" s="64"/>
      <c r="O120" s="64"/>
      <c r="P120" s="39"/>
    </row>
    <row r="121" spans="1:18" s="1" customFormat="1" ht="20.399999999999999">
      <c r="A121" s="79"/>
      <c r="B121" s="79"/>
      <c r="C121" s="73" t="s">
        <v>224</v>
      </c>
      <c r="D121" s="53" t="s">
        <v>225</v>
      </c>
      <c r="E121" s="15"/>
      <c r="F121" s="15"/>
      <c r="G121" s="54"/>
      <c r="H121" s="62"/>
      <c r="I121" s="9"/>
      <c r="J121" s="9"/>
      <c r="K121" s="64"/>
      <c r="L121" s="64"/>
      <c r="M121" s="64"/>
      <c r="N121" s="64"/>
      <c r="O121" s="64"/>
      <c r="P121" s="39"/>
    </row>
    <row r="122" spans="1:18" s="1" customFormat="1" ht="30.6">
      <c r="A122" s="79"/>
      <c r="B122" s="79"/>
      <c r="C122" s="87" t="s">
        <v>226</v>
      </c>
      <c r="D122" s="53" t="s">
        <v>227</v>
      </c>
      <c r="E122" s="15">
        <v>46477</v>
      </c>
      <c r="F122" s="15">
        <v>46559</v>
      </c>
      <c r="G122" s="54">
        <f>+F122-E122+1</f>
        <v>83</v>
      </c>
      <c r="H122" s="62"/>
      <c r="I122" s="9"/>
      <c r="J122" s="9"/>
      <c r="K122" s="64" t="s">
        <v>41</v>
      </c>
      <c r="L122" s="64" t="s">
        <v>41</v>
      </c>
      <c r="M122" s="64" t="s">
        <v>41</v>
      </c>
      <c r="N122" s="64" t="s">
        <v>41</v>
      </c>
      <c r="O122" s="64" t="s">
        <v>42</v>
      </c>
      <c r="P122" s="39" t="s">
        <v>59</v>
      </c>
      <c r="Q122" s="1">
        <v>4</v>
      </c>
      <c r="R122" s="1">
        <v>2</v>
      </c>
    </row>
    <row r="123" spans="1:18" s="1" customFormat="1" ht="51">
      <c r="A123" s="79"/>
      <c r="B123" s="79"/>
      <c r="C123" s="87" t="s">
        <v>228</v>
      </c>
      <c r="D123" s="53" t="s">
        <v>229</v>
      </c>
      <c r="E123" s="15">
        <v>46555</v>
      </c>
      <c r="F123" s="15">
        <v>46627</v>
      </c>
      <c r="G123" s="54">
        <f>+F123-E123+1</f>
        <v>73</v>
      </c>
      <c r="H123" s="62"/>
      <c r="I123" s="9"/>
      <c r="J123" s="9"/>
      <c r="K123" s="64" t="s">
        <v>41</v>
      </c>
      <c r="L123" s="64" t="s">
        <v>41</v>
      </c>
      <c r="M123" s="64" t="s">
        <v>41</v>
      </c>
      <c r="N123" s="64" t="s">
        <v>41</v>
      </c>
      <c r="O123" s="64" t="s">
        <v>42</v>
      </c>
      <c r="P123" s="39" t="s">
        <v>59</v>
      </c>
      <c r="Q123" s="1">
        <v>4</v>
      </c>
      <c r="R123" s="1">
        <v>2</v>
      </c>
    </row>
    <row r="124" spans="1:18" s="1" customFormat="1" ht="20.399999999999999">
      <c r="A124" s="79"/>
      <c r="B124" s="79"/>
      <c r="C124" s="87" t="s">
        <v>230</v>
      </c>
      <c r="D124" s="53" t="s">
        <v>231</v>
      </c>
      <c r="E124" s="15">
        <v>46514</v>
      </c>
      <c r="F124" s="15">
        <v>46660</v>
      </c>
      <c r="G124" s="54">
        <f>+F124-E124+1</f>
        <v>147</v>
      </c>
      <c r="H124" s="62"/>
      <c r="I124" s="9"/>
      <c r="J124" s="9"/>
      <c r="K124" s="64" t="s">
        <v>41</v>
      </c>
      <c r="L124" s="64" t="s">
        <v>41</v>
      </c>
      <c r="M124" s="64" t="s">
        <v>41</v>
      </c>
      <c r="N124" s="64" t="s">
        <v>41</v>
      </c>
      <c r="O124" s="64" t="s">
        <v>42</v>
      </c>
      <c r="P124" s="39" t="s">
        <v>59</v>
      </c>
      <c r="Q124" s="1">
        <v>4</v>
      </c>
      <c r="R124" s="1">
        <v>2</v>
      </c>
    </row>
    <row r="125" spans="1:18" s="1" customFormat="1">
      <c r="A125" s="77" t="s">
        <v>232</v>
      </c>
      <c r="B125" s="24" t="s">
        <v>233</v>
      </c>
      <c r="C125" s="24"/>
      <c r="D125" s="25"/>
      <c r="E125" s="26"/>
      <c r="F125" s="43"/>
      <c r="G125" s="27"/>
      <c r="H125" s="44"/>
      <c r="I125" s="9"/>
      <c r="J125" s="9"/>
      <c r="K125" s="28"/>
      <c r="L125" s="28"/>
      <c r="M125" s="28"/>
      <c r="N125" s="28"/>
      <c r="O125" s="28"/>
      <c r="P125" s="35"/>
    </row>
    <row r="126" spans="1:18" s="1" customFormat="1" ht="51">
      <c r="A126" s="82"/>
      <c r="B126" s="79"/>
      <c r="C126" s="73" t="s">
        <v>234</v>
      </c>
      <c r="D126" s="18" t="s">
        <v>235</v>
      </c>
      <c r="E126" s="15">
        <v>46341</v>
      </c>
      <c r="F126" s="15">
        <v>46373</v>
      </c>
      <c r="G126" s="54">
        <f>+F126-E126+1</f>
        <v>33</v>
      </c>
      <c r="H126" s="62"/>
      <c r="I126" s="9"/>
      <c r="J126" s="9"/>
      <c r="K126" s="64" t="s">
        <v>41</v>
      </c>
      <c r="L126" s="64" t="s">
        <v>41</v>
      </c>
      <c r="M126" s="64" t="s">
        <v>41</v>
      </c>
      <c r="N126" s="64" t="s">
        <v>34</v>
      </c>
      <c r="O126" s="56" t="s">
        <v>42</v>
      </c>
      <c r="P126" s="52" t="s">
        <v>54</v>
      </c>
      <c r="Q126" s="1">
        <v>4</v>
      </c>
      <c r="R126" s="1">
        <v>3</v>
      </c>
    </row>
    <row r="127" spans="1:18" s="1" customFormat="1" ht="91.8">
      <c r="A127" s="79"/>
      <c r="B127" s="79"/>
      <c r="C127" s="73" t="s">
        <v>236</v>
      </c>
      <c r="D127" s="53" t="s">
        <v>237</v>
      </c>
      <c r="E127" s="15">
        <v>46357</v>
      </c>
      <c r="F127" s="15">
        <v>46446</v>
      </c>
      <c r="G127" s="54">
        <f>+F127-E127+1</f>
        <v>90</v>
      </c>
      <c r="H127" s="62"/>
      <c r="I127" s="9"/>
      <c r="J127" s="9"/>
      <c r="K127" s="64" t="s">
        <v>41</v>
      </c>
      <c r="L127" s="64" t="s">
        <v>41</v>
      </c>
      <c r="M127" s="64" t="s">
        <v>41</v>
      </c>
      <c r="N127" s="64" t="s">
        <v>41</v>
      </c>
      <c r="O127" s="64" t="s">
        <v>42</v>
      </c>
      <c r="P127" s="39" t="s">
        <v>59</v>
      </c>
      <c r="Q127" s="1">
        <v>4</v>
      </c>
      <c r="R127" s="1">
        <v>3</v>
      </c>
    </row>
    <row r="128" spans="1:18" s="1" customFormat="1" ht="20.399999999999999">
      <c r="A128" s="79"/>
      <c r="B128" s="79"/>
      <c r="C128" s="86" t="s">
        <v>238</v>
      </c>
      <c r="D128" s="53" t="s">
        <v>239</v>
      </c>
      <c r="E128" s="15"/>
      <c r="F128" s="15"/>
      <c r="G128" s="54"/>
      <c r="H128" s="62"/>
      <c r="I128" s="9"/>
      <c r="J128" s="9"/>
      <c r="K128" s="64"/>
      <c r="L128" s="64"/>
      <c r="M128" s="64"/>
      <c r="N128" s="64"/>
      <c r="O128" s="64"/>
      <c r="P128" s="39"/>
    </row>
    <row r="129" spans="1:18" s="1" customFormat="1" ht="40.799999999999997">
      <c r="A129" s="79"/>
      <c r="B129" s="79"/>
      <c r="C129" s="87" t="s">
        <v>240</v>
      </c>
      <c r="D129" s="53" t="s">
        <v>241</v>
      </c>
      <c r="E129" s="15">
        <v>46400</v>
      </c>
      <c r="F129" s="15">
        <v>46446</v>
      </c>
      <c r="G129" s="54">
        <f>+F129-E129+1</f>
        <v>47</v>
      </c>
      <c r="H129" s="62"/>
      <c r="I129" s="9"/>
      <c r="J129" s="9"/>
      <c r="K129" s="64" t="s">
        <v>41</v>
      </c>
      <c r="L129" s="64" t="s">
        <v>41</v>
      </c>
      <c r="M129" s="64" t="s">
        <v>41</v>
      </c>
      <c r="N129" s="64" t="s">
        <v>41</v>
      </c>
      <c r="O129" s="64" t="s">
        <v>42</v>
      </c>
      <c r="P129" s="39" t="s">
        <v>59</v>
      </c>
      <c r="Q129" s="1">
        <v>4</v>
      </c>
      <c r="R129" s="1">
        <v>3</v>
      </c>
    </row>
    <row r="130" spans="1:18" s="1" customFormat="1">
      <c r="A130" s="77" t="s">
        <v>242</v>
      </c>
      <c r="B130" s="24" t="s">
        <v>243</v>
      </c>
      <c r="C130" s="24"/>
      <c r="D130" s="25"/>
      <c r="E130" s="26"/>
      <c r="F130" s="43"/>
      <c r="G130" s="27"/>
      <c r="H130" s="44"/>
      <c r="I130" s="9"/>
      <c r="J130" s="9"/>
      <c r="K130" s="28"/>
      <c r="L130" s="28"/>
      <c r="M130" s="28"/>
      <c r="N130" s="28"/>
      <c r="O130" s="28"/>
      <c r="P130" s="35"/>
    </row>
    <row r="131" spans="1:18" s="1" customFormat="1" ht="51">
      <c r="A131" s="78"/>
      <c r="B131" s="79"/>
      <c r="C131" s="73" t="s">
        <v>244</v>
      </c>
      <c r="D131" s="18" t="s">
        <v>245</v>
      </c>
      <c r="E131" s="15">
        <v>46477</v>
      </c>
      <c r="F131" s="15">
        <v>46532</v>
      </c>
      <c r="G131" s="54">
        <f t="shared" ref="G131:G136" si="3">+F131-E131+1</f>
        <v>56</v>
      </c>
      <c r="H131" s="62"/>
      <c r="I131" s="9"/>
      <c r="J131" s="9"/>
      <c r="K131" s="64" t="s">
        <v>41</v>
      </c>
      <c r="L131" s="64" t="s">
        <v>41</v>
      </c>
      <c r="M131" s="64" t="s">
        <v>41</v>
      </c>
      <c r="N131" s="64" t="s">
        <v>34</v>
      </c>
      <c r="O131" s="56" t="s">
        <v>42</v>
      </c>
      <c r="P131" s="52" t="s">
        <v>54</v>
      </c>
      <c r="Q131" s="1">
        <v>4</v>
      </c>
      <c r="R131" s="1">
        <v>4</v>
      </c>
    </row>
    <row r="132" spans="1:18" s="1" customFormat="1" ht="91.8">
      <c r="A132" s="79"/>
      <c r="B132" s="79"/>
      <c r="C132" s="73" t="s">
        <v>246</v>
      </c>
      <c r="D132" s="53" t="s">
        <v>247</v>
      </c>
      <c r="E132" s="15">
        <v>46504</v>
      </c>
      <c r="F132" s="15">
        <v>46660</v>
      </c>
      <c r="G132" s="54">
        <f t="shared" si="3"/>
        <v>157</v>
      </c>
      <c r="H132" s="62"/>
      <c r="I132" s="9"/>
      <c r="J132" s="9"/>
      <c r="K132" s="64" t="s">
        <v>41</v>
      </c>
      <c r="L132" s="64" t="s">
        <v>41</v>
      </c>
      <c r="M132" s="64" t="s">
        <v>41</v>
      </c>
      <c r="N132" s="64" t="s">
        <v>41</v>
      </c>
      <c r="O132" s="64" t="s">
        <v>42</v>
      </c>
      <c r="P132" s="39" t="s">
        <v>59</v>
      </c>
      <c r="Q132" s="1">
        <v>4</v>
      </c>
      <c r="R132" s="1">
        <v>4</v>
      </c>
    </row>
    <row r="133" spans="1:18" s="1" customFormat="1" ht="20.399999999999999">
      <c r="A133" s="79"/>
      <c r="B133" s="79"/>
      <c r="C133" s="87" t="s">
        <v>248</v>
      </c>
      <c r="D133" s="53" t="s">
        <v>249</v>
      </c>
      <c r="E133" s="15">
        <v>46523</v>
      </c>
      <c r="F133" s="15">
        <v>46582</v>
      </c>
      <c r="G133" s="54">
        <f t="shared" si="3"/>
        <v>60</v>
      </c>
      <c r="H133" s="62"/>
      <c r="I133" s="9"/>
      <c r="J133" s="9"/>
      <c r="K133" s="64" t="s">
        <v>41</v>
      </c>
      <c r="L133" s="64" t="s">
        <v>41</v>
      </c>
      <c r="M133" s="64" t="s">
        <v>41</v>
      </c>
      <c r="N133" s="64" t="s">
        <v>41</v>
      </c>
      <c r="O133" s="64" t="s">
        <v>42</v>
      </c>
      <c r="P133" s="39" t="s">
        <v>59</v>
      </c>
      <c r="Q133" s="1">
        <v>4</v>
      </c>
      <c r="R133" s="1">
        <v>4</v>
      </c>
    </row>
    <row r="134" spans="1:18" s="1" customFormat="1" ht="13.8">
      <c r="A134" s="79"/>
      <c r="B134" s="79"/>
      <c r="C134" s="87" t="s">
        <v>250</v>
      </c>
      <c r="D134" s="53" t="s">
        <v>251</v>
      </c>
      <c r="E134" s="15">
        <v>46514</v>
      </c>
      <c r="F134" s="15">
        <v>46660</v>
      </c>
      <c r="G134" s="54">
        <f t="shared" si="3"/>
        <v>147</v>
      </c>
      <c r="H134" s="62"/>
      <c r="I134" s="9"/>
      <c r="J134" s="9"/>
      <c r="K134" s="64" t="s">
        <v>41</v>
      </c>
      <c r="L134" s="64" t="s">
        <v>41</v>
      </c>
      <c r="M134" s="64" t="s">
        <v>41</v>
      </c>
      <c r="N134" s="64" t="s">
        <v>41</v>
      </c>
      <c r="O134" s="64" t="s">
        <v>42</v>
      </c>
      <c r="P134" s="39" t="s">
        <v>59</v>
      </c>
      <c r="Q134" s="1">
        <v>4</v>
      </c>
      <c r="R134" s="1">
        <v>4</v>
      </c>
    </row>
    <row r="135" spans="1:18" s="1" customFormat="1" ht="40.799999999999997">
      <c r="A135" s="79"/>
      <c r="B135" s="79"/>
      <c r="C135" s="87" t="s">
        <v>252</v>
      </c>
      <c r="D135" s="53" t="s">
        <v>253</v>
      </c>
      <c r="E135" s="15">
        <v>46569</v>
      </c>
      <c r="F135" s="15">
        <v>46652</v>
      </c>
      <c r="G135" s="54">
        <f t="shared" si="3"/>
        <v>84</v>
      </c>
      <c r="H135" s="62"/>
      <c r="I135" s="9"/>
      <c r="J135" s="9"/>
      <c r="K135" s="64" t="s">
        <v>41</v>
      </c>
      <c r="L135" s="64" t="s">
        <v>41</v>
      </c>
      <c r="M135" s="64" t="s">
        <v>41</v>
      </c>
      <c r="N135" s="64" t="s">
        <v>41</v>
      </c>
      <c r="O135" s="64" t="s">
        <v>42</v>
      </c>
      <c r="P135" s="39" t="s">
        <v>59</v>
      </c>
      <c r="Q135" s="1">
        <v>4</v>
      </c>
      <c r="R135" s="1">
        <v>4</v>
      </c>
    </row>
    <row r="136" spans="1:18" s="1" customFormat="1" ht="13.8">
      <c r="A136" s="79"/>
      <c r="B136" s="79"/>
      <c r="C136" s="87" t="s">
        <v>254</v>
      </c>
      <c r="D136" s="53" t="s">
        <v>255</v>
      </c>
      <c r="E136" s="15">
        <v>46514</v>
      </c>
      <c r="F136" s="15">
        <v>46660</v>
      </c>
      <c r="G136" s="54">
        <f t="shared" si="3"/>
        <v>147</v>
      </c>
      <c r="H136" s="62"/>
      <c r="I136" s="9"/>
      <c r="J136" s="9"/>
      <c r="K136" s="64" t="s">
        <v>41</v>
      </c>
      <c r="L136" s="64" t="s">
        <v>41</v>
      </c>
      <c r="M136" s="64" t="s">
        <v>41</v>
      </c>
      <c r="N136" s="64" t="s">
        <v>41</v>
      </c>
      <c r="O136" s="64" t="s">
        <v>42</v>
      </c>
      <c r="P136" s="39" t="s">
        <v>59</v>
      </c>
      <c r="Q136" s="1">
        <v>4</v>
      </c>
      <c r="R136" s="1">
        <v>4</v>
      </c>
    </row>
    <row r="137" spans="1:18" s="1" customFormat="1">
      <c r="A137" s="77" t="s">
        <v>256</v>
      </c>
      <c r="B137" s="24" t="s">
        <v>257</v>
      </c>
      <c r="C137" s="24"/>
      <c r="D137" s="25"/>
      <c r="E137" s="26"/>
      <c r="F137" s="43"/>
      <c r="G137" s="27"/>
      <c r="H137" s="44"/>
      <c r="I137" s="9"/>
      <c r="J137" s="9"/>
      <c r="K137" s="28"/>
      <c r="L137" s="28"/>
      <c r="M137" s="28"/>
      <c r="N137" s="28"/>
      <c r="O137" s="28"/>
      <c r="P137" s="35"/>
    </row>
    <row r="138" spans="1:18" s="1" customFormat="1" ht="20.399999999999999">
      <c r="A138" s="78"/>
      <c r="B138" s="79"/>
      <c r="C138" s="73" t="s">
        <v>258</v>
      </c>
      <c r="D138" s="18" t="s">
        <v>259</v>
      </c>
      <c r="E138" s="15"/>
      <c r="F138" s="15"/>
      <c r="G138" s="54"/>
      <c r="H138" s="62"/>
      <c r="I138" s="9"/>
      <c r="J138" s="9"/>
      <c r="K138" s="64" t="s">
        <v>41</v>
      </c>
      <c r="L138" s="64" t="s">
        <v>41</v>
      </c>
      <c r="M138" s="64" t="s">
        <v>41</v>
      </c>
      <c r="N138" s="64" t="s">
        <v>34</v>
      </c>
      <c r="O138" s="56" t="s">
        <v>42</v>
      </c>
      <c r="P138" s="52" t="s">
        <v>54</v>
      </c>
      <c r="Q138" s="1">
        <v>4</v>
      </c>
      <c r="R138" s="1">
        <v>5</v>
      </c>
    </row>
    <row r="139" spans="1:18" s="1" customFormat="1" ht="20.399999999999999">
      <c r="A139" s="78"/>
      <c r="B139" s="79"/>
      <c r="C139" s="73" t="s">
        <v>260</v>
      </c>
      <c r="D139" s="18" t="s">
        <v>261</v>
      </c>
      <c r="E139" s="15"/>
      <c r="F139" s="15"/>
      <c r="G139" s="54"/>
      <c r="H139" s="62"/>
      <c r="I139" s="9"/>
      <c r="J139" s="9"/>
      <c r="K139" s="64"/>
      <c r="L139" s="64"/>
      <c r="M139" s="64"/>
      <c r="N139" s="64"/>
      <c r="O139" s="56"/>
      <c r="P139" s="52"/>
    </row>
    <row r="140" spans="1:18" s="1" customFormat="1" ht="51">
      <c r="A140" s="78"/>
      <c r="B140" s="79"/>
      <c r="C140" s="73" t="s">
        <v>262</v>
      </c>
      <c r="D140" s="18" t="s">
        <v>263</v>
      </c>
      <c r="E140" s="15">
        <v>46477</v>
      </c>
      <c r="F140" s="15">
        <v>46532</v>
      </c>
      <c r="G140" s="54">
        <f>+F140-E140+1</f>
        <v>56</v>
      </c>
      <c r="H140" s="62"/>
      <c r="I140" s="9"/>
      <c r="J140" s="9"/>
      <c r="K140" s="64"/>
      <c r="L140" s="64"/>
      <c r="M140" s="64"/>
      <c r="N140" s="64"/>
      <c r="O140" s="56"/>
      <c r="P140" s="52"/>
    </row>
    <row r="141" spans="1:18" s="1" customFormat="1" ht="91.8">
      <c r="A141" s="79"/>
      <c r="B141" s="79"/>
      <c r="C141" s="73" t="s">
        <v>264</v>
      </c>
      <c r="D141" s="53" t="s">
        <v>265</v>
      </c>
      <c r="E141" s="15">
        <v>46504</v>
      </c>
      <c r="F141" s="15">
        <v>46660</v>
      </c>
      <c r="G141" s="54">
        <f>+F141-E141+1</f>
        <v>157</v>
      </c>
      <c r="H141" s="62"/>
      <c r="I141" s="9"/>
      <c r="J141" s="9"/>
      <c r="K141" s="64" t="s">
        <v>41</v>
      </c>
      <c r="L141" s="64" t="s">
        <v>41</v>
      </c>
      <c r="M141" s="64" t="s">
        <v>41</v>
      </c>
      <c r="N141" s="64" t="s">
        <v>41</v>
      </c>
      <c r="O141" s="64" t="s">
        <v>42</v>
      </c>
      <c r="P141" s="39" t="s">
        <v>59</v>
      </c>
      <c r="Q141" s="1">
        <v>4</v>
      </c>
      <c r="R141" s="1">
        <v>5</v>
      </c>
    </row>
    <row r="142" spans="1:18" s="1" customFormat="1" ht="20.399999999999999">
      <c r="A142" s="77" t="s">
        <v>266</v>
      </c>
      <c r="B142" s="24" t="s">
        <v>267</v>
      </c>
      <c r="C142" s="24"/>
      <c r="D142" s="25"/>
      <c r="E142" s="26"/>
      <c r="F142" s="43"/>
      <c r="G142" s="27"/>
      <c r="H142" s="44"/>
      <c r="I142" s="9"/>
      <c r="J142" s="9"/>
      <c r="K142" s="28"/>
      <c r="L142" s="28"/>
      <c r="M142" s="28"/>
      <c r="N142" s="28"/>
      <c r="O142" s="28"/>
      <c r="P142" s="35"/>
    </row>
    <row r="143" spans="1:18" s="6" customFormat="1" ht="51">
      <c r="A143" s="78"/>
      <c r="B143" s="79"/>
      <c r="C143" s="73" t="s">
        <v>268</v>
      </c>
      <c r="D143" s="18" t="s">
        <v>269</v>
      </c>
      <c r="E143" s="15">
        <v>46477</v>
      </c>
      <c r="F143" s="15">
        <v>46532</v>
      </c>
      <c r="G143" s="54">
        <f>+F143-E143+1</f>
        <v>56</v>
      </c>
      <c r="H143" s="50"/>
      <c r="I143" s="9"/>
      <c r="J143" s="9"/>
      <c r="K143" s="64" t="s">
        <v>41</v>
      </c>
      <c r="L143" s="64" t="s">
        <v>41</v>
      </c>
      <c r="M143" s="64" t="s">
        <v>41</v>
      </c>
      <c r="N143" s="64" t="s">
        <v>34</v>
      </c>
      <c r="O143" s="56" t="s">
        <v>42</v>
      </c>
      <c r="P143" s="52" t="s">
        <v>54</v>
      </c>
      <c r="Q143" s="6">
        <v>4</v>
      </c>
      <c r="R143" s="6">
        <v>6</v>
      </c>
    </row>
    <row r="144" spans="1:18" s="6" customFormat="1" ht="91.8">
      <c r="A144" s="79"/>
      <c r="B144" s="79"/>
      <c r="C144" s="73" t="s">
        <v>270</v>
      </c>
      <c r="D144" s="53" t="s">
        <v>271</v>
      </c>
      <c r="E144" s="15">
        <v>46504</v>
      </c>
      <c r="F144" s="15">
        <v>46660</v>
      </c>
      <c r="G144" s="54">
        <f>+F144-E144+1</f>
        <v>157</v>
      </c>
      <c r="H144" s="50"/>
      <c r="I144" s="9"/>
      <c r="J144" s="9"/>
      <c r="K144" s="64" t="s">
        <v>41</v>
      </c>
      <c r="L144" s="64" t="s">
        <v>41</v>
      </c>
      <c r="M144" s="64" t="s">
        <v>41</v>
      </c>
      <c r="N144" s="64" t="s">
        <v>41</v>
      </c>
      <c r="O144" s="64" t="s">
        <v>42</v>
      </c>
      <c r="P144" s="39" t="s">
        <v>59</v>
      </c>
      <c r="Q144" s="6">
        <v>4</v>
      </c>
      <c r="R144" s="6">
        <v>6</v>
      </c>
    </row>
    <row r="145" spans="1:18" s="6" customFormat="1" ht="40.799999999999997">
      <c r="A145" s="79"/>
      <c r="B145" s="79"/>
      <c r="C145" s="87" t="s">
        <v>272</v>
      </c>
      <c r="D145" s="53" t="s">
        <v>273</v>
      </c>
      <c r="E145" s="15">
        <v>46587</v>
      </c>
      <c r="F145" s="15">
        <v>46660</v>
      </c>
      <c r="G145" s="54">
        <f>+F145-E145+1</f>
        <v>74</v>
      </c>
      <c r="H145" s="50"/>
      <c r="I145" s="9"/>
      <c r="J145" s="9"/>
      <c r="K145" s="64" t="s">
        <v>41</v>
      </c>
      <c r="L145" s="64" t="s">
        <v>41</v>
      </c>
      <c r="M145" s="64" t="s">
        <v>41</v>
      </c>
      <c r="N145" s="64" t="s">
        <v>41</v>
      </c>
      <c r="O145" s="64" t="s">
        <v>42</v>
      </c>
      <c r="P145" s="39" t="s">
        <v>59</v>
      </c>
      <c r="Q145" s="6">
        <v>4</v>
      </c>
      <c r="R145" s="6">
        <v>6</v>
      </c>
    </row>
    <row r="146" spans="1:18" s="6" customFormat="1" ht="20.399999999999999">
      <c r="A146" s="77" t="s">
        <v>274</v>
      </c>
      <c r="B146" s="24" t="s">
        <v>275</v>
      </c>
      <c r="C146" s="24"/>
      <c r="D146" s="25"/>
      <c r="E146" s="26"/>
      <c r="F146" s="43"/>
      <c r="G146" s="27"/>
      <c r="H146" s="44"/>
      <c r="I146" s="9"/>
      <c r="J146" s="9"/>
      <c r="K146" s="28"/>
      <c r="L146" s="28"/>
      <c r="M146" s="28"/>
      <c r="N146" s="28"/>
      <c r="O146" s="28"/>
      <c r="P146" s="35"/>
    </row>
    <row r="147" spans="1:18" s="6" customFormat="1" ht="51">
      <c r="A147" s="82"/>
      <c r="B147" s="79"/>
      <c r="C147" s="73" t="s">
        <v>276</v>
      </c>
      <c r="D147" s="18" t="s">
        <v>277</v>
      </c>
      <c r="E147" s="15">
        <v>46477</v>
      </c>
      <c r="F147" s="15">
        <v>46532</v>
      </c>
      <c r="G147" s="54">
        <f>+F147-E147+1</f>
        <v>56</v>
      </c>
      <c r="H147" s="50"/>
      <c r="I147" s="9"/>
      <c r="J147" s="9"/>
      <c r="K147" s="64" t="s">
        <v>41</v>
      </c>
      <c r="L147" s="64" t="s">
        <v>41</v>
      </c>
      <c r="M147" s="64" t="s">
        <v>41</v>
      </c>
      <c r="N147" s="64" t="s">
        <v>34</v>
      </c>
      <c r="O147" s="56" t="s">
        <v>42</v>
      </c>
      <c r="P147" s="52" t="s">
        <v>54</v>
      </c>
      <c r="Q147" s="6">
        <v>4</v>
      </c>
      <c r="R147" s="6">
        <v>7</v>
      </c>
    </row>
    <row r="148" spans="1:18" s="6" customFormat="1" ht="91.8">
      <c r="A148" s="79"/>
      <c r="B148" s="79"/>
      <c r="C148" s="73" t="s">
        <v>278</v>
      </c>
      <c r="D148" s="53" t="s">
        <v>279</v>
      </c>
      <c r="E148" s="15">
        <v>46504</v>
      </c>
      <c r="F148" s="15">
        <v>46660</v>
      </c>
      <c r="G148" s="54">
        <f>+F148-E148+1</f>
        <v>157</v>
      </c>
      <c r="H148" s="50"/>
      <c r="I148" s="9"/>
      <c r="J148" s="9"/>
      <c r="K148" s="64" t="s">
        <v>41</v>
      </c>
      <c r="L148" s="64" t="s">
        <v>41</v>
      </c>
      <c r="M148" s="64" t="s">
        <v>41</v>
      </c>
      <c r="N148" s="64" t="s">
        <v>41</v>
      </c>
      <c r="O148" s="64" t="s">
        <v>42</v>
      </c>
      <c r="P148" s="39" t="s">
        <v>59</v>
      </c>
      <c r="Q148" s="6">
        <v>4</v>
      </c>
      <c r="R148" s="6">
        <v>7</v>
      </c>
    </row>
    <row r="149" spans="1:18" s="6" customFormat="1" ht="20.399999999999999">
      <c r="A149" s="79"/>
      <c r="B149" s="79"/>
      <c r="C149" s="73" t="s">
        <v>280</v>
      </c>
      <c r="D149" s="53" t="s">
        <v>281</v>
      </c>
      <c r="E149" s="15"/>
      <c r="F149" s="15"/>
      <c r="G149" s="54"/>
      <c r="H149" s="50"/>
      <c r="I149" s="9"/>
      <c r="J149" s="9"/>
      <c r="K149" s="64"/>
      <c r="L149" s="64"/>
      <c r="M149" s="64"/>
      <c r="N149" s="64"/>
      <c r="O149" s="64"/>
      <c r="P149" s="39"/>
    </row>
    <row r="150" spans="1:18" s="6" customFormat="1" ht="20.399999999999999">
      <c r="A150" s="79"/>
      <c r="B150" s="79"/>
      <c r="C150" s="87" t="s">
        <v>282</v>
      </c>
      <c r="D150" s="53" t="s">
        <v>283</v>
      </c>
      <c r="E150" s="15">
        <v>46569</v>
      </c>
      <c r="F150" s="15">
        <v>46660</v>
      </c>
      <c r="G150" s="54">
        <f>+F150-E150+1</f>
        <v>92</v>
      </c>
      <c r="H150" s="50"/>
      <c r="I150" s="9"/>
      <c r="J150" s="9"/>
      <c r="K150" s="64" t="s">
        <v>41</v>
      </c>
      <c r="L150" s="64" t="s">
        <v>41</v>
      </c>
      <c r="M150" s="64" t="s">
        <v>41</v>
      </c>
      <c r="N150" s="64" t="s">
        <v>41</v>
      </c>
      <c r="O150" s="64" t="s">
        <v>42</v>
      </c>
      <c r="P150" s="39" t="s">
        <v>59</v>
      </c>
      <c r="Q150" s="6">
        <v>4</v>
      </c>
      <c r="R150" s="6">
        <v>7</v>
      </c>
    </row>
    <row r="151" spans="1:18" s="6" customFormat="1">
      <c r="A151" s="77" t="s">
        <v>284</v>
      </c>
      <c r="B151" s="24" t="s">
        <v>285</v>
      </c>
      <c r="C151" s="24"/>
      <c r="D151" s="25"/>
      <c r="E151" s="26"/>
      <c r="F151" s="43"/>
      <c r="G151" s="27"/>
      <c r="H151" s="44"/>
      <c r="I151" s="9"/>
      <c r="J151" s="9"/>
      <c r="K151" s="28"/>
      <c r="L151" s="28"/>
      <c r="M151" s="28"/>
      <c r="N151" s="28"/>
      <c r="O151" s="28"/>
      <c r="P151" s="35"/>
    </row>
    <row r="152" spans="1:18" s="6" customFormat="1" ht="51">
      <c r="A152" s="82"/>
      <c r="B152" s="79"/>
      <c r="C152" s="73" t="s">
        <v>286</v>
      </c>
      <c r="D152" s="18" t="s">
        <v>287</v>
      </c>
      <c r="E152" s="15">
        <v>46477</v>
      </c>
      <c r="F152" s="15">
        <v>46532</v>
      </c>
      <c r="G152" s="54">
        <f>+F152-E152+1</f>
        <v>56</v>
      </c>
      <c r="H152" s="50"/>
      <c r="I152" s="9"/>
      <c r="J152" s="9"/>
      <c r="K152" s="64" t="s">
        <v>41</v>
      </c>
      <c r="L152" s="64" t="s">
        <v>41</v>
      </c>
      <c r="M152" s="64" t="s">
        <v>41</v>
      </c>
      <c r="N152" s="64" t="s">
        <v>34</v>
      </c>
      <c r="O152" s="56" t="s">
        <v>42</v>
      </c>
      <c r="P152" s="52" t="s">
        <v>54</v>
      </c>
      <c r="Q152" s="6">
        <v>4</v>
      </c>
      <c r="R152" s="6">
        <v>8</v>
      </c>
    </row>
    <row r="153" spans="1:18" s="6" customFormat="1" ht="91.8">
      <c r="A153" s="79"/>
      <c r="B153" s="79"/>
      <c r="C153" s="73" t="s">
        <v>288</v>
      </c>
      <c r="D153" s="53" t="s">
        <v>289</v>
      </c>
      <c r="E153" s="15">
        <v>46504</v>
      </c>
      <c r="F153" s="15">
        <v>46660</v>
      </c>
      <c r="G153" s="54">
        <f>+F153-E153+1</f>
        <v>157</v>
      </c>
      <c r="H153" s="50"/>
      <c r="I153" s="9"/>
      <c r="J153" s="9"/>
      <c r="K153" s="64" t="s">
        <v>41</v>
      </c>
      <c r="L153" s="64" t="s">
        <v>41</v>
      </c>
      <c r="M153" s="64" t="s">
        <v>41</v>
      </c>
      <c r="N153" s="64" t="s">
        <v>41</v>
      </c>
      <c r="O153" s="64" t="s">
        <v>42</v>
      </c>
      <c r="P153" s="39" t="s">
        <v>59</v>
      </c>
      <c r="Q153" s="6">
        <v>4</v>
      </c>
      <c r="R153" s="6">
        <v>8</v>
      </c>
    </row>
    <row r="154" spans="1:18" s="6" customFormat="1" ht="61.2">
      <c r="A154" s="79"/>
      <c r="B154" s="79"/>
      <c r="C154" s="87" t="s">
        <v>290</v>
      </c>
      <c r="D154" s="53" t="s">
        <v>291</v>
      </c>
      <c r="E154" s="15">
        <v>46532</v>
      </c>
      <c r="F154" s="15">
        <v>46603</v>
      </c>
      <c r="G154" s="54">
        <f>+F154-E154+1</f>
        <v>72</v>
      </c>
      <c r="H154" s="50"/>
      <c r="I154" s="9"/>
      <c r="J154" s="9"/>
      <c r="K154" s="64" t="s">
        <v>41</v>
      </c>
      <c r="L154" s="64" t="s">
        <v>41</v>
      </c>
      <c r="M154" s="64" t="s">
        <v>41</v>
      </c>
      <c r="N154" s="64" t="s">
        <v>41</v>
      </c>
      <c r="O154" s="64" t="s">
        <v>42</v>
      </c>
      <c r="P154" s="39" t="s">
        <v>59</v>
      </c>
      <c r="Q154" s="6">
        <v>4</v>
      </c>
      <c r="R154" s="6">
        <v>8</v>
      </c>
    </row>
    <row r="155" spans="1:18" s="6" customFormat="1" ht="142.80000000000001">
      <c r="A155" s="79"/>
      <c r="B155" s="79"/>
      <c r="C155" s="87" t="s">
        <v>292</v>
      </c>
      <c r="D155" s="53" t="s">
        <v>293</v>
      </c>
      <c r="E155" s="15">
        <v>46559</v>
      </c>
      <c r="F155" s="15">
        <v>46645</v>
      </c>
      <c r="G155" s="54">
        <f>+F155-E155+1</f>
        <v>87</v>
      </c>
      <c r="H155" s="50"/>
      <c r="I155" s="9"/>
      <c r="J155" s="9"/>
      <c r="K155" s="64" t="s">
        <v>41</v>
      </c>
      <c r="L155" s="64" t="s">
        <v>41</v>
      </c>
      <c r="M155" s="64" t="s">
        <v>41</v>
      </c>
      <c r="N155" s="64" t="s">
        <v>41</v>
      </c>
      <c r="O155" s="64" t="s">
        <v>42</v>
      </c>
      <c r="P155" s="39" t="s">
        <v>59</v>
      </c>
      <c r="Q155" s="6">
        <v>4</v>
      </c>
      <c r="R155" s="6">
        <v>8</v>
      </c>
    </row>
    <row r="156" spans="1:18" s="6" customFormat="1" ht="30.6">
      <c r="A156" s="79"/>
      <c r="B156" s="79"/>
      <c r="C156" s="87" t="s">
        <v>294</v>
      </c>
      <c r="D156" s="53" t="s">
        <v>295</v>
      </c>
      <c r="E156" s="15">
        <v>46514</v>
      </c>
      <c r="F156" s="15">
        <v>46660</v>
      </c>
      <c r="G156" s="54">
        <f>+F156-E156+1</f>
        <v>147</v>
      </c>
      <c r="H156" s="50"/>
      <c r="I156" s="9"/>
      <c r="J156" s="9"/>
      <c r="K156" s="64" t="s">
        <v>34</v>
      </c>
      <c r="L156" s="64" t="s">
        <v>41</v>
      </c>
      <c r="M156" s="64" t="s">
        <v>41</v>
      </c>
      <c r="N156" s="64" t="s">
        <v>41</v>
      </c>
      <c r="O156" s="64" t="s">
        <v>42</v>
      </c>
      <c r="P156" s="52" t="s">
        <v>194</v>
      </c>
      <c r="Q156" s="6">
        <v>4</v>
      </c>
      <c r="R156" s="6">
        <v>8</v>
      </c>
    </row>
    <row r="157" spans="1:18" s="1" customFormat="1">
      <c r="A157" s="84" t="s">
        <v>296</v>
      </c>
      <c r="B157" s="85" t="s">
        <v>119</v>
      </c>
      <c r="C157" s="46"/>
      <c r="D157" s="32"/>
      <c r="E157" s="30"/>
      <c r="F157" s="30"/>
      <c r="G157" s="30"/>
      <c r="H157" s="47"/>
      <c r="I157" s="9"/>
      <c r="J157" s="9"/>
      <c r="K157" s="31"/>
      <c r="L157" s="31"/>
      <c r="M157" s="31"/>
      <c r="N157" s="31"/>
      <c r="O157" s="55"/>
      <c r="P157" s="31"/>
    </row>
    <row r="158" spans="1:18" s="1" customFormat="1" ht="20.399999999999999">
      <c r="A158" s="38">
        <v>5</v>
      </c>
      <c r="B158" s="19" t="s">
        <v>297</v>
      </c>
      <c r="C158" s="19"/>
      <c r="D158" s="20"/>
      <c r="E158" s="21">
        <f>SMALL(E160:E179,1)</f>
        <v>46660</v>
      </c>
      <c r="F158" s="41">
        <f>LARGE(F160:F179,1)</f>
        <v>46827</v>
      </c>
      <c r="G158" s="22">
        <f>+F158-E158+1</f>
        <v>168</v>
      </c>
      <c r="H158" s="42"/>
      <c r="I158" s="9"/>
      <c r="J158" s="9"/>
      <c r="K158" s="23"/>
      <c r="L158" s="23"/>
      <c r="M158" s="23"/>
      <c r="N158" s="23"/>
      <c r="O158" s="23"/>
      <c r="P158" s="37"/>
    </row>
    <row r="159" spans="1:18" s="1" customFormat="1">
      <c r="A159" s="77" t="s">
        <v>298</v>
      </c>
      <c r="B159" s="24" t="s">
        <v>299</v>
      </c>
      <c r="C159" s="24"/>
      <c r="D159" s="25"/>
      <c r="E159" s="26"/>
      <c r="F159" s="43"/>
      <c r="G159" s="27"/>
      <c r="H159" s="44"/>
      <c r="I159" s="9"/>
      <c r="J159" s="9"/>
      <c r="K159" s="28"/>
      <c r="L159" s="28"/>
      <c r="M159" s="28"/>
      <c r="N159" s="28"/>
      <c r="O159" s="28"/>
      <c r="P159" s="35"/>
    </row>
    <row r="160" spans="1:18" s="1" customFormat="1" ht="51">
      <c r="A160" s="78"/>
      <c r="B160" s="79"/>
      <c r="C160" s="87" t="s">
        <v>300</v>
      </c>
      <c r="D160" s="53" t="s">
        <v>301</v>
      </c>
      <c r="E160" s="15">
        <v>46660</v>
      </c>
      <c r="F160" s="15">
        <v>46708</v>
      </c>
      <c r="G160" s="54">
        <f t="shared" ref="G160:G168" si="4">+F160-E160+1</f>
        <v>49</v>
      </c>
      <c r="H160" s="62"/>
      <c r="I160" s="9"/>
      <c r="J160" s="9"/>
      <c r="K160" s="64" t="s">
        <v>41</v>
      </c>
      <c r="L160" s="64" t="s">
        <v>41</v>
      </c>
      <c r="M160" s="64" t="s">
        <v>41</v>
      </c>
      <c r="N160" s="64" t="s">
        <v>41</v>
      </c>
      <c r="O160" s="64" t="s">
        <v>42</v>
      </c>
      <c r="P160" s="39" t="s">
        <v>59</v>
      </c>
      <c r="Q160" s="1">
        <v>5</v>
      </c>
      <c r="R160" s="1">
        <v>1</v>
      </c>
    </row>
    <row r="161" spans="1:18" s="1" customFormat="1" ht="30.6">
      <c r="A161" s="79"/>
      <c r="B161" s="79"/>
      <c r="C161" s="87" t="s">
        <v>302</v>
      </c>
      <c r="D161" s="53" t="s">
        <v>303</v>
      </c>
      <c r="E161" s="15">
        <v>46660</v>
      </c>
      <c r="F161" s="15">
        <v>46722</v>
      </c>
      <c r="G161" s="54">
        <f t="shared" si="4"/>
        <v>63</v>
      </c>
      <c r="H161" s="62"/>
      <c r="I161" s="9"/>
      <c r="J161" s="9"/>
      <c r="K161" s="64" t="s">
        <v>41</v>
      </c>
      <c r="L161" s="64" t="s">
        <v>41</v>
      </c>
      <c r="M161" s="64" t="s">
        <v>41</v>
      </c>
      <c r="N161" s="64" t="s">
        <v>41</v>
      </c>
      <c r="O161" s="64" t="s">
        <v>42</v>
      </c>
      <c r="P161" s="39" t="s">
        <v>59</v>
      </c>
      <c r="Q161" s="1">
        <v>5</v>
      </c>
      <c r="R161" s="1">
        <v>1</v>
      </c>
    </row>
    <row r="162" spans="1:18" s="1" customFormat="1" ht="13.8">
      <c r="A162" s="79"/>
      <c r="B162" s="79"/>
      <c r="C162" s="87" t="s">
        <v>304</v>
      </c>
      <c r="D162" s="53" t="s">
        <v>305</v>
      </c>
      <c r="E162" s="15">
        <v>46688</v>
      </c>
      <c r="F162" s="15">
        <v>46798</v>
      </c>
      <c r="G162" s="54">
        <f t="shared" si="4"/>
        <v>111</v>
      </c>
      <c r="H162" s="62"/>
      <c r="I162" s="9"/>
      <c r="J162" s="9"/>
      <c r="K162" s="64" t="s">
        <v>41</v>
      </c>
      <c r="L162" s="64" t="s">
        <v>41</v>
      </c>
      <c r="M162" s="64" t="s">
        <v>41</v>
      </c>
      <c r="N162" s="64" t="s">
        <v>41</v>
      </c>
      <c r="O162" s="64" t="s">
        <v>42</v>
      </c>
      <c r="P162" s="39" t="s">
        <v>59</v>
      </c>
      <c r="Q162" s="1">
        <v>5</v>
      </c>
      <c r="R162" s="1">
        <v>1</v>
      </c>
    </row>
    <row r="163" spans="1:18" s="1" customFormat="1" ht="20.399999999999999">
      <c r="A163" s="79"/>
      <c r="B163" s="79"/>
      <c r="C163" s="87" t="s">
        <v>306</v>
      </c>
      <c r="D163" s="53" t="s">
        <v>307</v>
      </c>
      <c r="E163" s="15">
        <v>46660</v>
      </c>
      <c r="F163" s="15">
        <v>46694</v>
      </c>
      <c r="G163" s="54">
        <f t="shared" si="4"/>
        <v>35</v>
      </c>
      <c r="H163" s="62"/>
      <c r="I163" s="9"/>
      <c r="J163" s="9"/>
      <c r="K163" s="64" t="s">
        <v>41</v>
      </c>
      <c r="L163" s="64" t="s">
        <v>41</v>
      </c>
      <c r="M163" s="64" t="s">
        <v>41</v>
      </c>
      <c r="N163" s="64" t="s">
        <v>41</v>
      </c>
      <c r="O163" s="64" t="s">
        <v>42</v>
      </c>
      <c r="P163" s="39" t="s">
        <v>59</v>
      </c>
      <c r="Q163" s="1">
        <v>5</v>
      </c>
      <c r="R163" s="1">
        <v>1</v>
      </c>
    </row>
    <row r="164" spans="1:18" s="1" customFormat="1" ht="20.399999999999999">
      <c r="A164" s="79"/>
      <c r="B164" s="79"/>
      <c r="C164" s="87" t="s">
        <v>308</v>
      </c>
      <c r="D164" s="53" t="s">
        <v>309</v>
      </c>
      <c r="E164" s="15">
        <v>46688</v>
      </c>
      <c r="F164" s="15">
        <v>46798</v>
      </c>
      <c r="G164" s="54">
        <f t="shared" si="4"/>
        <v>111</v>
      </c>
      <c r="H164" s="62"/>
      <c r="I164" s="9"/>
      <c r="J164" s="9"/>
      <c r="K164" s="64" t="s">
        <v>41</v>
      </c>
      <c r="L164" s="64" t="s">
        <v>41</v>
      </c>
      <c r="M164" s="64" t="s">
        <v>41</v>
      </c>
      <c r="N164" s="64" t="s">
        <v>41</v>
      </c>
      <c r="O164" s="64" t="s">
        <v>42</v>
      </c>
      <c r="P164" s="39" t="s">
        <v>59</v>
      </c>
      <c r="Q164" s="1">
        <v>5</v>
      </c>
      <c r="R164" s="1">
        <v>1</v>
      </c>
    </row>
    <row r="165" spans="1:18" s="1" customFormat="1" ht="13.8">
      <c r="A165" s="79"/>
      <c r="B165" s="79"/>
      <c r="C165" s="57"/>
      <c r="D165" s="57" t="s">
        <v>310</v>
      </c>
      <c r="E165" s="15">
        <v>46718</v>
      </c>
      <c r="F165" s="15">
        <v>46766</v>
      </c>
      <c r="G165" s="54">
        <f t="shared" si="4"/>
        <v>49</v>
      </c>
      <c r="H165" s="62"/>
      <c r="I165" s="9"/>
      <c r="J165" s="9"/>
      <c r="K165" s="64" t="s">
        <v>41</v>
      </c>
      <c r="L165" s="64" t="s">
        <v>41</v>
      </c>
      <c r="M165" s="64" t="s">
        <v>41</v>
      </c>
      <c r="N165" s="64" t="s">
        <v>41</v>
      </c>
      <c r="O165" s="64" t="s">
        <v>42</v>
      </c>
      <c r="P165" s="39" t="s">
        <v>59</v>
      </c>
      <c r="Q165" s="1">
        <v>5</v>
      </c>
      <c r="R165" s="1">
        <v>1</v>
      </c>
    </row>
    <row r="166" spans="1:18" s="1" customFormat="1" ht="13.8">
      <c r="A166" s="79"/>
      <c r="B166" s="79"/>
      <c r="C166" s="87" t="s">
        <v>311</v>
      </c>
      <c r="D166" s="53" t="s">
        <v>312</v>
      </c>
      <c r="E166" s="15">
        <v>46729</v>
      </c>
      <c r="F166" s="15">
        <v>46783</v>
      </c>
      <c r="G166" s="54">
        <f t="shared" si="4"/>
        <v>55</v>
      </c>
      <c r="H166" s="62"/>
      <c r="I166" s="9"/>
      <c r="J166" s="9"/>
      <c r="K166" s="64" t="s">
        <v>41</v>
      </c>
      <c r="L166" s="64" t="s">
        <v>41</v>
      </c>
      <c r="M166" s="64" t="s">
        <v>41</v>
      </c>
      <c r="N166" s="64" t="s">
        <v>41</v>
      </c>
      <c r="O166" s="64" t="s">
        <v>42</v>
      </c>
      <c r="P166" s="39" t="s">
        <v>59</v>
      </c>
      <c r="Q166" s="1">
        <v>5</v>
      </c>
      <c r="R166" s="1">
        <v>1</v>
      </c>
    </row>
    <row r="167" spans="1:18" s="1" customFormat="1" ht="13.8">
      <c r="A167" s="79"/>
      <c r="B167" s="79"/>
      <c r="C167" s="57"/>
      <c r="D167" s="57" t="s">
        <v>313</v>
      </c>
      <c r="E167" s="15">
        <v>46740</v>
      </c>
      <c r="F167" s="15">
        <v>46798</v>
      </c>
      <c r="G167" s="54">
        <f t="shared" si="4"/>
        <v>59</v>
      </c>
      <c r="H167" s="62"/>
      <c r="I167" s="9"/>
      <c r="J167" s="9"/>
      <c r="K167" s="64" t="s">
        <v>41</v>
      </c>
      <c r="L167" s="64" t="s">
        <v>41</v>
      </c>
      <c r="M167" s="64" t="s">
        <v>41</v>
      </c>
      <c r="N167" s="64" t="s">
        <v>41</v>
      </c>
      <c r="O167" s="64" t="s">
        <v>42</v>
      </c>
      <c r="P167" s="39" t="s">
        <v>59</v>
      </c>
      <c r="Q167" s="1">
        <v>5</v>
      </c>
      <c r="R167" s="1">
        <v>1</v>
      </c>
    </row>
    <row r="168" spans="1:18" s="1" customFormat="1" ht="20.399999999999999">
      <c r="A168" s="79"/>
      <c r="B168" s="79"/>
      <c r="C168" s="87" t="s">
        <v>314</v>
      </c>
      <c r="D168" s="53" t="s">
        <v>315</v>
      </c>
      <c r="E168" s="15">
        <v>46752</v>
      </c>
      <c r="F168" s="15">
        <v>46798</v>
      </c>
      <c r="G168" s="54">
        <f t="shared" si="4"/>
        <v>47</v>
      </c>
      <c r="H168" s="62"/>
      <c r="I168" s="9"/>
      <c r="J168" s="9"/>
      <c r="K168" s="64" t="s">
        <v>41</v>
      </c>
      <c r="L168" s="64" t="s">
        <v>41</v>
      </c>
      <c r="M168" s="64" t="s">
        <v>41</v>
      </c>
      <c r="N168" s="64" t="s">
        <v>41</v>
      </c>
      <c r="O168" s="64" t="s">
        <v>42</v>
      </c>
      <c r="P168" s="39" t="s">
        <v>59</v>
      </c>
      <c r="Q168" s="1">
        <v>5</v>
      </c>
      <c r="R168" s="1">
        <v>1</v>
      </c>
    </row>
    <row r="169" spans="1:18" s="1" customFormat="1">
      <c r="A169" s="77" t="s">
        <v>316</v>
      </c>
      <c r="B169" s="24" t="s">
        <v>317</v>
      </c>
      <c r="C169" s="24"/>
      <c r="D169" s="25"/>
      <c r="E169" s="26"/>
      <c r="F169" s="43"/>
      <c r="G169" s="27"/>
      <c r="H169" s="44"/>
      <c r="I169" s="9"/>
      <c r="J169" s="9"/>
      <c r="K169" s="28"/>
      <c r="L169" s="28"/>
      <c r="M169" s="28"/>
      <c r="N169" s="28"/>
      <c r="O169" s="28"/>
      <c r="P169" s="35"/>
    </row>
    <row r="170" spans="1:18" s="1" customFormat="1" ht="13.8">
      <c r="A170" s="82"/>
      <c r="B170" s="79"/>
      <c r="C170" s="87" t="s">
        <v>318</v>
      </c>
      <c r="D170" s="53" t="s">
        <v>319</v>
      </c>
      <c r="E170" s="15">
        <v>46660</v>
      </c>
      <c r="F170" s="15">
        <v>46694</v>
      </c>
      <c r="G170" s="54">
        <f>+F170-E170+1</f>
        <v>35</v>
      </c>
      <c r="H170" s="62"/>
      <c r="I170" s="9"/>
      <c r="J170" s="9"/>
      <c r="K170" s="64" t="s">
        <v>41</v>
      </c>
      <c r="L170" s="64" t="s">
        <v>41</v>
      </c>
      <c r="M170" s="64" t="s">
        <v>41</v>
      </c>
      <c r="N170" s="64" t="s">
        <v>41</v>
      </c>
      <c r="O170" s="64" t="s">
        <v>42</v>
      </c>
      <c r="P170" s="39" t="s">
        <v>59</v>
      </c>
      <c r="Q170" s="1">
        <v>5</v>
      </c>
      <c r="R170" s="1">
        <v>2</v>
      </c>
    </row>
    <row r="171" spans="1:18" s="1" customFormat="1" ht="20.399999999999999">
      <c r="A171" s="79"/>
      <c r="B171" s="79"/>
      <c r="C171" s="87" t="s">
        <v>320</v>
      </c>
      <c r="D171" s="53" t="s">
        <v>321</v>
      </c>
      <c r="E171" s="15">
        <v>46688</v>
      </c>
      <c r="F171" s="15">
        <v>46798</v>
      </c>
      <c r="G171" s="54">
        <f>+F171-E171+1</f>
        <v>111</v>
      </c>
      <c r="H171" s="62"/>
      <c r="I171" s="9"/>
      <c r="J171" s="9"/>
      <c r="K171" s="64" t="s">
        <v>41</v>
      </c>
      <c r="L171" s="64" t="s">
        <v>41</v>
      </c>
      <c r="M171" s="64" t="s">
        <v>41</v>
      </c>
      <c r="N171" s="64" t="s">
        <v>41</v>
      </c>
      <c r="O171" s="64" t="s">
        <v>42</v>
      </c>
      <c r="P171" s="52" t="s">
        <v>59</v>
      </c>
      <c r="Q171" s="1">
        <v>5</v>
      </c>
      <c r="R171" s="1">
        <v>2</v>
      </c>
    </row>
    <row r="172" spans="1:18" s="1" customFormat="1" ht="13.8">
      <c r="A172" s="79"/>
      <c r="B172" s="79"/>
      <c r="C172" s="87" t="s">
        <v>322</v>
      </c>
      <c r="D172" s="53" t="s">
        <v>323</v>
      </c>
      <c r="E172" s="15">
        <v>46688</v>
      </c>
      <c r="F172" s="15">
        <v>46798</v>
      </c>
      <c r="G172" s="54">
        <f>+F172-E172+1</f>
        <v>111</v>
      </c>
      <c r="H172" s="62"/>
      <c r="I172" s="9"/>
      <c r="J172" s="9"/>
      <c r="K172" s="64" t="s">
        <v>34</v>
      </c>
      <c r="L172" s="64" t="s">
        <v>41</v>
      </c>
      <c r="M172" s="64" t="s">
        <v>41</v>
      </c>
      <c r="N172" s="64" t="s">
        <v>41</v>
      </c>
      <c r="O172" s="64" t="s">
        <v>42</v>
      </c>
      <c r="P172" s="52" t="s">
        <v>194</v>
      </c>
      <c r="Q172" s="1">
        <v>5</v>
      </c>
      <c r="R172" s="1">
        <v>2</v>
      </c>
    </row>
    <row r="173" spans="1:18" s="1" customFormat="1">
      <c r="A173" s="77" t="s">
        <v>324</v>
      </c>
      <c r="B173" s="24" t="s">
        <v>325</v>
      </c>
      <c r="C173" s="24"/>
      <c r="D173" s="25"/>
      <c r="E173" s="26"/>
      <c r="F173" s="43"/>
      <c r="G173" s="27"/>
      <c r="H173" s="44"/>
      <c r="I173" s="9"/>
      <c r="J173" s="9"/>
      <c r="K173" s="28"/>
      <c r="L173" s="28"/>
      <c r="M173" s="28"/>
      <c r="N173" s="28"/>
      <c r="O173" s="28"/>
      <c r="P173" s="35"/>
    </row>
    <row r="174" spans="1:18" s="1" customFormat="1" ht="51">
      <c r="A174" s="78"/>
      <c r="B174" s="79"/>
      <c r="C174" s="87" t="s">
        <v>326</v>
      </c>
      <c r="D174" s="53" t="s">
        <v>327</v>
      </c>
      <c r="E174" s="15">
        <v>46798</v>
      </c>
      <c r="F174" s="15">
        <v>46808</v>
      </c>
      <c r="G174" s="54">
        <f>+F174-E174+1</f>
        <v>11</v>
      </c>
      <c r="H174" s="62"/>
      <c r="I174" s="9"/>
      <c r="J174" s="9"/>
      <c r="K174" s="64" t="s">
        <v>41</v>
      </c>
      <c r="L174" s="64" t="s">
        <v>41</v>
      </c>
      <c r="M174" s="64" t="s">
        <v>41</v>
      </c>
      <c r="N174" s="64" t="s">
        <v>41</v>
      </c>
      <c r="O174" s="64" t="s">
        <v>42</v>
      </c>
      <c r="P174" s="39" t="s">
        <v>59</v>
      </c>
      <c r="Q174" s="1">
        <v>5</v>
      </c>
      <c r="R174" s="1">
        <v>3</v>
      </c>
    </row>
    <row r="175" spans="1:18" s="1" customFormat="1" ht="30.6">
      <c r="A175" s="79"/>
      <c r="B175" s="79"/>
      <c r="C175" s="87" t="s">
        <v>328</v>
      </c>
      <c r="D175" s="53" t="s">
        <v>329</v>
      </c>
      <c r="E175" s="15">
        <v>46798</v>
      </c>
      <c r="F175" s="15">
        <v>46811</v>
      </c>
      <c r="G175" s="54">
        <f>+F175-E175+1</f>
        <v>14</v>
      </c>
      <c r="H175" s="62"/>
      <c r="I175" s="9"/>
      <c r="J175" s="9"/>
      <c r="K175" s="64" t="s">
        <v>41</v>
      </c>
      <c r="L175" s="64" t="s">
        <v>41</v>
      </c>
      <c r="M175" s="64" t="s">
        <v>41</v>
      </c>
      <c r="N175" s="64" t="s">
        <v>41</v>
      </c>
      <c r="O175" s="64" t="s">
        <v>42</v>
      </c>
      <c r="P175" s="39" t="s">
        <v>59</v>
      </c>
      <c r="Q175" s="1">
        <v>5</v>
      </c>
      <c r="R175" s="1">
        <v>3</v>
      </c>
    </row>
    <row r="176" spans="1:18" s="1" customFormat="1" ht="51">
      <c r="A176" s="79"/>
      <c r="B176" s="79"/>
      <c r="C176" s="87" t="s">
        <v>330</v>
      </c>
      <c r="D176" s="53" t="s">
        <v>331</v>
      </c>
      <c r="E176" s="15">
        <v>46804</v>
      </c>
      <c r="F176" s="15">
        <v>46827</v>
      </c>
      <c r="G176" s="54">
        <f>+F176-E176+1</f>
        <v>24</v>
      </c>
      <c r="H176" s="62"/>
      <c r="I176" s="9"/>
      <c r="J176" s="9"/>
      <c r="K176" s="64" t="s">
        <v>41</v>
      </c>
      <c r="L176" s="64" t="s">
        <v>41</v>
      </c>
      <c r="M176" s="64" t="s">
        <v>41</v>
      </c>
      <c r="N176" s="64" t="s">
        <v>41</v>
      </c>
      <c r="O176" s="64" t="s">
        <v>42</v>
      </c>
      <c r="P176" s="39" t="s">
        <v>59</v>
      </c>
      <c r="Q176" s="1">
        <v>5</v>
      </c>
      <c r="R176" s="1">
        <v>3</v>
      </c>
    </row>
    <row r="177" spans="1:18" s="1" customFormat="1">
      <c r="A177" s="77" t="s">
        <v>332</v>
      </c>
      <c r="B177" s="24" t="s">
        <v>333</v>
      </c>
      <c r="C177" s="24"/>
      <c r="D177" s="25"/>
      <c r="E177" s="26"/>
      <c r="F177" s="43"/>
      <c r="G177" s="27"/>
      <c r="H177" s="44"/>
      <c r="I177" s="9"/>
      <c r="J177" s="9"/>
      <c r="K177" s="28"/>
      <c r="L177" s="28"/>
      <c r="M177" s="28"/>
      <c r="N177" s="28"/>
      <c r="O177" s="28"/>
      <c r="P177" s="35"/>
    </row>
    <row r="178" spans="1:18" s="1" customFormat="1" ht="51">
      <c r="A178" s="78"/>
      <c r="B178" s="79"/>
      <c r="C178" s="87" t="s">
        <v>334</v>
      </c>
      <c r="D178" s="53" t="s">
        <v>335</v>
      </c>
      <c r="E178" s="15">
        <v>46804</v>
      </c>
      <c r="F178" s="15">
        <v>46827</v>
      </c>
      <c r="G178" s="54">
        <f>+F178-E178+1</f>
        <v>24</v>
      </c>
      <c r="H178" s="62"/>
      <c r="I178" s="9"/>
      <c r="J178" s="9"/>
      <c r="K178" s="64" t="s">
        <v>41</v>
      </c>
      <c r="L178" s="64" t="s">
        <v>41</v>
      </c>
      <c r="M178" s="64" t="s">
        <v>41</v>
      </c>
      <c r="N178" s="64" t="s">
        <v>41</v>
      </c>
      <c r="O178" s="64" t="s">
        <v>42</v>
      </c>
      <c r="P178" s="39" t="s">
        <v>59</v>
      </c>
      <c r="Q178" s="1">
        <v>5</v>
      </c>
      <c r="R178" s="1">
        <v>4</v>
      </c>
    </row>
    <row r="179" spans="1:18" s="1" customFormat="1">
      <c r="A179" s="84" t="s">
        <v>336</v>
      </c>
      <c r="B179" s="85" t="s">
        <v>119</v>
      </c>
      <c r="C179" s="46"/>
      <c r="D179" s="32"/>
      <c r="E179" s="30"/>
      <c r="F179" s="30"/>
      <c r="G179" s="30"/>
      <c r="H179" s="47"/>
      <c r="I179" s="9"/>
      <c r="J179" s="9"/>
      <c r="K179" s="31"/>
      <c r="L179" s="31"/>
      <c r="M179" s="31"/>
      <c r="N179" s="31"/>
      <c r="O179" s="55"/>
      <c r="P179" s="31"/>
    </row>
    <row r="180" spans="1:18" s="1" customFormat="1">
      <c r="A180" s="38">
        <v>6</v>
      </c>
      <c r="B180" s="19" t="s">
        <v>337</v>
      </c>
      <c r="C180" s="19"/>
      <c r="D180" s="20"/>
      <c r="E180" s="21" t="str">
        <f ca="1">SMALL(E182:E255,1)</f>
        <v/>
      </c>
      <c r="F180" s="41" t="str">
        <f ca="1">LARGE(F182:F255,1)</f>
        <v/>
      </c>
      <c r="G180" s="22" t="str">
        <f ca="1">+F180-E180+1</f>
        <v/>
      </c>
      <c r="H180" s="42"/>
      <c r="I180" s="9"/>
      <c r="J180" s="9"/>
      <c r="K180" s="23"/>
      <c r="L180" s="23"/>
      <c r="M180" s="23"/>
      <c r="N180" s="23"/>
      <c r="O180" s="23"/>
      <c r="P180" s="37"/>
    </row>
    <row r="181" spans="1:18" s="1" customFormat="1">
      <c r="A181" s="77" t="s">
        <v>338</v>
      </c>
      <c r="B181" s="24" t="s">
        <v>339</v>
      </c>
      <c r="C181" s="24"/>
      <c r="D181" s="25"/>
      <c r="E181" s="26"/>
      <c r="F181" s="43"/>
      <c r="G181" s="27"/>
      <c r="H181" s="44"/>
      <c r="I181" s="9"/>
      <c r="J181" s="9"/>
      <c r="K181" s="28"/>
      <c r="L181" s="28"/>
      <c r="M181" s="28"/>
      <c r="N181" s="28"/>
      <c r="O181" s="28"/>
      <c r="P181" s="35"/>
    </row>
    <row r="182" spans="1:18" s="1" customFormat="1" ht="51">
      <c r="A182" s="76"/>
      <c r="B182" s="88"/>
      <c r="C182" s="73" t="s">
        <v>340</v>
      </c>
      <c r="D182" s="18" t="s">
        <v>341</v>
      </c>
      <c r="E182" s="15">
        <v>46660</v>
      </c>
      <c r="F182" s="15">
        <v>46984</v>
      </c>
      <c r="G182" s="54">
        <f>+F182-E182+1</f>
        <v>325</v>
      </c>
      <c r="H182" s="62"/>
      <c r="I182" s="9"/>
      <c r="J182" s="9"/>
      <c r="K182" s="64" t="s">
        <v>41</v>
      </c>
      <c r="L182" s="64" t="s">
        <v>41</v>
      </c>
      <c r="M182" s="64" t="s">
        <v>41</v>
      </c>
      <c r="N182" s="64" t="s">
        <v>34</v>
      </c>
      <c r="O182" s="56" t="s">
        <v>42</v>
      </c>
      <c r="P182" s="52" t="s">
        <v>54</v>
      </c>
      <c r="Q182" s="1">
        <v>6</v>
      </c>
      <c r="R182" s="1">
        <v>1</v>
      </c>
    </row>
    <row r="183" spans="1:18" s="1" customFormat="1" ht="91.8">
      <c r="A183" s="88"/>
      <c r="B183" s="88"/>
      <c r="C183" s="73" t="s">
        <v>342</v>
      </c>
      <c r="D183" s="53" t="s">
        <v>343</v>
      </c>
      <c r="E183" s="15">
        <v>46822</v>
      </c>
      <c r="F183" s="15">
        <v>47741</v>
      </c>
      <c r="G183" s="54">
        <f>+F183-E183+1</f>
        <v>920</v>
      </c>
      <c r="H183" s="62"/>
      <c r="I183" s="9"/>
      <c r="J183" s="9"/>
      <c r="K183" s="64" t="s">
        <v>41</v>
      </c>
      <c r="L183" s="64" t="s">
        <v>41</v>
      </c>
      <c r="M183" s="64" t="s">
        <v>41</v>
      </c>
      <c r="N183" s="64" t="s">
        <v>41</v>
      </c>
      <c r="O183" s="64" t="s">
        <v>42</v>
      </c>
      <c r="P183" s="39" t="s">
        <v>59</v>
      </c>
      <c r="Q183" s="1">
        <v>6</v>
      </c>
      <c r="R183" s="1">
        <v>1</v>
      </c>
    </row>
    <row r="184" spans="1:18" s="1" customFormat="1" ht="20.399999999999999">
      <c r="A184" s="79"/>
      <c r="B184" s="79"/>
      <c r="C184" s="86" t="s">
        <v>344</v>
      </c>
      <c r="D184" s="53" t="s">
        <v>345</v>
      </c>
      <c r="E184" s="15"/>
      <c r="F184" s="15"/>
      <c r="G184" s="54"/>
      <c r="H184" s="62"/>
      <c r="I184" s="9"/>
      <c r="J184" s="9"/>
      <c r="K184" s="64"/>
      <c r="L184" s="64"/>
      <c r="M184" s="64"/>
      <c r="N184" s="64"/>
      <c r="O184" s="64"/>
      <c r="P184" s="39"/>
    </row>
    <row r="185" spans="1:18" s="1" customFormat="1" ht="30.6">
      <c r="A185" s="79"/>
      <c r="B185" s="79"/>
      <c r="C185" s="86" t="s">
        <v>346</v>
      </c>
      <c r="D185" s="53" t="s">
        <v>347</v>
      </c>
      <c r="E185" s="15"/>
      <c r="F185" s="15"/>
      <c r="G185" s="54"/>
      <c r="H185" s="62"/>
      <c r="I185" s="9"/>
      <c r="J185" s="9"/>
      <c r="K185" s="64"/>
      <c r="L185" s="64"/>
      <c r="M185" s="64"/>
      <c r="N185" s="64"/>
      <c r="O185" s="64"/>
      <c r="P185" s="39"/>
    </row>
    <row r="186" spans="1:18" s="1" customFormat="1" ht="20.399999999999999">
      <c r="A186" s="77" t="s">
        <v>348</v>
      </c>
      <c r="B186" s="24" t="s">
        <v>349</v>
      </c>
      <c r="C186" s="24"/>
      <c r="D186" s="25"/>
      <c r="E186" s="26"/>
      <c r="F186" s="43"/>
      <c r="G186" s="27"/>
      <c r="H186" s="44"/>
      <c r="I186" s="9"/>
      <c r="J186" s="9"/>
      <c r="K186" s="28"/>
      <c r="L186" s="28"/>
      <c r="M186" s="28"/>
      <c r="N186" s="28"/>
      <c r="O186" s="28"/>
      <c r="P186" s="35"/>
    </row>
    <row r="187" spans="1:18" s="1" customFormat="1" ht="51">
      <c r="A187" s="75"/>
      <c r="B187" s="79"/>
      <c r="C187" s="73" t="s">
        <v>350</v>
      </c>
      <c r="D187" s="18" t="s">
        <v>351</v>
      </c>
      <c r="E187" s="15">
        <v>47299</v>
      </c>
      <c r="F187" s="15">
        <v>47741</v>
      </c>
      <c r="G187" s="54">
        <f>+F189-E189+1</f>
        <v>1</v>
      </c>
      <c r="H187" s="62"/>
      <c r="I187" s="9"/>
      <c r="J187" s="9"/>
      <c r="K187" s="64" t="s">
        <v>41</v>
      </c>
      <c r="L187" s="64" t="s">
        <v>41</v>
      </c>
      <c r="M187" s="64" t="s">
        <v>41</v>
      </c>
      <c r="N187" s="64" t="s">
        <v>34</v>
      </c>
      <c r="O187" s="56" t="s">
        <v>42</v>
      </c>
      <c r="P187" s="52" t="s">
        <v>54</v>
      </c>
      <c r="Q187" s="1">
        <v>6</v>
      </c>
      <c r="R187" s="1">
        <v>2</v>
      </c>
    </row>
    <row r="188" spans="1:18" s="1" customFormat="1" ht="91.8">
      <c r="A188" s="79"/>
      <c r="B188" s="79"/>
      <c r="C188" s="73" t="s">
        <v>352</v>
      </c>
      <c r="D188" s="53" t="s">
        <v>353</v>
      </c>
      <c r="E188" s="15"/>
      <c r="F188" s="15"/>
      <c r="G188" s="54"/>
      <c r="H188" s="62"/>
      <c r="I188" s="9"/>
      <c r="J188" s="9"/>
      <c r="K188" s="64" t="s">
        <v>41</v>
      </c>
      <c r="L188" s="64" t="s">
        <v>41</v>
      </c>
      <c r="M188" s="64" t="s">
        <v>41</v>
      </c>
      <c r="N188" s="64" t="s">
        <v>41</v>
      </c>
      <c r="O188" s="64" t="s">
        <v>42</v>
      </c>
      <c r="P188" s="39" t="s">
        <v>59</v>
      </c>
      <c r="Q188" s="1">
        <v>6</v>
      </c>
      <c r="R188" s="1">
        <v>2</v>
      </c>
    </row>
    <row r="189" spans="1:18" s="1" customFormat="1" ht="20.399999999999999">
      <c r="A189" s="79"/>
      <c r="B189" s="90"/>
      <c r="C189" s="73" t="s">
        <v>354</v>
      </c>
      <c r="D189" s="53" t="s">
        <v>355</v>
      </c>
      <c r="E189" s="15"/>
      <c r="F189" s="15"/>
      <c r="G189" s="54"/>
      <c r="H189" s="62"/>
      <c r="I189" s="9"/>
      <c r="J189" s="9"/>
      <c r="K189" s="64"/>
      <c r="L189" s="64"/>
      <c r="M189" s="64"/>
      <c r="N189" s="64"/>
      <c r="O189" s="64"/>
      <c r="P189" s="39"/>
    </row>
    <row r="190" spans="1:18" s="1" customFormat="1">
      <c r="A190" s="77" t="s">
        <v>356</v>
      </c>
      <c r="B190" s="24" t="s">
        <v>357</v>
      </c>
      <c r="C190" s="24"/>
      <c r="D190" s="25"/>
      <c r="E190" s="26"/>
      <c r="F190" s="43"/>
      <c r="G190" s="27"/>
      <c r="H190" s="44"/>
      <c r="I190" s="9"/>
      <c r="J190" s="9"/>
      <c r="K190" s="28"/>
      <c r="L190" s="28"/>
      <c r="M190" s="28"/>
      <c r="N190" s="28"/>
      <c r="O190" s="28"/>
      <c r="P190" s="35"/>
    </row>
    <row r="191" spans="1:18" s="1" customFormat="1" ht="51">
      <c r="A191" s="75"/>
      <c r="B191" s="79"/>
      <c r="C191" s="73" t="s">
        <v>358</v>
      </c>
      <c r="D191" s="18" t="s">
        <v>359</v>
      </c>
      <c r="E191" s="15">
        <v>46660</v>
      </c>
      <c r="F191" s="15">
        <v>46710</v>
      </c>
      <c r="G191" s="54">
        <f>+F193-E193+1</f>
        <v>1</v>
      </c>
      <c r="H191" s="62"/>
      <c r="I191" s="9"/>
      <c r="J191" s="9"/>
      <c r="K191" s="64" t="s">
        <v>41</v>
      </c>
      <c r="L191" s="64" t="s">
        <v>41</v>
      </c>
      <c r="M191" s="64" t="s">
        <v>41</v>
      </c>
      <c r="N191" s="64" t="s">
        <v>34</v>
      </c>
      <c r="O191" s="56" t="s">
        <v>42</v>
      </c>
      <c r="P191" s="52" t="s">
        <v>54</v>
      </c>
      <c r="Q191" s="1">
        <v>6</v>
      </c>
      <c r="R191" s="1">
        <v>3</v>
      </c>
    </row>
    <row r="192" spans="1:18" s="1" customFormat="1" ht="91.8">
      <c r="A192" s="79"/>
      <c r="B192" s="79"/>
      <c r="C192" s="73" t="s">
        <v>360</v>
      </c>
      <c r="D192" s="53" t="s">
        <v>361</v>
      </c>
      <c r="E192" s="15">
        <v>46685</v>
      </c>
      <c r="F192" s="15">
        <v>46827</v>
      </c>
      <c r="G192" s="54">
        <f>+F194-E194+1</f>
        <v>1</v>
      </c>
      <c r="H192" s="62"/>
      <c r="I192" s="9"/>
      <c r="J192" s="9"/>
      <c r="K192" s="64" t="s">
        <v>41</v>
      </c>
      <c r="L192" s="64" t="s">
        <v>41</v>
      </c>
      <c r="M192" s="64" t="s">
        <v>41</v>
      </c>
      <c r="N192" s="64" t="s">
        <v>41</v>
      </c>
      <c r="O192" s="64" t="s">
        <v>42</v>
      </c>
      <c r="P192" s="39" t="s">
        <v>59</v>
      </c>
      <c r="Q192" s="1">
        <v>6</v>
      </c>
      <c r="R192" s="1">
        <v>3</v>
      </c>
    </row>
    <row r="193" spans="1:18" s="1" customFormat="1" ht="20.399999999999999">
      <c r="A193" s="88"/>
      <c r="B193" s="88"/>
      <c r="C193" s="73" t="s">
        <v>362</v>
      </c>
      <c r="D193" s="53" t="s">
        <v>363</v>
      </c>
      <c r="E193" s="15"/>
      <c r="F193" s="15"/>
      <c r="G193" s="54"/>
      <c r="H193" s="62"/>
      <c r="I193" s="9"/>
      <c r="J193" s="9"/>
      <c r="K193" s="64"/>
      <c r="L193" s="64"/>
      <c r="M193" s="64"/>
      <c r="N193" s="64"/>
      <c r="O193" s="64"/>
      <c r="P193" s="39"/>
    </row>
    <row r="194" spans="1:18" s="1" customFormat="1" ht="40.799999999999997">
      <c r="A194" s="88"/>
      <c r="B194" s="88"/>
      <c r="C194" s="73" t="s">
        <v>364</v>
      </c>
      <c r="D194" s="53" t="s">
        <v>365</v>
      </c>
      <c r="E194" s="15"/>
      <c r="F194" s="15"/>
      <c r="G194" s="54"/>
      <c r="H194" s="62"/>
      <c r="I194" s="9"/>
      <c r="J194" s="9"/>
      <c r="K194" s="64"/>
      <c r="L194" s="64"/>
      <c r="M194" s="64"/>
      <c r="N194" s="64"/>
      <c r="O194" s="64"/>
      <c r="P194" s="39"/>
    </row>
    <row r="195" spans="1:18" s="1" customFormat="1">
      <c r="A195" s="77" t="s">
        <v>366</v>
      </c>
      <c r="B195" s="24" t="s">
        <v>367</v>
      </c>
      <c r="C195" s="24"/>
      <c r="D195" s="25"/>
      <c r="E195" s="26"/>
      <c r="F195" s="43"/>
      <c r="G195" s="27"/>
      <c r="H195" s="44"/>
      <c r="I195" s="9"/>
      <c r="J195" s="9"/>
      <c r="K195" s="28"/>
      <c r="L195" s="28"/>
      <c r="M195" s="28"/>
      <c r="N195" s="28"/>
      <c r="O195" s="28"/>
      <c r="P195" s="35"/>
    </row>
    <row r="196" spans="1:18" s="1" customFormat="1" ht="51">
      <c r="A196" s="78"/>
      <c r="B196" s="79"/>
      <c r="C196" s="73" t="s">
        <v>368</v>
      </c>
      <c r="D196" s="18" t="s">
        <v>369</v>
      </c>
      <c r="E196" s="15">
        <v>46827</v>
      </c>
      <c r="F196" s="15">
        <v>47101</v>
      </c>
      <c r="G196" s="54">
        <f t="shared" ref="G196:G216" si="5">+F198-E198+1</f>
        <v>86</v>
      </c>
      <c r="H196" s="62"/>
      <c r="I196" s="9"/>
      <c r="J196" s="9"/>
      <c r="K196" s="64" t="s">
        <v>41</v>
      </c>
      <c r="L196" s="64" t="s">
        <v>41</v>
      </c>
      <c r="M196" s="64" t="s">
        <v>41</v>
      </c>
      <c r="N196" s="64" t="s">
        <v>34</v>
      </c>
      <c r="O196" s="56" t="s">
        <v>42</v>
      </c>
      <c r="P196" s="52" t="s">
        <v>54</v>
      </c>
      <c r="Q196" s="1">
        <v>6</v>
      </c>
      <c r="R196" s="1">
        <v>4</v>
      </c>
    </row>
    <row r="197" spans="1:18" s="1" customFormat="1" ht="91.8">
      <c r="A197" s="79"/>
      <c r="B197" s="79"/>
      <c r="C197" s="73" t="s">
        <v>370</v>
      </c>
      <c r="D197" s="53" t="s">
        <v>371</v>
      </c>
      <c r="E197" s="15">
        <v>46964</v>
      </c>
      <c r="F197" s="15">
        <v>47741</v>
      </c>
      <c r="G197" s="54">
        <f t="shared" si="5"/>
        <v>549</v>
      </c>
      <c r="H197" s="62"/>
      <c r="I197" s="9"/>
      <c r="J197" s="9"/>
      <c r="K197" s="64" t="s">
        <v>41</v>
      </c>
      <c r="L197" s="64" t="s">
        <v>41</v>
      </c>
      <c r="M197" s="64" t="s">
        <v>41</v>
      </c>
      <c r="N197" s="64" t="s">
        <v>41</v>
      </c>
      <c r="O197" s="64" t="s">
        <v>42</v>
      </c>
      <c r="P197" s="39" t="s">
        <v>59</v>
      </c>
      <c r="Q197" s="1">
        <v>6</v>
      </c>
      <c r="R197" s="1">
        <v>4</v>
      </c>
    </row>
    <row r="198" spans="1:18" s="1" customFormat="1" ht="20.399999999999999">
      <c r="A198" s="79"/>
      <c r="B198" s="79"/>
      <c r="C198" s="57" t="s">
        <v>372</v>
      </c>
      <c r="D198" s="53" t="s">
        <v>373</v>
      </c>
      <c r="E198" s="15">
        <v>46892</v>
      </c>
      <c r="F198" s="15">
        <v>46977</v>
      </c>
      <c r="G198" s="54">
        <f t="shared" si="5"/>
        <v>120</v>
      </c>
      <c r="H198" s="62"/>
      <c r="I198" s="9"/>
      <c r="J198" s="9"/>
      <c r="K198" s="64" t="s">
        <v>41</v>
      </c>
      <c r="L198" s="64" t="s">
        <v>41</v>
      </c>
      <c r="M198" s="64" t="s">
        <v>41</v>
      </c>
      <c r="N198" s="64" t="s">
        <v>41</v>
      </c>
      <c r="O198" s="64" t="s">
        <v>42</v>
      </c>
      <c r="P198" s="39" t="s">
        <v>59</v>
      </c>
      <c r="Q198" s="1">
        <v>6</v>
      </c>
      <c r="R198" s="1">
        <v>4</v>
      </c>
    </row>
    <row r="199" spans="1:18" s="1" customFormat="1" ht="20.399999999999999">
      <c r="A199" s="79"/>
      <c r="B199" s="79"/>
      <c r="C199" s="57" t="s">
        <v>374</v>
      </c>
      <c r="D199" s="53" t="s">
        <v>375</v>
      </c>
      <c r="E199" s="15">
        <v>46827</v>
      </c>
      <c r="F199" s="15">
        <v>47375</v>
      </c>
      <c r="G199" s="54">
        <f t="shared" si="5"/>
        <v>138</v>
      </c>
      <c r="H199" s="62"/>
      <c r="I199" s="9"/>
      <c r="J199" s="9"/>
      <c r="K199" s="64" t="s">
        <v>41</v>
      </c>
      <c r="L199" s="64" t="s">
        <v>41</v>
      </c>
      <c r="M199" s="64" t="s">
        <v>41</v>
      </c>
      <c r="N199" s="64" t="s">
        <v>41</v>
      </c>
      <c r="O199" s="64" t="s">
        <v>42</v>
      </c>
      <c r="P199" s="39" t="s">
        <v>59</v>
      </c>
      <c r="Q199" s="1">
        <v>6</v>
      </c>
      <c r="R199" s="1">
        <v>4</v>
      </c>
    </row>
    <row r="200" spans="1:18" s="1" customFormat="1" ht="30.6">
      <c r="A200" s="79"/>
      <c r="B200" s="79"/>
      <c r="C200" s="57" t="s">
        <v>376</v>
      </c>
      <c r="D200" s="53" t="s">
        <v>377</v>
      </c>
      <c r="E200" s="15">
        <v>46958</v>
      </c>
      <c r="F200" s="15">
        <v>47077</v>
      </c>
      <c r="G200" s="54">
        <f t="shared" si="5"/>
        <v>155</v>
      </c>
      <c r="H200" s="62"/>
      <c r="I200" s="9"/>
      <c r="J200" s="9"/>
      <c r="K200" s="64" t="s">
        <v>41</v>
      </c>
      <c r="L200" s="64" t="s">
        <v>41</v>
      </c>
      <c r="M200" s="64" t="s">
        <v>41</v>
      </c>
      <c r="N200" s="64" t="s">
        <v>41</v>
      </c>
      <c r="O200" s="64" t="s">
        <v>42</v>
      </c>
      <c r="P200" s="39" t="s">
        <v>59</v>
      </c>
      <c r="Q200" s="1">
        <v>6</v>
      </c>
      <c r="R200" s="1">
        <v>4</v>
      </c>
    </row>
    <row r="201" spans="1:18" s="1" customFormat="1" ht="13.8">
      <c r="A201" s="79"/>
      <c r="B201" s="79"/>
      <c r="C201" s="57" t="s">
        <v>378</v>
      </c>
      <c r="D201" s="53" t="s">
        <v>379</v>
      </c>
      <c r="E201" s="15">
        <v>46990</v>
      </c>
      <c r="F201" s="15">
        <v>47127</v>
      </c>
      <c r="G201" s="54">
        <f t="shared" si="5"/>
        <v>173</v>
      </c>
      <c r="H201" s="62"/>
      <c r="I201" s="9"/>
      <c r="J201" s="9"/>
      <c r="K201" s="64" t="s">
        <v>34</v>
      </c>
      <c r="L201" s="64" t="s">
        <v>41</v>
      </c>
      <c r="M201" s="64" t="s">
        <v>41</v>
      </c>
      <c r="N201" s="64" t="s">
        <v>41</v>
      </c>
      <c r="O201" s="64" t="s">
        <v>42</v>
      </c>
      <c r="P201" s="39" t="s">
        <v>194</v>
      </c>
      <c r="Q201" s="1">
        <v>6</v>
      </c>
      <c r="R201" s="1">
        <v>4</v>
      </c>
    </row>
    <row r="202" spans="1:18" s="1" customFormat="1" ht="40.799999999999997">
      <c r="A202" s="79"/>
      <c r="B202" s="79"/>
      <c r="C202" s="57" t="s">
        <v>380</v>
      </c>
      <c r="D202" s="53" t="s">
        <v>381</v>
      </c>
      <c r="E202" s="15">
        <v>47023</v>
      </c>
      <c r="F202" s="15">
        <v>47177</v>
      </c>
      <c r="G202" s="54">
        <f t="shared" si="5"/>
        <v>190</v>
      </c>
      <c r="H202" s="62"/>
      <c r="I202" s="9"/>
      <c r="J202" s="9"/>
      <c r="K202" s="64" t="s">
        <v>41</v>
      </c>
      <c r="L202" s="64" t="s">
        <v>41</v>
      </c>
      <c r="M202" s="64" t="s">
        <v>41</v>
      </c>
      <c r="N202" s="64" t="s">
        <v>41</v>
      </c>
      <c r="O202" s="64" t="s">
        <v>42</v>
      </c>
      <c r="P202" s="39" t="s">
        <v>59</v>
      </c>
      <c r="Q202" s="1">
        <v>6</v>
      </c>
      <c r="R202" s="1">
        <v>4</v>
      </c>
    </row>
    <row r="203" spans="1:18" s="1" customFormat="1" ht="13.8">
      <c r="A203" s="79"/>
      <c r="B203" s="79"/>
      <c r="C203" s="57" t="s">
        <v>382</v>
      </c>
      <c r="D203" s="53" t="s">
        <v>383</v>
      </c>
      <c r="E203" s="15">
        <v>47055</v>
      </c>
      <c r="F203" s="15">
        <v>47227</v>
      </c>
      <c r="G203" s="54">
        <f t="shared" si="5"/>
        <v>208</v>
      </c>
      <c r="H203" s="62"/>
      <c r="I203" s="9"/>
      <c r="J203" s="9"/>
      <c r="K203" s="64" t="s">
        <v>41</v>
      </c>
      <c r="L203" s="64" t="s">
        <v>41</v>
      </c>
      <c r="M203" s="64" t="s">
        <v>41</v>
      </c>
      <c r="N203" s="64" t="s">
        <v>41</v>
      </c>
      <c r="O203" s="64" t="s">
        <v>42</v>
      </c>
      <c r="P203" s="39" t="s">
        <v>59</v>
      </c>
      <c r="Q203" s="1">
        <v>6</v>
      </c>
      <c r="R203" s="1">
        <v>4</v>
      </c>
    </row>
    <row r="204" spans="1:18" s="1" customFormat="1" ht="20.399999999999999">
      <c r="A204" s="79"/>
      <c r="B204" s="79"/>
      <c r="C204" s="57" t="s">
        <v>384</v>
      </c>
      <c r="D204" s="53" t="s">
        <v>385</v>
      </c>
      <c r="E204" s="15">
        <v>47088</v>
      </c>
      <c r="F204" s="15">
        <v>47277</v>
      </c>
      <c r="G204" s="54">
        <f t="shared" si="5"/>
        <v>226</v>
      </c>
      <c r="H204" s="62"/>
      <c r="I204" s="9"/>
      <c r="J204" s="9"/>
      <c r="K204" s="64" t="s">
        <v>41</v>
      </c>
      <c r="L204" s="64" t="s">
        <v>41</v>
      </c>
      <c r="M204" s="64" t="s">
        <v>41</v>
      </c>
      <c r="N204" s="64" t="s">
        <v>41</v>
      </c>
      <c r="O204" s="64" t="s">
        <v>42</v>
      </c>
      <c r="P204" s="39" t="s">
        <v>59</v>
      </c>
      <c r="Q204" s="1">
        <v>6</v>
      </c>
      <c r="R204" s="1">
        <v>4</v>
      </c>
    </row>
    <row r="205" spans="1:18" s="1" customFormat="1" ht="20.399999999999999">
      <c r="A205" s="79"/>
      <c r="B205" s="79"/>
      <c r="C205" s="57" t="s">
        <v>386</v>
      </c>
      <c r="D205" s="53" t="s">
        <v>387</v>
      </c>
      <c r="E205" s="15">
        <v>47121</v>
      </c>
      <c r="F205" s="15">
        <v>47328</v>
      </c>
      <c r="G205" s="54">
        <f t="shared" si="5"/>
        <v>243</v>
      </c>
      <c r="H205" s="62"/>
      <c r="I205" s="9"/>
      <c r="J205" s="9"/>
      <c r="K205" s="64" t="s">
        <v>41</v>
      </c>
      <c r="L205" s="64" t="s">
        <v>41</v>
      </c>
      <c r="M205" s="64" t="s">
        <v>41</v>
      </c>
      <c r="N205" s="64" t="s">
        <v>41</v>
      </c>
      <c r="O205" s="64" t="s">
        <v>42</v>
      </c>
      <c r="P205" s="39" t="s">
        <v>59</v>
      </c>
      <c r="Q205" s="1">
        <v>6</v>
      </c>
      <c r="R205" s="1">
        <v>4</v>
      </c>
    </row>
    <row r="206" spans="1:18" s="1" customFormat="1" ht="20.399999999999999">
      <c r="A206" s="79"/>
      <c r="B206" s="79"/>
      <c r="C206" s="57" t="s">
        <v>388</v>
      </c>
      <c r="D206" s="53" t="s">
        <v>389</v>
      </c>
      <c r="E206" s="15">
        <v>47153</v>
      </c>
      <c r="F206" s="15">
        <v>47378</v>
      </c>
      <c r="G206" s="54">
        <f t="shared" si="5"/>
        <v>260</v>
      </c>
      <c r="H206" s="62"/>
      <c r="I206" s="9"/>
      <c r="J206" s="9"/>
      <c r="K206" s="64" t="s">
        <v>41</v>
      </c>
      <c r="L206" s="64" t="s">
        <v>41</v>
      </c>
      <c r="M206" s="64" t="s">
        <v>41</v>
      </c>
      <c r="N206" s="64" t="s">
        <v>41</v>
      </c>
      <c r="O206" s="64" t="s">
        <v>42</v>
      </c>
      <c r="P206" s="39" t="s">
        <v>59</v>
      </c>
      <c r="Q206" s="1">
        <v>6</v>
      </c>
      <c r="R206" s="1">
        <v>4</v>
      </c>
    </row>
    <row r="207" spans="1:18" s="1" customFormat="1" ht="20.399999999999999">
      <c r="A207" s="79"/>
      <c r="B207" s="79"/>
      <c r="C207" s="57" t="s">
        <v>390</v>
      </c>
      <c r="D207" s="53" t="s">
        <v>391</v>
      </c>
      <c r="E207" s="15">
        <v>47186</v>
      </c>
      <c r="F207" s="15">
        <v>47428</v>
      </c>
      <c r="G207" s="54">
        <f t="shared" si="5"/>
        <v>278</v>
      </c>
      <c r="H207" s="62"/>
      <c r="I207" s="9"/>
      <c r="J207" s="9"/>
      <c r="K207" s="64" t="s">
        <v>41</v>
      </c>
      <c r="L207" s="64" t="s">
        <v>41</v>
      </c>
      <c r="M207" s="64" t="s">
        <v>41</v>
      </c>
      <c r="N207" s="64" t="s">
        <v>41</v>
      </c>
      <c r="O207" s="64" t="s">
        <v>42</v>
      </c>
      <c r="P207" s="39" t="s">
        <v>59</v>
      </c>
      <c r="Q207" s="1">
        <v>6</v>
      </c>
      <c r="R207" s="1">
        <v>4</v>
      </c>
    </row>
    <row r="208" spans="1:18" s="1" customFormat="1" ht="20.399999999999999">
      <c r="A208" s="79"/>
      <c r="B208" s="79"/>
      <c r="C208" s="57" t="s">
        <v>392</v>
      </c>
      <c r="D208" s="53" t="s">
        <v>393</v>
      </c>
      <c r="E208" s="15">
        <v>47219</v>
      </c>
      <c r="F208" s="15">
        <v>47478</v>
      </c>
      <c r="G208" s="54">
        <f t="shared" si="5"/>
        <v>295</v>
      </c>
      <c r="H208" s="62"/>
      <c r="I208" s="9"/>
      <c r="J208" s="9"/>
      <c r="K208" s="64" t="s">
        <v>41</v>
      </c>
      <c r="L208" s="64" t="s">
        <v>41</v>
      </c>
      <c r="M208" s="64" t="s">
        <v>41</v>
      </c>
      <c r="N208" s="64" t="s">
        <v>41</v>
      </c>
      <c r="O208" s="64" t="s">
        <v>42</v>
      </c>
      <c r="P208" s="52" t="s">
        <v>59</v>
      </c>
      <c r="Q208" s="1">
        <v>6</v>
      </c>
      <c r="R208" s="1">
        <v>4</v>
      </c>
    </row>
    <row r="209" spans="1:18" s="1" customFormat="1" ht="51">
      <c r="A209" s="79"/>
      <c r="B209" s="79"/>
      <c r="C209" s="57" t="s">
        <v>394</v>
      </c>
      <c r="D209" s="53" t="s">
        <v>395</v>
      </c>
      <c r="E209" s="15">
        <v>47251</v>
      </c>
      <c r="F209" s="15">
        <v>47528</v>
      </c>
      <c r="G209" s="54">
        <f t="shared" si="5"/>
        <v>312</v>
      </c>
      <c r="H209" s="62"/>
      <c r="I209" s="9"/>
      <c r="J209" s="9"/>
      <c r="K209" s="64" t="s">
        <v>41</v>
      </c>
      <c r="L209" s="64" t="s">
        <v>41</v>
      </c>
      <c r="M209" s="64" t="s">
        <v>41</v>
      </c>
      <c r="N209" s="64" t="s">
        <v>41</v>
      </c>
      <c r="O209" s="64" t="s">
        <v>42</v>
      </c>
      <c r="P209" s="39" t="s">
        <v>59</v>
      </c>
      <c r="Q209" s="1">
        <v>6</v>
      </c>
      <c r="R209" s="1">
        <v>4</v>
      </c>
    </row>
    <row r="210" spans="1:18" s="1" customFormat="1" ht="20.399999999999999">
      <c r="A210" s="79"/>
      <c r="B210" s="79"/>
      <c r="C210" s="57" t="s">
        <v>396</v>
      </c>
      <c r="D210" s="53" t="s">
        <v>397</v>
      </c>
      <c r="E210" s="15">
        <v>47284</v>
      </c>
      <c r="F210" s="15">
        <v>47578</v>
      </c>
      <c r="G210" s="54">
        <f t="shared" si="5"/>
        <v>732</v>
      </c>
      <c r="H210" s="62"/>
      <c r="I210" s="9"/>
      <c r="J210" s="9"/>
      <c r="K210" s="64" t="s">
        <v>41</v>
      </c>
      <c r="L210" s="64" t="s">
        <v>41</v>
      </c>
      <c r="M210" s="64" t="s">
        <v>41</v>
      </c>
      <c r="N210" s="64" t="s">
        <v>41</v>
      </c>
      <c r="O210" s="64" t="s">
        <v>42</v>
      </c>
      <c r="P210" s="39" t="s">
        <v>59</v>
      </c>
      <c r="Q210" s="1">
        <v>6</v>
      </c>
      <c r="R210" s="1">
        <v>4</v>
      </c>
    </row>
    <row r="211" spans="1:18" s="1" customFormat="1" ht="20.399999999999999">
      <c r="A211" s="79"/>
      <c r="B211" s="79"/>
      <c r="C211" s="57" t="s">
        <v>398</v>
      </c>
      <c r="D211" s="53" t="s">
        <v>399</v>
      </c>
      <c r="E211" s="15">
        <v>47317</v>
      </c>
      <c r="F211" s="15">
        <v>47628</v>
      </c>
      <c r="G211" s="54">
        <f t="shared" si="5"/>
        <v>347</v>
      </c>
      <c r="H211" s="62"/>
      <c r="I211" s="9"/>
      <c r="J211" s="9"/>
      <c r="K211" s="64" t="s">
        <v>41</v>
      </c>
      <c r="L211" s="64" t="s">
        <v>41</v>
      </c>
      <c r="M211" s="64" t="s">
        <v>41</v>
      </c>
      <c r="N211" s="64" t="s">
        <v>41</v>
      </c>
      <c r="O211" s="64" t="s">
        <v>42</v>
      </c>
      <c r="P211" s="39" t="s">
        <v>59</v>
      </c>
      <c r="Q211" s="1">
        <v>6</v>
      </c>
      <c r="R211" s="1">
        <v>4</v>
      </c>
    </row>
    <row r="212" spans="1:18" s="1" customFormat="1" ht="30.6">
      <c r="A212" s="79"/>
      <c r="B212" s="79"/>
      <c r="C212" s="57" t="s">
        <v>400</v>
      </c>
      <c r="D212" s="53" t="s">
        <v>401</v>
      </c>
      <c r="E212" s="15">
        <v>47010</v>
      </c>
      <c r="F212" s="15">
        <v>47741</v>
      </c>
      <c r="G212" s="54">
        <f t="shared" si="5"/>
        <v>732</v>
      </c>
      <c r="H212" s="62"/>
      <c r="I212" s="9"/>
      <c r="J212" s="9"/>
      <c r="K212" s="64" t="s">
        <v>34</v>
      </c>
      <c r="L212" s="64" t="s">
        <v>41</v>
      </c>
      <c r="M212" s="64" t="s">
        <v>41</v>
      </c>
      <c r="N212" s="64" t="s">
        <v>41</v>
      </c>
      <c r="O212" s="64" t="s">
        <v>42</v>
      </c>
      <c r="P212" s="52" t="s">
        <v>194</v>
      </c>
      <c r="Q212" s="1">
        <v>6</v>
      </c>
      <c r="R212" s="1">
        <v>4</v>
      </c>
    </row>
    <row r="213" spans="1:18" s="1" customFormat="1" ht="20.399999999999999">
      <c r="A213" s="79"/>
      <c r="B213" s="79"/>
      <c r="C213" s="57" t="s">
        <v>402</v>
      </c>
      <c r="D213" s="53" t="s">
        <v>403</v>
      </c>
      <c r="E213" s="15">
        <v>47382</v>
      </c>
      <c r="F213" s="15">
        <v>47728</v>
      </c>
      <c r="G213" s="54">
        <f t="shared" si="5"/>
        <v>732</v>
      </c>
      <c r="H213" s="62"/>
      <c r="I213" s="9"/>
      <c r="J213" s="9"/>
      <c r="K213" s="64" t="s">
        <v>41</v>
      </c>
      <c r="L213" s="64" t="s">
        <v>41</v>
      </c>
      <c r="M213" s="64" t="s">
        <v>41</v>
      </c>
      <c r="N213" s="64" t="s">
        <v>41</v>
      </c>
      <c r="O213" s="64" t="s">
        <v>42</v>
      </c>
      <c r="P213" s="39" t="s">
        <v>59</v>
      </c>
      <c r="Q213" s="1">
        <v>6</v>
      </c>
      <c r="R213" s="1">
        <v>4</v>
      </c>
    </row>
    <row r="214" spans="1:18" s="1" customFormat="1" ht="40.799999999999997">
      <c r="A214" s="79"/>
      <c r="B214" s="79"/>
      <c r="C214" s="57" t="s">
        <v>404</v>
      </c>
      <c r="D214" s="53" t="s">
        <v>405</v>
      </c>
      <c r="E214" s="15">
        <v>47010</v>
      </c>
      <c r="F214" s="15">
        <v>47741</v>
      </c>
      <c r="G214" s="54">
        <f t="shared" si="5"/>
        <v>262</v>
      </c>
      <c r="H214" s="62"/>
      <c r="I214" s="9"/>
      <c r="J214" s="9"/>
      <c r="K214" s="64" t="s">
        <v>41</v>
      </c>
      <c r="L214" s="64" t="s">
        <v>41</v>
      </c>
      <c r="M214" s="64" t="s">
        <v>41</v>
      </c>
      <c r="N214" s="64" t="s">
        <v>41</v>
      </c>
      <c r="O214" s="64" t="s">
        <v>42</v>
      </c>
      <c r="P214" s="39" t="s">
        <v>59</v>
      </c>
      <c r="Q214" s="1">
        <v>6</v>
      </c>
      <c r="R214" s="1">
        <v>4</v>
      </c>
    </row>
    <row r="215" spans="1:18" s="1" customFormat="1" ht="30.6">
      <c r="A215" s="79"/>
      <c r="B215" s="79"/>
      <c r="C215" s="57" t="s">
        <v>406</v>
      </c>
      <c r="D215" s="53" t="s">
        <v>407</v>
      </c>
      <c r="E215" s="15">
        <v>47010</v>
      </c>
      <c r="F215" s="15">
        <v>47741</v>
      </c>
      <c r="G215" s="54">
        <f t="shared" si="5"/>
        <v>1</v>
      </c>
      <c r="H215" s="62"/>
      <c r="I215" s="9"/>
      <c r="J215" s="9"/>
      <c r="K215" s="64" t="s">
        <v>34</v>
      </c>
      <c r="L215" s="64" t="s">
        <v>41</v>
      </c>
      <c r="M215" s="64" t="s">
        <v>41</v>
      </c>
      <c r="N215" s="64" t="s">
        <v>41</v>
      </c>
      <c r="O215" s="64" t="s">
        <v>42</v>
      </c>
      <c r="P215" s="39" t="s">
        <v>194</v>
      </c>
      <c r="Q215" s="1">
        <v>6</v>
      </c>
      <c r="R215" s="1">
        <v>4</v>
      </c>
    </row>
    <row r="216" spans="1:18" s="1" customFormat="1" ht="30.6">
      <c r="A216" s="79"/>
      <c r="B216" s="79"/>
      <c r="C216" s="57" t="s">
        <v>408</v>
      </c>
      <c r="D216" s="53" t="s">
        <v>409</v>
      </c>
      <c r="E216" s="15">
        <v>47480</v>
      </c>
      <c r="F216" s="15">
        <v>47741</v>
      </c>
      <c r="G216" s="54">
        <f t="shared" si="5"/>
        <v>1</v>
      </c>
      <c r="H216" s="62"/>
      <c r="I216" s="9"/>
      <c r="J216" s="9"/>
      <c r="K216" s="64" t="s">
        <v>34</v>
      </c>
      <c r="L216" s="64" t="s">
        <v>41</v>
      </c>
      <c r="M216" s="64" t="s">
        <v>41</v>
      </c>
      <c r="N216" s="64" t="s">
        <v>41</v>
      </c>
      <c r="O216" s="64" t="s">
        <v>42</v>
      </c>
      <c r="P216" s="39" t="s">
        <v>194</v>
      </c>
      <c r="Q216" s="1">
        <v>6</v>
      </c>
      <c r="R216" s="1">
        <v>4</v>
      </c>
    </row>
    <row r="217" spans="1:18" s="1" customFormat="1">
      <c r="A217" s="77" t="s">
        <v>410</v>
      </c>
      <c r="B217" s="24" t="s">
        <v>411</v>
      </c>
      <c r="C217" s="24"/>
      <c r="D217" s="25"/>
      <c r="E217" s="26"/>
      <c r="F217" s="43"/>
      <c r="G217" s="27"/>
      <c r="H217" s="44"/>
      <c r="I217" s="9"/>
      <c r="J217" s="9"/>
      <c r="K217" s="28"/>
      <c r="L217" s="28"/>
      <c r="M217" s="28"/>
      <c r="N217" s="28"/>
      <c r="O217" s="28"/>
      <c r="P217" s="35"/>
    </row>
    <row r="218" spans="1:18" s="1" customFormat="1" ht="20.399999999999999">
      <c r="A218" s="91"/>
      <c r="B218" s="92"/>
      <c r="C218" s="86" t="s">
        <v>412</v>
      </c>
      <c r="D218" s="18" t="s">
        <v>413</v>
      </c>
      <c r="E218" s="15"/>
      <c r="F218" s="15"/>
      <c r="G218" s="54"/>
      <c r="H218" s="62"/>
      <c r="I218" s="9"/>
      <c r="J218" s="9"/>
      <c r="K218" s="28"/>
      <c r="L218" s="28"/>
      <c r="M218" s="28"/>
      <c r="N218" s="28"/>
      <c r="O218" s="28"/>
      <c r="P218" s="35"/>
    </row>
    <row r="219" spans="1:18" s="1" customFormat="1" ht="51">
      <c r="A219" s="78"/>
      <c r="B219" s="79"/>
      <c r="C219" s="73" t="s">
        <v>414</v>
      </c>
      <c r="D219" s="18" t="s">
        <v>415</v>
      </c>
      <c r="E219" s="15">
        <v>47023</v>
      </c>
      <c r="F219" s="15">
        <v>47084</v>
      </c>
      <c r="G219" s="54">
        <f>+F240-E240+1</f>
        <v>1</v>
      </c>
      <c r="H219" s="62"/>
      <c r="I219" s="9"/>
      <c r="J219" s="9"/>
      <c r="K219" s="64" t="s">
        <v>41</v>
      </c>
      <c r="L219" s="64" t="s">
        <v>41</v>
      </c>
      <c r="M219" s="64" t="s">
        <v>41</v>
      </c>
      <c r="N219" s="64" t="s">
        <v>34</v>
      </c>
      <c r="O219" s="56" t="s">
        <v>42</v>
      </c>
      <c r="P219" s="52" t="s">
        <v>54</v>
      </c>
      <c r="Q219" s="1">
        <v>6</v>
      </c>
      <c r="R219" s="1">
        <v>5</v>
      </c>
    </row>
    <row r="220" spans="1:18" s="1" customFormat="1" ht="13.8">
      <c r="A220" s="79"/>
      <c r="B220" s="79"/>
      <c r="C220" s="93" t="s">
        <v>416</v>
      </c>
      <c r="D220" s="53" t="s">
        <v>417</v>
      </c>
      <c r="E220" s="15">
        <v>47011</v>
      </c>
      <c r="F220" s="15">
        <v>47741</v>
      </c>
      <c r="G220" s="54">
        <f>+F241-E241+1</f>
        <v>1</v>
      </c>
      <c r="H220" s="62"/>
      <c r="I220" s="9"/>
      <c r="J220" s="9"/>
      <c r="K220" s="64" t="s">
        <v>41</v>
      </c>
      <c r="L220" s="64" t="s">
        <v>41</v>
      </c>
      <c r="M220" s="64" t="s">
        <v>41</v>
      </c>
      <c r="N220" s="64" t="s">
        <v>41</v>
      </c>
      <c r="O220" s="64" t="s">
        <v>42</v>
      </c>
      <c r="P220" s="39" t="s">
        <v>59</v>
      </c>
      <c r="Q220" s="1">
        <v>6</v>
      </c>
      <c r="R220" s="1">
        <v>5</v>
      </c>
    </row>
    <row r="221" spans="1:18" s="1" customFormat="1">
      <c r="A221" s="77" t="s">
        <v>418</v>
      </c>
      <c r="B221" s="24" t="s">
        <v>419</v>
      </c>
      <c r="C221" s="24"/>
      <c r="D221" s="25"/>
      <c r="E221" s="26"/>
      <c r="F221" s="43"/>
      <c r="G221" s="27"/>
      <c r="H221" s="44"/>
      <c r="I221" s="9"/>
      <c r="J221" s="9"/>
      <c r="K221" s="28"/>
      <c r="L221" s="28"/>
      <c r="M221" s="28"/>
      <c r="N221" s="28"/>
      <c r="O221" s="28"/>
      <c r="P221" s="35"/>
    </row>
    <row r="222" spans="1:18" s="1" customFormat="1" ht="20.399999999999999">
      <c r="A222" s="91"/>
      <c r="B222" s="92"/>
      <c r="C222" s="86" t="s">
        <v>420</v>
      </c>
      <c r="D222" s="53" t="s">
        <v>421</v>
      </c>
      <c r="E222" s="15"/>
      <c r="F222" s="15"/>
      <c r="G222" s="54"/>
      <c r="H222" s="62"/>
      <c r="I222" s="9"/>
      <c r="J222" s="9"/>
      <c r="K222" s="28"/>
      <c r="L222" s="28"/>
      <c r="M222" s="28"/>
      <c r="N222" s="28"/>
      <c r="O222" s="28"/>
      <c r="P222" s="35"/>
    </row>
    <row r="223" spans="1:18" s="1" customFormat="1" ht="91.8">
      <c r="A223" s="78"/>
      <c r="B223" s="79"/>
      <c r="C223" s="73" t="s">
        <v>422</v>
      </c>
      <c r="D223" s="53" t="s">
        <v>423</v>
      </c>
      <c r="E223" s="15">
        <v>47011</v>
      </c>
      <c r="F223" s="15">
        <v>47741</v>
      </c>
      <c r="G223" s="54">
        <f>+F245-E245+1</f>
        <v>1</v>
      </c>
      <c r="H223" s="62"/>
      <c r="I223" s="9"/>
      <c r="J223" s="9"/>
      <c r="K223" s="64" t="s">
        <v>41</v>
      </c>
      <c r="L223" s="64" t="s">
        <v>41</v>
      </c>
      <c r="M223" s="64" t="s">
        <v>41</v>
      </c>
      <c r="N223" s="64" t="s">
        <v>41</v>
      </c>
      <c r="O223" s="64" t="s">
        <v>42</v>
      </c>
      <c r="P223" s="39" t="s">
        <v>59</v>
      </c>
      <c r="Q223" s="1">
        <v>6</v>
      </c>
      <c r="R223" s="1">
        <v>6</v>
      </c>
    </row>
    <row r="224" spans="1:18" s="1" customFormat="1">
      <c r="A224" s="77" t="s">
        <v>424</v>
      </c>
      <c r="B224" s="24" t="s">
        <v>425</v>
      </c>
      <c r="C224" s="24"/>
      <c r="D224" s="25"/>
      <c r="E224" s="26"/>
      <c r="F224" s="43"/>
      <c r="G224" s="27"/>
      <c r="H224" s="44"/>
      <c r="I224" s="9"/>
      <c r="J224" s="9"/>
      <c r="K224" s="28"/>
      <c r="L224" s="28"/>
      <c r="M224" s="28"/>
      <c r="N224" s="28"/>
      <c r="O224" s="28"/>
      <c r="P224" s="35"/>
    </row>
    <row r="225" spans="1:18" s="1" customFormat="1" ht="20.399999999999999">
      <c r="A225" s="91"/>
      <c r="B225" s="92"/>
      <c r="C225" s="94" t="s">
        <v>426</v>
      </c>
      <c r="D225" s="53" t="s">
        <v>427</v>
      </c>
      <c r="E225" s="15"/>
      <c r="F225" s="15"/>
      <c r="G225" s="54"/>
      <c r="H225" s="62"/>
      <c r="I225" s="9"/>
      <c r="J225" s="9"/>
      <c r="K225" s="28"/>
      <c r="L225" s="28"/>
      <c r="M225" s="28"/>
      <c r="N225" s="28"/>
      <c r="O225" s="28"/>
      <c r="P225" s="35"/>
    </row>
    <row r="226" spans="1:18" s="1" customFormat="1" ht="91.8">
      <c r="A226" s="78"/>
      <c r="B226" s="79"/>
      <c r="C226" s="95" t="s">
        <v>428</v>
      </c>
      <c r="D226" s="53" t="s">
        <v>429</v>
      </c>
      <c r="E226" s="15">
        <v>47011</v>
      </c>
      <c r="F226" s="15">
        <v>47741</v>
      </c>
      <c r="G226" s="54">
        <f>+F249-E249+1</f>
        <v>1</v>
      </c>
      <c r="H226" s="62"/>
      <c r="I226" s="9"/>
      <c r="J226" s="9"/>
      <c r="K226" s="64" t="s">
        <v>41</v>
      </c>
      <c r="L226" s="64" t="s">
        <v>41</v>
      </c>
      <c r="M226" s="64" t="s">
        <v>41</v>
      </c>
      <c r="N226" s="64" t="s">
        <v>41</v>
      </c>
      <c r="O226" s="64" t="s">
        <v>42</v>
      </c>
      <c r="P226" s="39" t="s">
        <v>59</v>
      </c>
      <c r="Q226" s="1">
        <v>6</v>
      </c>
      <c r="R226" s="1">
        <v>7</v>
      </c>
    </row>
    <row r="227" spans="1:18" s="1" customFormat="1">
      <c r="A227" s="77" t="s">
        <v>430</v>
      </c>
      <c r="B227" s="24" t="s">
        <v>431</v>
      </c>
      <c r="C227" s="24"/>
      <c r="D227" s="25"/>
      <c r="E227" s="26"/>
      <c r="F227" s="43"/>
      <c r="G227" s="27"/>
      <c r="H227" s="44"/>
      <c r="I227" s="9"/>
      <c r="J227" s="9"/>
      <c r="K227" s="28"/>
      <c r="L227" s="28"/>
      <c r="M227" s="28"/>
      <c r="N227" s="28"/>
      <c r="O227" s="28"/>
      <c r="P227" s="35"/>
    </row>
    <row r="228" spans="1:18" s="1" customFormat="1" ht="20.399999999999999">
      <c r="A228" s="91"/>
      <c r="B228" s="92"/>
      <c r="C228" s="57" t="s">
        <v>432</v>
      </c>
      <c r="D228" s="53" t="s">
        <v>433</v>
      </c>
      <c r="E228" s="15"/>
      <c r="F228" s="15"/>
      <c r="G228" s="54"/>
      <c r="H228" s="62"/>
      <c r="I228" s="9"/>
      <c r="J228" s="9"/>
      <c r="K228" s="28"/>
      <c r="L228" s="28"/>
      <c r="M228" s="28"/>
      <c r="N228" s="28"/>
      <c r="O228" s="28"/>
      <c r="P228" s="35"/>
    </row>
    <row r="229" spans="1:18" s="1" customFormat="1" ht="91.8">
      <c r="A229" s="75"/>
      <c r="B229" s="79"/>
      <c r="C229" s="73" t="s">
        <v>434</v>
      </c>
      <c r="D229" s="53" t="s">
        <v>435</v>
      </c>
      <c r="E229" s="15">
        <v>47251</v>
      </c>
      <c r="F229" s="15">
        <v>47741</v>
      </c>
      <c r="G229" s="54">
        <f>+F253-E253+1</f>
        <v>1</v>
      </c>
      <c r="H229" s="62"/>
      <c r="I229" s="9"/>
      <c r="J229" s="9"/>
      <c r="K229" s="64" t="s">
        <v>41</v>
      </c>
      <c r="L229" s="64" t="s">
        <v>41</v>
      </c>
      <c r="M229" s="64" t="s">
        <v>41</v>
      </c>
      <c r="N229" s="64" t="s">
        <v>41</v>
      </c>
      <c r="O229" s="64" t="s">
        <v>42</v>
      </c>
      <c r="P229" s="39" t="s">
        <v>59</v>
      </c>
      <c r="Q229" s="1">
        <v>6</v>
      </c>
      <c r="R229" s="1">
        <v>8</v>
      </c>
    </row>
    <row r="230" spans="1:18" s="1" customFormat="1">
      <c r="A230" s="84" t="s">
        <v>436</v>
      </c>
      <c r="B230" s="85" t="s">
        <v>119</v>
      </c>
      <c r="C230" s="46"/>
      <c r="D230" s="32"/>
      <c r="E230" s="30"/>
      <c r="F230" s="30"/>
      <c r="G230" s="30"/>
      <c r="H230" s="47"/>
      <c r="I230" s="9"/>
      <c r="J230" s="9"/>
      <c r="K230" s="31"/>
      <c r="L230" s="31"/>
      <c r="M230" s="31"/>
      <c r="N230" s="31"/>
      <c r="O230" s="31"/>
      <c r="P230" s="36"/>
    </row>
    <row r="231" spans="1:18" s="1" customFormat="1">
      <c r="A231" s="38">
        <v>7</v>
      </c>
      <c r="B231" s="19" t="s">
        <v>437</v>
      </c>
      <c r="C231" s="19"/>
      <c r="D231" s="20"/>
      <c r="E231" s="21" t="str">
        <f ca="1">SMALL(E258:E277,1)</f>
        <v/>
      </c>
      <c r="F231" s="41" t="str">
        <f ca="1">LARGE(F258:F277,1)</f>
        <v/>
      </c>
      <c r="G231" s="22">
        <f>+F256-E256+1</f>
        <v>87</v>
      </c>
      <c r="H231" s="42"/>
      <c r="I231" s="9"/>
      <c r="J231" s="9"/>
      <c r="K231" s="23"/>
      <c r="L231" s="23"/>
      <c r="M231" s="23"/>
      <c r="N231" s="23"/>
      <c r="O231" s="23"/>
      <c r="P231" s="37"/>
    </row>
    <row r="232" spans="1:18" s="1" customFormat="1">
      <c r="A232" s="77" t="s">
        <v>438</v>
      </c>
      <c r="B232" s="24" t="s">
        <v>439</v>
      </c>
      <c r="C232" s="24"/>
      <c r="D232" s="25"/>
      <c r="E232" s="26"/>
      <c r="F232" s="43"/>
      <c r="G232" s="27"/>
      <c r="H232" s="44"/>
      <c r="I232" s="9"/>
      <c r="J232" s="9"/>
      <c r="K232" s="28"/>
      <c r="L232" s="28"/>
      <c r="M232" s="28"/>
      <c r="N232" s="28"/>
      <c r="O232" s="28"/>
      <c r="P232" s="35"/>
    </row>
    <row r="233" spans="1:18" s="1" customFormat="1" ht="81.599999999999994">
      <c r="A233" s="78"/>
      <c r="B233" s="79"/>
      <c r="C233" s="87" t="s">
        <v>440</v>
      </c>
      <c r="D233" s="53" t="s">
        <v>441</v>
      </c>
      <c r="E233" s="15">
        <v>47664</v>
      </c>
      <c r="F233" s="15">
        <v>47741</v>
      </c>
      <c r="G233" s="54" t="str">
        <f ca="1">+F258-E258+1</f>
        <v/>
      </c>
      <c r="H233" s="62"/>
      <c r="I233" s="9"/>
      <c r="J233" s="9"/>
      <c r="K233" s="64" t="s">
        <v>41</v>
      </c>
      <c r="L233" s="64" t="s">
        <v>41</v>
      </c>
      <c r="M233" s="64" t="s">
        <v>41</v>
      </c>
      <c r="N233" s="64" t="s">
        <v>41</v>
      </c>
      <c r="O233" s="64" t="s">
        <v>42</v>
      </c>
      <c r="P233" s="39" t="s">
        <v>59</v>
      </c>
      <c r="Q233" s="1">
        <v>7</v>
      </c>
      <c r="R233" s="1">
        <v>1</v>
      </c>
    </row>
    <row r="234" spans="1:18" s="1" customFormat="1" ht="20.399999999999999">
      <c r="A234" s="75"/>
      <c r="B234" s="79"/>
      <c r="C234" s="87" t="s">
        <v>442</v>
      </c>
      <c r="D234" s="53" t="s">
        <v>443</v>
      </c>
      <c r="E234" s="15"/>
      <c r="F234" s="15"/>
      <c r="G234" s="54"/>
      <c r="H234" s="62"/>
      <c r="I234" s="9"/>
      <c r="J234" s="9"/>
      <c r="K234" s="64"/>
      <c r="L234" s="64"/>
      <c r="M234" s="64"/>
      <c r="N234" s="64"/>
      <c r="O234" s="64"/>
      <c r="P234" s="39"/>
    </row>
    <row r="235" spans="1:18" s="1" customFormat="1" ht="20.399999999999999">
      <c r="A235" s="75"/>
      <c r="B235" s="79"/>
      <c r="C235" s="87" t="s">
        <v>444</v>
      </c>
      <c r="D235" s="53" t="s">
        <v>445</v>
      </c>
      <c r="E235" s="15"/>
      <c r="F235" s="15"/>
      <c r="G235" s="54"/>
      <c r="H235" s="62"/>
      <c r="I235" s="9"/>
      <c r="J235" s="9"/>
      <c r="K235" s="64"/>
      <c r="L235" s="64"/>
      <c r="M235" s="64"/>
      <c r="N235" s="64"/>
      <c r="O235" s="64"/>
      <c r="P235" s="39"/>
    </row>
    <row r="236" spans="1:18" s="1" customFormat="1" ht="13.8">
      <c r="A236" s="75"/>
      <c r="B236" s="79"/>
      <c r="C236" s="87" t="s">
        <v>446</v>
      </c>
      <c r="D236" s="53" t="s">
        <v>447</v>
      </c>
      <c r="E236" s="15"/>
      <c r="F236" s="15"/>
      <c r="G236" s="54"/>
      <c r="H236" s="62"/>
      <c r="I236" s="9"/>
      <c r="J236" s="9"/>
      <c r="K236" s="64"/>
      <c r="L236" s="64"/>
      <c r="M236" s="64"/>
      <c r="N236" s="64"/>
      <c r="O236" s="64"/>
      <c r="P236" s="39"/>
    </row>
    <row r="237" spans="1:18" s="1" customFormat="1" ht="13.8">
      <c r="A237" s="75"/>
      <c r="B237" s="79"/>
      <c r="C237" s="87" t="s">
        <v>448</v>
      </c>
      <c r="D237" s="53" t="s">
        <v>449</v>
      </c>
      <c r="E237" s="15"/>
      <c r="F237" s="15"/>
      <c r="G237" s="54"/>
      <c r="H237" s="62"/>
      <c r="I237" s="9"/>
      <c r="J237" s="9"/>
      <c r="K237" s="64"/>
      <c r="L237" s="64"/>
      <c r="M237" s="64"/>
      <c r="N237" s="64"/>
      <c r="O237" s="64"/>
      <c r="P237" s="39"/>
    </row>
    <row r="238" spans="1:18" s="1" customFormat="1" ht="13.8">
      <c r="A238" s="75"/>
      <c r="B238" s="79"/>
      <c r="C238" s="87" t="s">
        <v>450</v>
      </c>
      <c r="D238" s="53" t="s">
        <v>451</v>
      </c>
      <c r="E238" s="15"/>
      <c r="F238" s="15"/>
      <c r="G238" s="54"/>
      <c r="H238" s="62"/>
      <c r="I238" s="9"/>
      <c r="J238" s="9"/>
      <c r="K238" s="64"/>
      <c r="L238" s="64"/>
      <c r="M238" s="64"/>
      <c r="N238" s="64"/>
      <c r="O238" s="64"/>
      <c r="P238" s="39"/>
    </row>
    <row r="239" spans="1:18" s="1" customFormat="1" ht="13.8">
      <c r="A239" s="75"/>
      <c r="B239" s="79"/>
      <c r="C239" s="87" t="s">
        <v>452</v>
      </c>
      <c r="D239" s="53" t="s">
        <v>453</v>
      </c>
      <c r="E239" s="15"/>
      <c r="F239" s="15"/>
      <c r="G239" s="54"/>
      <c r="H239" s="62"/>
      <c r="I239" s="9"/>
      <c r="J239" s="9"/>
      <c r="K239" s="64"/>
      <c r="L239" s="64"/>
      <c r="M239" s="64"/>
      <c r="N239" s="64"/>
      <c r="O239" s="64"/>
      <c r="P239" s="39"/>
    </row>
    <row r="240" spans="1:18" s="1" customFormat="1" ht="13.8">
      <c r="A240" s="75"/>
      <c r="B240" s="79"/>
      <c r="C240" s="87" t="s">
        <v>454</v>
      </c>
      <c r="D240" s="53" t="s">
        <v>455</v>
      </c>
      <c r="E240" s="15"/>
      <c r="F240" s="15"/>
      <c r="G240" s="54"/>
      <c r="H240" s="62"/>
      <c r="I240" s="9"/>
      <c r="J240" s="9"/>
      <c r="K240" s="64"/>
      <c r="L240" s="64"/>
      <c r="M240" s="64"/>
      <c r="N240" s="64"/>
      <c r="O240" s="64"/>
      <c r="P240" s="39"/>
    </row>
    <row r="241" spans="1:18" s="1" customFormat="1">
      <c r="A241" s="77" t="s">
        <v>456</v>
      </c>
      <c r="B241" s="24" t="s">
        <v>457</v>
      </c>
      <c r="C241" s="24"/>
      <c r="D241" s="25"/>
      <c r="E241" s="26"/>
      <c r="F241" s="43"/>
      <c r="G241" s="27"/>
      <c r="H241" s="44"/>
      <c r="I241" s="9"/>
      <c r="J241" s="9"/>
      <c r="K241" s="28"/>
      <c r="L241" s="28"/>
      <c r="M241" s="28"/>
      <c r="N241" s="28"/>
      <c r="O241" s="28"/>
      <c r="P241" s="35"/>
    </row>
    <row r="242" spans="1:18" s="1" customFormat="1" ht="20.399999999999999">
      <c r="A242" s="91"/>
      <c r="B242" s="92"/>
      <c r="C242" s="53" t="s">
        <v>458</v>
      </c>
      <c r="D242" s="18" t="s">
        <v>459</v>
      </c>
      <c r="E242" s="15"/>
      <c r="F242" s="15"/>
      <c r="G242" s="54"/>
      <c r="H242" s="62"/>
      <c r="I242" s="9"/>
      <c r="J242" s="9"/>
      <c r="K242" s="28"/>
      <c r="L242" s="28"/>
      <c r="M242" s="28"/>
      <c r="N242" s="28"/>
      <c r="O242" s="28"/>
      <c r="P242" s="35"/>
    </row>
    <row r="243" spans="1:18" s="1" customFormat="1" ht="51">
      <c r="A243" s="78"/>
      <c r="B243" s="79"/>
      <c r="C243" s="73" t="s">
        <v>460</v>
      </c>
      <c r="D243" s="18" t="s">
        <v>461</v>
      </c>
      <c r="E243" s="15">
        <v>47664</v>
      </c>
      <c r="F243" s="15">
        <v>48000</v>
      </c>
      <c r="G243" s="54">
        <f>+F268-E268+1</f>
        <v>1</v>
      </c>
      <c r="H243" s="62"/>
      <c r="I243" s="9"/>
      <c r="J243" s="9"/>
      <c r="K243" s="64" t="s">
        <v>41</v>
      </c>
      <c r="L243" s="64" t="s">
        <v>41</v>
      </c>
      <c r="M243" s="64" t="s">
        <v>41</v>
      </c>
      <c r="N243" s="64" t="s">
        <v>34</v>
      </c>
      <c r="O243" s="56" t="s">
        <v>42</v>
      </c>
      <c r="P243" s="52" t="s">
        <v>54</v>
      </c>
      <c r="Q243" s="1">
        <v>7</v>
      </c>
      <c r="R243" s="1">
        <v>2</v>
      </c>
    </row>
    <row r="244" spans="1:18" s="1" customFormat="1" ht="91.8">
      <c r="A244" s="79"/>
      <c r="B244" s="79"/>
      <c r="C244" s="73" t="s">
        <v>462</v>
      </c>
      <c r="D244" s="53" t="s">
        <v>463</v>
      </c>
      <c r="E244" s="15">
        <v>47664</v>
      </c>
      <c r="F244" s="15">
        <v>48000</v>
      </c>
      <c r="G244" s="54">
        <f>+F269-E269+1</f>
        <v>1</v>
      </c>
      <c r="H244" s="62"/>
      <c r="I244" s="9"/>
      <c r="J244" s="9"/>
      <c r="K244" s="64" t="s">
        <v>41</v>
      </c>
      <c r="L244" s="64" t="s">
        <v>41</v>
      </c>
      <c r="M244" s="64" t="s">
        <v>41</v>
      </c>
      <c r="N244" s="64" t="s">
        <v>41</v>
      </c>
      <c r="O244" s="64" t="s">
        <v>42</v>
      </c>
      <c r="P244" s="39" t="s">
        <v>59</v>
      </c>
      <c r="Q244" s="1">
        <v>7</v>
      </c>
      <c r="R244" s="1">
        <v>2</v>
      </c>
    </row>
    <row r="245" spans="1:18" s="1" customFormat="1">
      <c r="A245" s="77" t="s">
        <v>464</v>
      </c>
      <c r="B245" s="24" t="s">
        <v>465</v>
      </c>
      <c r="C245" s="24"/>
      <c r="D245" s="25"/>
      <c r="E245" s="26"/>
      <c r="F245" s="43"/>
      <c r="G245" s="27"/>
      <c r="H245" s="44"/>
      <c r="I245" s="9"/>
      <c r="J245" s="9"/>
      <c r="K245" s="28"/>
      <c r="L245" s="28"/>
      <c r="M245" s="28"/>
      <c r="N245" s="28"/>
      <c r="O245" s="28"/>
      <c r="P245" s="35"/>
    </row>
    <row r="246" spans="1:18" s="1" customFormat="1">
      <c r="A246" s="91"/>
      <c r="B246" s="92"/>
      <c r="C246" s="73" t="s">
        <v>466</v>
      </c>
      <c r="D246" s="18" t="s">
        <v>467</v>
      </c>
      <c r="E246" s="15"/>
      <c r="F246" s="15"/>
      <c r="G246" s="54"/>
      <c r="H246" s="62"/>
      <c r="I246" s="9"/>
      <c r="J246" s="9"/>
      <c r="K246" s="28"/>
      <c r="L246" s="28"/>
      <c r="M246" s="28"/>
      <c r="N246" s="28"/>
      <c r="O246" s="28"/>
      <c r="P246" s="35"/>
    </row>
    <row r="247" spans="1:18" s="1" customFormat="1" ht="51">
      <c r="A247" s="78"/>
      <c r="B247" s="79"/>
      <c r="C247" s="73" t="s">
        <v>468</v>
      </c>
      <c r="D247" s="18" t="s">
        <v>469</v>
      </c>
      <c r="E247" s="15">
        <v>47664</v>
      </c>
      <c r="F247" s="15">
        <v>48000</v>
      </c>
      <c r="G247" s="54">
        <f>+F272-E272+1</f>
        <v>1</v>
      </c>
      <c r="H247" s="62"/>
      <c r="I247" s="9"/>
      <c r="J247" s="9"/>
      <c r="K247" s="64" t="s">
        <v>41</v>
      </c>
      <c r="L247" s="64" t="s">
        <v>41</v>
      </c>
      <c r="M247" s="64" t="s">
        <v>41</v>
      </c>
      <c r="N247" s="64" t="s">
        <v>34</v>
      </c>
      <c r="O247" s="56" t="s">
        <v>42</v>
      </c>
      <c r="P247" s="52" t="s">
        <v>54</v>
      </c>
      <c r="Q247" s="1">
        <v>7</v>
      </c>
      <c r="R247" s="1">
        <v>3</v>
      </c>
    </row>
    <row r="248" spans="1:18" s="1" customFormat="1" ht="91.8">
      <c r="A248" s="79"/>
      <c r="B248" s="79"/>
      <c r="C248" s="73" t="s">
        <v>470</v>
      </c>
      <c r="D248" s="53" t="s">
        <v>471</v>
      </c>
      <c r="E248" s="15">
        <v>47664</v>
      </c>
      <c r="F248" s="15">
        <v>48000</v>
      </c>
      <c r="G248" s="54">
        <f>+F273-E273+1</f>
        <v>1</v>
      </c>
      <c r="H248" s="62"/>
      <c r="I248" s="9"/>
      <c r="J248" s="9"/>
      <c r="K248" s="64" t="s">
        <v>41</v>
      </c>
      <c r="L248" s="64" t="s">
        <v>41</v>
      </c>
      <c r="M248" s="64" t="s">
        <v>41</v>
      </c>
      <c r="N248" s="64" t="s">
        <v>41</v>
      </c>
      <c r="O248" s="64" t="s">
        <v>42</v>
      </c>
      <c r="P248" s="39" t="s">
        <v>59</v>
      </c>
      <c r="Q248" s="1">
        <v>7</v>
      </c>
      <c r="R248" s="1">
        <v>3</v>
      </c>
    </row>
    <row r="249" spans="1:18" s="1" customFormat="1">
      <c r="A249" s="77" t="s">
        <v>472</v>
      </c>
      <c r="B249" s="24" t="s">
        <v>473</v>
      </c>
      <c r="C249" s="24"/>
      <c r="D249" s="25"/>
      <c r="E249" s="26"/>
      <c r="F249" s="43"/>
      <c r="G249" s="27"/>
      <c r="H249" s="44"/>
      <c r="I249" s="9"/>
      <c r="J249" s="9"/>
      <c r="K249" s="28"/>
      <c r="L249" s="28"/>
      <c r="M249" s="28"/>
      <c r="N249" s="28"/>
      <c r="O249" s="28"/>
      <c r="P249" s="35"/>
    </row>
    <row r="250" spans="1:18" s="1" customFormat="1" ht="13.8">
      <c r="A250" s="78"/>
      <c r="B250" s="79"/>
      <c r="C250" s="57" t="s">
        <v>474</v>
      </c>
      <c r="D250" s="53" t="s">
        <v>475</v>
      </c>
      <c r="E250" s="15">
        <v>47664</v>
      </c>
      <c r="F250" s="15">
        <v>48000</v>
      </c>
      <c r="G250" s="54">
        <f>+F275-E275+1</f>
        <v>1</v>
      </c>
      <c r="H250" s="62"/>
      <c r="I250" s="9"/>
      <c r="J250" s="9"/>
      <c r="K250" s="64" t="s">
        <v>41</v>
      </c>
      <c r="L250" s="64" t="s">
        <v>41</v>
      </c>
      <c r="M250" s="64" t="s">
        <v>41</v>
      </c>
      <c r="N250" s="64" t="s">
        <v>41</v>
      </c>
      <c r="O250" s="64" t="s">
        <v>42</v>
      </c>
      <c r="P250" s="39" t="s">
        <v>59</v>
      </c>
      <c r="Q250" s="1">
        <v>7</v>
      </c>
      <c r="R250" s="1">
        <v>4</v>
      </c>
    </row>
    <row r="251" spans="1:18" s="1" customFormat="1" ht="20.399999999999999">
      <c r="A251" s="79"/>
      <c r="B251" s="79"/>
      <c r="C251" s="57" t="s">
        <v>476</v>
      </c>
      <c r="D251" s="53" t="s">
        <v>477</v>
      </c>
      <c r="E251" s="15">
        <v>47664</v>
      </c>
      <c r="F251" s="15">
        <v>48000</v>
      </c>
      <c r="G251" s="54">
        <f>+F276-E276+1</f>
        <v>1</v>
      </c>
      <c r="H251" s="62"/>
      <c r="I251" s="9"/>
      <c r="J251" s="9"/>
      <c r="K251" s="64" t="s">
        <v>41</v>
      </c>
      <c r="L251" s="64" t="s">
        <v>41</v>
      </c>
      <c r="M251" s="64" t="s">
        <v>41</v>
      </c>
      <c r="N251" s="64" t="s">
        <v>41</v>
      </c>
      <c r="O251" s="64" t="s">
        <v>42</v>
      </c>
      <c r="P251" s="39" t="s">
        <v>59</v>
      </c>
      <c r="Q251" s="1">
        <v>7</v>
      </c>
      <c r="R251" s="1">
        <v>4</v>
      </c>
    </row>
    <row r="252" spans="1:18" s="1" customFormat="1" ht="13.8">
      <c r="A252" s="79"/>
      <c r="B252" s="79"/>
      <c r="C252" s="57"/>
      <c r="D252" s="53" t="s">
        <v>478</v>
      </c>
      <c r="E252" s="54"/>
      <c r="F252" s="54"/>
      <c r="G252" s="54"/>
      <c r="H252" s="62"/>
      <c r="I252" s="9"/>
      <c r="J252" s="9"/>
      <c r="K252" s="63" t="s">
        <v>41</v>
      </c>
      <c r="L252" s="63" t="s">
        <v>41</v>
      </c>
      <c r="M252" s="63" t="s">
        <v>41</v>
      </c>
      <c r="N252" s="63" t="s">
        <v>41</v>
      </c>
      <c r="O252" s="64" t="s">
        <v>42</v>
      </c>
      <c r="P252" s="63" t="s">
        <v>59</v>
      </c>
      <c r="Q252" s="1">
        <v>7</v>
      </c>
      <c r="R252" s="1">
        <v>4</v>
      </c>
    </row>
    <row r="253" spans="1:18" s="1" customFormat="1">
      <c r="A253" s="38" t="s">
        <v>479</v>
      </c>
      <c r="B253" s="19" t="s">
        <v>480</v>
      </c>
      <c r="C253" s="19"/>
      <c r="D253" s="20"/>
      <c r="E253" s="21"/>
      <c r="F253" s="41"/>
      <c r="G253" s="22">
        <f>+F278-E278+1</f>
        <v>1</v>
      </c>
      <c r="H253" s="42"/>
      <c r="I253" s="9"/>
      <c r="J253" s="9"/>
      <c r="K253" s="23"/>
      <c r="L253" s="23"/>
      <c r="M253" s="23"/>
      <c r="N253" s="23"/>
      <c r="O253" s="23"/>
      <c r="P253" s="37"/>
    </row>
    <row r="254" spans="1:18" s="1" customFormat="1">
      <c r="A254" s="77" t="s">
        <v>481</v>
      </c>
      <c r="B254" s="24" t="s">
        <v>482</v>
      </c>
      <c r="C254" s="24"/>
      <c r="D254" s="25"/>
      <c r="E254" s="26"/>
      <c r="F254" s="43"/>
      <c r="G254" s="27"/>
      <c r="H254" s="44"/>
      <c r="I254" s="9"/>
      <c r="J254" s="9"/>
      <c r="K254" s="28"/>
      <c r="L254" s="28"/>
      <c r="M254" s="28"/>
      <c r="N254" s="28"/>
      <c r="O254" s="28"/>
      <c r="P254" s="35"/>
    </row>
    <row r="255" spans="1:18" s="1" customFormat="1">
      <c r="A255" s="91"/>
      <c r="B255" s="92"/>
      <c r="C255" s="73" t="s">
        <v>483</v>
      </c>
      <c r="D255" s="18" t="s">
        <v>484</v>
      </c>
      <c r="E255" s="15"/>
      <c r="F255" s="15"/>
      <c r="G255" s="54"/>
      <c r="H255" s="62"/>
      <c r="I255" s="9"/>
      <c r="J255" s="9"/>
      <c r="K255" s="28"/>
      <c r="L255" s="28"/>
      <c r="M255" s="28"/>
      <c r="N255" s="28"/>
      <c r="O255" s="28"/>
      <c r="P255" s="35"/>
    </row>
    <row r="256" spans="1:18" s="3" customFormat="1" ht="51">
      <c r="A256" s="78"/>
      <c r="B256" s="79"/>
      <c r="C256" s="73" t="s">
        <v>485</v>
      </c>
      <c r="D256" s="18" t="s">
        <v>486</v>
      </c>
      <c r="E256" s="15">
        <v>46295</v>
      </c>
      <c r="F256" s="15">
        <v>46381</v>
      </c>
      <c r="G256" s="54">
        <f>+F281-E281+1</f>
        <v>1</v>
      </c>
      <c r="H256" s="62"/>
      <c r="I256" s="9"/>
      <c r="J256" s="9"/>
      <c r="K256" s="64" t="s">
        <v>34</v>
      </c>
      <c r="L256" s="64" t="s">
        <v>34</v>
      </c>
      <c r="M256" s="64" t="s">
        <v>34</v>
      </c>
      <c r="N256" s="64" t="s">
        <v>34</v>
      </c>
      <c r="O256" s="56"/>
      <c r="P256" s="34"/>
      <c r="Q256" s="1">
        <v>8</v>
      </c>
      <c r="R256" s="1">
        <v>1</v>
      </c>
    </row>
    <row r="257" spans="1:18" s="3" customFormat="1" ht="81.599999999999994">
      <c r="A257" s="79"/>
      <c r="B257" s="79"/>
      <c r="C257" s="73" t="s">
        <v>487</v>
      </c>
      <c r="D257" s="53" t="s">
        <v>488</v>
      </c>
      <c r="E257" s="15">
        <v>46351</v>
      </c>
      <c r="F257" s="15">
        <v>48000</v>
      </c>
      <c r="G257" s="54">
        <f>+F282-E282+1</f>
        <v>1</v>
      </c>
      <c r="H257" s="62"/>
      <c r="I257" s="9"/>
      <c r="J257" s="9"/>
      <c r="K257" s="64" t="s">
        <v>34</v>
      </c>
      <c r="L257" s="64" t="s">
        <v>34</v>
      </c>
      <c r="M257" s="64" t="s">
        <v>34</v>
      </c>
      <c r="N257" s="64" t="s">
        <v>34</v>
      </c>
      <c r="O257" s="56"/>
      <c r="P257" s="39"/>
      <c r="Q257" s="1">
        <v>8</v>
      </c>
      <c r="R257" s="1">
        <v>1</v>
      </c>
    </row>
    <row r="258" spans="1:18" s="1" customFormat="1">
      <c r="A258" s="96"/>
      <c r="B258" s="92" t="s">
        <v>489</v>
      </c>
      <c r="C258" s="57"/>
      <c r="D258" s="58"/>
      <c r="E258" s="59" t="str">
        <f ca="1">SMALL(E17:E283,1)</f>
        <v/>
      </c>
      <c r="F258" s="60" t="str">
        <f ca="1">LARGE(F17:F283,1)</f>
        <v/>
      </c>
      <c r="G258" s="61">
        <f>+F284-E284+1</f>
        <v>1</v>
      </c>
      <c r="H258" s="62"/>
      <c r="I258" s="9"/>
      <c r="J258" s="9"/>
      <c r="K258" s="63"/>
      <c r="L258" s="63"/>
      <c r="M258" s="63"/>
      <c r="N258" s="63"/>
      <c r="O258" s="63"/>
      <c r="P258" s="63"/>
    </row>
    <row r="259" spans="1:18" s="1" customFormat="1" ht="20.399999999999999" customHeight="1">
      <c r="B259" s="14"/>
    </row>
    <row r="260" spans="1:18" s="1" customFormat="1" ht="30.6" customHeight="1">
      <c r="H260" s="51"/>
    </row>
    <row r="261" spans="1:18" s="1" customFormat="1" ht="20.399999999999999" customHeight="1"/>
    <row r="262" spans="1:18" s="1" customFormat="1" ht="20.399999999999999" customHeight="1"/>
    <row r="263" spans="1:18" s="1" customFormat="1" ht="20.399999999999999" customHeight="1"/>
    <row r="264" spans="1:18" s="1" customFormat="1" ht="13.8" customHeight="1"/>
    <row r="265" spans="1:18" s="1" customFormat="1" ht="20.399999999999999" customHeight="1"/>
    <row r="266" spans="1:18" s="1" customFormat="1"/>
    <row r="267" spans="1:18" s="1" customFormat="1" ht="20.399999999999999" customHeight="1"/>
    <row r="268" spans="1:18" s="1" customFormat="1" ht="51" customHeight="1"/>
    <row r="269" spans="1:18" s="1" customFormat="1" ht="91.8" customHeight="1"/>
    <row r="270" spans="1:18" s="1" customFormat="1" ht="22.5" customHeight="1"/>
    <row r="271" spans="1:18" s="1" customFormat="1" ht="22.5" customHeight="1"/>
    <row r="272" spans="1:18" s="1" customFormat="1" ht="45" customHeight="1"/>
    <row r="273" s="1" customFormat="1" ht="90" customHeight="1"/>
    <row r="274" s="1" customFormat="1"/>
    <row r="275" s="1" customFormat="1" ht="13.2" customHeight="1"/>
    <row r="276" s="1" customFormat="1" ht="20.399999999999999" customHeight="1"/>
    <row r="277" s="1" customFormat="1" ht="13.2" customHeight="1"/>
    <row r="278" s="1" customFormat="1"/>
    <row r="279" s="1" customFormat="1"/>
    <row r="280" s="1" customFormat="1"/>
    <row r="281" s="1" customFormat="1" ht="45" customHeight="1"/>
    <row r="282" s="1" customFormat="1" ht="90" customHeight="1"/>
    <row r="283" s="1" customFormat="1" ht="13.2" customHeight="1"/>
    <row r="284" s="1" customFormat="1"/>
  </sheetData>
  <autoFilter ref="A16:P284" xr:uid="{00000000-0009-0000-0000-000000000000}"/>
  <mergeCells count="3">
    <mergeCell ref="A80:B83"/>
    <mergeCell ref="A193:B194"/>
    <mergeCell ref="A182:B183"/>
  </mergeCells>
  <pageMargins left="0.7" right="0.7"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2026-08-04T19:43:12Z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