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mc:AlternateContent xmlns:mc="http://schemas.openxmlformats.org/markup-compatibility/2006">
    <mc:Choice Requires="x15">
      <x15ac:absPath xmlns:x15ac="http://schemas.microsoft.com/office/spreadsheetml/2010/11/ac" url="D:\diploma\alfa\"/>
    </mc:Choice>
  </mc:AlternateContent>
  <xr:revisionPtr revIDLastSave="0" documentId="8_{8F4F9786-1DFA-4D2A-9343-235F4C8047A8}" xr6:coauthVersionLast="45" xr6:coauthVersionMax="45" xr10:uidLastSave="{00000000-0000-0000-0000-000000000000}"/>
  <bookViews>
    <workbookView xWindow="-108" yWindow="-108" windowWidth="23256" windowHeight="12576" xr2:uid="{00000000-000D-0000-FFFF-FFFF00000000}"/>
  </bookViews>
  <sheets>
    <sheet name="Форма КП" sheetId="1" r:id="rId1"/>
  </sheets>
  <definedNames>
    <definedName name="_xlnm._FilterDatabase" localSheetId="0" hidden="1">'Форма КП'!$A$16:$P$270</definedName>
    <definedName name="valuevx">42.314159</definedName>
    <definedName name="vertex42_copyright" hidden="1">"© 2009-2018 by Vertex42.com"</definedName>
    <definedName name="vertex42_id" hidden="1">"divisional-org-chart.xlsx"</definedName>
    <definedName name="vertex42_title" hidden="1">"Divisional Organizational Chart Template"</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244" i="1" l="1"/>
  <c r="G243" i="1"/>
  <c r="G242" i="1"/>
  <c r="G241" i="1"/>
  <c r="G238" i="1"/>
  <c r="G237" i="1"/>
  <c r="G235" i="1"/>
  <c r="G234" i="1"/>
  <c r="G233" i="1"/>
  <c r="G231" i="1"/>
  <c r="G230" i="1"/>
  <c r="G229" i="1"/>
  <c r="G227" i="1"/>
  <c r="G226" i="1"/>
  <c r="G225" i="1"/>
  <c r="G224" i="1"/>
  <c r="G223" i="1"/>
  <c r="G222" i="1"/>
  <c r="G221" i="1"/>
  <c r="G220" i="1"/>
  <c r="G216" i="1"/>
  <c r="G215" i="1"/>
  <c r="G213" i="1"/>
  <c r="G212" i="1"/>
  <c r="G210" i="1"/>
  <c r="G209" i="1"/>
  <c r="G207" i="1"/>
  <c r="G206" i="1"/>
  <c r="G205" i="1"/>
  <c r="G203" i="1"/>
  <c r="G202" i="1"/>
  <c r="G201" i="1"/>
  <c r="G200" i="1"/>
  <c r="G199" i="1"/>
  <c r="G198" i="1"/>
  <c r="G197" i="1"/>
  <c r="G196" i="1"/>
  <c r="G195" i="1"/>
  <c r="G194" i="1"/>
  <c r="G193" i="1"/>
  <c r="G192" i="1"/>
  <c r="G191" i="1"/>
  <c r="G190" i="1"/>
  <c r="G189" i="1"/>
  <c r="G188" i="1"/>
  <c r="G187" i="1"/>
  <c r="G186" i="1"/>
  <c r="G185" i="1"/>
  <c r="G184" i="1"/>
  <c r="G183" i="1"/>
  <c r="G181" i="1"/>
  <c r="G180" i="1"/>
  <c r="G179" i="1"/>
  <c r="G178" i="1"/>
  <c r="G176" i="1"/>
  <c r="G175" i="1"/>
  <c r="G174" i="1"/>
  <c r="G172" i="1"/>
  <c r="G171" i="1"/>
  <c r="G136" i="1"/>
  <c r="G125" i="1"/>
  <c r="G126" i="1"/>
  <c r="G115" i="1"/>
  <c r="G108" i="1"/>
  <c r="G107" i="1"/>
  <c r="G106" i="1"/>
  <c r="G105" i="1"/>
  <c r="G61" i="1"/>
  <c r="G60" i="1"/>
  <c r="G59" i="1"/>
  <c r="G72" i="1" l="1"/>
  <c r="G29" i="1"/>
  <c r="G239" i="1"/>
  <c r="G218" i="1"/>
  <c r="G170" i="1"/>
  <c r="G169" i="1"/>
  <c r="G165" i="1"/>
  <c r="G163" i="1"/>
  <c r="G162" i="1"/>
  <c r="G161" i="1"/>
  <c r="G159" i="1"/>
  <c r="G158" i="1"/>
  <c r="G157" i="1"/>
  <c r="G155" i="1"/>
  <c r="G154" i="1"/>
  <c r="G153" i="1"/>
  <c r="G152" i="1"/>
  <c r="G151" i="1"/>
  <c r="G150" i="1"/>
  <c r="G149" i="1"/>
  <c r="G148" i="1"/>
  <c r="G147" i="1"/>
  <c r="G143" i="1"/>
  <c r="G142" i="1"/>
  <c r="G141" i="1"/>
  <c r="G140" i="1"/>
  <c r="G139" i="1"/>
  <c r="G137" i="1"/>
  <c r="G135" i="1"/>
  <c r="G134" i="1"/>
  <c r="G132" i="1"/>
  <c r="G131" i="1"/>
  <c r="G130" i="1"/>
  <c r="G128" i="1"/>
  <c r="G127" i="1"/>
  <c r="G123" i="1"/>
  <c r="G122" i="1"/>
  <c r="G121" i="1"/>
  <c r="G120" i="1"/>
  <c r="G119" i="1"/>
  <c r="G118" i="1"/>
  <c r="G116" i="1"/>
  <c r="G114" i="1"/>
  <c r="G113" i="1"/>
  <c r="G111" i="1"/>
  <c r="G110" i="1"/>
  <c r="G109" i="1"/>
  <c r="G104" i="1"/>
  <c r="G103" i="1"/>
  <c r="G101" i="1"/>
  <c r="G100" i="1"/>
  <c r="G99" i="1"/>
  <c r="G95" i="1"/>
  <c r="G94" i="1"/>
  <c r="G93" i="1"/>
  <c r="G92" i="1"/>
  <c r="G91" i="1"/>
  <c r="G90" i="1"/>
  <c r="G89" i="1"/>
  <c r="G88" i="1"/>
  <c r="G87" i="1"/>
  <c r="G86" i="1"/>
  <c r="G85" i="1"/>
  <c r="G84" i="1"/>
  <c r="G83" i="1"/>
  <c r="G81" i="1"/>
  <c r="G79" i="1"/>
  <c r="G78" i="1"/>
  <c r="G77" i="1"/>
  <c r="G75" i="1"/>
  <c r="G74" i="1"/>
  <c r="G71" i="1"/>
  <c r="G70" i="1"/>
  <c r="G68" i="1"/>
  <c r="G67" i="1"/>
  <c r="G65" i="1"/>
  <c r="G64" i="1"/>
  <c r="G62" i="1"/>
  <c r="G58" i="1"/>
  <c r="G57" i="1"/>
  <c r="G53" i="1"/>
  <c r="G52" i="1"/>
  <c r="G51" i="1"/>
  <c r="G49" i="1"/>
  <c r="G48" i="1"/>
  <c r="G47" i="1"/>
  <c r="G45" i="1"/>
  <c r="G44" i="1"/>
  <c r="G43" i="1"/>
  <c r="G41" i="1"/>
  <c r="G40" i="1"/>
  <c r="G39" i="1"/>
  <c r="G37" i="1"/>
  <c r="G36" i="1"/>
  <c r="G35" i="1"/>
  <c r="G33" i="1"/>
  <c r="G32" i="1"/>
  <c r="G31" i="1"/>
  <c r="G28" i="1"/>
  <c r="G27" i="1"/>
  <c r="G25" i="1"/>
  <c r="G24" i="1"/>
  <c r="G23" i="1"/>
  <c r="G22" i="1"/>
  <c r="G21" i="1"/>
  <c r="G20" i="1"/>
  <c r="G19" i="1"/>
  <c r="B16" i="1"/>
  <c r="C16" i="1" s="1"/>
  <c r="D16" i="1" s="1"/>
  <c r="E16" i="1" s="1"/>
  <c r="F16" i="1" s="1"/>
  <c r="G16" i="1" s="1"/>
  <c r="H16" i="1" s="1"/>
  <c r="K16" i="1" s="1"/>
  <c r="L16" i="1" s="1"/>
  <c r="M16" i="1" s="1"/>
  <c r="N16" i="1" s="1"/>
  <c r="O16" i="1" s="1"/>
  <c r="P16" i="1" s="1"/>
  <c r="G145" i="1" l="1"/>
  <c r="G55" i="1"/>
  <c r="G97" i="1"/>
  <c r="G17" i="1"/>
  <c r="G167" i="1"/>
</calcChain>
</file>

<file path=xl/sharedStrings.xml><?xml version="1.0" encoding="utf-8"?>
<sst xmlns="http://schemas.openxmlformats.org/spreadsheetml/2006/main" count="1293" uniqueCount="477">
  <si>
    <t>ЗАКАЗЧИК:</t>
  </si>
  <si>
    <t>ОБЪЕКТ:</t>
  </si>
  <si>
    <t>мультимедийный центр, г. Москва</t>
  </si>
  <si>
    <t>Адрес:</t>
  </si>
  <si>
    <t>г.Москва</t>
  </si>
  <si>
    <t>Площадь объекта по данным КБ Стрелки м2</t>
  </si>
  <si>
    <t>КОНКУРСНОЕ ПРЕДЛОЖЕНИЕ</t>
  </si>
  <si>
    <t>КОМПАНИЯ (полное наименование в т.ч. форма собственности):</t>
  </si>
  <si>
    <t>Юридический адрес:</t>
  </si>
  <si>
    <t>Электронный адрес:</t>
  </si>
  <si>
    <t>Контактное лицо  (Ф.И.О.) :</t>
  </si>
  <si>
    <t>Контактный телефон:</t>
  </si>
  <si>
    <t>Реквизиты:</t>
  </si>
  <si>
    <t>Сроки производства работ</t>
  </si>
  <si>
    <t>60 месяцев</t>
  </si>
  <si>
    <t>№</t>
  </si>
  <si>
    <t xml:space="preserve">Наименование работ </t>
  </si>
  <si>
    <t>Услуги управляющей компании</t>
  </si>
  <si>
    <t>Результаты услуг управляющей компании</t>
  </si>
  <si>
    <t xml:space="preserve">Дата начала работ </t>
  </si>
  <si>
    <t xml:space="preserve">Дата окончания </t>
  </si>
  <si>
    <t>Длительность, к.д.</t>
  </si>
  <si>
    <t>Бонус Девелопера за выполнение этапа, без НДС</t>
  </si>
  <si>
    <t>ГрадК 
(1)</t>
  </si>
  <si>
    <t>Приказ 
(2)</t>
  </si>
  <si>
    <t>ГОСТ 
(3)</t>
  </si>
  <si>
    <t>ЮД 
(4)</t>
  </si>
  <si>
    <t>СРО, указать если требуется</t>
  </si>
  <si>
    <t>Обоснование требований СРО</t>
  </si>
  <si>
    <t>Этап - Градостроительный аудит и исходные условия реализации Проекта</t>
  </si>
  <si>
    <t>1.1</t>
  </si>
  <si>
    <t>Правовой анализ имущественного комплекса</t>
  </si>
  <si>
    <t>1.1.1 Собирает и актуализирует исходные данные по земельным участкам, зданиям, помещениям, ЕГРН, арендаторам и пользователям.</t>
  </si>
  <si>
    <t>1.1.a Актуализированные сведения ЕГРН</t>
  </si>
  <si>
    <t>УК</t>
  </si>
  <si>
    <t>1.1.2 Анализирует состав ЗУ, права на здание кинотеатра и статус помещений Доходного дома. Оценивает риски, связанные со вторым собственником, последствиями консолидации прав и необходимостью переадресации объекта. Формирует юридически устойчивую модель реконструкции.</t>
  </si>
  <si>
    <t>1.1.b Юридическая модель реконструкции</t>
  </si>
  <si>
    <t>1.1.3 Анализирует возможности реализации проекта как единого комплекса и готовит юридическую позицию по глубокой реконструкции, проверяет необходимость объединения / перераспределения земельных участков и кадастровых работ по участкам и объектам недвижимости.</t>
  </si>
  <si>
    <t>1.1.c Юридическое заключение о реализуемости проекта</t>
  </si>
  <si>
    <t>1.1.4 Проводит комплексный анализ ПЗЗ, Генерального плана Москвы, ППТ/ПМТ, красных линий, ЗОУИТ и ограничений исторического центра. Оценивает влияние пешеходных и транспортных потоков, а также техническую возможность эксплуатации кровли под общественные зоны</t>
  </si>
  <si>
    <t>1.1.d Аналитический отчёт по градостроительным ограничениям</t>
  </si>
  <si>
    <t>ТЗ</t>
  </si>
  <si>
    <t>СРО</t>
  </si>
  <si>
    <t>2</t>
  </si>
  <si>
    <t>1.1.5 Определяет необходимость корректировки ПЗЗ/ГЗ и проведения публичных процедур, готовит градостроительное заключение по реализуемости проекта.</t>
  </si>
  <si>
    <t>1.1.e Заключение о необходимости изменения ПЗЗ</t>
  </si>
  <si>
    <t>1.1.6 Готовит дорожную карту, матрицу ответственности участников проекта, регламенты, контроль сроков, бюджета, рисков и решений.</t>
  </si>
  <si>
    <t>1.1.f Дорожная карта проекта</t>
  </si>
  <si>
    <t>1.1.7 Формирует первичную карту затрат, определяет лимиты по концептуальному блоку, изысканиям и обследованиям, закладывает базовые финансовые резервы на непредвиденные риски</t>
  </si>
  <si>
    <t>1.1.g Бюджетная структура проекта</t>
  </si>
  <si>
    <t>1.2</t>
  </si>
  <si>
    <t>Инженерно-геодезические изыскания, регистрации в ГИС ОГД</t>
  </si>
  <si>
    <t>1,2,3</t>
  </si>
  <si>
    <t>1,2,3,4</t>
  </si>
  <si>
    <t>1.3</t>
  </si>
  <si>
    <t>Инженерно-геологические, гидрологические и экологические изыскания</t>
  </si>
  <si>
    <t>1.3.1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</si>
  <si>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1.3.a Протокол о результатах закупки</t>
  </si>
  <si>
    <t>1.3.2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</si>
  <si>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1.3.b Исполненный договор</t>
  </si>
  <si>
    <t>1.3.3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</si>
  <si>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1.4</t>
  </si>
  <si>
    <t>Техническое обследование строительных конструкций</t>
  </si>
  <si>
    <t>1.4.1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</si>
  <si>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1.4.a Протокол о результатах закупки</t>
  </si>
  <si>
    <t>1.4.2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</si>
  <si>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1.4.b Исполненный договор</t>
  </si>
  <si>
    <t>1.4.3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</si>
  <si>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Техническое обследование строительных конструкций зоны влияния</t>
  </si>
  <si>
    <t>1.5</t>
  </si>
  <si>
    <t>Историко-культурные изыскания</t>
  </si>
  <si>
    <t>1.5.1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</si>
  <si>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1.5.a Протокол о результатах закупки</t>
  </si>
  <si>
    <t>1.5.2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</si>
  <si>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1.5.b Исполненный договор</t>
  </si>
  <si>
    <t>1.6</t>
  </si>
  <si>
    <t>Изучение и систематизация материалов инженерно-геологических изысканий прошлых лет</t>
  </si>
  <si>
    <t>1.6.1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</si>
  <si>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1.6.a Протокол о результатах закупки</t>
  </si>
  <si>
    <t>1.6.2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</si>
  <si>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1.6.b Исполненный договор</t>
  </si>
  <si>
    <t>1.6.3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</si>
  <si>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1.7</t>
  </si>
  <si>
    <t>Специальные инженерно-геофизические изыскания (вертикальное сейсмопрофилирование, НТС, в случае обнаружения опасных техногенных грунтов)</t>
  </si>
  <si>
    <t>1.7.1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</si>
  <si>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1.7.a Протокол о результатах закупки</t>
  </si>
  <si>
    <t>1.7.2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</si>
  <si>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1.7.b Исполненный договор</t>
  </si>
  <si>
    <t>1.7.3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</si>
  <si>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1.8</t>
  </si>
  <si>
    <t>Вознаграждение девелопера за выполнение этапа (бонус)</t>
  </si>
  <si>
    <t>Этап - Архитектурная концепция и согласование</t>
  </si>
  <si>
    <t>2.1</t>
  </si>
  <si>
    <t>Буклет архитектурно-градостроительной концепции, вкл. НПМ</t>
  </si>
  <si>
    <t>2.1.1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</si>
  <si>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2.1.a Протокол о результатах закупки</t>
  </si>
  <si>
    <t>2.1.2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</si>
  <si>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2.1.b Исполненный договор</t>
  </si>
  <si>
    <t>2.1.3 Формирует архитектурную концепцию мультимедийного центра.</t>
  </si>
  <si>
    <t>2.1.c Архитектурная концепция мультимедийного центра</t>
  </si>
  <si>
    <t>2.1.4 Обеспечивает разработку schematic design и сохранение design intent / авторской идеи.</t>
  </si>
  <si>
    <t>2.1.d Schematic design и design intent</t>
  </si>
  <si>
    <t>2.1.5 Готовит презентационные материалы для Заказчика, города / Мэра Москвы и публичного контура.</t>
  </si>
  <si>
    <t>2.1.e Презентационные материалы</t>
  </si>
  <si>
    <t>2.1.6 Организует подготовку буклета АГК и НПМ в соответствии с: Приказом Департамента градостроительной политики города Москвы от: 02.04.2026 № ДГП-ПР-64/26 "Об Архитектурной комиссии по рассмотрению проектных материалов", с «Требованиями к составу, содержанию и форматам представления проектных материалов», «Инструкцией по предоставлению исходных данных» и шаблонами презентаций. Подготовка НПМ и ВПМ осуществляется в соответствии с требованиями, утвержденными распоряжением Департамента информационных технологий города Москвы и Комитета по архитектуре и градостроительству города Москвы от: 22.08.2025 № 64-16-429/25/1736.</t>
  </si>
  <si>
    <t>2.1.f Буклет АГК и НПМ</t>
  </si>
  <si>
    <t>2.2</t>
  </si>
  <si>
    <t>Рабочее рассмотрение Мэром Москвы (доработки материалов буклета)</t>
  </si>
  <si>
    <t>2.2.1 Готовит презентационные материалы для Заказчика, города / Мэра Москвы и публичного контура</t>
  </si>
  <si>
    <t>2.2.a Презентационные материалы</t>
  </si>
  <si>
    <t>2,3</t>
  </si>
  <si>
    <t>2.2.2 Сопровождает рассмотрение и доработку материалов у Мэра Москвы, «Активный гражданин», материалы для общественных обсуждений.</t>
  </si>
  <si>
    <t>2.2.b Согласованные материалы общественных обсуждений</t>
  </si>
  <si>
    <t>2.3</t>
  </si>
  <si>
    <t>Архитектурная комиссия ДГП</t>
  </si>
  <si>
    <t>2.3.1 Готовит материалы для согласования с уполномоченными органами, архитектурного рассмотрения и профильных согласований.</t>
  </si>
  <si>
    <t>2.3.a Материалы для согласования</t>
  </si>
  <si>
    <t>2.3.2 Сопровождает согласование АГР / АГО, архитектурно-градостроительные решения и формирование «цифрового двойника» города.</t>
  </si>
  <si>
    <t>2.3.b Согласованное АГР / АГО</t>
  </si>
  <si>
    <t>2.4</t>
  </si>
  <si>
    <t>Альбом АГР и ВПМ</t>
  </si>
  <si>
    <t>2.5</t>
  </si>
  <si>
    <t>2.5.1 Готовит материалы для согласования с уполномоченными органами, архитектурное рассмотрение и профильные согласования.</t>
  </si>
  <si>
    <t>2.5.a Материалы для согласования</t>
  </si>
  <si>
    <t>2.5.2 Сопровождает в Архитектурной комиссии ДГП г. Москвы. Требования к материалам в формате IFC, представляемым в целях согласования архитектурно-градостроительных решений объектов капитального строительства, утверждены совместным распоряжением Департамента градостроительной политики города Москвы и Департамента информационных технологий города Москвы от 16 января 2026 г. № ДГП-Р-1/26/64-16-6/26</t>
  </si>
  <si>
    <t>2.5.b Согласование в Архитектурной комиссии ДГП</t>
  </si>
  <si>
    <t>2.6</t>
  </si>
  <si>
    <t>Свидетельство об утверждении АГР</t>
  </si>
  <si>
    <t>2.6.1 Организует регистрацию ЛК Застройщика и контролирует подачу техническим заказчиком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 Постановление Правительства Москвы от 30 апреля 2013 г. N 284-ПП «Административный регламент предоставления государственной услуги "Оформление свидетельства об утверждении архитектурно-градостроительного решения объекта капитального строительства».</t>
  </si>
  <si>
    <t>2.6.a Заявление в электронной форме (ЛК Застройщика)</t>
  </si>
  <si>
    <t>2.6.2 Сопровождает в ДГП, организует снятие и устранение замечаний.</t>
  </si>
  <si>
    <t>2.6.b Согласование ДГП</t>
  </si>
  <si>
    <t>2.6.3 Сопровождает в оформлении Свидетельства об утверждении архитектурно-градостроительного решения объекта капитального строительства.</t>
  </si>
  <si>
    <t>2.6.c Свидетельство об утверждении АГР</t>
  </si>
  <si>
    <t>2.7</t>
  </si>
  <si>
    <t xml:space="preserve">Этап - Получение ГПЗУ </t>
  </si>
  <si>
    <t>3.1</t>
  </si>
  <si>
    <t>Внесение изменений в ПЗЗ и ГПЗУ, сопровождение РГ и ГЗК</t>
  </si>
  <si>
    <t>3.1.1 Анализирует действующее ГПЗУ / имеющийся комплект градостроительных документов</t>
  </si>
  <si>
    <t>3.1.a Заключение по анализу ГПЗУ / имеющегося комплекта градостроительных документов</t>
  </si>
  <si>
    <t>3.1.2 Организует получение техническим заказчиком нового ГПЗУ или комплекта ГПЗУ.</t>
  </si>
  <si>
    <t>3.1.b Новый ГПЗУ или комплект ГПЗУ</t>
  </si>
  <si>
    <t>3.1.3 Проверяет соответствие ГПЗУ модели единого комплекса</t>
  </si>
  <si>
    <t>3.1.c Заключение о соответствии ГПЗУ модели единого комплекса</t>
  </si>
  <si>
    <t>3.1.4 Организует подготовку техническим заказчиком изменений в ГПЗУ при необходимости.</t>
  </si>
  <si>
    <t>3.1.d Изменённый ГПЗУ</t>
  </si>
  <si>
    <t>3.1.5 Готовит материалы для ГЗК и сопровождает рассмотрение на ГЗК.</t>
  </si>
  <si>
    <t>3.1.e Протокол ГЗК</t>
  </si>
  <si>
    <t>3.1.6 Готовит материалы по изменению ПЗЗ и сопровождает процедуру изменения ПЗЗ.</t>
  </si>
  <si>
    <t>3.1.7 Организует процедуру общественных обсуждений по градостроительным изменениям и ведёт учёт результатов процедур в дорожной карте.</t>
  </si>
  <si>
    <t>3.1.g Протокол общественных обсуждений</t>
  </si>
  <si>
    <t>3.1.8 Организует согласование материалов с уполномоченными органами, архитектурное рассмотрение и профильные согласования.</t>
  </si>
  <si>
    <t>3.1.h Согласование с уполномоченными органами</t>
  </si>
  <si>
    <t>3.1.9 Организует согласования с Москомнаследием, транспортными органами, балансодержателями сетей, РСО, по благоустройству и медиафасадам при необходимости.</t>
  </si>
  <si>
    <t>3.1.i Согласование с балансодержателями сетей</t>
  </si>
  <si>
    <t>3.1.10 Контролирует управление градостроительным блоком, сроки, бюджет, риски и ключевые события.</t>
  </si>
  <si>
    <t>3.1.j Сводная отчётность по градостроительному блоку</t>
  </si>
  <si>
    <t>2,3,4</t>
  </si>
  <si>
    <t>3.1.11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</si>
  <si>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3.1.k Протокол о результатах закупки</t>
  </si>
  <si>
    <t>3.1.12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</si>
  <si>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3.1.l Исполненный договор</t>
  </si>
  <si>
    <t>3.2</t>
  </si>
  <si>
    <t>Этап - Выпуск Проектной документации стадии «Проект»</t>
  </si>
  <si>
    <t>4.1</t>
  </si>
  <si>
    <t>Проектная документация</t>
  </si>
  <si>
    <t>4.1.1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</si>
  <si>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4.1.a Протокол о результатах закупки</t>
  </si>
  <si>
    <t>4.1.2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</si>
  <si>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4.1.b Исполненный договор</t>
  </si>
  <si>
    <t>4.1.3 Координирует разработку проектной документации стадии «Проект» и по отдельным разделам ПД: АР, КР, ИОС, ПОС, ООС, ПБ, МГН, энергоэффективность, СТУ при необходимости.</t>
  </si>
  <si>
    <t>4.1.c Задание на проектирование и Проектная документация, подготовленная в соответствии с Постановлением Правительства РФ от: 16.02.2008 N 87 (ред. от: 08.06.2027 - 18.08.2027
21.10.2025) "О составе разделов проектной документации и требованиях к их содержанию"</t>
  </si>
  <si>
    <t>4.2</t>
  </si>
  <si>
    <t>СТУ, расчет пожарных рисков, НТС ГУ ЧС, НТЗ, Согласование Москомэкспертизы</t>
  </si>
  <si>
    <t>4.2.1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</si>
  <si>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4.2.a Протокол о результатах закупки</t>
  </si>
  <si>
    <t>4.2.2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</si>
  <si>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4.2.b Исполненный договор</t>
  </si>
  <si>
    <t>4.2.3 Организует подготовку разделов СТУ.</t>
  </si>
  <si>
    <t>4.2.c Разделы СТУ</t>
  </si>
  <si>
    <t>4.2.4 Собирает комплект ПД и результатов изысканий для экспертизы.</t>
  </si>
  <si>
    <t>4.2.d Комплект документации для экспертизы</t>
  </si>
  <si>
    <t>4.2.5 Определяет совместно с техническим заказчиком вид экспертизы.</t>
  </si>
  <si>
    <t>4.2.e Определённый вид экспертизы</t>
  </si>
  <si>
    <t>4.2.6 Обеспечивает осуществление историко-культурной, экологической, промышленной и иных специальных экспертиз при необходимости.</t>
  </si>
  <si>
    <t>4.2.f Заключения специальных экспертиз</t>
  </si>
  <si>
    <t>4.2.7 Организует формирование перечня отступлений и предварительных компенсирующих мероприятий (например, усиление систем дымоудаления или автоматического пожаротушения).</t>
  </si>
  <si>
    <t>4.2.g Перечень отступлений и предварительных компенсирующих мероприятий</t>
  </si>
  <si>
    <t>4.2.8 Сопровождает в НТС ГО ЧС 
Приказ МЧС России от: 28.11.2011 № 710 «Об утверждении Административного регламента предоставления государственной услуги по согласованию специальных технических условий для объектов, в отношении которых отсутствуют требования пожарной безопасности»</t>
  </si>
  <si>
    <t>4.2.h Согласование в НТС ГО ЧС</t>
  </si>
  <si>
    <t>4.2.9 Сопровождает в заключении договора на подготовку научно-технического заключения и координирует согласования Москомэкспертизы</t>
  </si>
  <si>
    <t>4.2.i Научно-техническое заключение</t>
  </si>
  <si>
    <t>4.3</t>
  </si>
  <si>
    <t>Проект организации демонтажа</t>
  </si>
  <si>
    <t>4.3.1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</si>
  <si>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4.3.a Протокол о результатах закупки</t>
  </si>
  <si>
    <t>4.3.2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</si>
  <si>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4.3.b Исполненный договор</t>
  </si>
  <si>
    <t>4.3.3 Организует разработку проекта подготовительных работ и проекта демонтажа отдельных конструкций.</t>
  </si>
  <si>
    <t>4.3.c Проект подготовительных работ и проект демонтажа</t>
  </si>
  <si>
    <t>4.3.4 Координирует разработку проектной документации в соответствии требования к составу и содержанию проекта организации работ по сносу объекта капитального строительства Постановление Правительства РФ от: 26.04.2019 N 509</t>
  </si>
  <si>
    <t>4.3.d Проектная документация по сносу</t>
  </si>
  <si>
    <t>4.4</t>
  </si>
  <si>
    <t>Схема транспортного обеспечения объекта</t>
  </si>
  <si>
    <t>4.4.1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</si>
  <si>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4.4.a Протокол о результатах закупки</t>
  </si>
  <si>
    <t>4.4.2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</si>
  <si>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4.4.b Исполненный договор</t>
  </si>
  <si>
    <t>4.4.3 Контролирует проектную организацию при сборе данных, моделировании транспортных потоков и расчёте нагрузки на улично-дорожную сеть (УДС).</t>
  </si>
  <si>
    <t>4.4.c Модель транспортных потоков</t>
  </si>
  <si>
    <t>4.4.4 Сопровождает согласования в ДГП</t>
  </si>
  <si>
    <t>4.4.d Согласование в ДГП</t>
  </si>
  <si>
    <t>4.4.5 Рассматривает схему на соответствие градостроительным нормам и проектам планировки территории. Сопровождает согласование в Дептрансе: Департамент транспорта оценивает проект организации дорожного движения и влияние объекта на загруженность дорог</t>
  </si>
  <si>
    <t>4.4.e Согласование в Дептрансе</t>
  </si>
  <si>
    <t>4.4.6 Сопровождает согласования в УГИБДД, ЦОДД</t>
  </si>
  <si>
    <t>4.4.f Согласование в УГИБДД, ЦОДД</t>
  </si>
  <si>
    <t>4.5</t>
  </si>
  <si>
    <t>Программа мониторинга прилегающих строений</t>
  </si>
  <si>
    <t>4.5.1 Контролирует организацию мероприятий по сохранности окружающей застройки, археологии и историко-культурному наследию.</t>
  </si>
  <si>
    <t>4.5.a Мероприятия по сохранности окружающей застройки и наследия</t>
  </si>
  <si>
    <t>4.5.2 Контролирует организацию защитных мероприятий по соседним зданиям, логистики в центре Москвы и подготовки к началу основных работ</t>
  </si>
  <si>
    <t>4.5.b Защитные мероприятия и логистика подготовительного периода</t>
  </si>
  <si>
    <t>4.5.3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</si>
  <si>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4.5.c Протокол о результатах закупки</t>
  </si>
  <si>
    <t>4.5.4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</si>
  <si>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4.5.d Исполненный договор</t>
  </si>
  <si>
    <t>4.6</t>
  </si>
  <si>
    <t>Мероприятия по обеспечению сохранности сооружений метрополитена с согласованием с ГУП "Московский метрополитен".</t>
  </si>
  <si>
    <t>4.6.1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</si>
  <si>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4.6.a Протокол о результатах закупки</t>
  </si>
  <si>
    <t>4.6.2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</si>
  <si>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4.6.b Исполненный договор</t>
  </si>
  <si>
    <t>4.6.3 Координирует процедуру согласования проведения работ и проектных решений в технических и охранных зонах метро согласно СП:
120.13330.2022 Регламент ГУП «Московский метрополитен» (Приказ от: 14.07.2017 № 740)</t>
  </si>
  <si>
    <t>4.6.c Согласование работ в зонах метрополитена</t>
  </si>
  <si>
    <t>4.7</t>
  </si>
  <si>
    <t xml:space="preserve">Мероприятия по обеспечению сохранности подземных сооружений и инженерных коммуникаций </t>
  </si>
  <si>
    <t>4.7.1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</si>
  <si>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4.7.a Протокол о результатах закупки</t>
  </si>
  <si>
    <t>4.7.2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</si>
  <si>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4.7.b Исполненный договор</t>
  </si>
  <si>
    <t>4.7.3 Координирует работы для обеспечения комплекса мероприятий для сохранения подземных сооружений и инженерных коммуникаций</t>
  </si>
  <si>
    <t>4.7.c Мероприятия по сохранению подземных сооружений и коммуникаций</t>
  </si>
  <si>
    <t>4.7.4 Контролирует разработку проектной документации в соответствии с требованиями Постановления Правительства Москвы.</t>
  </si>
  <si>
    <t>4.7.d Проектная документация</t>
  </si>
  <si>
    <t>4.8</t>
  </si>
  <si>
    <t>Проект обеспечения сохранности ОКН, вкл. ГИКЭ и согласование ДКН</t>
  </si>
  <si>
    <t>4.8.1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</si>
  <si>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4.8.a Протокол о результатах закупки</t>
  </si>
  <si>
    <t>4.8.2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</si>
  <si>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4.8.b Исполненный договор</t>
  </si>
  <si>
    <t>4.8.3 Координирует проведение ГИКЭ. Осуществляется в соответствии с нормами ФЗ N 73 от 25 июня 2002 года «Об объектах культурного наследия (памятниках истории и культуры) народов Российской Федерации» и ПП РФ от 25 апреля 2024 года № 530 «Об утверждении Положения о государственной историко-культурной экспертизе». Экспертиза проводится тремя аттестованными Министерством культуры РФ экспертами.</t>
  </si>
  <si>
    <t>4.8.c Заключение историко-культурной экспертизы</t>
  </si>
  <si>
    <t>4.8.4 Контролирует процесс согласования ПД техническим заказчиком в соответствии с положениями Административного регламента предоставления государственной услуги города Москвы "Согласование разделов проектной документации об обеспечении сохранности объекта культурного наследия, выявленного объекта культурного наследия или о проведении спасательных археологических полевых работ либо проекта обеспечения сохранности объекта культурного наследия, выявленного объекта культурного наследия или плана проведения спасательных археологических полевых работ при проведении изыскательских, проектных, земляных, строительных, мелиоративных, хозяйственных и иных работ в границах территории объекта культурного наследия, выявленного объекта культурного наследия либо на земельном участке, непосредственно связанном с земельным участком в границах территории объекта культурного наследия, выявленного объекта культурного наследия".</t>
  </si>
  <si>
    <t>4.8.d Согласование проектной документации по ОКН</t>
  </si>
  <si>
    <t>4.8.5 Координирует работы для обеспечения комплекса мероприятий и документов, направленных на защиту объектов культурного наследия при проведении работ вблизи них или на самих объектах.</t>
  </si>
  <si>
    <t>4.8.e Мероприятия и документы по защите объектов культурного наследия</t>
  </si>
  <si>
    <t>4.9</t>
  </si>
  <si>
    <t>Этап - Прохождение экспертизы и получение Разрешения на реконструкцию</t>
  </si>
  <si>
    <t>5.1</t>
  </si>
  <si>
    <t>Государственная экспертиза ПД и РИИ</t>
  </si>
  <si>
    <t>5.1.1 Контролирует регистрацию ЛК Застройщика и подачу техническим заказчиком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t>
  </si>
  <si>
    <t>5.1.a Заявление в электронной форме (ЛК Застройщика)</t>
  </si>
  <si>
    <t>5.1.2 Формирует пакет проектной документации и результатов инженерных изысканий, Заявления и Анкеты. Контролирует загрузку указанных документов на портал.</t>
  </si>
  <si>
    <t>5.1.b Пакет проектной документации и изысканий</t>
  </si>
  <si>
    <t>5.1.3 Обеспечивает входной контроль, присвоение входящего номера и дела.</t>
  </si>
  <si>
    <t>5.1.c Входящий номер и регистрация дела</t>
  </si>
  <si>
    <t>5.1.4 Обеспечивает подготовку к заключению техническим заказчиком договора и организует оплату. Контролирует подготовку распределительных писем.</t>
  </si>
  <si>
    <t>5.1.d Исполненный договор</t>
  </si>
  <si>
    <t>5.1.5 Отслеживает и контролирует отработку и снятие замечаний экспертов. Контролирует дозагрузку ПД.</t>
  </si>
  <si>
    <t>5.1.e Отработанные замечания экспертизы</t>
  </si>
  <si>
    <t>5.1.f Заключения экспертов. Сводное заключение</t>
  </si>
  <si>
    <t>5.1.6 Контролирует регистрацию заявок на консультации с экспертами.</t>
  </si>
  <si>
    <t>5.1.g Заявки на консультации с экспертами</t>
  </si>
  <si>
    <t>5.1.h Положительное заключение</t>
  </si>
  <si>
    <t>5.1.7 Организует продление услуги техническим заказчиком в случае необходимости.</t>
  </si>
  <si>
    <t>5.1.i Продление срока услуги</t>
  </si>
  <si>
    <t>5.2</t>
  </si>
  <si>
    <t>Сопровождение государственной экспертизы</t>
  </si>
  <si>
    <t>5.2.1 Контролирует заключение и оплату договора техническим заказчиком.</t>
  </si>
  <si>
    <t>5.2.a Исполненный договор</t>
  </si>
  <si>
    <t>5.2.2 Сопровождает загрузку документов, обеспечивает дополнительные консультации экспертов, сопровождает дозагрузку.</t>
  </si>
  <si>
    <t>5.2.b Сопровождение экспертизы</t>
  </si>
  <si>
    <t>5.2.3 Координирует работу участников.</t>
  </si>
  <si>
    <t>5.2.c Координация работ</t>
  </si>
  <si>
    <t>5.3</t>
  </si>
  <si>
    <t>Разрешение на реконструкцию</t>
  </si>
  <si>
    <t>5.3.1 Контролирует регистрацию ЛК Застройщика и подачу техническим заказчиком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t>
  </si>
  <si>
    <t>5.3.a Заявление в электронной форме (ЛК Застройщика)</t>
  </si>
  <si>
    <t>5.3.2 Формирует пакет проектной документации и результатов инженерных изысканий, Заявления и Анкеты, положительного заключения Мосгосэкспертизы.</t>
  </si>
  <si>
    <t>5.3.b Пакет проектной документации и изысканий</t>
  </si>
  <si>
    <t>5.3.3 Сопровождает оформление разрешения на строительство в соответствии с положениями Постановления Правительства Москвы от 17 апреля 2012 № 145-ПП «Об утверждении Административных регламентов предоставления государственных услуг города Москвы «выдача разрешения на строительство» и «выдача разрешения на ввод объекта в эксплуатацию».</t>
  </si>
  <si>
    <t>5.3.c Разрешение на строительство</t>
  </si>
  <si>
    <t>5.4</t>
  </si>
  <si>
    <t>Программа проверок Мосгостройнадзора</t>
  </si>
  <si>
    <t>5.4.1 Контролирует подготовку, загрузку и сопровождение на портале пакета документов в соответствии с Положением о региональном государственном строительном надзоре в городе Москве (далее - Положение), определяющим порядок организации и осуществления регионального государственного строительного надзора в городе Москве.</t>
  </si>
  <si>
    <t>5.4.a Пакет документов строительного надзора</t>
  </si>
  <si>
    <t>5.5.</t>
  </si>
  <si>
    <t xml:space="preserve">Этап - Реконструкция Объекта </t>
  </si>
  <si>
    <t>6.1</t>
  </si>
  <si>
    <t>Рабочая документация</t>
  </si>
  <si>
    <t>6.1.1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</si>
  <si>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6.1.a Протокол о результатах закупки</t>
  </si>
  <si>
    <t>6.1.2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</si>
  <si>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6.1.b Исполненный договор</t>
  </si>
  <si>
    <t>6.1.3 Проверяет РД на соответствие ПД, экспертизе и бюджету; координирует управление изменениями РД.</t>
  </si>
  <si>
    <t>6.1.c Проверенная РД, соответствующая ПД и бюджету</t>
  </si>
  <si>
    <t>6.1.4 Координирует разработку проектной документации стадии РД и выпуск «в производство работ» по архитектуре, конструктиву, инженерии, мультимедиа, фасадам, интерьерам и благоустройству.</t>
  </si>
  <si>
    <t>6.1.d Рабочая документация</t>
  </si>
  <si>
    <t>6.2</t>
  </si>
  <si>
    <t>Разработка дизайна и концепции интерьеров, рабочая документация на РСР</t>
  </si>
  <si>
    <t>6.2.1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</si>
  <si>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6.2.a Протокол о результатах закупки</t>
  </si>
  <si>
    <t>6.2.2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</si>
  <si>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6.2.b Исполненный договор</t>
  </si>
  <si>
    <t>6.2.3 Координирует оформление пространства, определение стиля, атмосферы, функциональности и эстетики, разработку рабочей документации.</t>
  </si>
  <si>
    <t>6.2.c Дизайн-концепция интерьеров и рабочая документация</t>
  </si>
  <si>
    <t>6.3</t>
  </si>
  <si>
    <t>Тендерный пакет и закупочная документация</t>
  </si>
  <si>
    <t>6.3.1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</si>
  <si>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6.3.a Протокол о результатах закупки</t>
  </si>
  <si>
    <t>6.3.2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</si>
  <si>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6.3.b Исполненный договор</t>
  </si>
  <si>
    <t>6.3.3 Организует подготовку тендера на генподрядчика и тендера на демонтаж / подготовительные работы.</t>
  </si>
  <si>
    <t>6.3.c Тендерная документация на генподряд и демонтаж</t>
  </si>
  <si>
    <t>6.3.4 Организует тендеры и закупки строительной стадии: генподрядчик, подготовительные работы, фасады, мультимедиа, инженерное оборудование, интерьеры, благоустройство, оператор / эксплуатационная компания, существенные условия договоров и матрица прямых договоров.</t>
  </si>
  <si>
    <t>6.3.d Заключённые договоры строительной стадии</t>
  </si>
  <si>
    <t>6.4</t>
  </si>
  <si>
    <t>Генеральный подряд, СМР</t>
  </si>
  <si>
    <t>6.4.1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</si>
  <si>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6.4.a Протокол о результатах закупки</t>
  </si>
  <si>
    <t>6.4.2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</si>
  <si>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6.4.b Исполненный договор</t>
  </si>
  <si>
    <t>6.4.3 Контролирует передачу площадки подрядчику, организацию стройгородка, временных сетей и временного электроснабжения.</t>
  </si>
  <si>
    <t>6.4.c Обустроенная строительная площадка</t>
  </si>
  <si>
    <t>6.4.4 Обеспечивает организацию защитных мероприятий по соседним зданиям, организацию логистики в центре Москвы и подготовку к началу основных работ.</t>
  </si>
  <si>
    <t>6.4.d Защитные мероприятия и логистика площадки</t>
  </si>
  <si>
    <t>6.4.5 Координирует и сопровождает разработку проектной документации стадии РД и выпуск «в производство работ» по архитектуре, конструктиву, инженерии, мультимедиа, фасадам, интерьерам и благоустройству.</t>
  </si>
  <si>
    <t>6.4.e Рабочая документация</t>
  </si>
  <si>
    <t>6.4.6 Координирует процесс внесения изменений в РД.</t>
  </si>
  <si>
    <t>6.4.f Управление изменениями РД</t>
  </si>
  <si>
    <t>6.4.7 Организует тендеры и закупки строительной стадии: генподрядчик, подготовительные работы, фасады, мультимедиа, инженерное оборудование, интерьеры, благоустройство, оператор / эксплуатационная компания, существенные условия договоров и матрица прямых договоров.</t>
  </si>
  <si>
    <t>6.4.g Заключённые договоры строительной стадии</t>
  </si>
  <si>
    <t>6.4.8 Контролирует основные работы по глубокой реконструкции.</t>
  </si>
  <si>
    <t>6.4.h Выполненные работы по реконструкции</t>
  </si>
  <si>
    <t>6.4.9 Контролирует демонтаж отдельных конструкций, усиление, подземную часть / нулевой цикл, фундаменты и геотехнику.</t>
  </si>
  <si>
    <t>6.4.i Демонтаж и усиление конструкций</t>
  </si>
  <si>
    <t>6.4.10 Контролирует строительство основного конструктива, перекрытий, новых объёмов, интеграцию существующего и нового.</t>
  </si>
  <si>
    <t>6.4.j Основной конструктив здания</t>
  </si>
  <si>
    <t>6.4.11 Контролирует фасадные работы, кровлю, гидроизоляцию, наружную оболочку, лестницы, платформы и эксплуатируемую кровлю.</t>
  </si>
  <si>
    <t>6.4.k Фасады и кровля</t>
  </si>
  <si>
    <t>6.4.12 Контролирует внутренние и внешние инженерные системы, BMS, пожарную безопасность, лифты, эскалаторы и инженерные нагрузки.</t>
  </si>
  <si>
    <t>6.4.l Инженерные системы здания</t>
  </si>
  <si>
    <t>6.4.13 Контролирует мультимедиа, свет, звук, видео, IT, сценическое / выставочное оборудование, поставки и монтаж.</t>
  </si>
  <si>
    <t>6.4.m Мультимедийное оборудование</t>
  </si>
  <si>
    <t>6.4.14 Контролирует отделочные работы, интерьеры, аудиториум, рестораны, офисы и общественные пространства (решение о сдаче законченного строительством Объекта и оформлении ЗОС с отделочными работами или Shell &amp; Core будет принято и согласовано сторонами на этапе разработки задания на проектирование стадии П).</t>
  </si>
  <si>
    <t>6.4.n Отделочные работы и интерьеры</t>
  </si>
  <si>
    <t>6.4.15 Контролирует внешние сети, подключения, благоустройство территории и городскую интеграцию.</t>
  </si>
  <si>
    <t>6.4.o Внешние сети и благоустройство</t>
  </si>
  <si>
    <t>6.4.16 Контролирует логистику поставок, охрану труда, промышленную и пожарную безопасность на период работ.</t>
  </si>
  <si>
    <t>6.4.p Логистика и охрана труда на площадке</t>
  </si>
  <si>
    <t>6.4.17 Контролирует график, бюджет, качество СМР, исполнительную документацию, координирует авторский надзор и авторское сопровождение design intent.</t>
  </si>
  <si>
    <t>6.4.18 Контролирует устранение предписаний и замечаний надзорных органов, координирует управление изменениями на строительстве.</t>
  </si>
  <si>
    <t>6.4.r Устранённые предписания надзорных органов</t>
  </si>
  <si>
    <t>6.4.19 Контролирует работу технического заказчика и строительного контроля на строительной стадии: подписание КС-2 / КС-3, качество материалов, исполнительную документацию, проверки Мосгосстройнадзора, отчётность и координацию.</t>
  </si>
  <si>
    <t>6.4.20 Управляет строительной стадией: контролирует сроки, бюджет, проектные решения, риски, отчётность, организует комитеты Заказчика и ключевые события.</t>
  </si>
  <si>
    <t>6.4.t Управление строительной стадией</t>
  </si>
  <si>
    <t>6.4.21 Формирует резерв строительной стадии, ведёт cash-flow и план-факт анализ, управляет рисками подземной части, мультимедиа, фасадов, инженерных нагрузок, сроков и роста стоимости.</t>
  </si>
  <si>
    <t>6.4.u Резерв и план-факт анализ строительной стадии</t>
  </si>
  <si>
    <t>6.5</t>
  </si>
  <si>
    <t xml:space="preserve">Строительный контроль </t>
  </si>
  <si>
    <t>6.5.1 Организует подбор компании, осуществляющей строительный контроль, и контролирует её работу.</t>
  </si>
  <si>
    <t>6.5.a Подобранная компания строительного контроля</t>
  </si>
  <si>
    <t>6.5.2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</si>
  <si>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6.5.b Протокол о результатах закупки</t>
  </si>
  <si>
    <t>6.5.3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</si>
  <si>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6.5.c Исполненный договор</t>
  </si>
  <si>
    <t>6.6</t>
  </si>
  <si>
    <t xml:space="preserve">Автороский надзор иностранного архитектора </t>
  </si>
  <si>
    <t>6.6.1 Организует заключение техническим заказчиком договора на авторский надзор и контролирует выполнение работ.</t>
  </si>
  <si>
    <t>6.6.a Договор на авторский надзор</t>
  </si>
  <si>
    <t>6.6.2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</si>
  <si>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6.6.b Исполненный договор</t>
  </si>
  <si>
    <t>6.7</t>
  </si>
  <si>
    <t>Авторский надзор генерального проектировщика</t>
  </si>
  <si>
    <t>6.7.1 Организует заключение техническим заказчиком договора на авторский надзор генерального проектировщика и контролирует выполнение работ.</t>
  </si>
  <si>
    <t>6.7.a Договор на авторский надзор генерального проектировщика</t>
  </si>
  <si>
    <t>6.7.2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</si>
  <si>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6.7.b Исполненный договор</t>
  </si>
  <si>
    <t>6.8</t>
  </si>
  <si>
    <t>Аторский надзор дизайнера интерьеров</t>
  </si>
  <si>
    <t>6.8.1 Организует заключение техническим заказчиком договора на авторский надзор (интерьеры) и контролирует выполнение работ.</t>
  </si>
  <si>
    <t>6.8.a Договор на авторский надзор (интерьеры)</t>
  </si>
  <si>
    <t>6.8.2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</si>
  <si>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6.8.b Исполненный договор</t>
  </si>
  <si>
    <t>6.9</t>
  </si>
  <si>
    <t>Этап - Сдача Объекта, ЗОС, разрешение на ввод</t>
  </si>
  <si>
    <t>7.1</t>
  </si>
  <si>
    <t xml:space="preserve">Программа испытаний, ЗОС и Акт ввода </t>
  </si>
  <si>
    <t>7.1.1 Контролирует организацию подачи и сопровождения техническим заказчиком заявления о выдаче заключения о соответствии построенного (реконструированного, отремонтированного) объекта капитального строительства требованиям технических регламентов и проектной документации. ЗОС выдаётся Мосгосстройнадзором по результатам итоговой проверки, если при её проведении не были выявлены нарушения требований, указанных в части 16 статьи 54 Градостроительного Кодекса Российской Федерации, либо такие нарушения были устранены до дня окончания выездной проверки.</t>
  </si>
  <si>
    <t>7.1.a Заключение о соответствии (ЗОС)</t>
  </si>
  <si>
    <t>7.1.2 Контролирует исполнительную документацию и участвует в проверках Мосгосстройнадзора.</t>
  </si>
  <si>
    <t>7.1.b Проверенная исполнительная документация</t>
  </si>
  <si>
    <t>7.1.3 Контролирует проведение индивидуальных испытаний инженерных систем.</t>
  </si>
  <si>
    <t>7.1.c Результаты индивидуальных испытаний инженерных систем</t>
  </si>
  <si>
    <t>7.1.4 Контролирует проведение комплексных испытаний.</t>
  </si>
  <si>
    <t>7.1.d Результаты комплексных испытаний</t>
  </si>
  <si>
    <t>7.1.5 Контролирует пусконаладку мультимедийного оборудования.</t>
  </si>
  <si>
    <t>7.1.e Результаты пусконаладки мультимедийного оборудования</t>
  </si>
  <si>
    <t>7.1.6 Контролирует организацию итоговой проверки Мосгосстройнадзора.</t>
  </si>
  <si>
    <t>7.1.f Акт итоговой проверки Мосгосстройнадзора</t>
  </si>
  <si>
    <t>7.1.7 Контролирует получение техническим заказчиком ЗОС.</t>
  </si>
  <si>
    <t>7.1.g Заключение о соответствии (ЗОС)</t>
  </si>
  <si>
    <t>7.1.8 Контролирует получение техническим заказчиком разрешения на ввод.</t>
  </si>
  <si>
    <t>7.1.h Разрешение на ввод объекта</t>
  </si>
  <si>
    <t>7.2</t>
  </si>
  <si>
    <t>Кадастровые работы и Регистрация права собственности на ОКС</t>
  </si>
  <si>
    <t>7.2.1 Организует кадастровый учёт реконструированного объекта техническим заказчиком.</t>
  </si>
  <si>
    <t>7.2.a Кадастровый учёт реконструированного объекта</t>
  </si>
  <si>
    <t>7.2.2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</si>
  <si>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7.2.b Протокол о результатах закупки</t>
  </si>
  <si>
    <t>7.2.3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</si>
  <si>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7.2.c Исполненный договор</t>
  </si>
  <si>
    <t>7.3</t>
  </si>
  <si>
    <t>Оформление паспорта БТИ всего комплекса зданий с учетом нового ОКС</t>
  </si>
  <si>
    <t>7.3.1 Организует передачу объекта оператору / эксплуатирующей организации.</t>
  </si>
  <si>
    <t>7.3.a Переданный объект</t>
  </si>
  <si>
    <t>7.3.2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</si>
  <si>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7.3.b Протокол о результатах закупки</t>
  </si>
  <si>
    <t>7.3.3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</si>
  <si>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7.3.c Исполненный договор</t>
  </si>
  <si>
    <t>7.4</t>
  </si>
  <si>
    <t>Акт ввода (КС-14)</t>
  </si>
  <si>
    <t>7.4.1 Контролирует организацию итоговой проверки Мосгосстройнадзора.</t>
  </si>
  <si>
    <t>7.4.2 Контролирует организацию получения техническим заказчиком разрешения на ввод.</t>
  </si>
  <si>
    <t>8</t>
  </si>
  <si>
    <t>Работы и услуги в течении реализации проекта</t>
  </si>
  <si>
    <t>8.1</t>
  </si>
  <si>
    <t xml:space="preserve">Услуги технического заказчика </t>
  </si>
  <si>
    <t>8.1.1 Организует подбор технического заказчика и контролирует его работу.</t>
  </si>
  <si>
    <t>8.1.a Подобранный технический заказчик</t>
  </si>
  <si>
    <t>8.1.2 Организует закупочные процедуры по подбору технического заказчика: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Заказчиком.</t>
  </si>
  <si>
    <t>8.1.b Протокол о результатах отбора технического заказчика</t>
  </si>
  <si>
    <t>8.1.3 Выполняет договорную работу по привлечению технического заказчика: согласовывает существенные условия, готовит проект договора, разрешает разногласия, заключает и регистрирует договор с техническим заказчиком, контролирует графики и оплаты, проверяет распределительные письма, контролирует исполнение и участвует в приёмке-сдаче услуг, проверяет УПД и первичные документы, регистрирует результаты, изменения и дополнения, закрывает договор, контролирует гарантийные обязательства, претензионную работу и урегулирует споры.</t>
  </si>
  <si>
    <t>8.1.c Договор с техническим заказчиком</t>
  </si>
  <si>
    <t>ПЕРИОД РЕАЛИЗАЦИИ ПРОЕКТА</t>
  </si>
  <si>
    <t>1.9</t>
  </si>
  <si>
    <t>1.8.3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</si>
  <si>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1.8.2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</si>
  <si>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1.8.1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</si>
  <si>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1.5.3 Организует обследования, изыскания и специальные исследования зоны влияния.</t>
  </si>
  <si>
    <t>1.7.c Технический отчет по результатам изучения и систематизации материалов инженерно-геологических изысканий прошлых лет в электронном виде. СП: 446.1325800.2019</t>
  </si>
  <si>
    <t>1.8.a Протокол о результатах закупки</t>
  </si>
  <si>
    <t>1.8.b Исполненный договор</t>
  </si>
  <si>
    <t>1.3.c Программа изыскательских работ и техническое задание, согласованное заключение по изысканиям</t>
  </si>
  <si>
    <t>1.2.1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</si>
  <si>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1.2.a Протокол о результатах закупки</t>
  </si>
  <si>
    <t>1.2.2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</si>
  <si>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1.2.b Исполненный договор</t>
  </si>
  <si>
    <t>1.2.3 Организует привлечение технического заказчика и других участников, необходимых для выполнения обследований, изысканий и специальных исследований: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</si>
  <si>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1.2.c Программа изыскательских работ и техническое задание, согласованное заключение по изысканиям</t>
  </si>
  <si>
    <t>1.4.c Программа изыскательских работ и техническое задание, согласованное заключение по изысканиям, техническое заключение. Правила обследования и мониторинга технического состояния ГОСТ 31937-2024</t>
  </si>
  <si>
    <t>1.5.c Программа изыскательских работ и техническое задание, согласованное заключение по изысканиям, техническое заключение. Правила обследования и мониторинга технического состояния ГОСТ 31937-2024</t>
  </si>
  <si>
    <t>1.6.c Согласованное заключение по изысканиям, Заключение ДКН об отсутствии/отсутствии данных/о наличии или об отсутствии объектов археологического наследия по результатам государственной историко-культурной экспертизы/наличии объектов археологического наследия</t>
  </si>
  <si>
    <t>1.8.c Программа изыскательских работ и техническое задание, Согласованное заключение по изысканиям, Техническое заключение</t>
  </si>
  <si>
    <t>2.4.a Протокол о результатах закупки</t>
  </si>
  <si>
    <t>2.4.b Исполненный договор</t>
  </si>
  <si>
    <t>2.4.c Заключение Архитектурной комиссии ДГП, Задание на проектирование. Альбом АГР разрабатывается в соответсвии с: Приказом Департамента градостроительной политики города Москвы от: 02.04.2026 № ДГП-ПР-64/26 "Об Архитектурной комиссии по рассмотрению проектных материалов" , с «Требованиями к составу, содержанию и форматам представления проектных материалов», «Инструкцией по предоставлению исходных данных» и шаблонами презентаций. Подготовка НПМ и ВПМ осуществляется в соответствии с требованиями утвержденными распоряжением Департамента информационных технологий города Москвы и Комитета по архитектуре и градостроительству города Москвы от: 22.08.2025 № 64-16-429/25/1736</t>
  </si>
  <si>
    <t>2.4.1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</si>
  <si>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2.4.2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</si>
  <si>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2.4.3 Проводит административное сопровождение через Техзаказчика, организует подачу документов, сопровождает прохождение Архкомиссии ДГП.</t>
  </si>
  <si>
    <t>3.1.13 Координирует работу</t>
  </si>
  <si>
    <t>3.1.m График прохождения согласований, Заключения профильных департаментов, Протоколы РГ, ГЗК, ППМ</t>
  </si>
  <si>
    <t>7.4.b ЗОС и разрешение на ввод объекта в эксплуатацию</t>
  </si>
  <si>
    <t>7.4.a Заключение от Мосгосстройнадзора.</t>
  </si>
  <si>
    <t>6.4.s Корректные  КС-2, КС-3</t>
  </si>
  <si>
    <t>6.4.q Исполненный график, бюджет и качество СМР</t>
  </si>
  <si>
    <t>3.1.f Измененный ПЗЗ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</si>
</sst>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
    <numFmt numFmtId="165" formatCode="dd\.mm\.yyyy"/>
    <numFmt numFmtId="166" formatCode="_-* #,##0.00\ [$₽-419]_-;\-* #,##0.00\ [$₽-419]_-;_-* &quot;-&quot;??\ [$₽-419]_-;_-@_-"/>
    <numFmt numFmtId="167" formatCode="#,##0.00\ &quot;₽&quot;"/>
    <numFmt numFmtId="168" formatCode="_-* #,##0\ _₽_-;\-* #,##0\ _₽_-;_-* &quot;-&quot;??\ _₽_-;_-@_-"/>
    <numFmt numFmtId="169" formatCode="_-* #\.##0.00\ &quot;₽&quot;_-;\-* #\.##0.00\ &quot;₽&quot;_-;_-* \-??\ &quot;₽&quot;_-;_-@_-"/>
    <numFmt numFmtId="170" formatCode="_-* #,##0.00&quot;р.&quot;_-;\-* #,##0.00&quot;р.&quot;_-;_-* &quot;-&quot;??&quot;р.&quot;_-;_-@_-"/>
  </numFmts>
  <fonts count="20">
    <font>
      <sz val="11"/>
      <color theme="1"/>
      <name val="Arial"/>
      <charset val="204"/>
    </font>
    <font>
      <sz val="10"/>
      <name val="Arial"/>
      <family val="2"/>
      <charset val="204"/>
    </font>
    <font>
      <b/>
      <sz val="8"/>
      <name val="Arial"/>
      <family val="2"/>
      <charset val="204"/>
    </font>
    <font>
      <b/>
      <sz val="11"/>
      <name val="Arial"/>
      <family val="2"/>
      <charset val="204"/>
    </font>
    <font>
      <b/>
      <sz val="10"/>
      <name val="Arial"/>
      <family val="2"/>
      <charset val="204"/>
    </font>
    <font>
      <sz val="8"/>
      <name val="Arial"/>
      <family val="2"/>
      <charset val="204"/>
    </font>
    <font>
      <sz val="8"/>
      <name val="Arial (Основной текст)"/>
      <charset val="204"/>
    </font>
    <font>
      <b/>
      <sz val="8"/>
      <name val="Arial (Основной текст)"/>
      <charset val="204"/>
    </font>
    <font>
      <sz val="11"/>
      <color indexed="8"/>
      <name val="Calibri"/>
      <family val="2"/>
      <charset val="204"/>
      <scheme val="minor"/>
    </font>
    <font>
      <sz val="10"/>
      <color indexed="12"/>
      <name val="Arial"/>
      <family val="2"/>
      <charset val="204"/>
    </font>
    <font>
      <sz val="10"/>
      <color theme="10"/>
      <name val="Arial Cyr"/>
      <charset val="204"/>
    </font>
    <font>
      <sz val="10"/>
      <name val="Arial Cyr"/>
      <charset val="204"/>
    </font>
    <font>
      <sz val="12"/>
      <color theme="1"/>
      <name val="Arial"/>
      <family val="2"/>
      <charset val="204"/>
    </font>
    <font>
      <sz val="12"/>
      <name val="Times New Roman Cyr"/>
      <charset val="204"/>
    </font>
    <font>
      <b/>
      <sz val="8"/>
      <name val="Arial"/>
      <family val="2"/>
      <charset val="204"/>
    </font>
    <font>
      <sz val="8"/>
      <name val="Arial"/>
      <family val="2"/>
      <charset val="204"/>
    </font>
    <font>
      <b/>
      <sz val="10"/>
      <name val="Arial"/>
      <family val="2"/>
      <charset val="204"/>
    </font>
    <font>
      <sz val="8"/>
      <name val="Arial"/>
      <charset val="204"/>
    </font>
    <font>
      <b/>
      <sz val="8"/>
      <name val="Arial"/>
      <charset val="204"/>
    </font>
    <font>
      <b/>
      <sz val="10"/>
      <name val="Arial"/>
      <charset val="204"/>
    </font>
  </fonts>
  <fills count="9">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rgb="FFFFFF00"/>
        <bgColor indexed="64"/>
      </patternFill>
    </fill>
    <fill>
      <patternFill patternType="solid">
        <fgColor indexed="9"/>
        <bgColor indexed="64"/>
      </patternFill>
    </fill>
    <fill>
      <patternFill patternType="solid">
        <fgColor rgb="FF92D050"/>
        <bgColor indexed="64"/>
      </patternFill>
    </fill>
  </fills>
  <borders count="14">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style="thin">
        <color auto="1"/>
      </left>
      <right style="thin">
        <color auto="1"/>
      </right>
      <top/>
      <bottom style="thin">
        <color auto="1"/>
      </bottom>
      <diagonal/>
    </border>
    <border>
      <left style="thin">
        <color indexed="64"/>
      </left>
      <right/>
      <top style="thin">
        <color indexed="64"/>
      </top>
      <bottom/>
      <diagonal/>
    </border>
    <border>
      <left style="thin">
        <color auto="1"/>
      </left>
      <right style="thin">
        <color auto="1"/>
      </right>
      <top/>
      <bottom/>
      <diagonal/>
    </border>
    <border>
      <left style="thin">
        <color indexed="64"/>
      </left>
      <right/>
      <top style="thin">
        <color indexed="64"/>
      </top>
      <bottom style="thin">
        <color indexed="64"/>
      </bottom>
      <diagonal/>
    </border>
    <border>
      <left style="thin">
        <color indexed="64"/>
      </left>
      <right style="thin">
        <color auto="1"/>
      </right>
      <top style="thin">
        <color indexed="64"/>
      </top>
      <bottom/>
      <diagonal/>
    </border>
    <border>
      <left style="thin">
        <color indexed="64"/>
      </left>
      <right/>
      <top/>
      <bottom/>
      <diagonal/>
    </border>
    <border>
      <left/>
      <right style="thin">
        <color auto="1"/>
      </right>
      <top style="thin">
        <color indexed="64"/>
      </top>
      <bottom/>
      <diagonal/>
    </border>
  </borders>
  <cellStyleXfs count="11">
    <xf numFmtId="0" fontId="0" fillId="0" borderId="0"/>
    <xf numFmtId="169" fontId="8" fillId="0" borderId="0">
      <alignment vertical="center"/>
    </xf>
    <xf numFmtId="0" fontId="9" fillId="0" borderId="0">
      <alignment vertical="top"/>
    </xf>
    <xf numFmtId="0" fontId="1" fillId="0" borderId="0"/>
    <xf numFmtId="0" fontId="10" fillId="0" borderId="0"/>
    <xf numFmtId="170" fontId="11" fillId="0" borderId="0"/>
    <xf numFmtId="0" fontId="11" fillId="0" borderId="0"/>
    <xf numFmtId="0" fontId="12" fillId="0" borderId="0"/>
    <xf numFmtId="0" fontId="13" fillId="0" borderId="0"/>
    <xf numFmtId="9" fontId="11" fillId="0" borderId="0"/>
    <xf numFmtId="43" fontId="11" fillId="0" borderId="0"/>
  </cellStyleXfs>
  <cellXfs count="127">
    <xf numFmtId="0" fontId="0" fillId="0" borderId="0" xfId="0"/>
    <xf numFmtId="0" fontId="1" fillId="0" borderId="0" xfId="6" applyFont="1" applyAlignment="1">
      <alignment horizontal="center" vertical="center"/>
    </xf>
    <xf numFmtId="0" fontId="2" fillId="0" borderId="0" xfId="6" applyFont="1" applyAlignment="1">
      <alignment horizontal="center" vertical="center"/>
    </xf>
    <xf numFmtId="0" fontId="3" fillId="0" borderId="0" xfId="6" applyFont="1" applyAlignment="1">
      <alignment horizontal="center" vertical="center"/>
    </xf>
    <xf numFmtId="0" fontId="4" fillId="0" borderId="0" xfId="6" applyFont="1" applyAlignment="1">
      <alignment horizontal="left" vertical="center"/>
    </xf>
    <xf numFmtId="0" fontId="4" fillId="0" borderId="0" xfId="6" applyFont="1" applyAlignment="1">
      <alignment horizontal="center" vertical="center"/>
    </xf>
    <xf numFmtId="0" fontId="5" fillId="0" borderId="0" xfId="6" applyFont="1" applyAlignment="1">
      <alignment horizontal="center" vertical="center"/>
    </xf>
    <xf numFmtId="1" fontId="5" fillId="0" borderId="0" xfId="6" applyNumberFormat="1" applyFont="1"/>
    <xf numFmtId="0" fontId="6" fillId="0" borderId="0" xfId="6" applyFont="1"/>
    <xf numFmtId="0" fontId="1" fillId="0" borderId="0" xfId="6" applyFont="1"/>
    <xf numFmtId="1" fontId="1" fillId="0" borderId="0" xfId="6" applyNumberFormat="1" applyFont="1"/>
    <xf numFmtId="1" fontId="2" fillId="0" borderId="1" xfId="8" applyNumberFormat="1" applyFont="1" applyBorder="1" applyAlignment="1">
      <alignment horizontal="center" vertical="center" wrapText="1"/>
    </xf>
    <xf numFmtId="4" fontId="2" fillId="2" borderId="1" xfId="8"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6" fillId="0" borderId="0" xfId="6" applyFont="1" applyAlignment="1">
      <alignment wrapText="1"/>
    </xf>
    <xf numFmtId="14" fontId="5" fillId="0" borderId="1" xfId="0" applyNumberFormat="1" applyFont="1" applyBorder="1" applyAlignment="1">
      <alignment horizontal="center" vertical="center" wrapText="1"/>
    </xf>
    <xf numFmtId="0" fontId="14" fillId="2" borderId="1" xfId="0" applyFont="1" applyFill="1" applyBorder="1" applyAlignment="1">
      <alignment horizontal="center" vertical="center" wrapText="1"/>
    </xf>
    <xf numFmtId="0" fontId="6" fillId="0" borderId="1" xfId="6" applyFont="1" applyBorder="1" applyAlignment="1">
      <alignment horizontal="left" vertical="center" wrapText="1"/>
    </xf>
    <xf numFmtId="0" fontId="15" fillId="0" borderId="1" xfId="0" applyFont="1" applyBorder="1" applyAlignment="1">
      <alignment horizontal="left" vertical="center" wrapText="1"/>
    </xf>
    <xf numFmtId="0" fontId="2" fillId="3" borderId="1" xfId="6" applyFont="1" applyFill="1" applyBorder="1" applyAlignment="1">
      <alignment horizontal="left" vertical="center" wrapText="1"/>
    </xf>
    <xf numFmtId="0" fontId="2" fillId="3" borderId="1" xfId="0" applyFont="1" applyFill="1" applyBorder="1" applyAlignment="1">
      <alignment horizontal="left" vertical="center" wrapText="1"/>
    </xf>
    <xf numFmtId="14" fontId="2" fillId="3" borderId="1" xfId="0" applyNumberFormat="1" applyFont="1" applyFill="1" applyBorder="1" applyAlignment="1">
      <alignment horizontal="center" vertical="center" wrapText="1"/>
    </xf>
    <xf numFmtId="1" fontId="2" fillId="3" borderId="1" xfId="0" applyNumberFormat="1" applyFont="1" applyFill="1" applyBorder="1" applyAlignment="1">
      <alignment horizontal="center" vertical="center" wrapText="1"/>
    </xf>
    <xf numFmtId="0" fontId="2" fillId="3" borderId="1" xfId="1" applyNumberFormat="1" applyFont="1" applyFill="1" applyBorder="1" applyAlignment="1">
      <alignment horizontal="center" vertical="center"/>
    </xf>
    <xf numFmtId="0" fontId="2" fillId="4" borderId="1" xfId="6" applyFont="1" applyFill="1" applyBorder="1" applyAlignment="1">
      <alignment horizontal="left" vertical="center" wrapText="1"/>
    </xf>
    <xf numFmtId="0" fontId="2" fillId="4" borderId="1" xfId="0" applyFont="1" applyFill="1" applyBorder="1" applyAlignment="1">
      <alignment horizontal="left" vertical="center" wrapText="1"/>
    </xf>
    <xf numFmtId="14" fontId="2" fillId="4" borderId="1" xfId="0" applyNumberFormat="1" applyFont="1" applyFill="1" applyBorder="1" applyAlignment="1">
      <alignment horizontal="center" vertical="center" wrapText="1"/>
    </xf>
    <xf numFmtId="1" fontId="2" fillId="4" borderId="1" xfId="0" applyNumberFormat="1" applyFont="1" applyFill="1" applyBorder="1" applyAlignment="1">
      <alignment horizontal="center" vertical="center" wrapText="1"/>
    </xf>
    <xf numFmtId="0" fontId="2" fillId="4" borderId="1" xfId="1" applyNumberFormat="1" applyFont="1" applyFill="1" applyBorder="1" applyAlignment="1">
      <alignment horizontal="center" vertical="center"/>
    </xf>
    <xf numFmtId="0" fontId="15" fillId="5"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1" fillId="5" borderId="1" xfId="1" applyNumberFormat="1" applyFont="1" applyFill="1" applyBorder="1" applyAlignment="1">
      <alignment horizontal="center" vertical="center"/>
    </xf>
    <xf numFmtId="0" fontId="5" fillId="5" borderId="1" xfId="0" applyFont="1" applyFill="1" applyBorder="1" applyAlignment="1">
      <alignment horizontal="left" vertical="center" wrapText="1"/>
    </xf>
    <xf numFmtId="0" fontId="4" fillId="5" borderId="1" xfId="1" applyNumberFormat="1" applyFont="1" applyFill="1" applyBorder="1" applyAlignment="1">
      <alignment horizontal="center" vertical="center"/>
    </xf>
    <xf numFmtId="0" fontId="2" fillId="0" borderId="1" xfId="1" applyNumberFormat="1" applyFont="1" applyBorder="1" applyAlignment="1">
      <alignment horizontal="left" vertical="center"/>
    </xf>
    <xf numFmtId="0" fontId="2" fillId="4" borderId="1" xfId="1" applyNumberFormat="1" applyFont="1" applyFill="1" applyBorder="1" applyAlignment="1">
      <alignment horizontal="left" vertical="center"/>
    </xf>
    <xf numFmtId="0" fontId="1" fillId="5" borderId="1" xfId="1" applyNumberFormat="1" applyFont="1" applyFill="1" applyBorder="1" applyAlignment="1">
      <alignment horizontal="left" vertical="center"/>
    </xf>
    <xf numFmtId="0" fontId="2" fillId="3" borderId="1" xfId="1" applyNumberFormat="1" applyFont="1" applyFill="1" applyBorder="1" applyAlignment="1">
      <alignment horizontal="left" vertical="center"/>
    </xf>
    <xf numFmtId="0" fontId="5" fillId="3" borderId="1" xfId="8" applyFont="1" applyFill="1" applyBorder="1" applyAlignment="1">
      <alignment horizontal="center" vertical="center" wrapText="1"/>
    </xf>
    <xf numFmtId="0" fontId="14" fillId="0" borderId="1" xfId="1" applyNumberFormat="1" applyFont="1" applyBorder="1" applyAlignment="1">
      <alignment horizontal="center" vertical="center" wrapText="1"/>
    </xf>
    <xf numFmtId="164" fontId="7" fillId="2" borderId="1" xfId="8" applyNumberFormat="1" applyFont="1" applyFill="1" applyBorder="1" applyAlignment="1">
      <alignment horizontal="center" vertical="center" wrapText="1"/>
    </xf>
    <xf numFmtId="165" fontId="2" fillId="3" borderId="1" xfId="0" applyNumberFormat="1" applyFont="1" applyFill="1" applyBorder="1" applyAlignment="1">
      <alignment horizontal="center" vertical="center" wrapText="1"/>
    </xf>
    <xf numFmtId="166" fontId="2" fillId="3" borderId="1" xfId="1" applyNumberFormat="1" applyFont="1" applyFill="1" applyBorder="1" applyAlignment="1">
      <alignment horizontal="center" vertical="center"/>
    </xf>
    <xf numFmtId="165" fontId="2" fillId="4" borderId="1" xfId="0" applyNumberFormat="1" applyFont="1" applyFill="1" applyBorder="1" applyAlignment="1">
      <alignment horizontal="center" vertical="center" wrapText="1"/>
    </xf>
    <xf numFmtId="166" fontId="2" fillId="4" borderId="1" xfId="1" applyNumberFormat="1" applyFont="1" applyFill="1" applyBorder="1" applyAlignment="1">
      <alignment horizontal="center" vertical="center"/>
    </xf>
    <xf numFmtId="166" fontId="2" fillId="0" borderId="1" xfId="1" applyNumberFormat="1" applyFont="1" applyBorder="1" applyAlignment="1">
      <alignment horizontal="center" vertical="center"/>
    </xf>
    <xf numFmtId="167" fontId="5" fillId="5" borderId="1" xfId="8" applyNumberFormat="1" applyFont="1" applyFill="1" applyBorder="1" applyAlignment="1">
      <alignment horizontal="left" vertical="center" wrapText="1"/>
    </xf>
    <xf numFmtId="166" fontId="1" fillId="5" borderId="1" xfId="1" applyNumberFormat="1" applyFont="1" applyFill="1" applyBorder="1" applyAlignment="1">
      <alignment horizontal="center" vertical="center"/>
    </xf>
    <xf numFmtId="166" fontId="4" fillId="0" borderId="1" xfId="1" applyNumberFormat="1" applyFont="1" applyBorder="1" applyAlignment="1">
      <alignment horizontal="center" vertical="center"/>
    </xf>
    <xf numFmtId="166" fontId="5" fillId="0" borderId="1" xfId="1" applyNumberFormat="1" applyFont="1" applyBorder="1" applyAlignment="1">
      <alignment horizontal="center" vertical="center"/>
    </xf>
    <xf numFmtId="166" fontId="1" fillId="0" borderId="0" xfId="6" applyNumberFormat="1" applyFont="1"/>
    <xf numFmtId="0" fontId="2" fillId="0" borderId="1" xfId="1" applyNumberFormat="1" applyFont="1" applyBorder="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16" fillId="5" borderId="1" xfId="1" applyNumberFormat="1" applyFont="1" applyFill="1" applyBorder="1" applyAlignment="1">
      <alignment horizontal="center" vertical="center"/>
    </xf>
    <xf numFmtId="0" fontId="16" fillId="6" borderId="1" xfId="1" applyNumberFormat="1" applyFont="1" applyFill="1" applyBorder="1" applyAlignment="1">
      <alignment horizontal="center" vertical="center"/>
    </xf>
    <xf numFmtId="167" fontId="5" fillId="0" borderId="1" xfId="8" applyNumberFormat="1" applyFont="1" applyBorder="1" applyAlignment="1">
      <alignment horizontal="left" vertical="center" wrapText="1"/>
    </xf>
    <xf numFmtId="0" fontId="2" fillId="0" borderId="1" xfId="0" applyFont="1" applyBorder="1" applyAlignment="1">
      <alignment horizontal="left" vertical="center" wrapText="1"/>
    </xf>
    <xf numFmtId="14"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166" fontId="1" fillId="0" borderId="1" xfId="1" applyNumberFormat="1" applyFont="1" applyBorder="1" applyAlignment="1">
      <alignment horizontal="center" vertical="center"/>
    </xf>
    <xf numFmtId="0" fontId="1" fillId="0" borderId="1" xfId="1" applyNumberFormat="1" applyFont="1" applyBorder="1" applyAlignment="1">
      <alignment horizontal="center" vertical="center"/>
    </xf>
    <xf numFmtId="0" fontId="16" fillId="0" borderId="1" xfId="1" applyNumberFormat="1" applyFont="1" applyBorder="1" applyAlignment="1">
      <alignment horizontal="center" vertical="center"/>
    </xf>
    <xf numFmtId="1" fontId="17" fillId="0" borderId="1" xfId="6" applyNumberFormat="1" applyFont="1" applyBorder="1"/>
    <xf numFmtId="0" fontId="6" fillId="7" borderId="1" xfId="6" applyFont="1" applyFill="1" applyBorder="1" applyAlignment="1">
      <alignment vertical="center" wrapText="1"/>
    </xf>
    <xf numFmtId="0" fontId="17" fillId="7" borderId="1" xfId="6" applyFont="1" applyFill="1" applyBorder="1" applyAlignment="1">
      <alignment horizontal="left" vertical="center" wrapText="1"/>
    </xf>
    <xf numFmtId="0" fontId="7" fillId="7" borderId="1" xfId="6" applyFont="1" applyFill="1" applyBorder="1" applyAlignment="1">
      <alignment vertical="center" wrapText="1"/>
    </xf>
    <xf numFmtId="165" fontId="18" fillId="7" borderId="1" xfId="6" applyNumberFormat="1" applyFont="1" applyFill="1" applyBorder="1" applyAlignment="1">
      <alignment vertical="center" wrapText="1"/>
    </xf>
    <xf numFmtId="0" fontId="19" fillId="8" borderId="1" xfId="6" applyFont="1" applyFill="1" applyBorder="1" applyAlignment="1">
      <alignment horizontal="center" vertical="center" wrapText="1"/>
    </xf>
    <xf numFmtId="1" fontId="17" fillId="0" borderId="6" xfId="6" applyNumberFormat="1" applyFont="1" applyBorder="1"/>
    <xf numFmtId="0" fontId="2" fillId="7" borderId="1" xfId="6" applyFont="1" applyFill="1" applyBorder="1" applyAlignment="1">
      <alignment horizontal="left" vertical="center" wrapText="1"/>
    </xf>
    <xf numFmtId="0" fontId="5" fillId="0" borderId="8" xfId="8" applyFont="1" applyBorder="1" applyAlignment="1">
      <alignment vertical="center" wrapText="1"/>
    </xf>
    <xf numFmtId="0" fontId="6" fillId="0" borderId="5" xfId="6" applyFont="1" applyBorder="1" applyAlignment="1">
      <alignment horizontal="left" vertical="center" wrapText="1"/>
    </xf>
    <xf numFmtId="0" fontId="2" fillId="4" borderId="9" xfId="6" applyFont="1" applyFill="1" applyBorder="1" applyAlignment="1">
      <alignment horizontal="left" vertical="center" wrapText="1"/>
    </xf>
    <xf numFmtId="167" fontId="5" fillId="0" borderId="5" xfId="8" applyNumberFormat="1" applyFont="1" applyBorder="1" applyAlignment="1">
      <alignment horizontal="left" vertical="center" wrapText="1"/>
    </xf>
    <xf numFmtId="0" fontId="5" fillId="4" borderId="9" xfId="8" applyFont="1" applyFill="1" applyBorder="1" applyAlignment="1">
      <alignment horizontal="center" vertical="center" wrapText="1"/>
    </xf>
    <xf numFmtId="0" fontId="5" fillId="5" borderId="7" xfId="8" applyFont="1" applyFill="1" applyBorder="1" applyAlignment="1">
      <alignment horizontal="center" vertical="center" wrapText="1"/>
    </xf>
    <xf numFmtId="0" fontId="6" fillId="5" borderId="7" xfId="6" applyFont="1" applyFill="1" applyBorder="1" applyAlignment="1">
      <alignment horizontal="left" vertical="center" wrapText="1"/>
    </xf>
    <xf numFmtId="14" fontId="5" fillId="0" borderId="8" xfId="8" applyNumberFormat="1" applyFont="1" applyBorder="1" applyAlignment="1">
      <alignment vertical="center" wrapText="1"/>
    </xf>
    <xf numFmtId="0" fontId="5" fillId="0" borderId="5" xfId="0" applyFont="1" applyBorder="1" applyAlignment="1">
      <alignment horizontal="left" vertical="center" wrapText="1"/>
    </xf>
    <xf numFmtId="168" fontId="17" fillId="7" borderId="1" xfId="10" applyNumberFormat="1" applyFont="1" applyFill="1" applyBorder="1" applyAlignment="1">
      <alignment vertical="center" wrapText="1"/>
    </xf>
    <xf numFmtId="0" fontId="0" fillId="0" borderId="5" xfId="0" applyBorder="1"/>
    <xf numFmtId="0" fontId="5" fillId="0" borderId="10" xfId="8" applyFont="1" applyBorder="1" applyAlignment="1">
      <alignment vertical="center" wrapText="1"/>
    </xf>
    <xf numFmtId="167" fontId="6" fillId="0" borderId="5" xfId="8" applyNumberFormat="1" applyFont="1" applyBorder="1" applyAlignment="1">
      <alignment horizontal="left" vertical="center" wrapText="1"/>
    </xf>
    <xf numFmtId="0" fontId="5" fillId="0" borderId="8" xfId="8" applyFont="1" applyBorder="1" applyAlignment="1">
      <alignment horizontal="center" vertical="center" wrapText="1"/>
    </xf>
    <xf numFmtId="49" fontId="5" fillId="0" borderId="5" xfId="8" applyNumberFormat="1" applyFont="1" applyBorder="1" applyAlignment="1">
      <alignment horizontal="left" vertical="center" wrapText="1"/>
    </xf>
    <xf numFmtId="0" fontId="5" fillId="0" borderId="3" xfId="8" applyFont="1" applyBorder="1" applyAlignment="1">
      <alignment horizontal="left" vertical="center" wrapText="1"/>
    </xf>
    <xf numFmtId="0" fontId="5" fillId="3" borderId="7" xfId="8" applyFont="1" applyFill="1" applyBorder="1" applyAlignment="1">
      <alignment horizontal="center" vertical="center" wrapText="1"/>
    </xf>
    <xf numFmtId="0" fontId="2" fillId="3" borderId="7" xfId="6" applyFont="1" applyFill="1" applyBorder="1" applyAlignment="1">
      <alignment horizontal="left" vertical="center" wrapText="1"/>
    </xf>
    <xf numFmtId="49" fontId="5" fillId="0" borderId="7" xfId="8" applyNumberFormat="1" applyFont="1" applyBorder="1" applyAlignment="1">
      <alignment horizontal="center" vertical="center" wrapText="1"/>
    </xf>
    <xf numFmtId="0" fontId="2" fillId="0" borderId="7" xfId="6" applyFont="1" applyBorder="1" applyAlignment="1">
      <alignment horizontal="left" vertical="center" wrapText="1"/>
    </xf>
    <xf numFmtId="0" fontId="0" fillId="0" borderId="13" xfId="0" applyBorder="1"/>
    <xf numFmtId="0" fontId="0" fillId="0" borderId="12" xfId="0" applyBorder="1"/>
    <xf numFmtId="0" fontId="0" fillId="0" borderId="2" xfId="0" applyBorder="1"/>
    <xf numFmtId="0" fontId="0" fillId="0" borderId="3" xfId="0" applyBorder="1"/>
    <xf numFmtId="0" fontId="0" fillId="0" borderId="4" xfId="0" applyBorder="1"/>
    <xf numFmtId="0" fontId="5" fillId="5" borderId="7" xfId="8" quotePrefix="1" applyFont="1" applyFill="1" applyBorder="1" applyAlignment="1">
      <alignment horizontal="center" vertical="center" wrapText="1"/>
    </xf>
    <xf numFmtId="0" fontId="5" fillId="4" borderId="11" xfId="8" applyFont="1" applyFill="1" applyBorder="1" applyAlignment="1">
      <alignment horizontal="center" vertical="center" wrapText="1"/>
    </xf>
    <xf numFmtId="0" fontId="2" fillId="4" borderId="11" xfId="6" applyFont="1" applyFill="1" applyBorder="1" applyAlignment="1">
      <alignment horizontal="left" vertical="center" wrapText="1"/>
    </xf>
    <xf numFmtId="0" fontId="0" fillId="0" borderId="13" xfId="0" applyBorder="1" applyAlignment="1"/>
    <xf numFmtId="0" fontId="0" fillId="0" borderId="12" xfId="0" applyBorder="1" applyAlignment="1"/>
    <xf numFmtId="0" fontId="0" fillId="0" borderId="2" xfId="0" applyBorder="1" applyAlignment="1"/>
    <xf numFmtId="0" fontId="0" fillId="0" borderId="3" xfId="0" applyBorder="1" applyAlignment="1"/>
    <xf numFmtId="0" fontId="0" fillId="0" borderId="4" xfId="0" applyBorder="1" applyAlignment="1"/>
    <xf numFmtId="0" fontId="5" fillId="0" borderId="12" xfId="8" applyFont="1" applyBorder="1" applyAlignment="1">
      <alignment vertical="center" wrapText="1"/>
    </xf>
    <xf numFmtId="0" fontId="2" fillId="4" borderId="5" xfId="6" applyFont="1" applyFill="1" applyBorder="1" applyAlignment="1">
      <alignment horizontal="left" vertical="center" wrapText="1"/>
    </xf>
    <xf numFmtId="0" fontId="5" fillId="0" borderId="8" xfId="8" applyFont="1" applyBorder="1" applyAlignment="1">
      <alignment horizontal="left" vertical="center" wrapText="1"/>
    </xf>
    <xf numFmtId="0" fontId="5" fillId="4" borderId="12" xfId="8" applyFont="1" applyFill="1" applyBorder="1" applyAlignment="1">
      <alignment horizontal="center" vertical="center" wrapText="1"/>
    </xf>
    <xf numFmtId="0" fontId="2" fillId="4" borderId="2" xfId="6" applyFont="1" applyFill="1" applyBorder="1" applyAlignment="1">
      <alignment horizontal="left" vertical="center" wrapText="1"/>
    </xf>
    <xf numFmtId="0" fontId="1" fillId="0" borderId="4" xfId="6" applyFont="1" applyBorder="1" applyAlignment="1">
      <alignment horizontal="center" vertical="center"/>
    </xf>
    <xf numFmtId="0" fontId="2" fillId="0" borderId="13" xfId="6" applyFont="1" applyBorder="1" applyAlignment="1">
      <alignment horizontal="left" vertical="center" wrapText="1"/>
    </xf>
    <xf numFmtId="0" fontId="5" fillId="0" borderId="3" xfId="8" applyFont="1" applyBorder="1" applyAlignment="1">
      <alignment vertical="center" wrapText="1"/>
    </xf>
    <xf numFmtId="0" fontId="5" fillId="0" borderId="12" xfId="8" applyFont="1" applyBorder="1" applyAlignment="1">
      <alignment horizontal="left" vertical="center" wrapText="1"/>
    </xf>
    <xf numFmtId="0" fontId="5" fillId="0" borderId="5" xfId="6" applyFont="1" applyFill="1" applyBorder="1" applyAlignment="1">
      <alignment horizontal="left" vertical="center" wrapText="1"/>
    </xf>
    <xf numFmtId="0" fontId="6" fillId="0" borderId="5" xfId="6" applyFont="1" applyFill="1" applyBorder="1" applyAlignment="1">
      <alignment horizontal="left" vertical="center" wrapText="1"/>
    </xf>
    <xf numFmtId="167" fontId="6" fillId="0" borderId="5" xfId="8" applyNumberFormat="1" applyFont="1" applyFill="1" applyBorder="1" applyAlignment="1">
      <alignment horizontal="left" vertical="center" wrapText="1"/>
    </xf>
    <xf numFmtId="0" fontId="6" fillId="0" borderId="5" xfId="0" applyFont="1" applyFill="1" applyBorder="1" applyAlignment="1">
      <alignment horizontal="left" vertical="center" wrapText="1"/>
    </xf>
    <xf numFmtId="167" fontId="5" fillId="0" borderId="5" xfId="8" applyNumberFormat="1" applyFont="1" applyFill="1" applyBorder="1" applyAlignment="1">
      <alignment horizontal="left" vertical="center" wrapText="1"/>
    </xf>
    <xf numFmtId="167" fontId="6" fillId="0" borderId="5" xfId="8" applyNumberFormat="1" applyFont="1" applyFill="1" applyBorder="1" applyAlignment="1">
      <alignment horizontal="left" vertical="center"/>
    </xf>
    <xf numFmtId="49" fontId="6" fillId="0" borderId="5" xfId="8" applyNumberFormat="1" applyFont="1" applyFill="1" applyBorder="1" applyAlignment="1">
      <alignment horizontal="left" vertical="center" wrapText="1"/>
    </xf>
    <xf numFmtId="167" fontId="5" fillId="0" borderId="13" xfId="8" applyNumberFormat="1" applyFont="1" applyBorder="1" applyAlignment="1">
      <alignment horizontal="left" vertical="center" wrapText="1"/>
    </xf>
    <xf numFmtId="167" fontId="5" fillId="0" borderId="11" xfId="8" applyNumberFormat="1" applyFont="1" applyBorder="1" applyAlignment="1">
      <alignment horizontal="left" vertical="center" wrapText="1"/>
    </xf>
    <xf numFmtId="14" fontId="5" fillId="0" borderId="11" xfId="0" applyNumberFormat="1" applyFont="1" applyBorder="1" applyAlignment="1">
      <alignment horizontal="center" vertical="center" wrapText="1"/>
    </xf>
    <xf numFmtId="0" fontId="5" fillId="0" borderId="11" xfId="0" applyFont="1" applyBorder="1" applyAlignment="1">
      <alignment horizontal="center" vertical="center" wrapText="1"/>
    </xf>
    <xf numFmtId="166" fontId="4" fillId="0" borderId="11" xfId="1" applyNumberFormat="1" applyFont="1" applyBorder="1" applyAlignment="1">
      <alignment horizontal="center" vertical="center"/>
    </xf>
    <xf numFmtId="0" fontId="5" fillId="5" borderId="1" xfId="8" applyFont="1" applyFill="1" applyBorder="1" applyAlignment="1">
      <alignment horizontal="center" vertical="center" wrapText="1"/>
    </xf>
    <xf numFmtId="0" fontId="6" fillId="5" borderId="1" xfId="6" applyFont="1" applyFill="1" applyBorder="1" applyAlignment="1">
      <alignment horizontal="left" vertical="center" wrapText="1"/>
    </xf>
  </cellXfs>
  <cellStyles count="11">
    <cellStyle name="Hyperlink 2" xfId="2" xr:uid="{00000000-0005-0000-0000-000002000000}"/>
    <cellStyle name="Normal 2" xfId="3" xr:uid="{00000000-0005-0000-0000-000003000000}"/>
    <cellStyle name="Гиперссылка 2" xfId="4" xr:uid="{00000000-0005-0000-0000-000004000000}"/>
    <cellStyle name="Денежный" xfId="1" builtinId="4"/>
    <cellStyle name="Денежный 2" xfId="5" xr:uid="{00000000-0005-0000-0000-000005000000}"/>
    <cellStyle name="Обычный" xfId="0" builtinId="0"/>
    <cellStyle name="Обычный 2" xfId="6" xr:uid="{00000000-0005-0000-0000-000006000000}"/>
    <cellStyle name="Обычный 3" xfId="7" xr:uid="{00000000-0005-0000-0000-000007000000}"/>
    <cellStyle name="Обычный_Смета_динамо" xfId="8" xr:uid="{00000000-0005-0000-0000-000008000000}"/>
    <cellStyle name="Процентный 2" xfId="9" xr:uid="{00000000-0005-0000-0000-000009000000}"/>
    <cellStyle name="Финансовый 2" xfId="10" xr:uid="{00000000-0005-0000-0000-00000A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R270"/>
  <sheetViews>
    <sheetView showGridLines="0" tabSelected="1" zoomScale="91" zoomScaleNormal="100" workbookViewId="0"/>
  </sheetViews>
  <sheetFormatPr defaultColWidth="9.19921875" defaultRowHeight="13.2"/>
  <cols>
    <col min="1" max="1" width="5.69921875" style="7" customWidth="1"/>
    <col min="2" max="2" width="50.59765625" style="8" customWidth="1"/>
    <col min="3" max="3" width="50.59765625" style="1" customWidth="1"/>
    <col min="4" max="4" width="50.59765625" style="9" customWidth="1"/>
    <col min="5" max="10" width="10.59765625" style="9" customWidth="1"/>
    <col min="11" max="16" width="10.59765625" style="9" hidden="1" customWidth="1"/>
    <col min="17" max="22" width="9.19921875" style="9" customWidth="1"/>
    <col min="23" max="16384" width="9.19921875" style="9"/>
  </cols>
  <sheetData>
    <row r="2" spans="1:16">
      <c r="A2" s="63"/>
      <c r="B2" s="64" t="s">
        <v>0</v>
      </c>
      <c r="C2" s="65"/>
    </row>
    <row r="3" spans="1:16">
      <c r="A3" s="63"/>
      <c r="B3" s="64" t="s">
        <v>1</v>
      </c>
      <c r="C3" s="65" t="s">
        <v>2</v>
      </c>
    </row>
    <row r="4" spans="1:16">
      <c r="A4" s="63"/>
      <c r="B4" s="64" t="s">
        <v>3</v>
      </c>
      <c r="C4" s="65" t="s">
        <v>4</v>
      </c>
    </row>
    <row r="5" spans="1:16">
      <c r="A5" s="63"/>
      <c r="B5" s="64" t="s">
        <v>5</v>
      </c>
      <c r="C5" s="80">
        <v>21600</v>
      </c>
    </row>
    <row r="6" spans="1:16">
      <c r="A6" s="63"/>
      <c r="B6" s="66" t="s">
        <v>6</v>
      </c>
      <c r="C6" s="67"/>
    </row>
    <row r="7" spans="1:16">
      <c r="A7" s="63"/>
      <c r="B7" s="64" t="s">
        <v>7</v>
      </c>
      <c r="C7" s="68"/>
    </row>
    <row r="8" spans="1:16">
      <c r="A8" s="63"/>
      <c r="B8" s="64" t="s">
        <v>8</v>
      </c>
      <c r="C8" s="68"/>
    </row>
    <row r="9" spans="1:16">
      <c r="A9" s="63"/>
      <c r="B9" s="64" t="s">
        <v>9</v>
      </c>
      <c r="C9" s="68"/>
    </row>
    <row r="10" spans="1:16">
      <c r="A10" s="63"/>
      <c r="B10" s="64" t="s">
        <v>10</v>
      </c>
      <c r="C10" s="68"/>
    </row>
    <row r="11" spans="1:16">
      <c r="A11" s="63"/>
      <c r="B11" s="64" t="s">
        <v>11</v>
      </c>
      <c r="C11" s="68"/>
    </row>
    <row r="12" spans="1:16">
      <c r="A12" s="63"/>
      <c r="B12" s="64" t="s">
        <v>12</v>
      </c>
      <c r="C12" s="68"/>
    </row>
    <row r="13" spans="1:16">
      <c r="A13" s="69"/>
      <c r="B13" s="64" t="s">
        <v>13</v>
      </c>
      <c r="C13" s="70" t="s">
        <v>14</v>
      </c>
    </row>
    <row r="14" spans="1:16">
      <c r="A14" s="10"/>
    </row>
    <row r="15" spans="1:16" s="1" customFormat="1" ht="51">
      <c r="A15" s="11" t="s">
        <v>15</v>
      </c>
      <c r="B15" s="40" t="s">
        <v>16</v>
      </c>
      <c r="C15" s="12" t="s">
        <v>17</v>
      </c>
      <c r="D15" s="13" t="s">
        <v>18</v>
      </c>
      <c r="E15" s="13" t="s">
        <v>19</v>
      </c>
      <c r="F15" s="13" t="s">
        <v>20</v>
      </c>
      <c r="G15" s="13" t="s">
        <v>21</v>
      </c>
      <c r="H15" s="13" t="s">
        <v>22</v>
      </c>
      <c r="I15" s="9"/>
      <c r="J15" s="9"/>
      <c r="K15" s="16" t="s">
        <v>23</v>
      </c>
      <c r="L15" s="16" t="s">
        <v>24</v>
      </c>
      <c r="M15" s="16" t="s">
        <v>25</v>
      </c>
      <c r="N15" s="16" t="s">
        <v>26</v>
      </c>
      <c r="O15" s="13" t="s">
        <v>27</v>
      </c>
      <c r="P15" s="13" t="s">
        <v>28</v>
      </c>
    </row>
    <row r="16" spans="1:16" s="1" customFormat="1">
      <c r="A16" s="11">
        <v>1</v>
      </c>
      <c r="B16" s="11">
        <f t="shared" ref="B16:H16" si="0">+A16+1</f>
        <v>2</v>
      </c>
      <c r="C16" s="11">
        <f t="shared" si="0"/>
        <v>3</v>
      </c>
      <c r="D16" s="11">
        <f t="shared" si="0"/>
        <v>4</v>
      </c>
      <c r="E16" s="11">
        <f t="shared" si="0"/>
        <v>5</v>
      </c>
      <c r="F16" s="11">
        <f t="shared" si="0"/>
        <v>6</v>
      </c>
      <c r="G16" s="11">
        <f t="shared" si="0"/>
        <v>7</v>
      </c>
      <c r="H16" s="11">
        <f t="shared" si="0"/>
        <v>8</v>
      </c>
      <c r="I16" s="9"/>
      <c r="J16" s="9"/>
      <c r="K16" s="11">
        <f>+H16+1</f>
        <v>9</v>
      </c>
      <c r="L16" s="11">
        <f>+K16+1</f>
        <v>10</v>
      </c>
      <c r="M16" s="11">
        <f>+L16+1</f>
        <v>11</v>
      </c>
      <c r="N16" s="11">
        <f>+M16+1</f>
        <v>12</v>
      </c>
      <c r="O16" s="11">
        <f>+N16+1</f>
        <v>13</v>
      </c>
      <c r="P16" s="11">
        <f>+O16+1</f>
        <v>14</v>
      </c>
    </row>
    <row r="17" spans="1:18" s="2" customFormat="1" ht="20.399999999999999">
      <c r="A17" s="38">
        <v>1</v>
      </c>
      <c r="B17" s="19" t="s">
        <v>29</v>
      </c>
      <c r="C17" s="19"/>
      <c r="D17" s="20"/>
      <c r="E17" s="21">
        <v>46204</v>
      </c>
      <c r="F17" s="41">
        <v>46356</v>
      </c>
      <c r="G17" s="22">
        <f>+F17-E17+1</f>
        <v>153</v>
      </c>
      <c r="H17" s="42"/>
      <c r="I17" s="9"/>
      <c r="J17" s="9"/>
      <c r="K17" s="23"/>
      <c r="L17" s="23"/>
      <c r="M17" s="23"/>
      <c r="N17" s="23"/>
      <c r="O17" s="23"/>
      <c r="P17" s="23"/>
    </row>
    <row r="18" spans="1:18" s="2" customFormat="1">
      <c r="A18" s="97" t="s">
        <v>30</v>
      </c>
      <c r="B18" s="98" t="s">
        <v>31</v>
      </c>
      <c r="C18" s="24"/>
      <c r="D18" s="25"/>
      <c r="E18" s="26"/>
      <c r="F18" s="43"/>
      <c r="G18" s="27"/>
      <c r="H18" s="44"/>
      <c r="I18" s="9"/>
      <c r="J18" s="9"/>
      <c r="K18" s="28"/>
      <c r="L18" s="28"/>
      <c r="M18" s="28"/>
      <c r="N18" s="28"/>
      <c r="O18" s="28"/>
      <c r="P18" s="28"/>
    </row>
    <row r="19" spans="1:18" s="2" customFormat="1" ht="20.399999999999999">
      <c r="A19" s="71"/>
      <c r="B19" s="91"/>
      <c r="C19" s="113" t="s">
        <v>32</v>
      </c>
      <c r="D19" s="52" t="s">
        <v>33</v>
      </c>
      <c r="E19" s="15">
        <v>46204</v>
      </c>
      <c r="F19" s="15">
        <v>46227</v>
      </c>
      <c r="G19" s="53">
        <f t="shared" ref="G19:G25" si="1">+F19-E19+1</f>
        <v>24</v>
      </c>
      <c r="H19" s="45"/>
      <c r="I19" s="9"/>
      <c r="J19" s="9"/>
      <c r="K19" s="62" t="s">
        <v>34</v>
      </c>
      <c r="L19" s="62" t="s">
        <v>34</v>
      </c>
      <c r="M19" s="62" t="s">
        <v>34</v>
      </c>
      <c r="N19" s="62" t="s">
        <v>34</v>
      </c>
      <c r="O19" s="55"/>
      <c r="P19" s="51"/>
      <c r="Q19" s="2">
        <v>1</v>
      </c>
      <c r="R19" s="2">
        <v>1</v>
      </c>
    </row>
    <row r="20" spans="1:18" s="2" customFormat="1" ht="40.799999999999997">
      <c r="A20" s="92"/>
      <c r="B20" s="93"/>
      <c r="C20" s="113" t="s">
        <v>35</v>
      </c>
      <c r="D20" s="18" t="s">
        <v>36</v>
      </c>
      <c r="E20" s="15">
        <v>46204</v>
      </c>
      <c r="F20" s="15">
        <v>46272</v>
      </c>
      <c r="G20" s="53">
        <f t="shared" si="1"/>
        <v>69</v>
      </c>
      <c r="H20" s="45"/>
      <c r="I20" s="9"/>
      <c r="J20" s="9"/>
      <c r="K20" s="62" t="s">
        <v>34</v>
      </c>
      <c r="L20" s="62" t="s">
        <v>34</v>
      </c>
      <c r="M20" s="62" t="s">
        <v>34</v>
      </c>
      <c r="N20" s="62" t="s">
        <v>34</v>
      </c>
      <c r="O20" s="55"/>
      <c r="P20" s="51"/>
      <c r="Q20" s="2">
        <v>1</v>
      </c>
      <c r="R20" s="2">
        <v>1</v>
      </c>
    </row>
    <row r="21" spans="1:18" s="2" customFormat="1" ht="40.799999999999997">
      <c r="A21" s="92"/>
      <c r="B21" s="93"/>
      <c r="C21" s="113" t="s">
        <v>37</v>
      </c>
      <c r="D21" s="18" t="s">
        <v>38</v>
      </c>
      <c r="E21" s="15">
        <v>46204</v>
      </c>
      <c r="F21" s="15">
        <v>46286</v>
      </c>
      <c r="G21" s="53">
        <f t="shared" si="1"/>
        <v>83</v>
      </c>
      <c r="H21" s="45"/>
      <c r="I21" s="9"/>
      <c r="J21" s="9"/>
      <c r="K21" s="62" t="s">
        <v>34</v>
      </c>
      <c r="L21" s="62" t="s">
        <v>34</v>
      </c>
      <c r="M21" s="62" t="s">
        <v>34</v>
      </c>
      <c r="N21" s="62" t="s">
        <v>34</v>
      </c>
      <c r="O21" s="55"/>
      <c r="P21" s="51"/>
      <c r="Q21" s="2">
        <v>1</v>
      </c>
      <c r="R21" s="2">
        <v>1</v>
      </c>
    </row>
    <row r="22" spans="1:18" s="2" customFormat="1" ht="40.799999999999997">
      <c r="A22" s="92"/>
      <c r="B22" s="93"/>
      <c r="C22" s="113" t="s">
        <v>39</v>
      </c>
      <c r="D22" s="18" t="s">
        <v>40</v>
      </c>
      <c r="E22" s="15">
        <v>46204</v>
      </c>
      <c r="F22" s="15">
        <v>46272</v>
      </c>
      <c r="G22" s="53">
        <f t="shared" si="1"/>
        <v>69</v>
      </c>
      <c r="H22" s="45"/>
      <c r="I22" s="9"/>
      <c r="J22" s="9"/>
      <c r="K22" s="62" t="s">
        <v>34</v>
      </c>
      <c r="L22" s="62" t="s">
        <v>41</v>
      </c>
      <c r="M22" s="62" t="s">
        <v>34</v>
      </c>
      <c r="N22" s="62" t="s">
        <v>34</v>
      </c>
      <c r="O22" s="55" t="s">
        <v>42</v>
      </c>
      <c r="P22" s="51" t="s">
        <v>43</v>
      </c>
      <c r="Q22" s="2">
        <v>1</v>
      </c>
      <c r="R22" s="2">
        <v>1</v>
      </c>
    </row>
    <row r="23" spans="1:18" s="2" customFormat="1" ht="30.6">
      <c r="A23" s="92"/>
      <c r="B23" s="93"/>
      <c r="C23" s="113" t="s">
        <v>44</v>
      </c>
      <c r="D23" s="18" t="s">
        <v>45</v>
      </c>
      <c r="E23" s="15">
        <v>46204</v>
      </c>
      <c r="F23" s="15">
        <v>46266</v>
      </c>
      <c r="G23" s="53">
        <f t="shared" si="1"/>
        <v>63</v>
      </c>
      <c r="H23" s="45"/>
      <c r="I23" s="9"/>
      <c r="J23" s="9"/>
      <c r="K23" s="62" t="s">
        <v>34</v>
      </c>
      <c r="L23" s="62" t="s">
        <v>41</v>
      </c>
      <c r="M23" s="62" t="s">
        <v>34</v>
      </c>
      <c r="N23" s="62" t="s">
        <v>34</v>
      </c>
      <c r="O23" s="55" t="s">
        <v>42</v>
      </c>
      <c r="P23" s="51" t="s">
        <v>43</v>
      </c>
      <c r="Q23" s="2">
        <v>1</v>
      </c>
      <c r="R23" s="2">
        <v>1</v>
      </c>
    </row>
    <row r="24" spans="1:18" s="2" customFormat="1" ht="20.399999999999999">
      <c r="A24" s="92"/>
      <c r="B24" s="93"/>
      <c r="C24" s="113" t="s">
        <v>46</v>
      </c>
      <c r="D24" s="18" t="s">
        <v>47</v>
      </c>
      <c r="E24" s="15">
        <v>46231</v>
      </c>
      <c r="F24" s="15">
        <v>46341</v>
      </c>
      <c r="G24" s="53">
        <f t="shared" si="1"/>
        <v>111</v>
      </c>
      <c r="H24" s="45"/>
      <c r="I24" s="9"/>
      <c r="J24" s="9"/>
      <c r="K24" s="62" t="s">
        <v>34</v>
      </c>
      <c r="L24" s="62" t="s">
        <v>41</v>
      </c>
      <c r="M24" s="62" t="s">
        <v>34</v>
      </c>
      <c r="N24" s="62" t="s">
        <v>34</v>
      </c>
      <c r="O24" s="55" t="s">
        <v>42</v>
      </c>
      <c r="P24" s="51" t="s">
        <v>43</v>
      </c>
      <c r="Q24" s="2">
        <v>1</v>
      </c>
      <c r="R24" s="2">
        <v>1</v>
      </c>
    </row>
    <row r="25" spans="1:18" s="2" customFormat="1" ht="30.6">
      <c r="A25" s="94"/>
      <c r="B25" s="95"/>
      <c r="C25" s="113" t="s">
        <v>48</v>
      </c>
      <c r="D25" s="18" t="s">
        <v>49</v>
      </c>
      <c r="E25" s="15">
        <v>46204</v>
      </c>
      <c r="F25" s="15">
        <v>46266</v>
      </c>
      <c r="G25" s="53">
        <f t="shared" si="1"/>
        <v>63</v>
      </c>
      <c r="H25" s="45"/>
      <c r="I25" s="9"/>
      <c r="J25" s="9"/>
      <c r="K25" s="62" t="s">
        <v>34</v>
      </c>
      <c r="L25" s="62" t="s">
        <v>41</v>
      </c>
      <c r="M25" s="62" t="s">
        <v>34</v>
      </c>
      <c r="N25" s="62" t="s">
        <v>34</v>
      </c>
      <c r="O25" s="55" t="s">
        <v>42</v>
      </c>
      <c r="P25" s="51" t="s">
        <v>43</v>
      </c>
      <c r="Q25" s="2">
        <v>1</v>
      </c>
      <c r="R25" s="2">
        <v>1</v>
      </c>
    </row>
    <row r="26" spans="1:18" s="2" customFormat="1">
      <c r="A26" s="75" t="s">
        <v>50</v>
      </c>
      <c r="B26" s="73" t="s">
        <v>51</v>
      </c>
      <c r="C26" s="24"/>
      <c r="D26" s="25"/>
      <c r="E26" s="26"/>
      <c r="F26" s="43"/>
      <c r="G26" s="27"/>
      <c r="H26" s="44"/>
      <c r="I26" s="9"/>
      <c r="J26" s="9"/>
      <c r="K26" s="28"/>
      <c r="L26" s="28"/>
      <c r="M26" s="28"/>
      <c r="N26" s="28"/>
      <c r="O26" s="28"/>
      <c r="P26" s="35"/>
    </row>
    <row r="27" spans="1:18" s="1" customFormat="1" ht="51">
      <c r="A27" s="104"/>
      <c r="B27" s="93"/>
      <c r="C27" s="114" t="s">
        <v>454</v>
      </c>
      <c r="D27" s="52" t="s">
        <v>455</v>
      </c>
      <c r="E27" s="15">
        <v>46218</v>
      </c>
      <c r="F27" s="15">
        <v>46255</v>
      </c>
      <c r="G27" s="53">
        <f>+F27-E27+1</f>
        <v>38</v>
      </c>
      <c r="H27" s="60"/>
      <c r="I27" s="9"/>
      <c r="J27" s="9"/>
      <c r="K27" s="62"/>
      <c r="L27" s="62"/>
      <c r="M27" s="62"/>
      <c r="N27" s="62"/>
      <c r="O27" s="55"/>
      <c r="P27" s="51"/>
    </row>
    <row r="28" spans="1:18" s="1" customFormat="1" ht="91.8">
      <c r="A28" s="92"/>
      <c r="B28" s="93"/>
      <c r="C28" s="114" t="s">
        <v>456</v>
      </c>
      <c r="D28" s="52" t="s">
        <v>457</v>
      </c>
      <c r="E28" s="15">
        <v>46236</v>
      </c>
      <c r="F28" s="15">
        <v>46341</v>
      </c>
      <c r="G28" s="53">
        <f>+F28-E28+1</f>
        <v>106</v>
      </c>
      <c r="H28" s="60"/>
      <c r="I28" s="9"/>
      <c r="J28" s="9"/>
      <c r="K28" s="62" t="s">
        <v>41</v>
      </c>
      <c r="L28" s="62" t="s">
        <v>41</v>
      </c>
      <c r="M28" s="62" t="s">
        <v>41</v>
      </c>
      <c r="N28" s="62" t="s">
        <v>41</v>
      </c>
      <c r="O28" s="62" t="s">
        <v>42</v>
      </c>
      <c r="P28" s="39" t="s">
        <v>53</v>
      </c>
      <c r="Q28" s="1">
        <v>1</v>
      </c>
      <c r="R28" s="1">
        <v>2</v>
      </c>
    </row>
    <row r="29" spans="1:18" s="1" customFormat="1" ht="51">
      <c r="A29" s="92"/>
      <c r="B29" s="93"/>
      <c r="C29" s="114" t="s">
        <v>458</v>
      </c>
      <c r="D29" s="52" t="s">
        <v>459</v>
      </c>
      <c r="E29" s="15">
        <v>46218</v>
      </c>
      <c r="F29" s="15">
        <v>46341</v>
      </c>
      <c r="G29" s="53">
        <f>+F29-E29+1</f>
        <v>124</v>
      </c>
      <c r="H29" s="60"/>
      <c r="I29" s="9"/>
      <c r="J29" s="9"/>
      <c r="K29" s="62"/>
      <c r="L29" s="62"/>
      <c r="M29" s="62"/>
      <c r="N29" s="62"/>
      <c r="O29" s="62"/>
      <c r="P29" s="39"/>
    </row>
    <row r="30" spans="1:18" s="1" customFormat="1">
      <c r="A30" s="75" t="s">
        <v>54</v>
      </c>
      <c r="B30" s="73" t="s">
        <v>55</v>
      </c>
      <c r="C30" s="24"/>
      <c r="D30" s="25"/>
      <c r="E30" s="26"/>
      <c r="F30" s="43"/>
      <c r="G30" s="27"/>
      <c r="H30" s="44"/>
      <c r="I30" s="9"/>
      <c r="J30" s="9"/>
      <c r="K30" s="28"/>
      <c r="L30" s="28"/>
      <c r="M30" s="28"/>
      <c r="N30" s="28"/>
      <c r="O30" s="28"/>
      <c r="P30" s="35"/>
    </row>
    <row r="31" spans="1:18" s="1" customFormat="1" ht="51">
      <c r="A31" s="78"/>
      <c r="B31" s="91"/>
      <c r="C31" s="114" t="s">
        <v>56</v>
      </c>
      <c r="D31" s="18" t="s">
        <v>57</v>
      </c>
      <c r="E31" s="15">
        <v>46235</v>
      </c>
      <c r="F31" s="15">
        <v>46271</v>
      </c>
      <c r="G31" s="53">
        <f>+F31-E31+1</f>
        <v>37</v>
      </c>
      <c r="H31" s="60"/>
      <c r="I31" s="9"/>
      <c r="J31" s="9"/>
      <c r="K31" s="62" t="s">
        <v>41</v>
      </c>
      <c r="L31" s="62" t="s">
        <v>41</v>
      </c>
      <c r="M31" s="62" t="s">
        <v>41</v>
      </c>
      <c r="N31" s="62" t="s">
        <v>34</v>
      </c>
      <c r="O31" s="55" t="s">
        <v>42</v>
      </c>
      <c r="P31" s="51" t="s">
        <v>52</v>
      </c>
      <c r="Q31" s="1">
        <v>1</v>
      </c>
      <c r="R31" s="1">
        <v>3</v>
      </c>
    </row>
    <row r="32" spans="1:18" s="1" customFormat="1" ht="91.8">
      <c r="A32" s="92"/>
      <c r="B32" s="93"/>
      <c r="C32" s="114" t="s">
        <v>58</v>
      </c>
      <c r="D32" s="52" t="s">
        <v>59</v>
      </c>
      <c r="E32" s="15">
        <v>46253</v>
      </c>
      <c r="F32" s="15">
        <v>46356</v>
      </c>
      <c r="G32" s="53">
        <f>+F32-E32+1</f>
        <v>104</v>
      </c>
      <c r="H32" s="60"/>
      <c r="I32" s="9"/>
      <c r="J32" s="9"/>
      <c r="K32" s="62" t="s">
        <v>41</v>
      </c>
      <c r="L32" s="62" t="s">
        <v>41</v>
      </c>
      <c r="M32" s="62" t="s">
        <v>41</v>
      </c>
      <c r="N32" s="62" t="s">
        <v>41</v>
      </c>
      <c r="O32" s="62" t="s">
        <v>42</v>
      </c>
      <c r="P32" s="39" t="s">
        <v>53</v>
      </c>
      <c r="Q32" s="1">
        <v>1</v>
      </c>
      <c r="R32" s="1">
        <v>3</v>
      </c>
    </row>
    <row r="33" spans="1:18" s="1" customFormat="1" ht="40.799999999999997">
      <c r="A33" s="92"/>
      <c r="B33" s="93"/>
      <c r="C33" s="72" t="s">
        <v>60</v>
      </c>
      <c r="D33" s="17" t="s">
        <v>453</v>
      </c>
      <c r="E33" s="15">
        <v>46235</v>
      </c>
      <c r="F33" s="15">
        <v>46356</v>
      </c>
      <c r="G33" s="53">
        <f>+F33-E33+1</f>
        <v>122</v>
      </c>
      <c r="H33" s="60"/>
      <c r="I33" s="9"/>
      <c r="J33" s="9"/>
      <c r="K33" s="62" t="s">
        <v>41</v>
      </c>
      <c r="L33" s="62" t="s">
        <v>41</v>
      </c>
      <c r="M33" s="62" t="s">
        <v>41</v>
      </c>
      <c r="N33" s="62" t="s">
        <v>41</v>
      </c>
      <c r="O33" s="62" t="s">
        <v>42</v>
      </c>
      <c r="P33" s="39" t="s">
        <v>53</v>
      </c>
      <c r="Q33" s="1">
        <v>1</v>
      </c>
      <c r="R33" s="1">
        <v>3</v>
      </c>
    </row>
    <row r="34" spans="1:18" s="1" customFormat="1">
      <c r="A34" s="75" t="s">
        <v>61</v>
      </c>
      <c r="B34" s="73" t="s">
        <v>62</v>
      </c>
      <c r="C34" s="24"/>
      <c r="D34" s="25"/>
      <c r="E34" s="26"/>
      <c r="F34" s="43"/>
      <c r="G34" s="27"/>
      <c r="H34" s="44"/>
      <c r="I34" s="9"/>
      <c r="J34" s="9"/>
      <c r="K34" s="28"/>
      <c r="L34" s="28"/>
      <c r="M34" s="28"/>
      <c r="N34" s="28"/>
      <c r="O34" s="28"/>
      <c r="P34" s="35"/>
    </row>
    <row r="35" spans="1:18" s="1" customFormat="1" ht="51">
      <c r="A35" s="71"/>
      <c r="B35" s="91"/>
      <c r="C35" s="114" t="s">
        <v>63</v>
      </c>
      <c r="D35" s="18" t="s">
        <v>64</v>
      </c>
      <c r="E35" s="15">
        <v>46218</v>
      </c>
      <c r="F35" s="15">
        <v>46255</v>
      </c>
      <c r="G35" s="53">
        <f>+F35-E35+1</f>
        <v>38</v>
      </c>
      <c r="H35" s="60"/>
      <c r="I35" s="9"/>
      <c r="J35" s="9"/>
      <c r="K35" s="62" t="s">
        <v>41</v>
      </c>
      <c r="L35" s="62" t="s">
        <v>41</v>
      </c>
      <c r="M35" s="62" t="s">
        <v>41</v>
      </c>
      <c r="N35" s="62" t="s">
        <v>34</v>
      </c>
      <c r="O35" s="55" t="s">
        <v>42</v>
      </c>
      <c r="P35" s="51" t="s">
        <v>52</v>
      </c>
      <c r="Q35" s="1">
        <v>1</v>
      </c>
      <c r="R35" s="1">
        <v>4</v>
      </c>
    </row>
    <row r="36" spans="1:18" s="1" customFormat="1" ht="91.8">
      <c r="A36" s="92"/>
      <c r="B36" s="93"/>
      <c r="C36" s="114" t="s">
        <v>65</v>
      </c>
      <c r="D36" s="52" t="s">
        <v>66</v>
      </c>
      <c r="E36" s="15">
        <v>46236</v>
      </c>
      <c r="F36" s="15">
        <v>46341</v>
      </c>
      <c r="G36" s="53">
        <f>+F36-E36+1</f>
        <v>106</v>
      </c>
      <c r="H36" s="60"/>
      <c r="I36" s="9"/>
      <c r="J36" s="9"/>
      <c r="K36" s="62" t="s">
        <v>41</v>
      </c>
      <c r="L36" s="62" t="s">
        <v>41</v>
      </c>
      <c r="M36" s="62" t="s">
        <v>41</v>
      </c>
      <c r="N36" s="62" t="s">
        <v>41</v>
      </c>
      <c r="O36" s="62" t="s">
        <v>42</v>
      </c>
      <c r="P36" s="39" t="s">
        <v>53</v>
      </c>
      <c r="Q36" s="1">
        <v>1</v>
      </c>
      <c r="R36" s="1">
        <v>4</v>
      </c>
    </row>
    <row r="37" spans="1:18" s="1" customFormat="1" ht="40.799999999999997">
      <c r="A37" s="92"/>
      <c r="B37" s="93"/>
      <c r="C37" s="74" t="s">
        <v>67</v>
      </c>
      <c r="D37" s="56" t="s">
        <v>460</v>
      </c>
      <c r="E37" s="15">
        <v>46218</v>
      </c>
      <c r="F37" s="15">
        <v>46341</v>
      </c>
      <c r="G37" s="53">
        <f>+F37-E37+1</f>
        <v>124</v>
      </c>
      <c r="H37" s="60"/>
      <c r="I37" s="9"/>
      <c r="J37" s="9"/>
      <c r="K37" s="62" t="s">
        <v>41</v>
      </c>
      <c r="L37" s="62" t="s">
        <v>41</v>
      </c>
      <c r="M37" s="62" t="s">
        <v>41</v>
      </c>
      <c r="N37" s="62" t="s">
        <v>41</v>
      </c>
      <c r="O37" s="62" t="s">
        <v>42</v>
      </c>
      <c r="P37" s="39" t="s">
        <v>53</v>
      </c>
      <c r="Q37" s="1">
        <v>1</v>
      </c>
      <c r="R37" s="1">
        <v>4</v>
      </c>
    </row>
    <row r="38" spans="1:18" s="1" customFormat="1">
      <c r="A38" s="75" t="s">
        <v>69</v>
      </c>
      <c r="B38" s="73" t="s">
        <v>68</v>
      </c>
      <c r="C38" s="24"/>
      <c r="D38" s="25"/>
      <c r="E38" s="26"/>
      <c r="F38" s="43"/>
      <c r="G38" s="27"/>
      <c r="H38" s="44"/>
      <c r="I38" s="9"/>
      <c r="J38" s="9"/>
      <c r="K38" s="28"/>
      <c r="L38" s="28"/>
      <c r="M38" s="28"/>
      <c r="N38" s="28"/>
      <c r="O38" s="28"/>
      <c r="P38" s="35"/>
    </row>
    <row r="39" spans="1:18" s="1" customFormat="1" ht="51">
      <c r="A39" s="71"/>
      <c r="B39" s="91"/>
      <c r="C39" s="114" t="s">
        <v>71</v>
      </c>
      <c r="D39" s="52" t="s">
        <v>72</v>
      </c>
      <c r="E39" s="15">
        <v>46218</v>
      </c>
      <c r="F39" s="15">
        <v>46255</v>
      </c>
      <c r="G39" s="53">
        <f>+F39-E39+1</f>
        <v>38</v>
      </c>
      <c r="H39" s="60"/>
      <c r="I39" s="9"/>
      <c r="J39" s="9"/>
      <c r="K39" s="62" t="s">
        <v>41</v>
      </c>
      <c r="L39" s="62" t="s">
        <v>41</v>
      </c>
      <c r="M39" s="62" t="s">
        <v>41</v>
      </c>
      <c r="N39" s="62" t="s">
        <v>34</v>
      </c>
      <c r="O39" s="55" t="s">
        <v>42</v>
      </c>
      <c r="P39" s="51" t="s">
        <v>52</v>
      </c>
      <c r="Q39" s="1">
        <v>1</v>
      </c>
      <c r="R39" s="1">
        <v>5</v>
      </c>
    </row>
    <row r="40" spans="1:18" s="1" customFormat="1" ht="91.8">
      <c r="A40" s="92"/>
      <c r="B40" s="93"/>
      <c r="C40" s="114" t="s">
        <v>73</v>
      </c>
      <c r="D40" s="52" t="s">
        <v>74</v>
      </c>
      <c r="E40" s="15">
        <v>46236</v>
      </c>
      <c r="F40" s="15">
        <v>46341</v>
      </c>
      <c r="G40" s="53">
        <f>+F40-E40+1</f>
        <v>106</v>
      </c>
      <c r="H40" s="60"/>
      <c r="I40" s="9"/>
      <c r="J40" s="9"/>
      <c r="K40" s="62" t="s">
        <v>41</v>
      </c>
      <c r="L40" s="62" t="s">
        <v>41</v>
      </c>
      <c r="M40" s="62" t="s">
        <v>41</v>
      </c>
      <c r="N40" s="62" t="s">
        <v>41</v>
      </c>
      <c r="O40" s="62" t="s">
        <v>42</v>
      </c>
      <c r="P40" s="39" t="s">
        <v>53</v>
      </c>
      <c r="Q40" s="1">
        <v>1</v>
      </c>
      <c r="R40" s="1">
        <v>5</v>
      </c>
    </row>
    <row r="41" spans="1:18" s="1" customFormat="1" ht="30.6">
      <c r="A41" s="92"/>
      <c r="B41" s="93"/>
      <c r="C41" s="74" t="s">
        <v>449</v>
      </c>
      <c r="D41" s="56" t="s">
        <v>461</v>
      </c>
      <c r="E41" s="15">
        <v>46218</v>
      </c>
      <c r="F41" s="15">
        <v>46341</v>
      </c>
      <c r="G41" s="53">
        <f>+F41-E41+1</f>
        <v>124</v>
      </c>
      <c r="H41" s="60"/>
      <c r="I41" s="9"/>
      <c r="J41" s="9"/>
      <c r="K41" s="62" t="s">
        <v>41</v>
      </c>
      <c r="L41" s="62" t="s">
        <v>41</v>
      </c>
      <c r="M41" s="62" t="s">
        <v>41</v>
      </c>
      <c r="N41" s="62" t="s">
        <v>41</v>
      </c>
      <c r="O41" s="62" t="s">
        <v>42</v>
      </c>
      <c r="P41" s="39" t="s">
        <v>53</v>
      </c>
      <c r="Q41" s="1">
        <v>1</v>
      </c>
      <c r="R41" s="1">
        <v>5</v>
      </c>
    </row>
    <row r="42" spans="1:18" s="1" customFormat="1">
      <c r="A42" s="75" t="s">
        <v>75</v>
      </c>
      <c r="B42" s="73" t="s">
        <v>70</v>
      </c>
      <c r="C42" s="24"/>
      <c r="D42" s="25"/>
      <c r="E42" s="26"/>
      <c r="F42" s="43"/>
      <c r="G42" s="27"/>
      <c r="H42" s="44"/>
      <c r="I42" s="9"/>
      <c r="J42" s="9"/>
      <c r="K42" s="28"/>
      <c r="L42" s="28"/>
      <c r="M42" s="28"/>
      <c r="N42" s="28"/>
      <c r="O42" s="28"/>
      <c r="P42" s="35"/>
    </row>
    <row r="43" spans="1:18" s="1" customFormat="1" ht="51">
      <c r="A43" s="78"/>
      <c r="B43" s="91"/>
      <c r="C43" s="115" t="s">
        <v>77</v>
      </c>
      <c r="D43" s="52" t="s">
        <v>78</v>
      </c>
      <c r="E43" s="15">
        <v>46218</v>
      </c>
      <c r="F43" s="15">
        <v>46255</v>
      </c>
      <c r="G43" s="53">
        <f>+F43-E43+1</f>
        <v>38</v>
      </c>
      <c r="H43" s="60"/>
      <c r="I43" s="9"/>
      <c r="J43" s="9"/>
      <c r="K43" s="62" t="s">
        <v>41</v>
      </c>
      <c r="L43" s="62" t="s">
        <v>41</v>
      </c>
      <c r="M43" s="62" t="s">
        <v>41</v>
      </c>
      <c r="N43" s="62" t="s">
        <v>34</v>
      </c>
      <c r="O43" s="55" t="s">
        <v>42</v>
      </c>
      <c r="P43" s="51" t="s">
        <v>52</v>
      </c>
      <c r="Q43" s="1">
        <v>1</v>
      </c>
      <c r="R43" s="1">
        <v>6</v>
      </c>
    </row>
    <row r="44" spans="1:18" s="1" customFormat="1" ht="91.8">
      <c r="A44" s="92"/>
      <c r="B44" s="93"/>
      <c r="C44" s="115" t="s">
        <v>79</v>
      </c>
      <c r="D44" s="52" t="s">
        <v>80</v>
      </c>
      <c r="E44" s="15">
        <v>46236</v>
      </c>
      <c r="F44" s="15">
        <v>46341</v>
      </c>
      <c r="G44" s="53">
        <f>+F44-E44+1</f>
        <v>106</v>
      </c>
      <c r="H44" s="60"/>
      <c r="I44" s="9"/>
      <c r="J44" s="9"/>
      <c r="K44" s="62" t="s">
        <v>41</v>
      </c>
      <c r="L44" s="62" t="s">
        <v>41</v>
      </c>
      <c r="M44" s="62" t="s">
        <v>41</v>
      </c>
      <c r="N44" s="62" t="s">
        <v>41</v>
      </c>
      <c r="O44" s="62" t="s">
        <v>42</v>
      </c>
      <c r="P44" s="39" t="s">
        <v>53</v>
      </c>
      <c r="Q44" s="1">
        <v>1</v>
      </c>
      <c r="R44" s="1">
        <v>6</v>
      </c>
    </row>
    <row r="45" spans="1:18" s="1" customFormat="1" ht="40.799999999999997">
      <c r="A45" s="92"/>
      <c r="B45" s="93"/>
      <c r="C45" s="74" t="s">
        <v>81</v>
      </c>
      <c r="D45" s="52" t="s">
        <v>462</v>
      </c>
      <c r="E45" s="15">
        <v>46292</v>
      </c>
      <c r="F45" s="15">
        <v>46341</v>
      </c>
      <c r="G45" s="53">
        <f>+F45-E45+1</f>
        <v>50</v>
      </c>
      <c r="H45" s="60"/>
      <c r="I45" s="9"/>
      <c r="J45" s="9"/>
      <c r="K45" s="62" t="s">
        <v>41</v>
      </c>
      <c r="L45" s="62" t="s">
        <v>41</v>
      </c>
      <c r="M45" s="62" t="s">
        <v>41</v>
      </c>
      <c r="N45" s="62" t="s">
        <v>41</v>
      </c>
      <c r="O45" s="62" t="s">
        <v>42</v>
      </c>
      <c r="P45" s="39" t="s">
        <v>53</v>
      </c>
      <c r="Q45" s="1">
        <v>1</v>
      </c>
      <c r="R45" s="1">
        <v>6</v>
      </c>
    </row>
    <row r="46" spans="1:18" s="1" customFormat="1" ht="20.399999999999999">
      <c r="A46" s="75" t="s">
        <v>82</v>
      </c>
      <c r="B46" s="73" t="s">
        <v>76</v>
      </c>
      <c r="C46" s="24"/>
      <c r="D46" s="25"/>
      <c r="E46" s="26"/>
      <c r="F46" s="43"/>
      <c r="G46" s="27"/>
      <c r="H46" s="44"/>
      <c r="I46" s="9"/>
      <c r="J46" s="9"/>
      <c r="K46" s="28"/>
      <c r="L46" s="28"/>
      <c r="M46" s="28"/>
      <c r="N46" s="28"/>
      <c r="O46" s="28"/>
      <c r="P46" s="35"/>
    </row>
    <row r="47" spans="1:18" s="1" customFormat="1" ht="51">
      <c r="A47" s="78"/>
      <c r="B47" s="91"/>
      <c r="C47" s="115" t="s">
        <v>84</v>
      </c>
      <c r="D47" s="52" t="s">
        <v>85</v>
      </c>
      <c r="E47" s="15">
        <v>46218</v>
      </c>
      <c r="F47" s="15">
        <v>46227</v>
      </c>
      <c r="G47" s="53">
        <f>+F47-E47+1</f>
        <v>10</v>
      </c>
      <c r="H47" s="60"/>
      <c r="I47" s="9"/>
      <c r="J47" s="9"/>
      <c r="K47" s="62" t="s">
        <v>41</v>
      </c>
      <c r="L47" s="62" t="s">
        <v>41</v>
      </c>
      <c r="M47" s="62" t="s">
        <v>41</v>
      </c>
      <c r="N47" s="62" t="s">
        <v>34</v>
      </c>
      <c r="O47" s="55" t="s">
        <v>42</v>
      </c>
      <c r="P47" s="51" t="s">
        <v>52</v>
      </c>
      <c r="Q47" s="1">
        <v>1</v>
      </c>
      <c r="R47" s="1">
        <v>7</v>
      </c>
    </row>
    <row r="48" spans="1:18" s="1" customFormat="1" ht="91.8">
      <c r="A48" s="92"/>
      <c r="B48" s="93"/>
      <c r="C48" s="115" t="s">
        <v>86</v>
      </c>
      <c r="D48" s="52" t="s">
        <v>87</v>
      </c>
      <c r="E48" s="15">
        <v>46223</v>
      </c>
      <c r="F48" s="15">
        <v>46249</v>
      </c>
      <c r="G48" s="53">
        <f>+F48-E48+1</f>
        <v>27</v>
      </c>
      <c r="H48" s="60"/>
      <c r="I48" s="9"/>
      <c r="J48" s="9"/>
      <c r="K48" s="62" t="s">
        <v>41</v>
      </c>
      <c r="L48" s="62" t="s">
        <v>41</v>
      </c>
      <c r="M48" s="62" t="s">
        <v>41</v>
      </c>
      <c r="N48" s="62" t="s">
        <v>41</v>
      </c>
      <c r="O48" s="62" t="s">
        <v>42</v>
      </c>
      <c r="P48" s="39" t="s">
        <v>53</v>
      </c>
      <c r="Q48" s="1">
        <v>1</v>
      </c>
      <c r="R48" s="1">
        <v>7</v>
      </c>
    </row>
    <row r="49" spans="1:18" s="1" customFormat="1" ht="40.799999999999997">
      <c r="A49" s="94"/>
      <c r="B49" s="95"/>
      <c r="C49" s="74" t="s">
        <v>88</v>
      </c>
      <c r="D49" s="56" t="s">
        <v>450</v>
      </c>
      <c r="E49" s="15">
        <v>46235</v>
      </c>
      <c r="F49" s="15">
        <v>46249</v>
      </c>
      <c r="G49" s="53">
        <f>+F49-E49+1</f>
        <v>15</v>
      </c>
      <c r="H49" s="60"/>
      <c r="I49" s="9"/>
      <c r="J49" s="9"/>
      <c r="K49" s="62" t="s">
        <v>41</v>
      </c>
      <c r="L49" s="62" t="s">
        <v>41</v>
      </c>
      <c r="M49" s="62" t="s">
        <v>41</v>
      </c>
      <c r="N49" s="62" t="s">
        <v>41</v>
      </c>
      <c r="O49" s="62" t="s">
        <v>42</v>
      </c>
      <c r="P49" s="39" t="s">
        <v>53</v>
      </c>
      <c r="Q49" s="1">
        <v>1</v>
      </c>
      <c r="R49" s="1">
        <v>7</v>
      </c>
    </row>
    <row r="50" spans="1:18" s="1" customFormat="1" ht="30.6">
      <c r="A50" s="75" t="s">
        <v>89</v>
      </c>
      <c r="B50" s="73" t="s">
        <v>83</v>
      </c>
      <c r="C50" s="24"/>
      <c r="D50" s="25"/>
      <c r="E50" s="26"/>
      <c r="F50" s="43"/>
      <c r="G50" s="27"/>
      <c r="H50" s="44"/>
      <c r="I50" s="9"/>
      <c r="J50" s="9"/>
      <c r="K50" s="28"/>
      <c r="L50" s="28"/>
      <c r="M50" s="28"/>
      <c r="N50" s="28"/>
      <c r="O50" s="28"/>
      <c r="P50" s="35"/>
    </row>
    <row r="51" spans="1:18" s="1" customFormat="1" ht="51">
      <c r="A51" s="78"/>
      <c r="B51" s="91"/>
      <c r="C51" s="116" t="s">
        <v>448</v>
      </c>
      <c r="D51" s="52" t="s">
        <v>451</v>
      </c>
      <c r="E51" s="15">
        <v>46235</v>
      </c>
      <c r="F51" s="15">
        <v>46271</v>
      </c>
      <c r="G51" s="53">
        <f>+F51-E51+1</f>
        <v>37</v>
      </c>
      <c r="H51" s="60"/>
      <c r="I51" s="9"/>
      <c r="J51" s="9"/>
      <c r="K51" s="62" t="s">
        <v>41</v>
      </c>
      <c r="L51" s="62" t="s">
        <v>41</v>
      </c>
      <c r="M51" s="62" t="s">
        <v>41</v>
      </c>
      <c r="N51" s="62" t="s">
        <v>34</v>
      </c>
      <c r="O51" s="55" t="s">
        <v>42</v>
      </c>
      <c r="P51" s="51" t="s">
        <v>52</v>
      </c>
      <c r="Q51" s="1">
        <v>1</v>
      </c>
      <c r="R51" s="1">
        <v>8</v>
      </c>
    </row>
    <row r="52" spans="1:18" s="1" customFormat="1" ht="91.8">
      <c r="A52" s="92"/>
      <c r="B52" s="93"/>
      <c r="C52" s="116" t="s">
        <v>447</v>
      </c>
      <c r="D52" s="52" t="s">
        <v>452</v>
      </c>
      <c r="E52" s="15">
        <v>46253</v>
      </c>
      <c r="F52" s="15">
        <v>46356</v>
      </c>
      <c r="G52" s="53">
        <f>+F52-E52+1</f>
        <v>104</v>
      </c>
      <c r="H52" s="60"/>
      <c r="I52" s="9"/>
      <c r="J52" s="9"/>
      <c r="K52" s="62" t="s">
        <v>41</v>
      </c>
      <c r="L52" s="62" t="s">
        <v>41</v>
      </c>
      <c r="M52" s="62" t="s">
        <v>41</v>
      </c>
      <c r="N52" s="62" t="s">
        <v>41</v>
      </c>
      <c r="O52" s="62" t="s">
        <v>42</v>
      </c>
      <c r="P52" s="39" t="s">
        <v>53</v>
      </c>
      <c r="Q52" s="1">
        <v>1</v>
      </c>
      <c r="R52" s="1">
        <v>8</v>
      </c>
    </row>
    <row r="53" spans="1:18" s="1" customFormat="1" ht="40.799999999999997">
      <c r="A53" s="92"/>
      <c r="B53" s="93"/>
      <c r="C53" s="79" t="s">
        <v>446</v>
      </c>
      <c r="D53" s="52" t="s">
        <v>463</v>
      </c>
      <c r="E53" s="15">
        <v>46235</v>
      </c>
      <c r="F53" s="15">
        <v>46356</v>
      </c>
      <c r="G53" s="53">
        <f>+F53-E53+1</f>
        <v>122</v>
      </c>
      <c r="H53" s="60"/>
      <c r="I53" s="9"/>
      <c r="J53" s="9"/>
      <c r="K53" s="62" t="s">
        <v>41</v>
      </c>
      <c r="L53" s="62" t="s">
        <v>41</v>
      </c>
      <c r="M53" s="62" t="s">
        <v>41</v>
      </c>
      <c r="N53" s="62" t="s">
        <v>41</v>
      </c>
      <c r="O53" s="62" t="s">
        <v>42</v>
      </c>
      <c r="P53" s="39" t="s">
        <v>53</v>
      </c>
      <c r="Q53" s="1">
        <v>1</v>
      </c>
      <c r="R53" s="1">
        <v>8</v>
      </c>
    </row>
    <row r="54" spans="1:18" s="1" customFormat="1">
      <c r="A54" s="96" t="s">
        <v>445</v>
      </c>
      <c r="B54" s="77" t="s">
        <v>90</v>
      </c>
      <c r="C54" s="46"/>
      <c r="D54" s="29"/>
      <c r="E54" s="30"/>
      <c r="F54" s="30"/>
      <c r="G54" s="30"/>
      <c r="H54" s="47"/>
      <c r="I54" s="9"/>
      <c r="J54" s="9"/>
      <c r="K54" s="31"/>
      <c r="L54" s="31"/>
      <c r="M54" s="31"/>
      <c r="N54" s="31"/>
      <c r="O54" s="54"/>
      <c r="P54" s="31"/>
    </row>
    <row r="55" spans="1:18" s="3" customFormat="1" ht="13.8">
      <c r="A55" s="38">
        <v>2</v>
      </c>
      <c r="B55" s="19" t="s">
        <v>91</v>
      </c>
      <c r="C55" s="19"/>
      <c r="D55" s="20"/>
      <c r="E55" s="21">
        <v>46218</v>
      </c>
      <c r="F55" s="41">
        <v>46477</v>
      </c>
      <c r="G55" s="22">
        <f>+F55-E55+1</f>
        <v>260</v>
      </c>
      <c r="H55" s="42"/>
      <c r="I55" s="9"/>
      <c r="J55" s="9"/>
      <c r="K55" s="23"/>
      <c r="L55" s="23"/>
      <c r="M55" s="23"/>
      <c r="N55" s="23"/>
      <c r="O55" s="23"/>
      <c r="P55" s="37"/>
    </row>
    <row r="56" spans="1:18" s="3" customFormat="1" ht="13.8">
      <c r="A56" s="97" t="s">
        <v>92</v>
      </c>
      <c r="B56" s="98" t="s">
        <v>93</v>
      </c>
      <c r="C56" s="24"/>
      <c r="D56" s="25"/>
      <c r="E56" s="26"/>
      <c r="F56" s="43"/>
      <c r="G56" s="27"/>
      <c r="H56" s="44"/>
      <c r="I56" s="9"/>
      <c r="J56" s="9"/>
      <c r="K56" s="28"/>
      <c r="L56" s="28"/>
      <c r="M56" s="28"/>
      <c r="N56" s="28"/>
      <c r="O56" s="28"/>
      <c r="P56" s="35"/>
    </row>
    <row r="57" spans="1:18" s="1" customFormat="1" ht="51">
      <c r="A57" s="78"/>
      <c r="B57" s="91"/>
      <c r="C57" s="115" t="s">
        <v>94</v>
      </c>
      <c r="D57" s="52" t="s">
        <v>95</v>
      </c>
      <c r="E57" s="15">
        <v>46218</v>
      </c>
      <c r="F57" s="15">
        <v>46241</v>
      </c>
      <c r="G57" s="53">
        <f>+F57-E57+1</f>
        <v>24</v>
      </c>
      <c r="H57" s="60"/>
      <c r="I57" s="9"/>
      <c r="J57" s="9"/>
      <c r="K57" s="62" t="s">
        <v>41</v>
      </c>
      <c r="L57" s="62" t="s">
        <v>41</v>
      </c>
      <c r="M57" s="62" t="s">
        <v>41</v>
      </c>
      <c r="N57" s="62" t="s">
        <v>41</v>
      </c>
      <c r="O57" s="55" t="s">
        <v>42</v>
      </c>
      <c r="P57" s="51" t="s">
        <v>53</v>
      </c>
      <c r="Q57" s="1">
        <v>2</v>
      </c>
      <c r="R57" s="1">
        <v>1</v>
      </c>
    </row>
    <row r="58" spans="1:18" s="1" customFormat="1" ht="91.8">
      <c r="A58" s="92"/>
      <c r="B58" s="93"/>
      <c r="C58" s="115" t="s">
        <v>96</v>
      </c>
      <c r="D58" s="52" t="s">
        <v>97</v>
      </c>
      <c r="E58" s="15">
        <v>46230</v>
      </c>
      <c r="F58" s="15">
        <v>46295</v>
      </c>
      <c r="G58" s="53">
        <f>+F58-E58+1</f>
        <v>66</v>
      </c>
      <c r="H58" s="60"/>
      <c r="I58" s="9"/>
      <c r="J58" s="9"/>
      <c r="K58" s="62" t="s">
        <v>41</v>
      </c>
      <c r="L58" s="62" t="s">
        <v>41</v>
      </c>
      <c r="M58" s="62" t="s">
        <v>41</v>
      </c>
      <c r="N58" s="62" t="s">
        <v>41</v>
      </c>
      <c r="O58" s="62" t="s">
        <v>42</v>
      </c>
      <c r="P58" s="51" t="s">
        <v>53</v>
      </c>
      <c r="Q58" s="1">
        <v>2</v>
      </c>
      <c r="R58" s="1">
        <v>1</v>
      </c>
    </row>
    <row r="59" spans="1:18" s="1" customFormat="1" ht="13.8">
      <c r="A59" s="92"/>
      <c r="B59" s="93"/>
      <c r="C59" s="83" t="s">
        <v>98</v>
      </c>
      <c r="D59" s="52" t="s">
        <v>99</v>
      </c>
      <c r="E59" s="15">
        <v>46218</v>
      </c>
      <c r="F59" s="15">
        <v>46295</v>
      </c>
      <c r="G59" s="53">
        <f>+F59-E59+1</f>
        <v>78</v>
      </c>
      <c r="H59" s="60"/>
      <c r="I59" s="9"/>
      <c r="J59" s="9"/>
      <c r="K59" s="62"/>
      <c r="L59" s="62"/>
      <c r="M59" s="62"/>
      <c r="N59" s="62"/>
      <c r="O59" s="62"/>
      <c r="P59" s="51"/>
    </row>
    <row r="60" spans="1:18" s="1" customFormat="1" ht="20.399999999999999">
      <c r="A60" s="92"/>
      <c r="B60" s="93"/>
      <c r="C60" s="83" t="s">
        <v>100</v>
      </c>
      <c r="D60" s="52" t="s">
        <v>101</v>
      </c>
      <c r="E60" s="15">
        <v>46218</v>
      </c>
      <c r="F60" s="15">
        <v>46295</v>
      </c>
      <c r="G60" s="53">
        <f>+F60-E60+1</f>
        <v>78</v>
      </c>
      <c r="H60" s="60"/>
      <c r="I60" s="9"/>
      <c r="J60" s="9"/>
      <c r="K60" s="62"/>
      <c r="L60" s="62"/>
      <c r="M60" s="62"/>
      <c r="N60" s="62"/>
      <c r="O60" s="62"/>
      <c r="P60" s="51"/>
    </row>
    <row r="61" spans="1:18" s="1" customFormat="1" ht="20.399999999999999">
      <c r="A61" s="92"/>
      <c r="B61" s="93"/>
      <c r="C61" s="83" t="s">
        <v>102</v>
      </c>
      <c r="D61" s="52" t="s">
        <v>103</v>
      </c>
      <c r="E61" s="15">
        <v>46218</v>
      </c>
      <c r="F61" s="15">
        <v>46295</v>
      </c>
      <c r="G61" s="53">
        <f>+F61-E61+1</f>
        <v>78</v>
      </c>
      <c r="H61" s="60"/>
      <c r="I61" s="9"/>
      <c r="J61" s="9"/>
      <c r="K61" s="62"/>
      <c r="L61" s="62"/>
      <c r="M61" s="62"/>
      <c r="N61" s="62"/>
      <c r="O61" s="62"/>
      <c r="P61" s="51"/>
    </row>
    <row r="62" spans="1:18" s="1" customFormat="1" ht="102">
      <c r="A62" s="94"/>
      <c r="B62" s="95"/>
      <c r="C62" s="117" t="s">
        <v>104</v>
      </c>
      <c r="D62" s="18" t="s">
        <v>105</v>
      </c>
      <c r="E62" s="15">
        <v>46264</v>
      </c>
      <c r="F62" s="15">
        <v>46295</v>
      </c>
      <c r="G62" s="53">
        <f>+F62-E62+1</f>
        <v>32</v>
      </c>
      <c r="H62" s="60"/>
      <c r="I62" s="9"/>
      <c r="J62" s="9"/>
      <c r="K62" s="62" t="s">
        <v>41</v>
      </c>
      <c r="L62" s="62" t="s">
        <v>41</v>
      </c>
      <c r="M62" s="62" t="s">
        <v>41</v>
      </c>
      <c r="N62" s="62" t="s">
        <v>41</v>
      </c>
      <c r="O62" s="55" t="s">
        <v>42</v>
      </c>
      <c r="P62" s="51" t="s">
        <v>53</v>
      </c>
      <c r="Q62" s="1">
        <v>2</v>
      </c>
      <c r="R62" s="1">
        <v>1</v>
      </c>
    </row>
    <row r="63" spans="1:18" s="1" customFormat="1">
      <c r="A63" s="75" t="s">
        <v>106</v>
      </c>
      <c r="B63" s="73" t="s">
        <v>107</v>
      </c>
      <c r="C63" s="24"/>
      <c r="D63" s="25"/>
      <c r="E63" s="26"/>
      <c r="F63" s="43"/>
      <c r="G63" s="27"/>
      <c r="H63" s="44"/>
      <c r="I63" s="9"/>
      <c r="J63" s="9"/>
      <c r="K63" s="28"/>
      <c r="L63" s="28"/>
      <c r="M63" s="28"/>
      <c r="N63" s="28"/>
      <c r="O63" s="28"/>
      <c r="P63" s="35"/>
    </row>
    <row r="64" spans="1:18" s="1" customFormat="1" ht="20.399999999999999">
      <c r="A64" s="71"/>
      <c r="B64" s="91"/>
      <c r="C64" s="117" t="s">
        <v>108</v>
      </c>
      <c r="D64" s="18" t="s">
        <v>109</v>
      </c>
      <c r="E64" s="15">
        <v>46295</v>
      </c>
      <c r="F64" s="15">
        <v>46314</v>
      </c>
      <c r="G64" s="53">
        <f>+F64-E64+1</f>
        <v>20</v>
      </c>
      <c r="H64" s="60"/>
      <c r="I64" s="9"/>
      <c r="J64" s="9"/>
      <c r="K64" s="62" t="s">
        <v>34</v>
      </c>
      <c r="L64" s="62" t="s">
        <v>41</v>
      </c>
      <c r="M64" s="62" t="s">
        <v>41</v>
      </c>
      <c r="N64" s="62" t="s">
        <v>34</v>
      </c>
      <c r="O64" s="55" t="s">
        <v>42</v>
      </c>
      <c r="P64" s="51" t="s">
        <v>110</v>
      </c>
      <c r="Q64" s="1">
        <v>2</v>
      </c>
      <c r="R64" s="1">
        <v>2</v>
      </c>
    </row>
    <row r="65" spans="1:18" s="1" customFormat="1" ht="20.399999999999999">
      <c r="A65" s="94"/>
      <c r="B65" s="95"/>
      <c r="C65" s="117" t="s">
        <v>111</v>
      </c>
      <c r="D65" s="18" t="s">
        <v>112</v>
      </c>
      <c r="E65" s="15">
        <v>46301</v>
      </c>
      <c r="F65" s="15">
        <v>46326</v>
      </c>
      <c r="G65" s="53">
        <f>+F65-E65+1</f>
        <v>26</v>
      </c>
      <c r="H65" s="60"/>
      <c r="I65" s="9"/>
      <c r="J65" s="9"/>
      <c r="K65" s="62" t="s">
        <v>34</v>
      </c>
      <c r="L65" s="62" t="s">
        <v>41</v>
      </c>
      <c r="M65" s="62" t="s">
        <v>41</v>
      </c>
      <c r="N65" s="62" t="s">
        <v>34</v>
      </c>
      <c r="O65" s="55" t="s">
        <v>42</v>
      </c>
      <c r="P65" s="51" t="s">
        <v>110</v>
      </c>
      <c r="Q65" s="1">
        <v>2</v>
      </c>
      <c r="R65" s="1">
        <v>2</v>
      </c>
    </row>
    <row r="66" spans="1:18" s="1" customFormat="1">
      <c r="A66" s="75" t="s">
        <v>113</v>
      </c>
      <c r="B66" s="73" t="s">
        <v>114</v>
      </c>
      <c r="C66" s="24"/>
      <c r="D66" s="25"/>
      <c r="E66" s="26"/>
      <c r="F66" s="43"/>
      <c r="G66" s="27"/>
      <c r="H66" s="44"/>
      <c r="I66" s="9"/>
      <c r="J66" s="9"/>
      <c r="K66" s="28"/>
      <c r="L66" s="28"/>
      <c r="M66" s="28"/>
      <c r="N66" s="28"/>
      <c r="O66" s="28"/>
      <c r="P66" s="35"/>
    </row>
    <row r="67" spans="1:18" s="1" customFormat="1" ht="20.399999999999999">
      <c r="A67" s="71"/>
      <c r="B67" s="91"/>
      <c r="C67" s="117" t="s">
        <v>115</v>
      </c>
      <c r="D67" s="52" t="s">
        <v>116</v>
      </c>
      <c r="E67" s="15">
        <v>46326</v>
      </c>
      <c r="F67" s="15">
        <v>46356</v>
      </c>
      <c r="G67" s="53">
        <f>+F67-E67+1</f>
        <v>31</v>
      </c>
      <c r="H67" s="60"/>
      <c r="I67" s="9"/>
      <c r="J67" s="9"/>
      <c r="K67" s="62" t="s">
        <v>41</v>
      </c>
      <c r="L67" s="62" t="s">
        <v>41</v>
      </c>
      <c r="M67" s="62" t="s">
        <v>41</v>
      </c>
      <c r="N67" s="62" t="s">
        <v>41</v>
      </c>
      <c r="O67" s="62" t="s">
        <v>42</v>
      </c>
      <c r="P67" s="39" t="s">
        <v>53</v>
      </c>
      <c r="Q67" s="1">
        <v>2</v>
      </c>
      <c r="R67" s="1">
        <v>3</v>
      </c>
    </row>
    <row r="68" spans="1:18" s="1" customFormat="1" ht="20.399999999999999">
      <c r="A68" s="94"/>
      <c r="B68" s="95"/>
      <c r="C68" s="117" t="s">
        <v>117</v>
      </c>
      <c r="D68" s="52" t="s">
        <v>118</v>
      </c>
      <c r="E68" s="15">
        <v>46326</v>
      </c>
      <c r="F68" s="15">
        <v>46356</v>
      </c>
      <c r="G68" s="53">
        <f>+F68-E68+1</f>
        <v>31</v>
      </c>
      <c r="H68" s="60"/>
      <c r="I68" s="9"/>
      <c r="J68" s="9"/>
      <c r="K68" s="62" t="s">
        <v>41</v>
      </c>
      <c r="L68" s="62" t="s">
        <v>41</v>
      </c>
      <c r="M68" s="62" t="s">
        <v>41</v>
      </c>
      <c r="N68" s="62" t="s">
        <v>41</v>
      </c>
      <c r="O68" s="62" t="s">
        <v>42</v>
      </c>
      <c r="P68" s="39" t="s">
        <v>53</v>
      </c>
      <c r="Q68" s="1">
        <v>2</v>
      </c>
      <c r="R68" s="1">
        <v>3</v>
      </c>
    </row>
    <row r="69" spans="1:18" s="1" customFormat="1">
      <c r="A69" s="75" t="s">
        <v>119</v>
      </c>
      <c r="B69" s="73" t="s">
        <v>120</v>
      </c>
      <c r="C69" s="24"/>
      <c r="D69" s="25"/>
      <c r="E69" s="26"/>
      <c r="F69" s="43"/>
      <c r="G69" s="27"/>
      <c r="H69" s="44"/>
      <c r="I69" s="9"/>
      <c r="J69" s="9"/>
      <c r="K69" s="28"/>
      <c r="L69" s="28"/>
      <c r="M69" s="28"/>
      <c r="N69" s="28"/>
      <c r="O69" s="28"/>
      <c r="P69" s="35"/>
    </row>
    <row r="70" spans="1:18" s="1" customFormat="1" ht="51">
      <c r="A70" s="100"/>
      <c r="B70" s="101"/>
      <c r="C70" s="115" t="s">
        <v>467</v>
      </c>
      <c r="D70" s="52" t="s">
        <v>464</v>
      </c>
      <c r="E70" s="15">
        <v>46325</v>
      </c>
      <c r="F70" s="15">
        <v>46343</v>
      </c>
      <c r="G70" s="53">
        <f>+F70-E70+1</f>
        <v>19</v>
      </c>
      <c r="H70" s="60"/>
      <c r="I70" s="9"/>
      <c r="J70" s="9"/>
      <c r="K70" s="62"/>
      <c r="L70" s="62"/>
      <c r="M70" s="62"/>
      <c r="N70" s="62"/>
      <c r="O70" s="55"/>
      <c r="P70" s="51"/>
    </row>
    <row r="71" spans="1:18" s="1" customFormat="1" ht="91.8">
      <c r="A71" s="100"/>
      <c r="B71" s="101"/>
      <c r="C71" s="115" t="s">
        <v>468</v>
      </c>
      <c r="D71" s="52" t="s">
        <v>465</v>
      </c>
      <c r="E71" s="15">
        <v>46334</v>
      </c>
      <c r="F71" s="15">
        <v>46386</v>
      </c>
      <c r="G71" s="53">
        <f>+F71-E71+1</f>
        <v>53</v>
      </c>
      <c r="H71" s="60"/>
      <c r="I71" s="9"/>
      <c r="J71" s="9"/>
      <c r="K71" s="62" t="s">
        <v>41</v>
      </c>
      <c r="L71" s="62" t="s">
        <v>41</v>
      </c>
      <c r="M71" s="62" t="s">
        <v>41</v>
      </c>
      <c r="N71" s="62" t="s">
        <v>41</v>
      </c>
      <c r="O71" s="62" t="s">
        <v>42</v>
      </c>
      <c r="P71" s="39" t="s">
        <v>53</v>
      </c>
      <c r="Q71" s="1">
        <v>2</v>
      </c>
      <c r="R71" s="1">
        <v>4</v>
      </c>
    </row>
    <row r="72" spans="1:18" s="1" customFormat="1" ht="102">
      <c r="A72" s="100"/>
      <c r="B72" s="101"/>
      <c r="C72" s="115" t="s">
        <v>469</v>
      </c>
      <c r="D72" s="52" t="s">
        <v>466</v>
      </c>
      <c r="E72" s="15">
        <v>46325</v>
      </c>
      <c r="F72" s="15">
        <v>46386</v>
      </c>
      <c r="G72" s="53">
        <f>+F72-E72+1</f>
        <v>62</v>
      </c>
      <c r="H72" s="60"/>
      <c r="I72" s="9"/>
      <c r="J72" s="9"/>
      <c r="K72" s="62"/>
      <c r="L72" s="62"/>
      <c r="M72" s="62"/>
      <c r="N72" s="62"/>
      <c r="O72" s="62"/>
      <c r="P72" s="39"/>
    </row>
    <row r="73" spans="1:18" s="1" customFormat="1">
      <c r="A73" s="75" t="s">
        <v>121</v>
      </c>
      <c r="B73" s="73" t="s">
        <v>114</v>
      </c>
      <c r="C73" s="24"/>
      <c r="D73" s="25"/>
      <c r="E73" s="26"/>
      <c r="F73" s="43"/>
      <c r="G73" s="27"/>
      <c r="H73" s="44"/>
      <c r="I73" s="9"/>
      <c r="J73" s="9"/>
      <c r="K73" s="28"/>
      <c r="L73" s="28"/>
      <c r="M73" s="28"/>
      <c r="N73" s="28"/>
      <c r="O73" s="28"/>
      <c r="P73" s="35"/>
    </row>
    <row r="74" spans="1:18" s="1" customFormat="1" ht="20.399999999999999">
      <c r="A74" s="71"/>
      <c r="B74" s="91"/>
      <c r="C74" s="117" t="s">
        <v>122</v>
      </c>
      <c r="D74" s="52" t="s">
        <v>123</v>
      </c>
      <c r="E74" s="15">
        <v>46386</v>
      </c>
      <c r="F74" s="15">
        <v>46417</v>
      </c>
      <c r="G74" s="53">
        <f>+F74-E74+1</f>
        <v>32</v>
      </c>
      <c r="H74" s="60"/>
      <c r="I74" s="9"/>
      <c r="J74" s="9"/>
      <c r="K74" s="62" t="s">
        <v>41</v>
      </c>
      <c r="L74" s="62" t="s">
        <v>41</v>
      </c>
      <c r="M74" s="62" t="s">
        <v>41</v>
      </c>
      <c r="N74" s="62" t="s">
        <v>41</v>
      </c>
      <c r="O74" s="62" t="s">
        <v>42</v>
      </c>
      <c r="P74" s="39" t="s">
        <v>53</v>
      </c>
      <c r="Q74" s="1">
        <v>2</v>
      </c>
      <c r="R74" s="1">
        <v>5</v>
      </c>
    </row>
    <row r="75" spans="1:18" s="1" customFormat="1" ht="61.2">
      <c r="A75" s="94"/>
      <c r="B75" s="95"/>
      <c r="C75" s="117" t="s">
        <v>124</v>
      </c>
      <c r="D75" s="52" t="s">
        <v>125</v>
      </c>
      <c r="E75" s="15">
        <v>46386</v>
      </c>
      <c r="F75" s="15">
        <v>46417</v>
      </c>
      <c r="G75" s="53">
        <f>+F75-E75+1</f>
        <v>32</v>
      </c>
      <c r="H75" s="60"/>
      <c r="I75" s="9"/>
      <c r="J75" s="9"/>
      <c r="K75" s="62" t="s">
        <v>41</v>
      </c>
      <c r="L75" s="62" t="s">
        <v>41</v>
      </c>
      <c r="M75" s="62" t="s">
        <v>41</v>
      </c>
      <c r="N75" s="62" t="s">
        <v>41</v>
      </c>
      <c r="O75" s="62" t="s">
        <v>42</v>
      </c>
      <c r="P75" s="39" t="s">
        <v>53</v>
      </c>
      <c r="Q75" s="1">
        <v>2</v>
      </c>
      <c r="R75" s="1">
        <v>5</v>
      </c>
    </row>
    <row r="76" spans="1:18" s="1" customFormat="1">
      <c r="A76" s="75" t="s">
        <v>126</v>
      </c>
      <c r="B76" s="73" t="s">
        <v>127</v>
      </c>
      <c r="C76" s="24"/>
      <c r="D76" s="25"/>
      <c r="E76" s="26"/>
      <c r="F76" s="43"/>
      <c r="G76" s="27"/>
      <c r="H76" s="44"/>
      <c r="I76" s="9"/>
      <c r="J76" s="9"/>
      <c r="K76" s="28"/>
      <c r="L76" s="28"/>
      <c r="M76" s="28"/>
      <c r="N76" s="28"/>
      <c r="O76" s="28"/>
      <c r="P76" s="35"/>
    </row>
    <row r="77" spans="1:18" s="1" customFormat="1" ht="91.8">
      <c r="A77" s="71"/>
      <c r="B77" s="91"/>
      <c r="C77" s="117" t="s">
        <v>128</v>
      </c>
      <c r="D77" s="18" t="s">
        <v>129</v>
      </c>
      <c r="E77" s="15">
        <v>46417</v>
      </c>
      <c r="F77" s="15">
        <v>46438</v>
      </c>
      <c r="G77" s="53">
        <f>+F77-E77+1</f>
        <v>22</v>
      </c>
      <c r="H77" s="60"/>
      <c r="I77" s="9"/>
      <c r="J77" s="9"/>
      <c r="K77" s="62" t="s">
        <v>41</v>
      </c>
      <c r="L77" s="62" t="s">
        <v>41</v>
      </c>
      <c r="M77" s="62" t="s">
        <v>41</v>
      </c>
      <c r="N77" s="62" t="s">
        <v>41</v>
      </c>
      <c r="O77" s="62" t="s">
        <v>42</v>
      </c>
      <c r="P77" s="39" t="s">
        <v>53</v>
      </c>
      <c r="Q77" s="1">
        <v>2</v>
      </c>
      <c r="R77" s="1">
        <v>6</v>
      </c>
    </row>
    <row r="78" spans="1:18" s="1" customFormat="1" ht="13.8">
      <c r="A78" s="92"/>
      <c r="B78" s="93"/>
      <c r="C78" s="117" t="s">
        <v>130</v>
      </c>
      <c r="D78" s="52" t="s">
        <v>131</v>
      </c>
      <c r="E78" s="15">
        <v>46429</v>
      </c>
      <c r="F78" s="15">
        <v>46477</v>
      </c>
      <c r="G78" s="53">
        <f>+F78-E78+1</f>
        <v>49</v>
      </c>
      <c r="H78" s="60"/>
      <c r="I78" s="9"/>
      <c r="J78" s="9"/>
      <c r="K78" s="62" t="s">
        <v>41</v>
      </c>
      <c r="L78" s="62" t="s">
        <v>41</v>
      </c>
      <c r="M78" s="62" t="s">
        <v>41</v>
      </c>
      <c r="N78" s="62" t="s">
        <v>41</v>
      </c>
      <c r="O78" s="62" t="s">
        <v>42</v>
      </c>
      <c r="P78" s="39" t="s">
        <v>53</v>
      </c>
      <c r="Q78" s="1">
        <v>2</v>
      </c>
      <c r="R78" s="1">
        <v>6</v>
      </c>
    </row>
    <row r="79" spans="1:18" s="1" customFormat="1" ht="20.399999999999999">
      <c r="A79" s="94"/>
      <c r="B79" s="95"/>
      <c r="C79" s="117" t="s">
        <v>132</v>
      </c>
      <c r="D79" s="18" t="s">
        <v>133</v>
      </c>
      <c r="E79" s="15">
        <v>46447</v>
      </c>
      <c r="F79" s="15">
        <v>46477</v>
      </c>
      <c r="G79" s="53">
        <f>+F79-E79+1</f>
        <v>31</v>
      </c>
      <c r="H79" s="60"/>
      <c r="I79" s="9"/>
      <c r="J79" s="9"/>
      <c r="K79" s="62" t="s">
        <v>41</v>
      </c>
      <c r="L79" s="62" t="s">
        <v>41</v>
      </c>
      <c r="M79" s="62" t="s">
        <v>41</v>
      </c>
      <c r="N79" s="62" t="s">
        <v>41</v>
      </c>
      <c r="O79" s="62" t="s">
        <v>42</v>
      </c>
      <c r="P79" s="39" t="s">
        <v>53</v>
      </c>
      <c r="Q79" s="1">
        <v>2</v>
      </c>
      <c r="R79" s="1">
        <v>6</v>
      </c>
    </row>
    <row r="80" spans="1:18" s="1" customFormat="1">
      <c r="A80" s="76" t="s">
        <v>134</v>
      </c>
      <c r="B80" s="77" t="s">
        <v>90</v>
      </c>
      <c r="C80" s="46"/>
      <c r="D80" s="29"/>
      <c r="E80" s="30"/>
      <c r="F80" s="30"/>
      <c r="G80" s="30"/>
      <c r="H80" s="47"/>
      <c r="I80" s="9"/>
      <c r="J80" s="9"/>
      <c r="K80" s="31"/>
      <c r="L80" s="31"/>
      <c r="M80" s="31"/>
      <c r="N80" s="31"/>
      <c r="O80" s="54"/>
      <c r="P80" s="31"/>
    </row>
    <row r="81" spans="1:18" s="3" customFormat="1" ht="13.8">
      <c r="A81" s="38">
        <v>3</v>
      </c>
      <c r="B81" s="19" t="s">
        <v>135</v>
      </c>
      <c r="C81" s="19"/>
      <c r="D81" s="20"/>
      <c r="E81" s="21">
        <v>46326</v>
      </c>
      <c r="F81" s="41">
        <v>46599</v>
      </c>
      <c r="G81" s="22">
        <f>+F81-E81+1</f>
        <v>274</v>
      </c>
      <c r="H81" s="42"/>
      <c r="I81" s="9"/>
      <c r="J81" s="9"/>
      <c r="K81" s="23"/>
      <c r="L81" s="23"/>
      <c r="M81" s="23"/>
      <c r="N81" s="23"/>
      <c r="O81" s="23"/>
      <c r="P81" s="37"/>
    </row>
    <row r="82" spans="1:18" s="3" customFormat="1" ht="13.8">
      <c r="A82" s="97" t="s">
        <v>136</v>
      </c>
      <c r="B82" s="98" t="s">
        <v>137</v>
      </c>
      <c r="C82" s="24"/>
      <c r="D82" s="25"/>
      <c r="E82" s="26"/>
      <c r="F82" s="43"/>
      <c r="G82" s="27"/>
      <c r="H82" s="44"/>
      <c r="I82" s="9"/>
      <c r="J82" s="9"/>
      <c r="K82" s="28"/>
      <c r="L82" s="28"/>
      <c r="M82" s="28"/>
      <c r="N82" s="28"/>
      <c r="O82" s="28"/>
      <c r="P82" s="35"/>
    </row>
    <row r="83" spans="1:18" s="4" customFormat="1" ht="20.399999999999999">
      <c r="A83" s="71"/>
      <c r="B83" s="91"/>
      <c r="C83" s="117" t="s">
        <v>138</v>
      </c>
      <c r="D83" s="52" t="s">
        <v>139</v>
      </c>
      <c r="E83" s="15">
        <v>46326</v>
      </c>
      <c r="F83" s="15">
        <v>46462</v>
      </c>
      <c r="G83" s="53">
        <f t="shared" ref="G83:G95" si="2">+F83-E83+1</f>
        <v>137</v>
      </c>
      <c r="H83" s="48"/>
      <c r="I83" s="9"/>
      <c r="J83" s="9"/>
      <c r="K83" s="62" t="s">
        <v>41</v>
      </c>
      <c r="L83" s="62" t="s">
        <v>41</v>
      </c>
      <c r="M83" s="62" t="s">
        <v>41</v>
      </c>
      <c r="N83" s="62" t="s">
        <v>41</v>
      </c>
      <c r="O83" s="62" t="s">
        <v>42</v>
      </c>
      <c r="P83" s="39" t="s">
        <v>53</v>
      </c>
      <c r="Q83" s="4">
        <v>3</v>
      </c>
      <c r="R83" s="4">
        <v>1</v>
      </c>
    </row>
    <row r="84" spans="1:18" s="4" customFormat="1" ht="20.399999999999999">
      <c r="A84" s="92"/>
      <c r="B84" s="93"/>
      <c r="C84" s="117" t="s">
        <v>140</v>
      </c>
      <c r="D84" s="52" t="s">
        <v>141</v>
      </c>
      <c r="E84" s="15">
        <v>46517</v>
      </c>
      <c r="F84" s="15">
        <v>46599</v>
      </c>
      <c r="G84" s="53">
        <f t="shared" si="2"/>
        <v>83</v>
      </c>
      <c r="H84" s="48"/>
      <c r="I84" s="9"/>
      <c r="J84" s="9"/>
      <c r="K84" s="62" t="s">
        <v>41</v>
      </c>
      <c r="L84" s="62" t="s">
        <v>41</v>
      </c>
      <c r="M84" s="62" t="s">
        <v>41</v>
      </c>
      <c r="N84" s="62" t="s">
        <v>41</v>
      </c>
      <c r="O84" s="62" t="s">
        <v>42</v>
      </c>
      <c r="P84" s="39" t="s">
        <v>53</v>
      </c>
      <c r="Q84" s="4">
        <v>3</v>
      </c>
      <c r="R84" s="4">
        <v>1</v>
      </c>
    </row>
    <row r="85" spans="1:18" s="4" customFormat="1" ht="13.8">
      <c r="A85" s="92"/>
      <c r="B85" s="93"/>
      <c r="C85" s="117" t="s">
        <v>142</v>
      </c>
      <c r="D85" s="52" t="s">
        <v>143</v>
      </c>
      <c r="E85" s="15">
        <v>46353</v>
      </c>
      <c r="F85" s="15">
        <v>46389</v>
      </c>
      <c r="G85" s="53">
        <f t="shared" si="2"/>
        <v>37</v>
      </c>
      <c r="H85" s="48"/>
      <c r="I85" s="9"/>
      <c r="J85" s="9"/>
      <c r="K85" s="62" t="s">
        <v>41</v>
      </c>
      <c r="L85" s="62" t="s">
        <v>41</v>
      </c>
      <c r="M85" s="62" t="s">
        <v>41</v>
      </c>
      <c r="N85" s="62" t="s">
        <v>41</v>
      </c>
      <c r="O85" s="62" t="s">
        <v>42</v>
      </c>
      <c r="P85" s="39" t="s">
        <v>53</v>
      </c>
      <c r="Q85" s="4">
        <v>3</v>
      </c>
      <c r="R85" s="4">
        <v>1</v>
      </c>
    </row>
    <row r="86" spans="1:18" s="4" customFormat="1" ht="20.399999999999999">
      <c r="A86" s="92"/>
      <c r="B86" s="93"/>
      <c r="C86" s="117" t="s">
        <v>144</v>
      </c>
      <c r="D86" s="52" t="s">
        <v>145</v>
      </c>
      <c r="E86" s="15">
        <v>46367</v>
      </c>
      <c r="F86" s="15">
        <v>46410</v>
      </c>
      <c r="G86" s="53">
        <f t="shared" si="2"/>
        <v>44</v>
      </c>
      <c r="H86" s="48"/>
      <c r="I86" s="9"/>
      <c r="J86" s="9"/>
      <c r="K86" s="62" t="s">
        <v>41</v>
      </c>
      <c r="L86" s="62" t="s">
        <v>41</v>
      </c>
      <c r="M86" s="62" t="s">
        <v>41</v>
      </c>
      <c r="N86" s="62" t="s">
        <v>41</v>
      </c>
      <c r="O86" s="62" t="s">
        <v>42</v>
      </c>
      <c r="P86" s="39" t="s">
        <v>53</v>
      </c>
      <c r="Q86" s="4">
        <v>3</v>
      </c>
      <c r="R86" s="4">
        <v>1</v>
      </c>
    </row>
    <row r="87" spans="1:18" s="4" customFormat="1" ht="13.8">
      <c r="A87" s="92"/>
      <c r="B87" s="93"/>
      <c r="C87" s="117" t="s">
        <v>146</v>
      </c>
      <c r="D87" s="52" t="s">
        <v>147</v>
      </c>
      <c r="E87" s="15">
        <v>46381</v>
      </c>
      <c r="F87" s="15">
        <v>46599</v>
      </c>
      <c r="G87" s="53">
        <f t="shared" si="2"/>
        <v>219</v>
      </c>
      <c r="H87" s="48"/>
      <c r="I87" s="9"/>
      <c r="J87" s="9"/>
      <c r="K87" s="62" t="s">
        <v>41</v>
      </c>
      <c r="L87" s="62" t="s">
        <v>41</v>
      </c>
      <c r="M87" s="62" t="s">
        <v>41</v>
      </c>
      <c r="N87" s="62" t="s">
        <v>41</v>
      </c>
      <c r="O87" s="62" t="s">
        <v>42</v>
      </c>
      <c r="P87" s="39" t="s">
        <v>53</v>
      </c>
      <c r="Q87" s="4">
        <v>3</v>
      </c>
      <c r="R87" s="4">
        <v>1</v>
      </c>
    </row>
    <row r="88" spans="1:18" s="4" customFormat="1" ht="20.399999999999999">
      <c r="A88" s="92"/>
      <c r="B88" s="93"/>
      <c r="C88" s="117" t="s">
        <v>148</v>
      </c>
      <c r="D88" s="52" t="s">
        <v>476</v>
      </c>
      <c r="E88" s="15">
        <v>46381</v>
      </c>
      <c r="F88" s="15">
        <v>46599</v>
      </c>
      <c r="G88" s="53">
        <f t="shared" si="2"/>
        <v>219</v>
      </c>
      <c r="H88" s="48"/>
      <c r="I88" s="9"/>
      <c r="J88" s="9"/>
      <c r="K88" s="62" t="s">
        <v>41</v>
      </c>
      <c r="L88" s="62" t="s">
        <v>41</v>
      </c>
      <c r="M88" s="62" t="s">
        <v>41</v>
      </c>
      <c r="N88" s="62" t="s">
        <v>41</v>
      </c>
      <c r="O88" s="62" t="s">
        <v>42</v>
      </c>
      <c r="P88" s="39" t="s">
        <v>53</v>
      </c>
      <c r="Q88" s="4">
        <v>3</v>
      </c>
      <c r="R88" s="4">
        <v>1</v>
      </c>
    </row>
    <row r="89" spans="1:18" s="4" customFormat="1" ht="20.399999999999999">
      <c r="A89" s="92"/>
      <c r="B89" s="93"/>
      <c r="C89" s="117" t="s">
        <v>149</v>
      </c>
      <c r="D89" s="52" t="s">
        <v>150</v>
      </c>
      <c r="E89" s="15">
        <v>46408</v>
      </c>
      <c r="F89" s="15">
        <v>46473</v>
      </c>
      <c r="G89" s="53">
        <f t="shared" si="2"/>
        <v>66</v>
      </c>
      <c r="H89" s="48"/>
      <c r="I89" s="9"/>
      <c r="J89" s="9"/>
      <c r="K89" s="62" t="s">
        <v>34</v>
      </c>
      <c r="L89" s="62" t="s">
        <v>41</v>
      </c>
      <c r="M89" s="62" t="s">
        <v>41</v>
      </c>
      <c r="N89" s="62" t="s">
        <v>34</v>
      </c>
      <c r="O89" s="55" t="s">
        <v>42</v>
      </c>
      <c r="P89" s="51" t="s">
        <v>110</v>
      </c>
      <c r="Q89" s="4">
        <v>3</v>
      </c>
      <c r="R89" s="4">
        <v>1</v>
      </c>
    </row>
    <row r="90" spans="1:18" s="4" customFormat="1" ht="20.399999999999999">
      <c r="A90" s="92"/>
      <c r="B90" s="93"/>
      <c r="C90" s="117" t="s">
        <v>151</v>
      </c>
      <c r="D90" s="52" t="s">
        <v>152</v>
      </c>
      <c r="E90" s="15">
        <v>46490</v>
      </c>
      <c r="F90" s="15">
        <v>46599</v>
      </c>
      <c r="G90" s="53">
        <f t="shared" si="2"/>
        <v>110</v>
      </c>
      <c r="H90" s="48"/>
      <c r="I90" s="9"/>
      <c r="J90" s="9"/>
      <c r="K90" s="62" t="s">
        <v>41</v>
      </c>
      <c r="L90" s="62" t="s">
        <v>41</v>
      </c>
      <c r="M90" s="62" t="s">
        <v>41</v>
      </c>
      <c r="N90" s="62" t="s">
        <v>41</v>
      </c>
      <c r="O90" s="62" t="s">
        <v>42</v>
      </c>
      <c r="P90" s="39" t="s">
        <v>53</v>
      </c>
      <c r="Q90" s="4">
        <v>3</v>
      </c>
      <c r="R90" s="4">
        <v>1</v>
      </c>
    </row>
    <row r="91" spans="1:18" s="4" customFormat="1" ht="30.6">
      <c r="A91" s="92"/>
      <c r="B91" s="93"/>
      <c r="C91" s="117" t="s">
        <v>153</v>
      </c>
      <c r="D91" s="52" t="s">
        <v>154</v>
      </c>
      <c r="E91" s="15">
        <v>46435</v>
      </c>
      <c r="F91" s="15">
        <v>46514</v>
      </c>
      <c r="G91" s="53">
        <f t="shared" si="2"/>
        <v>80</v>
      </c>
      <c r="H91" s="48"/>
      <c r="I91" s="9"/>
      <c r="J91" s="9"/>
      <c r="K91" s="62" t="s">
        <v>41</v>
      </c>
      <c r="L91" s="62" t="s">
        <v>41</v>
      </c>
      <c r="M91" s="62" t="s">
        <v>41</v>
      </c>
      <c r="N91" s="62" t="s">
        <v>41</v>
      </c>
      <c r="O91" s="62" t="s">
        <v>42</v>
      </c>
      <c r="P91" s="39" t="s">
        <v>53</v>
      </c>
      <c r="Q91" s="4">
        <v>3</v>
      </c>
      <c r="R91" s="4">
        <v>1</v>
      </c>
    </row>
    <row r="92" spans="1:18" s="4" customFormat="1" ht="20.399999999999999">
      <c r="A92" s="92"/>
      <c r="B92" s="93"/>
      <c r="C92" s="117" t="s">
        <v>155</v>
      </c>
      <c r="D92" s="52" t="s">
        <v>156</v>
      </c>
      <c r="E92" s="15">
        <v>46381</v>
      </c>
      <c r="F92" s="15">
        <v>46599</v>
      </c>
      <c r="G92" s="53">
        <f t="shared" si="2"/>
        <v>219</v>
      </c>
      <c r="H92" s="48"/>
      <c r="I92" s="9"/>
      <c r="J92" s="9"/>
      <c r="K92" s="62" t="s">
        <v>34</v>
      </c>
      <c r="L92" s="62" t="s">
        <v>41</v>
      </c>
      <c r="M92" s="62" t="s">
        <v>41</v>
      </c>
      <c r="N92" s="62" t="s">
        <v>41</v>
      </c>
      <c r="O92" s="62" t="s">
        <v>42</v>
      </c>
      <c r="P92" s="51" t="s">
        <v>157</v>
      </c>
      <c r="Q92" s="4">
        <v>3</v>
      </c>
      <c r="R92" s="4">
        <v>1</v>
      </c>
    </row>
    <row r="93" spans="1:18" s="4" customFormat="1" ht="51">
      <c r="A93" s="92"/>
      <c r="B93" s="93"/>
      <c r="C93" s="115" t="s">
        <v>158</v>
      </c>
      <c r="D93" s="18" t="s">
        <v>159</v>
      </c>
      <c r="E93" s="15">
        <v>46326</v>
      </c>
      <c r="F93" s="15">
        <v>46408</v>
      </c>
      <c r="G93" s="53">
        <f t="shared" si="2"/>
        <v>83</v>
      </c>
      <c r="H93" s="48"/>
      <c r="I93" s="9"/>
      <c r="J93" s="9"/>
      <c r="K93" s="62" t="s">
        <v>41</v>
      </c>
      <c r="L93" s="62" t="s">
        <v>41</v>
      </c>
      <c r="M93" s="62" t="s">
        <v>41</v>
      </c>
      <c r="N93" s="62" t="s">
        <v>34</v>
      </c>
      <c r="O93" s="55" t="s">
        <v>42</v>
      </c>
      <c r="P93" s="51" t="s">
        <v>52</v>
      </c>
      <c r="Q93" s="4">
        <v>3</v>
      </c>
      <c r="R93" s="4">
        <v>1</v>
      </c>
    </row>
    <row r="94" spans="1:18" s="4" customFormat="1" ht="91.8">
      <c r="A94" s="92"/>
      <c r="B94" s="93"/>
      <c r="C94" s="115" t="s">
        <v>160</v>
      </c>
      <c r="D94" s="52" t="s">
        <v>161</v>
      </c>
      <c r="E94" s="15">
        <v>46367</v>
      </c>
      <c r="F94" s="15">
        <v>46599</v>
      </c>
      <c r="G94" s="53">
        <f t="shared" si="2"/>
        <v>233</v>
      </c>
      <c r="H94" s="48"/>
      <c r="I94" s="9"/>
      <c r="J94" s="9"/>
      <c r="K94" s="62" t="s">
        <v>41</v>
      </c>
      <c r="L94" s="62" t="s">
        <v>41</v>
      </c>
      <c r="M94" s="62" t="s">
        <v>41</v>
      </c>
      <c r="N94" s="62" t="s">
        <v>41</v>
      </c>
      <c r="O94" s="62" t="s">
        <v>42</v>
      </c>
      <c r="P94" s="39" t="s">
        <v>53</v>
      </c>
      <c r="Q94" s="4">
        <v>3</v>
      </c>
      <c r="R94" s="4">
        <v>1</v>
      </c>
    </row>
    <row r="95" spans="1:18" s="4" customFormat="1" ht="20.399999999999999">
      <c r="A95" s="92"/>
      <c r="B95" s="93"/>
      <c r="C95" s="120" t="s">
        <v>470</v>
      </c>
      <c r="D95" s="121" t="s">
        <v>471</v>
      </c>
      <c r="E95" s="122">
        <v>46490</v>
      </c>
      <c r="F95" s="122">
        <v>46599</v>
      </c>
      <c r="G95" s="123">
        <f t="shared" si="2"/>
        <v>110</v>
      </c>
      <c r="H95" s="124"/>
      <c r="I95" s="9"/>
      <c r="J95" s="9"/>
      <c r="K95" s="62" t="s">
        <v>34</v>
      </c>
      <c r="L95" s="62" t="s">
        <v>41</v>
      </c>
      <c r="M95" s="62" t="s">
        <v>41</v>
      </c>
      <c r="N95" s="62" t="s">
        <v>41</v>
      </c>
      <c r="O95" s="62" t="s">
        <v>42</v>
      </c>
      <c r="P95" s="51" t="s">
        <v>157</v>
      </c>
      <c r="Q95" s="4">
        <v>3</v>
      </c>
      <c r="R95" s="4">
        <v>1</v>
      </c>
    </row>
    <row r="96" spans="1:18" s="1" customFormat="1">
      <c r="A96" s="125" t="s">
        <v>162</v>
      </c>
      <c r="B96" s="126" t="s">
        <v>90</v>
      </c>
      <c r="C96" s="46"/>
      <c r="D96" s="32"/>
      <c r="E96" s="30"/>
      <c r="F96" s="30"/>
      <c r="G96" s="30"/>
      <c r="H96" s="47"/>
      <c r="I96" s="9"/>
      <c r="J96" s="9"/>
      <c r="K96" s="33"/>
      <c r="L96" s="33"/>
      <c r="M96" s="33"/>
      <c r="N96" s="33"/>
      <c r="O96" s="54"/>
      <c r="P96" s="31"/>
    </row>
    <row r="97" spans="1:18" s="5" customFormat="1">
      <c r="A97" s="38">
        <v>4</v>
      </c>
      <c r="B97" s="19" t="s">
        <v>163</v>
      </c>
      <c r="C97" s="19"/>
      <c r="D97" s="20"/>
      <c r="E97" s="21">
        <v>46341</v>
      </c>
      <c r="F97" s="41">
        <v>46660</v>
      </c>
      <c r="G97" s="22">
        <f>+F97-E97+1</f>
        <v>320</v>
      </c>
      <c r="H97" s="42"/>
      <c r="I97" s="9"/>
      <c r="J97" s="9"/>
      <c r="K97" s="23"/>
      <c r="L97" s="23"/>
      <c r="M97" s="23"/>
      <c r="N97" s="23"/>
      <c r="O97" s="23"/>
      <c r="P97" s="37"/>
    </row>
    <row r="98" spans="1:18" s="5" customFormat="1">
      <c r="A98" s="97" t="s">
        <v>164</v>
      </c>
      <c r="B98" s="98" t="s">
        <v>165</v>
      </c>
      <c r="C98" s="24"/>
      <c r="D98" s="25"/>
      <c r="E98" s="26"/>
      <c r="F98" s="43"/>
      <c r="G98" s="27"/>
      <c r="H98" s="44"/>
      <c r="I98" s="9"/>
      <c r="J98" s="9"/>
      <c r="K98" s="28"/>
      <c r="L98" s="28"/>
      <c r="M98" s="28"/>
      <c r="N98" s="28"/>
      <c r="O98" s="28"/>
      <c r="P98" s="35"/>
    </row>
    <row r="99" spans="1:18" s="1" customFormat="1" ht="51">
      <c r="A99" s="71"/>
      <c r="B99" s="91"/>
      <c r="C99" s="115" t="s">
        <v>166</v>
      </c>
      <c r="D99" s="18" t="s">
        <v>167</v>
      </c>
      <c r="E99" s="15">
        <v>46477</v>
      </c>
      <c r="F99" s="15">
        <v>46532</v>
      </c>
      <c r="G99" s="53">
        <f>+F99-E99+1</f>
        <v>56</v>
      </c>
      <c r="H99" s="60"/>
      <c r="I99" s="9"/>
      <c r="J99" s="9"/>
      <c r="K99" s="62"/>
      <c r="L99" s="62"/>
      <c r="M99" s="62"/>
      <c r="N99" s="62"/>
      <c r="O99" s="55"/>
      <c r="P99" s="51"/>
    </row>
    <row r="100" spans="1:18" s="1" customFormat="1" ht="91.8">
      <c r="A100" s="92"/>
      <c r="B100" s="93"/>
      <c r="C100" s="115" t="s">
        <v>168</v>
      </c>
      <c r="D100" s="52" t="s">
        <v>169</v>
      </c>
      <c r="E100" s="15">
        <v>46504</v>
      </c>
      <c r="F100" s="15">
        <v>46660</v>
      </c>
      <c r="G100" s="53">
        <f>+F100-E100+1</f>
        <v>157</v>
      </c>
      <c r="H100" s="60"/>
      <c r="I100" s="9"/>
      <c r="J100" s="9"/>
      <c r="K100" s="62" t="s">
        <v>41</v>
      </c>
      <c r="L100" s="62" t="s">
        <v>41</v>
      </c>
      <c r="M100" s="62" t="s">
        <v>41</v>
      </c>
      <c r="N100" s="62" t="s">
        <v>41</v>
      </c>
      <c r="O100" s="62" t="s">
        <v>42</v>
      </c>
      <c r="P100" s="39" t="s">
        <v>53</v>
      </c>
      <c r="Q100" s="1">
        <v>4</v>
      </c>
      <c r="R100" s="1">
        <v>1</v>
      </c>
    </row>
    <row r="101" spans="1:18" s="1" customFormat="1" ht="51">
      <c r="A101" s="94"/>
      <c r="B101" s="95"/>
      <c r="C101" s="117" t="s">
        <v>170</v>
      </c>
      <c r="D101" s="56" t="s">
        <v>171</v>
      </c>
      <c r="E101" s="15">
        <v>46569</v>
      </c>
      <c r="F101" s="15">
        <v>46652</v>
      </c>
      <c r="G101" s="53">
        <f>+F101-E101+1</f>
        <v>84</v>
      </c>
      <c r="H101" s="60"/>
      <c r="I101" s="9"/>
      <c r="J101" s="9"/>
      <c r="K101" s="62" t="s">
        <v>41</v>
      </c>
      <c r="L101" s="62" t="s">
        <v>41</v>
      </c>
      <c r="M101" s="62" t="s">
        <v>41</v>
      </c>
      <c r="N101" s="62" t="s">
        <v>41</v>
      </c>
      <c r="O101" s="62" t="s">
        <v>42</v>
      </c>
      <c r="P101" s="51" t="s">
        <v>53</v>
      </c>
      <c r="Q101" s="1">
        <v>4</v>
      </c>
      <c r="R101" s="1">
        <v>1</v>
      </c>
    </row>
    <row r="102" spans="1:18" s="1" customFormat="1" ht="20.399999999999999">
      <c r="A102" s="75" t="s">
        <v>172</v>
      </c>
      <c r="B102" s="73" t="s">
        <v>173</v>
      </c>
      <c r="C102" s="24"/>
      <c r="D102" s="25"/>
      <c r="E102" s="26"/>
      <c r="F102" s="43"/>
      <c r="G102" s="27"/>
      <c r="H102" s="44"/>
      <c r="I102" s="9"/>
      <c r="J102" s="9"/>
      <c r="K102" s="28"/>
      <c r="L102" s="28"/>
      <c r="M102" s="28"/>
      <c r="N102" s="28"/>
      <c r="O102" s="28"/>
      <c r="P102" s="35"/>
    </row>
    <row r="103" spans="1:18" s="1" customFormat="1" ht="51">
      <c r="A103" s="71"/>
      <c r="B103" s="91"/>
      <c r="C103" s="115" t="s">
        <v>174</v>
      </c>
      <c r="D103" s="18" t="s">
        <v>175</v>
      </c>
      <c r="E103" s="15">
        <v>46477</v>
      </c>
      <c r="F103" s="15">
        <v>46532</v>
      </c>
      <c r="G103" s="53">
        <f>+F103-E103+1</f>
        <v>56</v>
      </c>
      <c r="H103" s="60"/>
      <c r="I103" s="9"/>
      <c r="J103" s="9"/>
      <c r="K103" s="62" t="s">
        <v>41</v>
      </c>
      <c r="L103" s="62" t="s">
        <v>41</v>
      </c>
      <c r="M103" s="62" t="s">
        <v>41</v>
      </c>
      <c r="N103" s="62" t="s">
        <v>34</v>
      </c>
      <c r="O103" s="55" t="s">
        <v>42</v>
      </c>
      <c r="P103" s="51" t="s">
        <v>52</v>
      </c>
      <c r="Q103" s="1">
        <v>4</v>
      </c>
      <c r="R103" s="1">
        <v>2</v>
      </c>
    </row>
    <row r="104" spans="1:18" s="1" customFormat="1" ht="91.8">
      <c r="A104" s="92"/>
      <c r="B104" s="93"/>
      <c r="C104" s="115" t="s">
        <v>176</v>
      </c>
      <c r="D104" s="52" t="s">
        <v>177</v>
      </c>
      <c r="E104" s="15">
        <v>46504</v>
      </c>
      <c r="F104" s="15">
        <v>46660</v>
      </c>
      <c r="G104" s="53">
        <f>+F104-E104+1</f>
        <v>157</v>
      </c>
      <c r="H104" s="60"/>
      <c r="I104" s="9"/>
      <c r="J104" s="9"/>
      <c r="K104" s="62" t="s">
        <v>41</v>
      </c>
      <c r="L104" s="62" t="s">
        <v>41</v>
      </c>
      <c r="M104" s="62" t="s">
        <v>41</v>
      </c>
      <c r="N104" s="62" t="s">
        <v>41</v>
      </c>
      <c r="O104" s="62" t="s">
        <v>42</v>
      </c>
      <c r="P104" s="39" t="s">
        <v>53</v>
      </c>
      <c r="Q104" s="1">
        <v>4</v>
      </c>
      <c r="R104" s="1">
        <v>2</v>
      </c>
    </row>
    <row r="105" spans="1:18" s="1" customFormat="1" ht="13.8">
      <c r="A105" s="92"/>
      <c r="B105" s="93"/>
      <c r="C105" s="115" t="s">
        <v>178</v>
      </c>
      <c r="D105" s="52" t="s">
        <v>179</v>
      </c>
      <c r="E105" s="15">
        <v>46477</v>
      </c>
      <c r="F105" s="15">
        <v>46660</v>
      </c>
      <c r="G105" s="53">
        <f t="shared" ref="G105:G108" si="3">+F105-E105+1</f>
        <v>184</v>
      </c>
      <c r="H105" s="60"/>
      <c r="I105" s="9"/>
      <c r="J105" s="9"/>
      <c r="K105" s="62"/>
      <c r="L105" s="62"/>
      <c r="M105" s="62"/>
      <c r="N105" s="62"/>
      <c r="O105" s="62"/>
      <c r="P105" s="39"/>
    </row>
    <row r="106" spans="1:18" s="1" customFormat="1" ht="13.8">
      <c r="A106" s="92"/>
      <c r="B106" s="93"/>
      <c r="C106" s="115" t="s">
        <v>180</v>
      </c>
      <c r="D106" s="52" t="s">
        <v>181</v>
      </c>
      <c r="E106" s="15">
        <v>46477</v>
      </c>
      <c r="F106" s="15">
        <v>46660</v>
      </c>
      <c r="G106" s="53">
        <f t="shared" si="3"/>
        <v>184</v>
      </c>
      <c r="H106" s="60"/>
      <c r="I106" s="9"/>
      <c r="J106" s="9"/>
      <c r="K106" s="62"/>
      <c r="L106" s="62"/>
      <c r="M106" s="62"/>
      <c r="N106" s="62"/>
      <c r="O106" s="62"/>
      <c r="P106" s="39"/>
    </row>
    <row r="107" spans="1:18" s="1" customFormat="1" ht="13.8">
      <c r="A107" s="92"/>
      <c r="B107" s="93"/>
      <c r="C107" s="115" t="s">
        <v>182</v>
      </c>
      <c r="D107" s="52" t="s">
        <v>183</v>
      </c>
      <c r="E107" s="15">
        <v>46477</v>
      </c>
      <c r="F107" s="15">
        <v>46660</v>
      </c>
      <c r="G107" s="53">
        <f t="shared" si="3"/>
        <v>184</v>
      </c>
      <c r="H107" s="60"/>
      <c r="I107" s="9"/>
      <c r="J107" s="9"/>
      <c r="K107" s="62"/>
      <c r="L107" s="62"/>
      <c r="M107" s="62"/>
      <c r="N107" s="62"/>
      <c r="O107" s="62"/>
      <c r="P107" s="39"/>
    </row>
    <row r="108" spans="1:18" s="1" customFormat="1" ht="20.399999999999999">
      <c r="A108" s="92"/>
      <c r="B108" s="93"/>
      <c r="C108" s="115" t="s">
        <v>184</v>
      </c>
      <c r="D108" s="52" t="s">
        <v>185</v>
      </c>
      <c r="E108" s="15">
        <v>46477</v>
      </c>
      <c r="F108" s="15">
        <v>46660</v>
      </c>
      <c r="G108" s="53">
        <f t="shared" si="3"/>
        <v>184</v>
      </c>
      <c r="H108" s="60"/>
      <c r="I108" s="9"/>
      <c r="J108" s="9"/>
      <c r="K108" s="62"/>
      <c r="L108" s="62"/>
      <c r="M108" s="62"/>
      <c r="N108" s="62"/>
      <c r="O108" s="62"/>
      <c r="P108" s="39"/>
    </row>
    <row r="109" spans="1:18" s="1" customFormat="1" ht="30.6">
      <c r="A109" s="92"/>
      <c r="B109" s="93"/>
      <c r="C109" s="117" t="s">
        <v>186</v>
      </c>
      <c r="D109" s="52" t="s">
        <v>187</v>
      </c>
      <c r="E109" s="15">
        <v>46477</v>
      </c>
      <c r="F109" s="15">
        <v>46559</v>
      </c>
      <c r="G109" s="53">
        <f>+F109-E109+1</f>
        <v>83</v>
      </c>
      <c r="H109" s="60"/>
      <c r="I109" s="9"/>
      <c r="J109" s="9"/>
      <c r="K109" s="62" t="s">
        <v>41</v>
      </c>
      <c r="L109" s="62" t="s">
        <v>41</v>
      </c>
      <c r="M109" s="62" t="s">
        <v>41</v>
      </c>
      <c r="N109" s="62" t="s">
        <v>41</v>
      </c>
      <c r="O109" s="62" t="s">
        <v>42</v>
      </c>
      <c r="P109" s="39" t="s">
        <v>53</v>
      </c>
      <c r="Q109" s="1">
        <v>4</v>
      </c>
      <c r="R109" s="1">
        <v>2</v>
      </c>
    </row>
    <row r="110" spans="1:18" s="1" customFormat="1" ht="51">
      <c r="A110" s="92"/>
      <c r="B110" s="93"/>
      <c r="C110" s="117" t="s">
        <v>188</v>
      </c>
      <c r="D110" s="52" t="s">
        <v>189</v>
      </c>
      <c r="E110" s="15">
        <v>46555</v>
      </c>
      <c r="F110" s="15">
        <v>46627</v>
      </c>
      <c r="G110" s="53">
        <f>+F110-E110+1</f>
        <v>73</v>
      </c>
      <c r="H110" s="60"/>
      <c r="I110" s="9"/>
      <c r="J110" s="9"/>
      <c r="K110" s="62" t="s">
        <v>41</v>
      </c>
      <c r="L110" s="62" t="s">
        <v>41</v>
      </c>
      <c r="M110" s="62" t="s">
        <v>41</v>
      </c>
      <c r="N110" s="62" t="s">
        <v>41</v>
      </c>
      <c r="O110" s="62" t="s">
        <v>42</v>
      </c>
      <c r="P110" s="39" t="s">
        <v>53</v>
      </c>
      <c r="Q110" s="1">
        <v>4</v>
      </c>
      <c r="R110" s="1">
        <v>2</v>
      </c>
    </row>
    <row r="111" spans="1:18" s="1" customFormat="1" ht="20.399999999999999">
      <c r="A111" s="94"/>
      <c r="B111" s="95"/>
      <c r="C111" s="117" t="s">
        <v>190</v>
      </c>
      <c r="D111" s="52" t="s">
        <v>191</v>
      </c>
      <c r="E111" s="15">
        <v>46514</v>
      </c>
      <c r="F111" s="15">
        <v>46660</v>
      </c>
      <c r="G111" s="53">
        <f>+F111-E111+1</f>
        <v>147</v>
      </c>
      <c r="H111" s="60"/>
      <c r="I111" s="9"/>
      <c r="J111" s="9"/>
      <c r="K111" s="62" t="s">
        <v>41</v>
      </c>
      <c r="L111" s="62" t="s">
        <v>41</v>
      </c>
      <c r="M111" s="62" t="s">
        <v>41</v>
      </c>
      <c r="N111" s="62" t="s">
        <v>41</v>
      </c>
      <c r="O111" s="62" t="s">
        <v>42</v>
      </c>
      <c r="P111" s="39" t="s">
        <v>53</v>
      </c>
      <c r="Q111" s="1">
        <v>4</v>
      </c>
      <c r="R111" s="1">
        <v>2</v>
      </c>
    </row>
    <row r="112" spans="1:18" s="1" customFormat="1">
      <c r="A112" s="75" t="s">
        <v>192</v>
      </c>
      <c r="B112" s="73" t="s">
        <v>193</v>
      </c>
      <c r="C112" s="24"/>
      <c r="D112" s="25"/>
      <c r="E112" s="26"/>
      <c r="F112" s="43"/>
      <c r="G112" s="27"/>
      <c r="H112" s="44"/>
      <c r="I112" s="9"/>
      <c r="J112" s="9"/>
      <c r="K112" s="28"/>
      <c r="L112" s="28"/>
      <c r="M112" s="28"/>
      <c r="N112" s="28"/>
      <c r="O112" s="28"/>
      <c r="P112" s="35"/>
    </row>
    <row r="113" spans="1:18" s="1" customFormat="1" ht="51">
      <c r="A113" s="78"/>
      <c r="B113" s="91"/>
      <c r="C113" s="115" t="s">
        <v>194</v>
      </c>
      <c r="D113" s="18" t="s">
        <v>195</v>
      </c>
      <c r="E113" s="15">
        <v>46341</v>
      </c>
      <c r="F113" s="15">
        <v>46373</v>
      </c>
      <c r="G113" s="53">
        <f>+F113-E113+1</f>
        <v>33</v>
      </c>
      <c r="H113" s="60"/>
      <c r="I113" s="9"/>
      <c r="J113" s="9"/>
      <c r="K113" s="62" t="s">
        <v>41</v>
      </c>
      <c r="L113" s="62" t="s">
        <v>41</v>
      </c>
      <c r="M113" s="62" t="s">
        <v>41</v>
      </c>
      <c r="N113" s="62" t="s">
        <v>34</v>
      </c>
      <c r="O113" s="55" t="s">
        <v>42</v>
      </c>
      <c r="P113" s="51" t="s">
        <v>52</v>
      </c>
      <c r="Q113" s="1">
        <v>4</v>
      </c>
      <c r="R113" s="1">
        <v>3</v>
      </c>
    </row>
    <row r="114" spans="1:18" s="1" customFormat="1" ht="91.8">
      <c r="A114" s="92"/>
      <c r="B114" s="93"/>
      <c r="C114" s="115" t="s">
        <v>196</v>
      </c>
      <c r="D114" s="52" t="s">
        <v>197</v>
      </c>
      <c r="E114" s="15">
        <v>46357</v>
      </c>
      <c r="F114" s="15">
        <v>46446</v>
      </c>
      <c r="G114" s="53">
        <f>+F114-E114+1</f>
        <v>90</v>
      </c>
      <c r="H114" s="60"/>
      <c r="I114" s="9"/>
      <c r="J114" s="9"/>
      <c r="K114" s="62" t="s">
        <v>41</v>
      </c>
      <c r="L114" s="62" t="s">
        <v>41</v>
      </c>
      <c r="M114" s="62" t="s">
        <v>41</v>
      </c>
      <c r="N114" s="62" t="s">
        <v>41</v>
      </c>
      <c r="O114" s="62" t="s">
        <v>42</v>
      </c>
      <c r="P114" s="39" t="s">
        <v>53</v>
      </c>
      <c r="Q114" s="1">
        <v>4</v>
      </c>
      <c r="R114" s="1">
        <v>3</v>
      </c>
    </row>
    <row r="115" spans="1:18" s="1" customFormat="1" ht="20.399999999999999">
      <c r="A115" s="92"/>
      <c r="B115" s="93"/>
      <c r="C115" s="83" t="s">
        <v>198</v>
      </c>
      <c r="D115" s="52" t="s">
        <v>199</v>
      </c>
      <c r="E115" s="15">
        <v>46341</v>
      </c>
      <c r="F115" s="15">
        <v>46446</v>
      </c>
      <c r="G115" s="53">
        <f>+F115-E115+1</f>
        <v>106</v>
      </c>
      <c r="H115" s="60"/>
      <c r="I115" s="9"/>
      <c r="J115" s="9"/>
      <c r="K115" s="62"/>
      <c r="L115" s="62"/>
      <c r="M115" s="62"/>
      <c r="N115" s="62"/>
      <c r="O115" s="62"/>
      <c r="P115" s="39"/>
    </row>
    <row r="116" spans="1:18" s="1" customFormat="1" ht="40.799999999999997">
      <c r="A116" s="94"/>
      <c r="B116" s="95"/>
      <c r="C116" s="117" t="s">
        <v>200</v>
      </c>
      <c r="D116" s="52" t="s">
        <v>201</v>
      </c>
      <c r="E116" s="15">
        <v>46400</v>
      </c>
      <c r="F116" s="15">
        <v>46446</v>
      </c>
      <c r="G116" s="53">
        <f>+F116-E116+1</f>
        <v>47</v>
      </c>
      <c r="H116" s="60"/>
      <c r="I116" s="9"/>
      <c r="J116" s="9"/>
      <c r="K116" s="62" t="s">
        <v>41</v>
      </c>
      <c r="L116" s="62" t="s">
        <v>41</v>
      </c>
      <c r="M116" s="62" t="s">
        <v>41</v>
      </c>
      <c r="N116" s="62" t="s">
        <v>41</v>
      </c>
      <c r="O116" s="62" t="s">
        <v>42</v>
      </c>
      <c r="P116" s="39" t="s">
        <v>53</v>
      </c>
      <c r="Q116" s="1">
        <v>4</v>
      </c>
      <c r="R116" s="1">
        <v>3</v>
      </c>
    </row>
    <row r="117" spans="1:18" s="1" customFormat="1">
      <c r="A117" s="75" t="s">
        <v>202</v>
      </c>
      <c r="B117" s="73" t="s">
        <v>203</v>
      </c>
      <c r="C117" s="24"/>
      <c r="D117" s="25"/>
      <c r="E117" s="26"/>
      <c r="F117" s="43"/>
      <c r="G117" s="27"/>
      <c r="H117" s="44"/>
      <c r="I117" s="9"/>
      <c r="J117" s="9"/>
      <c r="K117" s="28"/>
      <c r="L117" s="28"/>
      <c r="M117" s="28"/>
      <c r="N117" s="28"/>
      <c r="O117" s="28"/>
      <c r="P117" s="35"/>
    </row>
    <row r="118" spans="1:18" s="1" customFormat="1" ht="51">
      <c r="A118" s="71"/>
      <c r="B118" s="91"/>
      <c r="C118" s="115" t="s">
        <v>204</v>
      </c>
      <c r="D118" s="18" t="s">
        <v>205</v>
      </c>
      <c r="E118" s="15">
        <v>46477</v>
      </c>
      <c r="F118" s="15">
        <v>46532</v>
      </c>
      <c r="G118" s="53">
        <f t="shared" ref="G118:G123" si="4">+F118-E118+1</f>
        <v>56</v>
      </c>
      <c r="H118" s="60"/>
      <c r="I118" s="9"/>
      <c r="J118" s="9"/>
      <c r="K118" s="62" t="s">
        <v>41</v>
      </c>
      <c r="L118" s="62" t="s">
        <v>41</v>
      </c>
      <c r="M118" s="62" t="s">
        <v>41</v>
      </c>
      <c r="N118" s="62" t="s">
        <v>34</v>
      </c>
      <c r="O118" s="55" t="s">
        <v>42</v>
      </c>
      <c r="P118" s="51" t="s">
        <v>52</v>
      </c>
      <c r="Q118" s="1">
        <v>4</v>
      </c>
      <c r="R118" s="1">
        <v>4</v>
      </c>
    </row>
    <row r="119" spans="1:18" s="1" customFormat="1" ht="91.8">
      <c r="A119" s="92"/>
      <c r="B119" s="93"/>
      <c r="C119" s="115" t="s">
        <v>206</v>
      </c>
      <c r="D119" s="52" t="s">
        <v>207</v>
      </c>
      <c r="E119" s="15">
        <v>46504</v>
      </c>
      <c r="F119" s="15">
        <v>46660</v>
      </c>
      <c r="G119" s="53">
        <f t="shared" si="4"/>
        <v>157</v>
      </c>
      <c r="H119" s="60"/>
      <c r="I119" s="9"/>
      <c r="J119" s="9"/>
      <c r="K119" s="62" t="s">
        <v>41</v>
      </c>
      <c r="L119" s="62" t="s">
        <v>41</v>
      </c>
      <c r="M119" s="62" t="s">
        <v>41</v>
      </c>
      <c r="N119" s="62" t="s">
        <v>41</v>
      </c>
      <c r="O119" s="62" t="s">
        <v>42</v>
      </c>
      <c r="P119" s="39" t="s">
        <v>53</v>
      </c>
      <c r="Q119" s="1">
        <v>4</v>
      </c>
      <c r="R119" s="1">
        <v>4</v>
      </c>
    </row>
    <row r="120" spans="1:18" s="1" customFormat="1" ht="20.399999999999999">
      <c r="A120" s="92"/>
      <c r="B120" s="93"/>
      <c r="C120" s="117" t="s">
        <v>208</v>
      </c>
      <c r="D120" s="52" t="s">
        <v>209</v>
      </c>
      <c r="E120" s="15">
        <v>46523</v>
      </c>
      <c r="F120" s="15">
        <v>46582</v>
      </c>
      <c r="G120" s="53">
        <f t="shared" si="4"/>
        <v>60</v>
      </c>
      <c r="H120" s="60"/>
      <c r="I120" s="9"/>
      <c r="J120" s="9"/>
      <c r="K120" s="62" t="s">
        <v>41</v>
      </c>
      <c r="L120" s="62" t="s">
        <v>41</v>
      </c>
      <c r="M120" s="62" t="s">
        <v>41</v>
      </c>
      <c r="N120" s="62" t="s">
        <v>41</v>
      </c>
      <c r="O120" s="62" t="s">
        <v>42</v>
      </c>
      <c r="P120" s="39" t="s">
        <v>53</v>
      </c>
      <c r="Q120" s="1">
        <v>4</v>
      </c>
      <c r="R120" s="1">
        <v>4</v>
      </c>
    </row>
    <row r="121" spans="1:18" s="1" customFormat="1" ht="13.8">
      <c r="A121" s="92"/>
      <c r="B121" s="93"/>
      <c r="C121" s="117" t="s">
        <v>210</v>
      </c>
      <c r="D121" s="52" t="s">
        <v>211</v>
      </c>
      <c r="E121" s="15">
        <v>46514</v>
      </c>
      <c r="F121" s="15">
        <v>46660</v>
      </c>
      <c r="G121" s="53">
        <f t="shared" si="4"/>
        <v>147</v>
      </c>
      <c r="H121" s="60"/>
      <c r="I121" s="9"/>
      <c r="J121" s="9"/>
      <c r="K121" s="62" t="s">
        <v>41</v>
      </c>
      <c r="L121" s="62" t="s">
        <v>41</v>
      </c>
      <c r="M121" s="62" t="s">
        <v>41</v>
      </c>
      <c r="N121" s="62" t="s">
        <v>41</v>
      </c>
      <c r="O121" s="62" t="s">
        <v>42</v>
      </c>
      <c r="P121" s="39" t="s">
        <v>53</v>
      </c>
      <c r="Q121" s="1">
        <v>4</v>
      </c>
      <c r="R121" s="1">
        <v>4</v>
      </c>
    </row>
    <row r="122" spans="1:18" s="1" customFormat="1" ht="40.799999999999997">
      <c r="A122" s="92"/>
      <c r="B122" s="93"/>
      <c r="C122" s="117" t="s">
        <v>212</v>
      </c>
      <c r="D122" s="52" t="s">
        <v>213</v>
      </c>
      <c r="E122" s="15">
        <v>46569</v>
      </c>
      <c r="F122" s="15">
        <v>46652</v>
      </c>
      <c r="G122" s="53">
        <f t="shared" si="4"/>
        <v>84</v>
      </c>
      <c r="H122" s="60"/>
      <c r="I122" s="9"/>
      <c r="J122" s="9"/>
      <c r="K122" s="62" t="s">
        <v>41</v>
      </c>
      <c r="L122" s="62" t="s">
        <v>41</v>
      </c>
      <c r="M122" s="62" t="s">
        <v>41</v>
      </c>
      <c r="N122" s="62" t="s">
        <v>41</v>
      </c>
      <c r="O122" s="62" t="s">
        <v>42</v>
      </c>
      <c r="P122" s="39" t="s">
        <v>53</v>
      </c>
      <c r="Q122" s="1">
        <v>4</v>
      </c>
      <c r="R122" s="1">
        <v>4</v>
      </c>
    </row>
    <row r="123" spans="1:18" s="1" customFormat="1" ht="13.8">
      <c r="A123" s="94"/>
      <c r="B123" s="95"/>
      <c r="C123" s="117" t="s">
        <v>214</v>
      </c>
      <c r="D123" s="52" t="s">
        <v>215</v>
      </c>
      <c r="E123" s="15">
        <v>46514</v>
      </c>
      <c r="F123" s="15">
        <v>46660</v>
      </c>
      <c r="G123" s="53">
        <f t="shared" si="4"/>
        <v>147</v>
      </c>
      <c r="H123" s="60"/>
      <c r="I123" s="9"/>
      <c r="J123" s="9"/>
      <c r="K123" s="62" t="s">
        <v>41</v>
      </c>
      <c r="L123" s="62" t="s">
        <v>41</v>
      </c>
      <c r="M123" s="62" t="s">
        <v>41</v>
      </c>
      <c r="N123" s="62" t="s">
        <v>41</v>
      </c>
      <c r="O123" s="62" t="s">
        <v>42</v>
      </c>
      <c r="P123" s="39" t="s">
        <v>53</v>
      </c>
      <c r="Q123" s="1">
        <v>4</v>
      </c>
      <c r="R123" s="1">
        <v>4</v>
      </c>
    </row>
    <row r="124" spans="1:18" s="1" customFormat="1">
      <c r="A124" s="75" t="s">
        <v>216</v>
      </c>
      <c r="B124" s="73" t="s">
        <v>217</v>
      </c>
      <c r="C124" s="24"/>
      <c r="D124" s="25"/>
      <c r="E124" s="26"/>
      <c r="F124" s="43"/>
      <c r="G124" s="27"/>
      <c r="H124" s="44"/>
      <c r="I124" s="9"/>
      <c r="J124" s="9"/>
      <c r="K124" s="28"/>
      <c r="L124" s="28"/>
      <c r="M124" s="28"/>
      <c r="N124" s="28"/>
      <c r="O124" s="28"/>
      <c r="P124" s="35"/>
    </row>
    <row r="125" spans="1:18" s="1" customFormat="1" ht="20.399999999999999">
      <c r="A125" s="71"/>
      <c r="B125" s="91"/>
      <c r="C125" s="115" t="s">
        <v>218</v>
      </c>
      <c r="D125" s="18" t="s">
        <v>219</v>
      </c>
      <c r="E125" s="15">
        <v>46477</v>
      </c>
      <c r="F125" s="15">
        <v>46660</v>
      </c>
      <c r="G125" s="53">
        <f>+F125-E125+1</f>
        <v>184</v>
      </c>
      <c r="H125" s="60"/>
      <c r="I125" s="9"/>
      <c r="J125" s="9"/>
      <c r="K125" s="62" t="s">
        <v>41</v>
      </c>
      <c r="L125" s="62" t="s">
        <v>41</v>
      </c>
      <c r="M125" s="62" t="s">
        <v>41</v>
      </c>
      <c r="N125" s="62" t="s">
        <v>34</v>
      </c>
      <c r="O125" s="55" t="s">
        <v>42</v>
      </c>
      <c r="P125" s="51" t="s">
        <v>52</v>
      </c>
      <c r="Q125" s="1">
        <v>4</v>
      </c>
      <c r="R125" s="1">
        <v>5</v>
      </c>
    </row>
    <row r="126" spans="1:18" s="1" customFormat="1" ht="20.399999999999999">
      <c r="A126" s="104"/>
      <c r="B126" s="93"/>
      <c r="C126" s="115" t="s">
        <v>220</v>
      </c>
      <c r="D126" s="18" t="s">
        <v>221</v>
      </c>
      <c r="E126" s="15">
        <v>46477</v>
      </c>
      <c r="F126" s="15">
        <v>46660</v>
      </c>
      <c r="G126" s="53">
        <f>+F126-E126+1</f>
        <v>184</v>
      </c>
      <c r="H126" s="60"/>
      <c r="I126" s="9"/>
      <c r="J126" s="9"/>
      <c r="K126" s="62"/>
      <c r="L126" s="62"/>
      <c r="M126" s="62"/>
      <c r="N126" s="62"/>
      <c r="O126" s="55"/>
      <c r="P126" s="51"/>
    </row>
    <row r="127" spans="1:18" s="1" customFormat="1" ht="51">
      <c r="A127" s="104"/>
      <c r="B127" s="93"/>
      <c r="C127" s="115" t="s">
        <v>222</v>
      </c>
      <c r="D127" s="18" t="s">
        <v>223</v>
      </c>
      <c r="E127" s="15">
        <v>46477</v>
      </c>
      <c r="F127" s="15">
        <v>46532</v>
      </c>
      <c r="G127" s="53">
        <f>+F127-E127+1</f>
        <v>56</v>
      </c>
      <c r="H127" s="60"/>
      <c r="I127" s="9"/>
      <c r="J127" s="9"/>
      <c r="K127" s="62"/>
      <c r="L127" s="62"/>
      <c r="M127" s="62"/>
      <c r="N127" s="62"/>
      <c r="O127" s="55"/>
      <c r="P127" s="51"/>
    </row>
    <row r="128" spans="1:18" s="1" customFormat="1" ht="91.8">
      <c r="A128" s="94"/>
      <c r="B128" s="95"/>
      <c r="C128" s="115" t="s">
        <v>224</v>
      </c>
      <c r="D128" s="52" t="s">
        <v>225</v>
      </c>
      <c r="E128" s="15">
        <v>46504</v>
      </c>
      <c r="F128" s="15">
        <v>46660</v>
      </c>
      <c r="G128" s="53">
        <f>+F128-E128+1</f>
        <v>157</v>
      </c>
      <c r="H128" s="60"/>
      <c r="I128" s="9"/>
      <c r="J128" s="9"/>
      <c r="K128" s="62" t="s">
        <v>41</v>
      </c>
      <c r="L128" s="62" t="s">
        <v>41</v>
      </c>
      <c r="M128" s="62" t="s">
        <v>41</v>
      </c>
      <c r="N128" s="62" t="s">
        <v>41</v>
      </c>
      <c r="O128" s="62" t="s">
        <v>42</v>
      </c>
      <c r="P128" s="39" t="s">
        <v>53</v>
      </c>
      <c r="Q128" s="1">
        <v>4</v>
      </c>
      <c r="R128" s="1">
        <v>5</v>
      </c>
    </row>
    <row r="129" spans="1:18" s="1" customFormat="1" ht="20.399999999999999">
      <c r="A129" s="75" t="s">
        <v>226</v>
      </c>
      <c r="B129" s="73" t="s">
        <v>227</v>
      </c>
      <c r="C129" s="24"/>
      <c r="D129" s="25"/>
      <c r="E129" s="26"/>
      <c r="F129" s="43"/>
      <c r="G129" s="27"/>
      <c r="H129" s="44"/>
      <c r="I129" s="9"/>
      <c r="J129" s="9"/>
      <c r="K129" s="28"/>
      <c r="L129" s="28"/>
      <c r="M129" s="28"/>
      <c r="N129" s="28"/>
      <c r="O129" s="28"/>
      <c r="P129" s="35"/>
    </row>
    <row r="130" spans="1:18" s="6" customFormat="1" ht="51">
      <c r="A130" s="71"/>
      <c r="B130" s="91"/>
      <c r="C130" s="115" t="s">
        <v>228</v>
      </c>
      <c r="D130" s="18" t="s">
        <v>229</v>
      </c>
      <c r="E130" s="15">
        <v>46477</v>
      </c>
      <c r="F130" s="15">
        <v>46532</v>
      </c>
      <c r="G130" s="53">
        <f>+F130-E130+1</f>
        <v>56</v>
      </c>
      <c r="H130" s="49"/>
      <c r="I130" s="9"/>
      <c r="J130" s="9"/>
      <c r="K130" s="62" t="s">
        <v>41</v>
      </c>
      <c r="L130" s="62" t="s">
        <v>41</v>
      </c>
      <c r="M130" s="62" t="s">
        <v>41</v>
      </c>
      <c r="N130" s="62" t="s">
        <v>34</v>
      </c>
      <c r="O130" s="55" t="s">
        <v>42</v>
      </c>
      <c r="P130" s="51" t="s">
        <v>52</v>
      </c>
      <c r="Q130" s="6">
        <v>4</v>
      </c>
      <c r="R130" s="6">
        <v>6</v>
      </c>
    </row>
    <row r="131" spans="1:18" s="6" customFormat="1" ht="91.8">
      <c r="A131" s="92"/>
      <c r="B131" s="93"/>
      <c r="C131" s="115" t="s">
        <v>230</v>
      </c>
      <c r="D131" s="52" t="s">
        <v>231</v>
      </c>
      <c r="E131" s="15">
        <v>46504</v>
      </c>
      <c r="F131" s="15">
        <v>46660</v>
      </c>
      <c r="G131" s="53">
        <f>+F131-E131+1</f>
        <v>157</v>
      </c>
      <c r="H131" s="49"/>
      <c r="I131" s="9"/>
      <c r="J131" s="9"/>
      <c r="K131" s="62" t="s">
        <v>41</v>
      </c>
      <c r="L131" s="62" t="s">
        <v>41</v>
      </c>
      <c r="M131" s="62" t="s">
        <v>41</v>
      </c>
      <c r="N131" s="62" t="s">
        <v>41</v>
      </c>
      <c r="O131" s="62" t="s">
        <v>42</v>
      </c>
      <c r="P131" s="39" t="s">
        <v>53</v>
      </c>
      <c r="Q131" s="6">
        <v>4</v>
      </c>
      <c r="R131" s="6">
        <v>6</v>
      </c>
    </row>
    <row r="132" spans="1:18" s="6" customFormat="1" ht="40.799999999999997">
      <c r="A132" s="94"/>
      <c r="B132" s="95"/>
      <c r="C132" s="117" t="s">
        <v>232</v>
      </c>
      <c r="D132" s="52" t="s">
        <v>233</v>
      </c>
      <c r="E132" s="15">
        <v>46587</v>
      </c>
      <c r="F132" s="15">
        <v>46660</v>
      </c>
      <c r="G132" s="53">
        <f>+F132-E132+1</f>
        <v>74</v>
      </c>
      <c r="H132" s="49"/>
      <c r="I132" s="9"/>
      <c r="J132" s="9"/>
      <c r="K132" s="62" t="s">
        <v>41</v>
      </c>
      <c r="L132" s="62" t="s">
        <v>41</v>
      </c>
      <c r="M132" s="62" t="s">
        <v>41</v>
      </c>
      <c r="N132" s="62" t="s">
        <v>41</v>
      </c>
      <c r="O132" s="62" t="s">
        <v>42</v>
      </c>
      <c r="P132" s="39" t="s">
        <v>53</v>
      </c>
      <c r="Q132" s="6">
        <v>4</v>
      </c>
      <c r="R132" s="6">
        <v>6</v>
      </c>
    </row>
    <row r="133" spans="1:18" s="6" customFormat="1" ht="20.399999999999999">
      <c r="A133" s="75" t="s">
        <v>234</v>
      </c>
      <c r="B133" s="73" t="s">
        <v>235</v>
      </c>
      <c r="C133" s="24"/>
      <c r="D133" s="25"/>
      <c r="E133" s="26"/>
      <c r="F133" s="43"/>
      <c r="G133" s="27"/>
      <c r="H133" s="44"/>
      <c r="I133" s="9"/>
      <c r="J133" s="9"/>
      <c r="K133" s="28"/>
      <c r="L133" s="28"/>
      <c r="M133" s="28"/>
      <c r="N133" s="28"/>
      <c r="O133" s="28"/>
      <c r="P133" s="35"/>
    </row>
    <row r="134" spans="1:18" s="6" customFormat="1" ht="51">
      <c r="A134" s="78"/>
      <c r="B134" s="91"/>
      <c r="C134" s="115" t="s">
        <v>236</v>
      </c>
      <c r="D134" s="18" t="s">
        <v>237</v>
      </c>
      <c r="E134" s="15">
        <v>46477</v>
      </c>
      <c r="F134" s="15">
        <v>46532</v>
      </c>
      <c r="G134" s="53">
        <f>+F134-E134+1</f>
        <v>56</v>
      </c>
      <c r="H134" s="49"/>
      <c r="I134" s="9"/>
      <c r="J134" s="9"/>
      <c r="K134" s="62" t="s">
        <v>41</v>
      </c>
      <c r="L134" s="62" t="s">
        <v>41</v>
      </c>
      <c r="M134" s="62" t="s">
        <v>41</v>
      </c>
      <c r="N134" s="62" t="s">
        <v>34</v>
      </c>
      <c r="O134" s="55" t="s">
        <v>42</v>
      </c>
      <c r="P134" s="51" t="s">
        <v>52</v>
      </c>
      <c r="Q134" s="6">
        <v>4</v>
      </c>
      <c r="R134" s="6">
        <v>7</v>
      </c>
    </row>
    <row r="135" spans="1:18" s="6" customFormat="1" ht="91.8">
      <c r="A135" s="92"/>
      <c r="B135" s="93"/>
      <c r="C135" s="115" t="s">
        <v>238</v>
      </c>
      <c r="D135" s="52" t="s">
        <v>239</v>
      </c>
      <c r="E135" s="15">
        <v>46504</v>
      </c>
      <c r="F135" s="15">
        <v>46660</v>
      </c>
      <c r="G135" s="53">
        <f>+F135-E135+1</f>
        <v>157</v>
      </c>
      <c r="H135" s="49"/>
      <c r="I135" s="9"/>
      <c r="J135" s="9"/>
      <c r="K135" s="62" t="s">
        <v>41</v>
      </c>
      <c r="L135" s="62" t="s">
        <v>41</v>
      </c>
      <c r="M135" s="62" t="s">
        <v>41</v>
      </c>
      <c r="N135" s="62" t="s">
        <v>41</v>
      </c>
      <c r="O135" s="62" t="s">
        <v>42</v>
      </c>
      <c r="P135" s="39" t="s">
        <v>53</v>
      </c>
      <c r="Q135" s="6">
        <v>4</v>
      </c>
      <c r="R135" s="6">
        <v>7</v>
      </c>
    </row>
    <row r="136" spans="1:18" s="6" customFormat="1" ht="20.399999999999999">
      <c r="A136" s="92"/>
      <c r="B136" s="93"/>
      <c r="C136" s="115" t="s">
        <v>240</v>
      </c>
      <c r="D136" s="52" t="s">
        <v>241</v>
      </c>
      <c r="E136" s="15">
        <v>46477</v>
      </c>
      <c r="F136" s="15">
        <v>46660</v>
      </c>
      <c r="G136" s="53">
        <f>+F136-E136+1</f>
        <v>184</v>
      </c>
      <c r="H136" s="49"/>
      <c r="I136" s="9"/>
      <c r="J136" s="9"/>
      <c r="K136" s="62"/>
      <c r="L136" s="62"/>
      <c r="M136" s="62"/>
      <c r="N136" s="62"/>
      <c r="O136" s="62"/>
      <c r="P136" s="39"/>
    </row>
    <row r="137" spans="1:18" s="6" customFormat="1" ht="20.399999999999999">
      <c r="A137" s="94"/>
      <c r="B137" s="95"/>
      <c r="C137" s="117" t="s">
        <v>242</v>
      </c>
      <c r="D137" s="52" t="s">
        <v>243</v>
      </c>
      <c r="E137" s="15">
        <v>46569</v>
      </c>
      <c r="F137" s="15">
        <v>46660</v>
      </c>
      <c r="G137" s="53">
        <f>+F137-E137+1</f>
        <v>92</v>
      </c>
      <c r="H137" s="49"/>
      <c r="I137" s="9"/>
      <c r="J137" s="9"/>
      <c r="K137" s="62" t="s">
        <v>41</v>
      </c>
      <c r="L137" s="62" t="s">
        <v>41</v>
      </c>
      <c r="M137" s="62" t="s">
        <v>41</v>
      </c>
      <c r="N137" s="62" t="s">
        <v>41</v>
      </c>
      <c r="O137" s="62" t="s">
        <v>42</v>
      </c>
      <c r="P137" s="39" t="s">
        <v>53</v>
      </c>
      <c r="Q137" s="6">
        <v>4</v>
      </c>
      <c r="R137" s="6">
        <v>7</v>
      </c>
    </row>
    <row r="138" spans="1:18" s="6" customFormat="1">
      <c r="A138" s="75" t="s">
        <v>244</v>
      </c>
      <c r="B138" s="73" t="s">
        <v>245</v>
      </c>
      <c r="C138" s="24"/>
      <c r="D138" s="25"/>
      <c r="E138" s="26"/>
      <c r="F138" s="43"/>
      <c r="G138" s="27"/>
      <c r="H138" s="44"/>
      <c r="I138" s="9"/>
      <c r="J138" s="9"/>
      <c r="K138" s="28"/>
      <c r="L138" s="28"/>
      <c r="M138" s="28"/>
      <c r="N138" s="28"/>
      <c r="O138" s="28"/>
      <c r="P138" s="35"/>
    </row>
    <row r="139" spans="1:18" s="6" customFormat="1" ht="51">
      <c r="A139" s="78"/>
      <c r="B139" s="91"/>
      <c r="C139" s="115" t="s">
        <v>246</v>
      </c>
      <c r="D139" s="18" t="s">
        <v>247</v>
      </c>
      <c r="E139" s="15">
        <v>46477</v>
      </c>
      <c r="F139" s="15">
        <v>46532</v>
      </c>
      <c r="G139" s="53">
        <f>+F139-E139+1</f>
        <v>56</v>
      </c>
      <c r="H139" s="49"/>
      <c r="I139" s="9"/>
      <c r="J139" s="9"/>
      <c r="K139" s="62" t="s">
        <v>41</v>
      </c>
      <c r="L139" s="62" t="s">
        <v>41</v>
      </c>
      <c r="M139" s="62" t="s">
        <v>41</v>
      </c>
      <c r="N139" s="62" t="s">
        <v>34</v>
      </c>
      <c r="O139" s="55" t="s">
        <v>42</v>
      </c>
      <c r="P139" s="51" t="s">
        <v>52</v>
      </c>
      <c r="Q139" s="6">
        <v>4</v>
      </c>
      <c r="R139" s="6">
        <v>8</v>
      </c>
    </row>
    <row r="140" spans="1:18" s="6" customFormat="1" ht="91.8">
      <c r="A140" s="92"/>
      <c r="B140" s="93"/>
      <c r="C140" s="115" t="s">
        <v>248</v>
      </c>
      <c r="D140" s="52" t="s">
        <v>249</v>
      </c>
      <c r="E140" s="15">
        <v>46504</v>
      </c>
      <c r="F140" s="15">
        <v>46660</v>
      </c>
      <c r="G140" s="53">
        <f>+F140-E140+1</f>
        <v>157</v>
      </c>
      <c r="H140" s="49"/>
      <c r="I140" s="9"/>
      <c r="J140" s="9"/>
      <c r="K140" s="62" t="s">
        <v>41</v>
      </c>
      <c r="L140" s="62" t="s">
        <v>41</v>
      </c>
      <c r="M140" s="62" t="s">
        <v>41</v>
      </c>
      <c r="N140" s="62" t="s">
        <v>41</v>
      </c>
      <c r="O140" s="62" t="s">
        <v>42</v>
      </c>
      <c r="P140" s="39" t="s">
        <v>53</v>
      </c>
      <c r="Q140" s="6">
        <v>4</v>
      </c>
      <c r="R140" s="6">
        <v>8</v>
      </c>
    </row>
    <row r="141" spans="1:18" s="6" customFormat="1" ht="61.2">
      <c r="A141" s="92"/>
      <c r="B141" s="93"/>
      <c r="C141" s="117" t="s">
        <v>250</v>
      </c>
      <c r="D141" s="52" t="s">
        <v>251</v>
      </c>
      <c r="E141" s="15">
        <v>46532</v>
      </c>
      <c r="F141" s="15">
        <v>46603</v>
      </c>
      <c r="G141" s="53">
        <f>+F141-E141+1</f>
        <v>72</v>
      </c>
      <c r="H141" s="49"/>
      <c r="I141" s="9"/>
      <c r="J141" s="9"/>
      <c r="K141" s="62" t="s">
        <v>41</v>
      </c>
      <c r="L141" s="62" t="s">
        <v>41</v>
      </c>
      <c r="M141" s="62" t="s">
        <v>41</v>
      </c>
      <c r="N141" s="62" t="s">
        <v>41</v>
      </c>
      <c r="O141" s="62" t="s">
        <v>42</v>
      </c>
      <c r="P141" s="39" t="s">
        <v>53</v>
      </c>
      <c r="Q141" s="6">
        <v>4</v>
      </c>
      <c r="R141" s="6">
        <v>8</v>
      </c>
    </row>
    <row r="142" spans="1:18" s="6" customFormat="1" ht="142.80000000000001">
      <c r="A142" s="92"/>
      <c r="B142" s="93"/>
      <c r="C142" s="117" t="s">
        <v>252</v>
      </c>
      <c r="D142" s="52" t="s">
        <v>253</v>
      </c>
      <c r="E142" s="15">
        <v>46559</v>
      </c>
      <c r="F142" s="15">
        <v>46645</v>
      </c>
      <c r="G142" s="53">
        <f>+F142-E142+1</f>
        <v>87</v>
      </c>
      <c r="H142" s="49"/>
      <c r="I142" s="9"/>
      <c r="J142" s="9"/>
      <c r="K142" s="62" t="s">
        <v>41</v>
      </c>
      <c r="L142" s="62" t="s">
        <v>41</v>
      </c>
      <c r="M142" s="62" t="s">
        <v>41</v>
      </c>
      <c r="N142" s="62" t="s">
        <v>41</v>
      </c>
      <c r="O142" s="62" t="s">
        <v>42</v>
      </c>
      <c r="P142" s="39" t="s">
        <v>53</v>
      </c>
      <c r="Q142" s="6">
        <v>4</v>
      </c>
      <c r="R142" s="6">
        <v>8</v>
      </c>
    </row>
    <row r="143" spans="1:18" s="6" customFormat="1" ht="30.6">
      <c r="A143" s="94"/>
      <c r="B143" s="95"/>
      <c r="C143" s="117" t="s">
        <v>254</v>
      </c>
      <c r="D143" s="52" t="s">
        <v>255</v>
      </c>
      <c r="E143" s="15">
        <v>46514</v>
      </c>
      <c r="F143" s="15">
        <v>46660</v>
      </c>
      <c r="G143" s="53">
        <f>+F143-E143+1</f>
        <v>147</v>
      </c>
      <c r="H143" s="49"/>
      <c r="I143" s="9"/>
      <c r="J143" s="9"/>
      <c r="K143" s="62" t="s">
        <v>34</v>
      </c>
      <c r="L143" s="62" t="s">
        <v>41</v>
      </c>
      <c r="M143" s="62" t="s">
        <v>41</v>
      </c>
      <c r="N143" s="62" t="s">
        <v>41</v>
      </c>
      <c r="O143" s="62" t="s">
        <v>42</v>
      </c>
      <c r="P143" s="51" t="s">
        <v>157</v>
      </c>
      <c r="Q143" s="6">
        <v>4</v>
      </c>
      <c r="R143" s="6">
        <v>8</v>
      </c>
    </row>
    <row r="144" spans="1:18" s="1" customFormat="1">
      <c r="A144" s="76" t="s">
        <v>256</v>
      </c>
      <c r="B144" s="77" t="s">
        <v>90</v>
      </c>
      <c r="C144" s="46"/>
      <c r="D144" s="32"/>
      <c r="E144" s="30"/>
      <c r="F144" s="30"/>
      <c r="G144" s="30"/>
      <c r="H144" s="47"/>
      <c r="I144" s="9"/>
      <c r="J144" s="9"/>
      <c r="K144" s="31"/>
      <c r="L144" s="31"/>
      <c r="M144" s="31"/>
      <c r="N144" s="31"/>
      <c r="O144" s="54"/>
      <c r="P144" s="31"/>
    </row>
    <row r="145" spans="1:18" s="1" customFormat="1" ht="20.399999999999999">
      <c r="A145" s="38">
        <v>5</v>
      </c>
      <c r="B145" s="19" t="s">
        <v>257</v>
      </c>
      <c r="C145" s="19"/>
      <c r="D145" s="20"/>
      <c r="E145" s="21">
        <v>46660</v>
      </c>
      <c r="F145" s="41">
        <v>46827</v>
      </c>
      <c r="G145" s="22">
        <f>+F145-E145+1</f>
        <v>168</v>
      </c>
      <c r="H145" s="42"/>
      <c r="I145" s="9"/>
      <c r="J145" s="9"/>
      <c r="K145" s="23"/>
      <c r="L145" s="23"/>
      <c r="M145" s="23"/>
      <c r="N145" s="23"/>
      <c r="O145" s="23"/>
      <c r="P145" s="37"/>
    </row>
    <row r="146" spans="1:18" s="1" customFormat="1">
      <c r="A146" s="97" t="s">
        <v>258</v>
      </c>
      <c r="B146" s="98" t="s">
        <v>259</v>
      </c>
      <c r="C146" s="24"/>
      <c r="D146" s="25"/>
      <c r="E146" s="26"/>
      <c r="F146" s="43"/>
      <c r="G146" s="27"/>
      <c r="H146" s="44"/>
      <c r="I146" s="9"/>
      <c r="J146" s="9"/>
      <c r="K146" s="28"/>
      <c r="L146" s="28"/>
      <c r="M146" s="28"/>
      <c r="N146" s="28"/>
      <c r="O146" s="28"/>
      <c r="P146" s="35"/>
    </row>
    <row r="147" spans="1:18" s="1" customFormat="1" ht="51">
      <c r="A147" s="71"/>
      <c r="B147" s="91"/>
      <c r="C147" s="117" t="s">
        <v>260</v>
      </c>
      <c r="D147" s="52" t="s">
        <v>261</v>
      </c>
      <c r="E147" s="15">
        <v>46660</v>
      </c>
      <c r="F147" s="15">
        <v>46708</v>
      </c>
      <c r="G147" s="53">
        <f t="shared" ref="G147:G155" si="5">+F147-E147+1</f>
        <v>49</v>
      </c>
      <c r="H147" s="60"/>
      <c r="I147" s="9"/>
      <c r="J147" s="9"/>
      <c r="K147" s="62" t="s">
        <v>41</v>
      </c>
      <c r="L147" s="62" t="s">
        <v>41</v>
      </c>
      <c r="M147" s="62" t="s">
        <v>41</v>
      </c>
      <c r="N147" s="62" t="s">
        <v>41</v>
      </c>
      <c r="O147" s="62" t="s">
        <v>42</v>
      </c>
      <c r="P147" s="39" t="s">
        <v>53</v>
      </c>
      <c r="Q147" s="1">
        <v>5</v>
      </c>
      <c r="R147" s="1">
        <v>1</v>
      </c>
    </row>
    <row r="148" spans="1:18" s="1" customFormat="1" ht="30.6">
      <c r="A148" s="92"/>
      <c r="B148" s="93"/>
      <c r="C148" s="117" t="s">
        <v>262</v>
      </c>
      <c r="D148" s="52" t="s">
        <v>263</v>
      </c>
      <c r="E148" s="15">
        <v>46660</v>
      </c>
      <c r="F148" s="15">
        <v>46722</v>
      </c>
      <c r="G148" s="53">
        <f t="shared" si="5"/>
        <v>63</v>
      </c>
      <c r="H148" s="60"/>
      <c r="I148" s="9"/>
      <c r="J148" s="9"/>
      <c r="K148" s="62" t="s">
        <v>41</v>
      </c>
      <c r="L148" s="62" t="s">
        <v>41</v>
      </c>
      <c r="M148" s="62" t="s">
        <v>41</v>
      </c>
      <c r="N148" s="62" t="s">
        <v>41</v>
      </c>
      <c r="O148" s="62" t="s">
        <v>42</v>
      </c>
      <c r="P148" s="39" t="s">
        <v>53</v>
      </c>
      <c r="Q148" s="1">
        <v>5</v>
      </c>
      <c r="R148" s="1">
        <v>1</v>
      </c>
    </row>
    <row r="149" spans="1:18" s="1" customFormat="1" ht="13.8">
      <c r="A149" s="92"/>
      <c r="B149" s="93"/>
      <c r="C149" s="117" t="s">
        <v>264</v>
      </c>
      <c r="D149" s="52" t="s">
        <v>265</v>
      </c>
      <c r="E149" s="15">
        <v>46688</v>
      </c>
      <c r="F149" s="15">
        <v>46798</v>
      </c>
      <c r="G149" s="53">
        <f t="shared" si="5"/>
        <v>111</v>
      </c>
      <c r="H149" s="60"/>
      <c r="I149" s="9"/>
      <c r="J149" s="9"/>
      <c r="K149" s="62" t="s">
        <v>41</v>
      </c>
      <c r="L149" s="62" t="s">
        <v>41</v>
      </c>
      <c r="M149" s="62" t="s">
        <v>41</v>
      </c>
      <c r="N149" s="62" t="s">
        <v>41</v>
      </c>
      <c r="O149" s="62" t="s">
        <v>42</v>
      </c>
      <c r="P149" s="39" t="s">
        <v>53</v>
      </c>
      <c r="Q149" s="1">
        <v>5</v>
      </c>
      <c r="R149" s="1">
        <v>1</v>
      </c>
    </row>
    <row r="150" spans="1:18" s="1" customFormat="1" ht="20.399999999999999">
      <c r="A150" s="92"/>
      <c r="B150" s="93"/>
      <c r="C150" s="117" t="s">
        <v>266</v>
      </c>
      <c r="D150" s="52" t="s">
        <v>267</v>
      </c>
      <c r="E150" s="15">
        <v>46660</v>
      </c>
      <c r="F150" s="15">
        <v>46694</v>
      </c>
      <c r="G150" s="53">
        <f t="shared" si="5"/>
        <v>35</v>
      </c>
      <c r="H150" s="60"/>
      <c r="I150" s="9"/>
      <c r="J150" s="9"/>
      <c r="K150" s="62" t="s">
        <v>41</v>
      </c>
      <c r="L150" s="62" t="s">
        <v>41</v>
      </c>
      <c r="M150" s="62" t="s">
        <v>41</v>
      </c>
      <c r="N150" s="62" t="s">
        <v>41</v>
      </c>
      <c r="O150" s="62" t="s">
        <v>42</v>
      </c>
      <c r="P150" s="39" t="s">
        <v>53</v>
      </c>
      <c r="Q150" s="1">
        <v>5</v>
      </c>
      <c r="R150" s="1">
        <v>1</v>
      </c>
    </row>
    <row r="151" spans="1:18" s="1" customFormat="1" ht="20.399999999999999">
      <c r="A151" s="92"/>
      <c r="B151" s="93"/>
      <c r="C151" s="117" t="s">
        <v>268</v>
      </c>
      <c r="D151" s="52" t="s">
        <v>269</v>
      </c>
      <c r="E151" s="15">
        <v>46688</v>
      </c>
      <c r="F151" s="15">
        <v>46798</v>
      </c>
      <c r="G151" s="53">
        <f t="shared" si="5"/>
        <v>111</v>
      </c>
      <c r="H151" s="60"/>
      <c r="I151" s="9"/>
      <c r="J151" s="9"/>
      <c r="K151" s="62" t="s">
        <v>41</v>
      </c>
      <c r="L151" s="62" t="s">
        <v>41</v>
      </c>
      <c r="M151" s="62" t="s">
        <v>41</v>
      </c>
      <c r="N151" s="62" t="s">
        <v>41</v>
      </c>
      <c r="O151" s="62" t="s">
        <v>42</v>
      </c>
      <c r="P151" s="39" t="s">
        <v>53</v>
      </c>
      <c r="Q151" s="1">
        <v>5</v>
      </c>
      <c r="R151" s="1">
        <v>1</v>
      </c>
    </row>
    <row r="152" spans="1:18" s="1" customFormat="1" ht="13.8">
      <c r="A152" s="92"/>
      <c r="B152" s="93"/>
      <c r="C152" s="74"/>
      <c r="D152" s="56" t="s">
        <v>270</v>
      </c>
      <c r="E152" s="15">
        <v>46718</v>
      </c>
      <c r="F152" s="15">
        <v>46766</v>
      </c>
      <c r="G152" s="53">
        <f t="shared" si="5"/>
        <v>49</v>
      </c>
      <c r="H152" s="60"/>
      <c r="I152" s="9"/>
      <c r="J152" s="9"/>
      <c r="K152" s="62" t="s">
        <v>41</v>
      </c>
      <c r="L152" s="62" t="s">
        <v>41</v>
      </c>
      <c r="M152" s="62" t="s">
        <v>41</v>
      </c>
      <c r="N152" s="62" t="s">
        <v>41</v>
      </c>
      <c r="O152" s="62" t="s">
        <v>42</v>
      </c>
      <c r="P152" s="39" t="s">
        <v>53</v>
      </c>
      <c r="Q152" s="1">
        <v>5</v>
      </c>
      <c r="R152" s="1">
        <v>1</v>
      </c>
    </row>
    <row r="153" spans="1:18" s="1" customFormat="1" ht="13.8">
      <c r="A153" s="92"/>
      <c r="B153" s="93"/>
      <c r="C153" s="117" t="s">
        <v>271</v>
      </c>
      <c r="D153" s="52" t="s">
        <v>272</v>
      </c>
      <c r="E153" s="15">
        <v>46729</v>
      </c>
      <c r="F153" s="15">
        <v>46783</v>
      </c>
      <c r="G153" s="53">
        <f t="shared" si="5"/>
        <v>55</v>
      </c>
      <c r="H153" s="60"/>
      <c r="I153" s="9"/>
      <c r="J153" s="9"/>
      <c r="K153" s="62" t="s">
        <v>41</v>
      </c>
      <c r="L153" s="62" t="s">
        <v>41</v>
      </c>
      <c r="M153" s="62" t="s">
        <v>41</v>
      </c>
      <c r="N153" s="62" t="s">
        <v>41</v>
      </c>
      <c r="O153" s="62" t="s">
        <v>42</v>
      </c>
      <c r="P153" s="39" t="s">
        <v>53</v>
      </c>
      <c r="Q153" s="1">
        <v>5</v>
      </c>
      <c r="R153" s="1">
        <v>1</v>
      </c>
    </row>
    <row r="154" spans="1:18" s="1" customFormat="1" ht="13.8">
      <c r="A154" s="92"/>
      <c r="B154" s="93"/>
      <c r="C154" s="74"/>
      <c r="D154" s="56" t="s">
        <v>273</v>
      </c>
      <c r="E154" s="15">
        <v>46740</v>
      </c>
      <c r="F154" s="15">
        <v>46798</v>
      </c>
      <c r="G154" s="53">
        <f t="shared" si="5"/>
        <v>59</v>
      </c>
      <c r="H154" s="60"/>
      <c r="I154" s="9"/>
      <c r="J154" s="9"/>
      <c r="K154" s="62" t="s">
        <v>41</v>
      </c>
      <c r="L154" s="62" t="s">
        <v>41</v>
      </c>
      <c r="M154" s="62" t="s">
        <v>41</v>
      </c>
      <c r="N154" s="62" t="s">
        <v>41</v>
      </c>
      <c r="O154" s="62" t="s">
        <v>42</v>
      </c>
      <c r="P154" s="39" t="s">
        <v>53</v>
      </c>
      <c r="Q154" s="1">
        <v>5</v>
      </c>
      <c r="R154" s="1">
        <v>1</v>
      </c>
    </row>
    <row r="155" spans="1:18" s="1" customFormat="1" ht="20.399999999999999">
      <c r="A155" s="94"/>
      <c r="B155" s="95"/>
      <c r="C155" s="117" t="s">
        <v>274</v>
      </c>
      <c r="D155" s="52" t="s">
        <v>275</v>
      </c>
      <c r="E155" s="15">
        <v>46752</v>
      </c>
      <c r="F155" s="15">
        <v>46798</v>
      </c>
      <c r="G155" s="53">
        <f t="shared" si="5"/>
        <v>47</v>
      </c>
      <c r="H155" s="60"/>
      <c r="I155" s="9"/>
      <c r="J155" s="9"/>
      <c r="K155" s="62" t="s">
        <v>41</v>
      </c>
      <c r="L155" s="62" t="s">
        <v>41</v>
      </c>
      <c r="M155" s="62" t="s">
        <v>41</v>
      </c>
      <c r="N155" s="62" t="s">
        <v>41</v>
      </c>
      <c r="O155" s="62" t="s">
        <v>42</v>
      </c>
      <c r="P155" s="39" t="s">
        <v>53</v>
      </c>
      <c r="Q155" s="1">
        <v>5</v>
      </c>
      <c r="R155" s="1">
        <v>1</v>
      </c>
    </row>
    <row r="156" spans="1:18" s="1" customFormat="1">
      <c r="A156" s="75" t="s">
        <v>276</v>
      </c>
      <c r="B156" s="73" t="s">
        <v>277</v>
      </c>
      <c r="C156" s="24"/>
      <c r="D156" s="25"/>
      <c r="E156" s="26"/>
      <c r="F156" s="43"/>
      <c r="G156" s="27"/>
      <c r="H156" s="44"/>
      <c r="I156" s="9"/>
      <c r="J156" s="9"/>
      <c r="K156" s="28"/>
      <c r="L156" s="28"/>
      <c r="M156" s="28"/>
      <c r="N156" s="28"/>
      <c r="O156" s="28"/>
      <c r="P156" s="35"/>
    </row>
    <row r="157" spans="1:18" s="1" customFormat="1" ht="13.8">
      <c r="A157" s="78"/>
      <c r="B157" s="91"/>
      <c r="C157" s="117" t="s">
        <v>278</v>
      </c>
      <c r="D157" s="52" t="s">
        <v>279</v>
      </c>
      <c r="E157" s="15">
        <v>46660</v>
      </c>
      <c r="F157" s="15">
        <v>46694</v>
      </c>
      <c r="G157" s="53">
        <f>+F157-E157+1</f>
        <v>35</v>
      </c>
      <c r="H157" s="60"/>
      <c r="I157" s="9"/>
      <c r="J157" s="9"/>
      <c r="K157" s="62" t="s">
        <v>41</v>
      </c>
      <c r="L157" s="62" t="s">
        <v>41</v>
      </c>
      <c r="M157" s="62" t="s">
        <v>41</v>
      </c>
      <c r="N157" s="62" t="s">
        <v>41</v>
      </c>
      <c r="O157" s="62" t="s">
        <v>42</v>
      </c>
      <c r="P157" s="39" t="s">
        <v>53</v>
      </c>
      <c r="Q157" s="1">
        <v>5</v>
      </c>
      <c r="R157" s="1">
        <v>2</v>
      </c>
    </row>
    <row r="158" spans="1:18" s="1" customFormat="1" ht="20.399999999999999">
      <c r="A158" s="92"/>
      <c r="B158" s="93"/>
      <c r="C158" s="117" t="s">
        <v>280</v>
      </c>
      <c r="D158" s="52" t="s">
        <v>281</v>
      </c>
      <c r="E158" s="15">
        <v>46688</v>
      </c>
      <c r="F158" s="15">
        <v>46798</v>
      </c>
      <c r="G158" s="53">
        <f>+F158-E158+1</f>
        <v>111</v>
      </c>
      <c r="H158" s="60"/>
      <c r="I158" s="9"/>
      <c r="J158" s="9"/>
      <c r="K158" s="62" t="s">
        <v>41</v>
      </c>
      <c r="L158" s="62" t="s">
        <v>41</v>
      </c>
      <c r="M158" s="62" t="s">
        <v>41</v>
      </c>
      <c r="N158" s="62" t="s">
        <v>41</v>
      </c>
      <c r="O158" s="62" t="s">
        <v>42</v>
      </c>
      <c r="P158" s="51" t="s">
        <v>53</v>
      </c>
      <c r="Q158" s="1">
        <v>5</v>
      </c>
      <c r="R158" s="1">
        <v>2</v>
      </c>
    </row>
    <row r="159" spans="1:18" s="1" customFormat="1" ht="13.8">
      <c r="A159" s="94"/>
      <c r="B159" s="95"/>
      <c r="C159" s="117" t="s">
        <v>282</v>
      </c>
      <c r="D159" s="52" t="s">
        <v>283</v>
      </c>
      <c r="E159" s="15">
        <v>46688</v>
      </c>
      <c r="F159" s="15">
        <v>46798</v>
      </c>
      <c r="G159" s="53">
        <f>+F159-E159+1</f>
        <v>111</v>
      </c>
      <c r="H159" s="60"/>
      <c r="I159" s="9"/>
      <c r="J159" s="9"/>
      <c r="K159" s="62" t="s">
        <v>34</v>
      </c>
      <c r="L159" s="62" t="s">
        <v>41</v>
      </c>
      <c r="M159" s="62" t="s">
        <v>41</v>
      </c>
      <c r="N159" s="62" t="s">
        <v>41</v>
      </c>
      <c r="O159" s="62" t="s">
        <v>42</v>
      </c>
      <c r="P159" s="51" t="s">
        <v>157</v>
      </c>
      <c r="Q159" s="1">
        <v>5</v>
      </c>
      <c r="R159" s="1">
        <v>2</v>
      </c>
    </row>
    <row r="160" spans="1:18" s="1" customFormat="1">
      <c r="A160" s="75" t="s">
        <v>284</v>
      </c>
      <c r="B160" s="73" t="s">
        <v>285</v>
      </c>
      <c r="C160" s="24"/>
      <c r="D160" s="25"/>
      <c r="E160" s="26"/>
      <c r="F160" s="43"/>
      <c r="G160" s="27"/>
      <c r="H160" s="44"/>
      <c r="I160" s="9"/>
      <c r="J160" s="9"/>
      <c r="K160" s="28"/>
      <c r="L160" s="28"/>
      <c r="M160" s="28"/>
      <c r="N160" s="28"/>
      <c r="O160" s="28"/>
      <c r="P160" s="35"/>
    </row>
    <row r="161" spans="1:18" s="1" customFormat="1" ht="51">
      <c r="A161" s="71"/>
      <c r="B161" s="91"/>
      <c r="C161" s="117" t="s">
        <v>286</v>
      </c>
      <c r="D161" s="52" t="s">
        <v>287</v>
      </c>
      <c r="E161" s="15">
        <v>46798</v>
      </c>
      <c r="F161" s="15">
        <v>46808</v>
      </c>
      <c r="G161" s="53">
        <f>+F161-E161+1</f>
        <v>11</v>
      </c>
      <c r="H161" s="60"/>
      <c r="I161" s="9"/>
      <c r="J161" s="9"/>
      <c r="K161" s="62" t="s">
        <v>41</v>
      </c>
      <c r="L161" s="62" t="s">
        <v>41</v>
      </c>
      <c r="M161" s="62" t="s">
        <v>41</v>
      </c>
      <c r="N161" s="62" t="s">
        <v>41</v>
      </c>
      <c r="O161" s="62" t="s">
        <v>42</v>
      </c>
      <c r="P161" s="39" t="s">
        <v>53</v>
      </c>
      <c r="Q161" s="1">
        <v>5</v>
      </c>
      <c r="R161" s="1">
        <v>3</v>
      </c>
    </row>
    <row r="162" spans="1:18" s="1" customFormat="1" ht="30.6">
      <c r="A162" s="92"/>
      <c r="B162" s="93"/>
      <c r="C162" s="117" t="s">
        <v>288</v>
      </c>
      <c r="D162" s="52" t="s">
        <v>289</v>
      </c>
      <c r="E162" s="15">
        <v>46798</v>
      </c>
      <c r="F162" s="15">
        <v>46811</v>
      </c>
      <c r="G162" s="53">
        <f>+F162-E162+1</f>
        <v>14</v>
      </c>
      <c r="H162" s="60"/>
      <c r="I162" s="9"/>
      <c r="J162" s="9"/>
      <c r="K162" s="62" t="s">
        <v>41</v>
      </c>
      <c r="L162" s="62" t="s">
        <v>41</v>
      </c>
      <c r="M162" s="62" t="s">
        <v>41</v>
      </c>
      <c r="N162" s="62" t="s">
        <v>41</v>
      </c>
      <c r="O162" s="62" t="s">
        <v>42</v>
      </c>
      <c r="P162" s="39" t="s">
        <v>53</v>
      </c>
      <c r="Q162" s="1">
        <v>5</v>
      </c>
      <c r="R162" s="1">
        <v>3</v>
      </c>
    </row>
    <row r="163" spans="1:18" s="1" customFormat="1" ht="51">
      <c r="A163" s="94"/>
      <c r="B163" s="95"/>
      <c r="C163" s="117" t="s">
        <v>290</v>
      </c>
      <c r="D163" s="52" t="s">
        <v>291</v>
      </c>
      <c r="E163" s="15">
        <v>46804</v>
      </c>
      <c r="F163" s="15">
        <v>46827</v>
      </c>
      <c r="G163" s="53">
        <f>+F163-E163+1</f>
        <v>24</v>
      </c>
      <c r="H163" s="60"/>
      <c r="I163" s="9"/>
      <c r="J163" s="9"/>
      <c r="K163" s="62" t="s">
        <v>41</v>
      </c>
      <c r="L163" s="62" t="s">
        <v>41</v>
      </c>
      <c r="M163" s="62" t="s">
        <v>41</v>
      </c>
      <c r="N163" s="62" t="s">
        <v>41</v>
      </c>
      <c r="O163" s="62" t="s">
        <v>42</v>
      </c>
      <c r="P163" s="39" t="s">
        <v>53</v>
      </c>
      <c r="Q163" s="1">
        <v>5</v>
      </c>
      <c r="R163" s="1">
        <v>3</v>
      </c>
    </row>
    <row r="164" spans="1:18" s="1" customFormat="1">
      <c r="A164" s="75" t="s">
        <v>292</v>
      </c>
      <c r="B164" s="73" t="s">
        <v>293</v>
      </c>
      <c r="C164" s="24"/>
      <c r="D164" s="25"/>
      <c r="E164" s="26"/>
      <c r="F164" s="43"/>
      <c r="G164" s="27"/>
      <c r="H164" s="44"/>
      <c r="I164" s="9"/>
      <c r="J164" s="9"/>
      <c r="K164" s="28"/>
      <c r="L164" s="28"/>
      <c r="M164" s="28"/>
      <c r="N164" s="28"/>
      <c r="O164" s="28"/>
      <c r="P164" s="35"/>
    </row>
    <row r="165" spans="1:18" s="1" customFormat="1" ht="51">
      <c r="A165" s="82"/>
      <c r="B165" s="81"/>
      <c r="C165" s="117" t="s">
        <v>294</v>
      </c>
      <c r="D165" s="52" t="s">
        <v>295</v>
      </c>
      <c r="E165" s="15">
        <v>46804</v>
      </c>
      <c r="F165" s="15">
        <v>46827</v>
      </c>
      <c r="G165" s="53">
        <f>+F165-E165+1</f>
        <v>24</v>
      </c>
      <c r="H165" s="60"/>
      <c r="I165" s="9"/>
      <c r="J165" s="9"/>
      <c r="K165" s="62" t="s">
        <v>41</v>
      </c>
      <c r="L165" s="62" t="s">
        <v>41</v>
      </c>
      <c r="M165" s="62" t="s">
        <v>41</v>
      </c>
      <c r="N165" s="62" t="s">
        <v>41</v>
      </c>
      <c r="O165" s="62" t="s">
        <v>42</v>
      </c>
      <c r="P165" s="39" t="s">
        <v>53</v>
      </c>
      <c r="Q165" s="1">
        <v>5</v>
      </c>
      <c r="R165" s="1">
        <v>4</v>
      </c>
    </row>
    <row r="166" spans="1:18" s="1" customFormat="1">
      <c r="A166" s="76" t="s">
        <v>296</v>
      </c>
      <c r="B166" s="77" t="s">
        <v>90</v>
      </c>
      <c r="C166" s="46"/>
      <c r="D166" s="32"/>
      <c r="E166" s="30"/>
      <c r="F166" s="30"/>
      <c r="G166" s="30"/>
      <c r="H166" s="47"/>
      <c r="I166" s="9"/>
      <c r="J166" s="9"/>
      <c r="K166" s="31"/>
      <c r="L166" s="31"/>
      <c r="M166" s="31"/>
      <c r="N166" s="31"/>
      <c r="O166" s="54"/>
      <c r="P166" s="31"/>
    </row>
    <row r="167" spans="1:18" s="1" customFormat="1">
      <c r="A167" s="38">
        <v>6</v>
      </c>
      <c r="B167" s="19" t="s">
        <v>297</v>
      </c>
      <c r="C167" s="19"/>
      <c r="D167" s="20"/>
      <c r="E167" s="21">
        <v>46295</v>
      </c>
      <c r="F167" s="41">
        <v>48000</v>
      </c>
      <c r="G167" s="22">
        <f>+F167-E167+1</f>
        <v>1706</v>
      </c>
      <c r="H167" s="42"/>
      <c r="I167" s="9"/>
      <c r="J167" s="9"/>
      <c r="K167" s="23"/>
      <c r="L167" s="23"/>
      <c r="M167" s="23"/>
      <c r="N167" s="23"/>
      <c r="O167" s="23"/>
      <c r="P167" s="37"/>
    </row>
    <row r="168" spans="1:18" s="1" customFormat="1">
      <c r="A168" s="97" t="s">
        <v>298</v>
      </c>
      <c r="B168" s="98" t="s">
        <v>299</v>
      </c>
      <c r="C168" s="24"/>
      <c r="D168" s="25"/>
      <c r="E168" s="26"/>
      <c r="F168" s="43"/>
      <c r="G168" s="27"/>
      <c r="H168" s="44"/>
      <c r="I168" s="9"/>
      <c r="J168" s="9"/>
      <c r="K168" s="28"/>
      <c r="L168" s="28"/>
      <c r="M168" s="28"/>
      <c r="N168" s="28"/>
      <c r="O168" s="28"/>
      <c r="P168" s="35"/>
    </row>
    <row r="169" spans="1:18" s="1" customFormat="1" ht="51">
      <c r="A169" s="71"/>
      <c r="B169" s="99"/>
      <c r="C169" s="115" t="s">
        <v>300</v>
      </c>
      <c r="D169" s="18" t="s">
        <v>301</v>
      </c>
      <c r="E169" s="15">
        <v>46660</v>
      </c>
      <c r="F169" s="15">
        <v>46984</v>
      </c>
      <c r="G169" s="53">
        <f>+F169-E169+1</f>
        <v>325</v>
      </c>
      <c r="H169" s="60"/>
      <c r="I169" s="9"/>
      <c r="J169" s="9"/>
      <c r="K169" s="62" t="s">
        <v>41</v>
      </c>
      <c r="L169" s="62" t="s">
        <v>41</v>
      </c>
      <c r="M169" s="62" t="s">
        <v>41</v>
      </c>
      <c r="N169" s="62" t="s">
        <v>34</v>
      </c>
      <c r="O169" s="55" t="s">
        <v>42</v>
      </c>
      <c r="P169" s="51" t="s">
        <v>52</v>
      </c>
      <c r="Q169" s="1">
        <v>6</v>
      </c>
      <c r="R169" s="1">
        <v>1</v>
      </c>
    </row>
    <row r="170" spans="1:18" s="1" customFormat="1" ht="91.8">
      <c r="A170" s="100"/>
      <c r="B170" s="101"/>
      <c r="C170" s="115" t="s">
        <v>302</v>
      </c>
      <c r="D170" s="52" t="s">
        <v>303</v>
      </c>
      <c r="E170" s="15">
        <v>46822</v>
      </c>
      <c r="F170" s="15">
        <v>47741</v>
      </c>
      <c r="G170" s="53">
        <f>+F170-E170+1</f>
        <v>920</v>
      </c>
      <c r="H170" s="60"/>
      <c r="I170" s="9"/>
      <c r="J170" s="9"/>
      <c r="K170" s="62" t="s">
        <v>41</v>
      </c>
      <c r="L170" s="62" t="s">
        <v>41</v>
      </c>
      <c r="M170" s="62" t="s">
        <v>41</v>
      </c>
      <c r="N170" s="62" t="s">
        <v>41</v>
      </c>
      <c r="O170" s="62" t="s">
        <v>42</v>
      </c>
      <c r="P170" s="39" t="s">
        <v>53</v>
      </c>
      <c r="Q170" s="1">
        <v>6</v>
      </c>
      <c r="R170" s="1">
        <v>1</v>
      </c>
    </row>
    <row r="171" spans="1:18" s="1" customFormat="1" ht="20.399999999999999">
      <c r="A171" s="92"/>
      <c r="B171" s="93"/>
      <c r="C171" s="83" t="s">
        <v>304</v>
      </c>
      <c r="D171" s="52" t="s">
        <v>305</v>
      </c>
      <c r="E171" s="15">
        <v>46660</v>
      </c>
      <c r="F171" s="15">
        <v>47741</v>
      </c>
      <c r="G171" s="53">
        <f>+F171-E171+1</f>
        <v>1082</v>
      </c>
      <c r="H171" s="60"/>
      <c r="I171" s="9"/>
      <c r="J171" s="9"/>
      <c r="K171" s="62"/>
      <c r="L171" s="62"/>
      <c r="M171" s="62"/>
      <c r="N171" s="62"/>
      <c r="O171" s="62"/>
      <c r="P171" s="39"/>
    </row>
    <row r="172" spans="1:18" s="1" customFormat="1" ht="30.6">
      <c r="A172" s="92"/>
      <c r="B172" s="93"/>
      <c r="C172" s="83" t="s">
        <v>306</v>
      </c>
      <c r="D172" s="52" t="s">
        <v>307</v>
      </c>
      <c r="E172" s="15">
        <v>46660</v>
      </c>
      <c r="F172" s="15">
        <v>47741</v>
      </c>
      <c r="G172" s="53">
        <f>+F172-E172+1</f>
        <v>1082</v>
      </c>
      <c r="H172" s="60"/>
      <c r="I172" s="9"/>
      <c r="J172" s="9"/>
      <c r="K172" s="62"/>
      <c r="L172" s="62"/>
      <c r="M172" s="62"/>
      <c r="N172" s="62"/>
      <c r="O172" s="62"/>
      <c r="P172" s="39"/>
    </row>
    <row r="173" spans="1:18" s="1" customFormat="1" ht="20.399999999999999">
      <c r="A173" s="107" t="s">
        <v>308</v>
      </c>
      <c r="B173" s="108" t="s">
        <v>309</v>
      </c>
      <c r="C173" s="105"/>
      <c r="D173" s="25"/>
      <c r="E173" s="26"/>
      <c r="F173" s="43"/>
      <c r="G173" s="27"/>
      <c r="H173" s="44"/>
      <c r="I173" s="9"/>
      <c r="J173" s="9"/>
      <c r="K173" s="28"/>
      <c r="L173" s="28"/>
      <c r="M173" s="28"/>
      <c r="N173" s="28"/>
      <c r="O173" s="28"/>
      <c r="P173" s="35"/>
    </row>
    <row r="174" spans="1:18" s="1" customFormat="1" ht="51">
      <c r="A174" s="106"/>
      <c r="B174" s="91"/>
      <c r="C174" s="115" t="s">
        <v>310</v>
      </c>
      <c r="D174" s="18" t="s">
        <v>311</v>
      </c>
      <c r="E174" s="15">
        <v>47299</v>
      </c>
      <c r="F174" s="15">
        <v>47741</v>
      </c>
      <c r="G174" s="53">
        <f>+F174-E174+1</f>
        <v>443</v>
      </c>
      <c r="H174" s="60"/>
      <c r="I174" s="9"/>
      <c r="J174" s="9"/>
      <c r="K174" s="62" t="s">
        <v>41</v>
      </c>
      <c r="L174" s="62" t="s">
        <v>41</v>
      </c>
      <c r="M174" s="62" t="s">
        <v>41</v>
      </c>
      <c r="N174" s="62" t="s">
        <v>34</v>
      </c>
      <c r="O174" s="55" t="s">
        <v>42</v>
      </c>
      <c r="P174" s="51" t="s">
        <v>52</v>
      </c>
      <c r="Q174" s="1">
        <v>6</v>
      </c>
      <c r="R174" s="1">
        <v>2</v>
      </c>
    </row>
    <row r="175" spans="1:18" s="1" customFormat="1" ht="91.8">
      <c r="A175" s="92"/>
      <c r="B175" s="93"/>
      <c r="C175" s="115" t="s">
        <v>312</v>
      </c>
      <c r="D175" s="52" t="s">
        <v>313</v>
      </c>
      <c r="E175" s="15">
        <v>47299</v>
      </c>
      <c r="F175" s="15">
        <v>47741</v>
      </c>
      <c r="G175" s="53">
        <f>+F175-E175+1</f>
        <v>443</v>
      </c>
      <c r="H175" s="60"/>
      <c r="I175" s="9"/>
      <c r="J175" s="9"/>
      <c r="K175" s="62" t="s">
        <v>41</v>
      </c>
      <c r="L175" s="62" t="s">
        <v>41</v>
      </c>
      <c r="M175" s="62" t="s">
        <v>41</v>
      </c>
      <c r="N175" s="62" t="s">
        <v>41</v>
      </c>
      <c r="O175" s="62" t="s">
        <v>42</v>
      </c>
      <c r="P175" s="39" t="s">
        <v>53</v>
      </c>
      <c r="Q175" s="1">
        <v>6</v>
      </c>
      <c r="R175" s="1">
        <v>2</v>
      </c>
    </row>
    <row r="176" spans="1:18" s="1" customFormat="1" ht="20.399999999999999">
      <c r="A176" s="94"/>
      <c r="B176" s="109"/>
      <c r="C176" s="115" t="s">
        <v>314</v>
      </c>
      <c r="D176" s="52" t="s">
        <v>315</v>
      </c>
      <c r="E176" s="15">
        <v>47299</v>
      </c>
      <c r="F176" s="15">
        <v>47741</v>
      </c>
      <c r="G176" s="53">
        <f>+F176-E176+1</f>
        <v>443</v>
      </c>
      <c r="H176" s="60"/>
      <c r="I176" s="9"/>
      <c r="J176" s="9"/>
      <c r="K176" s="62"/>
      <c r="L176" s="62"/>
      <c r="M176" s="62"/>
      <c r="N176" s="62"/>
      <c r="O176" s="62"/>
      <c r="P176" s="39"/>
    </row>
    <row r="177" spans="1:18" s="1" customFormat="1">
      <c r="A177" s="75" t="s">
        <v>316</v>
      </c>
      <c r="B177" s="73" t="s">
        <v>317</v>
      </c>
      <c r="C177" s="24"/>
      <c r="D177" s="25"/>
      <c r="E177" s="26"/>
      <c r="F177" s="43"/>
      <c r="G177" s="27"/>
      <c r="H177" s="44"/>
      <c r="I177" s="9"/>
      <c r="J177" s="9"/>
      <c r="K177" s="28"/>
      <c r="L177" s="28"/>
      <c r="M177" s="28"/>
      <c r="N177" s="28"/>
      <c r="O177" s="28"/>
      <c r="P177" s="35"/>
    </row>
    <row r="178" spans="1:18" s="1" customFormat="1" ht="51">
      <c r="A178" s="106"/>
      <c r="B178" s="91"/>
      <c r="C178" s="115" t="s">
        <v>318</v>
      </c>
      <c r="D178" s="18" t="s">
        <v>319</v>
      </c>
      <c r="E178" s="15">
        <v>46660</v>
      </c>
      <c r="F178" s="15">
        <v>46710</v>
      </c>
      <c r="G178" s="53">
        <f>+F178-E178+1</f>
        <v>51</v>
      </c>
      <c r="H178" s="60"/>
      <c r="I178" s="9"/>
      <c r="J178" s="9"/>
      <c r="K178" s="62" t="s">
        <v>41</v>
      </c>
      <c r="L178" s="62" t="s">
        <v>41</v>
      </c>
      <c r="M178" s="62" t="s">
        <v>41</v>
      </c>
      <c r="N178" s="62" t="s">
        <v>34</v>
      </c>
      <c r="O178" s="55" t="s">
        <v>42</v>
      </c>
      <c r="P178" s="51" t="s">
        <v>52</v>
      </c>
      <c r="Q178" s="1">
        <v>6</v>
      </c>
      <c r="R178" s="1">
        <v>3</v>
      </c>
    </row>
    <row r="179" spans="1:18" s="1" customFormat="1" ht="91.8">
      <c r="A179" s="92"/>
      <c r="B179" s="93"/>
      <c r="C179" s="115" t="s">
        <v>320</v>
      </c>
      <c r="D179" s="52" t="s">
        <v>321</v>
      </c>
      <c r="E179" s="15">
        <v>46685</v>
      </c>
      <c r="F179" s="15">
        <v>46827</v>
      </c>
      <c r="G179" s="53">
        <f>+F179-E179+1</f>
        <v>143</v>
      </c>
      <c r="H179" s="60"/>
      <c r="I179" s="9"/>
      <c r="J179" s="9"/>
      <c r="K179" s="62" t="s">
        <v>41</v>
      </c>
      <c r="L179" s="62" t="s">
        <v>41</v>
      </c>
      <c r="M179" s="62" t="s">
        <v>41</v>
      </c>
      <c r="N179" s="62" t="s">
        <v>41</v>
      </c>
      <c r="O179" s="62" t="s">
        <v>42</v>
      </c>
      <c r="P179" s="39" t="s">
        <v>53</v>
      </c>
      <c r="Q179" s="1">
        <v>6</v>
      </c>
      <c r="R179" s="1">
        <v>3</v>
      </c>
    </row>
    <row r="180" spans="1:18" s="1" customFormat="1" ht="20.399999999999999">
      <c r="A180" s="100"/>
      <c r="B180" s="101"/>
      <c r="C180" s="115" t="s">
        <v>322</v>
      </c>
      <c r="D180" s="52" t="s">
        <v>323</v>
      </c>
      <c r="E180" s="15">
        <v>46660</v>
      </c>
      <c r="F180" s="15">
        <v>46827</v>
      </c>
      <c r="G180" s="53">
        <f>+F180-E180+1</f>
        <v>168</v>
      </c>
      <c r="H180" s="60"/>
      <c r="I180" s="9"/>
      <c r="J180" s="9"/>
      <c r="K180" s="62"/>
      <c r="L180" s="62"/>
      <c r="M180" s="62"/>
      <c r="N180" s="62"/>
      <c r="O180" s="62"/>
      <c r="P180" s="39"/>
    </row>
    <row r="181" spans="1:18" s="1" customFormat="1" ht="40.799999999999997">
      <c r="A181" s="102"/>
      <c r="B181" s="103"/>
      <c r="C181" s="115" t="s">
        <v>324</v>
      </c>
      <c r="D181" s="52" t="s">
        <v>325</v>
      </c>
      <c r="E181" s="15">
        <v>46660</v>
      </c>
      <c r="F181" s="15">
        <v>46827</v>
      </c>
      <c r="G181" s="53">
        <f>+F181-E181+1</f>
        <v>168</v>
      </c>
      <c r="H181" s="60"/>
      <c r="I181" s="9"/>
      <c r="J181" s="9"/>
      <c r="K181" s="62"/>
      <c r="L181" s="62"/>
      <c r="M181" s="62"/>
      <c r="N181" s="62"/>
      <c r="O181" s="62"/>
      <c r="P181" s="39"/>
    </row>
    <row r="182" spans="1:18" s="1" customFormat="1">
      <c r="A182" s="75" t="s">
        <v>326</v>
      </c>
      <c r="B182" s="73" t="s">
        <v>327</v>
      </c>
      <c r="C182" s="24"/>
      <c r="D182" s="25"/>
      <c r="E182" s="26"/>
      <c r="F182" s="43"/>
      <c r="G182" s="27"/>
      <c r="H182" s="44"/>
      <c r="I182" s="9"/>
      <c r="J182" s="9"/>
      <c r="K182" s="28"/>
      <c r="L182" s="28"/>
      <c r="M182" s="28"/>
      <c r="N182" s="28"/>
      <c r="O182" s="28"/>
      <c r="P182" s="35"/>
    </row>
    <row r="183" spans="1:18" s="1" customFormat="1" ht="51">
      <c r="A183" s="71"/>
      <c r="B183" s="91"/>
      <c r="C183" s="115" t="s">
        <v>328</v>
      </c>
      <c r="D183" s="18" t="s">
        <v>329</v>
      </c>
      <c r="E183" s="15">
        <v>46827</v>
      </c>
      <c r="F183" s="15">
        <v>47101</v>
      </c>
      <c r="G183" s="53">
        <f t="shared" ref="G183:G203" si="6">+F183-E183+1</f>
        <v>275</v>
      </c>
      <c r="H183" s="60"/>
      <c r="I183" s="9"/>
      <c r="J183" s="9"/>
      <c r="K183" s="62" t="s">
        <v>41</v>
      </c>
      <c r="L183" s="62" t="s">
        <v>41</v>
      </c>
      <c r="M183" s="62" t="s">
        <v>41</v>
      </c>
      <c r="N183" s="62" t="s">
        <v>34</v>
      </c>
      <c r="O183" s="55" t="s">
        <v>42</v>
      </c>
      <c r="P183" s="51" t="s">
        <v>52</v>
      </c>
      <c r="Q183" s="1">
        <v>6</v>
      </c>
      <c r="R183" s="1">
        <v>4</v>
      </c>
    </row>
    <row r="184" spans="1:18" s="1" customFormat="1" ht="91.8">
      <c r="A184" s="92"/>
      <c r="B184" s="93"/>
      <c r="C184" s="115" t="s">
        <v>330</v>
      </c>
      <c r="D184" s="52" t="s">
        <v>331</v>
      </c>
      <c r="E184" s="15">
        <v>46964</v>
      </c>
      <c r="F184" s="15">
        <v>47741</v>
      </c>
      <c r="G184" s="53">
        <f t="shared" si="6"/>
        <v>778</v>
      </c>
      <c r="H184" s="60"/>
      <c r="I184" s="9"/>
      <c r="J184" s="9"/>
      <c r="K184" s="62" t="s">
        <v>41</v>
      </c>
      <c r="L184" s="62" t="s">
        <v>41</v>
      </c>
      <c r="M184" s="62" t="s">
        <v>41</v>
      </c>
      <c r="N184" s="62" t="s">
        <v>41</v>
      </c>
      <c r="O184" s="62" t="s">
        <v>42</v>
      </c>
      <c r="P184" s="39" t="s">
        <v>53</v>
      </c>
      <c r="Q184" s="1">
        <v>6</v>
      </c>
      <c r="R184" s="1">
        <v>4</v>
      </c>
    </row>
    <row r="185" spans="1:18" s="1" customFormat="1" ht="20.399999999999999">
      <c r="A185" s="92"/>
      <c r="B185" s="93"/>
      <c r="C185" s="74" t="s">
        <v>332</v>
      </c>
      <c r="D185" s="52" t="s">
        <v>333</v>
      </c>
      <c r="E185" s="15">
        <v>46892</v>
      </c>
      <c r="F185" s="15">
        <v>46977</v>
      </c>
      <c r="G185" s="53">
        <f t="shared" si="6"/>
        <v>86</v>
      </c>
      <c r="H185" s="60"/>
      <c r="I185" s="9"/>
      <c r="J185" s="9"/>
      <c r="K185" s="62" t="s">
        <v>41</v>
      </c>
      <c r="L185" s="62" t="s">
        <v>41</v>
      </c>
      <c r="M185" s="62" t="s">
        <v>41</v>
      </c>
      <c r="N185" s="62" t="s">
        <v>41</v>
      </c>
      <c r="O185" s="62" t="s">
        <v>42</v>
      </c>
      <c r="P185" s="39" t="s">
        <v>53</v>
      </c>
      <c r="Q185" s="1">
        <v>6</v>
      </c>
      <c r="R185" s="1">
        <v>4</v>
      </c>
    </row>
    <row r="186" spans="1:18" s="1" customFormat="1" ht="20.399999999999999">
      <c r="A186" s="92"/>
      <c r="B186" s="93"/>
      <c r="C186" s="74" t="s">
        <v>334</v>
      </c>
      <c r="D186" s="52" t="s">
        <v>335</v>
      </c>
      <c r="E186" s="15">
        <v>46827</v>
      </c>
      <c r="F186" s="15">
        <v>47375</v>
      </c>
      <c r="G186" s="53">
        <f t="shared" si="6"/>
        <v>549</v>
      </c>
      <c r="H186" s="60"/>
      <c r="I186" s="9"/>
      <c r="J186" s="9"/>
      <c r="K186" s="62" t="s">
        <v>41</v>
      </c>
      <c r="L186" s="62" t="s">
        <v>41</v>
      </c>
      <c r="M186" s="62" t="s">
        <v>41</v>
      </c>
      <c r="N186" s="62" t="s">
        <v>41</v>
      </c>
      <c r="O186" s="62" t="s">
        <v>42</v>
      </c>
      <c r="P186" s="39" t="s">
        <v>53</v>
      </c>
      <c r="Q186" s="1">
        <v>6</v>
      </c>
      <c r="R186" s="1">
        <v>4</v>
      </c>
    </row>
    <row r="187" spans="1:18" s="1" customFormat="1" ht="30.6">
      <c r="A187" s="92"/>
      <c r="B187" s="93"/>
      <c r="C187" s="74" t="s">
        <v>336</v>
      </c>
      <c r="D187" s="52" t="s">
        <v>337</v>
      </c>
      <c r="E187" s="15">
        <v>46958</v>
      </c>
      <c r="F187" s="15">
        <v>47077</v>
      </c>
      <c r="G187" s="53">
        <f t="shared" si="6"/>
        <v>120</v>
      </c>
      <c r="H187" s="60"/>
      <c r="I187" s="9"/>
      <c r="J187" s="9"/>
      <c r="K187" s="62" t="s">
        <v>41</v>
      </c>
      <c r="L187" s="62" t="s">
        <v>41</v>
      </c>
      <c r="M187" s="62" t="s">
        <v>41</v>
      </c>
      <c r="N187" s="62" t="s">
        <v>41</v>
      </c>
      <c r="O187" s="62" t="s">
        <v>42</v>
      </c>
      <c r="P187" s="39" t="s">
        <v>53</v>
      </c>
      <c r="Q187" s="1">
        <v>6</v>
      </c>
      <c r="R187" s="1">
        <v>4</v>
      </c>
    </row>
    <row r="188" spans="1:18" s="1" customFormat="1" ht="13.8">
      <c r="A188" s="92"/>
      <c r="B188" s="93"/>
      <c r="C188" s="74" t="s">
        <v>338</v>
      </c>
      <c r="D188" s="52" t="s">
        <v>339</v>
      </c>
      <c r="E188" s="15">
        <v>46990</v>
      </c>
      <c r="F188" s="15">
        <v>47127</v>
      </c>
      <c r="G188" s="53">
        <f t="shared" si="6"/>
        <v>138</v>
      </c>
      <c r="H188" s="60"/>
      <c r="I188" s="9"/>
      <c r="J188" s="9"/>
      <c r="K188" s="62" t="s">
        <v>34</v>
      </c>
      <c r="L188" s="62" t="s">
        <v>41</v>
      </c>
      <c r="M188" s="62" t="s">
        <v>41</v>
      </c>
      <c r="N188" s="62" t="s">
        <v>41</v>
      </c>
      <c r="O188" s="62" t="s">
        <v>42</v>
      </c>
      <c r="P188" s="39" t="s">
        <v>157</v>
      </c>
      <c r="Q188" s="1">
        <v>6</v>
      </c>
      <c r="R188" s="1">
        <v>4</v>
      </c>
    </row>
    <row r="189" spans="1:18" s="1" customFormat="1" ht="40.799999999999997">
      <c r="A189" s="92"/>
      <c r="B189" s="93"/>
      <c r="C189" s="74" t="s">
        <v>340</v>
      </c>
      <c r="D189" s="52" t="s">
        <v>341</v>
      </c>
      <c r="E189" s="15">
        <v>47023</v>
      </c>
      <c r="F189" s="15">
        <v>47177</v>
      </c>
      <c r="G189" s="53">
        <f t="shared" si="6"/>
        <v>155</v>
      </c>
      <c r="H189" s="60"/>
      <c r="I189" s="9"/>
      <c r="J189" s="9"/>
      <c r="K189" s="62" t="s">
        <v>41</v>
      </c>
      <c r="L189" s="62" t="s">
        <v>41</v>
      </c>
      <c r="M189" s="62" t="s">
        <v>41</v>
      </c>
      <c r="N189" s="62" t="s">
        <v>41</v>
      </c>
      <c r="O189" s="62" t="s">
        <v>42</v>
      </c>
      <c r="P189" s="39" t="s">
        <v>53</v>
      </c>
      <c r="Q189" s="1">
        <v>6</v>
      </c>
      <c r="R189" s="1">
        <v>4</v>
      </c>
    </row>
    <row r="190" spans="1:18" s="1" customFormat="1" ht="13.8">
      <c r="A190" s="92"/>
      <c r="B190" s="93"/>
      <c r="C190" s="74" t="s">
        <v>342</v>
      </c>
      <c r="D190" s="52" t="s">
        <v>343</v>
      </c>
      <c r="E190" s="15">
        <v>47055</v>
      </c>
      <c r="F190" s="15">
        <v>47227</v>
      </c>
      <c r="G190" s="53">
        <f t="shared" si="6"/>
        <v>173</v>
      </c>
      <c r="H190" s="60"/>
      <c r="I190" s="9"/>
      <c r="J190" s="9"/>
      <c r="K190" s="62" t="s">
        <v>41</v>
      </c>
      <c r="L190" s="62" t="s">
        <v>41</v>
      </c>
      <c r="M190" s="62" t="s">
        <v>41</v>
      </c>
      <c r="N190" s="62" t="s">
        <v>41</v>
      </c>
      <c r="O190" s="62" t="s">
        <v>42</v>
      </c>
      <c r="P190" s="39" t="s">
        <v>53</v>
      </c>
      <c r="Q190" s="1">
        <v>6</v>
      </c>
      <c r="R190" s="1">
        <v>4</v>
      </c>
    </row>
    <row r="191" spans="1:18" s="1" customFormat="1" ht="20.399999999999999">
      <c r="A191" s="92"/>
      <c r="B191" s="93"/>
      <c r="C191" s="74" t="s">
        <v>344</v>
      </c>
      <c r="D191" s="52" t="s">
        <v>345</v>
      </c>
      <c r="E191" s="15">
        <v>47088</v>
      </c>
      <c r="F191" s="15">
        <v>47277</v>
      </c>
      <c r="G191" s="53">
        <f t="shared" si="6"/>
        <v>190</v>
      </c>
      <c r="H191" s="60"/>
      <c r="I191" s="9"/>
      <c r="J191" s="9"/>
      <c r="K191" s="62" t="s">
        <v>41</v>
      </c>
      <c r="L191" s="62" t="s">
        <v>41</v>
      </c>
      <c r="M191" s="62" t="s">
        <v>41</v>
      </c>
      <c r="N191" s="62" t="s">
        <v>41</v>
      </c>
      <c r="O191" s="62" t="s">
        <v>42</v>
      </c>
      <c r="P191" s="39" t="s">
        <v>53</v>
      </c>
      <c r="Q191" s="1">
        <v>6</v>
      </c>
      <c r="R191" s="1">
        <v>4</v>
      </c>
    </row>
    <row r="192" spans="1:18" s="1" customFormat="1" ht="20.399999999999999">
      <c r="A192" s="92"/>
      <c r="B192" s="93"/>
      <c r="C192" s="74" t="s">
        <v>346</v>
      </c>
      <c r="D192" s="52" t="s">
        <v>347</v>
      </c>
      <c r="E192" s="15">
        <v>47121</v>
      </c>
      <c r="F192" s="15">
        <v>47328</v>
      </c>
      <c r="G192" s="53">
        <f t="shared" si="6"/>
        <v>208</v>
      </c>
      <c r="H192" s="60"/>
      <c r="I192" s="9"/>
      <c r="J192" s="9"/>
      <c r="K192" s="62" t="s">
        <v>41</v>
      </c>
      <c r="L192" s="62" t="s">
        <v>41</v>
      </c>
      <c r="M192" s="62" t="s">
        <v>41</v>
      </c>
      <c r="N192" s="62" t="s">
        <v>41</v>
      </c>
      <c r="O192" s="62" t="s">
        <v>42</v>
      </c>
      <c r="P192" s="39" t="s">
        <v>53</v>
      </c>
      <c r="Q192" s="1">
        <v>6</v>
      </c>
      <c r="R192" s="1">
        <v>4</v>
      </c>
    </row>
    <row r="193" spans="1:18" s="1" customFormat="1" ht="20.399999999999999">
      <c r="A193" s="92"/>
      <c r="B193" s="93"/>
      <c r="C193" s="74" t="s">
        <v>348</v>
      </c>
      <c r="D193" s="52" t="s">
        <v>349</v>
      </c>
      <c r="E193" s="15">
        <v>47153</v>
      </c>
      <c r="F193" s="15">
        <v>47378</v>
      </c>
      <c r="G193" s="53">
        <f t="shared" si="6"/>
        <v>226</v>
      </c>
      <c r="H193" s="60"/>
      <c r="I193" s="9"/>
      <c r="J193" s="9"/>
      <c r="K193" s="62" t="s">
        <v>41</v>
      </c>
      <c r="L193" s="62" t="s">
        <v>41</v>
      </c>
      <c r="M193" s="62" t="s">
        <v>41</v>
      </c>
      <c r="N193" s="62" t="s">
        <v>41</v>
      </c>
      <c r="O193" s="62" t="s">
        <v>42</v>
      </c>
      <c r="P193" s="39" t="s">
        <v>53</v>
      </c>
      <c r="Q193" s="1">
        <v>6</v>
      </c>
      <c r="R193" s="1">
        <v>4</v>
      </c>
    </row>
    <row r="194" spans="1:18" s="1" customFormat="1" ht="20.399999999999999">
      <c r="A194" s="92"/>
      <c r="B194" s="93"/>
      <c r="C194" s="74" t="s">
        <v>350</v>
      </c>
      <c r="D194" s="52" t="s">
        <v>351</v>
      </c>
      <c r="E194" s="15">
        <v>47186</v>
      </c>
      <c r="F194" s="15">
        <v>47428</v>
      </c>
      <c r="G194" s="53">
        <f t="shared" si="6"/>
        <v>243</v>
      </c>
      <c r="H194" s="60"/>
      <c r="I194" s="9"/>
      <c r="J194" s="9"/>
      <c r="K194" s="62" t="s">
        <v>41</v>
      </c>
      <c r="L194" s="62" t="s">
        <v>41</v>
      </c>
      <c r="M194" s="62" t="s">
        <v>41</v>
      </c>
      <c r="N194" s="62" t="s">
        <v>41</v>
      </c>
      <c r="O194" s="62" t="s">
        <v>42</v>
      </c>
      <c r="P194" s="39" t="s">
        <v>53</v>
      </c>
      <c r="Q194" s="1">
        <v>6</v>
      </c>
      <c r="R194" s="1">
        <v>4</v>
      </c>
    </row>
    <row r="195" spans="1:18" s="1" customFormat="1" ht="20.399999999999999">
      <c r="A195" s="92"/>
      <c r="B195" s="93"/>
      <c r="C195" s="74" t="s">
        <v>352</v>
      </c>
      <c r="D195" s="52" t="s">
        <v>353</v>
      </c>
      <c r="E195" s="15">
        <v>47219</v>
      </c>
      <c r="F195" s="15">
        <v>47478</v>
      </c>
      <c r="G195" s="53">
        <f t="shared" si="6"/>
        <v>260</v>
      </c>
      <c r="H195" s="60"/>
      <c r="I195" s="9"/>
      <c r="J195" s="9"/>
      <c r="K195" s="62" t="s">
        <v>41</v>
      </c>
      <c r="L195" s="62" t="s">
        <v>41</v>
      </c>
      <c r="M195" s="62" t="s">
        <v>41</v>
      </c>
      <c r="N195" s="62" t="s">
        <v>41</v>
      </c>
      <c r="O195" s="62" t="s">
        <v>42</v>
      </c>
      <c r="P195" s="51" t="s">
        <v>53</v>
      </c>
      <c r="Q195" s="1">
        <v>6</v>
      </c>
      <c r="R195" s="1">
        <v>4</v>
      </c>
    </row>
    <row r="196" spans="1:18" s="1" customFormat="1" ht="51">
      <c r="A196" s="92"/>
      <c r="B196" s="93"/>
      <c r="C196" s="74" t="s">
        <v>354</v>
      </c>
      <c r="D196" s="52" t="s">
        <v>355</v>
      </c>
      <c r="E196" s="15">
        <v>47251</v>
      </c>
      <c r="F196" s="15">
        <v>47528</v>
      </c>
      <c r="G196" s="53">
        <f t="shared" si="6"/>
        <v>278</v>
      </c>
      <c r="H196" s="60"/>
      <c r="I196" s="9"/>
      <c r="J196" s="9"/>
      <c r="K196" s="62" t="s">
        <v>41</v>
      </c>
      <c r="L196" s="62" t="s">
        <v>41</v>
      </c>
      <c r="M196" s="62" t="s">
        <v>41</v>
      </c>
      <c r="N196" s="62" t="s">
        <v>41</v>
      </c>
      <c r="O196" s="62" t="s">
        <v>42</v>
      </c>
      <c r="P196" s="39" t="s">
        <v>53</v>
      </c>
      <c r="Q196" s="1">
        <v>6</v>
      </c>
      <c r="R196" s="1">
        <v>4</v>
      </c>
    </row>
    <row r="197" spans="1:18" s="1" customFormat="1" ht="20.399999999999999">
      <c r="A197" s="92"/>
      <c r="B197" s="93"/>
      <c r="C197" s="74" t="s">
        <v>356</v>
      </c>
      <c r="D197" s="52" t="s">
        <v>357</v>
      </c>
      <c r="E197" s="15">
        <v>47284</v>
      </c>
      <c r="F197" s="15">
        <v>47578</v>
      </c>
      <c r="G197" s="53">
        <f t="shared" si="6"/>
        <v>295</v>
      </c>
      <c r="H197" s="60"/>
      <c r="I197" s="9"/>
      <c r="J197" s="9"/>
      <c r="K197" s="62" t="s">
        <v>41</v>
      </c>
      <c r="L197" s="62" t="s">
        <v>41</v>
      </c>
      <c r="M197" s="62" t="s">
        <v>41</v>
      </c>
      <c r="N197" s="62" t="s">
        <v>41</v>
      </c>
      <c r="O197" s="62" t="s">
        <v>42</v>
      </c>
      <c r="P197" s="39" t="s">
        <v>53</v>
      </c>
      <c r="Q197" s="1">
        <v>6</v>
      </c>
      <c r="R197" s="1">
        <v>4</v>
      </c>
    </row>
    <row r="198" spans="1:18" s="1" customFormat="1" ht="20.399999999999999">
      <c r="A198" s="92"/>
      <c r="B198" s="93"/>
      <c r="C198" s="74" t="s">
        <v>358</v>
      </c>
      <c r="D198" s="52" t="s">
        <v>359</v>
      </c>
      <c r="E198" s="15">
        <v>47317</v>
      </c>
      <c r="F198" s="15">
        <v>47628</v>
      </c>
      <c r="G198" s="53">
        <f t="shared" si="6"/>
        <v>312</v>
      </c>
      <c r="H198" s="60"/>
      <c r="I198" s="9"/>
      <c r="J198" s="9"/>
      <c r="K198" s="62" t="s">
        <v>41</v>
      </c>
      <c r="L198" s="62" t="s">
        <v>41</v>
      </c>
      <c r="M198" s="62" t="s">
        <v>41</v>
      </c>
      <c r="N198" s="62" t="s">
        <v>41</v>
      </c>
      <c r="O198" s="62" t="s">
        <v>42</v>
      </c>
      <c r="P198" s="39" t="s">
        <v>53</v>
      </c>
      <c r="Q198" s="1">
        <v>6</v>
      </c>
      <c r="R198" s="1">
        <v>4</v>
      </c>
    </row>
    <row r="199" spans="1:18" s="1" customFormat="1" ht="30.6">
      <c r="A199" s="92"/>
      <c r="B199" s="93"/>
      <c r="C199" s="74" t="s">
        <v>360</v>
      </c>
      <c r="D199" s="52" t="s">
        <v>475</v>
      </c>
      <c r="E199" s="15">
        <v>47010</v>
      </c>
      <c r="F199" s="15">
        <v>47741</v>
      </c>
      <c r="G199" s="53">
        <f t="shared" si="6"/>
        <v>732</v>
      </c>
      <c r="H199" s="60"/>
      <c r="I199" s="9"/>
      <c r="J199" s="9"/>
      <c r="K199" s="62" t="s">
        <v>34</v>
      </c>
      <c r="L199" s="62" t="s">
        <v>41</v>
      </c>
      <c r="M199" s="62" t="s">
        <v>41</v>
      </c>
      <c r="N199" s="62" t="s">
        <v>41</v>
      </c>
      <c r="O199" s="62" t="s">
        <v>42</v>
      </c>
      <c r="P199" s="51" t="s">
        <v>157</v>
      </c>
      <c r="Q199" s="1">
        <v>6</v>
      </c>
      <c r="R199" s="1">
        <v>4</v>
      </c>
    </row>
    <row r="200" spans="1:18" s="1" customFormat="1" ht="20.399999999999999">
      <c r="A200" s="92"/>
      <c r="B200" s="93"/>
      <c r="C200" s="74" t="s">
        <v>361</v>
      </c>
      <c r="D200" s="52" t="s">
        <v>362</v>
      </c>
      <c r="E200" s="15">
        <v>47382</v>
      </c>
      <c r="F200" s="15">
        <v>47728</v>
      </c>
      <c r="G200" s="53">
        <f t="shared" si="6"/>
        <v>347</v>
      </c>
      <c r="H200" s="60"/>
      <c r="I200" s="9"/>
      <c r="J200" s="9"/>
      <c r="K200" s="62" t="s">
        <v>41</v>
      </c>
      <c r="L200" s="62" t="s">
        <v>41</v>
      </c>
      <c r="M200" s="62" t="s">
        <v>41</v>
      </c>
      <c r="N200" s="62" t="s">
        <v>41</v>
      </c>
      <c r="O200" s="62" t="s">
        <v>42</v>
      </c>
      <c r="P200" s="39" t="s">
        <v>53</v>
      </c>
      <c r="Q200" s="1">
        <v>6</v>
      </c>
      <c r="R200" s="1">
        <v>4</v>
      </c>
    </row>
    <row r="201" spans="1:18" s="1" customFormat="1" ht="40.799999999999997">
      <c r="A201" s="92"/>
      <c r="B201" s="93"/>
      <c r="C201" s="74" t="s">
        <v>363</v>
      </c>
      <c r="D201" s="52" t="s">
        <v>474</v>
      </c>
      <c r="E201" s="15">
        <v>47010</v>
      </c>
      <c r="F201" s="15">
        <v>47741</v>
      </c>
      <c r="G201" s="53">
        <f t="shared" si="6"/>
        <v>732</v>
      </c>
      <c r="H201" s="60"/>
      <c r="I201" s="9"/>
      <c r="J201" s="9"/>
      <c r="K201" s="62" t="s">
        <v>41</v>
      </c>
      <c r="L201" s="62" t="s">
        <v>41</v>
      </c>
      <c r="M201" s="62" t="s">
        <v>41</v>
      </c>
      <c r="N201" s="62" t="s">
        <v>41</v>
      </c>
      <c r="O201" s="62" t="s">
        <v>42</v>
      </c>
      <c r="P201" s="39" t="s">
        <v>53</v>
      </c>
      <c r="Q201" s="1">
        <v>6</v>
      </c>
      <c r="R201" s="1">
        <v>4</v>
      </c>
    </row>
    <row r="202" spans="1:18" s="1" customFormat="1" ht="30.6">
      <c r="A202" s="92"/>
      <c r="B202" s="93"/>
      <c r="C202" s="74" t="s">
        <v>364</v>
      </c>
      <c r="D202" s="52" t="s">
        <v>365</v>
      </c>
      <c r="E202" s="15">
        <v>47010</v>
      </c>
      <c r="F202" s="15">
        <v>47741</v>
      </c>
      <c r="G202" s="53">
        <f t="shared" si="6"/>
        <v>732</v>
      </c>
      <c r="H202" s="60"/>
      <c r="I202" s="9"/>
      <c r="J202" s="9"/>
      <c r="K202" s="62" t="s">
        <v>34</v>
      </c>
      <c r="L202" s="62" t="s">
        <v>41</v>
      </c>
      <c r="M202" s="62" t="s">
        <v>41</v>
      </c>
      <c r="N202" s="62" t="s">
        <v>41</v>
      </c>
      <c r="O202" s="62" t="s">
        <v>42</v>
      </c>
      <c r="P202" s="39" t="s">
        <v>157</v>
      </c>
      <c r="Q202" s="1">
        <v>6</v>
      </c>
      <c r="R202" s="1">
        <v>4</v>
      </c>
    </row>
    <row r="203" spans="1:18" s="1" customFormat="1" ht="30.6">
      <c r="A203" s="94"/>
      <c r="B203" s="95"/>
      <c r="C203" s="74" t="s">
        <v>366</v>
      </c>
      <c r="D203" s="52" t="s">
        <v>367</v>
      </c>
      <c r="E203" s="15">
        <v>47480</v>
      </c>
      <c r="F203" s="15">
        <v>47741</v>
      </c>
      <c r="G203" s="53">
        <f t="shared" si="6"/>
        <v>262</v>
      </c>
      <c r="H203" s="60"/>
      <c r="I203" s="9"/>
      <c r="J203" s="9"/>
      <c r="K203" s="62" t="s">
        <v>34</v>
      </c>
      <c r="L203" s="62" t="s">
        <v>41</v>
      </c>
      <c r="M203" s="62" t="s">
        <v>41</v>
      </c>
      <c r="N203" s="62" t="s">
        <v>41</v>
      </c>
      <c r="O203" s="62" t="s">
        <v>42</v>
      </c>
      <c r="P203" s="39" t="s">
        <v>157</v>
      </c>
      <c r="Q203" s="1">
        <v>6</v>
      </c>
      <c r="R203" s="1">
        <v>4</v>
      </c>
    </row>
    <row r="204" spans="1:18" s="1" customFormat="1">
      <c r="A204" s="75" t="s">
        <v>368</v>
      </c>
      <c r="B204" s="73" t="s">
        <v>369</v>
      </c>
      <c r="C204" s="24"/>
      <c r="D204" s="25"/>
      <c r="E204" s="26"/>
      <c r="F204" s="43"/>
      <c r="G204" s="27"/>
      <c r="H204" s="44"/>
      <c r="I204" s="9"/>
      <c r="J204" s="9"/>
      <c r="K204" s="28"/>
      <c r="L204" s="28"/>
      <c r="M204" s="28"/>
      <c r="N204" s="28"/>
      <c r="O204" s="28"/>
      <c r="P204" s="35"/>
    </row>
    <row r="205" spans="1:18" s="1" customFormat="1" ht="20.399999999999999">
      <c r="A205" s="84"/>
      <c r="B205" s="110"/>
      <c r="C205" s="83" t="s">
        <v>370</v>
      </c>
      <c r="D205" s="18" t="s">
        <v>371</v>
      </c>
      <c r="E205" s="15">
        <v>47011</v>
      </c>
      <c r="F205" s="15">
        <v>47741</v>
      </c>
      <c r="G205" s="53">
        <f t="shared" ref="G205:G207" si="7">+F205-E205+1</f>
        <v>731</v>
      </c>
      <c r="H205" s="60"/>
      <c r="I205" s="9"/>
      <c r="J205" s="9"/>
      <c r="K205" s="28"/>
      <c r="L205" s="28"/>
      <c r="M205" s="28"/>
      <c r="N205" s="28"/>
      <c r="O205" s="28"/>
      <c r="P205" s="35"/>
    </row>
    <row r="206" spans="1:18" s="1" customFormat="1" ht="51">
      <c r="A206" s="104"/>
      <c r="B206" s="93"/>
      <c r="C206" s="115" t="s">
        <v>372</v>
      </c>
      <c r="D206" s="18" t="s">
        <v>373</v>
      </c>
      <c r="E206" s="15">
        <v>47023</v>
      </c>
      <c r="F206" s="15">
        <v>47084</v>
      </c>
      <c r="G206" s="53">
        <f t="shared" si="7"/>
        <v>62</v>
      </c>
      <c r="H206" s="60"/>
      <c r="I206" s="9"/>
      <c r="J206" s="9"/>
      <c r="K206" s="62" t="s">
        <v>41</v>
      </c>
      <c r="L206" s="62" t="s">
        <v>41</v>
      </c>
      <c r="M206" s="62" t="s">
        <v>41</v>
      </c>
      <c r="N206" s="62" t="s">
        <v>34</v>
      </c>
      <c r="O206" s="55" t="s">
        <v>42</v>
      </c>
      <c r="P206" s="51" t="s">
        <v>52</v>
      </c>
      <c r="Q206" s="1">
        <v>6</v>
      </c>
      <c r="R206" s="1">
        <v>5</v>
      </c>
    </row>
    <row r="207" spans="1:18" s="1" customFormat="1" ht="13.8">
      <c r="A207" s="94"/>
      <c r="B207" s="95"/>
      <c r="C207" s="118" t="s">
        <v>374</v>
      </c>
      <c r="D207" s="52" t="s">
        <v>375</v>
      </c>
      <c r="E207" s="15">
        <v>47011</v>
      </c>
      <c r="F207" s="15">
        <v>47741</v>
      </c>
      <c r="G207" s="53">
        <f t="shared" si="7"/>
        <v>731</v>
      </c>
      <c r="H207" s="60"/>
      <c r="I207" s="9"/>
      <c r="J207" s="9"/>
      <c r="K207" s="62" t="s">
        <v>41</v>
      </c>
      <c r="L207" s="62" t="s">
        <v>41</v>
      </c>
      <c r="M207" s="62" t="s">
        <v>41</v>
      </c>
      <c r="N207" s="62" t="s">
        <v>41</v>
      </c>
      <c r="O207" s="62" t="s">
        <v>42</v>
      </c>
      <c r="P207" s="39" t="s">
        <v>53</v>
      </c>
      <c r="Q207" s="1">
        <v>6</v>
      </c>
      <c r="R207" s="1">
        <v>5</v>
      </c>
    </row>
    <row r="208" spans="1:18" s="1" customFormat="1">
      <c r="A208" s="75" t="s">
        <v>376</v>
      </c>
      <c r="B208" s="73" t="s">
        <v>377</v>
      </c>
      <c r="C208" s="24"/>
      <c r="D208" s="25"/>
      <c r="E208" s="26"/>
      <c r="F208" s="43"/>
      <c r="G208" s="27"/>
      <c r="H208" s="44"/>
      <c r="I208" s="9"/>
      <c r="J208" s="9"/>
      <c r="K208" s="28"/>
      <c r="L208" s="28"/>
      <c r="M208" s="28"/>
      <c r="N208" s="28"/>
      <c r="O208" s="28"/>
      <c r="P208" s="35"/>
    </row>
    <row r="209" spans="1:18" s="1" customFormat="1" ht="20.399999999999999">
      <c r="A209" s="84"/>
      <c r="B209" s="110"/>
      <c r="C209" s="83" t="s">
        <v>378</v>
      </c>
      <c r="D209" s="52" t="s">
        <v>379</v>
      </c>
      <c r="E209" s="15">
        <v>47011</v>
      </c>
      <c r="F209" s="15">
        <v>47741</v>
      </c>
      <c r="G209" s="53">
        <f t="shared" ref="G209:G210" si="8">+F209-E209+1</f>
        <v>731</v>
      </c>
      <c r="H209" s="60"/>
      <c r="I209" s="9"/>
      <c r="J209" s="9"/>
      <c r="K209" s="28"/>
      <c r="L209" s="28"/>
      <c r="M209" s="28"/>
      <c r="N209" s="28"/>
      <c r="O209" s="28"/>
      <c r="P209" s="35"/>
    </row>
    <row r="210" spans="1:18" s="1" customFormat="1" ht="91.8">
      <c r="A210" s="111"/>
      <c r="B210" s="95"/>
      <c r="C210" s="115" t="s">
        <v>380</v>
      </c>
      <c r="D210" s="52" t="s">
        <v>381</v>
      </c>
      <c r="E210" s="15">
        <v>47011</v>
      </c>
      <c r="F210" s="15">
        <v>47741</v>
      </c>
      <c r="G210" s="53">
        <f t="shared" si="8"/>
        <v>731</v>
      </c>
      <c r="H210" s="60"/>
      <c r="I210" s="9"/>
      <c r="J210" s="9"/>
      <c r="K210" s="62" t="s">
        <v>41</v>
      </c>
      <c r="L210" s="62" t="s">
        <v>41</v>
      </c>
      <c r="M210" s="62" t="s">
        <v>41</v>
      </c>
      <c r="N210" s="62" t="s">
        <v>41</v>
      </c>
      <c r="O210" s="62" t="s">
        <v>42</v>
      </c>
      <c r="P210" s="39" t="s">
        <v>53</v>
      </c>
      <c r="Q210" s="1">
        <v>6</v>
      </c>
      <c r="R210" s="1">
        <v>6</v>
      </c>
    </row>
    <row r="211" spans="1:18" s="1" customFormat="1">
      <c r="A211" s="75" t="s">
        <v>382</v>
      </c>
      <c r="B211" s="73" t="s">
        <v>383</v>
      </c>
      <c r="C211" s="24"/>
      <c r="D211" s="25"/>
      <c r="E211" s="26"/>
      <c r="F211" s="43"/>
      <c r="G211" s="27"/>
      <c r="H211" s="44"/>
      <c r="I211" s="9"/>
      <c r="J211" s="9"/>
      <c r="K211" s="28"/>
      <c r="L211" s="28"/>
      <c r="M211" s="28"/>
      <c r="N211" s="28"/>
      <c r="O211" s="28"/>
      <c r="P211" s="35"/>
    </row>
    <row r="212" spans="1:18" s="1" customFormat="1" ht="20.399999999999999">
      <c r="A212" s="84"/>
      <c r="B212" s="110"/>
      <c r="C212" s="85" t="s">
        <v>384</v>
      </c>
      <c r="D212" s="52" t="s">
        <v>385</v>
      </c>
      <c r="E212" s="15">
        <v>47011</v>
      </c>
      <c r="F212" s="15">
        <v>47741</v>
      </c>
      <c r="G212" s="53">
        <f t="shared" ref="G212:G213" si="9">+F212-E212+1</f>
        <v>731</v>
      </c>
      <c r="H212" s="60"/>
      <c r="I212" s="9"/>
      <c r="J212" s="9"/>
      <c r="K212" s="28"/>
      <c r="L212" s="28"/>
      <c r="M212" s="28"/>
      <c r="N212" s="28"/>
      <c r="O212" s="28"/>
      <c r="P212" s="35"/>
    </row>
    <row r="213" spans="1:18" s="1" customFormat="1" ht="91.8">
      <c r="A213" s="111"/>
      <c r="B213" s="95"/>
      <c r="C213" s="119" t="s">
        <v>386</v>
      </c>
      <c r="D213" s="52" t="s">
        <v>387</v>
      </c>
      <c r="E213" s="15">
        <v>47011</v>
      </c>
      <c r="F213" s="15">
        <v>47741</v>
      </c>
      <c r="G213" s="53">
        <f t="shared" si="9"/>
        <v>731</v>
      </c>
      <c r="H213" s="60"/>
      <c r="I213" s="9"/>
      <c r="J213" s="9"/>
      <c r="K213" s="62" t="s">
        <v>41</v>
      </c>
      <c r="L213" s="62" t="s">
        <v>41</v>
      </c>
      <c r="M213" s="62" t="s">
        <v>41</v>
      </c>
      <c r="N213" s="62" t="s">
        <v>41</v>
      </c>
      <c r="O213" s="62" t="s">
        <v>42</v>
      </c>
      <c r="P213" s="39" t="s">
        <v>53</v>
      </c>
      <c r="Q213" s="1">
        <v>6</v>
      </c>
      <c r="R213" s="1">
        <v>7</v>
      </c>
    </row>
    <row r="214" spans="1:18" s="1" customFormat="1">
      <c r="A214" s="75" t="s">
        <v>388</v>
      </c>
      <c r="B214" s="73" t="s">
        <v>389</v>
      </c>
      <c r="C214" s="24"/>
      <c r="D214" s="25"/>
      <c r="E214" s="26"/>
      <c r="F214" s="43"/>
      <c r="G214" s="27"/>
      <c r="H214" s="44"/>
      <c r="I214" s="9"/>
      <c r="J214" s="9"/>
      <c r="K214" s="28"/>
      <c r="L214" s="28"/>
      <c r="M214" s="28"/>
      <c r="N214" s="28"/>
      <c r="O214" s="28"/>
      <c r="P214" s="35"/>
    </row>
    <row r="215" spans="1:18" s="1" customFormat="1" ht="20.399999999999999">
      <c r="A215" s="84"/>
      <c r="B215" s="110"/>
      <c r="C215" s="74" t="s">
        <v>390</v>
      </c>
      <c r="D215" s="52" t="s">
        <v>391</v>
      </c>
      <c r="E215" s="15">
        <v>47251</v>
      </c>
      <c r="F215" s="15">
        <v>47741</v>
      </c>
      <c r="G215" s="53">
        <f t="shared" ref="G215:G216" si="10">+F215-E215+1</f>
        <v>491</v>
      </c>
      <c r="H215" s="60"/>
      <c r="I215" s="9"/>
      <c r="J215" s="9"/>
      <c r="K215" s="28"/>
      <c r="L215" s="28"/>
      <c r="M215" s="28"/>
      <c r="N215" s="28"/>
      <c r="O215" s="28"/>
      <c r="P215" s="35"/>
    </row>
    <row r="216" spans="1:18" s="1" customFormat="1" ht="91.8">
      <c r="A216" s="86"/>
      <c r="B216" s="95"/>
      <c r="C216" s="115" t="s">
        <v>392</v>
      </c>
      <c r="D216" s="52" t="s">
        <v>393</v>
      </c>
      <c r="E216" s="15">
        <v>47251</v>
      </c>
      <c r="F216" s="15">
        <v>47741</v>
      </c>
      <c r="G216" s="53">
        <f t="shared" si="10"/>
        <v>491</v>
      </c>
      <c r="H216" s="60"/>
      <c r="I216" s="9"/>
      <c r="J216" s="9"/>
      <c r="K216" s="62" t="s">
        <v>41</v>
      </c>
      <c r="L216" s="62" t="s">
        <v>41</v>
      </c>
      <c r="M216" s="62" t="s">
        <v>41</v>
      </c>
      <c r="N216" s="62" t="s">
        <v>41</v>
      </c>
      <c r="O216" s="62" t="s">
        <v>42</v>
      </c>
      <c r="P216" s="39" t="s">
        <v>53</v>
      </c>
      <c r="Q216" s="1">
        <v>6</v>
      </c>
      <c r="R216" s="1">
        <v>8</v>
      </c>
    </row>
    <row r="217" spans="1:18" s="1" customFormat="1">
      <c r="A217" s="76" t="s">
        <v>394</v>
      </c>
      <c r="B217" s="77" t="s">
        <v>90</v>
      </c>
      <c r="C217" s="46"/>
      <c r="D217" s="32"/>
      <c r="E217" s="30"/>
      <c r="F217" s="30"/>
      <c r="G217" s="30"/>
      <c r="H217" s="47"/>
      <c r="I217" s="9"/>
      <c r="J217" s="9"/>
      <c r="K217" s="31"/>
      <c r="L217" s="31"/>
      <c r="M217" s="31"/>
      <c r="N217" s="31"/>
      <c r="O217" s="31"/>
      <c r="P217" s="36"/>
    </row>
    <row r="218" spans="1:18" s="1" customFormat="1">
      <c r="A218" s="38">
        <v>7</v>
      </c>
      <c r="B218" s="19" t="s">
        <v>395</v>
      </c>
      <c r="C218" s="19"/>
      <c r="D218" s="20"/>
      <c r="E218" s="21">
        <v>46295</v>
      </c>
      <c r="F218" s="21">
        <v>48000</v>
      </c>
      <c r="G218" s="22">
        <f>+F242-E242+1</f>
        <v>87</v>
      </c>
      <c r="H218" s="42"/>
      <c r="I218" s="9"/>
      <c r="J218" s="9"/>
      <c r="K218" s="23"/>
      <c r="L218" s="23"/>
      <c r="M218" s="23"/>
      <c r="N218" s="23"/>
      <c r="O218" s="23"/>
      <c r="P218" s="37"/>
    </row>
    <row r="219" spans="1:18" s="1" customFormat="1">
      <c r="A219" s="97" t="s">
        <v>396</v>
      </c>
      <c r="B219" s="98" t="s">
        <v>397</v>
      </c>
      <c r="C219" s="24"/>
      <c r="D219" s="25"/>
      <c r="E219" s="26"/>
      <c r="F219" s="43"/>
      <c r="G219" s="27"/>
      <c r="H219" s="44"/>
      <c r="I219" s="9"/>
      <c r="J219" s="9"/>
      <c r="K219" s="28"/>
      <c r="L219" s="28"/>
      <c r="M219" s="28"/>
      <c r="N219" s="28"/>
      <c r="O219" s="28"/>
      <c r="P219" s="35"/>
    </row>
    <row r="220" spans="1:18" s="1" customFormat="1" ht="91.8">
      <c r="A220" s="71"/>
      <c r="B220" s="91"/>
      <c r="C220" s="117" t="s">
        <v>398</v>
      </c>
      <c r="D220" s="52" t="s">
        <v>399</v>
      </c>
      <c r="E220" s="15">
        <v>47664</v>
      </c>
      <c r="F220" s="15">
        <v>47741</v>
      </c>
      <c r="G220" s="53">
        <f t="shared" ref="G220:G227" si="11">+F220-E220+1</f>
        <v>78</v>
      </c>
      <c r="H220" s="60"/>
      <c r="I220" s="9"/>
      <c r="J220" s="9"/>
      <c r="K220" s="62" t="s">
        <v>41</v>
      </c>
      <c r="L220" s="62" t="s">
        <v>41</v>
      </c>
      <c r="M220" s="62" t="s">
        <v>41</v>
      </c>
      <c r="N220" s="62" t="s">
        <v>41</v>
      </c>
      <c r="O220" s="62" t="s">
        <v>42</v>
      </c>
      <c r="P220" s="39" t="s">
        <v>53</v>
      </c>
      <c r="Q220" s="1">
        <v>7</v>
      </c>
      <c r="R220" s="1">
        <v>1</v>
      </c>
    </row>
    <row r="221" spans="1:18" s="1" customFormat="1" ht="20.399999999999999">
      <c r="A221" s="112"/>
      <c r="B221" s="93"/>
      <c r="C221" s="117" t="s">
        <v>400</v>
      </c>
      <c r="D221" s="52" t="s">
        <v>401</v>
      </c>
      <c r="E221" s="15">
        <v>47664</v>
      </c>
      <c r="F221" s="15">
        <v>47741</v>
      </c>
      <c r="G221" s="53">
        <f t="shared" si="11"/>
        <v>78</v>
      </c>
      <c r="H221" s="60"/>
      <c r="I221" s="9"/>
      <c r="J221" s="9"/>
      <c r="K221" s="62"/>
      <c r="L221" s="62"/>
      <c r="M221" s="62"/>
      <c r="N221" s="62"/>
      <c r="O221" s="62"/>
      <c r="P221" s="39"/>
    </row>
    <row r="222" spans="1:18" s="1" customFormat="1" ht="20.399999999999999">
      <c r="A222" s="112"/>
      <c r="B222" s="93"/>
      <c r="C222" s="117" t="s">
        <v>402</v>
      </c>
      <c r="D222" s="52" t="s">
        <v>403</v>
      </c>
      <c r="E222" s="15">
        <v>47664</v>
      </c>
      <c r="F222" s="15">
        <v>47741</v>
      </c>
      <c r="G222" s="53">
        <f t="shared" si="11"/>
        <v>78</v>
      </c>
      <c r="H222" s="60"/>
      <c r="I222" s="9"/>
      <c r="J222" s="9"/>
      <c r="K222" s="62"/>
      <c r="L222" s="62"/>
      <c r="M222" s="62"/>
      <c r="N222" s="62"/>
      <c r="O222" s="62"/>
      <c r="P222" s="39"/>
    </row>
    <row r="223" spans="1:18" s="1" customFormat="1" ht="13.8">
      <c r="A223" s="112"/>
      <c r="B223" s="93"/>
      <c r="C223" s="117" t="s">
        <v>404</v>
      </c>
      <c r="D223" s="52" t="s">
        <v>405</v>
      </c>
      <c r="E223" s="15">
        <v>47664</v>
      </c>
      <c r="F223" s="15">
        <v>47741</v>
      </c>
      <c r="G223" s="53">
        <f t="shared" si="11"/>
        <v>78</v>
      </c>
      <c r="H223" s="60"/>
      <c r="I223" s="9"/>
      <c r="J223" s="9"/>
      <c r="K223" s="62"/>
      <c r="L223" s="62"/>
      <c r="M223" s="62"/>
      <c r="N223" s="62"/>
      <c r="O223" s="62"/>
      <c r="P223" s="39"/>
    </row>
    <row r="224" spans="1:18" s="1" customFormat="1" ht="13.8">
      <c r="A224" s="112"/>
      <c r="B224" s="93"/>
      <c r="C224" s="117" t="s">
        <v>406</v>
      </c>
      <c r="D224" s="52" t="s">
        <v>407</v>
      </c>
      <c r="E224" s="15">
        <v>47664</v>
      </c>
      <c r="F224" s="15">
        <v>47741</v>
      </c>
      <c r="G224" s="53">
        <f t="shared" si="11"/>
        <v>78</v>
      </c>
      <c r="H224" s="60"/>
      <c r="I224" s="9"/>
      <c r="J224" s="9"/>
      <c r="K224" s="62"/>
      <c r="L224" s="62"/>
      <c r="M224" s="62"/>
      <c r="N224" s="62"/>
      <c r="O224" s="62"/>
      <c r="P224" s="39"/>
    </row>
    <row r="225" spans="1:18" s="1" customFormat="1" ht="13.8">
      <c r="A225" s="112"/>
      <c r="B225" s="93"/>
      <c r="C225" s="117" t="s">
        <v>408</v>
      </c>
      <c r="D225" s="52" t="s">
        <v>409</v>
      </c>
      <c r="E225" s="15">
        <v>47664</v>
      </c>
      <c r="F225" s="15">
        <v>47741</v>
      </c>
      <c r="G225" s="53">
        <f t="shared" si="11"/>
        <v>78</v>
      </c>
      <c r="H225" s="60"/>
      <c r="I225" s="9"/>
      <c r="J225" s="9"/>
      <c r="K225" s="62"/>
      <c r="L225" s="62"/>
      <c r="M225" s="62"/>
      <c r="N225" s="62"/>
      <c r="O225" s="62"/>
      <c r="P225" s="39"/>
    </row>
    <row r="226" spans="1:18" s="1" customFormat="1" ht="13.8">
      <c r="A226" s="112"/>
      <c r="B226" s="93"/>
      <c r="C226" s="117" t="s">
        <v>410</v>
      </c>
      <c r="D226" s="52" t="s">
        <v>411</v>
      </c>
      <c r="E226" s="15">
        <v>47664</v>
      </c>
      <c r="F226" s="15">
        <v>47741</v>
      </c>
      <c r="G226" s="53">
        <f t="shared" si="11"/>
        <v>78</v>
      </c>
      <c r="H226" s="60"/>
      <c r="I226" s="9"/>
      <c r="J226" s="9"/>
      <c r="K226" s="62"/>
      <c r="L226" s="62"/>
      <c r="M226" s="62"/>
      <c r="N226" s="62"/>
      <c r="O226" s="62"/>
      <c r="P226" s="39"/>
    </row>
    <row r="227" spans="1:18" s="1" customFormat="1" ht="13.8">
      <c r="A227" s="86"/>
      <c r="B227" s="95"/>
      <c r="C227" s="117" t="s">
        <v>412</v>
      </c>
      <c r="D227" s="52" t="s">
        <v>413</v>
      </c>
      <c r="E227" s="15">
        <v>47664</v>
      </c>
      <c r="F227" s="15">
        <v>47741</v>
      </c>
      <c r="G227" s="53">
        <f t="shared" si="11"/>
        <v>78</v>
      </c>
      <c r="H227" s="60"/>
      <c r="I227" s="9"/>
      <c r="J227" s="9"/>
      <c r="K227" s="62"/>
      <c r="L227" s="62"/>
      <c r="M227" s="62"/>
      <c r="N227" s="62"/>
      <c r="O227" s="62"/>
      <c r="P227" s="39"/>
    </row>
    <row r="228" spans="1:18" s="1" customFormat="1">
      <c r="A228" s="75" t="s">
        <v>414</v>
      </c>
      <c r="B228" s="73" t="s">
        <v>415</v>
      </c>
      <c r="C228" s="24"/>
      <c r="D228" s="25"/>
      <c r="E228" s="26"/>
      <c r="F228" s="43"/>
      <c r="G228" s="27"/>
      <c r="H228" s="44"/>
      <c r="I228" s="9"/>
      <c r="J228" s="9"/>
      <c r="K228" s="28"/>
      <c r="L228" s="28"/>
      <c r="M228" s="28"/>
      <c r="N228" s="28"/>
      <c r="O228" s="28"/>
      <c r="P228" s="35"/>
    </row>
    <row r="229" spans="1:18" s="1" customFormat="1" ht="20.399999999999999">
      <c r="A229" s="84"/>
      <c r="B229" s="110"/>
      <c r="C229" s="79" t="s">
        <v>416</v>
      </c>
      <c r="D229" s="18" t="s">
        <v>417</v>
      </c>
      <c r="E229" s="15">
        <v>47664</v>
      </c>
      <c r="F229" s="15">
        <v>48000</v>
      </c>
      <c r="G229" s="53">
        <f t="shared" ref="G229:G231" si="12">+F229-E229+1</f>
        <v>337</v>
      </c>
      <c r="H229" s="60"/>
      <c r="I229" s="9"/>
      <c r="J229" s="9"/>
      <c r="K229" s="28"/>
      <c r="L229" s="28"/>
      <c r="M229" s="28"/>
      <c r="N229" s="28"/>
      <c r="O229" s="28"/>
      <c r="P229" s="35"/>
    </row>
    <row r="230" spans="1:18" s="1" customFormat="1" ht="51">
      <c r="A230" s="104"/>
      <c r="B230" s="93"/>
      <c r="C230" s="115" t="s">
        <v>418</v>
      </c>
      <c r="D230" s="18" t="s">
        <v>419</v>
      </c>
      <c r="E230" s="15">
        <v>47664</v>
      </c>
      <c r="F230" s="15">
        <v>48000</v>
      </c>
      <c r="G230" s="53">
        <f t="shared" si="12"/>
        <v>337</v>
      </c>
      <c r="H230" s="60"/>
      <c r="I230" s="9"/>
      <c r="J230" s="9"/>
      <c r="K230" s="62" t="s">
        <v>41</v>
      </c>
      <c r="L230" s="62" t="s">
        <v>41</v>
      </c>
      <c r="M230" s="62" t="s">
        <v>41</v>
      </c>
      <c r="N230" s="62" t="s">
        <v>34</v>
      </c>
      <c r="O230" s="55" t="s">
        <v>42</v>
      </c>
      <c r="P230" s="51" t="s">
        <v>52</v>
      </c>
      <c r="Q230" s="1">
        <v>7</v>
      </c>
      <c r="R230" s="1">
        <v>2</v>
      </c>
    </row>
    <row r="231" spans="1:18" s="1" customFormat="1" ht="91.8">
      <c r="A231" s="94"/>
      <c r="B231" s="95"/>
      <c r="C231" s="115" t="s">
        <v>420</v>
      </c>
      <c r="D231" s="52" t="s">
        <v>421</v>
      </c>
      <c r="E231" s="15">
        <v>47664</v>
      </c>
      <c r="F231" s="15">
        <v>48000</v>
      </c>
      <c r="G231" s="53">
        <f t="shared" si="12"/>
        <v>337</v>
      </c>
      <c r="H231" s="60"/>
      <c r="I231" s="9"/>
      <c r="J231" s="9"/>
      <c r="K231" s="62" t="s">
        <v>41</v>
      </c>
      <c r="L231" s="62" t="s">
        <v>41</v>
      </c>
      <c r="M231" s="62" t="s">
        <v>41</v>
      </c>
      <c r="N231" s="62" t="s">
        <v>41</v>
      </c>
      <c r="O231" s="62" t="s">
        <v>42</v>
      </c>
      <c r="P231" s="39" t="s">
        <v>53</v>
      </c>
      <c r="Q231" s="1">
        <v>7</v>
      </c>
      <c r="R231" s="1">
        <v>2</v>
      </c>
    </row>
    <row r="232" spans="1:18" s="1" customFormat="1">
      <c r="A232" s="75" t="s">
        <v>422</v>
      </c>
      <c r="B232" s="73" t="s">
        <v>423</v>
      </c>
      <c r="C232" s="24"/>
      <c r="D232" s="25"/>
      <c r="E232" s="26"/>
      <c r="F232" s="43"/>
      <c r="G232" s="27"/>
      <c r="H232" s="44"/>
      <c r="I232" s="9"/>
      <c r="J232" s="9"/>
      <c r="K232" s="28"/>
      <c r="L232" s="28"/>
      <c r="M232" s="28"/>
      <c r="N232" s="28"/>
      <c r="O232" s="28"/>
      <c r="P232" s="35"/>
    </row>
    <row r="233" spans="1:18" s="1" customFormat="1">
      <c r="A233" s="84"/>
      <c r="B233" s="110"/>
      <c r="C233" s="115" t="s">
        <v>424</v>
      </c>
      <c r="D233" s="18" t="s">
        <v>425</v>
      </c>
      <c r="E233" s="15">
        <v>47664</v>
      </c>
      <c r="F233" s="15">
        <v>48000</v>
      </c>
      <c r="G233" s="53">
        <f t="shared" ref="G233:G235" si="13">+F233-E233+1</f>
        <v>337</v>
      </c>
      <c r="H233" s="60"/>
      <c r="I233" s="9"/>
      <c r="J233" s="9"/>
      <c r="K233" s="28"/>
      <c r="L233" s="28"/>
      <c r="M233" s="28"/>
      <c r="N233" s="28"/>
      <c r="O233" s="28"/>
      <c r="P233" s="35"/>
    </row>
    <row r="234" spans="1:18" s="1" customFormat="1" ht="51">
      <c r="A234" s="104"/>
      <c r="B234" s="93"/>
      <c r="C234" s="115" t="s">
        <v>426</v>
      </c>
      <c r="D234" s="18" t="s">
        <v>427</v>
      </c>
      <c r="E234" s="15">
        <v>47664</v>
      </c>
      <c r="F234" s="15">
        <v>48000</v>
      </c>
      <c r="G234" s="53">
        <f t="shared" si="13"/>
        <v>337</v>
      </c>
      <c r="H234" s="60"/>
      <c r="I234" s="9"/>
      <c r="J234" s="9"/>
      <c r="K234" s="62" t="s">
        <v>41</v>
      </c>
      <c r="L234" s="62" t="s">
        <v>41</v>
      </c>
      <c r="M234" s="62" t="s">
        <v>41</v>
      </c>
      <c r="N234" s="62" t="s">
        <v>34</v>
      </c>
      <c r="O234" s="55" t="s">
        <v>42</v>
      </c>
      <c r="P234" s="51" t="s">
        <v>52</v>
      </c>
      <c r="Q234" s="1">
        <v>7</v>
      </c>
      <c r="R234" s="1">
        <v>3</v>
      </c>
    </row>
    <row r="235" spans="1:18" s="1" customFormat="1" ht="91.8">
      <c r="A235" s="94"/>
      <c r="B235" s="95"/>
      <c r="C235" s="115" t="s">
        <v>428</v>
      </c>
      <c r="D235" s="52" t="s">
        <v>429</v>
      </c>
      <c r="E235" s="15">
        <v>47664</v>
      </c>
      <c r="F235" s="15">
        <v>48000</v>
      </c>
      <c r="G235" s="53">
        <f t="shared" si="13"/>
        <v>337</v>
      </c>
      <c r="H235" s="60"/>
      <c r="I235" s="9"/>
      <c r="J235" s="9"/>
      <c r="K235" s="62" t="s">
        <v>41</v>
      </c>
      <c r="L235" s="62" t="s">
        <v>41</v>
      </c>
      <c r="M235" s="62" t="s">
        <v>41</v>
      </c>
      <c r="N235" s="62" t="s">
        <v>41</v>
      </c>
      <c r="O235" s="62" t="s">
        <v>42</v>
      </c>
      <c r="P235" s="39" t="s">
        <v>53</v>
      </c>
      <c r="Q235" s="1">
        <v>7</v>
      </c>
      <c r="R235" s="1">
        <v>3</v>
      </c>
    </row>
    <row r="236" spans="1:18" s="1" customFormat="1">
      <c r="A236" s="75" t="s">
        <v>430</v>
      </c>
      <c r="B236" s="73" t="s">
        <v>431</v>
      </c>
      <c r="C236" s="24"/>
      <c r="D236" s="25"/>
      <c r="E236" s="26"/>
      <c r="F236" s="43"/>
      <c r="G236" s="27"/>
      <c r="H236" s="44"/>
      <c r="I236" s="9"/>
      <c r="J236" s="9"/>
      <c r="K236" s="28"/>
      <c r="L236" s="28"/>
      <c r="M236" s="28"/>
      <c r="N236" s="28"/>
      <c r="O236" s="28"/>
      <c r="P236" s="35"/>
    </row>
    <row r="237" spans="1:18" s="1" customFormat="1" ht="13.8">
      <c r="A237" s="71"/>
      <c r="B237" s="91"/>
      <c r="C237" s="74" t="s">
        <v>432</v>
      </c>
      <c r="D237" s="52" t="s">
        <v>473</v>
      </c>
      <c r="E237" s="15">
        <v>47664</v>
      </c>
      <c r="F237" s="15">
        <v>48000</v>
      </c>
      <c r="G237" s="53">
        <f t="shared" ref="G237:G238" si="14">+F237-E237+1</f>
        <v>337</v>
      </c>
      <c r="H237" s="60"/>
      <c r="I237" s="9"/>
      <c r="J237" s="9"/>
      <c r="K237" s="62" t="s">
        <v>41</v>
      </c>
      <c r="L237" s="62" t="s">
        <v>41</v>
      </c>
      <c r="M237" s="62" t="s">
        <v>41</v>
      </c>
      <c r="N237" s="62" t="s">
        <v>41</v>
      </c>
      <c r="O237" s="62" t="s">
        <v>42</v>
      </c>
      <c r="P237" s="39" t="s">
        <v>53</v>
      </c>
      <c r="Q237" s="1">
        <v>7</v>
      </c>
      <c r="R237" s="1">
        <v>4</v>
      </c>
    </row>
    <row r="238" spans="1:18" s="1" customFormat="1" ht="20.399999999999999">
      <c r="A238" s="92"/>
      <c r="B238" s="93"/>
      <c r="C238" s="74" t="s">
        <v>433</v>
      </c>
      <c r="D238" s="52" t="s">
        <v>472</v>
      </c>
      <c r="E238" s="15">
        <v>47664</v>
      </c>
      <c r="F238" s="15">
        <v>48000</v>
      </c>
      <c r="G238" s="53">
        <f t="shared" si="14"/>
        <v>337</v>
      </c>
      <c r="H238" s="60"/>
      <c r="I238" s="9"/>
      <c r="J238" s="9"/>
      <c r="K238" s="62" t="s">
        <v>41</v>
      </c>
      <c r="L238" s="62" t="s">
        <v>41</v>
      </c>
      <c r="M238" s="62" t="s">
        <v>41</v>
      </c>
      <c r="N238" s="62" t="s">
        <v>41</v>
      </c>
      <c r="O238" s="62" t="s">
        <v>42</v>
      </c>
      <c r="P238" s="39" t="s">
        <v>53</v>
      </c>
      <c r="Q238" s="1">
        <v>7</v>
      </c>
      <c r="R238" s="1">
        <v>4</v>
      </c>
    </row>
    <row r="239" spans="1:18" s="1" customFormat="1">
      <c r="A239" s="87" t="s">
        <v>434</v>
      </c>
      <c r="B239" s="88" t="s">
        <v>435</v>
      </c>
      <c r="C239" s="19"/>
      <c r="D239" s="20"/>
      <c r="E239" s="21"/>
      <c r="F239" s="41"/>
      <c r="G239" s="22">
        <f>+F264-E264+1</f>
        <v>1</v>
      </c>
      <c r="H239" s="42"/>
      <c r="I239" s="9"/>
      <c r="J239" s="9"/>
      <c r="K239" s="23"/>
      <c r="L239" s="23"/>
      <c r="M239" s="23"/>
      <c r="N239" s="23"/>
      <c r="O239" s="23"/>
      <c r="P239" s="37"/>
    </row>
    <row r="240" spans="1:18" s="1" customFormat="1">
      <c r="A240" s="97" t="s">
        <v>436</v>
      </c>
      <c r="B240" s="98" t="s">
        <v>437</v>
      </c>
      <c r="C240" s="24"/>
      <c r="D240" s="25"/>
      <c r="E240" s="26"/>
      <c r="F240" s="43"/>
      <c r="G240" s="27"/>
      <c r="H240" s="44"/>
      <c r="I240" s="9"/>
      <c r="J240" s="9"/>
      <c r="K240" s="28"/>
      <c r="L240" s="28"/>
      <c r="M240" s="28"/>
      <c r="N240" s="28"/>
      <c r="O240" s="28"/>
      <c r="P240" s="35"/>
    </row>
    <row r="241" spans="1:18" s="1" customFormat="1">
      <c r="A241" s="84"/>
      <c r="B241" s="110"/>
      <c r="C241" s="115" t="s">
        <v>438</v>
      </c>
      <c r="D241" s="18" t="s">
        <v>439</v>
      </c>
      <c r="E241" s="15">
        <v>46295</v>
      </c>
      <c r="F241" s="15">
        <v>48000</v>
      </c>
      <c r="G241" s="53">
        <f t="shared" ref="G241:G243" si="15">+F241-E241+1</f>
        <v>1706</v>
      </c>
      <c r="H241" s="60"/>
      <c r="I241" s="9"/>
      <c r="J241" s="9"/>
      <c r="K241" s="28"/>
      <c r="L241" s="28"/>
      <c r="M241" s="28"/>
      <c r="N241" s="28"/>
      <c r="O241" s="28"/>
      <c r="P241" s="35"/>
    </row>
    <row r="242" spans="1:18" s="3" customFormat="1" ht="51">
      <c r="A242" s="104"/>
      <c r="B242" s="93"/>
      <c r="C242" s="115" t="s">
        <v>440</v>
      </c>
      <c r="D242" s="18" t="s">
        <v>441</v>
      </c>
      <c r="E242" s="15">
        <v>46295</v>
      </c>
      <c r="F242" s="15">
        <v>46381</v>
      </c>
      <c r="G242" s="53">
        <f t="shared" si="15"/>
        <v>87</v>
      </c>
      <c r="H242" s="60"/>
      <c r="I242" s="9"/>
      <c r="J242" s="9"/>
      <c r="K242" s="62" t="s">
        <v>34</v>
      </c>
      <c r="L242" s="62" t="s">
        <v>34</v>
      </c>
      <c r="M242" s="62" t="s">
        <v>34</v>
      </c>
      <c r="N242" s="62" t="s">
        <v>34</v>
      </c>
      <c r="O242" s="55"/>
      <c r="P242" s="34"/>
      <c r="Q242" s="1">
        <v>8</v>
      </c>
      <c r="R242" s="1">
        <v>1</v>
      </c>
    </row>
    <row r="243" spans="1:18" s="3" customFormat="1" ht="81.599999999999994">
      <c r="A243" s="94"/>
      <c r="B243" s="95"/>
      <c r="C243" s="115" t="s">
        <v>442</v>
      </c>
      <c r="D243" s="52" t="s">
        <v>443</v>
      </c>
      <c r="E243" s="15">
        <v>46351</v>
      </c>
      <c r="F243" s="15">
        <v>48000</v>
      </c>
      <c r="G243" s="53">
        <f t="shared" si="15"/>
        <v>1650</v>
      </c>
      <c r="H243" s="60"/>
      <c r="I243" s="9"/>
      <c r="J243" s="9"/>
      <c r="K243" s="62" t="s">
        <v>34</v>
      </c>
      <c r="L243" s="62" t="s">
        <v>34</v>
      </c>
      <c r="M243" s="62" t="s">
        <v>34</v>
      </c>
      <c r="N243" s="62" t="s">
        <v>34</v>
      </c>
      <c r="O243" s="55"/>
      <c r="P243" s="39"/>
      <c r="Q243" s="1">
        <v>8</v>
      </c>
      <c r="R243" s="1">
        <v>1</v>
      </c>
    </row>
    <row r="244" spans="1:18" s="1" customFormat="1">
      <c r="A244" s="89"/>
      <c r="B244" s="90" t="s">
        <v>444</v>
      </c>
      <c r="C244" s="56"/>
      <c r="D244" s="57"/>
      <c r="E244" s="58">
        <v>46204</v>
      </c>
      <c r="F244" s="58">
        <v>48000</v>
      </c>
      <c r="G244" s="59">
        <f>+F244-E244+1</f>
        <v>1797</v>
      </c>
      <c r="H244" s="60"/>
      <c r="I244" s="9"/>
      <c r="J244" s="9"/>
      <c r="K244" s="61"/>
      <c r="L244" s="61"/>
      <c r="M244" s="61"/>
      <c r="N244" s="61"/>
      <c r="O244" s="61"/>
      <c r="P244" s="61"/>
    </row>
    <row r="245" spans="1:18" s="1" customFormat="1">
      <c r="B245" s="14"/>
    </row>
    <row r="246" spans="1:18" s="1" customFormat="1">
      <c r="H246" s="50"/>
    </row>
    <row r="247" spans="1:18" s="1" customFormat="1"/>
    <row r="248" spans="1:18" s="1" customFormat="1"/>
    <row r="249" spans="1:18" s="1" customFormat="1"/>
    <row r="250" spans="1:18" s="1" customFormat="1"/>
    <row r="251" spans="1:18" s="1" customFormat="1"/>
    <row r="252" spans="1:18" s="1" customFormat="1"/>
    <row r="253" spans="1:18" s="1" customFormat="1"/>
    <row r="254" spans="1:18" s="1" customFormat="1"/>
    <row r="255" spans="1:18" s="1" customFormat="1"/>
    <row r="256" spans="1:18" s="1" customFormat="1"/>
    <row r="257" s="1" customFormat="1"/>
    <row r="258" s="1" customFormat="1"/>
    <row r="259" s="1" customFormat="1"/>
    <row r="260" s="1" customFormat="1"/>
    <row r="261" s="1" customFormat="1"/>
    <row r="262" s="1" customFormat="1"/>
    <row r="263" s="1" customFormat="1"/>
    <row r="264" s="1" customFormat="1"/>
    <row r="265" s="1" customFormat="1"/>
    <row r="266" s="1" customFormat="1"/>
    <row r="267" s="1" customFormat="1"/>
    <row r="268" s="1" customFormat="1"/>
    <row r="269" s="1" customFormat="1"/>
    <row r="270" s="1" customFormat="1"/>
  </sheetData>
  <autoFilter ref="A16:P270" xr:uid="{00000000-0009-0000-0000-000000000000}"/>
  <pageMargins left="0.7" right="0.7" top="0.75" bottom="0.75" header="0.3" footer="0.3"/>
  <pageSetup paperSize="9" scale="3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Форма КП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Дмитрий Бабкин</dc:creator>
  <cp:lastModifiedBy>ALI</cp:lastModifiedBy>
  <cp:lastPrinted>2026-06-16T11:05:00Z</cp:lastPrinted>
  <dcterms:created xsi:type="dcterms:W3CDTF">2026-06-08T18:18:00Z</dcterms:created>
  <dcterms:modified xsi:type="dcterms:W3CDTF">2026-08-05T05:57:17Z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213CBC7DBC574383AC3ECB66523F3111_13</vt:lpwstr>
  </property>
  <property fmtid="{D5CDD505-2E9C-101B-9397-08002B2CF9AE}" pid="3" name="KSOProductBuildVer">
    <vt:lpwstr>1049-12.1.0.27458</vt:lpwstr>
  </property>
  <property fmtid="{D5CDD505-2E9C-101B-9397-08002B2CF9AE}" pid="4" name="CalculationRule">
    <vt:i4>0</vt:i4>
  </property>
</Properties>
</file>