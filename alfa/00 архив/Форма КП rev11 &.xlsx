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_m0cbj\Desktop\темп\АО Пушкинский\"/>
    </mc:Choice>
  </mc:AlternateContent>
  <xr:revisionPtr revIDLastSave="0" documentId="13_ncr:1_{6443DD4A-754F-4F6A-9794-5A8111E72075}" xr6:coauthVersionLast="36" xr6:coauthVersionMax="45" xr10:uidLastSave="{00000000-0000-0000-0000-000000000000}"/>
  <bookViews>
    <workbookView xWindow="-105" yWindow="-105" windowWidth="23250" windowHeight="12570" xr2:uid="{00000000-000D-0000-FFFF-FFFF00000000}"/>
  </bookViews>
  <sheets>
    <sheet name="Форма КП" sheetId="1" r:id="rId1"/>
  </sheets>
  <definedNames>
    <definedName name="_xlnm._FilterDatabase" localSheetId="0" hidden="1">'Форма КП'!$A$16:$H$272</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91029"/>
</workbook>
</file>

<file path=xl/calcChain.xml><?xml version="1.0" encoding="utf-8"?>
<calcChain xmlns="http://schemas.openxmlformats.org/spreadsheetml/2006/main">
  <c r="F241" i="1" l="1"/>
  <c r="E241" i="1"/>
  <c r="G219" i="1"/>
  <c r="G19" i="1"/>
  <c r="G20" i="1"/>
  <c r="G21" i="1"/>
  <c r="G22" i="1"/>
  <c r="G23" i="1"/>
  <c r="G24" i="1"/>
  <c r="G25" i="1"/>
  <c r="G27" i="1"/>
  <c r="G28" i="1"/>
  <c r="G29" i="1"/>
  <c r="G31" i="1"/>
  <c r="G32" i="1"/>
  <c r="G33" i="1"/>
  <c r="G35" i="1"/>
  <c r="G36" i="1"/>
  <c r="G37" i="1"/>
  <c r="G39" i="1"/>
  <c r="G40" i="1"/>
  <c r="G41" i="1"/>
  <c r="G43" i="1"/>
  <c r="G44" i="1"/>
  <c r="G45" i="1"/>
  <c r="G47" i="1"/>
  <c r="G48" i="1"/>
  <c r="G49" i="1"/>
  <c r="G51" i="1"/>
  <c r="G52" i="1"/>
  <c r="G53" i="1"/>
  <c r="G57" i="1"/>
  <c r="G58" i="1"/>
  <c r="G59" i="1"/>
  <c r="G60" i="1"/>
  <c r="G61" i="1"/>
  <c r="G62" i="1"/>
  <c r="G64" i="1"/>
  <c r="G65" i="1"/>
  <c r="G67" i="1"/>
  <c r="G68" i="1"/>
  <c r="G70" i="1"/>
  <c r="G71" i="1"/>
  <c r="G72" i="1"/>
  <c r="G74" i="1"/>
  <c r="G75" i="1"/>
  <c r="G77" i="1"/>
  <c r="G78" i="1"/>
  <c r="G79" i="1"/>
  <c r="G83" i="1"/>
  <c r="G84" i="1"/>
  <c r="G85" i="1"/>
  <c r="G86" i="1"/>
  <c r="G87" i="1"/>
  <c r="G88" i="1"/>
  <c r="G89" i="1"/>
  <c r="G90" i="1"/>
  <c r="G91" i="1"/>
  <c r="G92" i="1"/>
  <c r="G93" i="1"/>
  <c r="G94" i="1"/>
  <c r="G95" i="1"/>
  <c r="G99" i="1"/>
  <c r="G100" i="1"/>
  <c r="G101" i="1"/>
  <c r="G103" i="1"/>
  <c r="G104" i="1"/>
  <c r="G105" i="1"/>
  <c r="G106" i="1"/>
  <c r="G107" i="1"/>
  <c r="G108" i="1"/>
  <c r="G109" i="1"/>
  <c r="G110" i="1"/>
  <c r="G111" i="1"/>
  <c r="G113" i="1"/>
  <c r="G114" i="1"/>
  <c r="G115" i="1"/>
  <c r="G116" i="1"/>
  <c r="G118" i="1"/>
  <c r="G119" i="1"/>
  <c r="G120" i="1"/>
  <c r="G121" i="1"/>
  <c r="G122" i="1"/>
  <c r="G123" i="1"/>
  <c r="G125" i="1"/>
  <c r="G126" i="1"/>
  <c r="G127" i="1"/>
  <c r="G128" i="1"/>
  <c r="G130" i="1"/>
  <c r="G131" i="1"/>
  <c r="G132" i="1"/>
  <c r="G134" i="1"/>
  <c r="G135" i="1"/>
  <c r="G136" i="1"/>
  <c r="G137" i="1"/>
  <c r="G139" i="1"/>
  <c r="G140" i="1"/>
  <c r="G141" i="1"/>
  <c r="G142" i="1"/>
  <c r="G143" i="1"/>
  <c r="G147" i="1"/>
  <c r="G148" i="1"/>
  <c r="G149" i="1"/>
  <c r="G150" i="1"/>
  <c r="G151" i="1"/>
  <c r="G152" i="1"/>
  <c r="G153" i="1"/>
  <c r="G154" i="1"/>
  <c r="G155" i="1"/>
  <c r="G157" i="1"/>
  <c r="G158" i="1"/>
  <c r="G159" i="1"/>
  <c r="G161" i="1"/>
  <c r="G162" i="1"/>
  <c r="G163" i="1"/>
  <c r="G165" i="1"/>
  <c r="G169" i="1"/>
  <c r="G170" i="1"/>
  <c r="G171" i="1"/>
  <c r="G172" i="1"/>
  <c r="G174" i="1"/>
  <c r="G175" i="1"/>
  <c r="G176" i="1"/>
  <c r="G178" i="1"/>
  <c r="G179" i="1"/>
  <c r="G180" i="1"/>
  <c r="G183" i="1"/>
  <c r="G184" i="1"/>
  <c r="G185" i="1"/>
  <c r="G186" i="1"/>
  <c r="G187" i="1"/>
  <c r="G188" i="1"/>
  <c r="G189" i="1"/>
  <c r="G190" i="1"/>
  <c r="G191" i="1"/>
  <c r="G192" i="1"/>
  <c r="G193" i="1"/>
  <c r="G194" i="1"/>
  <c r="G195" i="1"/>
  <c r="G196" i="1"/>
  <c r="G197" i="1"/>
  <c r="G198" i="1"/>
  <c r="G199" i="1"/>
  <c r="G200" i="1"/>
  <c r="G201" i="1"/>
  <c r="G202" i="1"/>
  <c r="G203" i="1"/>
  <c r="G205" i="1"/>
  <c r="G206" i="1"/>
  <c r="G207" i="1"/>
  <c r="G209" i="1"/>
  <c r="G210" i="1"/>
  <c r="G213" i="1"/>
  <c r="G214" i="1"/>
  <c r="G216" i="1"/>
  <c r="G217" i="1"/>
  <c r="G221" i="1"/>
  <c r="G222" i="1"/>
  <c r="G223" i="1"/>
  <c r="G224" i="1"/>
  <c r="G225" i="1"/>
  <c r="G226" i="1"/>
  <c r="G227" i="1"/>
  <c r="G228" i="1"/>
  <c r="G230" i="1"/>
  <c r="G231" i="1"/>
  <c r="G232" i="1"/>
  <c r="G234" i="1"/>
  <c r="G235" i="1"/>
  <c r="G236" i="1"/>
  <c r="G239" i="1"/>
  <c r="G240" i="1"/>
  <c r="G243" i="1"/>
  <c r="G244" i="1"/>
  <c r="G245" i="1"/>
  <c r="G246" i="1"/>
  <c r="G241" i="1" l="1"/>
  <c r="G81" i="1"/>
  <c r="B16" i="1"/>
  <c r="C16" i="1" s="1"/>
  <c r="D16" i="1" s="1"/>
  <c r="E16" i="1" s="1"/>
  <c r="F16" i="1" s="1"/>
  <c r="G16" i="1" s="1"/>
  <c r="H16" i="1" s="1"/>
  <c r="G145" i="1" l="1"/>
  <c r="G55" i="1"/>
  <c r="G97" i="1"/>
  <c r="G17" i="1"/>
  <c r="G167" i="1"/>
</calcChain>
</file>

<file path=xl/sharedStrings.xml><?xml version="1.0" encoding="utf-8"?>
<sst xmlns="http://schemas.openxmlformats.org/spreadsheetml/2006/main" count="468" uniqueCount="462">
  <si>
    <t>ЗАКАЗЧИК:</t>
  </si>
  <si>
    <t>ОБЪЕКТ:</t>
  </si>
  <si>
    <t>мультимедийный центр, г. Москва</t>
  </si>
  <si>
    <t>Адрес:</t>
  </si>
  <si>
    <t>г.Москва</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</si>
  <si>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</si>
  <si>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</si>
  <si>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</si>
  <si>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</si>
  <si>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</si>
  <si>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</si>
  <si>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</si>
  <si>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</si>
  <si>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</si>
  <si>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</si>
  <si>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</si>
  <si>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</si>
  <si>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</si>
  <si>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</si>
  <si>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</si>
  <si>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</si>
  <si>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Этап - Градостроительный аудит и исходные условия реализации Проекта</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</si>
  <si>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</si>
  <si>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</si>
  <si>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</si>
  <si>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</si>
  <si>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</si>
  <si>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1.1.6 Готовит дорожную карту, матрицу ответственности участников проекта, регламенты, контроль сроков, бюджета, рисков и решений.</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</si>
  <si>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</si>
  <si>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1.2</t>
  </si>
  <si>
    <t>1.3</t>
  </si>
  <si>
    <t>Инженерно-геологические, гидрологические и экологические изыскания</t>
  </si>
  <si>
    <t>1.3.1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</si>
  <si>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</si>
  <si>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1.3.3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</si>
  <si>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1.4</t>
  </si>
  <si>
    <t>Техническое обследование строительных конструкций</t>
  </si>
  <si>
    <t>1.4.1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</si>
  <si>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</si>
  <si>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</si>
  <si>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Техническое обследование строительных конструкций зоны влияния</t>
  </si>
  <si>
    <t>1.5</t>
  </si>
  <si>
    <t>Историко-культурные изыскания</t>
  </si>
  <si>
    <t>1.5.1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</si>
  <si>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</si>
  <si>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t>
  </si>
  <si>
    <t>Изучение и систематизация материалов инженерно-геологических изысканий прошлых лет</t>
  </si>
  <si>
    <t>1.6.1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</si>
  <si>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</si>
  <si>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</si>
  <si>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1.7</t>
  </si>
  <si>
    <t>1.7.1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</si>
  <si>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</si>
  <si>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1.7.3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</si>
  <si>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t>
  </si>
  <si>
    <t>Этап - Архитектурная концепция и согласование</t>
  </si>
  <si>
    <t>2.1</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</si>
  <si>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</si>
  <si>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</si>
  <si>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2.1.3 Формирует архитектурную концепцию мультимедийного центра.</t>
  </si>
  <si>
    <t>2.1.c Архитектурная концепция мультимедийного центра</t>
  </si>
  <si>
    <t>2.1.d Schematic design и design intent</t>
  </si>
  <si>
    <t>2.2</t>
  </si>
  <si>
    <t>Рабочее рассмотрение Мэром Москвы (доработки материалов буклета)</t>
  </si>
  <si>
    <t>2.2.1 Готовит презентационные материалы для Заказчика, города / Мэра Москвы и публичного контура</t>
  </si>
  <si>
    <t>2.2.2 Сопровождает рассмотрение и доработку материалов у Мэра Москвы, «Активный гражданин», материалы для общественных обсуждений.</t>
  </si>
  <si>
    <t>2.3</t>
  </si>
  <si>
    <t>Архитектурная комиссия ДГП</t>
  </si>
  <si>
    <t>2.3.1 Готовит материалы для согласования с уполномоченными органами, архитектурного рассмотрения и профильных согласований.</t>
  </si>
  <si>
    <t>2.3.a Материалы для согласования</t>
  </si>
  <si>
    <t>2.4</t>
  </si>
  <si>
    <t>Альбом АГР и ВПМ</t>
  </si>
  <si>
    <t>2.5</t>
  </si>
  <si>
    <t>2.5.1 Готовит материалы для согласования с уполномоченными органами, архитектурное рассмотрение и профильные согласования.</t>
  </si>
  <si>
    <t>2.5.a Материалы для согласования</t>
  </si>
  <si>
    <t>2.5.2 Сопровождает в Архитектурной комиссии ДГП г. Москвы. Требования к материалам в формате IFC, представляемым в целях согласования архитектурно-градостроительных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</si>
  <si>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2.5.b Согласование в Архитектурной комиссии ДГП</t>
  </si>
  <si>
    <t>2.6</t>
  </si>
  <si>
    <t>Свидетельство об утверждении АГР</t>
  </si>
  <si>
    <t>2.6.1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</si>
  <si>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2.6.2 Сопровождает в ДГП, организует снятие и устранение замечаний.</t>
  </si>
  <si>
    <t>2.6.3 Сопровождает в оформлении Свидетельства об утверждении архитектурно-градостроительного решения объекта капитального строительства.</t>
  </si>
  <si>
    <t>2.7</t>
  </si>
  <si>
    <t xml:space="preserve">Этап - Получение ГПЗУ </t>
  </si>
  <si>
    <t>3.1</t>
  </si>
  <si>
    <t>Внесение изменений в ПЗЗ и ГПЗУ, сопровождение РГ и ГЗК</t>
  </si>
  <si>
    <t>3.1.1 Анализирует действующее ГПЗУ / имеющийся комплект градостроительных документов</t>
  </si>
  <si>
    <t>3.1.a Заключение по анализу ГПЗУ / имеющегося комплекта градостроительных документов</t>
  </si>
  <si>
    <t>3.1.2 Организует получение техническим заказчиком нового ГПЗУ или комплекта ГПЗУ.</t>
  </si>
  <si>
    <t>3.1.3 Проверяет соответствие ГПЗУ модели единого комплекса</t>
  </si>
  <si>
    <t>3.1.c Заключение о соответствии ГПЗУ модели единого комплекса</t>
  </si>
  <si>
    <t>3.1.4 Организует подготовку техническим заказчиком изменений в ГПЗУ при необходимости.</t>
  </si>
  <si>
    <t>3.1.d Изменённый ГПЗУ</t>
  </si>
  <si>
    <t>3.1.5 Готовит материалы для ГЗК и сопровождает рассмотрение на ГЗК.</t>
  </si>
  <si>
    <t>3.1.e Протокол ГЗК</t>
  </si>
  <si>
    <t>3.1.6 Готовит материалы по изменению ПЗЗ и сопровождает процедуру изменения ПЗЗ.</t>
  </si>
  <si>
    <t>3.1.7 Организует процедуру общественных обсуждений по градостроительным изменениям и ведёт учёт результатов процедур в дорожной карте.</t>
  </si>
  <si>
    <t>3.1.g Протокол общественных обсуждений</t>
  </si>
  <si>
    <t>3.1.8 Организует согласование материалов с уполномоченными органами, архитектурное рассмотрение и профильные согласования.</t>
  </si>
  <si>
    <t>3.1.9 Организует согласования с Москомнаследием, транспортными органами, балансодержателями сетей, РСО, по благоустройству и медиафасадам при необходимости.</t>
  </si>
  <si>
    <t>3.1.10 Контролирует управление градостроительным блоком, сроки, бюджет, риски и ключевые события.</t>
  </si>
  <si>
    <t>3.1.j Сводная отчётность по градостроительному блоку</t>
  </si>
  <si>
    <t>3.1.11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</si>
  <si>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</si>
  <si>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3.2</t>
  </si>
  <si>
    <t>Этап - Выпуск Проектной документации стадии «Проект»</t>
  </si>
  <si>
    <t>4.1</t>
  </si>
  <si>
    <t>Проектная документация</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</si>
  <si>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</si>
  <si>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</si>
  <si>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t>
  </si>
  <si>
    <t>4.2.1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</si>
  <si>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</si>
  <si>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4.2.4 Собирает комплект ПД и результатов изысканий для экспертизы.</t>
  </si>
  <si>
    <t>4.2.d Комплект документации для экспертизы</t>
  </si>
  <si>
    <t>4.2.5 Определяет совместно с техническим заказчиком вид экспертизы.</t>
  </si>
  <si>
    <t>4.2.e Определённый вид экспертизы</t>
  </si>
  <si>
    <t>4.2.6 Обеспечивает осуществление историко-культурной, экологической, промышленной и иных специальных экспертиз при необходимости.</t>
  </si>
  <si>
    <t>4.2.7 Организует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</si>
  <si>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4.3</t>
  </si>
  <si>
    <t>Проект организации демонтажа</t>
  </si>
  <si>
    <t>4.3.1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</si>
  <si>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</si>
  <si>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t>
  </si>
  <si>
    <t>Схема транспортного обеспечения объекта</t>
  </si>
  <si>
    <t>4.4.1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</si>
  <si>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</si>
  <si>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4.4.3 Контролирует проектную организацию при сборе данных, моделировании транспортных потоков и расчёте нагрузки на улично-дорожную сеть (УДС).</t>
  </si>
  <si>
    <t>4.4.4 Сопровождает согласования в ДГП</t>
  </si>
  <si>
    <t>4.4.5 Рассматривает схему на соответствие градостроительным нормам и проектам планировки территории.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</si>
  <si>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4.4.6 Сопровождает согласования в УГИБДД, ЦОДД</t>
  </si>
  <si>
    <t>4.5</t>
  </si>
  <si>
    <t>4.5.1 Контролирует организацию мероприятий по сохранности окружающей застройки, археологии и историко-культурному наследию.</t>
  </si>
  <si>
    <t>4.5.2 Контролирует организацию защитных мероприятий по соседним зданиям, логистики в центре Москвы и подготовки к началу основных работ</t>
  </si>
  <si>
    <t>4.5.3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</si>
  <si>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4.5.4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</si>
  <si>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t>
  </si>
  <si>
    <t>Мероприятия по обеспечению сохранности сооружений метрополитена с согласованием с ГУП "Московский метрополитен".</t>
  </si>
  <si>
    <t>4.6.1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</si>
  <si>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</si>
  <si>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</si>
  <si>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4.7</t>
  </si>
  <si>
    <t xml:space="preserve">Мероприятия по обеспечению сохранности подземных сооружений и инженерных коммуникаций </t>
  </si>
  <si>
    <t>4.7.1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</si>
  <si>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</si>
  <si>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4.7.3 Координирует работы для обеспечения комплекса мероприятий для сохранения подземных сооружений и инженерных коммуникаций</t>
  </si>
  <si>
    <t>4.7.c Мероприятия по сохранению подземных сооружений и коммуникаций</t>
  </si>
  <si>
    <t>4.7.4 Контролирует разработку проектной документации в соответствии с требованиями Постановления Правительства Москвы.</t>
  </si>
  <si>
    <t>4.8</t>
  </si>
  <si>
    <t>Проект обеспечения сохранности ОКН, вкл. ГИКЭ и согласование ДКН</t>
  </si>
  <si>
    <t>4.8.1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</si>
  <si>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</si>
  <si>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4.8.3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</si>
  <si>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4.8.c Заключение историко-культурной экспертизы</t>
  </si>
  <si>
    <t>4.8.4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</si>
  <si>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4.8.5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</si>
  <si>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4.8.e Мероприятия и документы по защите объектов культурного наследия</t>
  </si>
  <si>
    <t>4.9</t>
  </si>
  <si>
    <t>Этап - Прохождение экспертизы и получение Разрешения на реконструкцию</t>
  </si>
  <si>
    <t>5.1</t>
  </si>
  <si>
    <t>Государственная экспертиза ПД и РИИ</t>
  </si>
  <si>
    <t>5.1.1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</si>
  <si>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5.1.a Заявление в электронной форме (ЛК Застройщика)</t>
  </si>
  <si>
    <t>5.1.2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</si>
  <si>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5.1.b Пакет проектной документации и изысканий</t>
  </si>
  <si>
    <t>5.1.3 Обеспечивает входной контроль, присвоение входящего номера и дела.</t>
  </si>
  <si>
    <t>5.1.c Входящий номер и регистрация дела</t>
  </si>
  <si>
    <t>5.1.4 Обеспечивает подготовку к заключению техническим заказчиком договора и организует оплату. Контролирует подготовку распределительных писем.</t>
  </si>
  <si>
    <t>5.1.5 Отслеживает и контролирует отработку и снятие замечаний экспертов. Контролирует дозагрузку ПД.</t>
  </si>
  <si>
    <t>5.1.6 Контролирует регистрацию заявок на консультации с экспертами.</t>
  </si>
  <si>
    <t>5.1.g Заявки на консультации с экспертами</t>
  </si>
  <si>
    <t>5.1.h Положительное заключение</t>
  </si>
  <si>
    <t>5.1.7 Организует продление услуги техническим заказчиком в случае необходимости.</t>
  </si>
  <si>
    <t>5.1.i Продление срока услуги</t>
  </si>
  <si>
    <t>5.2</t>
  </si>
  <si>
    <t>Сопровождение государственной экспертизы</t>
  </si>
  <si>
    <t>5.2.1 Контролирует заключение и оплату договора техническим заказчиком.</t>
  </si>
  <si>
    <t>5.2.2 Сопровождает загрузку документов, обеспечивает дополнительные консультации экспертов, сопровождает дозагрузку.</t>
  </si>
  <si>
    <t>5.2.3 Координирует работу участников.</t>
  </si>
  <si>
    <t>5.3</t>
  </si>
  <si>
    <t>Разрешение на реконструкцию</t>
  </si>
  <si>
    <t>5.3.1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</si>
  <si>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5.3.a Заявление в электронной форме (ЛК Застройщика)</t>
  </si>
  <si>
    <t>5.3.2 Формирует пакет проектной документации и результатов инженерных изысканий, Заявления и Анкеты, положительного заключения Мосгосэкспертизы.</t>
  </si>
  <si>
    <t>5.4</t>
  </si>
  <si>
    <t>Программа проверок Мосгостройнадзора</t>
  </si>
  <si>
    <t>5.4.1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</si>
  <si>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5.5.</t>
  </si>
  <si>
    <t xml:space="preserve">Этап - Реконструкция Объекта </t>
  </si>
  <si>
    <t>6.1</t>
  </si>
  <si>
    <t>Рабочая документация</t>
  </si>
  <si>
    <t>6.1.1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</si>
  <si>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</si>
  <si>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6.1.c Проверенная РД, соответствующая ПД и бюджету</t>
  </si>
  <si>
    <t>6.2</t>
  </si>
  <si>
    <t>Разработка дизайна и концепции интерьеров, рабочая документация на РСР</t>
  </si>
  <si>
    <t>6.2.1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</si>
  <si>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</si>
  <si>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6.2.3 Координирует оформление пространства, определение стиля, атмосферы, функциональности и эстетики, разработку рабочей документации.</t>
  </si>
  <si>
    <t>6.3</t>
  </si>
  <si>
    <t>6.3.1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</si>
  <si>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</si>
  <si>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t>
  </si>
  <si>
    <t>Генеральный подряд, СМР</t>
  </si>
  <si>
    <t>6.4.1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</si>
  <si>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</si>
  <si>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6.4.3 Контролирует передачу площадки подрядчику, организацию стройгородка, временных сетей и временного электроснабжения.</t>
  </si>
  <si>
    <t>6.4.c Обустроенная строительная площадка</t>
  </si>
  <si>
    <t>6.4.4 Обеспечивает организацию защитных мероприятий по соседним зданиям, организацию логистики в центре Москвы и подготовку к началу основных работ.</t>
  </si>
  <si>
    <t>6.4.d Защитные мероприятия и логистика площадки</t>
  </si>
  <si>
    <t>6.4.5 Координирует и сопровождает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</si>
  <si>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6.4.e Рабочая документация</t>
  </si>
  <si>
    <t>6.4.6 Координирует процесс внесения изменений в РД.</t>
  </si>
  <si>
    <t>6.4.7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</si>
  <si>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6.4.g Заключённые договоры строительной стадии</t>
  </si>
  <si>
    <t>6.4.h Выполненные работы по реконструкции</t>
  </si>
  <si>
    <t>6.4.9 Контролирует демонтаж отдельных конструкций, усиление, подземную часть / нулевой цикл, фундаменты и геотехнику.</t>
  </si>
  <si>
    <t>6.4.10 Контролирует строительство основного конструктива, перекрытий, новых объёмов, интеграцию существующего и нового.</t>
  </si>
  <si>
    <t>6.4.j Основной конструктив здания</t>
  </si>
  <si>
    <t>6.4.11 Контролирует фасадные работы, кровлю, гидроизоляцию, наружную оболочку, лестницы, платформы и эксплуатируемую кровлю.</t>
  </si>
  <si>
    <t>6.4.k Фасады и кровля</t>
  </si>
  <si>
    <t>6.4.12 Контролирует внутренние и внешние инженерные системы, BMS, пожарную безопасность, лифты, эскалаторы и инженерные нагрузки.</t>
  </si>
  <si>
    <t>6.4.l Инженерные системы здания</t>
  </si>
  <si>
    <t>6.4.13 Контролирует мультимедиа, свет, звук, видео, IT, сценическое / выставочное оборудование, поставки и монтаж.</t>
  </si>
  <si>
    <t>6.4.m Мультимедийное оборудование</t>
  </si>
  <si>
    <t>6.4.14 Контролирует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</si>
  <si>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6.4.n Отделочные работы и интерьеры</t>
  </si>
  <si>
    <t>6.4.15 Контролирует внешние сети, подключения, благоустройство территории и городскую интеграцию.</t>
  </si>
  <si>
    <t>6.4.o Внешние сети и благоустройство</t>
  </si>
  <si>
    <t>6.4.16 Контролирует логистику поставок, охрану труда, промышленную и пожарную безопасность на период работ.</t>
  </si>
  <si>
    <t>6.4.p Логистика и охрана труда на площадке</t>
  </si>
  <si>
    <t>6.4.17 Контролирует график, бюджет, качество СМР, исполнительную документацию, координирует авторский надзор и авторское сопровождение design intent.</t>
  </si>
  <si>
    <t>6.4.18 Контролирует устранение предписаний и замечаний надзорных органов, координирует управление изменениями на строительстве.</t>
  </si>
  <si>
    <t>6.4.r Устранённые предписания надзорных органов</t>
  </si>
  <si>
    <t>6.4.21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</si>
  <si>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6.4.u Резерв и план-факт анализ строительной стадии</t>
  </si>
  <si>
    <t>6.5</t>
  </si>
  <si>
    <t xml:space="preserve">Строительный контроль </t>
  </si>
  <si>
    <t>6.5.2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</si>
  <si>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6.5.3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</si>
  <si>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6.6</t>
  </si>
  <si>
    <t xml:space="preserve">Автороский надзор иностранного архитектора </t>
  </si>
  <si>
    <t>6.6.1 Организует заключение техническим заказчиком договора на авторский надзор и контролирует выполнение работ.</t>
  </si>
  <si>
    <t>6.6.a Договор на авторский надзор</t>
  </si>
  <si>
    <t>6.6.2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</si>
  <si>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6.7</t>
  </si>
  <si>
    <t>Авторский надзор генерального проектировщика</t>
  </si>
  <si>
    <t>6.7.1 Организует заключение техническим заказчиком договора на авторский надзор генерального проектировщика и контролирует выполнение работ.</t>
  </si>
  <si>
    <t>6.7.a Договор на авторский надзор генерального проектировщика</t>
  </si>
  <si>
    <t>6.7.2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</si>
  <si>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6.8</t>
  </si>
  <si>
    <t>Аторский надзор дизайнера интерьеров</t>
  </si>
  <si>
    <t>6.8.1 Организует заключение техническим заказчиком договора на авторский надзор (интерьеры) и контролирует выполнение работ.</t>
  </si>
  <si>
    <t>6.8.a Договор на авторский надзор (интерьеры)</t>
  </si>
  <si>
    <t>6.8.2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</si>
  <si>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6.9</t>
  </si>
  <si>
    <t>Этап - Сдача Объекта, ЗОС, разрешение на ввод</t>
  </si>
  <si>
    <t>7.1</t>
  </si>
  <si>
    <t xml:space="preserve">Программа испытаний, ЗОС и Акт ввода </t>
  </si>
  <si>
    <t>7.1.a Заключение о соответствии (ЗОС)</t>
  </si>
  <si>
    <t>7.1.b Проверенная исполнительная документация</t>
  </si>
  <si>
    <t>7.1.3 Контролирует проведение индивидуальных испытаний инженерных систем.</t>
  </si>
  <si>
    <t>7.1.c Результаты индивидуальных испытаний инженерных систем</t>
  </si>
  <si>
    <t>7.1.4 Контролирует проведение комплексных испытаний.</t>
  </si>
  <si>
    <t>7.1.d Результаты комплексных испытаний</t>
  </si>
  <si>
    <t>7.1.5 Контролирует пусконаладку мультимедийного оборудования.</t>
  </si>
  <si>
    <t>7.1.e Результаты пусконаладки мультимедийного оборудования</t>
  </si>
  <si>
    <t>7.1.6 Контролирует организацию итоговой проверки Мосгосстройнадзора.</t>
  </si>
  <si>
    <t>7.1.f Акт итоговой проверки Мосгосстройнадзора</t>
  </si>
  <si>
    <t>7.1.7 Контролирует получение техническим заказчиком ЗОС.</t>
  </si>
  <si>
    <t>7.1.g Заключение о соответствии (ЗОС)</t>
  </si>
  <si>
    <t>7.1.8 Контролирует получение техническим заказчиком разрешения на ввод.</t>
  </si>
  <si>
    <t>7.1.h Разрешение на ввод объекта</t>
  </si>
  <si>
    <t>7.2</t>
  </si>
  <si>
    <t>Кадастровые работы и Регистрация права собственности на ОКС</t>
  </si>
  <si>
    <t>7.2.2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</si>
  <si>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</si>
  <si>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t>
  </si>
  <si>
    <t>Оформление паспорта БТИ всего комплекса зданий с учетом нового ОКС</t>
  </si>
  <si>
    <t>7.3.a Переданный объект</t>
  </si>
  <si>
    <t>7.3.2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</si>
  <si>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7.4</t>
  </si>
  <si>
    <t>Акт ввода (КС-14)</t>
  </si>
  <si>
    <t>7.4.1 Контролирует организацию итоговой проверки Мосгосстройнадзора.</t>
  </si>
  <si>
    <t>7.4.2 Контролирует организацию получения техническим заказчиком разрешения на ввод.</t>
  </si>
  <si>
    <t>8</t>
  </si>
  <si>
    <t>Работы и услуги в течении реализации проекта</t>
  </si>
  <si>
    <t>8.1</t>
  </si>
  <si>
    <t xml:space="preserve">Услуги технического заказчика </t>
  </si>
  <si>
    <t>8.1.2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</si>
  <si>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8.1.b Протокол о результатах отбора технического заказчика</t>
  </si>
  <si>
    <t>8.1.3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</si>
  <si>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ПЕРИОД РЕАЛИЗАЦИИ ПРОЕКТА</t>
  </si>
  <si>
    <t>1.9</t>
  </si>
  <si>
    <t>1.8.3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</si>
  <si>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</si>
  <si>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</si>
  <si>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1.5.3 Организует обследования, изыскания и специальные исследования зоны влияния.</t>
  </si>
  <si>
    <t>1.2.1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</si>
  <si>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</si>
  <si>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1.2.3 Организует привлечение технического заказчика и других участников, необходимых для выполнения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</si>
  <si>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2.4.1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</si>
  <si>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</si>
  <si>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3.1.13 Координирует работу</t>
  </si>
  <si>
    <t>7.4.b ЗОС и разрешение на ввод объекта в эксплуатацию</t>
  </si>
  <si>
    <t>7.4.a Заключение от Мосгосстройнадзора.</t>
  </si>
  <si>
    <t>6.4.s Корректные  КС-2, КС-3</t>
  </si>
  <si>
    <t>6.4.q Исполненный график, бюджет и качество СМР</t>
  </si>
  <si>
    <t>Площадь объекта, м2</t>
  </si>
  <si>
    <t>Бонус УК за выполнение этапа, без НДС</t>
  </si>
  <si>
    <t>Ежемесячное вознаграждение, без НДС</t>
  </si>
  <si>
    <t>6.4.f Измененная РД</t>
  </si>
  <si>
    <t>5.2.c Согласованность действий всех участников</t>
  </si>
  <si>
    <t>6.4.i Демонтированные и усиленные конструкции</t>
  </si>
  <si>
    <r>
      <t>1.1.5 Определяет необходимость корректировки ПЗЗ</t>
    </r>
    <r>
      <rPr>
        <b/>
        <sz val="8"/>
        <color rgb="FFFF0000"/>
        <rFont val="Arial"/>
        <family val="2"/>
        <charset val="204"/>
      </rPr>
      <t>/ГЗ</t>
    </r>
    <r>
      <rPr>
        <sz val="8"/>
        <rFont val="Arial"/>
        <family val="2"/>
        <charset val="204"/>
      </rPr>
      <t xml:space="preserve"> и проведения публичных процедур, готовит градостроительное заключение по реализуемости проекта.</t>
    </r>
  </si>
  <si>
    <r>
      <t xml:space="preserve">1.4.c Программа изыскательских работ и техническое задание, согласованное заключение по изысканиям, техническое заключение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</si>
  <si>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Вознаграждение УК за выполнение этапа (бонус)</t>
  </si>
  <si>
    <r>
      <t xml:space="preserve">2.3.b Согласованное АГР / </t>
    </r>
    <r>
      <rPr>
        <b/>
        <sz val="8"/>
        <color rgb="FFFF0000"/>
        <rFont val="Arial"/>
        <family val="2"/>
        <charset val="204"/>
      </rPr>
      <t>АГО</t>
    </r>
  </si>
  <si>
    <r>
      <t xml:space="preserve">3.1.m График прохождения согласований, Заключения профильных департаментов, Протоколы РГ, ГЗК, </t>
    </r>
    <r>
      <rPr>
        <b/>
        <sz val="8"/>
        <color rgb="FFFF0000"/>
        <rFont val="Arial"/>
        <family val="2"/>
        <charset val="204"/>
      </rPr>
      <t xml:space="preserve">ППМ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</si>
  <si>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Программа мониторинга прилегающих строений, </t>
    </r>
    <r>
      <rPr>
        <b/>
        <sz val="8"/>
        <color rgb="FF0070C0"/>
        <rFont val="Arial"/>
        <family val="2"/>
        <charset val="204"/>
      </rPr>
      <t>обследование зоны влияния</t>
    </r>
  </si>
  <si>
    <r>
      <t xml:space="preserve">4.7.d Проектная документация </t>
    </r>
    <r>
      <rPr>
        <b/>
        <sz val="8"/>
        <color rgb="FF0070C0"/>
        <rFont val="Arial"/>
        <family val="2"/>
        <charset val="204"/>
      </rPr>
      <t>в объеме, требуемом всеми нормативными документами и достаточном для  дальнейшей реализации проекта</t>
    </r>
  </si>
  <si>
    <r>
      <t xml:space="preserve">4.2.9 Сопровождает заключение договора на подготовку научно-технического заключения и координирует </t>
    </r>
    <r>
      <rPr>
        <b/>
        <sz val="8"/>
        <color rgb="FF0070C0"/>
        <rFont val="Arial"/>
        <family val="2"/>
        <charset val="204"/>
      </rPr>
      <t>все необходимые согласования</t>
    </r>
  </si>
  <si>
    <r>
      <t xml:space="preserve">Специальные инженерно-геофизические изыскания (вертикальное сейсмопрофилирование, </t>
    </r>
    <r>
      <rPr>
        <b/>
        <sz val="8"/>
        <color rgb="FFFF0000"/>
        <rFont val="Arial"/>
        <family val="2"/>
        <charset val="204"/>
      </rPr>
      <t>НТС</t>
    </r>
    <r>
      <rPr>
        <b/>
        <sz val="8"/>
        <rFont val="Arial"/>
        <family val="2"/>
        <charset val="204"/>
      </rPr>
      <t xml:space="preserve"> в случае обнаружения опасных техногенных грунтов)</t>
    </r>
  </si>
  <si>
    <t xml:space="preserve">4.2.8 Сопровождает в НТС ГО ЧС </t>
  </si>
  <si>
    <r>
      <t xml:space="preserve">4.8.d Согласование проектной документации по ОКН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</si>
  <si>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5.2.b Сопровождение экспертизы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</si>
  <si>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5.3.b Пакет проектной документации и изысканий </t>
    </r>
    <r>
      <rPr>
        <sz val="8"/>
        <color rgb="FF0070C0"/>
        <rFont val="Arial"/>
        <family val="2"/>
        <charset val="204"/>
      </rPr>
      <t>в объеме, требуемом всеми нормативными документами и достаточном для получения РнР и дальнейшей реализации проекта</t>
    </r>
  </si>
  <si>
    <r>
      <t xml:space="preserve">5.3.c Разрешение на </t>
    </r>
    <r>
      <rPr>
        <b/>
        <sz val="8"/>
        <color rgb="FFFF0000"/>
        <rFont val="Arial"/>
        <family val="2"/>
        <charset val="204"/>
      </rPr>
      <t>реконструкцию</t>
    </r>
  </si>
  <si>
    <t>5.3.3 Сопровождает оформление разрешения на реконструкцию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</si>
  <si>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r>
      <t xml:space="preserve">6.1.3 </t>
    </r>
    <r>
      <rPr>
        <b/>
        <sz val="8"/>
        <color rgb="FF0070C0"/>
        <rFont val="Arial (Основной текст)"/>
        <charset val="204"/>
      </rPr>
      <t xml:space="preserve">Организует проверку Техническим заказчиком </t>
    </r>
    <r>
      <rPr>
        <sz val="8"/>
        <rFont val="Arial (Основной текст)"/>
        <charset val="204"/>
      </rPr>
      <t xml:space="preserve"> РД на соответствие ПД, экспертизе и бюджету; координирует управление изменениями РД.</t>
    </r>
  </si>
  <si>
    <r>
      <t>6.1.4 Координирует разработку проектной документации стадии РД и выпуск «в производство работ» по</t>
    </r>
    <r>
      <rPr>
        <b/>
        <sz val="8"/>
        <color rgb="FF0070C0"/>
        <rFont val="Arial (Основной текст)"/>
        <charset val="204"/>
      </rPr>
      <t xml:space="preserve"> всем необходимым разделам</t>
    </r>
    <r>
      <rPr>
        <sz val="8"/>
        <rFont val="Arial (Основной текст)"/>
        <charset val="204"/>
      </rPr>
      <t>.</t>
    </r>
  </si>
  <si>
    <r>
      <t xml:space="preserve">6.1.d Рабочая документация </t>
    </r>
    <r>
      <rPr>
        <b/>
        <sz val="8"/>
        <color rgb="FFFF0000"/>
        <rFont val="Arial"/>
        <family val="2"/>
        <charset val="204"/>
      </rPr>
      <t>выпущена "в производство работ"</t>
    </r>
  </si>
  <si>
    <r>
      <t xml:space="preserve">6.4.19 </t>
    </r>
    <r>
      <rPr>
        <b/>
        <sz val="8"/>
        <color rgb="FF0070C0"/>
        <rFont val="Arial"/>
        <family val="2"/>
        <charset val="204"/>
      </rPr>
      <t>Координирует оплату Технического заказчика и всех других участников на строительной стадии</t>
    </r>
    <r>
      <rPr>
        <sz val="8"/>
        <rFont val="Arial"/>
        <family val="2"/>
        <charset val="204"/>
      </rPr>
      <t>: подписание КС-2 / КС-3, качество материалов, исполнительную документацию, проверки Мосгосстройнадзора, отчётность и координацию.</t>
    </r>
  </si>
  <si>
    <t xml:space="preserve">7.1.1 Контролирует организацию подачи и сопровождения техническим заказчиком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t>
  </si>
  <si>
    <t>7.1.2 Контролирует исполнительную документацию и участвует в сопровождении проверок Мосгосстройнадзора.</t>
  </si>
  <si>
    <r>
      <t>7.2.1 Организует кадастровый учёт реконструированного объекта</t>
    </r>
    <r>
      <rPr>
        <sz val="8"/>
        <color rgb="FFFF0000"/>
        <rFont val="Arial"/>
        <family val="2"/>
        <charset val="204"/>
      </rPr>
      <t xml:space="preserve"> техническим заказчиком.</t>
    </r>
  </si>
  <si>
    <r>
      <t>7.3.3 Сопровождает договорную работу</t>
    </r>
    <r>
      <rPr>
        <sz val="8"/>
        <color rgb="FFFF0000"/>
        <rFont val="Arial (Основной текст)"/>
        <charset val="204"/>
      </rPr>
      <t xml:space="preserve"> технического заказчика</t>
    </r>
    <r>
      <rPr>
        <sz val="8"/>
        <rFont val="Arial (Основной текст)"/>
        <charset val="204"/>
      </rPr>
      <t>: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r>
  </si>
  <si>
    <r>
      <t xml:space="preserve">7.3.1 Организует передачу объекта </t>
    </r>
    <r>
      <rPr>
        <sz val="8"/>
        <color rgb="FFFF0000"/>
        <rFont val="Arial (Основной текст)"/>
        <charset val="204"/>
      </rPr>
      <t>оператору / эксплуатирующей организации</t>
    </r>
    <r>
      <rPr>
        <sz val="8"/>
        <rFont val="Arial (Основной текст)"/>
        <charset val="204"/>
      </rPr>
      <t>.</t>
    </r>
  </si>
  <si>
    <r>
      <t xml:space="preserve">8.1.1 Организует подбор технического заказчика, организовывает и контролирует его работу </t>
    </r>
    <r>
      <rPr>
        <sz val="8"/>
        <color rgb="FF0070C0"/>
        <rFont val="Arial (Основной текст)"/>
        <charset val="204"/>
      </rPr>
      <t>и работу всех других участников проекта</t>
    </r>
    <r>
      <rPr>
        <sz val="8"/>
        <rFont val="Arial (Основной текст)"/>
        <charset val="204"/>
      </rPr>
      <t>.</t>
    </r>
  </si>
  <si>
    <r>
      <t xml:space="preserve">8.1.c Договор с техническим заказчиком </t>
    </r>
    <r>
      <rPr>
        <b/>
        <sz val="8"/>
        <color rgb="FF0070C0"/>
        <rFont val="Arial"/>
        <family val="2"/>
        <charset val="204"/>
      </rPr>
      <t>исполнен в полном объеме</t>
    </r>
  </si>
  <si>
    <t>1.2.a Протокол о результатах закупки утвержден</t>
  </si>
  <si>
    <t>1.3.a Протокол о результатах закупки утвержден</t>
  </si>
  <si>
    <t>1.4.a Протокол о результатах закупки утвержден</t>
  </si>
  <si>
    <t>1.5.a Протокол о результатах закупки утвержден</t>
  </si>
  <si>
    <t>1.6.a Протокол о результатах закупки утвержден</t>
  </si>
  <si>
    <t>1.7.a Протокол о результатах закупки утвержден</t>
  </si>
  <si>
    <t>1.8.a Протокол о результатах закупки утвержден</t>
  </si>
  <si>
    <t>2.1.a Протокол о результатах закупки утвержден</t>
  </si>
  <si>
    <t>2.4.a Протокол о результатах закупки утвержден</t>
  </si>
  <si>
    <t>3.1.k Протокол о результатах закупки утвержден</t>
  </si>
  <si>
    <t>4.1.a Протокол о результатах закупки утвержден</t>
  </si>
  <si>
    <t>4.2.a Протокол о результатах закупки утвержден</t>
  </si>
  <si>
    <t>4.3.a Протокол о результатах закупки утвержден</t>
  </si>
  <si>
    <t>4.4.a Протокол о результатах закупки утвержден</t>
  </si>
  <si>
    <t>4.5.c Протокол о результатах закупки утвержден</t>
  </si>
  <si>
    <t>4.6.a Протокол о результатах закупки утвержден</t>
  </si>
  <si>
    <t>4.7.a Протокол о результатах закупки утвержден</t>
  </si>
  <si>
    <t>4.8.a Протокол о результатах закупки утвержден</t>
  </si>
  <si>
    <t>6.1.a Протокол о результатах закупки утвержден</t>
  </si>
  <si>
    <t>6.2.a Протокол о результатах закупки утвержден</t>
  </si>
  <si>
    <t>6.3.a Протокол о результатах закупки утвержден</t>
  </si>
  <si>
    <t>6.4.a Протокол о результатах закупки утвержден</t>
  </si>
  <si>
    <t>6.5.b Протокол о результатах закупки утвержден</t>
  </si>
  <si>
    <t>7.2.b Протокол о результатах закупки утвержден</t>
  </si>
  <si>
    <t>7.3.b Протокол о результатах закупки утвержден</t>
  </si>
  <si>
    <t>1.1.b Юридическая модель реконструкции увтерждена</t>
  </si>
  <si>
    <r>
      <t xml:space="preserve">1.1.3 Анализирует возможности реализации проекта как единого комплекса и готовит юридическую позицию по </t>
    </r>
    <r>
      <rPr>
        <b/>
        <sz val="8"/>
        <color rgb="FFFF0000"/>
        <rFont val="Arial"/>
        <family val="2"/>
        <charset val="204"/>
      </rPr>
      <t>глубокой</t>
    </r>
    <r>
      <rPr>
        <sz val="8"/>
        <rFont val="Arial"/>
        <family val="2"/>
        <charset val="204"/>
      </rPr>
      <t xml:space="preserve"> реконструкции, проверяет необходимость объединения / перераспределения земельных участков и кадастровых работ по участкам и объектам недвижимости.</t>
    </r>
  </si>
  <si>
    <t>1.1.c Юридическое заключение о реализуемости проекта представлено</t>
  </si>
  <si>
    <t>1.1.d Аналитический отчёт по градостроительным ограничениям представлен</t>
  </si>
  <si>
    <t>1.1.e Заключение о необходимости изменения ПЗЗ представлено</t>
  </si>
  <si>
    <t>1.1.g Бюджетная структура проекта утверждена Застройщиком</t>
  </si>
  <si>
    <t>1.1.f Дорожная карта проекта утверждена Застройщиком</t>
  </si>
  <si>
    <r>
      <t xml:space="preserve">1.3.c Программа изыскательских работ и техническое задание, заключение по изысканиям </t>
    </r>
    <r>
      <rPr>
        <sz val="8"/>
        <color rgb="FF0070C0"/>
        <rFont val="Arial (Основной текст)"/>
        <charset val="204"/>
      </rPr>
      <t>согласованы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</si>
  <si>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1.7.c Технический отчет по результатам изучения и систематизации материалов инженерно-геологических изысканий прошлых лет представлен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</si>
  <si>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1.8.c Программа изыскательских работ и техническое задание, заключение по изысканиям, Техническое заключение представлены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</si>
  <si>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1.5.c Программа изыскательских работ и техническое задание, согласованное заключение по изысканиям, техническое заключение представлены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</si>
  <si>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1.6.c Заключение по изысканиям,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 представлены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</si>
  <si>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2.1.5 Обеспечивает подготовку презентационных материалов для Заказчика, города / Мэра Москвы и публичного контура и </t>
    </r>
    <r>
      <rPr>
        <sz val="8"/>
        <color rgb="FFFF0000"/>
        <rFont val="Arial (Основной текст)"/>
        <charset val="204"/>
      </rPr>
      <t>обеспечивает разработку экспизного проекта в соответствие с авторской идей</t>
    </r>
  </si>
  <si>
    <t>2.1.e Презентационные материалы представлены</t>
  </si>
  <si>
    <r>
      <t xml:space="preserve">2.1.f Буклет АГК и НПМ подготовлены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</si>
  <si>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2.2.a Презентационные материалы представлены и согласованы</t>
  </si>
  <si>
    <t>2.2.b Согласованы материалы общественных обсуждений</t>
  </si>
  <si>
    <r>
      <t>2.4.3 Проводит административное сопровождение через Техзаказчика, организует подачу документов, сопровождает прохождение Архкомиссии ДГП</t>
    </r>
    <r>
      <rPr>
        <b/>
        <sz val="8"/>
        <color rgb="FF0070C0"/>
        <rFont val="Arial (Основной текст)"/>
        <charset val="204"/>
      </rPr>
      <t xml:space="preserve"> и обеспечивает получение других необходимых согласований.</t>
    </r>
  </si>
  <si>
    <r>
      <t xml:space="preserve">2.4.c Заключение Архитектурной комиссии ДГП, Задание на проектирование. Альбом АГР представлены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</si>
  <si>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2.6.a Заявление в электронной форме (ЛК Застройщика) подано</t>
  </si>
  <si>
    <t>2.6.b Согласование ДГП получено</t>
  </si>
  <si>
    <t>2.6.c Свидетельство об утверждении АГР получено</t>
  </si>
  <si>
    <t>2.1.6 Организует подготовку буклета АГК и НПМ</t>
  </si>
  <si>
    <r>
      <t>2.3.2 Сопровождает согласование АГР /</t>
    </r>
    <r>
      <rPr>
        <b/>
        <sz val="8"/>
        <color rgb="FFFF0000"/>
        <rFont val="Arial"/>
        <family val="2"/>
        <charset val="204"/>
      </rPr>
      <t xml:space="preserve"> АГО</t>
    </r>
    <r>
      <rPr>
        <sz val="8"/>
        <color rgb="FFFF0000"/>
        <rFont val="Arial"/>
        <family val="2"/>
        <charset val="204"/>
      </rPr>
      <t>, архитектурно-градостроительные решения и формирование «цифрового двойника» города.</t>
    </r>
  </si>
  <si>
    <t>Буклет АГК, вкл. НПМ</t>
  </si>
  <si>
    <t>3.1.b Новый ГПЗУ получен</t>
  </si>
  <si>
    <t>3.1.f Новый ПЗЗ получен</t>
  </si>
  <si>
    <t>3.1.h Согласования с уполномоченными органами получены</t>
  </si>
  <si>
    <t>3.1.i Согласование с балансодержателями сетей получены</t>
  </si>
  <si>
    <r>
      <t xml:space="preserve">4.1.3 Координирует разработку проектной документации стадии «Проект» по </t>
    </r>
    <r>
      <rPr>
        <sz val="8"/>
        <color rgb="FFFF0000"/>
        <rFont val="Arial"/>
        <family val="2"/>
        <charset val="204"/>
      </rPr>
      <t>всем</t>
    </r>
    <r>
      <rPr>
        <sz val="8"/>
        <rFont val="Arial"/>
        <family val="2"/>
        <charset val="204"/>
      </rPr>
      <t xml:space="preserve"> разделам ПД, </t>
    </r>
    <r>
      <rPr>
        <b/>
        <sz val="8"/>
        <color rgb="FFFF0000"/>
        <rFont val="Arial"/>
        <family val="2"/>
        <charset val="204"/>
      </rPr>
      <t>включая, но не ограничиваясь:</t>
    </r>
    <r>
      <rPr>
        <sz val="8"/>
        <rFont val="Arial"/>
        <family val="2"/>
        <charset val="204"/>
      </rPr>
      <t xml:space="preserve"> АР, КР, ИОС, ПОС, ООС, ПБ, МГН, энергоэффективность, СТУ при необходимости.</t>
    </r>
  </si>
  <si>
    <r>
      <t xml:space="preserve">4.1.c Задание на проектирование и Проектная документация предствлены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</si>
  <si>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4.2.3 Организует подготовку и утверждение СТУ.</t>
  </si>
  <si>
    <t>4.2.c СТУ утверждены</t>
  </si>
  <si>
    <t>4.2.f Заключения специальных экспертиз получено</t>
  </si>
  <si>
    <t>4.2.g Перечень отступлений и предварительных компенсирующих мероприятий сформирован</t>
  </si>
  <si>
    <t>4.2.h Согласование в НТС ГО ЧС получено</t>
  </si>
  <si>
    <t>4.2.i Научно-техническое заключение получено</t>
  </si>
  <si>
    <t>4.3.3 Организует разработку проекта подготовительных работ и проекта демонтажа строительных конструкций согласно ПД.</t>
  </si>
  <si>
    <t>4.3.4 Координирует разработку проектной документации в соответствии требования к составу и содержанию проекта организации работ по демонтажу объекта капитального строительства</t>
  </si>
  <si>
    <t>4.3.c Проект подготовительных работ и проект демонтажа утвержден</t>
  </si>
  <si>
    <r>
      <t xml:space="preserve">4.3.d Проектная документация по демонтажу представлена </t>
    </r>
    <r>
      <rPr>
        <b/>
        <sz val="8"/>
        <color rgb="FF0070C0"/>
        <rFont val="Arial"/>
        <family val="2"/>
        <charset val="204"/>
      </rPr>
      <t>в объеме, требуемом всеми нормативными документами и достаточном для  дальнейшей реализации проекта</t>
    </r>
  </si>
  <si>
    <t>4.4.c Модель транспортных потоков представлена</t>
  </si>
  <si>
    <t>4.4.d Согласование в ДГП получено</t>
  </si>
  <si>
    <t>4.4.e Согласование в Дептрансе получено</t>
  </si>
  <si>
    <r>
      <t>4.4.f Согласование в УГИБДД, ЦОДД получено</t>
    </r>
    <r>
      <rPr>
        <b/>
        <sz val="8"/>
        <color rgb="FF0070C0"/>
        <rFont val="Arial"/>
        <family val="2"/>
        <charset val="204"/>
      </rPr>
      <t xml:space="preserve"> в объеме, требуемом всеми нормативными документами и достаточном для  дальнейшей реализации проекта</t>
    </r>
  </si>
  <si>
    <t>1.1.a Сведения ЕГРН актуализированы</t>
  </si>
  <si>
    <r>
      <t xml:space="preserve">Инженерно-геодезические изыскания, регистрации в </t>
    </r>
    <r>
      <rPr>
        <b/>
        <sz val="8"/>
        <color rgb="FFFF0000"/>
        <rFont val="Arial"/>
        <family val="2"/>
        <charset val="204"/>
      </rPr>
      <t>ГИС ОГД</t>
    </r>
  </si>
  <si>
    <r>
      <t xml:space="preserve">1.2.c Программа изыскательских работ, техническое задание, заключение по изысканиям представлены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</si>
  <si>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СТУ, расчет пожарных рисков, НТС </t>
    </r>
    <r>
      <rPr>
        <b/>
        <sz val="8"/>
        <color rgb="FFFF0000"/>
        <rFont val="Arial"/>
        <family val="2"/>
        <charset val="204"/>
      </rPr>
      <t>ГО</t>
    </r>
    <r>
      <rPr>
        <b/>
        <sz val="8"/>
        <rFont val="Arial"/>
        <family val="2"/>
        <charset val="204"/>
      </rPr>
      <t xml:space="preserve"> ЧС, </t>
    </r>
    <r>
      <rPr>
        <b/>
        <sz val="8"/>
        <color rgb="FFFF0000"/>
        <rFont val="Arial"/>
        <family val="2"/>
        <charset val="204"/>
      </rPr>
      <t>НТЗ</t>
    </r>
  </si>
  <si>
    <r>
      <t xml:space="preserve">4.6.c Согласование работ в зонах метрополитена получены </t>
    </r>
    <r>
      <rPr>
        <b/>
        <sz val="8"/>
        <color rgb="FF0070C0"/>
        <rFont val="Arial"/>
        <family val="2"/>
        <charset val="204"/>
      </rPr>
      <t>в объеме, требуемом всеми нормативными документами и достаточном для  дальнейшей реализации проекта</t>
    </r>
  </si>
  <si>
    <t>4.5.a Мероприятия по сохранности окружающей застройки и наследия представлены</t>
  </si>
  <si>
    <t>4.5.b Защитные мероприятия и логистика подготовительного периода поредставлены</t>
  </si>
  <si>
    <t>5.1.e Отработанные замечания экспертизы устранены</t>
  </si>
  <si>
    <t>5.1.f Заключения экспертов. Сводное заключение получено</t>
  </si>
  <si>
    <t>5.4.a Пакет документов строительного надзора представлен</t>
  </si>
  <si>
    <r>
      <t xml:space="preserve">6.2.c Дизайн-концепция интерьеров и рабочая документация утверждена </t>
    </r>
    <r>
      <rPr>
        <b/>
        <sz val="8"/>
        <color rgb="FF0070C0"/>
        <rFont val="Arial"/>
        <family val="2"/>
        <charset val="204"/>
      </rPr>
      <t>в объеме, требуемом всеми нормативными документами и достаточном дальнейшей реализации проекта</t>
    </r>
  </si>
  <si>
    <t>Демонтаж</t>
  </si>
  <si>
    <t>6.3.3 Организует выполнение работ по демонтажу / подготовительные работы.</t>
  </si>
  <si>
    <r>
      <t xml:space="preserve">6.3.c Демонтаж выполнен </t>
    </r>
    <r>
      <rPr>
        <sz val="8"/>
        <color rgb="FF0070C0"/>
        <rFont val="Arial"/>
        <family val="2"/>
        <charset val="204"/>
      </rPr>
      <t xml:space="preserve"> в объеме, требуемом всеми нормативными документами и достаточном дальнейшей реализации проекта</t>
    </r>
  </si>
  <si>
    <r>
      <t xml:space="preserve">6.4.8 </t>
    </r>
    <r>
      <rPr>
        <b/>
        <sz val="8"/>
        <color rgb="FFFF0000"/>
        <rFont val="Arial"/>
        <family val="2"/>
        <charset val="204"/>
      </rPr>
      <t>Организует выполнение работ Техническим заказчиком и всеми другими  участниками проекта.</t>
    </r>
  </si>
  <si>
    <r>
      <t xml:space="preserve">6.4.20 </t>
    </r>
    <r>
      <rPr>
        <b/>
        <sz val="8"/>
        <color rgb="FF0070C0"/>
        <rFont val="Arial"/>
        <family val="2"/>
        <charset val="204"/>
      </rPr>
      <t>Координирует работы Технического заказчика и всех других участников</t>
    </r>
    <r>
      <rPr>
        <sz val="8"/>
        <rFont val="Arial"/>
        <family val="2"/>
        <charset val="204"/>
      </rPr>
      <t xml:space="preserve"> строительной стадии: контролирует сроки, бюджет, проектные решения, риски, отчётность, организует комитеты Заказчика и ключевые события.</t>
    </r>
  </si>
  <si>
    <t>6.4.t Строительно монтажные работы выполнены</t>
  </si>
  <si>
    <t>6.5.a Строительный контроль выполнен в объеме, требуемом всеми нормативными документами и достаточном дальнейшей реализации проекта</t>
  </si>
  <si>
    <t>6.5.1 Организует и координирует работу Строительного контроля и всех другрих участников проекта</t>
  </si>
  <si>
    <t>6.6.3. Организует и координирует работу Авторского надзора и управление изменениями</t>
  </si>
  <si>
    <t>7.2.a Объект поставлен на Кадастровый учёт</t>
  </si>
  <si>
    <r>
      <t xml:space="preserve">8.1.a </t>
    </r>
    <r>
      <rPr>
        <sz val="8"/>
        <color rgb="FF0070C0"/>
        <rFont val="Arial"/>
        <family val="2"/>
        <charset val="204"/>
      </rPr>
      <t>Выполнены все мероприятия в объеме, требуемом нормативными документами для обязательных функций Технического закзачика и достаточном  для дальнейшей эксплуатации объекта</t>
    </r>
  </si>
  <si>
    <t>1.2.b Договор подписан и исполнен в полном объеме</t>
  </si>
  <si>
    <t>1.3.b Договор подписан и исполнен в полном объеме</t>
  </si>
  <si>
    <t>1.4.b Договор подписан и исполнен в полном объеме</t>
  </si>
  <si>
    <t>1.5.b Договор подписан и исполнен в полном объеме</t>
  </si>
  <si>
    <t>1.6.b Договор подписан и исполнен в полном объеме</t>
  </si>
  <si>
    <t>1.7.b Договор подписан и исполнен в полном объеме</t>
  </si>
  <si>
    <t>1.8.b Договор подписан и исполнен в полном объеме</t>
  </si>
  <si>
    <t>2.1.b Договор подписан и исполнен в полном объеме</t>
  </si>
  <si>
    <t>2.4.b Договор подписан и исполнен в полном объеме</t>
  </si>
  <si>
    <t>3.1.l Договор подписан и исполнен в полном объеме</t>
  </si>
  <si>
    <t>4.1.b Договор подписан и исполнен в полном объеме</t>
  </si>
  <si>
    <t>4.2.b Договор подписан и исполнен в полном объеме</t>
  </si>
  <si>
    <t>4.3.b Договор подписан и исполнен в полном объеме</t>
  </si>
  <si>
    <t>4.4.b Договор подписан и исполнен в полном объеме</t>
  </si>
  <si>
    <t>4.5.d Договор подписан и исполнен в полном объеме в объеме, требуемом всеми нормативными документами и достаточном для  дальнейшей реализации проекта</t>
  </si>
  <si>
    <t>4.6.b Договор подписан и исполнен в полном объеме</t>
  </si>
  <si>
    <t>4.7.b Договор подписан и исполнен в полном объеме</t>
  </si>
  <si>
    <t>4.8.b Договор подписан и исполнен в полном объеме</t>
  </si>
  <si>
    <t>5.1.d Договор подписан и исполнен в полном объеме</t>
  </si>
  <si>
    <t>5.2.a Договор подписан и исполнен в полном объеме</t>
  </si>
  <si>
    <t>6.1.b Договор подписан и исполнен в полном объеме</t>
  </si>
  <si>
    <t>6.2.b Договор подписан и исполнен в полном объеме</t>
  </si>
  <si>
    <t>6.3.b Договор подписан и исполнен в полном объеме</t>
  </si>
  <si>
    <t>6.4.b Договор подписан и исполнен в полном объеме</t>
  </si>
  <si>
    <t>6.5.c Договор подписан и исполнен в полном объеме</t>
  </si>
  <si>
    <t>6.6.b Договор подписан и исполнен в полном объеме</t>
  </si>
  <si>
    <t>6.7.b Договор подписан и исполнен в полном объеме</t>
  </si>
  <si>
    <t>6.8.b Договор подписан и исполнен в полном объеме</t>
  </si>
  <si>
    <t>7.2.c Договор подписан и исполнен в полном объеме</t>
  </si>
  <si>
    <t>7.3.c Договор подписан и исполнен в полном объеме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</si>
</sst>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_-;\-* #,##0.00_-;_-* &quot;-&quot;??_-;_-@_-"/>
    <numFmt numFmtId="165" formatCode="0.0"/>
    <numFmt numFmtId="166" formatCode="dd\.mm\.yyyy"/>
    <numFmt numFmtId="167" formatCode="_-* #,##0.00\ [$₽-419]_-;\-* #,##0.00\ [$₽-419]_-;_-* &quot;-&quot;??\ [$₽-419]_-;_-@_-"/>
    <numFmt numFmtId="168" formatCode="#,##0.00\ &quot;₽&quot;"/>
    <numFmt numFmtId="169" formatCode="_-* #,##0\ _₽_-;\-* #,##0\ _₽_-;_-* &quot;-&quot;??\ _₽_-;_-@_-"/>
    <numFmt numFmtId="170" formatCode="_-* #\.##0.00\ &quot;₽&quot;_-;\-* #\.##0.00\ &quot;₽&quot;_-;_-* \-??\ &quot;₽&quot;_-;_-@_-"/>
    <numFmt numFmtId="171" formatCode="_-* #,##0.00&quot;р.&quot;_-;\-* #,##0.00&quot;р.&quot;_-;_-* &quot;-&quot;??&quot;р.&quot;_-;_-@_-"/>
  </numFmts>
  <fonts count="30">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sz val="8"/>
      <name val="Arial"/>
      <family val="2"/>
      <charset val="204"/>
    </font>
    <font>
      <sz val="8"/>
      <name val="Arial"/>
      <charset val="204"/>
    </font>
    <font>
      <b/>
      <sz val="8"/>
      <name val="Arial"/>
      <charset val="204"/>
    </font>
    <font>
      <b/>
      <sz val="10"/>
      <name val="Arial"/>
      <charset val="204"/>
    </font>
    <font>
      <sz val="9"/>
      <color theme="0"/>
      <name val="Arial"/>
      <family val="2"/>
      <charset val="204"/>
    </font>
    <font>
      <b/>
      <sz val="9"/>
      <color theme="0"/>
      <name val="Arial"/>
      <family val="2"/>
      <charset val="204"/>
    </font>
    <font>
      <b/>
      <sz val="9"/>
      <name val="Arial"/>
      <family val="2"/>
      <charset val="204"/>
    </font>
    <font>
      <b/>
      <sz val="9"/>
      <name val="Arial (Основной текст)"/>
      <charset val="204"/>
    </font>
    <font>
      <sz val="8"/>
      <color rgb="FFFF0000"/>
      <name val="Arial"/>
      <family val="2"/>
      <charset val="204"/>
    </font>
    <font>
      <b/>
      <sz val="8"/>
      <color rgb="FFFF0000"/>
      <name val="Arial"/>
      <family val="2"/>
      <charset val="204"/>
    </font>
    <font>
      <b/>
      <sz val="8"/>
      <color rgb="FF0070C0"/>
      <name val="Arial"/>
      <family val="2"/>
      <charset val="204"/>
    </font>
    <font>
      <sz val="8"/>
      <color rgb="FF0070C0"/>
      <name val="Arial (Основной текст)"/>
      <charset val="204"/>
    </font>
    <font>
      <b/>
      <sz val="8"/>
      <color rgb="FF0070C0"/>
      <name val="Arial (Основной текст)"/>
      <charset val="204"/>
    </font>
    <font>
      <sz val="8"/>
      <color rgb="FF0070C0"/>
      <name val="Arial"/>
      <family val="2"/>
      <charset val="204"/>
    </font>
    <font>
      <sz val="8"/>
      <color rgb="FFFF0000"/>
      <name val="Arial (Основной текст)"/>
      <charset val="204"/>
    </font>
    <font>
      <sz val="11"/>
      <color rgb="FFFF0000"/>
      <name val="Arial"/>
      <family val="2"/>
      <charset val="204"/>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theme="8"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70" fontId="8" fillId="0" borderId="0">
      <alignment vertical="center"/>
    </xf>
    <xf numFmtId="0" fontId="9" fillId="0" borderId="0">
      <alignment vertical="top"/>
    </xf>
    <xf numFmtId="0" fontId="1" fillId="0" borderId="0"/>
    <xf numFmtId="0" fontId="10" fillId="0" borderId="0"/>
    <xf numFmtId="171" fontId="11" fillId="0" borderId="0"/>
    <xf numFmtId="0" fontId="11" fillId="0" borderId="0"/>
    <xf numFmtId="0" fontId="12" fillId="0" borderId="0"/>
    <xf numFmtId="0" fontId="13" fillId="0" borderId="0"/>
    <xf numFmtId="9" fontId="11" fillId="0" borderId="0"/>
    <xf numFmtId="164" fontId="11" fillId="0" borderId="0"/>
  </cellStyleXfs>
  <cellXfs count="128">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4" fontId="5" fillId="0" borderId="1" xfId="0" applyNumberFormat="1" applyFont="1" applyBorder="1" applyAlignment="1">
      <alignment horizontal="center" vertical="center" wrapText="1"/>
    </xf>
    <xf numFmtId="0" fontId="6" fillId="0" borderId="1" xfId="6" applyFont="1" applyBorder="1" applyAlignment="1">
      <alignment horizontal="left" vertical="center" wrapText="1"/>
    </xf>
    <xf numFmtId="0" fontId="14"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66" fontId="2" fillId="3" borderId="1" xfId="0" applyNumberFormat="1" applyFont="1" applyFill="1" applyBorder="1" applyAlignment="1">
      <alignment horizontal="center" vertical="center" wrapText="1"/>
    </xf>
    <xf numFmtId="167" fontId="2" fillId="3" borderId="1" xfId="1" applyNumberFormat="1" applyFont="1" applyFill="1" applyBorder="1" applyAlignment="1">
      <alignment horizontal="center" vertical="center"/>
    </xf>
    <xf numFmtId="166" fontId="2" fillId="4" borderId="1" xfId="0" applyNumberFormat="1" applyFont="1" applyFill="1" applyBorder="1" applyAlignment="1">
      <alignment horizontal="center" vertical="center" wrapText="1"/>
    </xf>
    <xf numFmtId="167" fontId="2" fillId="4" borderId="1" xfId="1" applyNumberFormat="1" applyFont="1" applyFill="1" applyBorder="1" applyAlignment="1">
      <alignment horizontal="center" vertical="center"/>
    </xf>
    <xf numFmtId="167" fontId="2" fillId="0" borderId="1" xfId="1" applyNumberFormat="1" applyFont="1" applyBorder="1" applyAlignment="1">
      <alignment horizontal="center" vertical="center"/>
    </xf>
    <xf numFmtId="167" fontId="4" fillId="0" borderId="1" xfId="1" applyNumberFormat="1" applyFont="1" applyBorder="1" applyAlignment="1">
      <alignment horizontal="center" vertical="center"/>
    </xf>
    <xf numFmtId="167" fontId="5" fillId="0" borderId="1" xfId="1" applyNumberFormat="1" applyFont="1" applyBorder="1" applyAlignment="1">
      <alignment horizontal="center" vertical="center"/>
    </xf>
    <xf numFmtId="167" fontId="1" fillId="0" borderId="0" xfId="6" applyNumberFormat="1" applyFont="1"/>
    <xf numFmtId="0" fontId="5" fillId="0" borderId="1" xfId="0" applyFont="1" applyBorder="1" applyAlignment="1">
      <alignment horizontal="left" vertical="center" wrapText="1"/>
    </xf>
    <xf numFmtId="168" fontId="5" fillId="0" borderId="1" xfId="8" applyNumberFormat="1" applyFont="1" applyBorder="1" applyAlignment="1">
      <alignment horizontal="left" vertical="center" wrapText="1"/>
    </xf>
    <xf numFmtId="167" fontId="1" fillId="0" borderId="1" xfId="1" applyNumberFormat="1" applyFont="1" applyBorder="1" applyAlignment="1">
      <alignment horizontal="center" vertical="center"/>
    </xf>
    <xf numFmtId="0" fontId="6" fillId="6" borderId="1" xfId="6" applyFont="1" applyFill="1" applyBorder="1" applyAlignment="1">
      <alignment vertical="center" wrapText="1"/>
    </xf>
    <xf numFmtId="0" fontId="15" fillId="6" borderId="1" xfId="6" applyFont="1" applyFill="1" applyBorder="1" applyAlignment="1">
      <alignment horizontal="left" vertical="center" wrapText="1"/>
    </xf>
    <xf numFmtId="0" fontId="7" fillId="6" borderId="1" xfId="6" applyFont="1" applyFill="1" applyBorder="1" applyAlignment="1">
      <alignment vertical="center" wrapText="1"/>
    </xf>
    <xf numFmtId="166" fontId="16" fillId="6" borderId="1" xfId="6" applyNumberFormat="1" applyFont="1" applyFill="1" applyBorder="1" applyAlignment="1">
      <alignment vertical="center" wrapText="1"/>
    </xf>
    <xf numFmtId="0" fontId="5" fillId="0" borderId="7" xfId="8" applyFont="1" applyBorder="1" applyAlignment="1">
      <alignment vertical="center" wrapText="1"/>
    </xf>
    <xf numFmtId="0" fontId="6" fillId="0" borderId="5" xfId="6" applyFont="1" applyBorder="1" applyAlignment="1">
      <alignment horizontal="left" vertical="center" wrapText="1"/>
    </xf>
    <xf numFmtId="168" fontId="5" fillId="0" borderId="5" xfId="8" applyNumberFormat="1" applyFont="1" applyBorder="1" applyAlignment="1">
      <alignment horizontal="left" vertical="center" wrapText="1"/>
    </xf>
    <xf numFmtId="14" fontId="5" fillId="0" borderId="7" xfId="8" applyNumberFormat="1" applyFont="1" applyBorder="1" applyAlignment="1">
      <alignment vertical="center" wrapText="1"/>
    </xf>
    <xf numFmtId="0" fontId="5" fillId="0" borderId="5" xfId="0" applyFont="1" applyBorder="1" applyAlignment="1">
      <alignment horizontal="left" vertical="center" wrapText="1"/>
    </xf>
    <xf numFmtId="169" fontId="15" fillId="6" borderId="1" xfId="10" applyNumberFormat="1" applyFont="1" applyFill="1" applyBorder="1" applyAlignment="1">
      <alignment vertical="center" wrapText="1"/>
    </xf>
    <xf numFmtId="0" fontId="0" fillId="0" borderId="5" xfId="0" applyBorder="1"/>
    <xf numFmtId="0" fontId="5" fillId="0" borderId="8" xfId="8" applyFont="1" applyBorder="1" applyAlignment="1">
      <alignment vertical="center" wrapText="1"/>
    </xf>
    <xf numFmtId="168" fontId="6" fillId="0" borderId="5" xfId="8" applyNumberFormat="1" applyFont="1" applyBorder="1" applyAlignment="1">
      <alignment horizontal="left" vertical="center" wrapText="1"/>
    </xf>
    <xf numFmtId="0" fontId="5" fillId="0" borderId="7" xfId="8" applyFont="1" applyBorder="1" applyAlignment="1">
      <alignment horizontal="center" vertical="center" wrapText="1"/>
    </xf>
    <xf numFmtId="49" fontId="5" fillId="0" borderId="5" xfId="8" applyNumberFormat="1" applyFont="1" applyBorder="1" applyAlignment="1">
      <alignment horizontal="left" vertical="center" wrapText="1"/>
    </xf>
    <xf numFmtId="0" fontId="5" fillId="0" borderId="3" xfId="8" applyFont="1" applyBorder="1" applyAlignment="1">
      <alignment horizontal="left" vertical="center" wrapText="1"/>
    </xf>
    <xf numFmtId="0" fontId="0" fillId="0" borderId="1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11" xfId="0" applyBorder="1" applyAlignment="1"/>
    <xf numFmtId="0" fontId="0" fillId="0" borderId="10" xfId="0" applyBorder="1" applyAlignment="1"/>
    <xf numFmtId="0" fontId="0" fillId="0" borderId="2" xfId="0" applyBorder="1" applyAlignment="1"/>
    <xf numFmtId="0" fontId="0" fillId="0" borderId="3" xfId="0" applyBorder="1" applyAlignment="1"/>
    <xf numFmtId="0" fontId="0" fillId="0" borderId="4" xfId="0" applyBorder="1" applyAlignment="1"/>
    <xf numFmtId="0" fontId="5" fillId="0" borderId="10" xfId="8" applyFont="1" applyBorder="1" applyAlignment="1">
      <alignment vertical="center" wrapText="1"/>
    </xf>
    <xf numFmtId="0" fontId="2" fillId="4" borderId="5" xfId="6" applyFont="1" applyFill="1" applyBorder="1" applyAlignment="1">
      <alignment horizontal="left" vertical="center" wrapText="1"/>
    </xf>
    <xf numFmtId="0" fontId="5" fillId="0" borderId="7" xfId="8" applyFont="1" applyBorder="1" applyAlignment="1">
      <alignment horizontal="left" vertical="center" wrapText="1"/>
    </xf>
    <xf numFmtId="0" fontId="1" fillId="0" borderId="4" xfId="6" applyFont="1" applyBorder="1" applyAlignment="1">
      <alignment horizontal="center" vertical="center"/>
    </xf>
    <xf numFmtId="0" fontId="2" fillId="0" borderId="11" xfId="6" applyFont="1" applyBorder="1" applyAlignment="1">
      <alignment horizontal="left" vertical="center" wrapText="1"/>
    </xf>
    <xf numFmtId="0" fontId="5" fillId="0" borderId="3" xfId="8" applyFont="1" applyBorder="1" applyAlignment="1">
      <alignment vertical="center" wrapText="1"/>
    </xf>
    <xf numFmtId="0" fontId="5" fillId="0" borderId="10" xfId="8" applyFont="1" applyBorder="1" applyAlignment="1">
      <alignment horizontal="left" vertical="center" wrapText="1"/>
    </xf>
    <xf numFmtId="0" fontId="5" fillId="0" borderId="5" xfId="6" applyFont="1" applyFill="1" applyBorder="1" applyAlignment="1">
      <alignment horizontal="left" vertical="center" wrapText="1"/>
    </xf>
    <xf numFmtId="0" fontId="6" fillId="0" borderId="5" xfId="6" applyFont="1" applyFill="1" applyBorder="1" applyAlignment="1">
      <alignment horizontal="left" vertical="center" wrapText="1"/>
    </xf>
    <xf numFmtId="168" fontId="6" fillId="0" borderId="5" xfId="8" applyNumberFormat="1" applyFont="1" applyFill="1" applyBorder="1" applyAlignment="1">
      <alignment horizontal="left" vertical="center" wrapText="1"/>
    </xf>
    <xf numFmtId="0" fontId="6" fillId="0" borderId="5" xfId="0" applyFont="1" applyFill="1" applyBorder="1" applyAlignment="1">
      <alignment horizontal="left" vertical="center" wrapText="1"/>
    </xf>
    <xf numFmtId="168" fontId="5" fillId="0" borderId="5" xfId="8" applyNumberFormat="1" applyFont="1" applyFill="1" applyBorder="1" applyAlignment="1">
      <alignment horizontal="left" vertical="center" wrapText="1"/>
    </xf>
    <xf numFmtId="49" fontId="6" fillId="0" borderId="5" xfId="8" applyNumberFormat="1" applyFont="1" applyFill="1" applyBorder="1" applyAlignment="1">
      <alignment horizontal="left" vertical="center" wrapText="1"/>
    </xf>
    <xf numFmtId="168" fontId="5" fillId="0" borderId="11" xfId="8" applyNumberFormat="1" applyFont="1" applyBorder="1" applyAlignment="1">
      <alignment horizontal="left" vertical="center" wrapText="1"/>
    </xf>
    <xf numFmtId="168" fontId="5" fillId="0" borderId="9" xfId="8" applyNumberFormat="1" applyFont="1" applyBorder="1" applyAlignment="1">
      <alignment horizontal="left" vertical="center" wrapText="1"/>
    </xf>
    <xf numFmtId="14" fontId="5" fillId="0" borderId="9" xfId="0" applyNumberFormat="1" applyFont="1" applyBorder="1" applyAlignment="1">
      <alignment horizontal="center" vertical="center" wrapText="1"/>
    </xf>
    <xf numFmtId="167" fontId="4" fillId="0" borderId="9" xfId="1" applyNumberFormat="1" applyFont="1" applyBorder="1" applyAlignment="1">
      <alignment horizontal="center" vertical="center"/>
    </xf>
    <xf numFmtId="1" fontId="5" fillId="0" borderId="1" xfId="0" applyNumberFormat="1" applyFont="1" applyBorder="1" applyAlignment="1">
      <alignment horizontal="center" vertical="center" wrapText="1"/>
    </xf>
    <xf numFmtId="1" fontId="5" fillId="0" borderId="9" xfId="0" applyNumberFormat="1" applyFont="1" applyBorder="1" applyAlignment="1">
      <alignment horizontal="center" vertical="center" wrapText="1"/>
    </xf>
    <xf numFmtId="168" fontId="2" fillId="5" borderId="1" xfId="8"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67" fontId="4" fillId="5" borderId="1" xfId="1" applyNumberFormat="1" applyFont="1" applyFill="1" applyBorder="1" applyAlignment="1">
      <alignment horizontal="center" vertical="center"/>
    </xf>
    <xf numFmtId="0" fontId="2" fillId="5" borderId="1" xfId="8" applyFont="1" applyFill="1" applyBorder="1" applyAlignment="1">
      <alignment horizontal="center" vertical="center" wrapText="1"/>
    </xf>
    <xf numFmtId="0" fontId="7" fillId="5" borderId="1" xfId="6" applyFont="1" applyFill="1" applyBorder="1" applyAlignment="1">
      <alignment horizontal="left" vertical="center" wrapText="1"/>
    </xf>
    <xf numFmtId="0" fontId="2" fillId="3" borderId="1" xfId="8" applyFont="1" applyFill="1" applyBorder="1" applyAlignment="1">
      <alignment horizontal="center" vertical="center" wrapText="1"/>
    </xf>
    <xf numFmtId="0" fontId="2" fillId="4" borderId="1" xfId="8" applyFont="1" applyFill="1" applyBorder="1" applyAlignment="1">
      <alignment horizontal="center" vertical="center" wrapText="1"/>
    </xf>
    <xf numFmtId="0" fontId="17" fillId="7" borderId="1" xfId="6" applyFont="1" applyFill="1" applyBorder="1" applyAlignment="1">
      <alignment horizontal="center" vertical="center" wrapText="1"/>
    </xf>
    <xf numFmtId="0" fontId="5" fillId="0" borderId="11" xfId="0" applyFont="1" applyBorder="1" applyAlignment="1">
      <alignment horizontal="left" vertical="center" wrapText="1"/>
    </xf>
    <xf numFmtId="0" fontId="5" fillId="0" borderId="9" xfId="0" applyFont="1" applyBorder="1" applyAlignment="1">
      <alignment horizontal="left" vertical="center" wrapText="1"/>
    </xf>
    <xf numFmtId="167" fontId="1" fillId="0" borderId="9" xfId="1" applyNumberFormat="1" applyFont="1" applyBorder="1" applyAlignment="1">
      <alignment horizontal="center" vertical="center"/>
    </xf>
    <xf numFmtId="0" fontId="2" fillId="5" borderId="1" xfId="8" quotePrefix="1" applyFont="1" applyFill="1" applyBorder="1" applyAlignment="1">
      <alignment horizontal="center" vertical="center" wrapText="1"/>
    </xf>
    <xf numFmtId="49" fontId="18" fillId="8" borderId="6" xfId="8" applyNumberFormat="1" applyFont="1" applyFill="1" applyBorder="1" applyAlignment="1">
      <alignment horizontal="center" vertical="center" wrapText="1"/>
    </xf>
    <xf numFmtId="0" fontId="19" fillId="8" borderId="6" xfId="6" applyFont="1" applyFill="1" applyBorder="1" applyAlignment="1">
      <alignment horizontal="left" vertical="center" wrapText="1"/>
    </xf>
    <xf numFmtId="168" fontId="18" fillId="8" borderId="1" xfId="8" applyNumberFormat="1" applyFont="1" applyFill="1" applyBorder="1" applyAlignment="1">
      <alignment horizontal="left" vertical="center" wrapText="1"/>
    </xf>
    <xf numFmtId="0" fontId="19" fillId="8" borderId="1" xfId="0" applyFont="1" applyFill="1" applyBorder="1" applyAlignment="1">
      <alignment horizontal="left" vertical="center" wrapText="1"/>
    </xf>
    <xf numFmtId="14" fontId="19" fillId="8" borderId="1" xfId="0" applyNumberFormat="1" applyFont="1" applyFill="1" applyBorder="1" applyAlignment="1">
      <alignment horizontal="center" vertical="center" wrapText="1"/>
    </xf>
    <xf numFmtId="1" fontId="19" fillId="8" borderId="1" xfId="0" applyNumberFormat="1" applyFont="1" applyFill="1" applyBorder="1" applyAlignment="1">
      <alignment horizontal="center" vertical="center" wrapText="1"/>
    </xf>
    <xf numFmtId="167" fontId="18" fillId="8" borderId="1" xfId="1" applyNumberFormat="1" applyFont="1" applyFill="1" applyBorder="1" applyAlignment="1">
      <alignment horizontal="center" vertical="center"/>
    </xf>
    <xf numFmtId="49" fontId="18" fillId="8" borderId="1" xfId="6" applyNumberFormat="1" applyFont="1" applyFill="1" applyBorder="1" applyAlignment="1">
      <alignment horizontal="center" vertical="center" wrapText="1"/>
    </xf>
    <xf numFmtId="0" fontId="19" fillId="8" borderId="1" xfId="6" applyFont="1" applyFill="1" applyBorder="1" applyAlignment="1">
      <alignment horizontal="left" vertical="center" wrapText="1"/>
    </xf>
    <xf numFmtId="167" fontId="18" fillId="8" borderId="1" xfId="1" applyNumberFormat="1" applyFont="1" applyFill="1" applyBorder="1">
      <alignment vertical="center"/>
    </xf>
    <xf numFmtId="1" fontId="20" fillId="0" borderId="1" xfId="8" applyNumberFormat="1" applyFont="1" applyBorder="1" applyAlignment="1">
      <alignment horizontal="center" vertical="center" wrapText="1"/>
    </xf>
    <xf numFmtId="165" fontId="21" fillId="2" borderId="1" xfId="8" applyNumberFormat="1" applyFont="1" applyFill="1" applyBorder="1" applyAlignment="1">
      <alignment horizontal="center" vertical="center" wrapText="1"/>
    </xf>
    <xf numFmtId="4" fontId="20" fillId="2" borderId="1" xfId="8"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5" fillId="6" borderId="1" xfId="6" applyFont="1" applyFill="1" applyBorder="1" applyAlignment="1">
      <alignment horizontal="left" vertical="center" wrapText="1"/>
    </xf>
    <xf numFmtId="168" fontId="28" fillId="0" borderId="5" xfId="8" applyNumberFormat="1" applyFont="1" applyFill="1" applyBorder="1" applyAlignment="1">
      <alignment horizontal="left" vertical="center" wrapText="1"/>
    </xf>
    <xf numFmtId="0" fontId="22" fillId="0" borderId="1" xfId="0" applyFont="1" applyBorder="1" applyAlignment="1">
      <alignment horizontal="left" vertical="center" wrapText="1"/>
    </xf>
    <xf numFmtId="168" fontId="22" fillId="0" borderId="5" xfId="8" applyNumberFormat="1" applyFont="1" applyFill="1" applyBorder="1" applyAlignment="1">
      <alignment horizontal="left" vertical="center" wrapText="1"/>
    </xf>
    <xf numFmtId="168" fontId="22" fillId="0" borderId="5" xfId="8" applyNumberFormat="1" applyFont="1" applyBorder="1" applyAlignment="1">
      <alignment horizontal="left" vertical="center" wrapText="1"/>
    </xf>
    <xf numFmtId="0" fontId="23" fillId="4" borderId="1" xfId="6" applyFont="1" applyFill="1" applyBorder="1" applyAlignment="1">
      <alignment horizontal="left" vertical="center" wrapText="1"/>
    </xf>
    <xf numFmtId="168" fontId="28" fillId="0" borderId="5" xfId="8" applyNumberFormat="1" applyFont="1" applyBorder="1" applyAlignment="1">
      <alignment horizontal="left" vertical="center" wrapText="1"/>
    </xf>
    <xf numFmtId="0" fontId="23" fillId="4" borderId="1" xfId="0" applyFont="1" applyFill="1" applyBorder="1" applyAlignment="1">
      <alignment horizontal="left" vertical="center" wrapText="1"/>
    </xf>
    <xf numFmtId="14" fontId="23" fillId="4" borderId="1" xfId="0" applyNumberFormat="1" applyFont="1" applyFill="1" applyBorder="1" applyAlignment="1">
      <alignment horizontal="center" vertical="center" wrapText="1"/>
    </xf>
    <xf numFmtId="166" fontId="23" fillId="4" borderId="1" xfId="0" applyNumberFormat="1" applyFont="1" applyFill="1" applyBorder="1" applyAlignment="1">
      <alignment horizontal="center" vertical="center" wrapText="1"/>
    </xf>
    <xf numFmtId="1" fontId="23" fillId="4" borderId="1" xfId="0" applyNumberFormat="1" applyFont="1" applyFill="1" applyBorder="1" applyAlignment="1">
      <alignment horizontal="center" vertical="center" wrapText="1"/>
    </xf>
    <xf numFmtId="0" fontId="29" fillId="0" borderId="11" xfId="0" applyFont="1" applyBorder="1"/>
    <xf numFmtId="14" fontId="22" fillId="0" borderId="1" xfId="0" applyNumberFormat="1" applyFont="1" applyBorder="1" applyAlignment="1">
      <alignment horizontal="center" vertical="center" wrapText="1"/>
    </xf>
    <xf numFmtId="1" fontId="22" fillId="0" borderId="1" xfId="0" applyNumberFormat="1" applyFont="1" applyBorder="1" applyAlignment="1">
      <alignment horizontal="center" vertical="center" wrapText="1"/>
    </xf>
    <xf numFmtId="0" fontId="29" fillId="0" borderId="2" xfId="0" applyFont="1" applyBorder="1"/>
    <xf numFmtId="168" fontId="22" fillId="0" borderId="11" xfId="8" applyNumberFormat="1" applyFont="1" applyBorder="1" applyAlignment="1">
      <alignment horizontal="left" vertical="center" wrapText="1"/>
    </xf>
    <xf numFmtId="0" fontId="22" fillId="0" borderId="9" xfId="0" applyFont="1" applyBorder="1" applyAlignment="1">
      <alignment horizontal="left" vertical="center" wrapText="1"/>
    </xf>
    <xf numFmtId="14" fontId="22" fillId="0" borderId="9" xfId="0" applyNumberFormat="1" applyFont="1" applyBorder="1" applyAlignment="1">
      <alignment horizontal="center" vertical="center" wrapText="1"/>
    </xf>
    <xf numFmtId="1" fontId="22" fillId="0" borderId="9" xfId="0" applyNumberFormat="1" applyFont="1" applyBorder="1" applyAlignment="1">
      <alignment horizontal="center" vertical="center" wrapText="1"/>
    </xf>
    <xf numFmtId="0" fontId="29" fillId="0" borderId="4" xfId="0" applyFont="1" applyBorder="1"/>
    <xf numFmtId="0" fontId="27" fillId="0" borderId="1" xfId="0" applyFont="1" applyBorder="1" applyAlignment="1">
      <alignment horizontal="left" vertical="center" wrapText="1"/>
    </xf>
    <xf numFmtId="168" fontId="25" fillId="0" borderId="5" xfId="8" applyNumberFormat="1" applyFont="1" applyFill="1" applyBorder="1" applyAlignment="1">
      <alignment horizontal="left" vertical="center" wrapText="1"/>
    </xf>
    <xf numFmtId="168" fontId="26" fillId="0" borderId="5" xfId="8" applyNumberFormat="1" applyFont="1" applyFill="1" applyBorder="1" applyAlignment="1">
      <alignment horizontal="left"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272"/>
  <sheetViews>
    <sheetView showGridLines="0" tabSelected="1" topLeftCell="A166" zoomScale="205" zoomScaleNormal="205" workbookViewId="0">
      <selection activeCell="C171" sqref="C171"/>
    </sheetView>
  </sheetViews>
  <sheetFormatPr defaultColWidth="9.25" defaultRowHeight="12.75"/>
  <cols>
    <col min="1" max="1" width="5.75" style="7" customWidth="1"/>
    <col min="2" max="2" width="50.625" style="8" customWidth="1"/>
    <col min="3" max="3" width="50.625" style="1" customWidth="1"/>
    <col min="4" max="4" width="50.625" style="9" customWidth="1"/>
    <col min="5" max="8" width="15.75" style="9" customWidth="1"/>
    <col min="9" max="12" width="9.25" style="9" customWidth="1"/>
    <col min="13" max="16384" width="9.25" style="9"/>
  </cols>
  <sheetData>
    <row r="2" spans="1:8">
      <c r="B2" s="33" t="s">
        <v>0</v>
      </c>
      <c r="C2" s="34"/>
    </row>
    <row r="3" spans="1:8">
      <c r="B3" s="33" t="s">
        <v>1</v>
      </c>
      <c r="C3" s="34" t="s">
        <v>2</v>
      </c>
    </row>
    <row r="4" spans="1:8">
      <c r="B4" s="33" t="s">
        <v>3</v>
      </c>
      <c r="C4" s="34" t="s">
        <v>4</v>
      </c>
    </row>
    <row r="5" spans="1:8">
      <c r="B5" s="33" t="s">
        <v>308</v>
      </c>
      <c r="C5" s="42">
        <v>21600</v>
      </c>
    </row>
    <row r="6" spans="1:8">
      <c r="B6" s="35" t="s">
        <v>5</v>
      </c>
      <c r="C6" s="36"/>
    </row>
    <row r="7" spans="1:8">
      <c r="B7" s="33" t="s">
        <v>6</v>
      </c>
      <c r="C7" s="86"/>
    </row>
    <row r="8" spans="1:8">
      <c r="B8" s="33" t="s">
        <v>7</v>
      </c>
      <c r="C8" s="86"/>
    </row>
    <row r="9" spans="1:8">
      <c r="B9" s="33" t="s">
        <v>8</v>
      </c>
      <c r="C9" s="86"/>
    </row>
    <row r="10" spans="1:8">
      <c r="B10" s="33" t="s">
        <v>9</v>
      </c>
      <c r="C10" s="86"/>
    </row>
    <row r="11" spans="1:8">
      <c r="B11" s="33" t="s">
        <v>10</v>
      </c>
      <c r="C11" s="86"/>
    </row>
    <row r="12" spans="1:8">
      <c r="B12" s="33" t="s">
        <v>11</v>
      </c>
      <c r="C12" s="86"/>
    </row>
    <row r="13" spans="1:8">
      <c r="B13" s="33" t="s">
        <v>12</v>
      </c>
      <c r="C13" s="105" t="s">
        <v>13</v>
      </c>
    </row>
    <row r="14" spans="1:8">
      <c r="A14" s="10"/>
    </row>
    <row r="15" spans="1:8" s="1" customFormat="1" ht="36">
      <c r="A15" s="101" t="s">
        <v>14</v>
      </c>
      <c r="B15" s="102" t="s">
        <v>15</v>
      </c>
      <c r="C15" s="103" t="s">
        <v>16</v>
      </c>
      <c r="D15" s="104" t="s">
        <v>17</v>
      </c>
      <c r="E15" s="104" t="s">
        <v>18</v>
      </c>
      <c r="F15" s="104" t="s">
        <v>19</v>
      </c>
      <c r="G15" s="104" t="s">
        <v>20</v>
      </c>
      <c r="H15" s="104" t="s">
        <v>309</v>
      </c>
    </row>
    <row r="16" spans="1:8" s="1" customFormat="1">
      <c r="A16" s="101">
        <v>1</v>
      </c>
      <c r="B16" s="101">
        <f t="shared" ref="B16:H16" si="0">+A16+1</f>
        <v>2</v>
      </c>
      <c r="C16" s="101">
        <f t="shared" si="0"/>
        <v>3</v>
      </c>
      <c r="D16" s="101">
        <f t="shared" si="0"/>
        <v>4</v>
      </c>
      <c r="E16" s="101">
        <f t="shared" si="0"/>
        <v>5</v>
      </c>
      <c r="F16" s="101">
        <f t="shared" si="0"/>
        <v>6</v>
      </c>
      <c r="G16" s="101">
        <f t="shared" si="0"/>
        <v>7</v>
      </c>
      <c r="H16" s="101">
        <f t="shared" si="0"/>
        <v>8</v>
      </c>
    </row>
    <row r="17" spans="1:8" s="2" customFormat="1" ht="25.15" customHeight="1">
      <c r="A17" s="84">
        <v>1</v>
      </c>
      <c r="B17" s="14" t="s">
        <v>21</v>
      </c>
      <c r="C17" s="14"/>
      <c r="D17" s="15"/>
      <c r="E17" s="16">
        <v>46204</v>
      </c>
      <c r="F17" s="22">
        <v>46356</v>
      </c>
      <c r="G17" s="17">
        <f>+F17-E17+1</f>
        <v>153</v>
      </c>
      <c r="H17" s="23"/>
    </row>
    <row r="18" spans="1:8" s="2" customFormat="1" ht="25.15" customHeight="1">
      <c r="A18" s="85" t="s">
        <v>22</v>
      </c>
      <c r="B18" s="18" t="s">
        <v>23</v>
      </c>
      <c r="C18" s="18"/>
      <c r="D18" s="19"/>
      <c r="E18" s="20"/>
      <c r="F18" s="24"/>
      <c r="G18" s="21"/>
      <c r="H18" s="25"/>
    </row>
    <row r="19" spans="1:8" s="2" customFormat="1" ht="22.5">
      <c r="A19" s="37"/>
      <c r="B19" s="49"/>
      <c r="C19" s="66" t="s">
        <v>24</v>
      </c>
      <c r="D19" s="30" t="s">
        <v>410</v>
      </c>
      <c r="E19" s="11">
        <v>46204</v>
      </c>
      <c r="F19" s="11">
        <v>46227</v>
      </c>
      <c r="G19" s="76">
        <f t="shared" ref="G19:G25" si="1">+F19-E19+1</f>
        <v>24</v>
      </c>
      <c r="H19" s="26"/>
    </row>
    <row r="20" spans="1:8" s="2" customFormat="1" ht="56.25">
      <c r="A20" s="50"/>
      <c r="B20" s="51"/>
      <c r="C20" s="66" t="s">
        <v>25</v>
      </c>
      <c r="D20" s="30" t="s">
        <v>365</v>
      </c>
      <c r="E20" s="11">
        <v>46204</v>
      </c>
      <c r="F20" s="11">
        <v>46272</v>
      </c>
      <c r="G20" s="76">
        <f t="shared" si="1"/>
        <v>69</v>
      </c>
      <c r="H20" s="26"/>
    </row>
    <row r="21" spans="1:8" s="2" customFormat="1" ht="45">
      <c r="A21" s="50"/>
      <c r="B21" s="51"/>
      <c r="C21" s="66" t="s">
        <v>366</v>
      </c>
      <c r="D21" s="30" t="s">
        <v>367</v>
      </c>
      <c r="E21" s="11">
        <v>46204</v>
      </c>
      <c r="F21" s="11">
        <v>46286</v>
      </c>
      <c r="G21" s="76">
        <f t="shared" si="1"/>
        <v>83</v>
      </c>
      <c r="H21" s="26"/>
    </row>
    <row r="22" spans="1:8" s="2" customFormat="1" ht="45">
      <c r="A22" s="50"/>
      <c r="B22" s="51"/>
      <c r="C22" s="66" t="s">
        <v>26</v>
      </c>
      <c r="D22" s="30" t="s">
        <v>368</v>
      </c>
      <c r="E22" s="11">
        <v>46204</v>
      </c>
      <c r="F22" s="11">
        <v>46272</v>
      </c>
      <c r="G22" s="76">
        <f t="shared" si="1"/>
        <v>69</v>
      </c>
      <c r="H22" s="26"/>
    </row>
    <row r="23" spans="1:8" s="2" customFormat="1" ht="33.75">
      <c r="A23" s="50"/>
      <c r="B23" s="51"/>
      <c r="C23" s="66" t="s">
        <v>314</v>
      </c>
      <c r="D23" s="30" t="s">
        <v>369</v>
      </c>
      <c r="E23" s="11">
        <v>46204</v>
      </c>
      <c r="F23" s="11">
        <v>46266</v>
      </c>
      <c r="G23" s="76">
        <f t="shared" si="1"/>
        <v>63</v>
      </c>
      <c r="H23" s="26"/>
    </row>
    <row r="24" spans="1:8" s="2" customFormat="1" ht="22.5">
      <c r="A24" s="50"/>
      <c r="B24" s="51"/>
      <c r="C24" s="66" t="s">
        <v>27</v>
      </c>
      <c r="D24" s="30" t="s">
        <v>371</v>
      </c>
      <c r="E24" s="11">
        <v>46231</v>
      </c>
      <c r="F24" s="11">
        <v>46341</v>
      </c>
      <c r="G24" s="76">
        <f t="shared" si="1"/>
        <v>111</v>
      </c>
      <c r="H24" s="26"/>
    </row>
    <row r="25" spans="1:8" s="2" customFormat="1" ht="33.75">
      <c r="A25" s="52"/>
      <c r="B25" s="53"/>
      <c r="C25" s="66" t="s">
        <v>28</v>
      </c>
      <c r="D25" s="30" t="s">
        <v>370</v>
      </c>
      <c r="E25" s="11">
        <v>46204</v>
      </c>
      <c r="F25" s="11">
        <v>46266</v>
      </c>
      <c r="G25" s="76">
        <f t="shared" si="1"/>
        <v>63</v>
      </c>
      <c r="H25" s="26"/>
    </row>
    <row r="26" spans="1:8" s="2" customFormat="1" ht="25.15" customHeight="1">
      <c r="A26" s="85" t="s">
        <v>29</v>
      </c>
      <c r="B26" s="18" t="s">
        <v>411</v>
      </c>
      <c r="C26" s="18"/>
      <c r="D26" s="19"/>
      <c r="E26" s="20"/>
      <c r="F26" s="24"/>
      <c r="G26" s="21"/>
      <c r="H26" s="25"/>
    </row>
    <row r="27" spans="1:8" s="1" customFormat="1" ht="56.25">
      <c r="A27" s="59"/>
      <c r="B27" s="51"/>
      <c r="C27" s="67" t="s">
        <v>298</v>
      </c>
      <c r="D27" s="30" t="s">
        <v>340</v>
      </c>
      <c r="E27" s="11">
        <v>46218</v>
      </c>
      <c r="F27" s="11">
        <v>46255</v>
      </c>
      <c r="G27" s="76">
        <f t="shared" ref="G27:G29" si="2">+F27-E27+1</f>
        <v>38</v>
      </c>
      <c r="H27" s="32"/>
    </row>
    <row r="28" spans="1:8" s="1" customFormat="1" ht="112.5">
      <c r="A28" s="50"/>
      <c r="B28" s="51"/>
      <c r="C28" s="67" t="s">
        <v>299</v>
      </c>
      <c r="D28" s="30" t="s">
        <v>432</v>
      </c>
      <c r="E28" s="11">
        <v>46236</v>
      </c>
      <c r="F28" s="11">
        <v>46341</v>
      </c>
      <c r="G28" s="76">
        <f t="shared" si="2"/>
        <v>106</v>
      </c>
      <c r="H28" s="32"/>
    </row>
    <row r="29" spans="1:8" s="1" customFormat="1" ht="56.25">
      <c r="A29" s="50"/>
      <c r="B29" s="51"/>
      <c r="C29" s="67" t="s">
        <v>300</v>
      </c>
      <c r="D29" s="30" t="s">
        <v>412</v>
      </c>
      <c r="E29" s="11">
        <v>46218</v>
      </c>
      <c r="F29" s="11">
        <v>46341</v>
      </c>
      <c r="G29" s="76">
        <f t="shared" si="2"/>
        <v>124</v>
      </c>
      <c r="H29" s="32"/>
    </row>
    <row r="30" spans="1:8" s="1" customFormat="1" ht="25.15" customHeight="1">
      <c r="A30" s="85" t="s">
        <v>30</v>
      </c>
      <c r="B30" s="18" t="s">
        <v>31</v>
      </c>
      <c r="C30" s="18"/>
      <c r="D30" s="19"/>
      <c r="E30" s="20"/>
      <c r="F30" s="24"/>
      <c r="G30" s="21"/>
      <c r="H30" s="25"/>
    </row>
    <row r="31" spans="1:8" s="1" customFormat="1" ht="56.25">
      <c r="A31" s="40"/>
      <c r="B31" s="49"/>
      <c r="C31" s="67" t="s">
        <v>32</v>
      </c>
      <c r="D31" s="13" t="s">
        <v>341</v>
      </c>
      <c r="E31" s="11">
        <v>46235</v>
      </c>
      <c r="F31" s="11">
        <v>46271</v>
      </c>
      <c r="G31" s="76">
        <f t="shared" ref="G31:G33" si="3">+F31-E31+1</f>
        <v>37</v>
      </c>
      <c r="H31" s="32"/>
    </row>
    <row r="32" spans="1:8" s="1" customFormat="1" ht="112.5">
      <c r="A32" s="50"/>
      <c r="B32" s="51"/>
      <c r="C32" s="67" t="s">
        <v>33</v>
      </c>
      <c r="D32" s="30" t="s">
        <v>433</v>
      </c>
      <c r="E32" s="11">
        <v>46253</v>
      </c>
      <c r="F32" s="11">
        <v>46356</v>
      </c>
      <c r="G32" s="76">
        <f t="shared" si="3"/>
        <v>104</v>
      </c>
      <c r="H32" s="32"/>
    </row>
    <row r="33" spans="1:8" s="1" customFormat="1" ht="45">
      <c r="A33" s="50"/>
      <c r="B33" s="51"/>
      <c r="C33" s="38" t="s">
        <v>34</v>
      </c>
      <c r="D33" s="12" t="s">
        <v>372</v>
      </c>
      <c r="E33" s="11">
        <v>46235</v>
      </c>
      <c r="F33" s="11">
        <v>46356</v>
      </c>
      <c r="G33" s="76">
        <f t="shared" si="3"/>
        <v>122</v>
      </c>
      <c r="H33" s="32"/>
    </row>
    <row r="34" spans="1:8" s="1" customFormat="1" ht="25.15" customHeight="1">
      <c r="A34" s="85" t="s">
        <v>35</v>
      </c>
      <c r="B34" s="18" t="s">
        <v>36</v>
      </c>
      <c r="C34" s="18"/>
      <c r="D34" s="19"/>
      <c r="E34" s="20"/>
      <c r="F34" s="24"/>
      <c r="G34" s="21"/>
      <c r="H34" s="25"/>
    </row>
    <row r="35" spans="1:8" s="1" customFormat="1" ht="56.25">
      <c r="A35" s="37"/>
      <c r="B35" s="49"/>
      <c r="C35" s="67" t="s">
        <v>37</v>
      </c>
      <c r="D35" s="13" t="s">
        <v>342</v>
      </c>
      <c r="E35" s="11">
        <v>46218</v>
      </c>
      <c r="F35" s="11">
        <v>46255</v>
      </c>
      <c r="G35" s="76">
        <f t="shared" ref="G35:G37" si="4">+F35-E35+1</f>
        <v>38</v>
      </c>
      <c r="H35" s="32"/>
    </row>
    <row r="36" spans="1:8" s="1" customFormat="1" ht="112.5">
      <c r="A36" s="50"/>
      <c r="B36" s="51"/>
      <c r="C36" s="67" t="s">
        <v>38</v>
      </c>
      <c r="D36" s="30" t="s">
        <v>434</v>
      </c>
      <c r="E36" s="11">
        <v>46236</v>
      </c>
      <c r="F36" s="11">
        <v>46341</v>
      </c>
      <c r="G36" s="76">
        <f t="shared" si="4"/>
        <v>106</v>
      </c>
      <c r="H36" s="32"/>
    </row>
    <row r="37" spans="1:8" s="1" customFormat="1" ht="56.25">
      <c r="A37" s="50"/>
      <c r="B37" s="51"/>
      <c r="C37" s="39" t="s">
        <v>39</v>
      </c>
      <c r="D37" s="31" t="s">
        <v>315</v>
      </c>
      <c r="E37" s="11">
        <v>46218</v>
      </c>
      <c r="F37" s="11">
        <v>46341</v>
      </c>
      <c r="G37" s="76">
        <f t="shared" si="4"/>
        <v>124</v>
      </c>
      <c r="H37" s="32"/>
    </row>
    <row r="38" spans="1:8" s="1" customFormat="1" ht="25.15" customHeight="1">
      <c r="A38" s="85" t="s">
        <v>41</v>
      </c>
      <c r="B38" s="18" t="s">
        <v>40</v>
      </c>
      <c r="C38" s="18"/>
      <c r="D38" s="19"/>
      <c r="E38" s="20"/>
      <c r="F38" s="24"/>
      <c r="G38" s="21"/>
      <c r="H38" s="25"/>
    </row>
    <row r="39" spans="1:8" s="1" customFormat="1" ht="56.25">
      <c r="A39" s="37"/>
      <c r="B39" s="49"/>
      <c r="C39" s="67" t="s">
        <v>43</v>
      </c>
      <c r="D39" s="30" t="s">
        <v>343</v>
      </c>
      <c r="E39" s="11">
        <v>46218</v>
      </c>
      <c r="F39" s="11">
        <v>46255</v>
      </c>
      <c r="G39" s="76">
        <f t="shared" ref="G39:G41" si="5">+F39-E39+1</f>
        <v>38</v>
      </c>
      <c r="H39" s="32"/>
    </row>
    <row r="40" spans="1:8" s="1" customFormat="1" ht="112.5">
      <c r="A40" s="50"/>
      <c r="B40" s="51"/>
      <c r="C40" s="67" t="s">
        <v>44</v>
      </c>
      <c r="D40" s="30" t="s">
        <v>435</v>
      </c>
      <c r="E40" s="11">
        <v>46236</v>
      </c>
      <c r="F40" s="11">
        <v>46341</v>
      </c>
      <c r="G40" s="76">
        <f t="shared" si="5"/>
        <v>106</v>
      </c>
      <c r="H40" s="32"/>
    </row>
    <row r="41" spans="1:8" s="1" customFormat="1" ht="56.25">
      <c r="A41" s="50"/>
      <c r="B41" s="51"/>
      <c r="C41" s="39" t="s">
        <v>297</v>
      </c>
      <c r="D41" s="31" t="s">
        <v>375</v>
      </c>
      <c r="E41" s="11">
        <v>46218</v>
      </c>
      <c r="F41" s="11">
        <v>46341</v>
      </c>
      <c r="G41" s="76">
        <f t="shared" si="5"/>
        <v>124</v>
      </c>
      <c r="H41" s="32"/>
    </row>
    <row r="42" spans="1:8" s="1" customFormat="1" ht="25.15" customHeight="1">
      <c r="A42" s="85" t="s">
        <v>45</v>
      </c>
      <c r="B42" s="18" t="s">
        <v>42</v>
      </c>
      <c r="C42" s="18"/>
      <c r="D42" s="19"/>
      <c r="E42" s="20"/>
      <c r="F42" s="24"/>
      <c r="G42" s="21"/>
      <c r="H42" s="25"/>
    </row>
    <row r="43" spans="1:8" s="1" customFormat="1" ht="56.25">
      <c r="A43" s="40"/>
      <c r="B43" s="49"/>
      <c r="C43" s="68" t="s">
        <v>47</v>
      </c>
      <c r="D43" s="30" t="s">
        <v>344</v>
      </c>
      <c r="E43" s="11">
        <v>46218</v>
      </c>
      <c r="F43" s="11">
        <v>46255</v>
      </c>
      <c r="G43" s="76">
        <f t="shared" ref="G43:G45" si="6">+F43-E43+1</f>
        <v>38</v>
      </c>
      <c r="H43" s="32"/>
    </row>
    <row r="44" spans="1:8" s="1" customFormat="1" ht="112.5">
      <c r="A44" s="50"/>
      <c r="B44" s="51"/>
      <c r="C44" s="68" t="s">
        <v>48</v>
      </c>
      <c r="D44" s="30" t="s">
        <v>436</v>
      </c>
      <c r="E44" s="11">
        <v>46236</v>
      </c>
      <c r="F44" s="11">
        <v>46341</v>
      </c>
      <c r="G44" s="76">
        <f t="shared" si="6"/>
        <v>106</v>
      </c>
      <c r="H44" s="32"/>
    </row>
    <row r="45" spans="1:8" s="1" customFormat="1" ht="78.75">
      <c r="A45" s="50"/>
      <c r="B45" s="51"/>
      <c r="C45" s="39" t="s">
        <v>49</v>
      </c>
      <c r="D45" s="30" t="s">
        <v>376</v>
      </c>
      <c r="E45" s="11">
        <v>46292</v>
      </c>
      <c r="F45" s="11">
        <v>46341</v>
      </c>
      <c r="G45" s="76">
        <f t="shared" si="6"/>
        <v>50</v>
      </c>
      <c r="H45" s="32"/>
    </row>
    <row r="46" spans="1:8" s="1" customFormat="1" ht="25.15" customHeight="1">
      <c r="A46" s="85" t="s">
        <v>50</v>
      </c>
      <c r="B46" s="18" t="s">
        <v>46</v>
      </c>
      <c r="C46" s="18"/>
      <c r="D46" s="19"/>
      <c r="E46" s="20"/>
      <c r="F46" s="24"/>
      <c r="G46" s="21"/>
      <c r="H46" s="25"/>
    </row>
    <row r="47" spans="1:8" s="1" customFormat="1" ht="56.25">
      <c r="A47" s="40"/>
      <c r="B47" s="49"/>
      <c r="C47" s="68" t="s">
        <v>51</v>
      </c>
      <c r="D47" s="30" t="s">
        <v>345</v>
      </c>
      <c r="E47" s="11">
        <v>46218</v>
      </c>
      <c r="F47" s="11">
        <v>46227</v>
      </c>
      <c r="G47" s="76">
        <f t="shared" ref="G47:G49" si="7">+F47-E47+1</f>
        <v>10</v>
      </c>
      <c r="H47" s="32"/>
    </row>
    <row r="48" spans="1:8" s="1" customFormat="1" ht="112.5">
      <c r="A48" s="50"/>
      <c r="B48" s="51"/>
      <c r="C48" s="68" t="s">
        <v>52</v>
      </c>
      <c r="D48" s="30" t="s">
        <v>437</v>
      </c>
      <c r="E48" s="11">
        <v>46223</v>
      </c>
      <c r="F48" s="11">
        <v>46249</v>
      </c>
      <c r="G48" s="76">
        <f t="shared" si="7"/>
        <v>27</v>
      </c>
      <c r="H48" s="32"/>
    </row>
    <row r="49" spans="1:8" s="1" customFormat="1" ht="56.25">
      <c r="A49" s="52"/>
      <c r="B49" s="53"/>
      <c r="C49" s="39" t="s">
        <v>53</v>
      </c>
      <c r="D49" s="31" t="s">
        <v>373</v>
      </c>
      <c r="E49" s="11">
        <v>46235</v>
      </c>
      <c r="F49" s="11">
        <v>46249</v>
      </c>
      <c r="G49" s="76">
        <f t="shared" si="7"/>
        <v>15</v>
      </c>
      <c r="H49" s="32"/>
    </row>
    <row r="50" spans="1:8" s="1" customFormat="1" ht="33.75">
      <c r="A50" s="85" t="s">
        <v>54</v>
      </c>
      <c r="B50" s="18" t="s">
        <v>322</v>
      </c>
      <c r="C50" s="18"/>
      <c r="D50" s="19"/>
      <c r="E50" s="20"/>
      <c r="F50" s="24"/>
      <c r="G50" s="21"/>
      <c r="H50" s="25"/>
    </row>
    <row r="51" spans="1:8" s="1" customFormat="1" ht="56.25">
      <c r="A51" s="40"/>
      <c r="B51" s="49"/>
      <c r="C51" s="69" t="s">
        <v>296</v>
      </c>
      <c r="D51" s="30" t="s">
        <v>346</v>
      </c>
      <c r="E51" s="11">
        <v>46235</v>
      </c>
      <c r="F51" s="11">
        <v>46271</v>
      </c>
      <c r="G51" s="76">
        <f t="shared" ref="G51:G53" si="8">+F51-E51+1</f>
        <v>37</v>
      </c>
      <c r="H51" s="32"/>
    </row>
    <row r="52" spans="1:8" s="1" customFormat="1" ht="112.5">
      <c r="A52" s="50"/>
      <c r="B52" s="51"/>
      <c r="C52" s="69" t="s">
        <v>295</v>
      </c>
      <c r="D52" s="30" t="s">
        <v>438</v>
      </c>
      <c r="E52" s="11">
        <v>46253</v>
      </c>
      <c r="F52" s="11">
        <v>46356</v>
      </c>
      <c r="G52" s="76">
        <f t="shared" si="8"/>
        <v>104</v>
      </c>
      <c r="H52" s="32"/>
    </row>
    <row r="53" spans="1:8" s="1" customFormat="1" ht="56.25">
      <c r="A53" s="50"/>
      <c r="B53" s="51"/>
      <c r="C53" s="87" t="s">
        <v>294</v>
      </c>
      <c r="D53" s="88" t="s">
        <v>374</v>
      </c>
      <c r="E53" s="74">
        <v>46235</v>
      </c>
      <c r="F53" s="74">
        <v>46356</v>
      </c>
      <c r="G53" s="77">
        <f t="shared" si="8"/>
        <v>122</v>
      </c>
      <c r="H53" s="89"/>
    </row>
    <row r="54" spans="1:8" s="1" customFormat="1" ht="25.15" customHeight="1">
      <c r="A54" s="90" t="s">
        <v>293</v>
      </c>
      <c r="B54" s="83" t="s">
        <v>316</v>
      </c>
      <c r="C54" s="78"/>
      <c r="D54" s="79"/>
      <c r="E54" s="80"/>
      <c r="F54" s="80"/>
      <c r="G54" s="80"/>
      <c r="H54" s="81"/>
    </row>
    <row r="55" spans="1:8" s="3" customFormat="1" ht="25.15" customHeight="1">
      <c r="A55" s="84">
        <v>2</v>
      </c>
      <c r="B55" s="14" t="s">
        <v>55</v>
      </c>
      <c r="C55" s="14"/>
      <c r="D55" s="15"/>
      <c r="E55" s="16">
        <v>46218</v>
      </c>
      <c r="F55" s="22">
        <v>46477</v>
      </c>
      <c r="G55" s="17">
        <f>+F55-E55+1</f>
        <v>260</v>
      </c>
      <c r="H55" s="23"/>
    </row>
    <row r="56" spans="1:8" s="3" customFormat="1" ht="25.15" customHeight="1">
      <c r="A56" s="85" t="s">
        <v>56</v>
      </c>
      <c r="B56" s="18" t="s">
        <v>389</v>
      </c>
      <c r="C56" s="18"/>
      <c r="D56" s="19"/>
      <c r="E56" s="20"/>
      <c r="F56" s="24"/>
      <c r="G56" s="21"/>
      <c r="H56" s="25"/>
    </row>
    <row r="57" spans="1:8" s="1" customFormat="1" ht="56.25">
      <c r="A57" s="40"/>
      <c r="B57" s="49"/>
      <c r="C57" s="68" t="s">
        <v>57</v>
      </c>
      <c r="D57" s="30" t="s">
        <v>347</v>
      </c>
      <c r="E57" s="11">
        <v>46218</v>
      </c>
      <c r="F57" s="11">
        <v>46241</v>
      </c>
      <c r="G57" s="76">
        <f t="shared" ref="G57:G62" si="9">+F57-E57+1</f>
        <v>24</v>
      </c>
      <c r="H57" s="32"/>
    </row>
    <row r="58" spans="1:8" s="1" customFormat="1" ht="112.5">
      <c r="A58" s="50"/>
      <c r="B58" s="51"/>
      <c r="C58" s="68" t="s">
        <v>58</v>
      </c>
      <c r="D58" s="30" t="s">
        <v>439</v>
      </c>
      <c r="E58" s="11">
        <v>46230</v>
      </c>
      <c r="F58" s="11">
        <v>46295</v>
      </c>
      <c r="G58" s="76">
        <f t="shared" si="9"/>
        <v>66</v>
      </c>
      <c r="H58" s="32"/>
    </row>
    <row r="59" spans="1:8" s="1" customFormat="1" ht="14.25">
      <c r="A59" s="50"/>
      <c r="B59" s="51"/>
      <c r="C59" s="111" t="s">
        <v>59</v>
      </c>
      <c r="D59" s="107" t="s">
        <v>60</v>
      </c>
      <c r="E59" s="11">
        <v>46218</v>
      </c>
      <c r="F59" s="11">
        <v>46295</v>
      </c>
      <c r="G59" s="76">
        <f t="shared" si="9"/>
        <v>78</v>
      </c>
      <c r="H59" s="32"/>
    </row>
    <row r="60" spans="1:8" s="1" customFormat="1" ht="14.25">
      <c r="A60" s="50"/>
      <c r="B60" s="51"/>
      <c r="C60" s="111"/>
      <c r="D60" s="107" t="s">
        <v>61</v>
      </c>
      <c r="E60" s="11">
        <v>46218</v>
      </c>
      <c r="F60" s="11">
        <v>46295</v>
      </c>
      <c r="G60" s="76">
        <f t="shared" si="9"/>
        <v>78</v>
      </c>
      <c r="H60" s="32"/>
    </row>
    <row r="61" spans="1:8" s="1" customFormat="1" ht="33.75">
      <c r="A61" s="50"/>
      <c r="B61" s="51"/>
      <c r="C61" s="45" t="s">
        <v>377</v>
      </c>
      <c r="D61" s="30" t="s">
        <v>378</v>
      </c>
      <c r="E61" s="11">
        <v>46218</v>
      </c>
      <c r="F61" s="11">
        <v>46295</v>
      </c>
      <c r="G61" s="76">
        <f t="shared" si="9"/>
        <v>78</v>
      </c>
      <c r="H61" s="32"/>
    </row>
    <row r="62" spans="1:8" s="1" customFormat="1" ht="45">
      <c r="A62" s="52"/>
      <c r="B62" s="53"/>
      <c r="C62" s="70" t="s">
        <v>387</v>
      </c>
      <c r="D62" s="30" t="s">
        <v>379</v>
      </c>
      <c r="E62" s="11">
        <v>46264</v>
      </c>
      <c r="F62" s="11">
        <v>46295</v>
      </c>
      <c r="G62" s="76">
        <f t="shared" si="9"/>
        <v>32</v>
      </c>
      <c r="H62" s="32"/>
    </row>
    <row r="63" spans="1:8" s="1" customFormat="1" ht="25.15" customHeight="1">
      <c r="A63" s="85" t="s">
        <v>62</v>
      </c>
      <c r="B63" s="110" t="s">
        <v>63</v>
      </c>
      <c r="C63" s="110"/>
      <c r="D63" s="112"/>
      <c r="E63" s="113"/>
      <c r="F63" s="114"/>
      <c r="G63" s="115"/>
      <c r="H63" s="25"/>
    </row>
    <row r="64" spans="1:8" s="1" customFormat="1" ht="22.5">
      <c r="A64" s="37"/>
      <c r="B64" s="116"/>
      <c r="C64" s="108" t="s">
        <v>64</v>
      </c>
      <c r="D64" s="107" t="s">
        <v>380</v>
      </c>
      <c r="E64" s="117">
        <v>46295</v>
      </c>
      <c r="F64" s="117">
        <v>46314</v>
      </c>
      <c r="G64" s="118">
        <f t="shared" ref="G64:G65" si="10">+F64-E64+1</f>
        <v>20</v>
      </c>
      <c r="H64" s="32"/>
    </row>
    <row r="65" spans="1:8" s="1" customFormat="1" ht="33.75">
      <c r="A65" s="52"/>
      <c r="B65" s="124"/>
      <c r="C65" s="108" t="s">
        <v>65</v>
      </c>
      <c r="D65" s="107" t="s">
        <v>381</v>
      </c>
      <c r="E65" s="117">
        <v>46301</v>
      </c>
      <c r="F65" s="117">
        <v>46326</v>
      </c>
      <c r="G65" s="118">
        <f t="shared" si="10"/>
        <v>26</v>
      </c>
      <c r="H65" s="32"/>
    </row>
    <row r="66" spans="1:8" s="1" customFormat="1" ht="25.15" customHeight="1">
      <c r="A66" s="85" t="s">
        <v>66</v>
      </c>
      <c r="B66" s="110" t="s">
        <v>67</v>
      </c>
      <c r="C66" s="110"/>
      <c r="D66" s="112"/>
      <c r="E66" s="20"/>
      <c r="F66" s="24"/>
      <c r="G66" s="21"/>
      <c r="H66" s="25"/>
    </row>
    <row r="67" spans="1:8" s="1" customFormat="1" ht="22.5">
      <c r="A67" s="37"/>
      <c r="B67" s="116"/>
      <c r="C67" s="108" t="s">
        <v>68</v>
      </c>
      <c r="D67" s="107" t="s">
        <v>69</v>
      </c>
      <c r="E67" s="11">
        <v>46326</v>
      </c>
      <c r="F67" s="11">
        <v>46356</v>
      </c>
      <c r="G67" s="76">
        <f t="shared" ref="G67:G68" si="11">+F67-E67+1</f>
        <v>31</v>
      </c>
      <c r="H67" s="32"/>
    </row>
    <row r="68" spans="1:8" s="1" customFormat="1" ht="33.75">
      <c r="A68" s="52"/>
      <c r="B68" s="124"/>
      <c r="C68" s="108" t="s">
        <v>388</v>
      </c>
      <c r="D68" s="107" t="s">
        <v>317</v>
      </c>
      <c r="E68" s="11">
        <v>46326</v>
      </c>
      <c r="F68" s="11">
        <v>46356</v>
      </c>
      <c r="G68" s="76">
        <f t="shared" si="11"/>
        <v>31</v>
      </c>
      <c r="H68" s="32"/>
    </row>
    <row r="69" spans="1:8" s="1" customFormat="1" ht="25.15" customHeight="1">
      <c r="A69" s="85" t="s">
        <v>70</v>
      </c>
      <c r="B69" s="18" t="s">
        <v>71</v>
      </c>
      <c r="C69" s="18"/>
      <c r="D69" s="19"/>
      <c r="E69" s="20"/>
      <c r="F69" s="24"/>
      <c r="G69" s="21"/>
      <c r="H69" s="25"/>
    </row>
    <row r="70" spans="1:8" s="1" customFormat="1" ht="56.25">
      <c r="A70" s="55"/>
      <c r="B70" s="56"/>
      <c r="C70" s="68" t="s">
        <v>301</v>
      </c>
      <c r="D70" s="30" t="s">
        <v>348</v>
      </c>
      <c r="E70" s="11">
        <v>46325</v>
      </c>
      <c r="F70" s="11">
        <v>46343</v>
      </c>
      <c r="G70" s="76">
        <f t="shared" ref="G70:G72" si="12">+F70-E70+1</f>
        <v>19</v>
      </c>
      <c r="H70" s="32"/>
    </row>
    <row r="71" spans="1:8" s="1" customFormat="1" ht="112.5">
      <c r="A71" s="55"/>
      <c r="B71" s="56"/>
      <c r="C71" s="68" t="s">
        <v>302</v>
      </c>
      <c r="D71" s="30" t="s">
        <v>440</v>
      </c>
      <c r="E71" s="11">
        <v>46334</v>
      </c>
      <c r="F71" s="11">
        <v>46386</v>
      </c>
      <c r="G71" s="76">
        <f t="shared" si="12"/>
        <v>53</v>
      </c>
      <c r="H71" s="32"/>
    </row>
    <row r="72" spans="1:8" s="1" customFormat="1" ht="56.25">
      <c r="A72" s="55"/>
      <c r="B72" s="56"/>
      <c r="C72" s="68" t="s">
        <v>382</v>
      </c>
      <c r="D72" s="30" t="s">
        <v>383</v>
      </c>
      <c r="E72" s="11">
        <v>46325</v>
      </c>
      <c r="F72" s="11">
        <v>46386</v>
      </c>
      <c r="G72" s="76">
        <f t="shared" si="12"/>
        <v>62</v>
      </c>
      <c r="H72" s="32"/>
    </row>
    <row r="73" spans="1:8" s="1" customFormat="1" ht="25.15" customHeight="1">
      <c r="A73" s="85" t="s">
        <v>72</v>
      </c>
      <c r="B73" s="110" t="s">
        <v>67</v>
      </c>
      <c r="C73" s="110"/>
      <c r="D73" s="112"/>
      <c r="E73" s="20"/>
      <c r="F73" s="24"/>
      <c r="G73" s="21"/>
      <c r="H73" s="25"/>
    </row>
    <row r="74" spans="1:8" s="1" customFormat="1" ht="22.5">
      <c r="A74" s="37"/>
      <c r="B74" s="116"/>
      <c r="C74" s="108" t="s">
        <v>73</v>
      </c>
      <c r="D74" s="107" t="s">
        <v>74</v>
      </c>
      <c r="E74" s="11">
        <v>46386</v>
      </c>
      <c r="F74" s="11">
        <v>46417</v>
      </c>
      <c r="G74" s="76">
        <f t="shared" ref="G74:G75" si="13">+F74-E74+1</f>
        <v>32</v>
      </c>
      <c r="H74" s="32"/>
    </row>
    <row r="75" spans="1:8" s="1" customFormat="1" ht="78.75">
      <c r="A75" s="52"/>
      <c r="B75" s="124"/>
      <c r="C75" s="108" t="s">
        <v>75</v>
      </c>
      <c r="D75" s="107" t="s">
        <v>76</v>
      </c>
      <c r="E75" s="11">
        <v>46386</v>
      </c>
      <c r="F75" s="11">
        <v>46417</v>
      </c>
      <c r="G75" s="76">
        <f t="shared" si="13"/>
        <v>32</v>
      </c>
      <c r="H75" s="32"/>
    </row>
    <row r="76" spans="1:8" s="1" customFormat="1" ht="25.15" customHeight="1">
      <c r="A76" s="85" t="s">
        <v>77</v>
      </c>
      <c r="B76" s="18" t="s">
        <v>78</v>
      </c>
      <c r="C76" s="18"/>
      <c r="D76" s="19"/>
      <c r="E76" s="20"/>
      <c r="F76" s="24"/>
      <c r="G76" s="21"/>
      <c r="H76" s="25"/>
    </row>
    <row r="77" spans="1:8" s="1" customFormat="1" ht="101.25">
      <c r="A77" s="37"/>
      <c r="B77" s="49"/>
      <c r="C77" s="70" t="s">
        <v>79</v>
      </c>
      <c r="D77" s="30" t="s">
        <v>384</v>
      </c>
      <c r="E77" s="11">
        <v>46417</v>
      </c>
      <c r="F77" s="11">
        <v>46438</v>
      </c>
      <c r="G77" s="76">
        <f t="shared" ref="G77:G79" si="14">+F77-E77+1</f>
        <v>22</v>
      </c>
      <c r="H77" s="32"/>
    </row>
    <row r="78" spans="1:8" s="1" customFormat="1" ht="14.25">
      <c r="A78" s="50"/>
      <c r="B78" s="51"/>
      <c r="C78" s="70" t="s">
        <v>80</v>
      </c>
      <c r="D78" s="30" t="s">
        <v>385</v>
      </c>
      <c r="E78" s="11">
        <v>46429</v>
      </c>
      <c r="F78" s="11">
        <v>46477</v>
      </c>
      <c r="G78" s="76">
        <f t="shared" si="14"/>
        <v>49</v>
      </c>
      <c r="H78" s="32"/>
    </row>
    <row r="79" spans="1:8" s="1" customFormat="1" ht="33.75">
      <c r="A79" s="52"/>
      <c r="B79" s="53"/>
      <c r="C79" s="70" t="s">
        <v>81</v>
      </c>
      <c r="D79" s="30" t="s">
        <v>386</v>
      </c>
      <c r="E79" s="11">
        <v>46447</v>
      </c>
      <c r="F79" s="11">
        <v>46477</v>
      </c>
      <c r="G79" s="76">
        <f t="shared" si="14"/>
        <v>31</v>
      </c>
      <c r="H79" s="32"/>
    </row>
    <row r="80" spans="1:8" s="1" customFormat="1" ht="25.15" customHeight="1">
      <c r="A80" s="82" t="s">
        <v>82</v>
      </c>
      <c r="B80" s="83" t="s">
        <v>316</v>
      </c>
      <c r="C80" s="78"/>
      <c r="D80" s="79"/>
      <c r="E80" s="80"/>
      <c r="F80" s="80"/>
      <c r="G80" s="80"/>
      <c r="H80" s="81"/>
    </row>
    <row r="81" spans="1:8" s="3" customFormat="1" ht="25.15" customHeight="1">
      <c r="A81" s="84">
        <v>3</v>
      </c>
      <c r="B81" s="14" t="s">
        <v>83</v>
      </c>
      <c r="C81" s="14"/>
      <c r="D81" s="15"/>
      <c r="E81" s="16">
        <v>46326</v>
      </c>
      <c r="F81" s="22">
        <v>46599</v>
      </c>
      <c r="G81" s="17">
        <f>+F81-E81+1</f>
        <v>274</v>
      </c>
      <c r="H81" s="23"/>
    </row>
    <row r="82" spans="1:8" s="3" customFormat="1" ht="25.15" customHeight="1">
      <c r="A82" s="85" t="s">
        <v>84</v>
      </c>
      <c r="B82" s="18" t="s">
        <v>85</v>
      </c>
      <c r="C82" s="18"/>
      <c r="D82" s="19"/>
      <c r="E82" s="20"/>
      <c r="F82" s="24"/>
      <c r="G82" s="21"/>
      <c r="H82" s="25"/>
    </row>
    <row r="83" spans="1:8" s="4" customFormat="1" ht="22.5">
      <c r="A83" s="37"/>
      <c r="B83" s="49"/>
      <c r="C83" s="70" t="s">
        <v>86</v>
      </c>
      <c r="D83" s="107" t="s">
        <v>87</v>
      </c>
      <c r="E83" s="11">
        <v>46326</v>
      </c>
      <c r="F83" s="11">
        <v>46462</v>
      </c>
      <c r="G83" s="76">
        <f t="shared" ref="G83:G95" si="15">+F83-E83+1</f>
        <v>137</v>
      </c>
      <c r="H83" s="27"/>
    </row>
    <row r="84" spans="1:8" s="4" customFormat="1" ht="22.5">
      <c r="A84" s="50"/>
      <c r="B84" s="51"/>
      <c r="C84" s="70" t="s">
        <v>88</v>
      </c>
      <c r="D84" s="30" t="s">
        <v>390</v>
      </c>
      <c r="E84" s="11">
        <v>46517</v>
      </c>
      <c r="F84" s="11">
        <v>46599</v>
      </c>
      <c r="G84" s="76">
        <f t="shared" si="15"/>
        <v>83</v>
      </c>
      <c r="H84" s="27"/>
    </row>
    <row r="85" spans="1:8" s="4" customFormat="1" ht="14.25">
      <c r="A85" s="50"/>
      <c r="B85" s="51"/>
      <c r="C85" s="70" t="s">
        <v>89</v>
      </c>
      <c r="D85" s="107" t="s">
        <v>90</v>
      </c>
      <c r="E85" s="11">
        <v>46353</v>
      </c>
      <c r="F85" s="11">
        <v>46389</v>
      </c>
      <c r="G85" s="76">
        <f t="shared" si="15"/>
        <v>37</v>
      </c>
      <c r="H85" s="27"/>
    </row>
    <row r="86" spans="1:8" s="4" customFormat="1" ht="22.5">
      <c r="A86" s="50"/>
      <c r="B86" s="51"/>
      <c r="C86" s="70" t="s">
        <v>91</v>
      </c>
      <c r="D86" s="107" t="s">
        <v>92</v>
      </c>
      <c r="E86" s="11">
        <v>46367</v>
      </c>
      <c r="F86" s="11">
        <v>46410</v>
      </c>
      <c r="G86" s="76">
        <f t="shared" si="15"/>
        <v>44</v>
      </c>
      <c r="H86" s="27"/>
    </row>
    <row r="87" spans="1:8" s="4" customFormat="1" ht="14.25">
      <c r="A87" s="50"/>
      <c r="B87" s="51"/>
      <c r="C87" s="70" t="s">
        <v>93</v>
      </c>
      <c r="D87" s="107" t="s">
        <v>94</v>
      </c>
      <c r="E87" s="11">
        <v>46381</v>
      </c>
      <c r="F87" s="11">
        <v>46599</v>
      </c>
      <c r="G87" s="76">
        <f t="shared" si="15"/>
        <v>219</v>
      </c>
      <c r="H87" s="27"/>
    </row>
    <row r="88" spans="1:8" s="4" customFormat="1" ht="22.5">
      <c r="A88" s="50"/>
      <c r="B88" s="51"/>
      <c r="C88" s="70" t="s">
        <v>95</v>
      </c>
      <c r="D88" s="30" t="s">
        <v>391</v>
      </c>
      <c r="E88" s="11">
        <v>46381</v>
      </c>
      <c r="F88" s="11">
        <v>46599</v>
      </c>
      <c r="G88" s="76">
        <f t="shared" si="15"/>
        <v>219</v>
      </c>
      <c r="H88" s="27"/>
    </row>
    <row r="89" spans="1:8" s="4" customFormat="1" ht="33.75">
      <c r="A89" s="50"/>
      <c r="B89" s="51"/>
      <c r="C89" s="108" t="s">
        <v>96</v>
      </c>
      <c r="D89" s="107" t="s">
        <v>97</v>
      </c>
      <c r="E89" s="11">
        <v>46408</v>
      </c>
      <c r="F89" s="11">
        <v>46473</v>
      </c>
      <c r="G89" s="76">
        <f t="shared" si="15"/>
        <v>66</v>
      </c>
      <c r="H89" s="27"/>
    </row>
    <row r="90" spans="1:8" s="4" customFormat="1" ht="22.5">
      <c r="A90" s="50"/>
      <c r="B90" s="51"/>
      <c r="C90" s="70" t="s">
        <v>98</v>
      </c>
      <c r="D90" s="30" t="s">
        <v>392</v>
      </c>
      <c r="E90" s="11">
        <v>46490</v>
      </c>
      <c r="F90" s="11">
        <v>46599</v>
      </c>
      <c r="G90" s="76">
        <f t="shared" si="15"/>
        <v>110</v>
      </c>
      <c r="H90" s="27"/>
    </row>
    <row r="91" spans="1:8" s="4" customFormat="1" ht="33.75">
      <c r="A91" s="50"/>
      <c r="B91" s="51"/>
      <c r="C91" s="70" t="s">
        <v>99</v>
      </c>
      <c r="D91" s="30" t="s">
        <v>393</v>
      </c>
      <c r="E91" s="11">
        <v>46435</v>
      </c>
      <c r="F91" s="11">
        <v>46514</v>
      </c>
      <c r="G91" s="76">
        <f t="shared" si="15"/>
        <v>80</v>
      </c>
      <c r="H91" s="27"/>
    </row>
    <row r="92" spans="1:8" s="4" customFormat="1" ht="22.5">
      <c r="A92" s="50"/>
      <c r="B92" s="51"/>
      <c r="C92" s="108" t="s">
        <v>100</v>
      </c>
      <c r="D92" s="107" t="s">
        <v>101</v>
      </c>
      <c r="E92" s="11">
        <v>46381</v>
      </c>
      <c r="F92" s="11">
        <v>46599</v>
      </c>
      <c r="G92" s="76">
        <f t="shared" si="15"/>
        <v>219</v>
      </c>
      <c r="H92" s="27"/>
    </row>
    <row r="93" spans="1:8" s="4" customFormat="1" ht="56.25">
      <c r="A93" s="50"/>
      <c r="B93" s="51"/>
      <c r="C93" s="106" t="s">
        <v>102</v>
      </c>
      <c r="D93" s="107" t="s">
        <v>349</v>
      </c>
      <c r="E93" s="11">
        <v>46326</v>
      </c>
      <c r="F93" s="11">
        <v>46408</v>
      </c>
      <c r="G93" s="76">
        <f t="shared" si="15"/>
        <v>83</v>
      </c>
      <c r="H93" s="27"/>
    </row>
    <row r="94" spans="1:8" s="4" customFormat="1" ht="112.5">
      <c r="A94" s="50"/>
      <c r="B94" s="51"/>
      <c r="C94" s="106" t="s">
        <v>103</v>
      </c>
      <c r="D94" s="107" t="s">
        <v>441</v>
      </c>
      <c r="E94" s="11">
        <v>46367</v>
      </c>
      <c r="F94" s="11">
        <v>46599</v>
      </c>
      <c r="G94" s="76">
        <f t="shared" si="15"/>
        <v>233</v>
      </c>
      <c r="H94" s="27"/>
    </row>
    <row r="95" spans="1:8" s="4" customFormat="1" ht="56.25">
      <c r="A95" s="50"/>
      <c r="B95" s="51"/>
      <c r="C95" s="72" t="s">
        <v>303</v>
      </c>
      <c r="D95" s="73" t="s">
        <v>318</v>
      </c>
      <c r="E95" s="74">
        <v>46490</v>
      </c>
      <c r="F95" s="74">
        <v>46599</v>
      </c>
      <c r="G95" s="77">
        <f t="shared" si="15"/>
        <v>110</v>
      </c>
      <c r="H95" s="75"/>
    </row>
    <row r="96" spans="1:8" s="1" customFormat="1" ht="25.15" customHeight="1">
      <c r="A96" s="82" t="s">
        <v>104</v>
      </c>
      <c r="B96" s="83" t="s">
        <v>316</v>
      </c>
      <c r="C96" s="78"/>
      <c r="D96" s="79"/>
      <c r="E96" s="80"/>
      <c r="F96" s="80"/>
      <c r="G96" s="80"/>
      <c r="H96" s="81"/>
    </row>
    <row r="97" spans="1:8" s="5" customFormat="1" ht="25.15" customHeight="1">
      <c r="A97" s="84">
        <v>4</v>
      </c>
      <c r="B97" s="14" t="s">
        <v>105</v>
      </c>
      <c r="C97" s="14"/>
      <c r="D97" s="15"/>
      <c r="E97" s="16">
        <v>46341</v>
      </c>
      <c r="F97" s="22">
        <v>46660</v>
      </c>
      <c r="G97" s="17">
        <f>+F97-E97+1</f>
        <v>320</v>
      </c>
      <c r="H97" s="23"/>
    </row>
    <row r="98" spans="1:8" s="5" customFormat="1" ht="25.15" customHeight="1">
      <c r="A98" s="85" t="s">
        <v>106</v>
      </c>
      <c r="B98" s="18" t="s">
        <v>107</v>
      </c>
      <c r="C98" s="18"/>
      <c r="D98" s="19"/>
      <c r="E98" s="20"/>
      <c r="F98" s="24"/>
      <c r="G98" s="21"/>
      <c r="H98" s="25"/>
    </row>
    <row r="99" spans="1:8" s="1" customFormat="1" ht="56.25">
      <c r="A99" s="37"/>
      <c r="B99" s="49"/>
      <c r="C99" s="68" t="s">
        <v>108</v>
      </c>
      <c r="D99" s="13" t="s">
        <v>350</v>
      </c>
      <c r="E99" s="11">
        <v>46477</v>
      </c>
      <c r="F99" s="11">
        <v>46532</v>
      </c>
      <c r="G99" s="76">
        <f t="shared" ref="G99:G101" si="16">+F99-E99+1</f>
        <v>56</v>
      </c>
      <c r="H99" s="32"/>
    </row>
    <row r="100" spans="1:8" s="1" customFormat="1" ht="112.5">
      <c r="A100" s="50"/>
      <c r="B100" s="51"/>
      <c r="C100" s="68" t="s">
        <v>109</v>
      </c>
      <c r="D100" s="30" t="s">
        <v>442</v>
      </c>
      <c r="E100" s="11">
        <v>46504</v>
      </c>
      <c r="F100" s="11">
        <v>46660</v>
      </c>
      <c r="G100" s="76">
        <f t="shared" si="16"/>
        <v>157</v>
      </c>
      <c r="H100" s="32"/>
    </row>
    <row r="101" spans="1:8" s="1" customFormat="1" ht="45">
      <c r="A101" s="52"/>
      <c r="B101" s="53"/>
      <c r="C101" s="70" t="s">
        <v>394</v>
      </c>
      <c r="D101" s="31" t="s">
        <v>395</v>
      </c>
      <c r="E101" s="11">
        <v>46569</v>
      </c>
      <c r="F101" s="11">
        <v>46652</v>
      </c>
      <c r="G101" s="76">
        <f t="shared" si="16"/>
        <v>84</v>
      </c>
      <c r="H101" s="32"/>
    </row>
    <row r="102" spans="1:8" s="1" customFormat="1" ht="25.15" customHeight="1">
      <c r="A102" s="85" t="s">
        <v>110</v>
      </c>
      <c r="B102" s="18" t="s">
        <v>413</v>
      </c>
      <c r="C102" s="18"/>
      <c r="D102" s="19"/>
      <c r="E102" s="20"/>
      <c r="F102" s="24"/>
      <c r="G102" s="21"/>
      <c r="H102" s="25"/>
    </row>
    <row r="103" spans="1:8" s="1" customFormat="1" ht="56.25">
      <c r="A103" s="37"/>
      <c r="B103" s="49"/>
      <c r="C103" s="68" t="s">
        <v>111</v>
      </c>
      <c r="D103" s="13" t="s">
        <v>351</v>
      </c>
      <c r="E103" s="11">
        <v>46477</v>
      </c>
      <c r="F103" s="11">
        <v>46532</v>
      </c>
      <c r="G103" s="76">
        <f t="shared" ref="G103:G111" si="17">+F103-E103+1</f>
        <v>56</v>
      </c>
      <c r="H103" s="32"/>
    </row>
    <row r="104" spans="1:8" s="1" customFormat="1" ht="112.5">
      <c r="A104" s="50"/>
      <c r="B104" s="51"/>
      <c r="C104" s="68" t="s">
        <v>112</v>
      </c>
      <c r="D104" s="30" t="s">
        <v>443</v>
      </c>
      <c r="E104" s="11">
        <v>46504</v>
      </c>
      <c r="F104" s="11">
        <v>46660</v>
      </c>
      <c r="G104" s="76">
        <f t="shared" si="17"/>
        <v>157</v>
      </c>
      <c r="H104" s="32"/>
    </row>
    <row r="105" spans="1:8" s="1" customFormat="1" ht="14.25">
      <c r="A105" s="50"/>
      <c r="B105" s="51"/>
      <c r="C105" s="126" t="s">
        <v>396</v>
      </c>
      <c r="D105" s="125" t="s">
        <v>397</v>
      </c>
      <c r="E105" s="11">
        <v>46477</v>
      </c>
      <c r="F105" s="11">
        <v>46660</v>
      </c>
      <c r="G105" s="76">
        <f t="shared" si="17"/>
        <v>184</v>
      </c>
      <c r="H105" s="32"/>
    </row>
    <row r="106" spans="1:8" s="1" customFormat="1" ht="14.25">
      <c r="A106" s="50"/>
      <c r="B106" s="51"/>
      <c r="C106" s="106" t="s">
        <v>113</v>
      </c>
      <c r="D106" s="107" t="s">
        <v>114</v>
      </c>
      <c r="E106" s="11">
        <v>46477</v>
      </c>
      <c r="F106" s="11">
        <v>46660</v>
      </c>
      <c r="G106" s="76">
        <f t="shared" si="17"/>
        <v>184</v>
      </c>
      <c r="H106" s="32"/>
    </row>
    <row r="107" spans="1:8" s="1" customFormat="1" ht="14.25">
      <c r="A107" s="50"/>
      <c r="B107" s="51"/>
      <c r="C107" s="106" t="s">
        <v>115</v>
      </c>
      <c r="D107" s="107" t="s">
        <v>116</v>
      </c>
      <c r="E107" s="11">
        <v>46477</v>
      </c>
      <c r="F107" s="11">
        <v>46660</v>
      </c>
      <c r="G107" s="76">
        <f t="shared" si="17"/>
        <v>184</v>
      </c>
      <c r="H107" s="32"/>
    </row>
    <row r="108" spans="1:8" s="1" customFormat="1" ht="22.5">
      <c r="A108" s="50"/>
      <c r="B108" s="51"/>
      <c r="C108" s="68" t="s">
        <v>117</v>
      </c>
      <c r="D108" s="30" t="s">
        <v>398</v>
      </c>
      <c r="E108" s="11">
        <v>46477</v>
      </c>
      <c r="F108" s="11">
        <v>46660</v>
      </c>
      <c r="G108" s="76">
        <f t="shared" si="17"/>
        <v>184</v>
      </c>
      <c r="H108" s="32"/>
    </row>
    <row r="109" spans="1:8" s="1" customFormat="1" ht="33.75">
      <c r="A109" s="50"/>
      <c r="B109" s="51"/>
      <c r="C109" s="70" t="s">
        <v>118</v>
      </c>
      <c r="D109" s="30" t="s">
        <v>399</v>
      </c>
      <c r="E109" s="11">
        <v>46477</v>
      </c>
      <c r="F109" s="11">
        <v>46559</v>
      </c>
      <c r="G109" s="76">
        <f t="shared" si="17"/>
        <v>83</v>
      </c>
      <c r="H109" s="32"/>
    </row>
    <row r="110" spans="1:8" s="1" customFormat="1" ht="14.25">
      <c r="A110" s="50"/>
      <c r="B110" s="51"/>
      <c r="C110" s="70" t="s">
        <v>323</v>
      </c>
      <c r="D110" s="30" t="s">
        <v>400</v>
      </c>
      <c r="E110" s="11">
        <v>46555</v>
      </c>
      <c r="F110" s="11">
        <v>46627</v>
      </c>
      <c r="G110" s="76">
        <f t="shared" si="17"/>
        <v>73</v>
      </c>
      <c r="H110" s="32"/>
    </row>
    <row r="111" spans="1:8" s="1" customFormat="1" ht="33.75">
      <c r="A111" s="52"/>
      <c r="B111" s="53"/>
      <c r="C111" s="70" t="s">
        <v>321</v>
      </c>
      <c r="D111" s="125" t="s">
        <v>401</v>
      </c>
      <c r="E111" s="11">
        <v>46514</v>
      </c>
      <c r="F111" s="11">
        <v>46660</v>
      </c>
      <c r="G111" s="76">
        <f t="shared" si="17"/>
        <v>147</v>
      </c>
      <c r="H111" s="32"/>
    </row>
    <row r="112" spans="1:8" s="1" customFormat="1" ht="25.15" customHeight="1">
      <c r="A112" s="85" t="s">
        <v>119</v>
      </c>
      <c r="B112" s="18" t="s">
        <v>120</v>
      </c>
      <c r="C112" s="18"/>
      <c r="D112" s="19"/>
      <c r="E112" s="20"/>
      <c r="F112" s="24"/>
      <c r="G112" s="21"/>
      <c r="H112" s="25"/>
    </row>
    <row r="113" spans="1:8" s="1" customFormat="1" ht="56.25">
      <c r="A113" s="40"/>
      <c r="B113" s="49"/>
      <c r="C113" s="68" t="s">
        <v>121</v>
      </c>
      <c r="D113" s="13" t="s">
        <v>352</v>
      </c>
      <c r="E113" s="11">
        <v>46341</v>
      </c>
      <c r="F113" s="11">
        <v>46373</v>
      </c>
      <c r="G113" s="76">
        <f t="shared" ref="G113:G116" si="18">+F113-E113+1</f>
        <v>33</v>
      </c>
      <c r="H113" s="32"/>
    </row>
    <row r="114" spans="1:8" s="1" customFormat="1" ht="112.5">
      <c r="A114" s="50"/>
      <c r="B114" s="51"/>
      <c r="C114" s="68" t="s">
        <v>122</v>
      </c>
      <c r="D114" s="30" t="s">
        <v>444</v>
      </c>
      <c r="E114" s="11">
        <v>46357</v>
      </c>
      <c r="F114" s="11">
        <v>46446</v>
      </c>
      <c r="G114" s="76">
        <f t="shared" si="18"/>
        <v>90</v>
      </c>
      <c r="H114" s="32"/>
    </row>
    <row r="115" spans="1:8" s="1" customFormat="1" ht="22.5">
      <c r="A115" s="50"/>
      <c r="B115" s="51"/>
      <c r="C115" s="45" t="s">
        <v>402</v>
      </c>
      <c r="D115" s="30" t="s">
        <v>404</v>
      </c>
      <c r="E115" s="11">
        <v>46341</v>
      </c>
      <c r="F115" s="11">
        <v>46446</v>
      </c>
      <c r="G115" s="76">
        <f t="shared" si="18"/>
        <v>106</v>
      </c>
      <c r="H115" s="32"/>
    </row>
    <row r="116" spans="1:8" s="1" customFormat="1" ht="33.75">
      <c r="A116" s="52"/>
      <c r="B116" s="53"/>
      <c r="C116" s="70" t="s">
        <v>403</v>
      </c>
      <c r="D116" s="30" t="s">
        <v>405</v>
      </c>
      <c r="E116" s="11">
        <v>46400</v>
      </c>
      <c r="F116" s="11">
        <v>46446</v>
      </c>
      <c r="G116" s="76">
        <f t="shared" si="18"/>
        <v>47</v>
      </c>
      <c r="H116" s="32"/>
    </row>
    <row r="117" spans="1:8" s="1" customFormat="1" ht="25.15" customHeight="1">
      <c r="A117" s="85" t="s">
        <v>123</v>
      </c>
      <c r="B117" s="18" t="s">
        <v>124</v>
      </c>
      <c r="C117" s="18"/>
      <c r="D117" s="19"/>
      <c r="E117" s="20"/>
      <c r="F117" s="24"/>
      <c r="G117" s="21"/>
      <c r="H117" s="25"/>
    </row>
    <row r="118" spans="1:8" s="1" customFormat="1" ht="56.25">
      <c r="A118" s="37"/>
      <c r="B118" s="49"/>
      <c r="C118" s="68" t="s">
        <v>125</v>
      </c>
      <c r="D118" s="13" t="s">
        <v>353</v>
      </c>
      <c r="E118" s="11">
        <v>46477</v>
      </c>
      <c r="F118" s="11">
        <v>46532</v>
      </c>
      <c r="G118" s="76">
        <f t="shared" ref="G118:G123" si="19">+F118-E118+1</f>
        <v>56</v>
      </c>
      <c r="H118" s="32"/>
    </row>
    <row r="119" spans="1:8" s="1" customFormat="1" ht="112.5">
      <c r="A119" s="50"/>
      <c r="B119" s="51"/>
      <c r="C119" s="68" t="s">
        <v>126</v>
      </c>
      <c r="D119" s="30" t="s">
        <v>445</v>
      </c>
      <c r="E119" s="11">
        <v>46504</v>
      </c>
      <c r="F119" s="11">
        <v>46660</v>
      </c>
      <c r="G119" s="76">
        <f t="shared" si="19"/>
        <v>157</v>
      </c>
      <c r="H119" s="32"/>
    </row>
    <row r="120" spans="1:8" s="1" customFormat="1" ht="33.75">
      <c r="A120" s="50"/>
      <c r="B120" s="51"/>
      <c r="C120" s="70" t="s">
        <v>127</v>
      </c>
      <c r="D120" s="30" t="s">
        <v>406</v>
      </c>
      <c r="E120" s="11">
        <v>46523</v>
      </c>
      <c r="F120" s="11">
        <v>46582</v>
      </c>
      <c r="G120" s="76">
        <f t="shared" si="19"/>
        <v>60</v>
      </c>
      <c r="H120" s="32"/>
    </row>
    <row r="121" spans="1:8" s="1" customFormat="1" ht="14.25">
      <c r="A121" s="50"/>
      <c r="B121" s="51"/>
      <c r="C121" s="70" t="s">
        <v>128</v>
      </c>
      <c r="D121" s="30" t="s">
        <v>407</v>
      </c>
      <c r="E121" s="11">
        <v>46514</v>
      </c>
      <c r="F121" s="11">
        <v>46660</v>
      </c>
      <c r="G121" s="76">
        <f t="shared" si="19"/>
        <v>147</v>
      </c>
      <c r="H121" s="32"/>
    </row>
    <row r="122" spans="1:8" s="1" customFormat="1" ht="45">
      <c r="A122" s="50"/>
      <c r="B122" s="51"/>
      <c r="C122" s="70" t="s">
        <v>129</v>
      </c>
      <c r="D122" s="30" t="s">
        <v>408</v>
      </c>
      <c r="E122" s="11">
        <v>46569</v>
      </c>
      <c r="F122" s="11">
        <v>46652</v>
      </c>
      <c r="G122" s="76">
        <f t="shared" si="19"/>
        <v>84</v>
      </c>
      <c r="H122" s="32"/>
    </row>
    <row r="123" spans="1:8" s="1" customFormat="1" ht="33.75">
      <c r="A123" s="52"/>
      <c r="B123" s="53"/>
      <c r="C123" s="70" t="s">
        <v>130</v>
      </c>
      <c r="D123" s="30" t="s">
        <v>409</v>
      </c>
      <c r="E123" s="11">
        <v>46514</v>
      </c>
      <c r="F123" s="11">
        <v>46660</v>
      </c>
      <c r="G123" s="76">
        <f t="shared" si="19"/>
        <v>147</v>
      </c>
      <c r="H123" s="32"/>
    </row>
    <row r="124" spans="1:8" s="1" customFormat="1" ht="25.15" customHeight="1">
      <c r="A124" s="85" t="s">
        <v>131</v>
      </c>
      <c r="B124" s="18" t="s">
        <v>319</v>
      </c>
      <c r="C124" s="18"/>
      <c r="D124" s="19"/>
      <c r="E124" s="20"/>
      <c r="F124" s="24"/>
      <c r="G124" s="21"/>
      <c r="H124" s="25"/>
    </row>
    <row r="125" spans="1:8" s="1" customFormat="1" ht="22.5">
      <c r="A125" s="37"/>
      <c r="B125" s="49"/>
      <c r="C125" s="68" t="s">
        <v>132</v>
      </c>
      <c r="D125" s="30" t="s">
        <v>415</v>
      </c>
      <c r="E125" s="11">
        <v>46477</v>
      </c>
      <c r="F125" s="11">
        <v>46660</v>
      </c>
      <c r="G125" s="76">
        <f t="shared" ref="G125:G128" si="20">+F125-E125+1</f>
        <v>184</v>
      </c>
      <c r="H125" s="32"/>
    </row>
    <row r="126" spans="1:8" s="1" customFormat="1" ht="33.75">
      <c r="A126" s="59"/>
      <c r="B126" s="51"/>
      <c r="C126" s="68" t="s">
        <v>133</v>
      </c>
      <c r="D126" s="30" t="s">
        <v>416</v>
      </c>
      <c r="E126" s="11">
        <v>46477</v>
      </c>
      <c r="F126" s="11">
        <v>46660</v>
      </c>
      <c r="G126" s="76">
        <f t="shared" si="20"/>
        <v>184</v>
      </c>
      <c r="H126" s="32"/>
    </row>
    <row r="127" spans="1:8" s="1" customFormat="1" ht="56.25">
      <c r="A127" s="59"/>
      <c r="B127" s="51"/>
      <c r="C127" s="68" t="s">
        <v>134</v>
      </c>
      <c r="D127" s="13" t="s">
        <v>354</v>
      </c>
      <c r="E127" s="11">
        <v>46477</v>
      </c>
      <c r="F127" s="11">
        <v>46532</v>
      </c>
      <c r="G127" s="76">
        <f t="shared" si="20"/>
        <v>56</v>
      </c>
      <c r="H127" s="32"/>
    </row>
    <row r="128" spans="1:8" s="1" customFormat="1" ht="112.5">
      <c r="A128" s="52"/>
      <c r="B128" s="53"/>
      <c r="C128" s="68" t="s">
        <v>135</v>
      </c>
      <c r="D128" s="30" t="s">
        <v>446</v>
      </c>
      <c r="E128" s="11">
        <v>46504</v>
      </c>
      <c r="F128" s="11">
        <v>46660</v>
      </c>
      <c r="G128" s="76">
        <f t="shared" si="20"/>
        <v>157</v>
      </c>
      <c r="H128" s="32"/>
    </row>
    <row r="129" spans="1:8" s="1" customFormat="1" ht="25.15" customHeight="1">
      <c r="A129" s="85" t="s">
        <v>136</v>
      </c>
      <c r="B129" s="18" t="s">
        <v>137</v>
      </c>
      <c r="C129" s="18"/>
      <c r="D129" s="19"/>
      <c r="E129" s="20"/>
      <c r="F129" s="24"/>
      <c r="G129" s="21"/>
      <c r="H129" s="25"/>
    </row>
    <row r="130" spans="1:8" s="6" customFormat="1" ht="56.25">
      <c r="A130" s="37"/>
      <c r="B130" s="49"/>
      <c r="C130" s="68" t="s">
        <v>138</v>
      </c>
      <c r="D130" s="13" t="s">
        <v>355</v>
      </c>
      <c r="E130" s="11">
        <v>46477</v>
      </c>
      <c r="F130" s="11">
        <v>46532</v>
      </c>
      <c r="G130" s="76">
        <f t="shared" ref="G130:G132" si="21">+F130-E130+1</f>
        <v>56</v>
      </c>
      <c r="H130" s="28"/>
    </row>
    <row r="131" spans="1:8" s="6" customFormat="1" ht="112.5">
      <c r="A131" s="50"/>
      <c r="B131" s="51"/>
      <c r="C131" s="68" t="s">
        <v>139</v>
      </c>
      <c r="D131" s="30" t="s">
        <v>447</v>
      </c>
      <c r="E131" s="11">
        <v>46504</v>
      </c>
      <c r="F131" s="11">
        <v>46660</v>
      </c>
      <c r="G131" s="76">
        <f t="shared" si="21"/>
        <v>157</v>
      </c>
      <c r="H131" s="28"/>
    </row>
    <row r="132" spans="1:8" s="6" customFormat="1" ht="45">
      <c r="A132" s="52"/>
      <c r="B132" s="53"/>
      <c r="C132" s="70" t="s">
        <v>140</v>
      </c>
      <c r="D132" s="30" t="s">
        <v>414</v>
      </c>
      <c r="E132" s="11">
        <v>46587</v>
      </c>
      <c r="F132" s="11">
        <v>46660</v>
      </c>
      <c r="G132" s="76">
        <f t="shared" si="21"/>
        <v>74</v>
      </c>
      <c r="H132" s="28"/>
    </row>
    <row r="133" spans="1:8" s="6" customFormat="1" ht="25.15" customHeight="1">
      <c r="A133" s="85" t="s">
        <v>141</v>
      </c>
      <c r="B133" s="18" t="s">
        <v>142</v>
      </c>
      <c r="C133" s="18"/>
      <c r="D133" s="19"/>
      <c r="E133" s="20"/>
      <c r="F133" s="24"/>
      <c r="G133" s="21"/>
      <c r="H133" s="25"/>
    </row>
    <row r="134" spans="1:8" s="6" customFormat="1" ht="56.25">
      <c r="A134" s="40"/>
      <c r="B134" s="49"/>
      <c r="C134" s="68" t="s">
        <v>143</v>
      </c>
      <c r="D134" s="13" t="s">
        <v>356</v>
      </c>
      <c r="E134" s="11">
        <v>46477</v>
      </c>
      <c r="F134" s="11">
        <v>46532</v>
      </c>
      <c r="G134" s="76">
        <f t="shared" ref="G134:G137" si="22">+F134-E134+1</f>
        <v>56</v>
      </c>
      <c r="H134" s="28"/>
    </row>
    <row r="135" spans="1:8" s="6" customFormat="1" ht="112.5">
      <c r="A135" s="50"/>
      <c r="B135" s="51"/>
      <c r="C135" s="68" t="s">
        <v>144</v>
      </c>
      <c r="D135" s="30" t="s">
        <v>448</v>
      </c>
      <c r="E135" s="11">
        <v>46504</v>
      </c>
      <c r="F135" s="11">
        <v>46660</v>
      </c>
      <c r="G135" s="76">
        <f t="shared" si="22"/>
        <v>157</v>
      </c>
      <c r="H135" s="28"/>
    </row>
    <row r="136" spans="1:8" s="6" customFormat="1" ht="22.5">
      <c r="A136" s="50"/>
      <c r="B136" s="51"/>
      <c r="C136" s="68" t="s">
        <v>145</v>
      </c>
      <c r="D136" s="30" t="s">
        <v>146</v>
      </c>
      <c r="E136" s="11">
        <v>46477</v>
      </c>
      <c r="F136" s="11">
        <v>46660</v>
      </c>
      <c r="G136" s="76">
        <f t="shared" si="22"/>
        <v>184</v>
      </c>
      <c r="H136" s="28"/>
    </row>
    <row r="137" spans="1:8" s="6" customFormat="1" ht="33.75">
      <c r="A137" s="52"/>
      <c r="B137" s="53"/>
      <c r="C137" s="70" t="s">
        <v>147</v>
      </c>
      <c r="D137" s="30" t="s">
        <v>320</v>
      </c>
      <c r="E137" s="11">
        <v>46569</v>
      </c>
      <c r="F137" s="11">
        <v>46660</v>
      </c>
      <c r="G137" s="76">
        <f t="shared" si="22"/>
        <v>92</v>
      </c>
      <c r="H137" s="28"/>
    </row>
    <row r="138" spans="1:8" s="6" customFormat="1" ht="25.15" customHeight="1">
      <c r="A138" s="85" t="s">
        <v>148</v>
      </c>
      <c r="B138" s="18" t="s">
        <v>149</v>
      </c>
      <c r="C138" s="18"/>
      <c r="D138" s="19"/>
      <c r="E138" s="20"/>
      <c r="F138" s="24"/>
      <c r="G138" s="21"/>
      <c r="H138" s="25"/>
    </row>
    <row r="139" spans="1:8" s="6" customFormat="1" ht="56.25">
      <c r="A139" s="40"/>
      <c r="B139" s="49"/>
      <c r="C139" s="68" t="s">
        <v>150</v>
      </c>
      <c r="D139" s="13" t="s">
        <v>357</v>
      </c>
      <c r="E139" s="11">
        <v>46477</v>
      </c>
      <c r="F139" s="11">
        <v>46532</v>
      </c>
      <c r="G139" s="76">
        <f t="shared" ref="G139:G143" si="23">+F139-E139+1</f>
        <v>56</v>
      </c>
      <c r="H139" s="28"/>
    </row>
    <row r="140" spans="1:8" s="6" customFormat="1" ht="112.5">
      <c r="A140" s="50"/>
      <c r="B140" s="51"/>
      <c r="C140" s="68" t="s">
        <v>151</v>
      </c>
      <c r="D140" s="30" t="s">
        <v>449</v>
      </c>
      <c r="E140" s="11">
        <v>46504</v>
      </c>
      <c r="F140" s="11">
        <v>46660</v>
      </c>
      <c r="G140" s="76">
        <f t="shared" si="23"/>
        <v>157</v>
      </c>
      <c r="H140" s="28"/>
    </row>
    <row r="141" spans="1:8" s="6" customFormat="1" ht="78.75">
      <c r="A141" s="50"/>
      <c r="B141" s="51"/>
      <c r="C141" s="70" t="s">
        <v>152</v>
      </c>
      <c r="D141" s="30" t="s">
        <v>153</v>
      </c>
      <c r="E141" s="11">
        <v>46532</v>
      </c>
      <c r="F141" s="11">
        <v>46603</v>
      </c>
      <c r="G141" s="76">
        <f t="shared" si="23"/>
        <v>72</v>
      </c>
      <c r="H141" s="28"/>
    </row>
    <row r="142" spans="1:8" s="6" customFormat="1" ht="168.75">
      <c r="A142" s="50"/>
      <c r="B142" s="51"/>
      <c r="C142" s="70" t="s">
        <v>154</v>
      </c>
      <c r="D142" s="30" t="s">
        <v>324</v>
      </c>
      <c r="E142" s="11">
        <v>46559</v>
      </c>
      <c r="F142" s="11">
        <v>46645</v>
      </c>
      <c r="G142" s="76">
        <f t="shared" si="23"/>
        <v>87</v>
      </c>
      <c r="H142" s="28"/>
    </row>
    <row r="143" spans="1:8" s="6" customFormat="1" ht="33.75">
      <c r="A143" s="52"/>
      <c r="B143" s="53"/>
      <c r="C143" s="70" t="s">
        <v>155</v>
      </c>
      <c r="D143" s="30" t="s">
        <v>156</v>
      </c>
      <c r="E143" s="11">
        <v>46514</v>
      </c>
      <c r="F143" s="11">
        <v>46660</v>
      </c>
      <c r="G143" s="76">
        <f t="shared" si="23"/>
        <v>147</v>
      </c>
      <c r="H143" s="28"/>
    </row>
    <row r="144" spans="1:8" s="1" customFormat="1" ht="25.15" customHeight="1">
      <c r="A144" s="82" t="s">
        <v>157</v>
      </c>
      <c r="B144" s="83" t="s">
        <v>316</v>
      </c>
      <c r="C144" s="78"/>
      <c r="D144" s="79"/>
      <c r="E144" s="80"/>
      <c r="F144" s="80"/>
      <c r="G144" s="80"/>
      <c r="H144" s="81"/>
    </row>
    <row r="145" spans="1:8" s="1" customFormat="1" ht="25.15" customHeight="1">
      <c r="A145" s="84">
        <v>5</v>
      </c>
      <c r="B145" s="14" t="s">
        <v>158</v>
      </c>
      <c r="C145" s="14"/>
      <c r="D145" s="15"/>
      <c r="E145" s="16">
        <v>46660</v>
      </c>
      <c r="F145" s="22">
        <v>46827</v>
      </c>
      <c r="G145" s="17">
        <f>+F145-E145+1</f>
        <v>168</v>
      </c>
      <c r="H145" s="23"/>
    </row>
    <row r="146" spans="1:8" s="1" customFormat="1" ht="25.15" customHeight="1">
      <c r="A146" s="85" t="s">
        <v>159</v>
      </c>
      <c r="B146" s="18" t="s">
        <v>160</v>
      </c>
      <c r="C146" s="18"/>
      <c r="D146" s="19"/>
      <c r="E146" s="20"/>
      <c r="F146" s="24"/>
      <c r="G146" s="21"/>
      <c r="H146" s="25"/>
    </row>
    <row r="147" spans="1:8" s="1" customFormat="1" ht="56.25">
      <c r="A147" s="37"/>
      <c r="B147" s="49"/>
      <c r="C147" s="70" t="s">
        <v>161</v>
      </c>
      <c r="D147" s="30" t="s">
        <v>162</v>
      </c>
      <c r="E147" s="11">
        <v>46660</v>
      </c>
      <c r="F147" s="11">
        <v>46708</v>
      </c>
      <c r="G147" s="76">
        <f t="shared" ref="G147:G155" si="24">+F147-E147+1</f>
        <v>49</v>
      </c>
      <c r="H147" s="32"/>
    </row>
    <row r="148" spans="1:8" s="1" customFormat="1" ht="33.75">
      <c r="A148" s="50"/>
      <c r="B148" s="51"/>
      <c r="C148" s="70" t="s">
        <v>163</v>
      </c>
      <c r="D148" s="30" t="s">
        <v>164</v>
      </c>
      <c r="E148" s="11">
        <v>46660</v>
      </c>
      <c r="F148" s="11">
        <v>46722</v>
      </c>
      <c r="G148" s="76">
        <f t="shared" si="24"/>
        <v>63</v>
      </c>
      <c r="H148" s="32"/>
    </row>
    <row r="149" spans="1:8" s="1" customFormat="1" ht="22.5">
      <c r="A149" s="50"/>
      <c r="B149" s="51"/>
      <c r="C149" s="70" t="s">
        <v>165</v>
      </c>
      <c r="D149" s="30" t="s">
        <v>166</v>
      </c>
      <c r="E149" s="11">
        <v>46688</v>
      </c>
      <c r="F149" s="11">
        <v>46798</v>
      </c>
      <c r="G149" s="76">
        <f t="shared" si="24"/>
        <v>111</v>
      </c>
      <c r="H149" s="32"/>
    </row>
    <row r="150" spans="1:8" s="1" customFormat="1" ht="33.75">
      <c r="A150" s="50"/>
      <c r="B150" s="51"/>
      <c r="C150" s="70" t="s">
        <v>167</v>
      </c>
      <c r="D150" s="30" t="s">
        <v>450</v>
      </c>
      <c r="E150" s="11">
        <v>46660</v>
      </c>
      <c r="F150" s="11">
        <v>46694</v>
      </c>
      <c r="G150" s="76">
        <f t="shared" si="24"/>
        <v>35</v>
      </c>
      <c r="H150" s="32"/>
    </row>
    <row r="151" spans="1:8" s="1" customFormat="1" ht="22.5">
      <c r="A151" s="50"/>
      <c r="B151" s="51"/>
      <c r="C151" s="70" t="s">
        <v>168</v>
      </c>
      <c r="D151" s="30" t="s">
        <v>417</v>
      </c>
      <c r="E151" s="11">
        <v>46688</v>
      </c>
      <c r="F151" s="11">
        <v>46798</v>
      </c>
      <c r="G151" s="76">
        <f t="shared" si="24"/>
        <v>111</v>
      </c>
      <c r="H151" s="32"/>
    </row>
    <row r="152" spans="1:8" s="1" customFormat="1" ht="14.25">
      <c r="A152" s="50"/>
      <c r="B152" s="51"/>
      <c r="C152" s="39"/>
      <c r="D152" s="31" t="s">
        <v>418</v>
      </c>
      <c r="E152" s="11">
        <v>46718</v>
      </c>
      <c r="F152" s="11">
        <v>46766</v>
      </c>
      <c r="G152" s="76">
        <f t="shared" si="24"/>
        <v>49</v>
      </c>
      <c r="H152" s="32"/>
    </row>
    <row r="153" spans="1:8" s="1" customFormat="1" ht="14.25">
      <c r="A153" s="50"/>
      <c r="B153" s="51"/>
      <c r="C153" s="70" t="s">
        <v>169</v>
      </c>
      <c r="D153" s="30" t="s">
        <v>170</v>
      </c>
      <c r="E153" s="11">
        <v>46729</v>
      </c>
      <c r="F153" s="11">
        <v>46783</v>
      </c>
      <c r="G153" s="76">
        <f t="shared" si="24"/>
        <v>55</v>
      </c>
      <c r="H153" s="32"/>
    </row>
    <row r="154" spans="1:8" s="1" customFormat="1" ht="14.25">
      <c r="A154" s="50"/>
      <c r="B154" s="51"/>
      <c r="C154" s="39"/>
      <c r="D154" s="31" t="s">
        <v>171</v>
      </c>
      <c r="E154" s="11">
        <v>46740</v>
      </c>
      <c r="F154" s="11">
        <v>46798</v>
      </c>
      <c r="G154" s="76">
        <f t="shared" si="24"/>
        <v>59</v>
      </c>
      <c r="H154" s="32"/>
    </row>
    <row r="155" spans="1:8" s="1" customFormat="1" ht="22.5">
      <c r="A155" s="52"/>
      <c r="B155" s="53"/>
      <c r="C155" s="70" t="s">
        <v>172</v>
      </c>
      <c r="D155" s="30" t="s">
        <v>173</v>
      </c>
      <c r="E155" s="11">
        <v>46752</v>
      </c>
      <c r="F155" s="11">
        <v>46798</v>
      </c>
      <c r="G155" s="76">
        <f t="shared" si="24"/>
        <v>47</v>
      </c>
      <c r="H155" s="32"/>
    </row>
    <row r="156" spans="1:8" s="1" customFormat="1" ht="25.15" customHeight="1">
      <c r="A156" s="85" t="s">
        <v>174</v>
      </c>
      <c r="B156" s="18" t="s">
        <v>175</v>
      </c>
      <c r="C156" s="18"/>
      <c r="D156" s="19"/>
      <c r="E156" s="20"/>
      <c r="F156" s="24"/>
      <c r="G156" s="21"/>
      <c r="H156" s="25"/>
    </row>
    <row r="157" spans="1:8" s="1" customFormat="1" ht="22.5">
      <c r="A157" s="40"/>
      <c r="B157" s="49"/>
      <c r="C157" s="70" t="s">
        <v>176</v>
      </c>
      <c r="D157" s="30" t="s">
        <v>451</v>
      </c>
      <c r="E157" s="11">
        <v>46660</v>
      </c>
      <c r="F157" s="11">
        <v>46694</v>
      </c>
      <c r="G157" s="76">
        <f t="shared" ref="G157:G159" si="25">+F157-E157+1</f>
        <v>35</v>
      </c>
      <c r="H157" s="32"/>
    </row>
    <row r="158" spans="1:8" s="1" customFormat="1" ht="45">
      <c r="A158" s="50"/>
      <c r="B158" s="51"/>
      <c r="C158" s="70" t="s">
        <v>177</v>
      </c>
      <c r="D158" s="30" t="s">
        <v>325</v>
      </c>
      <c r="E158" s="11">
        <v>46688</v>
      </c>
      <c r="F158" s="11">
        <v>46798</v>
      </c>
      <c r="G158" s="76">
        <f t="shared" si="25"/>
        <v>111</v>
      </c>
      <c r="H158" s="32"/>
    </row>
    <row r="159" spans="1:8" s="1" customFormat="1" ht="14.25">
      <c r="A159" s="52"/>
      <c r="B159" s="53"/>
      <c r="C159" s="70" t="s">
        <v>178</v>
      </c>
      <c r="D159" s="30" t="s">
        <v>312</v>
      </c>
      <c r="E159" s="11">
        <v>46688</v>
      </c>
      <c r="F159" s="11">
        <v>46798</v>
      </c>
      <c r="G159" s="76">
        <f t="shared" si="25"/>
        <v>111</v>
      </c>
      <c r="H159" s="32"/>
    </row>
    <row r="160" spans="1:8" s="1" customFormat="1" ht="25.15" customHeight="1">
      <c r="A160" s="85" t="s">
        <v>179</v>
      </c>
      <c r="B160" s="18" t="s">
        <v>180</v>
      </c>
      <c r="C160" s="18"/>
      <c r="D160" s="19"/>
      <c r="E160" s="20"/>
      <c r="F160" s="24"/>
      <c r="G160" s="21"/>
      <c r="H160" s="25"/>
    </row>
    <row r="161" spans="1:8" s="1" customFormat="1" ht="56.25">
      <c r="A161" s="37"/>
      <c r="B161" s="49"/>
      <c r="C161" s="70" t="s">
        <v>181</v>
      </c>
      <c r="D161" s="30" t="s">
        <v>182</v>
      </c>
      <c r="E161" s="11">
        <v>46798</v>
      </c>
      <c r="F161" s="11">
        <v>46808</v>
      </c>
      <c r="G161" s="76">
        <f t="shared" ref="G161:G163" si="26">+F161-E161+1</f>
        <v>11</v>
      </c>
      <c r="H161" s="32"/>
    </row>
    <row r="162" spans="1:8" s="1" customFormat="1" ht="33.75">
      <c r="A162" s="50"/>
      <c r="B162" s="51"/>
      <c r="C162" s="70" t="s">
        <v>183</v>
      </c>
      <c r="D162" s="30" t="s">
        <v>326</v>
      </c>
      <c r="E162" s="11">
        <v>46798</v>
      </c>
      <c r="F162" s="11">
        <v>46811</v>
      </c>
      <c r="G162" s="76">
        <f t="shared" si="26"/>
        <v>14</v>
      </c>
      <c r="H162" s="32"/>
    </row>
    <row r="163" spans="1:8" s="1" customFormat="1" ht="67.5">
      <c r="A163" s="52"/>
      <c r="B163" s="53"/>
      <c r="C163" s="70" t="s">
        <v>328</v>
      </c>
      <c r="D163" s="30" t="s">
        <v>327</v>
      </c>
      <c r="E163" s="11">
        <v>46804</v>
      </c>
      <c r="F163" s="11">
        <v>46827</v>
      </c>
      <c r="G163" s="76">
        <f t="shared" si="26"/>
        <v>24</v>
      </c>
      <c r="H163" s="32"/>
    </row>
    <row r="164" spans="1:8" s="1" customFormat="1" ht="25.15" customHeight="1">
      <c r="A164" s="85" t="s">
        <v>184</v>
      </c>
      <c r="B164" s="18" t="s">
        <v>185</v>
      </c>
      <c r="C164" s="18"/>
      <c r="D164" s="19"/>
      <c r="E164" s="20"/>
      <c r="F164" s="24"/>
      <c r="G164" s="21"/>
      <c r="H164" s="25"/>
    </row>
    <row r="165" spans="1:8" s="1" customFormat="1" ht="56.25">
      <c r="A165" s="44"/>
      <c r="B165" s="43"/>
      <c r="C165" s="70" t="s">
        <v>186</v>
      </c>
      <c r="D165" s="30" t="s">
        <v>419</v>
      </c>
      <c r="E165" s="11">
        <v>46804</v>
      </c>
      <c r="F165" s="11">
        <v>46827</v>
      </c>
      <c r="G165" s="76">
        <f>+F165-E165+1</f>
        <v>24</v>
      </c>
      <c r="H165" s="32"/>
    </row>
    <row r="166" spans="1:8" s="1" customFormat="1" ht="25.15" customHeight="1">
      <c r="A166" s="82" t="s">
        <v>187</v>
      </c>
      <c r="B166" s="83" t="s">
        <v>316</v>
      </c>
      <c r="C166" s="78"/>
      <c r="D166" s="79"/>
      <c r="E166" s="80"/>
      <c r="F166" s="80"/>
      <c r="G166" s="80"/>
      <c r="H166" s="81"/>
    </row>
    <row r="167" spans="1:8" s="1" customFormat="1" ht="25.15" customHeight="1">
      <c r="A167" s="84">
        <v>6</v>
      </c>
      <c r="B167" s="14" t="s">
        <v>188</v>
      </c>
      <c r="C167" s="14"/>
      <c r="D167" s="15"/>
      <c r="E167" s="16">
        <v>46295</v>
      </c>
      <c r="F167" s="22">
        <v>48000</v>
      </c>
      <c r="G167" s="17">
        <f>+F167-E167+1</f>
        <v>1706</v>
      </c>
      <c r="H167" s="23"/>
    </row>
    <row r="168" spans="1:8" s="1" customFormat="1" ht="25.15" customHeight="1">
      <c r="A168" s="85" t="s">
        <v>189</v>
      </c>
      <c r="B168" s="18" t="s">
        <v>190</v>
      </c>
      <c r="C168" s="18"/>
      <c r="D168" s="19"/>
      <c r="E168" s="20"/>
      <c r="F168" s="24"/>
      <c r="G168" s="21"/>
      <c r="H168" s="25"/>
    </row>
    <row r="169" spans="1:8" s="1" customFormat="1" ht="56.25">
      <c r="A169" s="37"/>
      <c r="B169" s="54"/>
      <c r="C169" s="68" t="s">
        <v>191</v>
      </c>
      <c r="D169" s="13" t="s">
        <v>358</v>
      </c>
      <c r="E169" s="11">
        <v>46660</v>
      </c>
      <c r="F169" s="11">
        <v>46984</v>
      </c>
      <c r="G169" s="76">
        <f t="shared" ref="G169:G172" si="27">+F169-E169+1</f>
        <v>325</v>
      </c>
      <c r="H169" s="32"/>
    </row>
    <row r="170" spans="1:8" s="1" customFormat="1" ht="112.5">
      <c r="A170" s="55"/>
      <c r="B170" s="56"/>
      <c r="C170" s="68" t="s">
        <v>192</v>
      </c>
      <c r="D170" s="30" t="s">
        <v>452</v>
      </c>
      <c r="E170" s="11">
        <v>46822</v>
      </c>
      <c r="F170" s="11">
        <v>47741</v>
      </c>
      <c r="G170" s="76">
        <f t="shared" si="27"/>
        <v>920</v>
      </c>
      <c r="H170" s="32"/>
    </row>
    <row r="171" spans="1:8" s="1" customFormat="1" ht="33.75">
      <c r="A171" s="50"/>
      <c r="B171" s="51"/>
      <c r="C171" s="45" t="s">
        <v>329</v>
      </c>
      <c r="D171" s="30" t="s">
        <v>193</v>
      </c>
      <c r="E171" s="11">
        <v>46660</v>
      </c>
      <c r="F171" s="11">
        <v>47741</v>
      </c>
      <c r="G171" s="76">
        <f t="shared" si="27"/>
        <v>1082</v>
      </c>
      <c r="H171" s="32"/>
    </row>
    <row r="172" spans="1:8" s="1" customFormat="1" ht="22.5">
      <c r="A172" s="50"/>
      <c r="B172" s="51"/>
      <c r="C172" s="45" t="s">
        <v>330</v>
      </c>
      <c r="D172" s="30" t="s">
        <v>331</v>
      </c>
      <c r="E172" s="11">
        <v>46660</v>
      </c>
      <c r="F172" s="11">
        <v>47741</v>
      </c>
      <c r="G172" s="76">
        <f t="shared" si="27"/>
        <v>1082</v>
      </c>
      <c r="H172" s="32"/>
    </row>
    <row r="173" spans="1:8" s="1" customFormat="1" ht="25.15" customHeight="1">
      <c r="A173" s="85" t="s">
        <v>194</v>
      </c>
      <c r="B173" s="18" t="s">
        <v>195</v>
      </c>
      <c r="C173" s="60"/>
      <c r="D173" s="19"/>
      <c r="E173" s="20"/>
      <c r="F173" s="24"/>
      <c r="G173" s="21"/>
      <c r="H173" s="25"/>
    </row>
    <row r="174" spans="1:8" s="1" customFormat="1" ht="56.25">
      <c r="A174" s="61"/>
      <c r="B174" s="49"/>
      <c r="C174" s="68" t="s">
        <v>196</v>
      </c>
      <c r="D174" s="13" t="s">
        <v>359</v>
      </c>
      <c r="E174" s="11">
        <v>47299</v>
      </c>
      <c r="F174" s="11">
        <v>47741</v>
      </c>
      <c r="G174" s="76">
        <f t="shared" ref="G174:G176" si="28">+F174-E174+1</f>
        <v>443</v>
      </c>
      <c r="H174" s="32"/>
    </row>
    <row r="175" spans="1:8" s="1" customFormat="1" ht="112.5">
      <c r="A175" s="50"/>
      <c r="B175" s="51"/>
      <c r="C175" s="68" t="s">
        <v>197</v>
      </c>
      <c r="D175" s="30" t="s">
        <v>453</v>
      </c>
      <c r="E175" s="11">
        <v>47299</v>
      </c>
      <c r="F175" s="11">
        <v>47741</v>
      </c>
      <c r="G175" s="76">
        <f t="shared" si="28"/>
        <v>443</v>
      </c>
      <c r="H175" s="32"/>
    </row>
    <row r="176" spans="1:8" s="1" customFormat="1" ht="33.75">
      <c r="A176" s="52"/>
      <c r="B176" s="62"/>
      <c r="C176" s="68" t="s">
        <v>198</v>
      </c>
      <c r="D176" s="30" t="s">
        <v>420</v>
      </c>
      <c r="E176" s="11">
        <v>47299</v>
      </c>
      <c r="F176" s="11">
        <v>47741</v>
      </c>
      <c r="G176" s="76">
        <f t="shared" si="28"/>
        <v>443</v>
      </c>
      <c r="H176" s="32"/>
    </row>
    <row r="177" spans="1:8" s="1" customFormat="1" ht="25.15" customHeight="1">
      <c r="A177" s="85" t="s">
        <v>199</v>
      </c>
      <c r="B177" s="110" t="s">
        <v>421</v>
      </c>
      <c r="C177" s="18"/>
      <c r="D177" s="19"/>
      <c r="E177" s="20"/>
      <c r="F177" s="24"/>
      <c r="G177" s="21"/>
      <c r="H177" s="25"/>
    </row>
    <row r="178" spans="1:8" s="1" customFormat="1" ht="56.25">
      <c r="A178" s="61"/>
      <c r="B178" s="49"/>
      <c r="C178" s="68" t="s">
        <v>200</v>
      </c>
      <c r="D178" s="13" t="s">
        <v>360</v>
      </c>
      <c r="E178" s="11">
        <v>46660</v>
      </c>
      <c r="F178" s="11">
        <v>46710</v>
      </c>
      <c r="G178" s="76">
        <f t="shared" ref="G178:G180" si="29">+F178-E178+1</f>
        <v>51</v>
      </c>
      <c r="H178" s="32"/>
    </row>
    <row r="179" spans="1:8" s="1" customFormat="1" ht="112.5">
      <c r="A179" s="50"/>
      <c r="B179" s="51"/>
      <c r="C179" s="68" t="s">
        <v>201</v>
      </c>
      <c r="D179" s="30" t="s">
        <v>454</v>
      </c>
      <c r="E179" s="11">
        <v>46685</v>
      </c>
      <c r="F179" s="11">
        <v>46827</v>
      </c>
      <c r="G179" s="76">
        <f t="shared" si="29"/>
        <v>143</v>
      </c>
      <c r="H179" s="32"/>
    </row>
    <row r="180" spans="1:8" s="1" customFormat="1" ht="22.5">
      <c r="A180" s="55"/>
      <c r="B180" s="56"/>
      <c r="C180" s="106" t="s">
        <v>422</v>
      </c>
      <c r="D180" s="30" t="s">
        <v>423</v>
      </c>
      <c r="E180" s="11">
        <v>46660</v>
      </c>
      <c r="F180" s="11">
        <v>46827</v>
      </c>
      <c r="G180" s="76">
        <f t="shared" si="29"/>
        <v>168</v>
      </c>
      <c r="H180" s="32"/>
    </row>
    <row r="181" spans="1:8" s="1" customFormat="1" ht="14.25">
      <c r="A181" s="57"/>
      <c r="B181" s="58"/>
      <c r="C181" s="68"/>
      <c r="D181" s="30"/>
      <c r="E181" s="11"/>
      <c r="F181" s="11"/>
      <c r="G181" s="76"/>
      <c r="H181" s="32"/>
    </row>
    <row r="182" spans="1:8" s="1" customFormat="1" ht="25.15" customHeight="1">
      <c r="A182" s="85" t="s">
        <v>202</v>
      </c>
      <c r="B182" s="18" t="s">
        <v>203</v>
      </c>
      <c r="C182" s="18"/>
      <c r="D182" s="19"/>
      <c r="E182" s="20"/>
      <c r="F182" s="24"/>
      <c r="G182" s="21"/>
      <c r="H182" s="25"/>
    </row>
    <row r="183" spans="1:8" s="1" customFormat="1" ht="56.25">
      <c r="A183" s="37"/>
      <c r="B183" s="49"/>
      <c r="C183" s="68" t="s">
        <v>204</v>
      </c>
      <c r="D183" s="30" t="s">
        <v>361</v>
      </c>
      <c r="E183" s="11">
        <v>46827</v>
      </c>
      <c r="F183" s="11">
        <v>47101</v>
      </c>
      <c r="G183" s="76">
        <f t="shared" ref="G183:G203" si="30">+F183-E183+1</f>
        <v>275</v>
      </c>
      <c r="H183" s="32"/>
    </row>
    <row r="184" spans="1:8" s="1" customFormat="1" ht="112.5">
      <c r="A184" s="50"/>
      <c r="B184" s="51"/>
      <c r="C184" s="68" t="s">
        <v>205</v>
      </c>
      <c r="D184" s="30" t="s">
        <v>455</v>
      </c>
      <c r="E184" s="11">
        <v>46964</v>
      </c>
      <c r="F184" s="11">
        <v>47741</v>
      </c>
      <c r="G184" s="76">
        <f t="shared" si="30"/>
        <v>778</v>
      </c>
      <c r="H184" s="32"/>
    </row>
    <row r="185" spans="1:8" s="1" customFormat="1" ht="22.5">
      <c r="A185" s="50"/>
      <c r="B185" s="51"/>
      <c r="C185" s="109" t="s">
        <v>206</v>
      </c>
      <c r="D185" s="107" t="s">
        <v>207</v>
      </c>
      <c r="E185" s="11">
        <v>46892</v>
      </c>
      <c r="F185" s="11">
        <v>46977</v>
      </c>
      <c r="G185" s="76">
        <f t="shared" si="30"/>
        <v>86</v>
      </c>
      <c r="H185" s="32"/>
    </row>
    <row r="186" spans="1:8" s="1" customFormat="1" ht="33.75">
      <c r="A186" s="50"/>
      <c r="B186" s="51"/>
      <c r="C186" s="109" t="s">
        <v>208</v>
      </c>
      <c r="D186" s="107" t="s">
        <v>209</v>
      </c>
      <c r="E186" s="11">
        <v>46827</v>
      </c>
      <c r="F186" s="11">
        <v>47375</v>
      </c>
      <c r="G186" s="76">
        <f t="shared" si="30"/>
        <v>549</v>
      </c>
      <c r="H186" s="32"/>
    </row>
    <row r="187" spans="1:8" s="1" customFormat="1" ht="45">
      <c r="A187" s="50"/>
      <c r="B187" s="51"/>
      <c r="C187" s="109" t="s">
        <v>210</v>
      </c>
      <c r="D187" s="107" t="s">
        <v>211</v>
      </c>
      <c r="E187" s="11">
        <v>46958</v>
      </c>
      <c r="F187" s="11">
        <v>47077</v>
      </c>
      <c r="G187" s="76">
        <f t="shared" si="30"/>
        <v>120</v>
      </c>
      <c r="H187" s="32"/>
    </row>
    <row r="188" spans="1:8" s="1" customFormat="1" ht="14.25">
      <c r="A188" s="50"/>
      <c r="B188" s="51"/>
      <c r="C188" s="39" t="s">
        <v>212</v>
      </c>
      <c r="D188" s="30" t="s">
        <v>311</v>
      </c>
      <c r="E188" s="11">
        <v>46990</v>
      </c>
      <c r="F188" s="11">
        <v>47127</v>
      </c>
      <c r="G188" s="76">
        <f t="shared" si="30"/>
        <v>138</v>
      </c>
      <c r="H188" s="32"/>
    </row>
    <row r="189" spans="1:8" s="1" customFormat="1" ht="56.25">
      <c r="A189" s="50"/>
      <c r="B189" s="51"/>
      <c r="C189" s="109" t="s">
        <v>213</v>
      </c>
      <c r="D189" s="107" t="s">
        <v>214</v>
      </c>
      <c r="E189" s="11">
        <v>47023</v>
      </c>
      <c r="F189" s="11">
        <v>47177</v>
      </c>
      <c r="G189" s="76">
        <f t="shared" si="30"/>
        <v>155</v>
      </c>
      <c r="H189" s="32"/>
    </row>
    <row r="190" spans="1:8" s="1" customFormat="1" ht="22.5">
      <c r="A190" s="50"/>
      <c r="B190" s="51"/>
      <c r="C190" s="109" t="s">
        <v>424</v>
      </c>
      <c r="D190" s="107" t="s">
        <v>215</v>
      </c>
      <c r="E190" s="11">
        <v>47055</v>
      </c>
      <c r="F190" s="11">
        <v>47227</v>
      </c>
      <c r="G190" s="76">
        <f t="shared" si="30"/>
        <v>173</v>
      </c>
      <c r="H190" s="32"/>
    </row>
    <row r="191" spans="1:8" s="1" customFormat="1" ht="22.5">
      <c r="A191" s="50"/>
      <c r="B191" s="51"/>
      <c r="C191" s="109" t="s">
        <v>216</v>
      </c>
      <c r="D191" s="30" t="s">
        <v>313</v>
      </c>
      <c r="E191" s="11">
        <v>47088</v>
      </c>
      <c r="F191" s="11">
        <v>47277</v>
      </c>
      <c r="G191" s="76">
        <f t="shared" si="30"/>
        <v>190</v>
      </c>
      <c r="H191" s="32"/>
    </row>
    <row r="192" spans="1:8" s="1" customFormat="1" ht="22.5">
      <c r="A192" s="50"/>
      <c r="B192" s="51"/>
      <c r="C192" s="109" t="s">
        <v>217</v>
      </c>
      <c r="D192" s="30" t="s">
        <v>218</v>
      </c>
      <c r="E192" s="11">
        <v>47121</v>
      </c>
      <c r="F192" s="11">
        <v>47328</v>
      </c>
      <c r="G192" s="76">
        <f t="shared" si="30"/>
        <v>208</v>
      </c>
      <c r="H192" s="32"/>
    </row>
    <row r="193" spans="1:8" s="1" customFormat="1" ht="22.5">
      <c r="A193" s="50"/>
      <c r="B193" s="51"/>
      <c r="C193" s="109" t="s">
        <v>219</v>
      </c>
      <c r="D193" s="30" t="s">
        <v>220</v>
      </c>
      <c r="E193" s="11">
        <v>47153</v>
      </c>
      <c r="F193" s="11">
        <v>47378</v>
      </c>
      <c r="G193" s="76">
        <f t="shared" si="30"/>
        <v>226</v>
      </c>
      <c r="H193" s="32"/>
    </row>
    <row r="194" spans="1:8" s="1" customFormat="1" ht="22.5">
      <c r="A194" s="50"/>
      <c r="B194" s="51"/>
      <c r="C194" s="109" t="s">
        <v>221</v>
      </c>
      <c r="D194" s="30" t="s">
        <v>222</v>
      </c>
      <c r="E194" s="11">
        <v>47186</v>
      </c>
      <c r="F194" s="11">
        <v>47428</v>
      </c>
      <c r="G194" s="76">
        <f t="shared" si="30"/>
        <v>243</v>
      </c>
      <c r="H194" s="32"/>
    </row>
    <row r="195" spans="1:8" s="1" customFormat="1" ht="22.5">
      <c r="A195" s="50"/>
      <c r="B195" s="51"/>
      <c r="C195" s="109" t="s">
        <v>223</v>
      </c>
      <c r="D195" s="30" t="s">
        <v>224</v>
      </c>
      <c r="E195" s="11">
        <v>47219</v>
      </c>
      <c r="F195" s="11">
        <v>47478</v>
      </c>
      <c r="G195" s="76">
        <f t="shared" si="30"/>
        <v>260</v>
      </c>
      <c r="H195" s="32"/>
    </row>
    <row r="196" spans="1:8" s="1" customFormat="1" ht="56.25">
      <c r="A196" s="50"/>
      <c r="B196" s="51"/>
      <c r="C196" s="109" t="s">
        <v>225</v>
      </c>
      <c r="D196" s="30" t="s">
        <v>226</v>
      </c>
      <c r="E196" s="11">
        <v>47251</v>
      </c>
      <c r="F196" s="11">
        <v>47528</v>
      </c>
      <c r="G196" s="76">
        <f t="shared" si="30"/>
        <v>278</v>
      </c>
      <c r="H196" s="32"/>
    </row>
    <row r="197" spans="1:8" s="1" customFormat="1" ht="22.5">
      <c r="A197" s="50"/>
      <c r="B197" s="51"/>
      <c r="C197" s="109" t="s">
        <v>227</v>
      </c>
      <c r="D197" s="30" t="s">
        <v>228</v>
      </c>
      <c r="E197" s="11">
        <v>47284</v>
      </c>
      <c r="F197" s="11">
        <v>47578</v>
      </c>
      <c r="G197" s="76">
        <f t="shared" si="30"/>
        <v>295</v>
      </c>
      <c r="H197" s="32"/>
    </row>
    <row r="198" spans="1:8" s="1" customFormat="1" ht="22.5">
      <c r="A198" s="50"/>
      <c r="B198" s="51"/>
      <c r="C198" s="109" t="s">
        <v>229</v>
      </c>
      <c r="D198" s="30" t="s">
        <v>230</v>
      </c>
      <c r="E198" s="11">
        <v>47317</v>
      </c>
      <c r="F198" s="11">
        <v>47628</v>
      </c>
      <c r="G198" s="76">
        <f t="shared" si="30"/>
        <v>312</v>
      </c>
      <c r="H198" s="32"/>
    </row>
    <row r="199" spans="1:8" s="1" customFormat="1" ht="33.75">
      <c r="A199" s="50"/>
      <c r="B199" s="51"/>
      <c r="C199" s="109" t="s">
        <v>231</v>
      </c>
      <c r="D199" s="30" t="s">
        <v>307</v>
      </c>
      <c r="E199" s="11">
        <v>47010</v>
      </c>
      <c r="F199" s="11">
        <v>47741</v>
      </c>
      <c r="G199" s="76">
        <f t="shared" si="30"/>
        <v>732</v>
      </c>
      <c r="H199" s="32"/>
    </row>
    <row r="200" spans="1:8" s="1" customFormat="1" ht="22.5">
      <c r="A200" s="50"/>
      <c r="B200" s="51"/>
      <c r="C200" s="39" t="s">
        <v>232</v>
      </c>
      <c r="D200" s="30" t="s">
        <v>233</v>
      </c>
      <c r="E200" s="11">
        <v>47382</v>
      </c>
      <c r="F200" s="11">
        <v>47728</v>
      </c>
      <c r="G200" s="76">
        <f t="shared" si="30"/>
        <v>347</v>
      </c>
      <c r="H200" s="32"/>
    </row>
    <row r="201" spans="1:8" s="1" customFormat="1" ht="45">
      <c r="A201" s="50"/>
      <c r="B201" s="51"/>
      <c r="C201" s="39" t="s">
        <v>332</v>
      </c>
      <c r="D201" s="30" t="s">
        <v>306</v>
      </c>
      <c r="E201" s="11">
        <v>47010</v>
      </c>
      <c r="F201" s="11">
        <v>47741</v>
      </c>
      <c r="G201" s="76">
        <f t="shared" si="30"/>
        <v>732</v>
      </c>
      <c r="H201" s="32"/>
    </row>
    <row r="202" spans="1:8" s="1" customFormat="1" ht="45">
      <c r="A202" s="50"/>
      <c r="B202" s="51"/>
      <c r="C202" s="39" t="s">
        <v>425</v>
      </c>
      <c r="D202" s="107" t="s">
        <v>426</v>
      </c>
      <c r="E202" s="11">
        <v>47010</v>
      </c>
      <c r="F202" s="11">
        <v>47741</v>
      </c>
      <c r="G202" s="76">
        <f t="shared" si="30"/>
        <v>732</v>
      </c>
      <c r="H202" s="32"/>
    </row>
    <row r="203" spans="1:8" s="1" customFormat="1" ht="33.75">
      <c r="A203" s="52"/>
      <c r="B203" s="53"/>
      <c r="C203" s="39" t="s">
        <v>234</v>
      </c>
      <c r="D203" s="30" t="s">
        <v>235</v>
      </c>
      <c r="E203" s="11">
        <v>47480</v>
      </c>
      <c r="F203" s="11">
        <v>47741</v>
      </c>
      <c r="G203" s="76">
        <f t="shared" si="30"/>
        <v>262</v>
      </c>
      <c r="H203" s="32"/>
    </row>
    <row r="204" spans="1:8" s="1" customFormat="1" ht="25.15" customHeight="1">
      <c r="A204" s="85" t="s">
        <v>236</v>
      </c>
      <c r="B204" s="18" t="s">
        <v>237</v>
      </c>
      <c r="C204" s="18"/>
      <c r="D204" s="19"/>
      <c r="E204" s="20"/>
      <c r="F204" s="24"/>
      <c r="G204" s="21"/>
      <c r="H204" s="25"/>
    </row>
    <row r="205" spans="1:8" s="1" customFormat="1" ht="33.75">
      <c r="A205" s="46"/>
      <c r="B205" s="63"/>
      <c r="C205" s="45" t="s">
        <v>428</v>
      </c>
      <c r="D205" s="30" t="s">
        <v>427</v>
      </c>
      <c r="E205" s="11">
        <v>47011</v>
      </c>
      <c r="F205" s="11">
        <v>47741</v>
      </c>
      <c r="G205" s="76">
        <f t="shared" ref="G205:G207" si="31">+F205-E205+1</f>
        <v>731</v>
      </c>
      <c r="H205" s="32"/>
    </row>
    <row r="206" spans="1:8" s="1" customFormat="1" ht="56.25">
      <c r="A206" s="59"/>
      <c r="B206" s="51"/>
      <c r="C206" s="68" t="s">
        <v>238</v>
      </c>
      <c r="D206" s="13" t="s">
        <v>362</v>
      </c>
      <c r="E206" s="11">
        <v>47023</v>
      </c>
      <c r="F206" s="11">
        <v>47084</v>
      </c>
      <c r="G206" s="76">
        <f t="shared" si="31"/>
        <v>62</v>
      </c>
      <c r="H206" s="32"/>
    </row>
    <row r="207" spans="1:8" s="1" customFormat="1" ht="112.5">
      <c r="A207" s="52"/>
      <c r="B207" s="53"/>
      <c r="C207" s="68" t="s">
        <v>239</v>
      </c>
      <c r="D207" s="30" t="s">
        <v>456</v>
      </c>
      <c r="E207" s="11">
        <v>47011</v>
      </c>
      <c r="F207" s="11">
        <v>47741</v>
      </c>
      <c r="G207" s="76">
        <f t="shared" si="31"/>
        <v>731</v>
      </c>
      <c r="H207" s="32"/>
    </row>
    <row r="208" spans="1:8" s="1" customFormat="1" ht="25.15" customHeight="1">
      <c r="A208" s="85" t="s">
        <v>240</v>
      </c>
      <c r="B208" s="18" t="s">
        <v>241</v>
      </c>
      <c r="C208" s="18"/>
      <c r="D208" s="19"/>
      <c r="E208" s="20"/>
      <c r="F208" s="24"/>
      <c r="G208" s="21"/>
      <c r="H208" s="25"/>
    </row>
    <row r="209" spans="1:8" s="1" customFormat="1" ht="22.5">
      <c r="A209" s="46"/>
      <c r="B209" s="63"/>
      <c r="C209" s="45" t="s">
        <v>242</v>
      </c>
      <c r="D209" s="30" t="s">
        <v>243</v>
      </c>
      <c r="E209" s="11">
        <v>47011</v>
      </c>
      <c r="F209" s="11">
        <v>47741</v>
      </c>
      <c r="G209" s="76">
        <f t="shared" ref="G209:G210" si="32">+F209-E209+1</f>
        <v>731</v>
      </c>
      <c r="H209" s="32"/>
    </row>
    <row r="210" spans="1:8" s="1" customFormat="1" ht="112.5">
      <c r="A210" s="64"/>
      <c r="B210" s="53"/>
      <c r="C210" s="68" t="s">
        <v>244</v>
      </c>
      <c r="D210" s="30" t="s">
        <v>457</v>
      </c>
      <c r="E210" s="11">
        <v>47011</v>
      </c>
      <c r="F210" s="11">
        <v>47741</v>
      </c>
      <c r="G210" s="76">
        <f t="shared" si="32"/>
        <v>731</v>
      </c>
      <c r="H210" s="32"/>
    </row>
    <row r="211" spans="1:8" s="1" customFormat="1" ht="22.5">
      <c r="A211" s="64"/>
      <c r="B211" s="53"/>
      <c r="C211" s="127" t="s">
        <v>429</v>
      </c>
      <c r="D211" s="30"/>
      <c r="E211" s="11"/>
      <c r="F211" s="11"/>
      <c r="G211" s="76"/>
      <c r="H211" s="32"/>
    </row>
    <row r="212" spans="1:8" s="1" customFormat="1" ht="25.15" customHeight="1">
      <c r="A212" s="85" t="s">
        <v>245</v>
      </c>
      <c r="B212" s="18" t="s">
        <v>246</v>
      </c>
      <c r="C212" s="18"/>
      <c r="D212" s="19"/>
      <c r="E212" s="20"/>
      <c r="F212" s="24"/>
      <c r="G212" s="21"/>
      <c r="H212" s="25"/>
    </row>
    <row r="213" spans="1:8" s="1" customFormat="1" ht="33.75">
      <c r="A213" s="46"/>
      <c r="B213" s="63"/>
      <c r="C213" s="47" t="s">
        <v>247</v>
      </c>
      <c r="D213" s="30" t="s">
        <v>248</v>
      </c>
      <c r="E213" s="11">
        <v>47011</v>
      </c>
      <c r="F213" s="11">
        <v>47741</v>
      </c>
      <c r="G213" s="76">
        <f t="shared" ref="G213:G214" si="33">+F213-E213+1</f>
        <v>731</v>
      </c>
      <c r="H213" s="32"/>
    </row>
    <row r="214" spans="1:8" s="1" customFormat="1" ht="112.5">
      <c r="A214" s="64"/>
      <c r="B214" s="53"/>
      <c r="C214" s="71" t="s">
        <v>249</v>
      </c>
      <c r="D214" s="30" t="s">
        <v>458</v>
      </c>
      <c r="E214" s="11">
        <v>47011</v>
      </c>
      <c r="F214" s="11">
        <v>47741</v>
      </c>
      <c r="G214" s="76">
        <f t="shared" si="33"/>
        <v>731</v>
      </c>
      <c r="H214" s="32"/>
    </row>
    <row r="215" spans="1:8" s="1" customFormat="1" ht="25.15" customHeight="1">
      <c r="A215" s="85" t="s">
        <v>250</v>
      </c>
      <c r="B215" s="18" t="s">
        <v>251</v>
      </c>
      <c r="C215" s="18"/>
      <c r="D215" s="19"/>
      <c r="E215" s="20"/>
      <c r="F215" s="24"/>
      <c r="G215" s="21"/>
      <c r="H215" s="25"/>
    </row>
    <row r="216" spans="1:8" s="1" customFormat="1" ht="22.5">
      <c r="A216" s="46"/>
      <c r="B216" s="63"/>
      <c r="C216" s="39" t="s">
        <v>252</v>
      </c>
      <c r="D216" s="30" t="s">
        <v>253</v>
      </c>
      <c r="E216" s="11">
        <v>47251</v>
      </c>
      <c r="F216" s="11">
        <v>47741</v>
      </c>
      <c r="G216" s="76">
        <f t="shared" ref="G216:G217" si="34">+F216-E216+1</f>
        <v>491</v>
      </c>
      <c r="H216" s="32"/>
    </row>
    <row r="217" spans="1:8" s="1" customFormat="1" ht="112.5">
      <c r="A217" s="48"/>
      <c r="B217" s="53"/>
      <c r="C217" s="68" t="s">
        <v>254</v>
      </c>
      <c r="D217" s="30" t="s">
        <v>459</v>
      </c>
      <c r="E217" s="11">
        <v>47251</v>
      </c>
      <c r="F217" s="11">
        <v>47741</v>
      </c>
      <c r="G217" s="76">
        <f t="shared" si="34"/>
        <v>491</v>
      </c>
      <c r="H217" s="32"/>
    </row>
    <row r="218" spans="1:8" s="1" customFormat="1" ht="25.15" customHeight="1">
      <c r="A218" s="82" t="s">
        <v>255</v>
      </c>
      <c r="B218" s="83" t="s">
        <v>316</v>
      </c>
      <c r="C218" s="78"/>
      <c r="D218" s="79"/>
      <c r="E218" s="80"/>
      <c r="F218" s="80"/>
      <c r="G218" s="80"/>
      <c r="H218" s="81"/>
    </row>
    <row r="219" spans="1:8" s="1" customFormat="1" ht="25.15" customHeight="1">
      <c r="A219" s="84">
        <v>7</v>
      </c>
      <c r="B219" s="14" t="s">
        <v>256</v>
      </c>
      <c r="C219" s="14"/>
      <c r="D219" s="15"/>
      <c r="E219" s="16">
        <v>46295</v>
      </c>
      <c r="F219" s="16">
        <v>48000</v>
      </c>
      <c r="G219" s="17">
        <f>+F219-E219+1</f>
        <v>1706</v>
      </c>
      <c r="H219" s="23"/>
    </row>
    <row r="220" spans="1:8" s="1" customFormat="1" ht="25.15" customHeight="1">
      <c r="A220" s="85" t="s">
        <v>257</v>
      </c>
      <c r="B220" s="18" t="s">
        <v>258</v>
      </c>
      <c r="C220" s="18"/>
      <c r="D220" s="19"/>
      <c r="E220" s="20"/>
      <c r="F220" s="24"/>
      <c r="G220" s="21"/>
      <c r="H220" s="25"/>
    </row>
    <row r="221" spans="1:8" s="1" customFormat="1" ht="56.25">
      <c r="A221" s="37"/>
      <c r="B221" s="49"/>
      <c r="C221" s="108" t="s">
        <v>333</v>
      </c>
      <c r="D221" s="107" t="s">
        <v>259</v>
      </c>
      <c r="E221" s="11">
        <v>47664</v>
      </c>
      <c r="F221" s="11">
        <v>47741</v>
      </c>
      <c r="G221" s="76">
        <f t="shared" ref="G221:G228" si="35">+F221-E221+1</f>
        <v>78</v>
      </c>
      <c r="H221" s="32"/>
    </row>
    <row r="222" spans="1:8" s="1" customFormat="1" ht="22.5">
      <c r="A222" s="65"/>
      <c r="B222" s="51"/>
      <c r="C222" s="108" t="s">
        <v>334</v>
      </c>
      <c r="D222" s="107" t="s">
        <v>260</v>
      </c>
      <c r="E222" s="11">
        <v>47664</v>
      </c>
      <c r="F222" s="11">
        <v>47741</v>
      </c>
      <c r="G222" s="76">
        <f t="shared" si="35"/>
        <v>78</v>
      </c>
      <c r="H222" s="32"/>
    </row>
    <row r="223" spans="1:8" s="1" customFormat="1" ht="22.5">
      <c r="A223" s="65"/>
      <c r="B223" s="51"/>
      <c r="C223" s="108" t="s">
        <v>261</v>
      </c>
      <c r="D223" s="107" t="s">
        <v>262</v>
      </c>
      <c r="E223" s="11">
        <v>47664</v>
      </c>
      <c r="F223" s="11">
        <v>47741</v>
      </c>
      <c r="G223" s="76">
        <f t="shared" si="35"/>
        <v>78</v>
      </c>
      <c r="H223" s="32"/>
    </row>
    <row r="224" spans="1:8" s="1" customFormat="1" ht="14.25">
      <c r="A224" s="65"/>
      <c r="B224" s="51"/>
      <c r="C224" s="108" t="s">
        <v>263</v>
      </c>
      <c r="D224" s="107" t="s">
        <v>264</v>
      </c>
      <c r="E224" s="11">
        <v>47664</v>
      </c>
      <c r="F224" s="11">
        <v>47741</v>
      </c>
      <c r="G224" s="76">
        <f t="shared" si="35"/>
        <v>78</v>
      </c>
      <c r="H224" s="32"/>
    </row>
    <row r="225" spans="1:8" s="1" customFormat="1" ht="14.25">
      <c r="A225" s="65"/>
      <c r="B225" s="51"/>
      <c r="C225" s="108" t="s">
        <v>265</v>
      </c>
      <c r="D225" s="107" t="s">
        <v>266</v>
      </c>
      <c r="E225" s="11">
        <v>47664</v>
      </c>
      <c r="F225" s="11">
        <v>47741</v>
      </c>
      <c r="G225" s="76">
        <f t="shared" si="35"/>
        <v>78</v>
      </c>
      <c r="H225" s="32"/>
    </row>
    <row r="226" spans="1:8" s="1" customFormat="1" ht="14.25">
      <c r="A226" s="65"/>
      <c r="B226" s="51"/>
      <c r="C226" s="108" t="s">
        <v>267</v>
      </c>
      <c r="D226" s="107" t="s">
        <v>268</v>
      </c>
      <c r="E226" s="11">
        <v>47664</v>
      </c>
      <c r="F226" s="11">
        <v>47741</v>
      </c>
      <c r="G226" s="76">
        <f t="shared" si="35"/>
        <v>78</v>
      </c>
      <c r="H226" s="32"/>
    </row>
    <row r="227" spans="1:8" s="1" customFormat="1" ht="14.25">
      <c r="A227" s="65"/>
      <c r="B227" s="51"/>
      <c r="C227" s="70" t="s">
        <v>269</v>
      </c>
      <c r="D227" s="30" t="s">
        <v>270</v>
      </c>
      <c r="E227" s="11">
        <v>47664</v>
      </c>
      <c r="F227" s="11">
        <v>47741</v>
      </c>
      <c r="G227" s="76">
        <f t="shared" si="35"/>
        <v>78</v>
      </c>
      <c r="H227" s="32"/>
    </row>
    <row r="228" spans="1:8" s="1" customFormat="1" ht="22.5">
      <c r="A228" s="48"/>
      <c r="B228" s="53"/>
      <c r="C228" s="70" t="s">
        <v>271</v>
      </c>
      <c r="D228" s="30" t="s">
        <v>272</v>
      </c>
      <c r="E228" s="11">
        <v>47664</v>
      </c>
      <c r="F228" s="11">
        <v>47741</v>
      </c>
      <c r="G228" s="76">
        <f t="shared" si="35"/>
        <v>78</v>
      </c>
      <c r="H228" s="32"/>
    </row>
    <row r="229" spans="1:8" s="1" customFormat="1" ht="25.15" customHeight="1">
      <c r="A229" s="85" t="s">
        <v>273</v>
      </c>
      <c r="B229" s="18" t="s">
        <v>274</v>
      </c>
      <c r="C229" s="18"/>
      <c r="D229" s="19"/>
      <c r="E229" s="20"/>
      <c r="F229" s="24"/>
      <c r="G229" s="21"/>
      <c r="H229" s="25"/>
    </row>
    <row r="230" spans="1:8" s="1" customFormat="1" ht="22.5">
      <c r="A230" s="46"/>
      <c r="B230" s="63"/>
      <c r="C230" s="41" t="s">
        <v>335</v>
      </c>
      <c r="D230" s="30" t="s">
        <v>430</v>
      </c>
      <c r="E230" s="11">
        <v>47664</v>
      </c>
      <c r="F230" s="11">
        <v>48000</v>
      </c>
      <c r="G230" s="76">
        <f t="shared" ref="G230:G232" si="36">+F230-E230+1</f>
        <v>337</v>
      </c>
      <c r="H230" s="32"/>
    </row>
    <row r="231" spans="1:8" s="1" customFormat="1" ht="56.25">
      <c r="A231" s="59"/>
      <c r="B231" s="51"/>
      <c r="C231" s="68" t="s">
        <v>275</v>
      </c>
      <c r="D231" s="13" t="s">
        <v>363</v>
      </c>
      <c r="E231" s="11">
        <v>47664</v>
      </c>
      <c r="F231" s="11">
        <v>48000</v>
      </c>
      <c r="G231" s="76">
        <f t="shared" si="36"/>
        <v>337</v>
      </c>
      <c r="H231" s="32"/>
    </row>
    <row r="232" spans="1:8" s="1" customFormat="1" ht="112.5">
      <c r="A232" s="52"/>
      <c r="B232" s="53"/>
      <c r="C232" s="68" t="s">
        <v>276</v>
      </c>
      <c r="D232" s="30" t="s">
        <v>460</v>
      </c>
      <c r="E232" s="11">
        <v>47664</v>
      </c>
      <c r="F232" s="11">
        <v>48000</v>
      </c>
      <c r="G232" s="76">
        <f t="shared" si="36"/>
        <v>337</v>
      </c>
      <c r="H232" s="32"/>
    </row>
    <row r="233" spans="1:8" s="1" customFormat="1" ht="25.15" customHeight="1">
      <c r="A233" s="85" t="s">
        <v>277</v>
      </c>
      <c r="B233" s="18" t="s">
        <v>278</v>
      </c>
      <c r="C233" s="18"/>
      <c r="D233" s="19"/>
      <c r="E233" s="20"/>
      <c r="F233" s="24"/>
      <c r="G233" s="21"/>
      <c r="H233" s="25"/>
    </row>
    <row r="234" spans="1:8" s="1" customFormat="1" ht="19.899999999999999" customHeight="1">
      <c r="A234" s="46"/>
      <c r="B234" s="63"/>
      <c r="C234" s="68" t="s">
        <v>337</v>
      </c>
      <c r="D234" s="107" t="s">
        <v>279</v>
      </c>
      <c r="E234" s="11">
        <v>47664</v>
      </c>
      <c r="F234" s="11">
        <v>48000</v>
      </c>
      <c r="G234" s="76">
        <f t="shared" ref="G234:G236" si="37">+F234-E234+1</f>
        <v>337</v>
      </c>
      <c r="H234" s="32"/>
    </row>
    <row r="235" spans="1:8" s="1" customFormat="1" ht="56.25">
      <c r="A235" s="59"/>
      <c r="B235" s="51"/>
      <c r="C235" s="68" t="s">
        <v>280</v>
      </c>
      <c r="D235" s="13" t="s">
        <v>364</v>
      </c>
      <c r="E235" s="11">
        <v>47664</v>
      </c>
      <c r="F235" s="11">
        <v>48000</v>
      </c>
      <c r="G235" s="76">
        <f t="shared" si="37"/>
        <v>337</v>
      </c>
      <c r="H235" s="32"/>
    </row>
    <row r="236" spans="1:8" s="1" customFormat="1" ht="112.5">
      <c r="A236" s="52"/>
      <c r="B236" s="53"/>
      <c r="C236" s="68" t="s">
        <v>336</v>
      </c>
      <c r="D236" s="30" t="s">
        <v>461</v>
      </c>
      <c r="E236" s="11">
        <v>47664</v>
      </c>
      <c r="F236" s="11">
        <v>48000</v>
      </c>
      <c r="G236" s="76">
        <f t="shared" si="37"/>
        <v>337</v>
      </c>
      <c r="H236" s="32"/>
    </row>
    <row r="237" spans="1:8" s="1" customFormat="1" ht="14.25">
      <c r="A237" s="52"/>
      <c r="B237" s="53"/>
      <c r="C237" s="68"/>
      <c r="D237" s="30"/>
      <c r="E237" s="11"/>
      <c r="F237" s="11"/>
      <c r="G237" s="76"/>
      <c r="H237" s="32"/>
    </row>
    <row r="238" spans="1:8" s="1" customFormat="1" ht="25.15" customHeight="1">
      <c r="A238" s="85" t="s">
        <v>281</v>
      </c>
      <c r="B238" s="110" t="s">
        <v>282</v>
      </c>
      <c r="C238" s="110"/>
      <c r="D238" s="112"/>
      <c r="E238" s="113"/>
      <c r="F238" s="114"/>
      <c r="G238" s="115"/>
      <c r="H238" s="25"/>
    </row>
    <row r="239" spans="1:8" s="1" customFormat="1" ht="14.25">
      <c r="A239" s="37"/>
      <c r="B239" s="116"/>
      <c r="C239" s="109" t="s">
        <v>283</v>
      </c>
      <c r="D239" s="107" t="s">
        <v>305</v>
      </c>
      <c r="E239" s="117">
        <v>47664</v>
      </c>
      <c r="F239" s="117">
        <v>48000</v>
      </c>
      <c r="G239" s="118">
        <f t="shared" ref="G239:G240" si="38">+F239-E239+1</f>
        <v>337</v>
      </c>
      <c r="H239" s="32"/>
    </row>
    <row r="240" spans="1:8" s="1" customFormat="1" ht="22.5">
      <c r="A240" s="50"/>
      <c r="B240" s="119"/>
      <c r="C240" s="120" t="s">
        <v>284</v>
      </c>
      <c r="D240" s="121" t="s">
        <v>304</v>
      </c>
      <c r="E240" s="122">
        <v>47664</v>
      </c>
      <c r="F240" s="122">
        <v>48000</v>
      </c>
      <c r="G240" s="123">
        <f t="shared" si="38"/>
        <v>337</v>
      </c>
      <c r="H240" s="89"/>
    </row>
    <row r="241" spans="1:8" s="1" customFormat="1" ht="25.15" customHeight="1">
      <c r="A241" s="84" t="s">
        <v>285</v>
      </c>
      <c r="B241" s="14" t="s">
        <v>286</v>
      </c>
      <c r="C241" s="14"/>
      <c r="D241" s="15"/>
      <c r="E241" s="16">
        <f>SMALL(E243:E245,1)</f>
        <v>46295</v>
      </c>
      <c r="F241" s="16">
        <f>LARGE(F243:F245,1)</f>
        <v>48000</v>
      </c>
      <c r="G241" s="17">
        <f>+F241-E241+1</f>
        <v>1706</v>
      </c>
      <c r="H241" s="23"/>
    </row>
    <row r="242" spans="1:8" s="1" customFormat="1" ht="25.15" customHeight="1">
      <c r="A242" s="85" t="s">
        <v>287</v>
      </c>
      <c r="B242" s="18" t="s">
        <v>288</v>
      </c>
      <c r="C242" s="18"/>
      <c r="D242" s="19"/>
      <c r="E242" s="20"/>
      <c r="F242" s="24"/>
      <c r="G242" s="21"/>
      <c r="H242" s="25"/>
    </row>
    <row r="243" spans="1:8" s="1" customFormat="1" ht="33.75">
      <c r="A243" s="46"/>
      <c r="B243" s="63"/>
      <c r="C243" s="68" t="s">
        <v>338</v>
      </c>
      <c r="D243" s="30" t="s">
        <v>431</v>
      </c>
      <c r="E243" s="11">
        <v>46295</v>
      </c>
      <c r="F243" s="11">
        <v>48000</v>
      </c>
      <c r="G243" s="76">
        <f t="shared" ref="G243:G246" si="39">+F243-E243+1</f>
        <v>1706</v>
      </c>
      <c r="H243" s="32"/>
    </row>
    <row r="244" spans="1:8" s="3" customFormat="1" ht="56.25">
      <c r="A244" s="59"/>
      <c r="B244" s="51"/>
      <c r="C244" s="68" t="s">
        <v>289</v>
      </c>
      <c r="D244" s="13" t="s">
        <v>290</v>
      </c>
      <c r="E244" s="11">
        <v>46295</v>
      </c>
      <c r="F244" s="11">
        <v>46381</v>
      </c>
      <c r="G244" s="76">
        <f t="shared" si="39"/>
        <v>87</v>
      </c>
      <c r="H244" s="32"/>
    </row>
    <row r="245" spans="1:8" s="3" customFormat="1" ht="101.25">
      <c r="A245" s="52"/>
      <c r="B245" s="53"/>
      <c r="C245" s="68" t="s">
        <v>291</v>
      </c>
      <c r="D245" s="30" t="s">
        <v>339</v>
      </c>
      <c r="E245" s="11">
        <v>46351</v>
      </c>
      <c r="F245" s="11">
        <v>48000</v>
      </c>
      <c r="G245" s="76">
        <f t="shared" si="39"/>
        <v>1650</v>
      </c>
      <c r="H245" s="32"/>
    </row>
    <row r="246" spans="1:8" s="1" customFormat="1">
      <c r="A246" s="91"/>
      <c r="B246" s="92" t="s">
        <v>292</v>
      </c>
      <c r="C246" s="93"/>
      <c r="D246" s="94"/>
      <c r="E246" s="95">
        <v>46204</v>
      </c>
      <c r="F246" s="95">
        <v>48000</v>
      </c>
      <c r="G246" s="96">
        <f t="shared" si="39"/>
        <v>1797</v>
      </c>
      <c r="H246" s="97"/>
    </row>
    <row r="247" spans="1:8" s="1" customFormat="1">
      <c r="A247" s="98"/>
      <c r="B247" s="99" t="s">
        <v>310</v>
      </c>
      <c r="C247" s="100"/>
      <c r="D247" s="100"/>
      <c r="E247" s="100"/>
      <c r="F247" s="100"/>
      <c r="G247" s="100"/>
      <c r="H247" s="100"/>
    </row>
    <row r="248" spans="1:8" s="1" customFormat="1">
      <c r="H248" s="29"/>
    </row>
    <row r="249" spans="1:8" s="1" customFormat="1"/>
    <row r="250" spans="1:8" s="1" customFormat="1"/>
    <row r="251" spans="1:8" s="1" customFormat="1"/>
    <row r="252" spans="1:8" s="1" customFormat="1"/>
    <row r="253" spans="1:8" s="1" customFormat="1"/>
    <row r="254" spans="1:8" s="1" customFormat="1"/>
    <row r="255" spans="1:8" s="1" customFormat="1"/>
    <row r="256" spans="1:8"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row r="271" s="1" customFormat="1"/>
    <row r="272" s="1" customFormat="1"/>
  </sheetData>
  <autoFilter ref="A16:H272" xr:uid="{00000000-0009-0000-0000-000000000000}"/>
  <pageMargins left="0.7" right="0.7" top="0.75" bottom="0.75" header="0.3" footer="0.3"/>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Грузденко Андрей Станиславович</cp:lastModifiedBy>
  <cp:lastPrinted>2026-06-16T11:05:00Z</cp:lastPrinted>
  <dcterms:created xsi:type="dcterms:W3CDTF">2026-06-08T18:18:00Z</dcterms:created>
  <dcterms:modified xsi:type="dcterms:W3CDTF">2026-08-05T13:35:57Z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