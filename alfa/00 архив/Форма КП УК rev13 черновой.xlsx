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8_{172E6EE5-7AA2-4425-8C7E-517BC7CE7F3A}" xr6:coauthVersionLast="45" xr6:coauthVersionMax="45" xr10:uidLastSave="{00000000-0000-0000-0000-000000000000}"/>
  <bookViews>
    <workbookView xWindow="-108" yWindow="-108" windowWidth="23256" windowHeight="12576" xr2:uid="{00000000-000D-0000-FFFF-FFFF00000000}"/>
  </bookViews>
  <sheets>
    <sheet name="Форма КП" sheetId="1" r:id="rId1"/>
  </sheets>
  <definedNames>
    <definedName name="_xlnm._FilterDatabase" localSheetId="0" hidden="1">'Форма КП'!$A$16:$H$222</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G101" i="1" l="1"/>
  <c r="G92" i="1"/>
  <c r="G90" i="1"/>
  <c r="G189" i="1"/>
  <c r="G34" i="1"/>
  <c r="G40" i="1" l="1"/>
  <c r="F191" i="1" l="1"/>
  <c r="E191" i="1"/>
  <c r="G179" i="1"/>
  <c r="G19" i="1"/>
  <c r="G20" i="1"/>
  <c r="G21" i="1"/>
  <c r="G22" i="1"/>
  <c r="G23" i="1"/>
  <c r="G24" i="1"/>
  <c r="G25" i="1"/>
  <c r="G46" i="1"/>
  <c r="G47" i="1"/>
  <c r="G48" i="1"/>
  <c r="G50" i="1"/>
  <c r="G51" i="1"/>
  <c r="G52" i="1"/>
  <c r="G54" i="1"/>
  <c r="G55" i="1"/>
  <c r="G56" i="1"/>
  <c r="G58" i="1"/>
  <c r="G59" i="1"/>
  <c r="G60" i="1"/>
  <c r="G62" i="1"/>
  <c r="G63" i="1"/>
  <c r="G64" i="1"/>
  <c r="G42" i="1"/>
  <c r="G43" i="1"/>
  <c r="G44" i="1"/>
  <c r="G66" i="1"/>
  <c r="G67" i="1"/>
  <c r="G68" i="1"/>
  <c r="G28" i="1"/>
  <c r="G29" i="1"/>
  <c r="G30" i="1"/>
  <c r="G32" i="1"/>
  <c r="G33" i="1"/>
  <c r="G36" i="1"/>
  <c r="G37" i="1"/>
  <c r="G38" i="1"/>
  <c r="G74" i="1"/>
  <c r="G79" i="1"/>
  <c r="G75" i="1"/>
  <c r="G76" i="1"/>
  <c r="G77" i="1"/>
  <c r="G78" i="1"/>
  <c r="G83" i="1"/>
  <c r="G84" i="1"/>
  <c r="G85" i="1"/>
  <c r="G87" i="1"/>
  <c r="G88" i="1"/>
  <c r="G89" i="1"/>
  <c r="G91" i="1"/>
  <c r="G94" i="1"/>
  <c r="G95" i="1"/>
  <c r="G96" i="1"/>
  <c r="G98" i="1"/>
  <c r="G99" i="1"/>
  <c r="G100" i="1"/>
  <c r="G102" i="1"/>
  <c r="G103" i="1"/>
  <c r="G104" i="1"/>
  <c r="G114" i="1"/>
  <c r="G115" i="1"/>
  <c r="G112" i="1"/>
  <c r="G113" i="1"/>
  <c r="G117" i="1"/>
  <c r="G118" i="1"/>
  <c r="G119" i="1"/>
  <c r="G121" i="1"/>
  <c r="G122" i="1"/>
  <c r="G123" i="1"/>
  <c r="G124" i="1"/>
  <c r="G106" i="1"/>
  <c r="G107" i="1"/>
  <c r="G108" i="1"/>
  <c r="G109" i="1"/>
  <c r="G110" i="1"/>
  <c r="G128" i="1"/>
  <c r="G129" i="1"/>
  <c r="G131" i="1"/>
  <c r="G130" i="1"/>
  <c r="G132" i="1"/>
  <c r="G134" i="1"/>
  <c r="G135" i="1"/>
  <c r="G136" i="1"/>
  <c r="G138" i="1"/>
  <c r="G142" i="1"/>
  <c r="G143" i="1"/>
  <c r="G144" i="1"/>
  <c r="G145" i="1"/>
  <c r="G147" i="1"/>
  <c r="G148" i="1"/>
  <c r="G149" i="1"/>
  <c r="G151" i="1"/>
  <c r="G152" i="1"/>
  <c r="G153" i="1"/>
  <c r="G155" i="1"/>
  <c r="G156" i="1"/>
  <c r="G157" i="1"/>
  <c r="G158" i="1"/>
  <c r="G159" i="1"/>
  <c r="G160" i="1"/>
  <c r="G161" i="1"/>
  <c r="G165" i="1"/>
  <c r="G163" i="1"/>
  <c r="G164" i="1"/>
  <c r="G167" i="1"/>
  <c r="G168" i="1"/>
  <c r="G171" i="1"/>
  <c r="G172" i="1"/>
  <c r="G175" i="1"/>
  <c r="G176" i="1"/>
  <c r="G181" i="1"/>
  <c r="G182" i="1"/>
  <c r="G186" i="1"/>
  <c r="G184" i="1"/>
  <c r="G185" i="1"/>
  <c r="G188" i="1"/>
  <c r="G195" i="1"/>
  <c r="G193" i="1"/>
  <c r="G194" i="1"/>
  <c r="G196" i="1"/>
  <c r="G191" i="1" l="1"/>
  <c r="G70" i="1"/>
  <c r="B16" i="1"/>
  <c r="C16" i="1" s="1"/>
  <c r="D16" i="1" s="1"/>
  <c r="E16" i="1" s="1"/>
  <c r="F16" i="1" s="1"/>
  <c r="G16" i="1" s="1"/>
  <c r="H16" i="1" s="1"/>
  <c r="G126" i="1" l="1"/>
  <c r="G26" i="1"/>
  <c r="G81" i="1"/>
  <c r="G17" i="1"/>
  <c r="G140" i="1"/>
</calcChain>
</file>

<file path=xl/sharedStrings.xml><?xml version="1.0" encoding="utf-8"?>
<sst xmlns="http://schemas.openxmlformats.org/spreadsheetml/2006/main" count="380" uniqueCount="373">
  <si>
    <t>ЗАКАЗЧИК:</t>
  </si>
  <si>
    <t>ОБЪЕКТ:</t>
  </si>
  <si>
    <t>мультимедийный центр, г. Москва</t>
  </si>
  <si>
    <t>Адрес:</t>
  </si>
  <si>
    <t>г.Москва</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</si>
  <si>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</si>
  <si>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</si>
  <si>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</si>
  <si>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</si>
  <si>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</si>
  <si>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</si>
  <si>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</si>
  <si>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</si>
  <si>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60 месяцев</t>
  </si>
  <si>
    <t>№</t>
  </si>
  <si>
    <t xml:space="preserve">Наименование работ </t>
  </si>
  <si>
    <t>Услуги управляющей компании</t>
  </si>
  <si>
    <t>Результаты услуг управляющей компании</t>
  </si>
  <si>
    <t xml:space="preserve">Дата начала работ </t>
  </si>
  <si>
    <t xml:space="preserve">Дата окончания </t>
  </si>
  <si>
    <t>Длительность, к.д.</t>
  </si>
  <si>
    <t>1.1</t>
  </si>
  <si>
    <t>Правовой анализ имущественного комплекса</t>
  </si>
  <si>
    <t>1.1.1 Собирает и актуализирует исходные данные по земельным участкам, зданиям, помещениям, ЕГРН, арендаторам и пользователям.</t>
  </si>
  <si>
    <t>1.1.2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</si>
  <si>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</si>
  <si>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1.1.6 Готовит дорожную карту, матрицу ответственности участников проекта, регламенты, контроль сроков, бюджета, рисков и решений.</t>
  </si>
  <si>
    <t>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</si>
  <si>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Инженерно-геологические, гидрологические и экологические изыскания</t>
  </si>
  <si>
    <t>Техническое обследование строительных конструкций</t>
  </si>
  <si>
    <t>Техническое обследование строительных конструкций зоны влияния</t>
  </si>
  <si>
    <t>Историко-культурные изыскания</t>
  </si>
  <si>
    <t>Изучение и систематизация материалов инженерно-геологических изысканий прошлых лет</t>
  </si>
  <si>
    <t>Этап - Архитектурная концепция и согласование</t>
  </si>
  <si>
    <t>2.1</t>
  </si>
  <si>
    <t>2.1.1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</si>
  <si>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</si>
  <si>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2.2</t>
  </si>
  <si>
    <t>2.3</t>
  </si>
  <si>
    <t>2.4</t>
  </si>
  <si>
    <t>Альбом АГР и ВПМ</t>
  </si>
  <si>
    <t>Свидетельство об утверждении АГР</t>
  </si>
  <si>
    <t xml:space="preserve">Этап - Получение ГПЗУ </t>
  </si>
  <si>
    <t>3.1</t>
  </si>
  <si>
    <t>Внесение изменений в ПЗЗ и ГПЗУ, сопровождение РГ и ГЗК</t>
  </si>
  <si>
    <t>3.2</t>
  </si>
  <si>
    <t>Этап - Выпуск Проектной документации стадии «Проект»</t>
  </si>
  <si>
    <t>4.1</t>
  </si>
  <si>
    <t>Проектная документация</t>
  </si>
  <si>
    <t>4.2</t>
  </si>
  <si>
    <t>Проект организации демонтажа</t>
  </si>
  <si>
    <t>Схема транспортного обеспечения объекта</t>
  </si>
  <si>
    <t>Мероприятия по обеспечению сохранности сооружений метрополитена с согласованием с ГУП "Московский метрополитен".</t>
  </si>
  <si>
    <t xml:space="preserve">Мероприятия по обеспечению сохранности подземных сооружений и инженерных коммуникаций </t>
  </si>
  <si>
    <t>4.7.c Мероприятия по сохранению подземных сооружений и коммуникаций</t>
  </si>
  <si>
    <t>Проект обеспечения сохранности ОКН, вкл. ГИКЭ и согласование ДКН</t>
  </si>
  <si>
    <t>Этап - Прохождение экспертизы и получение Разрешения на реконструкцию</t>
  </si>
  <si>
    <t>5.1</t>
  </si>
  <si>
    <t>Государственная экспертиза ПД и РИИ</t>
  </si>
  <si>
    <t>5.1.a Заявление в электронной форме (ЛК Застройщика)</t>
  </si>
  <si>
    <t>5.1.b Пакет проектной документации и изысканий</t>
  </si>
  <si>
    <t>5.2</t>
  </si>
  <si>
    <t>5.3</t>
  </si>
  <si>
    <t>Разрешение на реконструкцию</t>
  </si>
  <si>
    <t>5.4</t>
  </si>
  <si>
    <t xml:space="preserve">Этап - Реконструкция Объекта </t>
  </si>
  <si>
    <t>6.1</t>
  </si>
  <si>
    <t>Рабочая документация</t>
  </si>
  <si>
    <t>6.2</t>
  </si>
  <si>
    <t>Разработка дизайна и концепции интерьеров, рабочая документация на РСР</t>
  </si>
  <si>
    <t>6.3</t>
  </si>
  <si>
    <t>6.4</t>
  </si>
  <si>
    <t>Генеральный подряд, СМР</t>
  </si>
  <si>
    <t xml:space="preserve">Строительный контроль </t>
  </si>
  <si>
    <t xml:space="preserve">Автороский надзор иностранного архитектора </t>
  </si>
  <si>
    <t>Авторский надзор генерального проектировщика</t>
  </si>
  <si>
    <t>Аторский надзор дизайнера интерьеров</t>
  </si>
  <si>
    <t>Этап - Сдача Объекта, ЗОС, разрешение на ввод</t>
  </si>
  <si>
    <t>7.1</t>
  </si>
  <si>
    <t>7.2</t>
  </si>
  <si>
    <t>Кадастровые работы и Регистрация права собственности на ОКС</t>
  </si>
  <si>
    <t>7.3</t>
  </si>
  <si>
    <t>Оформление паспорта БТИ всего комплекса зданий с учетом нового ОКС</t>
  </si>
  <si>
    <t>7.4</t>
  </si>
  <si>
    <t>Работы и услуги в течении реализации проекта</t>
  </si>
  <si>
    <t xml:space="preserve">Услуги технического заказчика </t>
  </si>
  <si>
    <t>ПЕРИОД РЕАЛИЗАЦИИ ПРОЕКТА</t>
  </si>
  <si>
    <t>Площадь объекта, м2</t>
  </si>
  <si>
    <t>Бонус УК за выполнение этапа, без НДС</t>
  </si>
  <si>
    <t>Ежемесячное вознаграждение, без НДС</t>
  </si>
  <si>
    <t>Вознаграждение УК за выполнение этапа (бонус)</t>
  </si>
  <si>
    <r>
      <t xml:space="preserve">4.7.d Проектная документация </t>
    </r>
    <r>
      <rPr>
        <b/>
        <sz val="8"/>
        <color rgb="FF0070C0"/>
        <rFont val="Arial"/>
        <family val="2"/>
        <charset val="204"/>
      </rPr>
      <t>в объеме, требуемом всеми нормативными документами и достаточном для  дальнейшей реализации проекта</t>
    </r>
  </si>
  <si>
    <r>
      <t xml:space="preserve">Специальные инженерно-геофизические изыскания (вертикальное сейсмопрофилирование, </t>
    </r>
    <r>
      <rPr>
        <b/>
        <sz val="8"/>
        <color rgb="FFFF0000"/>
        <rFont val="Arial"/>
        <family val="2"/>
        <charset val="204"/>
      </rPr>
      <t>НТС</t>
    </r>
    <r>
      <rPr>
        <b/>
        <sz val="8"/>
        <rFont val="Arial"/>
        <family val="2"/>
        <charset val="204"/>
      </rPr>
      <t xml:space="preserve"> в случае обнаружения опасных техногенных грунтов)</t>
    </r>
  </si>
  <si>
    <t>2.1.a Протокол о результатах закупки утвержден</t>
  </si>
  <si>
    <t>4.6.a Протокол о результатах закупки утвержден</t>
  </si>
  <si>
    <t>4.7.a Протокол о результатах закупки утвержден</t>
  </si>
  <si>
    <t>1.1.c Юридическое заключение о реализуемости проекта представлено</t>
  </si>
  <si>
    <t>1.1.d Аналитический отчёт по градостроительным ограничениям представлен</t>
  </si>
  <si>
    <t>1.1.e Заключение о необходимости изменения ПЗЗ представлено</t>
  </si>
  <si>
    <t>1.1.g Бюджетная структура проекта утверждена Застройщиком</t>
  </si>
  <si>
    <t>Буклет АГК, вкл. НПМ</t>
  </si>
  <si>
    <t>1.1.a Сведения ЕГРН актуализированы</t>
  </si>
  <si>
    <r>
      <t xml:space="preserve">4.6.c Согласование работ в зонах метрополитена получены </t>
    </r>
    <r>
      <rPr>
        <b/>
        <sz val="8"/>
        <color rgb="FF0070C0"/>
        <rFont val="Arial"/>
        <family val="2"/>
        <charset val="204"/>
      </rPr>
      <t>в объеме, требуемом всеми нормативными документами и достаточном для  дальнейшей реализации проекта</t>
    </r>
  </si>
  <si>
    <t>Демонтаж</t>
  </si>
  <si>
    <t>2.1.b Договор подписан и исполнен в полном объеме</t>
  </si>
  <si>
    <t>4.6.b Договор подписан и исполнен в полном объеме</t>
  </si>
  <si>
    <t>4.7.b Договор подписан и исполнен в полном объеме</t>
  </si>
  <si>
    <t>1.1.3 Анализирует возможности реализации проекта как единого комплекса и готовит юридическую позицию по реконструкции, проверяет необходимость объединения / перераспределения земельных участков и кадастровых работ по участкам и объектам недвижимости.</t>
  </si>
  <si>
    <t>1.1.5 Определяет необходимость корректировки ПЗЗ и проведения публичных процедур, готовит градостроительное заключение по реализуемости проекта.</t>
  </si>
  <si>
    <t>3.3</t>
  </si>
  <si>
    <t>3.4</t>
  </si>
  <si>
    <t>3.5</t>
  </si>
  <si>
    <t>3.6</t>
  </si>
  <si>
    <t>3.7</t>
  </si>
  <si>
    <t>3.8</t>
  </si>
  <si>
    <t>2.1.3 Организует подготовку буклета АГК и НПМ</t>
  </si>
  <si>
    <r>
      <t xml:space="preserve">2.1.c Буклет АГК и НПМ подготовлены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</si>
  <si>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2.2.1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</si>
  <si>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</si>
  <si>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2.3.1 Организует регистрацию ЛК Застройщика и контролирует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t>
  </si>
  <si>
    <t>2.3.2 Сопровождает в ДГП, организует снятие и устранение замечаний.</t>
  </si>
  <si>
    <t>2.3.3 Сопровождает в оформлении Свидетельства об утверждении архитектурно-градостроительного решения объекта капитального строительства.</t>
  </si>
  <si>
    <t>2.3.a Заявление в электронной форме (ЛК Застройщика) подано</t>
  </si>
  <si>
    <t>2.3.b Согласование ДГП получено</t>
  </si>
  <si>
    <t>2.3.c Свидетельство об утверждении АГР получено</t>
  </si>
  <si>
    <t>2.2.a Протокол о результатах закупки утвержден</t>
  </si>
  <si>
    <t>2.2.b Договор подписан и исполнен в полном объеме</t>
  </si>
  <si>
    <t>9.1</t>
  </si>
  <si>
    <t>Этап - Изыскательских работ и обследований</t>
  </si>
  <si>
    <t>Инженерно-геодезические изыскания</t>
  </si>
  <si>
    <t>3.1.1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</si>
  <si>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</si>
  <si>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3.1.a Протокол о результатах закупки утвержден</t>
  </si>
  <si>
    <t>3.1.b Договор подписан и исполнен в полном объеме</t>
  </si>
  <si>
    <t>3.2.1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</si>
  <si>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</si>
  <si>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3.2.a Протокол о результатах закупки утвержден</t>
  </si>
  <si>
    <t>3.2.b Договор подписан и исполнен в полном объеме</t>
  </si>
  <si>
    <t>3.3.1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</si>
  <si>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</si>
  <si>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3.3.a Протокол о результатах закупки утвержден</t>
  </si>
  <si>
    <t>3.3.b Договор подписан и исполнен в полном объеме</t>
  </si>
  <si>
    <t>3.4.1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</si>
  <si>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</si>
  <si>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3.4.b Договор подписан и исполнен в полном объеме</t>
  </si>
  <si>
    <t>3.4.a Протокол о результатах закупки утвержден</t>
  </si>
  <si>
    <t>3.5.1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</si>
  <si>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</si>
  <si>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3.5.a Протокол о результатах закупки утвержден</t>
  </si>
  <si>
    <t>3.5.b Договор подписан и исполнен в полном объеме</t>
  </si>
  <si>
    <t>3.6.1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</si>
  <si>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</si>
  <si>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3.6.a Протокол о результатах закупки утвержден</t>
  </si>
  <si>
    <t>3.6.b Договор подписан и исполнен в полном объеме</t>
  </si>
  <si>
    <t>3.7.1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</si>
  <si>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</si>
  <si>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3.7.a Протокол о результатах закупки утвержден</t>
  </si>
  <si>
    <t>3.7.b Договор подписан и исполнен в полном объеме</t>
  </si>
  <si>
    <t>5.5</t>
  </si>
  <si>
    <t>5.6</t>
  </si>
  <si>
    <t>5.7</t>
  </si>
  <si>
    <t>5.8</t>
  </si>
  <si>
    <t>5.9</t>
  </si>
  <si>
    <t>7.5</t>
  </si>
  <si>
    <t>7.6</t>
  </si>
  <si>
    <t>7.7</t>
  </si>
  <si>
    <t>7.8</t>
  </si>
  <si>
    <t>8.1</t>
  </si>
  <si>
    <t>8.2</t>
  </si>
  <si>
    <t>8.3</t>
  </si>
  <si>
    <t>7.9</t>
  </si>
  <si>
    <t>Этап - Правовой аудит</t>
  </si>
  <si>
    <t>2.2.3 Организует подготовку альбома АГР и ВПМ</t>
  </si>
  <si>
    <r>
      <t xml:space="preserve">2.2.c Альбом АГР и ВПМ подготовлены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</si>
  <si>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3.1.3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</si>
  <si>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3.2.3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</si>
  <si>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3.3.3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</si>
  <si>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3.5.3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</si>
  <si>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3.6.3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</si>
  <si>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3.7.3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</si>
  <si>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t>3.4.3 Организует привлечение технического заказчика и других участников, необходимых для выполнения обследований, изысканий и специальных исследований.</t>
  </si>
  <si>
    <r>
      <t xml:space="preserve">3.4.c </t>
    </r>
    <r>
      <rPr>
        <sz val="8"/>
        <color rgb="FFFF0000"/>
        <rFont val="Arial"/>
        <family val="2"/>
        <charset val="204"/>
      </rPr>
      <t>Программа изыскательских работ, техническое задание,</t>
    </r>
    <r>
      <rPr>
        <sz val="8"/>
        <rFont val="Arial"/>
        <family val="2"/>
        <charset val="204"/>
      </rPr>
      <t xml:space="preserve"> заключения по изысканиям представлены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</si>
  <si>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3.1.c Технический отчет по результатам изучения и систематизации материалов инженерно-геологических изысканий прошлых лет представлен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</si>
  <si>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4.1.1 Анализирует действующее ГПЗУ / имеющийся комплект градостроительных документов</t>
  </si>
  <si>
    <t>4.1.a Заключение по анализу ГПЗУ / имеющегося комплекта градостроительных документов представлено</t>
  </si>
  <si>
    <t>4.1.2 Проверяет соответствие ГПЗУ модели единого комплекса</t>
  </si>
  <si>
    <t>4.1.3 Готовит материалы для ГЗК и сопровождает рассмотрение на ГЗК.</t>
  </si>
  <si>
    <t>4.1.4 Готовит материалы по изменению ПЗЗ и сопровождает процедуру изменения ПЗЗ.</t>
  </si>
  <si>
    <t>4.1.5 Организует согласование материалов с уполномоченными органами, архитектурное рассмотрение и профильные согласования.</t>
  </si>
  <si>
    <t>4.1.6 Организует получение техническим заказчиком нового ГПЗУ или комплекта ГПЗУ.</t>
  </si>
  <si>
    <t>4.1.d Новый ПЗЗ получен</t>
  </si>
  <si>
    <t>4.1.e Согласования с уполномоченными органами получены</t>
  </si>
  <si>
    <t>4.1.f Новый ГПЗУ получен</t>
  </si>
  <si>
    <t>4.1.0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</si>
  <si>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4.1.0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</si>
  <si>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4.1.х Договор подписан и исполнен в полном объеме</t>
  </si>
  <si>
    <t>4.1.х Протокол о результатах закупки утвержден</t>
  </si>
  <si>
    <t>5.1.1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</si>
  <si>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</si>
  <si>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5.1.a Протокол о результатах закупки утвержден</t>
  </si>
  <si>
    <t>5.1.b Договор подписан и исполнен в полном объеме</t>
  </si>
  <si>
    <r>
      <t xml:space="preserve">5.1.c </t>
    </r>
    <r>
      <rPr>
        <sz val="8"/>
        <rFont val="Arial"/>
        <family val="2"/>
        <charset val="204"/>
      </rPr>
      <t xml:space="preserve">Проектная документация предствлены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</si>
  <si>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5.1.3 Координирует разработку проектной документации стадии «Проект» по всем разделам ПД, включая, но не ограничиваясь: АР, КР, ИОС, ПОС, ООС, ПБ, МГН, энергоэффективность, СТУ.</t>
  </si>
  <si>
    <t>5.2.1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</si>
  <si>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</si>
  <si>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5.2.a Протокол о результатах закупки утвержден</t>
  </si>
  <si>
    <t>5.2.b Договор подписан и исполнен в полном объеме</t>
  </si>
  <si>
    <t>5.3.1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</si>
  <si>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</si>
  <si>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5.3.3 Координирует разработку проектной документации в соответствии требования к составу и содержанию проекта организации работ по демонтажу объекта капитального строительства</t>
  </si>
  <si>
    <t>5.3.a Протокол о результатах закупки утвержден</t>
  </si>
  <si>
    <t>5.3.b Договор подписан и исполнен в полном объеме</t>
  </si>
  <si>
    <r>
      <t xml:space="preserve">5.3.c Проектная документация по демонтажу представлена </t>
    </r>
    <r>
      <rPr>
        <b/>
        <sz val="8"/>
        <color rgb="FF0070C0"/>
        <rFont val="Arial"/>
        <family val="2"/>
        <charset val="204"/>
      </rPr>
      <t>в объеме, требуемом всеми нормативными документами и достаточном для  дальнейшей реализации проекта</t>
    </r>
  </si>
  <si>
    <t>Программа по обеспечению сохранности прилегающих строений</t>
  </si>
  <si>
    <t>5.4.1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</si>
  <si>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</si>
  <si>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 xml:space="preserve">5.4.4 Сопровождает согласования в ДГП: hассматривает схему на соответствие градостроительным нормам и проектам планировки территории. </t>
  </si>
  <si>
    <t>5.4.3 Контролирует проектную организацию при сборе данных, моделировании транспортных потоков и расчёте нагрузки на улично-дорожную сеть (УДС).</t>
  </si>
  <si>
    <t>5.4.5 Сопровождает согласование в Дептрансе: Департамент транспорта оценивает проект организации дорожного движения и влияние объекта на загруженность дорог</t>
  </si>
  <si>
    <t>5.4.6 Сопровождает согласования в УГИБДД, ЦОДД</t>
  </si>
  <si>
    <t>5.5.1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</si>
  <si>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</si>
  <si>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5.5.3 Координирует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</si>
  <si>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5.5.4 Контролирует процесс согласования ПД техническим заказчиком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</si>
  <si>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5.5.5 Координирует работы для обеспечения комплекса мероприятий и документов, направленных на защиту объектов культурного наследия при проведении работ вблизи них или на самих объектах.</t>
  </si>
  <si>
    <t>5.6.1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</si>
  <si>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</si>
  <si>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5.6.3 Контролирует организацию мероприятий по сохранности окружающей застройки, археологии и историко-культурному наследию.</t>
  </si>
  <si>
    <t>5.6.4 Контролирует организацию логистики в центре Москвы и подготовки к началу основных работ</t>
  </si>
  <si>
    <t>5.7.1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</si>
  <si>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</si>
  <si>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5.7.3 Координирует процедуру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</si>
  <si>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5.8.1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</si>
  <si>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5.8.2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</si>
  <si>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5.8.3 Координирует работы для обеспечения комплекса мероприятий для сохранения подземных сооружений и инженерных коммуникаций</t>
  </si>
  <si>
    <t>5.8.4 Контролирует разработку проектной документации в соответствии с требованиями Постановления Правительства Москвы.</t>
  </si>
  <si>
    <t>5.4.a Протокол о результатах закупки утвержден</t>
  </si>
  <si>
    <t>5.4.b Договор подписан и исполнен в полном объеме</t>
  </si>
  <si>
    <t>5.4.c Модель транспортных потоков представлена</t>
  </si>
  <si>
    <t>5.4.d Согласование в ДГП получено</t>
  </si>
  <si>
    <t>5.4.e Согласование в Дептрансе получено</t>
  </si>
  <si>
    <t>5.5.a Протокол о результатах закупки утвержден</t>
  </si>
  <si>
    <t>5.5.b Договор подписан и исполнен в полном объеме</t>
  </si>
  <si>
    <t>5.5.c Заключение историко-культурной экспертизы представлено</t>
  </si>
  <si>
    <r>
      <t xml:space="preserve">5.5.d Согласование проектной документации по ОКН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</si>
  <si>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5.5.e Мероприятия и документы по защите объектов культурного наследия представлены</t>
  </si>
  <si>
    <t>5.6.a Протокол о результатах закупки утвержден</t>
  </si>
  <si>
    <t>5.6.b Договор подписан и исполнен в полном объеме в объеме, требуемом всеми нормативными документами и достаточном для  дальнейшей реализации проекта</t>
  </si>
  <si>
    <t>5.6.c Мероприятия по сохранности окружающей застройки и наследия представлены</t>
  </si>
  <si>
    <t>5.6.d Защитные мероприятия и логистика подготовительного периода поредставлены</t>
  </si>
  <si>
    <t>6.1.1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</si>
  <si>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6.1.2 Формирует пакет проектной документации и результатов инженерных изысканий, Заявления и Анкеты. Контролирует загрузку указанных документов на портал.</t>
  </si>
  <si>
    <t>6.1.5 Организует продление услуги техническим заказчиком в случае необходимости.</t>
  </si>
  <si>
    <t>5.1.c Заявки на консультации с экспертами</t>
  </si>
  <si>
    <t>5.1.e Продление срока услуги</t>
  </si>
  <si>
    <t>6.1.3 Контролирует регистрацию заявок на консультации с экспертами.</t>
  </si>
  <si>
    <t>6.1.4 Отслеживает и контролирует отработку и снятие замечаний экспертов. Контролирует дозагрузку ПД.</t>
  </si>
  <si>
    <t>6.2.1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</si>
  <si>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6.2.2 Формирует пакет проектной документации и результатов инженерных изысканий, Заявления и Анкеты, положительного заключения Мосгосэкспертизы.</t>
  </si>
  <si>
    <t>6.2.3 Сопровождает оформление разрешения на реконструкцию в соответствии с положениями Постановления Правительства Москвы от 17 апреля 2012 № 145-ПП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</si>
  <si>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r>
      <t xml:space="preserve">6.2.c Разрешение на </t>
    </r>
    <r>
      <rPr>
        <b/>
        <sz val="8"/>
        <color rgb="FFFF0000"/>
        <rFont val="Arial"/>
        <family val="2"/>
        <charset val="204"/>
      </rPr>
      <t>реконструкцию получено</t>
    </r>
  </si>
  <si>
    <r>
      <t xml:space="preserve">6.2.b Пакет проектной документации и изысканий сформирован </t>
    </r>
    <r>
      <rPr>
        <sz val="8"/>
        <color rgb="FF0070C0"/>
        <rFont val="Arial"/>
        <family val="2"/>
        <charset val="204"/>
      </rPr>
      <t>в объеме, требуемом всеми нормативными документами и достаточном для получения РнР и дальнейшей реализации проекта</t>
    </r>
  </si>
  <si>
    <t>6.2.a Заявление в электронной форме (ЛК Застройщика) подано</t>
  </si>
  <si>
    <t>6.3.1 Контролирует подготовку, загрузку и сопровождение на портале пакета документов в соответствии с Положением о региональном государственном строительном надзоре в городе Москве (далее - Положение), определяющим порядок организации и осуществления регионального государственного строительного надзора в городе Москве.</t>
  </si>
  <si>
    <t>7.5.1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</si>
  <si>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</si>
  <si>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7.5.3 Организует и координирует работу Строительного контроля и всех другрих участников проекта</t>
  </si>
  <si>
    <t>7.5.c Строительный контроль выполнен в объеме, требуемом всеми нормативными документами и достаточном дальнейшей реализации проекта</t>
  </si>
  <si>
    <t>7.5.b Договор подписан и исполнен в полном объеме</t>
  </si>
  <si>
    <t>7.5.a Протокол о результатах закупки утвержден</t>
  </si>
  <si>
    <t>7.6.1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</si>
  <si>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</si>
  <si>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7.6.3 Организует и координирует работу Авторского надзора иностранного архитектора и всех другрих участников проекта</t>
  </si>
  <si>
    <t>7.7.1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</si>
  <si>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</si>
  <si>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7.7.3 Организует и координирует работу Авторского надзора генерального проектировщика и всех другрих участников проекта</t>
  </si>
  <si>
    <t>7.6.a Протокол о результатах закупки утвержден</t>
  </si>
  <si>
    <t>7.6.b Договор подписан и исполнен в полном объеме</t>
  </si>
  <si>
    <t>7.7.a Протокол о результатах закупки утвержден</t>
  </si>
  <si>
    <t>7.7.b Договор подписан и исполнен в полном объеме</t>
  </si>
  <si>
    <t>7.8.1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</si>
  <si>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</si>
  <si>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7.8.a Протокол о результатах закупки утвержден</t>
  </si>
  <si>
    <t>7.8.b Договор подписан и исполнен в полном объеме</t>
  </si>
  <si>
    <t>7.8.3 Организует и координирует работу Авторского надзора дизайнера интерьеров и всех другрих участников проекта</t>
  </si>
  <si>
    <t>7.8.c Авторский надзор дизайнера интерьеров выполнен в объеме, требуемом всеми нормативными документами и достаточном дальнейшей реализации проекта</t>
  </si>
  <si>
    <t>7.7.c Авторский надзор генерального проектировщика выполнен в объеме, требуемом всеми нормативными документами и достаточном дальнейшей реализации проекта</t>
  </si>
  <si>
    <t>7.6.c Авторский надзор иностранного архитектора выполнен в объеме, требуемом всеми нормативными документами и достаточном дальнейшей реализации проекта</t>
  </si>
  <si>
    <t>7.1.1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</si>
  <si>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</si>
  <si>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7.1.a Протокол о результатах закупки утвержден</t>
  </si>
  <si>
    <t>7.1.b Договор подписан и исполнен в полном объеме</t>
  </si>
  <si>
    <r>
      <t xml:space="preserve">7.1.d Рабочая документация </t>
    </r>
    <r>
      <rPr>
        <b/>
        <sz val="8"/>
        <color rgb="FFFF0000"/>
        <rFont val="Arial"/>
        <family val="2"/>
        <charset val="204"/>
      </rPr>
      <t>выпущена "в производство работ"</t>
    </r>
  </si>
  <si>
    <r>
      <t>7.1.4 Координирует разработку проектной документации стадии РД и выпуск «в производство работ» по</t>
    </r>
    <r>
      <rPr>
        <b/>
        <sz val="8"/>
        <color rgb="FF0070C0"/>
        <rFont val="Arial (Основной текст)"/>
        <charset val="204"/>
      </rPr>
      <t xml:space="preserve"> всем необходимым разделам</t>
    </r>
    <r>
      <rPr>
        <sz val="8"/>
        <rFont val="Arial (Основной текст)"/>
        <charset val="204"/>
      </rPr>
      <t>.</t>
    </r>
  </si>
  <si>
    <t>7.2.1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</si>
  <si>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</si>
  <si>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7.2.3 Координирует оформление пространства, определение стиля, атмосферы, функциональности и эстетики, разработку рабочей документации.</t>
  </si>
  <si>
    <t>7.2.a Протокол о результатах закупки утвержден</t>
  </si>
  <si>
    <t>7.2.b Договор подписан и исполнен в полном объеме</t>
  </si>
  <si>
    <r>
      <t xml:space="preserve">7.2.c Дизайн-концепция интерьеров и рабочая документация утверждена </t>
    </r>
    <r>
      <rPr>
        <b/>
        <sz val="8"/>
        <color rgb="FF0070C0"/>
        <rFont val="Arial"/>
        <family val="2"/>
        <charset val="204"/>
      </rPr>
      <t>в объеме, требуемом всеми нормативными документами и достаточном дальнейшей реализации проекта</t>
    </r>
  </si>
  <si>
    <t>7.3.1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</si>
  <si>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</si>
  <si>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7.3.3 Организует выполнение работ по демонтажу.</t>
  </si>
  <si>
    <t>7.3.a Протокол о результатах закупки утвержден</t>
  </si>
  <si>
    <t>7.3.b Договор подписан и исполнен в полном объеме</t>
  </si>
  <si>
    <r>
      <t xml:space="preserve">7.3.c Демонтаж выполнен </t>
    </r>
    <r>
      <rPr>
        <sz val="8"/>
        <color rgb="FF0070C0"/>
        <rFont val="Arial"/>
        <family val="2"/>
        <charset val="204"/>
      </rPr>
      <t xml:space="preserve"> в объеме, требуемом всеми нормативными документами и достаточном дальнейшей реализации проекта</t>
    </r>
  </si>
  <si>
    <t>7.4.1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</si>
  <si>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</si>
  <si>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7.4.3 Координирует процесс внесения изменений в РД.</t>
  </si>
  <si>
    <t>7.4.4 Контролирует устранение предписаний и замечаний надзорных органов, координирует управление изменениями на строительстве.</t>
  </si>
  <si>
    <r>
      <t xml:space="preserve">7.4.5 </t>
    </r>
    <r>
      <rPr>
        <b/>
        <sz val="8"/>
        <color rgb="FF0070C0"/>
        <rFont val="Arial"/>
        <family val="2"/>
        <charset val="204"/>
      </rPr>
      <t>Координирует оплату Технического заказчика и всех других участников на строительной стадии</t>
    </r>
    <r>
      <rPr>
        <sz val="8"/>
        <rFont val="Arial"/>
        <family val="2"/>
        <charset val="204"/>
      </rPr>
      <t>: подписание КС-2 / КС-3, качество материалов, исполнительную документацию, проверки Мосгосстройнадзора, отчётность и координацию.</t>
    </r>
  </si>
  <si>
    <r>
      <t xml:space="preserve">7.4.6 </t>
    </r>
    <r>
      <rPr>
        <b/>
        <sz val="8"/>
        <color rgb="FF0070C0"/>
        <rFont val="Arial"/>
        <family val="2"/>
        <charset val="204"/>
      </rPr>
      <t>Координирует работы Технического заказчика и всех других участников</t>
    </r>
    <r>
      <rPr>
        <sz val="8"/>
        <rFont val="Arial"/>
        <family val="2"/>
        <charset val="204"/>
      </rPr>
      <t xml:space="preserve"> строительной стадии: контролирует сроки, бюджет, проектные решения, риски, отчётность, организует комитеты Заказчика и ключевые события.</t>
    </r>
  </si>
  <si>
    <t>7.4.7 Формирует резерв строительной стадии, ведёт cash-flow и план-факт анализ, управляет рисками подземной части, мультимедиа, фасадов, инженерных нагрузок, сроков и роста стоимости.</t>
  </si>
  <si>
    <t>7.4.a Протокол о результатах закупки утвержден</t>
  </si>
  <si>
    <t>7.4.b Договор подписан и исполнен в полном объеме</t>
  </si>
  <si>
    <t>7.4.c РД изменена</t>
  </si>
  <si>
    <t>7.4.d Предписания надзорных органов устранены</t>
  </si>
  <si>
    <t>7.4.e Документация в полном объеме проверена</t>
  </si>
  <si>
    <t>7.4.f Строительная стадия завершена</t>
  </si>
  <si>
    <t>7.4.g Аналитическая и другие управленческие работы проведены</t>
  </si>
  <si>
    <t>8.3.c Паспорт БТИ оформлен</t>
  </si>
  <si>
    <t>8.3.b Договор подписан и исполнен в полном объеме</t>
  </si>
  <si>
    <t>8.3.a Протокол о результатах закупки утвержден</t>
  </si>
  <si>
    <t>8.2.1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</si>
  <si>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8.2.2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</si>
  <si>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8.2.a Протокол о результатах закупки утвержден</t>
  </si>
  <si>
    <t>8.2.b Договор подписан и исполнен в полном объеме</t>
  </si>
  <si>
    <t>8.2.c Объект поставлен на Кадастровый учёт</t>
  </si>
  <si>
    <r>
      <t>8.2.3 Организует кадастровый учёт реконструированного объекта</t>
    </r>
    <r>
      <rPr>
        <sz val="8"/>
        <color rgb="FFFF0000"/>
        <rFont val="Arial"/>
        <family val="2"/>
        <charset val="204"/>
      </rPr>
      <t xml:space="preserve"> техническим заказчиком.</t>
    </r>
  </si>
  <si>
    <r>
      <t xml:space="preserve">8.3.3 Организует оформление паспорта БТИ всего комплекса зданий с учетом нового ОКС </t>
    </r>
    <r>
      <rPr>
        <sz val="8"/>
        <color rgb="FFFF0000"/>
        <rFont val="Arial (Основной текст)"/>
        <charset val="204"/>
      </rPr>
      <t>техническим заказчиком</t>
    </r>
  </si>
  <si>
    <t>8.3.2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</si>
  <si>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r>
      <t>8.3.3 Сопровождает договорную работу</t>
    </r>
    <r>
      <rPr>
        <sz val="8"/>
        <color rgb="FFFF0000"/>
        <rFont val="Arial (Основной текст)"/>
        <charset val="204"/>
      </rPr>
      <t xml:space="preserve"> технического заказчика</t>
    </r>
    <r>
      <rPr>
        <sz val="8"/>
        <rFont val="Arial (Основной текст)"/>
        <charset val="204"/>
      </rPr>
      <t>: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r>
  </si>
  <si>
    <t>8.1.1 Контролирует получение техническим заказчиком ЗОС.</t>
  </si>
  <si>
    <t>8.1.2 Контролирует получение техническим заказчиком разрешения на ввод.</t>
  </si>
  <si>
    <t>ЗОС, разрешение на ввод</t>
  </si>
  <si>
    <t>9.1.1 Организует закупочные процедуры по подбору технического заказчика: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Заказчиком.</t>
  </si>
  <si>
    <t>9.1.2 Выполняет договорную работу по привлечению технического заказчика: согласовывает существенные условия, готовит проект договора, разрешает разногласия, заключает и регистрирует договор с техническим заказчиком, контролирует графики и оплаты, проверяет распределительные письма, контролирует исполнение и участвует в приёмке-сдаче услуг, проверяет УПД и первичные документы, регистрирует результаты, изменения и дополнения, закрывает договор, контролирует гарантийные обязательства, претензионную работу и урегулирует споры.</t>
  </si>
  <si>
    <r>
      <t xml:space="preserve">9.1.3 Организует и контролирует работу технического заказчика </t>
    </r>
    <r>
      <rPr>
        <sz val="8"/>
        <color rgb="FF0070C0"/>
        <rFont val="Arial (Основной текст)"/>
        <charset val="204"/>
      </rPr>
      <t>и работу всех других участников проекта</t>
    </r>
    <r>
      <rPr>
        <sz val="8"/>
        <rFont val="Arial (Основной текст)"/>
        <charset val="204"/>
      </rPr>
      <t>.</t>
    </r>
  </si>
  <si>
    <t>9.1.a Протокол о результатах отбора технического заказчика</t>
  </si>
  <si>
    <r>
      <t xml:space="preserve">9.1.b Договор с техническим заказчиком </t>
    </r>
    <r>
      <rPr>
        <b/>
        <sz val="8"/>
        <color rgb="FF0070C0"/>
        <rFont val="Arial"/>
        <family val="2"/>
        <charset val="204"/>
      </rPr>
      <t>исполнен в полном объеме</t>
    </r>
  </si>
  <si>
    <r>
      <t xml:space="preserve">9.1.c </t>
    </r>
    <r>
      <rPr>
        <sz val="8"/>
        <color rgb="FF0070C0"/>
        <rFont val="Arial"/>
        <family val="2"/>
        <charset val="204"/>
      </rPr>
      <t>Выполнены все мероприятия в объеме, требуемом нормативными документами для обязательных функций Технического закзачика и достаточном  для дальнейшей эксплуатации объекта</t>
    </r>
  </si>
  <si>
    <t>1.1.b Юридическая модель реконструкции утверждена</t>
  </si>
  <si>
    <t>1.1.f Дорожная карта, матрицу ответственности, регламенты, сроки, бюджеты, риски и решения проекта утверждены Застройщиком</t>
  </si>
  <si>
    <r>
      <t>3.2.c</t>
    </r>
    <r>
      <rPr>
        <sz val="8"/>
        <color rgb="FFFF0000"/>
        <rFont val="Arial"/>
        <family val="2"/>
        <charset val="204"/>
      </rPr>
      <t xml:space="preserve"> Программа изыскательских работ, техническое задание,</t>
    </r>
    <r>
      <rPr>
        <sz val="8"/>
        <rFont val="Arial"/>
        <family val="2"/>
        <charset val="204"/>
      </rPr>
      <t xml:space="preserve"> заключения по изысканиям представлены и согласованы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</si>
  <si>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3.3.c </t>
    </r>
    <r>
      <rPr>
        <sz val="8"/>
        <color rgb="FFFF0000"/>
        <rFont val="Arial (Основной текст)"/>
        <charset val="204"/>
      </rPr>
      <t xml:space="preserve">Программа изыскательских работ, техническое задание, </t>
    </r>
    <r>
      <rPr>
        <sz val="8"/>
        <rFont val="Arial (Основной текст)"/>
        <charset val="204"/>
      </rPr>
      <t xml:space="preserve">заключения по изысканиям представлены и согласованы </t>
    </r>
    <r>
      <rPr>
        <b/>
        <sz val="8"/>
        <color rgb="FF0070C0"/>
        <rFont val="Arial (Основной текст)"/>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</si>
  <si>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3.5.c </t>
    </r>
    <r>
      <rPr>
        <sz val="8"/>
        <color rgb="FFFF0000"/>
        <rFont val="Arial"/>
        <family val="2"/>
        <charset val="204"/>
      </rPr>
      <t>Программа изыскательских работ, техническое задание,</t>
    </r>
    <r>
      <rPr>
        <sz val="8"/>
        <rFont val="Arial"/>
        <family val="2"/>
        <charset val="204"/>
      </rPr>
      <t xml:space="preserve"> заключения по изысканиям представлены и согласованы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</si>
  <si>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3.6.c Заключения по изысканиям представлены и согласованы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</si>
  <si>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r>
      <t xml:space="preserve">3.7.c </t>
    </r>
    <r>
      <rPr>
        <sz val="8"/>
        <color rgb="FFFF0000"/>
        <rFont val="Arial"/>
        <family val="2"/>
        <charset val="204"/>
      </rPr>
      <t>Программа изыскательских работ и техническое задание,</t>
    </r>
    <r>
      <rPr>
        <sz val="8"/>
        <rFont val="Arial"/>
        <family val="2"/>
        <charset val="204"/>
      </rPr>
      <t xml:space="preserve"> заключения по изысканиям представлены и согласованы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</si>
  <si>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4.1.b Заключение о соответствии ГПЗУ модели единого комплекса представлено</t>
  </si>
  <si>
    <t>4.1.c Протокол ГЗК получен</t>
  </si>
  <si>
    <r>
      <t xml:space="preserve">СТУ, расчет пожарных рисков, НТС </t>
    </r>
    <r>
      <rPr>
        <b/>
        <sz val="8"/>
        <color rgb="FFFF0000"/>
        <rFont val="Arial"/>
        <family val="2"/>
        <charset val="204"/>
      </rPr>
      <t>ГУ</t>
    </r>
    <r>
      <rPr>
        <b/>
        <sz val="8"/>
        <rFont val="Arial"/>
        <family val="2"/>
        <charset val="204"/>
      </rPr>
      <t xml:space="preserve"> ЧС, </t>
    </r>
    <r>
      <rPr>
        <b/>
        <sz val="8"/>
        <color rgb="FFFF0000"/>
        <rFont val="Arial"/>
        <family val="2"/>
        <charset val="204"/>
      </rPr>
      <t>НТЗ</t>
    </r>
  </si>
  <si>
    <t xml:space="preserve">5.2.6 Сопровождает в НТС ГУ ЧС </t>
  </si>
  <si>
    <t>5.2.f Согласование в НТС ГУ ЧС получено</t>
  </si>
  <si>
    <t>5.2.3 Организует подготовку и утверждение СТУ.</t>
  </si>
  <si>
    <t>5.2.4 Организует согласование материалов с уполномоченными органами, архитектурное рассмотрение, экспертизы и профильные согласования.</t>
  </si>
  <si>
    <r>
      <t xml:space="preserve">5.2.5 Сопровождает подготовку научно-технического заключения и координирует </t>
    </r>
    <r>
      <rPr>
        <b/>
        <sz val="8"/>
        <color rgb="FF0070C0"/>
        <rFont val="Arial"/>
        <family val="2"/>
        <charset val="204"/>
      </rPr>
      <t>все необходимые согласования</t>
    </r>
  </si>
  <si>
    <t>5.2.c СТУ подготовлены и утверждены</t>
  </si>
  <si>
    <t>5.2.d Согласования с уполномоченными органами получены</t>
  </si>
  <si>
    <t>5.2.e Научно-техническое заключение получено</t>
  </si>
  <si>
    <t>Сумма</t>
  </si>
  <si>
    <t>Среднее</t>
  </si>
  <si>
    <t>С нарастающим итогом</t>
  </si>
  <si>
    <t>Количество</t>
  </si>
  <si>
    <t>5.4.4 Организует согласование материалов с уполномоченными органами, архитектурное рассмотрение, экспертизы и профильные согласования.</t>
  </si>
  <si>
    <t>5.4.d Согласования с уполномоченными органами получены</t>
  </si>
  <si>
    <r>
      <t>5.4.f Согласование в УГИБДД, ЦОДД получено</t>
    </r>
    <r>
      <rPr>
        <b/>
        <sz val="8"/>
        <color rgb="FFFF0000"/>
        <rFont val="Arial"/>
        <family val="2"/>
        <charset val="204"/>
      </rPr>
      <t xml:space="preserve"> в объеме, требуемом всеми нормативными документами и достаточном для  дальнейшей реализации проекта</t>
    </r>
  </si>
  <si>
    <r>
      <t xml:space="preserve">5.1.d Замечания экспертизы устранены, положительное заключение получено </t>
    </r>
    <r>
      <rPr>
        <b/>
        <sz val="8"/>
        <color rgb="FF0070C0"/>
        <rFont val="Arial"/>
        <family val="2"/>
        <charset val="204"/>
      </rPr>
      <t>в объеме, требуемом всеми нормативными документами и достаточном для получения положительного заключения экспертизы и дальнейшей реализации проекта</t>
    </r>
  </si>
  <si>
    <t>6.3.a Пакет документов строительного надзора представлен, итоговая проверка Мосгосстройнадзора успешно пройдена</t>
  </si>
  <si>
    <t>Программа проверок Мосгосстройнадзора</t>
  </si>
  <si>
    <t>7.1.c Проверенная РД, соответствующая ПД, экспертизе и бюджету</t>
  </si>
  <si>
    <r>
      <t xml:space="preserve">7.1.3 </t>
    </r>
    <r>
      <rPr>
        <b/>
        <sz val="8"/>
        <color rgb="FF0070C0"/>
        <rFont val="Arial (Основной текст)"/>
        <charset val="204"/>
      </rPr>
      <t xml:space="preserve">Организует проверку Техническим заказчиком </t>
    </r>
    <r>
      <rPr>
        <sz val="8"/>
        <rFont val="Arial (Основной текст)"/>
        <charset val="204"/>
      </rPr>
      <t xml:space="preserve"> РД на соответствие ПД, экспертизе и бюджету.</t>
    </r>
  </si>
  <si>
    <t>8.1.a Заключение о соответствии (ЗОС) получено</t>
  </si>
  <si>
    <t>8.1.b Разрешение на ввод объекта получено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</si>
</sst>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dd\.mm\.yyyy"/>
    <numFmt numFmtId="166" formatCode="_-* #,##0.00\ [$₽-419]_-;\-* #,##0.00\ [$₽-419]_-;_-* &quot;-&quot;??\ [$₽-419]_-;_-@_-"/>
    <numFmt numFmtId="167" formatCode="#,##0.00\ &quot;₽&quot;"/>
    <numFmt numFmtId="168" formatCode="_-* #,##0\ _₽_-;\-* #,##0\ _₽_-;_-* &quot;-&quot;??\ _₽_-;_-@_-"/>
    <numFmt numFmtId="169" formatCode="_-* #\.##0.00\ &quot;₽&quot;_-;\-* #\.##0.00\ &quot;₽&quot;_-;_-* \-??\ &quot;₽&quot;_-;_-@_-"/>
    <numFmt numFmtId="170" formatCode="_-* #,##0.00&quot;р.&quot;_-;\-* #,##0.00&quot;р.&quot;_-;_-* &quot;-&quot;??&quot;р.&quot;_-;_-@_-"/>
  </numFmts>
  <fonts count="29">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sz val="8"/>
      <name val="Arial"/>
      <family val="2"/>
      <charset val="204"/>
    </font>
    <font>
      <sz val="8"/>
      <name val="Arial"/>
      <charset val="204"/>
    </font>
    <font>
      <b/>
      <sz val="8"/>
      <name val="Arial"/>
      <charset val="204"/>
    </font>
    <font>
      <b/>
      <sz val="10"/>
      <name val="Arial"/>
      <charset val="204"/>
    </font>
    <font>
      <sz val="9"/>
      <color theme="0"/>
      <name val="Arial"/>
      <family val="2"/>
      <charset val="204"/>
    </font>
    <font>
      <b/>
      <sz val="9"/>
      <color theme="0"/>
      <name val="Arial"/>
      <family val="2"/>
      <charset val="204"/>
    </font>
    <font>
      <b/>
      <sz val="9"/>
      <name val="Arial"/>
      <family val="2"/>
      <charset val="204"/>
    </font>
    <font>
      <b/>
      <sz val="9"/>
      <name val="Arial (Основной текст)"/>
      <charset val="204"/>
    </font>
    <font>
      <sz val="8"/>
      <color rgb="FFFF0000"/>
      <name val="Arial"/>
      <family val="2"/>
      <charset val="204"/>
    </font>
    <font>
      <b/>
      <sz val="8"/>
      <color rgb="FFFF0000"/>
      <name val="Arial"/>
      <family val="2"/>
      <charset val="204"/>
    </font>
    <font>
      <b/>
      <sz val="8"/>
      <color rgb="FF0070C0"/>
      <name val="Arial"/>
      <family val="2"/>
      <charset val="204"/>
    </font>
    <font>
      <sz val="8"/>
      <color rgb="FF0070C0"/>
      <name val="Arial (Основной текст)"/>
      <charset val="204"/>
    </font>
    <font>
      <b/>
      <sz val="8"/>
      <color rgb="FF0070C0"/>
      <name val="Arial (Основной текст)"/>
      <charset val="204"/>
    </font>
    <font>
      <sz val="8"/>
      <color rgb="FF0070C0"/>
      <name val="Arial"/>
      <family val="2"/>
      <charset val="204"/>
    </font>
    <font>
      <sz val="8"/>
      <color rgb="FFFF0000"/>
      <name val="Arial (Основной текст)"/>
      <charset val="204"/>
    </font>
  </fonts>
  <fills count="9">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indexed="9"/>
        <bgColor indexed="64"/>
      </patternFill>
    </fill>
    <fill>
      <patternFill patternType="solid">
        <fgColor theme="8" tint="0.79998168889431442"/>
        <bgColor indexed="64"/>
      </patternFill>
    </fill>
    <fill>
      <patternFill patternType="solid">
        <fgColor theme="8"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top/>
      <bottom/>
      <diagonal/>
    </border>
    <border>
      <left/>
      <right style="thin">
        <color auto="1"/>
      </right>
      <top style="thin">
        <color indexed="64"/>
      </top>
      <bottom/>
      <diagonal/>
    </border>
  </borders>
  <cellStyleXfs count="11">
    <xf numFmtId="0" fontId="0" fillId="0" borderId="0"/>
    <xf numFmtId="169" fontId="8" fillId="0" borderId="0">
      <alignment vertical="center"/>
    </xf>
    <xf numFmtId="0" fontId="9" fillId="0" borderId="0">
      <alignment vertical="top"/>
    </xf>
    <xf numFmtId="0" fontId="1" fillId="0" borderId="0"/>
    <xf numFmtId="0" fontId="10" fillId="0" borderId="0"/>
    <xf numFmtId="170" fontId="11" fillId="0" borderId="0"/>
    <xf numFmtId="0" fontId="11" fillId="0" borderId="0"/>
    <xf numFmtId="0" fontId="12" fillId="0" borderId="0"/>
    <xf numFmtId="0" fontId="13" fillId="0" borderId="0"/>
    <xf numFmtId="9" fontId="11" fillId="0" borderId="0"/>
    <xf numFmtId="43" fontId="11" fillId="0" borderId="0"/>
  </cellStyleXfs>
  <cellXfs count="117">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4" fontId="5" fillId="0" borderId="1" xfId="0" applyNumberFormat="1" applyFont="1" applyBorder="1" applyAlignment="1">
      <alignment horizontal="center" vertical="center" wrapText="1"/>
    </xf>
    <xf numFmtId="0" fontId="6" fillId="0" borderId="1" xfId="6" applyFont="1" applyBorder="1" applyAlignment="1">
      <alignment horizontal="left" vertical="center" wrapText="1"/>
    </xf>
    <xf numFmtId="0" fontId="14" fillId="0" borderId="1" xfId="0" applyFont="1" applyBorder="1" applyAlignment="1">
      <alignment horizontal="left" vertical="center" wrapText="1"/>
    </xf>
    <xf numFmtId="0" fontId="2" fillId="3" borderId="1" xfId="6" applyFont="1" applyFill="1" applyBorder="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6" fontId="2" fillId="3" borderId="1" xfId="1" applyNumberFormat="1" applyFont="1" applyFill="1" applyBorder="1" applyAlignment="1">
      <alignment horizontal="center" vertical="center"/>
    </xf>
    <xf numFmtId="165" fontId="2" fillId="4" borderId="1" xfId="0" applyNumberFormat="1" applyFont="1" applyFill="1" applyBorder="1" applyAlignment="1">
      <alignment horizontal="center" vertical="center" wrapText="1"/>
    </xf>
    <xf numFmtId="166" fontId="2" fillId="4" borderId="1" xfId="1" applyNumberFormat="1" applyFont="1" applyFill="1" applyBorder="1" applyAlignment="1">
      <alignment horizontal="center" vertical="center"/>
    </xf>
    <xf numFmtId="166" fontId="2" fillId="0" borderId="1" xfId="1" applyNumberFormat="1" applyFont="1" applyBorder="1" applyAlignment="1">
      <alignment horizontal="center" vertical="center"/>
    </xf>
    <xf numFmtId="166" fontId="4" fillId="0" borderId="1" xfId="1" applyNumberFormat="1" applyFont="1" applyBorder="1" applyAlignment="1">
      <alignment horizontal="center" vertical="center"/>
    </xf>
    <xf numFmtId="166" fontId="5" fillId="0" borderId="1" xfId="1" applyNumberFormat="1" applyFont="1" applyBorder="1" applyAlignment="1">
      <alignment horizontal="center" vertical="center"/>
    </xf>
    <xf numFmtId="166" fontId="1" fillId="0" borderId="0" xfId="6" applyNumberFormat="1" applyFont="1"/>
    <xf numFmtId="0" fontId="5" fillId="0" borderId="1" xfId="0" applyFont="1" applyBorder="1" applyAlignment="1">
      <alignment horizontal="left" vertical="center" wrapText="1"/>
    </xf>
    <xf numFmtId="167" fontId="5" fillId="0" borderId="1" xfId="8" applyNumberFormat="1" applyFont="1" applyBorder="1" applyAlignment="1">
      <alignment horizontal="left" vertical="center" wrapText="1"/>
    </xf>
    <xf numFmtId="166" fontId="1" fillId="0" borderId="1" xfId="1" applyNumberFormat="1" applyFont="1" applyBorder="1" applyAlignment="1">
      <alignment horizontal="center" vertical="center"/>
    </xf>
    <xf numFmtId="0" fontId="6" fillId="6" borderId="1" xfId="6" applyFont="1" applyFill="1" applyBorder="1" applyAlignment="1">
      <alignment vertical="center" wrapText="1"/>
    </xf>
    <xf numFmtId="0" fontId="15" fillId="6" borderId="1" xfId="6" applyFont="1" applyFill="1" applyBorder="1" applyAlignment="1">
      <alignment horizontal="left" vertical="center" wrapText="1"/>
    </xf>
    <xf numFmtId="0" fontId="7" fillId="6" borderId="1" xfId="6" applyFont="1" applyFill="1" applyBorder="1" applyAlignment="1">
      <alignment vertical="center" wrapText="1"/>
    </xf>
    <xf numFmtId="165" fontId="16" fillId="6" borderId="1" xfId="6" applyNumberFormat="1" applyFont="1" applyFill="1" applyBorder="1" applyAlignment="1">
      <alignment vertical="center" wrapText="1"/>
    </xf>
    <xf numFmtId="0" fontId="5" fillId="0" borderId="7" xfId="8" applyFont="1" applyBorder="1" applyAlignment="1">
      <alignment vertical="center" wrapText="1"/>
    </xf>
    <xf numFmtId="0" fontId="6" fillId="0" borderId="5" xfId="6" applyFont="1" applyBorder="1" applyAlignment="1">
      <alignment horizontal="left" vertical="center" wrapText="1"/>
    </xf>
    <xf numFmtId="167" fontId="5" fillId="0" borderId="5" xfId="8" applyNumberFormat="1" applyFont="1" applyBorder="1" applyAlignment="1">
      <alignment horizontal="left" vertical="center" wrapText="1"/>
    </xf>
    <xf numFmtId="14" fontId="5" fillId="0" borderId="7" xfId="8" applyNumberFormat="1" applyFont="1" applyBorder="1" applyAlignment="1">
      <alignment vertical="center" wrapText="1"/>
    </xf>
    <xf numFmtId="0" fontId="5" fillId="0" borderId="5" xfId="0" applyFont="1" applyBorder="1" applyAlignment="1">
      <alignment horizontal="left" vertical="center" wrapText="1"/>
    </xf>
    <xf numFmtId="168" fontId="15" fillId="6" borderId="1" xfId="10" applyNumberFormat="1" applyFont="1" applyFill="1" applyBorder="1" applyAlignment="1">
      <alignment vertical="center" wrapText="1"/>
    </xf>
    <xf numFmtId="0" fontId="0" fillId="0" borderId="5" xfId="0" applyBorder="1"/>
    <xf numFmtId="0" fontId="5" fillId="0" borderId="8" xfId="8" applyFont="1" applyBorder="1" applyAlignment="1">
      <alignment vertical="center" wrapText="1"/>
    </xf>
    <xf numFmtId="167" fontId="6" fillId="0" borderId="5" xfId="8" applyNumberFormat="1" applyFont="1" applyBorder="1" applyAlignment="1">
      <alignment horizontal="left" vertical="center" wrapText="1"/>
    </xf>
    <xf numFmtId="0" fontId="5" fillId="0" borderId="7" xfId="8" applyFont="1" applyBorder="1" applyAlignment="1">
      <alignment horizontal="center" vertical="center" wrapText="1"/>
    </xf>
    <xf numFmtId="0" fontId="5" fillId="0" borderId="3" xfId="8" applyFont="1" applyBorder="1" applyAlignment="1">
      <alignment horizontal="left" vertical="center" wrapText="1"/>
    </xf>
    <xf numFmtId="0" fontId="0" fillId="0" borderId="11" xfId="0" applyBorder="1"/>
    <xf numFmtId="0" fontId="0" fillId="0" borderId="10" xfId="0" applyBorder="1"/>
    <xf numFmtId="0" fontId="0" fillId="0" borderId="2" xfId="0" applyBorder="1"/>
    <xf numFmtId="0" fontId="0" fillId="0" borderId="3" xfId="0" applyBorder="1"/>
    <xf numFmtId="0" fontId="0" fillId="0" borderId="4" xfId="0" applyBorder="1"/>
    <xf numFmtId="0" fontId="0" fillId="0" borderId="11" xfId="0" applyBorder="1" applyAlignment="1"/>
    <xf numFmtId="0" fontId="0" fillId="0" borderId="10" xfId="0" applyBorder="1" applyAlignment="1"/>
    <xf numFmtId="0" fontId="0" fillId="0" borderId="2" xfId="0" applyBorder="1" applyAlignment="1"/>
    <xf numFmtId="0" fontId="5" fillId="0" borderId="10" xfId="8" applyFont="1" applyBorder="1" applyAlignment="1">
      <alignment vertical="center" wrapText="1"/>
    </xf>
    <xf numFmtId="0" fontId="2" fillId="4" borderId="5" xfId="6" applyFont="1" applyFill="1" applyBorder="1" applyAlignment="1">
      <alignment horizontal="left" vertical="center" wrapText="1"/>
    </xf>
    <xf numFmtId="0" fontId="5" fillId="0" borderId="7" xfId="8" applyFont="1" applyBorder="1" applyAlignment="1">
      <alignment horizontal="left" vertical="center" wrapText="1"/>
    </xf>
    <xf numFmtId="0" fontId="1" fillId="0" borderId="4" xfId="6" applyFont="1" applyBorder="1" applyAlignment="1">
      <alignment horizontal="center" vertical="center"/>
    </xf>
    <xf numFmtId="0" fontId="2" fillId="0" borderId="11" xfId="6" applyFont="1" applyBorder="1" applyAlignment="1">
      <alignment horizontal="left" vertical="center" wrapText="1"/>
    </xf>
    <xf numFmtId="0" fontId="5" fillId="0" borderId="10" xfId="8" applyFont="1" applyBorder="1" applyAlignment="1">
      <alignment horizontal="left" vertical="center" wrapText="1"/>
    </xf>
    <xf numFmtId="0" fontId="5" fillId="0" borderId="5" xfId="6" applyFont="1" applyFill="1" applyBorder="1" applyAlignment="1">
      <alignment horizontal="left" vertical="center" wrapText="1"/>
    </xf>
    <xf numFmtId="0" fontId="6" fillId="0" borderId="5" xfId="6" applyFont="1" applyFill="1" applyBorder="1" applyAlignment="1">
      <alignment horizontal="left" vertical="center" wrapText="1"/>
    </xf>
    <xf numFmtId="167" fontId="6" fillId="0" borderId="5" xfId="8" applyNumberFormat="1" applyFont="1" applyFill="1" applyBorder="1" applyAlignment="1">
      <alignment horizontal="left" vertical="center" wrapText="1"/>
    </xf>
    <xf numFmtId="0" fontId="6" fillId="0" borderId="5" xfId="0" applyFont="1" applyFill="1" applyBorder="1" applyAlignment="1">
      <alignment horizontal="left" vertical="center" wrapText="1"/>
    </xf>
    <xf numFmtId="167" fontId="5" fillId="0" borderId="5" xfId="8" applyNumberFormat="1" applyFont="1" applyFill="1" applyBorder="1" applyAlignment="1">
      <alignment horizontal="left" vertical="center" wrapText="1"/>
    </xf>
    <xf numFmtId="14" fontId="5" fillId="0" borderId="9" xfId="0" applyNumberFormat="1" applyFont="1" applyBorder="1" applyAlignment="1">
      <alignment horizontal="center" vertical="center" wrapText="1"/>
    </xf>
    <xf numFmtId="1" fontId="5" fillId="0" borderId="1" xfId="0" applyNumberFormat="1" applyFont="1" applyBorder="1" applyAlignment="1">
      <alignment horizontal="center" vertical="center" wrapText="1"/>
    </xf>
    <xf numFmtId="1" fontId="5" fillId="0" borderId="9" xfId="0" applyNumberFormat="1" applyFont="1" applyBorder="1" applyAlignment="1">
      <alignment horizontal="center" vertical="center" wrapText="1"/>
    </xf>
    <xf numFmtId="167" fontId="2" fillId="5" borderId="1" xfId="8" applyNumberFormat="1"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66" fontId="4" fillId="5" borderId="1" xfId="1" applyNumberFormat="1" applyFont="1" applyFill="1" applyBorder="1" applyAlignment="1">
      <alignment horizontal="center" vertical="center"/>
    </xf>
    <xf numFmtId="0" fontId="7" fillId="5" borderId="1" xfId="6" applyFont="1" applyFill="1" applyBorder="1" applyAlignment="1">
      <alignment horizontal="left" vertical="center" wrapText="1"/>
    </xf>
    <xf numFmtId="0" fontId="2" fillId="3" borderId="1" xfId="8" applyFont="1" applyFill="1" applyBorder="1" applyAlignment="1">
      <alignment horizontal="center" vertical="center" wrapText="1"/>
    </xf>
    <xf numFmtId="0" fontId="2" fillId="4" borderId="1" xfId="8" applyFont="1" applyFill="1" applyBorder="1" applyAlignment="1">
      <alignment horizontal="center" vertical="center" wrapText="1"/>
    </xf>
    <xf numFmtId="0" fontId="17" fillId="7" borderId="1" xfId="6" applyFont="1" applyFill="1" applyBorder="1" applyAlignment="1">
      <alignment horizontal="center" vertical="center" wrapText="1"/>
    </xf>
    <xf numFmtId="0" fontId="5" fillId="0" borderId="11" xfId="0" applyFont="1" applyBorder="1" applyAlignment="1">
      <alignment horizontal="left" vertical="center" wrapText="1"/>
    </xf>
    <xf numFmtId="0" fontId="5" fillId="0" borderId="9" xfId="0" applyFont="1" applyBorder="1" applyAlignment="1">
      <alignment horizontal="left" vertical="center" wrapText="1"/>
    </xf>
    <xf numFmtId="166" fontId="1" fillId="0" borderId="9" xfId="1" applyNumberFormat="1" applyFont="1" applyBorder="1" applyAlignment="1">
      <alignment horizontal="center" vertical="center"/>
    </xf>
    <xf numFmtId="0" fontId="2" fillId="5" borderId="1" xfId="8" quotePrefix="1" applyFont="1" applyFill="1" applyBorder="1" applyAlignment="1">
      <alignment horizontal="center" vertical="center" wrapText="1"/>
    </xf>
    <xf numFmtId="49" fontId="18" fillId="8" borderId="6" xfId="8" applyNumberFormat="1" applyFont="1" applyFill="1" applyBorder="1" applyAlignment="1">
      <alignment horizontal="center" vertical="center" wrapText="1"/>
    </xf>
    <xf numFmtId="0" fontId="19" fillId="8" borderId="6" xfId="6" applyFont="1" applyFill="1" applyBorder="1" applyAlignment="1">
      <alignment horizontal="left" vertical="center" wrapText="1"/>
    </xf>
    <xf numFmtId="167" fontId="18" fillId="8" borderId="1" xfId="8" applyNumberFormat="1" applyFont="1" applyFill="1" applyBorder="1" applyAlignment="1">
      <alignment horizontal="left" vertical="center" wrapText="1"/>
    </xf>
    <xf numFmtId="0" fontId="19" fillId="8" borderId="1" xfId="0" applyFont="1" applyFill="1" applyBorder="1" applyAlignment="1">
      <alignment horizontal="left" vertical="center" wrapText="1"/>
    </xf>
    <xf numFmtId="14" fontId="19" fillId="8" borderId="1" xfId="0" applyNumberFormat="1" applyFont="1" applyFill="1" applyBorder="1" applyAlignment="1">
      <alignment horizontal="center" vertical="center" wrapText="1"/>
    </xf>
    <xf numFmtId="1" fontId="19" fillId="8" borderId="1" xfId="0" applyNumberFormat="1" applyFont="1" applyFill="1" applyBorder="1" applyAlignment="1">
      <alignment horizontal="center" vertical="center" wrapText="1"/>
    </xf>
    <xf numFmtId="166" fontId="18" fillId="8" borderId="1" xfId="1" applyNumberFormat="1" applyFont="1" applyFill="1" applyBorder="1" applyAlignment="1">
      <alignment horizontal="center" vertical="center"/>
    </xf>
    <xf numFmtId="49" fontId="18" fillId="8" borderId="1" xfId="6" applyNumberFormat="1" applyFont="1" applyFill="1" applyBorder="1" applyAlignment="1">
      <alignment horizontal="center" vertical="center" wrapText="1"/>
    </xf>
    <xf numFmtId="0" fontId="19" fillId="8" borderId="1" xfId="6" applyFont="1" applyFill="1" applyBorder="1" applyAlignment="1">
      <alignment horizontal="left" vertical="center" wrapText="1"/>
    </xf>
    <xf numFmtId="166" fontId="18" fillId="8" borderId="1" xfId="1" applyNumberFormat="1" applyFont="1" applyFill="1" applyBorder="1">
      <alignment vertical="center"/>
    </xf>
    <xf numFmtId="1" fontId="20" fillId="0" borderId="1" xfId="8" applyNumberFormat="1" applyFont="1" applyBorder="1" applyAlignment="1">
      <alignment horizontal="center" vertical="center" wrapText="1"/>
    </xf>
    <xf numFmtId="164" fontId="21" fillId="2" borderId="1" xfId="8" applyNumberFormat="1" applyFont="1" applyFill="1" applyBorder="1" applyAlignment="1">
      <alignment horizontal="center" vertical="center" wrapText="1"/>
    </xf>
    <xf numFmtId="4" fontId="20" fillId="2" borderId="1" xfId="8"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5" fillId="6" borderId="1" xfId="6" applyFont="1" applyFill="1" applyBorder="1" applyAlignment="1">
      <alignment horizontal="left" vertical="center" wrapText="1"/>
    </xf>
    <xf numFmtId="167" fontId="28" fillId="0" borderId="5" xfId="8" applyNumberFormat="1" applyFont="1" applyFill="1" applyBorder="1" applyAlignment="1">
      <alignment horizontal="left" vertical="center" wrapText="1"/>
    </xf>
    <xf numFmtId="0" fontId="22" fillId="0" borderId="1" xfId="0" applyFont="1" applyBorder="1" applyAlignment="1">
      <alignment horizontal="left" vertical="center" wrapText="1"/>
    </xf>
    <xf numFmtId="167" fontId="22" fillId="0" borderId="5" xfId="8" applyNumberFormat="1" applyFont="1" applyFill="1" applyBorder="1" applyAlignment="1">
      <alignment horizontal="left" vertical="center" wrapText="1"/>
    </xf>
    <xf numFmtId="14" fontId="22" fillId="0" borderId="1" xfId="0" applyNumberFormat="1" applyFont="1" applyBorder="1" applyAlignment="1">
      <alignment horizontal="center" vertical="center" wrapText="1"/>
    </xf>
    <xf numFmtId="1" fontId="22" fillId="0" borderId="1" xfId="0" applyNumberFormat="1" applyFont="1" applyBorder="1" applyAlignment="1">
      <alignment horizontal="center" vertical="center" wrapText="1"/>
    </xf>
    <xf numFmtId="0" fontId="27" fillId="0" borderId="1" xfId="0" applyFont="1" applyBorder="1" applyAlignment="1">
      <alignment horizontal="left" vertical="center" wrapText="1"/>
    </xf>
    <xf numFmtId="167" fontId="25" fillId="0" borderId="5" xfId="8" applyNumberFormat="1" applyFont="1" applyFill="1" applyBorder="1" applyAlignment="1">
      <alignment horizontal="left" vertical="center" wrapText="1"/>
    </xf>
    <xf numFmtId="16" fontId="2" fillId="4" borderId="1" xfId="8" quotePrefix="1" applyNumberFormat="1" applyFont="1" applyFill="1" applyBorder="1" applyAlignment="1">
      <alignment horizontal="center" vertical="center" wrapText="1"/>
    </xf>
    <xf numFmtId="167" fontId="2" fillId="5" borderId="1" xfId="8" applyNumberFormat="1" applyFont="1" applyFill="1" applyBorder="1" applyAlignment="1">
      <alignment horizontal="center" vertical="center" wrapText="1"/>
    </xf>
    <xf numFmtId="0" fontId="2" fillId="4" borderId="1" xfId="8" quotePrefix="1" applyFont="1" applyFill="1" applyBorder="1" applyAlignment="1">
      <alignment horizontal="center" vertical="center" wrapText="1"/>
    </xf>
    <xf numFmtId="167" fontId="2" fillId="5" borderId="1" xfId="8" quotePrefix="1" applyNumberFormat="1" applyFont="1" applyFill="1" applyBorder="1" applyAlignment="1">
      <alignment horizontal="center" vertical="center" wrapText="1"/>
    </xf>
    <xf numFmtId="0" fontId="28" fillId="0" borderId="5" xfId="0" applyFont="1" applyFill="1" applyBorder="1" applyAlignment="1">
      <alignment horizontal="left" vertical="center" wrapText="1"/>
    </xf>
    <xf numFmtId="16" fontId="2" fillId="4" borderId="9" xfId="8" quotePrefix="1" applyNumberFormat="1" applyFont="1" applyFill="1" applyBorder="1" applyAlignment="1">
      <alignment horizontal="center" vertical="center" wrapText="1"/>
    </xf>
    <xf numFmtId="0" fontId="2" fillId="4" borderId="9" xfId="6" applyFont="1" applyFill="1" applyBorder="1" applyAlignment="1">
      <alignment horizontal="left" vertical="center" wrapText="1"/>
    </xf>
    <xf numFmtId="167" fontId="2" fillId="5" borderId="6" xfId="8" quotePrefix="1" applyNumberFormat="1" applyFont="1" applyFill="1" applyBorder="1" applyAlignment="1">
      <alignment horizontal="center" vertical="center" wrapText="1"/>
    </xf>
    <xf numFmtId="0" fontId="7" fillId="5" borderId="6" xfId="6" applyFont="1" applyFill="1" applyBorder="1" applyAlignment="1">
      <alignment horizontal="left" vertical="center" wrapText="1"/>
    </xf>
    <xf numFmtId="0" fontId="2" fillId="4" borderId="9" xfId="8" quotePrefix="1" applyFont="1" applyFill="1" applyBorder="1" applyAlignment="1">
      <alignment horizontal="center" vertical="center" wrapText="1"/>
    </xf>
    <xf numFmtId="0" fontId="2" fillId="4" borderId="6" xfId="8" quotePrefix="1" applyFont="1" applyFill="1" applyBorder="1" applyAlignment="1">
      <alignment horizontal="center" vertical="center" wrapText="1"/>
    </xf>
    <xf numFmtId="0" fontId="2" fillId="4" borderId="6" xfId="6" applyFont="1" applyFill="1" applyBorder="1" applyAlignment="1">
      <alignment horizontal="left" vertical="center" wrapText="1"/>
    </xf>
    <xf numFmtId="0" fontId="5" fillId="0" borderId="1" xfId="0" applyFont="1" applyFill="1" applyBorder="1" applyAlignment="1">
      <alignment horizontal="left" vertical="center" wrapText="1"/>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222"/>
  <sheetViews>
    <sheetView showGridLines="0" tabSelected="1" topLeftCell="A47" zoomScale="61" zoomScaleNormal="110" workbookViewId="0">
      <selection activeCell="D183" sqref="D183"/>
    </sheetView>
  </sheetViews>
  <sheetFormatPr defaultColWidth="9.19921875" defaultRowHeight="13.2"/>
  <cols>
    <col min="1" max="1" width="5.69921875" style="7" customWidth="1"/>
    <col min="2" max="2" width="50.59765625" style="8" customWidth="1"/>
    <col min="3" max="3" width="50.59765625" style="1" customWidth="1"/>
    <col min="4" max="4" width="50.59765625" style="9" customWidth="1"/>
    <col min="5" max="8" width="15.69921875" style="9" customWidth="1"/>
    <col min="9" max="12" width="9.19921875" style="9" customWidth="1"/>
    <col min="13" max="16384" width="9.19921875" style="9"/>
  </cols>
  <sheetData>
    <row r="2" spans="1:8">
      <c r="B2" s="33" t="s">
        <v>0</v>
      </c>
      <c r="C2" s="34"/>
    </row>
    <row r="3" spans="1:8">
      <c r="B3" s="33" t="s">
        <v>1</v>
      </c>
      <c r="C3" s="34" t="s">
        <v>2</v>
      </c>
    </row>
    <row r="4" spans="1:8">
      <c r="B4" s="33" t="s">
        <v>3</v>
      </c>
      <c r="C4" s="34" t="s">
        <v>4</v>
      </c>
    </row>
    <row r="5" spans="1:8">
      <c r="B5" s="33" t="s">
        <v>87</v>
      </c>
      <c r="C5" s="42">
        <v>21600</v>
      </c>
    </row>
    <row r="6" spans="1:8">
      <c r="B6" s="35" t="s">
        <v>5</v>
      </c>
      <c r="C6" s="36"/>
    </row>
    <row r="7" spans="1:8">
      <c r="B7" s="33" t="s">
        <v>6</v>
      </c>
      <c r="C7" s="77"/>
    </row>
    <row r="8" spans="1:8">
      <c r="B8" s="33" t="s">
        <v>7</v>
      </c>
      <c r="C8" s="77"/>
    </row>
    <row r="9" spans="1:8">
      <c r="B9" s="33" t="s">
        <v>8</v>
      </c>
      <c r="C9" s="77"/>
    </row>
    <row r="10" spans="1:8">
      <c r="B10" s="33" t="s">
        <v>9</v>
      </c>
      <c r="C10" s="77"/>
    </row>
    <row r="11" spans="1:8">
      <c r="B11" s="33" t="s">
        <v>10</v>
      </c>
      <c r="C11" s="77"/>
    </row>
    <row r="12" spans="1:8">
      <c r="B12" s="33" t="s">
        <v>11</v>
      </c>
      <c r="C12" s="77"/>
    </row>
    <row r="13" spans="1:8">
      <c r="B13" s="33" t="s">
        <v>12</v>
      </c>
      <c r="C13" s="96" t="s">
        <v>13</v>
      </c>
    </row>
    <row r="14" spans="1:8">
      <c r="A14" s="10"/>
    </row>
    <row r="15" spans="1:8" s="1" customFormat="1" ht="36">
      <c r="A15" s="92" t="s">
        <v>14</v>
      </c>
      <c r="B15" s="93" t="s">
        <v>15</v>
      </c>
      <c r="C15" s="94" t="s">
        <v>16</v>
      </c>
      <c r="D15" s="95" t="s">
        <v>17</v>
      </c>
      <c r="E15" s="95" t="s">
        <v>18</v>
      </c>
      <c r="F15" s="95" t="s">
        <v>19</v>
      </c>
      <c r="G15" s="95" t="s">
        <v>20</v>
      </c>
      <c r="H15" s="95" t="s">
        <v>88</v>
      </c>
    </row>
    <row r="16" spans="1:8" s="1" customFormat="1">
      <c r="A16" s="92">
        <v>1</v>
      </c>
      <c r="B16" s="92">
        <f t="shared" ref="B16:H16" si="0">+A16+1</f>
        <v>2</v>
      </c>
      <c r="C16" s="92">
        <f t="shared" si="0"/>
        <v>3</v>
      </c>
      <c r="D16" s="92">
        <f t="shared" si="0"/>
        <v>4</v>
      </c>
      <c r="E16" s="92">
        <f t="shared" si="0"/>
        <v>5</v>
      </c>
      <c r="F16" s="92">
        <f t="shared" si="0"/>
        <v>6</v>
      </c>
      <c r="G16" s="92">
        <f t="shared" si="0"/>
        <v>7</v>
      </c>
      <c r="H16" s="92">
        <f t="shared" si="0"/>
        <v>8</v>
      </c>
    </row>
    <row r="17" spans="1:8" s="2" customFormat="1" ht="30" customHeight="1">
      <c r="A17" s="75">
        <v>1</v>
      </c>
      <c r="B17" s="14" t="s">
        <v>171</v>
      </c>
      <c r="C17" s="14"/>
      <c r="D17" s="15"/>
      <c r="E17" s="16">
        <v>46204</v>
      </c>
      <c r="F17" s="22">
        <v>46356</v>
      </c>
      <c r="G17" s="17">
        <f>+F17-E17+1</f>
        <v>153</v>
      </c>
      <c r="H17" s="23"/>
    </row>
    <row r="18" spans="1:8" s="2" customFormat="1" ht="30" customHeight="1">
      <c r="A18" s="76" t="s">
        <v>21</v>
      </c>
      <c r="B18" s="18" t="s">
        <v>22</v>
      </c>
      <c r="C18" s="18"/>
      <c r="D18" s="19"/>
      <c r="E18" s="20"/>
      <c r="F18" s="24"/>
      <c r="G18" s="21"/>
      <c r="H18" s="25"/>
    </row>
    <row r="19" spans="1:8" s="2" customFormat="1" ht="20.399999999999999">
      <c r="A19" s="37"/>
      <c r="B19" s="48"/>
      <c r="C19" s="62" t="s">
        <v>23</v>
      </c>
      <c r="D19" s="30" t="s">
        <v>101</v>
      </c>
      <c r="E19" s="11">
        <v>46204</v>
      </c>
      <c r="F19" s="11">
        <v>46227</v>
      </c>
      <c r="G19" s="68">
        <f t="shared" ref="G19:G25" si="1">+F19-E19+1</f>
        <v>24</v>
      </c>
      <c r="H19" s="26"/>
    </row>
    <row r="20" spans="1:8" s="2" customFormat="1" ht="40.799999999999997">
      <c r="A20" s="49"/>
      <c r="B20" s="50"/>
      <c r="C20" s="62" t="s">
        <v>24</v>
      </c>
      <c r="D20" s="30" t="s">
        <v>341</v>
      </c>
      <c r="E20" s="11">
        <v>46204</v>
      </c>
      <c r="F20" s="11">
        <v>46272</v>
      </c>
      <c r="G20" s="68">
        <f t="shared" si="1"/>
        <v>69</v>
      </c>
      <c r="H20" s="26"/>
    </row>
    <row r="21" spans="1:8" s="2" customFormat="1" ht="40.799999999999997">
      <c r="A21" s="49"/>
      <c r="B21" s="50"/>
      <c r="C21" s="62" t="s">
        <v>107</v>
      </c>
      <c r="D21" s="30" t="s">
        <v>96</v>
      </c>
      <c r="E21" s="11">
        <v>46204</v>
      </c>
      <c r="F21" s="11">
        <v>46286</v>
      </c>
      <c r="G21" s="68">
        <f t="shared" si="1"/>
        <v>83</v>
      </c>
      <c r="H21" s="26"/>
    </row>
    <row r="22" spans="1:8" s="2" customFormat="1" ht="40.799999999999997">
      <c r="A22" s="49"/>
      <c r="B22" s="50"/>
      <c r="C22" s="62" t="s">
        <v>25</v>
      </c>
      <c r="D22" s="30" t="s">
        <v>97</v>
      </c>
      <c r="E22" s="11">
        <v>46204</v>
      </c>
      <c r="F22" s="11">
        <v>46272</v>
      </c>
      <c r="G22" s="68">
        <f t="shared" si="1"/>
        <v>69</v>
      </c>
      <c r="H22" s="26"/>
    </row>
    <row r="23" spans="1:8" s="2" customFormat="1" ht="20.399999999999999">
      <c r="A23" s="49"/>
      <c r="B23" s="50"/>
      <c r="C23" s="62" t="s">
        <v>108</v>
      </c>
      <c r="D23" s="30" t="s">
        <v>98</v>
      </c>
      <c r="E23" s="11">
        <v>46204</v>
      </c>
      <c r="F23" s="11">
        <v>46266</v>
      </c>
      <c r="G23" s="68">
        <f t="shared" si="1"/>
        <v>63</v>
      </c>
      <c r="H23" s="26"/>
    </row>
    <row r="24" spans="1:8" s="2" customFormat="1" ht="20.399999999999999">
      <c r="A24" s="49"/>
      <c r="B24" s="50"/>
      <c r="C24" s="62" t="s">
        <v>26</v>
      </c>
      <c r="D24" s="30" t="s">
        <v>342</v>
      </c>
      <c r="E24" s="11">
        <v>46231</v>
      </c>
      <c r="F24" s="11">
        <v>46341</v>
      </c>
      <c r="G24" s="68">
        <f t="shared" si="1"/>
        <v>111</v>
      </c>
      <c r="H24" s="26"/>
    </row>
    <row r="25" spans="1:8" s="2" customFormat="1" ht="30.6">
      <c r="A25" s="51"/>
      <c r="B25" s="52"/>
      <c r="C25" s="62" t="s">
        <v>27</v>
      </c>
      <c r="D25" s="30" t="s">
        <v>99</v>
      </c>
      <c r="E25" s="11">
        <v>46204</v>
      </c>
      <c r="F25" s="11">
        <v>46266</v>
      </c>
      <c r="G25" s="68">
        <f t="shared" si="1"/>
        <v>63</v>
      </c>
      <c r="H25" s="26"/>
    </row>
    <row r="26" spans="1:8" s="2" customFormat="1" ht="30" customHeight="1">
      <c r="A26" s="75">
        <v>2</v>
      </c>
      <c r="B26" s="14" t="s">
        <v>33</v>
      </c>
      <c r="C26" s="14"/>
      <c r="D26" s="15"/>
      <c r="E26" s="16">
        <v>46218</v>
      </c>
      <c r="F26" s="22">
        <v>46477</v>
      </c>
      <c r="G26" s="17">
        <f>+F26-E26+1</f>
        <v>260</v>
      </c>
      <c r="H26" s="23"/>
    </row>
    <row r="27" spans="1:8" s="2" customFormat="1" ht="30" customHeight="1">
      <c r="A27" s="106" t="s">
        <v>34</v>
      </c>
      <c r="B27" s="18" t="s">
        <v>100</v>
      </c>
      <c r="C27" s="18"/>
      <c r="D27" s="19"/>
      <c r="E27" s="20"/>
      <c r="F27" s="24"/>
      <c r="G27" s="21"/>
      <c r="H27" s="25"/>
    </row>
    <row r="28" spans="1:8" s="1" customFormat="1" ht="51">
      <c r="A28" s="40"/>
      <c r="B28" s="48"/>
      <c r="C28" s="64" t="s">
        <v>35</v>
      </c>
      <c r="D28" s="30" t="s">
        <v>93</v>
      </c>
      <c r="E28" s="11">
        <v>46218</v>
      </c>
      <c r="F28" s="11">
        <v>46241</v>
      </c>
      <c r="G28" s="68">
        <f t="shared" ref="G28:G30" si="2">+F28-E28+1</f>
        <v>24</v>
      </c>
      <c r="H28" s="32"/>
    </row>
    <row r="29" spans="1:8" s="1" customFormat="1" ht="91.8">
      <c r="A29" s="49"/>
      <c r="B29" s="50"/>
      <c r="C29" s="64" t="s">
        <v>36</v>
      </c>
      <c r="D29" s="30" t="s">
        <v>104</v>
      </c>
      <c r="E29" s="11">
        <v>46230</v>
      </c>
      <c r="F29" s="11">
        <v>46295</v>
      </c>
      <c r="G29" s="68">
        <f t="shared" si="2"/>
        <v>66</v>
      </c>
      <c r="H29" s="32"/>
    </row>
    <row r="30" spans="1:8" s="1" customFormat="1" ht="40.799999999999997">
      <c r="A30" s="51"/>
      <c r="B30" s="52"/>
      <c r="C30" s="66" t="s">
        <v>115</v>
      </c>
      <c r="D30" s="30" t="s">
        <v>116</v>
      </c>
      <c r="E30" s="11">
        <v>46264</v>
      </c>
      <c r="F30" s="11">
        <v>46295</v>
      </c>
      <c r="G30" s="68">
        <f t="shared" si="2"/>
        <v>32</v>
      </c>
      <c r="H30" s="32"/>
    </row>
    <row r="31" spans="1:8" s="1" customFormat="1" ht="30" customHeight="1">
      <c r="A31" s="106" t="s">
        <v>37</v>
      </c>
      <c r="B31" s="18" t="s">
        <v>40</v>
      </c>
      <c r="C31" s="18"/>
      <c r="D31" s="19"/>
      <c r="E31" s="20"/>
      <c r="F31" s="24"/>
      <c r="G31" s="21"/>
      <c r="H31" s="25"/>
    </row>
    <row r="32" spans="1:8" s="1" customFormat="1" ht="51">
      <c r="A32" s="54"/>
      <c r="B32" s="55"/>
      <c r="C32" s="97" t="s">
        <v>117</v>
      </c>
      <c r="D32" s="98" t="s">
        <v>125</v>
      </c>
      <c r="E32" s="11">
        <v>46325</v>
      </c>
      <c r="F32" s="11">
        <v>46343</v>
      </c>
      <c r="G32" s="68">
        <f t="shared" ref="G32:G33" si="3">+F32-E32+1</f>
        <v>19</v>
      </c>
      <c r="H32" s="32"/>
    </row>
    <row r="33" spans="1:8" s="1" customFormat="1" ht="91.8">
      <c r="A33" s="54"/>
      <c r="B33" s="55"/>
      <c r="C33" s="97" t="s">
        <v>118</v>
      </c>
      <c r="D33" s="98" t="s">
        <v>126</v>
      </c>
      <c r="E33" s="11">
        <v>46334</v>
      </c>
      <c r="F33" s="11">
        <v>46386</v>
      </c>
      <c r="G33" s="68">
        <f t="shared" si="3"/>
        <v>53</v>
      </c>
      <c r="H33" s="32"/>
    </row>
    <row r="34" spans="1:8" s="1" customFormat="1" ht="40.799999999999997">
      <c r="A34" s="54"/>
      <c r="B34" s="55"/>
      <c r="C34" s="66" t="s">
        <v>172</v>
      </c>
      <c r="D34" s="30" t="s">
        <v>173</v>
      </c>
      <c r="E34" s="11">
        <v>46325</v>
      </c>
      <c r="F34" s="11">
        <v>46386</v>
      </c>
      <c r="G34" s="68">
        <f t="shared" ref="G34" si="4">+F34-E34+1</f>
        <v>62</v>
      </c>
      <c r="H34" s="32"/>
    </row>
    <row r="35" spans="1:8" s="1" customFormat="1" ht="30" customHeight="1">
      <c r="A35" s="106" t="s">
        <v>38</v>
      </c>
      <c r="B35" s="18" t="s">
        <v>41</v>
      </c>
      <c r="C35" s="18"/>
      <c r="D35" s="19"/>
      <c r="E35" s="20"/>
      <c r="F35" s="24"/>
      <c r="G35" s="21"/>
      <c r="H35" s="25"/>
    </row>
    <row r="36" spans="1:8" s="1" customFormat="1" ht="91.8">
      <c r="A36" s="37"/>
      <c r="B36" s="48"/>
      <c r="C36" s="66" t="s">
        <v>119</v>
      </c>
      <c r="D36" s="30" t="s">
        <v>122</v>
      </c>
      <c r="E36" s="11">
        <v>46417</v>
      </c>
      <c r="F36" s="11">
        <v>46438</v>
      </c>
      <c r="G36" s="68">
        <f t="shared" ref="G36:G38" si="5">+F36-E36+1</f>
        <v>22</v>
      </c>
      <c r="H36" s="32"/>
    </row>
    <row r="37" spans="1:8" s="1" customFormat="1" ht="13.8">
      <c r="A37" s="49"/>
      <c r="B37" s="50"/>
      <c r="C37" s="66" t="s">
        <v>120</v>
      </c>
      <c r="D37" s="30" t="s">
        <v>123</v>
      </c>
      <c r="E37" s="11">
        <v>46429</v>
      </c>
      <c r="F37" s="11">
        <v>46477</v>
      </c>
      <c r="G37" s="68">
        <f t="shared" si="5"/>
        <v>49</v>
      </c>
      <c r="H37" s="32"/>
    </row>
    <row r="38" spans="1:8" s="1" customFormat="1" ht="20.399999999999999">
      <c r="A38" s="51"/>
      <c r="B38" s="52"/>
      <c r="C38" s="66" t="s">
        <v>121</v>
      </c>
      <c r="D38" s="30" t="s">
        <v>124</v>
      </c>
      <c r="E38" s="11">
        <v>46447</v>
      </c>
      <c r="F38" s="11">
        <v>46477</v>
      </c>
      <c r="G38" s="68">
        <f t="shared" si="5"/>
        <v>31</v>
      </c>
      <c r="H38" s="32"/>
    </row>
    <row r="39" spans="1:8" s="1" customFormat="1" ht="30" customHeight="1">
      <c r="A39" s="81" t="s">
        <v>39</v>
      </c>
      <c r="B39" s="74" t="s">
        <v>90</v>
      </c>
      <c r="C39" s="70"/>
      <c r="D39" s="71"/>
      <c r="E39" s="72"/>
      <c r="F39" s="72"/>
      <c r="G39" s="72"/>
      <c r="H39" s="73"/>
    </row>
    <row r="40" spans="1:8" s="1" customFormat="1" ht="30" customHeight="1">
      <c r="A40" s="75">
        <v>3</v>
      </c>
      <c r="B40" s="14" t="s">
        <v>128</v>
      </c>
      <c r="C40" s="14"/>
      <c r="D40" s="15"/>
      <c r="E40" s="16">
        <v>46204</v>
      </c>
      <c r="F40" s="22">
        <v>46356</v>
      </c>
      <c r="G40" s="17">
        <f>+F40-E40+1</f>
        <v>153</v>
      </c>
      <c r="H40" s="23"/>
    </row>
    <row r="41" spans="1:8" s="1" customFormat="1" ht="30" customHeight="1">
      <c r="A41" s="104" t="s">
        <v>43</v>
      </c>
      <c r="B41" s="18" t="s">
        <v>32</v>
      </c>
      <c r="C41" s="18"/>
      <c r="D41" s="19"/>
      <c r="E41" s="20"/>
      <c r="F41" s="24"/>
      <c r="G41" s="21"/>
      <c r="H41" s="25"/>
    </row>
    <row r="42" spans="1:8" s="1" customFormat="1" ht="51">
      <c r="A42" s="40"/>
      <c r="B42" s="48"/>
      <c r="C42" s="64" t="s">
        <v>130</v>
      </c>
      <c r="D42" s="30" t="s">
        <v>132</v>
      </c>
      <c r="E42" s="11">
        <v>46218</v>
      </c>
      <c r="F42" s="11">
        <v>46227</v>
      </c>
      <c r="G42" s="68">
        <f t="shared" ref="G42:G44" si="6">+F42-E42+1</f>
        <v>10</v>
      </c>
      <c r="H42" s="32"/>
    </row>
    <row r="43" spans="1:8" s="1" customFormat="1" ht="91.8">
      <c r="A43" s="49"/>
      <c r="B43" s="50"/>
      <c r="C43" s="64" t="s">
        <v>131</v>
      </c>
      <c r="D43" s="30" t="s">
        <v>133</v>
      </c>
      <c r="E43" s="11">
        <v>46223</v>
      </c>
      <c r="F43" s="11">
        <v>46249</v>
      </c>
      <c r="G43" s="68">
        <f t="shared" si="6"/>
        <v>27</v>
      </c>
      <c r="H43" s="32"/>
    </row>
    <row r="44" spans="1:8" s="3" customFormat="1" ht="51">
      <c r="A44" s="51"/>
      <c r="B44" s="52"/>
      <c r="C44" s="39" t="s">
        <v>174</v>
      </c>
      <c r="D44" s="31" t="s">
        <v>182</v>
      </c>
      <c r="E44" s="11">
        <v>46235</v>
      </c>
      <c r="F44" s="11">
        <v>46249</v>
      </c>
      <c r="G44" s="68">
        <f t="shared" si="6"/>
        <v>15</v>
      </c>
      <c r="H44" s="32"/>
    </row>
    <row r="45" spans="1:8" s="3" customFormat="1" ht="30" customHeight="1">
      <c r="A45" s="104" t="s">
        <v>45</v>
      </c>
      <c r="B45" s="18" t="s">
        <v>129</v>
      </c>
      <c r="C45" s="18"/>
      <c r="D45" s="19"/>
      <c r="E45" s="20"/>
      <c r="F45" s="24"/>
      <c r="G45" s="21"/>
      <c r="H45" s="25"/>
    </row>
    <row r="46" spans="1:8" s="1" customFormat="1" ht="51">
      <c r="A46" s="56"/>
      <c r="B46" s="50"/>
      <c r="C46" s="63" t="s">
        <v>134</v>
      </c>
      <c r="D46" s="30" t="s">
        <v>136</v>
      </c>
      <c r="E46" s="11">
        <v>46218</v>
      </c>
      <c r="F46" s="11">
        <v>46255</v>
      </c>
      <c r="G46" s="68">
        <f t="shared" ref="G46:G48" si="7">+F46-E46+1</f>
        <v>38</v>
      </c>
      <c r="H46" s="32"/>
    </row>
    <row r="47" spans="1:8" s="1" customFormat="1" ht="91.8">
      <c r="A47" s="49"/>
      <c r="B47" s="50"/>
      <c r="C47" s="63" t="s">
        <v>135</v>
      </c>
      <c r="D47" s="30" t="s">
        <v>137</v>
      </c>
      <c r="E47" s="11">
        <v>46236</v>
      </c>
      <c r="F47" s="11">
        <v>46341</v>
      </c>
      <c r="G47" s="68">
        <f t="shared" si="7"/>
        <v>106</v>
      </c>
      <c r="H47" s="32"/>
    </row>
    <row r="48" spans="1:8" s="1" customFormat="1" ht="51">
      <c r="A48" s="49"/>
      <c r="B48" s="50"/>
      <c r="C48" s="63" t="s">
        <v>175</v>
      </c>
      <c r="D48" s="30" t="s">
        <v>343</v>
      </c>
      <c r="E48" s="11">
        <v>46218</v>
      </c>
      <c r="F48" s="11">
        <v>46341</v>
      </c>
      <c r="G48" s="68">
        <f t="shared" si="7"/>
        <v>124</v>
      </c>
      <c r="H48" s="32"/>
    </row>
    <row r="49" spans="1:8" s="1" customFormat="1" ht="30" customHeight="1">
      <c r="A49" s="104" t="s">
        <v>109</v>
      </c>
      <c r="B49" s="18" t="s">
        <v>28</v>
      </c>
      <c r="C49" s="18"/>
      <c r="D49" s="19"/>
      <c r="E49" s="20"/>
      <c r="F49" s="24"/>
      <c r="G49" s="21"/>
      <c r="H49" s="25"/>
    </row>
    <row r="50" spans="1:8" s="1" customFormat="1" ht="51">
      <c r="A50" s="40"/>
      <c r="B50" s="48"/>
      <c r="C50" s="63" t="s">
        <v>138</v>
      </c>
      <c r="D50" s="30" t="s">
        <v>140</v>
      </c>
      <c r="E50" s="11">
        <v>46235</v>
      </c>
      <c r="F50" s="11">
        <v>46271</v>
      </c>
      <c r="G50" s="68">
        <f t="shared" ref="G50:G52" si="8">+F50-E50+1</f>
        <v>37</v>
      </c>
      <c r="H50" s="32"/>
    </row>
    <row r="51" spans="1:8" s="1" customFormat="1" ht="91.8">
      <c r="A51" s="49"/>
      <c r="B51" s="50"/>
      <c r="C51" s="63" t="s">
        <v>139</v>
      </c>
      <c r="D51" s="30" t="s">
        <v>141</v>
      </c>
      <c r="E51" s="11">
        <v>46253</v>
      </c>
      <c r="F51" s="11">
        <v>46356</v>
      </c>
      <c r="G51" s="68">
        <f t="shared" si="8"/>
        <v>104</v>
      </c>
      <c r="H51" s="32"/>
    </row>
    <row r="52" spans="1:8" s="1" customFormat="1" ht="51">
      <c r="A52" s="49"/>
      <c r="B52" s="50"/>
      <c r="C52" s="38" t="s">
        <v>176</v>
      </c>
      <c r="D52" s="12" t="s">
        <v>344</v>
      </c>
      <c r="E52" s="11">
        <v>46235</v>
      </c>
      <c r="F52" s="11">
        <v>46356</v>
      </c>
      <c r="G52" s="68">
        <f t="shared" si="8"/>
        <v>122</v>
      </c>
      <c r="H52" s="32"/>
    </row>
    <row r="53" spans="1:8" s="1" customFormat="1" ht="30" customHeight="1">
      <c r="A53" s="104" t="s">
        <v>110</v>
      </c>
      <c r="B53" s="18" t="s">
        <v>29</v>
      </c>
      <c r="C53" s="18"/>
      <c r="D53" s="19"/>
      <c r="E53" s="20"/>
      <c r="F53" s="24"/>
      <c r="G53" s="21"/>
      <c r="H53" s="25"/>
    </row>
    <row r="54" spans="1:8" s="1" customFormat="1" ht="51">
      <c r="A54" s="37"/>
      <c r="B54" s="48"/>
      <c r="C54" s="63" t="s">
        <v>142</v>
      </c>
      <c r="D54" s="30" t="s">
        <v>145</v>
      </c>
      <c r="E54" s="11">
        <v>46218</v>
      </c>
      <c r="F54" s="11">
        <v>46255</v>
      </c>
      <c r="G54" s="68">
        <f t="shared" ref="G54:G56" si="9">+F54-E54+1</f>
        <v>38</v>
      </c>
      <c r="H54" s="32"/>
    </row>
    <row r="55" spans="1:8" s="1" customFormat="1" ht="91.8">
      <c r="A55" s="49"/>
      <c r="B55" s="50"/>
      <c r="C55" s="63" t="s">
        <v>143</v>
      </c>
      <c r="D55" s="30" t="s">
        <v>144</v>
      </c>
      <c r="E55" s="11">
        <v>46236</v>
      </c>
      <c r="F55" s="11">
        <v>46341</v>
      </c>
      <c r="G55" s="68">
        <f t="shared" si="9"/>
        <v>106</v>
      </c>
      <c r="H55" s="32"/>
    </row>
    <row r="56" spans="1:8" s="1" customFormat="1" ht="40.799999999999997">
      <c r="A56" s="49"/>
      <c r="B56" s="50"/>
      <c r="C56" s="39" t="s">
        <v>180</v>
      </c>
      <c r="D56" s="31" t="s">
        <v>181</v>
      </c>
      <c r="E56" s="11">
        <v>46218</v>
      </c>
      <c r="F56" s="11">
        <v>46341</v>
      </c>
      <c r="G56" s="68">
        <f t="shared" si="9"/>
        <v>124</v>
      </c>
      <c r="H56" s="32"/>
    </row>
    <row r="57" spans="1:8" s="1" customFormat="1" ht="30" customHeight="1">
      <c r="A57" s="104" t="s">
        <v>111</v>
      </c>
      <c r="B57" s="18" t="s">
        <v>30</v>
      </c>
      <c r="C57" s="18"/>
      <c r="D57" s="19"/>
      <c r="E57" s="20"/>
      <c r="F57" s="24"/>
      <c r="G57" s="21"/>
      <c r="H57" s="25"/>
    </row>
    <row r="58" spans="1:8" s="1" customFormat="1" ht="51">
      <c r="A58" s="37"/>
      <c r="B58" s="48"/>
      <c r="C58" s="63" t="s">
        <v>146</v>
      </c>
      <c r="D58" s="30" t="s">
        <v>148</v>
      </c>
      <c r="E58" s="11">
        <v>46218</v>
      </c>
      <c r="F58" s="11">
        <v>46255</v>
      </c>
      <c r="G58" s="68">
        <f t="shared" ref="G58:G60" si="10">+F58-E58+1</f>
        <v>38</v>
      </c>
      <c r="H58" s="32"/>
    </row>
    <row r="59" spans="1:8" s="1" customFormat="1" ht="91.8">
      <c r="A59" s="49"/>
      <c r="B59" s="50"/>
      <c r="C59" s="63" t="s">
        <v>147</v>
      </c>
      <c r="D59" s="30" t="s">
        <v>149</v>
      </c>
      <c r="E59" s="11">
        <v>46236</v>
      </c>
      <c r="F59" s="11">
        <v>46341</v>
      </c>
      <c r="G59" s="68">
        <f t="shared" si="10"/>
        <v>106</v>
      </c>
      <c r="H59" s="32"/>
    </row>
    <row r="60" spans="1:8" s="1" customFormat="1" ht="51">
      <c r="A60" s="49"/>
      <c r="B60" s="50"/>
      <c r="C60" s="39" t="s">
        <v>177</v>
      </c>
      <c r="D60" s="31" t="s">
        <v>345</v>
      </c>
      <c r="E60" s="11">
        <v>46218</v>
      </c>
      <c r="F60" s="11">
        <v>46341</v>
      </c>
      <c r="G60" s="68">
        <f t="shared" si="10"/>
        <v>124</v>
      </c>
      <c r="H60" s="32"/>
    </row>
    <row r="61" spans="1:8" s="1" customFormat="1" ht="30" customHeight="1">
      <c r="A61" s="104" t="s">
        <v>112</v>
      </c>
      <c r="B61" s="18" t="s">
        <v>31</v>
      </c>
      <c r="C61" s="18"/>
      <c r="D61" s="19"/>
      <c r="E61" s="20"/>
      <c r="F61" s="24"/>
      <c r="G61" s="21"/>
      <c r="H61" s="25"/>
    </row>
    <row r="62" spans="1:8" s="1" customFormat="1" ht="51">
      <c r="A62" s="40"/>
      <c r="B62" s="48"/>
      <c r="C62" s="64" t="s">
        <v>150</v>
      </c>
      <c r="D62" s="30" t="s">
        <v>152</v>
      </c>
      <c r="E62" s="11">
        <v>46218</v>
      </c>
      <c r="F62" s="11">
        <v>46255</v>
      </c>
      <c r="G62" s="68">
        <f t="shared" ref="G62:G64" si="11">+F62-E62+1</f>
        <v>38</v>
      </c>
      <c r="H62" s="32"/>
    </row>
    <row r="63" spans="1:8" s="1" customFormat="1" ht="91.8">
      <c r="A63" s="49"/>
      <c r="B63" s="50"/>
      <c r="C63" s="64" t="s">
        <v>151</v>
      </c>
      <c r="D63" s="30" t="s">
        <v>153</v>
      </c>
      <c r="E63" s="11">
        <v>46236</v>
      </c>
      <c r="F63" s="11">
        <v>46341</v>
      </c>
      <c r="G63" s="68">
        <f t="shared" si="11"/>
        <v>106</v>
      </c>
      <c r="H63" s="32"/>
    </row>
    <row r="64" spans="1:8" s="1" customFormat="1" ht="40.799999999999997">
      <c r="A64" s="49"/>
      <c r="B64" s="50"/>
      <c r="C64" s="39" t="s">
        <v>178</v>
      </c>
      <c r="D64" s="116" t="s">
        <v>346</v>
      </c>
      <c r="E64" s="11">
        <v>46292</v>
      </c>
      <c r="F64" s="11">
        <v>46341</v>
      </c>
      <c r="G64" s="68">
        <f t="shared" si="11"/>
        <v>50</v>
      </c>
      <c r="H64" s="32"/>
    </row>
    <row r="65" spans="1:8" s="1" customFormat="1" ht="30" customHeight="1">
      <c r="A65" s="104" t="s">
        <v>113</v>
      </c>
      <c r="B65" s="18" t="s">
        <v>92</v>
      </c>
      <c r="C65" s="18"/>
      <c r="D65" s="19"/>
      <c r="E65" s="20"/>
      <c r="F65" s="24"/>
      <c r="G65" s="21"/>
      <c r="H65" s="25"/>
    </row>
    <row r="66" spans="1:8" s="1" customFormat="1" ht="51">
      <c r="A66" s="40"/>
      <c r="B66" s="48"/>
      <c r="C66" s="65" t="s">
        <v>154</v>
      </c>
      <c r="D66" s="30" t="s">
        <v>156</v>
      </c>
      <c r="E66" s="11">
        <v>46235</v>
      </c>
      <c r="F66" s="11">
        <v>46271</v>
      </c>
      <c r="G66" s="68">
        <f t="shared" ref="G66:G68" si="12">+F66-E66+1</f>
        <v>37</v>
      </c>
      <c r="H66" s="32"/>
    </row>
    <row r="67" spans="1:8" s="1" customFormat="1" ht="91.8">
      <c r="A67" s="49"/>
      <c r="B67" s="50"/>
      <c r="C67" s="65" t="s">
        <v>155</v>
      </c>
      <c r="D67" s="30" t="s">
        <v>157</v>
      </c>
      <c r="E67" s="11">
        <v>46253</v>
      </c>
      <c r="F67" s="11">
        <v>46356</v>
      </c>
      <c r="G67" s="68">
        <f t="shared" si="12"/>
        <v>104</v>
      </c>
      <c r="H67" s="32"/>
    </row>
    <row r="68" spans="1:8" s="1" customFormat="1" ht="51">
      <c r="A68" s="49"/>
      <c r="B68" s="50"/>
      <c r="C68" s="78" t="s">
        <v>179</v>
      </c>
      <c r="D68" s="79" t="s">
        <v>347</v>
      </c>
      <c r="E68" s="67">
        <v>46235</v>
      </c>
      <c r="F68" s="67">
        <v>46356</v>
      </c>
      <c r="G68" s="69">
        <f t="shared" si="12"/>
        <v>122</v>
      </c>
      <c r="H68" s="80"/>
    </row>
    <row r="69" spans="1:8" s="1" customFormat="1" ht="30" customHeight="1">
      <c r="A69" s="105" t="s">
        <v>114</v>
      </c>
      <c r="B69" s="74" t="s">
        <v>90</v>
      </c>
      <c r="C69" s="70"/>
      <c r="D69" s="71"/>
      <c r="E69" s="72"/>
      <c r="F69" s="72"/>
      <c r="G69" s="72"/>
      <c r="H69" s="73"/>
    </row>
    <row r="70" spans="1:8" s="3" customFormat="1" ht="30" customHeight="1">
      <c r="A70" s="75">
        <v>4</v>
      </c>
      <c r="B70" s="14" t="s">
        <v>42</v>
      </c>
      <c r="C70" s="14"/>
      <c r="D70" s="15"/>
      <c r="E70" s="16">
        <v>46326</v>
      </c>
      <c r="F70" s="22">
        <v>46599</v>
      </c>
      <c r="G70" s="17">
        <f>+F70-E70+1</f>
        <v>274</v>
      </c>
      <c r="H70" s="23"/>
    </row>
    <row r="71" spans="1:8" s="3" customFormat="1" ht="30" customHeight="1">
      <c r="A71" s="109" t="s">
        <v>47</v>
      </c>
      <c r="B71" s="110" t="s">
        <v>44</v>
      </c>
      <c r="C71" s="18"/>
      <c r="D71" s="19"/>
      <c r="E71" s="20"/>
      <c r="F71" s="24"/>
      <c r="G71" s="21"/>
      <c r="H71" s="25"/>
    </row>
    <row r="72" spans="1:8" s="3" customFormat="1" ht="30" customHeight="1">
      <c r="A72" s="37"/>
      <c r="B72" s="48"/>
      <c r="C72" s="108" t="s">
        <v>193</v>
      </c>
      <c r="D72" s="98" t="s">
        <v>196</v>
      </c>
      <c r="E72" s="11"/>
      <c r="F72" s="11"/>
      <c r="G72" s="68"/>
      <c r="H72" s="27"/>
    </row>
    <row r="73" spans="1:8" s="3" customFormat="1" ht="30" customHeight="1">
      <c r="A73" s="56"/>
      <c r="B73" s="50"/>
      <c r="C73" s="108" t="s">
        <v>194</v>
      </c>
      <c r="D73" s="98" t="s">
        <v>195</v>
      </c>
      <c r="E73" s="11"/>
      <c r="F73" s="11"/>
      <c r="G73" s="68"/>
      <c r="H73" s="27"/>
    </row>
    <row r="74" spans="1:8" s="4" customFormat="1" ht="20.399999999999999">
      <c r="A74" s="56"/>
      <c r="B74" s="50"/>
      <c r="C74" s="66" t="s">
        <v>183</v>
      </c>
      <c r="D74" s="98" t="s">
        <v>184</v>
      </c>
      <c r="E74" s="11">
        <v>46326</v>
      </c>
      <c r="F74" s="11">
        <v>46462</v>
      </c>
      <c r="G74" s="68">
        <f t="shared" ref="G74:G79" si="13">+F74-E74+1</f>
        <v>137</v>
      </c>
      <c r="H74" s="27"/>
    </row>
    <row r="75" spans="1:8" s="4" customFormat="1" ht="20.399999999999999">
      <c r="A75" s="49"/>
      <c r="B75" s="50"/>
      <c r="C75" s="66" t="s">
        <v>185</v>
      </c>
      <c r="D75" s="98" t="s">
        <v>348</v>
      </c>
      <c r="E75" s="11">
        <v>46353</v>
      </c>
      <c r="F75" s="11">
        <v>46389</v>
      </c>
      <c r="G75" s="68">
        <f>+F75-E75+1</f>
        <v>37</v>
      </c>
      <c r="H75" s="27"/>
    </row>
    <row r="76" spans="1:8" s="4" customFormat="1" ht="13.8">
      <c r="A76" s="49"/>
      <c r="B76" s="50"/>
      <c r="C76" s="66" t="s">
        <v>186</v>
      </c>
      <c r="D76" s="98" t="s">
        <v>349</v>
      </c>
      <c r="E76" s="11">
        <v>46381</v>
      </c>
      <c r="F76" s="11">
        <v>46599</v>
      </c>
      <c r="G76" s="68">
        <f>+F76-E76+1</f>
        <v>219</v>
      </c>
      <c r="H76" s="27"/>
    </row>
    <row r="77" spans="1:8" s="4" customFormat="1" ht="20.399999999999999">
      <c r="A77" s="49"/>
      <c r="B77" s="50"/>
      <c r="C77" s="66" t="s">
        <v>187</v>
      </c>
      <c r="D77" s="30" t="s">
        <v>190</v>
      </c>
      <c r="E77" s="11">
        <v>46381</v>
      </c>
      <c r="F77" s="11">
        <v>46599</v>
      </c>
      <c r="G77" s="68">
        <f>+F77-E77+1</f>
        <v>219</v>
      </c>
      <c r="H77" s="27"/>
    </row>
    <row r="78" spans="1:8" s="4" customFormat="1" ht="20.399999999999999">
      <c r="A78" s="49"/>
      <c r="B78" s="50"/>
      <c r="C78" s="66" t="s">
        <v>188</v>
      </c>
      <c r="D78" s="30" t="s">
        <v>191</v>
      </c>
      <c r="E78" s="11">
        <v>46490</v>
      </c>
      <c r="F78" s="11">
        <v>46599</v>
      </c>
      <c r="G78" s="68">
        <f>+F78-E78+1</f>
        <v>110</v>
      </c>
      <c r="H78" s="27"/>
    </row>
    <row r="79" spans="1:8" s="4" customFormat="1" ht="20.399999999999999">
      <c r="A79" s="51"/>
      <c r="B79" s="52"/>
      <c r="C79" s="66" t="s">
        <v>189</v>
      </c>
      <c r="D79" s="30" t="s">
        <v>192</v>
      </c>
      <c r="E79" s="11">
        <v>46517</v>
      </c>
      <c r="F79" s="11">
        <v>46599</v>
      </c>
      <c r="G79" s="68">
        <f t="shared" si="13"/>
        <v>83</v>
      </c>
      <c r="H79" s="27"/>
    </row>
    <row r="80" spans="1:8" s="1" customFormat="1" ht="30" customHeight="1">
      <c r="A80" s="111" t="s">
        <v>49</v>
      </c>
      <c r="B80" s="112" t="s">
        <v>90</v>
      </c>
      <c r="C80" s="70"/>
      <c r="D80" s="71"/>
      <c r="E80" s="72"/>
      <c r="F80" s="72"/>
      <c r="G80" s="72"/>
      <c r="H80" s="73"/>
    </row>
    <row r="81" spans="1:8" s="5" customFormat="1" ht="30" customHeight="1">
      <c r="A81" s="75">
        <v>5</v>
      </c>
      <c r="B81" s="14" t="s">
        <v>46</v>
      </c>
      <c r="C81" s="14"/>
      <c r="D81" s="15"/>
      <c r="E81" s="16">
        <v>46341</v>
      </c>
      <c r="F81" s="22">
        <v>46660</v>
      </c>
      <c r="G81" s="17">
        <f>+F81-E81+1</f>
        <v>320</v>
      </c>
      <c r="H81" s="23"/>
    </row>
    <row r="82" spans="1:8" s="5" customFormat="1" ht="30" customHeight="1">
      <c r="A82" s="104" t="s">
        <v>57</v>
      </c>
      <c r="B82" s="18" t="s">
        <v>48</v>
      </c>
      <c r="C82" s="18"/>
      <c r="D82" s="19"/>
      <c r="E82" s="20"/>
      <c r="F82" s="24"/>
      <c r="G82" s="21"/>
      <c r="H82" s="25"/>
    </row>
    <row r="83" spans="1:8" s="1" customFormat="1" ht="51">
      <c r="A83" s="37"/>
      <c r="B83" s="48"/>
      <c r="C83" s="64" t="s">
        <v>197</v>
      </c>
      <c r="D83" s="30" t="s">
        <v>199</v>
      </c>
      <c r="E83" s="11">
        <v>46477</v>
      </c>
      <c r="F83" s="11">
        <v>46532</v>
      </c>
      <c r="G83" s="68">
        <f t="shared" ref="G83:G85" si="14">+F83-E83+1</f>
        <v>56</v>
      </c>
      <c r="H83" s="32"/>
    </row>
    <row r="84" spans="1:8" s="1" customFormat="1" ht="91.8">
      <c r="A84" s="49"/>
      <c r="B84" s="50"/>
      <c r="C84" s="64" t="s">
        <v>198</v>
      </c>
      <c r="D84" s="30" t="s">
        <v>200</v>
      </c>
      <c r="E84" s="11">
        <v>46504</v>
      </c>
      <c r="F84" s="11">
        <v>46660</v>
      </c>
      <c r="G84" s="68">
        <f t="shared" si="14"/>
        <v>157</v>
      </c>
      <c r="H84" s="32"/>
    </row>
    <row r="85" spans="1:8" s="1" customFormat="1" ht="40.799999999999997">
      <c r="A85" s="51"/>
      <c r="B85" s="52"/>
      <c r="C85" s="66" t="s">
        <v>202</v>
      </c>
      <c r="D85" s="31" t="s">
        <v>201</v>
      </c>
      <c r="E85" s="11">
        <v>46569</v>
      </c>
      <c r="F85" s="11">
        <v>46652</v>
      </c>
      <c r="G85" s="68">
        <f t="shared" si="14"/>
        <v>84</v>
      </c>
      <c r="H85" s="32"/>
    </row>
    <row r="86" spans="1:8" s="1" customFormat="1" ht="30" customHeight="1">
      <c r="A86" s="104" t="s">
        <v>61</v>
      </c>
      <c r="B86" s="18" t="s">
        <v>350</v>
      </c>
      <c r="C86" s="18"/>
      <c r="D86" s="19"/>
      <c r="E86" s="20"/>
      <c r="F86" s="24"/>
      <c r="G86" s="21"/>
      <c r="H86" s="25"/>
    </row>
    <row r="87" spans="1:8" s="1" customFormat="1" ht="51">
      <c r="A87" s="37"/>
      <c r="B87" s="48"/>
      <c r="C87" s="64" t="s">
        <v>203</v>
      </c>
      <c r="D87" s="30" t="s">
        <v>205</v>
      </c>
      <c r="E87" s="11">
        <v>46477</v>
      </c>
      <c r="F87" s="11">
        <v>46532</v>
      </c>
      <c r="G87" s="68">
        <f t="shared" ref="G87:G88" si="15">+F87-E87+1</f>
        <v>56</v>
      </c>
      <c r="H87" s="32"/>
    </row>
    <row r="88" spans="1:8" s="1" customFormat="1" ht="91.8">
      <c r="A88" s="49"/>
      <c r="B88" s="50"/>
      <c r="C88" s="64" t="s">
        <v>204</v>
      </c>
      <c r="D88" s="30" t="s">
        <v>206</v>
      </c>
      <c r="E88" s="11">
        <v>46504</v>
      </c>
      <c r="F88" s="11">
        <v>46660</v>
      </c>
      <c r="G88" s="68">
        <f t="shared" si="15"/>
        <v>157</v>
      </c>
      <c r="H88" s="32"/>
    </row>
    <row r="89" spans="1:8" s="1" customFormat="1" ht="13.8">
      <c r="A89" s="49"/>
      <c r="B89" s="50"/>
      <c r="C89" s="103" t="s">
        <v>353</v>
      </c>
      <c r="D89" s="102" t="s">
        <v>356</v>
      </c>
      <c r="E89" s="11">
        <v>46477</v>
      </c>
      <c r="F89" s="11">
        <v>46660</v>
      </c>
      <c r="G89" s="68">
        <f>+F89-E89+1</f>
        <v>184</v>
      </c>
      <c r="H89" s="32"/>
    </row>
    <row r="90" spans="1:8" s="1" customFormat="1" ht="20.399999999999999">
      <c r="A90" s="49"/>
      <c r="B90" s="50"/>
      <c r="C90" s="66" t="s">
        <v>354</v>
      </c>
      <c r="D90" s="30" t="s">
        <v>357</v>
      </c>
      <c r="E90" s="11">
        <v>46514</v>
      </c>
      <c r="F90" s="11">
        <v>46627</v>
      </c>
      <c r="G90" s="68">
        <f>+F90-E90+1</f>
        <v>114</v>
      </c>
      <c r="H90" s="32"/>
    </row>
    <row r="91" spans="1:8" s="1" customFormat="1" ht="20.399999999999999">
      <c r="A91" s="49"/>
      <c r="B91" s="50"/>
      <c r="C91" s="66" t="s">
        <v>355</v>
      </c>
      <c r="D91" s="102" t="s">
        <v>358</v>
      </c>
      <c r="E91" s="11">
        <v>46514</v>
      </c>
      <c r="F91" s="11">
        <v>46660</v>
      </c>
      <c r="G91" s="68">
        <f>+F91-E91+1</f>
        <v>147</v>
      </c>
      <c r="H91" s="32"/>
    </row>
    <row r="92" spans="1:8" s="1" customFormat="1" ht="13.8">
      <c r="A92" s="49"/>
      <c r="B92" s="50"/>
      <c r="C92" s="66" t="s">
        <v>351</v>
      </c>
      <c r="D92" s="30" t="s">
        <v>352</v>
      </c>
      <c r="E92" s="11">
        <v>46555</v>
      </c>
      <c r="F92" s="11">
        <v>46627</v>
      </c>
      <c r="G92" s="68">
        <f>+F92-E92+1</f>
        <v>73</v>
      </c>
      <c r="H92" s="32"/>
    </row>
    <row r="93" spans="1:8" s="1" customFormat="1" ht="30" customHeight="1">
      <c r="A93" s="104" t="s">
        <v>62</v>
      </c>
      <c r="B93" s="18" t="s">
        <v>50</v>
      </c>
      <c r="C93" s="18"/>
      <c r="D93" s="19"/>
      <c r="E93" s="20"/>
      <c r="F93" s="24"/>
      <c r="G93" s="21"/>
      <c r="H93" s="25"/>
    </row>
    <row r="94" spans="1:8" s="1" customFormat="1" ht="51">
      <c r="A94" s="40"/>
      <c r="B94" s="48"/>
      <c r="C94" s="64" t="s">
        <v>207</v>
      </c>
      <c r="D94" s="30" t="s">
        <v>210</v>
      </c>
      <c r="E94" s="11">
        <v>46341</v>
      </c>
      <c r="F94" s="11">
        <v>46373</v>
      </c>
      <c r="G94" s="68">
        <f t="shared" ref="G94:G96" si="16">+F94-E94+1</f>
        <v>33</v>
      </c>
      <c r="H94" s="32"/>
    </row>
    <row r="95" spans="1:8" s="1" customFormat="1" ht="91.8">
      <c r="A95" s="49"/>
      <c r="B95" s="50"/>
      <c r="C95" s="64" t="s">
        <v>208</v>
      </c>
      <c r="D95" s="30" t="s">
        <v>211</v>
      </c>
      <c r="E95" s="11">
        <v>46357</v>
      </c>
      <c r="F95" s="11">
        <v>46446</v>
      </c>
      <c r="G95" s="68">
        <f t="shared" si="16"/>
        <v>90</v>
      </c>
      <c r="H95" s="32"/>
    </row>
    <row r="96" spans="1:8" s="1" customFormat="1" ht="30.6">
      <c r="A96" s="51"/>
      <c r="B96" s="52"/>
      <c r="C96" s="66" t="s">
        <v>209</v>
      </c>
      <c r="D96" s="30" t="s">
        <v>212</v>
      </c>
      <c r="E96" s="11">
        <v>46400</v>
      </c>
      <c r="F96" s="11">
        <v>46446</v>
      </c>
      <c r="G96" s="68">
        <f t="shared" si="16"/>
        <v>47</v>
      </c>
      <c r="H96" s="32"/>
    </row>
    <row r="97" spans="1:8" s="1" customFormat="1" ht="30" customHeight="1">
      <c r="A97" s="104" t="s">
        <v>64</v>
      </c>
      <c r="B97" s="18" t="s">
        <v>51</v>
      </c>
      <c r="C97" s="18"/>
      <c r="D97" s="19"/>
      <c r="E97" s="20"/>
      <c r="F97" s="24"/>
      <c r="G97" s="21"/>
      <c r="H97" s="25"/>
    </row>
    <row r="98" spans="1:8" s="1" customFormat="1" ht="51">
      <c r="A98" s="37"/>
      <c r="B98" s="48"/>
      <c r="C98" s="64" t="s">
        <v>214</v>
      </c>
      <c r="D98" s="30" t="s">
        <v>236</v>
      </c>
      <c r="E98" s="11">
        <v>46477</v>
      </c>
      <c r="F98" s="11">
        <v>46532</v>
      </c>
      <c r="G98" s="68">
        <f t="shared" ref="G98:G104" si="17">+F98-E98+1</f>
        <v>56</v>
      </c>
      <c r="H98" s="32"/>
    </row>
    <row r="99" spans="1:8" s="1" customFormat="1" ht="91.8">
      <c r="A99" s="49"/>
      <c r="B99" s="50"/>
      <c r="C99" s="64" t="s">
        <v>215</v>
      </c>
      <c r="D99" s="30" t="s">
        <v>237</v>
      </c>
      <c r="E99" s="11">
        <v>46504</v>
      </c>
      <c r="F99" s="11">
        <v>46660</v>
      </c>
      <c r="G99" s="68">
        <f t="shared" si="17"/>
        <v>157</v>
      </c>
      <c r="H99" s="32"/>
    </row>
    <row r="100" spans="1:8" s="1" customFormat="1" ht="20.399999999999999">
      <c r="A100" s="49"/>
      <c r="B100" s="50"/>
      <c r="C100" s="66" t="s">
        <v>217</v>
      </c>
      <c r="D100" s="30" t="s">
        <v>238</v>
      </c>
      <c r="E100" s="11">
        <v>46523</v>
      </c>
      <c r="F100" s="11">
        <v>46582</v>
      </c>
      <c r="G100" s="68">
        <f t="shared" si="17"/>
        <v>60</v>
      </c>
      <c r="H100" s="32"/>
    </row>
    <row r="101" spans="1:8" s="1" customFormat="1" ht="20.399999999999999">
      <c r="A101" s="49"/>
      <c r="B101" s="50"/>
      <c r="C101" s="66" t="s">
        <v>363</v>
      </c>
      <c r="D101" s="30" t="s">
        <v>364</v>
      </c>
      <c r="E101" s="11">
        <v>46514</v>
      </c>
      <c r="F101" s="11">
        <v>46660</v>
      </c>
      <c r="G101" s="68">
        <f t="shared" si="17"/>
        <v>147</v>
      </c>
      <c r="H101" s="32"/>
    </row>
    <row r="102" spans="1:8" s="1" customFormat="1" ht="20.399999999999999">
      <c r="A102" s="49"/>
      <c r="B102" s="50"/>
      <c r="C102" s="99" t="s">
        <v>216</v>
      </c>
      <c r="D102" s="98" t="s">
        <v>239</v>
      </c>
      <c r="E102" s="100">
        <v>46514</v>
      </c>
      <c r="F102" s="100">
        <v>46660</v>
      </c>
      <c r="G102" s="101">
        <f t="shared" si="17"/>
        <v>147</v>
      </c>
      <c r="H102" s="32"/>
    </row>
    <row r="103" spans="1:8" s="1" customFormat="1" ht="30.6">
      <c r="A103" s="49"/>
      <c r="B103" s="50"/>
      <c r="C103" s="99" t="s">
        <v>218</v>
      </c>
      <c r="D103" s="98" t="s">
        <v>240</v>
      </c>
      <c r="E103" s="100">
        <v>46569</v>
      </c>
      <c r="F103" s="100">
        <v>46652</v>
      </c>
      <c r="G103" s="101">
        <f t="shared" si="17"/>
        <v>84</v>
      </c>
      <c r="H103" s="32"/>
    </row>
    <row r="104" spans="1:8" s="1" customFormat="1" ht="30.6">
      <c r="A104" s="51"/>
      <c r="B104" s="52"/>
      <c r="C104" s="99" t="s">
        <v>219</v>
      </c>
      <c r="D104" s="98" t="s">
        <v>365</v>
      </c>
      <c r="E104" s="100">
        <v>46514</v>
      </c>
      <c r="F104" s="100">
        <v>46660</v>
      </c>
      <c r="G104" s="101">
        <f t="shared" si="17"/>
        <v>147</v>
      </c>
      <c r="H104" s="32"/>
    </row>
    <row r="105" spans="1:8" s="1" customFormat="1" ht="30" customHeight="1">
      <c r="A105" s="104" t="s">
        <v>158</v>
      </c>
      <c r="B105" s="18" t="s">
        <v>55</v>
      </c>
      <c r="C105" s="18"/>
      <c r="D105" s="19"/>
      <c r="E105" s="20"/>
      <c r="F105" s="24"/>
      <c r="G105" s="21"/>
      <c r="H105" s="25"/>
    </row>
    <row r="106" spans="1:8" s="1" customFormat="1" ht="51">
      <c r="A106" s="40"/>
      <c r="B106" s="48"/>
      <c r="C106" s="64" t="s">
        <v>220</v>
      </c>
      <c r="D106" s="30" t="s">
        <v>241</v>
      </c>
      <c r="E106" s="11">
        <v>46477</v>
      </c>
      <c r="F106" s="11">
        <v>46532</v>
      </c>
      <c r="G106" s="68">
        <f t="shared" ref="G106:G110" si="18">+F106-E106+1</f>
        <v>56</v>
      </c>
      <c r="H106" s="28"/>
    </row>
    <row r="107" spans="1:8" s="1" customFormat="1" ht="91.8">
      <c r="A107" s="49"/>
      <c r="B107" s="50"/>
      <c r="C107" s="64" t="s">
        <v>221</v>
      </c>
      <c r="D107" s="30" t="s">
        <v>242</v>
      </c>
      <c r="E107" s="11">
        <v>46504</v>
      </c>
      <c r="F107" s="11">
        <v>46660</v>
      </c>
      <c r="G107" s="68">
        <f t="shared" si="18"/>
        <v>157</v>
      </c>
      <c r="H107" s="28"/>
    </row>
    <row r="108" spans="1:8" s="1" customFormat="1" ht="61.2">
      <c r="A108" s="49"/>
      <c r="B108" s="50"/>
      <c r="C108" s="66" t="s">
        <v>222</v>
      </c>
      <c r="D108" s="30" t="s">
        <v>243</v>
      </c>
      <c r="E108" s="11">
        <v>46532</v>
      </c>
      <c r="F108" s="11">
        <v>46603</v>
      </c>
      <c r="G108" s="68">
        <f t="shared" si="18"/>
        <v>72</v>
      </c>
      <c r="H108" s="28"/>
    </row>
    <row r="109" spans="1:8" s="1" customFormat="1" ht="142.80000000000001">
      <c r="A109" s="49"/>
      <c r="B109" s="50"/>
      <c r="C109" s="66" t="s">
        <v>223</v>
      </c>
      <c r="D109" s="30" t="s">
        <v>244</v>
      </c>
      <c r="E109" s="11">
        <v>46559</v>
      </c>
      <c r="F109" s="11">
        <v>46645</v>
      </c>
      <c r="G109" s="68">
        <f>+F109-E109+1</f>
        <v>87</v>
      </c>
      <c r="H109" s="28"/>
    </row>
    <row r="110" spans="1:8" s="1" customFormat="1" ht="30" customHeight="1">
      <c r="A110" s="51"/>
      <c r="B110" s="52"/>
      <c r="C110" s="66" t="s">
        <v>224</v>
      </c>
      <c r="D110" s="30" t="s">
        <v>245</v>
      </c>
      <c r="E110" s="11">
        <v>46514</v>
      </c>
      <c r="F110" s="11">
        <v>46660</v>
      </c>
      <c r="G110" s="68">
        <f t="shared" si="18"/>
        <v>147</v>
      </c>
      <c r="H110" s="28"/>
    </row>
    <row r="111" spans="1:8" s="6" customFormat="1" ht="10.199999999999999">
      <c r="A111" s="104" t="s">
        <v>159</v>
      </c>
      <c r="B111" s="18" t="s">
        <v>213</v>
      </c>
      <c r="C111" s="18"/>
      <c r="D111" s="19"/>
      <c r="E111" s="20"/>
      <c r="F111" s="24"/>
      <c r="G111" s="21"/>
      <c r="H111" s="25"/>
    </row>
    <row r="112" spans="1:8" s="6" customFormat="1" ht="51">
      <c r="A112" s="37"/>
      <c r="B112" s="48"/>
      <c r="C112" s="64" t="s">
        <v>225</v>
      </c>
      <c r="D112" s="30" t="s">
        <v>246</v>
      </c>
      <c r="E112" s="11">
        <v>46477</v>
      </c>
      <c r="F112" s="11">
        <v>46532</v>
      </c>
      <c r="G112" s="68">
        <f>+F112-E112+1</f>
        <v>56</v>
      </c>
      <c r="H112" s="32"/>
    </row>
    <row r="113" spans="1:8" s="6" customFormat="1" ht="91.8">
      <c r="A113" s="56"/>
      <c r="B113" s="50"/>
      <c r="C113" s="64" t="s">
        <v>226</v>
      </c>
      <c r="D113" s="30" t="s">
        <v>247</v>
      </c>
      <c r="E113" s="11">
        <v>46504</v>
      </c>
      <c r="F113" s="11">
        <v>46660</v>
      </c>
      <c r="G113" s="68">
        <f>+F113-E113+1</f>
        <v>157</v>
      </c>
      <c r="H113" s="32"/>
    </row>
    <row r="114" spans="1:8" s="6" customFormat="1" ht="30" customHeight="1">
      <c r="A114" s="56"/>
      <c r="B114" s="50"/>
      <c r="C114" s="64" t="s">
        <v>227</v>
      </c>
      <c r="D114" s="30" t="s">
        <v>248</v>
      </c>
      <c r="E114" s="11">
        <v>46477</v>
      </c>
      <c r="F114" s="11">
        <v>46660</v>
      </c>
      <c r="G114" s="68">
        <f t="shared" ref="G114:G115" si="19">+F114-E114+1</f>
        <v>184</v>
      </c>
      <c r="H114" s="32"/>
    </row>
    <row r="115" spans="1:8" s="6" customFormat="1" ht="20.399999999999999">
      <c r="A115" s="51"/>
      <c r="B115" s="52"/>
      <c r="C115" s="64" t="s">
        <v>228</v>
      </c>
      <c r="D115" s="30" t="s">
        <v>249</v>
      </c>
      <c r="E115" s="11">
        <v>46477</v>
      </c>
      <c r="F115" s="11">
        <v>46660</v>
      </c>
      <c r="G115" s="68">
        <f t="shared" si="19"/>
        <v>184</v>
      </c>
      <c r="H115" s="32"/>
    </row>
    <row r="116" spans="1:8" s="6" customFormat="1" ht="20.399999999999999">
      <c r="A116" s="104" t="s">
        <v>160</v>
      </c>
      <c r="B116" s="18" t="s">
        <v>52</v>
      </c>
      <c r="C116" s="18"/>
      <c r="D116" s="19"/>
      <c r="E116" s="20"/>
      <c r="F116" s="24"/>
      <c r="G116" s="21"/>
      <c r="H116" s="25"/>
    </row>
    <row r="117" spans="1:8" s="6" customFormat="1" ht="51">
      <c r="A117" s="37"/>
      <c r="B117" s="48"/>
      <c r="C117" s="64" t="s">
        <v>229</v>
      </c>
      <c r="D117" s="13" t="s">
        <v>94</v>
      </c>
      <c r="E117" s="11">
        <v>46477</v>
      </c>
      <c r="F117" s="11">
        <v>46532</v>
      </c>
      <c r="G117" s="68">
        <f t="shared" ref="G117:G119" si="20">+F117-E117+1</f>
        <v>56</v>
      </c>
      <c r="H117" s="28"/>
    </row>
    <row r="118" spans="1:8" s="6" customFormat="1" ht="91.8">
      <c r="A118" s="49"/>
      <c r="B118" s="50"/>
      <c r="C118" s="64" t="s">
        <v>230</v>
      </c>
      <c r="D118" s="30" t="s">
        <v>105</v>
      </c>
      <c r="E118" s="11">
        <v>46504</v>
      </c>
      <c r="F118" s="11">
        <v>46660</v>
      </c>
      <c r="G118" s="68">
        <f t="shared" si="20"/>
        <v>157</v>
      </c>
      <c r="H118" s="28"/>
    </row>
    <row r="119" spans="1:8" s="6" customFormat="1" ht="30" customHeight="1">
      <c r="A119" s="51"/>
      <c r="B119" s="52"/>
      <c r="C119" s="66" t="s">
        <v>231</v>
      </c>
      <c r="D119" s="30" t="s">
        <v>102</v>
      </c>
      <c r="E119" s="11">
        <v>46587</v>
      </c>
      <c r="F119" s="11">
        <v>46660</v>
      </c>
      <c r="G119" s="68">
        <f t="shared" si="20"/>
        <v>74</v>
      </c>
      <c r="H119" s="28"/>
    </row>
    <row r="120" spans="1:8" s="6" customFormat="1" ht="20.399999999999999">
      <c r="A120" s="104" t="s">
        <v>161</v>
      </c>
      <c r="B120" s="18" t="s">
        <v>53</v>
      </c>
      <c r="C120" s="18"/>
      <c r="D120" s="19"/>
      <c r="E120" s="20"/>
      <c r="F120" s="24"/>
      <c r="G120" s="21"/>
      <c r="H120" s="25"/>
    </row>
    <row r="121" spans="1:8" s="6" customFormat="1" ht="51">
      <c r="A121" s="40"/>
      <c r="B121" s="48"/>
      <c r="C121" s="64" t="s">
        <v>232</v>
      </c>
      <c r="D121" s="13" t="s">
        <v>95</v>
      </c>
      <c r="E121" s="11">
        <v>46477</v>
      </c>
      <c r="F121" s="11">
        <v>46532</v>
      </c>
      <c r="G121" s="68">
        <f t="shared" ref="G121:G124" si="21">+F121-E121+1</f>
        <v>56</v>
      </c>
      <c r="H121" s="28"/>
    </row>
    <row r="122" spans="1:8" s="6" customFormat="1" ht="91.8">
      <c r="A122" s="49"/>
      <c r="B122" s="50"/>
      <c r="C122" s="64" t="s">
        <v>233</v>
      </c>
      <c r="D122" s="30" t="s">
        <v>106</v>
      </c>
      <c r="E122" s="11">
        <v>46504</v>
      </c>
      <c r="F122" s="11">
        <v>46660</v>
      </c>
      <c r="G122" s="68">
        <f t="shared" si="21"/>
        <v>157</v>
      </c>
      <c r="H122" s="28"/>
    </row>
    <row r="123" spans="1:8" s="6" customFormat="1" ht="20.399999999999999">
      <c r="A123" s="49"/>
      <c r="B123" s="50"/>
      <c r="C123" s="64" t="s">
        <v>234</v>
      </c>
      <c r="D123" s="30" t="s">
        <v>54</v>
      </c>
      <c r="E123" s="11">
        <v>46477</v>
      </c>
      <c r="F123" s="11">
        <v>46660</v>
      </c>
      <c r="G123" s="68">
        <f t="shared" si="21"/>
        <v>184</v>
      </c>
      <c r="H123" s="28"/>
    </row>
    <row r="124" spans="1:8" s="6" customFormat="1" ht="20.399999999999999">
      <c r="A124" s="51"/>
      <c r="B124" s="52"/>
      <c r="C124" s="66" t="s">
        <v>235</v>
      </c>
      <c r="D124" s="30" t="s">
        <v>91</v>
      </c>
      <c r="E124" s="11">
        <v>46569</v>
      </c>
      <c r="F124" s="11">
        <v>46660</v>
      </c>
      <c r="G124" s="68">
        <f t="shared" si="21"/>
        <v>92</v>
      </c>
      <c r="H124" s="28"/>
    </row>
    <row r="125" spans="1:8" s="1" customFormat="1" ht="30" customHeight="1">
      <c r="A125" s="107" t="s">
        <v>162</v>
      </c>
      <c r="B125" s="74" t="s">
        <v>90</v>
      </c>
      <c r="C125" s="70"/>
      <c r="D125" s="71"/>
      <c r="E125" s="72"/>
      <c r="F125" s="72"/>
      <c r="G125" s="72"/>
      <c r="H125" s="73"/>
    </row>
    <row r="126" spans="1:8" s="1" customFormat="1" ht="30" customHeight="1">
      <c r="A126" s="75">
        <v>6</v>
      </c>
      <c r="B126" s="14" t="s">
        <v>56</v>
      </c>
      <c r="C126" s="14"/>
      <c r="D126" s="15"/>
      <c r="E126" s="16">
        <v>46660</v>
      </c>
      <c r="F126" s="22">
        <v>46827</v>
      </c>
      <c r="G126" s="17">
        <f>+F126-E126+1</f>
        <v>168</v>
      </c>
      <c r="H126" s="23"/>
    </row>
    <row r="127" spans="1:8" s="1" customFormat="1" ht="30" customHeight="1">
      <c r="A127" s="104" t="s">
        <v>66</v>
      </c>
      <c r="B127" s="18" t="s">
        <v>58</v>
      </c>
      <c r="C127" s="18"/>
      <c r="D127" s="19"/>
      <c r="E127" s="20"/>
      <c r="F127" s="24"/>
      <c r="G127" s="21"/>
      <c r="H127" s="25"/>
    </row>
    <row r="128" spans="1:8" s="1" customFormat="1" ht="51">
      <c r="A128" s="37"/>
      <c r="B128" s="48"/>
      <c r="C128" s="66" t="s">
        <v>250</v>
      </c>
      <c r="D128" s="30" t="s">
        <v>59</v>
      </c>
      <c r="E128" s="11">
        <v>46660</v>
      </c>
      <c r="F128" s="11">
        <v>46708</v>
      </c>
      <c r="G128" s="68">
        <f t="shared" ref="G128:G132" si="22">+F128-E128+1</f>
        <v>49</v>
      </c>
      <c r="H128" s="32"/>
    </row>
    <row r="129" spans="1:8" s="1" customFormat="1" ht="30.6">
      <c r="A129" s="49"/>
      <c r="B129" s="50"/>
      <c r="C129" s="66" t="s">
        <v>251</v>
      </c>
      <c r="D129" s="30" t="s">
        <v>60</v>
      </c>
      <c r="E129" s="11">
        <v>46660</v>
      </c>
      <c r="F129" s="11">
        <v>46722</v>
      </c>
      <c r="G129" s="68">
        <f t="shared" si="22"/>
        <v>63</v>
      </c>
      <c r="H129" s="32"/>
    </row>
    <row r="130" spans="1:8" s="1" customFormat="1" ht="13.8">
      <c r="A130" s="49"/>
      <c r="B130" s="50"/>
      <c r="C130" s="66" t="s">
        <v>255</v>
      </c>
      <c r="D130" s="30" t="s">
        <v>253</v>
      </c>
      <c r="E130" s="11">
        <v>46729</v>
      </c>
      <c r="F130" s="11">
        <v>46783</v>
      </c>
      <c r="G130" s="68">
        <f>+F130-E130+1</f>
        <v>55</v>
      </c>
      <c r="H130" s="32"/>
    </row>
    <row r="131" spans="1:8" s="1" customFormat="1" ht="40.799999999999997">
      <c r="A131" s="49"/>
      <c r="B131" s="50"/>
      <c r="C131" s="66" t="s">
        <v>256</v>
      </c>
      <c r="D131" s="30" t="s">
        <v>366</v>
      </c>
      <c r="E131" s="11">
        <v>46688</v>
      </c>
      <c r="F131" s="11">
        <v>46798</v>
      </c>
      <c r="G131" s="68">
        <f t="shared" si="22"/>
        <v>111</v>
      </c>
      <c r="H131" s="32"/>
    </row>
    <row r="132" spans="1:8" s="1" customFormat="1" ht="20.399999999999999">
      <c r="A132" s="51"/>
      <c r="B132" s="52"/>
      <c r="C132" s="66" t="s">
        <v>252</v>
      </c>
      <c r="D132" s="30" t="s">
        <v>254</v>
      </c>
      <c r="E132" s="11">
        <v>46752</v>
      </c>
      <c r="F132" s="11">
        <v>46798</v>
      </c>
      <c r="G132" s="68">
        <f t="shared" si="22"/>
        <v>47</v>
      </c>
      <c r="H132" s="32"/>
    </row>
    <row r="133" spans="1:8" s="1" customFormat="1" ht="30" customHeight="1">
      <c r="A133" s="106" t="s">
        <v>68</v>
      </c>
      <c r="B133" s="18" t="s">
        <v>63</v>
      </c>
      <c r="C133" s="18"/>
      <c r="D133" s="19"/>
      <c r="E133" s="20"/>
      <c r="F133" s="24"/>
      <c r="G133" s="21"/>
      <c r="H133" s="25"/>
    </row>
    <row r="134" spans="1:8" s="1" customFormat="1" ht="51">
      <c r="A134" s="37"/>
      <c r="B134" s="48"/>
      <c r="C134" s="66" t="s">
        <v>257</v>
      </c>
      <c r="D134" s="30" t="s">
        <v>262</v>
      </c>
      <c r="E134" s="11">
        <v>46798</v>
      </c>
      <c r="F134" s="11">
        <v>46808</v>
      </c>
      <c r="G134" s="68">
        <f t="shared" ref="G134:G136" si="23">+F134-E134+1</f>
        <v>11</v>
      </c>
      <c r="H134" s="32"/>
    </row>
    <row r="135" spans="1:8" s="1" customFormat="1" ht="30.6">
      <c r="A135" s="49"/>
      <c r="B135" s="50"/>
      <c r="C135" s="66" t="s">
        <v>258</v>
      </c>
      <c r="D135" s="30" t="s">
        <v>261</v>
      </c>
      <c r="E135" s="11">
        <v>46798</v>
      </c>
      <c r="F135" s="11">
        <v>46811</v>
      </c>
      <c r="G135" s="68">
        <f t="shared" si="23"/>
        <v>14</v>
      </c>
      <c r="H135" s="32"/>
    </row>
    <row r="136" spans="1:8" s="1" customFormat="1" ht="51">
      <c r="A136" s="51"/>
      <c r="B136" s="52"/>
      <c r="C136" s="66" t="s">
        <v>259</v>
      </c>
      <c r="D136" s="30" t="s">
        <v>260</v>
      </c>
      <c r="E136" s="11">
        <v>46804</v>
      </c>
      <c r="F136" s="11">
        <v>46827</v>
      </c>
      <c r="G136" s="68">
        <f t="shared" si="23"/>
        <v>24</v>
      </c>
      <c r="H136" s="32"/>
    </row>
    <row r="137" spans="1:8" s="1" customFormat="1" ht="30" customHeight="1">
      <c r="A137" s="106" t="s">
        <v>70</v>
      </c>
      <c r="B137" s="18" t="s">
        <v>368</v>
      </c>
      <c r="C137" s="18"/>
      <c r="D137" s="19"/>
      <c r="E137" s="20"/>
      <c r="F137" s="24"/>
      <c r="G137" s="21"/>
      <c r="H137" s="25"/>
    </row>
    <row r="138" spans="1:8" s="1" customFormat="1" ht="51">
      <c r="A138" s="44"/>
      <c r="B138" s="43"/>
      <c r="C138" s="66" t="s">
        <v>263</v>
      </c>
      <c r="D138" s="30" t="s">
        <v>367</v>
      </c>
      <c r="E138" s="11">
        <v>46804</v>
      </c>
      <c r="F138" s="11">
        <v>46827</v>
      </c>
      <c r="G138" s="68">
        <f>+F138-E138+1</f>
        <v>24</v>
      </c>
      <c r="H138" s="32"/>
    </row>
    <row r="139" spans="1:8" s="1" customFormat="1" ht="30" customHeight="1">
      <c r="A139" s="81" t="s">
        <v>71</v>
      </c>
      <c r="B139" s="74" t="s">
        <v>90</v>
      </c>
      <c r="C139" s="70"/>
      <c r="D139" s="71"/>
      <c r="E139" s="72"/>
      <c r="F139" s="72"/>
      <c r="G139" s="72"/>
      <c r="H139" s="73"/>
    </row>
    <row r="140" spans="1:8" s="1" customFormat="1" ht="30" customHeight="1">
      <c r="A140" s="75">
        <v>7</v>
      </c>
      <c r="B140" s="14" t="s">
        <v>65</v>
      </c>
      <c r="C140" s="14"/>
      <c r="D140" s="15"/>
      <c r="E140" s="16">
        <v>46295</v>
      </c>
      <c r="F140" s="22">
        <v>48000</v>
      </c>
      <c r="G140" s="17">
        <f>+F140-E140+1</f>
        <v>1706</v>
      </c>
      <c r="H140" s="23"/>
    </row>
    <row r="141" spans="1:8" s="1" customFormat="1" ht="30" customHeight="1">
      <c r="A141" s="106" t="s">
        <v>78</v>
      </c>
      <c r="B141" s="18" t="s">
        <v>67</v>
      </c>
      <c r="C141" s="18"/>
      <c r="D141" s="19"/>
      <c r="E141" s="20"/>
      <c r="F141" s="24"/>
      <c r="G141" s="21"/>
      <c r="H141" s="25"/>
    </row>
    <row r="142" spans="1:8" s="1" customFormat="1" ht="51">
      <c r="A142" s="37"/>
      <c r="B142" s="53"/>
      <c r="C142" s="64" t="s">
        <v>288</v>
      </c>
      <c r="D142" s="30" t="s">
        <v>290</v>
      </c>
      <c r="E142" s="11">
        <v>46660</v>
      </c>
      <c r="F142" s="11">
        <v>46984</v>
      </c>
      <c r="G142" s="68">
        <f t="shared" ref="G142:G145" si="24">+F142-E142+1</f>
        <v>325</v>
      </c>
      <c r="H142" s="32"/>
    </row>
    <row r="143" spans="1:8" s="1" customFormat="1" ht="91.8">
      <c r="A143" s="54"/>
      <c r="B143" s="55"/>
      <c r="C143" s="64" t="s">
        <v>289</v>
      </c>
      <c r="D143" s="30" t="s">
        <v>291</v>
      </c>
      <c r="E143" s="11">
        <v>46822</v>
      </c>
      <c r="F143" s="11">
        <v>47741</v>
      </c>
      <c r="G143" s="68">
        <f t="shared" si="24"/>
        <v>920</v>
      </c>
      <c r="H143" s="32"/>
    </row>
    <row r="144" spans="1:8" s="1" customFormat="1" ht="20.399999999999999">
      <c r="A144" s="49"/>
      <c r="B144" s="50"/>
      <c r="C144" s="45" t="s">
        <v>370</v>
      </c>
      <c r="D144" s="30" t="s">
        <v>369</v>
      </c>
      <c r="E144" s="11">
        <v>46660</v>
      </c>
      <c r="F144" s="11">
        <v>47741</v>
      </c>
      <c r="G144" s="68">
        <f t="shared" si="24"/>
        <v>1082</v>
      </c>
      <c r="H144" s="32"/>
    </row>
    <row r="145" spans="1:8" s="1" customFormat="1" ht="20.399999999999999">
      <c r="A145" s="49"/>
      <c r="B145" s="50"/>
      <c r="C145" s="45" t="s">
        <v>293</v>
      </c>
      <c r="D145" s="30" t="s">
        <v>292</v>
      </c>
      <c r="E145" s="11">
        <v>46660</v>
      </c>
      <c r="F145" s="11">
        <v>47741</v>
      </c>
      <c r="G145" s="68">
        <f t="shared" si="24"/>
        <v>1082</v>
      </c>
      <c r="H145" s="32"/>
    </row>
    <row r="146" spans="1:8" s="1" customFormat="1" ht="30" customHeight="1">
      <c r="A146" s="106" t="s">
        <v>79</v>
      </c>
      <c r="B146" s="18" t="s">
        <v>69</v>
      </c>
      <c r="C146" s="57"/>
      <c r="D146" s="19"/>
      <c r="E146" s="20"/>
      <c r="F146" s="24"/>
      <c r="G146" s="21"/>
      <c r="H146" s="25"/>
    </row>
    <row r="147" spans="1:8" s="1" customFormat="1" ht="51">
      <c r="A147" s="58"/>
      <c r="B147" s="48"/>
      <c r="C147" s="64" t="s">
        <v>294</v>
      </c>
      <c r="D147" s="30" t="s">
        <v>297</v>
      </c>
      <c r="E147" s="11">
        <v>47299</v>
      </c>
      <c r="F147" s="11">
        <v>47741</v>
      </c>
      <c r="G147" s="68">
        <f t="shared" ref="G147:G149" si="25">+F147-E147+1</f>
        <v>443</v>
      </c>
      <c r="H147" s="32"/>
    </row>
    <row r="148" spans="1:8" s="1" customFormat="1" ht="91.8">
      <c r="A148" s="49"/>
      <c r="B148" s="50"/>
      <c r="C148" s="64" t="s">
        <v>295</v>
      </c>
      <c r="D148" s="30" t="s">
        <v>298</v>
      </c>
      <c r="E148" s="11">
        <v>47299</v>
      </c>
      <c r="F148" s="11">
        <v>47741</v>
      </c>
      <c r="G148" s="68">
        <f t="shared" si="25"/>
        <v>443</v>
      </c>
      <c r="H148" s="32"/>
    </row>
    <row r="149" spans="1:8" s="1" customFormat="1" ht="30.6">
      <c r="A149" s="51"/>
      <c r="B149" s="59"/>
      <c r="C149" s="64" t="s">
        <v>296</v>
      </c>
      <c r="D149" s="30" t="s">
        <v>299</v>
      </c>
      <c r="E149" s="11">
        <v>47299</v>
      </c>
      <c r="F149" s="11">
        <v>47741</v>
      </c>
      <c r="G149" s="68">
        <f t="shared" si="25"/>
        <v>443</v>
      </c>
      <c r="H149" s="32"/>
    </row>
    <row r="150" spans="1:8" s="1" customFormat="1" ht="30" customHeight="1">
      <c r="A150" s="106" t="s">
        <v>81</v>
      </c>
      <c r="B150" s="18" t="s">
        <v>103</v>
      </c>
      <c r="C150" s="18"/>
      <c r="D150" s="19"/>
      <c r="E150" s="20"/>
      <c r="F150" s="24"/>
      <c r="G150" s="21"/>
      <c r="H150" s="25"/>
    </row>
    <row r="151" spans="1:8" s="1" customFormat="1" ht="51">
      <c r="A151" s="58"/>
      <c r="B151" s="48"/>
      <c r="C151" s="64" t="s">
        <v>300</v>
      </c>
      <c r="D151" s="30" t="s">
        <v>303</v>
      </c>
      <c r="E151" s="11">
        <v>46660</v>
      </c>
      <c r="F151" s="11">
        <v>46710</v>
      </c>
      <c r="G151" s="68">
        <f t="shared" ref="G151:G153" si="26">+F151-E151+1</f>
        <v>51</v>
      </c>
      <c r="H151" s="32"/>
    </row>
    <row r="152" spans="1:8" s="1" customFormat="1" ht="91.8">
      <c r="A152" s="49"/>
      <c r="B152" s="50"/>
      <c r="C152" s="64" t="s">
        <v>301</v>
      </c>
      <c r="D152" s="30" t="s">
        <v>304</v>
      </c>
      <c r="E152" s="11">
        <v>46685</v>
      </c>
      <c r="F152" s="11">
        <v>46827</v>
      </c>
      <c r="G152" s="68">
        <f t="shared" si="26"/>
        <v>143</v>
      </c>
      <c r="H152" s="32"/>
    </row>
    <row r="153" spans="1:8" s="1" customFormat="1" ht="20.399999999999999">
      <c r="A153" s="54"/>
      <c r="B153" s="55"/>
      <c r="C153" s="64" t="s">
        <v>302</v>
      </c>
      <c r="D153" s="30" t="s">
        <v>305</v>
      </c>
      <c r="E153" s="11">
        <v>46660</v>
      </c>
      <c r="F153" s="11">
        <v>46827</v>
      </c>
      <c r="G153" s="68">
        <f t="shared" si="26"/>
        <v>168</v>
      </c>
      <c r="H153" s="32"/>
    </row>
    <row r="154" spans="1:8" s="1" customFormat="1" ht="30" customHeight="1">
      <c r="A154" s="106" t="s">
        <v>83</v>
      </c>
      <c r="B154" s="18" t="s">
        <v>72</v>
      </c>
      <c r="C154" s="18"/>
      <c r="D154" s="19"/>
      <c r="E154" s="20"/>
      <c r="F154" s="24"/>
      <c r="G154" s="21"/>
      <c r="H154" s="25"/>
    </row>
    <row r="155" spans="1:8" s="1" customFormat="1" ht="51">
      <c r="A155" s="37"/>
      <c r="B155" s="48"/>
      <c r="C155" s="64" t="s">
        <v>306</v>
      </c>
      <c r="D155" s="30" t="s">
        <v>313</v>
      </c>
      <c r="E155" s="11">
        <v>46827</v>
      </c>
      <c r="F155" s="11">
        <v>47101</v>
      </c>
      <c r="G155" s="68">
        <f t="shared" ref="G155:G161" si="27">+F155-E155+1</f>
        <v>275</v>
      </c>
      <c r="H155" s="32"/>
    </row>
    <row r="156" spans="1:8" s="1" customFormat="1" ht="91.8">
      <c r="A156" s="49"/>
      <c r="B156" s="50"/>
      <c r="C156" s="64" t="s">
        <v>307</v>
      </c>
      <c r="D156" s="30" t="s">
        <v>314</v>
      </c>
      <c r="E156" s="11">
        <v>46964</v>
      </c>
      <c r="F156" s="11">
        <v>47741</v>
      </c>
      <c r="G156" s="68">
        <f t="shared" si="27"/>
        <v>778</v>
      </c>
      <c r="H156" s="32"/>
    </row>
    <row r="157" spans="1:8" s="1" customFormat="1" ht="13.8">
      <c r="A157" s="49"/>
      <c r="B157" s="50"/>
      <c r="C157" s="39" t="s">
        <v>308</v>
      </c>
      <c r="D157" s="30" t="s">
        <v>315</v>
      </c>
      <c r="E157" s="11">
        <v>46990</v>
      </c>
      <c r="F157" s="11">
        <v>47127</v>
      </c>
      <c r="G157" s="68">
        <f t="shared" si="27"/>
        <v>138</v>
      </c>
      <c r="H157" s="32"/>
    </row>
    <row r="158" spans="1:8" s="1" customFormat="1" ht="20.399999999999999">
      <c r="A158" s="49"/>
      <c r="B158" s="50"/>
      <c r="C158" s="39" t="s">
        <v>309</v>
      </c>
      <c r="D158" s="30" t="s">
        <v>316</v>
      </c>
      <c r="E158" s="11">
        <v>47382</v>
      </c>
      <c r="F158" s="11">
        <v>47728</v>
      </c>
      <c r="G158" s="68">
        <f t="shared" si="27"/>
        <v>347</v>
      </c>
      <c r="H158" s="32"/>
    </row>
    <row r="159" spans="1:8" s="1" customFormat="1" ht="40.799999999999997">
      <c r="A159" s="49"/>
      <c r="B159" s="50"/>
      <c r="C159" s="39" t="s">
        <v>310</v>
      </c>
      <c r="D159" s="30" t="s">
        <v>317</v>
      </c>
      <c r="E159" s="11">
        <v>47010</v>
      </c>
      <c r="F159" s="11">
        <v>47741</v>
      </c>
      <c r="G159" s="68">
        <f t="shared" si="27"/>
        <v>732</v>
      </c>
      <c r="H159" s="32"/>
    </row>
    <row r="160" spans="1:8" s="1" customFormat="1" ht="40.799999999999997">
      <c r="A160" s="49"/>
      <c r="B160" s="50"/>
      <c r="C160" s="39" t="s">
        <v>311</v>
      </c>
      <c r="D160" s="98" t="s">
        <v>318</v>
      </c>
      <c r="E160" s="11">
        <v>47010</v>
      </c>
      <c r="F160" s="11">
        <v>47741</v>
      </c>
      <c r="G160" s="68">
        <f t="shared" si="27"/>
        <v>732</v>
      </c>
      <c r="H160" s="32"/>
    </row>
    <row r="161" spans="1:8" s="1" customFormat="1" ht="30.6">
      <c r="A161" s="51"/>
      <c r="B161" s="52"/>
      <c r="C161" s="39" t="s">
        <v>312</v>
      </c>
      <c r="D161" s="30" t="s">
        <v>319</v>
      </c>
      <c r="E161" s="11">
        <v>47480</v>
      </c>
      <c r="F161" s="11">
        <v>47741</v>
      </c>
      <c r="G161" s="68">
        <f t="shared" si="27"/>
        <v>262</v>
      </c>
      <c r="H161" s="32"/>
    </row>
    <row r="162" spans="1:8" s="1" customFormat="1" ht="30" customHeight="1">
      <c r="A162" s="106" t="s">
        <v>163</v>
      </c>
      <c r="B162" s="18" t="s">
        <v>73</v>
      </c>
      <c r="C162" s="18"/>
      <c r="D162" s="19"/>
      <c r="E162" s="20"/>
      <c r="F162" s="24"/>
      <c r="G162" s="21"/>
      <c r="H162" s="25"/>
    </row>
    <row r="163" spans="1:8" s="1" customFormat="1" ht="51">
      <c r="A163" s="46"/>
      <c r="B163" s="60"/>
      <c r="C163" s="64" t="s">
        <v>264</v>
      </c>
      <c r="D163" s="30" t="s">
        <v>269</v>
      </c>
      <c r="E163" s="11">
        <v>47023</v>
      </c>
      <c r="F163" s="11">
        <v>47084</v>
      </c>
      <c r="G163" s="68">
        <f>+F163-E163+1</f>
        <v>62</v>
      </c>
      <c r="H163" s="32"/>
    </row>
    <row r="164" spans="1:8" s="1" customFormat="1" ht="91.8">
      <c r="A164" s="56"/>
      <c r="B164" s="50"/>
      <c r="C164" s="64" t="s">
        <v>265</v>
      </c>
      <c r="D164" s="30" t="s">
        <v>268</v>
      </c>
      <c r="E164" s="11">
        <v>47011</v>
      </c>
      <c r="F164" s="11">
        <v>47741</v>
      </c>
      <c r="G164" s="68">
        <f>+F164-E164+1</f>
        <v>731</v>
      </c>
      <c r="H164" s="32"/>
    </row>
    <row r="165" spans="1:8" s="1" customFormat="1" ht="20.399999999999999">
      <c r="A165" s="51"/>
      <c r="B165" s="52"/>
      <c r="C165" s="45" t="s">
        <v>266</v>
      </c>
      <c r="D165" s="30" t="s">
        <v>267</v>
      </c>
      <c r="E165" s="11">
        <v>47011</v>
      </c>
      <c r="F165" s="11">
        <v>47741</v>
      </c>
      <c r="G165" s="68">
        <f t="shared" ref="G165" si="28">+F165-E165+1</f>
        <v>731</v>
      </c>
      <c r="H165" s="32"/>
    </row>
    <row r="166" spans="1:8" s="1" customFormat="1" ht="30" customHeight="1">
      <c r="A166" s="106" t="s">
        <v>164</v>
      </c>
      <c r="B166" s="18" t="s">
        <v>74</v>
      </c>
      <c r="C166" s="18"/>
      <c r="D166" s="19"/>
      <c r="E166" s="20"/>
      <c r="F166" s="24"/>
      <c r="G166" s="21"/>
      <c r="H166" s="25"/>
    </row>
    <row r="167" spans="1:8" s="1" customFormat="1" ht="51">
      <c r="A167" s="46"/>
      <c r="B167" s="60"/>
      <c r="C167" s="64" t="s">
        <v>270</v>
      </c>
      <c r="D167" s="30" t="s">
        <v>276</v>
      </c>
      <c r="E167" s="11">
        <v>47011</v>
      </c>
      <c r="F167" s="11">
        <v>47741</v>
      </c>
      <c r="G167" s="68">
        <f t="shared" ref="G167:G168" si="29">+F167-E167+1</f>
        <v>731</v>
      </c>
      <c r="H167" s="32"/>
    </row>
    <row r="168" spans="1:8" s="1" customFormat="1" ht="91.8">
      <c r="A168" s="56"/>
      <c r="B168" s="50"/>
      <c r="C168" s="64" t="s">
        <v>271</v>
      </c>
      <c r="D168" s="30" t="s">
        <v>277</v>
      </c>
      <c r="E168" s="11">
        <v>47011</v>
      </c>
      <c r="F168" s="11">
        <v>47741</v>
      </c>
      <c r="G168" s="68">
        <f t="shared" si="29"/>
        <v>731</v>
      </c>
      <c r="H168" s="32"/>
    </row>
    <row r="169" spans="1:8" s="1" customFormat="1" ht="30.6">
      <c r="A169" s="51"/>
      <c r="B169" s="52"/>
      <c r="C169" s="45" t="s">
        <v>272</v>
      </c>
      <c r="D169" s="30" t="s">
        <v>287</v>
      </c>
      <c r="E169" s="11"/>
      <c r="F169" s="11"/>
      <c r="G169" s="68"/>
      <c r="H169" s="32"/>
    </row>
    <row r="170" spans="1:8" s="1" customFormat="1" ht="30" customHeight="1">
      <c r="A170" s="113" t="s">
        <v>165</v>
      </c>
      <c r="B170" s="110" t="s">
        <v>75</v>
      </c>
      <c r="C170" s="18"/>
      <c r="D170" s="19"/>
      <c r="E170" s="20"/>
      <c r="F170" s="24"/>
      <c r="G170" s="21"/>
      <c r="H170" s="25"/>
    </row>
    <row r="171" spans="1:8" s="1" customFormat="1" ht="51">
      <c r="A171" s="46"/>
      <c r="B171" s="60"/>
      <c r="C171" s="64" t="s">
        <v>273</v>
      </c>
      <c r="D171" s="30" t="s">
        <v>278</v>
      </c>
      <c r="E171" s="11">
        <v>47011</v>
      </c>
      <c r="F171" s="11">
        <v>47741</v>
      </c>
      <c r="G171" s="68">
        <f t="shared" ref="G171:G172" si="30">+F171-E171+1</f>
        <v>731</v>
      </c>
      <c r="H171" s="32"/>
    </row>
    <row r="172" spans="1:8" s="1" customFormat="1" ht="91.8">
      <c r="A172" s="56"/>
      <c r="B172" s="50"/>
      <c r="C172" s="64" t="s">
        <v>274</v>
      </c>
      <c r="D172" s="30" t="s">
        <v>279</v>
      </c>
      <c r="E172" s="11">
        <v>47011</v>
      </c>
      <c r="F172" s="11">
        <v>47741</v>
      </c>
      <c r="G172" s="68">
        <f t="shared" si="30"/>
        <v>731</v>
      </c>
      <c r="H172" s="32"/>
    </row>
    <row r="173" spans="1:8" s="1" customFormat="1" ht="30.6">
      <c r="A173" s="51"/>
      <c r="B173" s="52"/>
      <c r="C173" s="45" t="s">
        <v>275</v>
      </c>
      <c r="D173" s="30" t="s">
        <v>286</v>
      </c>
      <c r="E173" s="11"/>
      <c r="F173" s="11"/>
      <c r="G173" s="68"/>
      <c r="H173" s="32"/>
    </row>
    <row r="174" spans="1:8" s="1" customFormat="1" ht="30" customHeight="1">
      <c r="A174" s="114" t="s">
        <v>166</v>
      </c>
      <c r="B174" s="115" t="s">
        <v>76</v>
      </c>
      <c r="C174" s="18"/>
      <c r="D174" s="19"/>
      <c r="E174" s="20"/>
      <c r="F174" s="24"/>
      <c r="G174" s="21"/>
      <c r="H174" s="25"/>
    </row>
    <row r="175" spans="1:8" s="1" customFormat="1" ht="51">
      <c r="A175" s="46"/>
      <c r="B175" s="60"/>
      <c r="C175" s="64" t="s">
        <v>280</v>
      </c>
      <c r="D175" s="30" t="s">
        <v>282</v>
      </c>
      <c r="E175" s="11">
        <v>47251</v>
      </c>
      <c r="F175" s="11">
        <v>47741</v>
      </c>
      <c r="G175" s="68">
        <f t="shared" ref="G175:G176" si="31">+F175-E175+1</f>
        <v>491</v>
      </c>
      <c r="H175" s="32"/>
    </row>
    <row r="176" spans="1:8" s="1" customFormat="1" ht="91.8">
      <c r="A176" s="56"/>
      <c r="B176" s="50"/>
      <c r="C176" s="64" t="s">
        <v>281</v>
      </c>
      <c r="D176" s="30" t="s">
        <v>283</v>
      </c>
      <c r="E176" s="11">
        <v>47251</v>
      </c>
      <c r="F176" s="11">
        <v>47741</v>
      </c>
      <c r="G176" s="68">
        <f t="shared" si="31"/>
        <v>491</v>
      </c>
      <c r="H176" s="32"/>
    </row>
    <row r="177" spans="1:8" s="1" customFormat="1" ht="30.6">
      <c r="A177" s="51"/>
      <c r="B177" s="52"/>
      <c r="C177" s="45" t="s">
        <v>284</v>
      </c>
      <c r="D177" s="30" t="s">
        <v>285</v>
      </c>
      <c r="E177" s="11"/>
      <c r="F177" s="11"/>
      <c r="G177" s="68"/>
      <c r="H177" s="32"/>
    </row>
    <row r="178" spans="1:8" s="1" customFormat="1" ht="30" customHeight="1">
      <c r="A178" s="81" t="s">
        <v>170</v>
      </c>
      <c r="B178" s="74" t="s">
        <v>90</v>
      </c>
      <c r="C178" s="70"/>
      <c r="D178" s="71"/>
      <c r="E178" s="72"/>
      <c r="F178" s="72"/>
      <c r="G178" s="72"/>
      <c r="H178" s="73"/>
    </row>
    <row r="179" spans="1:8" s="1" customFormat="1" ht="30" customHeight="1">
      <c r="A179" s="75">
        <v>8</v>
      </c>
      <c r="B179" s="14" t="s">
        <v>77</v>
      </c>
      <c r="C179" s="14"/>
      <c r="D179" s="15"/>
      <c r="E179" s="16">
        <v>46295</v>
      </c>
      <c r="F179" s="16">
        <v>48000</v>
      </c>
      <c r="G179" s="17">
        <f>+F179-E179+1</f>
        <v>1706</v>
      </c>
      <c r="H179" s="23"/>
    </row>
    <row r="180" spans="1:8" s="1" customFormat="1" ht="30" customHeight="1">
      <c r="A180" s="106" t="s">
        <v>167</v>
      </c>
      <c r="B180" s="18" t="s">
        <v>334</v>
      </c>
      <c r="C180" s="18"/>
      <c r="D180" s="19"/>
      <c r="E180" s="20"/>
      <c r="F180" s="24"/>
      <c r="G180" s="21"/>
      <c r="H180" s="25"/>
    </row>
    <row r="181" spans="1:8" s="1" customFormat="1" ht="13.8">
      <c r="A181" s="61"/>
      <c r="B181" s="50"/>
      <c r="C181" s="66" t="s">
        <v>332</v>
      </c>
      <c r="D181" s="30" t="s">
        <v>371</v>
      </c>
      <c r="E181" s="11">
        <v>47664</v>
      </c>
      <c r="F181" s="11">
        <v>47741</v>
      </c>
      <c r="G181" s="68">
        <f t="shared" ref="G181:G182" si="32">+F181-E181+1</f>
        <v>78</v>
      </c>
      <c r="H181" s="32"/>
    </row>
    <row r="182" spans="1:8" s="1" customFormat="1" ht="13.8">
      <c r="A182" s="47"/>
      <c r="B182" s="52"/>
      <c r="C182" s="66" t="s">
        <v>333</v>
      </c>
      <c r="D182" s="30" t="s">
        <v>372</v>
      </c>
      <c r="E182" s="11">
        <v>47664</v>
      </c>
      <c r="F182" s="11">
        <v>47741</v>
      </c>
      <c r="G182" s="68">
        <f t="shared" si="32"/>
        <v>78</v>
      </c>
      <c r="H182" s="32"/>
    </row>
    <row r="183" spans="1:8" s="1" customFormat="1" ht="30" customHeight="1">
      <c r="A183" s="106" t="s">
        <v>168</v>
      </c>
      <c r="B183" s="18" t="s">
        <v>80</v>
      </c>
      <c r="C183" s="18"/>
      <c r="D183" s="19"/>
      <c r="E183" s="20"/>
      <c r="F183" s="24"/>
      <c r="G183" s="21"/>
      <c r="H183" s="25"/>
    </row>
    <row r="184" spans="1:8" s="1" customFormat="1" ht="51">
      <c r="A184" s="46"/>
      <c r="B184" s="60"/>
      <c r="C184" s="64" t="s">
        <v>323</v>
      </c>
      <c r="D184" s="30" t="s">
        <v>325</v>
      </c>
      <c r="E184" s="11">
        <v>47664</v>
      </c>
      <c r="F184" s="11">
        <v>48000</v>
      </c>
      <c r="G184" s="68">
        <f>+F184-E184+1</f>
        <v>337</v>
      </c>
      <c r="H184" s="32"/>
    </row>
    <row r="185" spans="1:8" s="1" customFormat="1" ht="91.8">
      <c r="A185" s="56"/>
      <c r="B185" s="50"/>
      <c r="C185" s="64" t="s">
        <v>324</v>
      </c>
      <c r="D185" s="30" t="s">
        <v>326</v>
      </c>
      <c r="E185" s="11">
        <v>47664</v>
      </c>
      <c r="F185" s="11">
        <v>48000</v>
      </c>
      <c r="G185" s="68">
        <f>+F185-E185+1</f>
        <v>337</v>
      </c>
      <c r="H185" s="32"/>
    </row>
    <row r="186" spans="1:8" s="1" customFormat="1" ht="20.399999999999999">
      <c r="A186" s="51"/>
      <c r="B186" s="52"/>
      <c r="C186" s="41" t="s">
        <v>328</v>
      </c>
      <c r="D186" s="30" t="s">
        <v>327</v>
      </c>
      <c r="E186" s="11">
        <v>47664</v>
      </c>
      <c r="F186" s="11">
        <v>48000</v>
      </c>
      <c r="G186" s="68">
        <f t="shared" ref="G186" si="33">+F186-E186+1</f>
        <v>337</v>
      </c>
      <c r="H186" s="32"/>
    </row>
    <row r="187" spans="1:8" s="1" customFormat="1" ht="30" customHeight="1">
      <c r="A187" s="106" t="s">
        <v>169</v>
      </c>
      <c r="B187" s="18" t="s">
        <v>82</v>
      </c>
      <c r="C187" s="18"/>
      <c r="D187" s="19"/>
      <c r="E187" s="20"/>
      <c r="F187" s="24"/>
      <c r="G187" s="21"/>
      <c r="H187" s="25"/>
    </row>
    <row r="188" spans="1:8" s="1" customFormat="1" ht="51">
      <c r="A188" s="56"/>
      <c r="B188" s="50"/>
      <c r="C188" s="64" t="s">
        <v>330</v>
      </c>
      <c r="D188" s="30" t="s">
        <v>322</v>
      </c>
      <c r="E188" s="11">
        <v>47664</v>
      </c>
      <c r="F188" s="11">
        <v>48000</v>
      </c>
      <c r="G188" s="68">
        <f t="shared" ref="G188" si="34">+F188-E188+1</f>
        <v>337</v>
      </c>
      <c r="H188" s="32"/>
    </row>
    <row r="189" spans="1:8" s="1" customFormat="1" ht="91.8">
      <c r="A189" s="56"/>
      <c r="B189" s="50"/>
      <c r="C189" s="64" t="s">
        <v>331</v>
      </c>
      <c r="D189" s="30" t="s">
        <v>321</v>
      </c>
      <c r="E189" s="11">
        <v>47664</v>
      </c>
      <c r="F189" s="11">
        <v>48000</v>
      </c>
      <c r="G189" s="68">
        <f t="shared" ref="G189" si="35">+F189-E189+1</f>
        <v>337</v>
      </c>
      <c r="H189" s="32"/>
    </row>
    <row r="190" spans="1:8" s="1" customFormat="1" ht="20.399999999999999">
      <c r="A190" s="51"/>
      <c r="B190" s="52"/>
      <c r="C190" s="64" t="s">
        <v>329</v>
      </c>
      <c r="D190" s="30" t="s">
        <v>320</v>
      </c>
      <c r="E190" s="11"/>
      <c r="F190" s="11"/>
      <c r="G190" s="68"/>
      <c r="H190" s="32"/>
    </row>
    <row r="191" spans="1:8" s="1" customFormat="1" ht="30" customHeight="1">
      <c r="A191" s="75">
        <v>9</v>
      </c>
      <c r="B191" s="14" t="s">
        <v>84</v>
      </c>
      <c r="C191" s="14"/>
      <c r="D191" s="15"/>
      <c r="E191" s="16">
        <f>SMALL(E195:E195,1)</f>
        <v>46295</v>
      </c>
      <c r="F191" s="16">
        <f>LARGE(F195:F195,1)</f>
        <v>48000</v>
      </c>
      <c r="G191" s="17">
        <f>+F191-E191+1</f>
        <v>1706</v>
      </c>
      <c r="H191" s="23"/>
    </row>
    <row r="192" spans="1:8" s="1" customFormat="1" ht="30" customHeight="1">
      <c r="A192" s="106" t="s">
        <v>127</v>
      </c>
      <c r="B192" s="18" t="s">
        <v>85</v>
      </c>
      <c r="C192" s="18"/>
      <c r="D192" s="19"/>
      <c r="E192" s="20"/>
      <c r="F192" s="24"/>
      <c r="G192" s="21"/>
      <c r="H192" s="25"/>
    </row>
    <row r="193" spans="1:8" s="1" customFormat="1" ht="51">
      <c r="A193" s="46"/>
      <c r="B193" s="60"/>
      <c r="C193" s="64" t="s">
        <v>335</v>
      </c>
      <c r="D193" s="30" t="s">
        <v>338</v>
      </c>
      <c r="E193" s="11">
        <v>46295</v>
      </c>
      <c r="F193" s="11">
        <v>46381</v>
      </c>
      <c r="G193" s="68">
        <f>+F193-E193+1</f>
        <v>87</v>
      </c>
      <c r="H193" s="32"/>
    </row>
    <row r="194" spans="1:8" s="3" customFormat="1" ht="81.599999999999994">
      <c r="A194" s="56"/>
      <c r="B194" s="50"/>
      <c r="C194" s="64" t="s">
        <v>336</v>
      </c>
      <c r="D194" s="30" t="s">
        <v>339</v>
      </c>
      <c r="E194" s="11">
        <v>46351</v>
      </c>
      <c r="F194" s="11">
        <v>48000</v>
      </c>
      <c r="G194" s="68">
        <f>+F194-E194+1</f>
        <v>1650</v>
      </c>
      <c r="H194" s="32"/>
    </row>
    <row r="195" spans="1:8" s="3" customFormat="1" ht="30.6">
      <c r="A195" s="51"/>
      <c r="B195" s="52"/>
      <c r="C195" s="64" t="s">
        <v>337</v>
      </c>
      <c r="D195" s="30" t="s">
        <v>340</v>
      </c>
      <c r="E195" s="11">
        <v>46295</v>
      </c>
      <c r="F195" s="11">
        <v>48000</v>
      </c>
      <c r="G195" s="68">
        <f t="shared" ref="G195:G196" si="36">+F195-E195+1</f>
        <v>1706</v>
      </c>
      <c r="H195" s="32"/>
    </row>
    <row r="196" spans="1:8" s="1" customFormat="1" ht="30" customHeight="1">
      <c r="A196" s="82"/>
      <c r="B196" s="83" t="s">
        <v>86</v>
      </c>
      <c r="C196" s="84"/>
      <c r="D196" s="85"/>
      <c r="E196" s="86">
        <v>46204</v>
      </c>
      <c r="F196" s="86">
        <v>48000</v>
      </c>
      <c r="G196" s="87">
        <f t="shared" si="36"/>
        <v>1797</v>
      </c>
      <c r="H196" s="88"/>
    </row>
    <row r="197" spans="1:8" s="1" customFormat="1" ht="30" customHeight="1">
      <c r="A197" s="89"/>
      <c r="B197" s="90" t="s">
        <v>89</v>
      </c>
      <c r="C197" s="91"/>
      <c r="D197" s="91"/>
      <c r="E197" s="91"/>
      <c r="F197" s="91"/>
      <c r="G197" s="91"/>
      <c r="H197" s="91"/>
    </row>
    <row r="198" spans="1:8" s="1" customFormat="1">
      <c r="H198" s="29"/>
    </row>
    <row r="199" spans="1:8" s="1" customFormat="1"/>
    <row r="200" spans="1:8" s="1" customFormat="1"/>
    <row r="201" spans="1:8" s="1" customFormat="1"/>
    <row r="202" spans="1:8" s="1" customFormat="1"/>
    <row r="203" spans="1:8" s="1" customFormat="1"/>
    <row r="204" spans="1:8" s="1" customFormat="1"/>
    <row r="205" spans="1:8" s="1" customFormat="1"/>
    <row r="206" spans="1:8" s="1" customFormat="1"/>
    <row r="207" spans="1:8" s="1" customFormat="1"/>
    <row r="208" spans="1:8" s="1" customFormat="1"/>
    <row r="209" s="1" customFormat="1"/>
    <row r="210" s="1" customFormat="1"/>
    <row r="211" s="1" customFormat="1"/>
    <row r="212" s="1" customFormat="1"/>
    <row r="213" s="1" customFormat="1"/>
    <row r="214" s="1" customFormat="1"/>
    <row r="215" s="1" customFormat="1"/>
    <row r="216" s="1" customFormat="1"/>
    <row r="217" s="1" customFormat="1"/>
    <row r="218" s="1" customFormat="1"/>
    <row r="219" s="1" customFormat="1"/>
    <row r="220" s="1" customFormat="1"/>
    <row r="221" s="1" customFormat="1"/>
    <row r="222" s="1" customFormat="1"/>
  </sheetData>
  <autoFilter ref="A16:H222" xr:uid="{00000000-0009-0000-0000-000000000000}"/>
  <pageMargins left="0.7" right="0.7" top="0.75" bottom="0.75" header="0.3" footer="0.3"/>
  <pageSetup paperSize="9" scale="3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2026-08-06T06:47:41Z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