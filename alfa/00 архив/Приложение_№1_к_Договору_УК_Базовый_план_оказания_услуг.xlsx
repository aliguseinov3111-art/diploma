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_m3a2u\Downloads\Пушкинский\УК\"/>
    </mc:Choice>
  </mc:AlternateContent>
  <xr:revisionPtr revIDLastSave="0" documentId="13_ncr:1_{66FA1123-EA91-43C9-B66C-DD4E0A23FB94}" xr6:coauthVersionLast="36" xr6:coauthVersionMax="36" xr10:uidLastSave="{00000000-0000-0000-0000-000000000000}"/>
  <bookViews>
    <workbookView xWindow="0" yWindow="0" windowWidth="47520" windowHeight="16155" xr2:uid="{00000000-000D-0000-FFFF-FFFF00000000}"/>
  </bookViews>
  <sheets>
    <sheet name="Базовый план оказания услуг" sheetId="3" r:id="rId1"/>
  </sheets>
  <definedNames>
    <definedName name="_xlnm._FilterDatabase" localSheetId="0" hidden="1">'Базовый план оказания услуг'!$B$6:$G$98</definedName>
    <definedName name="valuevx">42.314159</definedName>
    <definedName name="vertex42_copyright" hidden="1">"© 2009-2018 by Vertex42.com"</definedName>
    <definedName name="vertex42_id" hidden="1">"divisional-org-chart.xlsx"</definedName>
    <definedName name="vertex42_title" hidden="1">"Divisional Organizational Chart Template"</definedName>
  </definedNames>
  <calcPr calcId="191029" refMode="R1C1"/>
</workbook>
</file>

<file path=xl/calcChain.xml><?xml version="1.0" encoding="utf-8"?>
<calcChain xmlns="http://schemas.openxmlformats.org/spreadsheetml/2006/main">
  <c r="G101" i="3" l="1"/>
  <c r="E94" i="3" l="1"/>
  <c r="D94" i="3"/>
  <c r="E88" i="3"/>
  <c r="D88" i="3"/>
  <c r="E85" i="3"/>
  <c r="D85" i="3"/>
  <c r="E79" i="3"/>
  <c r="D79" i="3"/>
  <c r="E68" i="3"/>
  <c r="D68" i="3"/>
  <c r="E54" i="3"/>
  <c r="D54" i="3"/>
  <c r="E43" i="3"/>
  <c r="D43" i="3"/>
  <c r="E36" i="3"/>
  <c r="D36" i="3"/>
  <c r="E30" i="3"/>
  <c r="D30" i="3"/>
  <c r="E7" i="3"/>
  <c r="D7" i="3"/>
  <c r="F96" i="3" l="1"/>
  <c r="F95" i="3"/>
  <c r="F92" i="3"/>
  <c r="F91" i="3"/>
  <c r="F90" i="3"/>
  <c r="F89" i="3"/>
  <c r="F86" i="3"/>
  <c r="F83" i="3"/>
  <c r="F82" i="3"/>
  <c r="F81" i="3"/>
  <c r="F80" i="3"/>
  <c r="F77" i="3"/>
  <c r="F76" i="3"/>
  <c r="F75" i="3"/>
  <c r="F74" i="3"/>
  <c r="F73" i="3"/>
  <c r="F72" i="3"/>
  <c r="F71" i="3"/>
  <c r="F70" i="3"/>
  <c r="F69" i="3"/>
  <c r="F66" i="3"/>
  <c r="F65" i="3"/>
  <c r="F64" i="3"/>
  <c r="F63" i="3"/>
  <c r="F62" i="3"/>
  <c r="F61" i="3"/>
  <c r="F60" i="3"/>
  <c r="F59" i="3"/>
  <c r="F58" i="3"/>
  <c r="F57" i="3"/>
  <c r="F56" i="3"/>
  <c r="F55" i="3"/>
  <c r="F52" i="3"/>
  <c r="F51" i="3"/>
  <c r="F50" i="3"/>
  <c r="F49" i="3"/>
  <c r="F48" i="3"/>
  <c r="F47" i="3"/>
  <c r="F46" i="3"/>
  <c r="F45" i="3"/>
  <c r="F44" i="3"/>
  <c r="F41" i="3"/>
  <c r="F40" i="3"/>
  <c r="F39" i="3"/>
  <c r="F38" i="3"/>
  <c r="F37" i="3"/>
  <c r="F34" i="3"/>
  <c r="F33" i="3"/>
  <c r="F32" i="3"/>
  <c r="F31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G94" i="3"/>
  <c r="G88" i="3"/>
  <c r="G85" i="3"/>
  <c r="G79" i="3"/>
  <c r="G68" i="3"/>
  <c r="G54" i="3"/>
  <c r="G43" i="3"/>
  <c r="G36" i="3"/>
  <c r="G30" i="3"/>
  <c r="G7" i="3"/>
  <c r="G27" i="3"/>
  <c r="G98" i="3" l="1"/>
  <c r="G102" i="3" s="1"/>
  <c r="G103" i="3" s="1"/>
  <c r="C6" i="3"/>
  <c r="D6" i="3" s="1"/>
  <c r="E6" i="3" s="1"/>
  <c r="F6" i="3" s="1"/>
  <c r="G6" i="3" s="1"/>
  <c r="D98" i="3" l="1"/>
  <c r="F79" i="3"/>
  <c r="F54" i="3"/>
  <c r="F94" i="3"/>
  <c r="F88" i="3"/>
  <c r="F85" i="3"/>
  <c r="F68" i="3"/>
  <c r="F43" i="3"/>
  <c r="F30" i="3"/>
  <c r="F36" i="3"/>
  <c r="E98" i="3"/>
  <c r="F7" i="3"/>
  <c r="F98" i="3" l="1"/>
</calcChain>
</file>

<file path=xl/sharedStrings.xml><?xml version="1.0" encoding="utf-8"?>
<sst xmlns="http://schemas.openxmlformats.org/spreadsheetml/2006/main" count="102" uniqueCount="94">
  <si>
    <t>№</t>
  </si>
  <si>
    <t xml:space="preserve">Дата начала работ </t>
  </si>
  <si>
    <t xml:space="preserve">Дата окончания </t>
  </si>
  <si>
    <t>Длительность, к.д.</t>
  </si>
  <si>
    <t>ПЕРИОД РЕАЛИЗАЦИИ ПРОЕКТА</t>
  </si>
  <si>
    <t>Вознаграждение УК за выполнение этапа (бонус)</t>
  </si>
  <si>
    <t>Организация практической реализации проекта</t>
  </si>
  <si>
    <t>Стоимость услуги УК, без НДС</t>
  </si>
  <si>
    <t>Этап1. Градостроительный аудит и исходные условия реализации Проекта</t>
  </si>
  <si>
    <t>Этап3. Предпроектные изыскания</t>
  </si>
  <si>
    <t>Этап 2. Разработка и утверждение Исходно-разрешительной документации (АГК, ТЭП, АГР, ПЗЗ, ГПЗУ и т.д.)</t>
  </si>
  <si>
    <t>Организация, хранение, резервирование единой Среды хранения данных и управление доступом всех участников проекта к единой Среде хранения данных (проекты, договоры, протоколы, согласования, внешняя и внутренняя служебная переписка и т.п.).</t>
  </si>
  <si>
    <t>Сопровождение договорной работы Технического заказчика и других участников проекта: организация согласований существенных условий, подготовка проекта договора, содействие в разрешении разногласий, контроль контрактации и регистрации договора, отслеживание графика и оплат, проверка распределительных писем, контроль исполнения и содействие в приёмке-сдаче работ, проверка УПД и первичных документов, ведение учёта результатов, изменений и дополнений, контроль закрытия договоров, отслеживание гарантийных обязательств и координация претензионных работ и урегулирование споров.</t>
  </si>
  <si>
    <t>Разработка и согласование с Застройщиком Дорожной карты согласно Этапов проекта.</t>
  </si>
  <si>
    <t>Разработка и актуализация Детальных графиков производства работ (ГПР) по мере разработки Проектной/Рабочей документации и реализации проекта.</t>
  </si>
  <si>
    <t>Контроль и управление сроками согласно Этапов Дорожной карты и Детальных графиков производства работ, управление изменениями и рисками.</t>
  </si>
  <si>
    <t>Разработка и актуализация Детального бюджета по мере разработки Проектной/Рабочей документации и реализации проекта.</t>
  </si>
  <si>
    <t xml:space="preserve">Контроль Бюджета проекта, стоимости и объёмов, управление изменениями и рисками. </t>
  </si>
  <si>
    <t>Контроль соблюдения Детального бюджета проекта в процессе проектирования и управление изменениями: проверка проектных решений на соответствие Детальному бюджету и Бюджету в целом; при превышении целевых показателей — поиск вариантов и выдача предложений участникам по оптимизации, проверка проработанных решений и контроль включения в ПД/РД соответствующих по цене проектных решений.</t>
  </si>
  <si>
    <t xml:space="preserve">Утвержденная юридическая модель реконструкции </t>
  </si>
  <si>
    <t>Юридическое заключение о реализуемости проекта</t>
  </si>
  <si>
    <t>Аналитический отчёт по градостроительным ограничениям</t>
  </si>
  <si>
    <t>Этап4. Разработка Проектной документация стадии «Проект», прохождение экспертизы и получение Разрешения на реконструкцию</t>
  </si>
  <si>
    <t>Этап5. Рабочая документация, Строительно-монтажные работы (Shell&amp;Core)</t>
  </si>
  <si>
    <t>Этап6. Получение ЗОС, Разрешение на ввод в эксплуатацию</t>
  </si>
  <si>
    <t>Этап7. Разработка дизайна и концепции интерьеров</t>
  </si>
  <si>
    <t>Этап8. РСР по отделке (FitOut) и оборудованию мультимедийного комплекса</t>
  </si>
  <si>
    <t>Свидетельство об утверждении АГР</t>
  </si>
  <si>
    <t xml:space="preserve">Новый ГПЗУ с параметрами, позволяющими реализовать Проект </t>
  </si>
  <si>
    <t xml:space="preserve">Новый ПЗЗ с параметрами, позволяющими реализовать Проект </t>
  </si>
  <si>
    <t>Технический отчет по результатам изучения и систематизации материалов инженерно-геологических изысканий прошлых лет</t>
  </si>
  <si>
    <t>Техническое заключение по результатам инженерно-геодезических изысканий</t>
  </si>
  <si>
    <t>Техническое заключение по результатам специальных инженерно-геофизических изысканий (при необходимости)</t>
  </si>
  <si>
    <t>Техническое заключение по результатам обследования строительных конструкций Объекта</t>
  </si>
  <si>
    <t>Заключение ДКН по результатам историко-культурных изысканий</t>
  </si>
  <si>
    <t>Утвержденный СТУ</t>
  </si>
  <si>
    <t>Проект подготовительных работ и проект демонтажа отдельных конструкций в объеме, требуемом всеми нормативными документами и достаточном для  дальнейшей реализации проекта</t>
  </si>
  <si>
    <t>Утвержденная схема транспортного обеспечения объекта</t>
  </si>
  <si>
    <t>Положительное заключение государственной экспертизы проектной документации и результатов инженерных изысканий</t>
  </si>
  <si>
    <t>Проектная документация стадии «Проект»</t>
  </si>
  <si>
    <t>Полученное разрешение на реконструкцию</t>
  </si>
  <si>
    <t>Мультимедиа, свет, звук, видео, IT, сценическое / выставочное оборудование, поставки и монтаж</t>
  </si>
  <si>
    <t>Разрешения на ввод</t>
  </si>
  <si>
    <t>Заключение о соответствии (ЗОС)</t>
  </si>
  <si>
    <t>Кадастровый учёт реконструированного объекта</t>
  </si>
  <si>
    <t>Рабочая документация - "в производство работ"</t>
  </si>
  <si>
    <t>Этап9. Передача проекта в эксплуатацию Функциональному оператору</t>
  </si>
  <si>
    <t>Акт приема-передачи объекта</t>
  </si>
  <si>
    <t>Согласование полного пакета документации с органами власти и профильными учреждениями (ДГП, ДКН, Мосгосстройнадзор, ГУП «Московский метрополитен» и др.), сопровождение экспертизы и получения разрешительной документации.</t>
  </si>
  <si>
    <t>Разработка и согласование с Застройщиком укрупненного Бюджета проекта на основании разработанной архитектурной концепции, исходных данных и в соответствии с графиком реализации проекта.</t>
  </si>
  <si>
    <t>Разработка и согласование с Застройщиком матрицы ответственности участников проекта, регламентов взаимодействия (тендеры, договоры, согласования и т.п.)</t>
  </si>
  <si>
    <t>Техническое заключение по результатам Оценки зоны влияния</t>
  </si>
  <si>
    <t>Положительное заключение НТС на весь комплект проектной документации стадии Проект</t>
  </si>
  <si>
    <t>Организация услуг Технического заказчика; подбор, привлечение, координация его взаимодействия со всеми участниками проекта и контроль их работы.</t>
  </si>
  <si>
    <t>Организация закупочных процедур на все работы и услуги проекта: формирование графика закупок и пакета исходных данных, проведение предквалификационного отбора, проверка контрагентов, запрос и сбор коммерческих предложений, уточнение КП и ВОР, оптимизация расходов, подготовка итогового протокола закупки для утверждения.</t>
  </si>
  <si>
    <t>Актуальные сведения ЕГРН в объеме, требуемом всеми нормативными документами и достаточном для получения положительного заключения экспертизы и дальнейшей реализации проекта</t>
  </si>
  <si>
    <t>Утвержденные альбом АГР, вкл. ВПМ и все необходимые документы</t>
  </si>
  <si>
    <t xml:space="preserve">Техническое заключение по результатам инженерно-геологических изысканий </t>
  </si>
  <si>
    <t>Техническое заключение по результатам гидрологических и экологических изысканий</t>
  </si>
  <si>
    <t>Паспорта БТИ всего комплекса зданий по итогам реконструкции</t>
  </si>
  <si>
    <t>Комплекс демонтажных работ</t>
  </si>
  <si>
    <t>Комплекс строительно-монтажных работ</t>
  </si>
  <si>
    <t xml:space="preserve">Фасадные работы </t>
  </si>
  <si>
    <t>Комплексные испытания Систем противопожарной защиты</t>
  </si>
  <si>
    <t>Отделка Мест общего пользования</t>
  </si>
  <si>
    <t>Внешние сети, подключения, Справки о выполнении ТУ</t>
  </si>
  <si>
    <t>Базовые инженерные системы</t>
  </si>
  <si>
    <t>Благоустройство территории и городская интеграция</t>
  </si>
  <si>
    <t>Утвержденные буклет АГК, вкл. НПМ, ТЭП., а также все необходимые документы и согласования, включая общественные слушания и исследования</t>
  </si>
  <si>
    <t>Отделка интерьеров всех помещений и общественных пространств</t>
  </si>
  <si>
    <t>Оборудование инженерных систем, BMS</t>
  </si>
  <si>
    <t>Оборудование Функционального оператора</t>
  </si>
  <si>
    <t>Комплексные испытания всех систем и оборудования</t>
  </si>
  <si>
    <t>ИТОГО, вознаграждение УК за выполнение Этапов</t>
  </si>
  <si>
    <t>ВСЕГО, вознаграждение УК</t>
  </si>
  <si>
    <t>Планирование и проведение встреч, рабочих групп на Объекте или на территории, определенной Застройщиком, ведение Протоколов встреч и принятых решений, контроль и организация выполнения принятых решений и поручений.</t>
  </si>
  <si>
    <t>Отчётность перед Заказчиком, подготовка презентаций и материалов для принятия ключевых решений по проекту неограниченно по требованию Застройщика.</t>
  </si>
  <si>
    <t>Оформление прав собственности, сопровождение ввода объекта в эксплуатацию и передача Функциональному оператору.</t>
  </si>
  <si>
    <t>Приложение №1 к Договору</t>
  </si>
  <si>
    <t>Организация взаимодействия всех участников согласно Схемы управления (Приложение №6 к Договору) и Этапам проекта: Концептуальный куратор, Архитектор, Мультимедийный консультант, Технический заказчик, Генеральный проектировщик, Генеральный подрядчик, Научно-техническое сопровождение, Строительный контроль, Согласующие и надзорные органы и все иные участники, необходимые для реализации проекта.</t>
  </si>
  <si>
    <t>БАЗОВЫЙ ПЛАН ОКАЗАНИЯ УСЛУГ</t>
  </si>
  <si>
    <t>Переменная часть вознаграждения УК за комплекс мероприятий при достижении результатов (Ключевое событие)</t>
  </si>
  <si>
    <t>Постоянная часть (ежемесячное) вознаграждения, без НДС</t>
  </si>
  <si>
    <t>Организация услуг Научно-технического сопровождения на всех этапах реконструкции; подбор, привлечение, координация его взаимодействия со всеми участниками проекта и контроль их работы.</t>
  </si>
  <si>
    <t>Мониторинг рынка услуг, поставщиков оборудования и материалов, анализ рыночной практики в аналогичных проектах и формирование предложений с целью оптимизации Бюджета, Сроков, Качества</t>
  </si>
  <si>
    <t>Иные изыскания и заключения, необходимые для реализации проекта</t>
  </si>
  <si>
    <t>Утвержденный комплекс мероприятий и документов, направленных на защиту объектов культурного наследия при проведении работ вблизи них или на самих объектах</t>
  </si>
  <si>
    <t>Утвержденный комплекс мероприятий и документов, направленных на защиту соседних зданий, сооружений и иных объектов по результатам Оценки зоны влияния</t>
  </si>
  <si>
    <t>Утвержденный комплекс мероприятий и документов, направленных на защиту объектов метрополитена от повреждений при проведении работ в их технической или охранной зоне</t>
  </si>
  <si>
    <t>Утвержденный комплекс мероприятий и документов, направленных на защиту подземных сооружений и инженерных коммуникаций</t>
  </si>
  <si>
    <t xml:space="preserve">Иная проектная документация, необходимая для получения положительного заключения экспертизы </t>
  </si>
  <si>
    <t>Рабочая документация на РСР - "в производство работ" (дизайн и концепция интерьеров, АПР, визуализации, спецификации и т.п. )</t>
  </si>
  <si>
    <t>ИТОГО, ежемесячное вознаграждение за период реализации проекта</t>
  </si>
  <si>
    <t>Наименование Услуг, Этапов и Ключевых событий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</si>
</sst>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* #,##0.00\ &quot;₽&quot;_-;\-* #,##0.00\ &quot;₽&quot;_-;_-* &quot;-&quot;??\ &quot;₽&quot;_-;_-@_-"/>
    <numFmt numFmtId="164" formatCode="_-* #,##0.00_-;\-* #,##0.00_-;_-* &quot;-&quot;??_-;_-@_-"/>
    <numFmt numFmtId="165" formatCode="0.0"/>
    <numFmt numFmtId="166" formatCode="dd\.mm\.yyyy"/>
    <numFmt numFmtId="167" formatCode="_-* #,##0.00\ [$₽-419]_-;\-* #,##0.00\ [$₽-419]_-;_-* &quot;-&quot;??\ [$₽-419]_-;_-@_-"/>
    <numFmt numFmtId="168" formatCode="#,##0.00\ &quot;₽&quot;"/>
    <numFmt numFmtId="169" formatCode="_-* #\.##0.00\ &quot;₽&quot;_-;\-* #\.##0.00\ &quot;₽&quot;_-;_-* \-??\ &quot;₽&quot;_-;_-@_-"/>
    <numFmt numFmtId="170" formatCode="_-* #,##0.00&quot;р.&quot;_-;\-* #,##0.00&quot;р.&quot;_-;_-* &quot;-&quot;??&quot;р.&quot;_-;_-@_-"/>
  </numFmts>
  <fonts count="13" x14ac:knownFonts="1">
    <font>
      <sz val="11"/>
      <color theme="1"/>
      <name val="Arial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color indexed="12"/>
      <name val="Arial"/>
      <family val="2"/>
      <charset val="204"/>
    </font>
    <font>
      <sz val="10"/>
      <color theme="10"/>
      <name val="Arial Cyr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sz val="12"/>
      <name val="Times New Roman Cyr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1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9" fontId="2" fillId="0" borderId="0">
      <alignment vertical="center"/>
    </xf>
    <xf numFmtId="0" fontId="3" fillId="0" borderId="0">
      <alignment vertical="top"/>
    </xf>
    <xf numFmtId="0" fontId="1" fillId="0" borderId="0"/>
    <xf numFmtId="0" fontId="4" fillId="0" borderId="0"/>
    <xf numFmtId="170" fontId="5" fillId="0" borderId="0"/>
    <xf numFmtId="0" fontId="5" fillId="0" borderId="0"/>
    <xf numFmtId="0" fontId="6" fillId="0" borderId="0"/>
    <xf numFmtId="0" fontId="7" fillId="0" borderId="0"/>
    <xf numFmtId="9" fontId="5" fillId="0" borderId="0"/>
    <xf numFmtId="164" fontId="5" fillId="0" borderId="0"/>
  </cellStyleXfs>
  <cellXfs count="58">
    <xf numFmtId="0" fontId="0" fillId="0" borderId="0" xfId="0"/>
    <xf numFmtId="0" fontId="8" fillId="0" borderId="1" xfId="0" applyFont="1" applyBorder="1"/>
    <xf numFmtId="0" fontId="8" fillId="0" borderId="1" xfId="0" applyFont="1" applyFill="1" applyBorder="1"/>
    <xf numFmtId="0" fontId="9" fillId="0" borderId="0" xfId="6" applyFont="1" applyFill="1" applyAlignment="1">
      <alignment horizontal="center" vertical="center"/>
    </xf>
    <xf numFmtId="0" fontId="8" fillId="0" borderId="1" xfId="0" applyFont="1" applyBorder="1" applyAlignment="1"/>
    <xf numFmtId="1" fontId="10" fillId="0" borderId="0" xfId="6" applyNumberFormat="1" applyFont="1"/>
    <xf numFmtId="0" fontId="10" fillId="0" borderId="0" xfId="6" applyFont="1"/>
    <xf numFmtId="0" fontId="10" fillId="0" borderId="0" xfId="6" applyFont="1" applyAlignment="1">
      <alignment horizontal="center" vertical="center"/>
    </xf>
    <xf numFmtId="1" fontId="9" fillId="0" borderId="1" xfId="8" applyNumberFormat="1" applyFont="1" applyBorder="1" applyAlignment="1">
      <alignment horizontal="center" vertical="center" wrapText="1"/>
    </xf>
    <xf numFmtId="165" fontId="9" fillId="2" borderId="1" xfId="8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3" borderId="1" xfId="8" applyFont="1" applyFill="1" applyBorder="1" applyAlignment="1">
      <alignment horizontal="center" vertical="center" wrapText="1"/>
    </xf>
    <xf numFmtId="0" fontId="9" fillId="3" borderId="1" xfId="6" applyFont="1" applyFill="1" applyBorder="1" applyAlignment="1">
      <alignment horizontal="left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167" fontId="9" fillId="3" borderId="1" xfId="1" applyNumberFormat="1" applyFont="1" applyFill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0" fillId="0" borderId="1" xfId="8" applyFont="1" applyFill="1" applyBorder="1" applyAlignment="1">
      <alignment horizontal="center" vertical="center" wrapText="1"/>
    </xf>
    <xf numFmtId="0" fontId="10" fillId="0" borderId="1" xfId="6" applyFont="1" applyFill="1" applyBorder="1" applyAlignment="1">
      <alignment horizontal="left" vertical="center" wrapText="1"/>
    </xf>
    <xf numFmtId="14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166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" xfId="0" applyNumberFormat="1" applyFont="1" applyFill="1" applyBorder="1" applyAlignment="1">
      <alignment horizontal="center" vertical="center" wrapText="1"/>
    </xf>
    <xf numFmtId="167" fontId="10" fillId="6" borderId="1" xfId="1" applyNumberFormat="1" applyFont="1" applyFill="1" applyBorder="1" applyAlignment="1" applyProtection="1">
      <alignment horizontal="center" vertical="center"/>
      <protection locked="0"/>
    </xf>
    <xf numFmtId="0" fontId="10" fillId="0" borderId="0" xfId="6" applyFont="1" applyFill="1" applyAlignment="1">
      <alignment horizontal="center" vertical="center"/>
    </xf>
    <xf numFmtId="0" fontId="10" fillId="0" borderId="1" xfId="6" applyFont="1" applyBorder="1" applyAlignment="1">
      <alignment horizontal="left" vertical="center" wrapText="1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168" fontId="10" fillId="0" borderId="1" xfId="8" applyNumberFormat="1" applyFont="1" applyFill="1" applyBorder="1" applyAlignment="1">
      <alignment horizontal="left" vertical="center" wrapText="1"/>
    </xf>
    <xf numFmtId="49" fontId="11" fillId="5" borderId="1" xfId="6" applyNumberFormat="1" applyFont="1" applyFill="1" applyBorder="1" applyAlignment="1">
      <alignment horizontal="center" vertical="center" wrapText="1"/>
    </xf>
    <xf numFmtId="0" fontId="12" fillId="5" borderId="1" xfId="6" applyFont="1" applyFill="1" applyBorder="1" applyAlignment="1">
      <alignment horizontal="left" vertical="center" wrapText="1"/>
    </xf>
    <xf numFmtId="167" fontId="11" fillId="5" borderId="1" xfId="1" applyNumberFormat="1" applyFont="1" applyFill="1" applyBorder="1">
      <alignment vertical="center"/>
    </xf>
    <xf numFmtId="49" fontId="11" fillId="0" borderId="1" xfId="6" applyNumberFormat="1" applyFont="1" applyFill="1" applyBorder="1" applyAlignment="1">
      <alignment horizontal="center" vertical="center" wrapText="1"/>
    </xf>
    <xf numFmtId="0" fontId="12" fillId="0" borderId="1" xfId="6" applyFont="1" applyFill="1" applyBorder="1" applyAlignment="1">
      <alignment horizontal="left" vertical="center" wrapText="1"/>
    </xf>
    <xf numFmtId="167" fontId="11" fillId="0" borderId="1" xfId="1" applyNumberFormat="1" applyFont="1" applyFill="1" applyBorder="1">
      <alignment vertical="center"/>
    </xf>
    <xf numFmtId="0" fontId="10" fillId="0" borderId="1" xfId="0" applyFont="1" applyFill="1" applyBorder="1" applyAlignment="1">
      <alignment horizontal="left" vertical="center" wrapText="1"/>
    </xf>
    <xf numFmtId="167" fontId="9" fillId="6" borderId="1" xfId="1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left" vertical="center" wrapText="1"/>
    </xf>
    <xf numFmtId="0" fontId="9" fillId="4" borderId="1" xfId="8" quotePrefix="1" applyFont="1" applyFill="1" applyBorder="1" applyAlignment="1">
      <alignment horizontal="center" vertical="center" wrapText="1"/>
    </xf>
    <xf numFmtId="0" fontId="9" fillId="4" borderId="1" xfId="6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8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166" fontId="9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8" quotePrefix="1" applyFont="1" applyFill="1" applyBorder="1" applyAlignment="1">
      <alignment horizontal="center" vertical="center" wrapText="1"/>
    </xf>
    <xf numFmtId="16" fontId="9" fillId="0" borderId="1" xfId="8" quotePrefix="1" applyNumberFormat="1" applyFont="1" applyFill="1" applyBorder="1" applyAlignment="1">
      <alignment horizontal="center" vertical="center" wrapText="1"/>
    </xf>
    <xf numFmtId="0" fontId="9" fillId="0" borderId="0" xfId="6" applyFont="1" applyFill="1" applyAlignment="1">
      <alignment horizontal="left" vertical="center"/>
    </xf>
    <xf numFmtId="168" fontId="9" fillId="4" borderId="1" xfId="8" applyNumberFormat="1" applyFont="1" applyFill="1" applyBorder="1" applyAlignment="1">
      <alignment horizontal="center" vertical="center" wrapText="1"/>
    </xf>
    <xf numFmtId="0" fontId="10" fillId="0" borderId="1" xfId="8" applyFont="1" applyBorder="1" applyAlignment="1">
      <alignment vertical="center" wrapText="1"/>
    </xf>
    <xf numFmtId="14" fontId="10" fillId="0" borderId="1" xfId="8" applyNumberFormat="1" applyFont="1" applyBorder="1" applyAlignment="1">
      <alignment vertical="center" wrapText="1"/>
    </xf>
    <xf numFmtId="168" fontId="9" fillId="4" borderId="1" xfId="8" quotePrefix="1" applyNumberFormat="1" applyFont="1" applyFill="1" applyBorder="1" applyAlignment="1">
      <alignment horizontal="center" vertical="center" wrapText="1"/>
    </xf>
    <xf numFmtId="168" fontId="10" fillId="0" borderId="1" xfId="8" applyNumberFormat="1" applyFont="1" applyBorder="1" applyAlignment="1">
      <alignment horizontal="left" vertical="center" wrapText="1"/>
    </xf>
    <xf numFmtId="0" fontId="10" fillId="0" borderId="1" xfId="8" applyFont="1" applyBorder="1" applyAlignment="1">
      <alignment horizontal="left" vertical="center" wrapText="1"/>
    </xf>
    <xf numFmtId="49" fontId="11" fillId="5" borderId="1" xfId="8" applyNumberFormat="1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167" fontId="11" fillId="5" borderId="1" xfId="1" applyNumberFormat="1" applyFont="1" applyFill="1" applyBorder="1" applyAlignment="1">
      <alignment horizontal="center" vertical="center"/>
    </xf>
    <xf numFmtId="44" fontId="11" fillId="5" borderId="1" xfId="1" applyNumberFormat="1" applyFont="1" applyFill="1" applyBorder="1" applyAlignment="1">
      <alignment horizontal="center" vertical="center"/>
    </xf>
    <xf numFmtId="0" fontId="9" fillId="0" borderId="0" xfId="6" applyFont="1" applyAlignment="1">
      <alignment horizontal="right"/>
    </xf>
  </cellXfs>
  <cellStyles count="11">
    <cellStyle name="Hyperlink 2" xfId="2" xr:uid="{00000000-0005-0000-0000-000002000000}"/>
    <cellStyle name="Normal 2" xfId="3" xr:uid="{00000000-0005-0000-0000-000003000000}"/>
    <cellStyle name="Гиперссылка 2" xfId="4" xr:uid="{00000000-0005-0000-0000-000004000000}"/>
    <cellStyle name="Денежный" xfId="1" builtinId="4"/>
    <cellStyle name="Денежный 2" xfId="5" xr:uid="{00000000-0005-0000-0000-000005000000}"/>
    <cellStyle name="Обычный" xfId="0" builtinId="0"/>
    <cellStyle name="Обычный 2" xfId="6" xr:uid="{00000000-0005-0000-0000-000006000000}"/>
    <cellStyle name="Обычный 3" xfId="7" xr:uid="{00000000-0005-0000-0000-000007000000}"/>
    <cellStyle name="Обычный_Смета_динамо" xfId="8" xr:uid="{00000000-0005-0000-0000-000008000000}"/>
    <cellStyle name="Процентный 2" xfId="9" xr:uid="{00000000-0005-0000-0000-000009000000}"/>
    <cellStyle name="Финансовый 2" xfId="10" xr:uid="{00000000-0005-0000-0000-00000A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7B0E-DBFB-4FFF-BC9A-CD46CC71BDE5}">
  <sheetPr>
    <pageSetUpPr fitToPage="1"/>
  </sheetPr>
  <dimension ref="B1:H124"/>
  <sheetViews>
    <sheetView showGridLines="0" tabSelected="1" zoomScale="85" zoomScaleNormal="85" workbookViewId="0"/>
  </sheetViews>
  <sheetFormatPr defaultColWidth="9.25" defaultRowHeight="15" x14ac:dyDescent="0.25"/>
  <cols>
    <col min="1" max="1" width="1.625" style="6" customWidth="1"/>
    <col min="2" max="2" width="5.75" style="5" customWidth="1"/>
    <col min="3" max="3" width="52.5" style="6" customWidth="1"/>
    <col min="4" max="4" width="20.625" style="7" customWidth="1"/>
    <col min="5" max="7" width="20.625" style="6" customWidth="1"/>
    <col min="8" max="10" width="9.25" style="6" customWidth="1"/>
    <col min="11" max="16384" width="9.25" style="6"/>
  </cols>
  <sheetData>
    <row r="1" spans="2:7" x14ac:dyDescent="0.25">
      <c r="G1" s="57" t="s">
        <v>78</v>
      </c>
    </row>
    <row r="2" spans="2:7" x14ac:dyDescent="0.25">
      <c r="G2" s="57" t="s">
        <v>80</v>
      </c>
    </row>
    <row r="5" spans="2:7" s="7" customFormat="1" ht="28.5" x14ac:dyDescent="0.2">
      <c r="B5" s="8" t="s">
        <v>0</v>
      </c>
      <c r="C5" s="9" t="s">
        <v>93</v>
      </c>
      <c r="D5" s="10" t="s">
        <v>1</v>
      </c>
      <c r="E5" s="10" t="s">
        <v>2</v>
      </c>
      <c r="F5" s="10" t="s">
        <v>3</v>
      </c>
      <c r="G5" s="11" t="s">
        <v>7</v>
      </c>
    </row>
    <row r="6" spans="2:7" s="7" customFormat="1" x14ac:dyDescent="0.2">
      <c r="B6" s="8">
        <v>1</v>
      </c>
      <c r="C6" s="8">
        <f t="shared" ref="C6" si="0">+B6+1</f>
        <v>2</v>
      </c>
      <c r="D6" s="8">
        <f t="shared" ref="D6" si="1">+C6+1</f>
        <v>3</v>
      </c>
      <c r="E6" s="8">
        <f t="shared" ref="E6" si="2">+D6+1</f>
        <v>4</v>
      </c>
      <c r="F6" s="8">
        <f t="shared" ref="F6" si="3">+E6+1</f>
        <v>5</v>
      </c>
      <c r="G6" s="8">
        <f t="shared" ref="G6" si="4">+F6+1</f>
        <v>6</v>
      </c>
    </row>
    <row r="7" spans="2:7" s="17" customFormat="1" ht="14.25" x14ac:dyDescent="0.2">
      <c r="B7" s="12"/>
      <c r="C7" s="13" t="s">
        <v>6</v>
      </c>
      <c r="D7" s="14">
        <f>SMALL(D8:D26,1)</f>
        <v>46266</v>
      </c>
      <c r="E7" s="14">
        <f>LARGE(E8:E26,1)</f>
        <v>48092</v>
      </c>
      <c r="F7" s="15">
        <f>+E7-D7</f>
        <v>1826</v>
      </c>
      <c r="G7" s="16">
        <f>SUM(G8:G26)</f>
        <v>0</v>
      </c>
    </row>
    <row r="8" spans="2:7" s="24" customFormat="1" ht="120" x14ac:dyDescent="0.2">
      <c r="B8" s="18"/>
      <c r="C8" s="19" t="s">
        <v>79</v>
      </c>
      <c r="D8" s="20">
        <v>46266</v>
      </c>
      <c r="E8" s="21">
        <v>48092</v>
      </c>
      <c r="F8" s="22">
        <f>+E8-D8</f>
        <v>1826</v>
      </c>
      <c r="G8" s="23"/>
    </row>
    <row r="9" spans="2:7" s="24" customFormat="1" ht="60" x14ac:dyDescent="0.2">
      <c r="B9" s="18"/>
      <c r="C9" s="19" t="s">
        <v>75</v>
      </c>
      <c r="D9" s="20"/>
      <c r="E9" s="21"/>
      <c r="F9" s="22">
        <f t="shared" ref="F9:F26" si="5">+E9-D9</f>
        <v>0</v>
      </c>
      <c r="G9" s="23"/>
    </row>
    <row r="10" spans="2:7" s="24" customFormat="1" ht="75" x14ac:dyDescent="0.2">
      <c r="B10" s="18"/>
      <c r="C10" s="25" t="s">
        <v>11</v>
      </c>
      <c r="D10" s="20"/>
      <c r="E10" s="21"/>
      <c r="F10" s="22">
        <f t="shared" si="5"/>
        <v>0</v>
      </c>
      <c r="G10" s="23"/>
    </row>
    <row r="11" spans="2:7" s="24" customFormat="1" ht="90" x14ac:dyDescent="0.2">
      <c r="B11" s="18"/>
      <c r="C11" s="19" t="s">
        <v>54</v>
      </c>
      <c r="D11" s="26"/>
      <c r="E11" s="21"/>
      <c r="F11" s="22">
        <f t="shared" si="5"/>
        <v>0</v>
      </c>
      <c r="G11" s="23"/>
    </row>
    <row r="12" spans="2:7" s="24" customFormat="1" ht="150" x14ac:dyDescent="0.2">
      <c r="B12" s="18"/>
      <c r="C12" s="25" t="s">
        <v>12</v>
      </c>
      <c r="D12" s="20"/>
      <c r="E12" s="21"/>
      <c r="F12" s="22">
        <f t="shared" si="5"/>
        <v>0</v>
      </c>
      <c r="G12" s="23"/>
    </row>
    <row r="13" spans="2:7" s="24" customFormat="1" ht="75" x14ac:dyDescent="0.2">
      <c r="B13" s="18"/>
      <c r="C13" s="25" t="s">
        <v>48</v>
      </c>
      <c r="D13" s="20"/>
      <c r="E13" s="21"/>
      <c r="F13" s="22">
        <f t="shared" si="5"/>
        <v>0</v>
      </c>
      <c r="G13" s="23"/>
    </row>
    <row r="14" spans="2:7" s="24" customFormat="1" ht="45" x14ac:dyDescent="0.2">
      <c r="B14" s="18"/>
      <c r="C14" s="25" t="s">
        <v>53</v>
      </c>
      <c r="D14" s="20"/>
      <c r="E14" s="21"/>
      <c r="F14" s="22">
        <f t="shared" si="5"/>
        <v>0</v>
      </c>
      <c r="G14" s="23"/>
    </row>
    <row r="15" spans="2:7" s="24" customFormat="1" ht="60" x14ac:dyDescent="0.2">
      <c r="B15" s="18"/>
      <c r="C15" s="25" t="s">
        <v>83</v>
      </c>
      <c r="D15" s="20"/>
      <c r="E15" s="21"/>
      <c r="F15" s="22">
        <f t="shared" si="5"/>
        <v>0</v>
      </c>
      <c r="G15" s="23"/>
    </row>
    <row r="16" spans="2:7" s="17" customFormat="1" ht="45" x14ac:dyDescent="0.2">
      <c r="B16" s="18"/>
      <c r="C16" s="19" t="s">
        <v>50</v>
      </c>
      <c r="D16" s="26"/>
      <c r="E16" s="21"/>
      <c r="F16" s="22">
        <f t="shared" si="5"/>
        <v>0</v>
      </c>
      <c r="G16" s="23"/>
    </row>
    <row r="17" spans="2:7" s="17" customFormat="1" ht="30" x14ac:dyDescent="0.2">
      <c r="B17" s="18"/>
      <c r="C17" s="27" t="s">
        <v>13</v>
      </c>
      <c r="D17" s="26"/>
      <c r="E17" s="21"/>
      <c r="F17" s="22">
        <f t="shared" si="5"/>
        <v>0</v>
      </c>
      <c r="G17" s="23"/>
    </row>
    <row r="18" spans="2:7" s="17" customFormat="1" ht="45" x14ac:dyDescent="0.2">
      <c r="B18" s="18"/>
      <c r="C18" s="19" t="s">
        <v>14</v>
      </c>
      <c r="D18" s="26"/>
      <c r="E18" s="21"/>
      <c r="F18" s="22">
        <f t="shared" si="5"/>
        <v>0</v>
      </c>
      <c r="G18" s="23"/>
    </row>
    <row r="19" spans="2:7" s="17" customFormat="1" ht="45" x14ac:dyDescent="0.2">
      <c r="B19" s="18"/>
      <c r="C19" s="19" t="s">
        <v>15</v>
      </c>
      <c r="D19" s="26"/>
      <c r="E19" s="21"/>
      <c r="F19" s="22">
        <f t="shared" si="5"/>
        <v>0</v>
      </c>
      <c r="G19" s="23"/>
    </row>
    <row r="20" spans="2:7" s="17" customFormat="1" ht="60" x14ac:dyDescent="0.2">
      <c r="B20" s="18"/>
      <c r="C20" s="27" t="s">
        <v>49</v>
      </c>
      <c r="D20" s="26"/>
      <c r="E20" s="21"/>
      <c r="F20" s="22">
        <f t="shared" si="5"/>
        <v>0</v>
      </c>
      <c r="G20" s="23"/>
    </row>
    <row r="21" spans="2:7" s="17" customFormat="1" ht="45" x14ac:dyDescent="0.2">
      <c r="B21" s="18"/>
      <c r="C21" s="19" t="s">
        <v>16</v>
      </c>
      <c r="D21" s="26"/>
      <c r="E21" s="21"/>
      <c r="F21" s="22">
        <f t="shared" si="5"/>
        <v>0</v>
      </c>
      <c r="G21" s="23"/>
    </row>
    <row r="22" spans="2:7" s="17" customFormat="1" ht="30" x14ac:dyDescent="0.2">
      <c r="B22" s="18"/>
      <c r="C22" s="19" t="s">
        <v>17</v>
      </c>
      <c r="D22" s="26"/>
      <c r="E22" s="21"/>
      <c r="F22" s="22">
        <f t="shared" si="5"/>
        <v>0</v>
      </c>
      <c r="G22" s="23"/>
    </row>
    <row r="23" spans="2:7" s="17" customFormat="1" ht="120" x14ac:dyDescent="0.2">
      <c r="B23" s="18"/>
      <c r="C23" s="19" t="s">
        <v>18</v>
      </c>
      <c r="D23" s="26"/>
      <c r="E23" s="21"/>
      <c r="F23" s="22">
        <f t="shared" si="5"/>
        <v>0</v>
      </c>
      <c r="G23" s="23"/>
    </row>
    <row r="24" spans="2:7" s="17" customFormat="1" ht="60" x14ac:dyDescent="0.2">
      <c r="B24" s="18"/>
      <c r="C24" s="19" t="s">
        <v>84</v>
      </c>
      <c r="D24" s="26"/>
      <c r="E24" s="21"/>
      <c r="F24" s="22">
        <f t="shared" si="5"/>
        <v>0</v>
      </c>
      <c r="G24" s="23"/>
    </row>
    <row r="25" spans="2:7" s="17" customFormat="1" ht="45" x14ac:dyDescent="0.2">
      <c r="B25" s="18"/>
      <c r="C25" s="19" t="s">
        <v>76</v>
      </c>
      <c r="D25" s="26"/>
      <c r="E25" s="21"/>
      <c r="F25" s="22">
        <f t="shared" si="5"/>
        <v>0</v>
      </c>
      <c r="G25" s="23"/>
    </row>
    <row r="26" spans="2:7" s="17" customFormat="1" ht="45" x14ac:dyDescent="0.2">
      <c r="B26" s="18"/>
      <c r="C26" s="19" t="s">
        <v>77</v>
      </c>
      <c r="D26" s="26"/>
      <c r="E26" s="21"/>
      <c r="F26" s="22">
        <f t="shared" si="5"/>
        <v>0</v>
      </c>
      <c r="G26" s="23"/>
    </row>
    <row r="27" spans="2:7" s="17" customFormat="1" ht="28.5" x14ac:dyDescent="0.2">
      <c r="B27" s="28"/>
      <c r="C27" s="29" t="s">
        <v>82</v>
      </c>
      <c r="D27" s="30"/>
      <c r="E27" s="30"/>
      <c r="F27" s="30"/>
      <c r="G27" s="30">
        <f>SUM(G8:G26)</f>
        <v>0</v>
      </c>
    </row>
    <row r="28" spans="2:7" s="3" customFormat="1" x14ac:dyDescent="0.2">
      <c r="B28" s="31"/>
      <c r="C28" s="32"/>
      <c r="D28" s="33"/>
      <c r="E28" s="33"/>
      <c r="F28" s="33"/>
      <c r="G28" s="33"/>
    </row>
    <row r="29" spans="2:7" s="17" customFormat="1" ht="34.5" customHeight="1" x14ac:dyDescent="0.2">
      <c r="B29" s="28"/>
      <c r="C29" s="29" t="s">
        <v>81</v>
      </c>
      <c r="D29" s="30"/>
      <c r="E29" s="30"/>
      <c r="F29" s="30"/>
      <c r="G29" s="30"/>
    </row>
    <row r="30" spans="2:7" s="7" customFormat="1" ht="28.5" x14ac:dyDescent="0.2">
      <c r="B30" s="12">
        <v>1</v>
      </c>
      <c r="C30" s="13" t="s">
        <v>8</v>
      </c>
      <c r="D30" s="14" t="e">
        <f>SMALL(D31:D34,1)</f>
        <v>#NUM!</v>
      </c>
      <c r="E30" s="14" t="e">
        <f>LARGE(E31:E34,1)</f>
        <v>#NUM!</v>
      </c>
      <c r="F30" s="15" t="e">
        <f>+E30-D30</f>
        <v>#NUM!</v>
      </c>
      <c r="G30" s="16">
        <f>SUM(G31:G35)</f>
        <v>0</v>
      </c>
    </row>
    <row r="31" spans="2:7" s="7" customFormat="1" ht="60" x14ac:dyDescent="0.25">
      <c r="B31" s="1"/>
      <c r="C31" s="34" t="s">
        <v>55</v>
      </c>
      <c r="D31" s="20"/>
      <c r="E31" s="20"/>
      <c r="F31" s="22">
        <f t="shared" ref="F31:F34" si="6">+E31-D31</f>
        <v>0</v>
      </c>
      <c r="G31" s="35"/>
    </row>
    <row r="32" spans="2:7" s="7" customFormat="1" x14ac:dyDescent="0.25">
      <c r="B32" s="1"/>
      <c r="C32" s="36" t="s">
        <v>21</v>
      </c>
      <c r="D32" s="20"/>
      <c r="E32" s="20"/>
      <c r="F32" s="22">
        <f t="shared" si="6"/>
        <v>0</v>
      </c>
      <c r="G32" s="35"/>
    </row>
    <row r="33" spans="2:7" s="7" customFormat="1" x14ac:dyDescent="0.25">
      <c r="B33" s="1"/>
      <c r="C33" s="36" t="s">
        <v>20</v>
      </c>
      <c r="D33" s="20"/>
      <c r="E33" s="20"/>
      <c r="F33" s="22">
        <f t="shared" si="6"/>
        <v>0</v>
      </c>
      <c r="G33" s="35"/>
    </row>
    <row r="34" spans="2:7" s="7" customFormat="1" x14ac:dyDescent="0.25">
      <c r="B34" s="1"/>
      <c r="C34" s="36" t="s">
        <v>19</v>
      </c>
      <c r="D34" s="20"/>
      <c r="E34" s="20"/>
      <c r="F34" s="22">
        <f t="shared" si="6"/>
        <v>0</v>
      </c>
      <c r="G34" s="35"/>
    </row>
    <row r="35" spans="2:7" s="7" customFormat="1" x14ac:dyDescent="0.2">
      <c r="B35" s="37"/>
      <c r="C35" s="38" t="s">
        <v>5</v>
      </c>
      <c r="D35" s="39"/>
      <c r="E35" s="39"/>
      <c r="F35" s="39"/>
      <c r="G35" s="35"/>
    </row>
    <row r="36" spans="2:7" s="24" customFormat="1" ht="42.75" x14ac:dyDescent="0.2">
      <c r="B36" s="12">
        <v>2</v>
      </c>
      <c r="C36" s="13" t="s">
        <v>10</v>
      </c>
      <c r="D36" s="14" t="e">
        <f>SMALL(D37:D41,1)</f>
        <v>#NUM!</v>
      </c>
      <c r="E36" s="14" t="e">
        <f>LARGE(E37:E41,1)</f>
        <v>#NUM!</v>
      </c>
      <c r="F36" s="15" t="e">
        <f>+E36-D36</f>
        <v>#NUM!</v>
      </c>
      <c r="G36" s="16">
        <f>SUM(G37:G42)</f>
        <v>0</v>
      </c>
    </row>
    <row r="37" spans="2:7" s="24" customFormat="1" ht="45" x14ac:dyDescent="0.2">
      <c r="B37" s="40"/>
      <c r="C37" s="27" t="s">
        <v>68</v>
      </c>
      <c r="D37" s="41"/>
      <c r="E37" s="42"/>
      <c r="F37" s="22">
        <f t="shared" ref="F37:F41" si="7">+E37-D37</f>
        <v>0</v>
      </c>
      <c r="G37" s="35"/>
    </row>
    <row r="38" spans="2:7" s="24" customFormat="1" ht="30" x14ac:dyDescent="0.2">
      <c r="B38" s="40"/>
      <c r="C38" s="27" t="s">
        <v>56</v>
      </c>
      <c r="D38" s="41"/>
      <c r="E38" s="42"/>
      <c r="F38" s="22">
        <f t="shared" si="7"/>
        <v>0</v>
      </c>
      <c r="G38" s="35"/>
    </row>
    <row r="39" spans="2:7" s="24" customFormat="1" x14ac:dyDescent="0.2">
      <c r="B39" s="40"/>
      <c r="C39" s="27" t="s">
        <v>27</v>
      </c>
      <c r="D39" s="41"/>
      <c r="E39" s="42"/>
      <c r="F39" s="22">
        <f t="shared" si="7"/>
        <v>0</v>
      </c>
      <c r="G39" s="35"/>
    </row>
    <row r="40" spans="2:7" s="24" customFormat="1" ht="30" x14ac:dyDescent="0.2">
      <c r="B40" s="43"/>
      <c r="C40" s="27" t="s">
        <v>29</v>
      </c>
      <c r="D40" s="41"/>
      <c r="E40" s="42"/>
      <c r="F40" s="22">
        <f t="shared" si="7"/>
        <v>0</v>
      </c>
      <c r="G40" s="35"/>
    </row>
    <row r="41" spans="2:7" s="7" customFormat="1" ht="30" x14ac:dyDescent="0.25">
      <c r="B41" s="2"/>
      <c r="C41" s="27" t="s">
        <v>28</v>
      </c>
      <c r="D41" s="20"/>
      <c r="E41" s="20"/>
      <c r="F41" s="22">
        <f t="shared" si="7"/>
        <v>0</v>
      </c>
      <c r="G41" s="23"/>
    </row>
    <row r="42" spans="2:7" s="7" customFormat="1" x14ac:dyDescent="0.2">
      <c r="B42" s="37"/>
      <c r="C42" s="38" t="s">
        <v>5</v>
      </c>
      <c r="D42" s="39"/>
      <c r="E42" s="39"/>
      <c r="F42" s="39"/>
      <c r="G42" s="35"/>
    </row>
    <row r="43" spans="2:7" s="24" customFormat="1" x14ac:dyDescent="0.2">
      <c r="B43" s="12">
        <v>3</v>
      </c>
      <c r="C43" s="13" t="s">
        <v>9</v>
      </c>
      <c r="D43" s="14" t="e">
        <f>SMALL(D44:D52,1)</f>
        <v>#NUM!</v>
      </c>
      <c r="E43" s="14" t="e">
        <f>LARGE(E44:E52,1)</f>
        <v>#NUM!</v>
      </c>
      <c r="F43" s="15" t="e">
        <f>+E43-D43</f>
        <v>#NUM!</v>
      </c>
      <c r="G43" s="16">
        <f>SUM(G44:G53)</f>
        <v>0</v>
      </c>
    </row>
    <row r="44" spans="2:7" s="24" customFormat="1" ht="30" x14ac:dyDescent="0.2">
      <c r="B44" s="44"/>
      <c r="C44" s="19" t="s">
        <v>30</v>
      </c>
      <c r="D44" s="41"/>
      <c r="E44" s="42"/>
      <c r="F44" s="22">
        <f t="shared" ref="F44:F52" si="8">+E44-D44</f>
        <v>0</v>
      </c>
      <c r="G44" s="35"/>
    </row>
    <row r="45" spans="2:7" s="24" customFormat="1" ht="30" x14ac:dyDescent="0.2">
      <c r="B45" s="44"/>
      <c r="C45" s="19" t="s">
        <v>31</v>
      </c>
      <c r="D45" s="41"/>
      <c r="E45" s="42"/>
      <c r="F45" s="22">
        <f t="shared" si="8"/>
        <v>0</v>
      </c>
      <c r="G45" s="35"/>
    </row>
    <row r="46" spans="2:7" s="3" customFormat="1" ht="30" x14ac:dyDescent="0.2">
      <c r="B46" s="44"/>
      <c r="C46" s="19" t="s">
        <v>57</v>
      </c>
      <c r="D46" s="41"/>
      <c r="E46" s="42"/>
      <c r="F46" s="22">
        <f t="shared" si="8"/>
        <v>0</v>
      </c>
      <c r="G46" s="35"/>
    </row>
    <row r="47" spans="2:7" s="3" customFormat="1" ht="30" x14ac:dyDescent="0.2">
      <c r="B47" s="44"/>
      <c r="C47" s="19" t="s">
        <v>58</v>
      </c>
      <c r="D47" s="41"/>
      <c r="E47" s="42"/>
      <c r="F47" s="22">
        <f t="shared" si="8"/>
        <v>0</v>
      </c>
      <c r="G47" s="35"/>
    </row>
    <row r="48" spans="2:7" s="3" customFormat="1" ht="30" x14ac:dyDescent="0.2">
      <c r="B48" s="44"/>
      <c r="C48" s="19" t="s">
        <v>32</v>
      </c>
      <c r="D48" s="41"/>
      <c r="E48" s="42"/>
      <c r="F48" s="22">
        <f t="shared" si="8"/>
        <v>0</v>
      </c>
      <c r="G48" s="35"/>
    </row>
    <row r="49" spans="2:7" s="45" customFormat="1" ht="30" x14ac:dyDescent="0.2">
      <c r="B49" s="44"/>
      <c r="C49" s="19" t="s">
        <v>33</v>
      </c>
      <c r="D49" s="41"/>
      <c r="E49" s="42"/>
      <c r="F49" s="22">
        <f t="shared" si="8"/>
        <v>0</v>
      </c>
      <c r="G49" s="35"/>
    </row>
    <row r="50" spans="2:7" s="45" customFormat="1" x14ac:dyDescent="0.2">
      <c r="B50" s="44"/>
      <c r="C50" s="19" t="s">
        <v>51</v>
      </c>
      <c r="D50" s="41"/>
      <c r="E50" s="42"/>
      <c r="F50" s="22">
        <f t="shared" si="8"/>
        <v>0</v>
      </c>
      <c r="G50" s="35"/>
    </row>
    <row r="51" spans="2:7" s="7" customFormat="1" ht="30" x14ac:dyDescent="0.2">
      <c r="B51" s="44"/>
      <c r="C51" s="19" t="s">
        <v>34</v>
      </c>
      <c r="D51" s="41"/>
      <c r="E51" s="42"/>
      <c r="F51" s="22">
        <f t="shared" si="8"/>
        <v>0</v>
      </c>
      <c r="G51" s="35"/>
    </row>
    <row r="52" spans="2:7" s="45" customFormat="1" ht="30" x14ac:dyDescent="0.2">
      <c r="B52" s="44"/>
      <c r="C52" s="19" t="s">
        <v>85</v>
      </c>
      <c r="D52" s="41"/>
      <c r="E52" s="42"/>
      <c r="F52" s="22">
        <f t="shared" si="8"/>
        <v>0</v>
      </c>
      <c r="G52" s="35"/>
    </row>
    <row r="53" spans="2:7" s="7" customFormat="1" x14ac:dyDescent="0.2">
      <c r="B53" s="46"/>
      <c r="C53" s="38" t="s">
        <v>5</v>
      </c>
      <c r="D53" s="39"/>
      <c r="E53" s="39"/>
      <c r="F53" s="39"/>
      <c r="G53" s="35"/>
    </row>
    <row r="54" spans="2:7" s="7" customFormat="1" ht="42.75" x14ac:dyDescent="0.2">
      <c r="B54" s="12">
        <v>4</v>
      </c>
      <c r="C54" s="13" t="s">
        <v>22</v>
      </c>
      <c r="D54" s="14" t="e">
        <f>SMALL(D55:D66,1)</f>
        <v>#NUM!</v>
      </c>
      <c r="E54" s="14" t="e">
        <f>LARGE(E55:E66,1)</f>
        <v>#NUM!</v>
      </c>
      <c r="F54" s="15" t="e">
        <f>+E54-D54</f>
        <v>#NUM!</v>
      </c>
      <c r="G54" s="16">
        <f>SUM(G55:G67)</f>
        <v>0</v>
      </c>
    </row>
    <row r="55" spans="2:7" s="7" customFormat="1" x14ac:dyDescent="0.25">
      <c r="B55" s="1"/>
      <c r="C55" s="27" t="s">
        <v>39</v>
      </c>
      <c r="D55" s="20"/>
      <c r="E55" s="20"/>
      <c r="F55" s="22">
        <f t="shared" ref="F55:F66" si="9">+E55-D55</f>
        <v>0</v>
      </c>
      <c r="G55" s="23"/>
    </row>
    <row r="56" spans="2:7" s="7" customFormat="1" x14ac:dyDescent="0.25">
      <c r="B56" s="1"/>
      <c r="C56" s="27" t="s">
        <v>35</v>
      </c>
      <c r="D56" s="20"/>
      <c r="E56" s="20"/>
      <c r="F56" s="22">
        <f t="shared" si="9"/>
        <v>0</v>
      </c>
      <c r="G56" s="23"/>
    </row>
    <row r="57" spans="2:7" s="7" customFormat="1" ht="30" x14ac:dyDescent="0.25">
      <c r="B57" s="1"/>
      <c r="C57" s="27" t="s">
        <v>52</v>
      </c>
      <c r="D57" s="20"/>
      <c r="E57" s="20"/>
      <c r="F57" s="22">
        <f t="shared" si="9"/>
        <v>0</v>
      </c>
      <c r="G57" s="23"/>
    </row>
    <row r="58" spans="2:7" s="7" customFormat="1" ht="60" x14ac:dyDescent="0.25">
      <c r="B58" s="1"/>
      <c r="C58" s="27" t="s">
        <v>36</v>
      </c>
      <c r="D58" s="20"/>
      <c r="E58" s="20"/>
      <c r="F58" s="22">
        <f t="shared" si="9"/>
        <v>0</v>
      </c>
      <c r="G58" s="23"/>
    </row>
    <row r="59" spans="2:7" s="7" customFormat="1" x14ac:dyDescent="0.25">
      <c r="B59" s="1"/>
      <c r="C59" s="27" t="s">
        <v>37</v>
      </c>
      <c r="D59" s="20"/>
      <c r="E59" s="20"/>
      <c r="F59" s="22">
        <f t="shared" si="9"/>
        <v>0</v>
      </c>
      <c r="G59" s="23"/>
    </row>
    <row r="60" spans="2:7" s="7" customFormat="1" ht="45" x14ac:dyDescent="0.25">
      <c r="B60" s="1"/>
      <c r="C60" s="27" t="s">
        <v>86</v>
      </c>
      <c r="D60" s="20"/>
      <c r="E60" s="20"/>
      <c r="F60" s="22">
        <f t="shared" si="9"/>
        <v>0</v>
      </c>
      <c r="G60" s="23"/>
    </row>
    <row r="61" spans="2:7" s="7" customFormat="1" ht="45" x14ac:dyDescent="0.25">
      <c r="B61" s="1"/>
      <c r="C61" s="27" t="s">
        <v>87</v>
      </c>
      <c r="D61" s="20"/>
      <c r="E61" s="20"/>
      <c r="F61" s="22">
        <f t="shared" si="9"/>
        <v>0</v>
      </c>
      <c r="G61" s="23"/>
    </row>
    <row r="62" spans="2:7" s="7" customFormat="1" ht="60" x14ac:dyDescent="0.2">
      <c r="B62" s="47"/>
      <c r="C62" s="27" t="s">
        <v>88</v>
      </c>
      <c r="D62" s="20"/>
      <c r="E62" s="20"/>
      <c r="F62" s="22">
        <f t="shared" si="9"/>
        <v>0</v>
      </c>
      <c r="G62" s="23"/>
    </row>
    <row r="63" spans="2:7" s="7" customFormat="1" ht="45" x14ac:dyDescent="0.2">
      <c r="B63" s="48"/>
      <c r="C63" s="27" t="s">
        <v>89</v>
      </c>
      <c r="D63" s="20"/>
      <c r="E63" s="20"/>
      <c r="F63" s="22">
        <f t="shared" si="9"/>
        <v>0</v>
      </c>
      <c r="G63" s="23"/>
    </row>
    <row r="64" spans="2:7" s="7" customFormat="1" ht="30" x14ac:dyDescent="0.2">
      <c r="B64" s="48"/>
      <c r="C64" s="27" t="s">
        <v>90</v>
      </c>
      <c r="D64" s="20"/>
      <c r="E64" s="20"/>
      <c r="F64" s="22">
        <f t="shared" si="9"/>
        <v>0</v>
      </c>
      <c r="G64" s="23"/>
    </row>
    <row r="65" spans="2:7" s="7" customFormat="1" ht="30" x14ac:dyDescent="0.2">
      <c r="B65" s="47"/>
      <c r="C65" s="27" t="s">
        <v>38</v>
      </c>
      <c r="D65" s="20"/>
      <c r="E65" s="20"/>
      <c r="F65" s="22">
        <f t="shared" si="9"/>
        <v>0</v>
      </c>
      <c r="G65" s="23"/>
    </row>
    <row r="66" spans="2:7" s="7" customFormat="1" x14ac:dyDescent="0.2">
      <c r="B66" s="47"/>
      <c r="C66" s="27" t="s">
        <v>40</v>
      </c>
      <c r="D66" s="20"/>
      <c r="E66" s="20"/>
      <c r="F66" s="22">
        <f t="shared" si="9"/>
        <v>0</v>
      </c>
      <c r="G66" s="23"/>
    </row>
    <row r="67" spans="2:7" s="7" customFormat="1" x14ac:dyDescent="0.2">
      <c r="B67" s="49"/>
      <c r="C67" s="38" t="s">
        <v>5</v>
      </c>
      <c r="D67" s="39"/>
      <c r="E67" s="39"/>
      <c r="F67" s="39"/>
      <c r="G67" s="35"/>
    </row>
    <row r="68" spans="2:7" s="7" customFormat="1" ht="28.5" x14ac:dyDescent="0.2">
      <c r="B68" s="12">
        <v>5</v>
      </c>
      <c r="C68" s="13" t="s">
        <v>23</v>
      </c>
      <c r="D68" s="14" t="e">
        <f>SMALL(D69:D77,1)</f>
        <v>#NUM!</v>
      </c>
      <c r="E68" s="14" t="e">
        <f>LARGE(E69:E77,1)</f>
        <v>#NUM!</v>
      </c>
      <c r="F68" s="15" t="e">
        <f>+E68-D68</f>
        <v>#NUM!</v>
      </c>
      <c r="G68" s="16">
        <f>SUM(G69:G78)</f>
        <v>0</v>
      </c>
    </row>
    <row r="69" spans="2:7" s="7" customFormat="1" x14ac:dyDescent="0.25">
      <c r="B69" s="1"/>
      <c r="C69" s="50" t="s">
        <v>45</v>
      </c>
      <c r="D69" s="20"/>
      <c r="E69" s="20"/>
      <c r="F69" s="22">
        <f t="shared" ref="F69:F77" si="10">+E69-D69</f>
        <v>0</v>
      </c>
      <c r="G69" s="23"/>
    </row>
    <row r="70" spans="2:7" s="7" customFormat="1" x14ac:dyDescent="0.25">
      <c r="B70" s="4"/>
      <c r="C70" s="27" t="s">
        <v>60</v>
      </c>
      <c r="D70" s="20"/>
      <c r="E70" s="20"/>
      <c r="F70" s="22">
        <f t="shared" si="10"/>
        <v>0</v>
      </c>
      <c r="G70" s="23"/>
    </row>
    <row r="71" spans="2:7" s="7" customFormat="1" x14ac:dyDescent="0.25">
      <c r="B71" s="1"/>
      <c r="C71" s="50" t="s">
        <v>61</v>
      </c>
      <c r="D71" s="20"/>
      <c r="E71" s="20"/>
      <c r="F71" s="22">
        <f t="shared" si="10"/>
        <v>0</v>
      </c>
      <c r="G71" s="23"/>
    </row>
    <row r="72" spans="2:7" s="7" customFormat="1" x14ac:dyDescent="0.25">
      <c r="B72" s="1"/>
      <c r="C72" s="50" t="s">
        <v>62</v>
      </c>
      <c r="D72" s="20"/>
      <c r="E72" s="20"/>
      <c r="F72" s="22">
        <f t="shared" si="10"/>
        <v>0</v>
      </c>
      <c r="G72" s="23"/>
    </row>
    <row r="73" spans="2:7" s="7" customFormat="1" x14ac:dyDescent="0.25">
      <c r="B73" s="1"/>
      <c r="C73" s="50" t="s">
        <v>65</v>
      </c>
      <c r="D73" s="20"/>
      <c r="E73" s="20"/>
      <c r="F73" s="22">
        <f t="shared" si="10"/>
        <v>0</v>
      </c>
      <c r="G73" s="23"/>
    </row>
    <row r="74" spans="2:7" s="7" customFormat="1" x14ac:dyDescent="0.25">
      <c r="B74" s="1"/>
      <c r="C74" s="50" t="s">
        <v>66</v>
      </c>
      <c r="D74" s="20"/>
      <c r="E74" s="20"/>
      <c r="F74" s="22">
        <f t="shared" si="10"/>
        <v>0</v>
      </c>
      <c r="G74" s="23"/>
    </row>
    <row r="75" spans="2:7" s="7" customFormat="1" x14ac:dyDescent="0.25">
      <c r="B75" s="1"/>
      <c r="C75" s="50" t="s">
        <v>63</v>
      </c>
      <c r="D75" s="20"/>
      <c r="E75" s="20"/>
      <c r="F75" s="22">
        <f t="shared" si="10"/>
        <v>0</v>
      </c>
      <c r="G75" s="23"/>
    </row>
    <row r="76" spans="2:7" s="7" customFormat="1" x14ac:dyDescent="0.25">
      <c r="B76" s="1"/>
      <c r="C76" s="50" t="s">
        <v>64</v>
      </c>
      <c r="D76" s="20"/>
      <c r="E76" s="20"/>
      <c r="F76" s="22">
        <f t="shared" si="10"/>
        <v>0</v>
      </c>
      <c r="G76" s="23"/>
    </row>
    <row r="77" spans="2:7" s="7" customFormat="1" x14ac:dyDescent="0.25">
      <c r="B77" s="1"/>
      <c r="C77" s="50" t="s">
        <v>67</v>
      </c>
      <c r="D77" s="20"/>
      <c r="E77" s="20"/>
      <c r="F77" s="22">
        <f t="shared" si="10"/>
        <v>0</v>
      </c>
      <c r="G77" s="23"/>
    </row>
    <row r="78" spans="2:7" s="7" customFormat="1" x14ac:dyDescent="0.2">
      <c r="B78" s="37"/>
      <c r="C78" s="38" t="s">
        <v>5</v>
      </c>
      <c r="D78" s="39"/>
      <c r="E78" s="39"/>
      <c r="F78" s="39"/>
      <c r="G78" s="35"/>
    </row>
    <row r="79" spans="2:7" s="7" customFormat="1" ht="28.5" x14ac:dyDescent="0.2">
      <c r="B79" s="12">
        <v>6</v>
      </c>
      <c r="C79" s="13" t="s">
        <v>24</v>
      </c>
      <c r="D79" s="14" t="e">
        <f>SMALL(D80:D83,1)</f>
        <v>#NUM!</v>
      </c>
      <c r="E79" s="14" t="e">
        <f>LARGE(E80:E83,1)</f>
        <v>#NUM!</v>
      </c>
      <c r="F79" s="15" t="e">
        <f>+E79-D79</f>
        <v>#NUM!</v>
      </c>
      <c r="G79" s="16">
        <f>SUM(G80:G84)</f>
        <v>0</v>
      </c>
    </row>
    <row r="80" spans="2:7" s="7" customFormat="1" x14ac:dyDescent="0.2">
      <c r="B80" s="51"/>
      <c r="C80" s="27" t="s">
        <v>43</v>
      </c>
      <c r="D80" s="20"/>
      <c r="E80" s="20"/>
      <c r="F80" s="22">
        <f t="shared" ref="F80:F83" si="11">+E80-D80</f>
        <v>0</v>
      </c>
      <c r="G80" s="23"/>
    </row>
    <row r="81" spans="2:7" s="7" customFormat="1" x14ac:dyDescent="0.2">
      <c r="B81" s="51"/>
      <c r="C81" s="27" t="s">
        <v>42</v>
      </c>
      <c r="D81" s="20"/>
      <c r="E81" s="20"/>
      <c r="F81" s="22">
        <f t="shared" si="11"/>
        <v>0</v>
      </c>
      <c r="G81" s="23"/>
    </row>
    <row r="82" spans="2:7" s="7" customFormat="1" x14ac:dyDescent="0.25">
      <c r="B82" s="1"/>
      <c r="C82" s="36" t="s">
        <v>44</v>
      </c>
      <c r="D82" s="20"/>
      <c r="E82" s="20"/>
      <c r="F82" s="22">
        <f t="shared" si="11"/>
        <v>0</v>
      </c>
      <c r="G82" s="23"/>
    </row>
    <row r="83" spans="2:7" s="7" customFormat="1" ht="30" x14ac:dyDescent="0.25">
      <c r="B83" s="1"/>
      <c r="C83" s="27" t="s">
        <v>59</v>
      </c>
      <c r="D83" s="20"/>
      <c r="E83" s="20"/>
      <c r="F83" s="22">
        <f t="shared" si="11"/>
        <v>0</v>
      </c>
      <c r="G83" s="23"/>
    </row>
    <row r="84" spans="2:7" s="7" customFormat="1" x14ac:dyDescent="0.2">
      <c r="B84" s="37"/>
      <c r="C84" s="38" t="s">
        <v>5</v>
      </c>
      <c r="D84" s="39"/>
      <c r="E84" s="39"/>
      <c r="F84" s="39"/>
      <c r="G84" s="35"/>
    </row>
    <row r="85" spans="2:7" s="7" customFormat="1" x14ac:dyDescent="0.2">
      <c r="B85" s="12">
        <v>7</v>
      </c>
      <c r="C85" s="13" t="s">
        <v>25</v>
      </c>
      <c r="D85" s="14" t="e">
        <f>SMALL(D86,1)</f>
        <v>#NUM!</v>
      </c>
      <c r="E85" s="14" t="e">
        <f>LARGE(E86,1)</f>
        <v>#NUM!</v>
      </c>
      <c r="F85" s="15" t="e">
        <f>+E85-D85</f>
        <v>#NUM!</v>
      </c>
      <c r="G85" s="16">
        <f>SUM(G86:G87)</f>
        <v>0</v>
      </c>
    </row>
    <row r="86" spans="2:7" s="7" customFormat="1" ht="45" x14ac:dyDescent="0.25">
      <c r="B86" s="1"/>
      <c r="C86" s="50" t="s">
        <v>91</v>
      </c>
      <c r="D86" s="20"/>
      <c r="E86" s="20"/>
      <c r="F86" s="22">
        <f t="shared" ref="F86" si="12">+E86-D86</f>
        <v>0</v>
      </c>
      <c r="G86" s="23"/>
    </row>
    <row r="87" spans="2:7" s="7" customFormat="1" x14ac:dyDescent="0.2">
      <c r="B87" s="37"/>
      <c r="C87" s="38" t="s">
        <v>5</v>
      </c>
      <c r="D87" s="39"/>
      <c r="E87" s="39"/>
      <c r="F87" s="39"/>
      <c r="G87" s="35"/>
    </row>
    <row r="88" spans="2:7" s="7" customFormat="1" ht="28.5" x14ac:dyDescent="0.2">
      <c r="B88" s="12">
        <v>8</v>
      </c>
      <c r="C88" s="13" t="s">
        <v>26</v>
      </c>
      <c r="D88" s="14" t="e">
        <f>SMALL(D89:D92,1)</f>
        <v>#NUM!</v>
      </c>
      <c r="E88" s="14" t="e">
        <f>LARGE(E89:E92,1)</f>
        <v>#NUM!</v>
      </c>
      <c r="F88" s="15" t="e">
        <f>+E88-D88</f>
        <v>#NUM!</v>
      </c>
      <c r="G88" s="16">
        <f>SUM(G89:G93)</f>
        <v>0</v>
      </c>
    </row>
    <row r="89" spans="2:7" s="7" customFormat="1" ht="30" x14ac:dyDescent="0.25">
      <c r="B89" s="1"/>
      <c r="C89" s="50" t="s">
        <v>69</v>
      </c>
      <c r="D89" s="20"/>
      <c r="E89" s="20"/>
      <c r="F89" s="22">
        <f t="shared" ref="F89:F92" si="13">+E89-D89</f>
        <v>0</v>
      </c>
      <c r="G89" s="23"/>
    </row>
    <row r="90" spans="2:7" s="7" customFormat="1" x14ac:dyDescent="0.25">
      <c r="B90" s="1"/>
      <c r="C90" s="50" t="s">
        <v>70</v>
      </c>
      <c r="D90" s="20"/>
      <c r="E90" s="20"/>
      <c r="F90" s="22">
        <f t="shared" si="13"/>
        <v>0</v>
      </c>
      <c r="G90" s="23"/>
    </row>
    <row r="91" spans="2:7" s="7" customFormat="1" ht="30" x14ac:dyDescent="0.25">
      <c r="B91" s="1"/>
      <c r="C91" s="50" t="s">
        <v>41</v>
      </c>
      <c r="D91" s="20"/>
      <c r="E91" s="20"/>
      <c r="F91" s="22">
        <f t="shared" si="13"/>
        <v>0</v>
      </c>
      <c r="G91" s="23"/>
    </row>
    <row r="92" spans="2:7" s="7" customFormat="1" x14ac:dyDescent="0.25">
      <c r="B92" s="1"/>
      <c r="C92" s="50" t="s">
        <v>71</v>
      </c>
      <c r="D92" s="20"/>
      <c r="E92" s="20"/>
      <c r="F92" s="22">
        <f t="shared" si="13"/>
        <v>0</v>
      </c>
      <c r="G92" s="23"/>
    </row>
    <row r="93" spans="2:7" s="7" customFormat="1" x14ac:dyDescent="0.2">
      <c r="B93" s="37"/>
      <c r="C93" s="38" t="s">
        <v>5</v>
      </c>
      <c r="D93" s="39"/>
      <c r="E93" s="39"/>
      <c r="F93" s="39"/>
      <c r="G93" s="35"/>
    </row>
    <row r="94" spans="2:7" s="7" customFormat="1" ht="28.5" x14ac:dyDescent="0.2">
      <c r="B94" s="12">
        <v>9</v>
      </c>
      <c r="C94" s="13" t="s">
        <v>46</v>
      </c>
      <c r="D94" s="14" t="e">
        <f>SMALL(D95:D96,1)</f>
        <v>#NUM!</v>
      </c>
      <c r="E94" s="14" t="e">
        <f>LARGE(E95:E96,1)</f>
        <v>#NUM!</v>
      </c>
      <c r="F94" s="15" t="e">
        <f>+E94-D94</f>
        <v>#NUM!</v>
      </c>
      <c r="G94" s="16">
        <f>SUM(G95:G97)</f>
        <v>0</v>
      </c>
    </row>
    <row r="95" spans="2:7" s="7" customFormat="1" x14ac:dyDescent="0.25">
      <c r="B95" s="1"/>
      <c r="C95" s="19" t="s">
        <v>72</v>
      </c>
      <c r="D95" s="20"/>
      <c r="E95" s="20"/>
      <c r="F95" s="22">
        <f t="shared" ref="F95:F96" si="14">+E95-D95</f>
        <v>0</v>
      </c>
      <c r="G95" s="23"/>
    </row>
    <row r="96" spans="2:7" s="7" customFormat="1" x14ac:dyDescent="0.25">
      <c r="B96" s="1"/>
      <c r="C96" s="27" t="s">
        <v>47</v>
      </c>
      <c r="D96" s="20"/>
      <c r="E96" s="20"/>
      <c r="F96" s="22">
        <f t="shared" si="14"/>
        <v>0</v>
      </c>
      <c r="G96" s="23"/>
    </row>
    <row r="97" spans="2:7" s="7" customFormat="1" x14ac:dyDescent="0.2">
      <c r="B97" s="37"/>
      <c r="C97" s="38" t="s">
        <v>5</v>
      </c>
      <c r="D97" s="39"/>
      <c r="E97" s="39"/>
      <c r="F97" s="39"/>
      <c r="G97" s="35"/>
    </row>
    <row r="98" spans="2:7" s="7" customFormat="1" x14ac:dyDescent="0.2">
      <c r="B98" s="52"/>
      <c r="C98" s="29" t="s">
        <v>4</v>
      </c>
      <c r="D98" s="53" t="e">
        <f>SMALL(D7:D97,1)</f>
        <v>#NUM!</v>
      </c>
      <c r="E98" s="53" t="e">
        <f>LARGE(E7:E97,1)</f>
        <v>#NUM!</v>
      </c>
      <c r="F98" s="54" t="e">
        <f>+E98-D98</f>
        <v>#NUM!</v>
      </c>
      <c r="G98" s="55">
        <f>G30+G36+G43+G54+G68+G79+G85+G88+G94</f>
        <v>0</v>
      </c>
    </row>
    <row r="99" spans="2:7" s="7" customFormat="1" x14ac:dyDescent="0.2"/>
    <row r="100" spans="2:7" s="7" customFormat="1" x14ac:dyDescent="0.2"/>
    <row r="101" spans="2:7" s="7" customFormat="1" ht="28.5" x14ac:dyDescent="0.2">
      <c r="B101" s="52"/>
      <c r="C101" s="29" t="s">
        <v>92</v>
      </c>
      <c r="D101" s="53"/>
      <c r="E101" s="53"/>
      <c r="F101" s="54"/>
      <c r="G101" s="56">
        <f>G7*60</f>
        <v>0</v>
      </c>
    </row>
    <row r="102" spans="2:7" s="7" customFormat="1" x14ac:dyDescent="0.2">
      <c r="B102" s="52"/>
      <c r="C102" s="29" t="s">
        <v>73</v>
      </c>
      <c r="D102" s="53"/>
      <c r="E102" s="53"/>
      <c r="F102" s="54"/>
      <c r="G102" s="55">
        <f>G98</f>
        <v>0</v>
      </c>
    </row>
    <row r="103" spans="2:7" s="7" customFormat="1" x14ac:dyDescent="0.2">
      <c r="B103" s="52"/>
      <c r="C103" s="29" t="s">
        <v>74</v>
      </c>
      <c r="D103" s="53"/>
      <c r="E103" s="53"/>
      <c r="F103" s="54"/>
      <c r="G103" s="55">
        <f>G101+G102</f>
        <v>0</v>
      </c>
    </row>
    <row r="104" spans="2:7" s="7" customFormat="1" x14ac:dyDescent="0.2"/>
    <row r="105" spans="2:7" s="7" customFormat="1" x14ac:dyDescent="0.2"/>
    <row r="106" spans="2:7" s="7" customFormat="1" x14ac:dyDescent="0.2"/>
    <row r="107" spans="2:7" s="7" customFormat="1" x14ac:dyDescent="0.2"/>
    <row r="108" spans="2:7" s="7" customFormat="1" x14ac:dyDescent="0.2"/>
    <row r="109" spans="2:7" s="7" customFormat="1" x14ac:dyDescent="0.2"/>
    <row r="110" spans="2:7" s="7" customFormat="1" x14ac:dyDescent="0.2"/>
    <row r="111" spans="2:7" s="7" customFormat="1" x14ac:dyDescent="0.2"/>
    <row r="112" spans="2:7" s="7" customFormat="1" x14ac:dyDescent="0.2"/>
    <row r="113" spans="2:8" s="7" customFormat="1" x14ac:dyDescent="0.2"/>
    <row r="114" spans="2:8" s="7" customFormat="1" x14ac:dyDescent="0.2"/>
    <row r="115" spans="2:8" s="7" customFormat="1" x14ac:dyDescent="0.2"/>
    <row r="116" spans="2:8" s="7" customFormat="1" x14ac:dyDescent="0.2"/>
    <row r="117" spans="2:8" s="7" customFormat="1" x14ac:dyDescent="0.2"/>
    <row r="118" spans="2:8" x14ac:dyDescent="0.25">
      <c r="B118" s="7"/>
      <c r="C118" s="7"/>
      <c r="E118" s="7"/>
      <c r="F118" s="7"/>
      <c r="G118" s="7"/>
      <c r="H118" s="7"/>
    </row>
    <row r="119" spans="2:8" x14ac:dyDescent="0.25">
      <c r="B119" s="7"/>
      <c r="C119" s="7"/>
      <c r="E119" s="7"/>
      <c r="F119" s="7"/>
      <c r="G119" s="7"/>
    </row>
    <row r="120" spans="2:8" x14ac:dyDescent="0.25">
      <c r="B120" s="7"/>
      <c r="C120" s="7"/>
      <c r="E120" s="7"/>
      <c r="F120" s="7"/>
      <c r="G120" s="7"/>
    </row>
    <row r="121" spans="2:8" x14ac:dyDescent="0.25">
      <c r="B121" s="7"/>
      <c r="C121" s="7"/>
      <c r="E121" s="7"/>
      <c r="F121" s="7"/>
      <c r="G121" s="7"/>
    </row>
    <row r="122" spans="2:8" x14ac:dyDescent="0.25">
      <c r="B122" s="7"/>
      <c r="C122" s="7"/>
      <c r="E122" s="7"/>
      <c r="F122" s="7"/>
      <c r="G122" s="7"/>
    </row>
    <row r="123" spans="2:8" x14ac:dyDescent="0.25">
      <c r="B123" s="7"/>
      <c r="C123" s="7"/>
      <c r="E123" s="7"/>
      <c r="F123" s="7"/>
      <c r="G123" s="7"/>
    </row>
    <row r="124" spans="2:8" x14ac:dyDescent="0.25">
      <c r="B124" s="7"/>
      <c r="C124" s="7"/>
      <c r="E124" s="7"/>
      <c r="F124" s="7"/>
      <c r="G124" s="7"/>
    </row>
  </sheetData>
  <autoFilter ref="B6:G98" xr:uid="{338FF343-F269-4862-A4D6-7F8E450DBD1B}"/>
  <pageMargins left="0.7" right="0.7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Базовый план оказания услуг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Бабкин</dc:creator>
  <cp:lastModifiedBy>Гусейнов Али Айдын Оглы</cp:lastModifiedBy>
  <cp:lastPrinted>2026-06-16T11:05:00Z</cp:lastPrinted>
  <dcterms:created xsi:type="dcterms:W3CDTF">2026-06-08T18:18:00Z</dcterms:created>
  <dcterms:modified xsi:type="dcterms:W3CDTF">2026-08-13T12:41:28Z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213CBC7DBC574383AC3ECB66523F3111_13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