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mc:AlternateContent xmlns:mc="http://schemas.openxmlformats.org/markup-compatibility/2006">
    <mc:Choice Requires="x15">
      <x15ac:absPath xmlns:x15ac="http://schemas.microsoft.com/office/spreadsheetml/2010/11/ac" url="D:\diploma\alfa\"/>
    </mc:Choice>
  </mc:AlternateContent>
  <xr:revisionPtr revIDLastSave="0" documentId="8_{8039F35D-F0EF-4535-B0C7-7E1EDEB6E252}" xr6:coauthVersionLast="45" xr6:coauthVersionMax="45" xr10:uidLastSave="{00000000-0000-0000-0000-000000000000}"/>
  <bookViews>
    <workbookView xWindow="-108" yWindow="-108" windowWidth="23256" windowHeight="12576" xr2:uid="{00000000-000D-0000-FFFF-FFFF00000000}"/>
  </bookViews>
  <sheets>
    <sheet name="Форма КП" sheetId="1" r:id="rId1"/>
  </sheets>
  <definedNames>
    <definedName name="_xlnm._FilterDatabase" localSheetId="0" hidden="1">'Форма КП'!$A$3:$N$220</definedName>
    <definedName name="valuevx">42.314159</definedName>
    <definedName name="vertex42_copyright" hidden="1">"© 2009-2018 by Vertex42.com"</definedName>
    <definedName name="vertex42_id" hidden="1">"divisional-org-chart.xlsx"</definedName>
    <definedName name="vertex42_title" hidden="1">"Divisional Organizational Chart Template"</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34" i="1" l="1"/>
  <c r="G33" i="1"/>
  <c r="G32" i="1"/>
  <c r="G31" i="1"/>
  <c r="G30" i="1"/>
  <c r="G219" i="1" l="1"/>
  <c r="G218" i="1"/>
  <c r="G217" i="1"/>
  <c r="F215" i="1"/>
  <c r="E215" i="1"/>
  <c r="G213" i="1"/>
  <c r="G212" i="1"/>
  <c r="G210" i="1"/>
  <c r="G209" i="1"/>
  <c r="G207" i="1"/>
  <c r="G206" i="1"/>
  <c r="G204" i="1"/>
  <c r="F202" i="1"/>
  <c r="E202" i="1"/>
  <c r="G200" i="1"/>
  <c r="G199" i="1"/>
  <c r="G197" i="1"/>
  <c r="G196" i="1"/>
  <c r="G194" i="1"/>
  <c r="G193" i="1"/>
  <c r="G191" i="1"/>
  <c r="G190" i="1"/>
  <c r="G189" i="1"/>
  <c r="G187" i="1"/>
  <c r="G186" i="1"/>
  <c r="G185" i="1"/>
  <c r="G184" i="1"/>
  <c r="G183" i="1"/>
  <c r="G182" i="1"/>
  <c r="G181" i="1"/>
  <c r="G180" i="1"/>
  <c r="G179" i="1"/>
  <c r="G178" i="1"/>
  <c r="G177" i="1"/>
  <c r="G176" i="1"/>
  <c r="G175" i="1"/>
  <c r="G174" i="1"/>
  <c r="G173" i="1"/>
  <c r="G172" i="1"/>
  <c r="G171" i="1"/>
  <c r="G170" i="1"/>
  <c r="G169" i="1"/>
  <c r="G168" i="1"/>
  <c r="G167" i="1"/>
  <c r="G165" i="1"/>
  <c r="G164" i="1"/>
  <c r="G161" i="1"/>
  <c r="G159" i="1"/>
  <c r="G158" i="1"/>
  <c r="F156" i="1"/>
  <c r="E156" i="1"/>
  <c r="G154" i="1"/>
  <c r="G152" i="1"/>
  <c r="G151" i="1"/>
  <c r="G150" i="1"/>
  <c r="G148" i="1"/>
  <c r="G147" i="1"/>
  <c r="G146" i="1"/>
  <c r="G144" i="1"/>
  <c r="G143" i="1"/>
  <c r="G142" i="1"/>
  <c r="G141" i="1"/>
  <c r="G140" i="1"/>
  <c r="G139" i="1"/>
  <c r="G138" i="1"/>
  <c r="G137" i="1"/>
  <c r="G136" i="1"/>
  <c r="F134" i="1"/>
  <c r="E134" i="1"/>
  <c r="G132" i="1"/>
  <c r="G131" i="1"/>
  <c r="G130" i="1"/>
  <c r="G129" i="1"/>
  <c r="G128" i="1"/>
  <c r="G126" i="1"/>
  <c r="G125" i="1"/>
  <c r="G124" i="1"/>
  <c r="G122" i="1"/>
  <c r="G121" i="1"/>
  <c r="G120" i="1"/>
  <c r="G118" i="1"/>
  <c r="G117" i="1"/>
  <c r="G115" i="1"/>
  <c r="G114" i="1"/>
  <c r="G113" i="1"/>
  <c r="G112" i="1"/>
  <c r="G111" i="1"/>
  <c r="G110" i="1"/>
  <c r="G108" i="1"/>
  <c r="G107" i="1"/>
  <c r="G106" i="1"/>
  <c r="G104" i="1"/>
  <c r="G103" i="1"/>
  <c r="G102" i="1"/>
  <c r="G101" i="1"/>
  <c r="G100" i="1"/>
  <c r="G99" i="1"/>
  <c r="G97" i="1"/>
  <c r="G96" i="1"/>
  <c r="G95" i="1"/>
  <c r="G94" i="1"/>
  <c r="F92" i="1"/>
  <c r="E92" i="1"/>
  <c r="G90" i="1"/>
  <c r="G89" i="1"/>
  <c r="G88" i="1"/>
  <c r="G87" i="1"/>
  <c r="G86" i="1"/>
  <c r="G85" i="1"/>
  <c r="G84" i="1"/>
  <c r="G83" i="1"/>
  <c r="G82" i="1"/>
  <c r="G81" i="1"/>
  <c r="G80" i="1"/>
  <c r="G79" i="1"/>
  <c r="G78" i="1"/>
  <c r="G77" i="1"/>
  <c r="G76" i="1"/>
  <c r="F74" i="1"/>
  <c r="E74" i="1"/>
  <c r="G72" i="1"/>
  <c r="G71" i="1"/>
  <c r="G70" i="1"/>
  <c r="G68" i="1"/>
  <c r="G67" i="1"/>
  <c r="G65" i="1"/>
  <c r="G64" i="1"/>
  <c r="G63" i="1"/>
  <c r="G61" i="1"/>
  <c r="G60" i="1"/>
  <c r="G58" i="1"/>
  <c r="G57" i="1"/>
  <c r="G55" i="1"/>
  <c r="G54" i="1"/>
  <c r="G53" i="1"/>
  <c r="F51" i="1"/>
  <c r="E51" i="1"/>
  <c r="G49" i="1"/>
  <c r="G48" i="1"/>
  <c r="G47" i="1"/>
  <c r="G46" i="1"/>
  <c r="G45" i="1"/>
  <c r="G43" i="1"/>
  <c r="G42" i="1"/>
  <c r="G41" i="1"/>
  <c r="G39" i="1"/>
  <c r="G38" i="1"/>
  <c r="G37" i="1"/>
  <c r="G36" i="1"/>
  <c r="G28" i="1"/>
  <c r="G27" i="1"/>
  <c r="G26" i="1"/>
  <c r="G25" i="1"/>
  <c r="G24" i="1"/>
  <c r="G22" i="1"/>
  <c r="G21" i="1"/>
  <c r="G20" i="1"/>
  <c r="G19" i="1"/>
  <c r="G17" i="1"/>
  <c r="G16" i="1"/>
  <c r="G15" i="1"/>
  <c r="G14" i="1"/>
  <c r="G12" i="1"/>
  <c r="G11" i="1"/>
  <c r="G10" i="1"/>
  <c r="G9" i="1"/>
  <c r="G8" i="1"/>
  <c r="G7" i="1"/>
  <c r="G6" i="1"/>
  <c r="F4" i="1"/>
  <c r="E4" i="1"/>
  <c r="B3" i="1"/>
  <c r="C3" i="1" s="1"/>
  <c r="D3" i="1" s="1"/>
  <c r="E3" i="1" s="1"/>
  <c r="F3" i="1" s="1"/>
  <c r="G3" i="1" s="1"/>
  <c r="H3" i="1" s="1"/>
  <c r="I3" i="1" s="1"/>
  <c r="J3" i="1" s="1"/>
  <c r="K3" i="1" s="1"/>
  <c r="L3" i="1" s="1"/>
  <c r="M3" i="1" s="1"/>
  <c r="N3" i="1" s="1"/>
  <c r="G92" i="1" l="1"/>
  <c r="G134" i="1"/>
  <c r="G156" i="1"/>
  <c r="G74" i="1"/>
  <c r="G51" i="1"/>
  <c r="E220" i="1"/>
  <c r="F220" i="1"/>
  <c r="G215" i="1"/>
  <c r="G202" i="1"/>
  <c r="G4" i="1"/>
  <c r="G220" i="1" l="1"/>
</calcChain>
</file>

<file path=xl/sharedStrings.xml><?xml version="1.0" encoding="utf-8"?>
<sst xmlns="http://schemas.openxmlformats.org/spreadsheetml/2006/main" count="1440" uniqueCount="341">
  <si>
    <t>№</t>
  </si>
  <si>
    <t xml:space="preserve">Наименование работ </t>
  </si>
  <si>
    <t>Соответствующие работы по КП Девелопера</t>
  </si>
  <si>
    <t>Результаты услуг Девелопера с промежуточными сроками</t>
  </si>
  <si>
    <t xml:space="preserve">Дата начала работ </t>
  </si>
  <si>
    <t xml:space="preserve">Дата окончания </t>
  </si>
  <si>
    <t>Длительность, к.д.</t>
  </si>
  <si>
    <t>Бонус Девелопера за выполнение этапа, без НДС</t>
  </si>
  <si>
    <t>ГрадК 
(1)</t>
  </si>
  <si>
    <t>Приказ 
(2)</t>
  </si>
  <si>
    <t>ГОСТ 
(3)</t>
  </si>
  <si>
    <t>ЮД 
(4)</t>
  </si>
  <si>
    <t>СРО, указать если требуется</t>
  </si>
  <si>
    <t>Обоснование требований СРО</t>
  </si>
  <si>
    <t>Этап - Градостроительный аудит и исходные условия реализации Проекта</t>
  </si>
  <si>
    <t>1.1</t>
  </si>
  <si>
    <t>Правовой анализ имущественного комплекса</t>
  </si>
  <si>
    <t>1.1.1 Сбор и актуализация исходных данных по земельным участкам, зданиям, помещениям, ЕГРН, арендаторам и пользователям.
1.1.2 Анализ правового и имущественного контура.
1.1.3 Анализ возможности реализации проекта как единого комплекса и подготовка юридической позиции по глубокой реконструкции, проверка необходимости объединения / перераспределения земельных участков и кадастровых работ по участкам и объектам недвижимости.
1.1.4 Градостроительный аудит: ПЗЗ, Генплан, ППТ / ПМТ, красные линии, ЗОУИТ, ограничения исторического центра, транспорт, пешеходные потоки и эксплуатация кровли.
1.1.5 Анализ необходимости изменения ПЗЗ, рассмотрения на ГЗК, публичных процедур и подготовка градостроительного заключения по реализуемости проекта.
1.1.6  Запуск управления проектом: дорожная карта, матрица участников, матрица ответственности, регламент взаимодействия, контроль сроков, бюджета, проектных решений, рисков и подготовка решений для Заказчика.
1.1.7 Формирование предварительной бюджетной структуры проекта, бюджетов ранних блоков и первичной матрицы рисков.</t>
  </si>
  <si>
    <t>Совместно с Заказчиком получает актуальные сведения о недвижимости и их обновление в Едином государственном реестре недвижимости ЕГРН</t>
  </si>
  <si>
    <t>Актуализированные сведения ЕГРН</t>
  </si>
  <si>
    <t>УК</t>
  </si>
  <si>
    <t>Совместно с Закачиком анализирует состав ЗУ, права на здание кинотеатра и статус помещений Доходного дома. Оценивает риски, связанные со вторым собственником, последствиями консолидации прав и необходимостью переадресации объекта. Формирует юридически устойчивую модель реконструкции</t>
  </si>
  <si>
    <t>Юридическая модель реконструкции</t>
  </si>
  <si>
    <t>Проводит анализ возможности реализации проекта как единого комплекса и подготовка юридической позиции по глубокой реконструкции,проверку необходимости объединения / перераспределения земельных участков и кадастровых работ по участкам и объектам недвижимости</t>
  </si>
  <si>
    <t>Юридическое заключение о реализуемости проекта</t>
  </si>
  <si>
    <t>Проводит комплексный анализ ПЗЗ, Генерального плана Москвы, ППТ/ПМТ, красных линий, ЗОУИТ и ограничений исторического центра. Оценивает влияние пешеходных и транспортных потоков, а также техническую возможность эксплуатации кровли под общественные зоны</t>
  </si>
  <si>
    <t>Аналитический отчёт по градостроительным ограничениям</t>
  </si>
  <si>
    <t>ТЗ</t>
  </si>
  <si>
    <t>СРО</t>
  </si>
  <si>
    <t>2</t>
  </si>
  <si>
    <t>Определяет необходимость корректировки ПЗЗ/ГЗ и проведения/публичных процедур</t>
  </si>
  <si>
    <t>Заключение о необходимости изменения ПЗЗ</t>
  </si>
  <si>
    <t>Готовит дорожнаую карту, матрицу ответственности участников проекта, регламенты, контроль сроков, бюджета, рисков и решений</t>
  </si>
  <si>
    <t>Дорожная карта проекта</t>
  </si>
  <si>
    <t>Формирует первичную карту затрат, определяет лимиты по концептуальному блоку, изысканиям и обследованиям, закладывает базовые финансовые резервы на непредвиденные риски</t>
  </si>
  <si>
    <t>Бюджетная структура проекта</t>
  </si>
  <si>
    <t>Инженерно-геодезические изыскания, регистрации в ГИС ОГД</t>
  </si>
  <si>
    <t>1.2.1  Организация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отчет.</t>
  </si>
  <si>
    <t>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t>
  </si>
  <si>
    <t>Протокол о результатах закупки</t>
  </si>
  <si>
    <t>1,2,3</t>
  </si>
  <si>
    <t>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t>
  </si>
  <si>
    <t>Заключённый договор</t>
  </si>
  <si>
    <t>1,2,3,4</t>
  </si>
  <si>
    <t>Программа изыскательских работ и техническое задание</t>
  </si>
  <si>
    <t>Техническое задание на изыскания</t>
  </si>
  <si>
    <t>Согласование результатов изысканий</t>
  </si>
  <si>
    <t>Согласованное заключение по изысканиям</t>
  </si>
  <si>
    <t>1.3</t>
  </si>
  <si>
    <t>Инженерно-геологические, гидрологические и экологические изыскания</t>
  </si>
  <si>
    <t>1.3.1  Организация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отчет.</t>
  </si>
  <si>
    <t>1.4</t>
  </si>
  <si>
    <t xml:space="preserve">Техническое обследование строительных конструкций
</t>
  </si>
  <si>
    <t xml:space="preserve">1.4.1  Организация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отчет:
</t>
  </si>
  <si>
    <t>Техническое заключение. Правила обследования и мониторинга технического состояния ГОСТ 31937-2024</t>
  </si>
  <si>
    <t>Техническое заключение о состоянии конструкций</t>
  </si>
  <si>
    <t>1.5</t>
  </si>
  <si>
    <t>Историко-культурные изыскания</t>
  </si>
  <si>
    <t>1.5.1 Организация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отчет.</t>
  </si>
  <si>
    <t>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t>
  </si>
  <si>
    <t>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техническое задание</t>
  </si>
  <si>
    <t>Заключение ДКН об отсутствии/отсутствии данных/о наличии или об отсутствии объектов археологического наследия по результатам государственной историко-культурной экспертизы/наличии объектов археологического наследия</t>
  </si>
  <si>
    <t>Заключение историко-культурной экспертизы</t>
  </si>
  <si>
    <t>1.6</t>
  </si>
  <si>
    <t>Изучение и систематизация материалов инженерно-геологических изысканий прошлых лет</t>
  </si>
  <si>
    <t>1.6.1 Организация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отчет.</t>
  </si>
  <si>
    <t xml:space="preserve">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t>
  </si>
  <si>
    <t>Технический отчет по результатам изучения и систематизации материалов инженерно-геологических изысканий прошлых лет в электронном виде. СП: 446.1325800.2019</t>
  </si>
  <si>
    <t>Технический отчёт по инженерно-геологическим изысканиям</t>
  </si>
  <si>
    <t>1.7</t>
  </si>
  <si>
    <t>Специальные инженерно-геофизические изыскания (вертикальное сейсмопрофилирование, НТС, в случае обнаружения опасных техногенных грунтов)</t>
  </si>
  <si>
    <t>1.7.1 Организация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отчет.</t>
  </si>
  <si>
    <t xml:space="preserve"> Программа изыскательских работ и техническое задание</t>
  </si>
  <si>
    <t>Техническое заключение</t>
  </si>
  <si>
    <t>1.8</t>
  </si>
  <si>
    <t>Вознаграждение девелопера за выполнение этапа (бонус)</t>
  </si>
  <si>
    <t>Этап - Архитектурная концепция и согласование</t>
  </si>
  <si>
    <t>2.1</t>
  </si>
  <si>
    <t>Буклет архитектурно-градостроительной концепции, вкл. НПМ</t>
  </si>
  <si>
    <t>2.1.1 Архитектурная концепция мультимедийного центра.
2.1.2 Schematic design и design intent / авторская идея.
2.1.3 Презентационные материалы для Заказчика, города / Мэра Москвы и публичного контура.</t>
  </si>
  <si>
    <t xml:space="preserve"> Буклет АГК и НПМ в соответсвии с: Приказом Департамента градостроительной политики города Москвы от: 02.04.2026 № ДГП-ПР-64/26 "Об Архитектурной комиссии по рассмотрению проектных материалов" , с «Требованиями к составу, содержанию и форматам представления проектных материалов», «Инструкцией по предоставлению исходных данных» и шаблонами презентаций. Подготовка НПМ и ВПМ осуществляется в соответствии с требованиями утвержденными распоряжением Департамента информационных технологий города Москвы и Комитета по архитектуре и градостроительству города Москвы от: 22.08.2025 № 64-16-429/25/1736</t>
  </si>
  <si>
    <t>Буклет АГК и НПМ</t>
  </si>
  <si>
    <t>2.2</t>
  </si>
  <si>
    <t>Рабочее рассмотрение Мэром Москвы (доработки материалов буклета)</t>
  </si>
  <si>
    <t>2.2.1 Презентационные материалы для Заказчика, города / Мэра Москвы и публичного контура.
2.2.2 Рассмотрение у Мэра Москвы, «Активный гражданин», материалы для общественных обсуждений.</t>
  </si>
  <si>
    <t>Подготовка: презентационные материалы для Заказчика, города / Мэра Москвы и публичного контура</t>
  </si>
  <si>
    <t>Презентационные материалы</t>
  </si>
  <si>
    <t>2,3</t>
  </si>
  <si>
    <t>Сопровождение: рассмотрение, сопровождение и дороботка у Мэра Москвы, «Активный гражданин», материалы для общественных обсуждений</t>
  </si>
  <si>
    <t>Согласованные материалы общественных обсуждений</t>
  </si>
  <si>
    <t>2.3</t>
  </si>
  <si>
    <t>Архитектурная комиссия ДГП</t>
  </si>
  <si>
    <t>2.3.1 Согласование материалов с уполномоченными органами, архитектурное рассмотрение и профильные согласования.
2.3.2 АГР / АГО, архитектурно-градостроительные решения и «цифровой двойник» города.</t>
  </si>
  <si>
    <t>Подготовка: материалов для согласования с уполномоченными органами, архитектурное рассмотрение и профильные согласования</t>
  </si>
  <si>
    <t>Материалы для согласования АГР</t>
  </si>
  <si>
    <t>Сопровождение согласования АГР / АГО, архитектурно-градостроительные решения и «цифровой двойник» города</t>
  </si>
  <si>
    <t>Согласованное архитектурно-градостроительное решение</t>
  </si>
  <si>
    <t>2.4</t>
  </si>
  <si>
    <t>Альбом АГР и ВПМ</t>
  </si>
  <si>
    <t>2.4.1 Административное сопровождение через Техзаказчика, организует подачу документов, сопровождает прохождение Архкомиссии ДГП.</t>
  </si>
  <si>
    <t>Задание на проектирование. Альбом АГР разрабатывается в соответсвии с: Приказом Департамента градостроительной политики города Москвы от: 02.04.2026 № ДГП-ПР-64/26 "Об Архитектурной комиссии по рассмотрению проектных материалов" , с «Требованиями к составу, содержанию и форматам представления проектных материалов», «Инструкцией по предоставлению исходных данных» и шаблонами презентаций. Подготовка НПМ и ВПМ осуществляется в соответствии с требованиями утвержденными распоряжением Департамента информационных технологий города Москвы и Комитета по архитектуре и градостроительству города Москвы от: 22.08.2025 № 64-16-429/25/1736</t>
  </si>
  <si>
    <t>Задание на проектирование</t>
  </si>
  <si>
    <t>2.5</t>
  </si>
  <si>
    <t>2.5.1 Согласование материалов с уполномоченными органами, архитектурное рассмотрение и профильные согласования.
2.5.2 АГР / АГО, архитектурно-градостроительные решения и «цифровой двойник» города.</t>
  </si>
  <si>
    <t>Сопровождение в Архитектурной комиссии ДГП г. Москвы. Требования к материалам в формате IFC, представляемым в целях согласования архитектурно градостроительных решений объектов капитального строительства, утверждены совместным распоряжением Департамента градостроительной политики города Москвы и Департамента информационных технологий города Москвы от 16 января 2026 г. № ДГП-Р-1/26/64-16-6/26</t>
  </si>
  <si>
    <t>Согласование в Архитектурной комиссии ДГП</t>
  </si>
  <si>
    <t>2.6</t>
  </si>
  <si>
    <t>Свидетельство об утверждении АГР</t>
  </si>
  <si>
    <t>2.6.1 Согласование материалов с уполномоченными органами, архитектурное рассмотрение и профильные согласования.
2.6.2 АГР / АГО, архитектурно-градостроительные решения и «цифровой двойник» города.</t>
  </si>
  <si>
    <t xml:space="preserve">Регистрация ЛК Застройщика и Подача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 Постановление Правительства Москвы от 30 апреля 2013 г. N 284-ПП «Административный регламент предоставления государственной услуги "Оформление свидетельства об утверждении архитектурно-градостроительного решения объекта капитального строительства» </t>
  </si>
  <si>
    <t>Заявление в электронной форме (ЛК Застройщика)</t>
  </si>
  <si>
    <t>Сопровождение в ДГП, снятие и устранение замечаний</t>
  </si>
  <si>
    <t>Согласование ДГП</t>
  </si>
  <si>
    <t xml:space="preserve"> Оформление Свидетельства об утверждении архитектурно-градостроительного решения объекта капитального строительства</t>
  </si>
  <si>
    <t>2.7</t>
  </si>
  <si>
    <t xml:space="preserve">Этап - Получение ГПЗУ </t>
  </si>
  <si>
    <t>3.1</t>
  </si>
  <si>
    <t>Внесение изменений в ПЗЗ и ГПЗУ, сопровождение РГ и ГЗК</t>
  </si>
  <si>
    <t xml:space="preserve">3.1.1  Анализ действующего ГПЗУ / имеющегося комплекта градостроительных документов.
3.1.2 Получение нового ГПЗУ или комплекта ГПЗУ.
3.1.3 Проверка соответствия ГПЗУ модели единого комплекса.
3.1.4 Внесение изменений в ГПЗУ при необходимости.
3.1.5 Подготовка материалов для ГЗК и сопровождение рассмотрения на ГЗК.
3.1.6 Подготовка материалов по изменению ПЗЗ и сопровождение процедуры изменения ПЗЗ.
3.1.7 Общественные обсуждения по градостроительным изменениям и учет результатов процедур в дорожной карте.
3.1.8 Управление градостроительным блоком, контроль сроков, бюджета, рисков и ключевых событий.
</t>
  </si>
  <si>
    <t>Анализ действующего ГПЗУ / имеющегося комплекта градостроительных документов</t>
  </si>
  <si>
    <t>Анализ действующего ГПЗУ</t>
  </si>
  <si>
    <t>Получение нового ГПЗУ или комплекта ГПЗУ</t>
  </si>
  <si>
    <t>Новый ГПЗУ</t>
  </si>
  <si>
    <t>Проверка соответствия ГПЗУ модели единого комплекса</t>
  </si>
  <si>
    <t>Заключение о соответствии ГПЗУ</t>
  </si>
  <si>
    <t>Внесение изменений в ГПЗУ при необходимости</t>
  </si>
  <si>
    <t>Изменённый ГПЗУ</t>
  </si>
  <si>
    <t>Подготовка материалов для ГЗК и сопровождение рассмотрения на ГЗК</t>
  </si>
  <si>
    <t>Протокол ГЗК</t>
  </si>
  <si>
    <t>Подготовка материалов по изменению ПЗЗ и сопровождение процедуры изменения ПЗЗ</t>
  </si>
  <si>
    <t>Изменение ПЗЗ</t>
  </si>
  <si>
    <t>Общественные обсуждения по градостроительным изменениям и учет результатов процедур в дорожной карте</t>
  </si>
  <si>
    <t>Протокол общественных обсуждений</t>
  </si>
  <si>
    <t>Согласование материалов с уполномоченными органами, архитектурное рассмотрение и профильные согласования</t>
  </si>
  <si>
    <t>Согласование с уполномоченными органами</t>
  </si>
  <si>
    <t>Согласования с Москомнаследием, транспортными органами, балансодержателями сетей, РСО, по благоустройству и медиафасадам при необходимости</t>
  </si>
  <si>
    <t>Согласования с балансодержателями сетей</t>
  </si>
  <si>
    <t>Управление градостроительным блоком, контроль сроков, бюджета, рисков и ключевых событий</t>
  </si>
  <si>
    <t>Управление градостроительным блоком</t>
  </si>
  <si>
    <t>2,3,4</t>
  </si>
  <si>
    <t>График прохождения согласований</t>
  </si>
  <si>
    <t>График согласований</t>
  </si>
  <si>
    <t xml:space="preserve"> Заключения профильных департаментов</t>
  </si>
  <si>
    <t>Заключения профильных департаментов</t>
  </si>
  <si>
    <t xml:space="preserve"> Протоколы РГ, ГЗК, ППМ о внесении изменений в ПЗЗ и ГПЗУ. ГПЗУ</t>
  </si>
  <si>
    <t>Протоколы РГ, ГЗК, ППМ</t>
  </si>
  <si>
    <t>3.2</t>
  </si>
  <si>
    <t>Этап - Выпуск Проектной документации стадии «Проект»</t>
  </si>
  <si>
    <t>4.1</t>
  </si>
  <si>
    <t>Проектная документация</t>
  </si>
  <si>
    <t>4.1.1 Разработка проектной документации стадии «Проект».
4.1.2 Разделы ПД: АР, КР, ИОС, ПОС, ООС, ПБ, МГН, энергоэффективность, СТУ при необходимости.
4.1.3 Координация работ.</t>
  </si>
  <si>
    <t>Задание на проектирование и Проектная документация, подготовленная в соответствии с Постановлением Правительства РФ от: 16.02.2008 N 87 (ред. от: 08.06.2027 - 18.08.2027
21.10.2025) "О составе разделов проектной документации и требованиях к их содержанию"</t>
  </si>
  <si>
    <t>Каждый этап работ координируется</t>
  </si>
  <si>
    <t>Координация работ</t>
  </si>
  <si>
    <t>4.2</t>
  </si>
  <si>
    <t>СТУ, расчет пожарных рисков, НТС ГУ ЧС, НТЗ, Согласование Москомэкспертизы</t>
  </si>
  <si>
    <t>4.2.1 Разделы СТУ .
4.2.2 Подготовка комплекта ПД и результатов изысканий для экспертизы.
4.2.3 Определение вида экспертизы.
4.2.4 Историко-культурная, экологическая, промышленная и иные специальные экспертизы при необходимости.
4.2.5  Сопровождение замечаний экспертизы.
4.2.6  Координация работ.</t>
  </si>
  <si>
    <t>Формирование перечня отступлений и предварительных компенсирующих мероприятий (например, усиление систем дымоудаления или автоматического пожаротушения)</t>
  </si>
  <si>
    <t>Перечень отступлений и компенсирующих мероприятий</t>
  </si>
  <si>
    <t>Сопровождение в НТС ГО ЧС Приказ МЧС России от: 28.11.2011 № 710 «Об утверждении Административного регламента предоставления государственной услуги по согласованию специальных технических условий для объектов, в отношении которых отсутствуют требования пожарной безопасности»</t>
  </si>
  <si>
    <t>Согласование в НТС ГО ЧС</t>
  </si>
  <si>
    <t>Заключение договора на подготовку научно-технического заключения и сопровождение согласования Москомэкспертизы</t>
  </si>
  <si>
    <t>Научно-техническое заключение</t>
  </si>
  <si>
    <t>4.3</t>
  </si>
  <si>
    <t>Проект организации демонтажа</t>
  </si>
  <si>
    <t>4.3.1 Проект подготовительных работ и проект демонтажа отдельных конструкций.</t>
  </si>
  <si>
    <t>Разработка проектной документации в соответствии требования к составу и содержанию проекта организации работ по сносу объекта капитального строительства Постановление Правительства РФ от: 26.04.2019 N 509</t>
  </si>
  <si>
    <t>Проектная документация по сносу</t>
  </si>
  <si>
    <t>4.4</t>
  </si>
  <si>
    <t>Схема транспортного обеспечения объекта</t>
  </si>
  <si>
    <t xml:space="preserve">4.4.1 Сопровождение разработки схемы организации движения, парковочных мест  и пешеходных связей с учетом перекрытия проезда </t>
  </si>
  <si>
    <t>Проектная организация собирает данные, моделирует транспортные потоки и рассчитывает нагрузку на улично-дорожную сеть (УДС)</t>
  </si>
  <si>
    <t>Модель транспортных потоков</t>
  </si>
  <si>
    <t>Сопровождение согласования в ДГП</t>
  </si>
  <si>
    <t>Согласование в ДГП</t>
  </si>
  <si>
    <t>Схема рассматривается на соответствие градостроительным нормам и проектам планировки территории. Согласование в Дептрансе: Департамент транспорта оценивает проект организации дорожного движения и влияние объекта на загруженность дорог</t>
  </si>
  <si>
    <t>Согласование в Дептрансе</t>
  </si>
  <si>
    <t>Сопровождение согласования в УГИБДД, ЦОДД</t>
  </si>
  <si>
    <t>Согласование в УГИБДД, ЦОДД</t>
  </si>
  <si>
    <t>4.5</t>
  </si>
  <si>
    <t>Программа мониторинга прилегающих строений</t>
  </si>
  <si>
    <t>4.5.1 Мероприятия по сохранности окружающей застройки, археологии и историко-культурному наследию.
4.5.2 Защитные мероприятия по соседним зданиям, организация логистики в центре Москвы и подготовка к началу основных работ</t>
  </si>
  <si>
    <t>4.6</t>
  </si>
  <si>
    <t>Мероприятия по обеспечению сохранности сооружений метрополитена с согласованием с ГУП "Московский метрополитен".</t>
  </si>
  <si>
    <t>4.6.1 Комплекс технических, организационных и контрольных действий, направленных на защиту объектов метрополитена от повреждений при проведении работ в их технической или охранной зоне.</t>
  </si>
  <si>
    <t>Осуществления процедуры согласования проведения работ и проектных решений в технических и охранных зонах метро согласно СП:
120.13330.2022 Регламент ГУП «Московский метрополитен» (Приказ от: 14.07.2017 № 740)</t>
  </si>
  <si>
    <t>Согласование работ в зонах метрополитена</t>
  </si>
  <si>
    <t>4.7</t>
  </si>
  <si>
    <t xml:space="preserve">Мероприятия по обеспечению сохранности подземных сооружений и инженерных коммуникаций </t>
  </si>
  <si>
    <t>4.7.1 Мероприятия для сохранения подземных сооружений и инженерных коммуникаций</t>
  </si>
  <si>
    <t>Разработка проектной документации в соответствии с требованиями Постановления Правительства Москвы</t>
  </si>
  <si>
    <t>4.8</t>
  </si>
  <si>
    <t>Проект обеспечения сохранности ОКН, вкл. ГИКЭ и согласование ДКН</t>
  </si>
  <si>
    <t>4.8.1 Комплекс мероприятий и документов, направленных на защиту объектов культурного наследия при проведении работ вблизи них или на самих объектах.</t>
  </si>
  <si>
    <t>Проведение ГИКЭ осуществляется в соответствии с нормами ФЗ N 73 от 25 июня 2002 года «Об объектах культурного наследия (памятниках истории и культуры) народов Российской Федерации» и ПП РФ от 25 апреля 2024 года № 530 «Об утверждении Положения о государственной историко-культурной экспертизе». Экспертиза проводится тремя аттестованными Министерством культуры РФ экспертами</t>
  </si>
  <si>
    <t>Согласование ПД в соответствии с положениями Административного регламента предоставления государственной услуги города Москвы "Согласование разделов проектной документации об обеспечении сохранности объекта культурного наследия, выявленного объекта культурного наследия или о проведении спасательных археологических полевых работ либо проекта обеспечения сохранности объекта культурного наследия, выявленного объекта культурного наследия или плана проведения спасательных археологических полевых работ при проведении изыскательских, проектных, земляных, строительных, мелиоративных, хозяйственных и иных работ в границах территории объекта культурного наследия, выявленного объекта культурного наследия либо на земельном участке, непосредственно связанном с земельным участком в границах территории объекта культурного наследия, выявленного объекта культурного наследия"</t>
  </si>
  <si>
    <t>Согласование проектной документации по ОКН</t>
  </si>
  <si>
    <t>4.9</t>
  </si>
  <si>
    <t>Этап - Прохождение экспертизы и получение Разрешения на реконструкцию</t>
  </si>
  <si>
    <t>5.1</t>
  </si>
  <si>
    <t>Государственная экспертиза ПД и РИИ</t>
  </si>
  <si>
    <t>5.1.1  Подготовка комплекта ПД и результатов изысканий для экспертизы 
5.1.2  Определение вида экспертизы 
5.1.3 Получение положительного заключения экспертизы (через Техзаказчика) .</t>
  </si>
  <si>
    <t>Регистрация ЛК Застройщика и Подача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t>
  </si>
  <si>
    <t>Формирование пакета проектной документации и результатов инженерных изысканий, Заявления и Анкеты. Загрузка указанных документов на портал</t>
  </si>
  <si>
    <t>Пакет проектной документации и изысканий</t>
  </si>
  <si>
    <t>Входной контроль. Присвоение вх. Номера и дела</t>
  </si>
  <si>
    <t>Входящий номер и регистрация дела</t>
  </si>
  <si>
    <t>Заключение и оплата договора. Подготовка распределительных писем</t>
  </si>
  <si>
    <t>Отслеживание, отработка и снятие замечаний экспертов. Контроль дозагрузки ПД</t>
  </si>
  <si>
    <t>Отработанные замечания экспертизы</t>
  </si>
  <si>
    <t>Заключения экспертов. Сводное заключение</t>
  </si>
  <si>
    <t>Заключения экспертов (сводное заключение)</t>
  </si>
  <si>
    <t>Регистрация заявок на консультации с экспертами</t>
  </si>
  <si>
    <t>Заявки на консультации с экспертами</t>
  </si>
  <si>
    <t>Положительное заключение</t>
  </si>
  <si>
    <t>Положительное заключение экспертизы</t>
  </si>
  <si>
    <t>Продление услуги в случае необходимости</t>
  </si>
  <si>
    <t>Продление срока услуги</t>
  </si>
  <si>
    <t>5.2</t>
  </si>
  <si>
    <t>Сопровождение государственной экспертизы</t>
  </si>
  <si>
    <t>5.2.1 Сопровождение замечаний экспертизы.
5.2.2 Координация работ.</t>
  </si>
  <si>
    <t>Заключение и оплата договора</t>
  </si>
  <si>
    <t>Сопровождение загрузки, обеспечение дополнительных консультаций экспертов, спорповждение дозагрузки</t>
  </si>
  <si>
    <t>Сопровождение экспертизы</t>
  </si>
  <si>
    <t>5.3</t>
  </si>
  <si>
    <t>Разрешение на реконструкцию</t>
  </si>
  <si>
    <t>5.3.1 Подготовка пакета документов на разрешение на реконструкцию.
5.3.2 Получение разрешения на реконструкцию.</t>
  </si>
  <si>
    <t>Формирование пакета проектной документации и результатов инженерных изысканий, Заявления и Анкеты, Положительного заключения Мосгосэкспертизы</t>
  </si>
  <si>
    <t>Сопровождение оформления разрешения на строительство в соответствии с положениями Постановления Правительства Москвы от 17 апреля 2012 № 145- ПП «Об утверждении Административных регламентов предоставления государственных услуг города Москвы «выдача разрешения на строительство» и «выдача разрешения на ввод объекта в эксплуатацию</t>
  </si>
  <si>
    <t>Разрешение на строительство</t>
  </si>
  <si>
    <t>5.4</t>
  </si>
  <si>
    <t>Программа проверок Мосгостройнадзора</t>
  </si>
  <si>
    <t>5.4.1 Извещение о начале работ, открытие ордеров и разрешений на производство работ.
5.4.2  Управление разрешительным блоком, функции технического заказчика обеспечивает привлеченный технический заказчик.
5.4.3 Контроль исполнительной документации и участие в проверках Мосгосстройнадзора.
5.4.4 Итоговая проверка Мосгосстройнадзора.</t>
  </si>
  <si>
    <t>Подготовка, загрузка и сопровождение на портале пакета документов в соответсвии с Положением о региональном государственном строительном надзоре в городе Москве (далее - Положение) определяет порядок организации и осуществления регионального государственного строительного надзора в городе Москве</t>
  </si>
  <si>
    <t>Пакет документов строительного надзора</t>
  </si>
  <si>
    <t>5.5.</t>
  </si>
  <si>
    <t xml:space="preserve">Этап - Реконструкция Объекта </t>
  </si>
  <si>
    <t>6.1</t>
  </si>
  <si>
    <t>Рабочая документация</t>
  </si>
  <si>
    <t>6.1.1 Ранняя РД и подготовка выпуска «в производство работ»: архитектура, конструктив, инженерия, мультимедиа, фасады, интерьеры, благоустройство.
6.1.2 Проверка РД на соответствие ПД, экспертизе и бюджету; управление изменениями РД.
6.1.3 Разработка проектной документации стадии РД и выпуск «в производство работ» по архитектуре, конструктиву, инженерии, мультимедиа, фасадам, интерьерам и благоустройству.
6.1.4 Управление изменениями РД.</t>
  </si>
  <si>
    <t>6.2</t>
  </si>
  <si>
    <t>Разработка дизайна и концепции интерьеров, рабочая документация на РСР</t>
  </si>
  <si>
    <t>6.2.1 Оформление пространства, определение стиля, атмосфера, функциональность и эстетика. Рабочая документация</t>
  </si>
  <si>
    <t>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t>
  </si>
  <si>
    <t>6.3</t>
  </si>
  <si>
    <t>Тендерный пакет и закупочная документация</t>
  </si>
  <si>
    <t>6.3.1 Подготовка тендера на генподрядчика и тендера на демонтаж / подготовительные работы.
6.3.2 Тендеры и закупки строительной стадии: генподрядчик, подготовительные работы, фасады, мультимедиа, инженерное оборудование, интерьеры, благоустройство, оператор / эксплуатационная компания, существенные условия договоров и матрица прямых договоров.</t>
  </si>
  <si>
    <t>6.4</t>
  </si>
  <si>
    <t>Генеральный подряд, СМР</t>
  </si>
  <si>
    <t>6.4.1 Передача площадки подрядчику, организация стройгородка, временные сети и временное электроснабжение.
6.4.2 Защитные мероприятия по соседним зданиям, организация логистики в центре Москвы и подготовка к началу основных работ.
6.4.3 Разработка проектной документации стадии РД и выпуск «в производство работ» по архитектуре, конструктиву, инженерии, мультимедиа, фасадам, интерьерам и благоустройству.
6.4.4 Управление изменениями РД.
6.4.5 Тендеры и закупки строительной стадии: генподрядчик, подготовительные работы, фасады, мультимедиа, инженерное оборудование, интерьеры, благоустройство, оператор / эксплуатационная компания, существенные условия договоров и матрица прямых договоров.
6.4.6 Основные работы по глубокой реконструкции.
6.4.7 Демонтаж отдельных конструкций, усиление, подземная часть / нулевой цикл, фундаменты и геотехника.
6.4.8 Основной конструктив, перекрытия, новые объемы, интеграция существующего и нового.
6.4.9 Фасадные работы, кровля, гидроизоляция, наружная оболочка, лестницы, платформы и эксплуатируемая кровля.
6.4.10 Внутренние и внешние инженерные системы, BMS, пожарная безопасность, лифты, эскалаторы и инженерные нагрузки.
6.4.11 Мультимедиа, свет, звук, видео, IT, сценическое / выставочное оборудование, поставки и монтаж.
6.4.12 Отделочные работы, интерьеры, аудиториум, рестораны, офисы и общественные пространства (решение о сдаче законченного строительством Объекта и оформлении ЗОС  с отделочными работами или Shell &amp; Core будет принято и согласовано сторонами на этапе разработки задания на проектирование стадии П)
6.4.13 Внешние сети, подключения, благоустройство территории и городская интеграция.
6.4.14 Логистика поставок, охрана труда, промышленная и пожарная безопасность на период работ.
6.4.15 Контроль графика, бюджета, качества СМР, исполнительной документации, авторский надзор и авторское сопровождение design intent.
6.4.16 Предписания и замечания надзорных органов, управление изменениями на строительстве.
6.4.17 Технический заказчик и строительный контроль на строительной стадии: КС-2 / КС-3, качество материалов, исполнительная документация, проверки Мосгосстройнадзора, отчетность и координация с Квантой.
6.4.18 Управление строительной стадией: контроль сроков, бюджета, проектных решений, рисков, отчетность, комитеты Заказчика и ключевые события.
6.4.19 Резерв строительной стадии, cash-flow, план-факт и управление рисками подземной части, мультимедиа, фасадов, инженерных нагрузок, сроков и роста стоимости.</t>
  </si>
  <si>
    <t>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t>
  </si>
  <si>
    <t>Передача площадки подрядчику, организация стройгородка, временные сети и временное электроснабжение</t>
  </si>
  <si>
    <t>Обустроенная строительная площадка</t>
  </si>
  <si>
    <t>Защитные мероприятия по соседним зданиям, организация логистики в центре Москвы и подготовка к началу основных работ</t>
  </si>
  <si>
    <t>Защитные мероприятия и логистика площадки</t>
  </si>
  <si>
    <t>Разработка проектной документации стадии РД и выпуск «в производство работ» по архитектуре, конструктиву, инженерии, мультимедиа, фасадам, интерьерам и благоустройству</t>
  </si>
  <si>
    <t>Управление изменениями РД</t>
  </si>
  <si>
    <t>Тендеры и закупки строительной стадии: генподрядчик, подготовительные работы, фасады, мультимедиа, инженерное оборудование, интерьеры, благоустройство, оператор / эксплуатационная компания, существенные условия договоров и матрица прямых договоров</t>
  </si>
  <si>
    <t>Заключённые договоры строительной стадии</t>
  </si>
  <si>
    <t>Основные работы по глубокой реконструкции</t>
  </si>
  <si>
    <t>Выполненные работы по реконструкции</t>
  </si>
  <si>
    <t>Демонтаж отдельных конструкций, усиление, подземная часть / нулевой цикл, фундаменты и геотехника</t>
  </si>
  <si>
    <t>Демонтаж и усиление конструкций</t>
  </si>
  <si>
    <t xml:space="preserve"> Основной конструктив, перекрытия, новые объемы, интеграция существующего и нового</t>
  </si>
  <si>
    <t>Основной конструктив здания</t>
  </si>
  <si>
    <t xml:space="preserve"> Фасадные работы, кровля, гидроизоляция, наружная оболочка, лестницы, платформы и эксплуатируемая кровля</t>
  </si>
  <si>
    <t>Фасады и кровля</t>
  </si>
  <si>
    <t xml:space="preserve"> Внутренние и внешние инженерные системы, BMS, пожарная безопасность, лифты, эскалаторы и инженерные нагрузки</t>
  </si>
  <si>
    <t>Инженерные системы здания</t>
  </si>
  <si>
    <t xml:space="preserve"> Мультимедиа, свет, звук, видео, IT, сценическое / выставочное оборудование, поставки и монтаж</t>
  </si>
  <si>
    <t>Мультимедийное оборудование</t>
  </si>
  <si>
    <t xml:space="preserve"> Отделочные работы, интерьеры, аудиториум, рестораны, офисы и общественные пространства.:(решение о сдаче законченного строительством Объекта и оформлении ЗОС  с отделочными работами или Shell &amp; Core будет принято и согласовано сторонами на этапе разработки задания на проектирование стадии П)</t>
  </si>
  <si>
    <t>Отделочные работы и интерьеры</t>
  </si>
  <si>
    <t xml:space="preserve"> Внешние сети, подключения, благоустройство территории и городская интеграция</t>
  </si>
  <si>
    <t>Внешние сети и благоустройство</t>
  </si>
  <si>
    <t xml:space="preserve"> Логистика поставок, охрана труда, промышленная и пожарная безопасность на период работ</t>
  </si>
  <si>
    <t>Логистика и охрана труда на площадке</t>
  </si>
  <si>
    <t xml:space="preserve"> Контроль графика, бюджета, качества СМР, исполнительной документации, авторский надзор и авторское сопровождение design intent</t>
  </si>
  <si>
    <t>Контроль графика, бюджета и качества СМР</t>
  </si>
  <si>
    <t xml:space="preserve"> Предписания и замечания надзорных органов, управление изменениями на строительстве</t>
  </si>
  <si>
    <t>Устранённые предписания надзорных органов</t>
  </si>
  <si>
    <t xml:space="preserve"> Технический заказчик и строительный контроль на строительной стадии: КС-2 / КС-3, качество материалов, исполнительная документация, проверки Мосгосстройнадзора, отчетность и координация с Квантой</t>
  </si>
  <si>
    <t>Строительный контроль (КС-2, КС-3)</t>
  </si>
  <si>
    <t xml:space="preserve"> Управление строительной стадией: контроль сроков, бюджета, проектных решений, рисков, отчетность, комитеты Заказчика и ключевые события</t>
  </si>
  <si>
    <t>Управление строительной стадией</t>
  </si>
  <si>
    <t xml:space="preserve"> Резерв строительной стадии, cash-flow, план-факт и управление рисками подземной части, мультимедиа, фасадов, инженерных нагрузок, сроков и роста стоимости.и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t>
  </si>
  <si>
    <t>Резерв и план-факт анализ строительной стадии</t>
  </si>
  <si>
    <t>6.5</t>
  </si>
  <si>
    <t xml:space="preserve">Строительный контроль </t>
  </si>
  <si>
    <t>6.5.1  Подбор компании осуществляющей строительный контроль и контроль ее работы.</t>
  </si>
  <si>
    <t>Контроль работ компании осуществляющей строительный контроль</t>
  </si>
  <si>
    <t>Контроль строительного контроля</t>
  </si>
  <si>
    <t>6.6</t>
  </si>
  <si>
    <t xml:space="preserve">Автороский надзор иностранного архитектора </t>
  </si>
  <si>
    <t>6.6.1 Заключение договора на авторский надзор  и контроль выполнения  работ.</t>
  </si>
  <si>
    <t xml:space="preserve"> Контроль работ компании осуществляющей авторский надзор</t>
  </si>
  <si>
    <t>Контроль авторского надзора</t>
  </si>
  <si>
    <t>6.7</t>
  </si>
  <si>
    <t>Авторский надзор генерального проектировщика</t>
  </si>
  <si>
    <t>6.7.1 Заключение договора на авторский надзор генерального проектировщика и контроль выполнения работ.</t>
  </si>
  <si>
    <t>Контроль работ генерального проектировщика по авторскому надзор</t>
  </si>
  <si>
    <t>Контроль авторского надзора генпроектировщика</t>
  </si>
  <si>
    <t>6.8</t>
  </si>
  <si>
    <t>Аторский надзор дизайнера интерьеров</t>
  </si>
  <si>
    <t>6.8.1 Заключение договора на аторсский надзор (интерьеры)  контроль выполнения работ.</t>
  </si>
  <si>
    <t>Контроль работ компании осуществляющей авторский надзор (интерьеры)</t>
  </si>
  <si>
    <t>Контроль авторского надзора (интерьеры)</t>
  </si>
  <si>
    <t>6.9</t>
  </si>
  <si>
    <t>Этап - Сдача Объекта, ЗОС, разрешение на ввод</t>
  </si>
  <si>
    <t>7.1</t>
  </si>
  <si>
    <t xml:space="preserve">Программа испытаний, ЗОС и Акт ввода </t>
  </si>
  <si>
    <t>7.1.1 Контроль исполнительной документации и участие в проверках Мосгосстройнадзора.
7.1.2 Индивидуальные испытания инженерных систем.
7.1.3 Комплексные испытания.
7.1.4 Пусконаладка мультимедийного оборудования.
7.1.5 Итоговая проверка Мосгосстройнадзора.
7.1.6 Получение ЗОС.
7.1.7 Получение разрешения на ввод.</t>
  </si>
  <si>
    <t>Подача и сопровождение заявления о выдаче заключения о соответствии построенного (реконструированного, отремонтированного) объекта капитального строительства требованиям технических регламентов и проектной документации. ЗОС выдается Мосгосстройнадзором по результатам итоговой проверки, если при ее проведении не были выявлены нарушения требований, указанных в части 16 статьи 54 Градостроительного Кодекса Российской Федерации, либо такие нарушения были устранены до дня окончания выездной проверки</t>
  </si>
  <si>
    <t>Заключение о соответствии (ЗОС)</t>
  </si>
  <si>
    <t>7.2</t>
  </si>
  <si>
    <t>Кадастровые работы и Регистрация права собственности на ОКС</t>
  </si>
  <si>
    <t>7.2.1 Кадастровый учет реконструированного объекта.</t>
  </si>
  <si>
    <t>7.3</t>
  </si>
  <si>
    <t>Оформление паспорта БТИ всего комплекса зданий с учетом нового ОКС</t>
  </si>
  <si>
    <t>.
7.3.1 Передача объекта оператору / эксплуатирующей организации.</t>
  </si>
  <si>
    <t>7.4</t>
  </si>
  <si>
    <t>Акт ввода (КС-14)</t>
  </si>
  <si>
    <t>7.4.1  Итоговая проверка Мосгосстройнадзора.
7.4.2  Получение разрешения на ввод.</t>
  </si>
  <si>
    <t>Контроль итоговой проверка Мосгосстройнадзора</t>
  </si>
  <si>
    <t>Контроль итоговой проверки Мосгосстройнадзора</t>
  </si>
  <si>
    <t>Контроль и получение разрешения на ввод</t>
  </si>
  <si>
    <t>Разрешение на ввод объекта</t>
  </si>
  <si>
    <t xml:space="preserve">ЗОС, разрешение на ввод объекта в эксплуатацию </t>
  </si>
  <si>
    <t>ЗОС и разрешение на ввод объекта в эксплуатацию</t>
  </si>
  <si>
    <t>8</t>
  </si>
  <si>
    <t>Работы и услуги в течении реализации проекта</t>
  </si>
  <si>
    <t>8.1</t>
  </si>
  <si>
    <t xml:space="preserve">Услуги технического заказчика </t>
  </si>
  <si>
    <t>8.1.1 Подбор технического заказчика и контроль за его работой</t>
  </si>
  <si>
    <t>Контроль работ технического заказчика</t>
  </si>
  <si>
    <t>ПЕРИОД РЕАЛИЗАЦИИ ПРОЕКТА</t>
  </si>
  <si>
    <t>1.2</t>
  </si>
  <si>
    <t>Техническое обследование строительных конструкций зоны влияния</t>
  </si>
  <si>
    <t>1.4.А</t>
  </si>
  <si>
    <t xml:space="preserve">1.4.А.1  Организация обследований, изысканий и специальных исследований зоны влияния
</t>
  </si>
  <si>
    <t>Закрытый договор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</si>
</sst>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
    <numFmt numFmtId="165" formatCode="dd\.mm\.yyyy"/>
    <numFmt numFmtId="166" formatCode="_-* #,##0.00\ [$₽-419]_-;\-* #,##0.00\ [$₽-419]_-;_-* &quot;-&quot;??\ [$₽-419]_-;_-@_-"/>
    <numFmt numFmtId="167" formatCode="#,##0.00\ &quot;₽&quot;"/>
    <numFmt numFmtId="168" formatCode="_-* #\.##0.00\ &quot;₽&quot;_-;\-* #\.##0.00\ &quot;₽&quot;_-;_-* \-??\ &quot;₽&quot;_-;_-@_-"/>
    <numFmt numFmtId="169" formatCode="_-* #,##0.00&quot;р.&quot;_-;\-* #,##0.00&quot;р.&quot;_-;_-* &quot;-&quot;??&quot;р.&quot;_-;_-@_-"/>
    <numFmt numFmtId="170" formatCode="_-* #,##0.00\ _₽_-;\-* #,##0.00\ _₽_-;_-* &quot;-&quot;??\ _₽_-;_-@_-"/>
  </numFmts>
  <fonts count="17">
    <font>
      <sz val="11"/>
      <color theme="1"/>
      <name val="Arial"/>
      <charset val="204"/>
    </font>
    <font>
      <sz val="10"/>
      <name val="Arial"/>
      <family val="2"/>
      <charset val="204"/>
    </font>
    <font>
      <b/>
      <sz val="8"/>
      <name val="Arial"/>
      <family val="2"/>
      <charset val="204"/>
    </font>
    <font>
      <b/>
      <sz val="11"/>
      <name val="Arial"/>
      <family val="2"/>
      <charset val="204"/>
    </font>
    <font>
      <b/>
      <sz val="10"/>
      <name val="Arial"/>
      <family val="2"/>
      <charset val="204"/>
    </font>
    <font>
      <sz val="8"/>
      <name val="Arial"/>
      <family val="2"/>
      <charset val="204"/>
    </font>
    <font>
      <sz val="8"/>
      <name val="Arial (Основной текст)"/>
      <charset val="204"/>
    </font>
    <font>
      <b/>
      <sz val="8"/>
      <name val="Arial (Основной текст)"/>
      <charset val="204"/>
    </font>
    <font>
      <sz val="11"/>
      <color indexed="8"/>
      <name val="Calibri"/>
      <family val="2"/>
      <charset val="204"/>
      <scheme val="minor"/>
    </font>
    <font>
      <sz val="10"/>
      <color indexed="12"/>
      <name val="Arial"/>
      <family val="2"/>
      <charset val="204"/>
    </font>
    <font>
      <sz val="10"/>
      <color theme="10"/>
      <name val="Arial Cyr"/>
      <charset val="204"/>
    </font>
    <font>
      <sz val="10"/>
      <name val="Arial Cyr"/>
      <charset val="204"/>
    </font>
    <font>
      <sz val="12"/>
      <color theme="1"/>
      <name val="Arial"/>
      <family val="2"/>
      <charset val="204"/>
    </font>
    <font>
      <sz val="12"/>
      <name val="Times New Roman Cyr"/>
      <charset val="204"/>
    </font>
    <font>
      <b/>
      <sz val="8"/>
      <name val="Arial"/>
      <family val="2"/>
      <charset val="204"/>
    </font>
    <font>
      <sz val="8"/>
      <name val="Arial"/>
      <family val="2"/>
      <charset val="204"/>
    </font>
    <font>
      <b/>
      <sz val="10"/>
      <name val="Arial"/>
      <family val="2"/>
      <charset val="204"/>
    </font>
  </fonts>
  <fills count="8">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8"/>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rgb="FFFFFF00"/>
        <bgColor indexed="64"/>
      </patternFill>
    </fill>
  </fills>
  <borders count="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s>
  <cellStyleXfs count="11">
    <xf numFmtId="0" fontId="0" fillId="0" borderId="0"/>
    <xf numFmtId="168" fontId="8" fillId="0" borderId="0">
      <alignment vertical="center"/>
    </xf>
    <xf numFmtId="0" fontId="9" fillId="0" borderId="0">
      <alignment vertical="top"/>
    </xf>
    <xf numFmtId="0" fontId="1" fillId="0" borderId="0"/>
    <xf numFmtId="0" fontId="10" fillId="0" borderId="0"/>
    <xf numFmtId="169" fontId="11" fillId="0" borderId="0"/>
    <xf numFmtId="0" fontId="11" fillId="0" borderId="0"/>
    <xf numFmtId="0" fontId="12" fillId="0" borderId="0"/>
    <xf numFmtId="0" fontId="13" fillId="0" borderId="0"/>
    <xf numFmtId="9" fontId="11" fillId="0" borderId="0"/>
    <xf numFmtId="170" fontId="11" fillId="0" borderId="0"/>
  </cellStyleXfs>
  <cellXfs count="89">
    <xf numFmtId="0" fontId="0" fillId="0" borderId="0" xfId="0"/>
    <xf numFmtId="0" fontId="1" fillId="0" borderId="0" xfId="6" applyFont="1" applyAlignment="1">
      <alignment horizontal="center" vertical="center"/>
    </xf>
    <xf numFmtId="0" fontId="2" fillId="0" borderId="0" xfId="6" applyFont="1" applyAlignment="1">
      <alignment horizontal="center" vertical="center"/>
    </xf>
    <xf numFmtId="0" fontId="3" fillId="0" borderId="0" xfId="6" applyFont="1" applyAlignment="1">
      <alignment horizontal="center" vertical="center"/>
    </xf>
    <xf numFmtId="0" fontId="4" fillId="0" borderId="0" xfId="6" applyFont="1" applyAlignment="1">
      <alignment horizontal="left" vertical="center"/>
    </xf>
    <xf numFmtId="0" fontId="4" fillId="0" borderId="0" xfId="6" applyFont="1" applyAlignment="1">
      <alignment horizontal="center" vertical="center"/>
    </xf>
    <xf numFmtId="0" fontId="5" fillId="0" borderId="0" xfId="6" applyFont="1" applyAlignment="1">
      <alignment horizontal="center" vertical="center"/>
    </xf>
    <xf numFmtId="1" fontId="5" fillId="0" borderId="0" xfId="6" applyNumberFormat="1" applyFont="1"/>
    <xf numFmtId="0" fontId="6" fillId="0" borderId="0" xfId="6" applyFont="1"/>
    <xf numFmtId="0" fontId="1" fillId="0" borderId="0" xfId="6" applyFont="1"/>
    <xf numFmtId="1" fontId="1" fillId="0" borderId="0" xfId="6" applyNumberFormat="1" applyFont="1"/>
    <xf numFmtId="1" fontId="2" fillId="0" borderId="1" xfId="8" applyNumberFormat="1" applyFont="1" applyBorder="1" applyAlignment="1">
      <alignment horizontal="center" vertical="center" wrapText="1"/>
    </xf>
    <xf numFmtId="4" fontId="2" fillId="2" borderId="1" xfId="8"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5" fillId="0" borderId="1" xfId="6" applyFont="1" applyBorder="1" applyAlignment="1">
      <alignment horizontal="left" vertical="center" wrapText="1"/>
    </xf>
    <xf numFmtId="49" fontId="5" fillId="0" borderId="1" xfId="8" applyNumberFormat="1" applyFont="1" applyBorder="1" applyAlignment="1">
      <alignment horizontal="left" vertical="center" wrapText="1"/>
    </xf>
    <xf numFmtId="0" fontId="6" fillId="0" borderId="0" xfId="6" applyFont="1" applyAlignment="1">
      <alignment wrapText="1"/>
    </xf>
    <xf numFmtId="14" fontId="5" fillId="0" borderId="1" xfId="0" applyNumberFormat="1" applyFont="1" applyBorder="1" applyAlignment="1">
      <alignment horizontal="center" vertical="center" wrapText="1"/>
    </xf>
    <xf numFmtId="0" fontId="14" fillId="2" borderId="1" xfId="0" applyFont="1" applyFill="1" applyBorder="1" applyAlignment="1">
      <alignment horizontal="center" vertical="center" wrapText="1"/>
    </xf>
    <xf numFmtId="0" fontId="6" fillId="0" borderId="1" xfId="6" applyFont="1" applyBorder="1" applyAlignment="1">
      <alignment horizontal="left" vertical="center" wrapText="1"/>
    </xf>
    <xf numFmtId="0" fontId="15" fillId="0" borderId="1" xfId="0" applyFont="1" applyBorder="1" applyAlignment="1">
      <alignment horizontal="left" vertical="center" wrapText="1"/>
    </xf>
    <xf numFmtId="0" fontId="2" fillId="4" borderId="1" xfId="6" applyFont="1" applyFill="1" applyBorder="1" applyAlignment="1">
      <alignment horizontal="left" vertical="center" wrapText="1"/>
    </xf>
    <xf numFmtId="0" fontId="2" fillId="4" borderId="1" xfId="0" applyFont="1" applyFill="1" applyBorder="1" applyAlignment="1">
      <alignment horizontal="left" vertical="center" wrapText="1"/>
    </xf>
    <xf numFmtId="14" fontId="2" fillId="4" borderId="1" xfId="0" applyNumberFormat="1" applyFont="1" applyFill="1" applyBorder="1" applyAlignment="1">
      <alignment horizontal="center" vertical="center" wrapText="1"/>
    </xf>
    <xf numFmtId="1" fontId="2" fillId="4" borderId="1" xfId="0" applyNumberFormat="1" applyFont="1" applyFill="1" applyBorder="1" applyAlignment="1">
      <alignment horizontal="center" vertical="center" wrapText="1"/>
    </xf>
    <xf numFmtId="0" fontId="2" fillId="4" borderId="1" xfId="1" applyNumberFormat="1" applyFont="1" applyFill="1" applyBorder="1" applyAlignment="1">
      <alignment horizontal="center" vertical="center"/>
    </xf>
    <xf numFmtId="0" fontId="2" fillId="5" borderId="1" xfId="6" applyFont="1" applyFill="1" applyBorder="1" applyAlignment="1">
      <alignment horizontal="left" vertical="center" wrapText="1"/>
    </xf>
    <xf numFmtId="0" fontId="2" fillId="5" borderId="1" xfId="0" applyFont="1" applyFill="1" applyBorder="1" applyAlignment="1">
      <alignment horizontal="left" vertical="center" wrapText="1"/>
    </xf>
    <xf numFmtId="14" fontId="2" fillId="5" borderId="1" xfId="0" applyNumberFormat="1" applyFont="1" applyFill="1" applyBorder="1" applyAlignment="1">
      <alignment horizontal="center" vertical="center" wrapText="1"/>
    </xf>
    <xf numFmtId="1" fontId="2" fillId="5" borderId="1" xfId="0" applyNumberFormat="1" applyFont="1" applyFill="1" applyBorder="1" applyAlignment="1">
      <alignment horizontal="center" vertical="center" wrapText="1"/>
    </xf>
    <xf numFmtId="0" fontId="2" fillId="5" borderId="1" xfId="1" applyNumberFormat="1" applyFont="1" applyFill="1" applyBorder="1" applyAlignment="1">
      <alignment horizontal="center" vertical="center"/>
    </xf>
    <xf numFmtId="0" fontId="6" fillId="6" borderId="1" xfId="6" applyFont="1" applyFill="1" applyBorder="1" applyAlignment="1">
      <alignment horizontal="left" vertical="center" wrapText="1"/>
    </xf>
    <xf numFmtId="0" fontId="15" fillId="6"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1" fillId="6" borderId="1" xfId="1" applyNumberFormat="1" applyFont="1" applyFill="1" applyBorder="1" applyAlignment="1">
      <alignment horizontal="center" vertical="center"/>
    </xf>
    <xf numFmtId="0" fontId="5" fillId="6" borderId="1" xfId="0" applyFont="1" applyFill="1" applyBorder="1" applyAlignment="1">
      <alignment horizontal="left" vertical="center" wrapText="1"/>
    </xf>
    <xf numFmtId="0" fontId="4" fillId="6" borderId="1" xfId="1" applyNumberFormat="1" applyFont="1" applyFill="1" applyBorder="1" applyAlignment="1">
      <alignment horizontal="center" vertical="center"/>
    </xf>
    <xf numFmtId="0" fontId="2" fillId="0" borderId="1" xfId="1" applyNumberFormat="1" applyFont="1" applyBorder="1" applyAlignment="1">
      <alignment horizontal="left" vertical="center"/>
    </xf>
    <xf numFmtId="0" fontId="2" fillId="5" borderId="1" xfId="1" applyNumberFormat="1" applyFont="1" applyFill="1" applyBorder="1" applyAlignment="1">
      <alignment horizontal="left" vertical="center"/>
    </xf>
    <xf numFmtId="0" fontId="1" fillId="6" borderId="1" xfId="1" applyNumberFormat="1" applyFont="1" applyFill="1" applyBorder="1" applyAlignment="1">
      <alignment horizontal="left" vertical="center"/>
    </xf>
    <xf numFmtId="0" fontId="2" fillId="4" borderId="1" xfId="1" applyNumberFormat="1" applyFont="1" applyFill="1" applyBorder="1" applyAlignment="1">
      <alignment horizontal="left" vertical="center"/>
    </xf>
    <xf numFmtId="0" fontId="5" fillId="4" borderId="1" xfId="8" applyFont="1" applyFill="1" applyBorder="1" applyAlignment="1">
      <alignment horizontal="center" vertical="center" wrapText="1"/>
    </xf>
    <xf numFmtId="0" fontId="5" fillId="5" borderId="1" xfId="8" applyFont="1" applyFill="1" applyBorder="1" applyAlignment="1">
      <alignment horizontal="center" vertical="center" wrapText="1"/>
    </xf>
    <xf numFmtId="0" fontId="5" fillId="6" borderId="1" xfId="8" applyFont="1" applyFill="1" applyBorder="1" applyAlignment="1">
      <alignment horizontal="center" vertical="center" wrapText="1"/>
    </xf>
    <xf numFmtId="0" fontId="14" fillId="0" borderId="1" xfId="1" applyNumberFormat="1" applyFont="1" applyBorder="1" applyAlignment="1">
      <alignment horizontal="center" vertical="center" wrapText="1"/>
    </xf>
    <xf numFmtId="164" fontId="7" fillId="2" borderId="1" xfId="8" applyNumberFormat="1" applyFont="1" applyFill="1" applyBorder="1" applyAlignment="1">
      <alignment horizontal="center" vertical="center" wrapText="1"/>
    </xf>
    <xf numFmtId="165" fontId="2" fillId="4" borderId="1" xfId="0" applyNumberFormat="1" applyFont="1" applyFill="1" applyBorder="1" applyAlignment="1">
      <alignment horizontal="center" vertical="center" wrapText="1"/>
    </xf>
    <xf numFmtId="166" fontId="2" fillId="4" borderId="1" xfId="1" applyNumberFormat="1" applyFont="1" applyFill="1" applyBorder="1" applyAlignment="1">
      <alignment horizontal="center" vertical="center"/>
    </xf>
    <xf numFmtId="165" fontId="2" fillId="5" borderId="1" xfId="0" applyNumberFormat="1" applyFont="1" applyFill="1" applyBorder="1" applyAlignment="1">
      <alignment horizontal="center" vertical="center" wrapText="1"/>
    </xf>
    <xf numFmtId="166" fontId="2" fillId="5" borderId="1" xfId="1" applyNumberFormat="1" applyFont="1" applyFill="1" applyBorder="1" applyAlignment="1">
      <alignment horizontal="center" vertical="center"/>
    </xf>
    <xf numFmtId="166" fontId="2" fillId="0" borderId="1" xfId="1" applyNumberFormat="1" applyFont="1" applyBorder="1" applyAlignment="1">
      <alignment horizontal="center" vertical="center"/>
    </xf>
    <xf numFmtId="167" fontId="5" fillId="6" borderId="1" xfId="8" applyNumberFormat="1" applyFont="1" applyFill="1" applyBorder="1" applyAlignment="1">
      <alignment horizontal="left" vertical="center" wrapText="1"/>
    </xf>
    <xf numFmtId="166" fontId="1" fillId="6" borderId="1" xfId="1" applyNumberFormat="1" applyFont="1" applyFill="1" applyBorder="1" applyAlignment="1">
      <alignment horizontal="center" vertical="center"/>
    </xf>
    <xf numFmtId="167" fontId="15" fillId="0" borderId="1" xfId="8" applyNumberFormat="1" applyFont="1" applyBorder="1" applyAlignment="1">
      <alignment horizontal="left" vertical="center" wrapText="1"/>
    </xf>
    <xf numFmtId="167" fontId="5" fillId="3" borderId="1" xfId="8" applyNumberFormat="1" applyFont="1" applyFill="1" applyBorder="1" applyAlignment="1">
      <alignment horizontal="left" vertical="center" wrapText="1"/>
    </xf>
    <xf numFmtId="166" fontId="4" fillId="0" borderId="1" xfId="1" applyNumberFormat="1" applyFont="1" applyBorder="1" applyAlignment="1">
      <alignment horizontal="center" vertical="center"/>
    </xf>
    <xf numFmtId="166" fontId="5" fillId="0" borderId="1" xfId="1" applyNumberFormat="1" applyFont="1" applyBorder="1" applyAlignment="1">
      <alignment horizontal="center" vertical="center"/>
    </xf>
    <xf numFmtId="167" fontId="5" fillId="0" borderId="1" xfId="8" applyNumberFormat="1" applyFont="1" applyBorder="1" applyAlignment="1">
      <alignment horizontal="left" vertical="center"/>
    </xf>
    <xf numFmtId="166" fontId="1" fillId="0" borderId="0" xfId="6" applyNumberFormat="1" applyFont="1"/>
    <xf numFmtId="0" fontId="2" fillId="0" borderId="1" xfId="1" applyNumberFormat="1" applyFont="1" applyBorder="1" applyAlignment="1">
      <alignment horizontal="center" vertical="center"/>
    </xf>
    <xf numFmtId="167" fontId="5" fillId="0" borderId="1" xfId="8" applyNumberFormat="1"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166" fontId="1" fillId="0" borderId="1" xfId="1" applyNumberFormat="1" applyFont="1" applyBorder="1" applyAlignment="1">
      <alignment horizontal="center" vertical="center"/>
    </xf>
    <xf numFmtId="0" fontId="1" fillId="0" borderId="1" xfId="1" applyNumberFormat="1" applyFont="1" applyBorder="1" applyAlignment="1">
      <alignment horizontal="center" vertical="center"/>
    </xf>
    <xf numFmtId="0" fontId="16" fillId="6" borderId="1" xfId="1" applyNumberFormat="1" applyFont="1" applyFill="1" applyBorder="1" applyAlignment="1">
      <alignment horizontal="center" vertical="center"/>
    </xf>
    <xf numFmtId="0" fontId="16" fillId="0" borderId="1" xfId="1" applyNumberFormat="1" applyFont="1" applyBorder="1" applyAlignment="1">
      <alignment horizontal="center" vertical="center"/>
    </xf>
    <xf numFmtId="0" fontId="15" fillId="0" borderId="1" xfId="8" applyFont="1" applyBorder="1" applyAlignment="1">
      <alignment vertical="center"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5" fillId="0" borderId="1" xfId="8" applyFont="1" applyBorder="1" applyAlignment="1">
      <alignment horizontal="left" vertical="center" wrapText="1"/>
    </xf>
    <xf numFmtId="0" fontId="5" fillId="0" borderId="1" xfId="8" applyFont="1" applyBorder="1" applyAlignment="1">
      <alignment vertical="center" wrapText="1"/>
    </xf>
    <xf numFmtId="14" fontId="5" fillId="0" borderId="1" xfId="8" applyNumberFormat="1" applyFont="1" applyBorder="1" applyAlignment="1">
      <alignment horizontal="left" vertical="center" wrapText="1"/>
    </xf>
    <xf numFmtId="0" fontId="0" fillId="0" borderId="7" xfId="0" applyBorder="1"/>
    <xf numFmtId="0" fontId="5" fillId="5" borderId="1" xfId="8" quotePrefix="1" applyNumberFormat="1" applyFont="1" applyFill="1" applyBorder="1" applyAlignment="1">
      <alignment horizontal="center" vertical="center" wrapText="1"/>
    </xf>
    <xf numFmtId="0" fontId="16" fillId="7" borderId="1" xfId="1" applyNumberFormat="1" applyFont="1" applyFill="1" applyBorder="1" applyAlignment="1">
      <alignment horizontal="center" vertical="center"/>
    </xf>
    <xf numFmtId="49" fontId="5" fillId="0" borderId="1" xfId="8" applyNumberFormat="1" applyFont="1" applyFill="1" applyBorder="1" applyAlignment="1">
      <alignment horizontal="center" vertical="center" wrapText="1"/>
    </xf>
    <xf numFmtId="0" fontId="2" fillId="0" borderId="1" xfId="6" applyFont="1" applyFill="1" applyBorder="1" applyAlignment="1">
      <alignment horizontal="left" vertical="center" wrapText="1"/>
    </xf>
    <xf numFmtId="167" fontId="5" fillId="0" borderId="1" xfId="8" applyNumberFormat="1" applyFont="1" applyFill="1" applyBorder="1" applyAlignment="1">
      <alignment horizontal="left" vertical="center" wrapText="1"/>
    </xf>
    <xf numFmtId="0" fontId="2" fillId="0" borderId="1" xfId="0" applyFont="1" applyFill="1" applyBorder="1" applyAlignment="1">
      <alignment horizontal="left" vertical="center" wrapText="1"/>
    </xf>
    <xf numFmtId="14" fontId="2" fillId="0" borderId="1" xfId="0" applyNumberFormat="1" applyFont="1" applyFill="1" applyBorder="1" applyAlignment="1">
      <alignment horizontal="center" vertical="center" wrapText="1"/>
    </xf>
    <xf numFmtId="165"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166" fontId="1" fillId="0" borderId="1" xfId="1" applyNumberFormat="1" applyFont="1" applyFill="1" applyBorder="1" applyAlignment="1">
      <alignment horizontal="center" vertical="center"/>
    </xf>
    <xf numFmtId="0" fontId="1" fillId="0" borderId="1" xfId="1" applyNumberFormat="1" applyFont="1" applyFill="1" applyBorder="1" applyAlignment="1">
      <alignment horizontal="center" vertical="center"/>
    </xf>
    <xf numFmtId="0" fontId="16" fillId="0" borderId="1" xfId="1" applyNumberFormat="1" applyFont="1" applyFill="1" applyBorder="1" applyAlignment="1">
      <alignment horizontal="center" vertical="center"/>
    </xf>
  </cellXfs>
  <cellStyles count="11">
    <cellStyle name="Hyperlink 2" xfId="2" xr:uid="{00000000-0005-0000-0000-000002000000}"/>
    <cellStyle name="Normal 2" xfId="3" xr:uid="{00000000-0005-0000-0000-000003000000}"/>
    <cellStyle name="Гиперссылка 2" xfId="4" xr:uid="{00000000-0005-0000-0000-000004000000}"/>
    <cellStyle name="Денежный" xfId="1" builtinId="4"/>
    <cellStyle name="Денежный 2" xfId="5" xr:uid="{00000000-0005-0000-0000-000005000000}"/>
    <cellStyle name="Обычный" xfId="0" builtinId="0"/>
    <cellStyle name="Обычный 2" xfId="6" xr:uid="{00000000-0005-0000-0000-000006000000}"/>
    <cellStyle name="Обычный 3" xfId="7" xr:uid="{00000000-0005-0000-0000-000007000000}"/>
    <cellStyle name="Обычный_Смета_динамо" xfId="8" xr:uid="{00000000-0005-0000-0000-000008000000}"/>
    <cellStyle name="Процентный 2" xfId="9" xr:uid="{00000000-0005-0000-0000-000009000000}"/>
    <cellStyle name="Финансовый 2" xfId="10" xr:uid="{00000000-0005-0000-0000-00000A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222"/>
  <sheetViews>
    <sheetView showGridLines="0" tabSelected="1" zoomScale="64" zoomScaleNormal="85" workbookViewId="0">
      <selection activeCell="L25" sqref="L25"/>
    </sheetView>
  </sheetViews>
  <sheetFormatPr defaultColWidth="9.19921875" defaultRowHeight="13.2"/>
  <cols>
    <col min="1" max="1" width="5.69921875" style="7" customWidth="1"/>
    <col min="2" max="2" width="50.59765625" style="8" customWidth="1"/>
    <col min="3" max="3" width="50.59765625" style="1" customWidth="1"/>
    <col min="4" max="4" width="50.59765625" style="9" customWidth="1"/>
    <col min="5" max="14" width="10.59765625" style="9" customWidth="1"/>
    <col min="15" max="17" width="9.19921875" style="9" customWidth="1"/>
    <col min="18" max="16384" width="9.19921875" style="9"/>
  </cols>
  <sheetData>
    <row r="1" spans="1:14">
      <c r="A1" s="10"/>
    </row>
    <row r="2" spans="1:14" s="1" customFormat="1" ht="51" customHeight="1">
      <c r="A2" s="11" t="s">
        <v>0</v>
      </c>
      <c r="B2" s="45" t="s">
        <v>1</v>
      </c>
      <c r="C2" s="12" t="s">
        <v>2</v>
      </c>
      <c r="D2" s="13" t="s">
        <v>3</v>
      </c>
      <c r="E2" s="13" t="s">
        <v>4</v>
      </c>
      <c r="F2" s="13" t="s">
        <v>5</v>
      </c>
      <c r="G2" s="13" t="s">
        <v>6</v>
      </c>
      <c r="H2" s="13" t="s">
        <v>7</v>
      </c>
      <c r="I2" s="18" t="s">
        <v>8</v>
      </c>
      <c r="J2" s="18" t="s">
        <v>9</v>
      </c>
      <c r="K2" s="18" t="s">
        <v>10</v>
      </c>
      <c r="L2" s="18" t="s">
        <v>11</v>
      </c>
      <c r="M2" s="13" t="s">
        <v>12</v>
      </c>
      <c r="N2" s="13" t="s">
        <v>13</v>
      </c>
    </row>
    <row r="3" spans="1:14" s="1" customFormat="1">
      <c r="A3" s="11">
        <v>1</v>
      </c>
      <c r="B3" s="11">
        <f t="shared" ref="B3:N3" si="0">+A3+1</f>
        <v>2</v>
      </c>
      <c r="C3" s="11">
        <f t="shared" si="0"/>
        <v>3</v>
      </c>
      <c r="D3" s="11">
        <f t="shared" si="0"/>
        <v>4</v>
      </c>
      <c r="E3" s="11">
        <f t="shared" si="0"/>
        <v>5</v>
      </c>
      <c r="F3" s="11">
        <f t="shared" si="0"/>
        <v>6</v>
      </c>
      <c r="G3" s="11">
        <f t="shared" si="0"/>
        <v>7</v>
      </c>
      <c r="H3" s="11">
        <f t="shared" si="0"/>
        <v>8</v>
      </c>
      <c r="I3" s="11">
        <f t="shared" si="0"/>
        <v>9</v>
      </c>
      <c r="J3" s="11">
        <f t="shared" si="0"/>
        <v>10</v>
      </c>
      <c r="K3" s="11">
        <f t="shared" si="0"/>
        <v>11</v>
      </c>
      <c r="L3" s="11">
        <f t="shared" si="0"/>
        <v>12</v>
      </c>
      <c r="M3" s="11">
        <f t="shared" si="0"/>
        <v>13</v>
      </c>
      <c r="N3" s="11">
        <f t="shared" si="0"/>
        <v>14</v>
      </c>
    </row>
    <row r="4" spans="1:14" s="2" customFormat="1" ht="20.399999999999999">
      <c r="A4" s="41">
        <v>1</v>
      </c>
      <c r="B4" s="21" t="s">
        <v>14</v>
      </c>
      <c r="C4" s="21"/>
      <c r="D4" s="22"/>
      <c r="E4" s="23">
        <f>SMALL(E6:E50,1)</f>
        <v>46204</v>
      </c>
      <c r="F4" s="46">
        <f>LARGE(F6:F50,1)</f>
        <v>46356</v>
      </c>
      <c r="G4" s="24">
        <f>+F4-E4+1</f>
        <v>153</v>
      </c>
      <c r="H4" s="47"/>
      <c r="I4" s="25"/>
      <c r="J4" s="25"/>
      <c r="K4" s="25"/>
      <c r="L4" s="25"/>
      <c r="M4" s="25"/>
      <c r="N4" s="25"/>
    </row>
    <row r="5" spans="1:14" s="2" customFormat="1" ht="10.199999999999999">
      <c r="A5" s="42" t="s">
        <v>15</v>
      </c>
      <c r="B5" s="26" t="s">
        <v>16</v>
      </c>
      <c r="C5" s="26"/>
      <c r="D5" s="27"/>
      <c r="E5" s="28"/>
      <c r="F5" s="48"/>
      <c r="G5" s="29"/>
      <c r="H5" s="49"/>
      <c r="I5" s="30"/>
      <c r="J5" s="30"/>
      <c r="K5" s="30"/>
      <c r="L5" s="30"/>
      <c r="M5" s="30"/>
      <c r="N5" s="30"/>
    </row>
    <row r="6" spans="1:14" s="2" customFormat="1" ht="20.399999999999999">
      <c r="A6" s="67" t="s">
        <v>17</v>
      </c>
      <c r="B6" s="68"/>
      <c r="C6" s="14" t="s">
        <v>18</v>
      </c>
      <c r="D6" s="20" t="s">
        <v>19</v>
      </c>
      <c r="E6" s="17">
        <v>46204</v>
      </c>
      <c r="F6" s="17">
        <v>46227</v>
      </c>
      <c r="G6" s="62">
        <f t="shared" ref="G6:G12" si="1">+F6-E6+1</f>
        <v>24</v>
      </c>
      <c r="H6" s="50"/>
      <c r="I6" s="66" t="s">
        <v>20</v>
      </c>
      <c r="J6" s="66" t="s">
        <v>20</v>
      </c>
      <c r="K6" s="66" t="s">
        <v>20</v>
      </c>
      <c r="L6" s="66" t="s">
        <v>20</v>
      </c>
      <c r="M6" s="78"/>
      <c r="N6" s="59"/>
    </row>
    <row r="7" spans="1:14" s="2" customFormat="1" ht="51">
      <c r="A7" s="69"/>
      <c r="B7" s="70"/>
      <c r="C7" s="14" t="s">
        <v>21</v>
      </c>
      <c r="D7" s="20" t="s">
        <v>22</v>
      </c>
      <c r="E7" s="17">
        <v>46204</v>
      </c>
      <c r="F7" s="17">
        <v>46272</v>
      </c>
      <c r="G7" s="62">
        <f t="shared" si="1"/>
        <v>69</v>
      </c>
      <c r="H7" s="50"/>
      <c r="I7" s="66" t="s">
        <v>20</v>
      </c>
      <c r="J7" s="66" t="s">
        <v>20</v>
      </c>
      <c r="K7" s="66" t="s">
        <v>20</v>
      </c>
      <c r="L7" s="66" t="s">
        <v>20</v>
      </c>
      <c r="M7" s="78"/>
      <c r="N7" s="59"/>
    </row>
    <row r="8" spans="1:14" s="2" customFormat="1" ht="40.799999999999997">
      <c r="A8" s="69"/>
      <c r="B8" s="70"/>
      <c r="C8" s="14" t="s">
        <v>23</v>
      </c>
      <c r="D8" s="20" t="s">
        <v>24</v>
      </c>
      <c r="E8" s="17">
        <v>46204</v>
      </c>
      <c r="F8" s="17">
        <v>46286</v>
      </c>
      <c r="G8" s="62">
        <f t="shared" si="1"/>
        <v>83</v>
      </c>
      <c r="H8" s="50"/>
      <c r="I8" s="66" t="s">
        <v>20</v>
      </c>
      <c r="J8" s="66" t="s">
        <v>20</v>
      </c>
      <c r="K8" s="66" t="s">
        <v>20</v>
      </c>
      <c r="L8" s="66" t="s">
        <v>20</v>
      </c>
      <c r="M8" s="78"/>
      <c r="N8" s="59"/>
    </row>
    <row r="9" spans="1:14" s="2" customFormat="1" ht="40.799999999999997">
      <c r="A9" s="69"/>
      <c r="B9" s="70"/>
      <c r="C9" s="14" t="s">
        <v>25</v>
      </c>
      <c r="D9" s="20" t="s">
        <v>26</v>
      </c>
      <c r="E9" s="17">
        <v>46204</v>
      </c>
      <c r="F9" s="17">
        <v>46272</v>
      </c>
      <c r="G9" s="62">
        <f t="shared" si="1"/>
        <v>69</v>
      </c>
      <c r="H9" s="50"/>
      <c r="I9" s="66" t="s">
        <v>20</v>
      </c>
      <c r="J9" s="66" t="s">
        <v>27</v>
      </c>
      <c r="K9" s="66" t="s">
        <v>20</v>
      </c>
      <c r="L9" s="66" t="s">
        <v>20</v>
      </c>
      <c r="M9" s="78" t="s">
        <v>28</v>
      </c>
      <c r="N9" s="59" t="s">
        <v>29</v>
      </c>
    </row>
    <row r="10" spans="1:14" s="2" customFormat="1" ht="20.399999999999999">
      <c r="A10" s="69"/>
      <c r="B10" s="70"/>
      <c r="C10" s="14" t="s">
        <v>30</v>
      </c>
      <c r="D10" s="20" t="s">
        <v>31</v>
      </c>
      <c r="E10" s="17">
        <v>46204</v>
      </c>
      <c r="F10" s="17">
        <v>46266</v>
      </c>
      <c r="G10" s="62">
        <f t="shared" si="1"/>
        <v>63</v>
      </c>
      <c r="H10" s="50"/>
      <c r="I10" s="66" t="s">
        <v>20</v>
      </c>
      <c r="J10" s="66" t="s">
        <v>27</v>
      </c>
      <c r="K10" s="66" t="s">
        <v>20</v>
      </c>
      <c r="L10" s="66" t="s">
        <v>20</v>
      </c>
      <c r="M10" s="78" t="s">
        <v>28</v>
      </c>
      <c r="N10" s="59" t="s">
        <v>29</v>
      </c>
    </row>
    <row r="11" spans="1:14" s="2" customFormat="1" ht="20.399999999999999">
      <c r="A11" s="69"/>
      <c r="B11" s="70"/>
      <c r="C11" s="14" t="s">
        <v>32</v>
      </c>
      <c r="D11" s="20" t="s">
        <v>33</v>
      </c>
      <c r="E11" s="17">
        <v>46231</v>
      </c>
      <c r="F11" s="17">
        <v>46341</v>
      </c>
      <c r="G11" s="62">
        <f t="shared" si="1"/>
        <v>111</v>
      </c>
      <c r="H11" s="50"/>
      <c r="I11" s="66" t="s">
        <v>20</v>
      </c>
      <c r="J11" s="66" t="s">
        <v>27</v>
      </c>
      <c r="K11" s="66" t="s">
        <v>20</v>
      </c>
      <c r="L11" s="66" t="s">
        <v>20</v>
      </c>
      <c r="M11" s="78" t="s">
        <v>28</v>
      </c>
      <c r="N11" s="59" t="s">
        <v>29</v>
      </c>
    </row>
    <row r="12" spans="1:14" s="2" customFormat="1" ht="30.6">
      <c r="A12" s="71"/>
      <c r="B12" s="72"/>
      <c r="C12" s="14" t="s">
        <v>34</v>
      </c>
      <c r="D12" s="20" t="s">
        <v>35</v>
      </c>
      <c r="E12" s="17">
        <v>46204</v>
      </c>
      <c r="F12" s="17">
        <v>46266</v>
      </c>
      <c r="G12" s="62">
        <f t="shared" si="1"/>
        <v>63</v>
      </c>
      <c r="H12" s="50"/>
      <c r="I12" s="66" t="s">
        <v>20</v>
      </c>
      <c r="J12" s="66" t="s">
        <v>27</v>
      </c>
      <c r="K12" s="66" t="s">
        <v>20</v>
      </c>
      <c r="L12" s="66" t="s">
        <v>20</v>
      </c>
      <c r="M12" s="78" t="s">
        <v>28</v>
      </c>
      <c r="N12" s="59" t="s">
        <v>29</v>
      </c>
    </row>
    <row r="13" spans="1:14" s="2" customFormat="1" ht="10.199999999999999">
      <c r="A13" s="77" t="s">
        <v>336</v>
      </c>
      <c r="B13" s="26" t="s">
        <v>36</v>
      </c>
      <c r="C13" s="26"/>
      <c r="D13" s="27"/>
      <c r="E13" s="28"/>
      <c r="F13" s="48"/>
      <c r="G13" s="29"/>
      <c r="H13" s="49"/>
      <c r="I13" s="30"/>
      <c r="J13" s="30"/>
      <c r="K13" s="30"/>
      <c r="L13" s="30"/>
      <c r="M13" s="30"/>
      <c r="N13" s="38"/>
    </row>
    <row r="14" spans="1:14" s="1" customFormat="1" ht="40.799999999999997">
      <c r="A14" s="74" t="s">
        <v>37</v>
      </c>
      <c r="B14" s="68"/>
      <c r="C14" s="19" t="s">
        <v>38</v>
      </c>
      <c r="D14" s="20" t="s">
        <v>39</v>
      </c>
      <c r="E14" s="17">
        <v>46218</v>
      </c>
      <c r="F14" s="17">
        <v>46255</v>
      </c>
      <c r="G14" s="62">
        <f>+F14-E14+1</f>
        <v>38</v>
      </c>
      <c r="H14" s="63"/>
      <c r="I14" s="66" t="s">
        <v>27</v>
      </c>
      <c r="J14" s="66" t="s">
        <v>27</v>
      </c>
      <c r="K14" s="66" t="s">
        <v>27</v>
      </c>
      <c r="L14" s="66" t="s">
        <v>20</v>
      </c>
      <c r="M14" s="78" t="s">
        <v>28</v>
      </c>
      <c r="N14" s="59" t="s">
        <v>40</v>
      </c>
    </row>
    <row r="15" spans="1:14" s="1" customFormat="1" ht="61.2">
      <c r="A15" s="69"/>
      <c r="B15" s="70"/>
      <c r="C15" s="19" t="s">
        <v>41</v>
      </c>
      <c r="D15" s="61" t="s">
        <v>340</v>
      </c>
      <c r="E15" s="17">
        <v>46236</v>
      </c>
      <c r="F15" s="17">
        <v>46341</v>
      </c>
      <c r="G15" s="62">
        <f>+F15-E15+1</f>
        <v>106</v>
      </c>
      <c r="H15" s="63"/>
      <c r="I15" s="66" t="s">
        <v>27</v>
      </c>
      <c r="J15" s="66" t="s">
        <v>27</v>
      </c>
      <c r="K15" s="66" t="s">
        <v>27</v>
      </c>
      <c r="L15" s="66" t="s">
        <v>27</v>
      </c>
      <c r="M15" s="66" t="s">
        <v>28</v>
      </c>
      <c r="N15" s="44" t="s">
        <v>43</v>
      </c>
    </row>
    <row r="16" spans="1:14" s="1" customFormat="1">
      <c r="A16" s="69"/>
      <c r="B16" s="70"/>
      <c r="C16" s="19" t="s">
        <v>44</v>
      </c>
      <c r="D16" s="20" t="s">
        <v>45</v>
      </c>
      <c r="E16" s="17">
        <v>46218</v>
      </c>
      <c r="F16" s="17">
        <v>46255</v>
      </c>
      <c r="G16" s="62">
        <f>+F16-E16+1</f>
        <v>38</v>
      </c>
      <c r="H16" s="63"/>
      <c r="I16" s="66" t="s">
        <v>27</v>
      </c>
      <c r="J16" s="66" t="s">
        <v>27</v>
      </c>
      <c r="K16" s="66" t="s">
        <v>27</v>
      </c>
      <c r="L16" s="66" t="s">
        <v>27</v>
      </c>
      <c r="M16" s="66" t="s">
        <v>28</v>
      </c>
      <c r="N16" s="44" t="s">
        <v>43</v>
      </c>
    </row>
    <row r="17" spans="1:14" s="1" customFormat="1">
      <c r="A17" s="71"/>
      <c r="B17" s="72"/>
      <c r="C17" s="19" t="s">
        <v>46</v>
      </c>
      <c r="D17" s="20" t="s">
        <v>47</v>
      </c>
      <c r="E17" s="17">
        <v>46292</v>
      </c>
      <c r="F17" s="17">
        <v>46341</v>
      </c>
      <c r="G17" s="62">
        <f>+F17-E17+1</f>
        <v>50</v>
      </c>
      <c r="H17" s="63"/>
      <c r="I17" s="66" t="s">
        <v>27</v>
      </c>
      <c r="J17" s="66" t="s">
        <v>27</v>
      </c>
      <c r="K17" s="66" t="s">
        <v>27</v>
      </c>
      <c r="L17" s="66" t="s">
        <v>27</v>
      </c>
      <c r="M17" s="66" t="s">
        <v>28</v>
      </c>
      <c r="N17" s="44" t="s">
        <v>43</v>
      </c>
    </row>
    <row r="18" spans="1:14" s="1" customFormat="1">
      <c r="A18" s="42" t="s">
        <v>48</v>
      </c>
      <c r="B18" s="26" t="s">
        <v>49</v>
      </c>
      <c r="C18" s="26"/>
      <c r="D18" s="27"/>
      <c r="E18" s="28"/>
      <c r="F18" s="48"/>
      <c r="G18" s="29"/>
      <c r="H18" s="49"/>
      <c r="I18" s="30"/>
      <c r="J18" s="30"/>
      <c r="K18" s="30"/>
      <c r="L18" s="30"/>
      <c r="M18" s="30"/>
      <c r="N18" s="38"/>
    </row>
    <row r="19" spans="1:14" s="1" customFormat="1" ht="40.799999999999997">
      <c r="A19" s="73" t="s">
        <v>50</v>
      </c>
      <c r="B19" s="68"/>
      <c r="C19" s="19" t="s">
        <v>38</v>
      </c>
      <c r="D19" s="20" t="s">
        <v>39</v>
      </c>
      <c r="E19" s="17">
        <v>46235</v>
      </c>
      <c r="F19" s="17">
        <v>46271</v>
      </c>
      <c r="G19" s="62">
        <f>+F19-E19+1</f>
        <v>37</v>
      </c>
      <c r="H19" s="63"/>
      <c r="I19" s="66" t="s">
        <v>27</v>
      </c>
      <c r="J19" s="66" t="s">
        <v>27</v>
      </c>
      <c r="K19" s="66" t="s">
        <v>27</v>
      </c>
      <c r="L19" s="66" t="s">
        <v>20</v>
      </c>
      <c r="M19" s="78" t="s">
        <v>28</v>
      </c>
      <c r="N19" s="59" t="s">
        <v>40</v>
      </c>
    </row>
    <row r="20" spans="1:14" s="1" customFormat="1" ht="61.2">
      <c r="A20" s="69"/>
      <c r="B20" s="70"/>
      <c r="C20" s="19" t="s">
        <v>41</v>
      </c>
      <c r="D20" s="61" t="s">
        <v>340</v>
      </c>
      <c r="E20" s="17">
        <v>46253</v>
      </c>
      <c r="F20" s="17">
        <v>46356</v>
      </c>
      <c r="G20" s="62">
        <f>+F20-E20+1</f>
        <v>104</v>
      </c>
      <c r="H20" s="63"/>
      <c r="I20" s="66" t="s">
        <v>27</v>
      </c>
      <c r="J20" s="66" t="s">
        <v>27</v>
      </c>
      <c r="K20" s="66" t="s">
        <v>27</v>
      </c>
      <c r="L20" s="66" t="s">
        <v>27</v>
      </c>
      <c r="M20" s="66" t="s">
        <v>28</v>
      </c>
      <c r="N20" s="44" t="s">
        <v>43</v>
      </c>
    </row>
    <row r="21" spans="1:14" s="1" customFormat="1">
      <c r="A21" s="69"/>
      <c r="B21" s="70"/>
      <c r="C21" s="19" t="s">
        <v>44</v>
      </c>
      <c r="D21" s="20" t="s">
        <v>45</v>
      </c>
      <c r="E21" s="17">
        <v>46235</v>
      </c>
      <c r="F21" s="17">
        <v>46271</v>
      </c>
      <c r="G21" s="62">
        <f>+F21-E21+1</f>
        <v>37</v>
      </c>
      <c r="H21" s="63"/>
      <c r="I21" s="66" t="s">
        <v>27</v>
      </c>
      <c r="J21" s="66" t="s">
        <v>27</v>
      </c>
      <c r="K21" s="66" t="s">
        <v>27</v>
      </c>
      <c r="L21" s="66" t="s">
        <v>27</v>
      </c>
      <c r="M21" s="66" t="s">
        <v>28</v>
      </c>
      <c r="N21" s="44" t="s">
        <v>43</v>
      </c>
    </row>
    <row r="22" spans="1:14" s="1" customFormat="1">
      <c r="A22" s="71"/>
      <c r="B22" s="72"/>
      <c r="C22" s="19" t="s">
        <v>46</v>
      </c>
      <c r="D22" s="20" t="s">
        <v>47</v>
      </c>
      <c r="E22" s="17">
        <v>46308</v>
      </c>
      <c r="F22" s="17">
        <v>46356</v>
      </c>
      <c r="G22" s="62">
        <f>+F22-E22+1</f>
        <v>49</v>
      </c>
      <c r="H22" s="63"/>
      <c r="I22" s="66" t="s">
        <v>27</v>
      </c>
      <c r="J22" s="66" t="s">
        <v>27</v>
      </c>
      <c r="K22" s="66" t="s">
        <v>27</v>
      </c>
      <c r="L22" s="66" t="s">
        <v>27</v>
      </c>
      <c r="M22" s="66" t="s">
        <v>28</v>
      </c>
      <c r="N22" s="44" t="s">
        <v>43</v>
      </c>
    </row>
    <row r="23" spans="1:14" s="1" customFormat="1" ht="20.399999999999999">
      <c r="A23" s="42" t="s">
        <v>51</v>
      </c>
      <c r="B23" s="26" t="s">
        <v>52</v>
      </c>
      <c r="C23" s="27"/>
      <c r="D23" s="27"/>
      <c r="E23" s="28"/>
      <c r="F23" s="48"/>
      <c r="G23" s="29"/>
      <c r="H23" s="49"/>
      <c r="I23" s="30"/>
      <c r="J23" s="30"/>
      <c r="K23" s="30"/>
      <c r="L23" s="30"/>
      <c r="M23" s="30"/>
      <c r="N23" s="38"/>
    </row>
    <row r="24" spans="1:14" s="1" customFormat="1" ht="40.799999999999997">
      <c r="A24" s="74" t="s">
        <v>53</v>
      </c>
      <c r="B24" s="68"/>
      <c r="C24" s="19" t="s">
        <v>38</v>
      </c>
      <c r="D24" s="20" t="s">
        <v>39</v>
      </c>
      <c r="E24" s="17">
        <v>46218</v>
      </c>
      <c r="F24" s="17">
        <v>46255</v>
      </c>
      <c r="G24" s="62">
        <f>+F24-E24+1</f>
        <v>38</v>
      </c>
      <c r="H24" s="63"/>
      <c r="I24" s="66" t="s">
        <v>27</v>
      </c>
      <c r="J24" s="66" t="s">
        <v>27</v>
      </c>
      <c r="K24" s="66" t="s">
        <v>27</v>
      </c>
      <c r="L24" s="66" t="s">
        <v>20</v>
      </c>
      <c r="M24" s="78" t="s">
        <v>28</v>
      </c>
      <c r="N24" s="59" t="s">
        <v>40</v>
      </c>
    </row>
    <row r="25" spans="1:14" s="1" customFormat="1" ht="61.2">
      <c r="A25" s="69"/>
      <c r="B25" s="70"/>
      <c r="C25" s="19" t="s">
        <v>41</v>
      </c>
      <c r="D25" s="61" t="s">
        <v>340</v>
      </c>
      <c r="E25" s="17">
        <v>46236</v>
      </c>
      <c r="F25" s="17">
        <v>46341</v>
      </c>
      <c r="G25" s="62">
        <f>+F25-E25+1</f>
        <v>106</v>
      </c>
      <c r="H25" s="63"/>
      <c r="I25" s="66" t="s">
        <v>27</v>
      </c>
      <c r="J25" s="66" t="s">
        <v>27</v>
      </c>
      <c r="K25" s="66" t="s">
        <v>27</v>
      </c>
      <c r="L25" s="66" t="s">
        <v>27</v>
      </c>
      <c r="M25" s="66" t="s">
        <v>28</v>
      </c>
      <c r="N25" s="44" t="s">
        <v>43</v>
      </c>
    </row>
    <row r="26" spans="1:14" s="1" customFormat="1">
      <c r="A26" s="69"/>
      <c r="B26" s="70"/>
      <c r="C26" s="60" t="s">
        <v>44</v>
      </c>
      <c r="D26" s="20" t="s">
        <v>45</v>
      </c>
      <c r="E26" s="17">
        <v>46218</v>
      </c>
      <c r="F26" s="17">
        <v>46255</v>
      </c>
      <c r="G26" s="62">
        <f>+F26-E26+1</f>
        <v>38</v>
      </c>
      <c r="H26" s="63"/>
      <c r="I26" s="66" t="s">
        <v>27</v>
      </c>
      <c r="J26" s="66" t="s">
        <v>27</v>
      </c>
      <c r="K26" s="66" t="s">
        <v>27</v>
      </c>
      <c r="L26" s="66" t="s">
        <v>27</v>
      </c>
      <c r="M26" s="66" t="s">
        <v>28</v>
      </c>
      <c r="N26" s="44" t="s">
        <v>43</v>
      </c>
    </row>
    <row r="27" spans="1:14" s="1" customFormat="1">
      <c r="A27" s="69"/>
      <c r="B27" s="70"/>
      <c r="C27" s="60" t="s">
        <v>46</v>
      </c>
      <c r="D27" s="20" t="s">
        <v>47</v>
      </c>
      <c r="E27" s="17">
        <v>46292</v>
      </c>
      <c r="F27" s="17">
        <v>46341</v>
      </c>
      <c r="G27" s="62">
        <f>+F27-E27+1</f>
        <v>50</v>
      </c>
      <c r="H27" s="63"/>
      <c r="I27" s="66" t="s">
        <v>27</v>
      </c>
      <c r="J27" s="66" t="s">
        <v>27</v>
      </c>
      <c r="K27" s="66" t="s">
        <v>27</v>
      </c>
      <c r="L27" s="66" t="s">
        <v>27</v>
      </c>
      <c r="M27" s="66" t="s">
        <v>28</v>
      </c>
      <c r="N27" s="44" t="s">
        <v>43</v>
      </c>
    </row>
    <row r="28" spans="1:14" s="1" customFormat="1" ht="20.399999999999999">
      <c r="A28" s="71"/>
      <c r="B28" s="72"/>
      <c r="C28" s="60" t="s">
        <v>54</v>
      </c>
      <c r="D28" s="20" t="s">
        <v>55</v>
      </c>
      <c r="E28" s="17">
        <v>46304</v>
      </c>
      <c r="F28" s="17">
        <v>46341</v>
      </c>
      <c r="G28" s="62">
        <f>+F28-E28+1</f>
        <v>38</v>
      </c>
      <c r="H28" s="63"/>
      <c r="I28" s="66" t="s">
        <v>27</v>
      </c>
      <c r="J28" s="66" t="s">
        <v>27</v>
      </c>
      <c r="K28" s="66" t="s">
        <v>27</v>
      </c>
      <c r="L28" s="66" t="s">
        <v>27</v>
      </c>
      <c r="M28" s="66" t="s">
        <v>28</v>
      </c>
      <c r="N28" s="44" t="s">
        <v>43</v>
      </c>
    </row>
    <row r="29" spans="1:14" s="1" customFormat="1">
      <c r="A29" s="42" t="s">
        <v>338</v>
      </c>
      <c r="B29" s="26" t="s">
        <v>337</v>
      </c>
      <c r="C29" s="27"/>
      <c r="D29" s="27"/>
      <c r="E29" s="28"/>
      <c r="F29" s="48"/>
      <c r="G29" s="29"/>
      <c r="H29" s="49"/>
      <c r="I29" s="30"/>
      <c r="J29" s="30"/>
      <c r="K29" s="30"/>
      <c r="L29" s="30"/>
      <c r="M29" s="30"/>
      <c r="N29" s="38"/>
    </row>
    <row r="30" spans="1:14" s="1" customFormat="1" ht="40.799999999999997">
      <c r="A30" s="74" t="s">
        <v>339</v>
      </c>
      <c r="B30" s="68"/>
      <c r="C30" s="19" t="s">
        <v>38</v>
      </c>
      <c r="D30" s="20" t="s">
        <v>39</v>
      </c>
      <c r="E30" s="17">
        <v>46218</v>
      </c>
      <c r="F30" s="17">
        <v>46255</v>
      </c>
      <c r="G30" s="62">
        <f>+F30-E30+1</f>
        <v>38</v>
      </c>
      <c r="H30" s="63"/>
      <c r="I30" s="66" t="s">
        <v>27</v>
      </c>
      <c r="J30" s="66" t="s">
        <v>27</v>
      </c>
      <c r="K30" s="66" t="s">
        <v>27</v>
      </c>
      <c r="L30" s="66" t="s">
        <v>20</v>
      </c>
      <c r="M30" s="78" t="s">
        <v>28</v>
      </c>
      <c r="N30" s="59" t="s">
        <v>40</v>
      </c>
    </row>
    <row r="31" spans="1:14" s="1" customFormat="1" ht="61.2">
      <c r="A31" s="69"/>
      <c r="B31" s="70"/>
      <c r="C31" s="19" t="s">
        <v>41</v>
      </c>
      <c r="D31" s="61" t="s">
        <v>340</v>
      </c>
      <c r="E31" s="17">
        <v>46236</v>
      </c>
      <c r="F31" s="17">
        <v>46341</v>
      </c>
      <c r="G31" s="62">
        <f>+F31-E31+1</f>
        <v>106</v>
      </c>
      <c r="H31" s="63"/>
      <c r="I31" s="66" t="s">
        <v>27</v>
      </c>
      <c r="J31" s="66" t="s">
        <v>27</v>
      </c>
      <c r="K31" s="66" t="s">
        <v>27</v>
      </c>
      <c r="L31" s="66" t="s">
        <v>27</v>
      </c>
      <c r="M31" s="66" t="s">
        <v>28</v>
      </c>
      <c r="N31" s="44" t="s">
        <v>43</v>
      </c>
    </row>
    <row r="32" spans="1:14" s="1" customFormat="1">
      <c r="A32" s="69"/>
      <c r="B32" s="70"/>
      <c r="C32" s="60" t="s">
        <v>44</v>
      </c>
      <c r="D32" s="20" t="s">
        <v>45</v>
      </c>
      <c r="E32" s="17">
        <v>46218</v>
      </c>
      <c r="F32" s="17">
        <v>46255</v>
      </c>
      <c r="G32" s="62">
        <f>+F32-E32+1</f>
        <v>38</v>
      </c>
      <c r="H32" s="63"/>
      <c r="I32" s="66" t="s">
        <v>27</v>
      </c>
      <c r="J32" s="66" t="s">
        <v>27</v>
      </c>
      <c r="K32" s="66" t="s">
        <v>27</v>
      </c>
      <c r="L32" s="66" t="s">
        <v>27</v>
      </c>
      <c r="M32" s="66" t="s">
        <v>28</v>
      </c>
      <c r="N32" s="44" t="s">
        <v>43</v>
      </c>
    </row>
    <row r="33" spans="1:14" s="1" customFormat="1">
      <c r="A33" s="69"/>
      <c r="B33" s="70"/>
      <c r="C33" s="60" t="s">
        <v>46</v>
      </c>
      <c r="D33" s="20" t="s">
        <v>47</v>
      </c>
      <c r="E33" s="17">
        <v>46292</v>
      </c>
      <c r="F33" s="17">
        <v>46341</v>
      </c>
      <c r="G33" s="62">
        <f>+F33-E33+1</f>
        <v>50</v>
      </c>
      <c r="H33" s="63"/>
      <c r="I33" s="66" t="s">
        <v>27</v>
      </c>
      <c r="J33" s="66" t="s">
        <v>27</v>
      </c>
      <c r="K33" s="66" t="s">
        <v>27</v>
      </c>
      <c r="L33" s="66" t="s">
        <v>27</v>
      </c>
      <c r="M33" s="66" t="s">
        <v>28</v>
      </c>
      <c r="N33" s="44" t="s">
        <v>43</v>
      </c>
    </row>
    <row r="34" spans="1:14" s="1" customFormat="1" ht="20.399999999999999">
      <c r="A34" s="71"/>
      <c r="B34" s="72"/>
      <c r="C34" s="60" t="s">
        <v>54</v>
      </c>
      <c r="D34" s="20" t="s">
        <v>55</v>
      </c>
      <c r="E34" s="17">
        <v>46304</v>
      </c>
      <c r="F34" s="17">
        <v>46341</v>
      </c>
      <c r="G34" s="62">
        <f>+F34-E34+1</f>
        <v>38</v>
      </c>
      <c r="H34" s="63"/>
      <c r="I34" s="66" t="s">
        <v>27</v>
      </c>
      <c r="J34" s="66" t="s">
        <v>27</v>
      </c>
      <c r="K34" s="66" t="s">
        <v>27</v>
      </c>
      <c r="L34" s="66" t="s">
        <v>27</v>
      </c>
      <c r="M34" s="66" t="s">
        <v>28</v>
      </c>
      <c r="N34" s="44" t="s">
        <v>43</v>
      </c>
    </row>
    <row r="35" spans="1:14" s="1" customFormat="1">
      <c r="A35" s="42" t="s">
        <v>56</v>
      </c>
      <c r="B35" s="26" t="s">
        <v>57</v>
      </c>
      <c r="C35" s="26"/>
      <c r="D35" s="27"/>
      <c r="E35" s="28"/>
      <c r="F35" s="48"/>
      <c r="G35" s="29"/>
      <c r="H35" s="49"/>
      <c r="I35" s="30"/>
      <c r="J35" s="30"/>
      <c r="K35" s="30"/>
      <c r="L35" s="30"/>
      <c r="M35" s="30"/>
      <c r="N35" s="38"/>
    </row>
    <row r="36" spans="1:14" s="1" customFormat="1" ht="40.799999999999997">
      <c r="A36" s="73" t="s">
        <v>58</v>
      </c>
      <c r="B36" s="68"/>
      <c r="C36" s="60" t="s">
        <v>59</v>
      </c>
      <c r="D36" s="20" t="s">
        <v>39</v>
      </c>
      <c r="E36" s="17">
        <v>46218</v>
      </c>
      <c r="F36" s="17">
        <v>46255</v>
      </c>
      <c r="G36" s="62">
        <f>+F36-E36+1</f>
        <v>38</v>
      </c>
      <c r="H36" s="63"/>
      <c r="I36" s="66" t="s">
        <v>27</v>
      </c>
      <c r="J36" s="66" t="s">
        <v>27</v>
      </c>
      <c r="K36" s="66" t="s">
        <v>27</v>
      </c>
      <c r="L36" s="66" t="s">
        <v>20</v>
      </c>
      <c r="M36" s="78" t="s">
        <v>28</v>
      </c>
      <c r="N36" s="59" t="s">
        <v>40</v>
      </c>
    </row>
    <row r="37" spans="1:14" s="1" customFormat="1" ht="61.2">
      <c r="A37" s="69"/>
      <c r="B37" s="70"/>
      <c r="C37" s="60" t="s">
        <v>60</v>
      </c>
      <c r="D37" s="61" t="s">
        <v>340</v>
      </c>
      <c r="E37" s="17">
        <v>46236</v>
      </c>
      <c r="F37" s="17">
        <v>46341</v>
      </c>
      <c r="G37" s="62">
        <f>+F37-E37+1</f>
        <v>106</v>
      </c>
      <c r="H37" s="63"/>
      <c r="I37" s="66" t="s">
        <v>27</v>
      </c>
      <c r="J37" s="66" t="s">
        <v>27</v>
      </c>
      <c r="K37" s="66" t="s">
        <v>27</v>
      </c>
      <c r="L37" s="66" t="s">
        <v>27</v>
      </c>
      <c r="M37" s="66" t="s">
        <v>28</v>
      </c>
      <c r="N37" s="44" t="s">
        <v>43</v>
      </c>
    </row>
    <row r="38" spans="1:14" s="1" customFormat="1">
      <c r="A38" s="69"/>
      <c r="B38" s="70"/>
      <c r="C38" s="60" t="s">
        <v>46</v>
      </c>
      <c r="D38" s="20" t="s">
        <v>47</v>
      </c>
      <c r="E38" s="17">
        <v>46292</v>
      </c>
      <c r="F38" s="17">
        <v>46341</v>
      </c>
      <c r="G38" s="62">
        <f>+F38-E38+1</f>
        <v>50</v>
      </c>
      <c r="H38" s="63"/>
      <c r="I38" s="66" t="s">
        <v>27</v>
      </c>
      <c r="J38" s="66" t="s">
        <v>27</v>
      </c>
      <c r="K38" s="66" t="s">
        <v>27</v>
      </c>
      <c r="L38" s="66" t="s">
        <v>27</v>
      </c>
      <c r="M38" s="66" t="s">
        <v>28</v>
      </c>
      <c r="N38" s="44" t="s">
        <v>43</v>
      </c>
    </row>
    <row r="39" spans="1:14" s="1" customFormat="1" ht="30.6">
      <c r="A39" s="71"/>
      <c r="B39" s="72"/>
      <c r="C39" s="60" t="s">
        <v>61</v>
      </c>
      <c r="D39" s="20" t="s">
        <v>62</v>
      </c>
      <c r="E39" s="17">
        <v>46304</v>
      </c>
      <c r="F39" s="17">
        <v>46341</v>
      </c>
      <c r="G39" s="62">
        <f>+F39-E39+1</f>
        <v>38</v>
      </c>
      <c r="H39" s="63"/>
      <c r="I39" s="66" t="s">
        <v>27</v>
      </c>
      <c r="J39" s="66" t="s">
        <v>27</v>
      </c>
      <c r="K39" s="66" t="s">
        <v>27</v>
      </c>
      <c r="L39" s="66" t="s">
        <v>27</v>
      </c>
      <c r="M39" s="66" t="s">
        <v>28</v>
      </c>
      <c r="N39" s="44" t="s">
        <v>43</v>
      </c>
    </row>
    <row r="40" spans="1:14" s="1" customFormat="1" ht="20.399999999999999">
      <c r="A40" s="42" t="s">
        <v>63</v>
      </c>
      <c r="B40" s="26" t="s">
        <v>64</v>
      </c>
      <c r="C40" s="26"/>
      <c r="D40" s="27"/>
      <c r="E40" s="28"/>
      <c r="F40" s="48"/>
      <c r="G40" s="29"/>
      <c r="H40" s="49"/>
      <c r="I40" s="30"/>
      <c r="J40" s="30"/>
      <c r="K40" s="30"/>
      <c r="L40" s="30"/>
      <c r="M40" s="30"/>
      <c r="N40" s="38"/>
    </row>
    <row r="41" spans="1:14" s="1" customFormat="1" ht="40.799999999999997">
      <c r="A41" s="73" t="s">
        <v>65</v>
      </c>
      <c r="B41" s="68"/>
      <c r="C41" s="60" t="s">
        <v>38</v>
      </c>
      <c r="D41" s="20" t="s">
        <v>39</v>
      </c>
      <c r="E41" s="17">
        <v>46218</v>
      </c>
      <c r="F41" s="17">
        <v>46227</v>
      </c>
      <c r="G41" s="62">
        <f>+F41-E41+1</f>
        <v>10</v>
      </c>
      <c r="H41" s="63"/>
      <c r="I41" s="66" t="s">
        <v>27</v>
      </c>
      <c r="J41" s="66" t="s">
        <v>27</v>
      </c>
      <c r="K41" s="66" t="s">
        <v>27</v>
      </c>
      <c r="L41" s="66" t="s">
        <v>20</v>
      </c>
      <c r="M41" s="78" t="s">
        <v>28</v>
      </c>
      <c r="N41" s="59" t="s">
        <v>40</v>
      </c>
    </row>
    <row r="42" spans="1:14" s="1" customFormat="1" ht="61.2">
      <c r="A42" s="69"/>
      <c r="B42" s="70"/>
      <c r="C42" s="60" t="s">
        <v>66</v>
      </c>
      <c r="D42" s="61" t="s">
        <v>340</v>
      </c>
      <c r="E42" s="17">
        <v>46223</v>
      </c>
      <c r="F42" s="17">
        <v>46249</v>
      </c>
      <c r="G42" s="62">
        <f>+F42-E42+1</f>
        <v>27</v>
      </c>
      <c r="H42" s="63"/>
      <c r="I42" s="66" t="s">
        <v>27</v>
      </c>
      <c r="J42" s="66" t="s">
        <v>27</v>
      </c>
      <c r="K42" s="66" t="s">
        <v>27</v>
      </c>
      <c r="L42" s="66" t="s">
        <v>27</v>
      </c>
      <c r="M42" s="66" t="s">
        <v>28</v>
      </c>
      <c r="N42" s="44" t="s">
        <v>43</v>
      </c>
    </row>
    <row r="43" spans="1:14" s="1" customFormat="1" ht="30.6">
      <c r="A43" s="71"/>
      <c r="B43" s="72"/>
      <c r="C43" s="60" t="s">
        <v>67</v>
      </c>
      <c r="D43" s="20" t="s">
        <v>68</v>
      </c>
      <c r="E43" s="17">
        <v>46235</v>
      </c>
      <c r="F43" s="17">
        <v>46249</v>
      </c>
      <c r="G43" s="62">
        <f>+F43-E43+1</f>
        <v>15</v>
      </c>
      <c r="H43" s="63"/>
      <c r="I43" s="66" t="s">
        <v>27</v>
      </c>
      <c r="J43" s="66" t="s">
        <v>27</v>
      </c>
      <c r="K43" s="66" t="s">
        <v>27</v>
      </c>
      <c r="L43" s="66" t="s">
        <v>27</v>
      </c>
      <c r="M43" s="66" t="s">
        <v>28</v>
      </c>
      <c r="N43" s="44" t="s">
        <v>43</v>
      </c>
    </row>
    <row r="44" spans="1:14" s="1" customFormat="1" ht="30.6">
      <c r="A44" s="42" t="s">
        <v>69</v>
      </c>
      <c r="B44" s="26" t="s">
        <v>70</v>
      </c>
      <c r="C44" s="26"/>
      <c r="D44" s="27"/>
      <c r="E44" s="28"/>
      <c r="F44" s="48"/>
      <c r="G44" s="29"/>
      <c r="H44" s="49"/>
      <c r="I44" s="30"/>
      <c r="J44" s="30"/>
      <c r="K44" s="30"/>
      <c r="L44" s="30"/>
      <c r="M44" s="30"/>
      <c r="N44" s="38"/>
    </row>
    <row r="45" spans="1:14" s="1" customFormat="1" ht="40.799999999999997">
      <c r="A45" s="73" t="s">
        <v>71</v>
      </c>
      <c r="B45" s="68"/>
      <c r="C45" s="61" t="s">
        <v>38</v>
      </c>
      <c r="D45" s="20" t="s">
        <v>39</v>
      </c>
      <c r="E45" s="17">
        <v>46235</v>
      </c>
      <c r="F45" s="17">
        <v>46271</v>
      </c>
      <c r="G45" s="62">
        <f>+F45-E45+1</f>
        <v>37</v>
      </c>
      <c r="H45" s="63"/>
      <c r="I45" s="66" t="s">
        <v>27</v>
      </c>
      <c r="J45" s="66" t="s">
        <v>27</v>
      </c>
      <c r="K45" s="66" t="s">
        <v>27</v>
      </c>
      <c r="L45" s="66" t="s">
        <v>20</v>
      </c>
      <c r="M45" s="78" t="s">
        <v>28</v>
      </c>
      <c r="N45" s="59" t="s">
        <v>40</v>
      </c>
    </row>
    <row r="46" spans="1:14" s="1" customFormat="1" ht="61.2">
      <c r="A46" s="69"/>
      <c r="B46" s="70"/>
      <c r="C46" s="61" t="s">
        <v>66</v>
      </c>
      <c r="D46" s="61" t="s">
        <v>340</v>
      </c>
      <c r="E46" s="17">
        <v>46253</v>
      </c>
      <c r="F46" s="17">
        <v>46356</v>
      </c>
      <c r="G46" s="62">
        <f>+F46-E46+1</f>
        <v>104</v>
      </c>
      <c r="H46" s="63"/>
      <c r="I46" s="66" t="s">
        <v>27</v>
      </c>
      <c r="J46" s="66" t="s">
        <v>27</v>
      </c>
      <c r="K46" s="66" t="s">
        <v>27</v>
      </c>
      <c r="L46" s="66" t="s">
        <v>27</v>
      </c>
      <c r="M46" s="66" t="s">
        <v>28</v>
      </c>
      <c r="N46" s="44" t="s">
        <v>43</v>
      </c>
    </row>
    <row r="47" spans="1:14" s="1" customFormat="1">
      <c r="A47" s="69"/>
      <c r="B47" s="70"/>
      <c r="C47" s="61" t="s">
        <v>72</v>
      </c>
      <c r="D47" s="20" t="s">
        <v>45</v>
      </c>
      <c r="E47" s="17">
        <v>46235</v>
      </c>
      <c r="F47" s="17">
        <v>46271</v>
      </c>
      <c r="G47" s="62">
        <f>+F47-E47+1</f>
        <v>37</v>
      </c>
      <c r="H47" s="63"/>
      <c r="I47" s="66" t="s">
        <v>27</v>
      </c>
      <c r="J47" s="66" t="s">
        <v>27</v>
      </c>
      <c r="K47" s="66" t="s">
        <v>27</v>
      </c>
      <c r="L47" s="66" t="s">
        <v>27</v>
      </c>
      <c r="M47" s="66" t="s">
        <v>28</v>
      </c>
      <c r="N47" s="44" t="s">
        <v>43</v>
      </c>
    </row>
    <row r="48" spans="1:14" s="1" customFormat="1">
      <c r="A48" s="69"/>
      <c r="B48" s="70"/>
      <c r="C48" s="61" t="s">
        <v>46</v>
      </c>
      <c r="D48" s="20" t="s">
        <v>47</v>
      </c>
      <c r="E48" s="17">
        <v>46308</v>
      </c>
      <c r="F48" s="17">
        <v>46356</v>
      </c>
      <c r="G48" s="62">
        <f>+F48-E48+1</f>
        <v>49</v>
      </c>
      <c r="H48" s="63"/>
      <c r="I48" s="66" t="s">
        <v>27</v>
      </c>
      <c r="J48" s="66" t="s">
        <v>27</v>
      </c>
      <c r="K48" s="66" t="s">
        <v>27</v>
      </c>
      <c r="L48" s="66" t="s">
        <v>27</v>
      </c>
      <c r="M48" s="66" t="s">
        <v>28</v>
      </c>
      <c r="N48" s="44" t="s">
        <v>43</v>
      </c>
    </row>
    <row r="49" spans="1:14" s="1" customFormat="1">
      <c r="A49" s="71"/>
      <c r="B49" s="72"/>
      <c r="C49" s="61" t="s">
        <v>73</v>
      </c>
      <c r="D49" s="20" t="s">
        <v>73</v>
      </c>
      <c r="E49" s="17">
        <v>46320</v>
      </c>
      <c r="F49" s="17">
        <v>46356</v>
      </c>
      <c r="G49" s="62">
        <f>+F49-E49+1</f>
        <v>37</v>
      </c>
      <c r="H49" s="63"/>
      <c r="I49" s="66" t="s">
        <v>27</v>
      </c>
      <c r="J49" s="66" t="s">
        <v>27</v>
      </c>
      <c r="K49" s="66" t="s">
        <v>27</v>
      </c>
      <c r="L49" s="66" t="s">
        <v>27</v>
      </c>
      <c r="M49" s="66" t="s">
        <v>28</v>
      </c>
      <c r="N49" s="44" t="s">
        <v>43</v>
      </c>
    </row>
    <row r="50" spans="1:14" s="1" customFormat="1">
      <c r="A50" s="43" t="s">
        <v>74</v>
      </c>
      <c r="B50" s="31" t="s">
        <v>75</v>
      </c>
      <c r="C50" s="51"/>
      <c r="D50" s="32"/>
      <c r="E50" s="33"/>
      <c r="F50" s="33"/>
      <c r="G50" s="33"/>
      <c r="H50" s="52"/>
      <c r="I50" s="34"/>
      <c r="J50" s="34"/>
      <c r="K50" s="34"/>
      <c r="L50" s="34"/>
      <c r="M50" s="65"/>
      <c r="N50" s="34"/>
    </row>
    <row r="51" spans="1:14" s="3" customFormat="1" ht="13.8">
      <c r="A51" s="41">
        <v>2</v>
      </c>
      <c r="B51" s="21" t="s">
        <v>76</v>
      </c>
      <c r="C51" s="21"/>
      <c r="D51" s="22"/>
      <c r="E51" s="23">
        <f>SMALL(E53:E73,1)</f>
        <v>46218</v>
      </c>
      <c r="F51" s="46">
        <f>LARGE(F53:F73,1)</f>
        <v>46477</v>
      </c>
      <c r="G51" s="24">
        <f>+F51-E51+1</f>
        <v>260</v>
      </c>
      <c r="H51" s="47"/>
      <c r="I51" s="25"/>
      <c r="J51" s="25"/>
      <c r="K51" s="25"/>
      <c r="L51" s="25"/>
      <c r="M51" s="25"/>
      <c r="N51" s="40"/>
    </row>
    <row r="52" spans="1:14" s="3" customFormat="1" ht="13.8">
      <c r="A52" s="42" t="s">
        <v>77</v>
      </c>
      <c r="B52" s="26" t="s">
        <v>78</v>
      </c>
      <c r="C52" s="26"/>
      <c r="D52" s="27"/>
      <c r="E52" s="28"/>
      <c r="F52" s="48"/>
      <c r="G52" s="29"/>
      <c r="H52" s="49"/>
      <c r="I52" s="30"/>
      <c r="J52" s="30"/>
      <c r="K52" s="30"/>
      <c r="L52" s="30"/>
      <c r="M52" s="30"/>
      <c r="N52" s="38"/>
    </row>
    <row r="53" spans="1:14" s="1" customFormat="1" ht="40.799999999999997">
      <c r="A53" s="73" t="s">
        <v>79</v>
      </c>
      <c r="B53" s="68"/>
      <c r="C53" s="60" t="s">
        <v>38</v>
      </c>
      <c r="D53" s="61" t="s">
        <v>39</v>
      </c>
      <c r="E53" s="17">
        <v>46218</v>
      </c>
      <c r="F53" s="17">
        <v>46241</v>
      </c>
      <c r="G53" s="62">
        <f>+F53-E53+1</f>
        <v>24</v>
      </c>
      <c r="H53" s="63"/>
      <c r="I53" s="66" t="s">
        <v>27</v>
      </c>
      <c r="J53" s="66" t="s">
        <v>27</v>
      </c>
      <c r="K53" s="66" t="s">
        <v>27</v>
      </c>
      <c r="L53" s="66" t="s">
        <v>27</v>
      </c>
      <c r="M53" s="78" t="s">
        <v>28</v>
      </c>
      <c r="N53" s="59" t="s">
        <v>43</v>
      </c>
    </row>
    <row r="54" spans="1:14" s="1" customFormat="1" ht="61.2">
      <c r="A54" s="69"/>
      <c r="B54" s="70"/>
      <c r="C54" s="60" t="s">
        <v>41</v>
      </c>
      <c r="D54" s="61" t="s">
        <v>340</v>
      </c>
      <c r="E54" s="17">
        <v>46230</v>
      </c>
      <c r="F54" s="17">
        <v>46295</v>
      </c>
      <c r="G54" s="62">
        <f>+F54-E54+1</f>
        <v>66</v>
      </c>
      <c r="H54" s="63"/>
      <c r="I54" s="66" t="s">
        <v>27</v>
      </c>
      <c r="J54" s="66" t="s">
        <v>27</v>
      </c>
      <c r="K54" s="66" t="s">
        <v>27</v>
      </c>
      <c r="L54" s="66" t="s">
        <v>27</v>
      </c>
      <c r="M54" s="88" t="s">
        <v>28</v>
      </c>
      <c r="N54" s="59" t="s">
        <v>43</v>
      </c>
    </row>
    <row r="55" spans="1:14" s="1" customFormat="1" ht="91.8">
      <c r="A55" s="71"/>
      <c r="B55" s="72"/>
      <c r="C55" s="60" t="s">
        <v>80</v>
      </c>
      <c r="D55" s="20" t="s">
        <v>81</v>
      </c>
      <c r="E55" s="17">
        <v>46264</v>
      </c>
      <c r="F55" s="17">
        <v>46295</v>
      </c>
      <c r="G55" s="62">
        <f>+F55-E55+1</f>
        <v>32</v>
      </c>
      <c r="H55" s="63"/>
      <c r="I55" s="66" t="s">
        <v>27</v>
      </c>
      <c r="J55" s="66" t="s">
        <v>27</v>
      </c>
      <c r="K55" s="66" t="s">
        <v>27</v>
      </c>
      <c r="L55" s="66" t="s">
        <v>27</v>
      </c>
      <c r="M55" s="78" t="s">
        <v>28</v>
      </c>
      <c r="N55" s="59" t="s">
        <v>43</v>
      </c>
    </row>
    <row r="56" spans="1:14" s="1" customFormat="1">
      <c r="A56" s="42" t="s">
        <v>82</v>
      </c>
      <c r="B56" s="26" t="s">
        <v>83</v>
      </c>
      <c r="C56" s="26"/>
      <c r="D56" s="27"/>
      <c r="E56" s="28"/>
      <c r="F56" s="48"/>
      <c r="G56" s="29"/>
      <c r="H56" s="49"/>
      <c r="I56" s="30"/>
      <c r="J56" s="30"/>
      <c r="K56" s="30"/>
      <c r="L56" s="30"/>
      <c r="M56" s="30"/>
      <c r="N56" s="38"/>
    </row>
    <row r="57" spans="1:14" s="1" customFormat="1" ht="20.399999999999999">
      <c r="A57" s="73" t="s">
        <v>84</v>
      </c>
      <c r="B57" s="68"/>
      <c r="C57" s="60" t="s">
        <v>85</v>
      </c>
      <c r="D57" s="20" t="s">
        <v>86</v>
      </c>
      <c r="E57" s="17">
        <v>46295</v>
      </c>
      <c r="F57" s="17">
        <v>46314</v>
      </c>
      <c r="G57" s="62">
        <f>+F57-E57+1</f>
        <v>20</v>
      </c>
      <c r="H57" s="63"/>
      <c r="I57" s="66" t="s">
        <v>20</v>
      </c>
      <c r="J57" s="66" t="s">
        <v>27</v>
      </c>
      <c r="K57" s="66" t="s">
        <v>27</v>
      </c>
      <c r="L57" s="66" t="s">
        <v>20</v>
      </c>
      <c r="M57" s="78" t="s">
        <v>28</v>
      </c>
      <c r="N57" s="59" t="s">
        <v>87</v>
      </c>
    </row>
    <row r="58" spans="1:14" s="1" customFormat="1" ht="20.399999999999999">
      <c r="A58" s="71"/>
      <c r="B58" s="72"/>
      <c r="C58" s="60" t="s">
        <v>88</v>
      </c>
      <c r="D58" s="20" t="s">
        <v>89</v>
      </c>
      <c r="E58" s="17">
        <v>46301</v>
      </c>
      <c r="F58" s="17">
        <v>46326</v>
      </c>
      <c r="G58" s="62">
        <f>+F58-E58+1</f>
        <v>26</v>
      </c>
      <c r="H58" s="63"/>
      <c r="I58" s="66" t="s">
        <v>20</v>
      </c>
      <c r="J58" s="66" t="s">
        <v>27</v>
      </c>
      <c r="K58" s="66" t="s">
        <v>27</v>
      </c>
      <c r="L58" s="66" t="s">
        <v>20</v>
      </c>
      <c r="M58" s="78" t="s">
        <v>28</v>
      </c>
      <c r="N58" s="59" t="s">
        <v>87</v>
      </c>
    </row>
    <row r="59" spans="1:14" s="1" customFormat="1">
      <c r="A59" s="42" t="s">
        <v>90</v>
      </c>
      <c r="B59" s="26" t="s">
        <v>91</v>
      </c>
      <c r="C59" s="26"/>
      <c r="D59" s="27"/>
      <c r="E59" s="28"/>
      <c r="F59" s="48"/>
      <c r="G59" s="29"/>
      <c r="H59" s="49"/>
      <c r="I59" s="30"/>
      <c r="J59" s="30"/>
      <c r="K59" s="30"/>
      <c r="L59" s="30"/>
      <c r="M59" s="30"/>
      <c r="N59" s="38"/>
    </row>
    <row r="60" spans="1:14" s="1" customFormat="1" ht="20.399999999999999">
      <c r="A60" s="73" t="s">
        <v>92</v>
      </c>
      <c r="B60" s="68"/>
      <c r="C60" s="60" t="s">
        <v>93</v>
      </c>
      <c r="D60" s="20" t="s">
        <v>94</v>
      </c>
      <c r="E60" s="17">
        <v>46326</v>
      </c>
      <c r="F60" s="17">
        <v>46356</v>
      </c>
      <c r="G60" s="62">
        <f>+F60-E60+1</f>
        <v>31</v>
      </c>
      <c r="H60" s="63"/>
      <c r="I60" s="66" t="s">
        <v>27</v>
      </c>
      <c r="J60" s="66" t="s">
        <v>27</v>
      </c>
      <c r="K60" s="66" t="s">
        <v>27</v>
      </c>
      <c r="L60" s="66" t="s">
        <v>27</v>
      </c>
      <c r="M60" s="66" t="s">
        <v>28</v>
      </c>
      <c r="N60" s="44" t="s">
        <v>43</v>
      </c>
    </row>
    <row r="61" spans="1:14" s="1" customFormat="1" ht="20.399999999999999">
      <c r="A61" s="71"/>
      <c r="B61" s="72"/>
      <c r="C61" s="60" t="s">
        <v>95</v>
      </c>
      <c r="D61" s="20" t="s">
        <v>96</v>
      </c>
      <c r="E61" s="17">
        <v>46326</v>
      </c>
      <c r="F61" s="17">
        <v>46356</v>
      </c>
      <c r="G61" s="62">
        <f>+F61-E61+1</f>
        <v>31</v>
      </c>
      <c r="H61" s="63"/>
      <c r="I61" s="66" t="s">
        <v>27</v>
      </c>
      <c r="J61" s="66" t="s">
        <v>27</v>
      </c>
      <c r="K61" s="66" t="s">
        <v>27</v>
      </c>
      <c r="L61" s="66" t="s">
        <v>27</v>
      </c>
      <c r="M61" s="66" t="s">
        <v>28</v>
      </c>
      <c r="N61" s="44" t="s">
        <v>43</v>
      </c>
    </row>
    <row r="62" spans="1:14" s="1" customFormat="1">
      <c r="A62" s="42" t="s">
        <v>97</v>
      </c>
      <c r="B62" s="26" t="s">
        <v>98</v>
      </c>
      <c r="C62" s="26"/>
      <c r="D62" s="27"/>
      <c r="E62" s="28"/>
      <c r="F62" s="48"/>
      <c r="G62" s="29"/>
      <c r="H62" s="49"/>
      <c r="I62" s="30"/>
      <c r="J62" s="30"/>
      <c r="K62" s="30"/>
      <c r="L62" s="30"/>
      <c r="M62" s="30"/>
      <c r="N62" s="38"/>
    </row>
    <row r="63" spans="1:14" s="1" customFormat="1" ht="40.799999999999997">
      <c r="A63" s="73" t="s">
        <v>99</v>
      </c>
      <c r="B63" s="68"/>
      <c r="C63" s="54" t="s">
        <v>38</v>
      </c>
      <c r="D63" s="20" t="s">
        <v>39</v>
      </c>
      <c r="E63" s="17">
        <v>46325</v>
      </c>
      <c r="F63" s="17">
        <v>46343</v>
      </c>
      <c r="G63" s="62">
        <f>+F63-E63+1</f>
        <v>19</v>
      </c>
      <c r="H63" s="63"/>
      <c r="I63" s="66" t="s">
        <v>27</v>
      </c>
      <c r="J63" s="66" t="s">
        <v>27</v>
      </c>
      <c r="K63" s="66" t="s">
        <v>27</v>
      </c>
      <c r="L63" s="66" t="s">
        <v>20</v>
      </c>
      <c r="M63" s="78" t="s">
        <v>28</v>
      </c>
      <c r="N63" s="59" t="s">
        <v>40</v>
      </c>
    </row>
    <row r="64" spans="1:14" s="1" customFormat="1" ht="61.2">
      <c r="A64" s="69"/>
      <c r="B64" s="70"/>
      <c r="C64" s="54" t="s">
        <v>41</v>
      </c>
      <c r="D64" s="61" t="s">
        <v>340</v>
      </c>
      <c r="E64" s="17">
        <v>46334</v>
      </c>
      <c r="F64" s="17">
        <v>46386</v>
      </c>
      <c r="G64" s="62">
        <f>+F64-E64+1</f>
        <v>53</v>
      </c>
      <c r="H64" s="63"/>
      <c r="I64" s="66" t="s">
        <v>27</v>
      </c>
      <c r="J64" s="66" t="s">
        <v>27</v>
      </c>
      <c r="K64" s="66" t="s">
        <v>27</v>
      </c>
      <c r="L64" s="66" t="s">
        <v>27</v>
      </c>
      <c r="M64" s="66" t="s">
        <v>28</v>
      </c>
      <c r="N64" s="44" t="s">
        <v>43</v>
      </c>
    </row>
    <row r="65" spans="1:14" s="1" customFormat="1" ht="102">
      <c r="A65" s="71"/>
      <c r="B65" s="72"/>
      <c r="C65" s="54" t="s">
        <v>100</v>
      </c>
      <c r="D65" s="20" t="s">
        <v>101</v>
      </c>
      <c r="E65" s="17">
        <v>46362</v>
      </c>
      <c r="F65" s="17">
        <v>46386</v>
      </c>
      <c r="G65" s="62">
        <f>+F65-E65+1</f>
        <v>25</v>
      </c>
      <c r="H65" s="63"/>
      <c r="I65" s="66" t="s">
        <v>27</v>
      </c>
      <c r="J65" s="66" t="s">
        <v>27</v>
      </c>
      <c r="K65" s="66" t="s">
        <v>27</v>
      </c>
      <c r="L65" s="66" t="s">
        <v>27</v>
      </c>
      <c r="M65" s="66" t="s">
        <v>28</v>
      </c>
      <c r="N65" s="44" t="s">
        <v>43</v>
      </c>
    </row>
    <row r="66" spans="1:14" s="1" customFormat="1">
      <c r="A66" s="42" t="s">
        <v>102</v>
      </c>
      <c r="B66" s="26" t="s">
        <v>91</v>
      </c>
      <c r="C66" s="26"/>
      <c r="D66" s="27"/>
      <c r="E66" s="28"/>
      <c r="F66" s="48"/>
      <c r="G66" s="29"/>
      <c r="H66" s="49"/>
      <c r="I66" s="30"/>
      <c r="J66" s="30"/>
      <c r="K66" s="30"/>
      <c r="L66" s="30"/>
      <c r="M66" s="30"/>
      <c r="N66" s="38"/>
    </row>
    <row r="67" spans="1:14" s="1" customFormat="1" ht="20.399999999999999">
      <c r="A67" s="73" t="s">
        <v>103</v>
      </c>
      <c r="B67" s="68"/>
      <c r="C67" s="60" t="s">
        <v>93</v>
      </c>
      <c r="D67" s="20" t="s">
        <v>94</v>
      </c>
      <c r="E67" s="17">
        <v>46386</v>
      </c>
      <c r="F67" s="17">
        <v>46417</v>
      </c>
      <c r="G67" s="62">
        <f>+F67-E67+1</f>
        <v>32</v>
      </c>
      <c r="H67" s="63"/>
      <c r="I67" s="66" t="s">
        <v>27</v>
      </c>
      <c r="J67" s="66" t="s">
        <v>27</v>
      </c>
      <c r="K67" s="66" t="s">
        <v>27</v>
      </c>
      <c r="L67" s="66" t="s">
        <v>27</v>
      </c>
      <c r="M67" s="66" t="s">
        <v>28</v>
      </c>
      <c r="N67" s="44" t="s">
        <v>43</v>
      </c>
    </row>
    <row r="68" spans="1:14" s="1" customFormat="1" ht="61.2">
      <c r="A68" s="71"/>
      <c r="B68" s="72"/>
      <c r="C68" s="60" t="s">
        <v>104</v>
      </c>
      <c r="D68" s="61" t="s">
        <v>105</v>
      </c>
      <c r="E68" s="17">
        <v>46386</v>
      </c>
      <c r="F68" s="17">
        <v>46417</v>
      </c>
      <c r="G68" s="62">
        <f>+F68-E68+1</f>
        <v>32</v>
      </c>
      <c r="H68" s="63"/>
      <c r="I68" s="66" t="s">
        <v>27</v>
      </c>
      <c r="J68" s="66" t="s">
        <v>27</v>
      </c>
      <c r="K68" s="66" t="s">
        <v>27</v>
      </c>
      <c r="L68" s="66" t="s">
        <v>27</v>
      </c>
      <c r="M68" s="66" t="s">
        <v>28</v>
      </c>
      <c r="N68" s="44" t="s">
        <v>43</v>
      </c>
    </row>
    <row r="69" spans="1:14" s="1" customFormat="1">
      <c r="A69" s="42" t="s">
        <v>106</v>
      </c>
      <c r="B69" s="26" t="s">
        <v>107</v>
      </c>
      <c r="C69" s="26"/>
      <c r="D69" s="27"/>
      <c r="E69" s="28"/>
      <c r="F69" s="48"/>
      <c r="G69" s="29"/>
      <c r="H69" s="49"/>
      <c r="I69" s="30"/>
      <c r="J69" s="30"/>
      <c r="K69" s="30"/>
      <c r="L69" s="30"/>
      <c r="M69" s="30"/>
      <c r="N69" s="38"/>
    </row>
    <row r="70" spans="1:14" s="1" customFormat="1" ht="81.599999999999994">
      <c r="A70" s="73" t="s">
        <v>108</v>
      </c>
      <c r="B70" s="68"/>
      <c r="C70" s="60" t="s">
        <v>109</v>
      </c>
      <c r="D70" s="20" t="s">
        <v>110</v>
      </c>
      <c r="E70" s="17">
        <v>46417</v>
      </c>
      <c r="F70" s="17">
        <v>46438</v>
      </c>
      <c r="G70" s="62">
        <f>+F70-E70+1</f>
        <v>22</v>
      </c>
      <c r="H70" s="63"/>
      <c r="I70" s="66" t="s">
        <v>27</v>
      </c>
      <c r="J70" s="66" t="s">
        <v>27</v>
      </c>
      <c r="K70" s="66" t="s">
        <v>27</v>
      </c>
      <c r="L70" s="66" t="s">
        <v>27</v>
      </c>
      <c r="M70" s="66" t="s">
        <v>28</v>
      </c>
      <c r="N70" s="44" t="s">
        <v>43</v>
      </c>
    </row>
    <row r="71" spans="1:14" s="1" customFormat="1">
      <c r="A71" s="69"/>
      <c r="B71" s="70"/>
      <c r="C71" s="60" t="s">
        <v>111</v>
      </c>
      <c r="D71" s="61" t="s">
        <v>112</v>
      </c>
      <c r="E71" s="17">
        <v>46429</v>
      </c>
      <c r="F71" s="17">
        <v>46477</v>
      </c>
      <c r="G71" s="62">
        <f>+F71-E71+1</f>
        <v>49</v>
      </c>
      <c r="H71" s="63"/>
      <c r="I71" s="66" t="s">
        <v>27</v>
      </c>
      <c r="J71" s="66" t="s">
        <v>27</v>
      </c>
      <c r="K71" s="66" t="s">
        <v>27</v>
      </c>
      <c r="L71" s="66" t="s">
        <v>27</v>
      </c>
      <c r="M71" s="66" t="s">
        <v>28</v>
      </c>
      <c r="N71" s="44" t="s">
        <v>43</v>
      </c>
    </row>
    <row r="72" spans="1:14" s="1" customFormat="1" ht="20.399999999999999">
      <c r="A72" s="71"/>
      <c r="B72" s="72"/>
      <c r="C72" s="60" t="s">
        <v>113</v>
      </c>
      <c r="D72" s="20" t="s">
        <v>107</v>
      </c>
      <c r="E72" s="17">
        <v>46447</v>
      </c>
      <c r="F72" s="17">
        <v>46477</v>
      </c>
      <c r="G72" s="62">
        <f>+F72-E72+1</f>
        <v>31</v>
      </c>
      <c r="H72" s="63"/>
      <c r="I72" s="66" t="s">
        <v>27</v>
      </c>
      <c r="J72" s="66" t="s">
        <v>27</v>
      </c>
      <c r="K72" s="66" t="s">
        <v>27</v>
      </c>
      <c r="L72" s="66" t="s">
        <v>27</v>
      </c>
      <c r="M72" s="66" t="s">
        <v>28</v>
      </c>
      <c r="N72" s="44" t="s">
        <v>43</v>
      </c>
    </row>
    <row r="73" spans="1:14" s="1" customFormat="1">
      <c r="A73" s="43" t="s">
        <v>114</v>
      </c>
      <c r="B73" s="31" t="s">
        <v>75</v>
      </c>
      <c r="C73" s="51"/>
      <c r="D73" s="32"/>
      <c r="E73" s="33"/>
      <c r="F73" s="33"/>
      <c r="G73" s="33"/>
      <c r="H73" s="52"/>
      <c r="I73" s="34"/>
      <c r="J73" s="34"/>
      <c r="K73" s="34"/>
      <c r="L73" s="34"/>
      <c r="M73" s="65"/>
      <c r="N73" s="34"/>
    </row>
    <row r="74" spans="1:14" s="3" customFormat="1" ht="13.8">
      <c r="A74" s="41">
        <v>3</v>
      </c>
      <c r="B74" s="21" t="s">
        <v>115</v>
      </c>
      <c r="C74" s="21"/>
      <c r="D74" s="22"/>
      <c r="E74" s="23">
        <f>SMALL(E76:E91,1)</f>
        <v>46326</v>
      </c>
      <c r="F74" s="46">
        <f>LARGE(F76:F91,1)</f>
        <v>46599</v>
      </c>
      <c r="G74" s="24">
        <f>+F74-E74+1</f>
        <v>274</v>
      </c>
      <c r="H74" s="47"/>
      <c r="I74" s="25"/>
      <c r="J74" s="25"/>
      <c r="K74" s="25"/>
      <c r="L74" s="25"/>
      <c r="M74" s="25"/>
      <c r="N74" s="40"/>
    </row>
    <row r="75" spans="1:14" s="3" customFormat="1" ht="13.8">
      <c r="A75" s="42" t="s">
        <v>116</v>
      </c>
      <c r="B75" s="26" t="s">
        <v>117</v>
      </c>
      <c r="C75" s="26"/>
      <c r="D75" s="27"/>
      <c r="E75" s="28"/>
      <c r="F75" s="48"/>
      <c r="G75" s="29"/>
      <c r="H75" s="49"/>
      <c r="I75" s="30"/>
      <c r="J75" s="30"/>
      <c r="K75" s="30"/>
      <c r="L75" s="30"/>
      <c r="M75" s="30"/>
      <c r="N75" s="38"/>
    </row>
    <row r="76" spans="1:14" s="4" customFormat="1" ht="20.399999999999999">
      <c r="A76" s="73" t="s">
        <v>118</v>
      </c>
      <c r="B76" s="68"/>
      <c r="C76" s="60" t="s">
        <v>119</v>
      </c>
      <c r="D76" s="20" t="s">
        <v>120</v>
      </c>
      <c r="E76" s="17">
        <v>46326</v>
      </c>
      <c r="F76" s="17">
        <v>46462</v>
      </c>
      <c r="G76" s="62">
        <f t="shared" ref="G76:G90" si="2">+F76-E76+1</f>
        <v>137</v>
      </c>
      <c r="H76" s="55"/>
      <c r="I76" s="66" t="s">
        <v>27</v>
      </c>
      <c r="J76" s="66" t="s">
        <v>27</v>
      </c>
      <c r="K76" s="66" t="s">
        <v>27</v>
      </c>
      <c r="L76" s="66" t="s">
        <v>27</v>
      </c>
      <c r="M76" s="66" t="s">
        <v>28</v>
      </c>
      <c r="N76" s="44" t="s">
        <v>43</v>
      </c>
    </row>
    <row r="77" spans="1:14" s="4" customFormat="1">
      <c r="A77" s="69"/>
      <c r="B77" s="70"/>
      <c r="C77" s="60" t="s">
        <v>121</v>
      </c>
      <c r="D77" s="20" t="s">
        <v>122</v>
      </c>
      <c r="E77" s="17">
        <v>46517</v>
      </c>
      <c r="F77" s="17">
        <v>46599</v>
      </c>
      <c r="G77" s="62">
        <f t="shared" si="2"/>
        <v>83</v>
      </c>
      <c r="H77" s="55"/>
      <c r="I77" s="66" t="s">
        <v>27</v>
      </c>
      <c r="J77" s="66" t="s">
        <v>27</v>
      </c>
      <c r="K77" s="66" t="s">
        <v>27</v>
      </c>
      <c r="L77" s="66" t="s">
        <v>27</v>
      </c>
      <c r="M77" s="66" t="s">
        <v>28</v>
      </c>
      <c r="N77" s="44" t="s">
        <v>43</v>
      </c>
    </row>
    <row r="78" spans="1:14" s="4" customFormat="1">
      <c r="A78" s="69"/>
      <c r="B78" s="70"/>
      <c r="C78" s="60" t="s">
        <v>123</v>
      </c>
      <c r="D78" s="61" t="s">
        <v>124</v>
      </c>
      <c r="E78" s="17">
        <v>46353</v>
      </c>
      <c r="F78" s="17">
        <v>46389</v>
      </c>
      <c r="G78" s="62">
        <f t="shared" si="2"/>
        <v>37</v>
      </c>
      <c r="H78" s="55"/>
      <c r="I78" s="66" t="s">
        <v>27</v>
      </c>
      <c r="J78" s="66" t="s">
        <v>27</v>
      </c>
      <c r="K78" s="66" t="s">
        <v>27</v>
      </c>
      <c r="L78" s="66" t="s">
        <v>27</v>
      </c>
      <c r="M78" s="66" t="s">
        <v>28</v>
      </c>
      <c r="N78" s="44" t="s">
        <v>43</v>
      </c>
    </row>
    <row r="79" spans="1:14" s="4" customFormat="1">
      <c r="A79" s="69"/>
      <c r="B79" s="70"/>
      <c r="C79" s="60" t="s">
        <v>125</v>
      </c>
      <c r="D79" s="61" t="s">
        <v>126</v>
      </c>
      <c r="E79" s="17">
        <v>46367</v>
      </c>
      <c r="F79" s="17">
        <v>46410</v>
      </c>
      <c r="G79" s="62">
        <f t="shared" si="2"/>
        <v>44</v>
      </c>
      <c r="H79" s="55"/>
      <c r="I79" s="66" t="s">
        <v>27</v>
      </c>
      <c r="J79" s="66" t="s">
        <v>27</v>
      </c>
      <c r="K79" s="66" t="s">
        <v>27</v>
      </c>
      <c r="L79" s="66" t="s">
        <v>27</v>
      </c>
      <c r="M79" s="66" t="s">
        <v>28</v>
      </c>
      <c r="N79" s="44" t="s">
        <v>43</v>
      </c>
    </row>
    <row r="80" spans="1:14" s="4" customFormat="1">
      <c r="A80" s="69"/>
      <c r="B80" s="70"/>
      <c r="C80" s="60" t="s">
        <v>127</v>
      </c>
      <c r="D80" s="61" t="s">
        <v>128</v>
      </c>
      <c r="E80" s="17">
        <v>46381</v>
      </c>
      <c r="F80" s="17">
        <v>46599</v>
      </c>
      <c r="G80" s="62">
        <f t="shared" si="2"/>
        <v>219</v>
      </c>
      <c r="H80" s="55"/>
      <c r="I80" s="66" t="s">
        <v>27</v>
      </c>
      <c r="J80" s="66" t="s">
        <v>27</v>
      </c>
      <c r="K80" s="66" t="s">
        <v>27</v>
      </c>
      <c r="L80" s="66" t="s">
        <v>27</v>
      </c>
      <c r="M80" s="66" t="s">
        <v>28</v>
      </c>
      <c r="N80" s="44" t="s">
        <v>43</v>
      </c>
    </row>
    <row r="81" spans="1:14" s="4" customFormat="1" ht="20.399999999999999">
      <c r="A81" s="69"/>
      <c r="B81" s="70"/>
      <c r="C81" s="60" t="s">
        <v>129</v>
      </c>
      <c r="D81" s="61" t="s">
        <v>130</v>
      </c>
      <c r="E81" s="17">
        <v>46381</v>
      </c>
      <c r="F81" s="17">
        <v>46599</v>
      </c>
      <c r="G81" s="62">
        <f t="shared" si="2"/>
        <v>219</v>
      </c>
      <c r="H81" s="55"/>
      <c r="I81" s="66" t="s">
        <v>27</v>
      </c>
      <c r="J81" s="66" t="s">
        <v>27</v>
      </c>
      <c r="K81" s="66" t="s">
        <v>27</v>
      </c>
      <c r="L81" s="66" t="s">
        <v>27</v>
      </c>
      <c r="M81" s="66" t="s">
        <v>28</v>
      </c>
      <c r="N81" s="44" t="s">
        <v>43</v>
      </c>
    </row>
    <row r="82" spans="1:14" s="4" customFormat="1" ht="20.399999999999999">
      <c r="A82" s="69"/>
      <c r="B82" s="70"/>
      <c r="C82" s="60" t="s">
        <v>131</v>
      </c>
      <c r="D82" s="61" t="s">
        <v>132</v>
      </c>
      <c r="E82" s="17">
        <v>46408</v>
      </c>
      <c r="F82" s="17">
        <v>46473</v>
      </c>
      <c r="G82" s="62">
        <f t="shared" si="2"/>
        <v>66</v>
      </c>
      <c r="H82" s="55"/>
      <c r="I82" s="66" t="s">
        <v>20</v>
      </c>
      <c r="J82" s="66" t="s">
        <v>27</v>
      </c>
      <c r="K82" s="66" t="s">
        <v>27</v>
      </c>
      <c r="L82" s="66" t="s">
        <v>20</v>
      </c>
      <c r="M82" s="78" t="s">
        <v>28</v>
      </c>
      <c r="N82" s="59" t="s">
        <v>87</v>
      </c>
    </row>
    <row r="83" spans="1:14" s="4" customFormat="1" ht="20.399999999999999">
      <c r="A83" s="69"/>
      <c r="B83" s="70"/>
      <c r="C83" s="60" t="s">
        <v>133</v>
      </c>
      <c r="D83" s="61" t="s">
        <v>134</v>
      </c>
      <c r="E83" s="17">
        <v>46490</v>
      </c>
      <c r="F83" s="17">
        <v>46599</v>
      </c>
      <c r="G83" s="62">
        <f t="shared" si="2"/>
        <v>110</v>
      </c>
      <c r="H83" s="55"/>
      <c r="I83" s="66" t="s">
        <v>27</v>
      </c>
      <c r="J83" s="66" t="s">
        <v>27</v>
      </c>
      <c r="K83" s="66" t="s">
        <v>27</v>
      </c>
      <c r="L83" s="66" t="s">
        <v>27</v>
      </c>
      <c r="M83" s="66" t="s">
        <v>28</v>
      </c>
      <c r="N83" s="44" t="s">
        <v>43</v>
      </c>
    </row>
    <row r="84" spans="1:14" s="4" customFormat="1" ht="30.6">
      <c r="A84" s="69"/>
      <c r="B84" s="70"/>
      <c r="C84" s="60" t="s">
        <v>135</v>
      </c>
      <c r="D84" s="61" t="s">
        <v>136</v>
      </c>
      <c r="E84" s="17">
        <v>46435</v>
      </c>
      <c r="F84" s="17">
        <v>46514</v>
      </c>
      <c r="G84" s="62">
        <f t="shared" si="2"/>
        <v>80</v>
      </c>
      <c r="H84" s="55"/>
      <c r="I84" s="66" t="s">
        <v>27</v>
      </c>
      <c r="J84" s="66" t="s">
        <v>27</v>
      </c>
      <c r="K84" s="66" t="s">
        <v>27</v>
      </c>
      <c r="L84" s="66" t="s">
        <v>27</v>
      </c>
      <c r="M84" s="66" t="s">
        <v>28</v>
      </c>
      <c r="N84" s="44" t="s">
        <v>43</v>
      </c>
    </row>
    <row r="85" spans="1:14" s="4" customFormat="1" ht="20.399999999999999">
      <c r="A85" s="69"/>
      <c r="B85" s="70"/>
      <c r="C85" s="53" t="s">
        <v>137</v>
      </c>
      <c r="D85" s="61" t="s">
        <v>138</v>
      </c>
      <c r="E85" s="17">
        <v>46381</v>
      </c>
      <c r="F85" s="17">
        <v>46599</v>
      </c>
      <c r="G85" s="62">
        <f t="shared" si="2"/>
        <v>219</v>
      </c>
      <c r="H85" s="55"/>
      <c r="I85" s="66" t="s">
        <v>20</v>
      </c>
      <c r="J85" s="66" t="s">
        <v>27</v>
      </c>
      <c r="K85" s="66" t="s">
        <v>27</v>
      </c>
      <c r="L85" s="66" t="s">
        <v>27</v>
      </c>
      <c r="M85" s="66" t="s">
        <v>28</v>
      </c>
      <c r="N85" s="59" t="s">
        <v>139</v>
      </c>
    </row>
    <row r="86" spans="1:14" s="4" customFormat="1" ht="40.799999999999997">
      <c r="A86" s="69"/>
      <c r="B86" s="70"/>
      <c r="C86" s="53" t="s">
        <v>38</v>
      </c>
      <c r="D86" s="20" t="s">
        <v>39</v>
      </c>
      <c r="E86" s="17">
        <v>46326</v>
      </c>
      <c r="F86" s="17">
        <v>46408</v>
      </c>
      <c r="G86" s="62">
        <f t="shared" si="2"/>
        <v>83</v>
      </c>
      <c r="H86" s="55"/>
      <c r="I86" s="66" t="s">
        <v>27</v>
      </c>
      <c r="J86" s="66" t="s">
        <v>27</v>
      </c>
      <c r="K86" s="66" t="s">
        <v>27</v>
      </c>
      <c r="L86" s="66" t="s">
        <v>20</v>
      </c>
      <c r="M86" s="78" t="s">
        <v>28</v>
      </c>
      <c r="N86" s="59" t="s">
        <v>40</v>
      </c>
    </row>
    <row r="87" spans="1:14" s="4" customFormat="1" ht="61.2">
      <c r="A87" s="69"/>
      <c r="B87" s="70"/>
      <c r="C87" s="53" t="s">
        <v>41</v>
      </c>
      <c r="D87" s="61" t="s">
        <v>340</v>
      </c>
      <c r="E87" s="17">
        <v>46367</v>
      </c>
      <c r="F87" s="17">
        <v>46599</v>
      </c>
      <c r="G87" s="62">
        <f t="shared" si="2"/>
        <v>233</v>
      </c>
      <c r="H87" s="55"/>
      <c r="I87" s="66" t="s">
        <v>27</v>
      </c>
      <c r="J87" s="66" t="s">
        <v>27</v>
      </c>
      <c r="K87" s="66" t="s">
        <v>27</v>
      </c>
      <c r="L87" s="66" t="s">
        <v>27</v>
      </c>
      <c r="M87" s="66" t="s">
        <v>28</v>
      </c>
      <c r="N87" s="44" t="s">
        <v>43</v>
      </c>
    </row>
    <row r="88" spans="1:14" s="4" customFormat="1">
      <c r="A88" s="69"/>
      <c r="B88" s="70"/>
      <c r="C88" s="53" t="s">
        <v>140</v>
      </c>
      <c r="D88" s="61" t="s">
        <v>141</v>
      </c>
      <c r="E88" s="17">
        <v>46490</v>
      </c>
      <c r="F88" s="17">
        <v>46598</v>
      </c>
      <c r="G88" s="62">
        <f t="shared" si="2"/>
        <v>109</v>
      </c>
      <c r="H88" s="55"/>
      <c r="I88" s="66" t="s">
        <v>20</v>
      </c>
      <c r="J88" s="66" t="s">
        <v>27</v>
      </c>
      <c r="K88" s="66" t="s">
        <v>27</v>
      </c>
      <c r="L88" s="66" t="s">
        <v>27</v>
      </c>
      <c r="M88" s="66" t="s">
        <v>28</v>
      </c>
      <c r="N88" s="59" t="s">
        <v>139</v>
      </c>
    </row>
    <row r="89" spans="1:14" s="4" customFormat="1">
      <c r="A89" s="69"/>
      <c r="B89" s="70"/>
      <c r="C89" s="60" t="s">
        <v>142</v>
      </c>
      <c r="D89" s="61" t="s">
        <v>143</v>
      </c>
      <c r="E89" s="17">
        <v>46503</v>
      </c>
      <c r="F89" s="17">
        <v>46599</v>
      </c>
      <c r="G89" s="62">
        <f t="shared" si="2"/>
        <v>97</v>
      </c>
      <c r="H89" s="55"/>
      <c r="I89" s="66" t="s">
        <v>27</v>
      </c>
      <c r="J89" s="66" t="s">
        <v>27</v>
      </c>
      <c r="K89" s="66" t="s">
        <v>27</v>
      </c>
      <c r="L89" s="66" t="s">
        <v>27</v>
      </c>
      <c r="M89" s="66" t="s">
        <v>28</v>
      </c>
      <c r="N89" s="44" t="s">
        <v>43</v>
      </c>
    </row>
    <row r="90" spans="1:14" s="4" customFormat="1">
      <c r="A90" s="71"/>
      <c r="B90" s="72"/>
      <c r="C90" s="60" t="s">
        <v>144</v>
      </c>
      <c r="D90" s="61" t="s">
        <v>145</v>
      </c>
      <c r="E90" s="17">
        <v>46517</v>
      </c>
      <c r="F90" s="17">
        <v>46599</v>
      </c>
      <c r="G90" s="62">
        <f t="shared" si="2"/>
        <v>83</v>
      </c>
      <c r="H90" s="55"/>
      <c r="I90" s="66" t="s">
        <v>27</v>
      </c>
      <c r="J90" s="66" t="s">
        <v>27</v>
      </c>
      <c r="K90" s="66" t="s">
        <v>27</v>
      </c>
      <c r="L90" s="66" t="s">
        <v>27</v>
      </c>
      <c r="M90" s="66" t="s">
        <v>28</v>
      </c>
      <c r="N90" s="44" t="s">
        <v>43</v>
      </c>
    </row>
    <row r="91" spans="1:14" s="1" customFormat="1">
      <c r="A91" s="43" t="s">
        <v>146</v>
      </c>
      <c r="B91" s="31" t="s">
        <v>75</v>
      </c>
      <c r="C91" s="51"/>
      <c r="D91" s="35"/>
      <c r="E91" s="33"/>
      <c r="F91" s="33"/>
      <c r="G91" s="33"/>
      <c r="H91" s="52"/>
      <c r="I91" s="36"/>
      <c r="J91" s="36"/>
      <c r="K91" s="36"/>
      <c r="L91" s="36"/>
      <c r="M91" s="65"/>
      <c r="N91" s="34"/>
    </row>
    <row r="92" spans="1:14" s="5" customFormat="1">
      <c r="A92" s="41">
        <v>4</v>
      </c>
      <c r="B92" s="21" t="s">
        <v>147</v>
      </c>
      <c r="C92" s="21"/>
      <c r="D92" s="22"/>
      <c r="E92" s="23">
        <f>SMALL(E94:E133,1)</f>
        <v>46341</v>
      </c>
      <c r="F92" s="46">
        <f>LARGE(F94:F133,1)</f>
        <v>46660</v>
      </c>
      <c r="G92" s="24">
        <f>+F92-E92+1</f>
        <v>320</v>
      </c>
      <c r="H92" s="47"/>
      <c r="I92" s="25"/>
      <c r="J92" s="25"/>
      <c r="K92" s="25"/>
      <c r="L92" s="25"/>
      <c r="M92" s="25"/>
      <c r="N92" s="40"/>
    </row>
    <row r="93" spans="1:14" s="5" customFormat="1">
      <c r="A93" s="42" t="s">
        <v>148</v>
      </c>
      <c r="B93" s="26" t="s">
        <v>149</v>
      </c>
      <c r="C93" s="26"/>
      <c r="D93" s="27"/>
      <c r="E93" s="28"/>
      <c r="F93" s="48"/>
      <c r="G93" s="29"/>
      <c r="H93" s="49"/>
      <c r="I93" s="30"/>
      <c r="J93" s="30"/>
      <c r="K93" s="30"/>
      <c r="L93" s="30"/>
      <c r="M93" s="30"/>
      <c r="N93" s="38"/>
    </row>
    <row r="94" spans="1:14" s="1" customFormat="1" ht="40.799999999999997">
      <c r="A94" s="73" t="s">
        <v>150</v>
      </c>
      <c r="B94" s="68"/>
      <c r="C94" s="60" t="s">
        <v>38</v>
      </c>
      <c r="D94" s="20" t="s">
        <v>39</v>
      </c>
      <c r="E94" s="17">
        <v>46477</v>
      </c>
      <c r="F94" s="17">
        <v>46532</v>
      </c>
      <c r="G94" s="62">
        <f>+F94-E94+1</f>
        <v>56</v>
      </c>
      <c r="H94" s="63"/>
      <c r="I94" s="66" t="s">
        <v>27</v>
      </c>
      <c r="J94" s="66" t="s">
        <v>27</v>
      </c>
      <c r="K94" s="66" t="s">
        <v>27</v>
      </c>
      <c r="L94" s="66" t="s">
        <v>20</v>
      </c>
      <c r="M94" s="78" t="s">
        <v>28</v>
      </c>
      <c r="N94" s="59" t="s">
        <v>40</v>
      </c>
    </row>
    <row r="95" spans="1:14" s="1" customFormat="1" ht="61.2">
      <c r="A95" s="69"/>
      <c r="B95" s="70"/>
      <c r="C95" s="60" t="s">
        <v>41</v>
      </c>
      <c r="D95" s="61" t="s">
        <v>340</v>
      </c>
      <c r="E95" s="17">
        <v>46504</v>
      </c>
      <c r="F95" s="17">
        <v>46660</v>
      </c>
      <c r="G95" s="62">
        <f>+F95-E95+1</f>
        <v>157</v>
      </c>
      <c r="H95" s="63"/>
      <c r="I95" s="66" t="s">
        <v>27</v>
      </c>
      <c r="J95" s="66" t="s">
        <v>27</v>
      </c>
      <c r="K95" s="66" t="s">
        <v>27</v>
      </c>
      <c r="L95" s="66" t="s">
        <v>27</v>
      </c>
      <c r="M95" s="66" t="s">
        <v>28</v>
      </c>
      <c r="N95" s="44" t="s">
        <v>43</v>
      </c>
    </row>
    <row r="96" spans="1:14" s="1" customFormat="1" ht="51">
      <c r="A96" s="69"/>
      <c r="B96" s="70"/>
      <c r="C96" s="60" t="s">
        <v>151</v>
      </c>
      <c r="D96" s="61" t="s">
        <v>149</v>
      </c>
      <c r="E96" s="17">
        <v>46569</v>
      </c>
      <c r="F96" s="17">
        <v>46652</v>
      </c>
      <c r="G96" s="62">
        <f>+F96-E96+1</f>
        <v>84</v>
      </c>
      <c r="H96" s="63"/>
      <c r="I96" s="66" t="s">
        <v>27</v>
      </c>
      <c r="J96" s="66" t="s">
        <v>27</v>
      </c>
      <c r="K96" s="66" t="s">
        <v>27</v>
      </c>
      <c r="L96" s="66" t="s">
        <v>27</v>
      </c>
      <c r="M96" s="66" t="s">
        <v>28</v>
      </c>
      <c r="N96" s="59" t="s">
        <v>43</v>
      </c>
    </row>
    <row r="97" spans="1:14" s="1" customFormat="1">
      <c r="A97" s="71"/>
      <c r="B97" s="72"/>
      <c r="C97" s="60" t="s">
        <v>152</v>
      </c>
      <c r="D97" s="61" t="s">
        <v>153</v>
      </c>
      <c r="E97" s="17">
        <v>46591</v>
      </c>
      <c r="F97" s="17">
        <v>46660</v>
      </c>
      <c r="G97" s="62">
        <f>+F97-E97+1</f>
        <v>70</v>
      </c>
      <c r="H97" s="63"/>
      <c r="I97" s="66" t="s">
        <v>20</v>
      </c>
      <c r="J97" s="66" t="s">
        <v>27</v>
      </c>
      <c r="K97" s="66" t="s">
        <v>27</v>
      </c>
      <c r="L97" s="66" t="s">
        <v>27</v>
      </c>
      <c r="M97" s="66" t="s">
        <v>28</v>
      </c>
      <c r="N97" s="59" t="s">
        <v>139</v>
      </c>
    </row>
    <row r="98" spans="1:14" s="1" customFormat="1" ht="20.399999999999999">
      <c r="A98" s="42" t="s">
        <v>154</v>
      </c>
      <c r="B98" s="26" t="s">
        <v>155</v>
      </c>
      <c r="C98" s="26"/>
      <c r="D98" s="27"/>
      <c r="E98" s="28"/>
      <c r="F98" s="48"/>
      <c r="G98" s="29"/>
      <c r="H98" s="49"/>
      <c r="I98" s="30"/>
      <c r="J98" s="30"/>
      <c r="K98" s="30"/>
      <c r="L98" s="30"/>
      <c r="M98" s="30"/>
      <c r="N98" s="38"/>
    </row>
    <row r="99" spans="1:14" s="1" customFormat="1" ht="40.799999999999997">
      <c r="A99" s="73" t="s">
        <v>156</v>
      </c>
      <c r="B99" s="68"/>
      <c r="C99" s="60" t="s">
        <v>38</v>
      </c>
      <c r="D99" s="20" t="s">
        <v>39</v>
      </c>
      <c r="E99" s="17">
        <v>46477</v>
      </c>
      <c r="F99" s="17">
        <v>46532</v>
      </c>
      <c r="G99" s="62">
        <f t="shared" ref="G99:G104" si="3">+F99-E99+1</f>
        <v>56</v>
      </c>
      <c r="H99" s="63"/>
      <c r="I99" s="66" t="s">
        <v>27</v>
      </c>
      <c r="J99" s="66" t="s">
        <v>27</v>
      </c>
      <c r="K99" s="66" t="s">
        <v>27</v>
      </c>
      <c r="L99" s="66" t="s">
        <v>20</v>
      </c>
      <c r="M99" s="78" t="s">
        <v>28</v>
      </c>
      <c r="N99" s="59" t="s">
        <v>40</v>
      </c>
    </row>
    <row r="100" spans="1:14" s="1" customFormat="1" ht="61.2">
      <c r="A100" s="69"/>
      <c r="B100" s="70"/>
      <c r="C100" s="60" t="s">
        <v>41</v>
      </c>
      <c r="D100" s="61" t="s">
        <v>340</v>
      </c>
      <c r="E100" s="17">
        <v>46504</v>
      </c>
      <c r="F100" s="17">
        <v>46660</v>
      </c>
      <c r="G100" s="62">
        <f t="shared" si="3"/>
        <v>157</v>
      </c>
      <c r="H100" s="63"/>
      <c r="I100" s="66" t="s">
        <v>27</v>
      </c>
      <c r="J100" s="66" t="s">
        <v>27</v>
      </c>
      <c r="K100" s="66" t="s">
        <v>27</v>
      </c>
      <c r="L100" s="66" t="s">
        <v>27</v>
      </c>
      <c r="M100" s="66" t="s">
        <v>28</v>
      </c>
      <c r="N100" s="44" t="s">
        <v>43</v>
      </c>
    </row>
    <row r="101" spans="1:14" s="1" customFormat="1" ht="30.6">
      <c r="A101" s="69"/>
      <c r="B101" s="70"/>
      <c r="C101" s="60" t="s">
        <v>157</v>
      </c>
      <c r="D101" s="61" t="s">
        <v>158</v>
      </c>
      <c r="E101" s="17">
        <v>46477</v>
      </c>
      <c r="F101" s="17">
        <v>46559</v>
      </c>
      <c r="G101" s="62">
        <f t="shared" si="3"/>
        <v>83</v>
      </c>
      <c r="H101" s="63"/>
      <c r="I101" s="66" t="s">
        <v>27</v>
      </c>
      <c r="J101" s="66" t="s">
        <v>27</v>
      </c>
      <c r="K101" s="66" t="s">
        <v>27</v>
      </c>
      <c r="L101" s="66" t="s">
        <v>27</v>
      </c>
      <c r="M101" s="66" t="s">
        <v>28</v>
      </c>
      <c r="N101" s="44" t="s">
        <v>43</v>
      </c>
    </row>
    <row r="102" spans="1:14" s="1" customFormat="1" ht="40.799999999999997">
      <c r="A102" s="69"/>
      <c r="B102" s="70"/>
      <c r="C102" s="60" t="s">
        <v>159</v>
      </c>
      <c r="D102" s="61" t="s">
        <v>160</v>
      </c>
      <c r="E102" s="17">
        <v>46555</v>
      </c>
      <c r="F102" s="17">
        <v>46627</v>
      </c>
      <c r="G102" s="62">
        <f t="shared" si="3"/>
        <v>73</v>
      </c>
      <c r="H102" s="63"/>
      <c r="I102" s="66" t="s">
        <v>27</v>
      </c>
      <c r="J102" s="66" t="s">
        <v>27</v>
      </c>
      <c r="K102" s="66" t="s">
        <v>27</v>
      </c>
      <c r="L102" s="66" t="s">
        <v>27</v>
      </c>
      <c r="M102" s="66" t="s">
        <v>28</v>
      </c>
      <c r="N102" s="44" t="s">
        <v>43</v>
      </c>
    </row>
    <row r="103" spans="1:14" s="1" customFormat="1" ht="20.399999999999999">
      <c r="A103" s="69"/>
      <c r="B103" s="70"/>
      <c r="C103" s="60" t="s">
        <v>161</v>
      </c>
      <c r="D103" s="61" t="s">
        <v>162</v>
      </c>
      <c r="E103" s="17">
        <v>46514</v>
      </c>
      <c r="F103" s="17">
        <v>46660</v>
      </c>
      <c r="G103" s="62">
        <f t="shared" si="3"/>
        <v>147</v>
      </c>
      <c r="H103" s="63"/>
      <c r="I103" s="66" t="s">
        <v>27</v>
      </c>
      <c r="J103" s="66" t="s">
        <v>27</v>
      </c>
      <c r="K103" s="66" t="s">
        <v>27</v>
      </c>
      <c r="L103" s="66" t="s">
        <v>27</v>
      </c>
      <c r="M103" s="66" t="s">
        <v>28</v>
      </c>
      <c r="N103" s="44" t="s">
        <v>43</v>
      </c>
    </row>
    <row r="104" spans="1:14" s="1" customFormat="1">
      <c r="A104" s="71"/>
      <c r="B104" s="72"/>
      <c r="C104" s="60" t="s">
        <v>153</v>
      </c>
      <c r="D104" s="61" t="s">
        <v>153</v>
      </c>
      <c r="E104" s="17">
        <v>46514</v>
      </c>
      <c r="F104" s="17">
        <v>46660</v>
      </c>
      <c r="G104" s="62">
        <f t="shared" si="3"/>
        <v>147</v>
      </c>
      <c r="H104" s="63"/>
      <c r="I104" s="66" t="s">
        <v>20</v>
      </c>
      <c r="J104" s="66" t="s">
        <v>27</v>
      </c>
      <c r="K104" s="66" t="s">
        <v>27</v>
      </c>
      <c r="L104" s="66" t="s">
        <v>27</v>
      </c>
      <c r="M104" s="88" t="s">
        <v>28</v>
      </c>
      <c r="N104" s="59" t="s">
        <v>139</v>
      </c>
    </row>
    <row r="105" spans="1:14" s="1" customFormat="1">
      <c r="A105" s="42" t="s">
        <v>163</v>
      </c>
      <c r="B105" s="26" t="s">
        <v>164</v>
      </c>
      <c r="C105" s="26"/>
      <c r="D105" s="27"/>
      <c r="E105" s="28"/>
      <c r="F105" s="48"/>
      <c r="G105" s="29"/>
      <c r="H105" s="49"/>
      <c r="I105" s="30"/>
      <c r="J105" s="30"/>
      <c r="K105" s="30"/>
      <c r="L105" s="30"/>
      <c r="M105" s="30"/>
      <c r="N105" s="38"/>
    </row>
    <row r="106" spans="1:14" s="1" customFormat="1" ht="40.799999999999997">
      <c r="A106" s="73" t="s">
        <v>165</v>
      </c>
      <c r="B106" s="68"/>
      <c r="C106" s="60" t="s">
        <v>38</v>
      </c>
      <c r="D106" s="20" t="s">
        <v>39</v>
      </c>
      <c r="E106" s="17">
        <v>46341</v>
      </c>
      <c r="F106" s="17">
        <v>46373</v>
      </c>
      <c r="G106" s="62">
        <f>+F106-E106+1</f>
        <v>33</v>
      </c>
      <c r="H106" s="63"/>
      <c r="I106" s="66" t="s">
        <v>27</v>
      </c>
      <c r="J106" s="66" t="s">
        <v>27</v>
      </c>
      <c r="K106" s="66" t="s">
        <v>27</v>
      </c>
      <c r="L106" s="66" t="s">
        <v>20</v>
      </c>
      <c r="M106" s="78" t="s">
        <v>28</v>
      </c>
      <c r="N106" s="59" t="s">
        <v>40</v>
      </c>
    </row>
    <row r="107" spans="1:14" s="1" customFormat="1" ht="61.2">
      <c r="A107" s="69"/>
      <c r="B107" s="70"/>
      <c r="C107" s="60" t="s">
        <v>41</v>
      </c>
      <c r="D107" s="61" t="s">
        <v>340</v>
      </c>
      <c r="E107" s="17">
        <v>46357</v>
      </c>
      <c r="F107" s="17">
        <v>46446</v>
      </c>
      <c r="G107" s="62">
        <f>+F107-E107+1</f>
        <v>90</v>
      </c>
      <c r="H107" s="63"/>
      <c r="I107" s="66" t="s">
        <v>27</v>
      </c>
      <c r="J107" s="66" t="s">
        <v>27</v>
      </c>
      <c r="K107" s="66" t="s">
        <v>27</v>
      </c>
      <c r="L107" s="66" t="s">
        <v>27</v>
      </c>
      <c r="M107" s="66" t="s">
        <v>28</v>
      </c>
      <c r="N107" s="44" t="s">
        <v>43</v>
      </c>
    </row>
    <row r="108" spans="1:14" s="1" customFormat="1" ht="30.6">
      <c r="A108" s="71"/>
      <c r="B108" s="72"/>
      <c r="C108" s="60" t="s">
        <v>166</v>
      </c>
      <c r="D108" s="61" t="s">
        <v>167</v>
      </c>
      <c r="E108" s="17">
        <v>46400</v>
      </c>
      <c r="F108" s="17">
        <v>46446</v>
      </c>
      <c r="G108" s="62">
        <f>+F108-E108+1</f>
        <v>47</v>
      </c>
      <c r="H108" s="63"/>
      <c r="I108" s="66" t="s">
        <v>27</v>
      </c>
      <c r="J108" s="66" t="s">
        <v>27</v>
      </c>
      <c r="K108" s="66" t="s">
        <v>27</v>
      </c>
      <c r="L108" s="66" t="s">
        <v>27</v>
      </c>
      <c r="M108" s="66" t="s">
        <v>28</v>
      </c>
      <c r="N108" s="44" t="s">
        <v>43</v>
      </c>
    </row>
    <row r="109" spans="1:14" s="1" customFormat="1">
      <c r="A109" s="42" t="s">
        <v>168</v>
      </c>
      <c r="B109" s="26" t="s">
        <v>169</v>
      </c>
      <c r="C109" s="26"/>
      <c r="D109" s="27"/>
      <c r="E109" s="28"/>
      <c r="F109" s="48"/>
      <c r="G109" s="29"/>
      <c r="H109" s="49"/>
      <c r="I109" s="30"/>
      <c r="J109" s="30"/>
      <c r="K109" s="30"/>
      <c r="L109" s="30"/>
      <c r="M109" s="30"/>
      <c r="N109" s="38"/>
    </row>
    <row r="110" spans="1:14" s="1" customFormat="1" ht="40.799999999999997">
      <c r="A110" s="73" t="s">
        <v>170</v>
      </c>
      <c r="B110" s="68"/>
      <c r="C110" s="60" t="s">
        <v>38</v>
      </c>
      <c r="D110" s="20" t="s">
        <v>39</v>
      </c>
      <c r="E110" s="17">
        <v>46477</v>
      </c>
      <c r="F110" s="17">
        <v>46532</v>
      </c>
      <c r="G110" s="62">
        <f t="shared" ref="G110:G115" si="4">+F110-E110+1</f>
        <v>56</v>
      </c>
      <c r="H110" s="63"/>
      <c r="I110" s="66" t="s">
        <v>27</v>
      </c>
      <c r="J110" s="66" t="s">
        <v>27</v>
      </c>
      <c r="K110" s="66" t="s">
        <v>27</v>
      </c>
      <c r="L110" s="66" t="s">
        <v>20</v>
      </c>
      <c r="M110" s="78" t="s">
        <v>28</v>
      </c>
      <c r="N110" s="59" t="s">
        <v>40</v>
      </c>
    </row>
    <row r="111" spans="1:14" s="1" customFormat="1" ht="61.2">
      <c r="A111" s="69"/>
      <c r="B111" s="70"/>
      <c r="C111" s="60" t="s">
        <v>41</v>
      </c>
      <c r="D111" s="61" t="s">
        <v>340</v>
      </c>
      <c r="E111" s="17">
        <v>46504</v>
      </c>
      <c r="F111" s="17">
        <v>46660</v>
      </c>
      <c r="G111" s="62">
        <f t="shared" si="4"/>
        <v>157</v>
      </c>
      <c r="H111" s="63"/>
      <c r="I111" s="66" t="s">
        <v>27</v>
      </c>
      <c r="J111" s="66" t="s">
        <v>27</v>
      </c>
      <c r="K111" s="66" t="s">
        <v>27</v>
      </c>
      <c r="L111" s="66" t="s">
        <v>27</v>
      </c>
      <c r="M111" s="66" t="s">
        <v>28</v>
      </c>
      <c r="N111" s="44" t="s">
        <v>43</v>
      </c>
    </row>
    <row r="112" spans="1:14" s="1" customFormat="1" ht="20.399999999999999">
      <c r="A112" s="69"/>
      <c r="B112" s="70"/>
      <c r="C112" s="60" t="s">
        <v>171</v>
      </c>
      <c r="D112" s="61" t="s">
        <v>172</v>
      </c>
      <c r="E112" s="17">
        <v>46523</v>
      </c>
      <c r="F112" s="17">
        <v>46582</v>
      </c>
      <c r="G112" s="62">
        <f t="shared" si="4"/>
        <v>60</v>
      </c>
      <c r="H112" s="63"/>
      <c r="I112" s="66" t="s">
        <v>27</v>
      </c>
      <c r="J112" s="66" t="s">
        <v>27</v>
      </c>
      <c r="K112" s="66" t="s">
        <v>27</v>
      </c>
      <c r="L112" s="66" t="s">
        <v>27</v>
      </c>
      <c r="M112" s="66" t="s">
        <v>28</v>
      </c>
      <c r="N112" s="44" t="s">
        <v>43</v>
      </c>
    </row>
    <row r="113" spans="1:14" s="1" customFormat="1">
      <c r="A113" s="69"/>
      <c r="B113" s="70"/>
      <c r="C113" s="60" t="s">
        <v>173</v>
      </c>
      <c r="D113" s="61" t="s">
        <v>174</v>
      </c>
      <c r="E113" s="17">
        <v>46514</v>
      </c>
      <c r="F113" s="17">
        <v>46660</v>
      </c>
      <c r="G113" s="62">
        <f t="shared" si="4"/>
        <v>147</v>
      </c>
      <c r="H113" s="63"/>
      <c r="I113" s="66" t="s">
        <v>27</v>
      </c>
      <c r="J113" s="66" t="s">
        <v>27</v>
      </c>
      <c r="K113" s="66" t="s">
        <v>27</v>
      </c>
      <c r="L113" s="66" t="s">
        <v>27</v>
      </c>
      <c r="M113" s="66" t="s">
        <v>28</v>
      </c>
      <c r="N113" s="44" t="s">
        <v>43</v>
      </c>
    </row>
    <row r="114" spans="1:14" s="1" customFormat="1" ht="40.799999999999997">
      <c r="A114" s="69"/>
      <c r="B114" s="70"/>
      <c r="C114" s="60" t="s">
        <v>175</v>
      </c>
      <c r="D114" s="61" t="s">
        <v>176</v>
      </c>
      <c r="E114" s="17">
        <v>46569</v>
      </c>
      <c r="F114" s="17">
        <v>46652</v>
      </c>
      <c r="G114" s="62">
        <f t="shared" si="4"/>
        <v>84</v>
      </c>
      <c r="H114" s="63"/>
      <c r="I114" s="66" t="s">
        <v>27</v>
      </c>
      <c r="J114" s="66" t="s">
        <v>27</v>
      </c>
      <c r="K114" s="66" t="s">
        <v>27</v>
      </c>
      <c r="L114" s="66" t="s">
        <v>27</v>
      </c>
      <c r="M114" s="66" t="s">
        <v>28</v>
      </c>
      <c r="N114" s="44" t="s">
        <v>43</v>
      </c>
    </row>
    <row r="115" spans="1:14" s="1" customFormat="1">
      <c r="A115" s="71"/>
      <c r="B115" s="72"/>
      <c r="C115" s="60" t="s">
        <v>177</v>
      </c>
      <c r="D115" s="61" t="s">
        <v>178</v>
      </c>
      <c r="E115" s="17">
        <v>46514</v>
      </c>
      <c r="F115" s="17">
        <v>46660</v>
      </c>
      <c r="G115" s="62">
        <f t="shared" si="4"/>
        <v>147</v>
      </c>
      <c r="H115" s="63"/>
      <c r="I115" s="66" t="s">
        <v>27</v>
      </c>
      <c r="J115" s="66" t="s">
        <v>27</v>
      </c>
      <c r="K115" s="66" t="s">
        <v>27</v>
      </c>
      <c r="L115" s="66" t="s">
        <v>27</v>
      </c>
      <c r="M115" s="66" t="s">
        <v>28</v>
      </c>
      <c r="N115" s="44" t="s">
        <v>43</v>
      </c>
    </row>
    <row r="116" spans="1:14" s="1" customFormat="1">
      <c r="A116" s="42" t="s">
        <v>179</v>
      </c>
      <c r="B116" s="26" t="s">
        <v>180</v>
      </c>
      <c r="C116" s="26"/>
      <c r="D116" s="27"/>
      <c r="E116" s="28"/>
      <c r="F116" s="48"/>
      <c r="G116" s="29"/>
      <c r="H116" s="49"/>
      <c r="I116" s="30"/>
      <c r="J116" s="30"/>
      <c r="K116" s="30"/>
      <c r="L116" s="30"/>
      <c r="M116" s="30"/>
      <c r="N116" s="38"/>
    </row>
    <row r="117" spans="1:14" s="1" customFormat="1" ht="40.799999999999997">
      <c r="A117" s="73" t="s">
        <v>181</v>
      </c>
      <c r="B117" s="68"/>
      <c r="C117" s="60" t="s">
        <v>38</v>
      </c>
      <c r="D117" s="20" t="s">
        <v>39</v>
      </c>
      <c r="E117" s="17">
        <v>46477</v>
      </c>
      <c r="F117" s="17">
        <v>46532</v>
      </c>
      <c r="G117" s="62">
        <f>+F117-E117+1</f>
        <v>56</v>
      </c>
      <c r="H117" s="63"/>
      <c r="I117" s="66" t="s">
        <v>27</v>
      </c>
      <c r="J117" s="66" t="s">
        <v>27</v>
      </c>
      <c r="K117" s="66" t="s">
        <v>27</v>
      </c>
      <c r="L117" s="66" t="s">
        <v>20</v>
      </c>
      <c r="M117" s="78" t="s">
        <v>28</v>
      </c>
      <c r="N117" s="59" t="s">
        <v>40</v>
      </c>
    </row>
    <row r="118" spans="1:14" s="1" customFormat="1" ht="61.2">
      <c r="A118" s="71"/>
      <c r="B118" s="72"/>
      <c r="C118" s="60" t="s">
        <v>41</v>
      </c>
      <c r="D118" s="61" t="s">
        <v>340</v>
      </c>
      <c r="E118" s="17">
        <v>46504</v>
      </c>
      <c r="F118" s="17">
        <v>46660</v>
      </c>
      <c r="G118" s="62">
        <f>+F118-E118+1</f>
        <v>157</v>
      </c>
      <c r="H118" s="63"/>
      <c r="I118" s="66" t="s">
        <v>27</v>
      </c>
      <c r="J118" s="66" t="s">
        <v>27</v>
      </c>
      <c r="K118" s="66" t="s">
        <v>27</v>
      </c>
      <c r="L118" s="66" t="s">
        <v>27</v>
      </c>
      <c r="M118" s="66" t="s">
        <v>28</v>
      </c>
      <c r="N118" s="44" t="s">
        <v>43</v>
      </c>
    </row>
    <row r="119" spans="1:14" s="1" customFormat="1" ht="20.399999999999999">
      <c r="A119" s="42" t="s">
        <v>182</v>
      </c>
      <c r="B119" s="26" t="s">
        <v>183</v>
      </c>
      <c r="C119" s="26"/>
      <c r="D119" s="27"/>
      <c r="E119" s="28"/>
      <c r="F119" s="48"/>
      <c r="G119" s="29"/>
      <c r="H119" s="49"/>
      <c r="I119" s="30"/>
      <c r="J119" s="30"/>
      <c r="K119" s="30"/>
      <c r="L119" s="30"/>
      <c r="M119" s="30"/>
      <c r="N119" s="38"/>
    </row>
    <row r="120" spans="1:14" s="6" customFormat="1" ht="40.799999999999997">
      <c r="A120" s="73" t="s">
        <v>184</v>
      </c>
      <c r="B120" s="68"/>
      <c r="C120" s="60" t="s">
        <v>38</v>
      </c>
      <c r="D120" s="20" t="s">
        <v>39</v>
      </c>
      <c r="E120" s="17">
        <v>46477</v>
      </c>
      <c r="F120" s="17">
        <v>46532</v>
      </c>
      <c r="G120" s="62">
        <f>+F120-E120+1</f>
        <v>56</v>
      </c>
      <c r="H120" s="56"/>
      <c r="I120" s="66" t="s">
        <v>27</v>
      </c>
      <c r="J120" s="66" t="s">
        <v>27</v>
      </c>
      <c r="K120" s="66" t="s">
        <v>27</v>
      </c>
      <c r="L120" s="66" t="s">
        <v>20</v>
      </c>
      <c r="M120" s="78" t="s">
        <v>28</v>
      </c>
      <c r="N120" s="59" t="s">
        <v>40</v>
      </c>
    </row>
    <row r="121" spans="1:14" s="6" customFormat="1" ht="61.2">
      <c r="A121" s="69"/>
      <c r="B121" s="70"/>
      <c r="C121" s="60" t="s">
        <v>41</v>
      </c>
      <c r="D121" s="61" t="s">
        <v>340</v>
      </c>
      <c r="E121" s="17">
        <v>46504</v>
      </c>
      <c r="F121" s="17">
        <v>46660</v>
      </c>
      <c r="G121" s="62">
        <f>+F121-E121+1</f>
        <v>157</v>
      </c>
      <c r="H121" s="56"/>
      <c r="I121" s="66" t="s">
        <v>27</v>
      </c>
      <c r="J121" s="66" t="s">
        <v>27</v>
      </c>
      <c r="K121" s="66" t="s">
        <v>27</v>
      </c>
      <c r="L121" s="66" t="s">
        <v>27</v>
      </c>
      <c r="M121" s="66" t="s">
        <v>28</v>
      </c>
      <c r="N121" s="44" t="s">
        <v>43</v>
      </c>
    </row>
    <row r="122" spans="1:14" s="6" customFormat="1" ht="40.799999999999997">
      <c r="A122" s="71"/>
      <c r="B122" s="72"/>
      <c r="C122" s="60" t="s">
        <v>185</v>
      </c>
      <c r="D122" s="61" t="s">
        <v>186</v>
      </c>
      <c r="E122" s="17">
        <v>46587</v>
      </c>
      <c r="F122" s="17">
        <v>46660</v>
      </c>
      <c r="G122" s="62">
        <f>+F122-E122+1</f>
        <v>74</v>
      </c>
      <c r="H122" s="56"/>
      <c r="I122" s="66" t="s">
        <v>27</v>
      </c>
      <c r="J122" s="66" t="s">
        <v>27</v>
      </c>
      <c r="K122" s="66" t="s">
        <v>27</v>
      </c>
      <c r="L122" s="66" t="s">
        <v>27</v>
      </c>
      <c r="M122" s="66" t="s">
        <v>28</v>
      </c>
      <c r="N122" s="44" t="s">
        <v>43</v>
      </c>
    </row>
    <row r="123" spans="1:14" s="6" customFormat="1" ht="20.399999999999999">
      <c r="A123" s="42" t="s">
        <v>187</v>
      </c>
      <c r="B123" s="26" t="s">
        <v>188</v>
      </c>
      <c r="C123" s="26"/>
      <c r="D123" s="27"/>
      <c r="E123" s="28"/>
      <c r="F123" s="48"/>
      <c r="G123" s="29"/>
      <c r="H123" s="49"/>
      <c r="I123" s="30"/>
      <c r="J123" s="30"/>
      <c r="K123" s="30"/>
      <c r="L123" s="30"/>
      <c r="M123" s="30"/>
      <c r="N123" s="38"/>
    </row>
    <row r="124" spans="1:14" s="6" customFormat="1" ht="40.799999999999997">
      <c r="A124" s="73" t="s">
        <v>189</v>
      </c>
      <c r="B124" s="68"/>
      <c r="C124" s="60" t="s">
        <v>38</v>
      </c>
      <c r="D124" s="20" t="s">
        <v>39</v>
      </c>
      <c r="E124" s="17">
        <v>46477</v>
      </c>
      <c r="F124" s="17">
        <v>46532</v>
      </c>
      <c r="G124" s="62">
        <f>+F124-E124+1</f>
        <v>56</v>
      </c>
      <c r="H124" s="56"/>
      <c r="I124" s="66" t="s">
        <v>27</v>
      </c>
      <c r="J124" s="66" t="s">
        <v>27</v>
      </c>
      <c r="K124" s="66" t="s">
        <v>27</v>
      </c>
      <c r="L124" s="66" t="s">
        <v>20</v>
      </c>
      <c r="M124" s="78" t="s">
        <v>28</v>
      </c>
      <c r="N124" s="59" t="s">
        <v>40</v>
      </c>
    </row>
    <row r="125" spans="1:14" s="6" customFormat="1" ht="61.2">
      <c r="A125" s="69"/>
      <c r="B125" s="70"/>
      <c r="C125" s="60" t="s">
        <v>41</v>
      </c>
      <c r="D125" s="61" t="s">
        <v>340</v>
      </c>
      <c r="E125" s="17">
        <v>46504</v>
      </c>
      <c r="F125" s="17">
        <v>46660</v>
      </c>
      <c r="G125" s="62">
        <f>+F125-E125+1</f>
        <v>157</v>
      </c>
      <c r="H125" s="56"/>
      <c r="I125" s="66" t="s">
        <v>27</v>
      </c>
      <c r="J125" s="66" t="s">
        <v>27</v>
      </c>
      <c r="K125" s="66" t="s">
        <v>27</v>
      </c>
      <c r="L125" s="66" t="s">
        <v>27</v>
      </c>
      <c r="M125" s="66" t="s">
        <v>28</v>
      </c>
      <c r="N125" s="44" t="s">
        <v>43</v>
      </c>
    </row>
    <row r="126" spans="1:14" s="6" customFormat="1" ht="20.399999999999999">
      <c r="A126" s="71"/>
      <c r="B126" s="72"/>
      <c r="C126" s="60" t="s">
        <v>190</v>
      </c>
      <c r="D126" s="61" t="s">
        <v>149</v>
      </c>
      <c r="E126" s="17">
        <v>46569</v>
      </c>
      <c r="F126" s="17">
        <v>46660</v>
      </c>
      <c r="G126" s="62">
        <f>+F126-E126+1</f>
        <v>92</v>
      </c>
      <c r="H126" s="56"/>
      <c r="I126" s="66" t="s">
        <v>27</v>
      </c>
      <c r="J126" s="66" t="s">
        <v>27</v>
      </c>
      <c r="K126" s="66" t="s">
        <v>27</v>
      </c>
      <c r="L126" s="66" t="s">
        <v>27</v>
      </c>
      <c r="M126" s="66" t="s">
        <v>28</v>
      </c>
      <c r="N126" s="44" t="s">
        <v>43</v>
      </c>
    </row>
    <row r="127" spans="1:14" s="6" customFormat="1" ht="10.199999999999999">
      <c r="A127" s="42" t="s">
        <v>191</v>
      </c>
      <c r="B127" s="26" t="s">
        <v>192</v>
      </c>
      <c r="C127" s="26"/>
      <c r="D127" s="27"/>
      <c r="E127" s="28"/>
      <c r="F127" s="48"/>
      <c r="G127" s="29"/>
      <c r="H127" s="49"/>
      <c r="I127" s="30"/>
      <c r="J127" s="30"/>
      <c r="K127" s="30"/>
      <c r="L127" s="30"/>
      <c r="M127" s="30"/>
      <c r="N127" s="38"/>
    </row>
    <row r="128" spans="1:14" s="6" customFormat="1" ht="40.799999999999997">
      <c r="A128" s="73" t="s">
        <v>193</v>
      </c>
      <c r="B128" s="68"/>
      <c r="C128" s="60" t="s">
        <v>38</v>
      </c>
      <c r="D128" s="20" t="s">
        <v>39</v>
      </c>
      <c r="E128" s="17">
        <v>46477</v>
      </c>
      <c r="F128" s="17">
        <v>46532</v>
      </c>
      <c r="G128" s="62">
        <f>+F128-E128+1</f>
        <v>56</v>
      </c>
      <c r="H128" s="56"/>
      <c r="I128" s="66" t="s">
        <v>27</v>
      </c>
      <c r="J128" s="66" t="s">
        <v>27</v>
      </c>
      <c r="K128" s="66" t="s">
        <v>27</v>
      </c>
      <c r="L128" s="66" t="s">
        <v>20</v>
      </c>
      <c r="M128" s="78" t="s">
        <v>28</v>
      </c>
      <c r="N128" s="59" t="s">
        <v>40</v>
      </c>
    </row>
    <row r="129" spans="1:14" s="6" customFormat="1" ht="61.2">
      <c r="A129" s="69"/>
      <c r="B129" s="70"/>
      <c r="C129" s="60" t="s">
        <v>41</v>
      </c>
      <c r="D129" s="61" t="s">
        <v>340</v>
      </c>
      <c r="E129" s="17">
        <v>46504</v>
      </c>
      <c r="F129" s="17">
        <v>46660</v>
      </c>
      <c r="G129" s="62">
        <f>+F129-E129+1</f>
        <v>157</v>
      </c>
      <c r="H129" s="56"/>
      <c r="I129" s="66" t="s">
        <v>27</v>
      </c>
      <c r="J129" s="66" t="s">
        <v>27</v>
      </c>
      <c r="K129" s="66" t="s">
        <v>27</v>
      </c>
      <c r="L129" s="66" t="s">
        <v>27</v>
      </c>
      <c r="M129" s="66" t="s">
        <v>28</v>
      </c>
      <c r="N129" s="44" t="s">
        <v>43</v>
      </c>
    </row>
    <row r="130" spans="1:14" s="6" customFormat="1" ht="61.2">
      <c r="A130" s="69"/>
      <c r="B130" s="70"/>
      <c r="C130" s="60" t="s">
        <v>194</v>
      </c>
      <c r="D130" s="61" t="s">
        <v>62</v>
      </c>
      <c r="E130" s="17">
        <v>46532</v>
      </c>
      <c r="F130" s="17">
        <v>46603</v>
      </c>
      <c r="G130" s="62">
        <f>+F130-E130+1</f>
        <v>72</v>
      </c>
      <c r="H130" s="56"/>
      <c r="I130" s="66" t="s">
        <v>27</v>
      </c>
      <c r="J130" s="66" t="s">
        <v>27</v>
      </c>
      <c r="K130" s="66" t="s">
        <v>27</v>
      </c>
      <c r="L130" s="66" t="s">
        <v>27</v>
      </c>
      <c r="M130" s="66" t="s">
        <v>28</v>
      </c>
      <c r="N130" s="44" t="s">
        <v>43</v>
      </c>
    </row>
    <row r="131" spans="1:14" s="6" customFormat="1" ht="132.6">
      <c r="A131" s="69"/>
      <c r="B131" s="70"/>
      <c r="C131" s="60" t="s">
        <v>195</v>
      </c>
      <c r="D131" s="61" t="s">
        <v>196</v>
      </c>
      <c r="E131" s="17">
        <v>46559</v>
      </c>
      <c r="F131" s="17">
        <v>46645</v>
      </c>
      <c r="G131" s="62">
        <f>+F131-E131+1</f>
        <v>87</v>
      </c>
      <c r="H131" s="56"/>
      <c r="I131" s="66" t="s">
        <v>27</v>
      </c>
      <c r="J131" s="66" t="s">
        <v>27</v>
      </c>
      <c r="K131" s="66" t="s">
        <v>27</v>
      </c>
      <c r="L131" s="66" t="s">
        <v>27</v>
      </c>
      <c r="M131" s="66" t="s">
        <v>28</v>
      </c>
      <c r="N131" s="44" t="s">
        <v>43</v>
      </c>
    </row>
    <row r="132" spans="1:14" s="6" customFormat="1">
      <c r="A132" s="71"/>
      <c r="B132" s="72"/>
      <c r="C132" s="60" t="s">
        <v>153</v>
      </c>
      <c r="D132" s="61" t="s">
        <v>153</v>
      </c>
      <c r="E132" s="17">
        <v>46514</v>
      </c>
      <c r="F132" s="17">
        <v>46660</v>
      </c>
      <c r="G132" s="62">
        <f>+F132-E132+1</f>
        <v>147</v>
      </c>
      <c r="H132" s="56"/>
      <c r="I132" s="66" t="s">
        <v>20</v>
      </c>
      <c r="J132" s="66" t="s">
        <v>27</v>
      </c>
      <c r="K132" s="66" t="s">
        <v>27</v>
      </c>
      <c r="L132" s="66" t="s">
        <v>27</v>
      </c>
      <c r="M132" s="88" t="s">
        <v>28</v>
      </c>
      <c r="N132" s="59" t="s">
        <v>139</v>
      </c>
    </row>
    <row r="133" spans="1:14" s="1" customFormat="1">
      <c r="A133" s="43" t="s">
        <v>197</v>
      </c>
      <c r="B133" s="31" t="s">
        <v>75</v>
      </c>
      <c r="C133" s="51"/>
      <c r="D133" s="35"/>
      <c r="E133" s="33"/>
      <c r="F133" s="33"/>
      <c r="G133" s="33"/>
      <c r="H133" s="52"/>
      <c r="I133" s="34"/>
      <c r="J133" s="34"/>
      <c r="K133" s="34"/>
      <c r="L133" s="34"/>
      <c r="M133" s="65"/>
      <c r="N133" s="34"/>
    </row>
    <row r="134" spans="1:14" s="1" customFormat="1" ht="20.399999999999999">
      <c r="A134" s="41">
        <v>5</v>
      </c>
      <c r="B134" s="21" t="s">
        <v>198</v>
      </c>
      <c r="C134" s="21"/>
      <c r="D134" s="22"/>
      <c r="E134" s="23">
        <f>SMALL(E136:E155,1)</f>
        <v>46660</v>
      </c>
      <c r="F134" s="46">
        <f>LARGE(F136:F155,1)</f>
        <v>46827</v>
      </c>
      <c r="G134" s="24">
        <f>+F134-E134+1</f>
        <v>168</v>
      </c>
      <c r="H134" s="47"/>
      <c r="I134" s="25"/>
      <c r="J134" s="25"/>
      <c r="K134" s="25"/>
      <c r="L134" s="25"/>
      <c r="M134" s="25"/>
      <c r="N134" s="40"/>
    </row>
    <row r="135" spans="1:14" s="1" customFormat="1">
      <c r="A135" s="42" t="s">
        <v>199</v>
      </c>
      <c r="B135" s="26" t="s">
        <v>200</v>
      </c>
      <c r="C135" s="26"/>
      <c r="D135" s="27"/>
      <c r="E135" s="28"/>
      <c r="F135" s="48"/>
      <c r="G135" s="29"/>
      <c r="H135" s="49"/>
      <c r="I135" s="30"/>
      <c r="J135" s="30"/>
      <c r="K135" s="30"/>
      <c r="L135" s="30"/>
      <c r="M135" s="30"/>
      <c r="N135" s="38"/>
    </row>
    <row r="136" spans="1:14" s="1" customFormat="1" ht="40.799999999999997">
      <c r="A136" s="73" t="s">
        <v>201</v>
      </c>
      <c r="B136" s="68"/>
      <c r="C136" s="53" t="s">
        <v>202</v>
      </c>
      <c r="D136" s="61" t="s">
        <v>110</v>
      </c>
      <c r="E136" s="17">
        <v>46660</v>
      </c>
      <c r="F136" s="17">
        <v>46708</v>
      </c>
      <c r="G136" s="62">
        <f t="shared" ref="G136:G144" si="5">+F136-E136+1</f>
        <v>49</v>
      </c>
      <c r="H136" s="63"/>
      <c r="I136" s="66" t="s">
        <v>27</v>
      </c>
      <c r="J136" s="66" t="s">
        <v>27</v>
      </c>
      <c r="K136" s="66" t="s">
        <v>27</v>
      </c>
      <c r="L136" s="66" t="s">
        <v>27</v>
      </c>
      <c r="M136" s="66" t="s">
        <v>28</v>
      </c>
      <c r="N136" s="44" t="s">
        <v>43</v>
      </c>
    </row>
    <row r="137" spans="1:14" s="1" customFormat="1" ht="20.399999999999999">
      <c r="A137" s="69"/>
      <c r="B137" s="70"/>
      <c r="C137" s="60" t="s">
        <v>203</v>
      </c>
      <c r="D137" s="61" t="s">
        <v>204</v>
      </c>
      <c r="E137" s="17">
        <v>46660</v>
      </c>
      <c r="F137" s="17">
        <v>46722</v>
      </c>
      <c r="G137" s="62">
        <f t="shared" si="5"/>
        <v>63</v>
      </c>
      <c r="H137" s="63"/>
      <c r="I137" s="66" t="s">
        <v>27</v>
      </c>
      <c r="J137" s="66" t="s">
        <v>27</v>
      </c>
      <c r="K137" s="66" t="s">
        <v>27</v>
      </c>
      <c r="L137" s="66" t="s">
        <v>27</v>
      </c>
      <c r="M137" s="66" t="s">
        <v>28</v>
      </c>
      <c r="N137" s="44" t="s">
        <v>43</v>
      </c>
    </row>
    <row r="138" spans="1:14" s="1" customFormat="1">
      <c r="A138" s="69"/>
      <c r="B138" s="70"/>
      <c r="C138" s="60" t="s">
        <v>205</v>
      </c>
      <c r="D138" s="61" t="s">
        <v>206</v>
      </c>
      <c r="E138" s="17">
        <v>46688</v>
      </c>
      <c r="F138" s="17">
        <v>46798</v>
      </c>
      <c r="G138" s="62">
        <f t="shared" si="5"/>
        <v>111</v>
      </c>
      <c r="H138" s="63"/>
      <c r="I138" s="66" t="s">
        <v>27</v>
      </c>
      <c r="J138" s="66" t="s">
        <v>27</v>
      </c>
      <c r="K138" s="66" t="s">
        <v>27</v>
      </c>
      <c r="L138" s="66" t="s">
        <v>27</v>
      </c>
      <c r="M138" s="66" t="s">
        <v>28</v>
      </c>
      <c r="N138" s="44" t="s">
        <v>43</v>
      </c>
    </row>
    <row r="139" spans="1:14" s="1" customFormat="1">
      <c r="A139" s="69"/>
      <c r="B139" s="70"/>
      <c r="C139" s="60" t="s">
        <v>207</v>
      </c>
      <c r="D139" s="61" t="s">
        <v>42</v>
      </c>
      <c r="E139" s="17">
        <v>46660</v>
      </c>
      <c r="F139" s="17">
        <v>46694</v>
      </c>
      <c r="G139" s="62">
        <f t="shared" si="5"/>
        <v>35</v>
      </c>
      <c r="H139" s="63"/>
      <c r="I139" s="66" t="s">
        <v>27</v>
      </c>
      <c r="J139" s="66" t="s">
        <v>27</v>
      </c>
      <c r="K139" s="66" t="s">
        <v>27</v>
      </c>
      <c r="L139" s="66" t="s">
        <v>27</v>
      </c>
      <c r="M139" s="66" t="s">
        <v>28</v>
      </c>
      <c r="N139" s="44" t="s">
        <v>43</v>
      </c>
    </row>
    <row r="140" spans="1:14" s="1" customFormat="1" ht="20.399999999999999">
      <c r="A140" s="69"/>
      <c r="B140" s="70"/>
      <c r="C140" s="60" t="s">
        <v>208</v>
      </c>
      <c r="D140" s="61" t="s">
        <v>209</v>
      </c>
      <c r="E140" s="17">
        <v>46688</v>
      </c>
      <c r="F140" s="17">
        <v>46798</v>
      </c>
      <c r="G140" s="62">
        <f t="shared" si="5"/>
        <v>111</v>
      </c>
      <c r="H140" s="63"/>
      <c r="I140" s="66" t="s">
        <v>27</v>
      </c>
      <c r="J140" s="66" t="s">
        <v>27</v>
      </c>
      <c r="K140" s="66" t="s">
        <v>27</v>
      </c>
      <c r="L140" s="66" t="s">
        <v>27</v>
      </c>
      <c r="M140" s="66" t="s">
        <v>28</v>
      </c>
      <c r="N140" s="44" t="s">
        <v>43</v>
      </c>
    </row>
    <row r="141" spans="1:14" s="1" customFormat="1">
      <c r="A141" s="69"/>
      <c r="B141" s="70"/>
      <c r="C141" s="60" t="s">
        <v>210</v>
      </c>
      <c r="D141" s="61" t="s">
        <v>211</v>
      </c>
      <c r="E141" s="17">
        <v>46718</v>
      </c>
      <c r="F141" s="17">
        <v>46766</v>
      </c>
      <c r="G141" s="62">
        <f t="shared" si="5"/>
        <v>49</v>
      </c>
      <c r="H141" s="63"/>
      <c r="I141" s="66" t="s">
        <v>27</v>
      </c>
      <c r="J141" s="66" t="s">
        <v>27</v>
      </c>
      <c r="K141" s="66" t="s">
        <v>27</v>
      </c>
      <c r="L141" s="66" t="s">
        <v>27</v>
      </c>
      <c r="M141" s="66" t="s">
        <v>28</v>
      </c>
      <c r="N141" s="44" t="s">
        <v>43</v>
      </c>
    </row>
    <row r="142" spans="1:14" s="1" customFormat="1">
      <c r="A142" s="69"/>
      <c r="B142" s="70"/>
      <c r="C142" s="60" t="s">
        <v>212</v>
      </c>
      <c r="D142" s="61" t="s">
        <v>213</v>
      </c>
      <c r="E142" s="17">
        <v>46729</v>
      </c>
      <c r="F142" s="17">
        <v>46783</v>
      </c>
      <c r="G142" s="62">
        <f t="shared" si="5"/>
        <v>55</v>
      </c>
      <c r="H142" s="63"/>
      <c r="I142" s="66" t="s">
        <v>27</v>
      </c>
      <c r="J142" s="66" t="s">
        <v>27</v>
      </c>
      <c r="K142" s="66" t="s">
        <v>27</v>
      </c>
      <c r="L142" s="66" t="s">
        <v>27</v>
      </c>
      <c r="M142" s="66" t="s">
        <v>28</v>
      </c>
      <c r="N142" s="44" t="s">
        <v>43</v>
      </c>
    </row>
    <row r="143" spans="1:14" s="1" customFormat="1">
      <c r="A143" s="69"/>
      <c r="B143" s="70"/>
      <c r="C143" s="60" t="s">
        <v>214</v>
      </c>
      <c r="D143" s="61" t="s">
        <v>215</v>
      </c>
      <c r="E143" s="17">
        <v>46740</v>
      </c>
      <c r="F143" s="17">
        <v>46798</v>
      </c>
      <c r="G143" s="62">
        <f t="shared" si="5"/>
        <v>59</v>
      </c>
      <c r="H143" s="63"/>
      <c r="I143" s="66" t="s">
        <v>27</v>
      </c>
      <c r="J143" s="66" t="s">
        <v>27</v>
      </c>
      <c r="K143" s="66" t="s">
        <v>27</v>
      </c>
      <c r="L143" s="66" t="s">
        <v>27</v>
      </c>
      <c r="M143" s="66" t="s">
        <v>28</v>
      </c>
      <c r="N143" s="44" t="s">
        <v>43</v>
      </c>
    </row>
    <row r="144" spans="1:14" s="1" customFormat="1">
      <c r="A144" s="71"/>
      <c r="B144" s="72"/>
      <c r="C144" s="60" t="s">
        <v>216</v>
      </c>
      <c r="D144" s="61" t="s">
        <v>217</v>
      </c>
      <c r="E144" s="17">
        <v>46752</v>
      </c>
      <c r="F144" s="17">
        <v>46798</v>
      </c>
      <c r="G144" s="62">
        <f t="shared" si="5"/>
        <v>47</v>
      </c>
      <c r="H144" s="63"/>
      <c r="I144" s="66" t="s">
        <v>27</v>
      </c>
      <c r="J144" s="66" t="s">
        <v>27</v>
      </c>
      <c r="K144" s="66" t="s">
        <v>27</v>
      </c>
      <c r="L144" s="66" t="s">
        <v>27</v>
      </c>
      <c r="M144" s="66" t="s">
        <v>28</v>
      </c>
      <c r="N144" s="44" t="s">
        <v>43</v>
      </c>
    </row>
    <row r="145" spans="1:14" s="1" customFormat="1">
      <c r="A145" s="42" t="s">
        <v>218</v>
      </c>
      <c r="B145" s="26" t="s">
        <v>219</v>
      </c>
      <c r="C145" s="26"/>
      <c r="D145" s="27"/>
      <c r="E145" s="28"/>
      <c r="F145" s="48"/>
      <c r="G145" s="29"/>
      <c r="H145" s="49"/>
      <c r="I145" s="30"/>
      <c r="J145" s="30"/>
      <c r="K145" s="30"/>
      <c r="L145" s="30"/>
      <c r="M145" s="30"/>
      <c r="N145" s="38"/>
    </row>
    <row r="146" spans="1:14" s="1" customFormat="1">
      <c r="A146" s="75" t="s">
        <v>220</v>
      </c>
      <c r="B146" s="68"/>
      <c r="C146" s="53" t="s">
        <v>221</v>
      </c>
      <c r="D146" s="61" t="s">
        <v>42</v>
      </c>
      <c r="E146" s="17">
        <v>46660</v>
      </c>
      <c r="F146" s="17">
        <v>46694</v>
      </c>
      <c r="G146" s="62">
        <f>+F146-E146+1</f>
        <v>35</v>
      </c>
      <c r="H146" s="63"/>
      <c r="I146" s="66" t="s">
        <v>27</v>
      </c>
      <c r="J146" s="66" t="s">
        <v>27</v>
      </c>
      <c r="K146" s="66" t="s">
        <v>27</v>
      </c>
      <c r="L146" s="66" t="s">
        <v>27</v>
      </c>
      <c r="M146" s="66" t="s">
        <v>28</v>
      </c>
      <c r="N146" s="44" t="s">
        <v>43</v>
      </c>
    </row>
    <row r="147" spans="1:14" s="1" customFormat="1" ht="20.399999999999999">
      <c r="A147" s="69"/>
      <c r="B147" s="70"/>
      <c r="C147" s="60" t="s">
        <v>222</v>
      </c>
      <c r="D147" s="61" t="s">
        <v>223</v>
      </c>
      <c r="E147" s="17">
        <v>46688</v>
      </c>
      <c r="F147" s="17">
        <v>46798</v>
      </c>
      <c r="G147" s="62">
        <f>+F147-E147+1</f>
        <v>111</v>
      </c>
      <c r="H147" s="63"/>
      <c r="I147" s="66" t="s">
        <v>27</v>
      </c>
      <c r="J147" s="66" t="s">
        <v>27</v>
      </c>
      <c r="K147" s="66" t="s">
        <v>27</v>
      </c>
      <c r="L147" s="66" t="s">
        <v>27</v>
      </c>
      <c r="M147" s="66" t="s">
        <v>28</v>
      </c>
      <c r="N147" s="59" t="s">
        <v>43</v>
      </c>
    </row>
    <row r="148" spans="1:14" s="1" customFormat="1">
      <c r="A148" s="71"/>
      <c r="B148" s="72"/>
      <c r="C148" s="60" t="s">
        <v>153</v>
      </c>
      <c r="D148" s="61" t="s">
        <v>153</v>
      </c>
      <c r="E148" s="17">
        <v>46688</v>
      </c>
      <c r="F148" s="17">
        <v>46798</v>
      </c>
      <c r="G148" s="62">
        <f>+F148-E148+1</f>
        <v>111</v>
      </c>
      <c r="H148" s="63"/>
      <c r="I148" s="66" t="s">
        <v>20</v>
      </c>
      <c r="J148" s="66" t="s">
        <v>27</v>
      </c>
      <c r="K148" s="66" t="s">
        <v>27</v>
      </c>
      <c r="L148" s="66" t="s">
        <v>27</v>
      </c>
      <c r="M148" s="88" t="s">
        <v>28</v>
      </c>
      <c r="N148" s="59" t="s">
        <v>139</v>
      </c>
    </row>
    <row r="149" spans="1:14" s="1" customFormat="1">
      <c r="A149" s="42" t="s">
        <v>224</v>
      </c>
      <c r="B149" s="26" t="s">
        <v>225</v>
      </c>
      <c r="C149" s="26"/>
      <c r="D149" s="27"/>
      <c r="E149" s="28"/>
      <c r="F149" s="48"/>
      <c r="G149" s="29"/>
      <c r="H149" s="49"/>
      <c r="I149" s="30"/>
      <c r="J149" s="30"/>
      <c r="K149" s="30"/>
      <c r="L149" s="30"/>
      <c r="M149" s="30"/>
      <c r="N149" s="38"/>
    </row>
    <row r="150" spans="1:14" s="1" customFormat="1" ht="40.799999999999997">
      <c r="A150" s="73" t="s">
        <v>226</v>
      </c>
      <c r="B150" s="68"/>
      <c r="C150" s="53" t="s">
        <v>202</v>
      </c>
      <c r="D150" s="61" t="s">
        <v>110</v>
      </c>
      <c r="E150" s="17">
        <v>46798</v>
      </c>
      <c r="F150" s="17">
        <v>46808</v>
      </c>
      <c r="G150" s="62">
        <f>+F150-E150+1</f>
        <v>11</v>
      </c>
      <c r="H150" s="63"/>
      <c r="I150" s="66" t="s">
        <v>27</v>
      </c>
      <c r="J150" s="66" t="s">
        <v>27</v>
      </c>
      <c r="K150" s="66" t="s">
        <v>27</v>
      </c>
      <c r="L150" s="66" t="s">
        <v>27</v>
      </c>
      <c r="M150" s="66" t="s">
        <v>28</v>
      </c>
      <c r="N150" s="44" t="s">
        <v>43</v>
      </c>
    </row>
    <row r="151" spans="1:14" s="1" customFormat="1" ht="30.6">
      <c r="A151" s="69"/>
      <c r="B151" s="70"/>
      <c r="C151" s="60" t="s">
        <v>227</v>
      </c>
      <c r="D151" s="61" t="s">
        <v>204</v>
      </c>
      <c r="E151" s="17">
        <v>46798</v>
      </c>
      <c r="F151" s="17">
        <v>46811</v>
      </c>
      <c r="G151" s="62">
        <f>+F151-E151+1</f>
        <v>14</v>
      </c>
      <c r="H151" s="63"/>
      <c r="I151" s="66" t="s">
        <v>27</v>
      </c>
      <c r="J151" s="66" t="s">
        <v>27</v>
      </c>
      <c r="K151" s="66" t="s">
        <v>27</v>
      </c>
      <c r="L151" s="66" t="s">
        <v>27</v>
      </c>
      <c r="M151" s="66" t="s">
        <v>28</v>
      </c>
      <c r="N151" s="44" t="s">
        <v>43</v>
      </c>
    </row>
    <row r="152" spans="1:14" s="1" customFormat="1" ht="51">
      <c r="A152" s="71"/>
      <c r="B152" s="72"/>
      <c r="C152" s="60" t="s">
        <v>228</v>
      </c>
      <c r="D152" s="61" t="s">
        <v>229</v>
      </c>
      <c r="E152" s="17">
        <v>46804</v>
      </c>
      <c r="F152" s="17">
        <v>46827</v>
      </c>
      <c r="G152" s="62">
        <f>+F152-E152+1</f>
        <v>24</v>
      </c>
      <c r="H152" s="63"/>
      <c r="I152" s="66" t="s">
        <v>27</v>
      </c>
      <c r="J152" s="66" t="s">
        <v>27</v>
      </c>
      <c r="K152" s="66" t="s">
        <v>27</v>
      </c>
      <c r="L152" s="66" t="s">
        <v>27</v>
      </c>
      <c r="M152" s="66" t="s">
        <v>28</v>
      </c>
      <c r="N152" s="44" t="s">
        <v>43</v>
      </c>
    </row>
    <row r="153" spans="1:14" s="1" customFormat="1">
      <c r="A153" s="42" t="s">
        <v>230</v>
      </c>
      <c r="B153" s="26" t="s">
        <v>231</v>
      </c>
      <c r="C153" s="26"/>
      <c r="D153" s="27"/>
      <c r="E153" s="28"/>
      <c r="F153" s="48"/>
      <c r="G153" s="29"/>
      <c r="H153" s="49"/>
      <c r="I153" s="30"/>
      <c r="J153" s="30"/>
      <c r="K153" s="30"/>
      <c r="L153" s="30"/>
      <c r="M153" s="30"/>
      <c r="N153" s="38"/>
    </row>
    <row r="154" spans="1:14" s="1" customFormat="1" ht="51">
      <c r="A154" s="73" t="s">
        <v>232</v>
      </c>
      <c r="B154" s="76"/>
      <c r="C154" s="53" t="s">
        <v>233</v>
      </c>
      <c r="D154" s="61" t="s">
        <v>234</v>
      </c>
      <c r="E154" s="17">
        <v>46804</v>
      </c>
      <c r="F154" s="17">
        <v>46827</v>
      </c>
      <c r="G154" s="62">
        <f>+F154-E154+1</f>
        <v>24</v>
      </c>
      <c r="H154" s="63"/>
      <c r="I154" s="66" t="s">
        <v>27</v>
      </c>
      <c r="J154" s="66" t="s">
        <v>27</v>
      </c>
      <c r="K154" s="66" t="s">
        <v>27</v>
      </c>
      <c r="L154" s="66" t="s">
        <v>27</v>
      </c>
      <c r="M154" s="66" t="s">
        <v>28</v>
      </c>
      <c r="N154" s="44" t="s">
        <v>43</v>
      </c>
    </row>
    <row r="155" spans="1:14" s="1" customFormat="1">
      <c r="A155" s="43" t="s">
        <v>235</v>
      </c>
      <c r="B155" s="31" t="s">
        <v>75</v>
      </c>
      <c r="C155" s="51"/>
      <c r="D155" s="35"/>
      <c r="E155" s="33"/>
      <c r="F155" s="33"/>
      <c r="G155" s="33"/>
      <c r="H155" s="52"/>
      <c r="I155" s="34"/>
      <c r="J155" s="34"/>
      <c r="K155" s="34"/>
      <c r="L155" s="34"/>
      <c r="M155" s="65"/>
      <c r="N155" s="34"/>
    </row>
    <row r="156" spans="1:14" s="1" customFormat="1">
      <c r="A156" s="41">
        <v>6</v>
      </c>
      <c r="B156" s="21" t="s">
        <v>236</v>
      </c>
      <c r="C156" s="21"/>
      <c r="D156" s="22"/>
      <c r="E156" s="23">
        <f>SMALL(E158:E201,1)</f>
        <v>46660</v>
      </c>
      <c r="F156" s="46">
        <f>LARGE(F158:F201,1)</f>
        <v>47741</v>
      </c>
      <c r="G156" s="24">
        <f>+F156-E156+1</f>
        <v>1082</v>
      </c>
      <c r="H156" s="47"/>
      <c r="I156" s="25"/>
      <c r="J156" s="25"/>
      <c r="K156" s="25"/>
      <c r="L156" s="25"/>
      <c r="M156" s="25"/>
      <c r="N156" s="40"/>
    </row>
    <row r="157" spans="1:14" s="1" customFormat="1">
      <c r="A157" s="42" t="s">
        <v>237</v>
      </c>
      <c r="B157" s="26" t="s">
        <v>238</v>
      </c>
      <c r="C157" s="26"/>
      <c r="D157" s="27"/>
      <c r="E157" s="28"/>
      <c r="F157" s="48"/>
      <c r="G157" s="29"/>
      <c r="H157" s="49"/>
      <c r="I157" s="30"/>
      <c r="J157" s="30"/>
      <c r="K157" s="30"/>
      <c r="L157" s="30"/>
      <c r="M157" s="30"/>
      <c r="N157" s="38"/>
    </row>
    <row r="158" spans="1:14" s="1" customFormat="1" ht="40.799999999999997">
      <c r="A158" s="73" t="s">
        <v>239</v>
      </c>
      <c r="B158" s="68"/>
      <c r="C158" s="53" t="s">
        <v>38</v>
      </c>
      <c r="D158" s="20" t="s">
        <v>39</v>
      </c>
      <c r="E158" s="17">
        <v>46660</v>
      </c>
      <c r="F158" s="17">
        <v>46984</v>
      </c>
      <c r="G158" s="62">
        <f>+F158-E158+1</f>
        <v>325</v>
      </c>
      <c r="H158" s="63"/>
      <c r="I158" s="66" t="s">
        <v>27</v>
      </c>
      <c r="J158" s="66" t="s">
        <v>27</v>
      </c>
      <c r="K158" s="66" t="s">
        <v>27</v>
      </c>
      <c r="L158" s="66" t="s">
        <v>20</v>
      </c>
      <c r="M158" s="78" t="s">
        <v>28</v>
      </c>
      <c r="N158" s="59" t="s">
        <v>40</v>
      </c>
    </row>
    <row r="159" spans="1:14" s="1" customFormat="1" ht="61.2">
      <c r="A159" s="71"/>
      <c r="B159" s="72"/>
      <c r="C159" s="53" t="s">
        <v>41</v>
      </c>
      <c r="D159" s="61" t="s">
        <v>340</v>
      </c>
      <c r="E159" s="17">
        <v>46822</v>
      </c>
      <c r="F159" s="17">
        <v>47741</v>
      </c>
      <c r="G159" s="62">
        <f>+F159-E159+1</f>
        <v>920</v>
      </c>
      <c r="H159" s="63"/>
      <c r="I159" s="66" t="s">
        <v>27</v>
      </c>
      <c r="J159" s="66" t="s">
        <v>27</v>
      </c>
      <c r="K159" s="66" t="s">
        <v>27</v>
      </c>
      <c r="L159" s="66" t="s">
        <v>27</v>
      </c>
      <c r="M159" s="66" t="s">
        <v>28</v>
      </c>
      <c r="N159" s="44" t="s">
        <v>43</v>
      </c>
    </row>
    <row r="160" spans="1:14" s="1" customFormat="1" ht="20.399999999999999">
      <c r="A160" s="42" t="s">
        <v>240</v>
      </c>
      <c r="B160" s="26" t="s">
        <v>241</v>
      </c>
      <c r="C160" s="26"/>
      <c r="D160" s="27"/>
      <c r="E160" s="28"/>
      <c r="F160" s="48"/>
      <c r="G160" s="29"/>
      <c r="H160" s="49"/>
      <c r="I160" s="30"/>
      <c r="J160" s="30"/>
      <c r="K160" s="30"/>
      <c r="L160" s="30"/>
      <c r="M160" s="30"/>
      <c r="N160" s="38"/>
    </row>
    <row r="161" spans="1:14" s="1" customFormat="1" ht="40.799999999999997">
      <c r="A161" s="73" t="s">
        <v>242</v>
      </c>
      <c r="B161" s="68"/>
      <c r="C161" s="60" t="s">
        <v>38</v>
      </c>
      <c r="D161" s="20" t="s">
        <v>39</v>
      </c>
      <c r="E161" s="17">
        <v>47299</v>
      </c>
      <c r="F161" s="17">
        <v>47741</v>
      </c>
      <c r="G161" s="62">
        <f>+F161-E161+1</f>
        <v>443</v>
      </c>
      <c r="H161" s="63"/>
      <c r="I161" s="66" t="s">
        <v>27</v>
      </c>
      <c r="J161" s="66" t="s">
        <v>27</v>
      </c>
      <c r="K161" s="66" t="s">
        <v>27</v>
      </c>
      <c r="L161" s="66" t="s">
        <v>20</v>
      </c>
      <c r="M161" s="78" t="s">
        <v>28</v>
      </c>
      <c r="N161" s="59" t="s">
        <v>40</v>
      </c>
    </row>
    <row r="162" spans="1:14" s="1" customFormat="1" ht="61.2">
      <c r="A162" s="71"/>
      <c r="B162" s="72"/>
      <c r="C162" s="60" t="s">
        <v>243</v>
      </c>
      <c r="D162" s="20" t="s">
        <v>42</v>
      </c>
      <c r="E162" s="17"/>
      <c r="F162" s="17"/>
      <c r="G162" s="62"/>
      <c r="H162" s="63"/>
      <c r="I162" s="66" t="s">
        <v>27</v>
      </c>
      <c r="J162" s="66" t="s">
        <v>27</v>
      </c>
      <c r="K162" s="66" t="s">
        <v>27</v>
      </c>
      <c r="L162" s="66" t="s">
        <v>27</v>
      </c>
      <c r="M162" s="66" t="s">
        <v>28</v>
      </c>
      <c r="N162" s="44" t="s">
        <v>43</v>
      </c>
    </row>
    <row r="163" spans="1:14" s="1" customFormat="1">
      <c r="A163" s="42" t="s">
        <v>244</v>
      </c>
      <c r="B163" s="26" t="s">
        <v>245</v>
      </c>
      <c r="C163" s="26"/>
      <c r="D163" s="27"/>
      <c r="E163" s="28"/>
      <c r="F163" s="48"/>
      <c r="G163" s="29"/>
      <c r="H163" s="49"/>
      <c r="I163" s="30"/>
      <c r="J163" s="30"/>
      <c r="K163" s="30"/>
      <c r="L163" s="30"/>
      <c r="M163" s="30"/>
      <c r="N163" s="38"/>
    </row>
    <row r="164" spans="1:14" s="1" customFormat="1" ht="40.799999999999997">
      <c r="A164" s="73" t="s">
        <v>246</v>
      </c>
      <c r="B164" s="68"/>
      <c r="C164" s="60" t="s">
        <v>38</v>
      </c>
      <c r="D164" s="20" t="s">
        <v>39</v>
      </c>
      <c r="E164" s="17">
        <v>46660</v>
      </c>
      <c r="F164" s="17">
        <v>46710</v>
      </c>
      <c r="G164" s="62">
        <f>+F164-E164+1</f>
        <v>51</v>
      </c>
      <c r="H164" s="63"/>
      <c r="I164" s="66" t="s">
        <v>27</v>
      </c>
      <c r="J164" s="66" t="s">
        <v>27</v>
      </c>
      <c r="K164" s="66" t="s">
        <v>27</v>
      </c>
      <c r="L164" s="66" t="s">
        <v>20</v>
      </c>
      <c r="M164" s="78" t="s">
        <v>28</v>
      </c>
      <c r="N164" s="59" t="s">
        <v>40</v>
      </c>
    </row>
    <row r="165" spans="1:14" s="1" customFormat="1" ht="61.2">
      <c r="A165" s="71"/>
      <c r="B165" s="72"/>
      <c r="C165" s="60" t="s">
        <v>41</v>
      </c>
      <c r="D165" s="61" t="s">
        <v>340</v>
      </c>
      <c r="E165" s="17">
        <v>46685</v>
      </c>
      <c r="F165" s="17">
        <v>46827</v>
      </c>
      <c r="G165" s="62">
        <f>+F165-E165+1</f>
        <v>143</v>
      </c>
      <c r="H165" s="63"/>
      <c r="I165" s="66" t="s">
        <v>27</v>
      </c>
      <c r="J165" s="66" t="s">
        <v>27</v>
      </c>
      <c r="K165" s="66" t="s">
        <v>27</v>
      </c>
      <c r="L165" s="66" t="s">
        <v>27</v>
      </c>
      <c r="M165" s="66" t="s">
        <v>28</v>
      </c>
      <c r="N165" s="44" t="s">
        <v>43</v>
      </c>
    </row>
    <row r="166" spans="1:14" s="1" customFormat="1">
      <c r="A166" s="42" t="s">
        <v>247</v>
      </c>
      <c r="B166" s="26" t="s">
        <v>248</v>
      </c>
      <c r="C166" s="26"/>
      <c r="D166" s="27"/>
      <c r="E166" s="28"/>
      <c r="F166" s="48"/>
      <c r="G166" s="29"/>
      <c r="H166" s="49"/>
      <c r="I166" s="30"/>
      <c r="J166" s="30"/>
      <c r="K166" s="30"/>
      <c r="L166" s="30"/>
      <c r="M166" s="30"/>
      <c r="N166" s="38"/>
    </row>
    <row r="167" spans="1:14" s="1" customFormat="1" ht="40.799999999999997">
      <c r="A167" s="73" t="s">
        <v>249</v>
      </c>
      <c r="B167" s="68"/>
      <c r="C167" s="60" t="s">
        <v>38</v>
      </c>
      <c r="D167" s="20" t="s">
        <v>39</v>
      </c>
      <c r="E167" s="17">
        <v>46827</v>
      </c>
      <c r="F167" s="17">
        <v>47101</v>
      </c>
      <c r="G167" s="62">
        <f t="shared" ref="G167:G187" si="6">+F167-E167+1</f>
        <v>275</v>
      </c>
      <c r="H167" s="63"/>
      <c r="I167" s="66" t="s">
        <v>27</v>
      </c>
      <c r="J167" s="66" t="s">
        <v>27</v>
      </c>
      <c r="K167" s="66" t="s">
        <v>27</v>
      </c>
      <c r="L167" s="66" t="s">
        <v>20</v>
      </c>
      <c r="M167" s="78" t="s">
        <v>28</v>
      </c>
      <c r="N167" s="59" t="s">
        <v>40</v>
      </c>
    </row>
    <row r="168" spans="1:14" s="1" customFormat="1" ht="30.6">
      <c r="A168" s="69"/>
      <c r="B168" s="70"/>
      <c r="C168" s="60" t="s">
        <v>250</v>
      </c>
      <c r="D168" s="61" t="s">
        <v>340</v>
      </c>
      <c r="E168" s="17">
        <v>46964</v>
      </c>
      <c r="F168" s="17">
        <v>47741</v>
      </c>
      <c r="G168" s="62">
        <f t="shared" si="6"/>
        <v>778</v>
      </c>
      <c r="H168" s="63"/>
      <c r="I168" s="66" t="s">
        <v>27</v>
      </c>
      <c r="J168" s="66" t="s">
        <v>27</v>
      </c>
      <c r="K168" s="66" t="s">
        <v>27</v>
      </c>
      <c r="L168" s="66" t="s">
        <v>27</v>
      </c>
      <c r="M168" s="66" t="s">
        <v>28</v>
      </c>
      <c r="N168" s="44" t="s">
        <v>43</v>
      </c>
    </row>
    <row r="169" spans="1:14" s="1" customFormat="1" ht="20.399999999999999">
      <c r="A169" s="69"/>
      <c r="B169" s="70"/>
      <c r="C169" s="60" t="s">
        <v>251</v>
      </c>
      <c r="D169" s="61" t="s">
        <v>252</v>
      </c>
      <c r="E169" s="17">
        <v>46892</v>
      </c>
      <c r="F169" s="17">
        <v>46977</v>
      </c>
      <c r="G169" s="62">
        <f t="shared" si="6"/>
        <v>86</v>
      </c>
      <c r="H169" s="63"/>
      <c r="I169" s="66" t="s">
        <v>27</v>
      </c>
      <c r="J169" s="66" t="s">
        <v>27</v>
      </c>
      <c r="K169" s="66" t="s">
        <v>27</v>
      </c>
      <c r="L169" s="66" t="s">
        <v>27</v>
      </c>
      <c r="M169" s="66" t="s">
        <v>28</v>
      </c>
      <c r="N169" s="44" t="s">
        <v>43</v>
      </c>
    </row>
    <row r="170" spans="1:14" s="1" customFormat="1" ht="20.399999999999999">
      <c r="A170" s="69"/>
      <c r="B170" s="70"/>
      <c r="C170" s="60" t="s">
        <v>253</v>
      </c>
      <c r="D170" s="61" t="s">
        <v>254</v>
      </c>
      <c r="E170" s="17">
        <v>46827</v>
      </c>
      <c r="F170" s="17">
        <v>47375</v>
      </c>
      <c r="G170" s="62">
        <f t="shared" si="6"/>
        <v>549</v>
      </c>
      <c r="H170" s="63"/>
      <c r="I170" s="66" t="s">
        <v>27</v>
      </c>
      <c r="J170" s="66" t="s">
        <v>27</v>
      </c>
      <c r="K170" s="66" t="s">
        <v>27</v>
      </c>
      <c r="L170" s="66" t="s">
        <v>27</v>
      </c>
      <c r="M170" s="66" t="s">
        <v>28</v>
      </c>
      <c r="N170" s="44" t="s">
        <v>43</v>
      </c>
    </row>
    <row r="171" spans="1:14" s="1" customFormat="1" ht="30.6">
      <c r="A171" s="69"/>
      <c r="B171" s="70"/>
      <c r="C171" s="60" t="s">
        <v>255</v>
      </c>
      <c r="D171" s="61" t="s">
        <v>238</v>
      </c>
      <c r="E171" s="17">
        <v>46958</v>
      </c>
      <c r="F171" s="17">
        <v>47077</v>
      </c>
      <c r="G171" s="62">
        <f t="shared" si="6"/>
        <v>120</v>
      </c>
      <c r="H171" s="63"/>
      <c r="I171" s="66" t="s">
        <v>27</v>
      </c>
      <c r="J171" s="66" t="s">
        <v>27</v>
      </c>
      <c r="K171" s="66" t="s">
        <v>27</v>
      </c>
      <c r="L171" s="66" t="s">
        <v>27</v>
      </c>
      <c r="M171" s="66" t="s">
        <v>28</v>
      </c>
      <c r="N171" s="44" t="s">
        <v>43</v>
      </c>
    </row>
    <row r="172" spans="1:14" s="1" customFormat="1">
      <c r="A172" s="69"/>
      <c r="B172" s="70"/>
      <c r="C172" s="60" t="s">
        <v>256</v>
      </c>
      <c r="D172" s="61" t="s">
        <v>256</v>
      </c>
      <c r="E172" s="17">
        <v>46990</v>
      </c>
      <c r="F172" s="17">
        <v>47127</v>
      </c>
      <c r="G172" s="62">
        <f t="shared" si="6"/>
        <v>138</v>
      </c>
      <c r="H172" s="63"/>
      <c r="I172" s="66" t="s">
        <v>20</v>
      </c>
      <c r="J172" s="66" t="s">
        <v>27</v>
      </c>
      <c r="K172" s="66" t="s">
        <v>27</v>
      </c>
      <c r="L172" s="66" t="s">
        <v>27</v>
      </c>
      <c r="M172" s="66" t="s">
        <v>28</v>
      </c>
      <c r="N172" s="44" t="s">
        <v>139</v>
      </c>
    </row>
    <row r="173" spans="1:14" s="1" customFormat="1" ht="40.799999999999997">
      <c r="A173" s="69"/>
      <c r="B173" s="70"/>
      <c r="C173" s="60" t="s">
        <v>257</v>
      </c>
      <c r="D173" s="61" t="s">
        <v>258</v>
      </c>
      <c r="E173" s="17">
        <v>47023</v>
      </c>
      <c r="F173" s="17">
        <v>47177</v>
      </c>
      <c r="G173" s="62">
        <f t="shared" si="6"/>
        <v>155</v>
      </c>
      <c r="H173" s="63"/>
      <c r="I173" s="66" t="s">
        <v>27</v>
      </c>
      <c r="J173" s="66" t="s">
        <v>27</v>
      </c>
      <c r="K173" s="66" t="s">
        <v>27</v>
      </c>
      <c r="L173" s="66" t="s">
        <v>27</v>
      </c>
      <c r="M173" s="66" t="s">
        <v>28</v>
      </c>
      <c r="N173" s="44" t="s">
        <v>43</v>
      </c>
    </row>
    <row r="174" spans="1:14" s="1" customFormat="1">
      <c r="A174" s="69"/>
      <c r="B174" s="70"/>
      <c r="C174" s="60" t="s">
        <v>259</v>
      </c>
      <c r="D174" s="61" t="s">
        <v>260</v>
      </c>
      <c r="E174" s="17">
        <v>47055</v>
      </c>
      <c r="F174" s="17">
        <v>47227</v>
      </c>
      <c r="G174" s="62">
        <f t="shared" si="6"/>
        <v>173</v>
      </c>
      <c r="H174" s="63"/>
      <c r="I174" s="66" t="s">
        <v>27</v>
      </c>
      <c r="J174" s="66" t="s">
        <v>27</v>
      </c>
      <c r="K174" s="66" t="s">
        <v>27</v>
      </c>
      <c r="L174" s="66" t="s">
        <v>27</v>
      </c>
      <c r="M174" s="66" t="s">
        <v>28</v>
      </c>
      <c r="N174" s="44" t="s">
        <v>43</v>
      </c>
    </row>
    <row r="175" spans="1:14" s="1" customFormat="1" ht="20.399999999999999">
      <c r="A175" s="69"/>
      <c r="B175" s="70"/>
      <c r="C175" s="60" t="s">
        <v>261</v>
      </c>
      <c r="D175" s="61" t="s">
        <v>262</v>
      </c>
      <c r="E175" s="17">
        <v>47088</v>
      </c>
      <c r="F175" s="17">
        <v>47277</v>
      </c>
      <c r="G175" s="62">
        <f t="shared" si="6"/>
        <v>190</v>
      </c>
      <c r="H175" s="63"/>
      <c r="I175" s="66" t="s">
        <v>27</v>
      </c>
      <c r="J175" s="66" t="s">
        <v>27</v>
      </c>
      <c r="K175" s="66" t="s">
        <v>27</v>
      </c>
      <c r="L175" s="66" t="s">
        <v>27</v>
      </c>
      <c r="M175" s="66" t="s">
        <v>28</v>
      </c>
      <c r="N175" s="44" t="s">
        <v>43</v>
      </c>
    </row>
    <row r="176" spans="1:14" s="1" customFormat="1" ht="20.399999999999999">
      <c r="A176" s="69"/>
      <c r="B176" s="70"/>
      <c r="C176" s="60" t="s">
        <v>263</v>
      </c>
      <c r="D176" s="61" t="s">
        <v>264</v>
      </c>
      <c r="E176" s="17">
        <v>47121</v>
      </c>
      <c r="F176" s="17">
        <v>47328</v>
      </c>
      <c r="G176" s="62">
        <f t="shared" si="6"/>
        <v>208</v>
      </c>
      <c r="H176" s="63"/>
      <c r="I176" s="66" t="s">
        <v>27</v>
      </c>
      <c r="J176" s="66" t="s">
        <v>27</v>
      </c>
      <c r="K176" s="66" t="s">
        <v>27</v>
      </c>
      <c r="L176" s="66" t="s">
        <v>27</v>
      </c>
      <c r="M176" s="66" t="s">
        <v>28</v>
      </c>
      <c r="N176" s="44" t="s">
        <v>43</v>
      </c>
    </row>
    <row r="177" spans="1:14" s="1" customFormat="1" ht="20.399999999999999">
      <c r="A177" s="69"/>
      <c r="B177" s="70"/>
      <c r="C177" s="60" t="s">
        <v>265</v>
      </c>
      <c r="D177" s="61" t="s">
        <v>266</v>
      </c>
      <c r="E177" s="17">
        <v>47153</v>
      </c>
      <c r="F177" s="17">
        <v>47378</v>
      </c>
      <c r="G177" s="62">
        <f t="shared" si="6"/>
        <v>226</v>
      </c>
      <c r="H177" s="63"/>
      <c r="I177" s="66" t="s">
        <v>27</v>
      </c>
      <c r="J177" s="66" t="s">
        <v>27</v>
      </c>
      <c r="K177" s="66" t="s">
        <v>27</v>
      </c>
      <c r="L177" s="66" t="s">
        <v>27</v>
      </c>
      <c r="M177" s="66" t="s">
        <v>28</v>
      </c>
      <c r="N177" s="44" t="s">
        <v>43</v>
      </c>
    </row>
    <row r="178" spans="1:14" s="1" customFormat="1" ht="20.399999999999999">
      <c r="A178" s="69"/>
      <c r="B178" s="70"/>
      <c r="C178" s="60" t="s">
        <v>267</v>
      </c>
      <c r="D178" s="61" t="s">
        <v>268</v>
      </c>
      <c r="E178" s="17">
        <v>47186</v>
      </c>
      <c r="F178" s="17">
        <v>47428</v>
      </c>
      <c r="G178" s="62">
        <f t="shared" si="6"/>
        <v>243</v>
      </c>
      <c r="H178" s="63"/>
      <c r="I178" s="66" t="s">
        <v>27</v>
      </c>
      <c r="J178" s="66" t="s">
        <v>27</v>
      </c>
      <c r="K178" s="66" t="s">
        <v>27</v>
      </c>
      <c r="L178" s="66" t="s">
        <v>27</v>
      </c>
      <c r="M178" s="66" t="s">
        <v>28</v>
      </c>
      <c r="N178" s="44" t="s">
        <v>43</v>
      </c>
    </row>
    <row r="179" spans="1:14" s="1" customFormat="1" ht="20.399999999999999">
      <c r="A179" s="69"/>
      <c r="B179" s="70"/>
      <c r="C179" s="60" t="s">
        <v>269</v>
      </c>
      <c r="D179" s="61" t="s">
        <v>270</v>
      </c>
      <c r="E179" s="17">
        <v>47219</v>
      </c>
      <c r="F179" s="17">
        <v>47478</v>
      </c>
      <c r="G179" s="62">
        <f t="shared" si="6"/>
        <v>260</v>
      </c>
      <c r="H179" s="63"/>
      <c r="I179" s="66" t="s">
        <v>27</v>
      </c>
      <c r="J179" s="66" t="s">
        <v>27</v>
      </c>
      <c r="K179" s="66" t="s">
        <v>27</v>
      </c>
      <c r="L179" s="66" t="s">
        <v>27</v>
      </c>
      <c r="M179" s="66" t="s">
        <v>28</v>
      </c>
      <c r="N179" s="59" t="s">
        <v>43</v>
      </c>
    </row>
    <row r="180" spans="1:14" s="1" customFormat="1" ht="51">
      <c r="A180" s="69"/>
      <c r="B180" s="70"/>
      <c r="C180" s="60" t="s">
        <v>271</v>
      </c>
      <c r="D180" s="61" t="s">
        <v>272</v>
      </c>
      <c r="E180" s="17">
        <v>47251</v>
      </c>
      <c r="F180" s="17">
        <v>47528</v>
      </c>
      <c r="G180" s="62">
        <f t="shared" si="6"/>
        <v>278</v>
      </c>
      <c r="H180" s="63"/>
      <c r="I180" s="66" t="s">
        <v>27</v>
      </c>
      <c r="J180" s="66" t="s">
        <v>27</v>
      </c>
      <c r="K180" s="66" t="s">
        <v>27</v>
      </c>
      <c r="L180" s="66" t="s">
        <v>27</v>
      </c>
      <c r="M180" s="66" t="s">
        <v>28</v>
      </c>
      <c r="N180" s="44" t="s">
        <v>43</v>
      </c>
    </row>
    <row r="181" spans="1:14" s="1" customFormat="1" ht="20.399999999999999">
      <c r="A181" s="69"/>
      <c r="B181" s="70"/>
      <c r="C181" s="60" t="s">
        <v>273</v>
      </c>
      <c r="D181" s="61" t="s">
        <v>274</v>
      </c>
      <c r="E181" s="17">
        <v>47284</v>
      </c>
      <c r="F181" s="17">
        <v>47578</v>
      </c>
      <c r="G181" s="62">
        <f t="shared" si="6"/>
        <v>295</v>
      </c>
      <c r="H181" s="63"/>
      <c r="I181" s="66" t="s">
        <v>27</v>
      </c>
      <c r="J181" s="66" t="s">
        <v>27</v>
      </c>
      <c r="K181" s="66" t="s">
        <v>27</v>
      </c>
      <c r="L181" s="66" t="s">
        <v>27</v>
      </c>
      <c r="M181" s="66" t="s">
        <v>28</v>
      </c>
      <c r="N181" s="44" t="s">
        <v>43</v>
      </c>
    </row>
    <row r="182" spans="1:14" s="1" customFormat="1" ht="20.399999999999999">
      <c r="A182" s="69"/>
      <c r="B182" s="70"/>
      <c r="C182" s="60" t="s">
        <v>275</v>
      </c>
      <c r="D182" s="61" t="s">
        <v>276</v>
      </c>
      <c r="E182" s="17">
        <v>47317</v>
      </c>
      <c r="F182" s="17">
        <v>47628</v>
      </c>
      <c r="G182" s="62">
        <f t="shared" si="6"/>
        <v>312</v>
      </c>
      <c r="H182" s="63"/>
      <c r="I182" s="66" t="s">
        <v>27</v>
      </c>
      <c r="J182" s="66" t="s">
        <v>27</v>
      </c>
      <c r="K182" s="66" t="s">
        <v>27</v>
      </c>
      <c r="L182" s="66" t="s">
        <v>27</v>
      </c>
      <c r="M182" s="66" t="s">
        <v>28</v>
      </c>
      <c r="N182" s="44" t="s">
        <v>43</v>
      </c>
    </row>
    <row r="183" spans="1:14" s="1" customFormat="1" ht="20.399999999999999">
      <c r="A183" s="69"/>
      <c r="B183" s="70"/>
      <c r="C183" s="60" t="s">
        <v>277</v>
      </c>
      <c r="D183" s="61" t="s">
        <v>278</v>
      </c>
      <c r="E183" s="17">
        <v>47010</v>
      </c>
      <c r="F183" s="17">
        <v>47741</v>
      </c>
      <c r="G183" s="62">
        <f t="shared" si="6"/>
        <v>732</v>
      </c>
      <c r="H183" s="63"/>
      <c r="I183" s="66" t="s">
        <v>20</v>
      </c>
      <c r="J183" s="66" t="s">
        <v>27</v>
      </c>
      <c r="K183" s="66" t="s">
        <v>27</v>
      </c>
      <c r="L183" s="66" t="s">
        <v>27</v>
      </c>
      <c r="M183" s="66" t="s">
        <v>28</v>
      </c>
      <c r="N183" s="59" t="s">
        <v>139</v>
      </c>
    </row>
    <row r="184" spans="1:14" s="1" customFormat="1" ht="20.399999999999999">
      <c r="A184" s="69"/>
      <c r="B184" s="70"/>
      <c r="C184" s="60" t="s">
        <v>279</v>
      </c>
      <c r="D184" s="61" t="s">
        <v>280</v>
      </c>
      <c r="E184" s="17">
        <v>47382</v>
      </c>
      <c r="F184" s="17">
        <v>47728</v>
      </c>
      <c r="G184" s="62">
        <f t="shared" si="6"/>
        <v>347</v>
      </c>
      <c r="H184" s="63"/>
      <c r="I184" s="66" t="s">
        <v>27</v>
      </c>
      <c r="J184" s="66" t="s">
        <v>27</v>
      </c>
      <c r="K184" s="66" t="s">
        <v>27</v>
      </c>
      <c r="L184" s="66" t="s">
        <v>27</v>
      </c>
      <c r="M184" s="66" t="s">
        <v>28</v>
      </c>
      <c r="N184" s="44" t="s">
        <v>43</v>
      </c>
    </row>
    <row r="185" spans="1:14" s="1" customFormat="1" ht="30.6">
      <c r="A185" s="69"/>
      <c r="B185" s="70"/>
      <c r="C185" s="60" t="s">
        <v>281</v>
      </c>
      <c r="D185" s="61" t="s">
        <v>282</v>
      </c>
      <c r="E185" s="17">
        <v>47010</v>
      </c>
      <c r="F185" s="17">
        <v>47741</v>
      </c>
      <c r="G185" s="62">
        <f t="shared" si="6"/>
        <v>732</v>
      </c>
      <c r="H185" s="63"/>
      <c r="I185" s="66" t="s">
        <v>27</v>
      </c>
      <c r="J185" s="66" t="s">
        <v>27</v>
      </c>
      <c r="K185" s="66" t="s">
        <v>27</v>
      </c>
      <c r="L185" s="66" t="s">
        <v>27</v>
      </c>
      <c r="M185" s="66" t="s">
        <v>28</v>
      </c>
      <c r="N185" s="44" t="s">
        <v>43</v>
      </c>
    </row>
    <row r="186" spans="1:14" s="1" customFormat="1" ht="20.399999999999999">
      <c r="A186" s="69"/>
      <c r="B186" s="70"/>
      <c r="C186" s="60" t="s">
        <v>283</v>
      </c>
      <c r="D186" s="61" t="s">
        <v>284</v>
      </c>
      <c r="E186" s="17">
        <v>47010</v>
      </c>
      <c r="F186" s="17">
        <v>47741</v>
      </c>
      <c r="G186" s="62">
        <f t="shared" si="6"/>
        <v>732</v>
      </c>
      <c r="H186" s="63"/>
      <c r="I186" s="66" t="s">
        <v>20</v>
      </c>
      <c r="J186" s="66" t="s">
        <v>27</v>
      </c>
      <c r="K186" s="66" t="s">
        <v>27</v>
      </c>
      <c r="L186" s="66" t="s">
        <v>27</v>
      </c>
      <c r="M186" s="66" t="s">
        <v>28</v>
      </c>
      <c r="N186" s="44" t="s">
        <v>139</v>
      </c>
    </row>
    <row r="187" spans="1:14" s="1" customFormat="1" ht="51">
      <c r="A187" s="71"/>
      <c r="B187" s="72"/>
      <c r="C187" s="60" t="s">
        <v>285</v>
      </c>
      <c r="D187" s="61" t="s">
        <v>286</v>
      </c>
      <c r="E187" s="17">
        <v>47480</v>
      </c>
      <c r="F187" s="17">
        <v>47741</v>
      </c>
      <c r="G187" s="62">
        <f t="shared" si="6"/>
        <v>262</v>
      </c>
      <c r="H187" s="63"/>
      <c r="I187" s="66" t="s">
        <v>20</v>
      </c>
      <c r="J187" s="66" t="s">
        <v>27</v>
      </c>
      <c r="K187" s="66" t="s">
        <v>27</v>
      </c>
      <c r="L187" s="66" t="s">
        <v>27</v>
      </c>
      <c r="M187" s="66" t="s">
        <v>28</v>
      </c>
      <c r="N187" s="44" t="s">
        <v>139</v>
      </c>
    </row>
    <row r="188" spans="1:14" s="1" customFormat="1">
      <c r="A188" s="42" t="s">
        <v>287</v>
      </c>
      <c r="B188" s="26" t="s">
        <v>288</v>
      </c>
      <c r="C188" s="26"/>
      <c r="D188" s="27"/>
      <c r="E188" s="28"/>
      <c r="F188" s="48"/>
      <c r="G188" s="29"/>
      <c r="H188" s="49"/>
      <c r="I188" s="30"/>
      <c r="J188" s="30"/>
      <c r="K188" s="30"/>
      <c r="L188" s="30"/>
      <c r="M188" s="30"/>
      <c r="N188" s="38"/>
    </row>
    <row r="189" spans="1:14" s="1" customFormat="1">
      <c r="A189" s="73" t="s">
        <v>289</v>
      </c>
      <c r="B189" s="68"/>
      <c r="C189" s="57" t="s">
        <v>38</v>
      </c>
      <c r="D189" s="20" t="s">
        <v>39</v>
      </c>
      <c r="E189" s="17">
        <v>47023</v>
      </c>
      <c r="F189" s="17">
        <v>47084</v>
      </c>
      <c r="G189" s="62">
        <f>+F189-E189+1</f>
        <v>62</v>
      </c>
      <c r="H189" s="63"/>
      <c r="I189" s="66" t="s">
        <v>27</v>
      </c>
      <c r="J189" s="66" t="s">
        <v>27</v>
      </c>
      <c r="K189" s="66" t="s">
        <v>27</v>
      </c>
      <c r="L189" s="66" t="s">
        <v>20</v>
      </c>
      <c r="M189" s="78" t="s">
        <v>28</v>
      </c>
      <c r="N189" s="59" t="s">
        <v>40</v>
      </c>
    </row>
    <row r="190" spans="1:14" s="1" customFormat="1">
      <c r="A190" s="69"/>
      <c r="B190" s="70"/>
      <c r="C190" s="57" t="s">
        <v>41</v>
      </c>
      <c r="D190" s="61" t="s">
        <v>340</v>
      </c>
      <c r="E190" s="17">
        <v>47011</v>
      </c>
      <c r="F190" s="17">
        <v>47741</v>
      </c>
      <c r="G190" s="62">
        <f>+F190-E190+1</f>
        <v>731</v>
      </c>
      <c r="H190" s="63"/>
      <c r="I190" s="66" t="s">
        <v>27</v>
      </c>
      <c r="J190" s="66" t="s">
        <v>27</v>
      </c>
      <c r="K190" s="66" t="s">
        <v>27</v>
      </c>
      <c r="L190" s="66" t="s">
        <v>27</v>
      </c>
      <c r="M190" s="66" t="s">
        <v>28</v>
      </c>
      <c r="N190" s="44" t="s">
        <v>43</v>
      </c>
    </row>
    <row r="191" spans="1:14" s="1" customFormat="1">
      <c r="A191" s="71"/>
      <c r="B191" s="72"/>
      <c r="C191" s="57" t="s">
        <v>290</v>
      </c>
      <c r="D191" s="61" t="s">
        <v>291</v>
      </c>
      <c r="E191" s="17">
        <v>47084</v>
      </c>
      <c r="F191" s="17">
        <v>47741</v>
      </c>
      <c r="G191" s="62">
        <f>+F191-E191+1</f>
        <v>658</v>
      </c>
      <c r="H191" s="63"/>
      <c r="I191" s="66" t="s">
        <v>20</v>
      </c>
      <c r="J191" s="66" t="s">
        <v>27</v>
      </c>
      <c r="K191" s="66" t="s">
        <v>27</v>
      </c>
      <c r="L191" s="66" t="s">
        <v>27</v>
      </c>
      <c r="M191" s="66" t="s">
        <v>28</v>
      </c>
      <c r="N191" s="44" t="s">
        <v>139</v>
      </c>
    </row>
    <row r="192" spans="1:14" s="1" customFormat="1">
      <c r="A192" s="42" t="s">
        <v>292</v>
      </c>
      <c r="B192" s="26" t="s">
        <v>293</v>
      </c>
      <c r="C192" s="26"/>
      <c r="D192" s="27"/>
      <c r="E192" s="28"/>
      <c r="F192" s="48"/>
      <c r="G192" s="29"/>
      <c r="H192" s="49"/>
      <c r="I192" s="30"/>
      <c r="J192" s="30"/>
      <c r="K192" s="30"/>
      <c r="L192" s="30"/>
      <c r="M192" s="30"/>
      <c r="N192" s="38"/>
    </row>
    <row r="193" spans="1:14" s="1" customFormat="1" ht="61.2">
      <c r="A193" s="73" t="s">
        <v>294</v>
      </c>
      <c r="B193" s="68"/>
      <c r="C193" s="60" t="s">
        <v>66</v>
      </c>
      <c r="D193" s="61" t="s">
        <v>340</v>
      </c>
      <c r="E193" s="17">
        <v>47011</v>
      </c>
      <c r="F193" s="17">
        <v>47741</v>
      </c>
      <c r="G193" s="62">
        <f>+F193-E193+1</f>
        <v>731</v>
      </c>
      <c r="H193" s="63"/>
      <c r="I193" s="66" t="s">
        <v>27</v>
      </c>
      <c r="J193" s="66" t="s">
        <v>27</v>
      </c>
      <c r="K193" s="66" t="s">
        <v>27</v>
      </c>
      <c r="L193" s="66" t="s">
        <v>27</v>
      </c>
      <c r="M193" s="66" t="s">
        <v>28</v>
      </c>
      <c r="N193" s="44" t="s">
        <v>43</v>
      </c>
    </row>
    <row r="194" spans="1:14" s="1" customFormat="1">
      <c r="A194" s="71"/>
      <c r="B194" s="72"/>
      <c r="C194" s="60" t="s">
        <v>295</v>
      </c>
      <c r="D194" s="61" t="s">
        <v>296</v>
      </c>
      <c r="E194" s="17">
        <v>47011</v>
      </c>
      <c r="F194" s="17">
        <v>47741</v>
      </c>
      <c r="G194" s="62">
        <f>+F194-E194+1</f>
        <v>731</v>
      </c>
      <c r="H194" s="63"/>
      <c r="I194" s="66" t="s">
        <v>20</v>
      </c>
      <c r="J194" s="66" t="s">
        <v>27</v>
      </c>
      <c r="K194" s="66" t="s">
        <v>27</v>
      </c>
      <c r="L194" s="66" t="s">
        <v>27</v>
      </c>
      <c r="M194" s="66" t="s">
        <v>28</v>
      </c>
      <c r="N194" s="59" t="s">
        <v>139</v>
      </c>
    </row>
    <row r="195" spans="1:14" s="1" customFormat="1">
      <c r="A195" s="42" t="s">
        <v>297</v>
      </c>
      <c r="B195" s="26" t="s">
        <v>298</v>
      </c>
      <c r="C195" s="26"/>
      <c r="D195" s="27"/>
      <c r="E195" s="28"/>
      <c r="F195" s="48"/>
      <c r="G195" s="29"/>
      <c r="H195" s="49"/>
      <c r="I195" s="30"/>
      <c r="J195" s="30"/>
      <c r="K195" s="30"/>
      <c r="L195" s="30"/>
      <c r="M195" s="30"/>
      <c r="N195" s="38"/>
    </row>
    <row r="196" spans="1:14" s="1" customFormat="1" ht="61.2">
      <c r="A196" s="73" t="s">
        <v>299</v>
      </c>
      <c r="B196" s="68"/>
      <c r="C196" s="15" t="s">
        <v>41</v>
      </c>
      <c r="D196" s="61" t="s">
        <v>340</v>
      </c>
      <c r="E196" s="17">
        <v>47011</v>
      </c>
      <c r="F196" s="17">
        <v>47741</v>
      </c>
      <c r="G196" s="62">
        <f>+F196-E196+1</f>
        <v>731</v>
      </c>
      <c r="H196" s="63"/>
      <c r="I196" s="66" t="s">
        <v>27</v>
      </c>
      <c r="J196" s="66" t="s">
        <v>27</v>
      </c>
      <c r="K196" s="66" t="s">
        <v>27</v>
      </c>
      <c r="L196" s="66" t="s">
        <v>27</v>
      </c>
      <c r="M196" s="66" t="s">
        <v>28</v>
      </c>
      <c r="N196" s="44" t="s">
        <v>43</v>
      </c>
    </row>
    <row r="197" spans="1:14" s="1" customFormat="1">
      <c r="A197" s="71"/>
      <c r="B197" s="72"/>
      <c r="C197" s="15" t="s">
        <v>300</v>
      </c>
      <c r="D197" s="61" t="s">
        <v>301</v>
      </c>
      <c r="E197" s="17">
        <v>47011</v>
      </c>
      <c r="F197" s="17">
        <v>47741</v>
      </c>
      <c r="G197" s="62">
        <f>+F197-E197+1</f>
        <v>731</v>
      </c>
      <c r="H197" s="63"/>
      <c r="I197" s="66" t="s">
        <v>20</v>
      </c>
      <c r="J197" s="66" t="s">
        <v>27</v>
      </c>
      <c r="K197" s="66" t="s">
        <v>27</v>
      </c>
      <c r="L197" s="66" t="s">
        <v>27</v>
      </c>
      <c r="M197" s="66" t="s">
        <v>28</v>
      </c>
      <c r="N197" s="59" t="s">
        <v>139</v>
      </c>
    </row>
    <row r="198" spans="1:14" s="1" customFormat="1">
      <c r="A198" s="42" t="s">
        <v>302</v>
      </c>
      <c r="B198" s="26" t="s">
        <v>303</v>
      </c>
      <c r="C198" s="26"/>
      <c r="D198" s="27"/>
      <c r="E198" s="28"/>
      <c r="F198" s="48"/>
      <c r="G198" s="29"/>
      <c r="H198" s="49"/>
      <c r="I198" s="30"/>
      <c r="J198" s="30"/>
      <c r="K198" s="30"/>
      <c r="L198" s="30"/>
      <c r="M198" s="30"/>
      <c r="N198" s="38"/>
    </row>
    <row r="199" spans="1:14" s="1" customFormat="1" ht="61.2">
      <c r="A199" s="73" t="s">
        <v>304</v>
      </c>
      <c r="B199" s="68"/>
      <c r="C199" s="60" t="s">
        <v>41</v>
      </c>
      <c r="D199" s="61" t="s">
        <v>340</v>
      </c>
      <c r="E199" s="17">
        <v>47251</v>
      </c>
      <c r="F199" s="17">
        <v>47741</v>
      </c>
      <c r="G199" s="62">
        <f>+F199-E199+1</f>
        <v>491</v>
      </c>
      <c r="H199" s="63"/>
      <c r="I199" s="66" t="s">
        <v>27</v>
      </c>
      <c r="J199" s="66" t="s">
        <v>27</v>
      </c>
      <c r="K199" s="66" t="s">
        <v>27</v>
      </c>
      <c r="L199" s="66" t="s">
        <v>27</v>
      </c>
      <c r="M199" s="66" t="s">
        <v>28</v>
      </c>
      <c r="N199" s="44" t="s">
        <v>43</v>
      </c>
    </row>
    <row r="200" spans="1:14" s="1" customFormat="1">
      <c r="A200" s="71"/>
      <c r="B200" s="72"/>
      <c r="C200" s="60" t="s">
        <v>305</v>
      </c>
      <c r="D200" s="61" t="s">
        <v>306</v>
      </c>
      <c r="E200" s="17">
        <v>47251</v>
      </c>
      <c r="F200" s="17">
        <v>47741</v>
      </c>
      <c r="G200" s="62">
        <f>+F200-E200+1</f>
        <v>491</v>
      </c>
      <c r="H200" s="63"/>
      <c r="I200" s="66" t="s">
        <v>20</v>
      </c>
      <c r="J200" s="66" t="s">
        <v>27</v>
      </c>
      <c r="K200" s="66" t="s">
        <v>27</v>
      </c>
      <c r="L200" s="66" t="s">
        <v>27</v>
      </c>
      <c r="M200" s="66" t="s">
        <v>28</v>
      </c>
      <c r="N200" s="59" t="s">
        <v>139</v>
      </c>
    </row>
    <row r="201" spans="1:14" s="1" customFormat="1">
      <c r="A201" s="43" t="s">
        <v>307</v>
      </c>
      <c r="B201" s="31" t="s">
        <v>75</v>
      </c>
      <c r="C201" s="51"/>
      <c r="D201" s="35"/>
      <c r="E201" s="33"/>
      <c r="F201" s="33"/>
      <c r="G201" s="33"/>
      <c r="H201" s="52"/>
      <c r="I201" s="34"/>
      <c r="J201" s="34"/>
      <c r="K201" s="34"/>
      <c r="L201" s="34"/>
      <c r="M201" s="34"/>
      <c r="N201" s="39"/>
    </row>
    <row r="202" spans="1:14" s="3" customFormat="1" ht="13.8">
      <c r="A202" s="41">
        <v>7</v>
      </c>
      <c r="B202" s="21" t="s">
        <v>308</v>
      </c>
      <c r="C202" s="21"/>
      <c r="D202" s="22"/>
      <c r="E202" s="23">
        <f>SMALL(E204:E214,1)</f>
        <v>47664</v>
      </c>
      <c r="F202" s="46">
        <f>LARGE(F204:F214,1)</f>
        <v>48000</v>
      </c>
      <c r="G202" s="24">
        <f>+F202-E202+1</f>
        <v>337</v>
      </c>
      <c r="H202" s="47"/>
      <c r="I202" s="25"/>
      <c r="J202" s="25"/>
      <c r="K202" s="25"/>
      <c r="L202" s="25"/>
      <c r="M202" s="25"/>
      <c r="N202" s="40"/>
    </row>
    <row r="203" spans="1:14" s="3" customFormat="1" ht="13.8">
      <c r="A203" s="42" t="s">
        <v>309</v>
      </c>
      <c r="B203" s="26" t="s">
        <v>310</v>
      </c>
      <c r="C203" s="26"/>
      <c r="D203" s="27"/>
      <c r="E203" s="28"/>
      <c r="F203" s="48"/>
      <c r="G203" s="29"/>
      <c r="H203" s="49"/>
      <c r="I203" s="30"/>
      <c r="J203" s="30"/>
      <c r="K203" s="30"/>
      <c r="L203" s="30"/>
      <c r="M203" s="30"/>
      <c r="N203" s="38"/>
    </row>
    <row r="204" spans="1:14" s="1" customFormat="1" ht="81.599999999999994">
      <c r="A204" s="73" t="s">
        <v>311</v>
      </c>
      <c r="B204" s="76"/>
      <c r="C204" s="53" t="s">
        <v>312</v>
      </c>
      <c r="D204" s="61" t="s">
        <v>313</v>
      </c>
      <c r="E204" s="17">
        <v>47664</v>
      </c>
      <c r="F204" s="17">
        <v>47741</v>
      </c>
      <c r="G204" s="62">
        <f>+F204-E204+1</f>
        <v>78</v>
      </c>
      <c r="H204" s="63"/>
      <c r="I204" s="66" t="s">
        <v>27</v>
      </c>
      <c r="J204" s="66" t="s">
        <v>27</v>
      </c>
      <c r="K204" s="66" t="s">
        <v>27</v>
      </c>
      <c r="L204" s="66" t="s">
        <v>27</v>
      </c>
      <c r="M204" s="66" t="s">
        <v>28</v>
      </c>
      <c r="N204" s="44" t="s">
        <v>43</v>
      </c>
    </row>
    <row r="205" spans="1:14" s="1" customFormat="1">
      <c r="A205" s="42" t="s">
        <v>314</v>
      </c>
      <c r="B205" s="26" t="s">
        <v>315</v>
      </c>
      <c r="C205" s="26"/>
      <c r="D205" s="27"/>
      <c r="E205" s="28"/>
      <c r="F205" s="48"/>
      <c r="G205" s="29"/>
      <c r="H205" s="49"/>
      <c r="I205" s="30"/>
      <c r="J205" s="30"/>
      <c r="K205" s="30"/>
      <c r="L205" s="30"/>
      <c r="M205" s="30"/>
      <c r="N205" s="38"/>
    </row>
    <row r="206" spans="1:14" s="1" customFormat="1" ht="40.799999999999997">
      <c r="A206" s="73" t="s">
        <v>316</v>
      </c>
      <c r="B206" s="68"/>
      <c r="C206" s="60" t="s">
        <v>38</v>
      </c>
      <c r="D206" s="20" t="s">
        <v>39</v>
      </c>
      <c r="E206" s="17">
        <v>47664</v>
      </c>
      <c r="F206" s="17">
        <v>48000</v>
      </c>
      <c r="G206" s="62">
        <f>+F206-E206+1</f>
        <v>337</v>
      </c>
      <c r="H206" s="63"/>
      <c r="I206" s="66" t="s">
        <v>27</v>
      </c>
      <c r="J206" s="66" t="s">
        <v>27</v>
      </c>
      <c r="K206" s="66" t="s">
        <v>27</v>
      </c>
      <c r="L206" s="66" t="s">
        <v>20</v>
      </c>
      <c r="M206" s="78" t="s">
        <v>28</v>
      </c>
      <c r="N206" s="59" t="s">
        <v>40</v>
      </c>
    </row>
    <row r="207" spans="1:14" s="1" customFormat="1" ht="61.2">
      <c r="A207" s="71"/>
      <c r="B207" s="72"/>
      <c r="C207" s="60" t="s">
        <v>41</v>
      </c>
      <c r="D207" s="61" t="s">
        <v>340</v>
      </c>
      <c r="E207" s="17">
        <v>47664</v>
      </c>
      <c r="F207" s="17">
        <v>48000</v>
      </c>
      <c r="G207" s="62">
        <f>+F207-E207+1</f>
        <v>337</v>
      </c>
      <c r="H207" s="63"/>
      <c r="I207" s="66" t="s">
        <v>27</v>
      </c>
      <c r="J207" s="66" t="s">
        <v>27</v>
      </c>
      <c r="K207" s="66" t="s">
        <v>27</v>
      </c>
      <c r="L207" s="66" t="s">
        <v>27</v>
      </c>
      <c r="M207" s="66" t="s">
        <v>28</v>
      </c>
      <c r="N207" s="44" t="s">
        <v>43</v>
      </c>
    </row>
    <row r="208" spans="1:14" s="1" customFormat="1" ht="20.399999999999999">
      <c r="A208" s="42" t="s">
        <v>317</v>
      </c>
      <c r="B208" s="26" t="s">
        <v>318</v>
      </c>
      <c r="C208" s="26"/>
      <c r="D208" s="27"/>
      <c r="E208" s="28"/>
      <c r="F208" s="48"/>
      <c r="G208" s="29"/>
      <c r="H208" s="49"/>
      <c r="I208" s="30"/>
      <c r="J208" s="30"/>
      <c r="K208" s="30"/>
      <c r="L208" s="30"/>
      <c r="M208" s="30"/>
      <c r="N208" s="38"/>
    </row>
    <row r="209" spans="1:14" s="1" customFormat="1" ht="40.799999999999997">
      <c r="A209" s="73" t="s">
        <v>319</v>
      </c>
      <c r="B209" s="68"/>
      <c r="C209" s="60" t="s">
        <v>38</v>
      </c>
      <c r="D209" s="20" t="s">
        <v>39</v>
      </c>
      <c r="E209" s="17">
        <v>47664</v>
      </c>
      <c r="F209" s="17">
        <v>48000</v>
      </c>
      <c r="G209" s="62">
        <f>+F209-E209+1</f>
        <v>337</v>
      </c>
      <c r="H209" s="63"/>
      <c r="I209" s="66" t="s">
        <v>27</v>
      </c>
      <c r="J209" s="66" t="s">
        <v>27</v>
      </c>
      <c r="K209" s="66" t="s">
        <v>27</v>
      </c>
      <c r="L209" s="66" t="s">
        <v>20</v>
      </c>
      <c r="M209" s="78" t="s">
        <v>28</v>
      </c>
      <c r="N209" s="59" t="s">
        <v>40</v>
      </c>
    </row>
    <row r="210" spans="1:14" s="1" customFormat="1" ht="61.2">
      <c r="A210" s="71"/>
      <c r="B210" s="72"/>
      <c r="C210" s="60" t="s">
        <v>41</v>
      </c>
      <c r="D210" s="61" t="s">
        <v>340</v>
      </c>
      <c r="E210" s="17">
        <v>47664</v>
      </c>
      <c r="F210" s="17">
        <v>48000</v>
      </c>
      <c r="G210" s="62">
        <f>+F210-E210+1</f>
        <v>337</v>
      </c>
      <c r="H210" s="63"/>
      <c r="I210" s="66" t="s">
        <v>27</v>
      </c>
      <c r="J210" s="66" t="s">
        <v>27</v>
      </c>
      <c r="K210" s="66" t="s">
        <v>27</v>
      </c>
      <c r="L210" s="66" t="s">
        <v>27</v>
      </c>
      <c r="M210" s="66" t="s">
        <v>28</v>
      </c>
      <c r="N210" s="44" t="s">
        <v>43</v>
      </c>
    </row>
    <row r="211" spans="1:14" s="1" customFormat="1">
      <c r="A211" s="42" t="s">
        <v>320</v>
      </c>
      <c r="B211" s="26" t="s">
        <v>321</v>
      </c>
      <c r="C211" s="26"/>
      <c r="D211" s="27"/>
      <c r="E211" s="28"/>
      <c r="F211" s="48"/>
      <c r="G211" s="29"/>
      <c r="H211" s="49"/>
      <c r="I211" s="30"/>
      <c r="J211" s="30"/>
      <c r="K211" s="30"/>
      <c r="L211" s="30"/>
      <c r="M211" s="30"/>
      <c r="N211" s="38"/>
    </row>
    <row r="212" spans="1:14" s="1" customFormat="1">
      <c r="A212" s="73" t="s">
        <v>322</v>
      </c>
      <c r="B212" s="68"/>
      <c r="C212" s="53" t="s">
        <v>323</v>
      </c>
      <c r="D212" s="61" t="s">
        <v>324</v>
      </c>
      <c r="E212" s="17">
        <v>47664</v>
      </c>
      <c r="F212" s="17">
        <v>48000</v>
      </c>
      <c r="G212" s="62">
        <f>+F212-E212+1</f>
        <v>337</v>
      </c>
      <c r="H212" s="63"/>
      <c r="I212" s="66" t="s">
        <v>27</v>
      </c>
      <c r="J212" s="66" t="s">
        <v>27</v>
      </c>
      <c r="K212" s="66" t="s">
        <v>27</v>
      </c>
      <c r="L212" s="66" t="s">
        <v>27</v>
      </c>
      <c r="M212" s="66" t="s">
        <v>28</v>
      </c>
      <c r="N212" s="44" t="s">
        <v>43</v>
      </c>
    </row>
    <row r="213" spans="1:14" s="1" customFormat="1">
      <c r="A213" s="69"/>
      <c r="B213" s="70"/>
      <c r="C213" s="60" t="s">
        <v>325</v>
      </c>
      <c r="D213" s="61" t="s">
        <v>326</v>
      </c>
      <c r="E213" s="17">
        <v>47664</v>
      </c>
      <c r="F213" s="17">
        <v>48000</v>
      </c>
      <c r="G213" s="62">
        <f>+F213-E213+1</f>
        <v>337</v>
      </c>
      <c r="H213" s="63"/>
      <c r="I213" s="66" t="s">
        <v>27</v>
      </c>
      <c r="J213" s="66" t="s">
        <v>27</v>
      </c>
      <c r="K213" s="66" t="s">
        <v>27</v>
      </c>
      <c r="L213" s="66" t="s">
        <v>27</v>
      </c>
      <c r="M213" s="66" t="s">
        <v>28</v>
      </c>
      <c r="N213" s="44" t="s">
        <v>43</v>
      </c>
    </row>
    <row r="214" spans="1:14" s="1" customFormat="1">
      <c r="A214" s="71"/>
      <c r="B214" s="72"/>
      <c r="C214" s="60" t="s">
        <v>327</v>
      </c>
      <c r="D214" s="61" t="s">
        <v>328</v>
      </c>
      <c r="E214" s="62"/>
      <c r="F214" s="62"/>
      <c r="G214" s="62"/>
      <c r="H214" s="63"/>
      <c r="I214" s="64" t="s">
        <v>27</v>
      </c>
      <c r="J214" s="64" t="s">
        <v>27</v>
      </c>
      <c r="K214" s="64" t="s">
        <v>27</v>
      </c>
      <c r="L214" s="64" t="s">
        <v>27</v>
      </c>
      <c r="M214" s="66" t="s">
        <v>28</v>
      </c>
      <c r="N214" s="64" t="s">
        <v>43</v>
      </c>
    </row>
    <row r="215" spans="1:14" s="1" customFormat="1">
      <c r="A215" s="41" t="s">
        <v>329</v>
      </c>
      <c r="B215" s="21" t="s">
        <v>330</v>
      </c>
      <c r="C215" s="21"/>
      <c r="D215" s="22"/>
      <c r="E215" s="23">
        <f>SMALL(E217:E219,1)</f>
        <v>46295</v>
      </c>
      <c r="F215" s="46">
        <f>LARGE(F217:F219,1)</f>
        <v>48000</v>
      </c>
      <c r="G215" s="24">
        <f>+F215-E215+1</f>
        <v>1706</v>
      </c>
      <c r="H215" s="47"/>
      <c r="I215" s="25"/>
      <c r="J215" s="25"/>
      <c r="K215" s="25"/>
      <c r="L215" s="25"/>
      <c r="M215" s="25"/>
      <c r="N215" s="40"/>
    </row>
    <row r="216" spans="1:14" s="1" customFormat="1">
      <c r="A216" s="42" t="s">
        <v>331</v>
      </c>
      <c r="B216" s="26" t="s">
        <v>332</v>
      </c>
      <c r="C216" s="26"/>
      <c r="D216" s="27"/>
      <c r="E216" s="28"/>
      <c r="F216" s="48"/>
      <c r="G216" s="29"/>
      <c r="H216" s="49"/>
      <c r="I216" s="30"/>
      <c r="J216" s="30"/>
      <c r="K216" s="30"/>
      <c r="L216" s="30"/>
      <c r="M216" s="30"/>
      <c r="N216" s="38"/>
    </row>
    <row r="217" spans="1:14" s="1" customFormat="1" ht="40.799999999999997">
      <c r="A217" s="73" t="s">
        <v>333</v>
      </c>
      <c r="B217" s="68"/>
      <c r="C217" s="60" t="s">
        <v>38</v>
      </c>
      <c r="D217" s="20" t="s">
        <v>39</v>
      </c>
      <c r="E217" s="17">
        <v>46295</v>
      </c>
      <c r="F217" s="17">
        <v>46381</v>
      </c>
      <c r="G217" s="62">
        <f>+F217-E217+1</f>
        <v>87</v>
      </c>
      <c r="H217" s="63"/>
      <c r="I217" s="66" t="s">
        <v>20</v>
      </c>
      <c r="J217" s="66" t="s">
        <v>20</v>
      </c>
      <c r="K217" s="66" t="s">
        <v>20</v>
      </c>
      <c r="L217" s="66" t="s">
        <v>20</v>
      </c>
      <c r="M217" s="78"/>
      <c r="N217" s="37"/>
    </row>
    <row r="218" spans="1:14" s="1" customFormat="1" ht="61.2">
      <c r="A218" s="69"/>
      <c r="B218" s="70"/>
      <c r="C218" s="60" t="s">
        <v>41</v>
      </c>
      <c r="D218" s="61" t="s">
        <v>340</v>
      </c>
      <c r="E218" s="17">
        <v>46351</v>
      </c>
      <c r="F218" s="17">
        <v>48000</v>
      </c>
      <c r="G218" s="62">
        <f>+F218-E218+1</f>
        <v>1650</v>
      </c>
      <c r="H218" s="63"/>
      <c r="I218" s="66" t="s">
        <v>20</v>
      </c>
      <c r="J218" s="66" t="s">
        <v>20</v>
      </c>
      <c r="K218" s="66" t="s">
        <v>20</v>
      </c>
      <c r="L218" s="66" t="s">
        <v>20</v>
      </c>
      <c r="M218" s="78"/>
      <c r="N218" s="44"/>
    </row>
    <row r="219" spans="1:14" s="1" customFormat="1">
      <c r="A219" s="71"/>
      <c r="B219" s="72"/>
      <c r="C219" s="60" t="s">
        <v>334</v>
      </c>
      <c r="D219" s="61" t="s">
        <v>334</v>
      </c>
      <c r="E219" s="17">
        <v>46381</v>
      </c>
      <c r="F219" s="17">
        <v>48000</v>
      </c>
      <c r="G219" s="62">
        <f>+F219-E219+1</f>
        <v>1620</v>
      </c>
      <c r="H219" s="63"/>
      <c r="I219" s="66" t="s">
        <v>20</v>
      </c>
      <c r="J219" s="66" t="s">
        <v>20</v>
      </c>
      <c r="K219" s="66" t="s">
        <v>20</v>
      </c>
      <c r="L219" s="66" t="s">
        <v>20</v>
      </c>
      <c r="M219" s="78"/>
      <c r="N219" s="37"/>
    </row>
    <row r="220" spans="1:14" s="1" customFormat="1">
      <c r="A220" s="79"/>
      <c r="B220" s="80" t="s">
        <v>335</v>
      </c>
      <c r="C220" s="81"/>
      <c r="D220" s="82"/>
      <c r="E220" s="83">
        <f>SMALL(E4:E219,1)</f>
        <v>46204</v>
      </c>
      <c r="F220" s="84">
        <f>LARGE(F4:F219,1)</f>
        <v>48000</v>
      </c>
      <c r="G220" s="85">
        <f>+F220-E220+1</f>
        <v>1797</v>
      </c>
      <c r="H220" s="86"/>
      <c r="I220" s="87"/>
      <c r="J220" s="87"/>
      <c r="K220" s="87"/>
      <c r="L220" s="87"/>
      <c r="M220" s="87"/>
      <c r="N220" s="87"/>
    </row>
    <row r="221" spans="1:14">
      <c r="B221" s="16"/>
    </row>
    <row r="222" spans="1:14">
      <c r="H222" s="58"/>
    </row>
  </sheetData>
  <autoFilter ref="A3:N220" xr:uid="{00000000-0009-0000-0000-000000000000}"/>
  <mergeCells count="40">
    <mergeCell ref="A217:B219"/>
    <mergeCell ref="A45:B49"/>
    <mergeCell ref="A212:B214"/>
    <mergeCell ref="A30:B34"/>
    <mergeCell ref="A206:B207"/>
    <mergeCell ref="A110:B115"/>
    <mergeCell ref="A209:B210"/>
    <mergeCell ref="A136:B144"/>
    <mergeCell ref="A164:B165"/>
    <mergeCell ref="A204:B204"/>
    <mergeCell ref="A199:B200"/>
    <mergeCell ref="A120:B122"/>
    <mergeCell ref="A154:B154"/>
    <mergeCell ref="A158:B159"/>
    <mergeCell ref="A196:B197"/>
    <mergeCell ref="A161:B162"/>
    <mergeCell ref="A19:B22"/>
    <mergeCell ref="A124:B126"/>
    <mergeCell ref="A189:B191"/>
    <mergeCell ref="A117:B118"/>
    <mergeCell ref="A150:B152"/>
    <mergeCell ref="A106:B108"/>
    <mergeCell ref="A193:B194"/>
    <mergeCell ref="A128:B132"/>
    <mergeCell ref="A146:B148"/>
    <mergeCell ref="A167:B187"/>
    <mergeCell ref="A24:B28"/>
    <mergeCell ref="A70:B72"/>
    <mergeCell ref="A6:B12"/>
    <mergeCell ref="A99:B104"/>
    <mergeCell ref="A67:B68"/>
    <mergeCell ref="A94:B97"/>
    <mergeCell ref="A57:B58"/>
    <mergeCell ref="A63:B65"/>
    <mergeCell ref="A53:B55"/>
    <mergeCell ref="A60:B61"/>
    <mergeCell ref="A36:B39"/>
    <mergeCell ref="A76:B90"/>
    <mergeCell ref="A41:B43"/>
    <mergeCell ref="A14:B17"/>
  </mergeCells>
  <pageMargins left="0.7" right="0.7" top="0.75" bottom="0.75" header="0.3" footer="0.3"/>
  <pageSetup paperSize="9" scale="3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Форма КП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Дмитрий Бабкин</dc:creator>
  <cp:lastModifiedBy>ALI</cp:lastModifiedBy>
  <cp:lastPrinted>2026-06-16T11:05:00Z</cp:lastPrinted>
  <dcterms:created xsi:type="dcterms:W3CDTF">2026-06-08T18:18:00Z</dcterms:created>
  <dcterms:modified xsi:type="dcterms:W3CDTF">2026-08-03T12:29:45Z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213CBC7DBC574383AC3ECB66523F3111_13</vt:lpwstr>
  </property>
  <property fmtid="{D5CDD505-2E9C-101B-9397-08002B2CF9AE}" pid="3" name="KSOProductBuildVer">
    <vt:lpwstr>1049-12.1.0.27458</vt:lpwstr>
  </property>
  <property fmtid="{D5CDD505-2E9C-101B-9397-08002B2CF9AE}" pid="4" name="CalculationRule">
    <vt:i4>0</vt:i4>
  </property>
</Properties>
</file>