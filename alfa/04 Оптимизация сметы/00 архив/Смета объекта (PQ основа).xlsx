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О шаблоне" sheetId="1" state="visible" r:id="rId1"/>
    <sheet xmlns:r="http://schemas.openxmlformats.org/officeDocument/2006/relationships" name="Параметры" sheetId="2" state="visible" r:id="rId2"/>
    <sheet xmlns:r="http://schemas.openxmlformats.org/officeDocument/2006/relationships" name="Конструктор" sheetId="3" state="visible" r:id="rId3"/>
    <sheet xmlns:r="http://schemas.openxmlformats.org/officeDocument/2006/relationships" name="Смета" sheetId="4" state="visible" r:id="rId4"/>
    <sheet xmlns:r="http://schemas.openxmlformats.org/officeDocument/2006/relationships" name="Свод+ТЭП" sheetId="5" state="visible" r:id="rId5"/>
    <sheet xmlns:r="http://schemas.openxmlformats.org/officeDocument/2006/relationships" name="Контроль" sheetId="6" state="visible" r:id="rId6"/>
    <sheet xmlns:r="http://schemas.openxmlformats.org/officeDocument/2006/relationships" name="спр_Работы" sheetId="7" state="hidden" r:id="rId7"/>
    <sheet xmlns:r="http://schemas.openxmlformats.org/officeDocument/2006/relationships" name="спр_Материалы" sheetId="8" state="hidden" r:id="rId8"/>
  </sheets>
  <definedNames>
    <definedName name="КодыРабот">спр_Работы!$A$2:$A$6000</definedName>
    <definedName name="ФорматОбъекта">Параметры!$B$5</definedName>
    <definedName name="Адрес">Параметры!$B$6</definedName>
    <definedName name="Срок">Параметры!$B$7</definedName>
    <definedName name="ДатаЦен">Параметры!$B$8</definedName>
    <definedName name="Подрядчик">Параметры!$B$11</definedName>
    <definedName name="ЮрАдрес">Параметры!$B$12</definedName>
    <definedName name="ЭлАдрес">Параметры!$B$13</definedName>
    <definedName name="КонтЛицо">Параметры!$B$14</definedName>
    <definedName name="КонтТел">Параметры!$B$15</definedName>
    <definedName name="Реквизиты">Параметры!$B$16</definedName>
    <definedName name="S_общая">Параметры!$B$19</definedName>
    <definedName name="S_пол">Параметры!$B$20</definedName>
    <definedName name="S_стены">Параметры!$B$21</definedName>
    <definedName name="S_потолок">Параметры!$B$22</definedName>
    <definedName name="S_поверхность">Параметры!$B$23</definedName>
    <definedName name="S_проёмы">Параметры!$B$24</definedName>
    <definedName name="S_фасад">Параметры!$B$25</definedName>
    <definedName name="Периметр_пола">Параметры!$B$26</definedName>
    <definedName name="РежимЦены">Параметры!$B$29</definedName>
    <definedName name="СтавкаНДС">Параметры!$B$30</definedName>
    <definedName name="ДисконтТендер">Параметры!$B$31</definedName>
    <definedName name="ПроцТранспорт">Параметры!$B$32</definedName>
    <definedName name="ПроцТакелаж">Параметры!$B$33</definedName>
    <definedName name="ПроцРезерв">Параметры!$B$34</definedName>
    <definedName name="КурсUSD">Параметры!$B$35</definedName>
    <definedName name="КурсEUR">Параметры!$B$36</definedName>
    <definedName name="_xlnm._FilterDatabase" localSheetId="2" hidden="1">'Конструктор'!$A$1:$T$1212</definedName>
    <definedName name="_xlnm._FilterDatabase" localSheetId="3" hidden="1">'Смета'!$A$20:$L$1031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# ##0.00"/>
    <numFmt numFmtId="166" formatCode="0.0%"/>
    <numFmt numFmtId="167" formatCode="DD.MM.YYYY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b val="1"/>
      <sz val="13"/>
    </font>
    <font>
      <b val="1"/>
      <sz val="12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365F91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0" fontId="0" fillId="3" borderId="0" pivotButton="0" quotePrefix="0" xfId="0"/>
    <xf numFmtId="0" fontId="0" fillId="4" borderId="1" pivotButton="0" quotePrefix="0" xfId="0"/>
    <xf numFmtId="164" fontId="0" fillId="4" borderId="1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165" fontId="0" fillId="0" borderId="0" pivotButton="0" quotePrefix="0" xfId="0"/>
    <xf numFmtId="0" fontId="0" fillId="5" borderId="0" pivotButton="0" quotePrefix="0" xfId="0"/>
    <xf numFmtId="167" fontId="0" fillId="0" borderId="0" pivotButton="0" quotePrefix="0" xfId="0"/>
    <xf numFmtId="0" fontId="6" fillId="0" borderId="0" pivotButton="0" quotePrefix="0" xfId="0"/>
    <xf numFmtId="165" fontId="3" fillId="0" borderId="0" pivotButton="0" quotePrefix="0" xfId="0"/>
    <xf numFmtId="0" fontId="4" fillId="0" borderId="0" pivotButton="0" quotePrefix="0" xfId="0"/>
    <xf numFmtId="166" fontId="0" fillId="0" borderId="0" pivotButton="0" quotePrefix="0" xfId="0"/>
    <xf numFmtId="0" fontId="5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dxfs count="2">
    <dxf>
      <font>
        <color rgb="009C0006"/>
      </font>
      <fill>
        <patternFill patternType="solid">
          <fgColor rgb="00FFC7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28" customWidth="1" min="1" max="1"/>
  </cols>
  <sheetData>
    <row r="1">
      <c r="A1" s="1" t="inlineStr">
        <is>
          <t>Смета объекта — шаблон v0.4 (совместим с Excel 2019)</t>
        </is>
      </c>
    </row>
    <row r="2">
      <c r="A2" t="inlineStr"/>
    </row>
    <row r="3">
      <c r="A3" s="2" t="inlineStr">
        <is>
          <t>ПОРЯДОК РАБОТЫ</t>
        </is>
      </c>
    </row>
    <row r="4">
      <c r="A4" t="inlineStr">
        <is>
          <t xml:space="preserve">  1. «Параметры» — заполнить жёлтые ячейки: объект, подрядчик, площади, НДС, %% транспорта/такелажа/резерва, курсы.</t>
        </is>
      </c>
    </row>
    <row r="5">
      <c r="A5" t="inlineStr">
        <is>
          <t xml:space="preserve">  2. «Конструктор» — предзаполнен ВСЕМИ работами справочника (колонка «Код_работы» — формула, правит сам себя).</t>
        </is>
      </c>
    </row>
    <row r="6">
      <c r="A6" t="inlineStr">
        <is>
          <t xml:space="preserve">     Для нужных строк: ввести «Объём» (подсказка «Драйвер»: S_пол / S_стены / спецификация / замер…),</t>
        </is>
      </c>
    </row>
    <row r="7">
      <c r="A7" t="inlineStr">
        <is>
          <t xml:space="preserve">     выбрать «Код_материала» (список — только материалы группы этой работы), при необходимости «Вкл.» = нет.</t>
        </is>
      </c>
    </row>
    <row r="8">
      <c r="A8" t="inlineStr">
        <is>
          <t xml:space="preserve">  3. «Смета» — чистовой документ: шапка + расшифровка + итоги + сноска + подписи. Строится формулами ИНДЕКС/ПОИСКПОЗ.</t>
        </is>
      </c>
    </row>
    <row r="9">
      <c r="A9" t="inlineStr">
        <is>
          <t xml:space="preserve">     Изначально строки расшифровки СКРЫТЫ (данных нет). После ввода объёмов в «Конструкторе»:</t>
        </is>
      </c>
    </row>
    <row r="10">
      <c r="A10" t="inlineStr">
        <is>
          <t xml:space="preserve">     встать на любую ячейку таблицы расшифровки → Данные → «Применить повторно» (Ctrl+Alt+L).</t>
        </is>
      </c>
    </row>
    <row r="11">
      <c r="A11" t="inlineStr">
        <is>
          <t xml:space="preserve">     Заполненные позиции появятся, блок итогов встанет сразу под ними. Руками не трогать.</t>
        </is>
      </c>
    </row>
    <row r="12">
      <c r="A12" t="inlineStr">
        <is>
          <t xml:space="preserve">  4. «Свод+ТЭП» — доли работ/материалов, ₽/м². «Контроль» — красное = ошибка.</t>
        </is>
      </c>
    </row>
    <row r="13">
      <c r="A13" t="inlineStr"/>
    </row>
    <row r="14">
      <c r="A14" s="2" t="inlineStr">
        <is>
          <t>КАК ДОБАВЛЯТЬ НОВЫЕ РАБОТЫ И МАТЕРИАЛЫ</t>
        </is>
      </c>
    </row>
    <row r="15">
      <c r="A15" t="inlineStr">
        <is>
          <t xml:space="preserve">  • Всё добавляется в мастер-файл «Справочники.xlsx» (лист «Работы» / «Материалы»), ТОЛЬКО в конец, без вставок в середину.</t>
        </is>
      </c>
    </row>
    <row r="16">
      <c r="A16" t="inlineStr">
        <is>
          <t xml:space="preserve">  • Новую работу: строка в «Работы» (код РАБ.РX.Y.NNN, цена труда, группа материала, тип, драйвер).</t>
        </is>
      </c>
    </row>
    <row r="17">
      <c r="A17" t="inlineStr">
        <is>
          <t xml:space="preserve">  • Новый материал: строка в «Материалы» (код, цена, валюта, группа).</t>
        </is>
      </c>
    </row>
    <row r="18">
      <c r="A18" t="inlineStr">
        <is>
          <t xml:space="preserve">  • Новые РАБОТЫ появятся в «Конструкторе» сами (в пределах буфера — см. проверку на листе «Контроль»).</t>
        </is>
      </c>
    </row>
    <row r="19">
      <c r="A19" t="inlineStr"/>
    </row>
    <row r="20">
      <c r="A20" t="inlineStr">
        <is>
          <t xml:space="preserve">  РЕКОМЕНДУЕТСЯ Power Query (см. файл «Power Query — настройка.md» в папке):</t>
        </is>
      </c>
    </row>
    <row r="21">
      <c r="A21" t="inlineStr">
        <is>
          <t xml:space="preserve">    настроить один раз → далее правки только в «Справочники.xlsx», в этой книге «Данные → Обновить всё»</t>
        </is>
      </c>
    </row>
    <row r="22">
      <c r="A22" t="inlineStr">
        <is>
          <t xml:space="preserve">    + макрос «ПересобратьДиапазоныМатериалов». Ручное копирование листов больше не нужно.</t>
        </is>
      </c>
    </row>
    <row r="23">
      <c r="A23" t="inlineStr"/>
    </row>
    <row r="24">
      <c r="A24" t="inlineStr">
        <is>
          <t xml:space="preserve">  ВРЕМЕННО (до настройки Power Query) — обновление копий вручную:</t>
        </is>
      </c>
    </row>
    <row r="25">
      <c r="A25" t="inlineStr">
        <is>
          <t xml:space="preserve">    в «Справочники.xlsx»: лист «Материалы» отсортировать по «Группа_материалов» → ПКМ по ярлыку</t>
        </is>
      </c>
    </row>
    <row r="26">
      <c r="A26" t="inlineStr">
        <is>
          <t xml:space="preserve">    «Работы»/«Материалы» → Переместить/скопировать → в эту книгу с заменой (имена таблиц T_Работы / T_Материалы</t>
        </is>
      </c>
    </row>
    <row r="27">
      <c r="A27" t="inlineStr">
        <is>
          <t xml:space="preserve">    сохранить) → F9. Групповые диапазоны «мат_*» пересобрать макросом.</t>
        </is>
      </c>
    </row>
    <row r="28">
      <c r="A28" t="inlineStr"/>
    </row>
    <row r="29">
      <c r="A29" s="2" t="inlineStr">
        <is>
          <t>СПРАВОЧНИКИ встроены копией (листы «спр_Работы», «спр_Материалы», скрыты; показать — ПКМ по ярлыку любого листа → Показать).</t>
        </is>
      </c>
    </row>
    <row r="30">
      <c r="A30" t="inlineStr"/>
    </row>
    <row r="31">
      <c r="A31" t="inlineStr"/>
    </row>
    <row r="32">
      <c r="A32" t="inlineStr">
        <is>
          <t>СОВМЕСТИМОСТЬ: формулы — ИНДЕКС/ПОИСКПОЗ/СУММЕСЛИМН/ДВССЫЛ (Excel 2016/2019/2021/365). Динамические массивы НЕ используются.</t>
        </is>
      </c>
    </row>
    <row r="33">
      <c r="A33" t="inlineStr"/>
    </row>
    <row r="34">
      <c r="A34" t="inlineStr">
        <is>
          <t>Сформировано: 2026-08-31.  Справочники: версия 0.3.  Работ предзаполнено: 911.  Буфер Конструктора: 1211.  Версия шаблона: 0.6.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26" customWidth="1" min="2" max="2"/>
    <col width="56" customWidth="1" min="3" max="3"/>
  </cols>
  <sheetData>
    <row r="1">
      <c r="A1" s="1" t="inlineStr">
        <is>
          <t>ПАРАМЕТРЫ ОБЪЕКТА</t>
        </is>
      </c>
    </row>
    <row r="3">
      <c r="A3" s="3" t="inlineStr">
        <is>
          <t>Параметр</t>
        </is>
      </c>
      <c r="B3" s="3" t="inlineStr">
        <is>
          <t>Значение</t>
        </is>
      </c>
      <c r="C3" s="3" t="inlineStr">
        <is>
          <t>Пояснение</t>
        </is>
      </c>
    </row>
    <row r="4">
      <c r="A4" s="4" t="inlineStr">
        <is>
          <t>Объект</t>
        </is>
      </c>
      <c r="B4" s="5" t="inlineStr"/>
      <c r="C4" s="5" t="inlineStr"/>
    </row>
    <row r="5">
      <c r="A5" t="inlineStr">
        <is>
          <t>Формат объекта</t>
        </is>
      </c>
      <c r="B5" s="6" t="inlineStr">
        <is>
          <t>ККО</t>
        </is>
      </c>
      <c r="C5" t="inlineStr">
        <is>
          <t>ККО / Инфраструктура</t>
        </is>
      </c>
    </row>
    <row r="6">
      <c r="A6" t="inlineStr">
        <is>
          <t>Адрес объекта</t>
        </is>
      </c>
      <c r="B6" s="6" t="inlineStr"/>
      <c r="C6" t="inlineStr"/>
    </row>
    <row r="7">
      <c r="A7" t="inlineStr">
        <is>
          <t>Срок проведения работ</t>
        </is>
      </c>
      <c r="B7" s="6" t="inlineStr">
        <is>
          <t>Согласно план-графику производства работ</t>
        </is>
      </c>
      <c r="C7" t="inlineStr"/>
    </row>
    <row r="8">
      <c r="A8" t="inlineStr">
        <is>
          <t>Дата цен</t>
        </is>
      </c>
      <c r="B8" s="7" t="n">
        <v>46265</v>
      </c>
      <c r="C8" t="inlineStr">
        <is>
          <t>на какую дату актуальны цены справочника</t>
        </is>
      </c>
    </row>
    <row r="9">
      <c r="A9" s="4" t="inlineStr"/>
      <c r="B9" s="5" t="inlineStr"/>
      <c r="C9" s="5" t="inlineStr"/>
    </row>
    <row r="10">
      <c r="A10" s="4" t="inlineStr">
        <is>
          <t>Подрядчик</t>
        </is>
      </c>
      <c r="B10" s="5" t="inlineStr"/>
      <c r="C10" s="5" t="inlineStr"/>
    </row>
    <row r="11">
      <c r="A11" t="inlineStr">
        <is>
          <t>ПОДРЯДЧИК (наименование)</t>
        </is>
      </c>
      <c r="B11" s="6" t="inlineStr"/>
      <c r="C11" t="inlineStr"/>
    </row>
    <row r="12">
      <c r="A12" t="inlineStr">
        <is>
          <t>Юридический адрес</t>
        </is>
      </c>
      <c r="B12" s="6" t="inlineStr"/>
      <c r="C12" t="inlineStr"/>
    </row>
    <row r="13">
      <c r="A13" t="inlineStr">
        <is>
          <t>Электронный адрес</t>
        </is>
      </c>
      <c r="B13" s="6" t="inlineStr"/>
      <c r="C13" t="inlineStr"/>
    </row>
    <row r="14">
      <c r="A14" t="inlineStr">
        <is>
          <t>Контактное лицо (Ф.И.О.)</t>
        </is>
      </c>
      <c r="B14" s="6" t="inlineStr"/>
      <c r="C14" t="inlineStr"/>
    </row>
    <row r="15">
      <c r="A15" t="inlineStr">
        <is>
          <t>Контактный телефон</t>
        </is>
      </c>
      <c r="B15" s="6" t="inlineStr"/>
      <c r="C15" t="inlineStr"/>
    </row>
    <row r="16">
      <c r="A16" t="inlineStr">
        <is>
          <t>Реквизиты</t>
        </is>
      </c>
      <c r="B16" s="6" t="inlineStr"/>
      <c r="C16" t="inlineStr"/>
    </row>
    <row r="17">
      <c r="A17" s="4" t="inlineStr"/>
      <c r="B17" s="5" t="inlineStr"/>
      <c r="C17" s="5" t="inlineStr"/>
    </row>
    <row r="18">
      <c r="A18" s="4" t="inlineStr">
        <is>
          <t>Площади, м²</t>
        </is>
      </c>
      <c r="B18" s="5" t="inlineStr"/>
      <c r="C18" s="5" t="inlineStr"/>
    </row>
    <row r="19">
      <c r="A19" t="inlineStr">
        <is>
          <t>S_общая (площадь объекта)</t>
        </is>
      </c>
      <c r="B19" s="6" t="n">
        <v>0</v>
      </c>
      <c r="C19" t="inlineStr">
        <is>
          <t>для ТЭП и проектных расценок</t>
        </is>
      </c>
    </row>
    <row r="20">
      <c r="A20" t="inlineStr">
        <is>
          <t>S_пол</t>
        </is>
      </c>
      <c r="B20" s="6" t="n">
        <v>0</v>
      </c>
      <c r="C20" t="inlineStr">
        <is>
          <t>драйвер S_пол</t>
        </is>
      </c>
    </row>
    <row r="21">
      <c r="A21" t="inlineStr">
        <is>
          <t>S_стены</t>
        </is>
      </c>
      <c r="B21" s="6" t="n">
        <v>0</v>
      </c>
      <c r="C21" t="inlineStr">
        <is>
          <t>драйвер S_стены (развёртка)</t>
        </is>
      </c>
    </row>
    <row r="22">
      <c r="A22" t="inlineStr">
        <is>
          <t>S_потолок</t>
        </is>
      </c>
      <c r="B22" s="6" t="n">
        <v>0</v>
      </c>
      <c r="C22" t="inlineStr">
        <is>
          <t>драйвер S_потолок</t>
        </is>
      </c>
    </row>
    <row r="23">
      <c r="A23" t="inlineStr">
        <is>
          <t>S_поверхность</t>
        </is>
      </c>
      <c r="B23" s="6" t="n">
        <v>0</v>
      </c>
      <c r="C23" t="inlineStr">
        <is>
          <t>драйвер S_поверхность</t>
        </is>
      </c>
    </row>
    <row r="24">
      <c r="A24" t="inlineStr">
        <is>
          <t>S_проёмы</t>
        </is>
      </c>
      <c r="B24" s="6" t="n">
        <v>0</v>
      </c>
      <c r="C24" t="inlineStr">
        <is>
          <t>драйвер S_проёмы</t>
        </is>
      </c>
    </row>
    <row r="25">
      <c r="A25" t="inlineStr">
        <is>
          <t>S_фасад</t>
        </is>
      </c>
      <c r="B25" s="6" t="n">
        <v>0</v>
      </c>
      <c r="C25" t="inlineStr">
        <is>
          <t>драйвер S_фасад</t>
        </is>
      </c>
    </row>
    <row r="26">
      <c r="A26" t="inlineStr">
        <is>
          <t>Периметр_пола, м.п.</t>
        </is>
      </c>
      <c r="B26" s="6" t="n">
        <v>0</v>
      </c>
      <c r="C26" t="inlineStr">
        <is>
          <t>драйвер Периметр_пола</t>
        </is>
      </c>
    </row>
    <row r="27">
      <c r="A27" s="4" t="inlineStr"/>
      <c r="B27" s="5" t="inlineStr"/>
      <c r="C27" s="5" t="inlineStr"/>
    </row>
    <row r="28">
      <c r="A28" s="4" t="inlineStr">
        <is>
          <t>Финансы</t>
        </is>
      </c>
      <c r="B28" s="5" t="inlineStr"/>
      <c r="C28" s="5" t="inlineStr"/>
    </row>
    <row r="29">
      <c r="A29" t="inlineStr">
        <is>
          <t>Режим цены</t>
        </is>
      </c>
      <c r="B29" s="6" t="inlineStr">
        <is>
          <t>с НДС в цене</t>
        </is>
      </c>
      <c r="C29" t="inlineStr">
        <is>
          <t>«с НДС в цене» — НДС извлекается; «без НДС» — начисляется сверху</t>
        </is>
      </c>
    </row>
    <row r="30">
      <c r="A30" t="inlineStr">
        <is>
          <t>Ставка НДС, %</t>
        </is>
      </c>
      <c r="B30" s="6" t="n">
        <v>20</v>
      </c>
      <c r="C30" t="inlineStr">
        <is>
          <t>5 / 7 / 20</t>
        </is>
      </c>
    </row>
    <row r="31">
      <c r="A31" t="inlineStr">
        <is>
          <t>Дисконт по тендеру, доля</t>
        </is>
      </c>
      <c r="B31" s="6" t="n">
        <v>0</v>
      </c>
      <c r="C31" t="inlineStr">
        <is>
          <t>0,05 = минус 5% к ЕР</t>
        </is>
      </c>
    </row>
    <row r="32">
      <c r="A32" t="inlineStr">
        <is>
          <t>Транспортные, % от стоимости материалов</t>
        </is>
      </c>
      <c r="B32" s="6" t="n">
        <v>3</v>
      </c>
      <c r="C32" t="inlineStr"/>
    </row>
    <row r="33">
      <c r="A33" t="inlineStr">
        <is>
          <t>Такелаж / верт. транспорт, % от (работы+материалы)</t>
        </is>
      </c>
      <c r="B33" s="6" t="n">
        <v>0</v>
      </c>
      <c r="C33" t="inlineStr">
        <is>
          <t>режим ТЦ/БЦ, ночные работы</t>
        </is>
      </c>
    </row>
    <row r="34">
      <c r="A34" t="inlineStr">
        <is>
          <t>Резерв на непредвиденные, % от (работы+материалы)</t>
        </is>
      </c>
      <c r="B34" s="6" t="n">
        <v>0</v>
      </c>
      <c r="C34" t="inlineStr">
        <is>
          <t>0 = не применять</t>
        </is>
      </c>
    </row>
    <row r="35">
      <c r="A35" t="inlineStr">
        <is>
          <t>Курс USD</t>
        </is>
      </c>
      <c r="B35" s="6" t="n">
        <v>81</v>
      </c>
      <c r="C35" t="inlineStr">
        <is>
          <t>для валютных материалов</t>
        </is>
      </c>
    </row>
    <row r="36">
      <c r="A36" t="inlineStr">
        <is>
          <t>Курс EUR</t>
        </is>
      </c>
      <c r="B36" s="6" t="n">
        <v>95</v>
      </c>
      <c r="C36" t="inlineStr"/>
    </row>
  </sheetData>
  <dataValidations count="2">
    <dataValidation sqref="B29" showDropDown="0" showInputMessage="0" showErrorMessage="0" allowBlank="0" type="list">
      <formula1>"с НДС в цене,без НДС"</formula1>
    </dataValidation>
    <dataValidation sqref="B5" showDropDown="0" showInputMessage="0" showErrorMessage="0" allowBlank="0" type="list">
      <formula1>"ККО,Инфраструктура"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1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46" customWidth="1" min="4" max="4"/>
    <col width="8" customWidth="1" min="5" max="5"/>
    <col width="12" customWidth="1" min="6" max="6"/>
    <col width="17" customWidth="1" min="7" max="7"/>
    <col width="9" customWidth="1" min="8" max="8"/>
    <col width="20" customWidth="1" min="9" max="9"/>
    <col width="40" customWidth="1" min="10" max="10"/>
    <col width="12" customWidth="1" min="11" max="11"/>
    <col width="13" customWidth="1" min="12" max="12"/>
    <col width="13" customWidth="1" min="13" max="13"/>
    <col width="14" customWidth="1" min="14" max="14"/>
    <col width="14" customWidth="1" min="15" max="15"/>
    <col width="14" customWidth="1" min="16" max="16"/>
    <col width="11" customWidth="1" min="17" max="17"/>
    <col width="6" customWidth="1" min="18" max="18"/>
    <col width="24" customWidth="1" min="19" max="19"/>
    <col hidden="1" width="7" customWidth="1" min="20" max="20"/>
  </cols>
  <sheetData>
    <row r="1">
      <c r="A1" s="3" t="inlineStr">
        <is>
          <t>Раздел</t>
        </is>
      </c>
      <c r="B1" s="3" t="inlineStr">
        <is>
          <t>Подраздел</t>
        </is>
      </c>
      <c r="C1" s="3" t="inlineStr">
        <is>
          <t>Код_работы</t>
        </is>
      </c>
      <c r="D1" s="3" t="inlineStr">
        <is>
          <t>Наименование работы</t>
        </is>
      </c>
      <c r="E1" s="3" t="inlineStr">
        <is>
          <t>Ед</t>
        </is>
      </c>
      <c r="F1" s="3" t="inlineStr">
        <is>
          <t>Группа_мат</t>
        </is>
      </c>
      <c r="G1" s="3" t="inlineStr">
        <is>
          <t>Драйвер</t>
        </is>
      </c>
      <c r="H1" s="3" t="inlineStr">
        <is>
          <t>Объём</t>
        </is>
      </c>
      <c r="I1" s="3" t="inlineStr">
        <is>
          <t>Код_материала</t>
        </is>
      </c>
      <c r="J1" s="3" t="inlineStr">
        <is>
          <t>Наименование материала</t>
        </is>
      </c>
      <c r="K1" s="3" t="inlineStr">
        <is>
          <t>Гр_ОK</t>
        </is>
      </c>
      <c r="L1" s="3" t="inlineStr">
        <is>
          <t>Цена работ, ₽</t>
        </is>
      </c>
      <c r="M1" s="3" t="inlineStr">
        <is>
          <t>Цена мат, ₽</t>
        </is>
      </c>
      <c r="N1" s="3" t="inlineStr">
        <is>
          <t>Стоим. работ, ₽</t>
        </is>
      </c>
      <c r="O1" s="3" t="inlineStr">
        <is>
          <t>Стоим. мат, ₽</t>
        </is>
      </c>
      <c r="P1" s="3" t="inlineStr">
        <is>
          <t>Всего, ₽</t>
        </is>
      </c>
      <c r="Q1" s="3" t="inlineStr">
        <is>
          <t>Тип</t>
        </is>
      </c>
      <c r="R1" s="3" t="inlineStr">
        <is>
          <t>Вкл.</t>
        </is>
      </c>
      <c r="S1" s="3" t="inlineStr">
        <is>
          <t>Примечание</t>
        </is>
      </c>
      <c r="T1" s="3" t="inlineStr">
        <is>
          <t>_ранг</t>
        </is>
      </c>
    </row>
    <row r="2">
      <c r="A2">
        <f>IFERROR(INDEX(спр_Работы!$D$2:$D$6000,MATCH($C2,спр_Работы!$A$2:$A$6000,0)),"")</f>
        <v/>
      </c>
      <c r="B2">
        <f>IFERROR(INDEX(спр_Работы!$F$2:$F$6000,MATCH($C2,спр_Работы!$A$2:$A$6000,0)),"")</f>
        <v/>
      </c>
      <c r="C2">
        <f>IFERROR(INDEX(спр_Работы!$A$2:$A$6000,1),"")</f>
        <v/>
      </c>
      <c r="D2" s="8">
        <f>IFERROR(INDEX(спр_Работы!$B$2:$B$6000,MATCH($C2,спр_Работы!$A$2:$A$6000,0)),"")</f>
        <v/>
      </c>
      <c r="E2">
        <f>IFERROR(INDEX(спр_Работы!$C$2:$C$6000,MATCH($C2,спр_Работы!$A$2:$A$6000,0)),"")</f>
        <v/>
      </c>
      <c r="F2">
        <f>IFERROR(INDEX(спр_Работы!$G$2:$G$6000,MATCH($C2,спр_Работы!$A$2:$A$6000,0)),"")</f>
        <v/>
      </c>
      <c r="G2">
        <f>IFERROR(INDEX(спр_Работы!$K$2:$K$6000,MATCH($C2,спр_Работы!$A$2:$A$6000,0)),"")</f>
        <v/>
      </c>
      <c r="H2" s="9" t="n"/>
      <c r="I2" s="9" t="n"/>
      <c r="J2" s="8">
        <f>IFERROR(INDEX(спр_Материалы!$B$2:$B$9000,MATCH($I2,спр_Материалы!$A$2:$A$9000,0)),"")</f>
        <v/>
      </c>
      <c r="K2">
        <f>IF($I2="","",IF($F2=IFERROR(INDEX(спр_Материалы!$G$2:$G$9000,MATCH($I2,спр_Материалы!$A$2:$A$9000,0)),""),"OK","!! не та группа"))</f>
        <v/>
      </c>
      <c r="L2" s="10">
        <f>IFERROR(INDEX(спр_Работы!$H$2:$H$6000,MATCH($C2,спр_Работы!$A$2:$A$6000,0))*(1-ДисконтТендер),0)</f>
        <v/>
      </c>
      <c r="M2" s="10">
        <f>IF($I2="",0,IFERROR(INDEX(спр_Материалы!$I$2:$I$9000,MATCH($I2,спр_Материалы!$A$2:$A$9000,0))*IF(INDEX(спр_Материалы!$J$2:$J$9000,MATCH($I2,спр_Материалы!$A$2:$A$9000,0))="USD",КурсUSD,IF(INDEX(спр_Материалы!$J$2:$J$9000,MATCH($I2,спр_Материалы!$A$2:$A$9000,0))="EUR",КурсEUR,1))*INDEX(спр_Материалы!$K$2:$K$9000,MATCH($I2,спр_Материалы!$A$2:$A$9000,0))*(1+IFERROR(INDEX(спр_Работы!$I$2:$I$6000,MATCH($C2,спр_Работы!$A$2:$A$6000,0))/100,0))*(1-ДисконтТендер),0))</f>
        <v/>
      </c>
      <c r="N2" s="10">
        <f>IF(AND($R2="да",$H2&lt;&gt;""),ROUND($H2*$L2,2),0)</f>
        <v/>
      </c>
      <c r="O2" s="10">
        <f>IF(AND($R2="да",$H2&lt;&gt;""),ROUND($H2*$M2,2),0)</f>
        <v/>
      </c>
      <c r="P2" s="10">
        <f>$N2+$O2</f>
        <v/>
      </c>
      <c r="Q2">
        <f>IFERROR(INDEX(спр_Работы!$J$2:$J$6000,MATCH($C2,спр_Работы!$A$2:$A$6000,0)),"")</f>
        <v/>
      </c>
      <c r="R2" t="inlineStr">
        <is>
          <t>да</t>
        </is>
      </c>
      <c r="T2">
        <f>IF(AND($P2&gt;0,$R2="да"),MAX($T$1:$T1)+1,"")</f>
        <v/>
      </c>
    </row>
    <row r="3">
      <c r="A3">
        <f>IFERROR(INDEX(спр_Работы!$D$2:$D$6000,MATCH($C3,спр_Работы!$A$2:$A$6000,0)),"")</f>
        <v/>
      </c>
      <c r="B3">
        <f>IFERROR(INDEX(спр_Работы!$F$2:$F$6000,MATCH($C3,спр_Работы!$A$2:$A$6000,0)),"")</f>
        <v/>
      </c>
      <c r="C3">
        <f>IFERROR(INDEX(спр_Работы!$A$2:$A$6000,2),"")</f>
        <v/>
      </c>
      <c r="D3" s="8">
        <f>IFERROR(INDEX(спр_Работы!$B$2:$B$6000,MATCH($C3,спр_Работы!$A$2:$A$6000,0)),"")</f>
        <v/>
      </c>
      <c r="E3">
        <f>IFERROR(INDEX(спр_Работы!$C$2:$C$6000,MATCH($C3,спр_Работы!$A$2:$A$6000,0)),"")</f>
        <v/>
      </c>
      <c r="F3">
        <f>IFERROR(INDEX(спр_Работы!$G$2:$G$6000,MATCH($C3,спр_Работы!$A$2:$A$6000,0)),"")</f>
        <v/>
      </c>
      <c r="G3">
        <f>IFERROR(INDEX(спр_Работы!$K$2:$K$6000,MATCH($C3,спр_Работы!$A$2:$A$6000,0)),"")</f>
        <v/>
      </c>
      <c r="H3" s="9" t="n"/>
      <c r="I3" s="9" t="n"/>
      <c r="J3" s="8">
        <f>IFERROR(INDEX(спр_Материалы!$B$2:$B$9000,MATCH($I3,спр_Материалы!$A$2:$A$9000,0)),"")</f>
        <v/>
      </c>
      <c r="K3">
        <f>IF($I3="","",IF($F3=IFERROR(INDEX(спр_Материалы!$G$2:$G$9000,MATCH($I3,спр_Материалы!$A$2:$A$9000,0)),""),"OK","!! не та группа"))</f>
        <v/>
      </c>
      <c r="L3" s="10">
        <f>IFERROR(INDEX(спр_Работы!$H$2:$H$6000,MATCH($C3,спр_Работы!$A$2:$A$6000,0))*(1-ДисконтТендер),0)</f>
        <v/>
      </c>
      <c r="M3" s="10">
        <f>IF($I3="",0,IFERROR(INDEX(спр_Материалы!$I$2:$I$9000,MATCH($I3,спр_Материалы!$A$2:$A$9000,0))*IF(INDEX(спр_Материалы!$J$2:$J$9000,MATCH($I3,спр_Материалы!$A$2:$A$9000,0))="USD",КурсUSD,IF(INDEX(спр_Материалы!$J$2:$J$9000,MATCH($I3,спр_Материалы!$A$2:$A$9000,0))="EUR",КурсEUR,1))*INDEX(спр_Материалы!$K$2:$K$9000,MATCH($I3,спр_Материалы!$A$2:$A$9000,0))*(1+IFERROR(INDEX(спр_Работы!$I$2:$I$6000,MATCH($C3,спр_Работы!$A$2:$A$6000,0))/100,0))*(1-ДисконтТендер),0))</f>
        <v/>
      </c>
      <c r="N3" s="10">
        <f>IF(AND($R3="да",$H3&lt;&gt;""),ROUND($H3*$L3,2),0)</f>
        <v/>
      </c>
      <c r="O3" s="10">
        <f>IF(AND($R3="да",$H3&lt;&gt;""),ROUND($H3*$M3,2),0)</f>
        <v/>
      </c>
      <c r="P3" s="10">
        <f>$N3+$O3</f>
        <v/>
      </c>
      <c r="Q3">
        <f>IFERROR(INDEX(спр_Работы!$J$2:$J$6000,MATCH($C3,спр_Работы!$A$2:$A$6000,0)),"")</f>
        <v/>
      </c>
      <c r="R3" t="inlineStr">
        <is>
          <t>да</t>
        </is>
      </c>
      <c r="T3">
        <f>IF(AND($P3&gt;0,$R3="да"),MAX($T$1:$T2)+1,"")</f>
        <v/>
      </c>
    </row>
    <row r="4">
      <c r="A4">
        <f>IFERROR(INDEX(спр_Работы!$D$2:$D$6000,MATCH($C4,спр_Работы!$A$2:$A$6000,0)),"")</f>
        <v/>
      </c>
      <c r="B4">
        <f>IFERROR(INDEX(спр_Работы!$F$2:$F$6000,MATCH($C4,спр_Работы!$A$2:$A$6000,0)),"")</f>
        <v/>
      </c>
      <c r="C4">
        <f>IFERROR(INDEX(спр_Работы!$A$2:$A$6000,3),"")</f>
        <v/>
      </c>
      <c r="D4" s="8">
        <f>IFERROR(INDEX(спр_Работы!$B$2:$B$6000,MATCH($C4,спр_Работы!$A$2:$A$6000,0)),"")</f>
        <v/>
      </c>
      <c r="E4">
        <f>IFERROR(INDEX(спр_Работы!$C$2:$C$6000,MATCH($C4,спр_Работы!$A$2:$A$6000,0)),"")</f>
        <v/>
      </c>
      <c r="F4">
        <f>IFERROR(INDEX(спр_Работы!$G$2:$G$6000,MATCH($C4,спр_Работы!$A$2:$A$6000,0)),"")</f>
        <v/>
      </c>
      <c r="G4">
        <f>IFERROR(INDEX(спр_Работы!$K$2:$K$6000,MATCH($C4,спр_Работы!$A$2:$A$6000,0)),"")</f>
        <v/>
      </c>
      <c r="H4" s="9" t="n"/>
      <c r="I4" s="9" t="n"/>
      <c r="J4" s="8">
        <f>IFERROR(INDEX(спр_Материалы!$B$2:$B$9000,MATCH($I4,спр_Материалы!$A$2:$A$9000,0)),"")</f>
        <v/>
      </c>
      <c r="K4">
        <f>IF($I4="","",IF($F4=IFERROR(INDEX(спр_Материалы!$G$2:$G$9000,MATCH($I4,спр_Материалы!$A$2:$A$9000,0)),""),"OK","!! не та группа"))</f>
        <v/>
      </c>
      <c r="L4" s="10">
        <f>IFERROR(INDEX(спр_Работы!$H$2:$H$6000,MATCH($C4,спр_Работы!$A$2:$A$6000,0))*(1-ДисконтТендер),0)</f>
        <v/>
      </c>
      <c r="M4" s="10">
        <f>IF($I4="",0,IFERROR(INDEX(спр_Материалы!$I$2:$I$9000,MATCH($I4,спр_Материалы!$A$2:$A$9000,0))*IF(INDEX(спр_Материалы!$J$2:$J$9000,MATCH($I4,спр_Материалы!$A$2:$A$9000,0))="USD",КурсUSD,IF(INDEX(спр_Материалы!$J$2:$J$9000,MATCH($I4,спр_Материалы!$A$2:$A$9000,0))="EUR",КурсEUR,1))*INDEX(спр_Материалы!$K$2:$K$9000,MATCH($I4,спр_Материалы!$A$2:$A$9000,0))*(1+IFERROR(INDEX(спр_Работы!$I$2:$I$6000,MATCH($C4,спр_Работы!$A$2:$A$6000,0))/100,0))*(1-ДисконтТендер),0))</f>
        <v/>
      </c>
      <c r="N4" s="10">
        <f>IF(AND($R4="да",$H4&lt;&gt;""),ROUND($H4*$L4,2),0)</f>
        <v/>
      </c>
      <c r="O4" s="10">
        <f>IF(AND($R4="да",$H4&lt;&gt;""),ROUND($H4*$M4,2),0)</f>
        <v/>
      </c>
      <c r="P4" s="10">
        <f>$N4+$O4</f>
        <v/>
      </c>
      <c r="Q4">
        <f>IFERROR(INDEX(спр_Работы!$J$2:$J$6000,MATCH($C4,спр_Работы!$A$2:$A$6000,0)),"")</f>
        <v/>
      </c>
      <c r="R4" t="inlineStr">
        <is>
          <t>да</t>
        </is>
      </c>
      <c r="T4">
        <f>IF(AND($P4&gt;0,$R4="да"),MAX($T$1:$T3)+1,"")</f>
        <v/>
      </c>
    </row>
    <row r="5">
      <c r="A5">
        <f>IFERROR(INDEX(спр_Работы!$D$2:$D$6000,MATCH($C5,спр_Работы!$A$2:$A$6000,0)),"")</f>
        <v/>
      </c>
      <c r="B5">
        <f>IFERROR(INDEX(спр_Работы!$F$2:$F$6000,MATCH($C5,спр_Работы!$A$2:$A$6000,0)),"")</f>
        <v/>
      </c>
      <c r="C5">
        <f>IFERROR(INDEX(спр_Работы!$A$2:$A$6000,4),"")</f>
        <v/>
      </c>
      <c r="D5" s="8">
        <f>IFERROR(INDEX(спр_Работы!$B$2:$B$6000,MATCH($C5,спр_Работы!$A$2:$A$6000,0)),"")</f>
        <v/>
      </c>
      <c r="E5">
        <f>IFERROR(INDEX(спр_Работы!$C$2:$C$6000,MATCH($C5,спр_Работы!$A$2:$A$6000,0)),"")</f>
        <v/>
      </c>
      <c r="F5">
        <f>IFERROR(INDEX(спр_Работы!$G$2:$G$6000,MATCH($C5,спр_Работы!$A$2:$A$6000,0)),"")</f>
        <v/>
      </c>
      <c r="G5">
        <f>IFERROR(INDEX(спр_Работы!$K$2:$K$6000,MATCH($C5,спр_Работы!$A$2:$A$6000,0)),"")</f>
        <v/>
      </c>
      <c r="H5" s="9" t="n"/>
      <c r="I5" s="9" t="n"/>
      <c r="J5" s="8">
        <f>IFERROR(INDEX(спр_Материалы!$B$2:$B$9000,MATCH($I5,спр_Материалы!$A$2:$A$9000,0)),"")</f>
        <v/>
      </c>
      <c r="K5">
        <f>IF($I5="","",IF($F5=IFERROR(INDEX(спр_Материалы!$G$2:$G$9000,MATCH($I5,спр_Материалы!$A$2:$A$9000,0)),""),"OK","!! не та группа"))</f>
        <v/>
      </c>
      <c r="L5" s="10">
        <f>IFERROR(INDEX(спр_Работы!$H$2:$H$6000,MATCH($C5,спр_Работы!$A$2:$A$6000,0))*(1-ДисконтТендер),0)</f>
        <v/>
      </c>
      <c r="M5" s="10">
        <f>IF($I5="",0,IFERROR(INDEX(спр_Материалы!$I$2:$I$9000,MATCH($I5,спр_Материалы!$A$2:$A$9000,0))*IF(INDEX(спр_Материалы!$J$2:$J$9000,MATCH($I5,спр_Материалы!$A$2:$A$9000,0))="USD",КурсUSD,IF(INDEX(спр_Материалы!$J$2:$J$9000,MATCH($I5,спр_Материалы!$A$2:$A$9000,0))="EUR",КурсEUR,1))*INDEX(спр_Материалы!$K$2:$K$9000,MATCH($I5,спр_Материалы!$A$2:$A$9000,0))*(1+IFERROR(INDEX(спр_Работы!$I$2:$I$6000,MATCH($C5,спр_Работы!$A$2:$A$6000,0))/100,0))*(1-ДисконтТендер),0))</f>
        <v/>
      </c>
      <c r="N5" s="10">
        <f>IF(AND($R5="да",$H5&lt;&gt;""),ROUND($H5*$L5,2),0)</f>
        <v/>
      </c>
      <c r="O5" s="10">
        <f>IF(AND($R5="да",$H5&lt;&gt;""),ROUND($H5*$M5,2),0)</f>
        <v/>
      </c>
      <c r="P5" s="10">
        <f>$N5+$O5</f>
        <v/>
      </c>
      <c r="Q5">
        <f>IFERROR(INDEX(спр_Работы!$J$2:$J$6000,MATCH($C5,спр_Работы!$A$2:$A$6000,0)),"")</f>
        <v/>
      </c>
      <c r="R5" t="inlineStr">
        <is>
          <t>да</t>
        </is>
      </c>
      <c r="T5">
        <f>IF(AND($P5&gt;0,$R5="да"),MAX($T$1:$T4)+1,"")</f>
        <v/>
      </c>
    </row>
    <row r="6">
      <c r="A6">
        <f>IFERROR(INDEX(спр_Работы!$D$2:$D$6000,MATCH($C6,спр_Работы!$A$2:$A$6000,0)),"")</f>
        <v/>
      </c>
      <c r="B6">
        <f>IFERROR(INDEX(спр_Работы!$F$2:$F$6000,MATCH($C6,спр_Работы!$A$2:$A$6000,0)),"")</f>
        <v/>
      </c>
      <c r="C6">
        <f>IFERROR(INDEX(спр_Работы!$A$2:$A$6000,5),"")</f>
        <v/>
      </c>
      <c r="D6" s="8">
        <f>IFERROR(INDEX(спр_Работы!$B$2:$B$6000,MATCH($C6,спр_Работы!$A$2:$A$6000,0)),"")</f>
        <v/>
      </c>
      <c r="E6">
        <f>IFERROR(INDEX(спр_Работы!$C$2:$C$6000,MATCH($C6,спр_Работы!$A$2:$A$6000,0)),"")</f>
        <v/>
      </c>
      <c r="F6">
        <f>IFERROR(INDEX(спр_Работы!$G$2:$G$6000,MATCH($C6,спр_Работы!$A$2:$A$6000,0)),"")</f>
        <v/>
      </c>
      <c r="G6">
        <f>IFERROR(INDEX(спр_Работы!$K$2:$K$6000,MATCH($C6,спр_Работы!$A$2:$A$6000,0)),"")</f>
        <v/>
      </c>
      <c r="H6" s="9" t="n"/>
      <c r="I6" s="9" t="n"/>
      <c r="J6" s="8">
        <f>IFERROR(INDEX(спр_Материалы!$B$2:$B$9000,MATCH($I6,спр_Материалы!$A$2:$A$9000,0)),"")</f>
        <v/>
      </c>
      <c r="K6">
        <f>IF($I6="","",IF($F6=IFERROR(INDEX(спр_Материалы!$G$2:$G$9000,MATCH($I6,спр_Материалы!$A$2:$A$9000,0)),""),"OK","!! не та группа"))</f>
        <v/>
      </c>
      <c r="L6" s="10">
        <f>IFERROR(INDEX(спр_Работы!$H$2:$H$6000,MATCH($C6,спр_Работы!$A$2:$A$6000,0))*(1-ДисконтТендер),0)</f>
        <v/>
      </c>
      <c r="M6" s="10">
        <f>IF($I6="",0,IFERROR(INDEX(спр_Материалы!$I$2:$I$9000,MATCH($I6,спр_Материалы!$A$2:$A$9000,0))*IF(INDEX(спр_Материалы!$J$2:$J$9000,MATCH($I6,спр_Материалы!$A$2:$A$9000,0))="USD",КурсUSD,IF(INDEX(спр_Материалы!$J$2:$J$9000,MATCH($I6,спр_Материалы!$A$2:$A$9000,0))="EUR",КурсEUR,1))*INDEX(спр_Материалы!$K$2:$K$9000,MATCH($I6,спр_Материалы!$A$2:$A$9000,0))*(1+IFERROR(INDEX(спр_Работы!$I$2:$I$6000,MATCH($C6,спр_Работы!$A$2:$A$6000,0))/100,0))*(1-ДисконтТендер),0))</f>
        <v/>
      </c>
      <c r="N6" s="10">
        <f>IF(AND($R6="да",$H6&lt;&gt;""),ROUND($H6*$L6,2),0)</f>
        <v/>
      </c>
      <c r="O6" s="10">
        <f>IF(AND($R6="да",$H6&lt;&gt;""),ROUND($H6*$M6,2),0)</f>
        <v/>
      </c>
      <c r="P6" s="10">
        <f>$N6+$O6</f>
        <v/>
      </c>
      <c r="Q6">
        <f>IFERROR(INDEX(спр_Работы!$J$2:$J$6000,MATCH($C6,спр_Работы!$A$2:$A$6000,0)),"")</f>
        <v/>
      </c>
      <c r="R6" t="inlineStr">
        <is>
          <t>да</t>
        </is>
      </c>
      <c r="T6">
        <f>IF(AND($P6&gt;0,$R6="да"),MAX($T$1:$T5)+1,"")</f>
        <v/>
      </c>
    </row>
    <row r="7">
      <c r="A7">
        <f>IFERROR(INDEX(спр_Работы!$D$2:$D$6000,MATCH($C7,спр_Работы!$A$2:$A$6000,0)),"")</f>
        <v/>
      </c>
      <c r="B7">
        <f>IFERROR(INDEX(спр_Работы!$F$2:$F$6000,MATCH($C7,спр_Работы!$A$2:$A$6000,0)),"")</f>
        <v/>
      </c>
      <c r="C7">
        <f>IFERROR(INDEX(спр_Работы!$A$2:$A$6000,6),"")</f>
        <v/>
      </c>
      <c r="D7" s="8">
        <f>IFERROR(INDEX(спр_Работы!$B$2:$B$6000,MATCH($C7,спр_Работы!$A$2:$A$6000,0)),"")</f>
        <v/>
      </c>
      <c r="E7">
        <f>IFERROR(INDEX(спр_Работы!$C$2:$C$6000,MATCH($C7,спр_Работы!$A$2:$A$6000,0)),"")</f>
        <v/>
      </c>
      <c r="F7">
        <f>IFERROR(INDEX(спр_Работы!$G$2:$G$6000,MATCH($C7,спр_Работы!$A$2:$A$6000,0)),"")</f>
        <v/>
      </c>
      <c r="G7">
        <f>IFERROR(INDEX(спр_Работы!$K$2:$K$6000,MATCH($C7,спр_Работы!$A$2:$A$6000,0)),"")</f>
        <v/>
      </c>
      <c r="H7" s="9" t="n"/>
      <c r="I7" s="9" t="n"/>
      <c r="J7" s="8">
        <f>IFERROR(INDEX(спр_Материалы!$B$2:$B$9000,MATCH($I7,спр_Материалы!$A$2:$A$9000,0)),"")</f>
        <v/>
      </c>
      <c r="K7">
        <f>IF($I7="","",IF($F7=IFERROR(INDEX(спр_Материалы!$G$2:$G$9000,MATCH($I7,спр_Материалы!$A$2:$A$9000,0)),""),"OK","!! не та группа"))</f>
        <v/>
      </c>
      <c r="L7" s="10">
        <f>IFERROR(INDEX(спр_Работы!$H$2:$H$6000,MATCH($C7,спр_Работы!$A$2:$A$6000,0))*(1-ДисконтТендер),0)</f>
        <v/>
      </c>
      <c r="M7" s="10">
        <f>IF($I7="",0,IFERROR(INDEX(спр_Материалы!$I$2:$I$9000,MATCH($I7,спр_Материалы!$A$2:$A$9000,0))*IF(INDEX(спр_Материалы!$J$2:$J$9000,MATCH($I7,спр_Материалы!$A$2:$A$9000,0))="USD",КурсUSD,IF(INDEX(спр_Материалы!$J$2:$J$9000,MATCH($I7,спр_Материалы!$A$2:$A$9000,0))="EUR",КурсEUR,1))*INDEX(спр_Материалы!$K$2:$K$9000,MATCH($I7,спр_Материалы!$A$2:$A$9000,0))*(1+IFERROR(INDEX(спр_Работы!$I$2:$I$6000,MATCH($C7,спр_Работы!$A$2:$A$6000,0))/100,0))*(1-ДисконтТендер),0))</f>
        <v/>
      </c>
      <c r="N7" s="10">
        <f>IF(AND($R7="да",$H7&lt;&gt;""),ROUND($H7*$L7,2),0)</f>
        <v/>
      </c>
      <c r="O7" s="10">
        <f>IF(AND($R7="да",$H7&lt;&gt;""),ROUND($H7*$M7,2),0)</f>
        <v/>
      </c>
      <c r="P7" s="10">
        <f>$N7+$O7</f>
        <v/>
      </c>
      <c r="Q7">
        <f>IFERROR(INDEX(спр_Работы!$J$2:$J$6000,MATCH($C7,спр_Работы!$A$2:$A$6000,0)),"")</f>
        <v/>
      </c>
      <c r="R7" t="inlineStr">
        <is>
          <t>да</t>
        </is>
      </c>
      <c r="T7">
        <f>IF(AND($P7&gt;0,$R7="да"),MAX($T$1:$T6)+1,"")</f>
        <v/>
      </c>
    </row>
    <row r="8">
      <c r="A8">
        <f>IFERROR(INDEX(спр_Работы!$D$2:$D$6000,MATCH($C8,спр_Работы!$A$2:$A$6000,0)),"")</f>
        <v/>
      </c>
      <c r="B8">
        <f>IFERROR(INDEX(спр_Работы!$F$2:$F$6000,MATCH($C8,спр_Работы!$A$2:$A$6000,0)),"")</f>
        <v/>
      </c>
      <c r="C8">
        <f>IFERROR(INDEX(спр_Работы!$A$2:$A$6000,7),"")</f>
        <v/>
      </c>
      <c r="D8" s="8">
        <f>IFERROR(INDEX(спр_Работы!$B$2:$B$6000,MATCH($C8,спр_Работы!$A$2:$A$6000,0)),"")</f>
        <v/>
      </c>
      <c r="E8">
        <f>IFERROR(INDEX(спр_Работы!$C$2:$C$6000,MATCH($C8,спр_Работы!$A$2:$A$6000,0)),"")</f>
        <v/>
      </c>
      <c r="F8">
        <f>IFERROR(INDEX(спр_Работы!$G$2:$G$6000,MATCH($C8,спр_Работы!$A$2:$A$6000,0)),"")</f>
        <v/>
      </c>
      <c r="G8">
        <f>IFERROR(INDEX(спр_Работы!$K$2:$K$6000,MATCH($C8,спр_Работы!$A$2:$A$6000,0)),"")</f>
        <v/>
      </c>
      <c r="H8" s="9" t="n"/>
      <c r="I8" s="9" t="n"/>
      <c r="J8" s="8">
        <f>IFERROR(INDEX(спр_Материалы!$B$2:$B$9000,MATCH($I8,спр_Материалы!$A$2:$A$9000,0)),"")</f>
        <v/>
      </c>
      <c r="K8">
        <f>IF($I8="","",IF($F8=IFERROR(INDEX(спр_Материалы!$G$2:$G$9000,MATCH($I8,спр_Материалы!$A$2:$A$9000,0)),""),"OK","!! не та группа"))</f>
        <v/>
      </c>
      <c r="L8" s="10">
        <f>IFERROR(INDEX(спр_Работы!$H$2:$H$6000,MATCH($C8,спр_Работы!$A$2:$A$6000,0))*(1-ДисконтТендер),0)</f>
        <v/>
      </c>
      <c r="M8" s="10">
        <f>IF($I8="",0,IFERROR(INDEX(спр_Материалы!$I$2:$I$9000,MATCH($I8,спр_Материалы!$A$2:$A$9000,0))*IF(INDEX(спр_Материалы!$J$2:$J$9000,MATCH($I8,спр_Материалы!$A$2:$A$9000,0))="USD",КурсUSD,IF(INDEX(спр_Материалы!$J$2:$J$9000,MATCH($I8,спр_Материалы!$A$2:$A$9000,0))="EUR",КурсEUR,1))*INDEX(спр_Материалы!$K$2:$K$9000,MATCH($I8,спр_Материалы!$A$2:$A$9000,0))*(1+IFERROR(INDEX(спр_Работы!$I$2:$I$6000,MATCH($C8,спр_Работы!$A$2:$A$6000,0))/100,0))*(1-ДисконтТендер),0))</f>
        <v/>
      </c>
      <c r="N8" s="10">
        <f>IF(AND($R8="да",$H8&lt;&gt;""),ROUND($H8*$L8,2),0)</f>
        <v/>
      </c>
      <c r="O8" s="10">
        <f>IF(AND($R8="да",$H8&lt;&gt;""),ROUND($H8*$M8,2),0)</f>
        <v/>
      </c>
      <c r="P8" s="10">
        <f>$N8+$O8</f>
        <v/>
      </c>
      <c r="Q8">
        <f>IFERROR(INDEX(спр_Работы!$J$2:$J$6000,MATCH($C8,спр_Работы!$A$2:$A$6000,0)),"")</f>
        <v/>
      </c>
      <c r="R8" t="inlineStr">
        <is>
          <t>да</t>
        </is>
      </c>
      <c r="T8">
        <f>IF(AND($P8&gt;0,$R8="да"),MAX($T$1:$T7)+1,"")</f>
        <v/>
      </c>
    </row>
    <row r="9">
      <c r="A9">
        <f>IFERROR(INDEX(спр_Работы!$D$2:$D$6000,MATCH($C9,спр_Работы!$A$2:$A$6000,0)),"")</f>
        <v/>
      </c>
      <c r="B9">
        <f>IFERROR(INDEX(спр_Работы!$F$2:$F$6000,MATCH($C9,спр_Работы!$A$2:$A$6000,0)),"")</f>
        <v/>
      </c>
      <c r="C9">
        <f>IFERROR(INDEX(спр_Работы!$A$2:$A$6000,8),"")</f>
        <v/>
      </c>
      <c r="D9" s="8">
        <f>IFERROR(INDEX(спр_Работы!$B$2:$B$6000,MATCH($C9,спр_Работы!$A$2:$A$6000,0)),"")</f>
        <v/>
      </c>
      <c r="E9">
        <f>IFERROR(INDEX(спр_Работы!$C$2:$C$6000,MATCH($C9,спр_Работы!$A$2:$A$6000,0)),"")</f>
        <v/>
      </c>
      <c r="F9">
        <f>IFERROR(INDEX(спр_Работы!$G$2:$G$6000,MATCH($C9,спр_Работы!$A$2:$A$6000,0)),"")</f>
        <v/>
      </c>
      <c r="G9">
        <f>IFERROR(INDEX(спр_Работы!$K$2:$K$6000,MATCH($C9,спр_Работы!$A$2:$A$6000,0)),"")</f>
        <v/>
      </c>
      <c r="H9" s="9" t="n"/>
      <c r="I9" s="9" t="n"/>
      <c r="J9" s="8">
        <f>IFERROR(INDEX(спр_Материалы!$B$2:$B$9000,MATCH($I9,спр_Материалы!$A$2:$A$9000,0)),"")</f>
        <v/>
      </c>
      <c r="K9">
        <f>IF($I9="","",IF($F9=IFERROR(INDEX(спр_Материалы!$G$2:$G$9000,MATCH($I9,спр_Материалы!$A$2:$A$9000,0)),""),"OK","!! не та группа"))</f>
        <v/>
      </c>
      <c r="L9" s="10">
        <f>IFERROR(INDEX(спр_Работы!$H$2:$H$6000,MATCH($C9,спр_Работы!$A$2:$A$6000,0))*(1-ДисконтТендер),0)</f>
        <v/>
      </c>
      <c r="M9" s="10">
        <f>IF($I9="",0,IFERROR(INDEX(спр_Материалы!$I$2:$I$9000,MATCH($I9,спр_Материалы!$A$2:$A$9000,0))*IF(INDEX(спр_Материалы!$J$2:$J$9000,MATCH($I9,спр_Материалы!$A$2:$A$9000,0))="USD",КурсUSD,IF(INDEX(спр_Материалы!$J$2:$J$9000,MATCH($I9,спр_Материалы!$A$2:$A$9000,0))="EUR",КурсEUR,1))*INDEX(спр_Материалы!$K$2:$K$9000,MATCH($I9,спр_Материалы!$A$2:$A$9000,0))*(1+IFERROR(INDEX(спр_Работы!$I$2:$I$6000,MATCH($C9,спр_Работы!$A$2:$A$6000,0))/100,0))*(1-ДисконтТендер),0))</f>
        <v/>
      </c>
      <c r="N9" s="10">
        <f>IF(AND($R9="да",$H9&lt;&gt;""),ROUND($H9*$L9,2),0)</f>
        <v/>
      </c>
      <c r="O9" s="10">
        <f>IF(AND($R9="да",$H9&lt;&gt;""),ROUND($H9*$M9,2),0)</f>
        <v/>
      </c>
      <c r="P9" s="10">
        <f>$N9+$O9</f>
        <v/>
      </c>
      <c r="Q9">
        <f>IFERROR(INDEX(спр_Работы!$J$2:$J$6000,MATCH($C9,спр_Работы!$A$2:$A$6000,0)),"")</f>
        <v/>
      </c>
      <c r="R9" t="inlineStr">
        <is>
          <t>да</t>
        </is>
      </c>
      <c r="T9">
        <f>IF(AND($P9&gt;0,$R9="да"),MAX($T$1:$T8)+1,"")</f>
        <v/>
      </c>
    </row>
    <row r="10">
      <c r="A10">
        <f>IFERROR(INDEX(спр_Работы!$D$2:$D$6000,MATCH($C10,спр_Работы!$A$2:$A$6000,0)),"")</f>
        <v/>
      </c>
      <c r="B10">
        <f>IFERROR(INDEX(спр_Работы!$F$2:$F$6000,MATCH($C10,спр_Работы!$A$2:$A$6000,0)),"")</f>
        <v/>
      </c>
      <c r="C10">
        <f>IFERROR(INDEX(спр_Работы!$A$2:$A$6000,9),"")</f>
        <v/>
      </c>
      <c r="D10" s="8">
        <f>IFERROR(INDEX(спр_Работы!$B$2:$B$6000,MATCH($C10,спр_Работы!$A$2:$A$6000,0)),"")</f>
        <v/>
      </c>
      <c r="E10">
        <f>IFERROR(INDEX(спр_Работы!$C$2:$C$6000,MATCH($C10,спр_Работы!$A$2:$A$6000,0)),"")</f>
        <v/>
      </c>
      <c r="F10">
        <f>IFERROR(INDEX(спр_Работы!$G$2:$G$6000,MATCH($C10,спр_Работы!$A$2:$A$6000,0)),"")</f>
        <v/>
      </c>
      <c r="G10">
        <f>IFERROR(INDEX(спр_Работы!$K$2:$K$6000,MATCH($C10,спр_Работы!$A$2:$A$6000,0)),"")</f>
        <v/>
      </c>
      <c r="H10" s="9" t="n"/>
      <c r="I10" s="9" t="n"/>
      <c r="J10" s="8">
        <f>IFERROR(INDEX(спр_Материалы!$B$2:$B$9000,MATCH($I10,спр_Материалы!$A$2:$A$9000,0)),"")</f>
        <v/>
      </c>
      <c r="K10">
        <f>IF($I10="","",IF($F10=IFERROR(INDEX(спр_Материалы!$G$2:$G$9000,MATCH($I10,спр_Материалы!$A$2:$A$9000,0)),""),"OK","!! не та группа"))</f>
        <v/>
      </c>
      <c r="L10" s="10">
        <f>IFERROR(INDEX(спр_Работы!$H$2:$H$6000,MATCH($C10,спр_Работы!$A$2:$A$6000,0))*(1-ДисконтТендер),0)</f>
        <v/>
      </c>
      <c r="M10" s="10">
        <f>IF($I10="",0,IFERROR(INDEX(спр_Материалы!$I$2:$I$9000,MATCH($I10,спр_Материалы!$A$2:$A$9000,0))*IF(INDEX(спр_Материалы!$J$2:$J$9000,MATCH($I10,спр_Материалы!$A$2:$A$9000,0))="USD",КурсUSD,IF(INDEX(спр_Материалы!$J$2:$J$9000,MATCH($I10,спр_Материалы!$A$2:$A$9000,0))="EUR",КурсEUR,1))*INDEX(спр_Материалы!$K$2:$K$9000,MATCH($I10,спр_Материалы!$A$2:$A$9000,0))*(1+IFERROR(INDEX(спр_Работы!$I$2:$I$6000,MATCH($C10,спр_Работы!$A$2:$A$6000,0))/100,0))*(1-ДисконтТендер),0))</f>
        <v/>
      </c>
      <c r="N10" s="10">
        <f>IF(AND($R10="да",$H10&lt;&gt;""),ROUND($H10*$L10,2),0)</f>
        <v/>
      </c>
      <c r="O10" s="10">
        <f>IF(AND($R10="да",$H10&lt;&gt;""),ROUND($H10*$M10,2),0)</f>
        <v/>
      </c>
      <c r="P10" s="10">
        <f>$N10+$O10</f>
        <v/>
      </c>
      <c r="Q10">
        <f>IFERROR(INDEX(спр_Работы!$J$2:$J$6000,MATCH($C10,спр_Работы!$A$2:$A$6000,0)),"")</f>
        <v/>
      </c>
      <c r="R10" t="inlineStr">
        <is>
          <t>да</t>
        </is>
      </c>
      <c r="T10">
        <f>IF(AND($P10&gt;0,$R10="да"),MAX($T$1:$T9)+1,"")</f>
        <v/>
      </c>
    </row>
    <row r="11">
      <c r="A11">
        <f>IFERROR(INDEX(спр_Работы!$D$2:$D$6000,MATCH($C11,спр_Работы!$A$2:$A$6000,0)),"")</f>
        <v/>
      </c>
      <c r="B11">
        <f>IFERROR(INDEX(спр_Работы!$F$2:$F$6000,MATCH($C11,спр_Работы!$A$2:$A$6000,0)),"")</f>
        <v/>
      </c>
      <c r="C11">
        <f>IFERROR(INDEX(спр_Работы!$A$2:$A$6000,10),"")</f>
        <v/>
      </c>
      <c r="D11" s="8">
        <f>IFERROR(INDEX(спр_Работы!$B$2:$B$6000,MATCH($C11,спр_Работы!$A$2:$A$6000,0)),"")</f>
        <v/>
      </c>
      <c r="E11">
        <f>IFERROR(INDEX(спр_Работы!$C$2:$C$6000,MATCH($C11,спр_Работы!$A$2:$A$6000,0)),"")</f>
        <v/>
      </c>
      <c r="F11">
        <f>IFERROR(INDEX(спр_Работы!$G$2:$G$6000,MATCH($C11,спр_Работы!$A$2:$A$6000,0)),"")</f>
        <v/>
      </c>
      <c r="G11">
        <f>IFERROR(INDEX(спр_Работы!$K$2:$K$6000,MATCH($C11,спр_Работы!$A$2:$A$6000,0)),"")</f>
        <v/>
      </c>
      <c r="H11" s="9" t="n"/>
      <c r="I11" s="9" t="n"/>
      <c r="J11" s="8">
        <f>IFERROR(INDEX(спр_Материалы!$B$2:$B$9000,MATCH($I11,спр_Материалы!$A$2:$A$9000,0)),"")</f>
        <v/>
      </c>
      <c r="K11">
        <f>IF($I11="","",IF($F11=IFERROR(INDEX(спр_Материалы!$G$2:$G$9000,MATCH($I11,спр_Материалы!$A$2:$A$9000,0)),""),"OK","!! не та группа"))</f>
        <v/>
      </c>
      <c r="L11" s="10">
        <f>IFERROR(INDEX(спр_Работы!$H$2:$H$6000,MATCH($C11,спр_Работы!$A$2:$A$6000,0))*(1-ДисконтТендер),0)</f>
        <v/>
      </c>
      <c r="M11" s="10">
        <f>IF($I11="",0,IFERROR(INDEX(спр_Материалы!$I$2:$I$9000,MATCH($I11,спр_Материалы!$A$2:$A$9000,0))*IF(INDEX(спр_Материалы!$J$2:$J$9000,MATCH($I11,спр_Материалы!$A$2:$A$9000,0))="USD",КурсUSD,IF(INDEX(спр_Материалы!$J$2:$J$9000,MATCH($I11,спр_Материалы!$A$2:$A$9000,0))="EUR",КурсEUR,1))*INDEX(спр_Материалы!$K$2:$K$9000,MATCH($I11,спр_Материалы!$A$2:$A$9000,0))*(1+IFERROR(INDEX(спр_Работы!$I$2:$I$6000,MATCH($C11,спр_Работы!$A$2:$A$6000,0))/100,0))*(1-ДисконтТендер),0))</f>
        <v/>
      </c>
      <c r="N11" s="10">
        <f>IF(AND($R11="да",$H11&lt;&gt;""),ROUND($H11*$L11,2),0)</f>
        <v/>
      </c>
      <c r="O11" s="10">
        <f>IF(AND($R11="да",$H11&lt;&gt;""),ROUND($H11*$M11,2),0)</f>
        <v/>
      </c>
      <c r="P11" s="10">
        <f>$N11+$O11</f>
        <v/>
      </c>
      <c r="Q11">
        <f>IFERROR(INDEX(спр_Работы!$J$2:$J$6000,MATCH($C11,спр_Работы!$A$2:$A$6000,0)),"")</f>
        <v/>
      </c>
      <c r="R11" t="inlineStr">
        <is>
          <t>да</t>
        </is>
      </c>
      <c r="T11">
        <f>IF(AND($P11&gt;0,$R11="да"),MAX($T$1:$T10)+1,"")</f>
        <v/>
      </c>
    </row>
    <row r="12">
      <c r="A12">
        <f>IFERROR(INDEX(спр_Работы!$D$2:$D$6000,MATCH($C12,спр_Работы!$A$2:$A$6000,0)),"")</f>
        <v/>
      </c>
      <c r="B12">
        <f>IFERROR(INDEX(спр_Работы!$F$2:$F$6000,MATCH($C12,спр_Работы!$A$2:$A$6000,0)),"")</f>
        <v/>
      </c>
      <c r="C12">
        <f>IFERROR(INDEX(спр_Работы!$A$2:$A$6000,11),"")</f>
        <v/>
      </c>
      <c r="D12" s="8">
        <f>IFERROR(INDEX(спр_Работы!$B$2:$B$6000,MATCH($C12,спр_Работы!$A$2:$A$6000,0)),"")</f>
        <v/>
      </c>
      <c r="E12">
        <f>IFERROR(INDEX(спр_Работы!$C$2:$C$6000,MATCH($C12,спр_Работы!$A$2:$A$6000,0)),"")</f>
        <v/>
      </c>
      <c r="F12">
        <f>IFERROR(INDEX(спр_Работы!$G$2:$G$6000,MATCH($C12,спр_Работы!$A$2:$A$6000,0)),"")</f>
        <v/>
      </c>
      <c r="G12">
        <f>IFERROR(INDEX(спр_Работы!$K$2:$K$6000,MATCH($C12,спр_Работы!$A$2:$A$6000,0)),"")</f>
        <v/>
      </c>
      <c r="H12" s="9" t="n"/>
      <c r="I12" s="9" t="n"/>
      <c r="J12" s="8">
        <f>IFERROR(INDEX(спр_Материалы!$B$2:$B$9000,MATCH($I12,спр_Материалы!$A$2:$A$9000,0)),"")</f>
        <v/>
      </c>
      <c r="K12">
        <f>IF($I12="","",IF($F12=IFERROR(INDEX(спр_Материалы!$G$2:$G$9000,MATCH($I12,спр_Материалы!$A$2:$A$9000,0)),""),"OK","!! не та группа"))</f>
        <v/>
      </c>
      <c r="L12" s="10">
        <f>IFERROR(INDEX(спр_Работы!$H$2:$H$6000,MATCH($C12,спр_Работы!$A$2:$A$6000,0))*(1-ДисконтТендер),0)</f>
        <v/>
      </c>
      <c r="M12" s="10">
        <f>IF($I12="",0,IFERROR(INDEX(спр_Материалы!$I$2:$I$9000,MATCH($I12,спр_Материалы!$A$2:$A$9000,0))*IF(INDEX(спр_Материалы!$J$2:$J$9000,MATCH($I12,спр_Материалы!$A$2:$A$9000,0))="USD",КурсUSD,IF(INDEX(спр_Материалы!$J$2:$J$9000,MATCH($I12,спр_Материалы!$A$2:$A$9000,0))="EUR",КурсEUR,1))*INDEX(спр_Материалы!$K$2:$K$9000,MATCH($I12,спр_Материалы!$A$2:$A$9000,0))*(1+IFERROR(INDEX(спр_Работы!$I$2:$I$6000,MATCH($C12,спр_Работы!$A$2:$A$6000,0))/100,0))*(1-ДисконтТендер),0))</f>
        <v/>
      </c>
      <c r="N12" s="10">
        <f>IF(AND($R12="да",$H12&lt;&gt;""),ROUND($H12*$L12,2),0)</f>
        <v/>
      </c>
      <c r="O12" s="10">
        <f>IF(AND($R12="да",$H12&lt;&gt;""),ROUND($H12*$M12,2),0)</f>
        <v/>
      </c>
      <c r="P12" s="10">
        <f>$N12+$O12</f>
        <v/>
      </c>
      <c r="Q12">
        <f>IFERROR(INDEX(спр_Работы!$J$2:$J$6000,MATCH($C12,спр_Работы!$A$2:$A$6000,0)),"")</f>
        <v/>
      </c>
      <c r="R12" t="inlineStr">
        <is>
          <t>да</t>
        </is>
      </c>
      <c r="T12">
        <f>IF(AND($P12&gt;0,$R12="да"),MAX($T$1:$T11)+1,"")</f>
        <v/>
      </c>
    </row>
    <row r="13">
      <c r="A13">
        <f>IFERROR(INDEX(спр_Работы!$D$2:$D$6000,MATCH($C13,спр_Работы!$A$2:$A$6000,0)),"")</f>
        <v/>
      </c>
      <c r="B13">
        <f>IFERROR(INDEX(спр_Работы!$F$2:$F$6000,MATCH($C13,спр_Работы!$A$2:$A$6000,0)),"")</f>
        <v/>
      </c>
      <c r="C13">
        <f>IFERROR(INDEX(спр_Работы!$A$2:$A$6000,12),"")</f>
        <v/>
      </c>
      <c r="D13" s="8">
        <f>IFERROR(INDEX(спр_Работы!$B$2:$B$6000,MATCH($C13,спр_Работы!$A$2:$A$6000,0)),"")</f>
        <v/>
      </c>
      <c r="E13">
        <f>IFERROR(INDEX(спр_Работы!$C$2:$C$6000,MATCH($C13,спр_Работы!$A$2:$A$6000,0)),"")</f>
        <v/>
      </c>
      <c r="F13">
        <f>IFERROR(INDEX(спр_Работы!$G$2:$G$6000,MATCH($C13,спр_Работы!$A$2:$A$6000,0)),"")</f>
        <v/>
      </c>
      <c r="G13">
        <f>IFERROR(INDEX(спр_Работы!$K$2:$K$6000,MATCH($C13,спр_Работы!$A$2:$A$6000,0)),"")</f>
        <v/>
      </c>
      <c r="H13" s="9" t="n"/>
      <c r="I13" s="9" t="n"/>
      <c r="J13" s="8">
        <f>IFERROR(INDEX(спр_Материалы!$B$2:$B$9000,MATCH($I13,спр_Материалы!$A$2:$A$9000,0)),"")</f>
        <v/>
      </c>
      <c r="K13">
        <f>IF($I13="","",IF($F13=IFERROR(INDEX(спр_Материалы!$G$2:$G$9000,MATCH($I13,спр_Материалы!$A$2:$A$9000,0)),""),"OK","!! не та группа"))</f>
        <v/>
      </c>
      <c r="L13" s="10">
        <f>IFERROR(INDEX(спр_Работы!$H$2:$H$6000,MATCH($C13,спр_Работы!$A$2:$A$6000,0))*(1-ДисконтТендер),0)</f>
        <v/>
      </c>
      <c r="M13" s="10">
        <f>IF($I13="",0,IFERROR(INDEX(спр_Материалы!$I$2:$I$9000,MATCH($I13,спр_Материалы!$A$2:$A$9000,0))*IF(INDEX(спр_Материалы!$J$2:$J$9000,MATCH($I13,спр_Материалы!$A$2:$A$9000,0))="USD",КурсUSD,IF(INDEX(спр_Материалы!$J$2:$J$9000,MATCH($I13,спр_Материалы!$A$2:$A$9000,0))="EUR",КурсEUR,1))*INDEX(спр_Материалы!$K$2:$K$9000,MATCH($I13,спр_Материалы!$A$2:$A$9000,0))*(1+IFERROR(INDEX(спр_Работы!$I$2:$I$6000,MATCH($C13,спр_Работы!$A$2:$A$6000,0))/100,0))*(1-ДисконтТендер),0))</f>
        <v/>
      </c>
      <c r="N13" s="10">
        <f>IF(AND($R13="да",$H13&lt;&gt;""),ROUND($H13*$L13,2),0)</f>
        <v/>
      </c>
      <c r="O13" s="10">
        <f>IF(AND($R13="да",$H13&lt;&gt;""),ROUND($H13*$M13,2),0)</f>
        <v/>
      </c>
      <c r="P13" s="10">
        <f>$N13+$O13</f>
        <v/>
      </c>
      <c r="Q13">
        <f>IFERROR(INDEX(спр_Работы!$J$2:$J$6000,MATCH($C13,спр_Работы!$A$2:$A$6000,0)),"")</f>
        <v/>
      </c>
      <c r="R13" t="inlineStr">
        <is>
          <t>да</t>
        </is>
      </c>
      <c r="T13">
        <f>IF(AND($P13&gt;0,$R13="да"),MAX($T$1:$T12)+1,"")</f>
        <v/>
      </c>
    </row>
    <row r="14">
      <c r="A14">
        <f>IFERROR(INDEX(спр_Работы!$D$2:$D$6000,MATCH($C14,спр_Работы!$A$2:$A$6000,0)),"")</f>
        <v/>
      </c>
      <c r="B14">
        <f>IFERROR(INDEX(спр_Работы!$F$2:$F$6000,MATCH($C14,спр_Работы!$A$2:$A$6000,0)),"")</f>
        <v/>
      </c>
      <c r="C14">
        <f>IFERROR(INDEX(спр_Работы!$A$2:$A$6000,13),"")</f>
        <v/>
      </c>
      <c r="D14" s="8">
        <f>IFERROR(INDEX(спр_Работы!$B$2:$B$6000,MATCH($C14,спр_Работы!$A$2:$A$6000,0)),"")</f>
        <v/>
      </c>
      <c r="E14">
        <f>IFERROR(INDEX(спр_Работы!$C$2:$C$6000,MATCH($C14,спр_Работы!$A$2:$A$6000,0)),"")</f>
        <v/>
      </c>
      <c r="F14">
        <f>IFERROR(INDEX(спр_Работы!$G$2:$G$6000,MATCH($C14,спр_Работы!$A$2:$A$6000,0)),"")</f>
        <v/>
      </c>
      <c r="G14">
        <f>IFERROR(INDEX(спр_Работы!$K$2:$K$6000,MATCH($C14,спр_Работы!$A$2:$A$6000,0)),"")</f>
        <v/>
      </c>
      <c r="H14" s="9" t="n"/>
      <c r="I14" s="9" t="n"/>
      <c r="J14" s="8">
        <f>IFERROR(INDEX(спр_Материалы!$B$2:$B$9000,MATCH($I14,спр_Материалы!$A$2:$A$9000,0)),"")</f>
        <v/>
      </c>
      <c r="K14">
        <f>IF($I14="","",IF($F14=IFERROR(INDEX(спр_Материалы!$G$2:$G$9000,MATCH($I14,спр_Материалы!$A$2:$A$9000,0)),""),"OK","!! не та группа"))</f>
        <v/>
      </c>
      <c r="L14" s="10">
        <f>IFERROR(INDEX(спр_Работы!$H$2:$H$6000,MATCH($C14,спр_Работы!$A$2:$A$6000,0))*(1-ДисконтТендер),0)</f>
        <v/>
      </c>
      <c r="M14" s="10">
        <f>IF($I14="",0,IFERROR(INDEX(спр_Материалы!$I$2:$I$9000,MATCH($I14,спр_Материалы!$A$2:$A$9000,0))*IF(INDEX(спр_Материалы!$J$2:$J$9000,MATCH($I14,спр_Материалы!$A$2:$A$9000,0))="USD",КурсUSD,IF(INDEX(спр_Материалы!$J$2:$J$9000,MATCH($I14,спр_Материалы!$A$2:$A$9000,0))="EUR",КурсEUR,1))*INDEX(спр_Материалы!$K$2:$K$9000,MATCH($I14,спр_Материалы!$A$2:$A$9000,0))*(1+IFERROR(INDEX(спр_Работы!$I$2:$I$6000,MATCH($C14,спр_Работы!$A$2:$A$6000,0))/100,0))*(1-ДисконтТендер),0))</f>
        <v/>
      </c>
      <c r="N14" s="10">
        <f>IF(AND($R14="да",$H14&lt;&gt;""),ROUND($H14*$L14,2),0)</f>
        <v/>
      </c>
      <c r="O14" s="10">
        <f>IF(AND($R14="да",$H14&lt;&gt;""),ROUND($H14*$M14,2),0)</f>
        <v/>
      </c>
      <c r="P14" s="10">
        <f>$N14+$O14</f>
        <v/>
      </c>
      <c r="Q14">
        <f>IFERROR(INDEX(спр_Работы!$J$2:$J$6000,MATCH($C14,спр_Работы!$A$2:$A$6000,0)),"")</f>
        <v/>
      </c>
      <c r="R14" t="inlineStr">
        <is>
          <t>да</t>
        </is>
      </c>
      <c r="T14">
        <f>IF(AND($P14&gt;0,$R14="да"),MAX($T$1:$T13)+1,"")</f>
        <v/>
      </c>
    </row>
    <row r="15">
      <c r="A15">
        <f>IFERROR(INDEX(спр_Работы!$D$2:$D$6000,MATCH($C15,спр_Работы!$A$2:$A$6000,0)),"")</f>
        <v/>
      </c>
      <c r="B15">
        <f>IFERROR(INDEX(спр_Работы!$F$2:$F$6000,MATCH($C15,спр_Работы!$A$2:$A$6000,0)),"")</f>
        <v/>
      </c>
      <c r="C15">
        <f>IFERROR(INDEX(спр_Работы!$A$2:$A$6000,14),"")</f>
        <v/>
      </c>
      <c r="D15" s="8">
        <f>IFERROR(INDEX(спр_Работы!$B$2:$B$6000,MATCH($C15,спр_Работы!$A$2:$A$6000,0)),"")</f>
        <v/>
      </c>
      <c r="E15">
        <f>IFERROR(INDEX(спр_Работы!$C$2:$C$6000,MATCH($C15,спр_Работы!$A$2:$A$6000,0)),"")</f>
        <v/>
      </c>
      <c r="F15">
        <f>IFERROR(INDEX(спр_Работы!$G$2:$G$6000,MATCH($C15,спр_Работы!$A$2:$A$6000,0)),"")</f>
        <v/>
      </c>
      <c r="G15">
        <f>IFERROR(INDEX(спр_Работы!$K$2:$K$6000,MATCH($C15,спр_Работы!$A$2:$A$6000,0)),"")</f>
        <v/>
      </c>
      <c r="H15" s="9" t="n"/>
      <c r="I15" s="9" t="n"/>
      <c r="J15" s="8">
        <f>IFERROR(INDEX(спр_Материалы!$B$2:$B$9000,MATCH($I15,спр_Материалы!$A$2:$A$9000,0)),"")</f>
        <v/>
      </c>
      <c r="K15">
        <f>IF($I15="","",IF($F15=IFERROR(INDEX(спр_Материалы!$G$2:$G$9000,MATCH($I15,спр_Материалы!$A$2:$A$9000,0)),""),"OK","!! не та группа"))</f>
        <v/>
      </c>
      <c r="L15" s="10">
        <f>IFERROR(INDEX(спр_Работы!$H$2:$H$6000,MATCH($C15,спр_Работы!$A$2:$A$6000,0))*(1-ДисконтТендер),0)</f>
        <v/>
      </c>
      <c r="M15" s="10">
        <f>IF($I15="",0,IFERROR(INDEX(спр_Материалы!$I$2:$I$9000,MATCH($I15,спр_Материалы!$A$2:$A$9000,0))*IF(INDEX(спр_Материалы!$J$2:$J$9000,MATCH($I15,спр_Материалы!$A$2:$A$9000,0))="USD",КурсUSD,IF(INDEX(спр_Материалы!$J$2:$J$9000,MATCH($I15,спр_Материалы!$A$2:$A$9000,0))="EUR",КурсEUR,1))*INDEX(спр_Материалы!$K$2:$K$9000,MATCH($I15,спр_Материалы!$A$2:$A$9000,0))*(1+IFERROR(INDEX(спр_Работы!$I$2:$I$6000,MATCH($C15,спр_Работы!$A$2:$A$6000,0))/100,0))*(1-ДисконтТендер),0))</f>
        <v/>
      </c>
      <c r="N15" s="10">
        <f>IF(AND($R15="да",$H15&lt;&gt;""),ROUND($H15*$L15,2),0)</f>
        <v/>
      </c>
      <c r="O15" s="10">
        <f>IF(AND($R15="да",$H15&lt;&gt;""),ROUND($H15*$M15,2),0)</f>
        <v/>
      </c>
      <c r="P15" s="10">
        <f>$N15+$O15</f>
        <v/>
      </c>
      <c r="Q15">
        <f>IFERROR(INDEX(спр_Работы!$J$2:$J$6000,MATCH($C15,спр_Работы!$A$2:$A$6000,0)),"")</f>
        <v/>
      </c>
      <c r="R15" t="inlineStr">
        <is>
          <t>да</t>
        </is>
      </c>
      <c r="T15">
        <f>IF(AND($P15&gt;0,$R15="да"),MAX($T$1:$T14)+1,"")</f>
        <v/>
      </c>
    </row>
    <row r="16">
      <c r="A16">
        <f>IFERROR(INDEX(спр_Работы!$D$2:$D$6000,MATCH($C16,спр_Работы!$A$2:$A$6000,0)),"")</f>
        <v/>
      </c>
      <c r="B16">
        <f>IFERROR(INDEX(спр_Работы!$F$2:$F$6000,MATCH($C16,спр_Работы!$A$2:$A$6000,0)),"")</f>
        <v/>
      </c>
      <c r="C16">
        <f>IFERROR(INDEX(спр_Работы!$A$2:$A$6000,15),"")</f>
        <v/>
      </c>
      <c r="D16" s="8">
        <f>IFERROR(INDEX(спр_Работы!$B$2:$B$6000,MATCH($C16,спр_Работы!$A$2:$A$6000,0)),"")</f>
        <v/>
      </c>
      <c r="E16">
        <f>IFERROR(INDEX(спр_Работы!$C$2:$C$6000,MATCH($C16,спр_Работы!$A$2:$A$6000,0)),"")</f>
        <v/>
      </c>
      <c r="F16">
        <f>IFERROR(INDEX(спр_Работы!$G$2:$G$6000,MATCH($C16,спр_Работы!$A$2:$A$6000,0)),"")</f>
        <v/>
      </c>
      <c r="G16">
        <f>IFERROR(INDEX(спр_Работы!$K$2:$K$6000,MATCH($C16,спр_Работы!$A$2:$A$6000,0)),"")</f>
        <v/>
      </c>
      <c r="H16" s="9" t="n"/>
      <c r="I16" s="9" t="n"/>
      <c r="J16" s="8">
        <f>IFERROR(INDEX(спр_Материалы!$B$2:$B$9000,MATCH($I16,спр_Материалы!$A$2:$A$9000,0)),"")</f>
        <v/>
      </c>
      <c r="K16">
        <f>IF($I16="","",IF($F16=IFERROR(INDEX(спр_Материалы!$G$2:$G$9000,MATCH($I16,спр_Материалы!$A$2:$A$9000,0)),""),"OK","!! не та группа"))</f>
        <v/>
      </c>
      <c r="L16" s="10">
        <f>IFERROR(INDEX(спр_Работы!$H$2:$H$6000,MATCH($C16,спр_Работы!$A$2:$A$6000,0))*(1-ДисконтТендер),0)</f>
        <v/>
      </c>
      <c r="M16" s="10">
        <f>IF($I16="",0,IFERROR(INDEX(спр_Материалы!$I$2:$I$9000,MATCH($I16,спр_Материалы!$A$2:$A$9000,0))*IF(INDEX(спр_Материалы!$J$2:$J$9000,MATCH($I16,спр_Материалы!$A$2:$A$9000,0))="USD",КурсUSD,IF(INDEX(спр_Материалы!$J$2:$J$9000,MATCH($I16,спр_Материалы!$A$2:$A$9000,0))="EUR",КурсEUR,1))*INDEX(спр_Материалы!$K$2:$K$9000,MATCH($I16,спр_Материалы!$A$2:$A$9000,0))*(1+IFERROR(INDEX(спр_Работы!$I$2:$I$6000,MATCH($C16,спр_Работы!$A$2:$A$6000,0))/100,0))*(1-ДисконтТендер),0))</f>
        <v/>
      </c>
      <c r="N16" s="10">
        <f>IF(AND($R16="да",$H16&lt;&gt;""),ROUND($H16*$L16,2),0)</f>
        <v/>
      </c>
      <c r="O16" s="10">
        <f>IF(AND($R16="да",$H16&lt;&gt;""),ROUND($H16*$M16,2),0)</f>
        <v/>
      </c>
      <c r="P16" s="10">
        <f>$N16+$O16</f>
        <v/>
      </c>
      <c r="Q16">
        <f>IFERROR(INDEX(спр_Работы!$J$2:$J$6000,MATCH($C16,спр_Работы!$A$2:$A$6000,0)),"")</f>
        <v/>
      </c>
      <c r="R16" t="inlineStr">
        <is>
          <t>да</t>
        </is>
      </c>
      <c r="T16">
        <f>IF(AND($P16&gt;0,$R16="да"),MAX($T$1:$T15)+1,"")</f>
        <v/>
      </c>
    </row>
    <row r="17">
      <c r="A17">
        <f>IFERROR(INDEX(спр_Работы!$D$2:$D$6000,MATCH($C17,спр_Работы!$A$2:$A$6000,0)),"")</f>
        <v/>
      </c>
      <c r="B17">
        <f>IFERROR(INDEX(спр_Работы!$F$2:$F$6000,MATCH($C17,спр_Работы!$A$2:$A$6000,0)),"")</f>
        <v/>
      </c>
      <c r="C17">
        <f>IFERROR(INDEX(спр_Работы!$A$2:$A$6000,16),"")</f>
        <v/>
      </c>
      <c r="D17" s="8">
        <f>IFERROR(INDEX(спр_Работы!$B$2:$B$6000,MATCH($C17,спр_Работы!$A$2:$A$6000,0)),"")</f>
        <v/>
      </c>
      <c r="E17">
        <f>IFERROR(INDEX(спр_Работы!$C$2:$C$6000,MATCH($C17,спр_Работы!$A$2:$A$6000,0)),"")</f>
        <v/>
      </c>
      <c r="F17">
        <f>IFERROR(INDEX(спр_Работы!$G$2:$G$6000,MATCH($C17,спр_Работы!$A$2:$A$6000,0)),"")</f>
        <v/>
      </c>
      <c r="G17">
        <f>IFERROR(INDEX(спр_Работы!$K$2:$K$6000,MATCH($C17,спр_Работы!$A$2:$A$6000,0)),"")</f>
        <v/>
      </c>
      <c r="H17" s="9" t="n"/>
      <c r="I17" s="9" t="n"/>
      <c r="J17" s="8">
        <f>IFERROR(INDEX(спр_Материалы!$B$2:$B$9000,MATCH($I17,спр_Материалы!$A$2:$A$9000,0)),"")</f>
        <v/>
      </c>
      <c r="K17">
        <f>IF($I17="","",IF($F17=IFERROR(INDEX(спр_Материалы!$G$2:$G$9000,MATCH($I17,спр_Материалы!$A$2:$A$9000,0)),""),"OK","!! не та группа"))</f>
        <v/>
      </c>
      <c r="L17" s="10">
        <f>IFERROR(INDEX(спр_Работы!$H$2:$H$6000,MATCH($C17,спр_Работы!$A$2:$A$6000,0))*(1-ДисконтТендер),0)</f>
        <v/>
      </c>
      <c r="M17" s="10">
        <f>IF($I17="",0,IFERROR(INDEX(спр_Материалы!$I$2:$I$9000,MATCH($I17,спр_Материалы!$A$2:$A$9000,0))*IF(INDEX(спр_Материалы!$J$2:$J$9000,MATCH($I17,спр_Материалы!$A$2:$A$9000,0))="USD",КурсUSD,IF(INDEX(спр_Материалы!$J$2:$J$9000,MATCH($I17,спр_Материалы!$A$2:$A$9000,0))="EUR",КурсEUR,1))*INDEX(спр_Материалы!$K$2:$K$9000,MATCH($I17,спр_Материалы!$A$2:$A$9000,0))*(1+IFERROR(INDEX(спр_Работы!$I$2:$I$6000,MATCH($C17,спр_Работы!$A$2:$A$6000,0))/100,0))*(1-ДисконтТендер),0))</f>
        <v/>
      </c>
      <c r="N17" s="10">
        <f>IF(AND($R17="да",$H17&lt;&gt;""),ROUND($H17*$L17,2),0)</f>
        <v/>
      </c>
      <c r="O17" s="10">
        <f>IF(AND($R17="да",$H17&lt;&gt;""),ROUND($H17*$M17,2),0)</f>
        <v/>
      </c>
      <c r="P17" s="10">
        <f>$N17+$O17</f>
        <v/>
      </c>
      <c r="Q17">
        <f>IFERROR(INDEX(спр_Работы!$J$2:$J$6000,MATCH($C17,спр_Работы!$A$2:$A$6000,0)),"")</f>
        <v/>
      </c>
      <c r="R17" t="inlineStr">
        <is>
          <t>да</t>
        </is>
      </c>
      <c r="T17">
        <f>IF(AND($P17&gt;0,$R17="да"),MAX($T$1:$T16)+1,"")</f>
        <v/>
      </c>
    </row>
    <row r="18">
      <c r="A18">
        <f>IFERROR(INDEX(спр_Работы!$D$2:$D$6000,MATCH($C18,спр_Работы!$A$2:$A$6000,0)),"")</f>
        <v/>
      </c>
      <c r="B18">
        <f>IFERROR(INDEX(спр_Работы!$F$2:$F$6000,MATCH($C18,спр_Работы!$A$2:$A$6000,0)),"")</f>
        <v/>
      </c>
      <c r="C18">
        <f>IFERROR(INDEX(спр_Работы!$A$2:$A$6000,17),"")</f>
        <v/>
      </c>
      <c r="D18" s="8">
        <f>IFERROR(INDEX(спр_Работы!$B$2:$B$6000,MATCH($C18,спр_Работы!$A$2:$A$6000,0)),"")</f>
        <v/>
      </c>
      <c r="E18">
        <f>IFERROR(INDEX(спр_Работы!$C$2:$C$6000,MATCH($C18,спр_Работы!$A$2:$A$6000,0)),"")</f>
        <v/>
      </c>
      <c r="F18">
        <f>IFERROR(INDEX(спр_Работы!$G$2:$G$6000,MATCH($C18,спр_Работы!$A$2:$A$6000,0)),"")</f>
        <v/>
      </c>
      <c r="G18">
        <f>IFERROR(INDEX(спр_Работы!$K$2:$K$6000,MATCH($C18,спр_Работы!$A$2:$A$6000,0)),"")</f>
        <v/>
      </c>
      <c r="H18" s="9" t="n"/>
      <c r="I18" s="9" t="n"/>
      <c r="J18" s="8">
        <f>IFERROR(INDEX(спр_Материалы!$B$2:$B$9000,MATCH($I18,спр_Материалы!$A$2:$A$9000,0)),"")</f>
        <v/>
      </c>
      <c r="K18">
        <f>IF($I18="","",IF($F18=IFERROR(INDEX(спр_Материалы!$G$2:$G$9000,MATCH($I18,спр_Материалы!$A$2:$A$9000,0)),""),"OK","!! не та группа"))</f>
        <v/>
      </c>
      <c r="L18" s="10">
        <f>IFERROR(INDEX(спр_Работы!$H$2:$H$6000,MATCH($C18,спр_Работы!$A$2:$A$6000,0))*(1-ДисконтТендер),0)</f>
        <v/>
      </c>
      <c r="M18" s="10">
        <f>IF($I18="",0,IFERROR(INDEX(спр_Материалы!$I$2:$I$9000,MATCH($I18,спр_Материалы!$A$2:$A$9000,0))*IF(INDEX(спр_Материалы!$J$2:$J$9000,MATCH($I18,спр_Материалы!$A$2:$A$9000,0))="USD",КурсUSD,IF(INDEX(спр_Материалы!$J$2:$J$9000,MATCH($I18,спр_Материалы!$A$2:$A$9000,0))="EUR",КурсEUR,1))*INDEX(спр_Материалы!$K$2:$K$9000,MATCH($I18,спр_Материалы!$A$2:$A$9000,0))*(1+IFERROR(INDEX(спр_Работы!$I$2:$I$6000,MATCH($C18,спр_Работы!$A$2:$A$6000,0))/100,0))*(1-ДисконтТендер),0))</f>
        <v/>
      </c>
      <c r="N18" s="10">
        <f>IF(AND($R18="да",$H18&lt;&gt;""),ROUND($H18*$L18,2),0)</f>
        <v/>
      </c>
      <c r="O18" s="10">
        <f>IF(AND($R18="да",$H18&lt;&gt;""),ROUND($H18*$M18,2),0)</f>
        <v/>
      </c>
      <c r="P18" s="10">
        <f>$N18+$O18</f>
        <v/>
      </c>
      <c r="Q18">
        <f>IFERROR(INDEX(спр_Работы!$J$2:$J$6000,MATCH($C18,спр_Работы!$A$2:$A$6000,0)),"")</f>
        <v/>
      </c>
      <c r="R18" t="inlineStr">
        <is>
          <t>да</t>
        </is>
      </c>
      <c r="T18">
        <f>IF(AND($P18&gt;0,$R18="да"),MAX($T$1:$T17)+1,"")</f>
        <v/>
      </c>
    </row>
    <row r="19">
      <c r="A19">
        <f>IFERROR(INDEX(спр_Работы!$D$2:$D$6000,MATCH($C19,спр_Работы!$A$2:$A$6000,0)),"")</f>
        <v/>
      </c>
      <c r="B19">
        <f>IFERROR(INDEX(спр_Работы!$F$2:$F$6000,MATCH($C19,спр_Работы!$A$2:$A$6000,0)),"")</f>
        <v/>
      </c>
      <c r="C19">
        <f>IFERROR(INDEX(спр_Работы!$A$2:$A$6000,18),"")</f>
        <v/>
      </c>
      <c r="D19" s="8">
        <f>IFERROR(INDEX(спр_Работы!$B$2:$B$6000,MATCH($C19,спр_Работы!$A$2:$A$6000,0)),"")</f>
        <v/>
      </c>
      <c r="E19">
        <f>IFERROR(INDEX(спр_Работы!$C$2:$C$6000,MATCH($C19,спр_Работы!$A$2:$A$6000,0)),"")</f>
        <v/>
      </c>
      <c r="F19">
        <f>IFERROR(INDEX(спр_Работы!$G$2:$G$6000,MATCH($C19,спр_Работы!$A$2:$A$6000,0)),"")</f>
        <v/>
      </c>
      <c r="G19">
        <f>IFERROR(INDEX(спр_Работы!$K$2:$K$6000,MATCH($C19,спр_Работы!$A$2:$A$6000,0)),"")</f>
        <v/>
      </c>
      <c r="H19" s="9" t="n"/>
      <c r="I19" s="9" t="n"/>
      <c r="J19" s="8">
        <f>IFERROR(INDEX(спр_Материалы!$B$2:$B$9000,MATCH($I19,спр_Материалы!$A$2:$A$9000,0)),"")</f>
        <v/>
      </c>
      <c r="K19">
        <f>IF($I19="","",IF($F19=IFERROR(INDEX(спр_Материалы!$G$2:$G$9000,MATCH($I19,спр_Материалы!$A$2:$A$9000,0)),""),"OK","!! не та группа"))</f>
        <v/>
      </c>
      <c r="L19" s="10">
        <f>IFERROR(INDEX(спр_Работы!$H$2:$H$6000,MATCH($C19,спр_Работы!$A$2:$A$6000,0))*(1-ДисконтТендер),0)</f>
        <v/>
      </c>
      <c r="M19" s="10">
        <f>IF($I19="",0,IFERROR(INDEX(спр_Материалы!$I$2:$I$9000,MATCH($I19,спр_Материалы!$A$2:$A$9000,0))*IF(INDEX(спр_Материалы!$J$2:$J$9000,MATCH($I19,спр_Материалы!$A$2:$A$9000,0))="USD",КурсUSD,IF(INDEX(спр_Материалы!$J$2:$J$9000,MATCH($I19,спр_Материалы!$A$2:$A$9000,0))="EUR",КурсEUR,1))*INDEX(спр_Материалы!$K$2:$K$9000,MATCH($I19,спр_Материалы!$A$2:$A$9000,0))*(1+IFERROR(INDEX(спр_Работы!$I$2:$I$6000,MATCH($C19,спр_Работы!$A$2:$A$6000,0))/100,0))*(1-ДисконтТендер),0))</f>
        <v/>
      </c>
      <c r="N19" s="10">
        <f>IF(AND($R19="да",$H19&lt;&gt;""),ROUND($H19*$L19,2),0)</f>
        <v/>
      </c>
      <c r="O19" s="10">
        <f>IF(AND($R19="да",$H19&lt;&gt;""),ROUND($H19*$M19,2),0)</f>
        <v/>
      </c>
      <c r="P19" s="10">
        <f>$N19+$O19</f>
        <v/>
      </c>
      <c r="Q19">
        <f>IFERROR(INDEX(спр_Работы!$J$2:$J$6000,MATCH($C19,спр_Работы!$A$2:$A$6000,0)),"")</f>
        <v/>
      </c>
      <c r="R19" t="inlineStr">
        <is>
          <t>да</t>
        </is>
      </c>
      <c r="T19">
        <f>IF(AND($P19&gt;0,$R19="да"),MAX($T$1:$T18)+1,"")</f>
        <v/>
      </c>
    </row>
    <row r="20">
      <c r="A20">
        <f>IFERROR(INDEX(спр_Работы!$D$2:$D$6000,MATCH($C20,спр_Работы!$A$2:$A$6000,0)),"")</f>
        <v/>
      </c>
      <c r="B20">
        <f>IFERROR(INDEX(спр_Работы!$F$2:$F$6000,MATCH($C20,спр_Работы!$A$2:$A$6000,0)),"")</f>
        <v/>
      </c>
      <c r="C20">
        <f>IFERROR(INDEX(спр_Работы!$A$2:$A$6000,19),"")</f>
        <v/>
      </c>
      <c r="D20" s="8">
        <f>IFERROR(INDEX(спр_Работы!$B$2:$B$6000,MATCH($C20,спр_Работы!$A$2:$A$6000,0)),"")</f>
        <v/>
      </c>
      <c r="E20">
        <f>IFERROR(INDEX(спр_Работы!$C$2:$C$6000,MATCH($C20,спр_Работы!$A$2:$A$6000,0)),"")</f>
        <v/>
      </c>
      <c r="F20">
        <f>IFERROR(INDEX(спр_Работы!$G$2:$G$6000,MATCH($C20,спр_Работы!$A$2:$A$6000,0)),"")</f>
        <v/>
      </c>
      <c r="G20">
        <f>IFERROR(INDEX(спр_Работы!$K$2:$K$6000,MATCH($C20,спр_Работы!$A$2:$A$6000,0)),"")</f>
        <v/>
      </c>
      <c r="H20" s="9" t="n"/>
      <c r="I20" s="9" t="n"/>
      <c r="J20" s="8">
        <f>IFERROR(INDEX(спр_Материалы!$B$2:$B$9000,MATCH($I20,спр_Материалы!$A$2:$A$9000,0)),"")</f>
        <v/>
      </c>
      <c r="K20">
        <f>IF($I20="","",IF($F20=IFERROR(INDEX(спр_Материалы!$G$2:$G$9000,MATCH($I20,спр_Материалы!$A$2:$A$9000,0)),""),"OK","!! не та группа"))</f>
        <v/>
      </c>
      <c r="L20" s="10">
        <f>IFERROR(INDEX(спр_Работы!$H$2:$H$6000,MATCH($C20,спр_Работы!$A$2:$A$6000,0))*(1-ДисконтТендер),0)</f>
        <v/>
      </c>
      <c r="M20" s="10">
        <f>IF($I20="",0,IFERROR(INDEX(спр_Материалы!$I$2:$I$9000,MATCH($I20,спр_Материалы!$A$2:$A$9000,0))*IF(INDEX(спр_Материалы!$J$2:$J$9000,MATCH($I20,спр_Материалы!$A$2:$A$9000,0))="USD",КурсUSD,IF(INDEX(спр_Материалы!$J$2:$J$9000,MATCH($I20,спр_Материалы!$A$2:$A$9000,0))="EUR",КурсEUR,1))*INDEX(спр_Материалы!$K$2:$K$9000,MATCH($I20,спр_Материалы!$A$2:$A$9000,0))*(1+IFERROR(INDEX(спр_Работы!$I$2:$I$6000,MATCH($C20,спр_Работы!$A$2:$A$6000,0))/100,0))*(1-ДисконтТендер),0))</f>
        <v/>
      </c>
      <c r="N20" s="10">
        <f>IF(AND($R20="да",$H20&lt;&gt;""),ROUND($H20*$L20,2),0)</f>
        <v/>
      </c>
      <c r="O20" s="10">
        <f>IF(AND($R20="да",$H20&lt;&gt;""),ROUND($H20*$M20,2),0)</f>
        <v/>
      </c>
      <c r="P20" s="10">
        <f>$N20+$O20</f>
        <v/>
      </c>
      <c r="Q20">
        <f>IFERROR(INDEX(спр_Работы!$J$2:$J$6000,MATCH($C20,спр_Работы!$A$2:$A$6000,0)),"")</f>
        <v/>
      </c>
      <c r="R20" t="inlineStr">
        <is>
          <t>да</t>
        </is>
      </c>
      <c r="T20">
        <f>IF(AND($P20&gt;0,$R20="да"),MAX($T$1:$T19)+1,"")</f>
        <v/>
      </c>
    </row>
    <row r="21">
      <c r="A21">
        <f>IFERROR(INDEX(спр_Работы!$D$2:$D$6000,MATCH($C21,спр_Работы!$A$2:$A$6000,0)),"")</f>
        <v/>
      </c>
      <c r="B21">
        <f>IFERROR(INDEX(спр_Работы!$F$2:$F$6000,MATCH($C21,спр_Работы!$A$2:$A$6000,0)),"")</f>
        <v/>
      </c>
      <c r="C21">
        <f>IFERROR(INDEX(спр_Работы!$A$2:$A$6000,20),"")</f>
        <v/>
      </c>
      <c r="D21" s="8">
        <f>IFERROR(INDEX(спр_Работы!$B$2:$B$6000,MATCH($C21,спр_Работы!$A$2:$A$6000,0)),"")</f>
        <v/>
      </c>
      <c r="E21">
        <f>IFERROR(INDEX(спр_Работы!$C$2:$C$6000,MATCH($C21,спр_Работы!$A$2:$A$6000,0)),"")</f>
        <v/>
      </c>
      <c r="F21">
        <f>IFERROR(INDEX(спр_Работы!$G$2:$G$6000,MATCH($C21,спр_Работы!$A$2:$A$6000,0)),"")</f>
        <v/>
      </c>
      <c r="G21">
        <f>IFERROR(INDEX(спр_Работы!$K$2:$K$6000,MATCH($C21,спр_Работы!$A$2:$A$6000,0)),"")</f>
        <v/>
      </c>
      <c r="H21" s="9" t="n"/>
      <c r="I21" s="9" t="n"/>
      <c r="J21" s="8">
        <f>IFERROR(INDEX(спр_Материалы!$B$2:$B$9000,MATCH($I21,спр_Материалы!$A$2:$A$9000,0)),"")</f>
        <v/>
      </c>
      <c r="K21">
        <f>IF($I21="","",IF($F21=IFERROR(INDEX(спр_Материалы!$G$2:$G$9000,MATCH($I21,спр_Материалы!$A$2:$A$9000,0)),""),"OK","!! не та группа"))</f>
        <v/>
      </c>
      <c r="L21" s="10">
        <f>IFERROR(INDEX(спр_Работы!$H$2:$H$6000,MATCH($C21,спр_Работы!$A$2:$A$6000,0))*(1-ДисконтТендер),0)</f>
        <v/>
      </c>
      <c r="M21" s="10">
        <f>IF($I21="",0,IFERROR(INDEX(спр_Материалы!$I$2:$I$9000,MATCH($I21,спр_Материалы!$A$2:$A$9000,0))*IF(INDEX(спр_Материалы!$J$2:$J$9000,MATCH($I21,спр_Материалы!$A$2:$A$9000,0))="USD",КурсUSD,IF(INDEX(спр_Материалы!$J$2:$J$9000,MATCH($I21,спр_Материалы!$A$2:$A$9000,0))="EUR",КурсEUR,1))*INDEX(спр_Материалы!$K$2:$K$9000,MATCH($I21,спр_Материалы!$A$2:$A$9000,0))*(1+IFERROR(INDEX(спр_Работы!$I$2:$I$6000,MATCH($C21,спр_Работы!$A$2:$A$6000,0))/100,0))*(1-ДисконтТендер),0))</f>
        <v/>
      </c>
      <c r="N21" s="10">
        <f>IF(AND($R21="да",$H21&lt;&gt;""),ROUND($H21*$L21,2),0)</f>
        <v/>
      </c>
      <c r="O21" s="10">
        <f>IF(AND($R21="да",$H21&lt;&gt;""),ROUND($H21*$M21,2),0)</f>
        <v/>
      </c>
      <c r="P21" s="10">
        <f>$N21+$O21</f>
        <v/>
      </c>
      <c r="Q21">
        <f>IFERROR(INDEX(спр_Работы!$J$2:$J$6000,MATCH($C21,спр_Работы!$A$2:$A$6000,0)),"")</f>
        <v/>
      </c>
      <c r="R21" t="inlineStr">
        <is>
          <t>да</t>
        </is>
      </c>
      <c r="T21">
        <f>IF(AND($P21&gt;0,$R21="да"),MAX($T$1:$T20)+1,"")</f>
        <v/>
      </c>
    </row>
    <row r="22">
      <c r="A22">
        <f>IFERROR(INDEX(спр_Работы!$D$2:$D$6000,MATCH($C22,спр_Работы!$A$2:$A$6000,0)),"")</f>
        <v/>
      </c>
      <c r="B22">
        <f>IFERROR(INDEX(спр_Работы!$F$2:$F$6000,MATCH($C22,спр_Работы!$A$2:$A$6000,0)),"")</f>
        <v/>
      </c>
      <c r="C22">
        <f>IFERROR(INDEX(спр_Работы!$A$2:$A$6000,21),"")</f>
        <v/>
      </c>
      <c r="D22" s="8">
        <f>IFERROR(INDEX(спр_Работы!$B$2:$B$6000,MATCH($C22,спр_Работы!$A$2:$A$6000,0)),"")</f>
        <v/>
      </c>
      <c r="E22">
        <f>IFERROR(INDEX(спр_Работы!$C$2:$C$6000,MATCH($C22,спр_Работы!$A$2:$A$6000,0)),"")</f>
        <v/>
      </c>
      <c r="F22">
        <f>IFERROR(INDEX(спр_Работы!$G$2:$G$6000,MATCH($C22,спр_Работы!$A$2:$A$6000,0)),"")</f>
        <v/>
      </c>
      <c r="G22">
        <f>IFERROR(INDEX(спр_Работы!$K$2:$K$6000,MATCH($C22,спр_Работы!$A$2:$A$6000,0)),"")</f>
        <v/>
      </c>
      <c r="H22" s="9" t="n"/>
      <c r="I22" s="9" t="n"/>
      <c r="J22" s="8">
        <f>IFERROR(INDEX(спр_Материалы!$B$2:$B$9000,MATCH($I22,спр_Материалы!$A$2:$A$9000,0)),"")</f>
        <v/>
      </c>
      <c r="K22">
        <f>IF($I22="","",IF($F22=IFERROR(INDEX(спр_Материалы!$G$2:$G$9000,MATCH($I22,спр_Материалы!$A$2:$A$9000,0)),""),"OK","!! не та группа"))</f>
        <v/>
      </c>
      <c r="L22" s="10">
        <f>IFERROR(INDEX(спр_Работы!$H$2:$H$6000,MATCH($C22,спр_Работы!$A$2:$A$6000,0))*(1-ДисконтТендер),0)</f>
        <v/>
      </c>
      <c r="M22" s="10">
        <f>IF($I22="",0,IFERROR(INDEX(спр_Материалы!$I$2:$I$9000,MATCH($I22,спр_Материалы!$A$2:$A$9000,0))*IF(INDEX(спр_Материалы!$J$2:$J$9000,MATCH($I22,спр_Материалы!$A$2:$A$9000,0))="USD",КурсUSD,IF(INDEX(спр_Материалы!$J$2:$J$9000,MATCH($I22,спр_Материалы!$A$2:$A$9000,0))="EUR",КурсEUR,1))*INDEX(спр_Материалы!$K$2:$K$9000,MATCH($I22,спр_Материалы!$A$2:$A$9000,0))*(1+IFERROR(INDEX(спр_Работы!$I$2:$I$6000,MATCH($C22,спр_Работы!$A$2:$A$6000,0))/100,0))*(1-ДисконтТендер),0))</f>
        <v/>
      </c>
      <c r="N22" s="10">
        <f>IF(AND($R22="да",$H22&lt;&gt;""),ROUND($H22*$L22,2),0)</f>
        <v/>
      </c>
      <c r="O22" s="10">
        <f>IF(AND($R22="да",$H22&lt;&gt;""),ROUND($H22*$M22,2),0)</f>
        <v/>
      </c>
      <c r="P22" s="10">
        <f>$N22+$O22</f>
        <v/>
      </c>
      <c r="Q22">
        <f>IFERROR(INDEX(спр_Работы!$J$2:$J$6000,MATCH($C22,спр_Работы!$A$2:$A$6000,0)),"")</f>
        <v/>
      </c>
      <c r="R22" t="inlineStr">
        <is>
          <t>да</t>
        </is>
      </c>
      <c r="T22">
        <f>IF(AND($P22&gt;0,$R22="да"),MAX($T$1:$T21)+1,"")</f>
        <v/>
      </c>
    </row>
    <row r="23">
      <c r="A23">
        <f>IFERROR(INDEX(спр_Работы!$D$2:$D$6000,MATCH($C23,спр_Работы!$A$2:$A$6000,0)),"")</f>
        <v/>
      </c>
      <c r="B23">
        <f>IFERROR(INDEX(спр_Работы!$F$2:$F$6000,MATCH($C23,спр_Работы!$A$2:$A$6000,0)),"")</f>
        <v/>
      </c>
      <c r="C23">
        <f>IFERROR(INDEX(спр_Работы!$A$2:$A$6000,22),"")</f>
        <v/>
      </c>
      <c r="D23" s="8">
        <f>IFERROR(INDEX(спр_Работы!$B$2:$B$6000,MATCH($C23,спр_Работы!$A$2:$A$6000,0)),"")</f>
        <v/>
      </c>
      <c r="E23">
        <f>IFERROR(INDEX(спр_Работы!$C$2:$C$6000,MATCH($C23,спр_Работы!$A$2:$A$6000,0)),"")</f>
        <v/>
      </c>
      <c r="F23">
        <f>IFERROR(INDEX(спр_Работы!$G$2:$G$6000,MATCH($C23,спр_Работы!$A$2:$A$6000,0)),"")</f>
        <v/>
      </c>
      <c r="G23">
        <f>IFERROR(INDEX(спр_Работы!$K$2:$K$6000,MATCH($C23,спр_Работы!$A$2:$A$6000,0)),"")</f>
        <v/>
      </c>
      <c r="H23" s="9" t="n"/>
      <c r="I23" s="9" t="n"/>
      <c r="J23" s="8">
        <f>IFERROR(INDEX(спр_Материалы!$B$2:$B$9000,MATCH($I23,спр_Материалы!$A$2:$A$9000,0)),"")</f>
        <v/>
      </c>
      <c r="K23">
        <f>IF($I23="","",IF($F23=IFERROR(INDEX(спр_Материалы!$G$2:$G$9000,MATCH($I23,спр_Материалы!$A$2:$A$9000,0)),""),"OK","!! не та группа"))</f>
        <v/>
      </c>
      <c r="L23" s="10">
        <f>IFERROR(INDEX(спр_Работы!$H$2:$H$6000,MATCH($C23,спр_Работы!$A$2:$A$6000,0))*(1-ДисконтТендер),0)</f>
        <v/>
      </c>
      <c r="M23" s="10">
        <f>IF($I23="",0,IFERROR(INDEX(спр_Материалы!$I$2:$I$9000,MATCH($I23,спр_Материалы!$A$2:$A$9000,0))*IF(INDEX(спр_Материалы!$J$2:$J$9000,MATCH($I23,спр_Материалы!$A$2:$A$9000,0))="USD",КурсUSD,IF(INDEX(спр_Материалы!$J$2:$J$9000,MATCH($I23,спр_Материалы!$A$2:$A$9000,0))="EUR",КурсEUR,1))*INDEX(спр_Материалы!$K$2:$K$9000,MATCH($I23,спр_Материалы!$A$2:$A$9000,0))*(1+IFERROR(INDEX(спр_Работы!$I$2:$I$6000,MATCH($C23,спр_Работы!$A$2:$A$6000,0))/100,0))*(1-ДисконтТендер),0))</f>
        <v/>
      </c>
      <c r="N23" s="10">
        <f>IF(AND($R23="да",$H23&lt;&gt;""),ROUND($H23*$L23,2),0)</f>
        <v/>
      </c>
      <c r="O23" s="10">
        <f>IF(AND($R23="да",$H23&lt;&gt;""),ROUND($H23*$M23,2),0)</f>
        <v/>
      </c>
      <c r="P23" s="10">
        <f>$N23+$O23</f>
        <v/>
      </c>
      <c r="Q23">
        <f>IFERROR(INDEX(спр_Работы!$J$2:$J$6000,MATCH($C23,спр_Работы!$A$2:$A$6000,0)),"")</f>
        <v/>
      </c>
      <c r="R23" t="inlineStr">
        <is>
          <t>да</t>
        </is>
      </c>
      <c r="T23">
        <f>IF(AND($P23&gt;0,$R23="да"),MAX($T$1:$T22)+1,"")</f>
        <v/>
      </c>
    </row>
    <row r="24">
      <c r="A24">
        <f>IFERROR(INDEX(спр_Работы!$D$2:$D$6000,MATCH($C24,спр_Работы!$A$2:$A$6000,0)),"")</f>
        <v/>
      </c>
      <c r="B24">
        <f>IFERROR(INDEX(спр_Работы!$F$2:$F$6000,MATCH($C24,спр_Работы!$A$2:$A$6000,0)),"")</f>
        <v/>
      </c>
      <c r="C24">
        <f>IFERROR(INDEX(спр_Работы!$A$2:$A$6000,23),"")</f>
        <v/>
      </c>
      <c r="D24" s="8">
        <f>IFERROR(INDEX(спр_Работы!$B$2:$B$6000,MATCH($C24,спр_Работы!$A$2:$A$6000,0)),"")</f>
        <v/>
      </c>
      <c r="E24">
        <f>IFERROR(INDEX(спр_Работы!$C$2:$C$6000,MATCH($C24,спр_Работы!$A$2:$A$6000,0)),"")</f>
        <v/>
      </c>
      <c r="F24">
        <f>IFERROR(INDEX(спр_Работы!$G$2:$G$6000,MATCH($C24,спр_Работы!$A$2:$A$6000,0)),"")</f>
        <v/>
      </c>
      <c r="G24">
        <f>IFERROR(INDEX(спр_Работы!$K$2:$K$6000,MATCH($C24,спр_Работы!$A$2:$A$6000,0)),"")</f>
        <v/>
      </c>
      <c r="H24" s="9" t="n"/>
      <c r="I24" s="9" t="n"/>
      <c r="J24" s="8">
        <f>IFERROR(INDEX(спр_Материалы!$B$2:$B$9000,MATCH($I24,спр_Материалы!$A$2:$A$9000,0)),"")</f>
        <v/>
      </c>
      <c r="K24">
        <f>IF($I24="","",IF($F24=IFERROR(INDEX(спр_Материалы!$G$2:$G$9000,MATCH($I24,спр_Материалы!$A$2:$A$9000,0)),""),"OK","!! не та группа"))</f>
        <v/>
      </c>
      <c r="L24" s="10">
        <f>IFERROR(INDEX(спр_Работы!$H$2:$H$6000,MATCH($C24,спр_Работы!$A$2:$A$6000,0))*(1-ДисконтТендер),0)</f>
        <v/>
      </c>
      <c r="M24" s="10">
        <f>IF($I24="",0,IFERROR(INDEX(спр_Материалы!$I$2:$I$9000,MATCH($I24,спр_Материалы!$A$2:$A$9000,0))*IF(INDEX(спр_Материалы!$J$2:$J$9000,MATCH($I24,спр_Материалы!$A$2:$A$9000,0))="USD",КурсUSD,IF(INDEX(спр_Материалы!$J$2:$J$9000,MATCH($I24,спр_Материалы!$A$2:$A$9000,0))="EUR",КурсEUR,1))*INDEX(спр_Материалы!$K$2:$K$9000,MATCH($I24,спр_Материалы!$A$2:$A$9000,0))*(1+IFERROR(INDEX(спр_Работы!$I$2:$I$6000,MATCH($C24,спр_Работы!$A$2:$A$6000,0))/100,0))*(1-ДисконтТендер),0))</f>
        <v/>
      </c>
      <c r="N24" s="10">
        <f>IF(AND($R24="да",$H24&lt;&gt;""),ROUND($H24*$L24,2),0)</f>
        <v/>
      </c>
      <c r="O24" s="10">
        <f>IF(AND($R24="да",$H24&lt;&gt;""),ROUND($H24*$M24,2),0)</f>
        <v/>
      </c>
      <c r="P24" s="10">
        <f>$N24+$O24</f>
        <v/>
      </c>
      <c r="Q24">
        <f>IFERROR(INDEX(спр_Работы!$J$2:$J$6000,MATCH($C24,спр_Работы!$A$2:$A$6000,0)),"")</f>
        <v/>
      </c>
      <c r="R24" t="inlineStr">
        <is>
          <t>да</t>
        </is>
      </c>
      <c r="T24">
        <f>IF(AND($P24&gt;0,$R24="да"),MAX($T$1:$T23)+1,"")</f>
        <v/>
      </c>
    </row>
    <row r="25">
      <c r="A25">
        <f>IFERROR(INDEX(спр_Работы!$D$2:$D$6000,MATCH($C25,спр_Работы!$A$2:$A$6000,0)),"")</f>
        <v/>
      </c>
      <c r="B25">
        <f>IFERROR(INDEX(спр_Работы!$F$2:$F$6000,MATCH($C25,спр_Работы!$A$2:$A$6000,0)),"")</f>
        <v/>
      </c>
      <c r="C25">
        <f>IFERROR(INDEX(спр_Работы!$A$2:$A$6000,24),"")</f>
        <v/>
      </c>
      <c r="D25" s="8">
        <f>IFERROR(INDEX(спр_Работы!$B$2:$B$6000,MATCH($C25,спр_Работы!$A$2:$A$6000,0)),"")</f>
        <v/>
      </c>
      <c r="E25">
        <f>IFERROR(INDEX(спр_Работы!$C$2:$C$6000,MATCH($C25,спр_Работы!$A$2:$A$6000,0)),"")</f>
        <v/>
      </c>
      <c r="F25">
        <f>IFERROR(INDEX(спр_Работы!$G$2:$G$6000,MATCH($C25,спр_Работы!$A$2:$A$6000,0)),"")</f>
        <v/>
      </c>
      <c r="G25">
        <f>IFERROR(INDEX(спр_Работы!$K$2:$K$6000,MATCH($C25,спр_Работы!$A$2:$A$6000,0)),"")</f>
        <v/>
      </c>
      <c r="H25" s="9" t="n"/>
      <c r="I25" s="9" t="n"/>
      <c r="J25" s="8">
        <f>IFERROR(INDEX(спр_Материалы!$B$2:$B$9000,MATCH($I25,спр_Материалы!$A$2:$A$9000,0)),"")</f>
        <v/>
      </c>
      <c r="K25">
        <f>IF($I25="","",IF($F25=IFERROR(INDEX(спр_Материалы!$G$2:$G$9000,MATCH($I25,спр_Материалы!$A$2:$A$9000,0)),""),"OK","!! не та группа"))</f>
        <v/>
      </c>
      <c r="L25" s="10">
        <f>IFERROR(INDEX(спр_Работы!$H$2:$H$6000,MATCH($C25,спр_Работы!$A$2:$A$6000,0))*(1-ДисконтТендер),0)</f>
        <v/>
      </c>
      <c r="M25" s="10">
        <f>IF($I25="",0,IFERROR(INDEX(спр_Материалы!$I$2:$I$9000,MATCH($I25,спр_Материалы!$A$2:$A$9000,0))*IF(INDEX(спр_Материалы!$J$2:$J$9000,MATCH($I25,спр_Материалы!$A$2:$A$9000,0))="USD",КурсUSD,IF(INDEX(спр_Материалы!$J$2:$J$9000,MATCH($I25,спр_Материалы!$A$2:$A$9000,0))="EUR",КурсEUR,1))*INDEX(спр_Материалы!$K$2:$K$9000,MATCH($I25,спр_Материалы!$A$2:$A$9000,0))*(1+IFERROR(INDEX(спр_Работы!$I$2:$I$6000,MATCH($C25,спр_Работы!$A$2:$A$6000,0))/100,0))*(1-ДисконтТендер),0))</f>
        <v/>
      </c>
      <c r="N25" s="10">
        <f>IF(AND($R25="да",$H25&lt;&gt;""),ROUND($H25*$L25,2),0)</f>
        <v/>
      </c>
      <c r="O25" s="10">
        <f>IF(AND($R25="да",$H25&lt;&gt;""),ROUND($H25*$M25,2),0)</f>
        <v/>
      </c>
      <c r="P25" s="10">
        <f>$N25+$O25</f>
        <v/>
      </c>
      <c r="Q25">
        <f>IFERROR(INDEX(спр_Работы!$J$2:$J$6000,MATCH($C25,спр_Работы!$A$2:$A$6000,0)),"")</f>
        <v/>
      </c>
      <c r="R25" t="inlineStr">
        <is>
          <t>да</t>
        </is>
      </c>
      <c r="T25">
        <f>IF(AND($P25&gt;0,$R25="да"),MAX($T$1:$T24)+1,"")</f>
        <v/>
      </c>
    </row>
    <row r="26">
      <c r="A26">
        <f>IFERROR(INDEX(спр_Работы!$D$2:$D$6000,MATCH($C26,спр_Работы!$A$2:$A$6000,0)),"")</f>
        <v/>
      </c>
      <c r="B26">
        <f>IFERROR(INDEX(спр_Работы!$F$2:$F$6000,MATCH($C26,спр_Работы!$A$2:$A$6000,0)),"")</f>
        <v/>
      </c>
      <c r="C26">
        <f>IFERROR(INDEX(спр_Работы!$A$2:$A$6000,25),"")</f>
        <v/>
      </c>
      <c r="D26" s="8">
        <f>IFERROR(INDEX(спр_Работы!$B$2:$B$6000,MATCH($C26,спр_Работы!$A$2:$A$6000,0)),"")</f>
        <v/>
      </c>
      <c r="E26">
        <f>IFERROR(INDEX(спр_Работы!$C$2:$C$6000,MATCH($C26,спр_Работы!$A$2:$A$6000,0)),"")</f>
        <v/>
      </c>
      <c r="F26">
        <f>IFERROR(INDEX(спр_Работы!$G$2:$G$6000,MATCH($C26,спр_Работы!$A$2:$A$6000,0)),"")</f>
        <v/>
      </c>
      <c r="G26">
        <f>IFERROR(INDEX(спр_Работы!$K$2:$K$6000,MATCH($C26,спр_Работы!$A$2:$A$6000,0)),"")</f>
        <v/>
      </c>
      <c r="H26" s="9" t="n"/>
      <c r="I26" s="9" t="n"/>
      <c r="J26" s="8">
        <f>IFERROR(INDEX(спр_Материалы!$B$2:$B$9000,MATCH($I26,спр_Материалы!$A$2:$A$9000,0)),"")</f>
        <v/>
      </c>
      <c r="K26">
        <f>IF($I26="","",IF($F26=IFERROR(INDEX(спр_Материалы!$G$2:$G$9000,MATCH($I26,спр_Материалы!$A$2:$A$9000,0)),""),"OK","!! не та группа"))</f>
        <v/>
      </c>
      <c r="L26" s="10">
        <f>IFERROR(INDEX(спр_Работы!$H$2:$H$6000,MATCH($C26,спр_Работы!$A$2:$A$6000,0))*(1-ДисконтТендер),0)</f>
        <v/>
      </c>
      <c r="M26" s="10">
        <f>IF($I26="",0,IFERROR(INDEX(спр_Материалы!$I$2:$I$9000,MATCH($I26,спр_Материалы!$A$2:$A$9000,0))*IF(INDEX(спр_Материалы!$J$2:$J$9000,MATCH($I26,спр_Материалы!$A$2:$A$9000,0))="USD",КурсUSD,IF(INDEX(спр_Материалы!$J$2:$J$9000,MATCH($I26,спр_Материалы!$A$2:$A$9000,0))="EUR",КурсEUR,1))*INDEX(спр_Материалы!$K$2:$K$9000,MATCH($I26,спр_Материалы!$A$2:$A$9000,0))*(1+IFERROR(INDEX(спр_Работы!$I$2:$I$6000,MATCH($C26,спр_Работы!$A$2:$A$6000,0))/100,0))*(1-ДисконтТендер),0))</f>
        <v/>
      </c>
      <c r="N26" s="10">
        <f>IF(AND($R26="да",$H26&lt;&gt;""),ROUND($H26*$L26,2),0)</f>
        <v/>
      </c>
      <c r="O26" s="10">
        <f>IF(AND($R26="да",$H26&lt;&gt;""),ROUND($H26*$M26,2),0)</f>
        <v/>
      </c>
      <c r="P26" s="10">
        <f>$N26+$O26</f>
        <v/>
      </c>
      <c r="Q26">
        <f>IFERROR(INDEX(спр_Работы!$J$2:$J$6000,MATCH($C26,спр_Работы!$A$2:$A$6000,0)),"")</f>
        <v/>
      </c>
      <c r="R26" t="inlineStr">
        <is>
          <t>да</t>
        </is>
      </c>
      <c r="T26">
        <f>IF(AND($P26&gt;0,$R26="да"),MAX($T$1:$T25)+1,"")</f>
        <v/>
      </c>
    </row>
    <row r="27">
      <c r="A27">
        <f>IFERROR(INDEX(спр_Работы!$D$2:$D$6000,MATCH($C27,спр_Работы!$A$2:$A$6000,0)),"")</f>
        <v/>
      </c>
      <c r="B27">
        <f>IFERROR(INDEX(спр_Работы!$F$2:$F$6000,MATCH($C27,спр_Работы!$A$2:$A$6000,0)),"")</f>
        <v/>
      </c>
      <c r="C27">
        <f>IFERROR(INDEX(спр_Работы!$A$2:$A$6000,26),"")</f>
        <v/>
      </c>
      <c r="D27" s="8">
        <f>IFERROR(INDEX(спр_Работы!$B$2:$B$6000,MATCH($C27,спр_Работы!$A$2:$A$6000,0)),"")</f>
        <v/>
      </c>
      <c r="E27">
        <f>IFERROR(INDEX(спр_Работы!$C$2:$C$6000,MATCH($C27,спр_Работы!$A$2:$A$6000,0)),"")</f>
        <v/>
      </c>
      <c r="F27">
        <f>IFERROR(INDEX(спр_Работы!$G$2:$G$6000,MATCH($C27,спр_Работы!$A$2:$A$6000,0)),"")</f>
        <v/>
      </c>
      <c r="G27">
        <f>IFERROR(INDEX(спр_Работы!$K$2:$K$6000,MATCH($C27,спр_Работы!$A$2:$A$6000,0)),"")</f>
        <v/>
      </c>
      <c r="H27" s="9" t="n"/>
      <c r="I27" s="9" t="n"/>
      <c r="J27" s="8">
        <f>IFERROR(INDEX(спр_Материалы!$B$2:$B$9000,MATCH($I27,спр_Материалы!$A$2:$A$9000,0)),"")</f>
        <v/>
      </c>
      <c r="K27">
        <f>IF($I27="","",IF($F27=IFERROR(INDEX(спр_Материалы!$G$2:$G$9000,MATCH($I27,спр_Материалы!$A$2:$A$9000,0)),""),"OK","!! не та группа"))</f>
        <v/>
      </c>
      <c r="L27" s="10">
        <f>IFERROR(INDEX(спр_Работы!$H$2:$H$6000,MATCH($C27,спр_Работы!$A$2:$A$6000,0))*(1-ДисконтТендер),0)</f>
        <v/>
      </c>
      <c r="M27" s="10">
        <f>IF($I27="",0,IFERROR(INDEX(спр_Материалы!$I$2:$I$9000,MATCH($I27,спр_Материалы!$A$2:$A$9000,0))*IF(INDEX(спр_Материалы!$J$2:$J$9000,MATCH($I27,спр_Материалы!$A$2:$A$9000,0))="USD",КурсUSD,IF(INDEX(спр_Материалы!$J$2:$J$9000,MATCH($I27,спр_Материалы!$A$2:$A$9000,0))="EUR",КурсEUR,1))*INDEX(спр_Материалы!$K$2:$K$9000,MATCH($I27,спр_Материалы!$A$2:$A$9000,0))*(1+IFERROR(INDEX(спр_Работы!$I$2:$I$6000,MATCH($C27,спр_Работы!$A$2:$A$6000,0))/100,0))*(1-ДисконтТендер),0))</f>
        <v/>
      </c>
      <c r="N27" s="10">
        <f>IF(AND($R27="да",$H27&lt;&gt;""),ROUND($H27*$L27,2),0)</f>
        <v/>
      </c>
      <c r="O27" s="10">
        <f>IF(AND($R27="да",$H27&lt;&gt;""),ROUND($H27*$M27,2),0)</f>
        <v/>
      </c>
      <c r="P27" s="10">
        <f>$N27+$O27</f>
        <v/>
      </c>
      <c r="Q27">
        <f>IFERROR(INDEX(спр_Работы!$J$2:$J$6000,MATCH($C27,спр_Работы!$A$2:$A$6000,0)),"")</f>
        <v/>
      </c>
      <c r="R27" t="inlineStr">
        <is>
          <t>да</t>
        </is>
      </c>
      <c r="T27">
        <f>IF(AND($P27&gt;0,$R27="да"),MAX($T$1:$T26)+1,"")</f>
        <v/>
      </c>
    </row>
    <row r="28">
      <c r="A28">
        <f>IFERROR(INDEX(спр_Работы!$D$2:$D$6000,MATCH($C28,спр_Работы!$A$2:$A$6000,0)),"")</f>
        <v/>
      </c>
      <c r="B28">
        <f>IFERROR(INDEX(спр_Работы!$F$2:$F$6000,MATCH($C28,спр_Работы!$A$2:$A$6000,0)),"")</f>
        <v/>
      </c>
      <c r="C28">
        <f>IFERROR(INDEX(спр_Работы!$A$2:$A$6000,27),"")</f>
        <v/>
      </c>
      <c r="D28" s="8">
        <f>IFERROR(INDEX(спр_Работы!$B$2:$B$6000,MATCH($C28,спр_Работы!$A$2:$A$6000,0)),"")</f>
        <v/>
      </c>
      <c r="E28">
        <f>IFERROR(INDEX(спр_Работы!$C$2:$C$6000,MATCH($C28,спр_Работы!$A$2:$A$6000,0)),"")</f>
        <v/>
      </c>
      <c r="F28">
        <f>IFERROR(INDEX(спр_Работы!$G$2:$G$6000,MATCH($C28,спр_Работы!$A$2:$A$6000,0)),"")</f>
        <v/>
      </c>
      <c r="G28">
        <f>IFERROR(INDEX(спр_Работы!$K$2:$K$6000,MATCH($C28,спр_Работы!$A$2:$A$6000,0)),"")</f>
        <v/>
      </c>
      <c r="H28" s="9" t="n"/>
      <c r="I28" s="9" t="n"/>
      <c r="J28" s="8">
        <f>IFERROR(INDEX(спр_Материалы!$B$2:$B$9000,MATCH($I28,спр_Материалы!$A$2:$A$9000,0)),"")</f>
        <v/>
      </c>
      <c r="K28">
        <f>IF($I28="","",IF($F28=IFERROR(INDEX(спр_Материалы!$G$2:$G$9000,MATCH($I28,спр_Материалы!$A$2:$A$9000,0)),""),"OK","!! не та группа"))</f>
        <v/>
      </c>
      <c r="L28" s="10">
        <f>IFERROR(INDEX(спр_Работы!$H$2:$H$6000,MATCH($C28,спр_Работы!$A$2:$A$6000,0))*(1-ДисконтТендер),0)</f>
        <v/>
      </c>
      <c r="M28" s="10">
        <f>IF($I28="",0,IFERROR(INDEX(спр_Материалы!$I$2:$I$9000,MATCH($I28,спр_Материалы!$A$2:$A$9000,0))*IF(INDEX(спр_Материалы!$J$2:$J$9000,MATCH($I28,спр_Материалы!$A$2:$A$9000,0))="USD",КурсUSD,IF(INDEX(спр_Материалы!$J$2:$J$9000,MATCH($I28,спр_Материалы!$A$2:$A$9000,0))="EUR",КурсEUR,1))*INDEX(спр_Материалы!$K$2:$K$9000,MATCH($I28,спр_Материалы!$A$2:$A$9000,0))*(1+IFERROR(INDEX(спр_Работы!$I$2:$I$6000,MATCH($C28,спр_Работы!$A$2:$A$6000,0))/100,0))*(1-ДисконтТендер),0))</f>
        <v/>
      </c>
      <c r="N28" s="10">
        <f>IF(AND($R28="да",$H28&lt;&gt;""),ROUND($H28*$L28,2),0)</f>
        <v/>
      </c>
      <c r="O28" s="10">
        <f>IF(AND($R28="да",$H28&lt;&gt;""),ROUND($H28*$M28,2),0)</f>
        <v/>
      </c>
      <c r="P28" s="10">
        <f>$N28+$O28</f>
        <v/>
      </c>
      <c r="Q28">
        <f>IFERROR(INDEX(спр_Работы!$J$2:$J$6000,MATCH($C28,спр_Работы!$A$2:$A$6000,0)),"")</f>
        <v/>
      </c>
      <c r="R28" t="inlineStr">
        <is>
          <t>да</t>
        </is>
      </c>
      <c r="T28">
        <f>IF(AND($P28&gt;0,$R28="да"),MAX($T$1:$T27)+1,"")</f>
        <v/>
      </c>
    </row>
    <row r="29">
      <c r="A29">
        <f>IFERROR(INDEX(спр_Работы!$D$2:$D$6000,MATCH($C29,спр_Работы!$A$2:$A$6000,0)),"")</f>
        <v/>
      </c>
      <c r="B29">
        <f>IFERROR(INDEX(спр_Работы!$F$2:$F$6000,MATCH($C29,спр_Работы!$A$2:$A$6000,0)),"")</f>
        <v/>
      </c>
      <c r="C29">
        <f>IFERROR(INDEX(спр_Работы!$A$2:$A$6000,28),"")</f>
        <v/>
      </c>
      <c r="D29" s="8">
        <f>IFERROR(INDEX(спр_Работы!$B$2:$B$6000,MATCH($C29,спр_Работы!$A$2:$A$6000,0)),"")</f>
        <v/>
      </c>
      <c r="E29">
        <f>IFERROR(INDEX(спр_Работы!$C$2:$C$6000,MATCH($C29,спр_Работы!$A$2:$A$6000,0)),"")</f>
        <v/>
      </c>
      <c r="F29">
        <f>IFERROR(INDEX(спр_Работы!$G$2:$G$6000,MATCH($C29,спр_Работы!$A$2:$A$6000,0)),"")</f>
        <v/>
      </c>
      <c r="G29">
        <f>IFERROR(INDEX(спр_Работы!$K$2:$K$6000,MATCH($C29,спр_Работы!$A$2:$A$6000,0)),"")</f>
        <v/>
      </c>
      <c r="H29" s="9" t="n"/>
      <c r="I29" s="9" t="n"/>
      <c r="J29" s="8">
        <f>IFERROR(INDEX(спр_Материалы!$B$2:$B$9000,MATCH($I29,спр_Материалы!$A$2:$A$9000,0)),"")</f>
        <v/>
      </c>
      <c r="K29">
        <f>IF($I29="","",IF($F29=IFERROR(INDEX(спр_Материалы!$G$2:$G$9000,MATCH($I29,спр_Материалы!$A$2:$A$9000,0)),""),"OK","!! не та группа"))</f>
        <v/>
      </c>
      <c r="L29" s="10">
        <f>IFERROR(INDEX(спр_Работы!$H$2:$H$6000,MATCH($C29,спр_Работы!$A$2:$A$6000,0))*(1-ДисконтТендер),0)</f>
        <v/>
      </c>
      <c r="M29" s="10">
        <f>IF($I29="",0,IFERROR(INDEX(спр_Материалы!$I$2:$I$9000,MATCH($I29,спр_Материалы!$A$2:$A$9000,0))*IF(INDEX(спр_Материалы!$J$2:$J$9000,MATCH($I29,спр_Материалы!$A$2:$A$9000,0))="USD",КурсUSD,IF(INDEX(спр_Материалы!$J$2:$J$9000,MATCH($I29,спр_Материалы!$A$2:$A$9000,0))="EUR",КурсEUR,1))*INDEX(спр_Материалы!$K$2:$K$9000,MATCH($I29,спр_Материалы!$A$2:$A$9000,0))*(1+IFERROR(INDEX(спр_Работы!$I$2:$I$6000,MATCH($C29,спр_Работы!$A$2:$A$6000,0))/100,0))*(1-ДисконтТендер),0))</f>
        <v/>
      </c>
      <c r="N29" s="10">
        <f>IF(AND($R29="да",$H29&lt;&gt;""),ROUND($H29*$L29,2),0)</f>
        <v/>
      </c>
      <c r="O29" s="10">
        <f>IF(AND($R29="да",$H29&lt;&gt;""),ROUND($H29*$M29,2),0)</f>
        <v/>
      </c>
      <c r="P29" s="10">
        <f>$N29+$O29</f>
        <v/>
      </c>
      <c r="Q29">
        <f>IFERROR(INDEX(спр_Работы!$J$2:$J$6000,MATCH($C29,спр_Работы!$A$2:$A$6000,0)),"")</f>
        <v/>
      </c>
      <c r="R29" t="inlineStr">
        <is>
          <t>да</t>
        </is>
      </c>
      <c r="T29">
        <f>IF(AND($P29&gt;0,$R29="да"),MAX($T$1:$T28)+1,"")</f>
        <v/>
      </c>
    </row>
    <row r="30">
      <c r="A30">
        <f>IFERROR(INDEX(спр_Работы!$D$2:$D$6000,MATCH($C30,спр_Работы!$A$2:$A$6000,0)),"")</f>
        <v/>
      </c>
      <c r="B30">
        <f>IFERROR(INDEX(спр_Работы!$F$2:$F$6000,MATCH($C30,спр_Работы!$A$2:$A$6000,0)),"")</f>
        <v/>
      </c>
      <c r="C30">
        <f>IFERROR(INDEX(спр_Работы!$A$2:$A$6000,29),"")</f>
        <v/>
      </c>
      <c r="D30" s="8">
        <f>IFERROR(INDEX(спр_Работы!$B$2:$B$6000,MATCH($C30,спр_Работы!$A$2:$A$6000,0)),"")</f>
        <v/>
      </c>
      <c r="E30">
        <f>IFERROR(INDEX(спр_Работы!$C$2:$C$6000,MATCH($C30,спр_Работы!$A$2:$A$6000,0)),"")</f>
        <v/>
      </c>
      <c r="F30">
        <f>IFERROR(INDEX(спр_Работы!$G$2:$G$6000,MATCH($C30,спр_Работы!$A$2:$A$6000,0)),"")</f>
        <v/>
      </c>
      <c r="G30">
        <f>IFERROR(INDEX(спр_Работы!$K$2:$K$6000,MATCH($C30,спр_Работы!$A$2:$A$6000,0)),"")</f>
        <v/>
      </c>
      <c r="H30" s="9" t="n"/>
      <c r="I30" s="9" t="n"/>
      <c r="J30" s="8">
        <f>IFERROR(INDEX(спр_Материалы!$B$2:$B$9000,MATCH($I30,спр_Материалы!$A$2:$A$9000,0)),"")</f>
        <v/>
      </c>
      <c r="K30">
        <f>IF($I30="","",IF($F30=IFERROR(INDEX(спр_Материалы!$G$2:$G$9000,MATCH($I30,спр_Материалы!$A$2:$A$9000,0)),""),"OK","!! не та группа"))</f>
        <v/>
      </c>
      <c r="L30" s="10">
        <f>IFERROR(INDEX(спр_Работы!$H$2:$H$6000,MATCH($C30,спр_Работы!$A$2:$A$6000,0))*(1-ДисконтТендер),0)</f>
        <v/>
      </c>
      <c r="M30" s="10">
        <f>IF($I30="",0,IFERROR(INDEX(спр_Материалы!$I$2:$I$9000,MATCH($I30,спр_Материалы!$A$2:$A$9000,0))*IF(INDEX(спр_Материалы!$J$2:$J$9000,MATCH($I30,спр_Материалы!$A$2:$A$9000,0))="USD",КурсUSD,IF(INDEX(спр_Материалы!$J$2:$J$9000,MATCH($I30,спр_Материалы!$A$2:$A$9000,0))="EUR",КурсEUR,1))*INDEX(спр_Материалы!$K$2:$K$9000,MATCH($I30,спр_Материалы!$A$2:$A$9000,0))*(1+IFERROR(INDEX(спр_Работы!$I$2:$I$6000,MATCH($C30,спр_Работы!$A$2:$A$6000,0))/100,0))*(1-ДисконтТендер),0))</f>
        <v/>
      </c>
      <c r="N30" s="10">
        <f>IF(AND($R30="да",$H30&lt;&gt;""),ROUND($H30*$L30,2),0)</f>
        <v/>
      </c>
      <c r="O30" s="10">
        <f>IF(AND($R30="да",$H30&lt;&gt;""),ROUND($H30*$M30,2),0)</f>
        <v/>
      </c>
      <c r="P30" s="10">
        <f>$N30+$O30</f>
        <v/>
      </c>
      <c r="Q30">
        <f>IFERROR(INDEX(спр_Работы!$J$2:$J$6000,MATCH($C30,спр_Работы!$A$2:$A$6000,0)),"")</f>
        <v/>
      </c>
      <c r="R30" t="inlineStr">
        <is>
          <t>да</t>
        </is>
      </c>
      <c r="T30">
        <f>IF(AND($P30&gt;0,$R30="да"),MAX($T$1:$T29)+1,"")</f>
        <v/>
      </c>
    </row>
    <row r="31">
      <c r="A31">
        <f>IFERROR(INDEX(спр_Работы!$D$2:$D$6000,MATCH($C31,спр_Работы!$A$2:$A$6000,0)),"")</f>
        <v/>
      </c>
      <c r="B31">
        <f>IFERROR(INDEX(спр_Работы!$F$2:$F$6000,MATCH($C31,спр_Работы!$A$2:$A$6000,0)),"")</f>
        <v/>
      </c>
      <c r="C31">
        <f>IFERROR(INDEX(спр_Работы!$A$2:$A$6000,30),"")</f>
        <v/>
      </c>
      <c r="D31" s="8">
        <f>IFERROR(INDEX(спр_Работы!$B$2:$B$6000,MATCH($C31,спр_Работы!$A$2:$A$6000,0)),"")</f>
        <v/>
      </c>
      <c r="E31">
        <f>IFERROR(INDEX(спр_Работы!$C$2:$C$6000,MATCH($C31,спр_Работы!$A$2:$A$6000,0)),"")</f>
        <v/>
      </c>
      <c r="F31">
        <f>IFERROR(INDEX(спр_Работы!$G$2:$G$6000,MATCH($C31,спр_Работы!$A$2:$A$6000,0)),"")</f>
        <v/>
      </c>
      <c r="G31">
        <f>IFERROR(INDEX(спр_Работы!$K$2:$K$6000,MATCH($C31,спр_Работы!$A$2:$A$6000,0)),"")</f>
        <v/>
      </c>
      <c r="H31" s="9" t="n"/>
      <c r="I31" s="9" t="n"/>
      <c r="J31" s="8">
        <f>IFERROR(INDEX(спр_Материалы!$B$2:$B$9000,MATCH($I31,спр_Материалы!$A$2:$A$9000,0)),"")</f>
        <v/>
      </c>
      <c r="K31">
        <f>IF($I31="","",IF($F31=IFERROR(INDEX(спр_Материалы!$G$2:$G$9000,MATCH($I31,спр_Материалы!$A$2:$A$9000,0)),""),"OK","!! не та группа"))</f>
        <v/>
      </c>
      <c r="L31" s="10">
        <f>IFERROR(INDEX(спр_Работы!$H$2:$H$6000,MATCH($C31,спр_Работы!$A$2:$A$6000,0))*(1-ДисконтТендер),0)</f>
        <v/>
      </c>
      <c r="M31" s="10">
        <f>IF($I31="",0,IFERROR(INDEX(спр_Материалы!$I$2:$I$9000,MATCH($I31,спр_Материалы!$A$2:$A$9000,0))*IF(INDEX(спр_Материалы!$J$2:$J$9000,MATCH($I31,спр_Материалы!$A$2:$A$9000,0))="USD",КурсUSD,IF(INDEX(спр_Материалы!$J$2:$J$9000,MATCH($I31,спр_Материалы!$A$2:$A$9000,0))="EUR",КурсEUR,1))*INDEX(спр_Материалы!$K$2:$K$9000,MATCH($I31,спр_Материалы!$A$2:$A$9000,0))*(1+IFERROR(INDEX(спр_Работы!$I$2:$I$6000,MATCH($C31,спр_Работы!$A$2:$A$6000,0))/100,0))*(1-ДисконтТендер),0))</f>
        <v/>
      </c>
      <c r="N31" s="10">
        <f>IF(AND($R31="да",$H31&lt;&gt;""),ROUND($H31*$L31,2),0)</f>
        <v/>
      </c>
      <c r="O31" s="10">
        <f>IF(AND($R31="да",$H31&lt;&gt;""),ROUND($H31*$M31,2),0)</f>
        <v/>
      </c>
      <c r="P31" s="10">
        <f>$N31+$O31</f>
        <v/>
      </c>
      <c r="Q31">
        <f>IFERROR(INDEX(спр_Работы!$J$2:$J$6000,MATCH($C31,спр_Работы!$A$2:$A$6000,0)),"")</f>
        <v/>
      </c>
      <c r="R31" t="inlineStr">
        <is>
          <t>да</t>
        </is>
      </c>
      <c r="T31">
        <f>IF(AND($P31&gt;0,$R31="да"),MAX($T$1:$T30)+1,"")</f>
        <v/>
      </c>
    </row>
    <row r="32">
      <c r="A32">
        <f>IFERROR(INDEX(спр_Работы!$D$2:$D$6000,MATCH($C32,спр_Работы!$A$2:$A$6000,0)),"")</f>
        <v/>
      </c>
      <c r="B32">
        <f>IFERROR(INDEX(спр_Работы!$F$2:$F$6000,MATCH($C32,спр_Работы!$A$2:$A$6000,0)),"")</f>
        <v/>
      </c>
      <c r="C32">
        <f>IFERROR(INDEX(спр_Работы!$A$2:$A$6000,31),"")</f>
        <v/>
      </c>
      <c r="D32" s="8">
        <f>IFERROR(INDEX(спр_Работы!$B$2:$B$6000,MATCH($C32,спр_Работы!$A$2:$A$6000,0)),"")</f>
        <v/>
      </c>
      <c r="E32">
        <f>IFERROR(INDEX(спр_Работы!$C$2:$C$6000,MATCH($C32,спр_Работы!$A$2:$A$6000,0)),"")</f>
        <v/>
      </c>
      <c r="F32">
        <f>IFERROR(INDEX(спр_Работы!$G$2:$G$6000,MATCH($C32,спр_Работы!$A$2:$A$6000,0)),"")</f>
        <v/>
      </c>
      <c r="G32">
        <f>IFERROR(INDEX(спр_Работы!$K$2:$K$6000,MATCH($C32,спр_Работы!$A$2:$A$6000,0)),"")</f>
        <v/>
      </c>
      <c r="H32" s="9" t="n"/>
      <c r="I32" s="9" t="n"/>
      <c r="J32" s="8">
        <f>IFERROR(INDEX(спр_Материалы!$B$2:$B$9000,MATCH($I32,спр_Материалы!$A$2:$A$9000,0)),"")</f>
        <v/>
      </c>
      <c r="K32">
        <f>IF($I32="","",IF($F32=IFERROR(INDEX(спр_Материалы!$G$2:$G$9000,MATCH($I32,спр_Материалы!$A$2:$A$9000,0)),""),"OK","!! не та группа"))</f>
        <v/>
      </c>
      <c r="L32" s="10">
        <f>IFERROR(INDEX(спр_Работы!$H$2:$H$6000,MATCH($C32,спр_Работы!$A$2:$A$6000,0))*(1-ДисконтТендер),0)</f>
        <v/>
      </c>
      <c r="M32" s="10">
        <f>IF($I32="",0,IFERROR(INDEX(спр_Материалы!$I$2:$I$9000,MATCH($I32,спр_Материалы!$A$2:$A$9000,0))*IF(INDEX(спр_Материалы!$J$2:$J$9000,MATCH($I32,спр_Материалы!$A$2:$A$9000,0))="USD",КурсUSD,IF(INDEX(спр_Материалы!$J$2:$J$9000,MATCH($I32,спр_Материалы!$A$2:$A$9000,0))="EUR",КурсEUR,1))*INDEX(спр_Материалы!$K$2:$K$9000,MATCH($I32,спр_Материалы!$A$2:$A$9000,0))*(1+IFERROR(INDEX(спр_Работы!$I$2:$I$6000,MATCH($C32,спр_Работы!$A$2:$A$6000,0))/100,0))*(1-ДисконтТендер),0))</f>
        <v/>
      </c>
      <c r="N32" s="10">
        <f>IF(AND($R32="да",$H32&lt;&gt;""),ROUND($H32*$L32,2),0)</f>
        <v/>
      </c>
      <c r="O32" s="10">
        <f>IF(AND($R32="да",$H32&lt;&gt;""),ROUND($H32*$M32,2),0)</f>
        <v/>
      </c>
      <c r="P32" s="10">
        <f>$N32+$O32</f>
        <v/>
      </c>
      <c r="Q32">
        <f>IFERROR(INDEX(спр_Работы!$J$2:$J$6000,MATCH($C32,спр_Работы!$A$2:$A$6000,0)),"")</f>
        <v/>
      </c>
      <c r="R32" t="inlineStr">
        <is>
          <t>да</t>
        </is>
      </c>
      <c r="T32">
        <f>IF(AND($P32&gt;0,$R32="да"),MAX($T$1:$T31)+1,"")</f>
        <v/>
      </c>
    </row>
    <row r="33">
      <c r="A33">
        <f>IFERROR(INDEX(спр_Работы!$D$2:$D$6000,MATCH($C33,спр_Работы!$A$2:$A$6000,0)),"")</f>
        <v/>
      </c>
      <c r="B33">
        <f>IFERROR(INDEX(спр_Работы!$F$2:$F$6000,MATCH($C33,спр_Работы!$A$2:$A$6000,0)),"")</f>
        <v/>
      </c>
      <c r="C33">
        <f>IFERROR(INDEX(спр_Работы!$A$2:$A$6000,32),"")</f>
        <v/>
      </c>
      <c r="D33" s="8">
        <f>IFERROR(INDEX(спр_Работы!$B$2:$B$6000,MATCH($C33,спр_Работы!$A$2:$A$6000,0)),"")</f>
        <v/>
      </c>
      <c r="E33">
        <f>IFERROR(INDEX(спр_Работы!$C$2:$C$6000,MATCH($C33,спр_Работы!$A$2:$A$6000,0)),"")</f>
        <v/>
      </c>
      <c r="F33">
        <f>IFERROR(INDEX(спр_Работы!$G$2:$G$6000,MATCH($C33,спр_Работы!$A$2:$A$6000,0)),"")</f>
        <v/>
      </c>
      <c r="G33">
        <f>IFERROR(INDEX(спр_Работы!$K$2:$K$6000,MATCH($C33,спр_Работы!$A$2:$A$6000,0)),"")</f>
        <v/>
      </c>
      <c r="H33" s="9" t="n"/>
      <c r="I33" s="9" t="n"/>
      <c r="J33" s="8">
        <f>IFERROR(INDEX(спр_Материалы!$B$2:$B$9000,MATCH($I33,спр_Материалы!$A$2:$A$9000,0)),"")</f>
        <v/>
      </c>
      <c r="K33">
        <f>IF($I33="","",IF($F33=IFERROR(INDEX(спр_Материалы!$G$2:$G$9000,MATCH($I33,спр_Материалы!$A$2:$A$9000,0)),""),"OK","!! не та группа"))</f>
        <v/>
      </c>
      <c r="L33" s="10">
        <f>IFERROR(INDEX(спр_Работы!$H$2:$H$6000,MATCH($C33,спр_Работы!$A$2:$A$6000,0))*(1-ДисконтТендер),0)</f>
        <v/>
      </c>
      <c r="M33" s="10">
        <f>IF($I33="",0,IFERROR(INDEX(спр_Материалы!$I$2:$I$9000,MATCH($I33,спр_Материалы!$A$2:$A$9000,0))*IF(INDEX(спр_Материалы!$J$2:$J$9000,MATCH($I33,спр_Материалы!$A$2:$A$9000,0))="USD",КурсUSD,IF(INDEX(спр_Материалы!$J$2:$J$9000,MATCH($I33,спр_Материалы!$A$2:$A$9000,0))="EUR",КурсEUR,1))*INDEX(спр_Материалы!$K$2:$K$9000,MATCH($I33,спр_Материалы!$A$2:$A$9000,0))*(1+IFERROR(INDEX(спр_Работы!$I$2:$I$6000,MATCH($C33,спр_Работы!$A$2:$A$6000,0))/100,0))*(1-ДисконтТендер),0))</f>
        <v/>
      </c>
      <c r="N33" s="10">
        <f>IF(AND($R33="да",$H33&lt;&gt;""),ROUND($H33*$L33,2),0)</f>
        <v/>
      </c>
      <c r="O33" s="10">
        <f>IF(AND($R33="да",$H33&lt;&gt;""),ROUND($H33*$M33,2),0)</f>
        <v/>
      </c>
      <c r="P33" s="10">
        <f>$N33+$O33</f>
        <v/>
      </c>
      <c r="Q33">
        <f>IFERROR(INDEX(спр_Работы!$J$2:$J$6000,MATCH($C33,спр_Работы!$A$2:$A$6000,0)),"")</f>
        <v/>
      </c>
      <c r="R33" t="inlineStr">
        <is>
          <t>да</t>
        </is>
      </c>
      <c r="T33">
        <f>IF(AND($P33&gt;0,$R33="да"),MAX($T$1:$T32)+1,"")</f>
        <v/>
      </c>
    </row>
    <row r="34">
      <c r="A34">
        <f>IFERROR(INDEX(спр_Работы!$D$2:$D$6000,MATCH($C34,спр_Работы!$A$2:$A$6000,0)),"")</f>
        <v/>
      </c>
      <c r="B34">
        <f>IFERROR(INDEX(спр_Работы!$F$2:$F$6000,MATCH($C34,спр_Работы!$A$2:$A$6000,0)),"")</f>
        <v/>
      </c>
      <c r="C34">
        <f>IFERROR(INDEX(спр_Работы!$A$2:$A$6000,33),"")</f>
        <v/>
      </c>
      <c r="D34" s="8">
        <f>IFERROR(INDEX(спр_Работы!$B$2:$B$6000,MATCH($C34,спр_Работы!$A$2:$A$6000,0)),"")</f>
        <v/>
      </c>
      <c r="E34">
        <f>IFERROR(INDEX(спр_Работы!$C$2:$C$6000,MATCH($C34,спр_Работы!$A$2:$A$6000,0)),"")</f>
        <v/>
      </c>
      <c r="F34">
        <f>IFERROR(INDEX(спр_Работы!$G$2:$G$6000,MATCH($C34,спр_Работы!$A$2:$A$6000,0)),"")</f>
        <v/>
      </c>
      <c r="G34">
        <f>IFERROR(INDEX(спр_Работы!$K$2:$K$6000,MATCH($C34,спр_Работы!$A$2:$A$6000,0)),"")</f>
        <v/>
      </c>
      <c r="H34" s="9" t="n"/>
      <c r="I34" s="9" t="n"/>
      <c r="J34" s="8">
        <f>IFERROR(INDEX(спр_Материалы!$B$2:$B$9000,MATCH($I34,спр_Материалы!$A$2:$A$9000,0)),"")</f>
        <v/>
      </c>
      <c r="K34">
        <f>IF($I34="","",IF($F34=IFERROR(INDEX(спр_Материалы!$G$2:$G$9000,MATCH($I34,спр_Материалы!$A$2:$A$9000,0)),""),"OK","!! не та группа"))</f>
        <v/>
      </c>
      <c r="L34" s="10">
        <f>IFERROR(INDEX(спр_Работы!$H$2:$H$6000,MATCH($C34,спр_Работы!$A$2:$A$6000,0))*(1-ДисконтТендер),0)</f>
        <v/>
      </c>
      <c r="M34" s="10">
        <f>IF($I34="",0,IFERROR(INDEX(спр_Материалы!$I$2:$I$9000,MATCH($I34,спр_Материалы!$A$2:$A$9000,0))*IF(INDEX(спр_Материалы!$J$2:$J$9000,MATCH($I34,спр_Материалы!$A$2:$A$9000,0))="USD",КурсUSD,IF(INDEX(спр_Материалы!$J$2:$J$9000,MATCH($I34,спр_Материалы!$A$2:$A$9000,0))="EUR",КурсEUR,1))*INDEX(спр_Материалы!$K$2:$K$9000,MATCH($I34,спр_Материалы!$A$2:$A$9000,0))*(1+IFERROR(INDEX(спр_Работы!$I$2:$I$6000,MATCH($C34,спр_Работы!$A$2:$A$6000,0))/100,0))*(1-ДисконтТендер),0))</f>
        <v/>
      </c>
      <c r="N34" s="10">
        <f>IF(AND($R34="да",$H34&lt;&gt;""),ROUND($H34*$L34,2),0)</f>
        <v/>
      </c>
      <c r="O34" s="10">
        <f>IF(AND($R34="да",$H34&lt;&gt;""),ROUND($H34*$M34,2),0)</f>
        <v/>
      </c>
      <c r="P34" s="10">
        <f>$N34+$O34</f>
        <v/>
      </c>
      <c r="Q34">
        <f>IFERROR(INDEX(спр_Работы!$J$2:$J$6000,MATCH($C34,спр_Работы!$A$2:$A$6000,0)),"")</f>
        <v/>
      </c>
      <c r="R34" t="inlineStr">
        <is>
          <t>да</t>
        </is>
      </c>
      <c r="T34">
        <f>IF(AND($P34&gt;0,$R34="да"),MAX($T$1:$T33)+1,"")</f>
        <v/>
      </c>
    </row>
    <row r="35">
      <c r="A35">
        <f>IFERROR(INDEX(спр_Работы!$D$2:$D$6000,MATCH($C35,спр_Работы!$A$2:$A$6000,0)),"")</f>
        <v/>
      </c>
      <c r="B35">
        <f>IFERROR(INDEX(спр_Работы!$F$2:$F$6000,MATCH($C35,спр_Работы!$A$2:$A$6000,0)),"")</f>
        <v/>
      </c>
      <c r="C35">
        <f>IFERROR(INDEX(спр_Работы!$A$2:$A$6000,34),"")</f>
        <v/>
      </c>
      <c r="D35" s="8">
        <f>IFERROR(INDEX(спр_Работы!$B$2:$B$6000,MATCH($C35,спр_Работы!$A$2:$A$6000,0)),"")</f>
        <v/>
      </c>
      <c r="E35">
        <f>IFERROR(INDEX(спр_Работы!$C$2:$C$6000,MATCH($C35,спр_Работы!$A$2:$A$6000,0)),"")</f>
        <v/>
      </c>
      <c r="F35">
        <f>IFERROR(INDEX(спр_Работы!$G$2:$G$6000,MATCH($C35,спр_Работы!$A$2:$A$6000,0)),"")</f>
        <v/>
      </c>
      <c r="G35">
        <f>IFERROR(INDEX(спр_Работы!$K$2:$K$6000,MATCH($C35,спр_Работы!$A$2:$A$6000,0)),"")</f>
        <v/>
      </c>
      <c r="H35" s="9" t="n"/>
      <c r="I35" s="9" t="n"/>
      <c r="J35" s="8">
        <f>IFERROR(INDEX(спр_Материалы!$B$2:$B$9000,MATCH($I35,спр_Материалы!$A$2:$A$9000,0)),"")</f>
        <v/>
      </c>
      <c r="K35">
        <f>IF($I35="","",IF($F35=IFERROR(INDEX(спр_Материалы!$G$2:$G$9000,MATCH($I35,спр_Материалы!$A$2:$A$9000,0)),""),"OK","!! не та группа"))</f>
        <v/>
      </c>
      <c r="L35" s="10">
        <f>IFERROR(INDEX(спр_Работы!$H$2:$H$6000,MATCH($C35,спр_Работы!$A$2:$A$6000,0))*(1-ДисконтТендер),0)</f>
        <v/>
      </c>
      <c r="M35" s="10">
        <f>IF($I35="",0,IFERROR(INDEX(спр_Материалы!$I$2:$I$9000,MATCH($I35,спр_Материалы!$A$2:$A$9000,0))*IF(INDEX(спр_Материалы!$J$2:$J$9000,MATCH($I35,спр_Материалы!$A$2:$A$9000,0))="USD",КурсUSD,IF(INDEX(спр_Материалы!$J$2:$J$9000,MATCH($I35,спр_Материалы!$A$2:$A$9000,0))="EUR",КурсEUR,1))*INDEX(спр_Материалы!$K$2:$K$9000,MATCH($I35,спр_Материалы!$A$2:$A$9000,0))*(1+IFERROR(INDEX(спр_Работы!$I$2:$I$6000,MATCH($C35,спр_Работы!$A$2:$A$6000,0))/100,0))*(1-ДисконтТендер),0))</f>
        <v/>
      </c>
      <c r="N35" s="10">
        <f>IF(AND($R35="да",$H35&lt;&gt;""),ROUND($H35*$L35,2),0)</f>
        <v/>
      </c>
      <c r="O35" s="10">
        <f>IF(AND($R35="да",$H35&lt;&gt;""),ROUND($H35*$M35,2),0)</f>
        <v/>
      </c>
      <c r="P35" s="10">
        <f>$N35+$O35</f>
        <v/>
      </c>
      <c r="Q35">
        <f>IFERROR(INDEX(спр_Работы!$J$2:$J$6000,MATCH($C35,спр_Работы!$A$2:$A$6000,0)),"")</f>
        <v/>
      </c>
      <c r="R35" t="inlineStr">
        <is>
          <t>да</t>
        </is>
      </c>
      <c r="T35">
        <f>IF(AND($P35&gt;0,$R35="да"),MAX($T$1:$T34)+1,"")</f>
        <v/>
      </c>
    </row>
    <row r="36">
      <c r="A36">
        <f>IFERROR(INDEX(спр_Работы!$D$2:$D$6000,MATCH($C36,спр_Работы!$A$2:$A$6000,0)),"")</f>
        <v/>
      </c>
      <c r="B36">
        <f>IFERROR(INDEX(спр_Работы!$F$2:$F$6000,MATCH($C36,спр_Работы!$A$2:$A$6000,0)),"")</f>
        <v/>
      </c>
      <c r="C36">
        <f>IFERROR(INDEX(спр_Работы!$A$2:$A$6000,35),"")</f>
        <v/>
      </c>
      <c r="D36" s="8">
        <f>IFERROR(INDEX(спр_Работы!$B$2:$B$6000,MATCH($C36,спр_Работы!$A$2:$A$6000,0)),"")</f>
        <v/>
      </c>
      <c r="E36">
        <f>IFERROR(INDEX(спр_Работы!$C$2:$C$6000,MATCH($C36,спр_Работы!$A$2:$A$6000,0)),"")</f>
        <v/>
      </c>
      <c r="F36">
        <f>IFERROR(INDEX(спр_Работы!$G$2:$G$6000,MATCH($C36,спр_Работы!$A$2:$A$6000,0)),"")</f>
        <v/>
      </c>
      <c r="G36">
        <f>IFERROR(INDEX(спр_Работы!$K$2:$K$6000,MATCH($C36,спр_Работы!$A$2:$A$6000,0)),"")</f>
        <v/>
      </c>
      <c r="H36" s="9" t="n"/>
      <c r="I36" s="9" t="n"/>
      <c r="J36" s="8">
        <f>IFERROR(INDEX(спр_Материалы!$B$2:$B$9000,MATCH($I36,спр_Материалы!$A$2:$A$9000,0)),"")</f>
        <v/>
      </c>
      <c r="K36">
        <f>IF($I36="","",IF($F36=IFERROR(INDEX(спр_Материалы!$G$2:$G$9000,MATCH($I36,спр_Материалы!$A$2:$A$9000,0)),""),"OK","!! не та группа"))</f>
        <v/>
      </c>
      <c r="L36" s="10">
        <f>IFERROR(INDEX(спр_Работы!$H$2:$H$6000,MATCH($C36,спр_Работы!$A$2:$A$6000,0))*(1-ДисконтТендер),0)</f>
        <v/>
      </c>
      <c r="M36" s="10">
        <f>IF($I36="",0,IFERROR(INDEX(спр_Материалы!$I$2:$I$9000,MATCH($I36,спр_Материалы!$A$2:$A$9000,0))*IF(INDEX(спр_Материалы!$J$2:$J$9000,MATCH($I36,спр_Материалы!$A$2:$A$9000,0))="USD",КурсUSD,IF(INDEX(спр_Материалы!$J$2:$J$9000,MATCH($I36,спр_Материалы!$A$2:$A$9000,0))="EUR",КурсEUR,1))*INDEX(спр_Материалы!$K$2:$K$9000,MATCH($I36,спр_Материалы!$A$2:$A$9000,0))*(1+IFERROR(INDEX(спр_Работы!$I$2:$I$6000,MATCH($C36,спр_Работы!$A$2:$A$6000,0))/100,0))*(1-ДисконтТендер),0))</f>
        <v/>
      </c>
      <c r="N36" s="10">
        <f>IF(AND($R36="да",$H36&lt;&gt;""),ROUND($H36*$L36,2),0)</f>
        <v/>
      </c>
      <c r="O36" s="10">
        <f>IF(AND($R36="да",$H36&lt;&gt;""),ROUND($H36*$M36,2),0)</f>
        <v/>
      </c>
      <c r="P36" s="10">
        <f>$N36+$O36</f>
        <v/>
      </c>
      <c r="Q36">
        <f>IFERROR(INDEX(спр_Работы!$J$2:$J$6000,MATCH($C36,спр_Работы!$A$2:$A$6000,0)),"")</f>
        <v/>
      </c>
      <c r="R36" t="inlineStr">
        <is>
          <t>да</t>
        </is>
      </c>
      <c r="T36">
        <f>IF(AND($P36&gt;0,$R36="да"),MAX($T$1:$T35)+1,"")</f>
        <v/>
      </c>
    </row>
    <row r="37">
      <c r="A37">
        <f>IFERROR(INDEX(спр_Работы!$D$2:$D$6000,MATCH($C37,спр_Работы!$A$2:$A$6000,0)),"")</f>
        <v/>
      </c>
      <c r="B37">
        <f>IFERROR(INDEX(спр_Работы!$F$2:$F$6000,MATCH($C37,спр_Работы!$A$2:$A$6000,0)),"")</f>
        <v/>
      </c>
      <c r="C37">
        <f>IFERROR(INDEX(спр_Работы!$A$2:$A$6000,36),"")</f>
        <v/>
      </c>
      <c r="D37" s="8">
        <f>IFERROR(INDEX(спр_Работы!$B$2:$B$6000,MATCH($C37,спр_Работы!$A$2:$A$6000,0)),"")</f>
        <v/>
      </c>
      <c r="E37">
        <f>IFERROR(INDEX(спр_Работы!$C$2:$C$6000,MATCH($C37,спр_Работы!$A$2:$A$6000,0)),"")</f>
        <v/>
      </c>
      <c r="F37">
        <f>IFERROR(INDEX(спр_Работы!$G$2:$G$6000,MATCH($C37,спр_Работы!$A$2:$A$6000,0)),"")</f>
        <v/>
      </c>
      <c r="G37">
        <f>IFERROR(INDEX(спр_Работы!$K$2:$K$6000,MATCH($C37,спр_Работы!$A$2:$A$6000,0)),"")</f>
        <v/>
      </c>
      <c r="H37" s="9" t="n"/>
      <c r="I37" s="9" t="n"/>
      <c r="J37" s="8">
        <f>IFERROR(INDEX(спр_Материалы!$B$2:$B$9000,MATCH($I37,спр_Материалы!$A$2:$A$9000,0)),"")</f>
        <v/>
      </c>
      <c r="K37">
        <f>IF($I37="","",IF($F37=IFERROR(INDEX(спр_Материалы!$G$2:$G$9000,MATCH($I37,спр_Материалы!$A$2:$A$9000,0)),""),"OK","!! не та группа"))</f>
        <v/>
      </c>
      <c r="L37" s="10">
        <f>IFERROR(INDEX(спр_Работы!$H$2:$H$6000,MATCH($C37,спр_Работы!$A$2:$A$6000,0))*(1-ДисконтТендер),0)</f>
        <v/>
      </c>
      <c r="M37" s="10">
        <f>IF($I37="",0,IFERROR(INDEX(спр_Материалы!$I$2:$I$9000,MATCH($I37,спр_Материалы!$A$2:$A$9000,0))*IF(INDEX(спр_Материалы!$J$2:$J$9000,MATCH($I37,спр_Материалы!$A$2:$A$9000,0))="USD",КурсUSD,IF(INDEX(спр_Материалы!$J$2:$J$9000,MATCH($I37,спр_Материалы!$A$2:$A$9000,0))="EUR",КурсEUR,1))*INDEX(спр_Материалы!$K$2:$K$9000,MATCH($I37,спр_Материалы!$A$2:$A$9000,0))*(1+IFERROR(INDEX(спр_Работы!$I$2:$I$6000,MATCH($C37,спр_Работы!$A$2:$A$6000,0))/100,0))*(1-ДисконтТендер),0))</f>
        <v/>
      </c>
      <c r="N37" s="10">
        <f>IF(AND($R37="да",$H37&lt;&gt;""),ROUND($H37*$L37,2),0)</f>
        <v/>
      </c>
      <c r="O37" s="10">
        <f>IF(AND($R37="да",$H37&lt;&gt;""),ROUND($H37*$M37,2),0)</f>
        <v/>
      </c>
      <c r="P37" s="10">
        <f>$N37+$O37</f>
        <v/>
      </c>
      <c r="Q37">
        <f>IFERROR(INDEX(спр_Работы!$J$2:$J$6000,MATCH($C37,спр_Работы!$A$2:$A$6000,0)),"")</f>
        <v/>
      </c>
      <c r="R37" t="inlineStr">
        <is>
          <t>да</t>
        </is>
      </c>
      <c r="T37">
        <f>IF(AND($P37&gt;0,$R37="да"),MAX($T$1:$T36)+1,"")</f>
        <v/>
      </c>
    </row>
    <row r="38">
      <c r="A38">
        <f>IFERROR(INDEX(спр_Работы!$D$2:$D$6000,MATCH($C38,спр_Работы!$A$2:$A$6000,0)),"")</f>
        <v/>
      </c>
      <c r="B38">
        <f>IFERROR(INDEX(спр_Работы!$F$2:$F$6000,MATCH($C38,спр_Работы!$A$2:$A$6000,0)),"")</f>
        <v/>
      </c>
      <c r="C38">
        <f>IFERROR(INDEX(спр_Работы!$A$2:$A$6000,37),"")</f>
        <v/>
      </c>
      <c r="D38" s="8">
        <f>IFERROR(INDEX(спр_Работы!$B$2:$B$6000,MATCH($C38,спр_Работы!$A$2:$A$6000,0)),"")</f>
        <v/>
      </c>
      <c r="E38">
        <f>IFERROR(INDEX(спр_Работы!$C$2:$C$6000,MATCH($C38,спр_Работы!$A$2:$A$6000,0)),"")</f>
        <v/>
      </c>
      <c r="F38">
        <f>IFERROR(INDEX(спр_Работы!$G$2:$G$6000,MATCH($C38,спр_Работы!$A$2:$A$6000,0)),"")</f>
        <v/>
      </c>
      <c r="G38">
        <f>IFERROR(INDEX(спр_Работы!$K$2:$K$6000,MATCH($C38,спр_Работы!$A$2:$A$6000,0)),"")</f>
        <v/>
      </c>
      <c r="H38" s="9" t="n"/>
      <c r="I38" s="9" t="n"/>
      <c r="J38" s="8">
        <f>IFERROR(INDEX(спр_Материалы!$B$2:$B$9000,MATCH($I38,спр_Материалы!$A$2:$A$9000,0)),"")</f>
        <v/>
      </c>
      <c r="K38">
        <f>IF($I38="","",IF($F38=IFERROR(INDEX(спр_Материалы!$G$2:$G$9000,MATCH($I38,спр_Материалы!$A$2:$A$9000,0)),""),"OK","!! не та группа"))</f>
        <v/>
      </c>
      <c r="L38" s="10">
        <f>IFERROR(INDEX(спр_Работы!$H$2:$H$6000,MATCH($C38,спр_Работы!$A$2:$A$6000,0))*(1-ДисконтТендер),0)</f>
        <v/>
      </c>
      <c r="M38" s="10">
        <f>IF($I38="",0,IFERROR(INDEX(спр_Материалы!$I$2:$I$9000,MATCH($I38,спр_Материалы!$A$2:$A$9000,0))*IF(INDEX(спр_Материалы!$J$2:$J$9000,MATCH($I38,спр_Материалы!$A$2:$A$9000,0))="USD",КурсUSD,IF(INDEX(спр_Материалы!$J$2:$J$9000,MATCH($I38,спр_Материалы!$A$2:$A$9000,0))="EUR",КурсEUR,1))*INDEX(спр_Материалы!$K$2:$K$9000,MATCH($I38,спр_Материалы!$A$2:$A$9000,0))*(1+IFERROR(INDEX(спр_Работы!$I$2:$I$6000,MATCH($C38,спр_Работы!$A$2:$A$6000,0))/100,0))*(1-ДисконтТендер),0))</f>
        <v/>
      </c>
      <c r="N38" s="10">
        <f>IF(AND($R38="да",$H38&lt;&gt;""),ROUND($H38*$L38,2),0)</f>
        <v/>
      </c>
      <c r="O38" s="10">
        <f>IF(AND($R38="да",$H38&lt;&gt;""),ROUND($H38*$M38,2),0)</f>
        <v/>
      </c>
      <c r="P38" s="10">
        <f>$N38+$O38</f>
        <v/>
      </c>
      <c r="Q38">
        <f>IFERROR(INDEX(спр_Работы!$J$2:$J$6000,MATCH($C38,спр_Работы!$A$2:$A$6000,0)),"")</f>
        <v/>
      </c>
      <c r="R38" t="inlineStr">
        <is>
          <t>да</t>
        </is>
      </c>
      <c r="T38">
        <f>IF(AND($P38&gt;0,$R38="да"),MAX($T$1:$T37)+1,"")</f>
        <v/>
      </c>
    </row>
    <row r="39">
      <c r="A39">
        <f>IFERROR(INDEX(спр_Работы!$D$2:$D$6000,MATCH($C39,спр_Работы!$A$2:$A$6000,0)),"")</f>
        <v/>
      </c>
      <c r="B39">
        <f>IFERROR(INDEX(спр_Работы!$F$2:$F$6000,MATCH($C39,спр_Работы!$A$2:$A$6000,0)),"")</f>
        <v/>
      </c>
      <c r="C39">
        <f>IFERROR(INDEX(спр_Работы!$A$2:$A$6000,38),"")</f>
        <v/>
      </c>
      <c r="D39" s="8">
        <f>IFERROR(INDEX(спр_Работы!$B$2:$B$6000,MATCH($C39,спр_Работы!$A$2:$A$6000,0)),"")</f>
        <v/>
      </c>
      <c r="E39">
        <f>IFERROR(INDEX(спр_Работы!$C$2:$C$6000,MATCH($C39,спр_Работы!$A$2:$A$6000,0)),"")</f>
        <v/>
      </c>
      <c r="F39">
        <f>IFERROR(INDEX(спр_Работы!$G$2:$G$6000,MATCH($C39,спр_Работы!$A$2:$A$6000,0)),"")</f>
        <v/>
      </c>
      <c r="G39">
        <f>IFERROR(INDEX(спр_Работы!$K$2:$K$6000,MATCH($C39,спр_Работы!$A$2:$A$6000,0)),"")</f>
        <v/>
      </c>
      <c r="H39" s="9" t="n"/>
      <c r="I39" s="9" t="n"/>
      <c r="J39" s="8">
        <f>IFERROR(INDEX(спр_Материалы!$B$2:$B$9000,MATCH($I39,спр_Материалы!$A$2:$A$9000,0)),"")</f>
        <v/>
      </c>
      <c r="K39">
        <f>IF($I39="","",IF($F39=IFERROR(INDEX(спр_Материалы!$G$2:$G$9000,MATCH($I39,спр_Материалы!$A$2:$A$9000,0)),""),"OK","!! не та группа"))</f>
        <v/>
      </c>
      <c r="L39" s="10">
        <f>IFERROR(INDEX(спр_Работы!$H$2:$H$6000,MATCH($C39,спр_Работы!$A$2:$A$6000,0))*(1-ДисконтТендер),0)</f>
        <v/>
      </c>
      <c r="M39" s="10">
        <f>IF($I39="",0,IFERROR(INDEX(спр_Материалы!$I$2:$I$9000,MATCH($I39,спр_Материалы!$A$2:$A$9000,0))*IF(INDEX(спр_Материалы!$J$2:$J$9000,MATCH($I39,спр_Материалы!$A$2:$A$9000,0))="USD",КурсUSD,IF(INDEX(спр_Материалы!$J$2:$J$9000,MATCH($I39,спр_Материалы!$A$2:$A$9000,0))="EUR",КурсEUR,1))*INDEX(спр_Материалы!$K$2:$K$9000,MATCH($I39,спр_Материалы!$A$2:$A$9000,0))*(1+IFERROR(INDEX(спр_Работы!$I$2:$I$6000,MATCH($C39,спр_Работы!$A$2:$A$6000,0))/100,0))*(1-ДисконтТендер),0))</f>
        <v/>
      </c>
      <c r="N39" s="10">
        <f>IF(AND($R39="да",$H39&lt;&gt;""),ROUND($H39*$L39,2),0)</f>
        <v/>
      </c>
      <c r="O39" s="10">
        <f>IF(AND($R39="да",$H39&lt;&gt;""),ROUND($H39*$M39,2),0)</f>
        <v/>
      </c>
      <c r="P39" s="10">
        <f>$N39+$O39</f>
        <v/>
      </c>
      <c r="Q39">
        <f>IFERROR(INDEX(спр_Работы!$J$2:$J$6000,MATCH($C39,спр_Работы!$A$2:$A$6000,0)),"")</f>
        <v/>
      </c>
      <c r="R39" t="inlineStr">
        <is>
          <t>да</t>
        </is>
      </c>
      <c r="T39">
        <f>IF(AND($P39&gt;0,$R39="да"),MAX($T$1:$T38)+1,"")</f>
        <v/>
      </c>
    </row>
    <row r="40">
      <c r="A40">
        <f>IFERROR(INDEX(спр_Работы!$D$2:$D$6000,MATCH($C40,спр_Работы!$A$2:$A$6000,0)),"")</f>
        <v/>
      </c>
      <c r="B40">
        <f>IFERROR(INDEX(спр_Работы!$F$2:$F$6000,MATCH($C40,спр_Работы!$A$2:$A$6000,0)),"")</f>
        <v/>
      </c>
      <c r="C40">
        <f>IFERROR(INDEX(спр_Работы!$A$2:$A$6000,39),"")</f>
        <v/>
      </c>
      <c r="D40" s="8">
        <f>IFERROR(INDEX(спр_Работы!$B$2:$B$6000,MATCH($C40,спр_Работы!$A$2:$A$6000,0)),"")</f>
        <v/>
      </c>
      <c r="E40">
        <f>IFERROR(INDEX(спр_Работы!$C$2:$C$6000,MATCH($C40,спр_Работы!$A$2:$A$6000,0)),"")</f>
        <v/>
      </c>
      <c r="F40">
        <f>IFERROR(INDEX(спр_Работы!$G$2:$G$6000,MATCH($C40,спр_Работы!$A$2:$A$6000,0)),"")</f>
        <v/>
      </c>
      <c r="G40">
        <f>IFERROR(INDEX(спр_Работы!$K$2:$K$6000,MATCH($C40,спр_Работы!$A$2:$A$6000,0)),"")</f>
        <v/>
      </c>
      <c r="H40" s="9" t="n"/>
      <c r="I40" s="9" t="n"/>
      <c r="J40" s="8">
        <f>IFERROR(INDEX(спр_Материалы!$B$2:$B$9000,MATCH($I40,спр_Материалы!$A$2:$A$9000,0)),"")</f>
        <v/>
      </c>
      <c r="K40">
        <f>IF($I40="","",IF($F40=IFERROR(INDEX(спр_Материалы!$G$2:$G$9000,MATCH($I40,спр_Материалы!$A$2:$A$9000,0)),""),"OK","!! не та группа"))</f>
        <v/>
      </c>
      <c r="L40" s="10">
        <f>IFERROR(INDEX(спр_Работы!$H$2:$H$6000,MATCH($C40,спр_Работы!$A$2:$A$6000,0))*(1-ДисконтТендер),0)</f>
        <v/>
      </c>
      <c r="M40" s="10">
        <f>IF($I40="",0,IFERROR(INDEX(спр_Материалы!$I$2:$I$9000,MATCH($I40,спр_Материалы!$A$2:$A$9000,0))*IF(INDEX(спр_Материалы!$J$2:$J$9000,MATCH($I40,спр_Материалы!$A$2:$A$9000,0))="USD",КурсUSD,IF(INDEX(спр_Материалы!$J$2:$J$9000,MATCH($I40,спр_Материалы!$A$2:$A$9000,0))="EUR",КурсEUR,1))*INDEX(спр_Материалы!$K$2:$K$9000,MATCH($I40,спр_Материалы!$A$2:$A$9000,0))*(1+IFERROR(INDEX(спр_Работы!$I$2:$I$6000,MATCH($C40,спр_Работы!$A$2:$A$6000,0))/100,0))*(1-ДисконтТендер),0))</f>
        <v/>
      </c>
      <c r="N40" s="10">
        <f>IF(AND($R40="да",$H40&lt;&gt;""),ROUND($H40*$L40,2),0)</f>
        <v/>
      </c>
      <c r="O40" s="10">
        <f>IF(AND($R40="да",$H40&lt;&gt;""),ROUND($H40*$M40,2),0)</f>
        <v/>
      </c>
      <c r="P40" s="10">
        <f>$N40+$O40</f>
        <v/>
      </c>
      <c r="Q40">
        <f>IFERROR(INDEX(спр_Работы!$J$2:$J$6000,MATCH($C40,спр_Работы!$A$2:$A$6000,0)),"")</f>
        <v/>
      </c>
      <c r="R40" t="inlineStr">
        <is>
          <t>да</t>
        </is>
      </c>
      <c r="T40">
        <f>IF(AND($P40&gt;0,$R40="да"),MAX($T$1:$T39)+1,"")</f>
        <v/>
      </c>
    </row>
    <row r="41">
      <c r="A41">
        <f>IFERROR(INDEX(спр_Работы!$D$2:$D$6000,MATCH($C41,спр_Работы!$A$2:$A$6000,0)),"")</f>
        <v/>
      </c>
      <c r="B41">
        <f>IFERROR(INDEX(спр_Работы!$F$2:$F$6000,MATCH($C41,спр_Работы!$A$2:$A$6000,0)),"")</f>
        <v/>
      </c>
      <c r="C41">
        <f>IFERROR(INDEX(спр_Работы!$A$2:$A$6000,40),"")</f>
        <v/>
      </c>
      <c r="D41" s="8">
        <f>IFERROR(INDEX(спр_Работы!$B$2:$B$6000,MATCH($C41,спр_Работы!$A$2:$A$6000,0)),"")</f>
        <v/>
      </c>
      <c r="E41">
        <f>IFERROR(INDEX(спр_Работы!$C$2:$C$6000,MATCH($C41,спр_Работы!$A$2:$A$6000,0)),"")</f>
        <v/>
      </c>
      <c r="F41">
        <f>IFERROR(INDEX(спр_Работы!$G$2:$G$6000,MATCH($C41,спр_Работы!$A$2:$A$6000,0)),"")</f>
        <v/>
      </c>
      <c r="G41">
        <f>IFERROR(INDEX(спр_Работы!$K$2:$K$6000,MATCH($C41,спр_Работы!$A$2:$A$6000,0)),"")</f>
        <v/>
      </c>
      <c r="H41" s="9" t="n"/>
      <c r="I41" s="9" t="n"/>
      <c r="J41" s="8">
        <f>IFERROR(INDEX(спр_Материалы!$B$2:$B$9000,MATCH($I41,спр_Материалы!$A$2:$A$9000,0)),"")</f>
        <v/>
      </c>
      <c r="K41">
        <f>IF($I41="","",IF($F41=IFERROR(INDEX(спр_Материалы!$G$2:$G$9000,MATCH($I41,спр_Материалы!$A$2:$A$9000,0)),""),"OK","!! не та группа"))</f>
        <v/>
      </c>
      <c r="L41" s="10">
        <f>IFERROR(INDEX(спр_Работы!$H$2:$H$6000,MATCH($C41,спр_Работы!$A$2:$A$6000,0))*(1-ДисконтТендер),0)</f>
        <v/>
      </c>
      <c r="M41" s="10">
        <f>IF($I41="",0,IFERROR(INDEX(спр_Материалы!$I$2:$I$9000,MATCH($I41,спр_Материалы!$A$2:$A$9000,0))*IF(INDEX(спр_Материалы!$J$2:$J$9000,MATCH($I41,спр_Материалы!$A$2:$A$9000,0))="USD",КурсUSD,IF(INDEX(спр_Материалы!$J$2:$J$9000,MATCH($I41,спр_Материалы!$A$2:$A$9000,0))="EUR",КурсEUR,1))*INDEX(спр_Материалы!$K$2:$K$9000,MATCH($I41,спр_Материалы!$A$2:$A$9000,0))*(1+IFERROR(INDEX(спр_Работы!$I$2:$I$6000,MATCH($C41,спр_Работы!$A$2:$A$6000,0))/100,0))*(1-ДисконтТендер),0))</f>
        <v/>
      </c>
      <c r="N41" s="10">
        <f>IF(AND($R41="да",$H41&lt;&gt;""),ROUND($H41*$L41,2),0)</f>
        <v/>
      </c>
      <c r="O41" s="10">
        <f>IF(AND($R41="да",$H41&lt;&gt;""),ROUND($H41*$M41,2),0)</f>
        <v/>
      </c>
      <c r="P41" s="10">
        <f>$N41+$O41</f>
        <v/>
      </c>
      <c r="Q41">
        <f>IFERROR(INDEX(спр_Работы!$J$2:$J$6000,MATCH($C41,спр_Работы!$A$2:$A$6000,0)),"")</f>
        <v/>
      </c>
      <c r="R41" t="inlineStr">
        <is>
          <t>да</t>
        </is>
      </c>
      <c r="T41">
        <f>IF(AND($P41&gt;0,$R41="да"),MAX($T$1:$T40)+1,"")</f>
        <v/>
      </c>
    </row>
    <row r="42">
      <c r="A42">
        <f>IFERROR(INDEX(спр_Работы!$D$2:$D$6000,MATCH($C42,спр_Работы!$A$2:$A$6000,0)),"")</f>
        <v/>
      </c>
      <c r="B42">
        <f>IFERROR(INDEX(спр_Работы!$F$2:$F$6000,MATCH($C42,спр_Работы!$A$2:$A$6000,0)),"")</f>
        <v/>
      </c>
      <c r="C42">
        <f>IFERROR(INDEX(спр_Работы!$A$2:$A$6000,41),"")</f>
        <v/>
      </c>
      <c r="D42" s="8">
        <f>IFERROR(INDEX(спр_Работы!$B$2:$B$6000,MATCH($C42,спр_Работы!$A$2:$A$6000,0)),"")</f>
        <v/>
      </c>
      <c r="E42">
        <f>IFERROR(INDEX(спр_Работы!$C$2:$C$6000,MATCH($C42,спр_Работы!$A$2:$A$6000,0)),"")</f>
        <v/>
      </c>
      <c r="F42">
        <f>IFERROR(INDEX(спр_Работы!$G$2:$G$6000,MATCH($C42,спр_Работы!$A$2:$A$6000,0)),"")</f>
        <v/>
      </c>
      <c r="G42">
        <f>IFERROR(INDEX(спр_Работы!$K$2:$K$6000,MATCH($C42,спр_Работы!$A$2:$A$6000,0)),"")</f>
        <v/>
      </c>
      <c r="H42" s="9" t="n"/>
      <c r="I42" s="9" t="n"/>
      <c r="J42" s="8">
        <f>IFERROR(INDEX(спр_Материалы!$B$2:$B$9000,MATCH($I42,спр_Материалы!$A$2:$A$9000,0)),"")</f>
        <v/>
      </c>
      <c r="K42">
        <f>IF($I42="","",IF($F42=IFERROR(INDEX(спр_Материалы!$G$2:$G$9000,MATCH($I42,спр_Материалы!$A$2:$A$9000,0)),""),"OK","!! не та группа"))</f>
        <v/>
      </c>
      <c r="L42" s="10">
        <f>IFERROR(INDEX(спр_Работы!$H$2:$H$6000,MATCH($C42,спр_Работы!$A$2:$A$6000,0))*(1-ДисконтТендер),0)</f>
        <v/>
      </c>
      <c r="M42" s="10">
        <f>IF($I42="",0,IFERROR(INDEX(спр_Материалы!$I$2:$I$9000,MATCH($I42,спр_Материалы!$A$2:$A$9000,0))*IF(INDEX(спр_Материалы!$J$2:$J$9000,MATCH($I42,спр_Материалы!$A$2:$A$9000,0))="USD",КурсUSD,IF(INDEX(спр_Материалы!$J$2:$J$9000,MATCH($I42,спр_Материалы!$A$2:$A$9000,0))="EUR",КурсEUR,1))*INDEX(спр_Материалы!$K$2:$K$9000,MATCH($I42,спр_Материалы!$A$2:$A$9000,0))*(1+IFERROR(INDEX(спр_Работы!$I$2:$I$6000,MATCH($C42,спр_Работы!$A$2:$A$6000,0))/100,0))*(1-ДисконтТендер),0))</f>
        <v/>
      </c>
      <c r="N42" s="10">
        <f>IF(AND($R42="да",$H42&lt;&gt;""),ROUND($H42*$L42,2),0)</f>
        <v/>
      </c>
      <c r="O42" s="10">
        <f>IF(AND($R42="да",$H42&lt;&gt;""),ROUND($H42*$M42,2),0)</f>
        <v/>
      </c>
      <c r="P42" s="10">
        <f>$N42+$O42</f>
        <v/>
      </c>
      <c r="Q42">
        <f>IFERROR(INDEX(спр_Работы!$J$2:$J$6000,MATCH($C42,спр_Работы!$A$2:$A$6000,0)),"")</f>
        <v/>
      </c>
      <c r="R42" t="inlineStr">
        <is>
          <t>да</t>
        </is>
      </c>
      <c r="T42">
        <f>IF(AND($P42&gt;0,$R42="да"),MAX($T$1:$T41)+1,"")</f>
        <v/>
      </c>
    </row>
    <row r="43">
      <c r="A43">
        <f>IFERROR(INDEX(спр_Работы!$D$2:$D$6000,MATCH($C43,спр_Работы!$A$2:$A$6000,0)),"")</f>
        <v/>
      </c>
      <c r="B43">
        <f>IFERROR(INDEX(спр_Работы!$F$2:$F$6000,MATCH($C43,спр_Работы!$A$2:$A$6000,0)),"")</f>
        <v/>
      </c>
      <c r="C43">
        <f>IFERROR(INDEX(спр_Работы!$A$2:$A$6000,42),"")</f>
        <v/>
      </c>
      <c r="D43" s="8">
        <f>IFERROR(INDEX(спр_Работы!$B$2:$B$6000,MATCH($C43,спр_Работы!$A$2:$A$6000,0)),"")</f>
        <v/>
      </c>
      <c r="E43">
        <f>IFERROR(INDEX(спр_Работы!$C$2:$C$6000,MATCH($C43,спр_Работы!$A$2:$A$6000,0)),"")</f>
        <v/>
      </c>
      <c r="F43">
        <f>IFERROR(INDEX(спр_Работы!$G$2:$G$6000,MATCH($C43,спр_Работы!$A$2:$A$6000,0)),"")</f>
        <v/>
      </c>
      <c r="G43">
        <f>IFERROR(INDEX(спр_Работы!$K$2:$K$6000,MATCH($C43,спр_Работы!$A$2:$A$6000,0)),"")</f>
        <v/>
      </c>
      <c r="H43" s="9" t="n"/>
      <c r="I43" s="9" t="n"/>
      <c r="J43" s="8">
        <f>IFERROR(INDEX(спр_Материалы!$B$2:$B$9000,MATCH($I43,спр_Материалы!$A$2:$A$9000,0)),"")</f>
        <v/>
      </c>
      <c r="K43">
        <f>IF($I43="","",IF($F43=IFERROR(INDEX(спр_Материалы!$G$2:$G$9000,MATCH($I43,спр_Материалы!$A$2:$A$9000,0)),""),"OK","!! не та группа"))</f>
        <v/>
      </c>
      <c r="L43" s="10">
        <f>IFERROR(INDEX(спр_Работы!$H$2:$H$6000,MATCH($C43,спр_Работы!$A$2:$A$6000,0))*(1-ДисконтТендер),0)</f>
        <v/>
      </c>
      <c r="M43" s="10">
        <f>IF($I43="",0,IFERROR(INDEX(спр_Материалы!$I$2:$I$9000,MATCH($I43,спр_Материалы!$A$2:$A$9000,0))*IF(INDEX(спр_Материалы!$J$2:$J$9000,MATCH($I43,спр_Материалы!$A$2:$A$9000,0))="USD",КурсUSD,IF(INDEX(спр_Материалы!$J$2:$J$9000,MATCH($I43,спр_Материалы!$A$2:$A$9000,0))="EUR",КурсEUR,1))*INDEX(спр_Материалы!$K$2:$K$9000,MATCH($I43,спр_Материалы!$A$2:$A$9000,0))*(1+IFERROR(INDEX(спр_Работы!$I$2:$I$6000,MATCH($C43,спр_Работы!$A$2:$A$6000,0))/100,0))*(1-ДисконтТендер),0))</f>
        <v/>
      </c>
      <c r="N43" s="10">
        <f>IF(AND($R43="да",$H43&lt;&gt;""),ROUND($H43*$L43,2),0)</f>
        <v/>
      </c>
      <c r="O43" s="10">
        <f>IF(AND($R43="да",$H43&lt;&gt;""),ROUND($H43*$M43,2),0)</f>
        <v/>
      </c>
      <c r="P43" s="10">
        <f>$N43+$O43</f>
        <v/>
      </c>
      <c r="Q43">
        <f>IFERROR(INDEX(спр_Работы!$J$2:$J$6000,MATCH($C43,спр_Работы!$A$2:$A$6000,0)),"")</f>
        <v/>
      </c>
      <c r="R43" t="inlineStr">
        <is>
          <t>да</t>
        </is>
      </c>
      <c r="T43">
        <f>IF(AND($P43&gt;0,$R43="да"),MAX($T$1:$T42)+1,"")</f>
        <v/>
      </c>
    </row>
    <row r="44">
      <c r="A44">
        <f>IFERROR(INDEX(спр_Работы!$D$2:$D$6000,MATCH($C44,спр_Работы!$A$2:$A$6000,0)),"")</f>
        <v/>
      </c>
      <c r="B44">
        <f>IFERROR(INDEX(спр_Работы!$F$2:$F$6000,MATCH($C44,спр_Работы!$A$2:$A$6000,0)),"")</f>
        <v/>
      </c>
      <c r="C44">
        <f>IFERROR(INDEX(спр_Работы!$A$2:$A$6000,43),"")</f>
        <v/>
      </c>
      <c r="D44" s="8">
        <f>IFERROR(INDEX(спр_Работы!$B$2:$B$6000,MATCH($C44,спр_Работы!$A$2:$A$6000,0)),"")</f>
        <v/>
      </c>
      <c r="E44">
        <f>IFERROR(INDEX(спр_Работы!$C$2:$C$6000,MATCH($C44,спр_Работы!$A$2:$A$6000,0)),"")</f>
        <v/>
      </c>
      <c r="F44">
        <f>IFERROR(INDEX(спр_Работы!$G$2:$G$6000,MATCH($C44,спр_Работы!$A$2:$A$6000,0)),"")</f>
        <v/>
      </c>
      <c r="G44">
        <f>IFERROR(INDEX(спр_Работы!$K$2:$K$6000,MATCH($C44,спр_Работы!$A$2:$A$6000,0)),"")</f>
        <v/>
      </c>
      <c r="H44" s="9" t="n"/>
      <c r="I44" s="9" t="n"/>
      <c r="J44" s="8">
        <f>IFERROR(INDEX(спр_Материалы!$B$2:$B$9000,MATCH($I44,спр_Материалы!$A$2:$A$9000,0)),"")</f>
        <v/>
      </c>
      <c r="K44">
        <f>IF($I44="","",IF($F44=IFERROR(INDEX(спр_Материалы!$G$2:$G$9000,MATCH($I44,спр_Материалы!$A$2:$A$9000,0)),""),"OK","!! не та группа"))</f>
        <v/>
      </c>
      <c r="L44" s="10">
        <f>IFERROR(INDEX(спр_Работы!$H$2:$H$6000,MATCH($C44,спр_Работы!$A$2:$A$6000,0))*(1-ДисконтТендер),0)</f>
        <v/>
      </c>
      <c r="M44" s="10">
        <f>IF($I44="",0,IFERROR(INDEX(спр_Материалы!$I$2:$I$9000,MATCH($I44,спр_Материалы!$A$2:$A$9000,0))*IF(INDEX(спр_Материалы!$J$2:$J$9000,MATCH($I44,спр_Материалы!$A$2:$A$9000,0))="USD",КурсUSD,IF(INDEX(спр_Материалы!$J$2:$J$9000,MATCH($I44,спр_Материалы!$A$2:$A$9000,0))="EUR",КурсEUR,1))*INDEX(спр_Материалы!$K$2:$K$9000,MATCH($I44,спр_Материалы!$A$2:$A$9000,0))*(1+IFERROR(INDEX(спр_Работы!$I$2:$I$6000,MATCH($C44,спр_Работы!$A$2:$A$6000,0))/100,0))*(1-ДисконтТендер),0))</f>
        <v/>
      </c>
      <c r="N44" s="10">
        <f>IF(AND($R44="да",$H44&lt;&gt;""),ROUND($H44*$L44,2),0)</f>
        <v/>
      </c>
      <c r="O44" s="10">
        <f>IF(AND($R44="да",$H44&lt;&gt;""),ROUND($H44*$M44,2),0)</f>
        <v/>
      </c>
      <c r="P44" s="10">
        <f>$N44+$O44</f>
        <v/>
      </c>
      <c r="Q44">
        <f>IFERROR(INDEX(спр_Работы!$J$2:$J$6000,MATCH($C44,спр_Работы!$A$2:$A$6000,0)),"")</f>
        <v/>
      </c>
      <c r="R44" t="inlineStr">
        <is>
          <t>да</t>
        </is>
      </c>
      <c r="T44">
        <f>IF(AND($P44&gt;0,$R44="да"),MAX($T$1:$T43)+1,"")</f>
        <v/>
      </c>
    </row>
    <row r="45">
      <c r="A45">
        <f>IFERROR(INDEX(спр_Работы!$D$2:$D$6000,MATCH($C45,спр_Работы!$A$2:$A$6000,0)),"")</f>
        <v/>
      </c>
      <c r="B45">
        <f>IFERROR(INDEX(спр_Работы!$F$2:$F$6000,MATCH($C45,спр_Работы!$A$2:$A$6000,0)),"")</f>
        <v/>
      </c>
      <c r="C45">
        <f>IFERROR(INDEX(спр_Работы!$A$2:$A$6000,44),"")</f>
        <v/>
      </c>
      <c r="D45" s="8">
        <f>IFERROR(INDEX(спр_Работы!$B$2:$B$6000,MATCH($C45,спр_Работы!$A$2:$A$6000,0)),"")</f>
        <v/>
      </c>
      <c r="E45">
        <f>IFERROR(INDEX(спр_Работы!$C$2:$C$6000,MATCH($C45,спр_Работы!$A$2:$A$6000,0)),"")</f>
        <v/>
      </c>
      <c r="F45">
        <f>IFERROR(INDEX(спр_Работы!$G$2:$G$6000,MATCH($C45,спр_Работы!$A$2:$A$6000,0)),"")</f>
        <v/>
      </c>
      <c r="G45">
        <f>IFERROR(INDEX(спр_Работы!$K$2:$K$6000,MATCH($C45,спр_Работы!$A$2:$A$6000,0)),"")</f>
        <v/>
      </c>
      <c r="H45" s="9" t="n"/>
      <c r="I45" s="9" t="n"/>
      <c r="J45" s="8">
        <f>IFERROR(INDEX(спр_Материалы!$B$2:$B$9000,MATCH($I45,спр_Материалы!$A$2:$A$9000,0)),"")</f>
        <v/>
      </c>
      <c r="K45">
        <f>IF($I45="","",IF($F45=IFERROR(INDEX(спр_Материалы!$G$2:$G$9000,MATCH($I45,спр_Материалы!$A$2:$A$9000,0)),""),"OK","!! не та группа"))</f>
        <v/>
      </c>
      <c r="L45" s="10">
        <f>IFERROR(INDEX(спр_Работы!$H$2:$H$6000,MATCH($C45,спр_Работы!$A$2:$A$6000,0))*(1-ДисконтТендер),0)</f>
        <v/>
      </c>
      <c r="M45" s="10">
        <f>IF($I45="",0,IFERROR(INDEX(спр_Материалы!$I$2:$I$9000,MATCH($I45,спр_Материалы!$A$2:$A$9000,0))*IF(INDEX(спр_Материалы!$J$2:$J$9000,MATCH($I45,спр_Материалы!$A$2:$A$9000,0))="USD",КурсUSD,IF(INDEX(спр_Материалы!$J$2:$J$9000,MATCH($I45,спр_Материалы!$A$2:$A$9000,0))="EUR",КурсEUR,1))*INDEX(спр_Материалы!$K$2:$K$9000,MATCH($I45,спр_Материалы!$A$2:$A$9000,0))*(1+IFERROR(INDEX(спр_Работы!$I$2:$I$6000,MATCH($C45,спр_Работы!$A$2:$A$6000,0))/100,0))*(1-ДисконтТендер),0))</f>
        <v/>
      </c>
      <c r="N45" s="10">
        <f>IF(AND($R45="да",$H45&lt;&gt;""),ROUND($H45*$L45,2),0)</f>
        <v/>
      </c>
      <c r="O45" s="10">
        <f>IF(AND($R45="да",$H45&lt;&gt;""),ROUND($H45*$M45,2),0)</f>
        <v/>
      </c>
      <c r="P45" s="10">
        <f>$N45+$O45</f>
        <v/>
      </c>
      <c r="Q45">
        <f>IFERROR(INDEX(спр_Работы!$J$2:$J$6000,MATCH($C45,спр_Работы!$A$2:$A$6000,0)),"")</f>
        <v/>
      </c>
      <c r="R45" t="inlineStr">
        <is>
          <t>да</t>
        </is>
      </c>
      <c r="T45">
        <f>IF(AND($P45&gt;0,$R45="да"),MAX($T$1:$T44)+1,"")</f>
        <v/>
      </c>
    </row>
    <row r="46">
      <c r="A46">
        <f>IFERROR(INDEX(спр_Работы!$D$2:$D$6000,MATCH($C46,спр_Работы!$A$2:$A$6000,0)),"")</f>
        <v/>
      </c>
      <c r="B46">
        <f>IFERROR(INDEX(спр_Работы!$F$2:$F$6000,MATCH($C46,спр_Работы!$A$2:$A$6000,0)),"")</f>
        <v/>
      </c>
      <c r="C46">
        <f>IFERROR(INDEX(спр_Работы!$A$2:$A$6000,45),"")</f>
        <v/>
      </c>
      <c r="D46" s="8">
        <f>IFERROR(INDEX(спр_Работы!$B$2:$B$6000,MATCH($C46,спр_Работы!$A$2:$A$6000,0)),"")</f>
        <v/>
      </c>
      <c r="E46">
        <f>IFERROR(INDEX(спр_Работы!$C$2:$C$6000,MATCH($C46,спр_Работы!$A$2:$A$6000,0)),"")</f>
        <v/>
      </c>
      <c r="F46">
        <f>IFERROR(INDEX(спр_Работы!$G$2:$G$6000,MATCH($C46,спр_Работы!$A$2:$A$6000,0)),"")</f>
        <v/>
      </c>
      <c r="G46">
        <f>IFERROR(INDEX(спр_Работы!$K$2:$K$6000,MATCH($C46,спр_Работы!$A$2:$A$6000,0)),"")</f>
        <v/>
      </c>
      <c r="H46" s="9" t="n"/>
      <c r="I46" s="9" t="n"/>
      <c r="J46" s="8">
        <f>IFERROR(INDEX(спр_Материалы!$B$2:$B$9000,MATCH($I46,спр_Материалы!$A$2:$A$9000,0)),"")</f>
        <v/>
      </c>
      <c r="K46">
        <f>IF($I46="","",IF($F46=IFERROR(INDEX(спр_Материалы!$G$2:$G$9000,MATCH($I46,спр_Материалы!$A$2:$A$9000,0)),""),"OK","!! не та группа"))</f>
        <v/>
      </c>
      <c r="L46" s="10">
        <f>IFERROR(INDEX(спр_Работы!$H$2:$H$6000,MATCH($C46,спр_Работы!$A$2:$A$6000,0))*(1-ДисконтТендер),0)</f>
        <v/>
      </c>
      <c r="M46" s="10">
        <f>IF($I46="",0,IFERROR(INDEX(спр_Материалы!$I$2:$I$9000,MATCH($I46,спр_Материалы!$A$2:$A$9000,0))*IF(INDEX(спр_Материалы!$J$2:$J$9000,MATCH($I46,спр_Материалы!$A$2:$A$9000,0))="USD",КурсUSD,IF(INDEX(спр_Материалы!$J$2:$J$9000,MATCH($I46,спр_Материалы!$A$2:$A$9000,0))="EUR",КурсEUR,1))*INDEX(спр_Материалы!$K$2:$K$9000,MATCH($I46,спр_Материалы!$A$2:$A$9000,0))*(1+IFERROR(INDEX(спр_Работы!$I$2:$I$6000,MATCH($C46,спр_Работы!$A$2:$A$6000,0))/100,0))*(1-ДисконтТендер),0))</f>
        <v/>
      </c>
      <c r="N46" s="10">
        <f>IF(AND($R46="да",$H46&lt;&gt;""),ROUND($H46*$L46,2),0)</f>
        <v/>
      </c>
      <c r="O46" s="10">
        <f>IF(AND($R46="да",$H46&lt;&gt;""),ROUND($H46*$M46,2),0)</f>
        <v/>
      </c>
      <c r="P46" s="10">
        <f>$N46+$O46</f>
        <v/>
      </c>
      <c r="Q46">
        <f>IFERROR(INDEX(спр_Работы!$J$2:$J$6000,MATCH($C46,спр_Работы!$A$2:$A$6000,0)),"")</f>
        <v/>
      </c>
      <c r="R46" t="inlineStr">
        <is>
          <t>да</t>
        </is>
      </c>
      <c r="T46">
        <f>IF(AND($P46&gt;0,$R46="да"),MAX($T$1:$T45)+1,"")</f>
        <v/>
      </c>
    </row>
    <row r="47">
      <c r="A47">
        <f>IFERROR(INDEX(спр_Работы!$D$2:$D$6000,MATCH($C47,спр_Работы!$A$2:$A$6000,0)),"")</f>
        <v/>
      </c>
      <c r="B47">
        <f>IFERROR(INDEX(спр_Работы!$F$2:$F$6000,MATCH($C47,спр_Работы!$A$2:$A$6000,0)),"")</f>
        <v/>
      </c>
      <c r="C47">
        <f>IFERROR(INDEX(спр_Работы!$A$2:$A$6000,46),"")</f>
        <v/>
      </c>
      <c r="D47" s="8">
        <f>IFERROR(INDEX(спр_Работы!$B$2:$B$6000,MATCH($C47,спр_Работы!$A$2:$A$6000,0)),"")</f>
        <v/>
      </c>
      <c r="E47">
        <f>IFERROR(INDEX(спр_Работы!$C$2:$C$6000,MATCH($C47,спр_Работы!$A$2:$A$6000,0)),"")</f>
        <v/>
      </c>
      <c r="F47">
        <f>IFERROR(INDEX(спр_Работы!$G$2:$G$6000,MATCH($C47,спр_Работы!$A$2:$A$6000,0)),"")</f>
        <v/>
      </c>
      <c r="G47">
        <f>IFERROR(INDEX(спр_Работы!$K$2:$K$6000,MATCH($C47,спр_Работы!$A$2:$A$6000,0)),"")</f>
        <v/>
      </c>
      <c r="H47" s="9" t="n"/>
      <c r="I47" s="9" t="n"/>
      <c r="J47" s="8">
        <f>IFERROR(INDEX(спр_Материалы!$B$2:$B$9000,MATCH($I47,спр_Материалы!$A$2:$A$9000,0)),"")</f>
        <v/>
      </c>
      <c r="K47">
        <f>IF($I47="","",IF($F47=IFERROR(INDEX(спр_Материалы!$G$2:$G$9000,MATCH($I47,спр_Материалы!$A$2:$A$9000,0)),""),"OK","!! не та группа"))</f>
        <v/>
      </c>
      <c r="L47" s="10">
        <f>IFERROR(INDEX(спр_Работы!$H$2:$H$6000,MATCH($C47,спр_Работы!$A$2:$A$6000,0))*(1-ДисконтТендер),0)</f>
        <v/>
      </c>
      <c r="M47" s="10">
        <f>IF($I47="",0,IFERROR(INDEX(спр_Материалы!$I$2:$I$9000,MATCH($I47,спр_Материалы!$A$2:$A$9000,0))*IF(INDEX(спр_Материалы!$J$2:$J$9000,MATCH($I47,спр_Материалы!$A$2:$A$9000,0))="USD",КурсUSD,IF(INDEX(спр_Материалы!$J$2:$J$9000,MATCH($I47,спр_Материалы!$A$2:$A$9000,0))="EUR",КурсEUR,1))*INDEX(спр_Материалы!$K$2:$K$9000,MATCH($I47,спр_Материалы!$A$2:$A$9000,0))*(1+IFERROR(INDEX(спр_Работы!$I$2:$I$6000,MATCH($C47,спр_Работы!$A$2:$A$6000,0))/100,0))*(1-ДисконтТендер),0))</f>
        <v/>
      </c>
      <c r="N47" s="10">
        <f>IF(AND($R47="да",$H47&lt;&gt;""),ROUND($H47*$L47,2),0)</f>
        <v/>
      </c>
      <c r="O47" s="10">
        <f>IF(AND($R47="да",$H47&lt;&gt;""),ROUND($H47*$M47,2),0)</f>
        <v/>
      </c>
      <c r="P47" s="10">
        <f>$N47+$O47</f>
        <v/>
      </c>
      <c r="Q47">
        <f>IFERROR(INDEX(спр_Работы!$J$2:$J$6000,MATCH($C47,спр_Работы!$A$2:$A$6000,0)),"")</f>
        <v/>
      </c>
      <c r="R47" t="inlineStr">
        <is>
          <t>да</t>
        </is>
      </c>
      <c r="T47">
        <f>IF(AND($P47&gt;0,$R47="да"),MAX($T$1:$T46)+1,"")</f>
        <v/>
      </c>
    </row>
    <row r="48">
      <c r="A48">
        <f>IFERROR(INDEX(спр_Работы!$D$2:$D$6000,MATCH($C48,спр_Работы!$A$2:$A$6000,0)),"")</f>
        <v/>
      </c>
      <c r="B48">
        <f>IFERROR(INDEX(спр_Работы!$F$2:$F$6000,MATCH($C48,спр_Работы!$A$2:$A$6000,0)),"")</f>
        <v/>
      </c>
      <c r="C48">
        <f>IFERROR(INDEX(спр_Работы!$A$2:$A$6000,47),"")</f>
        <v/>
      </c>
      <c r="D48" s="8">
        <f>IFERROR(INDEX(спр_Работы!$B$2:$B$6000,MATCH($C48,спр_Работы!$A$2:$A$6000,0)),"")</f>
        <v/>
      </c>
      <c r="E48">
        <f>IFERROR(INDEX(спр_Работы!$C$2:$C$6000,MATCH($C48,спр_Работы!$A$2:$A$6000,0)),"")</f>
        <v/>
      </c>
      <c r="F48">
        <f>IFERROR(INDEX(спр_Работы!$G$2:$G$6000,MATCH($C48,спр_Работы!$A$2:$A$6000,0)),"")</f>
        <v/>
      </c>
      <c r="G48">
        <f>IFERROR(INDEX(спр_Работы!$K$2:$K$6000,MATCH($C48,спр_Работы!$A$2:$A$6000,0)),"")</f>
        <v/>
      </c>
      <c r="H48" s="9" t="n"/>
      <c r="I48" s="9" t="n"/>
      <c r="J48" s="8">
        <f>IFERROR(INDEX(спр_Материалы!$B$2:$B$9000,MATCH($I48,спр_Материалы!$A$2:$A$9000,0)),"")</f>
        <v/>
      </c>
      <c r="K48">
        <f>IF($I48="","",IF($F48=IFERROR(INDEX(спр_Материалы!$G$2:$G$9000,MATCH($I48,спр_Материалы!$A$2:$A$9000,0)),""),"OK","!! не та группа"))</f>
        <v/>
      </c>
      <c r="L48" s="10">
        <f>IFERROR(INDEX(спр_Работы!$H$2:$H$6000,MATCH($C48,спр_Работы!$A$2:$A$6000,0))*(1-ДисконтТендер),0)</f>
        <v/>
      </c>
      <c r="M48" s="10">
        <f>IF($I48="",0,IFERROR(INDEX(спр_Материалы!$I$2:$I$9000,MATCH($I48,спр_Материалы!$A$2:$A$9000,0))*IF(INDEX(спр_Материалы!$J$2:$J$9000,MATCH($I48,спр_Материалы!$A$2:$A$9000,0))="USD",КурсUSD,IF(INDEX(спр_Материалы!$J$2:$J$9000,MATCH($I48,спр_Материалы!$A$2:$A$9000,0))="EUR",КурсEUR,1))*INDEX(спр_Материалы!$K$2:$K$9000,MATCH($I48,спр_Материалы!$A$2:$A$9000,0))*(1+IFERROR(INDEX(спр_Работы!$I$2:$I$6000,MATCH($C48,спр_Работы!$A$2:$A$6000,0))/100,0))*(1-ДисконтТендер),0))</f>
        <v/>
      </c>
      <c r="N48" s="10">
        <f>IF(AND($R48="да",$H48&lt;&gt;""),ROUND($H48*$L48,2),0)</f>
        <v/>
      </c>
      <c r="O48" s="10">
        <f>IF(AND($R48="да",$H48&lt;&gt;""),ROUND($H48*$M48,2),0)</f>
        <v/>
      </c>
      <c r="P48" s="10">
        <f>$N48+$O48</f>
        <v/>
      </c>
      <c r="Q48">
        <f>IFERROR(INDEX(спр_Работы!$J$2:$J$6000,MATCH($C48,спр_Работы!$A$2:$A$6000,0)),"")</f>
        <v/>
      </c>
      <c r="R48" t="inlineStr">
        <is>
          <t>да</t>
        </is>
      </c>
      <c r="T48">
        <f>IF(AND($P48&gt;0,$R48="да"),MAX($T$1:$T47)+1,"")</f>
        <v/>
      </c>
    </row>
    <row r="49">
      <c r="A49">
        <f>IFERROR(INDEX(спр_Работы!$D$2:$D$6000,MATCH($C49,спр_Работы!$A$2:$A$6000,0)),"")</f>
        <v/>
      </c>
      <c r="B49">
        <f>IFERROR(INDEX(спр_Работы!$F$2:$F$6000,MATCH($C49,спр_Работы!$A$2:$A$6000,0)),"")</f>
        <v/>
      </c>
      <c r="C49">
        <f>IFERROR(INDEX(спр_Работы!$A$2:$A$6000,48),"")</f>
        <v/>
      </c>
      <c r="D49" s="8">
        <f>IFERROR(INDEX(спр_Работы!$B$2:$B$6000,MATCH($C49,спр_Работы!$A$2:$A$6000,0)),"")</f>
        <v/>
      </c>
      <c r="E49">
        <f>IFERROR(INDEX(спр_Работы!$C$2:$C$6000,MATCH($C49,спр_Работы!$A$2:$A$6000,0)),"")</f>
        <v/>
      </c>
      <c r="F49">
        <f>IFERROR(INDEX(спр_Работы!$G$2:$G$6000,MATCH($C49,спр_Работы!$A$2:$A$6000,0)),"")</f>
        <v/>
      </c>
      <c r="G49">
        <f>IFERROR(INDEX(спр_Работы!$K$2:$K$6000,MATCH($C49,спр_Работы!$A$2:$A$6000,0)),"")</f>
        <v/>
      </c>
      <c r="H49" s="9" t="n"/>
      <c r="I49" s="9" t="n"/>
      <c r="J49" s="8">
        <f>IFERROR(INDEX(спр_Материалы!$B$2:$B$9000,MATCH($I49,спр_Материалы!$A$2:$A$9000,0)),"")</f>
        <v/>
      </c>
      <c r="K49">
        <f>IF($I49="","",IF($F49=IFERROR(INDEX(спр_Материалы!$G$2:$G$9000,MATCH($I49,спр_Материалы!$A$2:$A$9000,0)),""),"OK","!! не та группа"))</f>
        <v/>
      </c>
      <c r="L49" s="10">
        <f>IFERROR(INDEX(спр_Работы!$H$2:$H$6000,MATCH($C49,спр_Работы!$A$2:$A$6000,0))*(1-ДисконтТендер),0)</f>
        <v/>
      </c>
      <c r="M49" s="10">
        <f>IF($I49="",0,IFERROR(INDEX(спр_Материалы!$I$2:$I$9000,MATCH($I49,спр_Материалы!$A$2:$A$9000,0))*IF(INDEX(спр_Материалы!$J$2:$J$9000,MATCH($I49,спр_Материалы!$A$2:$A$9000,0))="USD",КурсUSD,IF(INDEX(спр_Материалы!$J$2:$J$9000,MATCH($I49,спр_Материалы!$A$2:$A$9000,0))="EUR",КурсEUR,1))*INDEX(спр_Материалы!$K$2:$K$9000,MATCH($I49,спр_Материалы!$A$2:$A$9000,0))*(1+IFERROR(INDEX(спр_Работы!$I$2:$I$6000,MATCH($C49,спр_Работы!$A$2:$A$6000,0))/100,0))*(1-ДисконтТендер),0))</f>
        <v/>
      </c>
      <c r="N49" s="10">
        <f>IF(AND($R49="да",$H49&lt;&gt;""),ROUND($H49*$L49,2),0)</f>
        <v/>
      </c>
      <c r="O49" s="10">
        <f>IF(AND($R49="да",$H49&lt;&gt;""),ROUND($H49*$M49,2),0)</f>
        <v/>
      </c>
      <c r="P49" s="10">
        <f>$N49+$O49</f>
        <v/>
      </c>
      <c r="Q49">
        <f>IFERROR(INDEX(спр_Работы!$J$2:$J$6000,MATCH($C49,спр_Работы!$A$2:$A$6000,0)),"")</f>
        <v/>
      </c>
      <c r="R49" t="inlineStr">
        <is>
          <t>да</t>
        </is>
      </c>
      <c r="T49">
        <f>IF(AND($P49&gt;0,$R49="да"),MAX($T$1:$T48)+1,"")</f>
        <v/>
      </c>
    </row>
    <row r="50">
      <c r="A50">
        <f>IFERROR(INDEX(спр_Работы!$D$2:$D$6000,MATCH($C50,спр_Работы!$A$2:$A$6000,0)),"")</f>
        <v/>
      </c>
      <c r="B50">
        <f>IFERROR(INDEX(спр_Работы!$F$2:$F$6000,MATCH($C50,спр_Работы!$A$2:$A$6000,0)),"")</f>
        <v/>
      </c>
      <c r="C50">
        <f>IFERROR(INDEX(спр_Работы!$A$2:$A$6000,49),"")</f>
        <v/>
      </c>
      <c r="D50" s="8">
        <f>IFERROR(INDEX(спр_Работы!$B$2:$B$6000,MATCH($C50,спр_Работы!$A$2:$A$6000,0)),"")</f>
        <v/>
      </c>
      <c r="E50">
        <f>IFERROR(INDEX(спр_Работы!$C$2:$C$6000,MATCH($C50,спр_Работы!$A$2:$A$6000,0)),"")</f>
        <v/>
      </c>
      <c r="F50">
        <f>IFERROR(INDEX(спр_Работы!$G$2:$G$6000,MATCH($C50,спр_Работы!$A$2:$A$6000,0)),"")</f>
        <v/>
      </c>
      <c r="G50">
        <f>IFERROR(INDEX(спр_Работы!$K$2:$K$6000,MATCH($C50,спр_Работы!$A$2:$A$6000,0)),"")</f>
        <v/>
      </c>
      <c r="H50" s="9" t="n"/>
      <c r="I50" s="9" t="n"/>
      <c r="J50" s="8">
        <f>IFERROR(INDEX(спр_Материалы!$B$2:$B$9000,MATCH($I50,спр_Материалы!$A$2:$A$9000,0)),"")</f>
        <v/>
      </c>
      <c r="K50">
        <f>IF($I50="","",IF($F50=IFERROR(INDEX(спр_Материалы!$G$2:$G$9000,MATCH($I50,спр_Материалы!$A$2:$A$9000,0)),""),"OK","!! не та группа"))</f>
        <v/>
      </c>
      <c r="L50" s="10">
        <f>IFERROR(INDEX(спр_Работы!$H$2:$H$6000,MATCH($C50,спр_Работы!$A$2:$A$6000,0))*(1-ДисконтТендер),0)</f>
        <v/>
      </c>
      <c r="M50" s="10">
        <f>IF($I50="",0,IFERROR(INDEX(спр_Материалы!$I$2:$I$9000,MATCH($I50,спр_Материалы!$A$2:$A$9000,0))*IF(INDEX(спр_Материалы!$J$2:$J$9000,MATCH($I50,спр_Материалы!$A$2:$A$9000,0))="USD",КурсUSD,IF(INDEX(спр_Материалы!$J$2:$J$9000,MATCH($I50,спр_Материалы!$A$2:$A$9000,0))="EUR",КурсEUR,1))*INDEX(спр_Материалы!$K$2:$K$9000,MATCH($I50,спр_Материалы!$A$2:$A$9000,0))*(1+IFERROR(INDEX(спр_Работы!$I$2:$I$6000,MATCH($C50,спр_Работы!$A$2:$A$6000,0))/100,0))*(1-ДисконтТендер),0))</f>
        <v/>
      </c>
      <c r="N50" s="10">
        <f>IF(AND($R50="да",$H50&lt;&gt;""),ROUND($H50*$L50,2),0)</f>
        <v/>
      </c>
      <c r="O50" s="10">
        <f>IF(AND($R50="да",$H50&lt;&gt;""),ROUND($H50*$M50,2),0)</f>
        <v/>
      </c>
      <c r="P50" s="10">
        <f>$N50+$O50</f>
        <v/>
      </c>
      <c r="Q50">
        <f>IFERROR(INDEX(спр_Работы!$J$2:$J$6000,MATCH($C50,спр_Работы!$A$2:$A$6000,0)),"")</f>
        <v/>
      </c>
      <c r="R50" t="inlineStr">
        <is>
          <t>да</t>
        </is>
      </c>
      <c r="T50">
        <f>IF(AND($P50&gt;0,$R50="да"),MAX($T$1:$T49)+1,"")</f>
        <v/>
      </c>
    </row>
    <row r="51">
      <c r="A51">
        <f>IFERROR(INDEX(спр_Работы!$D$2:$D$6000,MATCH($C51,спр_Работы!$A$2:$A$6000,0)),"")</f>
        <v/>
      </c>
      <c r="B51">
        <f>IFERROR(INDEX(спр_Работы!$F$2:$F$6000,MATCH($C51,спр_Работы!$A$2:$A$6000,0)),"")</f>
        <v/>
      </c>
      <c r="C51">
        <f>IFERROR(INDEX(спр_Работы!$A$2:$A$6000,50),"")</f>
        <v/>
      </c>
      <c r="D51" s="8">
        <f>IFERROR(INDEX(спр_Работы!$B$2:$B$6000,MATCH($C51,спр_Работы!$A$2:$A$6000,0)),"")</f>
        <v/>
      </c>
      <c r="E51">
        <f>IFERROR(INDEX(спр_Работы!$C$2:$C$6000,MATCH($C51,спр_Работы!$A$2:$A$6000,0)),"")</f>
        <v/>
      </c>
      <c r="F51">
        <f>IFERROR(INDEX(спр_Работы!$G$2:$G$6000,MATCH($C51,спр_Работы!$A$2:$A$6000,0)),"")</f>
        <v/>
      </c>
      <c r="G51">
        <f>IFERROR(INDEX(спр_Работы!$K$2:$K$6000,MATCH($C51,спр_Работы!$A$2:$A$6000,0)),"")</f>
        <v/>
      </c>
      <c r="H51" s="9" t="n"/>
      <c r="I51" s="9" t="n"/>
      <c r="J51" s="8">
        <f>IFERROR(INDEX(спр_Материалы!$B$2:$B$9000,MATCH($I51,спр_Материалы!$A$2:$A$9000,0)),"")</f>
        <v/>
      </c>
      <c r="K51">
        <f>IF($I51="","",IF($F51=IFERROR(INDEX(спр_Материалы!$G$2:$G$9000,MATCH($I51,спр_Материалы!$A$2:$A$9000,0)),""),"OK","!! не та группа"))</f>
        <v/>
      </c>
      <c r="L51" s="10">
        <f>IFERROR(INDEX(спр_Работы!$H$2:$H$6000,MATCH($C51,спр_Работы!$A$2:$A$6000,0))*(1-ДисконтТендер),0)</f>
        <v/>
      </c>
      <c r="M51" s="10">
        <f>IF($I51="",0,IFERROR(INDEX(спр_Материалы!$I$2:$I$9000,MATCH($I51,спр_Материалы!$A$2:$A$9000,0))*IF(INDEX(спр_Материалы!$J$2:$J$9000,MATCH($I51,спр_Материалы!$A$2:$A$9000,0))="USD",КурсUSD,IF(INDEX(спр_Материалы!$J$2:$J$9000,MATCH($I51,спр_Материалы!$A$2:$A$9000,0))="EUR",КурсEUR,1))*INDEX(спр_Материалы!$K$2:$K$9000,MATCH($I51,спр_Материалы!$A$2:$A$9000,0))*(1+IFERROR(INDEX(спр_Работы!$I$2:$I$6000,MATCH($C51,спр_Работы!$A$2:$A$6000,0))/100,0))*(1-ДисконтТендер),0))</f>
        <v/>
      </c>
      <c r="N51" s="10">
        <f>IF(AND($R51="да",$H51&lt;&gt;""),ROUND($H51*$L51,2),0)</f>
        <v/>
      </c>
      <c r="O51" s="10">
        <f>IF(AND($R51="да",$H51&lt;&gt;""),ROUND($H51*$M51,2),0)</f>
        <v/>
      </c>
      <c r="P51" s="10">
        <f>$N51+$O51</f>
        <v/>
      </c>
      <c r="Q51">
        <f>IFERROR(INDEX(спр_Работы!$J$2:$J$6000,MATCH($C51,спр_Работы!$A$2:$A$6000,0)),"")</f>
        <v/>
      </c>
      <c r="R51" t="inlineStr">
        <is>
          <t>да</t>
        </is>
      </c>
      <c r="T51">
        <f>IF(AND($P51&gt;0,$R51="да"),MAX($T$1:$T50)+1,"")</f>
        <v/>
      </c>
    </row>
    <row r="52">
      <c r="A52">
        <f>IFERROR(INDEX(спр_Работы!$D$2:$D$6000,MATCH($C52,спр_Работы!$A$2:$A$6000,0)),"")</f>
        <v/>
      </c>
      <c r="B52">
        <f>IFERROR(INDEX(спр_Работы!$F$2:$F$6000,MATCH($C52,спр_Работы!$A$2:$A$6000,0)),"")</f>
        <v/>
      </c>
      <c r="C52">
        <f>IFERROR(INDEX(спр_Работы!$A$2:$A$6000,51),"")</f>
        <v/>
      </c>
      <c r="D52" s="8">
        <f>IFERROR(INDEX(спр_Работы!$B$2:$B$6000,MATCH($C52,спр_Работы!$A$2:$A$6000,0)),"")</f>
        <v/>
      </c>
      <c r="E52">
        <f>IFERROR(INDEX(спр_Работы!$C$2:$C$6000,MATCH($C52,спр_Работы!$A$2:$A$6000,0)),"")</f>
        <v/>
      </c>
      <c r="F52">
        <f>IFERROR(INDEX(спр_Работы!$G$2:$G$6000,MATCH($C52,спр_Работы!$A$2:$A$6000,0)),"")</f>
        <v/>
      </c>
      <c r="G52">
        <f>IFERROR(INDEX(спр_Работы!$K$2:$K$6000,MATCH($C52,спр_Работы!$A$2:$A$6000,0)),"")</f>
        <v/>
      </c>
      <c r="H52" s="9" t="n"/>
      <c r="I52" s="9" t="n"/>
      <c r="J52" s="8">
        <f>IFERROR(INDEX(спр_Материалы!$B$2:$B$9000,MATCH($I52,спр_Материалы!$A$2:$A$9000,0)),"")</f>
        <v/>
      </c>
      <c r="K52">
        <f>IF($I52="","",IF($F52=IFERROR(INDEX(спр_Материалы!$G$2:$G$9000,MATCH($I52,спр_Материалы!$A$2:$A$9000,0)),""),"OK","!! не та группа"))</f>
        <v/>
      </c>
      <c r="L52" s="10">
        <f>IFERROR(INDEX(спр_Работы!$H$2:$H$6000,MATCH($C52,спр_Работы!$A$2:$A$6000,0))*(1-ДисконтТендер),0)</f>
        <v/>
      </c>
      <c r="M52" s="10">
        <f>IF($I52="",0,IFERROR(INDEX(спр_Материалы!$I$2:$I$9000,MATCH($I52,спр_Материалы!$A$2:$A$9000,0))*IF(INDEX(спр_Материалы!$J$2:$J$9000,MATCH($I52,спр_Материалы!$A$2:$A$9000,0))="USD",КурсUSD,IF(INDEX(спр_Материалы!$J$2:$J$9000,MATCH($I52,спр_Материалы!$A$2:$A$9000,0))="EUR",КурсEUR,1))*INDEX(спр_Материалы!$K$2:$K$9000,MATCH($I52,спр_Материалы!$A$2:$A$9000,0))*(1+IFERROR(INDEX(спр_Работы!$I$2:$I$6000,MATCH($C52,спр_Работы!$A$2:$A$6000,0))/100,0))*(1-ДисконтТендер),0))</f>
        <v/>
      </c>
      <c r="N52" s="10">
        <f>IF(AND($R52="да",$H52&lt;&gt;""),ROUND($H52*$L52,2),0)</f>
        <v/>
      </c>
      <c r="O52" s="10">
        <f>IF(AND($R52="да",$H52&lt;&gt;""),ROUND($H52*$M52,2),0)</f>
        <v/>
      </c>
      <c r="P52" s="10">
        <f>$N52+$O52</f>
        <v/>
      </c>
      <c r="Q52">
        <f>IFERROR(INDEX(спр_Работы!$J$2:$J$6000,MATCH($C52,спр_Работы!$A$2:$A$6000,0)),"")</f>
        <v/>
      </c>
      <c r="R52" t="inlineStr">
        <is>
          <t>да</t>
        </is>
      </c>
      <c r="T52">
        <f>IF(AND($P52&gt;0,$R52="да"),MAX($T$1:$T51)+1,"")</f>
        <v/>
      </c>
    </row>
    <row r="53">
      <c r="A53">
        <f>IFERROR(INDEX(спр_Работы!$D$2:$D$6000,MATCH($C53,спр_Работы!$A$2:$A$6000,0)),"")</f>
        <v/>
      </c>
      <c r="B53">
        <f>IFERROR(INDEX(спр_Работы!$F$2:$F$6000,MATCH($C53,спр_Работы!$A$2:$A$6000,0)),"")</f>
        <v/>
      </c>
      <c r="C53">
        <f>IFERROR(INDEX(спр_Работы!$A$2:$A$6000,52),"")</f>
        <v/>
      </c>
      <c r="D53" s="8">
        <f>IFERROR(INDEX(спр_Работы!$B$2:$B$6000,MATCH($C53,спр_Работы!$A$2:$A$6000,0)),"")</f>
        <v/>
      </c>
      <c r="E53">
        <f>IFERROR(INDEX(спр_Работы!$C$2:$C$6000,MATCH($C53,спр_Работы!$A$2:$A$6000,0)),"")</f>
        <v/>
      </c>
      <c r="F53">
        <f>IFERROR(INDEX(спр_Работы!$G$2:$G$6000,MATCH($C53,спр_Работы!$A$2:$A$6000,0)),"")</f>
        <v/>
      </c>
      <c r="G53">
        <f>IFERROR(INDEX(спр_Работы!$K$2:$K$6000,MATCH($C53,спр_Работы!$A$2:$A$6000,0)),"")</f>
        <v/>
      </c>
      <c r="H53" s="9" t="n"/>
      <c r="I53" s="9" t="n"/>
      <c r="J53" s="8">
        <f>IFERROR(INDEX(спр_Материалы!$B$2:$B$9000,MATCH($I53,спр_Материалы!$A$2:$A$9000,0)),"")</f>
        <v/>
      </c>
      <c r="K53">
        <f>IF($I53="","",IF($F53=IFERROR(INDEX(спр_Материалы!$G$2:$G$9000,MATCH($I53,спр_Материалы!$A$2:$A$9000,0)),""),"OK","!! не та группа"))</f>
        <v/>
      </c>
      <c r="L53" s="10">
        <f>IFERROR(INDEX(спр_Работы!$H$2:$H$6000,MATCH($C53,спр_Работы!$A$2:$A$6000,0))*(1-ДисконтТендер),0)</f>
        <v/>
      </c>
      <c r="M53" s="10">
        <f>IF($I53="",0,IFERROR(INDEX(спр_Материалы!$I$2:$I$9000,MATCH($I53,спр_Материалы!$A$2:$A$9000,0))*IF(INDEX(спр_Материалы!$J$2:$J$9000,MATCH($I53,спр_Материалы!$A$2:$A$9000,0))="USD",КурсUSD,IF(INDEX(спр_Материалы!$J$2:$J$9000,MATCH($I53,спр_Материалы!$A$2:$A$9000,0))="EUR",КурсEUR,1))*INDEX(спр_Материалы!$K$2:$K$9000,MATCH($I53,спр_Материалы!$A$2:$A$9000,0))*(1+IFERROR(INDEX(спр_Работы!$I$2:$I$6000,MATCH($C53,спр_Работы!$A$2:$A$6000,0))/100,0))*(1-ДисконтТендер),0))</f>
        <v/>
      </c>
      <c r="N53" s="10">
        <f>IF(AND($R53="да",$H53&lt;&gt;""),ROUND($H53*$L53,2),0)</f>
        <v/>
      </c>
      <c r="O53" s="10">
        <f>IF(AND($R53="да",$H53&lt;&gt;""),ROUND($H53*$M53,2),0)</f>
        <v/>
      </c>
      <c r="P53" s="10">
        <f>$N53+$O53</f>
        <v/>
      </c>
      <c r="Q53">
        <f>IFERROR(INDEX(спр_Работы!$J$2:$J$6000,MATCH($C53,спр_Работы!$A$2:$A$6000,0)),"")</f>
        <v/>
      </c>
      <c r="R53" t="inlineStr">
        <is>
          <t>да</t>
        </is>
      </c>
      <c r="T53">
        <f>IF(AND($P53&gt;0,$R53="да"),MAX($T$1:$T52)+1,"")</f>
        <v/>
      </c>
    </row>
    <row r="54">
      <c r="A54">
        <f>IFERROR(INDEX(спр_Работы!$D$2:$D$6000,MATCH($C54,спр_Работы!$A$2:$A$6000,0)),"")</f>
        <v/>
      </c>
      <c r="B54">
        <f>IFERROR(INDEX(спр_Работы!$F$2:$F$6000,MATCH($C54,спр_Работы!$A$2:$A$6000,0)),"")</f>
        <v/>
      </c>
      <c r="C54">
        <f>IFERROR(INDEX(спр_Работы!$A$2:$A$6000,53),"")</f>
        <v/>
      </c>
      <c r="D54" s="8">
        <f>IFERROR(INDEX(спр_Работы!$B$2:$B$6000,MATCH($C54,спр_Работы!$A$2:$A$6000,0)),"")</f>
        <v/>
      </c>
      <c r="E54">
        <f>IFERROR(INDEX(спр_Работы!$C$2:$C$6000,MATCH($C54,спр_Работы!$A$2:$A$6000,0)),"")</f>
        <v/>
      </c>
      <c r="F54">
        <f>IFERROR(INDEX(спр_Работы!$G$2:$G$6000,MATCH($C54,спр_Работы!$A$2:$A$6000,0)),"")</f>
        <v/>
      </c>
      <c r="G54">
        <f>IFERROR(INDEX(спр_Работы!$K$2:$K$6000,MATCH($C54,спр_Работы!$A$2:$A$6000,0)),"")</f>
        <v/>
      </c>
      <c r="H54" s="9" t="n"/>
      <c r="I54" s="9" t="n"/>
      <c r="J54" s="8">
        <f>IFERROR(INDEX(спр_Материалы!$B$2:$B$9000,MATCH($I54,спр_Материалы!$A$2:$A$9000,0)),"")</f>
        <v/>
      </c>
      <c r="K54">
        <f>IF($I54="","",IF($F54=IFERROR(INDEX(спр_Материалы!$G$2:$G$9000,MATCH($I54,спр_Материалы!$A$2:$A$9000,0)),""),"OK","!! не та группа"))</f>
        <v/>
      </c>
      <c r="L54" s="10">
        <f>IFERROR(INDEX(спр_Работы!$H$2:$H$6000,MATCH($C54,спр_Работы!$A$2:$A$6000,0))*(1-ДисконтТендер),0)</f>
        <v/>
      </c>
      <c r="M54" s="10">
        <f>IF($I54="",0,IFERROR(INDEX(спр_Материалы!$I$2:$I$9000,MATCH($I54,спр_Материалы!$A$2:$A$9000,0))*IF(INDEX(спр_Материалы!$J$2:$J$9000,MATCH($I54,спр_Материалы!$A$2:$A$9000,0))="USD",КурсUSD,IF(INDEX(спр_Материалы!$J$2:$J$9000,MATCH($I54,спр_Материалы!$A$2:$A$9000,0))="EUR",КурсEUR,1))*INDEX(спр_Материалы!$K$2:$K$9000,MATCH($I54,спр_Материалы!$A$2:$A$9000,0))*(1+IFERROR(INDEX(спр_Работы!$I$2:$I$6000,MATCH($C54,спр_Работы!$A$2:$A$6000,0))/100,0))*(1-ДисконтТендер),0))</f>
        <v/>
      </c>
      <c r="N54" s="10">
        <f>IF(AND($R54="да",$H54&lt;&gt;""),ROUND($H54*$L54,2),0)</f>
        <v/>
      </c>
      <c r="O54" s="10">
        <f>IF(AND($R54="да",$H54&lt;&gt;""),ROUND($H54*$M54,2),0)</f>
        <v/>
      </c>
      <c r="P54" s="10">
        <f>$N54+$O54</f>
        <v/>
      </c>
      <c r="Q54">
        <f>IFERROR(INDEX(спр_Работы!$J$2:$J$6000,MATCH($C54,спр_Работы!$A$2:$A$6000,0)),"")</f>
        <v/>
      </c>
      <c r="R54" t="inlineStr">
        <is>
          <t>да</t>
        </is>
      </c>
      <c r="T54">
        <f>IF(AND($P54&gt;0,$R54="да"),MAX($T$1:$T53)+1,"")</f>
        <v/>
      </c>
    </row>
    <row r="55">
      <c r="A55">
        <f>IFERROR(INDEX(спр_Работы!$D$2:$D$6000,MATCH($C55,спр_Работы!$A$2:$A$6000,0)),"")</f>
        <v/>
      </c>
      <c r="B55">
        <f>IFERROR(INDEX(спр_Работы!$F$2:$F$6000,MATCH($C55,спр_Работы!$A$2:$A$6000,0)),"")</f>
        <v/>
      </c>
      <c r="C55">
        <f>IFERROR(INDEX(спр_Работы!$A$2:$A$6000,54),"")</f>
        <v/>
      </c>
      <c r="D55" s="8">
        <f>IFERROR(INDEX(спр_Работы!$B$2:$B$6000,MATCH($C55,спр_Работы!$A$2:$A$6000,0)),"")</f>
        <v/>
      </c>
      <c r="E55">
        <f>IFERROR(INDEX(спр_Работы!$C$2:$C$6000,MATCH($C55,спр_Работы!$A$2:$A$6000,0)),"")</f>
        <v/>
      </c>
      <c r="F55">
        <f>IFERROR(INDEX(спр_Работы!$G$2:$G$6000,MATCH($C55,спр_Работы!$A$2:$A$6000,0)),"")</f>
        <v/>
      </c>
      <c r="G55">
        <f>IFERROR(INDEX(спр_Работы!$K$2:$K$6000,MATCH($C55,спр_Работы!$A$2:$A$6000,0)),"")</f>
        <v/>
      </c>
      <c r="H55" s="9" t="n"/>
      <c r="I55" s="9" t="n"/>
      <c r="J55" s="8">
        <f>IFERROR(INDEX(спр_Материалы!$B$2:$B$9000,MATCH($I55,спр_Материалы!$A$2:$A$9000,0)),"")</f>
        <v/>
      </c>
      <c r="K55">
        <f>IF($I55="","",IF($F55=IFERROR(INDEX(спр_Материалы!$G$2:$G$9000,MATCH($I55,спр_Материалы!$A$2:$A$9000,0)),""),"OK","!! не та группа"))</f>
        <v/>
      </c>
      <c r="L55" s="10">
        <f>IFERROR(INDEX(спр_Работы!$H$2:$H$6000,MATCH($C55,спр_Работы!$A$2:$A$6000,0))*(1-ДисконтТендер),0)</f>
        <v/>
      </c>
      <c r="M55" s="10">
        <f>IF($I55="",0,IFERROR(INDEX(спр_Материалы!$I$2:$I$9000,MATCH($I55,спр_Материалы!$A$2:$A$9000,0))*IF(INDEX(спр_Материалы!$J$2:$J$9000,MATCH($I55,спр_Материалы!$A$2:$A$9000,0))="USD",КурсUSD,IF(INDEX(спр_Материалы!$J$2:$J$9000,MATCH($I55,спр_Материалы!$A$2:$A$9000,0))="EUR",КурсEUR,1))*INDEX(спр_Материалы!$K$2:$K$9000,MATCH($I55,спр_Материалы!$A$2:$A$9000,0))*(1+IFERROR(INDEX(спр_Работы!$I$2:$I$6000,MATCH($C55,спр_Работы!$A$2:$A$6000,0))/100,0))*(1-ДисконтТендер),0))</f>
        <v/>
      </c>
      <c r="N55" s="10">
        <f>IF(AND($R55="да",$H55&lt;&gt;""),ROUND($H55*$L55,2),0)</f>
        <v/>
      </c>
      <c r="O55" s="10">
        <f>IF(AND($R55="да",$H55&lt;&gt;""),ROUND($H55*$M55,2),0)</f>
        <v/>
      </c>
      <c r="P55" s="10">
        <f>$N55+$O55</f>
        <v/>
      </c>
      <c r="Q55">
        <f>IFERROR(INDEX(спр_Работы!$J$2:$J$6000,MATCH($C55,спр_Работы!$A$2:$A$6000,0)),"")</f>
        <v/>
      </c>
      <c r="R55" t="inlineStr">
        <is>
          <t>да</t>
        </is>
      </c>
      <c r="T55">
        <f>IF(AND($P55&gt;0,$R55="да"),MAX($T$1:$T54)+1,"")</f>
        <v/>
      </c>
    </row>
    <row r="56">
      <c r="A56">
        <f>IFERROR(INDEX(спр_Работы!$D$2:$D$6000,MATCH($C56,спр_Работы!$A$2:$A$6000,0)),"")</f>
        <v/>
      </c>
      <c r="B56">
        <f>IFERROR(INDEX(спр_Работы!$F$2:$F$6000,MATCH($C56,спр_Работы!$A$2:$A$6000,0)),"")</f>
        <v/>
      </c>
      <c r="C56">
        <f>IFERROR(INDEX(спр_Работы!$A$2:$A$6000,55),"")</f>
        <v/>
      </c>
      <c r="D56" s="8">
        <f>IFERROR(INDEX(спр_Работы!$B$2:$B$6000,MATCH($C56,спр_Работы!$A$2:$A$6000,0)),"")</f>
        <v/>
      </c>
      <c r="E56">
        <f>IFERROR(INDEX(спр_Работы!$C$2:$C$6000,MATCH($C56,спр_Работы!$A$2:$A$6000,0)),"")</f>
        <v/>
      </c>
      <c r="F56">
        <f>IFERROR(INDEX(спр_Работы!$G$2:$G$6000,MATCH($C56,спр_Работы!$A$2:$A$6000,0)),"")</f>
        <v/>
      </c>
      <c r="G56">
        <f>IFERROR(INDEX(спр_Работы!$K$2:$K$6000,MATCH($C56,спр_Работы!$A$2:$A$6000,0)),"")</f>
        <v/>
      </c>
      <c r="H56" s="9" t="n"/>
      <c r="I56" s="9" t="n"/>
      <c r="J56" s="8">
        <f>IFERROR(INDEX(спр_Материалы!$B$2:$B$9000,MATCH($I56,спр_Материалы!$A$2:$A$9000,0)),"")</f>
        <v/>
      </c>
      <c r="K56">
        <f>IF($I56="","",IF($F56=IFERROR(INDEX(спр_Материалы!$G$2:$G$9000,MATCH($I56,спр_Материалы!$A$2:$A$9000,0)),""),"OK","!! не та группа"))</f>
        <v/>
      </c>
      <c r="L56" s="10">
        <f>IFERROR(INDEX(спр_Работы!$H$2:$H$6000,MATCH($C56,спр_Работы!$A$2:$A$6000,0))*(1-ДисконтТендер),0)</f>
        <v/>
      </c>
      <c r="M56" s="10">
        <f>IF($I56="",0,IFERROR(INDEX(спр_Материалы!$I$2:$I$9000,MATCH($I56,спр_Материалы!$A$2:$A$9000,0))*IF(INDEX(спр_Материалы!$J$2:$J$9000,MATCH($I56,спр_Материалы!$A$2:$A$9000,0))="USD",КурсUSD,IF(INDEX(спр_Материалы!$J$2:$J$9000,MATCH($I56,спр_Материалы!$A$2:$A$9000,0))="EUR",КурсEUR,1))*INDEX(спр_Материалы!$K$2:$K$9000,MATCH($I56,спр_Материалы!$A$2:$A$9000,0))*(1+IFERROR(INDEX(спр_Работы!$I$2:$I$6000,MATCH($C56,спр_Работы!$A$2:$A$6000,0))/100,0))*(1-ДисконтТендер),0))</f>
        <v/>
      </c>
      <c r="N56" s="10">
        <f>IF(AND($R56="да",$H56&lt;&gt;""),ROUND($H56*$L56,2),0)</f>
        <v/>
      </c>
      <c r="O56" s="10">
        <f>IF(AND($R56="да",$H56&lt;&gt;""),ROUND($H56*$M56,2),0)</f>
        <v/>
      </c>
      <c r="P56" s="10">
        <f>$N56+$O56</f>
        <v/>
      </c>
      <c r="Q56">
        <f>IFERROR(INDEX(спр_Работы!$J$2:$J$6000,MATCH($C56,спр_Работы!$A$2:$A$6000,0)),"")</f>
        <v/>
      </c>
      <c r="R56" t="inlineStr">
        <is>
          <t>да</t>
        </is>
      </c>
      <c r="T56">
        <f>IF(AND($P56&gt;0,$R56="да"),MAX($T$1:$T55)+1,"")</f>
        <v/>
      </c>
    </row>
    <row r="57">
      <c r="A57">
        <f>IFERROR(INDEX(спр_Работы!$D$2:$D$6000,MATCH($C57,спр_Работы!$A$2:$A$6000,0)),"")</f>
        <v/>
      </c>
      <c r="B57">
        <f>IFERROR(INDEX(спр_Работы!$F$2:$F$6000,MATCH($C57,спр_Работы!$A$2:$A$6000,0)),"")</f>
        <v/>
      </c>
      <c r="C57">
        <f>IFERROR(INDEX(спр_Работы!$A$2:$A$6000,56),"")</f>
        <v/>
      </c>
      <c r="D57" s="8">
        <f>IFERROR(INDEX(спр_Работы!$B$2:$B$6000,MATCH($C57,спр_Работы!$A$2:$A$6000,0)),"")</f>
        <v/>
      </c>
      <c r="E57">
        <f>IFERROR(INDEX(спр_Работы!$C$2:$C$6000,MATCH($C57,спр_Работы!$A$2:$A$6000,0)),"")</f>
        <v/>
      </c>
      <c r="F57">
        <f>IFERROR(INDEX(спр_Работы!$G$2:$G$6000,MATCH($C57,спр_Работы!$A$2:$A$6000,0)),"")</f>
        <v/>
      </c>
      <c r="G57">
        <f>IFERROR(INDEX(спр_Работы!$K$2:$K$6000,MATCH($C57,спр_Работы!$A$2:$A$6000,0)),"")</f>
        <v/>
      </c>
      <c r="H57" s="9" t="n"/>
      <c r="I57" s="9" t="n"/>
      <c r="J57" s="8">
        <f>IFERROR(INDEX(спр_Материалы!$B$2:$B$9000,MATCH($I57,спр_Материалы!$A$2:$A$9000,0)),"")</f>
        <v/>
      </c>
      <c r="K57">
        <f>IF($I57="","",IF($F57=IFERROR(INDEX(спр_Материалы!$G$2:$G$9000,MATCH($I57,спр_Материалы!$A$2:$A$9000,0)),""),"OK","!! не та группа"))</f>
        <v/>
      </c>
      <c r="L57" s="10">
        <f>IFERROR(INDEX(спр_Работы!$H$2:$H$6000,MATCH($C57,спр_Работы!$A$2:$A$6000,0))*(1-ДисконтТендер),0)</f>
        <v/>
      </c>
      <c r="M57" s="10">
        <f>IF($I57="",0,IFERROR(INDEX(спр_Материалы!$I$2:$I$9000,MATCH($I57,спр_Материалы!$A$2:$A$9000,0))*IF(INDEX(спр_Материалы!$J$2:$J$9000,MATCH($I57,спр_Материалы!$A$2:$A$9000,0))="USD",КурсUSD,IF(INDEX(спр_Материалы!$J$2:$J$9000,MATCH($I57,спр_Материалы!$A$2:$A$9000,0))="EUR",КурсEUR,1))*INDEX(спр_Материалы!$K$2:$K$9000,MATCH($I57,спр_Материалы!$A$2:$A$9000,0))*(1+IFERROR(INDEX(спр_Работы!$I$2:$I$6000,MATCH($C57,спр_Работы!$A$2:$A$6000,0))/100,0))*(1-ДисконтТендер),0))</f>
        <v/>
      </c>
      <c r="N57" s="10">
        <f>IF(AND($R57="да",$H57&lt;&gt;""),ROUND($H57*$L57,2),0)</f>
        <v/>
      </c>
      <c r="O57" s="10">
        <f>IF(AND($R57="да",$H57&lt;&gt;""),ROUND($H57*$M57,2),0)</f>
        <v/>
      </c>
      <c r="P57" s="10">
        <f>$N57+$O57</f>
        <v/>
      </c>
      <c r="Q57">
        <f>IFERROR(INDEX(спр_Работы!$J$2:$J$6000,MATCH($C57,спр_Работы!$A$2:$A$6000,0)),"")</f>
        <v/>
      </c>
      <c r="R57" t="inlineStr">
        <is>
          <t>да</t>
        </is>
      </c>
      <c r="T57">
        <f>IF(AND($P57&gt;0,$R57="да"),MAX($T$1:$T56)+1,"")</f>
        <v/>
      </c>
    </row>
    <row r="58">
      <c r="A58">
        <f>IFERROR(INDEX(спр_Работы!$D$2:$D$6000,MATCH($C58,спр_Работы!$A$2:$A$6000,0)),"")</f>
        <v/>
      </c>
      <c r="B58">
        <f>IFERROR(INDEX(спр_Работы!$F$2:$F$6000,MATCH($C58,спр_Работы!$A$2:$A$6000,0)),"")</f>
        <v/>
      </c>
      <c r="C58">
        <f>IFERROR(INDEX(спр_Работы!$A$2:$A$6000,57),"")</f>
        <v/>
      </c>
      <c r="D58" s="8">
        <f>IFERROR(INDEX(спр_Работы!$B$2:$B$6000,MATCH($C58,спр_Работы!$A$2:$A$6000,0)),"")</f>
        <v/>
      </c>
      <c r="E58">
        <f>IFERROR(INDEX(спр_Работы!$C$2:$C$6000,MATCH($C58,спр_Работы!$A$2:$A$6000,0)),"")</f>
        <v/>
      </c>
      <c r="F58">
        <f>IFERROR(INDEX(спр_Работы!$G$2:$G$6000,MATCH($C58,спр_Работы!$A$2:$A$6000,0)),"")</f>
        <v/>
      </c>
      <c r="G58">
        <f>IFERROR(INDEX(спр_Работы!$K$2:$K$6000,MATCH($C58,спр_Работы!$A$2:$A$6000,0)),"")</f>
        <v/>
      </c>
      <c r="H58" s="9" t="n"/>
      <c r="I58" s="9" t="n"/>
      <c r="J58" s="8">
        <f>IFERROR(INDEX(спр_Материалы!$B$2:$B$9000,MATCH($I58,спр_Материалы!$A$2:$A$9000,0)),"")</f>
        <v/>
      </c>
      <c r="K58">
        <f>IF($I58="","",IF($F58=IFERROR(INDEX(спр_Материалы!$G$2:$G$9000,MATCH($I58,спр_Материалы!$A$2:$A$9000,0)),""),"OK","!! не та группа"))</f>
        <v/>
      </c>
      <c r="L58" s="10">
        <f>IFERROR(INDEX(спр_Работы!$H$2:$H$6000,MATCH($C58,спр_Работы!$A$2:$A$6000,0))*(1-ДисконтТендер),0)</f>
        <v/>
      </c>
      <c r="M58" s="10">
        <f>IF($I58="",0,IFERROR(INDEX(спр_Материалы!$I$2:$I$9000,MATCH($I58,спр_Материалы!$A$2:$A$9000,0))*IF(INDEX(спр_Материалы!$J$2:$J$9000,MATCH($I58,спр_Материалы!$A$2:$A$9000,0))="USD",КурсUSD,IF(INDEX(спр_Материалы!$J$2:$J$9000,MATCH($I58,спр_Материалы!$A$2:$A$9000,0))="EUR",КурсEUR,1))*INDEX(спр_Материалы!$K$2:$K$9000,MATCH($I58,спр_Материалы!$A$2:$A$9000,0))*(1+IFERROR(INDEX(спр_Работы!$I$2:$I$6000,MATCH($C58,спр_Работы!$A$2:$A$6000,0))/100,0))*(1-ДисконтТендер),0))</f>
        <v/>
      </c>
      <c r="N58" s="10">
        <f>IF(AND($R58="да",$H58&lt;&gt;""),ROUND($H58*$L58,2),0)</f>
        <v/>
      </c>
      <c r="O58" s="10">
        <f>IF(AND($R58="да",$H58&lt;&gt;""),ROUND($H58*$M58,2),0)</f>
        <v/>
      </c>
      <c r="P58" s="10">
        <f>$N58+$O58</f>
        <v/>
      </c>
      <c r="Q58">
        <f>IFERROR(INDEX(спр_Работы!$J$2:$J$6000,MATCH($C58,спр_Работы!$A$2:$A$6000,0)),"")</f>
        <v/>
      </c>
      <c r="R58" t="inlineStr">
        <is>
          <t>да</t>
        </is>
      </c>
      <c r="T58">
        <f>IF(AND($P58&gt;0,$R58="да"),MAX($T$1:$T57)+1,"")</f>
        <v/>
      </c>
    </row>
    <row r="59">
      <c r="A59">
        <f>IFERROR(INDEX(спр_Работы!$D$2:$D$6000,MATCH($C59,спр_Работы!$A$2:$A$6000,0)),"")</f>
        <v/>
      </c>
      <c r="B59">
        <f>IFERROR(INDEX(спр_Работы!$F$2:$F$6000,MATCH($C59,спр_Работы!$A$2:$A$6000,0)),"")</f>
        <v/>
      </c>
      <c r="C59">
        <f>IFERROR(INDEX(спр_Работы!$A$2:$A$6000,58),"")</f>
        <v/>
      </c>
      <c r="D59" s="8">
        <f>IFERROR(INDEX(спр_Работы!$B$2:$B$6000,MATCH($C59,спр_Работы!$A$2:$A$6000,0)),"")</f>
        <v/>
      </c>
      <c r="E59">
        <f>IFERROR(INDEX(спр_Работы!$C$2:$C$6000,MATCH($C59,спр_Работы!$A$2:$A$6000,0)),"")</f>
        <v/>
      </c>
      <c r="F59">
        <f>IFERROR(INDEX(спр_Работы!$G$2:$G$6000,MATCH($C59,спр_Работы!$A$2:$A$6000,0)),"")</f>
        <v/>
      </c>
      <c r="G59">
        <f>IFERROR(INDEX(спр_Работы!$K$2:$K$6000,MATCH($C59,спр_Работы!$A$2:$A$6000,0)),"")</f>
        <v/>
      </c>
      <c r="H59" s="9" t="n"/>
      <c r="I59" s="9" t="n"/>
      <c r="J59" s="8">
        <f>IFERROR(INDEX(спр_Материалы!$B$2:$B$9000,MATCH($I59,спр_Материалы!$A$2:$A$9000,0)),"")</f>
        <v/>
      </c>
      <c r="K59">
        <f>IF($I59="","",IF($F59=IFERROR(INDEX(спр_Материалы!$G$2:$G$9000,MATCH($I59,спр_Материалы!$A$2:$A$9000,0)),""),"OK","!! не та группа"))</f>
        <v/>
      </c>
      <c r="L59" s="10">
        <f>IFERROR(INDEX(спр_Работы!$H$2:$H$6000,MATCH($C59,спр_Работы!$A$2:$A$6000,0))*(1-ДисконтТендер),0)</f>
        <v/>
      </c>
      <c r="M59" s="10">
        <f>IF($I59="",0,IFERROR(INDEX(спр_Материалы!$I$2:$I$9000,MATCH($I59,спр_Материалы!$A$2:$A$9000,0))*IF(INDEX(спр_Материалы!$J$2:$J$9000,MATCH($I59,спр_Материалы!$A$2:$A$9000,0))="USD",КурсUSD,IF(INDEX(спр_Материалы!$J$2:$J$9000,MATCH($I59,спр_Материалы!$A$2:$A$9000,0))="EUR",КурсEUR,1))*INDEX(спр_Материалы!$K$2:$K$9000,MATCH($I59,спр_Материалы!$A$2:$A$9000,0))*(1+IFERROR(INDEX(спр_Работы!$I$2:$I$6000,MATCH($C59,спр_Работы!$A$2:$A$6000,0))/100,0))*(1-ДисконтТендер),0))</f>
        <v/>
      </c>
      <c r="N59" s="10">
        <f>IF(AND($R59="да",$H59&lt;&gt;""),ROUND($H59*$L59,2),0)</f>
        <v/>
      </c>
      <c r="O59" s="10">
        <f>IF(AND($R59="да",$H59&lt;&gt;""),ROUND($H59*$M59,2),0)</f>
        <v/>
      </c>
      <c r="P59" s="10">
        <f>$N59+$O59</f>
        <v/>
      </c>
      <c r="Q59">
        <f>IFERROR(INDEX(спр_Работы!$J$2:$J$6000,MATCH($C59,спр_Работы!$A$2:$A$6000,0)),"")</f>
        <v/>
      </c>
      <c r="R59" t="inlineStr">
        <is>
          <t>да</t>
        </is>
      </c>
      <c r="T59">
        <f>IF(AND($P59&gt;0,$R59="да"),MAX($T$1:$T58)+1,"")</f>
        <v/>
      </c>
    </row>
    <row r="60">
      <c r="A60">
        <f>IFERROR(INDEX(спр_Работы!$D$2:$D$6000,MATCH($C60,спр_Работы!$A$2:$A$6000,0)),"")</f>
        <v/>
      </c>
      <c r="B60">
        <f>IFERROR(INDEX(спр_Работы!$F$2:$F$6000,MATCH($C60,спр_Работы!$A$2:$A$6000,0)),"")</f>
        <v/>
      </c>
      <c r="C60">
        <f>IFERROR(INDEX(спр_Работы!$A$2:$A$6000,59),"")</f>
        <v/>
      </c>
      <c r="D60" s="8">
        <f>IFERROR(INDEX(спр_Работы!$B$2:$B$6000,MATCH($C60,спр_Работы!$A$2:$A$6000,0)),"")</f>
        <v/>
      </c>
      <c r="E60">
        <f>IFERROR(INDEX(спр_Работы!$C$2:$C$6000,MATCH($C60,спр_Работы!$A$2:$A$6000,0)),"")</f>
        <v/>
      </c>
      <c r="F60">
        <f>IFERROR(INDEX(спр_Работы!$G$2:$G$6000,MATCH($C60,спр_Работы!$A$2:$A$6000,0)),"")</f>
        <v/>
      </c>
      <c r="G60">
        <f>IFERROR(INDEX(спр_Работы!$K$2:$K$6000,MATCH($C60,спр_Работы!$A$2:$A$6000,0)),"")</f>
        <v/>
      </c>
      <c r="H60" s="9" t="n"/>
      <c r="I60" s="9" t="n"/>
      <c r="J60" s="8">
        <f>IFERROR(INDEX(спр_Материалы!$B$2:$B$9000,MATCH($I60,спр_Материалы!$A$2:$A$9000,0)),"")</f>
        <v/>
      </c>
      <c r="K60">
        <f>IF($I60="","",IF($F60=IFERROR(INDEX(спр_Материалы!$G$2:$G$9000,MATCH($I60,спр_Материалы!$A$2:$A$9000,0)),""),"OK","!! не та группа"))</f>
        <v/>
      </c>
      <c r="L60" s="10">
        <f>IFERROR(INDEX(спр_Работы!$H$2:$H$6000,MATCH($C60,спр_Работы!$A$2:$A$6000,0))*(1-ДисконтТендер),0)</f>
        <v/>
      </c>
      <c r="M60" s="10">
        <f>IF($I60="",0,IFERROR(INDEX(спр_Материалы!$I$2:$I$9000,MATCH($I60,спр_Материалы!$A$2:$A$9000,0))*IF(INDEX(спр_Материалы!$J$2:$J$9000,MATCH($I60,спр_Материалы!$A$2:$A$9000,0))="USD",КурсUSD,IF(INDEX(спр_Материалы!$J$2:$J$9000,MATCH($I60,спр_Материалы!$A$2:$A$9000,0))="EUR",КурсEUR,1))*INDEX(спр_Материалы!$K$2:$K$9000,MATCH($I60,спр_Материалы!$A$2:$A$9000,0))*(1+IFERROR(INDEX(спр_Работы!$I$2:$I$6000,MATCH($C60,спр_Работы!$A$2:$A$6000,0))/100,0))*(1-ДисконтТендер),0))</f>
        <v/>
      </c>
      <c r="N60" s="10">
        <f>IF(AND($R60="да",$H60&lt;&gt;""),ROUND($H60*$L60,2),0)</f>
        <v/>
      </c>
      <c r="O60" s="10">
        <f>IF(AND($R60="да",$H60&lt;&gt;""),ROUND($H60*$M60,2),0)</f>
        <v/>
      </c>
      <c r="P60" s="10">
        <f>$N60+$O60</f>
        <v/>
      </c>
      <c r="Q60">
        <f>IFERROR(INDEX(спр_Работы!$J$2:$J$6000,MATCH($C60,спр_Работы!$A$2:$A$6000,0)),"")</f>
        <v/>
      </c>
      <c r="R60" t="inlineStr">
        <is>
          <t>да</t>
        </is>
      </c>
      <c r="T60">
        <f>IF(AND($P60&gt;0,$R60="да"),MAX($T$1:$T59)+1,"")</f>
        <v/>
      </c>
    </row>
    <row r="61">
      <c r="A61">
        <f>IFERROR(INDEX(спр_Работы!$D$2:$D$6000,MATCH($C61,спр_Работы!$A$2:$A$6000,0)),"")</f>
        <v/>
      </c>
      <c r="B61">
        <f>IFERROR(INDEX(спр_Работы!$F$2:$F$6000,MATCH($C61,спр_Работы!$A$2:$A$6000,0)),"")</f>
        <v/>
      </c>
      <c r="C61">
        <f>IFERROR(INDEX(спр_Работы!$A$2:$A$6000,60),"")</f>
        <v/>
      </c>
      <c r="D61" s="8">
        <f>IFERROR(INDEX(спр_Работы!$B$2:$B$6000,MATCH($C61,спр_Работы!$A$2:$A$6000,0)),"")</f>
        <v/>
      </c>
      <c r="E61">
        <f>IFERROR(INDEX(спр_Работы!$C$2:$C$6000,MATCH($C61,спр_Работы!$A$2:$A$6000,0)),"")</f>
        <v/>
      </c>
      <c r="F61">
        <f>IFERROR(INDEX(спр_Работы!$G$2:$G$6000,MATCH($C61,спр_Работы!$A$2:$A$6000,0)),"")</f>
        <v/>
      </c>
      <c r="G61">
        <f>IFERROR(INDEX(спр_Работы!$K$2:$K$6000,MATCH($C61,спр_Работы!$A$2:$A$6000,0)),"")</f>
        <v/>
      </c>
      <c r="H61" s="9" t="n"/>
      <c r="I61" s="9" t="n"/>
      <c r="J61" s="8">
        <f>IFERROR(INDEX(спр_Материалы!$B$2:$B$9000,MATCH($I61,спр_Материалы!$A$2:$A$9000,0)),"")</f>
        <v/>
      </c>
      <c r="K61">
        <f>IF($I61="","",IF($F61=IFERROR(INDEX(спр_Материалы!$G$2:$G$9000,MATCH($I61,спр_Материалы!$A$2:$A$9000,0)),""),"OK","!! не та группа"))</f>
        <v/>
      </c>
      <c r="L61" s="10">
        <f>IFERROR(INDEX(спр_Работы!$H$2:$H$6000,MATCH($C61,спр_Работы!$A$2:$A$6000,0))*(1-ДисконтТендер),0)</f>
        <v/>
      </c>
      <c r="M61" s="10">
        <f>IF($I61="",0,IFERROR(INDEX(спр_Материалы!$I$2:$I$9000,MATCH($I61,спр_Материалы!$A$2:$A$9000,0))*IF(INDEX(спр_Материалы!$J$2:$J$9000,MATCH($I61,спр_Материалы!$A$2:$A$9000,0))="USD",КурсUSD,IF(INDEX(спр_Материалы!$J$2:$J$9000,MATCH($I61,спр_Материалы!$A$2:$A$9000,0))="EUR",КурсEUR,1))*INDEX(спр_Материалы!$K$2:$K$9000,MATCH($I61,спр_Материалы!$A$2:$A$9000,0))*(1+IFERROR(INDEX(спр_Работы!$I$2:$I$6000,MATCH($C61,спр_Работы!$A$2:$A$6000,0))/100,0))*(1-ДисконтТендер),0))</f>
        <v/>
      </c>
      <c r="N61" s="10">
        <f>IF(AND($R61="да",$H61&lt;&gt;""),ROUND($H61*$L61,2),0)</f>
        <v/>
      </c>
      <c r="O61" s="10">
        <f>IF(AND($R61="да",$H61&lt;&gt;""),ROUND($H61*$M61,2),0)</f>
        <v/>
      </c>
      <c r="P61" s="10">
        <f>$N61+$O61</f>
        <v/>
      </c>
      <c r="Q61">
        <f>IFERROR(INDEX(спр_Работы!$J$2:$J$6000,MATCH($C61,спр_Работы!$A$2:$A$6000,0)),"")</f>
        <v/>
      </c>
      <c r="R61" t="inlineStr">
        <is>
          <t>да</t>
        </is>
      </c>
      <c r="T61">
        <f>IF(AND($P61&gt;0,$R61="да"),MAX($T$1:$T60)+1,"")</f>
        <v/>
      </c>
    </row>
    <row r="62">
      <c r="A62">
        <f>IFERROR(INDEX(спр_Работы!$D$2:$D$6000,MATCH($C62,спр_Работы!$A$2:$A$6000,0)),"")</f>
        <v/>
      </c>
      <c r="B62">
        <f>IFERROR(INDEX(спр_Работы!$F$2:$F$6000,MATCH($C62,спр_Работы!$A$2:$A$6000,0)),"")</f>
        <v/>
      </c>
      <c r="C62">
        <f>IFERROR(INDEX(спр_Работы!$A$2:$A$6000,61),"")</f>
        <v/>
      </c>
      <c r="D62" s="8">
        <f>IFERROR(INDEX(спр_Работы!$B$2:$B$6000,MATCH($C62,спр_Работы!$A$2:$A$6000,0)),"")</f>
        <v/>
      </c>
      <c r="E62">
        <f>IFERROR(INDEX(спр_Работы!$C$2:$C$6000,MATCH($C62,спр_Работы!$A$2:$A$6000,0)),"")</f>
        <v/>
      </c>
      <c r="F62">
        <f>IFERROR(INDEX(спр_Работы!$G$2:$G$6000,MATCH($C62,спр_Работы!$A$2:$A$6000,0)),"")</f>
        <v/>
      </c>
      <c r="G62">
        <f>IFERROR(INDEX(спр_Работы!$K$2:$K$6000,MATCH($C62,спр_Работы!$A$2:$A$6000,0)),"")</f>
        <v/>
      </c>
      <c r="H62" s="9" t="n"/>
      <c r="I62" s="9" t="n"/>
      <c r="J62" s="8">
        <f>IFERROR(INDEX(спр_Материалы!$B$2:$B$9000,MATCH($I62,спр_Материалы!$A$2:$A$9000,0)),"")</f>
        <v/>
      </c>
      <c r="K62">
        <f>IF($I62="","",IF($F62=IFERROR(INDEX(спр_Материалы!$G$2:$G$9000,MATCH($I62,спр_Материалы!$A$2:$A$9000,0)),""),"OK","!! не та группа"))</f>
        <v/>
      </c>
      <c r="L62" s="10">
        <f>IFERROR(INDEX(спр_Работы!$H$2:$H$6000,MATCH($C62,спр_Работы!$A$2:$A$6000,0))*(1-ДисконтТендер),0)</f>
        <v/>
      </c>
      <c r="M62" s="10">
        <f>IF($I62="",0,IFERROR(INDEX(спр_Материалы!$I$2:$I$9000,MATCH($I62,спр_Материалы!$A$2:$A$9000,0))*IF(INDEX(спр_Материалы!$J$2:$J$9000,MATCH($I62,спр_Материалы!$A$2:$A$9000,0))="USD",КурсUSD,IF(INDEX(спр_Материалы!$J$2:$J$9000,MATCH($I62,спр_Материалы!$A$2:$A$9000,0))="EUR",КурсEUR,1))*INDEX(спр_Материалы!$K$2:$K$9000,MATCH($I62,спр_Материалы!$A$2:$A$9000,0))*(1+IFERROR(INDEX(спр_Работы!$I$2:$I$6000,MATCH($C62,спр_Работы!$A$2:$A$6000,0))/100,0))*(1-ДисконтТендер),0))</f>
        <v/>
      </c>
      <c r="N62" s="10">
        <f>IF(AND($R62="да",$H62&lt;&gt;""),ROUND($H62*$L62,2),0)</f>
        <v/>
      </c>
      <c r="O62" s="10">
        <f>IF(AND($R62="да",$H62&lt;&gt;""),ROUND($H62*$M62,2),0)</f>
        <v/>
      </c>
      <c r="P62" s="10">
        <f>$N62+$O62</f>
        <v/>
      </c>
      <c r="Q62">
        <f>IFERROR(INDEX(спр_Работы!$J$2:$J$6000,MATCH($C62,спр_Работы!$A$2:$A$6000,0)),"")</f>
        <v/>
      </c>
      <c r="R62" t="inlineStr">
        <is>
          <t>да</t>
        </is>
      </c>
      <c r="T62">
        <f>IF(AND($P62&gt;0,$R62="да"),MAX($T$1:$T61)+1,"")</f>
        <v/>
      </c>
    </row>
    <row r="63">
      <c r="A63">
        <f>IFERROR(INDEX(спр_Работы!$D$2:$D$6000,MATCH($C63,спр_Работы!$A$2:$A$6000,0)),"")</f>
        <v/>
      </c>
      <c r="B63">
        <f>IFERROR(INDEX(спр_Работы!$F$2:$F$6000,MATCH($C63,спр_Работы!$A$2:$A$6000,0)),"")</f>
        <v/>
      </c>
      <c r="C63">
        <f>IFERROR(INDEX(спр_Работы!$A$2:$A$6000,62),"")</f>
        <v/>
      </c>
      <c r="D63" s="8">
        <f>IFERROR(INDEX(спр_Работы!$B$2:$B$6000,MATCH($C63,спр_Работы!$A$2:$A$6000,0)),"")</f>
        <v/>
      </c>
      <c r="E63">
        <f>IFERROR(INDEX(спр_Работы!$C$2:$C$6000,MATCH($C63,спр_Работы!$A$2:$A$6000,0)),"")</f>
        <v/>
      </c>
      <c r="F63">
        <f>IFERROR(INDEX(спр_Работы!$G$2:$G$6000,MATCH($C63,спр_Работы!$A$2:$A$6000,0)),"")</f>
        <v/>
      </c>
      <c r="G63">
        <f>IFERROR(INDEX(спр_Работы!$K$2:$K$6000,MATCH($C63,спр_Работы!$A$2:$A$6000,0)),"")</f>
        <v/>
      </c>
      <c r="H63" s="9" t="n"/>
      <c r="I63" s="9" t="n"/>
      <c r="J63" s="8">
        <f>IFERROR(INDEX(спр_Материалы!$B$2:$B$9000,MATCH($I63,спр_Материалы!$A$2:$A$9000,0)),"")</f>
        <v/>
      </c>
      <c r="K63">
        <f>IF($I63="","",IF($F63=IFERROR(INDEX(спр_Материалы!$G$2:$G$9000,MATCH($I63,спр_Материалы!$A$2:$A$9000,0)),""),"OK","!! не та группа"))</f>
        <v/>
      </c>
      <c r="L63" s="10">
        <f>IFERROR(INDEX(спр_Работы!$H$2:$H$6000,MATCH($C63,спр_Работы!$A$2:$A$6000,0))*(1-ДисконтТендер),0)</f>
        <v/>
      </c>
      <c r="M63" s="10">
        <f>IF($I63="",0,IFERROR(INDEX(спр_Материалы!$I$2:$I$9000,MATCH($I63,спр_Материалы!$A$2:$A$9000,0))*IF(INDEX(спр_Материалы!$J$2:$J$9000,MATCH($I63,спр_Материалы!$A$2:$A$9000,0))="USD",КурсUSD,IF(INDEX(спр_Материалы!$J$2:$J$9000,MATCH($I63,спр_Материалы!$A$2:$A$9000,0))="EUR",КурсEUR,1))*INDEX(спр_Материалы!$K$2:$K$9000,MATCH($I63,спр_Материалы!$A$2:$A$9000,0))*(1+IFERROR(INDEX(спр_Работы!$I$2:$I$6000,MATCH($C63,спр_Работы!$A$2:$A$6000,0))/100,0))*(1-ДисконтТендер),0))</f>
        <v/>
      </c>
      <c r="N63" s="10">
        <f>IF(AND($R63="да",$H63&lt;&gt;""),ROUND($H63*$L63,2),0)</f>
        <v/>
      </c>
      <c r="O63" s="10">
        <f>IF(AND($R63="да",$H63&lt;&gt;""),ROUND($H63*$M63,2),0)</f>
        <v/>
      </c>
      <c r="P63" s="10">
        <f>$N63+$O63</f>
        <v/>
      </c>
      <c r="Q63">
        <f>IFERROR(INDEX(спр_Работы!$J$2:$J$6000,MATCH($C63,спр_Работы!$A$2:$A$6000,0)),"")</f>
        <v/>
      </c>
      <c r="R63" t="inlineStr">
        <is>
          <t>да</t>
        </is>
      </c>
      <c r="T63">
        <f>IF(AND($P63&gt;0,$R63="да"),MAX($T$1:$T62)+1,"")</f>
        <v/>
      </c>
    </row>
    <row r="64">
      <c r="A64">
        <f>IFERROR(INDEX(спр_Работы!$D$2:$D$6000,MATCH($C64,спр_Работы!$A$2:$A$6000,0)),"")</f>
        <v/>
      </c>
      <c r="B64">
        <f>IFERROR(INDEX(спр_Работы!$F$2:$F$6000,MATCH($C64,спр_Работы!$A$2:$A$6000,0)),"")</f>
        <v/>
      </c>
      <c r="C64">
        <f>IFERROR(INDEX(спр_Работы!$A$2:$A$6000,63),"")</f>
        <v/>
      </c>
      <c r="D64" s="8">
        <f>IFERROR(INDEX(спр_Работы!$B$2:$B$6000,MATCH($C64,спр_Работы!$A$2:$A$6000,0)),"")</f>
        <v/>
      </c>
      <c r="E64">
        <f>IFERROR(INDEX(спр_Работы!$C$2:$C$6000,MATCH($C64,спр_Работы!$A$2:$A$6000,0)),"")</f>
        <v/>
      </c>
      <c r="F64">
        <f>IFERROR(INDEX(спр_Работы!$G$2:$G$6000,MATCH($C64,спр_Работы!$A$2:$A$6000,0)),"")</f>
        <v/>
      </c>
      <c r="G64">
        <f>IFERROR(INDEX(спр_Работы!$K$2:$K$6000,MATCH($C64,спр_Работы!$A$2:$A$6000,0)),"")</f>
        <v/>
      </c>
      <c r="H64" s="9" t="n"/>
      <c r="I64" s="9" t="n"/>
      <c r="J64" s="8">
        <f>IFERROR(INDEX(спр_Материалы!$B$2:$B$9000,MATCH($I64,спр_Материалы!$A$2:$A$9000,0)),"")</f>
        <v/>
      </c>
      <c r="K64">
        <f>IF($I64="","",IF($F64=IFERROR(INDEX(спр_Материалы!$G$2:$G$9000,MATCH($I64,спр_Материалы!$A$2:$A$9000,0)),""),"OK","!! не та группа"))</f>
        <v/>
      </c>
      <c r="L64" s="10">
        <f>IFERROR(INDEX(спр_Работы!$H$2:$H$6000,MATCH($C64,спр_Работы!$A$2:$A$6000,0))*(1-ДисконтТендер),0)</f>
        <v/>
      </c>
      <c r="M64" s="10">
        <f>IF($I64="",0,IFERROR(INDEX(спр_Материалы!$I$2:$I$9000,MATCH($I64,спр_Материалы!$A$2:$A$9000,0))*IF(INDEX(спр_Материалы!$J$2:$J$9000,MATCH($I64,спр_Материалы!$A$2:$A$9000,0))="USD",КурсUSD,IF(INDEX(спр_Материалы!$J$2:$J$9000,MATCH($I64,спр_Материалы!$A$2:$A$9000,0))="EUR",КурсEUR,1))*INDEX(спр_Материалы!$K$2:$K$9000,MATCH($I64,спр_Материалы!$A$2:$A$9000,0))*(1+IFERROR(INDEX(спр_Работы!$I$2:$I$6000,MATCH($C64,спр_Работы!$A$2:$A$6000,0))/100,0))*(1-ДисконтТендер),0))</f>
        <v/>
      </c>
      <c r="N64" s="10">
        <f>IF(AND($R64="да",$H64&lt;&gt;""),ROUND($H64*$L64,2),0)</f>
        <v/>
      </c>
      <c r="O64" s="10">
        <f>IF(AND($R64="да",$H64&lt;&gt;""),ROUND($H64*$M64,2),0)</f>
        <v/>
      </c>
      <c r="P64" s="10">
        <f>$N64+$O64</f>
        <v/>
      </c>
      <c r="Q64">
        <f>IFERROR(INDEX(спр_Работы!$J$2:$J$6000,MATCH($C64,спр_Работы!$A$2:$A$6000,0)),"")</f>
        <v/>
      </c>
      <c r="R64" t="inlineStr">
        <is>
          <t>да</t>
        </is>
      </c>
      <c r="T64">
        <f>IF(AND($P64&gt;0,$R64="да"),MAX($T$1:$T63)+1,"")</f>
        <v/>
      </c>
    </row>
    <row r="65">
      <c r="A65">
        <f>IFERROR(INDEX(спр_Работы!$D$2:$D$6000,MATCH($C65,спр_Работы!$A$2:$A$6000,0)),"")</f>
        <v/>
      </c>
      <c r="B65">
        <f>IFERROR(INDEX(спр_Работы!$F$2:$F$6000,MATCH($C65,спр_Работы!$A$2:$A$6000,0)),"")</f>
        <v/>
      </c>
      <c r="C65">
        <f>IFERROR(INDEX(спр_Работы!$A$2:$A$6000,64),"")</f>
        <v/>
      </c>
      <c r="D65" s="8">
        <f>IFERROR(INDEX(спр_Работы!$B$2:$B$6000,MATCH($C65,спр_Работы!$A$2:$A$6000,0)),"")</f>
        <v/>
      </c>
      <c r="E65">
        <f>IFERROR(INDEX(спр_Работы!$C$2:$C$6000,MATCH($C65,спр_Работы!$A$2:$A$6000,0)),"")</f>
        <v/>
      </c>
      <c r="F65">
        <f>IFERROR(INDEX(спр_Работы!$G$2:$G$6000,MATCH($C65,спр_Работы!$A$2:$A$6000,0)),"")</f>
        <v/>
      </c>
      <c r="G65">
        <f>IFERROR(INDEX(спр_Работы!$K$2:$K$6000,MATCH($C65,спр_Работы!$A$2:$A$6000,0)),"")</f>
        <v/>
      </c>
      <c r="H65" s="9" t="n"/>
      <c r="I65" s="9" t="n"/>
      <c r="J65" s="8">
        <f>IFERROR(INDEX(спр_Материалы!$B$2:$B$9000,MATCH($I65,спр_Материалы!$A$2:$A$9000,0)),"")</f>
        <v/>
      </c>
      <c r="K65">
        <f>IF($I65="","",IF($F65=IFERROR(INDEX(спр_Материалы!$G$2:$G$9000,MATCH($I65,спр_Материалы!$A$2:$A$9000,0)),""),"OK","!! не та группа"))</f>
        <v/>
      </c>
      <c r="L65" s="10">
        <f>IFERROR(INDEX(спр_Работы!$H$2:$H$6000,MATCH($C65,спр_Работы!$A$2:$A$6000,0))*(1-ДисконтТендер),0)</f>
        <v/>
      </c>
      <c r="M65" s="10">
        <f>IF($I65="",0,IFERROR(INDEX(спр_Материалы!$I$2:$I$9000,MATCH($I65,спр_Материалы!$A$2:$A$9000,0))*IF(INDEX(спр_Материалы!$J$2:$J$9000,MATCH($I65,спр_Материалы!$A$2:$A$9000,0))="USD",КурсUSD,IF(INDEX(спр_Материалы!$J$2:$J$9000,MATCH($I65,спр_Материалы!$A$2:$A$9000,0))="EUR",КурсEUR,1))*INDEX(спр_Материалы!$K$2:$K$9000,MATCH($I65,спр_Материалы!$A$2:$A$9000,0))*(1+IFERROR(INDEX(спр_Работы!$I$2:$I$6000,MATCH($C65,спр_Работы!$A$2:$A$6000,0))/100,0))*(1-ДисконтТендер),0))</f>
        <v/>
      </c>
      <c r="N65" s="10">
        <f>IF(AND($R65="да",$H65&lt;&gt;""),ROUND($H65*$L65,2),0)</f>
        <v/>
      </c>
      <c r="O65" s="10">
        <f>IF(AND($R65="да",$H65&lt;&gt;""),ROUND($H65*$M65,2),0)</f>
        <v/>
      </c>
      <c r="P65" s="10">
        <f>$N65+$O65</f>
        <v/>
      </c>
      <c r="Q65">
        <f>IFERROR(INDEX(спр_Работы!$J$2:$J$6000,MATCH($C65,спр_Работы!$A$2:$A$6000,0)),"")</f>
        <v/>
      </c>
      <c r="R65" t="inlineStr">
        <is>
          <t>да</t>
        </is>
      </c>
      <c r="T65">
        <f>IF(AND($P65&gt;0,$R65="да"),MAX($T$1:$T64)+1,"")</f>
        <v/>
      </c>
    </row>
    <row r="66">
      <c r="A66">
        <f>IFERROR(INDEX(спр_Работы!$D$2:$D$6000,MATCH($C66,спр_Работы!$A$2:$A$6000,0)),"")</f>
        <v/>
      </c>
      <c r="B66">
        <f>IFERROR(INDEX(спр_Работы!$F$2:$F$6000,MATCH($C66,спр_Работы!$A$2:$A$6000,0)),"")</f>
        <v/>
      </c>
      <c r="C66">
        <f>IFERROR(INDEX(спр_Работы!$A$2:$A$6000,65),"")</f>
        <v/>
      </c>
      <c r="D66" s="8">
        <f>IFERROR(INDEX(спр_Работы!$B$2:$B$6000,MATCH($C66,спр_Работы!$A$2:$A$6000,0)),"")</f>
        <v/>
      </c>
      <c r="E66">
        <f>IFERROR(INDEX(спр_Работы!$C$2:$C$6000,MATCH($C66,спр_Работы!$A$2:$A$6000,0)),"")</f>
        <v/>
      </c>
      <c r="F66">
        <f>IFERROR(INDEX(спр_Работы!$G$2:$G$6000,MATCH($C66,спр_Работы!$A$2:$A$6000,0)),"")</f>
        <v/>
      </c>
      <c r="G66">
        <f>IFERROR(INDEX(спр_Работы!$K$2:$K$6000,MATCH($C66,спр_Работы!$A$2:$A$6000,0)),"")</f>
        <v/>
      </c>
      <c r="H66" s="9" t="n"/>
      <c r="I66" s="9" t="n"/>
      <c r="J66" s="8">
        <f>IFERROR(INDEX(спр_Материалы!$B$2:$B$9000,MATCH($I66,спр_Материалы!$A$2:$A$9000,0)),"")</f>
        <v/>
      </c>
      <c r="K66">
        <f>IF($I66="","",IF($F66=IFERROR(INDEX(спр_Материалы!$G$2:$G$9000,MATCH($I66,спр_Материалы!$A$2:$A$9000,0)),""),"OK","!! не та группа"))</f>
        <v/>
      </c>
      <c r="L66" s="10">
        <f>IFERROR(INDEX(спр_Работы!$H$2:$H$6000,MATCH($C66,спр_Работы!$A$2:$A$6000,0))*(1-ДисконтТендер),0)</f>
        <v/>
      </c>
      <c r="M66" s="10">
        <f>IF($I66="",0,IFERROR(INDEX(спр_Материалы!$I$2:$I$9000,MATCH($I66,спр_Материалы!$A$2:$A$9000,0))*IF(INDEX(спр_Материалы!$J$2:$J$9000,MATCH($I66,спр_Материалы!$A$2:$A$9000,0))="USD",КурсUSD,IF(INDEX(спр_Материалы!$J$2:$J$9000,MATCH($I66,спр_Материалы!$A$2:$A$9000,0))="EUR",КурсEUR,1))*INDEX(спр_Материалы!$K$2:$K$9000,MATCH($I66,спр_Материалы!$A$2:$A$9000,0))*(1+IFERROR(INDEX(спр_Работы!$I$2:$I$6000,MATCH($C66,спр_Работы!$A$2:$A$6000,0))/100,0))*(1-ДисконтТендер),0))</f>
        <v/>
      </c>
      <c r="N66" s="10">
        <f>IF(AND($R66="да",$H66&lt;&gt;""),ROUND($H66*$L66,2),0)</f>
        <v/>
      </c>
      <c r="O66" s="10">
        <f>IF(AND($R66="да",$H66&lt;&gt;""),ROUND($H66*$M66,2),0)</f>
        <v/>
      </c>
      <c r="P66" s="10">
        <f>$N66+$O66</f>
        <v/>
      </c>
      <c r="Q66">
        <f>IFERROR(INDEX(спр_Работы!$J$2:$J$6000,MATCH($C66,спр_Работы!$A$2:$A$6000,0)),"")</f>
        <v/>
      </c>
      <c r="R66" t="inlineStr">
        <is>
          <t>да</t>
        </is>
      </c>
      <c r="T66">
        <f>IF(AND($P66&gt;0,$R66="да"),MAX($T$1:$T65)+1,"")</f>
        <v/>
      </c>
    </row>
    <row r="67">
      <c r="A67">
        <f>IFERROR(INDEX(спр_Работы!$D$2:$D$6000,MATCH($C67,спр_Работы!$A$2:$A$6000,0)),"")</f>
        <v/>
      </c>
      <c r="B67">
        <f>IFERROR(INDEX(спр_Работы!$F$2:$F$6000,MATCH($C67,спр_Работы!$A$2:$A$6000,0)),"")</f>
        <v/>
      </c>
      <c r="C67">
        <f>IFERROR(INDEX(спр_Работы!$A$2:$A$6000,66),"")</f>
        <v/>
      </c>
      <c r="D67" s="8">
        <f>IFERROR(INDEX(спр_Работы!$B$2:$B$6000,MATCH($C67,спр_Работы!$A$2:$A$6000,0)),"")</f>
        <v/>
      </c>
      <c r="E67">
        <f>IFERROR(INDEX(спр_Работы!$C$2:$C$6000,MATCH($C67,спр_Работы!$A$2:$A$6000,0)),"")</f>
        <v/>
      </c>
      <c r="F67">
        <f>IFERROR(INDEX(спр_Работы!$G$2:$G$6000,MATCH($C67,спр_Работы!$A$2:$A$6000,0)),"")</f>
        <v/>
      </c>
      <c r="G67">
        <f>IFERROR(INDEX(спр_Работы!$K$2:$K$6000,MATCH($C67,спр_Работы!$A$2:$A$6000,0)),"")</f>
        <v/>
      </c>
      <c r="H67" s="9" t="n"/>
      <c r="I67" s="9" t="n"/>
      <c r="J67" s="8">
        <f>IFERROR(INDEX(спр_Материалы!$B$2:$B$9000,MATCH($I67,спр_Материалы!$A$2:$A$9000,0)),"")</f>
        <v/>
      </c>
      <c r="K67">
        <f>IF($I67="","",IF($F67=IFERROR(INDEX(спр_Материалы!$G$2:$G$9000,MATCH($I67,спр_Материалы!$A$2:$A$9000,0)),""),"OK","!! не та группа"))</f>
        <v/>
      </c>
      <c r="L67" s="10">
        <f>IFERROR(INDEX(спр_Работы!$H$2:$H$6000,MATCH($C67,спр_Работы!$A$2:$A$6000,0))*(1-ДисконтТендер),0)</f>
        <v/>
      </c>
      <c r="M67" s="10">
        <f>IF($I67="",0,IFERROR(INDEX(спр_Материалы!$I$2:$I$9000,MATCH($I67,спр_Материалы!$A$2:$A$9000,0))*IF(INDEX(спр_Материалы!$J$2:$J$9000,MATCH($I67,спр_Материалы!$A$2:$A$9000,0))="USD",КурсUSD,IF(INDEX(спр_Материалы!$J$2:$J$9000,MATCH($I67,спр_Материалы!$A$2:$A$9000,0))="EUR",КурсEUR,1))*INDEX(спр_Материалы!$K$2:$K$9000,MATCH($I67,спр_Материалы!$A$2:$A$9000,0))*(1+IFERROR(INDEX(спр_Работы!$I$2:$I$6000,MATCH($C67,спр_Работы!$A$2:$A$6000,0))/100,0))*(1-ДисконтТендер),0))</f>
        <v/>
      </c>
      <c r="N67" s="10">
        <f>IF(AND($R67="да",$H67&lt;&gt;""),ROUND($H67*$L67,2),0)</f>
        <v/>
      </c>
      <c r="O67" s="10">
        <f>IF(AND($R67="да",$H67&lt;&gt;""),ROUND($H67*$M67,2),0)</f>
        <v/>
      </c>
      <c r="P67" s="10">
        <f>$N67+$O67</f>
        <v/>
      </c>
      <c r="Q67">
        <f>IFERROR(INDEX(спр_Работы!$J$2:$J$6000,MATCH($C67,спр_Работы!$A$2:$A$6000,0)),"")</f>
        <v/>
      </c>
      <c r="R67" t="inlineStr">
        <is>
          <t>да</t>
        </is>
      </c>
      <c r="T67">
        <f>IF(AND($P67&gt;0,$R67="да"),MAX($T$1:$T66)+1,"")</f>
        <v/>
      </c>
    </row>
    <row r="68">
      <c r="A68">
        <f>IFERROR(INDEX(спр_Работы!$D$2:$D$6000,MATCH($C68,спр_Работы!$A$2:$A$6000,0)),"")</f>
        <v/>
      </c>
      <c r="B68">
        <f>IFERROR(INDEX(спр_Работы!$F$2:$F$6000,MATCH($C68,спр_Работы!$A$2:$A$6000,0)),"")</f>
        <v/>
      </c>
      <c r="C68">
        <f>IFERROR(INDEX(спр_Работы!$A$2:$A$6000,67),"")</f>
        <v/>
      </c>
      <c r="D68" s="8">
        <f>IFERROR(INDEX(спр_Работы!$B$2:$B$6000,MATCH($C68,спр_Работы!$A$2:$A$6000,0)),"")</f>
        <v/>
      </c>
      <c r="E68">
        <f>IFERROR(INDEX(спр_Работы!$C$2:$C$6000,MATCH($C68,спр_Работы!$A$2:$A$6000,0)),"")</f>
        <v/>
      </c>
      <c r="F68">
        <f>IFERROR(INDEX(спр_Работы!$G$2:$G$6000,MATCH($C68,спр_Работы!$A$2:$A$6000,0)),"")</f>
        <v/>
      </c>
      <c r="G68">
        <f>IFERROR(INDEX(спр_Работы!$K$2:$K$6000,MATCH($C68,спр_Работы!$A$2:$A$6000,0)),"")</f>
        <v/>
      </c>
      <c r="H68" s="9" t="n"/>
      <c r="I68" s="9" t="n"/>
      <c r="J68" s="8">
        <f>IFERROR(INDEX(спр_Материалы!$B$2:$B$9000,MATCH($I68,спр_Материалы!$A$2:$A$9000,0)),"")</f>
        <v/>
      </c>
      <c r="K68">
        <f>IF($I68="","",IF($F68=IFERROR(INDEX(спр_Материалы!$G$2:$G$9000,MATCH($I68,спр_Материалы!$A$2:$A$9000,0)),""),"OK","!! не та группа"))</f>
        <v/>
      </c>
      <c r="L68" s="10">
        <f>IFERROR(INDEX(спр_Работы!$H$2:$H$6000,MATCH($C68,спр_Работы!$A$2:$A$6000,0))*(1-ДисконтТендер),0)</f>
        <v/>
      </c>
      <c r="M68" s="10">
        <f>IF($I68="",0,IFERROR(INDEX(спр_Материалы!$I$2:$I$9000,MATCH($I68,спр_Материалы!$A$2:$A$9000,0))*IF(INDEX(спр_Материалы!$J$2:$J$9000,MATCH($I68,спр_Материалы!$A$2:$A$9000,0))="USD",КурсUSD,IF(INDEX(спр_Материалы!$J$2:$J$9000,MATCH($I68,спр_Материалы!$A$2:$A$9000,0))="EUR",КурсEUR,1))*INDEX(спр_Материалы!$K$2:$K$9000,MATCH($I68,спр_Материалы!$A$2:$A$9000,0))*(1+IFERROR(INDEX(спр_Работы!$I$2:$I$6000,MATCH($C68,спр_Работы!$A$2:$A$6000,0))/100,0))*(1-ДисконтТендер),0))</f>
        <v/>
      </c>
      <c r="N68" s="10">
        <f>IF(AND($R68="да",$H68&lt;&gt;""),ROUND($H68*$L68,2),0)</f>
        <v/>
      </c>
      <c r="O68" s="10">
        <f>IF(AND($R68="да",$H68&lt;&gt;""),ROUND($H68*$M68,2),0)</f>
        <v/>
      </c>
      <c r="P68" s="10">
        <f>$N68+$O68</f>
        <v/>
      </c>
      <c r="Q68">
        <f>IFERROR(INDEX(спр_Работы!$J$2:$J$6000,MATCH($C68,спр_Работы!$A$2:$A$6000,0)),"")</f>
        <v/>
      </c>
      <c r="R68" t="inlineStr">
        <is>
          <t>да</t>
        </is>
      </c>
      <c r="T68">
        <f>IF(AND($P68&gt;0,$R68="да"),MAX($T$1:$T67)+1,"")</f>
        <v/>
      </c>
    </row>
    <row r="69">
      <c r="A69">
        <f>IFERROR(INDEX(спр_Работы!$D$2:$D$6000,MATCH($C69,спр_Работы!$A$2:$A$6000,0)),"")</f>
        <v/>
      </c>
      <c r="B69">
        <f>IFERROR(INDEX(спр_Работы!$F$2:$F$6000,MATCH($C69,спр_Работы!$A$2:$A$6000,0)),"")</f>
        <v/>
      </c>
      <c r="C69">
        <f>IFERROR(INDEX(спр_Работы!$A$2:$A$6000,68),"")</f>
        <v/>
      </c>
      <c r="D69" s="8">
        <f>IFERROR(INDEX(спр_Работы!$B$2:$B$6000,MATCH($C69,спр_Работы!$A$2:$A$6000,0)),"")</f>
        <v/>
      </c>
      <c r="E69">
        <f>IFERROR(INDEX(спр_Работы!$C$2:$C$6000,MATCH($C69,спр_Работы!$A$2:$A$6000,0)),"")</f>
        <v/>
      </c>
      <c r="F69">
        <f>IFERROR(INDEX(спр_Работы!$G$2:$G$6000,MATCH($C69,спр_Работы!$A$2:$A$6000,0)),"")</f>
        <v/>
      </c>
      <c r="G69">
        <f>IFERROR(INDEX(спр_Работы!$K$2:$K$6000,MATCH($C69,спр_Работы!$A$2:$A$6000,0)),"")</f>
        <v/>
      </c>
      <c r="H69" s="9" t="n"/>
      <c r="I69" s="9" t="n"/>
      <c r="J69" s="8">
        <f>IFERROR(INDEX(спр_Материалы!$B$2:$B$9000,MATCH($I69,спр_Материалы!$A$2:$A$9000,0)),"")</f>
        <v/>
      </c>
      <c r="K69">
        <f>IF($I69="","",IF($F69=IFERROR(INDEX(спр_Материалы!$G$2:$G$9000,MATCH($I69,спр_Материалы!$A$2:$A$9000,0)),""),"OK","!! не та группа"))</f>
        <v/>
      </c>
      <c r="L69" s="10">
        <f>IFERROR(INDEX(спр_Работы!$H$2:$H$6000,MATCH($C69,спр_Работы!$A$2:$A$6000,0))*(1-ДисконтТендер),0)</f>
        <v/>
      </c>
      <c r="M69" s="10">
        <f>IF($I69="",0,IFERROR(INDEX(спр_Материалы!$I$2:$I$9000,MATCH($I69,спр_Материалы!$A$2:$A$9000,0))*IF(INDEX(спр_Материалы!$J$2:$J$9000,MATCH($I69,спр_Материалы!$A$2:$A$9000,0))="USD",КурсUSD,IF(INDEX(спр_Материалы!$J$2:$J$9000,MATCH($I69,спр_Материалы!$A$2:$A$9000,0))="EUR",КурсEUR,1))*INDEX(спр_Материалы!$K$2:$K$9000,MATCH($I69,спр_Материалы!$A$2:$A$9000,0))*(1+IFERROR(INDEX(спр_Работы!$I$2:$I$6000,MATCH($C69,спр_Работы!$A$2:$A$6000,0))/100,0))*(1-ДисконтТендер),0))</f>
        <v/>
      </c>
      <c r="N69" s="10">
        <f>IF(AND($R69="да",$H69&lt;&gt;""),ROUND($H69*$L69,2),0)</f>
        <v/>
      </c>
      <c r="O69" s="10">
        <f>IF(AND($R69="да",$H69&lt;&gt;""),ROUND($H69*$M69,2),0)</f>
        <v/>
      </c>
      <c r="P69" s="10">
        <f>$N69+$O69</f>
        <v/>
      </c>
      <c r="Q69">
        <f>IFERROR(INDEX(спр_Работы!$J$2:$J$6000,MATCH($C69,спр_Работы!$A$2:$A$6000,0)),"")</f>
        <v/>
      </c>
      <c r="R69" t="inlineStr">
        <is>
          <t>да</t>
        </is>
      </c>
      <c r="T69">
        <f>IF(AND($P69&gt;0,$R69="да"),MAX($T$1:$T68)+1,"")</f>
        <v/>
      </c>
    </row>
    <row r="70">
      <c r="A70">
        <f>IFERROR(INDEX(спр_Работы!$D$2:$D$6000,MATCH($C70,спр_Работы!$A$2:$A$6000,0)),"")</f>
        <v/>
      </c>
      <c r="B70">
        <f>IFERROR(INDEX(спр_Работы!$F$2:$F$6000,MATCH($C70,спр_Работы!$A$2:$A$6000,0)),"")</f>
        <v/>
      </c>
      <c r="C70">
        <f>IFERROR(INDEX(спр_Работы!$A$2:$A$6000,69),"")</f>
        <v/>
      </c>
      <c r="D70" s="8">
        <f>IFERROR(INDEX(спр_Работы!$B$2:$B$6000,MATCH($C70,спр_Работы!$A$2:$A$6000,0)),"")</f>
        <v/>
      </c>
      <c r="E70">
        <f>IFERROR(INDEX(спр_Работы!$C$2:$C$6000,MATCH($C70,спр_Работы!$A$2:$A$6000,0)),"")</f>
        <v/>
      </c>
      <c r="F70">
        <f>IFERROR(INDEX(спр_Работы!$G$2:$G$6000,MATCH($C70,спр_Работы!$A$2:$A$6000,0)),"")</f>
        <v/>
      </c>
      <c r="G70">
        <f>IFERROR(INDEX(спр_Работы!$K$2:$K$6000,MATCH($C70,спр_Работы!$A$2:$A$6000,0)),"")</f>
        <v/>
      </c>
      <c r="H70" s="9" t="n"/>
      <c r="I70" s="9" t="n"/>
      <c r="J70" s="8">
        <f>IFERROR(INDEX(спр_Материалы!$B$2:$B$9000,MATCH($I70,спр_Материалы!$A$2:$A$9000,0)),"")</f>
        <v/>
      </c>
      <c r="K70">
        <f>IF($I70="","",IF($F70=IFERROR(INDEX(спр_Материалы!$G$2:$G$9000,MATCH($I70,спр_Материалы!$A$2:$A$9000,0)),""),"OK","!! не та группа"))</f>
        <v/>
      </c>
      <c r="L70" s="10">
        <f>IFERROR(INDEX(спр_Работы!$H$2:$H$6000,MATCH($C70,спр_Работы!$A$2:$A$6000,0))*(1-ДисконтТендер),0)</f>
        <v/>
      </c>
      <c r="M70" s="10">
        <f>IF($I70="",0,IFERROR(INDEX(спр_Материалы!$I$2:$I$9000,MATCH($I70,спр_Материалы!$A$2:$A$9000,0))*IF(INDEX(спр_Материалы!$J$2:$J$9000,MATCH($I70,спр_Материалы!$A$2:$A$9000,0))="USD",КурсUSD,IF(INDEX(спр_Материалы!$J$2:$J$9000,MATCH($I70,спр_Материалы!$A$2:$A$9000,0))="EUR",КурсEUR,1))*INDEX(спр_Материалы!$K$2:$K$9000,MATCH($I70,спр_Материалы!$A$2:$A$9000,0))*(1+IFERROR(INDEX(спр_Работы!$I$2:$I$6000,MATCH($C70,спр_Работы!$A$2:$A$6000,0))/100,0))*(1-ДисконтТендер),0))</f>
        <v/>
      </c>
      <c r="N70" s="10">
        <f>IF(AND($R70="да",$H70&lt;&gt;""),ROUND($H70*$L70,2),0)</f>
        <v/>
      </c>
      <c r="O70" s="10">
        <f>IF(AND($R70="да",$H70&lt;&gt;""),ROUND($H70*$M70,2),0)</f>
        <v/>
      </c>
      <c r="P70" s="10">
        <f>$N70+$O70</f>
        <v/>
      </c>
      <c r="Q70">
        <f>IFERROR(INDEX(спр_Работы!$J$2:$J$6000,MATCH($C70,спр_Работы!$A$2:$A$6000,0)),"")</f>
        <v/>
      </c>
      <c r="R70" t="inlineStr">
        <is>
          <t>да</t>
        </is>
      </c>
      <c r="T70">
        <f>IF(AND($P70&gt;0,$R70="да"),MAX($T$1:$T69)+1,"")</f>
        <v/>
      </c>
    </row>
    <row r="71">
      <c r="A71">
        <f>IFERROR(INDEX(спр_Работы!$D$2:$D$6000,MATCH($C71,спр_Работы!$A$2:$A$6000,0)),"")</f>
        <v/>
      </c>
      <c r="B71">
        <f>IFERROR(INDEX(спр_Работы!$F$2:$F$6000,MATCH($C71,спр_Работы!$A$2:$A$6000,0)),"")</f>
        <v/>
      </c>
      <c r="C71">
        <f>IFERROR(INDEX(спр_Работы!$A$2:$A$6000,70),"")</f>
        <v/>
      </c>
      <c r="D71" s="8">
        <f>IFERROR(INDEX(спр_Работы!$B$2:$B$6000,MATCH($C71,спр_Работы!$A$2:$A$6000,0)),"")</f>
        <v/>
      </c>
      <c r="E71">
        <f>IFERROR(INDEX(спр_Работы!$C$2:$C$6000,MATCH($C71,спр_Работы!$A$2:$A$6000,0)),"")</f>
        <v/>
      </c>
      <c r="F71">
        <f>IFERROR(INDEX(спр_Работы!$G$2:$G$6000,MATCH($C71,спр_Работы!$A$2:$A$6000,0)),"")</f>
        <v/>
      </c>
      <c r="G71">
        <f>IFERROR(INDEX(спр_Работы!$K$2:$K$6000,MATCH($C71,спр_Работы!$A$2:$A$6000,0)),"")</f>
        <v/>
      </c>
      <c r="H71" s="9" t="n"/>
      <c r="I71" s="9" t="n"/>
      <c r="J71" s="8">
        <f>IFERROR(INDEX(спр_Материалы!$B$2:$B$9000,MATCH($I71,спр_Материалы!$A$2:$A$9000,0)),"")</f>
        <v/>
      </c>
      <c r="K71">
        <f>IF($I71="","",IF($F71=IFERROR(INDEX(спр_Материалы!$G$2:$G$9000,MATCH($I71,спр_Материалы!$A$2:$A$9000,0)),""),"OK","!! не та группа"))</f>
        <v/>
      </c>
      <c r="L71" s="10">
        <f>IFERROR(INDEX(спр_Работы!$H$2:$H$6000,MATCH($C71,спр_Работы!$A$2:$A$6000,0))*(1-ДисконтТендер),0)</f>
        <v/>
      </c>
      <c r="M71" s="10">
        <f>IF($I71="",0,IFERROR(INDEX(спр_Материалы!$I$2:$I$9000,MATCH($I71,спр_Материалы!$A$2:$A$9000,0))*IF(INDEX(спр_Материалы!$J$2:$J$9000,MATCH($I71,спр_Материалы!$A$2:$A$9000,0))="USD",КурсUSD,IF(INDEX(спр_Материалы!$J$2:$J$9000,MATCH($I71,спр_Материалы!$A$2:$A$9000,0))="EUR",КурсEUR,1))*INDEX(спр_Материалы!$K$2:$K$9000,MATCH($I71,спр_Материалы!$A$2:$A$9000,0))*(1+IFERROR(INDEX(спр_Работы!$I$2:$I$6000,MATCH($C71,спр_Работы!$A$2:$A$6000,0))/100,0))*(1-ДисконтТендер),0))</f>
        <v/>
      </c>
      <c r="N71" s="10">
        <f>IF(AND($R71="да",$H71&lt;&gt;""),ROUND($H71*$L71,2),0)</f>
        <v/>
      </c>
      <c r="O71" s="10">
        <f>IF(AND($R71="да",$H71&lt;&gt;""),ROUND($H71*$M71,2),0)</f>
        <v/>
      </c>
      <c r="P71" s="10">
        <f>$N71+$O71</f>
        <v/>
      </c>
      <c r="Q71">
        <f>IFERROR(INDEX(спр_Работы!$J$2:$J$6000,MATCH($C71,спр_Работы!$A$2:$A$6000,0)),"")</f>
        <v/>
      </c>
      <c r="R71" t="inlineStr">
        <is>
          <t>да</t>
        </is>
      </c>
      <c r="T71">
        <f>IF(AND($P71&gt;0,$R71="да"),MAX($T$1:$T70)+1,"")</f>
        <v/>
      </c>
    </row>
    <row r="72">
      <c r="A72">
        <f>IFERROR(INDEX(спр_Работы!$D$2:$D$6000,MATCH($C72,спр_Работы!$A$2:$A$6000,0)),"")</f>
        <v/>
      </c>
      <c r="B72">
        <f>IFERROR(INDEX(спр_Работы!$F$2:$F$6000,MATCH($C72,спр_Работы!$A$2:$A$6000,0)),"")</f>
        <v/>
      </c>
      <c r="C72">
        <f>IFERROR(INDEX(спр_Работы!$A$2:$A$6000,71),"")</f>
        <v/>
      </c>
      <c r="D72" s="8">
        <f>IFERROR(INDEX(спр_Работы!$B$2:$B$6000,MATCH($C72,спр_Работы!$A$2:$A$6000,0)),"")</f>
        <v/>
      </c>
      <c r="E72">
        <f>IFERROR(INDEX(спр_Работы!$C$2:$C$6000,MATCH($C72,спр_Работы!$A$2:$A$6000,0)),"")</f>
        <v/>
      </c>
      <c r="F72">
        <f>IFERROR(INDEX(спр_Работы!$G$2:$G$6000,MATCH($C72,спр_Работы!$A$2:$A$6000,0)),"")</f>
        <v/>
      </c>
      <c r="G72">
        <f>IFERROR(INDEX(спр_Работы!$K$2:$K$6000,MATCH($C72,спр_Работы!$A$2:$A$6000,0)),"")</f>
        <v/>
      </c>
      <c r="H72" s="9" t="n"/>
      <c r="I72" s="9" t="n"/>
      <c r="J72" s="8">
        <f>IFERROR(INDEX(спр_Материалы!$B$2:$B$9000,MATCH($I72,спр_Материалы!$A$2:$A$9000,0)),"")</f>
        <v/>
      </c>
      <c r="K72">
        <f>IF($I72="","",IF($F72=IFERROR(INDEX(спр_Материалы!$G$2:$G$9000,MATCH($I72,спр_Материалы!$A$2:$A$9000,0)),""),"OK","!! не та группа"))</f>
        <v/>
      </c>
      <c r="L72" s="10">
        <f>IFERROR(INDEX(спр_Работы!$H$2:$H$6000,MATCH($C72,спр_Работы!$A$2:$A$6000,0))*(1-ДисконтТендер),0)</f>
        <v/>
      </c>
      <c r="M72" s="10">
        <f>IF($I72="",0,IFERROR(INDEX(спр_Материалы!$I$2:$I$9000,MATCH($I72,спр_Материалы!$A$2:$A$9000,0))*IF(INDEX(спр_Материалы!$J$2:$J$9000,MATCH($I72,спр_Материалы!$A$2:$A$9000,0))="USD",КурсUSD,IF(INDEX(спр_Материалы!$J$2:$J$9000,MATCH($I72,спр_Материалы!$A$2:$A$9000,0))="EUR",КурсEUR,1))*INDEX(спр_Материалы!$K$2:$K$9000,MATCH($I72,спр_Материалы!$A$2:$A$9000,0))*(1+IFERROR(INDEX(спр_Работы!$I$2:$I$6000,MATCH($C72,спр_Работы!$A$2:$A$6000,0))/100,0))*(1-ДисконтТендер),0))</f>
        <v/>
      </c>
      <c r="N72" s="10">
        <f>IF(AND($R72="да",$H72&lt;&gt;""),ROUND($H72*$L72,2),0)</f>
        <v/>
      </c>
      <c r="O72" s="10">
        <f>IF(AND($R72="да",$H72&lt;&gt;""),ROUND($H72*$M72,2),0)</f>
        <v/>
      </c>
      <c r="P72" s="10">
        <f>$N72+$O72</f>
        <v/>
      </c>
      <c r="Q72">
        <f>IFERROR(INDEX(спр_Работы!$J$2:$J$6000,MATCH($C72,спр_Работы!$A$2:$A$6000,0)),"")</f>
        <v/>
      </c>
      <c r="R72" t="inlineStr">
        <is>
          <t>да</t>
        </is>
      </c>
      <c r="T72">
        <f>IF(AND($P72&gt;0,$R72="да"),MAX($T$1:$T71)+1,"")</f>
        <v/>
      </c>
    </row>
    <row r="73">
      <c r="A73">
        <f>IFERROR(INDEX(спр_Работы!$D$2:$D$6000,MATCH($C73,спр_Работы!$A$2:$A$6000,0)),"")</f>
        <v/>
      </c>
      <c r="B73">
        <f>IFERROR(INDEX(спр_Работы!$F$2:$F$6000,MATCH($C73,спр_Работы!$A$2:$A$6000,0)),"")</f>
        <v/>
      </c>
      <c r="C73">
        <f>IFERROR(INDEX(спр_Работы!$A$2:$A$6000,72),"")</f>
        <v/>
      </c>
      <c r="D73" s="8">
        <f>IFERROR(INDEX(спр_Работы!$B$2:$B$6000,MATCH($C73,спр_Работы!$A$2:$A$6000,0)),"")</f>
        <v/>
      </c>
      <c r="E73">
        <f>IFERROR(INDEX(спр_Работы!$C$2:$C$6000,MATCH($C73,спр_Работы!$A$2:$A$6000,0)),"")</f>
        <v/>
      </c>
      <c r="F73">
        <f>IFERROR(INDEX(спр_Работы!$G$2:$G$6000,MATCH($C73,спр_Работы!$A$2:$A$6000,0)),"")</f>
        <v/>
      </c>
      <c r="G73">
        <f>IFERROR(INDEX(спр_Работы!$K$2:$K$6000,MATCH($C73,спр_Работы!$A$2:$A$6000,0)),"")</f>
        <v/>
      </c>
      <c r="H73" s="9" t="n"/>
      <c r="I73" s="9" t="n"/>
      <c r="J73" s="8">
        <f>IFERROR(INDEX(спр_Материалы!$B$2:$B$9000,MATCH($I73,спр_Материалы!$A$2:$A$9000,0)),"")</f>
        <v/>
      </c>
      <c r="K73">
        <f>IF($I73="","",IF($F73=IFERROR(INDEX(спр_Материалы!$G$2:$G$9000,MATCH($I73,спр_Материалы!$A$2:$A$9000,0)),""),"OK","!! не та группа"))</f>
        <v/>
      </c>
      <c r="L73" s="10">
        <f>IFERROR(INDEX(спр_Работы!$H$2:$H$6000,MATCH($C73,спр_Работы!$A$2:$A$6000,0))*(1-ДисконтТендер),0)</f>
        <v/>
      </c>
      <c r="M73" s="10">
        <f>IF($I73="",0,IFERROR(INDEX(спр_Материалы!$I$2:$I$9000,MATCH($I73,спр_Материалы!$A$2:$A$9000,0))*IF(INDEX(спр_Материалы!$J$2:$J$9000,MATCH($I73,спр_Материалы!$A$2:$A$9000,0))="USD",КурсUSD,IF(INDEX(спр_Материалы!$J$2:$J$9000,MATCH($I73,спр_Материалы!$A$2:$A$9000,0))="EUR",КурсEUR,1))*INDEX(спр_Материалы!$K$2:$K$9000,MATCH($I73,спр_Материалы!$A$2:$A$9000,0))*(1+IFERROR(INDEX(спр_Работы!$I$2:$I$6000,MATCH($C73,спр_Работы!$A$2:$A$6000,0))/100,0))*(1-ДисконтТендер),0))</f>
        <v/>
      </c>
      <c r="N73" s="10">
        <f>IF(AND($R73="да",$H73&lt;&gt;""),ROUND($H73*$L73,2),0)</f>
        <v/>
      </c>
      <c r="O73" s="10">
        <f>IF(AND($R73="да",$H73&lt;&gt;""),ROUND($H73*$M73,2),0)</f>
        <v/>
      </c>
      <c r="P73" s="10">
        <f>$N73+$O73</f>
        <v/>
      </c>
      <c r="Q73">
        <f>IFERROR(INDEX(спр_Работы!$J$2:$J$6000,MATCH($C73,спр_Работы!$A$2:$A$6000,0)),"")</f>
        <v/>
      </c>
      <c r="R73" t="inlineStr">
        <is>
          <t>да</t>
        </is>
      </c>
      <c r="T73">
        <f>IF(AND($P73&gt;0,$R73="да"),MAX($T$1:$T72)+1,"")</f>
        <v/>
      </c>
    </row>
    <row r="74">
      <c r="A74">
        <f>IFERROR(INDEX(спр_Работы!$D$2:$D$6000,MATCH($C74,спр_Работы!$A$2:$A$6000,0)),"")</f>
        <v/>
      </c>
      <c r="B74">
        <f>IFERROR(INDEX(спр_Работы!$F$2:$F$6000,MATCH($C74,спр_Работы!$A$2:$A$6000,0)),"")</f>
        <v/>
      </c>
      <c r="C74">
        <f>IFERROR(INDEX(спр_Работы!$A$2:$A$6000,73),"")</f>
        <v/>
      </c>
      <c r="D74" s="8">
        <f>IFERROR(INDEX(спр_Работы!$B$2:$B$6000,MATCH($C74,спр_Работы!$A$2:$A$6000,0)),"")</f>
        <v/>
      </c>
      <c r="E74">
        <f>IFERROR(INDEX(спр_Работы!$C$2:$C$6000,MATCH($C74,спр_Работы!$A$2:$A$6000,0)),"")</f>
        <v/>
      </c>
      <c r="F74">
        <f>IFERROR(INDEX(спр_Работы!$G$2:$G$6000,MATCH($C74,спр_Работы!$A$2:$A$6000,0)),"")</f>
        <v/>
      </c>
      <c r="G74">
        <f>IFERROR(INDEX(спр_Работы!$K$2:$K$6000,MATCH($C74,спр_Работы!$A$2:$A$6000,0)),"")</f>
        <v/>
      </c>
      <c r="H74" s="9" t="n"/>
      <c r="I74" s="9" t="n"/>
      <c r="J74" s="8">
        <f>IFERROR(INDEX(спр_Материалы!$B$2:$B$9000,MATCH($I74,спр_Материалы!$A$2:$A$9000,0)),"")</f>
        <v/>
      </c>
      <c r="K74">
        <f>IF($I74="","",IF($F74=IFERROR(INDEX(спр_Материалы!$G$2:$G$9000,MATCH($I74,спр_Материалы!$A$2:$A$9000,0)),""),"OK","!! не та группа"))</f>
        <v/>
      </c>
      <c r="L74" s="10">
        <f>IFERROR(INDEX(спр_Работы!$H$2:$H$6000,MATCH($C74,спр_Работы!$A$2:$A$6000,0))*(1-ДисконтТендер),0)</f>
        <v/>
      </c>
      <c r="M74" s="10">
        <f>IF($I74="",0,IFERROR(INDEX(спр_Материалы!$I$2:$I$9000,MATCH($I74,спр_Материалы!$A$2:$A$9000,0))*IF(INDEX(спр_Материалы!$J$2:$J$9000,MATCH($I74,спр_Материалы!$A$2:$A$9000,0))="USD",КурсUSD,IF(INDEX(спр_Материалы!$J$2:$J$9000,MATCH($I74,спр_Материалы!$A$2:$A$9000,0))="EUR",КурсEUR,1))*INDEX(спр_Материалы!$K$2:$K$9000,MATCH($I74,спр_Материалы!$A$2:$A$9000,0))*(1+IFERROR(INDEX(спр_Работы!$I$2:$I$6000,MATCH($C74,спр_Работы!$A$2:$A$6000,0))/100,0))*(1-ДисконтТендер),0))</f>
        <v/>
      </c>
      <c r="N74" s="10">
        <f>IF(AND($R74="да",$H74&lt;&gt;""),ROUND($H74*$L74,2),0)</f>
        <v/>
      </c>
      <c r="O74" s="10">
        <f>IF(AND($R74="да",$H74&lt;&gt;""),ROUND($H74*$M74,2),0)</f>
        <v/>
      </c>
      <c r="P74" s="10">
        <f>$N74+$O74</f>
        <v/>
      </c>
      <c r="Q74">
        <f>IFERROR(INDEX(спр_Работы!$J$2:$J$6000,MATCH($C74,спр_Работы!$A$2:$A$6000,0)),"")</f>
        <v/>
      </c>
      <c r="R74" t="inlineStr">
        <is>
          <t>да</t>
        </is>
      </c>
      <c r="T74">
        <f>IF(AND($P74&gt;0,$R74="да"),MAX($T$1:$T73)+1,"")</f>
        <v/>
      </c>
    </row>
    <row r="75">
      <c r="A75">
        <f>IFERROR(INDEX(спр_Работы!$D$2:$D$6000,MATCH($C75,спр_Работы!$A$2:$A$6000,0)),"")</f>
        <v/>
      </c>
      <c r="B75">
        <f>IFERROR(INDEX(спр_Работы!$F$2:$F$6000,MATCH($C75,спр_Работы!$A$2:$A$6000,0)),"")</f>
        <v/>
      </c>
      <c r="C75">
        <f>IFERROR(INDEX(спр_Работы!$A$2:$A$6000,74),"")</f>
        <v/>
      </c>
      <c r="D75" s="8">
        <f>IFERROR(INDEX(спр_Работы!$B$2:$B$6000,MATCH($C75,спр_Работы!$A$2:$A$6000,0)),"")</f>
        <v/>
      </c>
      <c r="E75">
        <f>IFERROR(INDEX(спр_Работы!$C$2:$C$6000,MATCH($C75,спр_Работы!$A$2:$A$6000,0)),"")</f>
        <v/>
      </c>
      <c r="F75">
        <f>IFERROR(INDEX(спр_Работы!$G$2:$G$6000,MATCH($C75,спр_Работы!$A$2:$A$6000,0)),"")</f>
        <v/>
      </c>
      <c r="G75">
        <f>IFERROR(INDEX(спр_Работы!$K$2:$K$6000,MATCH($C75,спр_Работы!$A$2:$A$6000,0)),"")</f>
        <v/>
      </c>
      <c r="H75" s="9" t="n"/>
      <c r="I75" s="9" t="n"/>
      <c r="J75" s="8">
        <f>IFERROR(INDEX(спр_Материалы!$B$2:$B$9000,MATCH($I75,спр_Материалы!$A$2:$A$9000,0)),"")</f>
        <v/>
      </c>
      <c r="K75">
        <f>IF($I75="","",IF($F75=IFERROR(INDEX(спр_Материалы!$G$2:$G$9000,MATCH($I75,спр_Материалы!$A$2:$A$9000,0)),""),"OK","!! не та группа"))</f>
        <v/>
      </c>
      <c r="L75" s="10">
        <f>IFERROR(INDEX(спр_Работы!$H$2:$H$6000,MATCH($C75,спр_Работы!$A$2:$A$6000,0))*(1-ДисконтТендер),0)</f>
        <v/>
      </c>
      <c r="M75" s="10">
        <f>IF($I75="",0,IFERROR(INDEX(спр_Материалы!$I$2:$I$9000,MATCH($I75,спр_Материалы!$A$2:$A$9000,0))*IF(INDEX(спр_Материалы!$J$2:$J$9000,MATCH($I75,спр_Материалы!$A$2:$A$9000,0))="USD",КурсUSD,IF(INDEX(спр_Материалы!$J$2:$J$9000,MATCH($I75,спр_Материалы!$A$2:$A$9000,0))="EUR",КурсEUR,1))*INDEX(спр_Материалы!$K$2:$K$9000,MATCH($I75,спр_Материалы!$A$2:$A$9000,0))*(1+IFERROR(INDEX(спр_Работы!$I$2:$I$6000,MATCH($C75,спр_Работы!$A$2:$A$6000,0))/100,0))*(1-ДисконтТендер),0))</f>
        <v/>
      </c>
      <c r="N75" s="10">
        <f>IF(AND($R75="да",$H75&lt;&gt;""),ROUND($H75*$L75,2),0)</f>
        <v/>
      </c>
      <c r="O75" s="10">
        <f>IF(AND($R75="да",$H75&lt;&gt;""),ROUND($H75*$M75,2),0)</f>
        <v/>
      </c>
      <c r="P75" s="10">
        <f>$N75+$O75</f>
        <v/>
      </c>
      <c r="Q75">
        <f>IFERROR(INDEX(спр_Работы!$J$2:$J$6000,MATCH($C75,спр_Работы!$A$2:$A$6000,0)),"")</f>
        <v/>
      </c>
      <c r="R75" t="inlineStr">
        <is>
          <t>да</t>
        </is>
      </c>
      <c r="T75">
        <f>IF(AND($P75&gt;0,$R75="да"),MAX($T$1:$T74)+1,"")</f>
        <v/>
      </c>
    </row>
    <row r="76">
      <c r="A76">
        <f>IFERROR(INDEX(спр_Работы!$D$2:$D$6000,MATCH($C76,спр_Работы!$A$2:$A$6000,0)),"")</f>
        <v/>
      </c>
      <c r="B76">
        <f>IFERROR(INDEX(спр_Работы!$F$2:$F$6000,MATCH($C76,спр_Работы!$A$2:$A$6000,0)),"")</f>
        <v/>
      </c>
      <c r="C76">
        <f>IFERROR(INDEX(спр_Работы!$A$2:$A$6000,75),"")</f>
        <v/>
      </c>
      <c r="D76" s="8">
        <f>IFERROR(INDEX(спр_Работы!$B$2:$B$6000,MATCH($C76,спр_Работы!$A$2:$A$6000,0)),"")</f>
        <v/>
      </c>
      <c r="E76">
        <f>IFERROR(INDEX(спр_Работы!$C$2:$C$6000,MATCH($C76,спр_Работы!$A$2:$A$6000,0)),"")</f>
        <v/>
      </c>
      <c r="F76">
        <f>IFERROR(INDEX(спр_Работы!$G$2:$G$6000,MATCH($C76,спр_Работы!$A$2:$A$6000,0)),"")</f>
        <v/>
      </c>
      <c r="G76">
        <f>IFERROR(INDEX(спр_Работы!$K$2:$K$6000,MATCH($C76,спр_Работы!$A$2:$A$6000,0)),"")</f>
        <v/>
      </c>
      <c r="H76" s="9" t="n"/>
      <c r="I76" s="9" t="n"/>
      <c r="J76" s="8">
        <f>IFERROR(INDEX(спр_Материалы!$B$2:$B$9000,MATCH($I76,спр_Материалы!$A$2:$A$9000,0)),"")</f>
        <v/>
      </c>
      <c r="K76">
        <f>IF($I76="","",IF($F76=IFERROR(INDEX(спр_Материалы!$G$2:$G$9000,MATCH($I76,спр_Материалы!$A$2:$A$9000,0)),""),"OK","!! не та группа"))</f>
        <v/>
      </c>
      <c r="L76" s="10">
        <f>IFERROR(INDEX(спр_Работы!$H$2:$H$6000,MATCH($C76,спр_Работы!$A$2:$A$6000,0))*(1-ДисконтТендер),0)</f>
        <v/>
      </c>
      <c r="M76" s="10">
        <f>IF($I76="",0,IFERROR(INDEX(спр_Материалы!$I$2:$I$9000,MATCH($I76,спр_Материалы!$A$2:$A$9000,0))*IF(INDEX(спр_Материалы!$J$2:$J$9000,MATCH($I76,спр_Материалы!$A$2:$A$9000,0))="USD",КурсUSD,IF(INDEX(спр_Материалы!$J$2:$J$9000,MATCH($I76,спр_Материалы!$A$2:$A$9000,0))="EUR",КурсEUR,1))*INDEX(спр_Материалы!$K$2:$K$9000,MATCH($I76,спр_Материалы!$A$2:$A$9000,0))*(1+IFERROR(INDEX(спр_Работы!$I$2:$I$6000,MATCH($C76,спр_Работы!$A$2:$A$6000,0))/100,0))*(1-ДисконтТендер),0))</f>
        <v/>
      </c>
      <c r="N76" s="10">
        <f>IF(AND($R76="да",$H76&lt;&gt;""),ROUND($H76*$L76,2),0)</f>
        <v/>
      </c>
      <c r="O76" s="10">
        <f>IF(AND($R76="да",$H76&lt;&gt;""),ROUND($H76*$M76,2),0)</f>
        <v/>
      </c>
      <c r="P76" s="10">
        <f>$N76+$O76</f>
        <v/>
      </c>
      <c r="Q76">
        <f>IFERROR(INDEX(спр_Работы!$J$2:$J$6000,MATCH($C76,спр_Работы!$A$2:$A$6000,0)),"")</f>
        <v/>
      </c>
      <c r="R76" t="inlineStr">
        <is>
          <t>да</t>
        </is>
      </c>
      <c r="T76">
        <f>IF(AND($P76&gt;0,$R76="да"),MAX($T$1:$T75)+1,"")</f>
        <v/>
      </c>
    </row>
    <row r="77">
      <c r="A77">
        <f>IFERROR(INDEX(спр_Работы!$D$2:$D$6000,MATCH($C77,спр_Работы!$A$2:$A$6000,0)),"")</f>
        <v/>
      </c>
      <c r="B77">
        <f>IFERROR(INDEX(спр_Работы!$F$2:$F$6000,MATCH($C77,спр_Работы!$A$2:$A$6000,0)),"")</f>
        <v/>
      </c>
      <c r="C77">
        <f>IFERROR(INDEX(спр_Работы!$A$2:$A$6000,76),"")</f>
        <v/>
      </c>
      <c r="D77" s="8">
        <f>IFERROR(INDEX(спр_Работы!$B$2:$B$6000,MATCH($C77,спр_Работы!$A$2:$A$6000,0)),"")</f>
        <v/>
      </c>
      <c r="E77">
        <f>IFERROR(INDEX(спр_Работы!$C$2:$C$6000,MATCH($C77,спр_Работы!$A$2:$A$6000,0)),"")</f>
        <v/>
      </c>
      <c r="F77">
        <f>IFERROR(INDEX(спр_Работы!$G$2:$G$6000,MATCH($C77,спр_Работы!$A$2:$A$6000,0)),"")</f>
        <v/>
      </c>
      <c r="G77">
        <f>IFERROR(INDEX(спр_Работы!$K$2:$K$6000,MATCH($C77,спр_Работы!$A$2:$A$6000,0)),"")</f>
        <v/>
      </c>
      <c r="H77" s="9" t="n"/>
      <c r="I77" s="9" t="n"/>
      <c r="J77" s="8">
        <f>IFERROR(INDEX(спр_Материалы!$B$2:$B$9000,MATCH($I77,спр_Материалы!$A$2:$A$9000,0)),"")</f>
        <v/>
      </c>
      <c r="K77">
        <f>IF($I77="","",IF($F77=IFERROR(INDEX(спр_Материалы!$G$2:$G$9000,MATCH($I77,спр_Материалы!$A$2:$A$9000,0)),""),"OK","!! не та группа"))</f>
        <v/>
      </c>
      <c r="L77" s="10">
        <f>IFERROR(INDEX(спр_Работы!$H$2:$H$6000,MATCH($C77,спр_Работы!$A$2:$A$6000,0))*(1-ДисконтТендер),0)</f>
        <v/>
      </c>
      <c r="M77" s="10">
        <f>IF($I77="",0,IFERROR(INDEX(спр_Материалы!$I$2:$I$9000,MATCH($I77,спр_Материалы!$A$2:$A$9000,0))*IF(INDEX(спр_Материалы!$J$2:$J$9000,MATCH($I77,спр_Материалы!$A$2:$A$9000,0))="USD",КурсUSD,IF(INDEX(спр_Материалы!$J$2:$J$9000,MATCH($I77,спр_Материалы!$A$2:$A$9000,0))="EUR",КурсEUR,1))*INDEX(спр_Материалы!$K$2:$K$9000,MATCH($I77,спр_Материалы!$A$2:$A$9000,0))*(1+IFERROR(INDEX(спр_Работы!$I$2:$I$6000,MATCH($C77,спр_Работы!$A$2:$A$6000,0))/100,0))*(1-ДисконтТендер),0))</f>
        <v/>
      </c>
      <c r="N77" s="10">
        <f>IF(AND($R77="да",$H77&lt;&gt;""),ROUND($H77*$L77,2),0)</f>
        <v/>
      </c>
      <c r="O77" s="10">
        <f>IF(AND($R77="да",$H77&lt;&gt;""),ROUND($H77*$M77,2),0)</f>
        <v/>
      </c>
      <c r="P77" s="10">
        <f>$N77+$O77</f>
        <v/>
      </c>
      <c r="Q77">
        <f>IFERROR(INDEX(спр_Работы!$J$2:$J$6000,MATCH($C77,спр_Работы!$A$2:$A$6000,0)),"")</f>
        <v/>
      </c>
      <c r="R77" t="inlineStr">
        <is>
          <t>да</t>
        </is>
      </c>
      <c r="T77">
        <f>IF(AND($P77&gt;0,$R77="да"),MAX($T$1:$T76)+1,"")</f>
        <v/>
      </c>
    </row>
    <row r="78">
      <c r="A78">
        <f>IFERROR(INDEX(спр_Работы!$D$2:$D$6000,MATCH($C78,спр_Работы!$A$2:$A$6000,0)),"")</f>
        <v/>
      </c>
      <c r="B78">
        <f>IFERROR(INDEX(спр_Работы!$F$2:$F$6000,MATCH($C78,спр_Работы!$A$2:$A$6000,0)),"")</f>
        <v/>
      </c>
      <c r="C78">
        <f>IFERROR(INDEX(спр_Работы!$A$2:$A$6000,77),"")</f>
        <v/>
      </c>
      <c r="D78" s="8">
        <f>IFERROR(INDEX(спр_Работы!$B$2:$B$6000,MATCH($C78,спр_Работы!$A$2:$A$6000,0)),"")</f>
        <v/>
      </c>
      <c r="E78">
        <f>IFERROR(INDEX(спр_Работы!$C$2:$C$6000,MATCH($C78,спр_Работы!$A$2:$A$6000,0)),"")</f>
        <v/>
      </c>
      <c r="F78">
        <f>IFERROR(INDEX(спр_Работы!$G$2:$G$6000,MATCH($C78,спр_Работы!$A$2:$A$6000,0)),"")</f>
        <v/>
      </c>
      <c r="G78">
        <f>IFERROR(INDEX(спр_Работы!$K$2:$K$6000,MATCH($C78,спр_Работы!$A$2:$A$6000,0)),"")</f>
        <v/>
      </c>
      <c r="H78" s="9" t="n"/>
      <c r="I78" s="9" t="n"/>
      <c r="J78" s="8">
        <f>IFERROR(INDEX(спр_Материалы!$B$2:$B$9000,MATCH($I78,спр_Материалы!$A$2:$A$9000,0)),"")</f>
        <v/>
      </c>
      <c r="K78">
        <f>IF($I78="","",IF($F78=IFERROR(INDEX(спр_Материалы!$G$2:$G$9000,MATCH($I78,спр_Материалы!$A$2:$A$9000,0)),""),"OK","!! не та группа"))</f>
        <v/>
      </c>
      <c r="L78" s="10">
        <f>IFERROR(INDEX(спр_Работы!$H$2:$H$6000,MATCH($C78,спр_Работы!$A$2:$A$6000,0))*(1-ДисконтТендер),0)</f>
        <v/>
      </c>
      <c r="M78" s="10">
        <f>IF($I78="",0,IFERROR(INDEX(спр_Материалы!$I$2:$I$9000,MATCH($I78,спр_Материалы!$A$2:$A$9000,0))*IF(INDEX(спр_Материалы!$J$2:$J$9000,MATCH($I78,спр_Материалы!$A$2:$A$9000,0))="USD",КурсUSD,IF(INDEX(спр_Материалы!$J$2:$J$9000,MATCH($I78,спр_Материалы!$A$2:$A$9000,0))="EUR",КурсEUR,1))*INDEX(спр_Материалы!$K$2:$K$9000,MATCH($I78,спр_Материалы!$A$2:$A$9000,0))*(1+IFERROR(INDEX(спр_Работы!$I$2:$I$6000,MATCH($C78,спр_Работы!$A$2:$A$6000,0))/100,0))*(1-ДисконтТендер),0))</f>
        <v/>
      </c>
      <c r="N78" s="10">
        <f>IF(AND($R78="да",$H78&lt;&gt;""),ROUND($H78*$L78,2),0)</f>
        <v/>
      </c>
      <c r="O78" s="10">
        <f>IF(AND($R78="да",$H78&lt;&gt;""),ROUND($H78*$M78,2),0)</f>
        <v/>
      </c>
      <c r="P78" s="10">
        <f>$N78+$O78</f>
        <v/>
      </c>
      <c r="Q78">
        <f>IFERROR(INDEX(спр_Работы!$J$2:$J$6000,MATCH($C78,спр_Работы!$A$2:$A$6000,0)),"")</f>
        <v/>
      </c>
      <c r="R78" t="inlineStr">
        <is>
          <t>да</t>
        </is>
      </c>
      <c r="T78">
        <f>IF(AND($P78&gt;0,$R78="да"),MAX($T$1:$T77)+1,"")</f>
        <v/>
      </c>
    </row>
    <row r="79">
      <c r="A79">
        <f>IFERROR(INDEX(спр_Работы!$D$2:$D$6000,MATCH($C79,спр_Работы!$A$2:$A$6000,0)),"")</f>
        <v/>
      </c>
      <c r="B79">
        <f>IFERROR(INDEX(спр_Работы!$F$2:$F$6000,MATCH($C79,спр_Работы!$A$2:$A$6000,0)),"")</f>
        <v/>
      </c>
      <c r="C79">
        <f>IFERROR(INDEX(спр_Работы!$A$2:$A$6000,78),"")</f>
        <v/>
      </c>
      <c r="D79" s="8">
        <f>IFERROR(INDEX(спр_Работы!$B$2:$B$6000,MATCH($C79,спр_Работы!$A$2:$A$6000,0)),"")</f>
        <v/>
      </c>
      <c r="E79">
        <f>IFERROR(INDEX(спр_Работы!$C$2:$C$6000,MATCH($C79,спр_Работы!$A$2:$A$6000,0)),"")</f>
        <v/>
      </c>
      <c r="F79">
        <f>IFERROR(INDEX(спр_Работы!$G$2:$G$6000,MATCH($C79,спр_Работы!$A$2:$A$6000,0)),"")</f>
        <v/>
      </c>
      <c r="G79">
        <f>IFERROR(INDEX(спр_Работы!$K$2:$K$6000,MATCH($C79,спр_Работы!$A$2:$A$6000,0)),"")</f>
        <v/>
      </c>
      <c r="H79" s="9" t="n"/>
      <c r="I79" s="9" t="n"/>
      <c r="J79" s="8">
        <f>IFERROR(INDEX(спр_Материалы!$B$2:$B$9000,MATCH($I79,спр_Материалы!$A$2:$A$9000,0)),"")</f>
        <v/>
      </c>
      <c r="K79">
        <f>IF($I79="","",IF($F79=IFERROR(INDEX(спр_Материалы!$G$2:$G$9000,MATCH($I79,спр_Материалы!$A$2:$A$9000,0)),""),"OK","!! не та группа"))</f>
        <v/>
      </c>
      <c r="L79" s="10">
        <f>IFERROR(INDEX(спр_Работы!$H$2:$H$6000,MATCH($C79,спр_Работы!$A$2:$A$6000,0))*(1-ДисконтТендер),0)</f>
        <v/>
      </c>
      <c r="M79" s="10">
        <f>IF($I79="",0,IFERROR(INDEX(спр_Материалы!$I$2:$I$9000,MATCH($I79,спр_Материалы!$A$2:$A$9000,0))*IF(INDEX(спр_Материалы!$J$2:$J$9000,MATCH($I79,спр_Материалы!$A$2:$A$9000,0))="USD",КурсUSD,IF(INDEX(спр_Материалы!$J$2:$J$9000,MATCH($I79,спр_Материалы!$A$2:$A$9000,0))="EUR",КурсEUR,1))*INDEX(спр_Материалы!$K$2:$K$9000,MATCH($I79,спр_Материалы!$A$2:$A$9000,0))*(1+IFERROR(INDEX(спр_Работы!$I$2:$I$6000,MATCH($C79,спр_Работы!$A$2:$A$6000,0))/100,0))*(1-ДисконтТендер),0))</f>
        <v/>
      </c>
      <c r="N79" s="10">
        <f>IF(AND($R79="да",$H79&lt;&gt;""),ROUND($H79*$L79,2),0)</f>
        <v/>
      </c>
      <c r="O79" s="10">
        <f>IF(AND($R79="да",$H79&lt;&gt;""),ROUND($H79*$M79,2),0)</f>
        <v/>
      </c>
      <c r="P79" s="10">
        <f>$N79+$O79</f>
        <v/>
      </c>
      <c r="Q79">
        <f>IFERROR(INDEX(спр_Работы!$J$2:$J$6000,MATCH($C79,спр_Работы!$A$2:$A$6000,0)),"")</f>
        <v/>
      </c>
      <c r="R79" t="inlineStr">
        <is>
          <t>да</t>
        </is>
      </c>
      <c r="T79">
        <f>IF(AND($P79&gt;0,$R79="да"),MAX($T$1:$T78)+1,"")</f>
        <v/>
      </c>
    </row>
    <row r="80">
      <c r="A80">
        <f>IFERROR(INDEX(спр_Работы!$D$2:$D$6000,MATCH($C80,спр_Работы!$A$2:$A$6000,0)),"")</f>
        <v/>
      </c>
      <c r="B80">
        <f>IFERROR(INDEX(спр_Работы!$F$2:$F$6000,MATCH($C80,спр_Работы!$A$2:$A$6000,0)),"")</f>
        <v/>
      </c>
      <c r="C80">
        <f>IFERROR(INDEX(спр_Работы!$A$2:$A$6000,79),"")</f>
        <v/>
      </c>
      <c r="D80" s="8">
        <f>IFERROR(INDEX(спр_Работы!$B$2:$B$6000,MATCH($C80,спр_Работы!$A$2:$A$6000,0)),"")</f>
        <v/>
      </c>
      <c r="E80">
        <f>IFERROR(INDEX(спр_Работы!$C$2:$C$6000,MATCH($C80,спр_Работы!$A$2:$A$6000,0)),"")</f>
        <v/>
      </c>
      <c r="F80">
        <f>IFERROR(INDEX(спр_Работы!$G$2:$G$6000,MATCH($C80,спр_Работы!$A$2:$A$6000,0)),"")</f>
        <v/>
      </c>
      <c r="G80">
        <f>IFERROR(INDEX(спр_Работы!$K$2:$K$6000,MATCH($C80,спр_Работы!$A$2:$A$6000,0)),"")</f>
        <v/>
      </c>
      <c r="H80" s="9" t="n"/>
      <c r="I80" s="9" t="n"/>
      <c r="J80" s="8">
        <f>IFERROR(INDEX(спр_Материалы!$B$2:$B$9000,MATCH($I80,спр_Материалы!$A$2:$A$9000,0)),"")</f>
        <v/>
      </c>
      <c r="K80">
        <f>IF($I80="","",IF($F80=IFERROR(INDEX(спр_Материалы!$G$2:$G$9000,MATCH($I80,спр_Материалы!$A$2:$A$9000,0)),""),"OK","!! не та группа"))</f>
        <v/>
      </c>
      <c r="L80" s="10">
        <f>IFERROR(INDEX(спр_Работы!$H$2:$H$6000,MATCH($C80,спр_Работы!$A$2:$A$6000,0))*(1-ДисконтТендер),0)</f>
        <v/>
      </c>
      <c r="M80" s="10">
        <f>IF($I80="",0,IFERROR(INDEX(спр_Материалы!$I$2:$I$9000,MATCH($I80,спр_Материалы!$A$2:$A$9000,0))*IF(INDEX(спр_Материалы!$J$2:$J$9000,MATCH($I80,спр_Материалы!$A$2:$A$9000,0))="USD",КурсUSD,IF(INDEX(спр_Материалы!$J$2:$J$9000,MATCH($I80,спр_Материалы!$A$2:$A$9000,0))="EUR",КурсEUR,1))*INDEX(спр_Материалы!$K$2:$K$9000,MATCH($I80,спр_Материалы!$A$2:$A$9000,0))*(1+IFERROR(INDEX(спр_Работы!$I$2:$I$6000,MATCH($C80,спр_Работы!$A$2:$A$6000,0))/100,0))*(1-ДисконтТендер),0))</f>
        <v/>
      </c>
      <c r="N80" s="10">
        <f>IF(AND($R80="да",$H80&lt;&gt;""),ROUND($H80*$L80,2),0)</f>
        <v/>
      </c>
      <c r="O80" s="10">
        <f>IF(AND($R80="да",$H80&lt;&gt;""),ROUND($H80*$M80,2),0)</f>
        <v/>
      </c>
      <c r="P80" s="10">
        <f>$N80+$O80</f>
        <v/>
      </c>
      <c r="Q80">
        <f>IFERROR(INDEX(спр_Работы!$J$2:$J$6000,MATCH($C80,спр_Работы!$A$2:$A$6000,0)),"")</f>
        <v/>
      </c>
      <c r="R80" t="inlineStr">
        <is>
          <t>да</t>
        </is>
      </c>
      <c r="T80">
        <f>IF(AND($P80&gt;0,$R80="да"),MAX($T$1:$T79)+1,"")</f>
        <v/>
      </c>
    </row>
    <row r="81">
      <c r="A81">
        <f>IFERROR(INDEX(спр_Работы!$D$2:$D$6000,MATCH($C81,спр_Работы!$A$2:$A$6000,0)),"")</f>
        <v/>
      </c>
      <c r="B81">
        <f>IFERROR(INDEX(спр_Работы!$F$2:$F$6000,MATCH($C81,спр_Работы!$A$2:$A$6000,0)),"")</f>
        <v/>
      </c>
      <c r="C81">
        <f>IFERROR(INDEX(спр_Работы!$A$2:$A$6000,80),"")</f>
        <v/>
      </c>
      <c r="D81" s="8">
        <f>IFERROR(INDEX(спр_Работы!$B$2:$B$6000,MATCH($C81,спр_Работы!$A$2:$A$6000,0)),"")</f>
        <v/>
      </c>
      <c r="E81">
        <f>IFERROR(INDEX(спр_Работы!$C$2:$C$6000,MATCH($C81,спр_Работы!$A$2:$A$6000,0)),"")</f>
        <v/>
      </c>
      <c r="F81">
        <f>IFERROR(INDEX(спр_Работы!$G$2:$G$6000,MATCH($C81,спр_Работы!$A$2:$A$6000,0)),"")</f>
        <v/>
      </c>
      <c r="G81">
        <f>IFERROR(INDEX(спр_Работы!$K$2:$K$6000,MATCH($C81,спр_Работы!$A$2:$A$6000,0)),"")</f>
        <v/>
      </c>
      <c r="H81" s="9" t="n"/>
      <c r="I81" s="9" t="n"/>
      <c r="J81" s="8">
        <f>IFERROR(INDEX(спр_Материалы!$B$2:$B$9000,MATCH($I81,спр_Материалы!$A$2:$A$9000,0)),"")</f>
        <v/>
      </c>
      <c r="K81">
        <f>IF($I81="","",IF($F81=IFERROR(INDEX(спр_Материалы!$G$2:$G$9000,MATCH($I81,спр_Материалы!$A$2:$A$9000,0)),""),"OK","!! не та группа"))</f>
        <v/>
      </c>
      <c r="L81" s="10">
        <f>IFERROR(INDEX(спр_Работы!$H$2:$H$6000,MATCH($C81,спр_Работы!$A$2:$A$6000,0))*(1-ДисконтТендер),0)</f>
        <v/>
      </c>
      <c r="M81" s="10">
        <f>IF($I81="",0,IFERROR(INDEX(спр_Материалы!$I$2:$I$9000,MATCH($I81,спр_Материалы!$A$2:$A$9000,0))*IF(INDEX(спр_Материалы!$J$2:$J$9000,MATCH($I81,спр_Материалы!$A$2:$A$9000,0))="USD",КурсUSD,IF(INDEX(спр_Материалы!$J$2:$J$9000,MATCH($I81,спр_Материалы!$A$2:$A$9000,0))="EUR",КурсEUR,1))*INDEX(спр_Материалы!$K$2:$K$9000,MATCH($I81,спр_Материалы!$A$2:$A$9000,0))*(1+IFERROR(INDEX(спр_Работы!$I$2:$I$6000,MATCH($C81,спр_Работы!$A$2:$A$6000,0))/100,0))*(1-ДисконтТендер),0))</f>
        <v/>
      </c>
      <c r="N81" s="10">
        <f>IF(AND($R81="да",$H81&lt;&gt;""),ROUND($H81*$L81,2),0)</f>
        <v/>
      </c>
      <c r="O81" s="10">
        <f>IF(AND($R81="да",$H81&lt;&gt;""),ROUND($H81*$M81,2),0)</f>
        <v/>
      </c>
      <c r="P81" s="10">
        <f>$N81+$O81</f>
        <v/>
      </c>
      <c r="Q81">
        <f>IFERROR(INDEX(спр_Работы!$J$2:$J$6000,MATCH($C81,спр_Работы!$A$2:$A$6000,0)),"")</f>
        <v/>
      </c>
      <c r="R81" t="inlineStr">
        <is>
          <t>да</t>
        </is>
      </c>
      <c r="T81">
        <f>IF(AND($P81&gt;0,$R81="да"),MAX($T$1:$T80)+1,"")</f>
        <v/>
      </c>
    </row>
    <row r="82">
      <c r="A82">
        <f>IFERROR(INDEX(спр_Работы!$D$2:$D$6000,MATCH($C82,спр_Работы!$A$2:$A$6000,0)),"")</f>
        <v/>
      </c>
      <c r="B82">
        <f>IFERROR(INDEX(спр_Работы!$F$2:$F$6000,MATCH($C82,спр_Работы!$A$2:$A$6000,0)),"")</f>
        <v/>
      </c>
      <c r="C82">
        <f>IFERROR(INDEX(спр_Работы!$A$2:$A$6000,81),"")</f>
        <v/>
      </c>
      <c r="D82" s="8">
        <f>IFERROR(INDEX(спр_Работы!$B$2:$B$6000,MATCH($C82,спр_Работы!$A$2:$A$6000,0)),"")</f>
        <v/>
      </c>
      <c r="E82">
        <f>IFERROR(INDEX(спр_Работы!$C$2:$C$6000,MATCH($C82,спр_Работы!$A$2:$A$6000,0)),"")</f>
        <v/>
      </c>
      <c r="F82">
        <f>IFERROR(INDEX(спр_Работы!$G$2:$G$6000,MATCH($C82,спр_Работы!$A$2:$A$6000,0)),"")</f>
        <v/>
      </c>
      <c r="G82">
        <f>IFERROR(INDEX(спр_Работы!$K$2:$K$6000,MATCH($C82,спр_Работы!$A$2:$A$6000,0)),"")</f>
        <v/>
      </c>
      <c r="H82" s="9" t="n"/>
      <c r="I82" s="9" t="n"/>
      <c r="J82" s="8">
        <f>IFERROR(INDEX(спр_Материалы!$B$2:$B$9000,MATCH($I82,спр_Материалы!$A$2:$A$9000,0)),"")</f>
        <v/>
      </c>
      <c r="K82">
        <f>IF($I82="","",IF($F82=IFERROR(INDEX(спр_Материалы!$G$2:$G$9000,MATCH($I82,спр_Материалы!$A$2:$A$9000,0)),""),"OK","!! не та группа"))</f>
        <v/>
      </c>
      <c r="L82" s="10">
        <f>IFERROR(INDEX(спр_Работы!$H$2:$H$6000,MATCH($C82,спр_Работы!$A$2:$A$6000,0))*(1-ДисконтТендер),0)</f>
        <v/>
      </c>
      <c r="M82" s="10">
        <f>IF($I82="",0,IFERROR(INDEX(спр_Материалы!$I$2:$I$9000,MATCH($I82,спр_Материалы!$A$2:$A$9000,0))*IF(INDEX(спр_Материалы!$J$2:$J$9000,MATCH($I82,спр_Материалы!$A$2:$A$9000,0))="USD",КурсUSD,IF(INDEX(спр_Материалы!$J$2:$J$9000,MATCH($I82,спр_Материалы!$A$2:$A$9000,0))="EUR",КурсEUR,1))*INDEX(спр_Материалы!$K$2:$K$9000,MATCH($I82,спр_Материалы!$A$2:$A$9000,0))*(1+IFERROR(INDEX(спр_Работы!$I$2:$I$6000,MATCH($C82,спр_Работы!$A$2:$A$6000,0))/100,0))*(1-ДисконтТендер),0))</f>
        <v/>
      </c>
      <c r="N82" s="10">
        <f>IF(AND($R82="да",$H82&lt;&gt;""),ROUND($H82*$L82,2),0)</f>
        <v/>
      </c>
      <c r="O82" s="10">
        <f>IF(AND($R82="да",$H82&lt;&gt;""),ROUND($H82*$M82,2),0)</f>
        <v/>
      </c>
      <c r="P82" s="10">
        <f>$N82+$O82</f>
        <v/>
      </c>
      <c r="Q82">
        <f>IFERROR(INDEX(спр_Работы!$J$2:$J$6000,MATCH($C82,спр_Работы!$A$2:$A$6000,0)),"")</f>
        <v/>
      </c>
      <c r="R82" t="inlineStr">
        <is>
          <t>да</t>
        </is>
      </c>
      <c r="T82">
        <f>IF(AND($P82&gt;0,$R82="да"),MAX($T$1:$T81)+1,"")</f>
        <v/>
      </c>
    </row>
    <row r="83">
      <c r="A83">
        <f>IFERROR(INDEX(спр_Работы!$D$2:$D$6000,MATCH($C83,спр_Работы!$A$2:$A$6000,0)),"")</f>
        <v/>
      </c>
      <c r="B83">
        <f>IFERROR(INDEX(спр_Работы!$F$2:$F$6000,MATCH($C83,спр_Работы!$A$2:$A$6000,0)),"")</f>
        <v/>
      </c>
      <c r="C83">
        <f>IFERROR(INDEX(спр_Работы!$A$2:$A$6000,82),"")</f>
        <v/>
      </c>
      <c r="D83" s="8">
        <f>IFERROR(INDEX(спр_Работы!$B$2:$B$6000,MATCH($C83,спр_Работы!$A$2:$A$6000,0)),"")</f>
        <v/>
      </c>
      <c r="E83">
        <f>IFERROR(INDEX(спр_Работы!$C$2:$C$6000,MATCH($C83,спр_Работы!$A$2:$A$6000,0)),"")</f>
        <v/>
      </c>
      <c r="F83">
        <f>IFERROR(INDEX(спр_Работы!$G$2:$G$6000,MATCH($C83,спр_Работы!$A$2:$A$6000,0)),"")</f>
        <v/>
      </c>
      <c r="G83">
        <f>IFERROR(INDEX(спр_Работы!$K$2:$K$6000,MATCH($C83,спр_Работы!$A$2:$A$6000,0)),"")</f>
        <v/>
      </c>
      <c r="H83" s="9" t="n"/>
      <c r="I83" s="9" t="n"/>
      <c r="J83" s="8">
        <f>IFERROR(INDEX(спр_Материалы!$B$2:$B$9000,MATCH($I83,спр_Материалы!$A$2:$A$9000,0)),"")</f>
        <v/>
      </c>
      <c r="K83">
        <f>IF($I83="","",IF($F83=IFERROR(INDEX(спр_Материалы!$G$2:$G$9000,MATCH($I83,спр_Материалы!$A$2:$A$9000,0)),""),"OK","!! не та группа"))</f>
        <v/>
      </c>
      <c r="L83" s="10">
        <f>IFERROR(INDEX(спр_Работы!$H$2:$H$6000,MATCH($C83,спр_Работы!$A$2:$A$6000,0))*(1-ДисконтТендер),0)</f>
        <v/>
      </c>
      <c r="M83" s="10">
        <f>IF($I83="",0,IFERROR(INDEX(спр_Материалы!$I$2:$I$9000,MATCH($I83,спр_Материалы!$A$2:$A$9000,0))*IF(INDEX(спр_Материалы!$J$2:$J$9000,MATCH($I83,спр_Материалы!$A$2:$A$9000,0))="USD",КурсUSD,IF(INDEX(спр_Материалы!$J$2:$J$9000,MATCH($I83,спр_Материалы!$A$2:$A$9000,0))="EUR",КурсEUR,1))*INDEX(спр_Материалы!$K$2:$K$9000,MATCH($I83,спр_Материалы!$A$2:$A$9000,0))*(1+IFERROR(INDEX(спр_Работы!$I$2:$I$6000,MATCH($C83,спр_Работы!$A$2:$A$6000,0))/100,0))*(1-ДисконтТендер),0))</f>
        <v/>
      </c>
      <c r="N83" s="10">
        <f>IF(AND($R83="да",$H83&lt;&gt;""),ROUND($H83*$L83,2),0)</f>
        <v/>
      </c>
      <c r="O83" s="10">
        <f>IF(AND($R83="да",$H83&lt;&gt;""),ROUND($H83*$M83,2),0)</f>
        <v/>
      </c>
      <c r="P83" s="10">
        <f>$N83+$O83</f>
        <v/>
      </c>
      <c r="Q83">
        <f>IFERROR(INDEX(спр_Работы!$J$2:$J$6000,MATCH($C83,спр_Работы!$A$2:$A$6000,0)),"")</f>
        <v/>
      </c>
      <c r="R83" t="inlineStr">
        <is>
          <t>да</t>
        </is>
      </c>
      <c r="T83">
        <f>IF(AND($P83&gt;0,$R83="да"),MAX($T$1:$T82)+1,"")</f>
        <v/>
      </c>
    </row>
    <row r="84">
      <c r="A84">
        <f>IFERROR(INDEX(спр_Работы!$D$2:$D$6000,MATCH($C84,спр_Работы!$A$2:$A$6000,0)),"")</f>
        <v/>
      </c>
      <c r="B84">
        <f>IFERROR(INDEX(спр_Работы!$F$2:$F$6000,MATCH($C84,спр_Работы!$A$2:$A$6000,0)),"")</f>
        <v/>
      </c>
      <c r="C84">
        <f>IFERROR(INDEX(спр_Работы!$A$2:$A$6000,83),"")</f>
        <v/>
      </c>
      <c r="D84" s="8">
        <f>IFERROR(INDEX(спр_Работы!$B$2:$B$6000,MATCH($C84,спр_Работы!$A$2:$A$6000,0)),"")</f>
        <v/>
      </c>
      <c r="E84">
        <f>IFERROR(INDEX(спр_Работы!$C$2:$C$6000,MATCH($C84,спр_Работы!$A$2:$A$6000,0)),"")</f>
        <v/>
      </c>
      <c r="F84">
        <f>IFERROR(INDEX(спр_Работы!$G$2:$G$6000,MATCH($C84,спр_Работы!$A$2:$A$6000,0)),"")</f>
        <v/>
      </c>
      <c r="G84">
        <f>IFERROR(INDEX(спр_Работы!$K$2:$K$6000,MATCH($C84,спр_Работы!$A$2:$A$6000,0)),"")</f>
        <v/>
      </c>
      <c r="H84" s="9" t="n"/>
      <c r="I84" s="9" t="n"/>
      <c r="J84" s="8">
        <f>IFERROR(INDEX(спр_Материалы!$B$2:$B$9000,MATCH($I84,спр_Материалы!$A$2:$A$9000,0)),"")</f>
        <v/>
      </c>
      <c r="K84">
        <f>IF($I84="","",IF($F84=IFERROR(INDEX(спр_Материалы!$G$2:$G$9000,MATCH($I84,спр_Материалы!$A$2:$A$9000,0)),""),"OK","!! не та группа"))</f>
        <v/>
      </c>
      <c r="L84" s="10">
        <f>IFERROR(INDEX(спр_Работы!$H$2:$H$6000,MATCH($C84,спр_Работы!$A$2:$A$6000,0))*(1-ДисконтТендер),0)</f>
        <v/>
      </c>
      <c r="M84" s="10">
        <f>IF($I84="",0,IFERROR(INDEX(спр_Материалы!$I$2:$I$9000,MATCH($I84,спр_Материалы!$A$2:$A$9000,0))*IF(INDEX(спр_Материалы!$J$2:$J$9000,MATCH($I84,спр_Материалы!$A$2:$A$9000,0))="USD",КурсUSD,IF(INDEX(спр_Материалы!$J$2:$J$9000,MATCH($I84,спр_Материалы!$A$2:$A$9000,0))="EUR",КурсEUR,1))*INDEX(спр_Материалы!$K$2:$K$9000,MATCH($I84,спр_Материалы!$A$2:$A$9000,0))*(1+IFERROR(INDEX(спр_Работы!$I$2:$I$6000,MATCH($C84,спр_Работы!$A$2:$A$6000,0))/100,0))*(1-ДисконтТендер),0))</f>
        <v/>
      </c>
      <c r="N84" s="10">
        <f>IF(AND($R84="да",$H84&lt;&gt;""),ROUND($H84*$L84,2),0)</f>
        <v/>
      </c>
      <c r="O84" s="10">
        <f>IF(AND($R84="да",$H84&lt;&gt;""),ROUND($H84*$M84,2),0)</f>
        <v/>
      </c>
      <c r="P84" s="10">
        <f>$N84+$O84</f>
        <v/>
      </c>
      <c r="Q84">
        <f>IFERROR(INDEX(спр_Работы!$J$2:$J$6000,MATCH($C84,спр_Работы!$A$2:$A$6000,0)),"")</f>
        <v/>
      </c>
      <c r="R84" t="inlineStr">
        <is>
          <t>да</t>
        </is>
      </c>
      <c r="T84">
        <f>IF(AND($P84&gt;0,$R84="да"),MAX($T$1:$T83)+1,"")</f>
        <v/>
      </c>
    </row>
    <row r="85">
      <c r="A85">
        <f>IFERROR(INDEX(спр_Работы!$D$2:$D$6000,MATCH($C85,спр_Работы!$A$2:$A$6000,0)),"")</f>
        <v/>
      </c>
      <c r="B85">
        <f>IFERROR(INDEX(спр_Работы!$F$2:$F$6000,MATCH($C85,спр_Работы!$A$2:$A$6000,0)),"")</f>
        <v/>
      </c>
      <c r="C85">
        <f>IFERROR(INDEX(спр_Работы!$A$2:$A$6000,84),"")</f>
        <v/>
      </c>
      <c r="D85" s="8">
        <f>IFERROR(INDEX(спр_Работы!$B$2:$B$6000,MATCH($C85,спр_Работы!$A$2:$A$6000,0)),"")</f>
        <v/>
      </c>
      <c r="E85">
        <f>IFERROR(INDEX(спр_Работы!$C$2:$C$6000,MATCH($C85,спр_Работы!$A$2:$A$6000,0)),"")</f>
        <v/>
      </c>
      <c r="F85">
        <f>IFERROR(INDEX(спр_Работы!$G$2:$G$6000,MATCH($C85,спр_Работы!$A$2:$A$6000,0)),"")</f>
        <v/>
      </c>
      <c r="G85">
        <f>IFERROR(INDEX(спр_Работы!$K$2:$K$6000,MATCH($C85,спр_Работы!$A$2:$A$6000,0)),"")</f>
        <v/>
      </c>
      <c r="H85" s="9" t="n"/>
      <c r="I85" s="9" t="n"/>
      <c r="J85" s="8">
        <f>IFERROR(INDEX(спр_Материалы!$B$2:$B$9000,MATCH($I85,спр_Материалы!$A$2:$A$9000,0)),"")</f>
        <v/>
      </c>
      <c r="K85">
        <f>IF($I85="","",IF($F85=IFERROR(INDEX(спр_Материалы!$G$2:$G$9000,MATCH($I85,спр_Материалы!$A$2:$A$9000,0)),""),"OK","!! не та группа"))</f>
        <v/>
      </c>
      <c r="L85" s="10">
        <f>IFERROR(INDEX(спр_Работы!$H$2:$H$6000,MATCH($C85,спр_Работы!$A$2:$A$6000,0))*(1-ДисконтТендер),0)</f>
        <v/>
      </c>
      <c r="M85" s="10">
        <f>IF($I85="",0,IFERROR(INDEX(спр_Материалы!$I$2:$I$9000,MATCH($I85,спр_Материалы!$A$2:$A$9000,0))*IF(INDEX(спр_Материалы!$J$2:$J$9000,MATCH($I85,спр_Материалы!$A$2:$A$9000,0))="USD",КурсUSD,IF(INDEX(спр_Материалы!$J$2:$J$9000,MATCH($I85,спр_Материалы!$A$2:$A$9000,0))="EUR",КурсEUR,1))*INDEX(спр_Материалы!$K$2:$K$9000,MATCH($I85,спр_Материалы!$A$2:$A$9000,0))*(1+IFERROR(INDEX(спр_Работы!$I$2:$I$6000,MATCH($C85,спр_Работы!$A$2:$A$6000,0))/100,0))*(1-ДисконтТендер),0))</f>
        <v/>
      </c>
      <c r="N85" s="10">
        <f>IF(AND($R85="да",$H85&lt;&gt;""),ROUND($H85*$L85,2),0)</f>
        <v/>
      </c>
      <c r="O85" s="10">
        <f>IF(AND($R85="да",$H85&lt;&gt;""),ROUND($H85*$M85,2),0)</f>
        <v/>
      </c>
      <c r="P85" s="10">
        <f>$N85+$O85</f>
        <v/>
      </c>
      <c r="Q85">
        <f>IFERROR(INDEX(спр_Работы!$J$2:$J$6000,MATCH($C85,спр_Работы!$A$2:$A$6000,0)),"")</f>
        <v/>
      </c>
      <c r="R85" t="inlineStr">
        <is>
          <t>да</t>
        </is>
      </c>
      <c r="T85">
        <f>IF(AND($P85&gt;0,$R85="да"),MAX($T$1:$T84)+1,"")</f>
        <v/>
      </c>
    </row>
    <row r="86">
      <c r="A86">
        <f>IFERROR(INDEX(спр_Работы!$D$2:$D$6000,MATCH($C86,спр_Работы!$A$2:$A$6000,0)),"")</f>
        <v/>
      </c>
      <c r="B86">
        <f>IFERROR(INDEX(спр_Работы!$F$2:$F$6000,MATCH($C86,спр_Работы!$A$2:$A$6000,0)),"")</f>
        <v/>
      </c>
      <c r="C86">
        <f>IFERROR(INDEX(спр_Работы!$A$2:$A$6000,85),"")</f>
        <v/>
      </c>
      <c r="D86" s="8">
        <f>IFERROR(INDEX(спр_Работы!$B$2:$B$6000,MATCH($C86,спр_Работы!$A$2:$A$6000,0)),"")</f>
        <v/>
      </c>
      <c r="E86">
        <f>IFERROR(INDEX(спр_Работы!$C$2:$C$6000,MATCH($C86,спр_Работы!$A$2:$A$6000,0)),"")</f>
        <v/>
      </c>
      <c r="F86">
        <f>IFERROR(INDEX(спр_Работы!$G$2:$G$6000,MATCH($C86,спр_Работы!$A$2:$A$6000,0)),"")</f>
        <v/>
      </c>
      <c r="G86">
        <f>IFERROR(INDEX(спр_Работы!$K$2:$K$6000,MATCH($C86,спр_Работы!$A$2:$A$6000,0)),"")</f>
        <v/>
      </c>
      <c r="H86" s="9" t="n"/>
      <c r="I86" s="9" t="n"/>
      <c r="J86" s="8">
        <f>IFERROR(INDEX(спр_Материалы!$B$2:$B$9000,MATCH($I86,спр_Материалы!$A$2:$A$9000,0)),"")</f>
        <v/>
      </c>
      <c r="K86">
        <f>IF($I86="","",IF($F86=IFERROR(INDEX(спр_Материалы!$G$2:$G$9000,MATCH($I86,спр_Материалы!$A$2:$A$9000,0)),""),"OK","!! не та группа"))</f>
        <v/>
      </c>
      <c r="L86" s="10">
        <f>IFERROR(INDEX(спр_Работы!$H$2:$H$6000,MATCH($C86,спр_Работы!$A$2:$A$6000,0))*(1-ДисконтТендер),0)</f>
        <v/>
      </c>
      <c r="M86" s="10">
        <f>IF($I86="",0,IFERROR(INDEX(спр_Материалы!$I$2:$I$9000,MATCH($I86,спр_Материалы!$A$2:$A$9000,0))*IF(INDEX(спр_Материалы!$J$2:$J$9000,MATCH($I86,спр_Материалы!$A$2:$A$9000,0))="USD",КурсUSD,IF(INDEX(спр_Материалы!$J$2:$J$9000,MATCH($I86,спр_Материалы!$A$2:$A$9000,0))="EUR",КурсEUR,1))*INDEX(спр_Материалы!$K$2:$K$9000,MATCH($I86,спр_Материалы!$A$2:$A$9000,0))*(1+IFERROR(INDEX(спр_Работы!$I$2:$I$6000,MATCH($C86,спр_Работы!$A$2:$A$6000,0))/100,0))*(1-ДисконтТендер),0))</f>
        <v/>
      </c>
      <c r="N86" s="10">
        <f>IF(AND($R86="да",$H86&lt;&gt;""),ROUND($H86*$L86,2),0)</f>
        <v/>
      </c>
      <c r="O86" s="10">
        <f>IF(AND($R86="да",$H86&lt;&gt;""),ROUND($H86*$M86,2),0)</f>
        <v/>
      </c>
      <c r="P86" s="10">
        <f>$N86+$O86</f>
        <v/>
      </c>
      <c r="Q86">
        <f>IFERROR(INDEX(спр_Работы!$J$2:$J$6000,MATCH($C86,спр_Работы!$A$2:$A$6000,0)),"")</f>
        <v/>
      </c>
      <c r="R86" t="inlineStr">
        <is>
          <t>да</t>
        </is>
      </c>
      <c r="T86">
        <f>IF(AND($P86&gt;0,$R86="да"),MAX($T$1:$T85)+1,"")</f>
        <v/>
      </c>
    </row>
    <row r="87">
      <c r="A87">
        <f>IFERROR(INDEX(спр_Работы!$D$2:$D$6000,MATCH($C87,спр_Работы!$A$2:$A$6000,0)),"")</f>
        <v/>
      </c>
      <c r="B87">
        <f>IFERROR(INDEX(спр_Работы!$F$2:$F$6000,MATCH($C87,спр_Работы!$A$2:$A$6000,0)),"")</f>
        <v/>
      </c>
      <c r="C87">
        <f>IFERROR(INDEX(спр_Работы!$A$2:$A$6000,86),"")</f>
        <v/>
      </c>
      <c r="D87" s="8">
        <f>IFERROR(INDEX(спр_Работы!$B$2:$B$6000,MATCH($C87,спр_Работы!$A$2:$A$6000,0)),"")</f>
        <v/>
      </c>
      <c r="E87">
        <f>IFERROR(INDEX(спр_Работы!$C$2:$C$6000,MATCH($C87,спр_Работы!$A$2:$A$6000,0)),"")</f>
        <v/>
      </c>
      <c r="F87">
        <f>IFERROR(INDEX(спр_Работы!$G$2:$G$6000,MATCH($C87,спр_Работы!$A$2:$A$6000,0)),"")</f>
        <v/>
      </c>
      <c r="G87">
        <f>IFERROR(INDEX(спр_Работы!$K$2:$K$6000,MATCH($C87,спр_Работы!$A$2:$A$6000,0)),"")</f>
        <v/>
      </c>
      <c r="H87" s="9" t="n"/>
      <c r="I87" s="9" t="n"/>
      <c r="J87" s="8">
        <f>IFERROR(INDEX(спр_Материалы!$B$2:$B$9000,MATCH($I87,спр_Материалы!$A$2:$A$9000,0)),"")</f>
        <v/>
      </c>
      <c r="K87">
        <f>IF($I87="","",IF($F87=IFERROR(INDEX(спр_Материалы!$G$2:$G$9000,MATCH($I87,спр_Материалы!$A$2:$A$9000,0)),""),"OK","!! не та группа"))</f>
        <v/>
      </c>
      <c r="L87" s="10">
        <f>IFERROR(INDEX(спр_Работы!$H$2:$H$6000,MATCH($C87,спр_Работы!$A$2:$A$6000,0))*(1-ДисконтТендер),0)</f>
        <v/>
      </c>
      <c r="M87" s="10">
        <f>IF($I87="",0,IFERROR(INDEX(спр_Материалы!$I$2:$I$9000,MATCH($I87,спр_Материалы!$A$2:$A$9000,0))*IF(INDEX(спр_Материалы!$J$2:$J$9000,MATCH($I87,спр_Материалы!$A$2:$A$9000,0))="USD",КурсUSD,IF(INDEX(спр_Материалы!$J$2:$J$9000,MATCH($I87,спр_Материалы!$A$2:$A$9000,0))="EUR",КурсEUR,1))*INDEX(спр_Материалы!$K$2:$K$9000,MATCH($I87,спр_Материалы!$A$2:$A$9000,0))*(1+IFERROR(INDEX(спр_Работы!$I$2:$I$6000,MATCH($C87,спр_Работы!$A$2:$A$6000,0))/100,0))*(1-ДисконтТендер),0))</f>
        <v/>
      </c>
      <c r="N87" s="10">
        <f>IF(AND($R87="да",$H87&lt;&gt;""),ROUND($H87*$L87,2),0)</f>
        <v/>
      </c>
      <c r="O87" s="10">
        <f>IF(AND($R87="да",$H87&lt;&gt;""),ROUND($H87*$M87,2),0)</f>
        <v/>
      </c>
      <c r="P87" s="10">
        <f>$N87+$O87</f>
        <v/>
      </c>
      <c r="Q87">
        <f>IFERROR(INDEX(спр_Работы!$J$2:$J$6000,MATCH($C87,спр_Работы!$A$2:$A$6000,0)),"")</f>
        <v/>
      </c>
      <c r="R87" t="inlineStr">
        <is>
          <t>да</t>
        </is>
      </c>
      <c r="T87">
        <f>IF(AND($P87&gt;0,$R87="да"),MAX($T$1:$T86)+1,"")</f>
        <v/>
      </c>
    </row>
    <row r="88">
      <c r="A88">
        <f>IFERROR(INDEX(спр_Работы!$D$2:$D$6000,MATCH($C88,спр_Работы!$A$2:$A$6000,0)),"")</f>
        <v/>
      </c>
      <c r="B88">
        <f>IFERROR(INDEX(спр_Работы!$F$2:$F$6000,MATCH($C88,спр_Работы!$A$2:$A$6000,0)),"")</f>
        <v/>
      </c>
      <c r="C88">
        <f>IFERROR(INDEX(спр_Работы!$A$2:$A$6000,87),"")</f>
        <v/>
      </c>
      <c r="D88" s="8">
        <f>IFERROR(INDEX(спр_Работы!$B$2:$B$6000,MATCH($C88,спр_Работы!$A$2:$A$6000,0)),"")</f>
        <v/>
      </c>
      <c r="E88">
        <f>IFERROR(INDEX(спр_Работы!$C$2:$C$6000,MATCH($C88,спр_Работы!$A$2:$A$6000,0)),"")</f>
        <v/>
      </c>
      <c r="F88">
        <f>IFERROR(INDEX(спр_Работы!$G$2:$G$6000,MATCH($C88,спр_Работы!$A$2:$A$6000,0)),"")</f>
        <v/>
      </c>
      <c r="G88">
        <f>IFERROR(INDEX(спр_Работы!$K$2:$K$6000,MATCH($C88,спр_Работы!$A$2:$A$6000,0)),"")</f>
        <v/>
      </c>
      <c r="H88" s="9" t="n"/>
      <c r="I88" s="9" t="n"/>
      <c r="J88" s="8">
        <f>IFERROR(INDEX(спр_Материалы!$B$2:$B$9000,MATCH($I88,спр_Материалы!$A$2:$A$9000,0)),"")</f>
        <v/>
      </c>
      <c r="K88">
        <f>IF($I88="","",IF($F88=IFERROR(INDEX(спр_Материалы!$G$2:$G$9000,MATCH($I88,спр_Материалы!$A$2:$A$9000,0)),""),"OK","!! не та группа"))</f>
        <v/>
      </c>
      <c r="L88" s="10">
        <f>IFERROR(INDEX(спр_Работы!$H$2:$H$6000,MATCH($C88,спр_Работы!$A$2:$A$6000,0))*(1-ДисконтТендер),0)</f>
        <v/>
      </c>
      <c r="M88" s="10">
        <f>IF($I88="",0,IFERROR(INDEX(спр_Материалы!$I$2:$I$9000,MATCH($I88,спр_Материалы!$A$2:$A$9000,0))*IF(INDEX(спр_Материалы!$J$2:$J$9000,MATCH($I88,спр_Материалы!$A$2:$A$9000,0))="USD",КурсUSD,IF(INDEX(спр_Материалы!$J$2:$J$9000,MATCH($I88,спр_Материалы!$A$2:$A$9000,0))="EUR",КурсEUR,1))*INDEX(спр_Материалы!$K$2:$K$9000,MATCH($I88,спр_Материалы!$A$2:$A$9000,0))*(1+IFERROR(INDEX(спр_Работы!$I$2:$I$6000,MATCH($C88,спр_Работы!$A$2:$A$6000,0))/100,0))*(1-ДисконтТендер),0))</f>
        <v/>
      </c>
      <c r="N88" s="10">
        <f>IF(AND($R88="да",$H88&lt;&gt;""),ROUND($H88*$L88,2),0)</f>
        <v/>
      </c>
      <c r="O88" s="10">
        <f>IF(AND($R88="да",$H88&lt;&gt;""),ROUND($H88*$M88,2),0)</f>
        <v/>
      </c>
      <c r="P88" s="10">
        <f>$N88+$O88</f>
        <v/>
      </c>
      <c r="Q88">
        <f>IFERROR(INDEX(спр_Работы!$J$2:$J$6000,MATCH($C88,спр_Работы!$A$2:$A$6000,0)),"")</f>
        <v/>
      </c>
      <c r="R88" t="inlineStr">
        <is>
          <t>да</t>
        </is>
      </c>
      <c r="T88">
        <f>IF(AND($P88&gt;0,$R88="да"),MAX($T$1:$T87)+1,"")</f>
        <v/>
      </c>
    </row>
    <row r="89">
      <c r="A89">
        <f>IFERROR(INDEX(спр_Работы!$D$2:$D$6000,MATCH($C89,спр_Работы!$A$2:$A$6000,0)),"")</f>
        <v/>
      </c>
      <c r="B89">
        <f>IFERROR(INDEX(спр_Работы!$F$2:$F$6000,MATCH($C89,спр_Работы!$A$2:$A$6000,0)),"")</f>
        <v/>
      </c>
      <c r="C89">
        <f>IFERROR(INDEX(спр_Работы!$A$2:$A$6000,88),"")</f>
        <v/>
      </c>
      <c r="D89" s="8">
        <f>IFERROR(INDEX(спр_Работы!$B$2:$B$6000,MATCH($C89,спр_Работы!$A$2:$A$6000,0)),"")</f>
        <v/>
      </c>
      <c r="E89">
        <f>IFERROR(INDEX(спр_Работы!$C$2:$C$6000,MATCH($C89,спр_Работы!$A$2:$A$6000,0)),"")</f>
        <v/>
      </c>
      <c r="F89">
        <f>IFERROR(INDEX(спр_Работы!$G$2:$G$6000,MATCH($C89,спр_Работы!$A$2:$A$6000,0)),"")</f>
        <v/>
      </c>
      <c r="G89">
        <f>IFERROR(INDEX(спр_Работы!$K$2:$K$6000,MATCH($C89,спр_Работы!$A$2:$A$6000,0)),"")</f>
        <v/>
      </c>
      <c r="H89" s="9" t="n"/>
      <c r="I89" s="9" t="n"/>
      <c r="J89" s="8">
        <f>IFERROR(INDEX(спр_Материалы!$B$2:$B$9000,MATCH($I89,спр_Материалы!$A$2:$A$9000,0)),"")</f>
        <v/>
      </c>
      <c r="K89">
        <f>IF($I89="","",IF($F89=IFERROR(INDEX(спр_Материалы!$G$2:$G$9000,MATCH($I89,спр_Материалы!$A$2:$A$9000,0)),""),"OK","!! не та группа"))</f>
        <v/>
      </c>
      <c r="L89" s="10">
        <f>IFERROR(INDEX(спр_Работы!$H$2:$H$6000,MATCH($C89,спр_Работы!$A$2:$A$6000,0))*(1-ДисконтТендер),0)</f>
        <v/>
      </c>
      <c r="M89" s="10">
        <f>IF($I89="",0,IFERROR(INDEX(спр_Материалы!$I$2:$I$9000,MATCH($I89,спр_Материалы!$A$2:$A$9000,0))*IF(INDEX(спр_Материалы!$J$2:$J$9000,MATCH($I89,спр_Материалы!$A$2:$A$9000,0))="USD",КурсUSD,IF(INDEX(спр_Материалы!$J$2:$J$9000,MATCH($I89,спр_Материалы!$A$2:$A$9000,0))="EUR",КурсEUR,1))*INDEX(спр_Материалы!$K$2:$K$9000,MATCH($I89,спр_Материалы!$A$2:$A$9000,0))*(1+IFERROR(INDEX(спр_Работы!$I$2:$I$6000,MATCH($C89,спр_Работы!$A$2:$A$6000,0))/100,0))*(1-ДисконтТендер),0))</f>
        <v/>
      </c>
      <c r="N89" s="10">
        <f>IF(AND($R89="да",$H89&lt;&gt;""),ROUND($H89*$L89,2),0)</f>
        <v/>
      </c>
      <c r="O89" s="10">
        <f>IF(AND($R89="да",$H89&lt;&gt;""),ROUND($H89*$M89,2),0)</f>
        <v/>
      </c>
      <c r="P89" s="10">
        <f>$N89+$O89</f>
        <v/>
      </c>
      <c r="Q89">
        <f>IFERROR(INDEX(спр_Работы!$J$2:$J$6000,MATCH($C89,спр_Работы!$A$2:$A$6000,0)),"")</f>
        <v/>
      </c>
      <c r="R89" t="inlineStr">
        <is>
          <t>да</t>
        </is>
      </c>
      <c r="T89">
        <f>IF(AND($P89&gt;0,$R89="да"),MAX($T$1:$T88)+1,"")</f>
        <v/>
      </c>
    </row>
    <row r="90">
      <c r="A90">
        <f>IFERROR(INDEX(спр_Работы!$D$2:$D$6000,MATCH($C90,спр_Работы!$A$2:$A$6000,0)),"")</f>
        <v/>
      </c>
      <c r="B90">
        <f>IFERROR(INDEX(спр_Работы!$F$2:$F$6000,MATCH($C90,спр_Работы!$A$2:$A$6000,0)),"")</f>
        <v/>
      </c>
      <c r="C90">
        <f>IFERROR(INDEX(спр_Работы!$A$2:$A$6000,89),"")</f>
        <v/>
      </c>
      <c r="D90" s="8">
        <f>IFERROR(INDEX(спр_Работы!$B$2:$B$6000,MATCH($C90,спр_Работы!$A$2:$A$6000,0)),"")</f>
        <v/>
      </c>
      <c r="E90">
        <f>IFERROR(INDEX(спр_Работы!$C$2:$C$6000,MATCH($C90,спр_Работы!$A$2:$A$6000,0)),"")</f>
        <v/>
      </c>
      <c r="F90">
        <f>IFERROR(INDEX(спр_Работы!$G$2:$G$6000,MATCH($C90,спр_Работы!$A$2:$A$6000,0)),"")</f>
        <v/>
      </c>
      <c r="G90">
        <f>IFERROR(INDEX(спр_Работы!$K$2:$K$6000,MATCH($C90,спр_Работы!$A$2:$A$6000,0)),"")</f>
        <v/>
      </c>
      <c r="H90" s="9" t="n"/>
      <c r="I90" s="9" t="n"/>
      <c r="J90" s="8">
        <f>IFERROR(INDEX(спр_Материалы!$B$2:$B$9000,MATCH($I90,спр_Материалы!$A$2:$A$9000,0)),"")</f>
        <v/>
      </c>
      <c r="K90">
        <f>IF($I90="","",IF($F90=IFERROR(INDEX(спр_Материалы!$G$2:$G$9000,MATCH($I90,спр_Материалы!$A$2:$A$9000,0)),""),"OK","!! не та группа"))</f>
        <v/>
      </c>
      <c r="L90" s="10">
        <f>IFERROR(INDEX(спр_Работы!$H$2:$H$6000,MATCH($C90,спр_Работы!$A$2:$A$6000,0))*(1-ДисконтТендер),0)</f>
        <v/>
      </c>
      <c r="M90" s="10">
        <f>IF($I90="",0,IFERROR(INDEX(спр_Материалы!$I$2:$I$9000,MATCH($I90,спр_Материалы!$A$2:$A$9000,0))*IF(INDEX(спр_Материалы!$J$2:$J$9000,MATCH($I90,спр_Материалы!$A$2:$A$9000,0))="USD",КурсUSD,IF(INDEX(спр_Материалы!$J$2:$J$9000,MATCH($I90,спр_Материалы!$A$2:$A$9000,0))="EUR",КурсEUR,1))*INDEX(спр_Материалы!$K$2:$K$9000,MATCH($I90,спр_Материалы!$A$2:$A$9000,0))*(1+IFERROR(INDEX(спр_Работы!$I$2:$I$6000,MATCH($C90,спр_Работы!$A$2:$A$6000,0))/100,0))*(1-ДисконтТендер),0))</f>
        <v/>
      </c>
      <c r="N90" s="10">
        <f>IF(AND($R90="да",$H90&lt;&gt;""),ROUND($H90*$L90,2),0)</f>
        <v/>
      </c>
      <c r="O90" s="10">
        <f>IF(AND($R90="да",$H90&lt;&gt;""),ROUND($H90*$M90,2),0)</f>
        <v/>
      </c>
      <c r="P90" s="10">
        <f>$N90+$O90</f>
        <v/>
      </c>
      <c r="Q90">
        <f>IFERROR(INDEX(спр_Работы!$J$2:$J$6000,MATCH($C90,спр_Работы!$A$2:$A$6000,0)),"")</f>
        <v/>
      </c>
      <c r="R90" t="inlineStr">
        <is>
          <t>да</t>
        </is>
      </c>
      <c r="T90">
        <f>IF(AND($P90&gt;0,$R90="да"),MAX($T$1:$T89)+1,"")</f>
        <v/>
      </c>
    </row>
    <row r="91">
      <c r="A91">
        <f>IFERROR(INDEX(спр_Работы!$D$2:$D$6000,MATCH($C91,спр_Работы!$A$2:$A$6000,0)),"")</f>
        <v/>
      </c>
      <c r="B91">
        <f>IFERROR(INDEX(спр_Работы!$F$2:$F$6000,MATCH($C91,спр_Работы!$A$2:$A$6000,0)),"")</f>
        <v/>
      </c>
      <c r="C91">
        <f>IFERROR(INDEX(спр_Работы!$A$2:$A$6000,90),"")</f>
        <v/>
      </c>
      <c r="D91" s="8">
        <f>IFERROR(INDEX(спр_Работы!$B$2:$B$6000,MATCH($C91,спр_Работы!$A$2:$A$6000,0)),"")</f>
        <v/>
      </c>
      <c r="E91">
        <f>IFERROR(INDEX(спр_Работы!$C$2:$C$6000,MATCH($C91,спр_Работы!$A$2:$A$6000,0)),"")</f>
        <v/>
      </c>
      <c r="F91">
        <f>IFERROR(INDEX(спр_Работы!$G$2:$G$6000,MATCH($C91,спр_Работы!$A$2:$A$6000,0)),"")</f>
        <v/>
      </c>
      <c r="G91">
        <f>IFERROR(INDEX(спр_Работы!$K$2:$K$6000,MATCH($C91,спр_Работы!$A$2:$A$6000,0)),"")</f>
        <v/>
      </c>
      <c r="H91" s="9" t="n"/>
      <c r="I91" s="9" t="n"/>
      <c r="J91" s="8">
        <f>IFERROR(INDEX(спр_Материалы!$B$2:$B$9000,MATCH($I91,спр_Материалы!$A$2:$A$9000,0)),"")</f>
        <v/>
      </c>
      <c r="K91">
        <f>IF($I91="","",IF($F91=IFERROR(INDEX(спр_Материалы!$G$2:$G$9000,MATCH($I91,спр_Материалы!$A$2:$A$9000,0)),""),"OK","!! не та группа"))</f>
        <v/>
      </c>
      <c r="L91" s="10">
        <f>IFERROR(INDEX(спр_Работы!$H$2:$H$6000,MATCH($C91,спр_Работы!$A$2:$A$6000,0))*(1-ДисконтТендер),0)</f>
        <v/>
      </c>
      <c r="M91" s="10">
        <f>IF($I91="",0,IFERROR(INDEX(спр_Материалы!$I$2:$I$9000,MATCH($I91,спр_Материалы!$A$2:$A$9000,0))*IF(INDEX(спр_Материалы!$J$2:$J$9000,MATCH($I91,спр_Материалы!$A$2:$A$9000,0))="USD",КурсUSD,IF(INDEX(спр_Материалы!$J$2:$J$9000,MATCH($I91,спр_Материалы!$A$2:$A$9000,0))="EUR",КурсEUR,1))*INDEX(спр_Материалы!$K$2:$K$9000,MATCH($I91,спр_Материалы!$A$2:$A$9000,0))*(1+IFERROR(INDEX(спр_Работы!$I$2:$I$6000,MATCH($C91,спр_Работы!$A$2:$A$6000,0))/100,0))*(1-ДисконтТендер),0))</f>
        <v/>
      </c>
      <c r="N91" s="10">
        <f>IF(AND($R91="да",$H91&lt;&gt;""),ROUND($H91*$L91,2),0)</f>
        <v/>
      </c>
      <c r="O91" s="10">
        <f>IF(AND($R91="да",$H91&lt;&gt;""),ROUND($H91*$M91,2),0)</f>
        <v/>
      </c>
      <c r="P91" s="10">
        <f>$N91+$O91</f>
        <v/>
      </c>
      <c r="Q91">
        <f>IFERROR(INDEX(спр_Работы!$J$2:$J$6000,MATCH($C91,спр_Работы!$A$2:$A$6000,0)),"")</f>
        <v/>
      </c>
      <c r="R91" t="inlineStr">
        <is>
          <t>да</t>
        </is>
      </c>
      <c r="T91">
        <f>IF(AND($P91&gt;0,$R91="да"),MAX($T$1:$T90)+1,"")</f>
        <v/>
      </c>
    </row>
    <row r="92">
      <c r="A92">
        <f>IFERROR(INDEX(спр_Работы!$D$2:$D$6000,MATCH($C92,спр_Работы!$A$2:$A$6000,0)),"")</f>
        <v/>
      </c>
      <c r="B92">
        <f>IFERROR(INDEX(спр_Работы!$F$2:$F$6000,MATCH($C92,спр_Работы!$A$2:$A$6000,0)),"")</f>
        <v/>
      </c>
      <c r="C92">
        <f>IFERROR(INDEX(спр_Работы!$A$2:$A$6000,91),"")</f>
        <v/>
      </c>
      <c r="D92" s="8">
        <f>IFERROR(INDEX(спр_Работы!$B$2:$B$6000,MATCH($C92,спр_Работы!$A$2:$A$6000,0)),"")</f>
        <v/>
      </c>
      <c r="E92">
        <f>IFERROR(INDEX(спр_Работы!$C$2:$C$6000,MATCH($C92,спр_Работы!$A$2:$A$6000,0)),"")</f>
        <v/>
      </c>
      <c r="F92">
        <f>IFERROR(INDEX(спр_Работы!$G$2:$G$6000,MATCH($C92,спр_Работы!$A$2:$A$6000,0)),"")</f>
        <v/>
      </c>
      <c r="G92">
        <f>IFERROR(INDEX(спр_Работы!$K$2:$K$6000,MATCH($C92,спр_Работы!$A$2:$A$6000,0)),"")</f>
        <v/>
      </c>
      <c r="H92" s="9" t="n"/>
      <c r="I92" s="9" t="n"/>
      <c r="J92" s="8">
        <f>IFERROR(INDEX(спр_Материалы!$B$2:$B$9000,MATCH($I92,спр_Материалы!$A$2:$A$9000,0)),"")</f>
        <v/>
      </c>
      <c r="K92">
        <f>IF($I92="","",IF($F92=IFERROR(INDEX(спр_Материалы!$G$2:$G$9000,MATCH($I92,спр_Материалы!$A$2:$A$9000,0)),""),"OK","!! не та группа"))</f>
        <v/>
      </c>
      <c r="L92" s="10">
        <f>IFERROR(INDEX(спр_Работы!$H$2:$H$6000,MATCH($C92,спр_Работы!$A$2:$A$6000,0))*(1-ДисконтТендер),0)</f>
        <v/>
      </c>
      <c r="M92" s="10">
        <f>IF($I92="",0,IFERROR(INDEX(спр_Материалы!$I$2:$I$9000,MATCH($I92,спр_Материалы!$A$2:$A$9000,0))*IF(INDEX(спр_Материалы!$J$2:$J$9000,MATCH($I92,спр_Материалы!$A$2:$A$9000,0))="USD",КурсUSD,IF(INDEX(спр_Материалы!$J$2:$J$9000,MATCH($I92,спр_Материалы!$A$2:$A$9000,0))="EUR",КурсEUR,1))*INDEX(спр_Материалы!$K$2:$K$9000,MATCH($I92,спр_Материалы!$A$2:$A$9000,0))*(1+IFERROR(INDEX(спр_Работы!$I$2:$I$6000,MATCH($C92,спр_Работы!$A$2:$A$6000,0))/100,0))*(1-ДисконтТендер),0))</f>
        <v/>
      </c>
      <c r="N92" s="10">
        <f>IF(AND($R92="да",$H92&lt;&gt;""),ROUND($H92*$L92,2),0)</f>
        <v/>
      </c>
      <c r="O92" s="10">
        <f>IF(AND($R92="да",$H92&lt;&gt;""),ROUND($H92*$M92,2),0)</f>
        <v/>
      </c>
      <c r="P92" s="10">
        <f>$N92+$O92</f>
        <v/>
      </c>
      <c r="Q92">
        <f>IFERROR(INDEX(спр_Работы!$J$2:$J$6000,MATCH($C92,спр_Работы!$A$2:$A$6000,0)),"")</f>
        <v/>
      </c>
      <c r="R92" t="inlineStr">
        <is>
          <t>да</t>
        </is>
      </c>
      <c r="T92">
        <f>IF(AND($P92&gt;0,$R92="да"),MAX($T$1:$T91)+1,"")</f>
        <v/>
      </c>
    </row>
    <row r="93">
      <c r="A93">
        <f>IFERROR(INDEX(спр_Работы!$D$2:$D$6000,MATCH($C93,спр_Работы!$A$2:$A$6000,0)),"")</f>
        <v/>
      </c>
      <c r="B93">
        <f>IFERROR(INDEX(спр_Работы!$F$2:$F$6000,MATCH($C93,спр_Работы!$A$2:$A$6000,0)),"")</f>
        <v/>
      </c>
      <c r="C93">
        <f>IFERROR(INDEX(спр_Работы!$A$2:$A$6000,92),"")</f>
        <v/>
      </c>
      <c r="D93" s="8">
        <f>IFERROR(INDEX(спр_Работы!$B$2:$B$6000,MATCH($C93,спр_Работы!$A$2:$A$6000,0)),"")</f>
        <v/>
      </c>
      <c r="E93">
        <f>IFERROR(INDEX(спр_Работы!$C$2:$C$6000,MATCH($C93,спр_Работы!$A$2:$A$6000,0)),"")</f>
        <v/>
      </c>
      <c r="F93">
        <f>IFERROR(INDEX(спр_Работы!$G$2:$G$6000,MATCH($C93,спр_Работы!$A$2:$A$6000,0)),"")</f>
        <v/>
      </c>
      <c r="G93">
        <f>IFERROR(INDEX(спр_Работы!$K$2:$K$6000,MATCH($C93,спр_Работы!$A$2:$A$6000,0)),"")</f>
        <v/>
      </c>
      <c r="H93" s="9" t="n"/>
      <c r="I93" s="9" t="n"/>
      <c r="J93" s="8">
        <f>IFERROR(INDEX(спр_Материалы!$B$2:$B$9000,MATCH($I93,спр_Материалы!$A$2:$A$9000,0)),"")</f>
        <v/>
      </c>
      <c r="K93">
        <f>IF($I93="","",IF($F93=IFERROR(INDEX(спр_Материалы!$G$2:$G$9000,MATCH($I93,спр_Материалы!$A$2:$A$9000,0)),""),"OK","!! не та группа"))</f>
        <v/>
      </c>
      <c r="L93" s="10">
        <f>IFERROR(INDEX(спр_Работы!$H$2:$H$6000,MATCH($C93,спр_Работы!$A$2:$A$6000,0))*(1-ДисконтТендер),0)</f>
        <v/>
      </c>
      <c r="M93" s="10">
        <f>IF($I93="",0,IFERROR(INDEX(спр_Материалы!$I$2:$I$9000,MATCH($I93,спр_Материалы!$A$2:$A$9000,0))*IF(INDEX(спр_Материалы!$J$2:$J$9000,MATCH($I93,спр_Материалы!$A$2:$A$9000,0))="USD",КурсUSD,IF(INDEX(спр_Материалы!$J$2:$J$9000,MATCH($I93,спр_Материалы!$A$2:$A$9000,0))="EUR",КурсEUR,1))*INDEX(спр_Материалы!$K$2:$K$9000,MATCH($I93,спр_Материалы!$A$2:$A$9000,0))*(1+IFERROR(INDEX(спр_Работы!$I$2:$I$6000,MATCH($C93,спр_Работы!$A$2:$A$6000,0))/100,0))*(1-ДисконтТендер),0))</f>
        <v/>
      </c>
      <c r="N93" s="10">
        <f>IF(AND($R93="да",$H93&lt;&gt;""),ROUND($H93*$L93,2),0)</f>
        <v/>
      </c>
      <c r="O93" s="10">
        <f>IF(AND($R93="да",$H93&lt;&gt;""),ROUND($H93*$M93,2),0)</f>
        <v/>
      </c>
      <c r="P93" s="10">
        <f>$N93+$O93</f>
        <v/>
      </c>
      <c r="Q93">
        <f>IFERROR(INDEX(спр_Работы!$J$2:$J$6000,MATCH($C93,спр_Работы!$A$2:$A$6000,0)),"")</f>
        <v/>
      </c>
      <c r="R93" t="inlineStr">
        <is>
          <t>да</t>
        </is>
      </c>
      <c r="T93">
        <f>IF(AND($P93&gt;0,$R93="да"),MAX($T$1:$T92)+1,"")</f>
        <v/>
      </c>
    </row>
    <row r="94">
      <c r="A94">
        <f>IFERROR(INDEX(спр_Работы!$D$2:$D$6000,MATCH($C94,спр_Работы!$A$2:$A$6000,0)),"")</f>
        <v/>
      </c>
      <c r="B94">
        <f>IFERROR(INDEX(спр_Работы!$F$2:$F$6000,MATCH($C94,спр_Работы!$A$2:$A$6000,0)),"")</f>
        <v/>
      </c>
      <c r="C94">
        <f>IFERROR(INDEX(спр_Работы!$A$2:$A$6000,93),"")</f>
        <v/>
      </c>
      <c r="D94" s="8">
        <f>IFERROR(INDEX(спр_Работы!$B$2:$B$6000,MATCH($C94,спр_Работы!$A$2:$A$6000,0)),"")</f>
        <v/>
      </c>
      <c r="E94">
        <f>IFERROR(INDEX(спр_Работы!$C$2:$C$6000,MATCH($C94,спр_Работы!$A$2:$A$6000,0)),"")</f>
        <v/>
      </c>
      <c r="F94">
        <f>IFERROR(INDEX(спр_Работы!$G$2:$G$6000,MATCH($C94,спр_Работы!$A$2:$A$6000,0)),"")</f>
        <v/>
      </c>
      <c r="G94">
        <f>IFERROR(INDEX(спр_Работы!$K$2:$K$6000,MATCH($C94,спр_Работы!$A$2:$A$6000,0)),"")</f>
        <v/>
      </c>
      <c r="H94" s="9" t="n"/>
      <c r="I94" s="9" t="n"/>
      <c r="J94" s="8">
        <f>IFERROR(INDEX(спр_Материалы!$B$2:$B$9000,MATCH($I94,спр_Материалы!$A$2:$A$9000,0)),"")</f>
        <v/>
      </c>
      <c r="K94">
        <f>IF($I94="","",IF($F94=IFERROR(INDEX(спр_Материалы!$G$2:$G$9000,MATCH($I94,спр_Материалы!$A$2:$A$9000,0)),""),"OK","!! не та группа"))</f>
        <v/>
      </c>
      <c r="L94" s="10">
        <f>IFERROR(INDEX(спр_Работы!$H$2:$H$6000,MATCH($C94,спр_Работы!$A$2:$A$6000,0))*(1-ДисконтТендер),0)</f>
        <v/>
      </c>
      <c r="M94" s="10">
        <f>IF($I94="",0,IFERROR(INDEX(спр_Материалы!$I$2:$I$9000,MATCH($I94,спр_Материалы!$A$2:$A$9000,0))*IF(INDEX(спр_Материалы!$J$2:$J$9000,MATCH($I94,спр_Материалы!$A$2:$A$9000,0))="USD",КурсUSD,IF(INDEX(спр_Материалы!$J$2:$J$9000,MATCH($I94,спр_Материалы!$A$2:$A$9000,0))="EUR",КурсEUR,1))*INDEX(спр_Материалы!$K$2:$K$9000,MATCH($I94,спр_Материалы!$A$2:$A$9000,0))*(1+IFERROR(INDEX(спр_Работы!$I$2:$I$6000,MATCH($C94,спр_Работы!$A$2:$A$6000,0))/100,0))*(1-ДисконтТендер),0))</f>
        <v/>
      </c>
      <c r="N94" s="10">
        <f>IF(AND($R94="да",$H94&lt;&gt;""),ROUND($H94*$L94,2),0)</f>
        <v/>
      </c>
      <c r="O94" s="10">
        <f>IF(AND($R94="да",$H94&lt;&gt;""),ROUND($H94*$M94,2),0)</f>
        <v/>
      </c>
      <c r="P94" s="10">
        <f>$N94+$O94</f>
        <v/>
      </c>
      <c r="Q94">
        <f>IFERROR(INDEX(спр_Работы!$J$2:$J$6000,MATCH($C94,спр_Работы!$A$2:$A$6000,0)),"")</f>
        <v/>
      </c>
      <c r="R94" t="inlineStr">
        <is>
          <t>да</t>
        </is>
      </c>
      <c r="T94">
        <f>IF(AND($P94&gt;0,$R94="да"),MAX($T$1:$T93)+1,"")</f>
        <v/>
      </c>
    </row>
    <row r="95">
      <c r="A95">
        <f>IFERROR(INDEX(спр_Работы!$D$2:$D$6000,MATCH($C95,спр_Работы!$A$2:$A$6000,0)),"")</f>
        <v/>
      </c>
      <c r="B95">
        <f>IFERROR(INDEX(спр_Работы!$F$2:$F$6000,MATCH($C95,спр_Работы!$A$2:$A$6000,0)),"")</f>
        <v/>
      </c>
      <c r="C95">
        <f>IFERROR(INDEX(спр_Работы!$A$2:$A$6000,94),"")</f>
        <v/>
      </c>
      <c r="D95" s="8">
        <f>IFERROR(INDEX(спр_Работы!$B$2:$B$6000,MATCH($C95,спр_Работы!$A$2:$A$6000,0)),"")</f>
        <v/>
      </c>
      <c r="E95">
        <f>IFERROR(INDEX(спр_Работы!$C$2:$C$6000,MATCH($C95,спр_Работы!$A$2:$A$6000,0)),"")</f>
        <v/>
      </c>
      <c r="F95">
        <f>IFERROR(INDEX(спр_Работы!$G$2:$G$6000,MATCH($C95,спр_Работы!$A$2:$A$6000,0)),"")</f>
        <v/>
      </c>
      <c r="G95">
        <f>IFERROR(INDEX(спр_Работы!$K$2:$K$6000,MATCH($C95,спр_Работы!$A$2:$A$6000,0)),"")</f>
        <v/>
      </c>
      <c r="H95" s="9" t="n"/>
      <c r="I95" s="9" t="n"/>
      <c r="J95" s="8">
        <f>IFERROR(INDEX(спр_Материалы!$B$2:$B$9000,MATCH($I95,спр_Материалы!$A$2:$A$9000,0)),"")</f>
        <v/>
      </c>
      <c r="K95">
        <f>IF($I95="","",IF($F95=IFERROR(INDEX(спр_Материалы!$G$2:$G$9000,MATCH($I95,спр_Материалы!$A$2:$A$9000,0)),""),"OK","!! не та группа"))</f>
        <v/>
      </c>
      <c r="L95" s="10">
        <f>IFERROR(INDEX(спр_Работы!$H$2:$H$6000,MATCH($C95,спр_Работы!$A$2:$A$6000,0))*(1-ДисконтТендер),0)</f>
        <v/>
      </c>
      <c r="M95" s="10">
        <f>IF($I95="",0,IFERROR(INDEX(спр_Материалы!$I$2:$I$9000,MATCH($I95,спр_Материалы!$A$2:$A$9000,0))*IF(INDEX(спр_Материалы!$J$2:$J$9000,MATCH($I95,спр_Материалы!$A$2:$A$9000,0))="USD",КурсUSD,IF(INDEX(спр_Материалы!$J$2:$J$9000,MATCH($I95,спр_Материалы!$A$2:$A$9000,0))="EUR",КурсEUR,1))*INDEX(спр_Материалы!$K$2:$K$9000,MATCH($I95,спр_Материалы!$A$2:$A$9000,0))*(1+IFERROR(INDEX(спр_Работы!$I$2:$I$6000,MATCH($C95,спр_Работы!$A$2:$A$6000,0))/100,0))*(1-ДисконтТендер),0))</f>
        <v/>
      </c>
      <c r="N95" s="10">
        <f>IF(AND($R95="да",$H95&lt;&gt;""),ROUND($H95*$L95,2),0)</f>
        <v/>
      </c>
      <c r="O95" s="10">
        <f>IF(AND($R95="да",$H95&lt;&gt;""),ROUND($H95*$M95,2),0)</f>
        <v/>
      </c>
      <c r="P95" s="10">
        <f>$N95+$O95</f>
        <v/>
      </c>
      <c r="Q95">
        <f>IFERROR(INDEX(спр_Работы!$J$2:$J$6000,MATCH($C95,спр_Работы!$A$2:$A$6000,0)),"")</f>
        <v/>
      </c>
      <c r="R95" t="inlineStr">
        <is>
          <t>да</t>
        </is>
      </c>
      <c r="T95">
        <f>IF(AND($P95&gt;0,$R95="да"),MAX($T$1:$T94)+1,"")</f>
        <v/>
      </c>
    </row>
    <row r="96">
      <c r="A96">
        <f>IFERROR(INDEX(спр_Работы!$D$2:$D$6000,MATCH($C96,спр_Работы!$A$2:$A$6000,0)),"")</f>
        <v/>
      </c>
      <c r="B96">
        <f>IFERROR(INDEX(спр_Работы!$F$2:$F$6000,MATCH($C96,спр_Работы!$A$2:$A$6000,0)),"")</f>
        <v/>
      </c>
      <c r="C96">
        <f>IFERROR(INDEX(спр_Работы!$A$2:$A$6000,95),"")</f>
        <v/>
      </c>
      <c r="D96" s="8">
        <f>IFERROR(INDEX(спр_Работы!$B$2:$B$6000,MATCH($C96,спр_Работы!$A$2:$A$6000,0)),"")</f>
        <v/>
      </c>
      <c r="E96">
        <f>IFERROR(INDEX(спр_Работы!$C$2:$C$6000,MATCH($C96,спр_Работы!$A$2:$A$6000,0)),"")</f>
        <v/>
      </c>
      <c r="F96">
        <f>IFERROR(INDEX(спр_Работы!$G$2:$G$6000,MATCH($C96,спр_Работы!$A$2:$A$6000,0)),"")</f>
        <v/>
      </c>
      <c r="G96">
        <f>IFERROR(INDEX(спр_Работы!$K$2:$K$6000,MATCH($C96,спр_Работы!$A$2:$A$6000,0)),"")</f>
        <v/>
      </c>
      <c r="H96" s="9" t="n"/>
      <c r="I96" s="9" t="n"/>
      <c r="J96" s="8">
        <f>IFERROR(INDEX(спр_Материалы!$B$2:$B$9000,MATCH($I96,спр_Материалы!$A$2:$A$9000,0)),"")</f>
        <v/>
      </c>
      <c r="K96">
        <f>IF($I96="","",IF($F96=IFERROR(INDEX(спр_Материалы!$G$2:$G$9000,MATCH($I96,спр_Материалы!$A$2:$A$9000,0)),""),"OK","!! не та группа"))</f>
        <v/>
      </c>
      <c r="L96" s="10">
        <f>IFERROR(INDEX(спр_Работы!$H$2:$H$6000,MATCH($C96,спр_Работы!$A$2:$A$6000,0))*(1-ДисконтТендер),0)</f>
        <v/>
      </c>
      <c r="M96" s="10">
        <f>IF($I96="",0,IFERROR(INDEX(спр_Материалы!$I$2:$I$9000,MATCH($I96,спр_Материалы!$A$2:$A$9000,0))*IF(INDEX(спр_Материалы!$J$2:$J$9000,MATCH($I96,спр_Материалы!$A$2:$A$9000,0))="USD",КурсUSD,IF(INDEX(спр_Материалы!$J$2:$J$9000,MATCH($I96,спр_Материалы!$A$2:$A$9000,0))="EUR",КурсEUR,1))*INDEX(спр_Материалы!$K$2:$K$9000,MATCH($I96,спр_Материалы!$A$2:$A$9000,0))*(1+IFERROR(INDEX(спр_Работы!$I$2:$I$6000,MATCH($C96,спр_Работы!$A$2:$A$6000,0))/100,0))*(1-ДисконтТендер),0))</f>
        <v/>
      </c>
      <c r="N96" s="10">
        <f>IF(AND($R96="да",$H96&lt;&gt;""),ROUND($H96*$L96,2),0)</f>
        <v/>
      </c>
      <c r="O96" s="10">
        <f>IF(AND($R96="да",$H96&lt;&gt;""),ROUND($H96*$M96,2),0)</f>
        <v/>
      </c>
      <c r="P96" s="10">
        <f>$N96+$O96</f>
        <v/>
      </c>
      <c r="Q96">
        <f>IFERROR(INDEX(спр_Работы!$J$2:$J$6000,MATCH($C96,спр_Работы!$A$2:$A$6000,0)),"")</f>
        <v/>
      </c>
      <c r="R96" t="inlineStr">
        <is>
          <t>да</t>
        </is>
      </c>
      <c r="T96">
        <f>IF(AND($P96&gt;0,$R96="да"),MAX($T$1:$T95)+1,"")</f>
        <v/>
      </c>
    </row>
    <row r="97">
      <c r="A97">
        <f>IFERROR(INDEX(спр_Работы!$D$2:$D$6000,MATCH($C97,спр_Работы!$A$2:$A$6000,0)),"")</f>
        <v/>
      </c>
      <c r="B97">
        <f>IFERROR(INDEX(спр_Работы!$F$2:$F$6000,MATCH($C97,спр_Работы!$A$2:$A$6000,0)),"")</f>
        <v/>
      </c>
      <c r="C97">
        <f>IFERROR(INDEX(спр_Работы!$A$2:$A$6000,96),"")</f>
        <v/>
      </c>
      <c r="D97" s="8">
        <f>IFERROR(INDEX(спр_Работы!$B$2:$B$6000,MATCH($C97,спр_Работы!$A$2:$A$6000,0)),"")</f>
        <v/>
      </c>
      <c r="E97">
        <f>IFERROR(INDEX(спр_Работы!$C$2:$C$6000,MATCH($C97,спр_Работы!$A$2:$A$6000,0)),"")</f>
        <v/>
      </c>
      <c r="F97">
        <f>IFERROR(INDEX(спр_Работы!$G$2:$G$6000,MATCH($C97,спр_Работы!$A$2:$A$6000,0)),"")</f>
        <v/>
      </c>
      <c r="G97">
        <f>IFERROR(INDEX(спр_Работы!$K$2:$K$6000,MATCH($C97,спр_Работы!$A$2:$A$6000,0)),"")</f>
        <v/>
      </c>
      <c r="H97" s="9" t="n"/>
      <c r="I97" s="9" t="n"/>
      <c r="J97" s="8">
        <f>IFERROR(INDEX(спр_Материалы!$B$2:$B$9000,MATCH($I97,спр_Материалы!$A$2:$A$9000,0)),"")</f>
        <v/>
      </c>
      <c r="K97">
        <f>IF($I97="","",IF($F97=IFERROR(INDEX(спр_Материалы!$G$2:$G$9000,MATCH($I97,спр_Материалы!$A$2:$A$9000,0)),""),"OK","!! не та группа"))</f>
        <v/>
      </c>
      <c r="L97" s="10">
        <f>IFERROR(INDEX(спр_Работы!$H$2:$H$6000,MATCH($C97,спр_Работы!$A$2:$A$6000,0))*(1-ДисконтТендер),0)</f>
        <v/>
      </c>
      <c r="M97" s="10">
        <f>IF($I97="",0,IFERROR(INDEX(спр_Материалы!$I$2:$I$9000,MATCH($I97,спр_Материалы!$A$2:$A$9000,0))*IF(INDEX(спр_Материалы!$J$2:$J$9000,MATCH($I97,спр_Материалы!$A$2:$A$9000,0))="USD",КурсUSD,IF(INDEX(спр_Материалы!$J$2:$J$9000,MATCH($I97,спр_Материалы!$A$2:$A$9000,0))="EUR",КурсEUR,1))*INDEX(спр_Материалы!$K$2:$K$9000,MATCH($I97,спр_Материалы!$A$2:$A$9000,0))*(1+IFERROR(INDEX(спр_Работы!$I$2:$I$6000,MATCH($C97,спр_Работы!$A$2:$A$6000,0))/100,0))*(1-ДисконтТендер),0))</f>
        <v/>
      </c>
      <c r="N97" s="10">
        <f>IF(AND($R97="да",$H97&lt;&gt;""),ROUND($H97*$L97,2),0)</f>
        <v/>
      </c>
      <c r="O97" s="10">
        <f>IF(AND($R97="да",$H97&lt;&gt;""),ROUND($H97*$M97,2),0)</f>
        <v/>
      </c>
      <c r="P97" s="10">
        <f>$N97+$O97</f>
        <v/>
      </c>
      <c r="Q97">
        <f>IFERROR(INDEX(спр_Работы!$J$2:$J$6000,MATCH($C97,спр_Работы!$A$2:$A$6000,0)),"")</f>
        <v/>
      </c>
      <c r="R97" t="inlineStr">
        <is>
          <t>да</t>
        </is>
      </c>
      <c r="T97">
        <f>IF(AND($P97&gt;0,$R97="да"),MAX($T$1:$T96)+1,"")</f>
        <v/>
      </c>
    </row>
    <row r="98">
      <c r="A98">
        <f>IFERROR(INDEX(спр_Работы!$D$2:$D$6000,MATCH($C98,спр_Работы!$A$2:$A$6000,0)),"")</f>
        <v/>
      </c>
      <c r="B98">
        <f>IFERROR(INDEX(спр_Работы!$F$2:$F$6000,MATCH($C98,спр_Работы!$A$2:$A$6000,0)),"")</f>
        <v/>
      </c>
      <c r="C98">
        <f>IFERROR(INDEX(спр_Работы!$A$2:$A$6000,97),"")</f>
        <v/>
      </c>
      <c r="D98" s="8">
        <f>IFERROR(INDEX(спр_Работы!$B$2:$B$6000,MATCH($C98,спр_Работы!$A$2:$A$6000,0)),"")</f>
        <v/>
      </c>
      <c r="E98">
        <f>IFERROR(INDEX(спр_Работы!$C$2:$C$6000,MATCH($C98,спр_Работы!$A$2:$A$6000,0)),"")</f>
        <v/>
      </c>
      <c r="F98">
        <f>IFERROR(INDEX(спр_Работы!$G$2:$G$6000,MATCH($C98,спр_Работы!$A$2:$A$6000,0)),"")</f>
        <v/>
      </c>
      <c r="G98">
        <f>IFERROR(INDEX(спр_Работы!$K$2:$K$6000,MATCH($C98,спр_Работы!$A$2:$A$6000,0)),"")</f>
        <v/>
      </c>
      <c r="H98" s="9" t="n"/>
      <c r="I98" s="9" t="n"/>
      <c r="J98" s="8">
        <f>IFERROR(INDEX(спр_Материалы!$B$2:$B$9000,MATCH($I98,спр_Материалы!$A$2:$A$9000,0)),"")</f>
        <v/>
      </c>
      <c r="K98">
        <f>IF($I98="","",IF($F98=IFERROR(INDEX(спр_Материалы!$G$2:$G$9000,MATCH($I98,спр_Материалы!$A$2:$A$9000,0)),""),"OK","!! не та группа"))</f>
        <v/>
      </c>
      <c r="L98" s="10">
        <f>IFERROR(INDEX(спр_Работы!$H$2:$H$6000,MATCH($C98,спр_Работы!$A$2:$A$6000,0))*(1-ДисконтТендер),0)</f>
        <v/>
      </c>
      <c r="M98" s="10">
        <f>IF($I98="",0,IFERROR(INDEX(спр_Материалы!$I$2:$I$9000,MATCH($I98,спр_Материалы!$A$2:$A$9000,0))*IF(INDEX(спр_Материалы!$J$2:$J$9000,MATCH($I98,спр_Материалы!$A$2:$A$9000,0))="USD",КурсUSD,IF(INDEX(спр_Материалы!$J$2:$J$9000,MATCH($I98,спр_Материалы!$A$2:$A$9000,0))="EUR",КурсEUR,1))*INDEX(спр_Материалы!$K$2:$K$9000,MATCH($I98,спр_Материалы!$A$2:$A$9000,0))*(1+IFERROR(INDEX(спр_Работы!$I$2:$I$6000,MATCH($C98,спр_Работы!$A$2:$A$6000,0))/100,0))*(1-ДисконтТендер),0))</f>
        <v/>
      </c>
      <c r="N98" s="10">
        <f>IF(AND($R98="да",$H98&lt;&gt;""),ROUND($H98*$L98,2),0)</f>
        <v/>
      </c>
      <c r="O98" s="10">
        <f>IF(AND($R98="да",$H98&lt;&gt;""),ROUND($H98*$M98,2),0)</f>
        <v/>
      </c>
      <c r="P98" s="10">
        <f>$N98+$O98</f>
        <v/>
      </c>
      <c r="Q98">
        <f>IFERROR(INDEX(спр_Работы!$J$2:$J$6000,MATCH($C98,спр_Работы!$A$2:$A$6000,0)),"")</f>
        <v/>
      </c>
      <c r="R98" t="inlineStr">
        <is>
          <t>да</t>
        </is>
      </c>
      <c r="T98">
        <f>IF(AND($P98&gt;0,$R98="да"),MAX($T$1:$T97)+1,"")</f>
        <v/>
      </c>
    </row>
    <row r="99">
      <c r="A99">
        <f>IFERROR(INDEX(спр_Работы!$D$2:$D$6000,MATCH($C99,спр_Работы!$A$2:$A$6000,0)),"")</f>
        <v/>
      </c>
      <c r="B99">
        <f>IFERROR(INDEX(спр_Работы!$F$2:$F$6000,MATCH($C99,спр_Работы!$A$2:$A$6000,0)),"")</f>
        <v/>
      </c>
      <c r="C99">
        <f>IFERROR(INDEX(спр_Работы!$A$2:$A$6000,98),"")</f>
        <v/>
      </c>
      <c r="D99" s="8">
        <f>IFERROR(INDEX(спр_Работы!$B$2:$B$6000,MATCH($C99,спр_Работы!$A$2:$A$6000,0)),"")</f>
        <v/>
      </c>
      <c r="E99">
        <f>IFERROR(INDEX(спр_Работы!$C$2:$C$6000,MATCH($C99,спр_Работы!$A$2:$A$6000,0)),"")</f>
        <v/>
      </c>
      <c r="F99">
        <f>IFERROR(INDEX(спр_Работы!$G$2:$G$6000,MATCH($C99,спр_Работы!$A$2:$A$6000,0)),"")</f>
        <v/>
      </c>
      <c r="G99">
        <f>IFERROR(INDEX(спр_Работы!$K$2:$K$6000,MATCH($C99,спр_Работы!$A$2:$A$6000,0)),"")</f>
        <v/>
      </c>
      <c r="H99" s="9" t="n"/>
      <c r="I99" s="9" t="n"/>
      <c r="J99" s="8">
        <f>IFERROR(INDEX(спр_Материалы!$B$2:$B$9000,MATCH($I99,спр_Материалы!$A$2:$A$9000,0)),"")</f>
        <v/>
      </c>
      <c r="K99">
        <f>IF($I99="","",IF($F99=IFERROR(INDEX(спр_Материалы!$G$2:$G$9000,MATCH($I99,спр_Материалы!$A$2:$A$9000,0)),""),"OK","!! не та группа"))</f>
        <v/>
      </c>
      <c r="L99" s="10">
        <f>IFERROR(INDEX(спр_Работы!$H$2:$H$6000,MATCH($C99,спр_Работы!$A$2:$A$6000,0))*(1-ДисконтТендер),0)</f>
        <v/>
      </c>
      <c r="M99" s="10">
        <f>IF($I99="",0,IFERROR(INDEX(спр_Материалы!$I$2:$I$9000,MATCH($I99,спр_Материалы!$A$2:$A$9000,0))*IF(INDEX(спр_Материалы!$J$2:$J$9000,MATCH($I99,спр_Материалы!$A$2:$A$9000,0))="USD",КурсUSD,IF(INDEX(спр_Материалы!$J$2:$J$9000,MATCH($I99,спр_Материалы!$A$2:$A$9000,0))="EUR",КурсEUR,1))*INDEX(спр_Материалы!$K$2:$K$9000,MATCH($I99,спр_Материалы!$A$2:$A$9000,0))*(1+IFERROR(INDEX(спр_Работы!$I$2:$I$6000,MATCH($C99,спр_Работы!$A$2:$A$6000,0))/100,0))*(1-ДисконтТендер),0))</f>
        <v/>
      </c>
      <c r="N99" s="10">
        <f>IF(AND($R99="да",$H99&lt;&gt;""),ROUND($H99*$L99,2),0)</f>
        <v/>
      </c>
      <c r="O99" s="10">
        <f>IF(AND($R99="да",$H99&lt;&gt;""),ROUND($H99*$M99,2),0)</f>
        <v/>
      </c>
      <c r="P99" s="10">
        <f>$N99+$O99</f>
        <v/>
      </c>
      <c r="Q99">
        <f>IFERROR(INDEX(спр_Работы!$J$2:$J$6000,MATCH($C99,спр_Работы!$A$2:$A$6000,0)),"")</f>
        <v/>
      </c>
      <c r="R99" t="inlineStr">
        <is>
          <t>да</t>
        </is>
      </c>
      <c r="T99">
        <f>IF(AND($P99&gt;0,$R99="да"),MAX($T$1:$T98)+1,"")</f>
        <v/>
      </c>
    </row>
    <row r="100">
      <c r="A100">
        <f>IFERROR(INDEX(спр_Работы!$D$2:$D$6000,MATCH($C100,спр_Работы!$A$2:$A$6000,0)),"")</f>
        <v/>
      </c>
      <c r="B100">
        <f>IFERROR(INDEX(спр_Работы!$F$2:$F$6000,MATCH($C100,спр_Работы!$A$2:$A$6000,0)),"")</f>
        <v/>
      </c>
      <c r="C100">
        <f>IFERROR(INDEX(спр_Работы!$A$2:$A$6000,99),"")</f>
        <v/>
      </c>
      <c r="D100" s="8">
        <f>IFERROR(INDEX(спр_Работы!$B$2:$B$6000,MATCH($C100,спр_Работы!$A$2:$A$6000,0)),"")</f>
        <v/>
      </c>
      <c r="E100">
        <f>IFERROR(INDEX(спр_Работы!$C$2:$C$6000,MATCH($C100,спр_Работы!$A$2:$A$6000,0)),"")</f>
        <v/>
      </c>
      <c r="F100">
        <f>IFERROR(INDEX(спр_Работы!$G$2:$G$6000,MATCH($C100,спр_Работы!$A$2:$A$6000,0)),"")</f>
        <v/>
      </c>
      <c r="G100">
        <f>IFERROR(INDEX(спр_Работы!$K$2:$K$6000,MATCH($C100,спр_Работы!$A$2:$A$6000,0)),"")</f>
        <v/>
      </c>
      <c r="H100" s="9" t="n"/>
      <c r="I100" s="9" t="n"/>
      <c r="J100" s="8">
        <f>IFERROR(INDEX(спр_Материалы!$B$2:$B$9000,MATCH($I100,спр_Материалы!$A$2:$A$9000,0)),"")</f>
        <v/>
      </c>
      <c r="K100">
        <f>IF($I100="","",IF($F100=IFERROR(INDEX(спр_Материалы!$G$2:$G$9000,MATCH($I100,спр_Материалы!$A$2:$A$9000,0)),""),"OK","!! не та группа"))</f>
        <v/>
      </c>
      <c r="L100" s="10">
        <f>IFERROR(INDEX(спр_Работы!$H$2:$H$6000,MATCH($C100,спр_Работы!$A$2:$A$6000,0))*(1-ДисконтТендер),0)</f>
        <v/>
      </c>
      <c r="M100" s="10">
        <f>IF($I100="",0,IFERROR(INDEX(спр_Материалы!$I$2:$I$9000,MATCH($I100,спр_Материалы!$A$2:$A$9000,0))*IF(INDEX(спр_Материалы!$J$2:$J$9000,MATCH($I100,спр_Материалы!$A$2:$A$9000,0))="USD",КурсUSD,IF(INDEX(спр_Материалы!$J$2:$J$9000,MATCH($I100,спр_Материалы!$A$2:$A$9000,0))="EUR",КурсEUR,1))*INDEX(спр_Материалы!$K$2:$K$9000,MATCH($I100,спр_Материалы!$A$2:$A$9000,0))*(1+IFERROR(INDEX(спр_Работы!$I$2:$I$6000,MATCH($C100,спр_Работы!$A$2:$A$6000,0))/100,0))*(1-ДисконтТендер),0))</f>
        <v/>
      </c>
      <c r="N100" s="10">
        <f>IF(AND($R100="да",$H100&lt;&gt;""),ROUND($H100*$L100,2),0)</f>
        <v/>
      </c>
      <c r="O100" s="10">
        <f>IF(AND($R100="да",$H100&lt;&gt;""),ROUND($H100*$M100,2),0)</f>
        <v/>
      </c>
      <c r="P100" s="10">
        <f>$N100+$O100</f>
        <v/>
      </c>
      <c r="Q100">
        <f>IFERROR(INDEX(спр_Работы!$J$2:$J$6000,MATCH($C100,спр_Работы!$A$2:$A$6000,0)),"")</f>
        <v/>
      </c>
      <c r="R100" t="inlineStr">
        <is>
          <t>да</t>
        </is>
      </c>
      <c r="T100">
        <f>IF(AND($P100&gt;0,$R100="да"),MAX($T$1:$T99)+1,"")</f>
        <v/>
      </c>
    </row>
    <row r="101">
      <c r="A101">
        <f>IFERROR(INDEX(спр_Работы!$D$2:$D$6000,MATCH($C101,спр_Работы!$A$2:$A$6000,0)),"")</f>
        <v/>
      </c>
      <c r="B101">
        <f>IFERROR(INDEX(спр_Работы!$F$2:$F$6000,MATCH($C101,спр_Работы!$A$2:$A$6000,0)),"")</f>
        <v/>
      </c>
      <c r="C101">
        <f>IFERROR(INDEX(спр_Работы!$A$2:$A$6000,100),"")</f>
        <v/>
      </c>
      <c r="D101" s="8">
        <f>IFERROR(INDEX(спр_Работы!$B$2:$B$6000,MATCH($C101,спр_Работы!$A$2:$A$6000,0)),"")</f>
        <v/>
      </c>
      <c r="E101">
        <f>IFERROR(INDEX(спр_Работы!$C$2:$C$6000,MATCH($C101,спр_Работы!$A$2:$A$6000,0)),"")</f>
        <v/>
      </c>
      <c r="F101">
        <f>IFERROR(INDEX(спр_Работы!$G$2:$G$6000,MATCH($C101,спр_Работы!$A$2:$A$6000,0)),"")</f>
        <v/>
      </c>
      <c r="G101">
        <f>IFERROR(INDEX(спр_Работы!$K$2:$K$6000,MATCH($C101,спр_Работы!$A$2:$A$6000,0)),"")</f>
        <v/>
      </c>
      <c r="H101" s="9" t="n"/>
      <c r="I101" s="9" t="n"/>
      <c r="J101" s="8">
        <f>IFERROR(INDEX(спр_Материалы!$B$2:$B$9000,MATCH($I101,спр_Материалы!$A$2:$A$9000,0)),"")</f>
        <v/>
      </c>
      <c r="K101">
        <f>IF($I101="","",IF($F101=IFERROR(INDEX(спр_Материалы!$G$2:$G$9000,MATCH($I101,спр_Материалы!$A$2:$A$9000,0)),""),"OK","!! не та группа"))</f>
        <v/>
      </c>
      <c r="L101" s="10">
        <f>IFERROR(INDEX(спр_Работы!$H$2:$H$6000,MATCH($C101,спр_Работы!$A$2:$A$6000,0))*(1-ДисконтТендер),0)</f>
        <v/>
      </c>
      <c r="M101" s="10">
        <f>IF($I101="",0,IFERROR(INDEX(спр_Материалы!$I$2:$I$9000,MATCH($I101,спр_Материалы!$A$2:$A$9000,0))*IF(INDEX(спр_Материалы!$J$2:$J$9000,MATCH($I101,спр_Материалы!$A$2:$A$9000,0))="USD",КурсUSD,IF(INDEX(спр_Материалы!$J$2:$J$9000,MATCH($I101,спр_Материалы!$A$2:$A$9000,0))="EUR",КурсEUR,1))*INDEX(спр_Материалы!$K$2:$K$9000,MATCH($I101,спр_Материалы!$A$2:$A$9000,0))*(1+IFERROR(INDEX(спр_Работы!$I$2:$I$6000,MATCH($C101,спр_Работы!$A$2:$A$6000,0))/100,0))*(1-ДисконтТендер),0))</f>
        <v/>
      </c>
      <c r="N101" s="10">
        <f>IF(AND($R101="да",$H101&lt;&gt;""),ROUND($H101*$L101,2),0)</f>
        <v/>
      </c>
      <c r="O101" s="10">
        <f>IF(AND($R101="да",$H101&lt;&gt;""),ROUND($H101*$M101,2),0)</f>
        <v/>
      </c>
      <c r="P101" s="10">
        <f>$N101+$O101</f>
        <v/>
      </c>
      <c r="Q101">
        <f>IFERROR(INDEX(спр_Работы!$J$2:$J$6000,MATCH($C101,спр_Работы!$A$2:$A$6000,0)),"")</f>
        <v/>
      </c>
      <c r="R101" t="inlineStr">
        <is>
          <t>да</t>
        </is>
      </c>
      <c r="T101">
        <f>IF(AND($P101&gt;0,$R101="да"),MAX($T$1:$T100)+1,"")</f>
        <v/>
      </c>
    </row>
    <row r="102">
      <c r="A102">
        <f>IFERROR(INDEX(спр_Работы!$D$2:$D$6000,MATCH($C102,спр_Работы!$A$2:$A$6000,0)),"")</f>
        <v/>
      </c>
      <c r="B102">
        <f>IFERROR(INDEX(спр_Работы!$F$2:$F$6000,MATCH($C102,спр_Работы!$A$2:$A$6000,0)),"")</f>
        <v/>
      </c>
      <c r="C102">
        <f>IFERROR(INDEX(спр_Работы!$A$2:$A$6000,101),"")</f>
        <v/>
      </c>
      <c r="D102" s="8">
        <f>IFERROR(INDEX(спр_Работы!$B$2:$B$6000,MATCH($C102,спр_Работы!$A$2:$A$6000,0)),"")</f>
        <v/>
      </c>
      <c r="E102">
        <f>IFERROR(INDEX(спр_Работы!$C$2:$C$6000,MATCH($C102,спр_Работы!$A$2:$A$6000,0)),"")</f>
        <v/>
      </c>
      <c r="F102">
        <f>IFERROR(INDEX(спр_Работы!$G$2:$G$6000,MATCH($C102,спр_Работы!$A$2:$A$6000,0)),"")</f>
        <v/>
      </c>
      <c r="G102">
        <f>IFERROR(INDEX(спр_Работы!$K$2:$K$6000,MATCH($C102,спр_Работы!$A$2:$A$6000,0)),"")</f>
        <v/>
      </c>
      <c r="H102" s="9" t="n"/>
      <c r="I102" s="9" t="n"/>
      <c r="J102" s="8">
        <f>IFERROR(INDEX(спр_Материалы!$B$2:$B$9000,MATCH($I102,спр_Материалы!$A$2:$A$9000,0)),"")</f>
        <v/>
      </c>
      <c r="K102">
        <f>IF($I102="","",IF($F102=IFERROR(INDEX(спр_Материалы!$G$2:$G$9000,MATCH($I102,спр_Материалы!$A$2:$A$9000,0)),""),"OK","!! не та группа"))</f>
        <v/>
      </c>
      <c r="L102" s="10">
        <f>IFERROR(INDEX(спр_Работы!$H$2:$H$6000,MATCH($C102,спр_Работы!$A$2:$A$6000,0))*(1-ДисконтТендер),0)</f>
        <v/>
      </c>
      <c r="M102" s="10">
        <f>IF($I102="",0,IFERROR(INDEX(спр_Материалы!$I$2:$I$9000,MATCH($I102,спр_Материалы!$A$2:$A$9000,0))*IF(INDEX(спр_Материалы!$J$2:$J$9000,MATCH($I102,спр_Материалы!$A$2:$A$9000,0))="USD",КурсUSD,IF(INDEX(спр_Материалы!$J$2:$J$9000,MATCH($I102,спр_Материалы!$A$2:$A$9000,0))="EUR",КурсEUR,1))*INDEX(спр_Материалы!$K$2:$K$9000,MATCH($I102,спр_Материалы!$A$2:$A$9000,0))*(1+IFERROR(INDEX(спр_Работы!$I$2:$I$6000,MATCH($C102,спр_Работы!$A$2:$A$6000,0))/100,0))*(1-ДисконтТендер),0))</f>
        <v/>
      </c>
      <c r="N102" s="10">
        <f>IF(AND($R102="да",$H102&lt;&gt;""),ROUND($H102*$L102,2),0)</f>
        <v/>
      </c>
      <c r="O102" s="10">
        <f>IF(AND($R102="да",$H102&lt;&gt;""),ROUND($H102*$M102,2),0)</f>
        <v/>
      </c>
      <c r="P102" s="10">
        <f>$N102+$O102</f>
        <v/>
      </c>
      <c r="Q102">
        <f>IFERROR(INDEX(спр_Работы!$J$2:$J$6000,MATCH($C102,спр_Работы!$A$2:$A$6000,0)),"")</f>
        <v/>
      </c>
      <c r="R102" t="inlineStr">
        <is>
          <t>да</t>
        </is>
      </c>
      <c r="T102">
        <f>IF(AND($P102&gt;0,$R102="да"),MAX($T$1:$T101)+1,"")</f>
        <v/>
      </c>
    </row>
    <row r="103">
      <c r="A103">
        <f>IFERROR(INDEX(спр_Работы!$D$2:$D$6000,MATCH($C103,спр_Работы!$A$2:$A$6000,0)),"")</f>
        <v/>
      </c>
      <c r="B103">
        <f>IFERROR(INDEX(спр_Работы!$F$2:$F$6000,MATCH($C103,спр_Работы!$A$2:$A$6000,0)),"")</f>
        <v/>
      </c>
      <c r="C103">
        <f>IFERROR(INDEX(спр_Работы!$A$2:$A$6000,102),"")</f>
        <v/>
      </c>
      <c r="D103" s="8">
        <f>IFERROR(INDEX(спр_Работы!$B$2:$B$6000,MATCH($C103,спр_Работы!$A$2:$A$6000,0)),"")</f>
        <v/>
      </c>
      <c r="E103">
        <f>IFERROR(INDEX(спр_Работы!$C$2:$C$6000,MATCH($C103,спр_Работы!$A$2:$A$6000,0)),"")</f>
        <v/>
      </c>
      <c r="F103">
        <f>IFERROR(INDEX(спр_Работы!$G$2:$G$6000,MATCH($C103,спр_Работы!$A$2:$A$6000,0)),"")</f>
        <v/>
      </c>
      <c r="G103">
        <f>IFERROR(INDEX(спр_Работы!$K$2:$K$6000,MATCH($C103,спр_Работы!$A$2:$A$6000,0)),"")</f>
        <v/>
      </c>
      <c r="H103" s="9" t="n"/>
      <c r="I103" s="9" t="n"/>
      <c r="J103" s="8">
        <f>IFERROR(INDEX(спр_Материалы!$B$2:$B$9000,MATCH($I103,спр_Материалы!$A$2:$A$9000,0)),"")</f>
        <v/>
      </c>
      <c r="K103">
        <f>IF($I103="","",IF($F103=IFERROR(INDEX(спр_Материалы!$G$2:$G$9000,MATCH($I103,спр_Материалы!$A$2:$A$9000,0)),""),"OK","!! не та группа"))</f>
        <v/>
      </c>
      <c r="L103" s="10">
        <f>IFERROR(INDEX(спр_Работы!$H$2:$H$6000,MATCH($C103,спр_Работы!$A$2:$A$6000,0))*(1-ДисконтТендер),0)</f>
        <v/>
      </c>
      <c r="M103" s="10">
        <f>IF($I103="",0,IFERROR(INDEX(спр_Материалы!$I$2:$I$9000,MATCH($I103,спр_Материалы!$A$2:$A$9000,0))*IF(INDEX(спр_Материалы!$J$2:$J$9000,MATCH($I103,спр_Материалы!$A$2:$A$9000,0))="USD",КурсUSD,IF(INDEX(спр_Материалы!$J$2:$J$9000,MATCH($I103,спр_Материалы!$A$2:$A$9000,0))="EUR",КурсEUR,1))*INDEX(спр_Материалы!$K$2:$K$9000,MATCH($I103,спр_Материалы!$A$2:$A$9000,0))*(1+IFERROR(INDEX(спр_Работы!$I$2:$I$6000,MATCH($C103,спр_Работы!$A$2:$A$6000,0))/100,0))*(1-ДисконтТендер),0))</f>
        <v/>
      </c>
      <c r="N103" s="10">
        <f>IF(AND($R103="да",$H103&lt;&gt;""),ROUND($H103*$L103,2),0)</f>
        <v/>
      </c>
      <c r="O103" s="10">
        <f>IF(AND($R103="да",$H103&lt;&gt;""),ROUND($H103*$M103,2),0)</f>
        <v/>
      </c>
      <c r="P103" s="10">
        <f>$N103+$O103</f>
        <v/>
      </c>
      <c r="Q103">
        <f>IFERROR(INDEX(спр_Работы!$J$2:$J$6000,MATCH($C103,спр_Работы!$A$2:$A$6000,0)),"")</f>
        <v/>
      </c>
      <c r="R103" t="inlineStr">
        <is>
          <t>да</t>
        </is>
      </c>
      <c r="T103">
        <f>IF(AND($P103&gt;0,$R103="да"),MAX($T$1:$T102)+1,"")</f>
        <v/>
      </c>
    </row>
    <row r="104">
      <c r="A104">
        <f>IFERROR(INDEX(спр_Работы!$D$2:$D$6000,MATCH($C104,спр_Работы!$A$2:$A$6000,0)),"")</f>
        <v/>
      </c>
      <c r="B104">
        <f>IFERROR(INDEX(спр_Работы!$F$2:$F$6000,MATCH($C104,спр_Работы!$A$2:$A$6000,0)),"")</f>
        <v/>
      </c>
      <c r="C104">
        <f>IFERROR(INDEX(спр_Работы!$A$2:$A$6000,103),"")</f>
        <v/>
      </c>
      <c r="D104" s="8">
        <f>IFERROR(INDEX(спр_Работы!$B$2:$B$6000,MATCH($C104,спр_Работы!$A$2:$A$6000,0)),"")</f>
        <v/>
      </c>
      <c r="E104">
        <f>IFERROR(INDEX(спр_Работы!$C$2:$C$6000,MATCH($C104,спр_Работы!$A$2:$A$6000,0)),"")</f>
        <v/>
      </c>
      <c r="F104">
        <f>IFERROR(INDEX(спр_Работы!$G$2:$G$6000,MATCH($C104,спр_Работы!$A$2:$A$6000,0)),"")</f>
        <v/>
      </c>
      <c r="G104">
        <f>IFERROR(INDEX(спр_Работы!$K$2:$K$6000,MATCH($C104,спр_Работы!$A$2:$A$6000,0)),"")</f>
        <v/>
      </c>
      <c r="H104" s="9" t="n"/>
      <c r="I104" s="9" t="n"/>
      <c r="J104" s="8">
        <f>IFERROR(INDEX(спр_Материалы!$B$2:$B$9000,MATCH($I104,спр_Материалы!$A$2:$A$9000,0)),"")</f>
        <v/>
      </c>
      <c r="K104">
        <f>IF($I104="","",IF($F104=IFERROR(INDEX(спр_Материалы!$G$2:$G$9000,MATCH($I104,спр_Материалы!$A$2:$A$9000,0)),""),"OK","!! не та группа"))</f>
        <v/>
      </c>
      <c r="L104" s="10">
        <f>IFERROR(INDEX(спр_Работы!$H$2:$H$6000,MATCH($C104,спр_Работы!$A$2:$A$6000,0))*(1-ДисконтТендер),0)</f>
        <v/>
      </c>
      <c r="M104" s="10">
        <f>IF($I104="",0,IFERROR(INDEX(спр_Материалы!$I$2:$I$9000,MATCH($I104,спр_Материалы!$A$2:$A$9000,0))*IF(INDEX(спр_Материалы!$J$2:$J$9000,MATCH($I104,спр_Материалы!$A$2:$A$9000,0))="USD",КурсUSD,IF(INDEX(спр_Материалы!$J$2:$J$9000,MATCH($I104,спр_Материалы!$A$2:$A$9000,0))="EUR",КурсEUR,1))*INDEX(спр_Материалы!$K$2:$K$9000,MATCH($I104,спр_Материалы!$A$2:$A$9000,0))*(1+IFERROR(INDEX(спр_Работы!$I$2:$I$6000,MATCH($C104,спр_Работы!$A$2:$A$6000,0))/100,0))*(1-ДисконтТендер),0))</f>
        <v/>
      </c>
      <c r="N104" s="10">
        <f>IF(AND($R104="да",$H104&lt;&gt;""),ROUND($H104*$L104,2),0)</f>
        <v/>
      </c>
      <c r="O104" s="10">
        <f>IF(AND($R104="да",$H104&lt;&gt;""),ROUND($H104*$M104,2),0)</f>
        <v/>
      </c>
      <c r="P104" s="10">
        <f>$N104+$O104</f>
        <v/>
      </c>
      <c r="Q104">
        <f>IFERROR(INDEX(спр_Работы!$J$2:$J$6000,MATCH($C104,спр_Работы!$A$2:$A$6000,0)),"")</f>
        <v/>
      </c>
      <c r="R104" t="inlineStr">
        <is>
          <t>да</t>
        </is>
      </c>
      <c r="T104">
        <f>IF(AND($P104&gt;0,$R104="да"),MAX($T$1:$T103)+1,"")</f>
        <v/>
      </c>
    </row>
    <row r="105">
      <c r="A105">
        <f>IFERROR(INDEX(спр_Работы!$D$2:$D$6000,MATCH($C105,спр_Работы!$A$2:$A$6000,0)),"")</f>
        <v/>
      </c>
      <c r="B105">
        <f>IFERROR(INDEX(спр_Работы!$F$2:$F$6000,MATCH($C105,спр_Работы!$A$2:$A$6000,0)),"")</f>
        <v/>
      </c>
      <c r="C105">
        <f>IFERROR(INDEX(спр_Работы!$A$2:$A$6000,104),"")</f>
        <v/>
      </c>
      <c r="D105" s="8">
        <f>IFERROR(INDEX(спр_Работы!$B$2:$B$6000,MATCH($C105,спр_Работы!$A$2:$A$6000,0)),"")</f>
        <v/>
      </c>
      <c r="E105">
        <f>IFERROR(INDEX(спр_Работы!$C$2:$C$6000,MATCH($C105,спр_Работы!$A$2:$A$6000,0)),"")</f>
        <v/>
      </c>
      <c r="F105">
        <f>IFERROR(INDEX(спр_Работы!$G$2:$G$6000,MATCH($C105,спр_Работы!$A$2:$A$6000,0)),"")</f>
        <v/>
      </c>
      <c r="G105">
        <f>IFERROR(INDEX(спр_Работы!$K$2:$K$6000,MATCH($C105,спр_Работы!$A$2:$A$6000,0)),"")</f>
        <v/>
      </c>
      <c r="H105" s="9" t="n"/>
      <c r="I105" s="9" t="n"/>
      <c r="J105" s="8">
        <f>IFERROR(INDEX(спр_Материалы!$B$2:$B$9000,MATCH($I105,спр_Материалы!$A$2:$A$9000,0)),"")</f>
        <v/>
      </c>
      <c r="K105">
        <f>IF($I105="","",IF($F105=IFERROR(INDEX(спр_Материалы!$G$2:$G$9000,MATCH($I105,спр_Материалы!$A$2:$A$9000,0)),""),"OK","!! не та группа"))</f>
        <v/>
      </c>
      <c r="L105" s="10">
        <f>IFERROR(INDEX(спр_Работы!$H$2:$H$6000,MATCH($C105,спр_Работы!$A$2:$A$6000,0))*(1-ДисконтТендер),0)</f>
        <v/>
      </c>
      <c r="M105" s="10">
        <f>IF($I105="",0,IFERROR(INDEX(спр_Материалы!$I$2:$I$9000,MATCH($I105,спр_Материалы!$A$2:$A$9000,0))*IF(INDEX(спр_Материалы!$J$2:$J$9000,MATCH($I105,спр_Материалы!$A$2:$A$9000,0))="USD",КурсUSD,IF(INDEX(спр_Материалы!$J$2:$J$9000,MATCH($I105,спр_Материалы!$A$2:$A$9000,0))="EUR",КурсEUR,1))*INDEX(спр_Материалы!$K$2:$K$9000,MATCH($I105,спр_Материалы!$A$2:$A$9000,0))*(1+IFERROR(INDEX(спр_Работы!$I$2:$I$6000,MATCH($C105,спр_Работы!$A$2:$A$6000,0))/100,0))*(1-ДисконтТендер),0))</f>
        <v/>
      </c>
      <c r="N105" s="10">
        <f>IF(AND($R105="да",$H105&lt;&gt;""),ROUND($H105*$L105,2),0)</f>
        <v/>
      </c>
      <c r="O105" s="10">
        <f>IF(AND($R105="да",$H105&lt;&gt;""),ROUND($H105*$M105,2),0)</f>
        <v/>
      </c>
      <c r="P105" s="10">
        <f>$N105+$O105</f>
        <v/>
      </c>
      <c r="Q105">
        <f>IFERROR(INDEX(спр_Работы!$J$2:$J$6000,MATCH($C105,спр_Работы!$A$2:$A$6000,0)),"")</f>
        <v/>
      </c>
      <c r="R105" t="inlineStr">
        <is>
          <t>да</t>
        </is>
      </c>
      <c r="T105">
        <f>IF(AND($P105&gt;0,$R105="да"),MAX($T$1:$T104)+1,"")</f>
        <v/>
      </c>
    </row>
    <row r="106">
      <c r="A106">
        <f>IFERROR(INDEX(спр_Работы!$D$2:$D$6000,MATCH($C106,спр_Работы!$A$2:$A$6000,0)),"")</f>
        <v/>
      </c>
      <c r="B106">
        <f>IFERROR(INDEX(спр_Работы!$F$2:$F$6000,MATCH($C106,спр_Работы!$A$2:$A$6000,0)),"")</f>
        <v/>
      </c>
      <c r="C106">
        <f>IFERROR(INDEX(спр_Работы!$A$2:$A$6000,105),"")</f>
        <v/>
      </c>
      <c r="D106" s="8">
        <f>IFERROR(INDEX(спр_Работы!$B$2:$B$6000,MATCH($C106,спр_Работы!$A$2:$A$6000,0)),"")</f>
        <v/>
      </c>
      <c r="E106">
        <f>IFERROR(INDEX(спр_Работы!$C$2:$C$6000,MATCH($C106,спр_Работы!$A$2:$A$6000,0)),"")</f>
        <v/>
      </c>
      <c r="F106">
        <f>IFERROR(INDEX(спр_Работы!$G$2:$G$6000,MATCH($C106,спр_Работы!$A$2:$A$6000,0)),"")</f>
        <v/>
      </c>
      <c r="G106">
        <f>IFERROR(INDEX(спр_Работы!$K$2:$K$6000,MATCH($C106,спр_Работы!$A$2:$A$6000,0)),"")</f>
        <v/>
      </c>
      <c r="H106" s="9" t="n"/>
      <c r="I106" s="9" t="n"/>
      <c r="J106" s="8">
        <f>IFERROR(INDEX(спр_Материалы!$B$2:$B$9000,MATCH($I106,спр_Материалы!$A$2:$A$9000,0)),"")</f>
        <v/>
      </c>
      <c r="K106">
        <f>IF($I106="","",IF($F106=IFERROR(INDEX(спр_Материалы!$G$2:$G$9000,MATCH($I106,спр_Материалы!$A$2:$A$9000,0)),""),"OK","!! не та группа"))</f>
        <v/>
      </c>
      <c r="L106" s="10">
        <f>IFERROR(INDEX(спр_Работы!$H$2:$H$6000,MATCH($C106,спр_Работы!$A$2:$A$6000,0))*(1-ДисконтТендер),0)</f>
        <v/>
      </c>
      <c r="M106" s="10">
        <f>IF($I106="",0,IFERROR(INDEX(спр_Материалы!$I$2:$I$9000,MATCH($I106,спр_Материалы!$A$2:$A$9000,0))*IF(INDEX(спр_Материалы!$J$2:$J$9000,MATCH($I106,спр_Материалы!$A$2:$A$9000,0))="USD",КурсUSD,IF(INDEX(спр_Материалы!$J$2:$J$9000,MATCH($I106,спр_Материалы!$A$2:$A$9000,0))="EUR",КурсEUR,1))*INDEX(спр_Материалы!$K$2:$K$9000,MATCH($I106,спр_Материалы!$A$2:$A$9000,0))*(1+IFERROR(INDEX(спр_Работы!$I$2:$I$6000,MATCH($C106,спр_Работы!$A$2:$A$6000,0))/100,0))*(1-ДисконтТендер),0))</f>
        <v/>
      </c>
      <c r="N106" s="10">
        <f>IF(AND($R106="да",$H106&lt;&gt;""),ROUND($H106*$L106,2),0)</f>
        <v/>
      </c>
      <c r="O106" s="10">
        <f>IF(AND($R106="да",$H106&lt;&gt;""),ROUND($H106*$M106,2),0)</f>
        <v/>
      </c>
      <c r="P106" s="10">
        <f>$N106+$O106</f>
        <v/>
      </c>
      <c r="Q106">
        <f>IFERROR(INDEX(спр_Работы!$J$2:$J$6000,MATCH($C106,спр_Работы!$A$2:$A$6000,0)),"")</f>
        <v/>
      </c>
      <c r="R106" t="inlineStr">
        <is>
          <t>да</t>
        </is>
      </c>
      <c r="T106">
        <f>IF(AND($P106&gt;0,$R106="да"),MAX($T$1:$T105)+1,"")</f>
        <v/>
      </c>
    </row>
    <row r="107">
      <c r="A107">
        <f>IFERROR(INDEX(спр_Работы!$D$2:$D$6000,MATCH($C107,спр_Работы!$A$2:$A$6000,0)),"")</f>
        <v/>
      </c>
      <c r="B107">
        <f>IFERROR(INDEX(спр_Работы!$F$2:$F$6000,MATCH($C107,спр_Работы!$A$2:$A$6000,0)),"")</f>
        <v/>
      </c>
      <c r="C107">
        <f>IFERROR(INDEX(спр_Работы!$A$2:$A$6000,106),"")</f>
        <v/>
      </c>
      <c r="D107" s="8">
        <f>IFERROR(INDEX(спр_Работы!$B$2:$B$6000,MATCH($C107,спр_Работы!$A$2:$A$6000,0)),"")</f>
        <v/>
      </c>
      <c r="E107">
        <f>IFERROR(INDEX(спр_Работы!$C$2:$C$6000,MATCH($C107,спр_Работы!$A$2:$A$6000,0)),"")</f>
        <v/>
      </c>
      <c r="F107">
        <f>IFERROR(INDEX(спр_Работы!$G$2:$G$6000,MATCH($C107,спр_Работы!$A$2:$A$6000,0)),"")</f>
        <v/>
      </c>
      <c r="G107">
        <f>IFERROR(INDEX(спр_Работы!$K$2:$K$6000,MATCH($C107,спр_Работы!$A$2:$A$6000,0)),"")</f>
        <v/>
      </c>
      <c r="H107" s="9" t="n"/>
      <c r="I107" s="9" t="n"/>
      <c r="J107" s="8">
        <f>IFERROR(INDEX(спр_Материалы!$B$2:$B$9000,MATCH($I107,спр_Материалы!$A$2:$A$9000,0)),"")</f>
        <v/>
      </c>
      <c r="K107">
        <f>IF($I107="","",IF($F107=IFERROR(INDEX(спр_Материалы!$G$2:$G$9000,MATCH($I107,спр_Материалы!$A$2:$A$9000,0)),""),"OK","!! не та группа"))</f>
        <v/>
      </c>
      <c r="L107" s="10">
        <f>IFERROR(INDEX(спр_Работы!$H$2:$H$6000,MATCH($C107,спр_Работы!$A$2:$A$6000,0))*(1-ДисконтТендер),0)</f>
        <v/>
      </c>
      <c r="M107" s="10">
        <f>IF($I107="",0,IFERROR(INDEX(спр_Материалы!$I$2:$I$9000,MATCH($I107,спр_Материалы!$A$2:$A$9000,0))*IF(INDEX(спр_Материалы!$J$2:$J$9000,MATCH($I107,спр_Материалы!$A$2:$A$9000,0))="USD",КурсUSD,IF(INDEX(спр_Материалы!$J$2:$J$9000,MATCH($I107,спр_Материалы!$A$2:$A$9000,0))="EUR",КурсEUR,1))*INDEX(спр_Материалы!$K$2:$K$9000,MATCH($I107,спр_Материалы!$A$2:$A$9000,0))*(1+IFERROR(INDEX(спр_Работы!$I$2:$I$6000,MATCH($C107,спр_Работы!$A$2:$A$6000,0))/100,0))*(1-ДисконтТендер),0))</f>
        <v/>
      </c>
      <c r="N107" s="10">
        <f>IF(AND($R107="да",$H107&lt;&gt;""),ROUND($H107*$L107,2),0)</f>
        <v/>
      </c>
      <c r="O107" s="10">
        <f>IF(AND($R107="да",$H107&lt;&gt;""),ROUND($H107*$M107,2),0)</f>
        <v/>
      </c>
      <c r="P107" s="10">
        <f>$N107+$O107</f>
        <v/>
      </c>
      <c r="Q107">
        <f>IFERROR(INDEX(спр_Работы!$J$2:$J$6000,MATCH($C107,спр_Работы!$A$2:$A$6000,0)),"")</f>
        <v/>
      </c>
      <c r="R107" t="inlineStr">
        <is>
          <t>да</t>
        </is>
      </c>
      <c r="T107">
        <f>IF(AND($P107&gt;0,$R107="да"),MAX($T$1:$T106)+1,"")</f>
        <v/>
      </c>
    </row>
    <row r="108">
      <c r="A108">
        <f>IFERROR(INDEX(спр_Работы!$D$2:$D$6000,MATCH($C108,спр_Работы!$A$2:$A$6000,0)),"")</f>
        <v/>
      </c>
      <c r="B108">
        <f>IFERROR(INDEX(спр_Работы!$F$2:$F$6000,MATCH($C108,спр_Работы!$A$2:$A$6000,0)),"")</f>
        <v/>
      </c>
      <c r="C108">
        <f>IFERROR(INDEX(спр_Работы!$A$2:$A$6000,107),"")</f>
        <v/>
      </c>
      <c r="D108" s="8">
        <f>IFERROR(INDEX(спр_Работы!$B$2:$B$6000,MATCH($C108,спр_Работы!$A$2:$A$6000,0)),"")</f>
        <v/>
      </c>
      <c r="E108">
        <f>IFERROR(INDEX(спр_Работы!$C$2:$C$6000,MATCH($C108,спр_Работы!$A$2:$A$6000,0)),"")</f>
        <v/>
      </c>
      <c r="F108">
        <f>IFERROR(INDEX(спр_Работы!$G$2:$G$6000,MATCH($C108,спр_Работы!$A$2:$A$6000,0)),"")</f>
        <v/>
      </c>
      <c r="G108">
        <f>IFERROR(INDEX(спр_Работы!$K$2:$K$6000,MATCH($C108,спр_Работы!$A$2:$A$6000,0)),"")</f>
        <v/>
      </c>
      <c r="H108" s="9" t="n"/>
      <c r="I108" s="9" t="n"/>
      <c r="J108" s="8">
        <f>IFERROR(INDEX(спр_Материалы!$B$2:$B$9000,MATCH($I108,спр_Материалы!$A$2:$A$9000,0)),"")</f>
        <v/>
      </c>
      <c r="K108">
        <f>IF($I108="","",IF($F108=IFERROR(INDEX(спр_Материалы!$G$2:$G$9000,MATCH($I108,спр_Материалы!$A$2:$A$9000,0)),""),"OK","!! не та группа"))</f>
        <v/>
      </c>
      <c r="L108" s="10">
        <f>IFERROR(INDEX(спр_Работы!$H$2:$H$6000,MATCH($C108,спр_Работы!$A$2:$A$6000,0))*(1-ДисконтТендер),0)</f>
        <v/>
      </c>
      <c r="M108" s="10">
        <f>IF($I108="",0,IFERROR(INDEX(спр_Материалы!$I$2:$I$9000,MATCH($I108,спр_Материалы!$A$2:$A$9000,0))*IF(INDEX(спр_Материалы!$J$2:$J$9000,MATCH($I108,спр_Материалы!$A$2:$A$9000,0))="USD",КурсUSD,IF(INDEX(спр_Материалы!$J$2:$J$9000,MATCH($I108,спр_Материалы!$A$2:$A$9000,0))="EUR",КурсEUR,1))*INDEX(спр_Материалы!$K$2:$K$9000,MATCH($I108,спр_Материалы!$A$2:$A$9000,0))*(1+IFERROR(INDEX(спр_Работы!$I$2:$I$6000,MATCH($C108,спр_Работы!$A$2:$A$6000,0))/100,0))*(1-ДисконтТендер),0))</f>
        <v/>
      </c>
      <c r="N108" s="10">
        <f>IF(AND($R108="да",$H108&lt;&gt;""),ROUND($H108*$L108,2),0)</f>
        <v/>
      </c>
      <c r="O108" s="10">
        <f>IF(AND($R108="да",$H108&lt;&gt;""),ROUND($H108*$M108,2),0)</f>
        <v/>
      </c>
      <c r="P108" s="10">
        <f>$N108+$O108</f>
        <v/>
      </c>
      <c r="Q108">
        <f>IFERROR(INDEX(спр_Работы!$J$2:$J$6000,MATCH($C108,спр_Работы!$A$2:$A$6000,0)),"")</f>
        <v/>
      </c>
      <c r="R108" t="inlineStr">
        <is>
          <t>да</t>
        </is>
      </c>
      <c r="T108">
        <f>IF(AND($P108&gt;0,$R108="да"),MAX($T$1:$T107)+1,"")</f>
        <v/>
      </c>
    </row>
    <row r="109">
      <c r="A109">
        <f>IFERROR(INDEX(спр_Работы!$D$2:$D$6000,MATCH($C109,спр_Работы!$A$2:$A$6000,0)),"")</f>
        <v/>
      </c>
      <c r="B109">
        <f>IFERROR(INDEX(спр_Работы!$F$2:$F$6000,MATCH($C109,спр_Работы!$A$2:$A$6000,0)),"")</f>
        <v/>
      </c>
      <c r="C109">
        <f>IFERROR(INDEX(спр_Работы!$A$2:$A$6000,108),"")</f>
        <v/>
      </c>
      <c r="D109" s="8">
        <f>IFERROR(INDEX(спр_Работы!$B$2:$B$6000,MATCH($C109,спр_Работы!$A$2:$A$6000,0)),"")</f>
        <v/>
      </c>
      <c r="E109">
        <f>IFERROR(INDEX(спр_Работы!$C$2:$C$6000,MATCH($C109,спр_Работы!$A$2:$A$6000,0)),"")</f>
        <v/>
      </c>
      <c r="F109">
        <f>IFERROR(INDEX(спр_Работы!$G$2:$G$6000,MATCH($C109,спр_Работы!$A$2:$A$6000,0)),"")</f>
        <v/>
      </c>
      <c r="G109">
        <f>IFERROR(INDEX(спр_Работы!$K$2:$K$6000,MATCH($C109,спр_Работы!$A$2:$A$6000,0)),"")</f>
        <v/>
      </c>
      <c r="H109" s="9" t="n"/>
      <c r="I109" s="9" t="n"/>
      <c r="J109" s="8">
        <f>IFERROR(INDEX(спр_Материалы!$B$2:$B$9000,MATCH($I109,спр_Материалы!$A$2:$A$9000,0)),"")</f>
        <v/>
      </c>
      <c r="K109">
        <f>IF($I109="","",IF($F109=IFERROR(INDEX(спр_Материалы!$G$2:$G$9000,MATCH($I109,спр_Материалы!$A$2:$A$9000,0)),""),"OK","!! не та группа"))</f>
        <v/>
      </c>
      <c r="L109" s="10">
        <f>IFERROR(INDEX(спр_Работы!$H$2:$H$6000,MATCH($C109,спр_Работы!$A$2:$A$6000,0))*(1-ДисконтТендер),0)</f>
        <v/>
      </c>
      <c r="M109" s="10">
        <f>IF($I109="",0,IFERROR(INDEX(спр_Материалы!$I$2:$I$9000,MATCH($I109,спр_Материалы!$A$2:$A$9000,0))*IF(INDEX(спр_Материалы!$J$2:$J$9000,MATCH($I109,спр_Материалы!$A$2:$A$9000,0))="USD",КурсUSD,IF(INDEX(спр_Материалы!$J$2:$J$9000,MATCH($I109,спр_Материалы!$A$2:$A$9000,0))="EUR",КурсEUR,1))*INDEX(спр_Материалы!$K$2:$K$9000,MATCH($I109,спр_Материалы!$A$2:$A$9000,0))*(1+IFERROR(INDEX(спр_Работы!$I$2:$I$6000,MATCH($C109,спр_Работы!$A$2:$A$6000,0))/100,0))*(1-ДисконтТендер),0))</f>
        <v/>
      </c>
      <c r="N109" s="10">
        <f>IF(AND($R109="да",$H109&lt;&gt;""),ROUND($H109*$L109,2),0)</f>
        <v/>
      </c>
      <c r="O109" s="10">
        <f>IF(AND($R109="да",$H109&lt;&gt;""),ROUND($H109*$M109,2),0)</f>
        <v/>
      </c>
      <c r="P109" s="10">
        <f>$N109+$O109</f>
        <v/>
      </c>
      <c r="Q109">
        <f>IFERROR(INDEX(спр_Работы!$J$2:$J$6000,MATCH($C109,спр_Работы!$A$2:$A$6000,0)),"")</f>
        <v/>
      </c>
      <c r="R109" t="inlineStr">
        <is>
          <t>да</t>
        </is>
      </c>
      <c r="T109">
        <f>IF(AND($P109&gt;0,$R109="да"),MAX($T$1:$T108)+1,"")</f>
        <v/>
      </c>
    </row>
    <row r="110">
      <c r="A110">
        <f>IFERROR(INDEX(спр_Работы!$D$2:$D$6000,MATCH($C110,спр_Работы!$A$2:$A$6000,0)),"")</f>
        <v/>
      </c>
      <c r="B110">
        <f>IFERROR(INDEX(спр_Работы!$F$2:$F$6000,MATCH($C110,спр_Работы!$A$2:$A$6000,0)),"")</f>
        <v/>
      </c>
      <c r="C110">
        <f>IFERROR(INDEX(спр_Работы!$A$2:$A$6000,109),"")</f>
        <v/>
      </c>
      <c r="D110" s="8">
        <f>IFERROR(INDEX(спр_Работы!$B$2:$B$6000,MATCH($C110,спр_Работы!$A$2:$A$6000,0)),"")</f>
        <v/>
      </c>
      <c r="E110">
        <f>IFERROR(INDEX(спр_Работы!$C$2:$C$6000,MATCH($C110,спр_Работы!$A$2:$A$6000,0)),"")</f>
        <v/>
      </c>
      <c r="F110">
        <f>IFERROR(INDEX(спр_Работы!$G$2:$G$6000,MATCH($C110,спр_Работы!$A$2:$A$6000,0)),"")</f>
        <v/>
      </c>
      <c r="G110">
        <f>IFERROR(INDEX(спр_Работы!$K$2:$K$6000,MATCH($C110,спр_Работы!$A$2:$A$6000,0)),"")</f>
        <v/>
      </c>
      <c r="H110" s="9" t="n"/>
      <c r="I110" s="9" t="n"/>
      <c r="J110" s="8">
        <f>IFERROR(INDEX(спр_Материалы!$B$2:$B$9000,MATCH($I110,спр_Материалы!$A$2:$A$9000,0)),"")</f>
        <v/>
      </c>
      <c r="K110">
        <f>IF($I110="","",IF($F110=IFERROR(INDEX(спр_Материалы!$G$2:$G$9000,MATCH($I110,спр_Материалы!$A$2:$A$9000,0)),""),"OK","!! не та группа"))</f>
        <v/>
      </c>
      <c r="L110" s="10">
        <f>IFERROR(INDEX(спр_Работы!$H$2:$H$6000,MATCH($C110,спр_Работы!$A$2:$A$6000,0))*(1-ДисконтТендер),0)</f>
        <v/>
      </c>
      <c r="M110" s="10">
        <f>IF($I110="",0,IFERROR(INDEX(спр_Материалы!$I$2:$I$9000,MATCH($I110,спр_Материалы!$A$2:$A$9000,0))*IF(INDEX(спр_Материалы!$J$2:$J$9000,MATCH($I110,спр_Материалы!$A$2:$A$9000,0))="USD",КурсUSD,IF(INDEX(спр_Материалы!$J$2:$J$9000,MATCH($I110,спр_Материалы!$A$2:$A$9000,0))="EUR",КурсEUR,1))*INDEX(спр_Материалы!$K$2:$K$9000,MATCH($I110,спр_Материалы!$A$2:$A$9000,0))*(1+IFERROR(INDEX(спр_Работы!$I$2:$I$6000,MATCH($C110,спр_Работы!$A$2:$A$6000,0))/100,0))*(1-ДисконтТендер),0))</f>
        <v/>
      </c>
      <c r="N110" s="10">
        <f>IF(AND($R110="да",$H110&lt;&gt;""),ROUND($H110*$L110,2),0)</f>
        <v/>
      </c>
      <c r="O110" s="10">
        <f>IF(AND($R110="да",$H110&lt;&gt;""),ROUND($H110*$M110,2),0)</f>
        <v/>
      </c>
      <c r="P110" s="10">
        <f>$N110+$O110</f>
        <v/>
      </c>
      <c r="Q110">
        <f>IFERROR(INDEX(спр_Работы!$J$2:$J$6000,MATCH($C110,спр_Работы!$A$2:$A$6000,0)),"")</f>
        <v/>
      </c>
      <c r="R110" t="inlineStr">
        <is>
          <t>да</t>
        </is>
      </c>
      <c r="T110">
        <f>IF(AND($P110&gt;0,$R110="да"),MAX($T$1:$T109)+1,"")</f>
        <v/>
      </c>
    </row>
    <row r="111">
      <c r="A111">
        <f>IFERROR(INDEX(спр_Работы!$D$2:$D$6000,MATCH($C111,спр_Работы!$A$2:$A$6000,0)),"")</f>
        <v/>
      </c>
      <c r="B111">
        <f>IFERROR(INDEX(спр_Работы!$F$2:$F$6000,MATCH($C111,спр_Работы!$A$2:$A$6000,0)),"")</f>
        <v/>
      </c>
      <c r="C111">
        <f>IFERROR(INDEX(спр_Работы!$A$2:$A$6000,110),"")</f>
        <v/>
      </c>
      <c r="D111" s="8">
        <f>IFERROR(INDEX(спр_Работы!$B$2:$B$6000,MATCH($C111,спр_Работы!$A$2:$A$6000,0)),"")</f>
        <v/>
      </c>
      <c r="E111">
        <f>IFERROR(INDEX(спр_Работы!$C$2:$C$6000,MATCH($C111,спр_Работы!$A$2:$A$6000,0)),"")</f>
        <v/>
      </c>
      <c r="F111">
        <f>IFERROR(INDEX(спр_Работы!$G$2:$G$6000,MATCH($C111,спр_Работы!$A$2:$A$6000,0)),"")</f>
        <v/>
      </c>
      <c r="G111">
        <f>IFERROR(INDEX(спр_Работы!$K$2:$K$6000,MATCH($C111,спр_Работы!$A$2:$A$6000,0)),"")</f>
        <v/>
      </c>
      <c r="H111" s="9" t="n"/>
      <c r="I111" s="9" t="n"/>
      <c r="J111" s="8">
        <f>IFERROR(INDEX(спр_Материалы!$B$2:$B$9000,MATCH($I111,спр_Материалы!$A$2:$A$9000,0)),"")</f>
        <v/>
      </c>
      <c r="K111">
        <f>IF($I111="","",IF($F111=IFERROR(INDEX(спр_Материалы!$G$2:$G$9000,MATCH($I111,спр_Материалы!$A$2:$A$9000,0)),""),"OK","!! не та группа"))</f>
        <v/>
      </c>
      <c r="L111" s="10">
        <f>IFERROR(INDEX(спр_Работы!$H$2:$H$6000,MATCH($C111,спр_Работы!$A$2:$A$6000,0))*(1-ДисконтТендер),0)</f>
        <v/>
      </c>
      <c r="M111" s="10">
        <f>IF($I111="",0,IFERROR(INDEX(спр_Материалы!$I$2:$I$9000,MATCH($I111,спр_Материалы!$A$2:$A$9000,0))*IF(INDEX(спр_Материалы!$J$2:$J$9000,MATCH($I111,спр_Материалы!$A$2:$A$9000,0))="USD",КурсUSD,IF(INDEX(спр_Материалы!$J$2:$J$9000,MATCH($I111,спр_Материалы!$A$2:$A$9000,0))="EUR",КурсEUR,1))*INDEX(спр_Материалы!$K$2:$K$9000,MATCH($I111,спр_Материалы!$A$2:$A$9000,0))*(1+IFERROR(INDEX(спр_Работы!$I$2:$I$6000,MATCH($C111,спр_Работы!$A$2:$A$6000,0))/100,0))*(1-ДисконтТендер),0))</f>
        <v/>
      </c>
      <c r="N111" s="10">
        <f>IF(AND($R111="да",$H111&lt;&gt;""),ROUND($H111*$L111,2),0)</f>
        <v/>
      </c>
      <c r="O111" s="10">
        <f>IF(AND($R111="да",$H111&lt;&gt;""),ROUND($H111*$M111,2),0)</f>
        <v/>
      </c>
      <c r="P111" s="10">
        <f>$N111+$O111</f>
        <v/>
      </c>
      <c r="Q111">
        <f>IFERROR(INDEX(спр_Работы!$J$2:$J$6000,MATCH($C111,спр_Работы!$A$2:$A$6000,0)),"")</f>
        <v/>
      </c>
      <c r="R111" t="inlineStr">
        <is>
          <t>да</t>
        </is>
      </c>
      <c r="T111">
        <f>IF(AND($P111&gt;0,$R111="да"),MAX($T$1:$T110)+1,"")</f>
        <v/>
      </c>
    </row>
    <row r="112">
      <c r="A112">
        <f>IFERROR(INDEX(спр_Работы!$D$2:$D$6000,MATCH($C112,спр_Работы!$A$2:$A$6000,0)),"")</f>
        <v/>
      </c>
      <c r="B112">
        <f>IFERROR(INDEX(спр_Работы!$F$2:$F$6000,MATCH($C112,спр_Работы!$A$2:$A$6000,0)),"")</f>
        <v/>
      </c>
      <c r="C112">
        <f>IFERROR(INDEX(спр_Работы!$A$2:$A$6000,111),"")</f>
        <v/>
      </c>
      <c r="D112" s="8">
        <f>IFERROR(INDEX(спр_Работы!$B$2:$B$6000,MATCH($C112,спр_Работы!$A$2:$A$6000,0)),"")</f>
        <v/>
      </c>
      <c r="E112">
        <f>IFERROR(INDEX(спр_Работы!$C$2:$C$6000,MATCH($C112,спр_Работы!$A$2:$A$6000,0)),"")</f>
        <v/>
      </c>
      <c r="F112">
        <f>IFERROR(INDEX(спр_Работы!$G$2:$G$6000,MATCH($C112,спр_Работы!$A$2:$A$6000,0)),"")</f>
        <v/>
      </c>
      <c r="G112">
        <f>IFERROR(INDEX(спр_Работы!$K$2:$K$6000,MATCH($C112,спр_Работы!$A$2:$A$6000,0)),"")</f>
        <v/>
      </c>
      <c r="H112" s="9" t="n"/>
      <c r="I112" s="9" t="n"/>
      <c r="J112" s="8">
        <f>IFERROR(INDEX(спр_Материалы!$B$2:$B$9000,MATCH($I112,спр_Материалы!$A$2:$A$9000,0)),"")</f>
        <v/>
      </c>
      <c r="K112">
        <f>IF($I112="","",IF($F112=IFERROR(INDEX(спр_Материалы!$G$2:$G$9000,MATCH($I112,спр_Материалы!$A$2:$A$9000,0)),""),"OK","!! не та группа"))</f>
        <v/>
      </c>
      <c r="L112" s="10">
        <f>IFERROR(INDEX(спр_Работы!$H$2:$H$6000,MATCH($C112,спр_Работы!$A$2:$A$6000,0))*(1-ДисконтТендер),0)</f>
        <v/>
      </c>
      <c r="M112" s="10">
        <f>IF($I112="",0,IFERROR(INDEX(спр_Материалы!$I$2:$I$9000,MATCH($I112,спр_Материалы!$A$2:$A$9000,0))*IF(INDEX(спр_Материалы!$J$2:$J$9000,MATCH($I112,спр_Материалы!$A$2:$A$9000,0))="USD",КурсUSD,IF(INDEX(спр_Материалы!$J$2:$J$9000,MATCH($I112,спр_Материалы!$A$2:$A$9000,0))="EUR",КурсEUR,1))*INDEX(спр_Материалы!$K$2:$K$9000,MATCH($I112,спр_Материалы!$A$2:$A$9000,0))*(1+IFERROR(INDEX(спр_Работы!$I$2:$I$6000,MATCH($C112,спр_Работы!$A$2:$A$6000,0))/100,0))*(1-ДисконтТендер),0))</f>
        <v/>
      </c>
      <c r="N112" s="10">
        <f>IF(AND($R112="да",$H112&lt;&gt;""),ROUND($H112*$L112,2),0)</f>
        <v/>
      </c>
      <c r="O112" s="10">
        <f>IF(AND($R112="да",$H112&lt;&gt;""),ROUND($H112*$M112,2),0)</f>
        <v/>
      </c>
      <c r="P112" s="10">
        <f>$N112+$O112</f>
        <v/>
      </c>
      <c r="Q112">
        <f>IFERROR(INDEX(спр_Работы!$J$2:$J$6000,MATCH($C112,спр_Работы!$A$2:$A$6000,0)),"")</f>
        <v/>
      </c>
      <c r="R112" t="inlineStr">
        <is>
          <t>да</t>
        </is>
      </c>
      <c r="T112">
        <f>IF(AND($P112&gt;0,$R112="да"),MAX($T$1:$T111)+1,"")</f>
        <v/>
      </c>
    </row>
    <row r="113">
      <c r="A113">
        <f>IFERROR(INDEX(спр_Работы!$D$2:$D$6000,MATCH($C113,спр_Работы!$A$2:$A$6000,0)),"")</f>
        <v/>
      </c>
      <c r="B113">
        <f>IFERROR(INDEX(спр_Работы!$F$2:$F$6000,MATCH($C113,спр_Работы!$A$2:$A$6000,0)),"")</f>
        <v/>
      </c>
      <c r="C113">
        <f>IFERROR(INDEX(спр_Работы!$A$2:$A$6000,112),"")</f>
        <v/>
      </c>
      <c r="D113" s="8">
        <f>IFERROR(INDEX(спр_Работы!$B$2:$B$6000,MATCH($C113,спр_Работы!$A$2:$A$6000,0)),"")</f>
        <v/>
      </c>
      <c r="E113">
        <f>IFERROR(INDEX(спр_Работы!$C$2:$C$6000,MATCH($C113,спр_Работы!$A$2:$A$6000,0)),"")</f>
        <v/>
      </c>
      <c r="F113">
        <f>IFERROR(INDEX(спр_Работы!$G$2:$G$6000,MATCH($C113,спр_Работы!$A$2:$A$6000,0)),"")</f>
        <v/>
      </c>
      <c r="G113">
        <f>IFERROR(INDEX(спр_Работы!$K$2:$K$6000,MATCH($C113,спр_Работы!$A$2:$A$6000,0)),"")</f>
        <v/>
      </c>
      <c r="H113" s="9" t="n"/>
      <c r="I113" s="9" t="n"/>
      <c r="J113" s="8">
        <f>IFERROR(INDEX(спр_Материалы!$B$2:$B$9000,MATCH($I113,спр_Материалы!$A$2:$A$9000,0)),"")</f>
        <v/>
      </c>
      <c r="K113">
        <f>IF($I113="","",IF($F113=IFERROR(INDEX(спр_Материалы!$G$2:$G$9000,MATCH($I113,спр_Материалы!$A$2:$A$9000,0)),""),"OK","!! не та группа"))</f>
        <v/>
      </c>
      <c r="L113" s="10">
        <f>IFERROR(INDEX(спр_Работы!$H$2:$H$6000,MATCH($C113,спр_Работы!$A$2:$A$6000,0))*(1-ДисконтТендер),0)</f>
        <v/>
      </c>
      <c r="M113" s="10">
        <f>IF($I113="",0,IFERROR(INDEX(спр_Материалы!$I$2:$I$9000,MATCH($I113,спр_Материалы!$A$2:$A$9000,0))*IF(INDEX(спр_Материалы!$J$2:$J$9000,MATCH($I113,спр_Материалы!$A$2:$A$9000,0))="USD",КурсUSD,IF(INDEX(спр_Материалы!$J$2:$J$9000,MATCH($I113,спр_Материалы!$A$2:$A$9000,0))="EUR",КурсEUR,1))*INDEX(спр_Материалы!$K$2:$K$9000,MATCH($I113,спр_Материалы!$A$2:$A$9000,0))*(1+IFERROR(INDEX(спр_Работы!$I$2:$I$6000,MATCH($C113,спр_Работы!$A$2:$A$6000,0))/100,0))*(1-ДисконтТендер),0))</f>
        <v/>
      </c>
      <c r="N113" s="10">
        <f>IF(AND($R113="да",$H113&lt;&gt;""),ROUND($H113*$L113,2),0)</f>
        <v/>
      </c>
      <c r="O113" s="10">
        <f>IF(AND($R113="да",$H113&lt;&gt;""),ROUND($H113*$M113,2),0)</f>
        <v/>
      </c>
      <c r="P113" s="10">
        <f>$N113+$O113</f>
        <v/>
      </c>
      <c r="Q113">
        <f>IFERROR(INDEX(спр_Работы!$J$2:$J$6000,MATCH($C113,спр_Работы!$A$2:$A$6000,0)),"")</f>
        <v/>
      </c>
      <c r="R113" t="inlineStr">
        <is>
          <t>да</t>
        </is>
      </c>
      <c r="T113">
        <f>IF(AND($P113&gt;0,$R113="да"),MAX($T$1:$T112)+1,"")</f>
        <v/>
      </c>
    </row>
    <row r="114">
      <c r="A114">
        <f>IFERROR(INDEX(спр_Работы!$D$2:$D$6000,MATCH($C114,спр_Работы!$A$2:$A$6000,0)),"")</f>
        <v/>
      </c>
      <c r="B114">
        <f>IFERROR(INDEX(спр_Работы!$F$2:$F$6000,MATCH($C114,спр_Работы!$A$2:$A$6000,0)),"")</f>
        <v/>
      </c>
      <c r="C114">
        <f>IFERROR(INDEX(спр_Работы!$A$2:$A$6000,113),"")</f>
        <v/>
      </c>
      <c r="D114" s="8">
        <f>IFERROR(INDEX(спр_Работы!$B$2:$B$6000,MATCH($C114,спр_Работы!$A$2:$A$6000,0)),"")</f>
        <v/>
      </c>
      <c r="E114">
        <f>IFERROR(INDEX(спр_Работы!$C$2:$C$6000,MATCH($C114,спр_Работы!$A$2:$A$6000,0)),"")</f>
        <v/>
      </c>
      <c r="F114">
        <f>IFERROR(INDEX(спр_Работы!$G$2:$G$6000,MATCH($C114,спр_Работы!$A$2:$A$6000,0)),"")</f>
        <v/>
      </c>
      <c r="G114">
        <f>IFERROR(INDEX(спр_Работы!$K$2:$K$6000,MATCH($C114,спр_Работы!$A$2:$A$6000,0)),"")</f>
        <v/>
      </c>
      <c r="H114" s="9" t="n"/>
      <c r="I114" s="9" t="n"/>
      <c r="J114" s="8">
        <f>IFERROR(INDEX(спр_Материалы!$B$2:$B$9000,MATCH($I114,спр_Материалы!$A$2:$A$9000,0)),"")</f>
        <v/>
      </c>
      <c r="K114">
        <f>IF($I114="","",IF($F114=IFERROR(INDEX(спр_Материалы!$G$2:$G$9000,MATCH($I114,спр_Материалы!$A$2:$A$9000,0)),""),"OK","!! не та группа"))</f>
        <v/>
      </c>
      <c r="L114" s="10">
        <f>IFERROR(INDEX(спр_Работы!$H$2:$H$6000,MATCH($C114,спр_Работы!$A$2:$A$6000,0))*(1-ДисконтТендер),0)</f>
        <v/>
      </c>
      <c r="M114" s="10">
        <f>IF($I114="",0,IFERROR(INDEX(спр_Материалы!$I$2:$I$9000,MATCH($I114,спр_Материалы!$A$2:$A$9000,0))*IF(INDEX(спр_Материалы!$J$2:$J$9000,MATCH($I114,спр_Материалы!$A$2:$A$9000,0))="USD",КурсUSD,IF(INDEX(спр_Материалы!$J$2:$J$9000,MATCH($I114,спр_Материалы!$A$2:$A$9000,0))="EUR",КурсEUR,1))*INDEX(спр_Материалы!$K$2:$K$9000,MATCH($I114,спр_Материалы!$A$2:$A$9000,0))*(1+IFERROR(INDEX(спр_Работы!$I$2:$I$6000,MATCH($C114,спр_Работы!$A$2:$A$6000,0))/100,0))*(1-ДисконтТендер),0))</f>
        <v/>
      </c>
      <c r="N114" s="10">
        <f>IF(AND($R114="да",$H114&lt;&gt;""),ROUND($H114*$L114,2),0)</f>
        <v/>
      </c>
      <c r="O114" s="10">
        <f>IF(AND($R114="да",$H114&lt;&gt;""),ROUND($H114*$M114,2),0)</f>
        <v/>
      </c>
      <c r="P114" s="10">
        <f>$N114+$O114</f>
        <v/>
      </c>
      <c r="Q114">
        <f>IFERROR(INDEX(спр_Работы!$J$2:$J$6000,MATCH($C114,спр_Работы!$A$2:$A$6000,0)),"")</f>
        <v/>
      </c>
      <c r="R114" t="inlineStr">
        <is>
          <t>да</t>
        </is>
      </c>
      <c r="T114">
        <f>IF(AND($P114&gt;0,$R114="да"),MAX($T$1:$T113)+1,"")</f>
        <v/>
      </c>
    </row>
    <row r="115">
      <c r="A115">
        <f>IFERROR(INDEX(спр_Работы!$D$2:$D$6000,MATCH($C115,спр_Работы!$A$2:$A$6000,0)),"")</f>
        <v/>
      </c>
      <c r="B115">
        <f>IFERROR(INDEX(спр_Работы!$F$2:$F$6000,MATCH($C115,спр_Работы!$A$2:$A$6000,0)),"")</f>
        <v/>
      </c>
      <c r="C115">
        <f>IFERROR(INDEX(спр_Работы!$A$2:$A$6000,114),"")</f>
        <v/>
      </c>
      <c r="D115" s="8">
        <f>IFERROR(INDEX(спр_Работы!$B$2:$B$6000,MATCH($C115,спр_Работы!$A$2:$A$6000,0)),"")</f>
        <v/>
      </c>
      <c r="E115">
        <f>IFERROR(INDEX(спр_Работы!$C$2:$C$6000,MATCH($C115,спр_Работы!$A$2:$A$6000,0)),"")</f>
        <v/>
      </c>
      <c r="F115">
        <f>IFERROR(INDEX(спр_Работы!$G$2:$G$6000,MATCH($C115,спр_Работы!$A$2:$A$6000,0)),"")</f>
        <v/>
      </c>
      <c r="G115">
        <f>IFERROR(INDEX(спр_Работы!$K$2:$K$6000,MATCH($C115,спр_Работы!$A$2:$A$6000,0)),"")</f>
        <v/>
      </c>
      <c r="H115" s="9" t="n"/>
      <c r="I115" s="9" t="n"/>
      <c r="J115" s="8">
        <f>IFERROR(INDEX(спр_Материалы!$B$2:$B$9000,MATCH($I115,спр_Материалы!$A$2:$A$9000,0)),"")</f>
        <v/>
      </c>
      <c r="K115">
        <f>IF($I115="","",IF($F115=IFERROR(INDEX(спр_Материалы!$G$2:$G$9000,MATCH($I115,спр_Материалы!$A$2:$A$9000,0)),""),"OK","!! не та группа"))</f>
        <v/>
      </c>
      <c r="L115" s="10">
        <f>IFERROR(INDEX(спр_Работы!$H$2:$H$6000,MATCH($C115,спр_Работы!$A$2:$A$6000,0))*(1-ДисконтТендер),0)</f>
        <v/>
      </c>
      <c r="M115" s="10">
        <f>IF($I115="",0,IFERROR(INDEX(спр_Материалы!$I$2:$I$9000,MATCH($I115,спр_Материалы!$A$2:$A$9000,0))*IF(INDEX(спр_Материалы!$J$2:$J$9000,MATCH($I115,спр_Материалы!$A$2:$A$9000,0))="USD",КурсUSD,IF(INDEX(спр_Материалы!$J$2:$J$9000,MATCH($I115,спр_Материалы!$A$2:$A$9000,0))="EUR",КурсEUR,1))*INDEX(спр_Материалы!$K$2:$K$9000,MATCH($I115,спр_Материалы!$A$2:$A$9000,0))*(1+IFERROR(INDEX(спр_Работы!$I$2:$I$6000,MATCH($C115,спр_Работы!$A$2:$A$6000,0))/100,0))*(1-ДисконтТендер),0))</f>
        <v/>
      </c>
      <c r="N115" s="10">
        <f>IF(AND($R115="да",$H115&lt;&gt;""),ROUND($H115*$L115,2),0)</f>
        <v/>
      </c>
      <c r="O115" s="10">
        <f>IF(AND($R115="да",$H115&lt;&gt;""),ROUND($H115*$M115,2),0)</f>
        <v/>
      </c>
      <c r="P115" s="10">
        <f>$N115+$O115</f>
        <v/>
      </c>
      <c r="Q115">
        <f>IFERROR(INDEX(спр_Работы!$J$2:$J$6000,MATCH($C115,спр_Работы!$A$2:$A$6000,0)),"")</f>
        <v/>
      </c>
      <c r="R115" t="inlineStr">
        <is>
          <t>да</t>
        </is>
      </c>
      <c r="T115">
        <f>IF(AND($P115&gt;0,$R115="да"),MAX($T$1:$T114)+1,"")</f>
        <v/>
      </c>
    </row>
    <row r="116">
      <c r="A116">
        <f>IFERROR(INDEX(спр_Работы!$D$2:$D$6000,MATCH($C116,спр_Работы!$A$2:$A$6000,0)),"")</f>
        <v/>
      </c>
      <c r="B116">
        <f>IFERROR(INDEX(спр_Работы!$F$2:$F$6000,MATCH($C116,спр_Работы!$A$2:$A$6000,0)),"")</f>
        <v/>
      </c>
      <c r="C116">
        <f>IFERROR(INDEX(спр_Работы!$A$2:$A$6000,115),"")</f>
        <v/>
      </c>
      <c r="D116" s="8">
        <f>IFERROR(INDEX(спр_Работы!$B$2:$B$6000,MATCH($C116,спр_Работы!$A$2:$A$6000,0)),"")</f>
        <v/>
      </c>
      <c r="E116">
        <f>IFERROR(INDEX(спр_Работы!$C$2:$C$6000,MATCH($C116,спр_Работы!$A$2:$A$6000,0)),"")</f>
        <v/>
      </c>
      <c r="F116">
        <f>IFERROR(INDEX(спр_Работы!$G$2:$G$6000,MATCH($C116,спр_Работы!$A$2:$A$6000,0)),"")</f>
        <v/>
      </c>
      <c r="G116">
        <f>IFERROR(INDEX(спр_Работы!$K$2:$K$6000,MATCH($C116,спр_Работы!$A$2:$A$6000,0)),"")</f>
        <v/>
      </c>
      <c r="H116" s="9" t="n"/>
      <c r="I116" s="9" t="n"/>
      <c r="J116" s="8">
        <f>IFERROR(INDEX(спр_Материалы!$B$2:$B$9000,MATCH($I116,спр_Материалы!$A$2:$A$9000,0)),"")</f>
        <v/>
      </c>
      <c r="K116">
        <f>IF($I116="","",IF($F116=IFERROR(INDEX(спр_Материалы!$G$2:$G$9000,MATCH($I116,спр_Материалы!$A$2:$A$9000,0)),""),"OK","!! не та группа"))</f>
        <v/>
      </c>
      <c r="L116" s="10">
        <f>IFERROR(INDEX(спр_Работы!$H$2:$H$6000,MATCH($C116,спр_Работы!$A$2:$A$6000,0))*(1-ДисконтТендер),0)</f>
        <v/>
      </c>
      <c r="M116" s="10">
        <f>IF($I116="",0,IFERROR(INDEX(спр_Материалы!$I$2:$I$9000,MATCH($I116,спр_Материалы!$A$2:$A$9000,0))*IF(INDEX(спр_Материалы!$J$2:$J$9000,MATCH($I116,спр_Материалы!$A$2:$A$9000,0))="USD",КурсUSD,IF(INDEX(спр_Материалы!$J$2:$J$9000,MATCH($I116,спр_Материалы!$A$2:$A$9000,0))="EUR",КурсEUR,1))*INDEX(спр_Материалы!$K$2:$K$9000,MATCH($I116,спр_Материалы!$A$2:$A$9000,0))*(1+IFERROR(INDEX(спр_Работы!$I$2:$I$6000,MATCH($C116,спр_Работы!$A$2:$A$6000,0))/100,0))*(1-ДисконтТендер),0))</f>
        <v/>
      </c>
      <c r="N116" s="10">
        <f>IF(AND($R116="да",$H116&lt;&gt;""),ROUND($H116*$L116,2),0)</f>
        <v/>
      </c>
      <c r="O116" s="10">
        <f>IF(AND($R116="да",$H116&lt;&gt;""),ROUND($H116*$M116,2),0)</f>
        <v/>
      </c>
      <c r="P116" s="10">
        <f>$N116+$O116</f>
        <v/>
      </c>
      <c r="Q116">
        <f>IFERROR(INDEX(спр_Работы!$J$2:$J$6000,MATCH($C116,спр_Работы!$A$2:$A$6000,0)),"")</f>
        <v/>
      </c>
      <c r="R116" t="inlineStr">
        <is>
          <t>да</t>
        </is>
      </c>
      <c r="T116">
        <f>IF(AND($P116&gt;0,$R116="да"),MAX($T$1:$T115)+1,"")</f>
        <v/>
      </c>
    </row>
    <row r="117">
      <c r="A117">
        <f>IFERROR(INDEX(спр_Работы!$D$2:$D$6000,MATCH($C117,спр_Работы!$A$2:$A$6000,0)),"")</f>
        <v/>
      </c>
      <c r="B117">
        <f>IFERROR(INDEX(спр_Работы!$F$2:$F$6000,MATCH($C117,спр_Работы!$A$2:$A$6000,0)),"")</f>
        <v/>
      </c>
      <c r="C117">
        <f>IFERROR(INDEX(спр_Работы!$A$2:$A$6000,116),"")</f>
        <v/>
      </c>
      <c r="D117" s="8">
        <f>IFERROR(INDEX(спр_Работы!$B$2:$B$6000,MATCH($C117,спр_Работы!$A$2:$A$6000,0)),"")</f>
        <v/>
      </c>
      <c r="E117">
        <f>IFERROR(INDEX(спр_Работы!$C$2:$C$6000,MATCH($C117,спр_Работы!$A$2:$A$6000,0)),"")</f>
        <v/>
      </c>
      <c r="F117">
        <f>IFERROR(INDEX(спр_Работы!$G$2:$G$6000,MATCH($C117,спр_Работы!$A$2:$A$6000,0)),"")</f>
        <v/>
      </c>
      <c r="G117">
        <f>IFERROR(INDEX(спр_Работы!$K$2:$K$6000,MATCH($C117,спр_Работы!$A$2:$A$6000,0)),"")</f>
        <v/>
      </c>
      <c r="H117" s="9" t="n"/>
      <c r="I117" s="9" t="n"/>
      <c r="J117" s="8">
        <f>IFERROR(INDEX(спр_Материалы!$B$2:$B$9000,MATCH($I117,спр_Материалы!$A$2:$A$9000,0)),"")</f>
        <v/>
      </c>
      <c r="K117">
        <f>IF($I117="","",IF($F117=IFERROR(INDEX(спр_Материалы!$G$2:$G$9000,MATCH($I117,спр_Материалы!$A$2:$A$9000,0)),""),"OK","!! не та группа"))</f>
        <v/>
      </c>
      <c r="L117" s="10">
        <f>IFERROR(INDEX(спр_Работы!$H$2:$H$6000,MATCH($C117,спр_Работы!$A$2:$A$6000,0))*(1-ДисконтТендер),0)</f>
        <v/>
      </c>
      <c r="M117" s="10">
        <f>IF($I117="",0,IFERROR(INDEX(спр_Материалы!$I$2:$I$9000,MATCH($I117,спр_Материалы!$A$2:$A$9000,0))*IF(INDEX(спр_Материалы!$J$2:$J$9000,MATCH($I117,спр_Материалы!$A$2:$A$9000,0))="USD",КурсUSD,IF(INDEX(спр_Материалы!$J$2:$J$9000,MATCH($I117,спр_Материалы!$A$2:$A$9000,0))="EUR",КурсEUR,1))*INDEX(спр_Материалы!$K$2:$K$9000,MATCH($I117,спр_Материалы!$A$2:$A$9000,0))*(1+IFERROR(INDEX(спр_Работы!$I$2:$I$6000,MATCH($C117,спр_Работы!$A$2:$A$6000,0))/100,0))*(1-ДисконтТендер),0))</f>
        <v/>
      </c>
      <c r="N117" s="10">
        <f>IF(AND($R117="да",$H117&lt;&gt;""),ROUND($H117*$L117,2),0)</f>
        <v/>
      </c>
      <c r="O117" s="10">
        <f>IF(AND($R117="да",$H117&lt;&gt;""),ROUND($H117*$M117,2),0)</f>
        <v/>
      </c>
      <c r="P117" s="10">
        <f>$N117+$O117</f>
        <v/>
      </c>
      <c r="Q117">
        <f>IFERROR(INDEX(спр_Работы!$J$2:$J$6000,MATCH($C117,спр_Работы!$A$2:$A$6000,0)),"")</f>
        <v/>
      </c>
      <c r="R117" t="inlineStr">
        <is>
          <t>да</t>
        </is>
      </c>
      <c r="T117">
        <f>IF(AND($P117&gt;0,$R117="да"),MAX($T$1:$T116)+1,"")</f>
        <v/>
      </c>
    </row>
    <row r="118">
      <c r="A118">
        <f>IFERROR(INDEX(спр_Работы!$D$2:$D$6000,MATCH($C118,спр_Работы!$A$2:$A$6000,0)),"")</f>
        <v/>
      </c>
      <c r="B118">
        <f>IFERROR(INDEX(спр_Работы!$F$2:$F$6000,MATCH($C118,спр_Работы!$A$2:$A$6000,0)),"")</f>
        <v/>
      </c>
      <c r="C118">
        <f>IFERROR(INDEX(спр_Работы!$A$2:$A$6000,117),"")</f>
        <v/>
      </c>
      <c r="D118" s="8">
        <f>IFERROR(INDEX(спр_Работы!$B$2:$B$6000,MATCH($C118,спр_Работы!$A$2:$A$6000,0)),"")</f>
        <v/>
      </c>
      <c r="E118">
        <f>IFERROR(INDEX(спр_Работы!$C$2:$C$6000,MATCH($C118,спр_Работы!$A$2:$A$6000,0)),"")</f>
        <v/>
      </c>
      <c r="F118">
        <f>IFERROR(INDEX(спр_Работы!$G$2:$G$6000,MATCH($C118,спр_Работы!$A$2:$A$6000,0)),"")</f>
        <v/>
      </c>
      <c r="G118">
        <f>IFERROR(INDEX(спр_Работы!$K$2:$K$6000,MATCH($C118,спр_Работы!$A$2:$A$6000,0)),"")</f>
        <v/>
      </c>
      <c r="H118" s="9" t="n"/>
      <c r="I118" s="9" t="n"/>
      <c r="J118" s="8">
        <f>IFERROR(INDEX(спр_Материалы!$B$2:$B$9000,MATCH($I118,спр_Материалы!$A$2:$A$9000,0)),"")</f>
        <v/>
      </c>
      <c r="K118">
        <f>IF($I118="","",IF($F118=IFERROR(INDEX(спр_Материалы!$G$2:$G$9000,MATCH($I118,спр_Материалы!$A$2:$A$9000,0)),""),"OK","!! не та группа"))</f>
        <v/>
      </c>
      <c r="L118" s="10">
        <f>IFERROR(INDEX(спр_Работы!$H$2:$H$6000,MATCH($C118,спр_Работы!$A$2:$A$6000,0))*(1-ДисконтТендер),0)</f>
        <v/>
      </c>
      <c r="M118" s="10">
        <f>IF($I118="",0,IFERROR(INDEX(спр_Материалы!$I$2:$I$9000,MATCH($I118,спр_Материалы!$A$2:$A$9000,0))*IF(INDEX(спр_Материалы!$J$2:$J$9000,MATCH($I118,спр_Материалы!$A$2:$A$9000,0))="USD",КурсUSD,IF(INDEX(спр_Материалы!$J$2:$J$9000,MATCH($I118,спр_Материалы!$A$2:$A$9000,0))="EUR",КурсEUR,1))*INDEX(спр_Материалы!$K$2:$K$9000,MATCH($I118,спр_Материалы!$A$2:$A$9000,0))*(1+IFERROR(INDEX(спр_Работы!$I$2:$I$6000,MATCH($C118,спр_Работы!$A$2:$A$6000,0))/100,0))*(1-ДисконтТендер),0))</f>
        <v/>
      </c>
      <c r="N118" s="10">
        <f>IF(AND($R118="да",$H118&lt;&gt;""),ROUND($H118*$L118,2),0)</f>
        <v/>
      </c>
      <c r="O118" s="10">
        <f>IF(AND($R118="да",$H118&lt;&gt;""),ROUND($H118*$M118,2),0)</f>
        <v/>
      </c>
      <c r="P118" s="10">
        <f>$N118+$O118</f>
        <v/>
      </c>
      <c r="Q118">
        <f>IFERROR(INDEX(спр_Работы!$J$2:$J$6000,MATCH($C118,спр_Работы!$A$2:$A$6000,0)),"")</f>
        <v/>
      </c>
      <c r="R118" t="inlineStr">
        <is>
          <t>да</t>
        </is>
      </c>
      <c r="T118">
        <f>IF(AND($P118&gt;0,$R118="да"),MAX($T$1:$T117)+1,"")</f>
        <v/>
      </c>
    </row>
    <row r="119">
      <c r="A119">
        <f>IFERROR(INDEX(спр_Работы!$D$2:$D$6000,MATCH($C119,спр_Работы!$A$2:$A$6000,0)),"")</f>
        <v/>
      </c>
      <c r="B119">
        <f>IFERROR(INDEX(спр_Работы!$F$2:$F$6000,MATCH($C119,спр_Работы!$A$2:$A$6000,0)),"")</f>
        <v/>
      </c>
      <c r="C119">
        <f>IFERROR(INDEX(спр_Работы!$A$2:$A$6000,118),"")</f>
        <v/>
      </c>
      <c r="D119" s="8">
        <f>IFERROR(INDEX(спр_Работы!$B$2:$B$6000,MATCH($C119,спр_Работы!$A$2:$A$6000,0)),"")</f>
        <v/>
      </c>
      <c r="E119">
        <f>IFERROR(INDEX(спр_Работы!$C$2:$C$6000,MATCH($C119,спр_Работы!$A$2:$A$6000,0)),"")</f>
        <v/>
      </c>
      <c r="F119">
        <f>IFERROR(INDEX(спр_Работы!$G$2:$G$6000,MATCH($C119,спр_Работы!$A$2:$A$6000,0)),"")</f>
        <v/>
      </c>
      <c r="G119">
        <f>IFERROR(INDEX(спр_Работы!$K$2:$K$6000,MATCH($C119,спр_Работы!$A$2:$A$6000,0)),"")</f>
        <v/>
      </c>
      <c r="H119" s="9" t="n"/>
      <c r="I119" s="9" t="n"/>
      <c r="J119" s="8">
        <f>IFERROR(INDEX(спр_Материалы!$B$2:$B$9000,MATCH($I119,спр_Материалы!$A$2:$A$9000,0)),"")</f>
        <v/>
      </c>
      <c r="K119">
        <f>IF($I119="","",IF($F119=IFERROR(INDEX(спр_Материалы!$G$2:$G$9000,MATCH($I119,спр_Материалы!$A$2:$A$9000,0)),""),"OK","!! не та группа"))</f>
        <v/>
      </c>
      <c r="L119" s="10">
        <f>IFERROR(INDEX(спр_Работы!$H$2:$H$6000,MATCH($C119,спр_Работы!$A$2:$A$6000,0))*(1-ДисконтТендер),0)</f>
        <v/>
      </c>
      <c r="M119" s="10">
        <f>IF($I119="",0,IFERROR(INDEX(спр_Материалы!$I$2:$I$9000,MATCH($I119,спр_Материалы!$A$2:$A$9000,0))*IF(INDEX(спр_Материалы!$J$2:$J$9000,MATCH($I119,спр_Материалы!$A$2:$A$9000,0))="USD",КурсUSD,IF(INDEX(спр_Материалы!$J$2:$J$9000,MATCH($I119,спр_Материалы!$A$2:$A$9000,0))="EUR",КурсEUR,1))*INDEX(спр_Материалы!$K$2:$K$9000,MATCH($I119,спр_Материалы!$A$2:$A$9000,0))*(1+IFERROR(INDEX(спр_Работы!$I$2:$I$6000,MATCH($C119,спр_Работы!$A$2:$A$6000,0))/100,0))*(1-ДисконтТендер),0))</f>
        <v/>
      </c>
      <c r="N119" s="10">
        <f>IF(AND($R119="да",$H119&lt;&gt;""),ROUND($H119*$L119,2),0)</f>
        <v/>
      </c>
      <c r="O119" s="10">
        <f>IF(AND($R119="да",$H119&lt;&gt;""),ROUND($H119*$M119,2),0)</f>
        <v/>
      </c>
      <c r="P119" s="10">
        <f>$N119+$O119</f>
        <v/>
      </c>
      <c r="Q119">
        <f>IFERROR(INDEX(спр_Работы!$J$2:$J$6000,MATCH($C119,спр_Работы!$A$2:$A$6000,0)),"")</f>
        <v/>
      </c>
      <c r="R119" t="inlineStr">
        <is>
          <t>да</t>
        </is>
      </c>
      <c r="T119">
        <f>IF(AND($P119&gt;0,$R119="да"),MAX($T$1:$T118)+1,"")</f>
        <v/>
      </c>
    </row>
    <row r="120">
      <c r="A120">
        <f>IFERROR(INDEX(спр_Работы!$D$2:$D$6000,MATCH($C120,спр_Работы!$A$2:$A$6000,0)),"")</f>
        <v/>
      </c>
      <c r="B120">
        <f>IFERROR(INDEX(спр_Работы!$F$2:$F$6000,MATCH($C120,спр_Работы!$A$2:$A$6000,0)),"")</f>
        <v/>
      </c>
      <c r="C120">
        <f>IFERROR(INDEX(спр_Работы!$A$2:$A$6000,119),"")</f>
        <v/>
      </c>
      <c r="D120" s="8">
        <f>IFERROR(INDEX(спр_Работы!$B$2:$B$6000,MATCH($C120,спр_Работы!$A$2:$A$6000,0)),"")</f>
        <v/>
      </c>
      <c r="E120">
        <f>IFERROR(INDEX(спр_Работы!$C$2:$C$6000,MATCH($C120,спр_Работы!$A$2:$A$6000,0)),"")</f>
        <v/>
      </c>
      <c r="F120">
        <f>IFERROR(INDEX(спр_Работы!$G$2:$G$6000,MATCH($C120,спр_Работы!$A$2:$A$6000,0)),"")</f>
        <v/>
      </c>
      <c r="G120">
        <f>IFERROR(INDEX(спр_Работы!$K$2:$K$6000,MATCH($C120,спр_Работы!$A$2:$A$6000,0)),"")</f>
        <v/>
      </c>
      <c r="H120" s="9" t="n"/>
      <c r="I120" s="9" t="n"/>
      <c r="J120" s="8">
        <f>IFERROR(INDEX(спр_Материалы!$B$2:$B$9000,MATCH($I120,спр_Материалы!$A$2:$A$9000,0)),"")</f>
        <v/>
      </c>
      <c r="K120">
        <f>IF($I120="","",IF($F120=IFERROR(INDEX(спр_Материалы!$G$2:$G$9000,MATCH($I120,спр_Материалы!$A$2:$A$9000,0)),""),"OK","!! не та группа"))</f>
        <v/>
      </c>
      <c r="L120" s="10">
        <f>IFERROR(INDEX(спр_Работы!$H$2:$H$6000,MATCH($C120,спр_Работы!$A$2:$A$6000,0))*(1-ДисконтТендер),0)</f>
        <v/>
      </c>
      <c r="M120" s="10">
        <f>IF($I120="",0,IFERROR(INDEX(спр_Материалы!$I$2:$I$9000,MATCH($I120,спр_Материалы!$A$2:$A$9000,0))*IF(INDEX(спр_Материалы!$J$2:$J$9000,MATCH($I120,спр_Материалы!$A$2:$A$9000,0))="USD",КурсUSD,IF(INDEX(спр_Материалы!$J$2:$J$9000,MATCH($I120,спр_Материалы!$A$2:$A$9000,0))="EUR",КурсEUR,1))*INDEX(спр_Материалы!$K$2:$K$9000,MATCH($I120,спр_Материалы!$A$2:$A$9000,0))*(1+IFERROR(INDEX(спр_Работы!$I$2:$I$6000,MATCH($C120,спр_Работы!$A$2:$A$6000,0))/100,0))*(1-ДисконтТендер),0))</f>
        <v/>
      </c>
      <c r="N120" s="10">
        <f>IF(AND($R120="да",$H120&lt;&gt;""),ROUND($H120*$L120,2),0)</f>
        <v/>
      </c>
      <c r="O120" s="10">
        <f>IF(AND($R120="да",$H120&lt;&gt;""),ROUND($H120*$M120,2),0)</f>
        <v/>
      </c>
      <c r="P120" s="10">
        <f>$N120+$O120</f>
        <v/>
      </c>
      <c r="Q120">
        <f>IFERROR(INDEX(спр_Работы!$J$2:$J$6000,MATCH($C120,спр_Работы!$A$2:$A$6000,0)),"")</f>
        <v/>
      </c>
      <c r="R120" t="inlineStr">
        <is>
          <t>да</t>
        </is>
      </c>
      <c r="T120">
        <f>IF(AND($P120&gt;0,$R120="да"),MAX($T$1:$T119)+1,"")</f>
        <v/>
      </c>
    </row>
    <row r="121">
      <c r="A121">
        <f>IFERROR(INDEX(спр_Работы!$D$2:$D$6000,MATCH($C121,спр_Работы!$A$2:$A$6000,0)),"")</f>
        <v/>
      </c>
      <c r="B121">
        <f>IFERROR(INDEX(спр_Работы!$F$2:$F$6000,MATCH($C121,спр_Работы!$A$2:$A$6000,0)),"")</f>
        <v/>
      </c>
      <c r="C121">
        <f>IFERROR(INDEX(спр_Работы!$A$2:$A$6000,120),"")</f>
        <v/>
      </c>
      <c r="D121" s="8">
        <f>IFERROR(INDEX(спр_Работы!$B$2:$B$6000,MATCH($C121,спр_Работы!$A$2:$A$6000,0)),"")</f>
        <v/>
      </c>
      <c r="E121">
        <f>IFERROR(INDEX(спр_Работы!$C$2:$C$6000,MATCH($C121,спр_Работы!$A$2:$A$6000,0)),"")</f>
        <v/>
      </c>
      <c r="F121">
        <f>IFERROR(INDEX(спр_Работы!$G$2:$G$6000,MATCH($C121,спр_Работы!$A$2:$A$6000,0)),"")</f>
        <v/>
      </c>
      <c r="G121">
        <f>IFERROR(INDEX(спр_Работы!$K$2:$K$6000,MATCH($C121,спр_Работы!$A$2:$A$6000,0)),"")</f>
        <v/>
      </c>
      <c r="H121" s="9" t="n"/>
      <c r="I121" s="9" t="n"/>
      <c r="J121" s="8">
        <f>IFERROR(INDEX(спр_Материалы!$B$2:$B$9000,MATCH($I121,спр_Материалы!$A$2:$A$9000,0)),"")</f>
        <v/>
      </c>
      <c r="K121">
        <f>IF($I121="","",IF($F121=IFERROR(INDEX(спр_Материалы!$G$2:$G$9000,MATCH($I121,спр_Материалы!$A$2:$A$9000,0)),""),"OK","!! не та группа"))</f>
        <v/>
      </c>
      <c r="L121" s="10">
        <f>IFERROR(INDEX(спр_Работы!$H$2:$H$6000,MATCH($C121,спр_Работы!$A$2:$A$6000,0))*(1-ДисконтТендер),0)</f>
        <v/>
      </c>
      <c r="M121" s="10">
        <f>IF($I121="",0,IFERROR(INDEX(спр_Материалы!$I$2:$I$9000,MATCH($I121,спр_Материалы!$A$2:$A$9000,0))*IF(INDEX(спр_Материалы!$J$2:$J$9000,MATCH($I121,спр_Материалы!$A$2:$A$9000,0))="USD",КурсUSD,IF(INDEX(спр_Материалы!$J$2:$J$9000,MATCH($I121,спр_Материалы!$A$2:$A$9000,0))="EUR",КурсEUR,1))*INDEX(спр_Материалы!$K$2:$K$9000,MATCH($I121,спр_Материалы!$A$2:$A$9000,0))*(1+IFERROR(INDEX(спр_Работы!$I$2:$I$6000,MATCH($C121,спр_Работы!$A$2:$A$6000,0))/100,0))*(1-ДисконтТендер),0))</f>
        <v/>
      </c>
      <c r="N121" s="10">
        <f>IF(AND($R121="да",$H121&lt;&gt;""),ROUND($H121*$L121,2),0)</f>
        <v/>
      </c>
      <c r="O121" s="10">
        <f>IF(AND($R121="да",$H121&lt;&gt;""),ROUND($H121*$M121,2),0)</f>
        <v/>
      </c>
      <c r="P121" s="10">
        <f>$N121+$O121</f>
        <v/>
      </c>
      <c r="Q121">
        <f>IFERROR(INDEX(спр_Работы!$J$2:$J$6000,MATCH($C121,спр_Работы!$A$2:$A$6000,0)),"")</f>
        <v/>
      </c>
      <c r="R121" t="inlineStr">
        <is>
          <t>да</t>
        </is>
      </c>
      <c r="T121">
        <f>IF(AND($P121&gt;0,$R121="да"),MAX($T$1:$T120)+1,"")</f>
        <v/>
      </c>
    </row>
    <row r="122">
      <c r="A122">
        <f>IFERROR(INDEX(спр_Работы!$D$2:$D$6000,MATCH($C122,спр_Работы!$A$2:$A$6000,0)),"")</f>
        <v/>
      </c>
      <c r="B122">
        <f>IFERROR(INDEX(спр_Работы!$F$2:$F$6000,MATCH($C122,спр_Работы!$A$2:$A$6000,0)),"")</f>
        <v/>
      </c>
      <c r="C122">
        <f>IFERROR(INDEX(спр_Работы!$A$2:$A$6000,121),"")</f>
        <v/>
      </c>
      <c r="D122" s="8">
        <f>IFERROR(INDEX(спр_Работы!$B$2:$B$6000,MATCH($C122,спр_Работы!$A$2:$A$6000,0)),"")</f>
        <v/>
      </c>
      <c r="E122">
        <f>IFERROR(INDEX(спр_Работы!$C$2:$C$6000,MATCH($C122,спр_Работы!$A$2:$A$6000,0)),"")</f>
        <v/>
      </c>
      <c r="F122">
        <f>IFERROR(INDEX(спр_Работы!$G$2:$G$6000,MATCH($C122,спр_Работы!$A$2:$A$6000,0)),"")</f>
        <v/>
      </c>
      <c r="G122">
        <f>IFERROR(INDEX(спр_Работы!$K$2:$K$6000,MATCH($C122,спр_Работы!$A$2:$A$6000,0)),"")</f>
        <v/>
      </c>
      <c r="H122" s="9" t="n"/>
      <c r="I122" s="9" t="n"/>
      <c r="J122" s="8">
        <f>IFERROR(INDEX(спр_Материалы!$B$2:$B$9000,MATCH($I122,спр_Материалы!$A$2:$A$9000,0)),"")</f>
        <v/>
      </c>
      <c r="K122">
        <f>IF($I122="","",IF($F122=IFERROR(INDEX(спр_Материалы!$G$2:$G$9000,MATCH($I122,спр_Материалы!$A$2:$A$9000,0)),""),"OK","!! не та группа"))</f>
        <v/>
      </c>
      <c r="L122" s="10">
        <f>IFERROR(INDEX(спр_Работы!$H$2:$H$6000,MATCH($C122,спр_Работы!$A$2:$A$6000,0))*(1-ДисконтТендер),0)</f>
        <v/>
      </c>
      <c r="M122" s="10">
        <f>IF($I122="",0,IFERROR(INDEX(спр_Материалы!$I$2:$I$9000,MATCH($I122,спр_Материалы!$A$2:$A$9000,0))*IF(INDEX(спр_Материалы!$J$2:$J$9000,MATCH($I122,спр_Материалы!$A$2:$A$9000,0))="USD",КурсUSD,IF(INDEX(спр_Материалы!$J$2:$J$9000,MATCH($I122,спр_Материалы!$A$2:$A$9000,0))="EUR",КурсEUR,1))*INDEX(спр_Материалы!$K$2:$K$9000,MATCH($I122,спр_Материалы!$A$2:$A$9000,0))*(1+IFERROR(INDEX(спр_Работы!$I$2:$I$6000,MATCH($C122,спр_Работы!$A$2:$A$6000,0))/100,0))*(1-ДисконтТендер),0))</f>
        <v/>
      </c>
      <c r="N122" s="10">
        <f>IF(AND($R122="да",$H122&lt;&gt;""),ROUND($H122*$L122,2),0)</f>
        <v/>
      </c>
      <c r="O122" s="10">
        <f>IF(AND($R122="да",$H122&lt;&gt;""),ROUND($H122*$M122,2),0)</f>
        <v/>
      </c>
      <c r="P122" s="10">
        <f>$N122+$O122</f>
        <v/>
      </c>
      <c r="Q122">
        <f>IFERROR(INDEX(спр_Работы!$J$2:$J$6000,MATCH($C122,спр_Работы!$A$2:$A$6000,0)),"")</f>
        <v/>
      </c>
      <c r="R122" t="inlineStr">
        <is>
          <t>да</t>
        </is>
      </c>
      <c r="T122">
        <f>IF(AND($P122&gt;0,$R122="да"),MAX($T$1:$T121)+1,"")</f>
        <v/>
      </c>
    </row>
    <row r="123">
      <c r="A123">
        <f>IFERROR(INDEX(спр_Работы!$D$2:$D$6000,MATCH($C123,спр_Работы!$A$2:$A$6000,0)),"")</f>
        <v/>
      </c>
      <c r="B123">
        <f>IFERROR(INDEX(спр_Работы!$F$2:$F$6000,MATCH($C123,спр_Работы!$A$2:$A$6000,0)),"")</f>
        <v/>
      </c>
      <c r="C123">
        <f>IFERROR(INDEX(спр_Работы!$A$2:$A$6000,122),"")</f>
        <v/>
      </c>
      <c r="D123" s="8">
        <f>IFERROR(INDEX(спр_Работы!$B$2:$B$6000,MATCH($C123,спр_Работы!$A$2:$A$6000,0)),"")</f>
        <v/>
      </c>
      <c r="E123">
        <f>IFERROR(INDEX(спр_Работы!$C$2:$C$6000,MATCH($C123,спр_Работы!$A$2:$A$6000,0)),"")</f>
        <v/>
      </c>
      <c r="F123">
        <f>IFERROR(INDEX(спр_Работы!$G$2:$G$6000,MATCH($C123,спр_Работы!$A$2:$A$6000,0)),"")</f>
        <v/>
      </c>
      <c r="G123">
        <f>IFERROR(INDEX(спр_Работы!$K$2:$K$6000,MATCH($C123,спр_Работы!$A$2:$A$6000,0)),"")</f>
        <v/>
      </c>
      <c r="H123" s="9" t="n"/>
      <c r="I123" s="9" t="n"/>
      <c r="J123" s="8">
        <f>IFERROR(INDEX(спр_Материалы!$B$2:$B$9000,MATCH($I123,спр_Материалы!$A$2:$A$9000,0)),"")</f>
        <v/>
      </c>
      <c r="K123">
        <f>IF($I123="","",IF($F123=IFERROR(INDEX(спр_Материалы!$G$2:$G$9000,MATCH($I123,спр_Материалы!$A$2:$A$9000,0)),""),"OK","!! не та группа"))</f>
        <v/>
      </c>
      <c r="L123" s="10">
        <f>IFERROR(INDEX(спр_Работы!$H$2:$H$6000,MATCH($C123,спр_Работы!$A$2:$A$6000,0))*(1-ДисконтТендер),0)</f>
        <v/>
      </c>
      <c r="M123" s="10">
        <f>IF($I123="",0,IFERROR(INDEX(спр_Материалы!$I$2:$I$9000,MATCH($I123,спр_Материалы!$A$2:$A$9000,0))*IF(INDEX(спр_Материалы!$J$2:$J$9000,MATCH($I123,спр_Материалы!$A$2:$A$9000,0))="USD",КурсUSD,IF(INDEX(спр_Материалы!$J$2:$J$9000,MATCH($I123,спр_Материалы!$A$2:$A$9000,0))="EUR",КурсEUR,1))*INDEX(спр_Материалы!$K$2:$K$9000,MATCH($I123,спр_Материалы!$A$2:$A$9000,0))*(1+IFERROR(INDEX(спр_Работы!$I$2:$I$6000,MATCH($C123,спр_Работы!$A$2:$A$6000,0))/100,0))*(1-ДисконтТендер),0))</f>
        <v/>
      </c>
      <c r="N123" s="10">
        <f>IF(AND($R123="да",$H123&lt;&gt;""),ROUND($H123*$L123,2),0)</f>
        <v/>
      </c>
      <c r="O123" s="10">
        <f>IF(AND($R123="да",$H123&lt;&gt;""),ROUND($H123*$M123,2),0)</f>
        <v/>
      </c>
      <c r="P123" s="10">
        <f>$N123+$O123</f>
        <v/>
      </c>
      <c r="Q123">
        <f>IFERROR(INDEX(спр_Работы!$J$2:$J$6000,MATCH($C123,спр_Работы!$A$2:$A$6000,0)),"")</f>
        <v/>
      </c>
      <c r="R123" t="inlineStr">
        <is>
          <t>да</t>
        </is>
      </c>
      <c r="T123">
        <f>IF(AND($P123&gt;0,$R123="да"),MAX($T$1:$T122)+1,"")</f>
        <v/>
      </c>
    </row>
    <row r="124">
      <c r="A124">
        <f>IFERROR(INDEX(спр_Работы!$D$2:$D$6000,MATCH($C124,спр_Работы!$A$2:$A$6000,0)),"")</f>
        <v/>
      </c>
      <c r="B124">
        <f>IFERROR(INDEX(спр_Работы!$F$2:$F$6000,MATCH($C124,спр_Работы!$A$2:$A$6000,0)),"")</f>
        <v/>
      </c>
      <c r="C124">
        <f>IFERROR(INDEX(спр_Работы!$A$2:$A$6000,123),"")</f>
        <v/>
      </c>
      <c r="D124" s="8">
        <f>IFERROR(INDEX(спр_Работы!$B$2:$B$6000,MATCH($C124,спр_Работы!$A$2:$A$6000,0)),"")</f>
        <v/>
      </c>
      <c r="E124">
        <f>IFERROR(INDEX(спр_Работы!$C$2:$C$6000,MATCH($C124,спр_Работы!$A$2:$A$6000,0)),"")</f>
        <v/>
      </c>
      <c r="F124">
        <f>IFERROR(INDEX(спр_Работы!$G$2:$G$6000,MATCH($C124,спр_Работы!$A$2:$A$6000,0)),"")</f>
        <v/>
      </c>
      <c r="G124">
        <f>IFERROR(INDEX(спр_Работы!$K$2:$K$6000,MATCH($C124,спр_Работы!$A$2:$A$6000,0)),"")</f>
        <v/>
      </c>
      <c r="H124" s="9" t="n"/>
      <c r="I124" s="9" t="n"/>
      <c r="J124" s="8">
        <f>IFERROR(INDEX(спр_Материалы!$B$2:$B$9000,MATCH($I124,спр_Материалы!$A$2:$A$9000,0)),"")</f>
        <v/>
      </c>
      <c r="K124">
        <f>IF($I124="","",IF($F124=IFERROR(INDEX(спр_Материалы!$G$2:$G$9000,MATCH($I124,спр_Материалы!$A$2:$A$9000,0)),""),"OK","!! не та группа"))</f>
        <v/>
      </c>
      <c r="L124" s="10">
        <f>IFERROR(INDEX(спр_Работы!$H$2:$H$6000,MATCH($C124,спр_Работы!$A$2:$A$6000,0))*(1-ДисконтТендер),0)</f>
        <v/>
      </c>
      <c r="M124" s="10">
        <f>IF($I124="",0,IFERROR(INDEX(спр_Материалы!$I$2:$I$9000,MATCH($I124,спр_Материалы!$A$2:$A$9000,0))*IF(INDEX(спр_Материалы!$J$2:$J$9000,MATCH($I124,спр_Материалы!$A$2:$A$9000,0))="USD",КурсUSD,IF(INDEX(спр_Материалы!$J$2:$J$9000,MATCH($I124,спр_Материалы!$A$2:$A$9000,0))="EUR",КурсEUR,1))*INDEX(спр_Материалы!$K$2:$K$9000,MATCH($I124,спр_Материалы!$A$2:$A$9000,0))*(1+IFERROR(INDEX(спр_Работы!$I$2:$I$6000,MATCH($C124,спр_Работы!$A$2:$A$6000,0))/100,0))*(1-ДисконтТендер),0))</f>
        <v/>
      </c>
      <c r="N124" s="10">
        <f>IF(AND($R124="да",$H124&lt;&gt;""),ROUND($H124*$L124,2),0)</f>
        <v/>
      </c>
      <c r="O124" s="10">
        <f>IF(AND($R124="да",$H124&lt;&gt;""),ROUND($H124*$M124,2),0)</f>
        <v/>
      </c>
      <c r="P124" s="10">
        <f>$N124+$O124</f>
        <v/>
      </c>
      <c r="Q124">
        <f>IFERROR(INDEX(спр_Работы!$J$2:$J$6000,MATCH($C124,спр_Работы!$A$2:$A$6000,0)),"")</f>
        <v/>
      </c>
      <c r="R124" t="inlineStr">
        <is>
          <t>да</t>
        </is>
      </c>
      <c r="T124">
        <f>IF(AND($P124&gt;0,$R124="да"),MAX($T$1:$T123)+1,"")</f>
        <v/>
      </c>
    </row>
    <row r="125">
      <c r="A125">
        <f>IFERROR(INDEX(спр_Работы!$D$2:$D$6000,MATCH($C125,спр_Работы!$A$2:$A$6000,0)),"")</f>
        <v/>
      </c>
      <c r="B125">
        <f>IFERROR(INDEX(спр_Работы!$F$2:$F$6000,MATCH($C125,спр_Работы!$A$2:$A$6000,0)),"")</f>
        <v/>
      </c>
      <c r="C125">
        <f>IFERROR(INDEX(спр_Работы!$A$2:$A$6000,124),"")</f>
        <v/>
      </c>
      <c r="D125" s="8">
        <f>IFERROR(INDEX(спр_Работы!$B$2:$B$6000,MATCH($C125,спр_Работы!$A$2:$A$6000,0)),"")</f>
        <v/>
      </c>
      <c r="E125">
        <f>IFERROR(INDEX(спр_Работы!$C$2:$C$6000,MATCH($C125,спр_Работы!$A$2:$A$6000,0)),"")</f>
        <v/>
      </c>
      <c r="F125">
        <f>IFERROR(INDEX(спр_Работы!$G$2:$G$6000,MATCH($C125,спр_Работы!$A$2:$A$6000,0)),"")</f>
        <v/>
      </c>
      <c r="G125">
        <f>IFERROR(INDEX(спр_Работы!$K$2:$K$6000,MATCH($C125,спр_Работы!$A$2:$A$6000,0)),"")</f>
        <v/>
      </c>
      <c r="H125" s="9" t="n"/>
      <c r="I125" s="9" t="n"/>
      <c r="J125" s="8">
        <f>IFERROR(INDEX(спр_Материалы!$B$2:$B$9000,MATCH($I125,спр_Материалы!$A$2:$A$9000,0)),"")</f>
        <v/>
      </c>
      <c r="K125">
        <f>IF($I125="","",IF($F125=IFERROR(INDEX(спр_Материалы!$G$2:$G$9000,MATCH($I125,спр_Материалы!$A$2:$A$9000,0)),""),"OK","!! не та группа"))</f>
        <v/>
      </c>
      <c r="L125" s="10">
        <f>IFERROR(INDEX(спр_Работы!$H$2:$H$6000,MATCH($C125,спр_Работы!$A$2:$A$6000,0))*(1-ДисконтТендер),0)</f>
        <v/>
      </c>
      <c r="M125" s="10">
        <f>IF($I125="",0,IFERROR(INDEX(спр_Материалы!$I$2:$I$9000,MATCH($I125,спр_Материалы!$A$2:$A$9000,0))*IF(INDEX(спр_Материалы!$J$2:$J$9000,MATCH($I125,спр_Материалы!$A$2:$A$9000,0))="USD",КурсUSD,IF(INDEX(спр_Материалы!$J$2:$J$9000,MATCH($I125,спр_Материалы!$A$2:$A$9000,0))="EUR",КурсEUR,1))*INDEX(спр_Материалы!$K$2:$K$9000,MATCH($I125,спр_Материалы!$A$2:$A$9000,0))*(1+IFERROR(INDEX(спр_Работы!$I$2:$I$6000,MATCH($C125,спр_Работы!$A$2:$A$6000,0))/100,0))*(1-ДисконтТендер),0))</f>
        <v/>
      </c>
      <c r="N125" s="10">
        <f>IF(AND($R125="да",$H125&lt;&gt;""),ROUND($H125*$L125,2),0)</f>
        <v/>
      </c>
      <c r="O125" s="10">
        <f>IF(AND($R125="да",$H125&lt;&gt;""),ROUND($H125*$M125,2),0)</f>
        <v/>
      </c>
      <c r="P125" s="10">
        <f>$N125+$O125</f>
        <v/>
      </c>
      <c r="Q125">
        <f>IFERROR(INDEX(спр_Работы!$J$2:$J$6000,MATCH($C125,спр_Работы!$A$2:$A$6000,0)),"")</f>
        <v/>
      </c>
      <c r="R125" t="inlineStr">
        <is>
          <t>да</t>
        </is>
      </c>
      <c r="T125">
        <f>IF(AND($P125&gt;0,$R125="да"),MAX($T$1:$T124)+1,"")</f>
        <v/>
      </c>
    </row>
    <row r="126">
      <c r="A126">
        <f>IFERROR(INDEX(спр_Работы!$D$2:$D$6000,MATCH($C126,спр_Работы!$A$2:$A$6000,0)),"")</f>
        <v/>
      </c>
      <c r="B126">
        <f>IFERROR(INDEX(спр_Работы!$F$2:$F$6000,MATCH($C126,спр_Работы!$A$2:$A$6000,0)),"")</f>
        <v/>
      </c>
      <c r="C126">
        <f>IFERROR(INDEX(спр_Работы!$A$2:$A$6000,125),"")</f>
        <v/>
      </c>
      <c r="D126" s="8">
        <f>IFERROR(INDEX(спр_Работы!$B$2:$B$6000,MATCH($C126,спр_Работы!$A$2:$A$6000,0)),"")</f>
        <v/>
      </c>
      <c r="E126">
        <f>IFERROR(INDEX(спр_Работы!$C$2:$C$6000,MATCH($C126,спр_Работы!$A$2:$A$6000,0)),"")</f>
        <v/>
      </c>
      <c r="F126">
        <f>IFERROR(INDEX(спр_Работы!$G$2:$G$6000,MATCH($C126,спр_Работы!$A$2:$A$6000,0)),"")</f>
        <v/>
      </c>
      <c r="G126">
        <f>IFERROR(INDEX(спр_Работы!$K$2:$K$6000,MATCH($C126,спр_Работы!$A$2:$A$6000,0)),"")</f>
        <v/>
      </c>
      <c r="H126" s="9" t="n"/>
      <c r="I126" s="9" t="n"/>
      <c r="J126" s="8">
        <f>IFERROR(INDEX(спр_Материалы!$B$2:$B$9000,MATCH($I126,спр_Материалы!$A$2:$A$9000,0)),"")</f>
        <v/>
      </c>
      <c r="K126">
        <f>IF($I126="","",IF($F126=IFERROR(INDEX(спр_Материалы!$G$2:$G$9000,MATCH($I126,спр_Материалы!$A$2:$A$9000,0)),""),"OK","!! не та группа"))</f>
        <v/>
      </c>
      <c r="L126" s="10">
        <f>IFERROR(INDEX(спр_Работы!$H$2:$H$6000,MATCH($C126,спр_Работы!$A$2:$A$6000,0))*(1-ДисконтТендер),0)</f>
        <v/>
      </c>
      <c r="M126" s="10">
        <f>IF($I126="",0,IFERROR(INDEX(спр_Материалы!$I$2:$I$9000,MATCH($I126,спр_Материалы!$A$2:$A$9000,0))*IF(INDEX(спр_Материалы!$J$2:$J$9000,MATCH($I126,спр_Материалы!$A$2:$A$9000,0))="USD",КурсUSD,IF(INDEX(спр_Материалы!$J$2:$J$9000,MATCH($I126,спр_Материалы!$A$2:$A$9000,0))="EUR",КурсEUR,1))*INDEX(спр_Материалы!$K$2:$K$9000,MATCH($I126,спр_Материалы!$A$2:$A$9000,0))*(1+IFERROR(INDEX(спр_Работы!$I$2:$I$6000,MATCH($C126,спр_Работы!$A$2:$A$6000,0))/100,0))*(1-ДисконтТендер),0))</f>
        <v/>
      </c>
      <c r="N126" s="10">
        <f>IF(AND($R126="да",$H126&lt;&gt;""),ROUND($H126*$L126,2),0)</f>
        <v/>
      </c>
      <c r="O126" s="10">
        <f>IF(AND($R126="да",$H126&lt;&gt;""),ROUND($H126*$M126,2),0)</f>
        <v/>
      </c>
      <c r="P126" s="10">
        <f>$N126+$O126</f>
        <v/>
      </c>
      <c r="Q126">
        <f>IFERROR(INDEX(спр_Работы!$J$2:$J$6000,MATCH($C126,спр_Работы!$A$2:$A$6000,0)),"")</f>
        <v/>
      </c>
      <c r="R126" t="inlineStr">
        <is>
          <t>да</t>
        </is>
      </c>
      <c r="T126">
        <f>IF(AND($P126&gt;0,$R126="да"),MAX($T$1:$T125)+1,"")</f>
        <v/>
      </c>
    </row>
    <row r="127">
      <c r="A127">
        <f>IFERROR(INDEX(спр_Работы!$D$2:$D$6000,MATCH($C127,спр_Работы!$A$2:$A$6000,0)),"")</f>
        <v/>
      </c>
      <c r="B127">
        <f>IFERROR(INDEX(спр_Работы!$F$2:$F$6000,MATCH($C127,спр_Работы!$A$2:$A$6000,0)),"")</f>
        <v/>
      </c>
      <c r="C127">
        <f>IFERROR(INDEX(спр_Работы!$A$2:$A$6000,126),"")</f>
        <v/>
      </c>
      <c r="D127" s="8">
        <f>IFERROR(INDEX(спр_Работы!$B$2:$B$6000,MATCH($C127,спр_Работы!$A$2:$A$6000,0)),"")</f>
        <v/>
      </c>
      <c r="E127">
        <f>IFERROR(INDEX(спр_Работы!$C$2:$C$6000,MATCH($C127,спр_Работы!$A$2:$A$6000,0)),"")</f>
        <v/>
      </c>
      <c r="F127">
        <f>IFERROR(INDEX(спр_Работы!$G$2:$G$6000,MATCH($C127,спр_Работы!$A$2:$A$6000,0)),"")</f>
        <v/>
      </c>
      <c r="G127">
        <f>IFERROR(INDEX(спр_Работы!$K$2:$K$6000,MATCH($C127,спр_Работы!$A$2:$A$6000,0)),"")</f>
        <v/>
      </c>
      <c r="H127" s="9" t="n"/>
      <c r="I127" s="9" t="n"/>
      <c r="J127" s="8">
        <f>IFERROR(INDEX(спр_Материалы!$B$2:$B$9000,MATCH($I127,спр_Материалы!$A$2:$A$9000,0)),"")</f>
        <v/>
      </c>
      <c r="K127">
        <f>IF($I127="","",IF($F127=IFERROR(INDEX(спр_Материалы!$G$2:$G$9000,MATCH($I127,спр_Материалы!$A$2:$A$9000,0)),""),"OK","!! не та группа"))</f>
        <v/>
      </c>
      <c r="L127" s="10">
        <f>IFERROR(INDEX(спр_Работы!$H$2:$H$6000,MATCH($C127,спр_Работы!$A$2:$A$6000,0))*(1-ДисконтТендер),0)</f>
        <v/>
      </c>
      <c r="M127" s="10">
        <f>IF($I127="",0,IFERROR(INDEX(спр_Материалы!$I$2:$I$9000,MATCH($I127,спр_Материалы!$A$2:$A$9000,0))*IF(INDEX(спр_Материалы!$J$2:$J$9000,MATCH($I127,спр_Материалы!$A$2:$A$9000,0))="USD",КурсUSD,IF(INDEX(спр_Материалы!$J$2:$J$9000,MATCH($I127,спр_Материалы!$A$2:$A$9000,0))="EUR",КурсEUR,1))*INDEX(спр_Материалы!$K$2:$K$9000,MATCH($I127,спр_Материалы!$A$2:$A$9000,0))*(1+IFERROR(INDEX(спр_Работы!$I$2:$I$6000,MATCH($C127,спр_Работы!$A$2:$A$6000,0))/100,0))*(1-ДисконтТендер),0))</f>
        <v/>
      </c>
      <c r="N127" s="10">
        <f>IF(AND($R127="да",$H127&lt;&gt;""),ROUND($H127*$L127,2),0)</f>
        <v/>
      </c>
      <c r="O127" s="10">
        <f>IF(AND($R127="да",$H127&lt;&gt;""),ROUND($H127*$M127,2),0)</f>
        <v/>
      </c>
      <c r="P127" s="10">
        <f>$N127+$O127</f>
        <v/>
      </c>
      <c r="Q127">
        <f>IFERROR(INDEX(спр_Работы!$J$2:$J$6000,MATCH($C127,спр_Работы!$A$2:$A$6000,0)),"")</f>
        <v/>
      </c>
      <c r="R127" t="inlineStr">
        <is>
          <t>да</t>
        </is>
      </c>
      <c r="T127">
        <f>IF(AND($P127&gt;0,$R127="да"),MAX($T$1:$T126)+1,"")</f>
        <v/>
      </c>
    </row>
    <row r="128">
      <c r="A128">
        <f>IFERROR(INDEX(спр_Работы!$D$2:$D$6000,MATCH($C128,спр_Работы!$A$2:$A$6000,0)),"")</f>
        <v/>
      </c>
      <c r="B128">
        <f>IFERROR(INDEX(спр_Работы!$F$2:$F$6000,MATCH($C128,спр_Работы!$A$2:$A$6000,0)),"")</f>
        <v/>
      </c>
      <c r="C128">
        <f>IFERROR(INDEX(спр_Работы!$A$2:$A$6000,127),"")</f>
        <v/>
      </c>
      <c r="D128" s="8">
        <f>IFERROR(INDEX(спр_Работы!$B$2:$B$6000,MATCH($C128,спр_Работы!$A$2:$A$6000,0)),"")</f>
        <v/>
      </c>
      <c r="E128">
        <f>IFERROR(INDEX(спр_Работы!$C$2:$C$6000,MATCH($C128,спр_Работы!$A$2:$A$6000,0)),"")</f>
        <v/>
      </c>
      <c r="F128">
        <f>IFERROR(INDEX(спр_Работы!$G$2:$G$6000,MATCH($C128,спр_Работы!$A$2:$A$6000,0)),"")</f>
        <v/>
      </c>
      <c r="G128">
        <f>IFERROR(INDEX(спр_Работы!$K$2:$K$6000,MATCH($C128,спр_Работы!$A$2:$A$6000,0)),"")</f>
        <v/>
      </c>
      <c r="H128" s="9" t="n"/>
      <c r="I128" s="9" t="n"/>
      <c r="J128" s="8">
        <f>IFERROR(INDEX(спр_Материалы!$B$2:$B$9000,MATCH($I128,спр_Материалы!$A$2:$A$9000,0)),"")</f>
        <v/>
      </c>
      <c r="K128">
        <f>IF($I128="","",IF($F128=IFERROR(INDEX(спр_Материалы!$G$2:$G$9000,MATCH($I128,спр_Материалы!$A$2:$A$9000,0)),""),"OK","!! не та группа"))</f>
        <v/>
      </c>
      <c r="L128" s="10">
        <f>IFERROR(INDEX(спр_Работы!$H$2:$H$6000,MATCH($C128,спр_Работы!$A$2:$A$6000,0))*(1-ДисконтТендер),0)</f>
        <v/>
      </c>
      <c r="M128" s="10">
        <f>IF($I128="",0,IFERROR(INDEX(спр_Материалы!$I$2:$I$9000,MATCH($I128,спр_Материалы!$A$2:$A$9000,0))*IF(INDEX(спр_Материалы!$J$2:$J$9000,MATCH($I128,спр_Материалы!$A$2:$A$9000,0))="USD",КурсUSD,IF(INDEX(спр_Материалы!$J$2:$J$9000,MATCH($I128,спр_Материалы!$A$2:$A$9000,0))="EUR",КурсEUR,1))*INDEX(спр_Материалы!$K$2:$K$9000,MATCH($I128,спр_Материалы!$A$2:$A$9000,0))*(1+IFERROR(INDEX(спр_Работы!$I$2:$I$6000,MATCH($C128,спр_Работы!$A$2:$A$6000,0))/100,0))*(1-ДисконтТендер),0))</f>
        <v/>
      </c>
      <c r="N128" s="10">
        <f>IF(AND($R128="да",$H128&lt;&gt;""),ROUND($H128*$L128,2),0)</f>
        <v/>
      </c>
      <c r="O128" s="10">
        <f>IF(AND($R128="да",$H128&lt;&gt;""),ROUND($H128*$M128,2),0)</f>
        <v/>
      </c>
      <c r="P128" s="10">
        <f>$N128+$O128</f>
        <v/>
      </c>
      <c r="Q128">
        <f>IFERROR(INDEX(спр_Работы!$J$2:$J$6000,MATCH($C128,спр_Работы!$A$2:$A$6000,0)),"")</f>
        <v/>
      </c>
      <c r="R128" t="inlineStr">
        <is>
          <t>да</t>
        </is>
      </c>
      <c r="T128">
        <f>IF(AND($P128&gt;0,$R128="да"),MAX($T$1:$T127)+1,"")</f>
        <v/>
      </c>
    </row>
    <row r="129">
      <c r="A129">
        <f>IFERROR(INDEX(спр_Работы!$D$2:$D$6000,MATCH($C129,спр_Работы!$A$2:$A$6000,0)),"")</f>
        <v/>
      </c>
      <c r="B129">
        <f>IFERROR(INDEX(спр_Работы!$F$2:$F$6000,MATCH($C129,спр_Работы!$A$2:$A$6000,0)),"")</f>
        <v/>
      </c>
      <c r="C129">
        <f>IFERROR(INDEX(спр_Работы!$A$2:$A$6000,128),"")</f>
        <v/>
      </c>
      <c r="D129" s="8">
        <f>IFERROR(INDEX(спр_Работы!$B$2:$B$6000,MATCH($C129,спр_Работы!$A$2:$A$6000,0)),"")</f>
        <v/>
      </c>
      <c r="E129">
        <f>IFERROR(INDEX(спр_Работы!$C$2:$C$6000,MATCH($C129,спр_Работы!$A$2:$A$6000,0)),"")</f>
        <v/>
      </c>
      <c r="F129">
        <f>IFERROR(INDEX(спр_Работы!$G$2:$G$6000,MATCH($C129,спр_Работы!$A$2:$A$6000,0)),"")</f>
        <v/>
      </c>
      <c r="G129">
        <f>IFERROR(INDEX(спр_Работы!$K$2:$K$6000,MATCH($C129,спр_Работы!$A$2:$A$6000,0)),"")</f>
        <v/>
      </c>
      <c r="H129" s="9" t="n"/>
      <c r="I129" s="9" t="n"/>
      <c r="J129" s="8">
        <f>IFERROR(INDEX(спр_Материалы!$B$2:$B$9000,MATCH($I129,спр_Материалы!$A$2:$A$9000,0)),"")</f>
        <v/>
      </c>
      <c r="K129">
        <f>IF($I129="","",IF($F129=IFERROR(INDEX(спр_Материалы!$G$2:$G$9000,MATCH($I129,спр_Материалы!$A$2:$A$9000,0)),""),"OK","!! не та группа"))</f>
        <v/>
      </c>
      <c r="L129" s="10">
        <f>IFERROR(INDEX(спр_Работы!$H$2:$H$6000,MATCH($C129,спр_Работы!$A$2:$A$6000,0))*(1-ДисконтТендер),0)</f>
        <v/>
      </c>
      <c r="M129" s="10">
        <f>IF($I129="",0,IFERROR(INDEX(спр_Материалы!$I$2:$I$9000,MATCH($I129,спр_Материалы!$A$2:$A$9000,0))*IF(INDEX(спр_Материалы!$J$2:$J$9000,MATCH($I129,спр_Материалы!$A$2:$A$9000,0))="USD",КурсUSD,IF(INDEX(спр_Материалы!$J$2:$J$9000,MATCH($I129,спр_Материалы!$A$2:$A$9000,0))="EUR",КурсEUR,1))*INDEX(спр_Материалы!$K$2:$K$9000,MATCH($I129,спр_Материалы!$A$2:$A$9000,0))*(1+IFERROR(INDEX(спр_Работы!$I$2:$I$6000,MATCH($C129,спр_Работы!$A$2:$A$6000,0))/100,0))*(1-ДисконтТендер),0))</f>
        <v/>
      </c>
      <c r="N129" s="10">
        <f>IF(AND($R129="да",$H129&lt;&gt;""),ROUND($H129*$L129,2),0)</f>
        <v/>
      </c>
      <c r="O129" s="10">
        <f>IF(AND($R129="да",$H129&lt;&gt;""),ROUND($H129*$M129,2),0)</f>
        <v/>
      </c>
      <c r="P129" s="10">
        <f>$N129+$O129</f>
        <v/>
      </c>
      <c r="Q129">
        <f>IFERROR(INDEX(спр_Работы!$J$2:$J$6000,MATCH($C129,спр_Работы!$A$2:$A$6000,0)),"")</f>
        <v/>
      </c>
      <c r="R129" t="inlineStr">
        <is>
          <t>да</t>
        </is>
      </c>
      <c r="T129">
        <f>IF(AND($P129&gt;0,$R129="да"),MAX($T$1:$T128)+1,"")</f>
        <v/>
      </c>
    </row>
    <row r="130">
      <c r="A130">
        <f>IFERROR(INDEX(спр_Работы!$D$2:$D$6000,MATCH($C130,спр_Работы!$A$2:$A$6000,0)),"")</f>
        <v/>
      </c>
      <c r="B130">
        <f>IFERROR(INDEX(спр_Работы!$F$2:$F$6000,MATCH($C130,спр_Работы!$A$2:$A$6000,0)),"")</f>
        <v/>
      </c>
      <c r="C130">
        <f>IFERROR(INDEX(спр_Работы!$A$2:$A$6000,129),"")</f>
        <v/>
      </c>
      <c r="D130" s="8">
        <f>IFERROR(INDEX(спр_Работы!$B$2:$B$6000,MATCH($C130,спр_Работы!$A$2:$A$6000,0)),"")</f>
        <v/>
      </c>
      <c r="E130">
        <f>IFERROR(INDEX(спр_Работы!$C$2:$C$6000,MATCH($C130,спр_Работы!$A$2:$A$6000,0)),"")</f>
        <v/>
      </c>
      <c r="F130">
        <f>IFERROR(INDEX(спр_Работы!$G$2:$G$6000,MATCH($C130,спр_Работы!$A$2:$A$6000,0)),"")</f>
        <v/>
      </c>
      <c r="G130">
        <f>IFERROR(INDEX(спр_Работы!$K$2:$K$6000,MATCH($C130,спр_Работы!$A$2:$A$6000,0)),"")</f>
        <v/>
      </c>
      <c r="H130" s="9" t="n"/>
      <c r="I130" s="9" t="n"/>
      <c r="J130" s="8">
        <f>IFERROR(INDEX(спр_Материалы!$B$2:$B$9000,MATCH($I130,спр_Материалы!$A$2:$A$9000,0)),"")</f>
        <v/>
      </c>
      <c r="K130">
        <f>IF($I130="","",IF($F130=IFERROR(INDEX(спр_Материалы!$G$2:$G$9000,MATCH($I130,спр_Материалы!$A$2:$A$9000,0)),""),"OK","!! не та группа"))</f>
        <v/>
      </c>
      <c r="L130" s="10">
        <f>IFERROR(INDEX(спр_Работы!$H$2:$H$6000,MATCH($C130,спр_Работы!$A$2:$A$6000,0))*(1-ДисконтТендер),0)</f>
        <v/>
      </c>
      <c r="M130" s="10">
        <f>IF($I130="",0,IFERROR(INDEX(спр_Материалы!$I$2:$I$9000,MATCH($I130,спр_Материалы!$A$2:$A$9000,0))*IF(INDEX(спр_Материалы!$J$2:$J$9000,MATCH($I130,спр_Материалы!$A$2:$A$9000,0))="USD",КурсUSD,IF(INDEX(спр_Материалы!$J$2:$J$9000,MATCH($I130,спр_Материалы!$A$2:$A$9000,0))="EUR",КурсEUR,1))*INDEX(спр_Материалы!$K$2:$K$9000,MATCH($I130,спр_Материалы!$A$2:$A$9000,0))*(1+IFERROR(INDEX(спр_Работы!$I$2:$I$6000,MATCH($C130,спр_Работы!$A$2:$A$6000,0))/100,0))*(1-ДисконтТендер),0))</f>
        <v/>
      </c>
      <c r="N130" s="10">
        <f>IF(AND($R130="да",$H130&lt;&gt;""),ROUND($H130*$L130,2),0)</f>
        <v/>
      </c>
      <c r="O130" s="10">
        <f>IF(AND($R130="да",$H130&lt;&gt;""),ROUND($H130*$M130,2),0)</f>
        <v/>
      </c>
      <c r="P130" s="10">
        <f>$N130+$O130</f>
        <v/>
      </c>
      <c r="Q130">
        <f>IFERROR(INDEX(спр_Работы!$J$2:$J$6000,MATCH($C130,спр_Работы!$A$2:$A$6000,0)),"")</f>
        <v/>
      </c>
      <c r="R130" t="inlineStr">
        <is>
          <t>да</t>
        </is>
      </c>
      <c r="T130">
        <f>IF(AND($P130&gt;0,$R130="да"),MAX($T$1:$T129)+1,"")</f>
        <v/>
      </c>
    </row>
    <row r="131">
      <c r="A131">
        <f>IFERROR(INDEX(спр_Работы!$D$2:$D$6000,MATCH($C131,спр_Работы!$A$2:$A$6000,0)),"")</f>
        <v/>
      </c>
      <c r="B131">
        <f>IFERROR(INDEX(спр_Работы!$F$2:$F$6000,MATCH($C131,спр_Работы!$A$2:$A$6000,0)),"")</f>
        <v/>
      </c>
      <c r="C131">
        <f>IFERROR(INDEX(спр_Работы!$A$2:$A$6000,130),"")</f>
        <v/>
      </c>
      <c r="D131" s="8">
        <f>IFERROR(INDEX(спр_Работы!$B$2:$B$6000,MATCH($C131,спр_Работы!$A$2:$A$6000,0)),"")</f>
        <v/>
      </c>
      <c r="E131">
        <f>IFERROR(INDEX(спр_Работы!$C$2:$C$6000,MATCH($C131,спр_Работы!$A$2:$A$6000,0)),"")</f>
        <v/>
      </c>
      <c r="F131">
        <f>IFERROR(INDEX(спр_Работы!$G$2:$G$6000,MATCH($C131,спр_Работы!$A$2:$A$6000,0)),"")</f>
        <v/>
      </c>
      <c r="G131">
        <f>IFERROR(INDEX(спр_Работы!$K$2:$K$6000,MATCH($C131,спр_Работы!$A$2:$A$6000,0)),"")</f>
        <v/>
      </c>
      <c r="H131" s="9" t="n"/>
      <c r="I131" s="9" t="n"/>
      <c r="J131" s="8">
        <f>IFERROR(INDEX(спр_Материалы!$B$2:$B$9000,MATCH($I131,спр_Материалы!$A$2:$A$9000,0)),"")</f>
        <v/>
      </c>
      <c r="K131">
        <f>IF($I131="","",IF($F131=IFERROR(INDEX(спр_Материалы!$G$2:$G$9000,MATCH($I131,спр_Материалы!$A$2:$A$9000,0)),""),"OK","!! не та группа"))</f>
        <v/>
      </c>
      <c r="L131" s="10">
        <f>IFERROR(INDEX(спр_Работы!$H$2:$H$6000,MATCH($C131,спр_Работы!$A$2:$A$6000,0))*(1-ДисконтТендер),0)</f>
        <v/>
      </c>
      <c r="M131" s="10">
        <f>IF($I131="",0,IFERROR(INDEX(спр_Материалы!$I$2:$I$9000,MATCH($I131,спр_Материалы!$A$2:$A$9000,0))*IF(INDEX(спр_Материалы!$J$2:$J$9000,MATCH($I131,спр_Материалы!$A$2:$A$9000,0))="USD",КурсUSD,IF(INDEX(спр_Материалы!$J$2:$J$9000,MATCH($I131,спр_Материалы!$A$2:$A$9000,0))="EUR",КурсEUR,1))*INDEX(спр_Материалы!$K$2:$K$9000,MATCH($I131,спр_Материалы!$A$2:$A$9000,0))*(1+IFERROR(INDEX(спр_Работы!$I$2:$I$6000,MATCH($C131,спр_Работы!$A$2:$A$6000,0))/100,0))*(1-ДисконтТендер),0))</f>
        <v/>
      </c>
      <c r="N131" s="10">
        <f>IF(AND($R131="да",$H131&lt;&gt;""),ROUND($H131*$L131,2),0)</f>
        <v/>
      </c>
      <c r="O131" s="10">
        <f>IF(AND($R131="да",$H131&lt;&gt;""),ROUND($H131*$M131,2),0)</f>
        <v/>
      </c>
      <c r="P131" s="10">
        <f>$N131+$O131</f>
        <v/>
      </c>
      <c r="Q131">
        <f>IFERROR(INDEX(спр_Работы!$J$2:$J$6000,MATCH($C131,спр_Работы!$A$2:$A$6000,0)),"")</f>
        <v/>
      </c>
      <c r="R131" t="inlineStr">
        <is>
          <t>да</t>
        </is>
      </c>
      <c r="T131">
        <f>IF(AND($P131&gt;0,$R131="да"),MAX($T$1:$T130)+1,"")</f>
        <v/>
      </c>
    </row>
    <row r="132">
      <c r="A132">
        <f>IFERROR(INDEX(спр_Работы!$D$2:$D$6000,MATCH($C132,спр_Работы!$A$2:$A$6000,0)),"")</f>
        <v/>
      </c>
      <c r="B132">
        <f>IFERROR(INDEX(спр_Работы!$F$2:$F$6000,MATCH($C132,спр_Работы!$A$2:$A$6000,0)),"")</f>
        <v/>
      </c>
      <c r="C132">
        <f>IFERROR(INDEX(спр_Работы!$A$2:$A$6000,131),"")</f>
        <v/>
      </c>
      <c r="D132" s="8">
        <f>IFERROR(INDEX(спр_Работы!$B$2:$B$6000,MATCH($C132,спр_Работы!$A$2:$A$6000,0)),"")</f>
        <v/>
      </c>
      <c r="E132">
        <f>IFERROR(INDEX(спр_Работы!$C$2:$C$6000,MATCH($C132,спр_Работы!$A$2:$A$6000,0)),"")</f>
        <v/>
      </c>
      <c r="F132">
        <f>IFERROR(INDEX(спр_Работы!$G$2:$G$6000,MATCH($C132,спр_Работы!$A$2:$A$6000,0)),"")</f>
        <v/>
      </c>
      <c r="G132">
        <f>IFERROR(INDEX(спр_Работы!$K$2:$K$6000,MATCH($C132,спр_Работы!$A$2:$A$6000,0)),"")</f>
        <v/>
      </c>
      <c r="H132" s="9" t="n"/>
      <c r="I132" s="9" t="n"/>
      <c r="J132" s="8">
        <f>IFERROR(INDEX(спр_Материалы!$B$2:$B$9000,MATCH($I132,спр_Материалы!$A$2:$A$9000,0)),"")</f>
        <v/>
      </c>
      <c r="K132">
        <f>IF($I132="","",IF($F132=IFERROR(INDEX(спр_Материалы!$G$2:$G$9000,MATCH($I132,спр_Материалы!$A$2:$A$9000,0)),""),"OK","!! не та группа"))</f>
        <v/>
      </c>
      <c r="L132" s="10">
        <f>IFERROR(INDEX(спр_Работы!$H$2:$H$6000,MATCH($C132,спр_Работы!$A$2:$A$6000,0))*(1-ДисконтТендер),0)</f>
        <v/>
      </c>
      <c r="M132" s="10">
        <f>IF($I132="",0,IFERROR(INDEX(спр_Материалы!$I$2:$I$9000,MATCH($I132,спр_Материалы!$A$2:$A$9000,0))*IF(INDEX(спр_Материалы!$J$2:$J$9000,MATCH($I132,спр_Материалы!$A$2:$A$9000,0))="USD",КурсUSD,IF(INDEX(спр_Материалы!$J$2:$J$9000,MATCH($I132,спр_Материалы!$A$2:$A$9000,0))="EUR",КурсEUR,1))*INDEX(спр_Материалы!$K$2:$K$9000,MATCH($I132,спр_Материалы!$A$2:$A$9000,0))*(1+IFERROR(INDEX(спр_Работы!$I$2:$I$6000,MATCH($C132,спр_Работы!$A$2:$A$6000,0))/100,0))*(1-ДисконтТендер),0))</f>
        <v/>
      </c>
      <c r="N132" s="10">
        <f>IF(AND($R132="да",$H132&lt;&gt;""),ROUND($H132*$L132,2),0)</f>
        <v/>
      </c>
      <c r="O132" s="10">
        <f>IF(AND($R132="да",$H132&lt;&gt;""),ROUND($H132*$M132,2),0)</f>
        <v/>
      </c>
      <c r="P132" s="10">
        <f>$N132+$O132</f>
        <v/>
      </c>
      <c r="Q132">
        <f>IFERROR(INDEX(спр_Работы!$J$2:$J$6000,MATCH($C132,спр_Работы!$A$2:$A$6000,0)),"")</f>
        <v/>
      </c>
      <c r="R132" t="inlineStr">
        <is>
          <t>да</t>
        </is>
      </c>
      <c r="T132">
        <f>IF(AND($P132&gt;0,$R132="да"),MAX($T$1:$T131)+1,"")</f>
        <v/>
      </c>
    </row>
    <row r="133">
      <c r="A133">
        <f>IFERROR(INDEX(спр_Работы!$D$2:$D$6000,MATCH($C133,спр_Работы!$A$2:$A$6000,0)),"")</f>
        <v/>
      </c>
      <c r="B133">
        <f>IFERROR(INDEX(спр_Работы!$F$2:$F$6000,MATCH($C133,спр_Работы!$A$2:$A$6000,0)),"")</f>
        <v/>
      </c>
      <c r="C133">
        <f>IFERROR(INDEX(спр_Работы!$A$2:$A$6000,132),"")</f>
        <v/>
      </c>
      <c r="D133" s="8">
        <f>IFERROR(INDEX(спр_Работы!$B$2:$B$6000,MATCH($C133,спр_Работы!$A$2:$A$6000,0)),"")</f>
        <v/>
      </c>
      <c r="E133">
        <f>IFERROR(INDEX(спр_Работы!$C$2:$C$6000,MATCH($C133,спр_Работы!$A$2:$A$6000,0)),"")</f>
        <v/>
      </c>
      <c r="F133">
        <f>IFERROR(INDEX(спр_Работы!$G$2:$G$6000,MATCH($C133,спр_Работы!$A$2:$A$6000,0)),"")</f>
        <v/>
      </c>
      <c r="G133">
        <f>IFERROR(INDEX(спр_Работы!$K$2:$K$6000,MATCH($C133,спр_Работы!$A$2:$A$6000,0)),"")</f>
        <v/>
      </c>
      <c r="H133" s="9" t="n"/>
      <c r="I133" s="9" t="n"/>
      <c r="J133" s="8">
        <f>IFERROR(INDEX(спр_Материалы!$B$2:$B$9000,MATCH($I133,спр_Материалы!$A$2:$A$9000,0)),"")</f>
        <v/>
      </c>
      <c r="K133">
        <f>IF($I133="","",IF($F133=IFERROR(INDEX(спр_Материалы!$G$2:$G$9000,MATCH($I133,спр_Материалы!$A$2:$A$9000,0)),""),"OK","!! не та группа"))</f>
        <v/>
      </c>
      <c r="L133" s="10">
        <f>IFERROR(INDEX(спр_Работы!$H$2:$H$6000,MATCH($C133,спр_Работы!$A$2:$A$6000,0))*(1-ДисконтТендер),0)</f>
        <v/>
      </c>
      <c r="M133" s="10">
        <f>IF($I133="",0,IFERROR(INDEX(спр_Материалы!$I$2:$I$9000,MATCH($I133,спр_Материалы!$A$2:$A$9000,0))*IF(INDEX(спр_Материалы!$J$2:$J$9000,MATCH($I133,спр_Материалы!$A$2:$A$9000,0))="USD",КурсUSD,IF(INDEX(спр_Материалы!$J$2:$J$9000,MATCH($I133,спр_Материалы!$A$2:$A$9000,0))="EUR",КурсEUR,1))*INDEX(спр_Материалы!$K$2:$K$9000,MATCH($I133,спр_Материалы!$A$2:$A$9000,0))*(1+IFERROR(INDEX(спр_Работы!$I$2:$I$6000,MATCH($C133,спр_Работы!$A$2:$A$6000,0))/100,0))*(1-ДисконтТендер),0))</f>
        <v/>
      </c>
      <c r="N133" s="10">
        <f>IF(AND($R133="да",$H133&lt;&gt;""),ROUND($H133*$L133,2),0)</f>
        <v/>
      </c>
      <c r="O133" s="10">
        <f>IF(AND($R133="да",$H133&lt;&gt;""),ROUND($H133*$M133,2),0)</f>
        <v/>
      </c>
      <c r="P133" s="10">
        <f>$N133+$O133</f>
        <v/>
      </c>
      <c r="Q133">
        <f>IFERROR(INDEX(спр_Работы!$J$2:$J$6000,MATCH($C133,спр_Работы!$A$2:$A$6000,0)),"")</f>
        <v/>
      </c>
      <c r="R133" t="inlineStr">
        <is>
          <t>да</t>
        </is>
      </c>
      <c r="T133">
        <f>IF(AND($P133&gt;0,$R133="да"),MAX($T$1:$T132)+1,"")</f>
        <v/>
      </c>
    </row>
    <row r="134">
      <c r="A134">
        <f>IFERROR(INDEX(спр_Работы!$D$2:$D$6000,MATCH($C134,спр_Работы!$A$2:$A$6000,0)),"")</f>
        <v/>
      </c>
      <c r="B134">
        <f>IFERROR(INDEX(спр_Работы!$F$2:$F$6000,MATCH($C134,спр_Работы!$A$2:$A$6000,0)),"")</f>
        <v/>
      </c>
      <c r="C134">
        <f>IFERROR(INDEX(спр_Работы!$A$2:$A$6000,133),"")</f>
        <v/>
      </c>
      <c r="D134" s="8">
        <f>IFERROR(INDEX(спр_Работы!$B$2:$B$6000,MATCH($C134,спр_Работы!$A$2:$A$6000,0)),"")</f>
        <v/>
      </c>
      <c r="E134">
        <f>IFERROR(INDEX(спр_Работы!$C$2:$C$6000,MATCH($C134,спр_Работы!$A$2:$A$6000,0)),"")</f>
        <v/>
      </c>
      <c r="F134">
        <f>IFERROR(INDEX(спр_Работы!$G$2:$G$6000,MATCH($C134,спр_Работы!$A$2:$A$6000,0)),"")</f>
        <v/>
      </c>
      <c r="G134">
        <f>IFERROR(INDEX(спр_Работы!$K$2:$K$6000,MATCH($C134,спр_Работы!$A$2:$A$6000,0)),"")</f>
        <v/>
      </c>
      <c r="H134" s="9" t="n"/>
      <c r="I134" s="9" t="n"/>
      <c r="J134" s="8">
        <f>IFERROR(INDEX(спр_Материалы!$B$2:$B$9000,MATCH($I134,спр_Материалы!$A$2:$A$9000,0)),"")</f>
        <v/>
      </c>
      <c r="K134">
        <f>IF($I134="","",IF($F134=IFERROR(INDEX(спр_Материалы!$G$2:$G$9000,MATCH($I134,спр_Материалы!$A$2:$A$9000,0)),""),"OK","!! не та группа"))</f>
        <v/>
      </c>
      <c r="L134" s="10">
        <f>IFERROR(INDEX(спр_Работы!$H$2:$H$6000,MATCH($C134,спр_Работы!$A$2:$A$6000,0))*(1-ДисконтТендер),0)</f>
        <v/>
      </c>
      <c r="M134" s="10">
        <f>IF($I134="",0,IFERROR(INDEX(спр_Материалы!$I$2:$I$9000,MATCH($I134,спр_Материалы!$A$2:$A$9000,0))*IF(INDEX(спр_Материалы!$J$2:$J$9000,MATCH($I134,спр_Материалы!$A$2:$A$9000,0))="USD",КурсUSD,IF(INDEX(спр_Материалы!$J$2:$J$9000,MATCH($I134,спр_Материалы!$A$2:$A$9000,0))="EUR",КурсEUR,1))*INDEX(спр_Материалы!$K$2:$K$9000,MATCH($I134,спр_Материалы!$A$2:$A$9000,0))*(1+IFERROR(INDEX(спр_Работы!$I$2:$I$6000,MATCH($C134,спр_Работы!$A$2:$A$6000,0))/100,0))*(1-ДисконтТендер),0))</f>
        <v/>
      </c>
      <c r="N134" s="10">
        <f>IF(AND($R134="да",$H134&lt;&gt;""),ROUND($H134*$L134,2),0)</f>
        <v/>
      </c>
      <c r="O134" s="10">
        <f>IF(AND($R134="да",$H134&lt;&gt;""),ROUND($H134*$M134,2),0)</f>
        <v/>
      </c>
      <c r="P134" s="10">
        <f>$N134+$O134</f>
        <v/>
      </c>
      <c r="Q134">
        <f>IFERROR(INDEX(спр_Работы!$J$2:$J$6000,MATCH($C134,спр_Работы!$A$2:$A$6000,0)),"")</f>
        <v/>
      </c>
      <c r="R134" t="inlineStr">
        <is>
          <t>да</t>
        </is>
      </c>
      <c r="T134">
        <f>IF(AND($P134&gt;0,$R134="да"),MAX($T$1:$T133)+1,"")</f>
        <v/>
      </c>
    </row>
    <row r="135">
      <c r="A135">
        <f>IFERROR(INDEX(спр_Работы!$D$2:$D$6000,MATCH($C135,спр_Работы!$A$2:$A$6000,0)),"")</f>
        <v/>
      </c>
      <c r="B135">
        <f>IFERROR(INDEX(спр_Работы!$F$2:$F$6000,MATCH($C135,спр_Работы!$A$2:$A$6000,0)),"")</f>
        <v/>
      </c>
      <c r="C135">
        <f>IFERROR(INDEX(спр_Работы!$A$2:$A$6000,134),"")</f>
        <v/>
      </c>
      <c r="D135" s="8">
        <f>IFERROR(INDEX(спр_Работы!$B$2:$B$6000,MATCH($C135,спр_Работы!$A$2:$A$6000,0)),"")</f>
        <v/>
      </c>
      <c r="E135">
        <f>IFERROR(INDEX(спр_Работы!$C$2:$C$6000,MATCH($C135,спр_Работы!$A$2:$A$6000,0)),"")</f>
        <v/>
      </c>
      <c r="F135">
        <f>IFERROR(INDEX(спр_Работы!$G$2:$G$6000,MATCH($C135,спр_Работы!$A$2:$A$6000,0)),"")</f>
        <v/>
      </c>
      <c r="G135">
        <f>IFERROR(INDEX(спр_Работы!$K$2:$K$6000,MATCH($C135,спр_Работы!$A$2:$A$6000,0)),"")</f>
        <v/>
      </c>
      <c r="H135" s="9" t="n"/>
      <c r="I135" s="9" t="n"/>
      <c r="J135" s="8">
        <f>IFERROR(INDEX(спр_Материалы!$B$2:$B$9000,MATCH($I135,спр_Материалы!$A$2:$A$9000,0)),"")</f>
        <v/>
      </c>
      <c r="K135">
        <f>IF($I135="","",IF($F135=IFERROR(INDEX(спр_Материалы!$G$2:$G$9000,MATCH($I135,спр_Материалы!$A$2:$A$9000,0)),""),"OK","!! не та группа"))</f>
        <v/>
      </c>
      <c r="L135" s="10">
        <f>IFERROR(INDEX(спр_Работы!$H$2:$H$6000,MATCH($C135,спр_Работы!$A$2:$A$6000,0))*(1-ДисконтТендер),0)</f>
        <v/>
      </c>
      <c r="M135" s="10">
        <f>IF($I135="",0,IFERROR(INDEX(спр_Материалы!$I$2:$I$9000,MATCH($I135,спр_Материалы!$A$2:$A$9000,0))*IF(INDEX(спр_Материалы!$J$2:$J$9000,MATCH($I135,спр_Материалы!$A$2:$A$9000,0))="USD",КурсUSD,IF(INDEX(спр_Материалы!$J$2:$J$9000,MATCH($I135,спр_Материалы!$A$2:$A$9000,0))="EUR",КурсEUR,1))*INDEX(спр_Материалы!$K$2:$K$9000,MATCH($I135,спр_Материалы!$A$2:$A$9000,0))*(1+IFERROR(INDEX(спр_Работы!$I$2:$I$6000,MATCH($C135,спр_Работы!$A$2:$A$6000,0))/100,0))*(1-ДисконтТендер),0))</f>
        <v/>
      </c>
      <c r="N135" s="10">
        <f>IF(AND($R135="да",$H135&lt;&gt;""),ROUND($H135*$L135,2),0)</f>
        <v/>
      </c>
      <c r="O135" s="10">
        <f>IF(AND($R135="да",$H135&lt;&gt;""),ROUND($H135*$M135,2),0)</f>
        <v/>
      </c>
      <c r="P135" s="10">
        <f>$N135+$O135</f>
        <v/>
      </c>
      <c r="Q135">
        <f>IFERROR(INDEX(спр_Работы!$J$2:$J$6000,MATCH($C135,спр_Работы!$A$2:$A$6000,0)),"")</f>
        <v/>
      </c>
      <c r="R135" t="inlineStr">
        <is>
          <t>да</t>
        </is>
      </c>
      <c r="T135">
        <f>IF(AND($P135&gt;0,$R135="да"),MAX($T$1:$T134)+1,"")</f>
        <v/>
      </c>
    </row>
    <row r="136">
      <c r="A136">
        <f>IFERROR(INDEX(спр_Работы!$D$2:$D$6000,MATCH($C136,спр_Работы!$A$2:$A$6000,0)),"")</f>
        <v/>
      </c>
      <c r="B136">
        <f>IFERROR(INDEX(спр_Работы!$F$2:$F$6000,MATCH($C136,спр_Работы!$A$2:$A$6000,0)),"")</f>
        <v/>
      </c>
      <c r="C136">
        <f>IFERROR(INDEX(спр_Работы!$A$2:$A$6000,135),"")</f>
        <v/>
      </c>
      <c r="D136" s="8">
        <f>IFERROR(INDEX(спр_Работы!$B$2:$B$6000,MATCH($C136,спр_Работы!$A$2:$A$6000,0)),"")</f>
        <v/>
      </c>
      <c r="E136">
        <f>IFERROR(INDEX(спр_Работы!$C$2:$C$6000,MATCH($C136,спр_Работы!$A$2:$A$6000,0)),"")</f>
        <v/>
      </c>
      <c r="F136">
        <f>IFERROR(INDEX(спр_Работы!$G$2:$G$6000,MATCH($C136,спр_Работы!$A$2:$A$6000,0)),"")</f>
        <v/>
      </c>
      <c r="G136">
        <f>IFERROR(INDEX(спр_Работы!$K$2:$K$6000,MATCH($C136,спр_Работы!$A$2:$A$6000,0)),"")</f>
        <v/>
      </c>
      <c r="H136" s="9" t="n"/>
      <c r="I136" s="9" t="n"/>
      <c r="J136" s="8">
        <f>IFERROR(INDEX(спр_Материалы!$B$2:$B$9000,MATCH($I136,спр_Материалы!$A$2:$A$9000,0)),"")</f>
        <v/>
      </c>
      <c r="K136">
        <f>IF($I136="","",IF($F136=IFERROR(INDEX(спр_Материалы!$G$2:$G$9000,MATCH($I136,спр_Материалы!$A$2:$A$9000,0)),""),"OK","!! не та группа"))</f>
        <v/>
      </c>
      <c r="L136" s="10">
        <f>IFERROR(INDEX(спр_Работы!$H$2:$H$6000,MATCH($C136,спр_Работы!$A$2:$A$6000,0))*(1-ДисконтТендер),0)</f>
        <v/>
      </c>
      <c r="M136" s="10">
        <f>IF($I136="",0,IFERROR(INDEX(спр_Материалы!$I$2:$I$9000,MATCH($I136,спр_Материалы!$A$2:$A$9000,0))*IF(INDEX(спр_Материалы!$J$2:$J$9000,MATCH($I136,спр_Материалы!$A$2:$A$9000,0))="USD",КурсUSD,IF(INDEX(спр_Материалы!$J$2:$J$9000,MATCH($I136,спр_Материалы!$A$2:$A$9000,0))="EUR",КурсEUR,1))*INDEX(спр_Материалы!$K$2:$K$9000,MATCH($I136,спр_Материалы!$A$2:$A$9000,0))*(1+IFERROR(INDEX(спр_Работы!$I$2:$I$6000,MATCH($C136,спр_Работы!$A$2:$A$6000,0))/100,0))*(1-ДисконтТендер),0))</f>
        <v/>
      </c>
      <c r="N136" s="10">
        <f>IF(AND($R136="да",$H136&lt;&gt;""),ROUND($H136*$L136,2),0)</f>
        <v/>
      </c>
      <c r="O136" s="10">
        <f>IF(AND($R136="да",$H136&lt;&gt;""),ROUND($H136*$M136,2),0)</f>
        <v/>
      </c>
      <c r="P136" s="10">
        <f>$N136+$O136</f>
        <v/>
      </c>
      <c r="Q136">
        <f>IFERROR(INDEX(спр_Работы!$J$2:$J$6000,MATCH($C136,спр_Работы!$A$2:$A$6000,0)),"")</f>
        <v/>
      </c>
      <c r="R136" t="inlineStr">
        <is>
          <t>да</t>
        </is>
      </c>
      <c r="T136">
        <f>IF(AND($P136&gt;0,$R136="да"),MAX($T$1:$T135)+1,"")</f>
        <v/>
      </c>
    </row>
    <row r="137">
      <c r="A137">
        <f>IFERROR(INDEX(спр_Работы!$D$2:$D$6000,MATCH($C137,спр_Работы!$A$2:$A$6000,0)),"")</f>
        <v/>
      </c>
      <c r="B137">
        <f>IFERROR(INDEX(спр_Работы!$F$2:$F$6000,MATCH($C137,спр_Работы!$A$2:$A$6000,0)),"")</f>
        <v/>
      </c>
      <c r="C137">
        <f>IFERROR(INDEX(спр_Работы!$A$2:$A$6000,136),"")</f>
        <v/>
      </c>
      <c r="D137" s="8">
        <f>IFERROR(INDEX(спр_Работы!$B$2:$B$6000,MATCH($C137,спр_Работы!$A$2:$A$6000,0)),"")</f>
        <v/>
      </c>
      <c r="E137">
        <f>IFERROR(INDEX(спр_Работы!$C$2:$C$6000,MATCH($C137,спр_Работы!$A$2:$A$6000,0)),"")</f>
        <v/>
      </c>
      <c r="F137">
        <f>IFERROR(INDEX(спр_Работы!$G$2:$G$6000,MATCH($C137,спр_Работы!$A$2:$A$6000,0)),"")</f>
        <v/>
      </c>
      <c r="G137">
        <f>IFERROR(INDEX(спр_Работы!$K$2:$K$6000,MATCH($C137,спр_Работы!$A$2:$A$6000,0)),"")</f>
        <v/>
      </c>
      <c r="H137" s="9" t="n"/>
      <c r="I137" s="9" t="n"/>
      <c r="J137" s="8">
        <f>IFERROR(INDEX(спр_Материалы!$B$2:$B$9000,MATCH($I137,спр_Материалы!$A$2:$A$9000,0)),"")</f>
        <v/>
      </c>
      <c r="K137">
        <f>IF($I137="","",IF($F137=IFERROR(INDEX(спр_Материалы!$G$2:$G$9000,MATCH($I137,спр_Материалы!$A$2:$A$9000,0)),""),"OK","!! не та группа"))</f>
        <v/>
      </c>
      <c r="L137" s="10">
        <f>IFERROR(INDEX(спр_Работы!$H$2:$H$6000,MATCH($C137,спр_Работы!$A$2:$A$6000,0))*(1-ДисконтТендер),0)</f>
        <v/>
      </c>
      <c r="M137" s="10">
        <f>IF($I137="",0,IFERROR(INDEX(спр_Материалы!$I$2:$I$9000,MATCH($I137,спр_Материалы!$A$2:$A$9000,0))*IF(INDEX(спр_Материалы!$J$2:$J$9000,MATCH($I137,спр_Материалы!$A$2:$A$9000,0))="USD",КурсUSD,IF(INDEX(спр_Материалы!$J$2:$J$9000,MATCH($I137,спр_Материалы!$A$2:$A$9000,0))="EUR",КурсEUR,1))*INDEX(спр_Материалы!$K$2:$K$9000,MATCH($I137,спр_Материалы!$A$2:$A$9000,0))*(1+IFERROR(INDEX(спр_Работы!$I$2:$I$6000,MATCH($C137,спр_Работы!$A$2:$A$6000,0))/100,0))*(1-ДисконтТендер),0))</f>
        <v/>
      </c>
      <c r="N137" s="10">
        <f>IF(AND($R137="да",$H137&lt;&gt;""),ROUND($H137*$L137,2),0)</f>
        <v/>
      </c>
      <c r="O137" s="10">
        <f>IF(AND($R137="да",$H137&lt;&gt;""),ROUND($H137*$M137,2),0)</f>
        <v/>
      </c>
      <c r="P137" s="10">
        <f>$N137+$O137</f>
        <v/>
      </c>
      <c r="Q137">
        <f>IFERROR(INDEX(спр_Работы!$J$2:$J$6000,MATCH($C137,спр_Работы!$A$2:$A$6000,0)),"")</f>
        <v/>
      </c>
      <c r="R137" t="inlineStr">
        <is>
          <t>да</t>
        </is>
      </c>
      <c r="T137">
        <f>IF(AND($P137&gt;0,$R137="да"),MAX($T$1:$T136)+1,"")</f>
        <v/>
      </c>
    </row>
    <row r="138">
      <c r="A138">
        <f>IFERROR(INDEX(спр_Работы!$D$2:$D$6000,MATCH($C138,спр_Работы!$A$2:$A$6000,0)),"")</f>
        <v/>
      </c>
      <c r="B138">
        <f>IFERROR(INDEX(спр_Работы!$F$2:$F$6000,MATCH($C138,спр_Работы!$A$2:$A$6000,0)),"")</f>
        <v/>
      </c>
      <c r="C138">
        <f>IFERROR(INDEX(спр_Работы!$A$2:$A$6000,137),"")</f>
        <v/>
      </c>
      <c r="D138" s="8">
        <f>IFERROR(INDEX(спр_Работы!$B$2:$B$6000,MATCH($C138,спр_Работы!$A$2:$A$6000,0)),"")</f>
        <v/>
      </c>
      <c r="E138">
        <f>IFERROR(INDEX(спр_Работы!$C$2:$C$6000,MATCH($C138,спр_Работы!$A$2:$A$6000,0)),"")</f>
        <v/>
      </c>
      <c r="F138">
        <f>IFERROR(INDEX(спр_Работы!$G$2:$G$6000,MATCH($C138,спр_Работы!$A$2:$A$6000,0)),"")</f>
        <v/>
      </c>
      <c r="G138">
        <f>IFERROR(INDEX(спр_Работы!$K$2:$K$6000,MATCH($C138,спр_Работы!$A$2:$A$6000,0)),"")</f>
        <v/>
      </c>
      <c r="H138" s="9" t="n"/>
      <c r="I138" s="9" t="n"/>
      <c r="J138" s="8">
        <f>IFERROR(INDEX(спр_Материалы!$B$2:$B$9000,MATCH($I138,спр_Материалы!$A$2:$A$9000,0)),"")</f>
        <v/>
      </c>
      <c r="K138">
        <f>IF($I138="","",IF($F138=IFERROR(INDEX(спр_Материалы!$G$2:$G$9000,MATCH($I138,спр_Материалы!$A$2:$A$9000,0)),""),"OK","!! не та группа"))</f>
        <v/>
      </c>
      <c r="L138" s="10">
        <f>IFERROR(INDEX(спр_Работы!$H$2:$H$6000,MATCH($C138,спр_Работы!$A$2:$A$6000,0))*(1-ДисконтТендер),0)</f>
        <v/>
      </c>
      <c r="M138" s="10">
        <f>IF($I138="",0,IFERROR(INDEX(спр_Материалы!$I$2:$I$9000,MATCH($I138,спр_Материалы!$A$2:$A$9000,0))*IF(INDEX(спр_Материалы!$J$2:$J$9000,MATCH($I138,спр_Материалы!$A$2:$A$9000,0))="USD",КурсUSD,IF(INDEX(спр_Материалы!$J$2:$J$9000,MATCH($I138,спр_Материалы!$A$2:$A$9000,0))="EUR",КурсEUR,1))*INDEX(спр_Материалы!$K$2:$K$9000,MATCH($I138,спр_Материалы!$A$2:$A$9000,0))*(1+IFERROR(INDEX(спр_Работы!$I$2:$I$6000,MATCH($C138,спр_Работы!$A$2:$A$6000,0))/100,0))*(1-ДисконтТендер),0))</f>
        <v/>
      </c>
      <c r="N138" s="10">
        <f>IF(AND($R138="да",$H138&lt;&gt;""),ROUND($H138*$L138,2),0)</f>
        <v/>
      </c>
      <c r="O138" s="10">
        <f>IF(AND($R138="да",$H138&lt;&gt;""),ROUND($H138*$M138,2),0)</f>
        <v/>
      </c>
      <c r="P138" s="10">
        <f>$N138+$O138</f>
        <v/>
      </c>
      <c r="Q138">
        <f>IFERROR(INDEX(спр_Работы!$J$2:$J$6000,MATCH($C138,спр_Работы!$A$2:$A$6000,0)),"")</f>
        <v/>
      </c>
      <c r="R138" t="inlineStr">
        <is>
          <t>да</t>
        </is>
      </c>
      <c r="T138">
        <f>IF(AND($P138&gt;0,$R138="да"),MAX($T$1:$T137)+1,"")</f>
        <v/>
      </c>
    </row>
    <row r="139">
      <c r="A139">
        <f>IFERROR(INDEX(спр_Работы!$D$2:$D$6000,MATCH($C139,спр_Работы!$A$2:$A$6000,0)),"")</f>
        <v/>
      </c>
      <c r="B139">
        <f>IFERROR(INDEX(спр_Работы!$F$2:$F$6000,MATCH($C139,спр_Работы!$A$2:$A$6000,0)),"")</f>
        <v/>
      </c>
      <c r="C139">
        <f>IFERROR(INDEX(спр_Работы!$A$2:$A$6000,138),"")</f>
        <v/>
      </c>
      <c r="D139" s="8">
        <f>IFERROR(INDEX(спр_Работы!$B$2:$B$6000,MATCH($C139,спр_Работы!$A$2:$A$6000,0)),"")</f>
        <v/>
      </c>
      <c r="E139">
        <f>IFERROR(INDEX(спр_Работы!$C$2:$C$6000,MATCH($C139,спр_Работы!$A$2:$A$6000,0)),"")</f>
        <v/>
      </c>
      <c r="F139">
        <f>IFERROR(INDEX(спр_Работы!$G$2:$G$6000,MATCH($C139,спр_Работы!$A$2:$A$6000,0)),"")</f>
        <v/>
      </c>
      <c r="G139">
        <f>IFERROR(INDEX(спр_Работы!$K$2:$K$6000,MATCH($C139,спр_Работы!$A$2:$A$6000,0)),"")</f>
        <v/>
      </c>
      <c r="H139" s="9" t="n"/>
      <c r="I139" s="9" t="n"/>
      <c r="J139" s="8">
        <f>IFERROR(INDEX(спр_Материалы!$B$2:$B$9000,MATCH($I139,спр_Материалы!$A$2:$A$9000,0)),"")</f>
        <v/>
      </c>
      <c r="K139">
        <f>IF($I139="","",IF($F139=IFERROR(INDEX(спр_Материалы!$G$2:$G$9000,MATCH($I139,спр_Материалы!$A$2:$A$9000,0)),""),"OK","!! не та группа"))</f>
        <v/>
      </c>
      <c r="L139" s="10">
        <f>IFERROR(INDEX(спр_Работы!$H$2:$H$6000,MATCH($C139,спр_Работы!$A$2:$A$6000,0))*(1-ДисконтТендер),0)</f>
        <v/>
      </c>
      <c r="M139" s="10">
        <f>IF($I139="",0,IFERROR(INDEX(спр_Материалы!$I$2:$I$9000,MATCH($I139,спр_Материалы!$A$2:$A$9000,0))*IF(INDEX(спр_Материалы!$J$2:$J$9000,MATCH($I139,спр_Материалы!$A$2:$A$9000,0))="USD",КурсUSD,IF(INDEX(спр_Материалы!$J$2:$J$9000,MATCH($I139,спр_Материалы!$A$2:$A$9000,0))="EUR",КурсEUR,1))*INDEX(спр_Материалы!$K$2:$K$9000,MATCH($I139,спр_Материалы!$A$2:$A$9000,0))*(1+IFERROR(INDEX(спр_Работы!$I$2:$I$6000,MATCH($C139,спр_Работы!$A$2:$A$6000,0))/100,0))*(1-ДисконтТендер),0))</f>
        <v/>
      </c>
      <c r="N139" s="10">
        <f>IF(AND($R139="да",$H139&lt;&gt;""),ROUND($H139*$L139,2),0)</f>
        <v/>
      </c>
      <c r="O139" s="10">
        <f>IF(AND($R139="да",$H139&lt;&gt;""),ROUND($H139*$M139,2),0)</f>
        <v/>
      </c>
      <c r="P139" s="10">
        <f>$N139+$O139</f>
        <v/>
      </c>
      <c r="Q139">
        <f>IFERROR(INDEX(спр_Работы!$J$2:$J$6000,MATCH($C139,спр_Работы!$A$2:$A$6000,0)),"")</f>
        <v/>
      </c>
      <c r="R139" t="inlineStr">
        <is>
          <t>да</t>
        </is>
      </c>
      <c r="T139">
        <f>IF(AND($P139&gt;0,$R139="да"),MAX($T$1:$T138)+1,"")</f>
        <v/>
      </c>
    </row>
    <row r="140">
      <c r="A140">
        <f>IFERROR(INDEX(спр_Работы!$D$2:$D$6000,MATCH($C140,спр_Работы!$A$2:$A$6000,0)),"")</f>
        <v/>
      </c>
      <c r="B140">
        <f>IFERROR(INDEX(спр_Работы!$F$2:$F$6000,MATCH($C140,спр_Работы!$A$2:$A$6000,0)),"")</f>
        <v/>
      </c>
      <c r="C140">
        <f>IFERROR(INDEX(спр_Работы!$A$2:$A$6000,139),"")</f>
        <v/>
      </c>
      <c r="D140" s="8">
        <f>IFERROR(INDEX(спр_Работы!$B$2:$B$6000,MATCH($C140,спр_Работы!$A$2:$A$6000,0)),"")</f>
        <v/>
      </c>
      <c r="E140">
        <f>IFERROR(INDEX(спр_Работы!$C$2:$C$6000,MATCH($C140,спр_Работы!$A$2:$A$6000,0)),"")</f>
        <v/>
      </c>
      <c r="F140">
        <f>IFERROR(INDEX(спр_Работы!$G$2:$G$6000,MATCH($C140,спр_Работы!$A$2:$A$6000,0)),"")</f>
        <v/>
      </c>
      <c r="G140">
        <f>IFERROR(INDEX(спр_Работы!$K$2:$K$6000,MATCH($C140,спр_Работы!$A$2:$A$6000,0)),"")</f>
        <v/>
      </c>
      <c r="H140" s="9" t="n"/>
      <c r="I140" s="9" t="n"/>
      <c r="J140" s="8">
        <f>IFERROR(INDEX(спр_Материалы!$B$2:$B$9000,MATCH($I140,спр_Материалы!$A$2:$A$9000,0)),"")</f>
        <v/>
      </c>
      <c r="K140">
        <f>IF($I140="","",IF($F140=IFERROR(INDEX(спр_Материалы!$G$2:$G$9000,MATCH($I140,спр_Материалы!$A$2:$A$9000,0)),""),"OK","!! не та группа"))</f>
        <v/>
      </c>
      <c r="L140" s="10">
        <f>IFERROR(INDEX(спр_Работы!$H$2:$H$6000,MATCH($C140,спр_Работы!$A$2:$A$6000,0))*(1-ДисконтТендер),0)</f>
        <v/>
      </c>
      <c r="M140" s="10">
        <f>IF($I140="",0,IFERROR(INDEX(спр_Материалы!$I$2:$I$9000,MATCH($I140,спр_Материалы!$A$2:$A$9000,0))*IF(INDEX(спр_Материалы!$J$2:$J$9000,MATCH($I140,спр_Материалы!$A$2:$A$9000,0))="USD",КурсUSD,IF(INDEX(спр_Материалы!$J$2:$J$9000,MATCH($I140,спр_Материалы!$A$2:$A$9000,0))="EUR",КурсEUR,1))*INDEX(спр_Материалы!$K$2:$K$9000,MATCH($I140,спр_Материалы!$A$2:$A$9000,0))*(1+IFERROR(INDEX(спр_Работы!$I$2:$I$6000,MATCH($C140,спр_Работы!$A$2:$A$6000,0))/100,0))*(1-ДисконтТендер),0))</f>
        <v/>
      </c>
      <c r="N140" s="10">
        <f>IF(AND($R140="да",$H140&lt;&gt;""),ROUND($H140*$L140,2),0)</f>
        <v/>
      </c>
      <c r="O140" s="10">
        <f>IF(AND($R140="да",$H140&lt;&gt;""),ROUND($H140*$M140,2),0)</f>
        <v/>
      </c>
      <c r="P140" s="10">
        <f>$N140+$O140</f>
        <v/>
      </c>
      <c r="Q140">
        <f>IFERROR(INDEX(спр_Работы!$J$2:$J$6000,MATCH($C140,спр_Работы!$A$2:$A$6000,0)),"")</f>
        <v/>
      </c>
      <c r="R140" t="inlineStr">
        <is>
          <t>да</t>
        </is>
      </c>
      <c r="T140">
        <f>IF(AND($P140&gt;0,$R140="да"),MAX($T$1:$T139)+1,"")</f>
        <v/>
      </c>
    </row>
    <row r="141">
      <c r="A141">
        <f>IFERROR(INDEX(спр_Работы!$D$2:$D$6000,MATCH($C141,спр_Работы!$A$2:$A$6000,0)),"")</f>
        <v/>
      </c>
      <c r="B141">
        <f>IFERROR(INDEX(спр_Работы!$F$2:$F$6000,MATCH($C141,спр_Работы!$A$2:$A$6000,0)),"")</f>
        <v/>
      </c>
      <c r="C141">
        <f>IFERROR(INDEX(спр_Работы!$A$2:$A$6000,140),"")</f>
        <v/>
      </c>
      <c r="D141" s="8">
        <f>IFERROR(INDEX(спр_Работы!$B$2:$B$6000,MATCH($C141,спр_Работы!$A$2:$A$6000,0)),"")</f>
        <v/>
      </c>
      <c r="E141">
        <f>IFERROR(INDEX(спр_Работы!$C$2:$C$6000,MATCH($C141,спр_Работы!$A$2:$A$6000,0)),"")</f>
        <v/>
      </c>
      <c r="F141">
        <f>IFERROR(INDEX(спр_Работы!$G$2:$G$6000,MATCH($C141,спр_Работы!$A$2:$A$6000,0)),"")</f>
        <v/>
      </c>
      <c r="G141">
        <f>IFERROR(INDEX(спр_Работы!$K$2:$K$6000,MATCH($C141,спр_Работы!$A$2:$A$6000,0)),"")</f>
        <v/>
      </c>
      <c r="H141" s="9" t="n"/>
      <c r="I141" s="9" t="n"/>
      <c r="J141" s="8">
        <f>IFERROR(INDEX(спр_Материалы!$B$2:$B$9000,MATCH($I141,спр_Материалы!$A$2:$A$9000,0)),"")</f>
        <v/>
      </c>
      <c r="K141">
        <f>IF($I141="","",IF($F141=IFERROR(INDEX(спр_Материалы!$G$2:$G$9000,MATCH($I141,спр_Материалы!$A$2:$A$9000,0)),""),"OK","!! не та группа"))</f>
        <v/>
      </c>
      <c r="L141" s="10">
        <f>IFERROR(INDEX(спр_Работы!$H$2:$H$6000,MATCH($C141,спр_Работы!$A$2:$A$6000,0))*(1-ДисконтТендер),0)</f>
        <v/>
      </c>
      <c r="M141" s="10">
        <f>IF($I141="",0,IFERROR(INDEX(спр_Материалы!$I$2:$I$9000,MATCH($I141,спр_Материалы!$A$2:$A$9000,0))*IF(INDEX(спр_Материалы!$J$2:$J$9000,MATCH($I141,спр_Материалы!$A$2:$A$9000,0))="USD",КурсUSD,IF(INDEX(спр_Материалы!$J$2:$J$9000,MATCH($I141,спр_Материалы!$A$2:$A$9000,0))="EUR",КурсEUR,1))*INDEX(спр_Материалы!$K$2:$K$9000,MATCH($I141,спр_Материалы!$A$2:$A$9000,0))*(1+IFERROR(INDEX(спр_Работы!$I$2:$I$6000,MATCH($C141,спр_Работы!$A$2:$A$6000,0))/100,0))*(1-ДисконтТендер),0))</f>
        <v/>
      </c>
      <c r="N141" s="10">
        <f>IF(AND($R141="да",$H141&lt;&gt;""),ROUND($H141*$L141,2),0)</f>
        <v/>
      </c>
      <c r="O141" s="10">
        <f>IF(AND($R141="да",$H141&lt;&gt;""),ROUND($H141*$M141,2),0)</f>
        <v/>
      </c>
      <c r="P141" s="10">
        <f>$N141+$O141</f>
        <v/>
      </c>
      <c r="Q141">
        <f>IFERROR(INDEX(спр_Работы!$J$2:$J$6000,MATCH($C141,спр_Работы!$A$2:$A$6000,0)),"")</f>
        <v/>
      </c>
      <c r="R141" t="inlineStr">
        <is>
          <t>да</t>
        </is>
      </c>
      <c r="T141">
        <f>IF(AND($P141&gt;0,$R141="да"),MAX($T$1:$T140)+1,"")</f>
        <v/>
      </c>
    </row>
    <row r="142">
      <c r="A142">
        <f>IFERROR(INDEX(спр_Работы!$D$2:$D$6000,MATCH($C142,спр_Работы!$A$2:$A$6000,0)),"")</f>
        <v/>
      </c>
      <c r="B142">
        <f>IFERROR(INDEX(спр_Работы!$F$2:$F$6000,MATCH($C142,спр_Работы!$A$2:$A$6000,0)),"")</f>
        <v/>
      </c>
      <c r="C142">
        <f>IFERROR(INDEX(спр_Работы!$A$2:$A$6000,141),"")</f>
        <v/>
      </c>
      <c r="D142" s="8">
        <f>IFERROR(INDEX(спр_Работы!$B$2:$B$6000,MATCH($C142,спр_Работы!$A$2:$A$6000,0)),"")</f>
        <v/>
      </c>
      <c r="E142">
        <f>IFERROR(INDEX(спр_Работы!$C$2:$C$6000,MATCH($C142,спр_Работы!$A$2:$A$6000,0)),"")</f>
        <v/>
      </c>
      <c r="F142">
        <f>IFERROR(INDEX(спр_Работы!$G$2:$G$6000,MATCH($C142,спр_Работы!$A$2:$A$6000,0)),"")</f>
        <v/>
      </c>
      <c r="G142">
        <f>IFERROR(INDEX(спр_Работы!$K$2:$K$6000,MATCH($C142,спр_Работы!$A$2:$A$6000,0)),"")</f>
        <v/>
      </c>
      <c r="H142" s="9" t="n"/>
      <c r="I142" s="9" t="n"/>
      <c r="J142" s="8">
        <f>IFERROR(INDEX(спр_Материалы!$B$2:$B$9000,MATCH($I142,спр_Материалы!$A$2:$A$9000,0)),"")</f>
        <v/>
      </c>
      <c r="K142">
        <f>IF($I142="","",IF($F142=IFERROR(INDEX(спр_Материалы!$G$2:$G$9000,MATCH($I142,спр_Материалы!$A$2:$A$9000,0)),""),"OK","!! не та группа"))</f>
        <v/>
      </c>
      <c r="L142" s="10">
        <f>IFERROR(INDEX(спр_Работы!$H$2:$H$6000,MATCH($C142,спр_Работы!$A$2:$A$6000,0))*(1-ДисконтТендер),0)</f>
        <v/>
      </c>
      <c r="M142" s="10">
        <f>IF($I142="",0,IFERROR(INDEX(спр_Материалы!$I$2:$I$9000,MATCH($I142,спр_Материалы!$A$2:$A$9000,0))*IF(INDEX(спр_Материалы!$J$2:$J$9000,MATCH($I142,спр_Материалы!$A$2:$A$9000,0))="USD",КурсUSD,IF(INDEX(спр_Материалы!$J$2:$J$9000,MATCH($I142,спр_Материалы!$A$2:$A$9000,0))="EUR",КурсEUR,1))*INDEX(спр_Материалы!$K$2:$K$9000,MATCH($I142,спр_Материалы!$A$2:$A$9000,0))*(1+IFERROR(INDEX(спр_Работы!$I$2:$I$6000,MATCH($C142,спр_Работы!$A$2:$A$6000,0))/100,0))*(1-ДисконтТендер),0))</f>
        <v/>
      </c>
      <c r="N142" s="10">
        <f>IF(AND($R142="да",$H142&lt;&gt;""),ROUND($H142*$L142,2),0)</f>
        <v/>
      </c>
      <c r="O142" s="10">
        <f>IF(AND($R142="да",$H142&lt;&gt;""),ROUND($H142*$M142,2),0)</f>
        <v/>
      </c>
      <c r="P142" s="10">
        <f>$N142+$O142</f>
        <v/>
      </c>
      <c r="Q142">
        <f>IFERROR(INDEX(спр_Работы!$J$2:$J$6000,MATCH($C142,спр_Работы!$A$2:$A$6000,0)),"")</f>
        <v/>
      </c>
      <c r="R142" t="inlineStr">
        <is>
          <t>да</t>
        </is>
      </c>
      <c r="T142">
        <f>IF(AND($P142&gt;0,$R142="да"),MAX($T$1:$T141)+1,"")</f>
        <v/>
      </c>
    </row>
    <row r="143">
      <c r="A143">
        <f>IFERROR(INDEX(спр_Работы!$D$2:$D$6000,MATCH($C143,спр_Работы!$A$2:$A$6000,0)),"")</f>
        <v/>
      </c>
      <c r="B143">
        <f>IFERROR(INDEX(спр_Работы!$F$2:$F$6000,MATCH($C143,спр_Работы!$A$2:$A$6000,0)),"")</f>
        <v/>
      </c>
      <c r="C143">
        <f>IFERROR(INDEX(спр_Работы!$A$2:$A$6000,142),"")</f>
        <v/>
      </c>
      <c r="D143" s="8">
        <f>IFERROR(INDEX(спр_Работы!$B$2:$B$6000,MATCH($C143,спр_Работы!$A$2:$A$6000,0)),"")</f>
        <v/>
      </c>
      <c r="E143">
        <f>IFERROR(INDEX(спр_Работы!$C$2:$C$6000,MATCH($C143,спр_Работы!$A$2:$A$6000,0)),"")</f>
        <v/>
      </c>
      <c r="F143">
        <f>IFERROR(INDEX(спр_Работы!$G$2:$G$6000,MATCH($C143,спр_Работы!$A$2:$A$6000,0)),"")</f>
        <v/>
      </c>
      <c r="G143">
        <f>IFERROR(INDEX(спр_Работы!$K$2:$K$6000,MATCH($C143,спр_Работы!$A$2:$A$6000,0)),"")</f>
        <v/>
      </c>
      <c r="H143" s="9" t="n"/>
      <c r="I143" s="9" t="n"/>
      <c r="J143" s="8">
        <f>IFERROR(INDEX(спр_Материалы!$B$2:$B$9000,MATCH($I143,спр_Материалы!$A$2:$A$9000,0)),"")</f>
        <v/>
      </c>
      <c r="K143">
        <f>IF($I143="","",IF($F143=IFERROR(INDEX(спр_Материалы!$G$2:$G$9000,MATCH($I143,спр_Материалы!$A$2:$A$9000,0)),""),"OK","!! не та группа"))</f>
        <v/>
      </c>
      <c r="L143" s="10">
        <f>IFERROR(INDEX(спр_Работы!$H$2:$H$6000,MATCH($C143,спр_Работы!$A$2:$A$6000,0))*(1-ДисконтТендер),0)</f>
        <v/>
      </c>
      <c r="M143" s="10">
        <f>IF($I143="",0,IFERROR(INDEX(спр_Материалы!$I$2:$I$9000,MATCH($I143,спр_Материалы!$A$2:$A$9000,0))*IF(INDEX(спр_Материалы!$J$2:$J$9000,MATCH($I143,спр_Материалы!$A$2:$A$9000,0))="USD",КурсUSD,IF(INDEX(спр_Материалы!$J$2:$J$9000,MATCH($I143,спр_Материалы!$A$2:$A$9000,0))="EUR",КурсEUR,1))*INDEX(спр_Материалы!$K$2:$K$9000,MATCH($I143,спр_Материалы!$A$2:$A$9000,0))*(1+IFERROR(INDEX(спр_Работы!$I$2:$I$6000,MATCH($C143,спр_Работы!$A$2:$A$6000,0))/100,0))*(1-ДисконтТендер),0))</f>
        <v/>
      </c>
      <c r="N143" s="10">
        <f>IF(AND($R143="да",$H143&lt;&gt;""),ROUND($H143*$L143,2),0)</f>
        <v/>
      </c>
      <c r="O143" s="10">
        <f>IF(AND($R143="да",$H143&lt;&gt;""),ROUND($H143*$M143,2),0)</f>
        <v/>
      </c>
      <c r="P143" s="10">
        <f>$N143+$O143</f>
        <v/>
      </c>
      <c r="Q143">
        <f>IFERROR(INDEX(спр_Работы!$J$2:$J$6000,MATCH($C143,спр_Работы!$A$2:$A$6000,0)),"")</f>
        <v/>
      </c>
      <c r="R143" t="inlineStr">
        <is>
          <t>да</t>
        </is>
      </c>
      <c r="T143">
        <f>IF(AND($P143&gt;0,$R143="да"),MAX($T$1:$T142)+1,"")</f>
        <v/>
      </c>
    </row>
    <row r="144">
      <c r="A144">
        <f>IFERROR(INDEX(спр_Работы!$D$2:$D$6000,MATCH($C144,спр_Работы!$A$2:$A$6000,0)),"")</f>
        <v/>
      </c>
      <c r="B144">
        <f>IFERROR(INDEX(спр_Работы!$F$2:$F$6000,MATCH($C144,спр_Работы!$A$2:$A$6000,0)),"")</f>
        <v/>
      </c>
      <c r="C144">
        <f>IFERROR(INDEX(спр_Работы!$A$2:$A$6000,143),"")</f>
        <v/>
      </c>
      <c r="D144" s="8">
        <f>IFERROR(INDEX(спр_Работы!$B$2:$B$6000,MATCH($C144,спр_Работы!$A$2:$A$6000,0)),"")</f>
        <v/>
      </c>
      <c r="E144">
        <f>IFERROR(INDEX(спр_Работы!$C$2:$C$6000,MATCH($C144,спр_Работы!$A$2:$A$6000,0)),"")</f>
        <v/>
      </c>
      <c r="F144">
        <f>IFERROR(INDEX(спр_Работы!$G$2:$G$6000,MATCH($C144,спр_Работы!$A$2:$A$6000,0)),"")</f>
        <v/>
      </c>
      <c r="G144">
        <f>IFERROR(INDEX(спр_Работы!$K$2:$K$6000,MATCH($C144,спр_Работы!$A$2:$A$6000,0)),"")</f>
        <v/>
      </c>
      <c r="H144" s="9" t="n"/>
      <c r="I144" s="9" t="n"/>
      <c r="J144" s="8">
        <f>IFERROR(INDEX(спр_Материалы!$B$2:$B$9000,MATCH($I144,спр_Материалы!$A$2:$A$9000,0)),"")</f>
        <v/>
      </c>
      <c r="K144">
        <f>IF($I144="","",IF($F144=IFERROR(INDEX(спр_Материалы!$G$2:$G$9000,MATCH($I144,спр_Материалы!$A$2:$A$9000,0)),""),"OK","!! не та группа"))</f>
        <v/>
      </c>
      <c r="L144" s="10">
        <f>IFERROR(INDEX(спр_Работы!$H$2:$H$6000,MATCH($C144,спр_Работы!$A$2:$A$6000,0))*(1-ДисконтТендер),0)</f>
        <v/>
      </c>
      <c r="M144" s="10">
        <f>IF($I144="",0,IFERROR(INDEX(спр_Материалы!$I$2:$I$9000,MATCH($I144,спр_Материалы!$A$2:$A$9000,0))*IF(INDEX(спр_Материалы!$J$2:$J$9000,MATCH($I144,спр_Материалы!$A$2:$A$9000,0))="USD",КурсUSD,IF(INDEX(спр_Материалы!$J$2:$J$9000,MATCH($I144,спр_Материалы!$A$2:$A$9000,0))="EUR",КурсEUR,1))*INDEX(спр_Материалы!$K$2:$K$9000,MATCH($I144,спр_Материалы!$A$2:$A$9000,0))*(1+IFERROR(INDEX(спр_Работы!$I$2:$I$6000,MATCH($C144,спр_Работы!$A$2:$A$6000,0))/100,0))*(1-ДисконтТендер),0))</f>
        <v/>
      </c>
      <c r="N144" s="10">
        <f>IF(AND($R144="да",$H144&lt;&gt;""),ROUND($H144*$L144,2),0)</f>
        <v/>
      </c>
      <c r="O144" s="10">
        <f>IF(AND($R144="да",$H144&lt;&gt;""),ROUND($H144*$M144,2),0)</f>
        <v/>
      </c>
      <c r="P144" s="10">
        <f>$N144+$O144</f>
        <v/>
      </c>
      <c r="Q144">
        <f>IFERROR(INDEX(спр_Работы!$J$2:$J$6000,MATCH($C144,спр_Работы!$A$2:$A$6000,0)),"")</f>
        <v/>
      </c>
      <c r="R144" t="inlineStr">
        <is>
          <t>да</t>
        </is>
      </c>
      <c r="T144">
        <f>IF(AND($P144&gt;0,$R144="да"),MAX($T$1:$T143)+1,"")</f>
        <v/>
      </c>
    </row>
    <row r="145">
      <c r="A145">
        <f>IFERROR(INDEX(спр_Работы!$D$2:$D$6000,MATCH($C145,спр_Работы!$A$2:$A$6000,0)),"")</f>
        <v/>
      </c>
      <c r="B145">
        <f>IFERROR(INDEX(спр_Работы!$F$2:$F$6000,MATCH($C145,спр_Работы!$A$2:$A$6000,0)),"")</f>
        <v/>
      </c>
      <c r="C145">
        <f>IFERROR(INDEX(спр_Работы!$A$2:$A$6000,144),"")</f>
        <v/>
      </c>
      <c r="D145" s="8">
        <f>IFERROR(INDEX(спр_Работы!$B$2:$B$6000,MATCH($C145,спр_Работы!$A$2:$A$6000,0)),"")</f>
        <v/>
      </c>
      <c r="E145">
        <f>IFERROR(INDEX(спр_Работы!$C$2:$C$6000,MATCH($C145,спр_Работы!$A$2:$A$6000,0)),"")</f>
        <v/>
      </c>
      <c r="F145">
        <f>IFERROR(INDEX(спр_Работы!$G$2:$G$6000,MATCH($C145,спр_Работы!$A$2:$A$6000,0)),"")</f>
        <v/>
      </c>
      <c r="G145">
        <f>IFERROR(INDEX(спр_Работы!$K$2:$K$6000,MATCH($C145,спр_Работы!$A$2:$A$6000,0)),"")</f>
        <v/>
      </c>
      <c r="H145" s="9" t="n"/>
      <c r="I145" s="9" t="n"/>
      <c r="J145" s="8">
        <f>IFERROR(INDEX(спр_Материалы!$B$2:$B$9000,MATCH($I145,спр_Материалы!$A$2:$A$9000,0)),"")</f>
        <v/>
      </c>
      <c r="K145">
        <f>IF($I145="","",IF($F145=IFERROR(INDEX(спр_Материалы!$G$2:$G$9000,MATCH($I145,спр_Материалы!$A$2:$A$9000,0)),""),"OK","!! не та группа"))</f>
        <v/>
      </c>
      <c r="L145" s="10">
        <f>IFERROR(INDEX(спр_Работы!$H$2:$H$6000,MATCH($C145,спр_Работы!$A$2:$A$6000,0))*(1-ДисконтТендер),0)</f>
        <v/>
      </c>
      <c r="M145" s="10">
        <f>IF($I145="",0,IFERROR(INDEX(спр_Материалы!$I$2:$I$9000,MATCH($I145,спр_Материалы!$A$2:$A$9000,0))*IF(INDEX(спр_Материалы!$J$2:$J$9000,MATCH($I145,спр_Материалы!$A$2:$A$9000,0))="USD",КурсUSD,IF(INDEX(спр_Материалы!$J$2:$J$9000,MATCH($I145,спр_Материалы!$A$2:$A$9000,0))="EUR",КурсEUR,1))*INDEX(спр_Материалы!$K$2:$K$9000,MATCH($I145,спр_Материалы!$A$2:$A$9000,0))*(1+IFERROR(INDEX(спр_Работы!$I$2:$I$6000,MATCH($C145,спр_Работы!$A$2:$A$6000,0))/100,0))*(1-ДисконтТендер),0))</f>
        <v/>
      </c>
      <c r="N145" s="10">
        <f>IF(AND($R145="да",$H145&lt;&gt;""),ROUND($H145*$L145,2),0)</f>
        <v/>
      </c>
      <c r="O145" s="10">
        <f>IF(AND($R145="да",$H145&lt;&gt;""),ROUND($H145*$M145,2),0)</f>
        <v/>
      </c>
      <c r="P145" s="10">
        <f>$N145+$O145</f>
        <v/>
      </c>
      <c r="Q145">
        <f>IFERROR(INDEX(спр_Работы!$J$2:$J$6000,MATCH($C145,спр_Работы!$A$2:$A$6000,0)),"")</f>
        <v/>
      </c>
      <c r="R145" t="inlineStr">
        <is>
          <t>да</t>
        </is>
      </c>
      <c r="T145">
        <f>IF(AND($P145&gt;0,$R145="да"),MAX($T$1:$T144)+1,"")</f>
        <v/>
      </c>
    </row>
    <row r="146">
      <c r="A146">
        <f>IFERROR(INDEX(спр_Работы!$D$2:$D$6000,MATCH($C146,спр_Работы!$A$2:$A$6000,0)),"")</f>
        <v/>
      </c>
      <c r="B146">
        <f>IFERROR(INDEX(спр_Работы!$F$2:$F$6000,MATCH($C146,спр_Работы!$A$2:$A$6000,0)),"")</f>
        <v/>
      </c>
      <c r="C146">
        <f>IFERROR(INDEX(спр_Работы!$A$2:$A$6000,145),"")</f>
        <v/>
      </c>
      <c r="D146" s="8">
        <f>IFERROR(INDEX(спр_Работы!$B$2:$B$6000,MATCH($C146,спр_Работы!$A$2:$A$6000,0)),"")</f>
        <v/>
      </c>
      <c r="E146">
        <f>IFERROR(INDEX(спр_Работы!$C$2:$C$6000,MATCH($C146,спр_Работы!$A$2:$A$6000,0)),"")</f>
        <v/>
      </c>
      <c r="F146">
        <f>IFERROR(INDEX(спр_Работы!$G$2:$G$6000,MATCH($C146,спр_Работы!$A$2:$A$6000,0)),"")</f>
        <v/>
      </c>
      <c r="G146">
        <f>IFERROR(INDEX(спр_Работы!$K$2:$K$6000,MATCH($C146,спр_Работы!$A$2:$A$6000,0)),"")</f>
        <v/>
      </c>
      <c r="H146" s="9" t="n"/>
      <c r="I146" s="9" t="n"/>
      <c r="J146" s="8">
        <f>IFERROR(INDEX(спр_Материалы!$B$2:$B$9000,MATCH($I146,спр_Материалы!$A$2:$A$9000,0)),"")</f>
        <v/>
      </c>
      <c r="K146">
        <f>IF($I146="","",IF($F146=IFERROR(INDEX(спр_Материалы!$G$2:$G$9000,MATCH($I146,спр_Материалы!$A$2:$A$9000,0)),""),"OK","!! не та группа"))</f>
        <v/>
      </c>
      <c r="L146" s="10">
        <f>IFERROR(INDEX(спр_Работы!$H$2:$H$6000,MATCH($C146,спр_Работы!$A$2:$A$6000,0))*(1-ДисконтТендер),0)</f>
        <v/>
      </c>
      <c r="M146" s="10">
        <f>IF($I146="",0,IFERROR(INDEX(спр_Материалы!$I$2:$I$9000,MATCH($I146,спр_Материалы!$A$2:$A$9000,0))*IF(INDEX(спр_Материалы!$J$2:$J$9000,MATCH($I146,спр_Материалы!$A$2:$A$9000,0))="USD",КурсUSD,IF(INDEX(спр_Материалы!$J$2:$J$9000,MATCH($I146,спр_Материалы!$A$2:$A$9000,0))="EUR",КурсEUR,1))*INDEX(спр_Материалы!$K$2:$K$9000,MATCH($I146,спр_Материалы!$A$2:$A$9000,0))*(1+IFERROR(INDEX(спр_Работы!$I$2:$I$6000,MATCH($C146,спр_Работы!$A$2:$A$6000,0))/100,0))*(1-ДисконтТендер),0))</f>
        <v/>
      </c>
      <c r="N146" s="10">
        <f>IF(AND($R146="да",$H146&lt;&gt;""),ROUND($H146*$L146,2),0)</f>
        <v/>
      </c>
      <c r="O146" s="10">
        <f>IF(AND($R146="да",$H146&lt;&gt;""),ROUND($H146*$M146,2),0)</f>
        <v/>
      </c>
      <c r="P146" s="10">
        <f>$N146+$O146</f>
        <v/>
      </c>
      <c r="Q146">
        <f>IFERROR(INDEX(спр_Работы!$J$2:$J$6000,MATCH($C146,спр_Работы!$A$2:$A$6000,0)),"")</f>
        <v/>
      </c>
      <c r="R146" t="inlineStr">
        <is>
          <t>да</t>
        </is>
      </c>
      <c r="T146">
        <f>IF(AND($P146&gt;0,$R146="да"),MAX($T$1:$T145)+1,"")</f>
        <v/>
      </c>
    </row>
    <row r="147">
      <c r="A147">
        <f>IFERROR(INDEX(спр_Работы!$D$2:$D$6000,MATCH($C147,спр_Работы!$A$2:$A$6000,0)),"")</f>
        <v/>
      </c>
      <c r="B147">
        <f>IFERROR(INDEX(спр_Работы!$F$2:$F$6000,MATCH($C147,спр_Работы!$A$2:$A$6000,0)),"")</f>
        <v/>
      </c>
      <c r="C147">
        <f>IFERROR(INDEX(спр_Работы!$A$2:$A$6000,146),"")</f>
        <v/>
      </c>
      <c r="D147" s="8">
        <f>IFERROR(INDEX(спр_Работы!$B$2:$B$6000,MATCH($C147,спр_Работы!$A$2:$A$6000,0)),"")</f>
        <v/>
      </c>
      <c r="E147">
        <f>IFERROR(INDEX(спр_Работы!$C$2:$C$6000,MATCH($C147,спр_Работы!$A$2:$A$6000,0)),"")</f>
        <v/>
      </c>
      <c r="F147">
        <f>IFERROR(INDEX(спр_Работы!$G$2:$G$6000,MATCH($C147,спр_Работы!$A$2:$A$6000,0)),"")</f>
        <v/>
      </c>
      <c r="G147">
        <f>IFERROR(INDEX(спр_Работы!$K$2:$K$6000,MATCH($C147,спр_Работы!$A$2:$A$6000,0)),"")</f>
        <v/>
      </c>
      <c r="H147" s="9" t="n"/>
      <c r="I147" s="9" t="n"/>
      <c r="J147" s="8">
        <f>IFERROR(INDEX(спр_Материалы!$B$2:$B$9000,MATCH($I147,спр_Материалы!$A$2:$A$9000,0)),"")</f>
        <v/>
      </c>
      <c r="K147">
        <f>IF($I147="","",IF($F147=IFERROR(INDEX(спр_Материалы!$G$2:$G$9000,MATCH($I147,спр_Материалы!$A$2:$A$9000,0)),""),"OK","!! не та группа"))</f>
        <v/>
      </c>
      <c r="L147" s="10">
        <f>IFERROR(INDEX(спр_Работы!$H$2:$H$6000,MATCH($C147,спр_Работы!$A$2:$A$6000,0))*(1-ДисконтТендер),0)</f>
        <v/>
      </c>
      <c r="M147" s="10">
        <f>IF($I147="",0,IFERROR(INDEX(спр_Материалы!$I$2:$I$9000,MATCH($I147,спр_Материалы!$A$2:$A$9000,0))*IF(INDEX(спр_Материалы!$J$2:$J$9000,MATCH($I147,спр_Материалы!$A$2:$A$9000,0))="USD",КурсUSD,IF(INDEX(спр_Материалы!$J$2:$J$9000,MATCH($I147,спр_Материалы!$A$2:$A$9000,0))="EUR",КурсEUR,1))*INDEX(спр_Материалы!$K$2:$K$9000,MATCH($I147,спр_Материалы!$A$2:$A$9000,0))*(1+IFERROR(INDEX(спр_Работы!$I$2:$I$6000,MATCH($C147,спр_Работы!$A$2:$A$6000,0))/100,0))*(1-ДисконтТендер),0))</f>
        <v/>
      </c>
      <c r="N147" s="10">
        <f>IF(AND($R147="да",$H147&lt;&gt;""),ROUND($H147*$L147,2),0)</f>
        <v/>
      </c>
      <c r="O147" s="10">
        <f>IF(AND($R147="да",$H147&lt;&gt;""),ROUND($H147*$M147,2),0)</f>
        <v/>
      </c>
      <c r="P147" s="10">
        <f>$N147+$O147</f>
        <v/>
      </c>
      <c r="Q147">
        <f>IFERROR(INDEX(спр_Работы!$J$2:$J$6000,MATCH($C147,спр_Работы!$A$2:$A$6000,0)),"")</f>
        <v/>
      </c>
      <c r="R147" t="inlineStr">
        <is>
          <t>да</t>
        </is>
      </c>
      <c r="T147">
        <f>IF(AND($P147&gt;0,$R147="да"),MAX($T$1:$T146)+1,"")</f>
        <v/>
      </c>
    </row>
    <row r="148">
      <c r="A148">
        <f>IFERROR(INDEX(спр_Работы!$D$2:$D$6000,MATCH($C148,спр_Работы!$A$2:$A$6000,0)),"")</f>
        <v/>
      </c>
      <c r="B148">
        <f>IFERROR(INDEX(спр_Работы!$F$2:$F$6000,MATCH($C148,спр_Работы!$A$2:$A$6000,0)),"")</f>
        <v/>
      </c>
      <c r="C148">
        <f>IFERROR(INDEX(спр_Работы!$A$2:$A$6000,147),"")</f>
        <v/>
      </c>
      <c r="D148" s="8">
        <f>IFERROR(INDEX(спр_Работы!$B$2:$B$6000,MATCH($C148,спр_Работы!$A$2:$A$6000,0)),"")</f>
        <v/>
      </c>
      <c r="E148">
        <f>IFERROR(INDEX(спр_Работы!$C$2:$C$6000,MATCH($C148,спр_Работы!$A$2:$A$6000,0)),"")</f>
        <v/>
      </c>
      <c r="F148">
        <f>IFERROR(INDEX(спр_Работы!$G$2:$G$6000,MATCH($C148,спр_Работы!$A$2:$A$6000,0)),"")</f>
        <v/>
      </c>
      <c r="G148">
        <f>IFERROR(INDEX(спр_Работы!$K$2:$K$6000,MATCH($C148,спр_Работы!$A$2:$A$6000,0)),"")</f>
        <v/>
      </c>
      <c r="H148" s="9" t="n"/>
      <c r="I148" s="9" t="n"/>
      <c r="J148" s="8">
        <f>IFERROR(INDEX(спр_Материалы!$B$2:$B$9000,MATCH($I148,спр_Материалы!$A$2:$A$9000,0)),"")</f>
        <v/>
      </c>
      <c r="K148">
        <f>IF($I148="","",IF($F148=IFERROR(INDEX(спр_Материалы!$G$2:$G$9000,MATCH($I148,спр_Материалы!$A$2:$A$9000,0)),""),"OK","!! не та группа"))</f>
        <v/>
      </c>
      <c r="L148" s="10">
        <f>IFERROR(INDEX(спр_Работы!$H$2:$H$6000,MATCH($C148,спр_Работы!$A$2:$A$6000,0))*(1-ДисконтТендер),0)</f>
        <v/>
      </c>
      <c r="M148" s="10">
        <f>IF($I148="",0,IFERROR(INDEX(спр_Материалы!$I$2:$I$9000,MATCH($I148,спр_Материалы!$A$2:$A$9000,0))*IF(INDEX(спр_Материалы!$J$2:$J$9000,MATCH($I148,спр_Материалы!$A$2:$A$9000,0))="USD",КурсUSD,IF(INDEX(спр_Материалы!$J$2:$J$9000,MATCH($I148,спр_Материалы!$A$2:$A$9000,0))="EUR",КурсEUR,1))*INDEX(спр_Материалы!$K$2:$K$9000,MATCH($I148,спр_Материалы!$A$2:$A$9000,0))*(1+IFERROR(INDEX(спр_Работы!$I$2:$I$6000,MATCH($C148,спр_Работы!$A$2:$A$6000,0))/100,0))*(1-ДисконтТендер),0))</f>
        <v/>
      </c>
      <c r="N148" s="10">
        <f>IF(AND($R148="да",$H148&lt;&gt;""),ROUND($H148*$L148,2),0)</f>
        <v/>
      </c>
      <c r="O148" s="10">
        <f>IF(AND($R148="да",$H148&lt;&gt;""),ROUND($H148*$M148,2),0)</f>
        <v/>
      </c>
      <c r="P148" s="10">
        <f>$N148+$O148</f>
        <v/>
      </c>
      <c r="Q148">
        <f>IFERROR(INDEX(спр_Работы!$J$2:$J$6000,MATCH($C148,спр_Работы!$A$2:$A$6000,0)),"")</f>
        <v/>
      </c>
      <c r="R148" t="inlineStr">
        <is>
          <t>да</t>
        </is>
      </c>
      <c r="T148">
        <f>IF(AND($P148&gt;0,$R148="да"),MAX($T$1:$T147)+1,"")</f>
        <v/>
      </c>
    </row>
    <row r="149">
      <c r="A149">
        <f>IFERROR(INDEX(спр_Работы!$D$2:$D$6000,MATCH($C149,спр_Работы!$A$2:$A$6000,0)),"")</f>
        <v/>
      </c>
      <c r="B149">
        <f>IFERROR(INDEX(спр_Работы!$F$2:$F$6000,MATCH($C149,спр_Работы!$A$2:$A$6000,0)),"")</f>
        <v/>
      </c>
      <c r="C149">
        <f>IFERROR(INDEX(спр_Работы!$A$2:$A$6000,148),"")</f>
        <v/>
      </c>
      <c r="D149" s="8">
        <f>IFERROR(INDEX(спр_Работы!$B$2:$B$6000,MATCH($C149,спр_Работы!$A$2:$A$6000,0)),"")</f>
        <v/>
      </c>
      <c r="E149">
        <f>IFERROR(INDEX(спр_Работы!$C$2:$C$6000,MATCH($C149,спр_Работы!$A$2:$A$6000,0)),"")</f>
        <v/>
      </c>
      <c r="F149">
        <f>IFERROR(INDEX(спр_Работы!$G$2:$G$6000,MATCH($C149,спр_Работы!$A$2:$A$6000,0)),"")</f>
        <v/>
      </c>
      <c r="G149">
        <f>IFERROR(INDEX(спр_Работы!$K$2:$K$6000,MATCH($C149,спр_Работы!$A$2:$A$6000,0)),"")</f>
        <v/>
      </c>
      <c r="H149" s="9" t="n"/>
      <c r="I149" s="9" t="n"/>
      <c r="J149" s="8">
        <f>IFERROR(INDEX(спр_Материалы!$B$2:$B$9000,MATCH($I149,спр_Материалы!$A$2:$A$9000,0)),"")</f>
        <v/>
      </c>
      <c r="K149">
        <f>IF($I149="","",IF($F149=IFERROR(INDEX(спр_Материалы!$G$2:$G$9000,MATCH($I149,спр_Материалы!$A$2:$A$9000,0)),""),"OK","!! не та группа"))</f>
        <v/>
      </c>
      <c r="L149" s="10">
        <f>IFERROR(INDEX(спр_Работы!$H$2:$H$6000,MATCH($C149,спр_Работы!$A$2:$A$6000,0))*(1-ДисконтТендер),0)</f>
        <v/>
      </c>
      <c r="M149" s="10">
        <f>IF($I149="",0,IFERROR(INDEX(спр_Материалы!$I$2:$I$9000,MATCH($I149,спр_Материалы!$A$2:$A$9000,0))*IF(INDEX(спр_Материалы!$J$2:$J$9000,MATCH($I149,спр_Материалы!$A$2:$A$9000,0))="USD",КурсUSD,IF(INDEX(спр_Материалы!$J$2:$J$9000,MATCH($I149,спр_Материалы!$A$2:$A$9000,0))="EUR",КурсEUR,1))*INDEX(спр_Материалы!$K$2:$K$9000,MATCH($I149,спр_Материалы!$A$2:$A$9000,0))*(1+IFERROR(INDEX(спр_Работы!$I$2:$I$6000,MATCH($C149,спр_Работы!$A$2:$A$6000,0))/100,0))*(1-ДисконтТендер),0))</f>
        <v/>
      </c>
      <c r="N149" s="10">
        <f>IF(AND($R149="да",$H149&lt;&gt;""),ROUND($H149*$L149,2),0)</f>
        <v/>
      </c>
      <c r="O149" s="10">
        <f>IF(AND($R149="да",$H149&lt;&gt;""),ROUND($H149*$M149,2),0)</f>
        <v/>
      </c>
      <c r="P149" s="10">
        <f>$N149+$O149</f>
        <v/>
      </c>
      <c r="Q149">
        <f>IFERROR(INDEX(спр_Работы!$J$2:$J$6000,MATCH($C149,спр_Работы!$A$2:$A$6000,0)),"")</f>
        <v/>
      </c>
      <c r="R149" t="inlineStr">
        <is>
          <t>да</t>
        </is>
      </c>
      <c r="T149">
        <f>IF(AND($P149&gt;0,$R149="да"),MAX($T$1:$T148)+1,"")</f>
        <v/>
      </c>
    </row>
    <row r="150">
      <c r="A150">
        <f>IFERROR(INDEX(спр_Работы!$D$2:$D$6000,MATCH($C150,спр_Работы!$A$2:$A$6000,0)),"")</f>
        <v/>
      </c>
      <c r="B150">
        <f>IFERROR(INDEX(спр_Работы!$F$2:$F$6000,MATCH($C150,спр_Работы!$A$2:$A$6000,0)),"")</f>
        <v/>
      </c>
      <c r="C150">
        <f>IFERROR(INDEX(спр_Работы!$A$2:$A$6000,149),"")</f>
        <v/>
      </c>
      <c r="D150" s="8">
        <f>IFERROR(INDEX(спр_Работы!$B$2:$B$6000,MATCH($C150,спр_Работы!$A$2:$A$6000,0)),"")</f>
        <v/>
      </c>
      <c r="E150">
        <f>IFERROR(INDEX(спр_Работы!$C$2:$C$6000,MATCH($C150,спр_Работы!$A$2:$A$6000,0)),"")</f>
        <v/>
      </c>
      <c r="F150">
        <f>IFERROR(INDEX(спр_Работы!$G$2:$G$6000,MATCH($C150,спр_Работы!$A$2:$A$6000,0)),"")</f>
        <v/>
      </c>
      <c r="G150">
        <f>IFERROR(INDEX(спр_Работы!$K$2:$K$6000,MATCH($C150,спр_Работы!$A$2:$A$6000,0)),"")</f>
        <v/>
      </c>
      <c r="H150" s="9" t="n"/>
      <c r="I150" s="9" t="n"/>
      <c r="J150" s="8">
        <f>IFERROR(INDEX(спр_Материалы!$B$2:$B$9000,MATCH($I150,спр_Материалы!$A$2:$A$9000,0)),"")</f>
        <v/>
      </c>
      <c r="K150">
        <f>IF($I150="","",IF($F150=IFERROR(INDEX(спр_Материалы!$G$2:$G$9000,MATCH($I150,спр_Материалы!$A$2:$A$9000,0)),""),"OK","!! не та группа"))</f>
        <v/>
      </c>
      <c r="L150" s="10">
        <f>IFERROR(INDEX(спр_Работы!$H$2:$H$6000,MATCH($C150,спр_Работы!$A$2:$A$6000,0))*(1-ДисконтТендер),0)</f>
        <v/>
      </c>
      <c r="M150" s="10">
        <f>IF($I150="",0,IFERROR(INDEX(спр_Материалы!$I$2:$I$9000,MATCH($I150,спр_Материалы!$A$2:$A$9000,0))*IF(INDEX(спр_Материалы!$J$2:$J$9000,MATCH($I150,спр_Материалы!$A$2:$A$9000,0))="USD",КурсUSD,IF(INDEX(спр_Материалы!$J$2:$J$9000,MATCH($I150,спр_Материалы!$A$2:$A$9000,0))="EUR",КурсEUR,1))*INDEX(спр_Материалы!$K$2:$K$9000,MATCH($I150,спр_Материалы!$A$2:$A$9000,0))*(1+IFERROR(INDEX(спр_Работы!$I$2:$I$6000,MATCH($C150,спр_Работы!$A$2:$A$6000,0))/100,0))*(1-ДисконтТендер),0))</f>
        <v/>
      </c>
      <c r="N150" s="10">
        <f>IF(AND($R150="да",$H150&lt;&gt;""),ROUND($H150*$L150,2),0)</f>
        <v/>
      </c>
      <c r="O150" s="10">
        <f>IF(AND($R150="да",$H150&lt;&gt;""),ROUND($H150*$M150,2),0)</f>
        <v/>
      </c>
      <c r="P150" s="10">
        <f>$N150+$O150</f>
        <v/>
      </c>
      <c r="Q150">
        <f>IFERROR(INDEX(спр_Работы!$J$2:$J$6000,MATCH($C150,спр_Работы!$A$2:$A$6000,0)),"")</f>
        <v/>
      </c>
      <c r="R150" t="inlineStr">
        <is>
          <t>да</t>
        </is>
      </c>
      <c r="T150">
        <f>IF(AND($P150&gt;0,$R150="да"),MAX($T$1:$T149)+1,"")</f>
        <v/>
      </c>
    </row>
    <row r="151">
      <c r="A151">
        <f>IFERROR(INDEX(спр_Работы!$D$2:$D$6000,MATCH($C151,спр_Работы!$A$2:$A$6000,0)),"")</f>
        <v/>
      </c>
      <c r="B151">
        <f>IFERROR(INDEX(спр_Работы!$F$2:$F$6000,MATCH($C151,спр_Работы!$A$2:$A$6000,0)),"")</f>
        <v/>
      </c>
      <c r="C151">
        <f>IFERROR(INDEX(спр_Работы!$A$2:$A$6000,150),"")</f>
        <v/>
      </c>
      <c r="D151" s="8">
        <f>IFERROR(INDEX(спр_Работы!$B$2:$B$6000,MATCH($C151,спр_Работы!$A$2:$A$6000,0)),"")</f>
        <v/>
      </c>
      <c r="E151">
        <f>IFERROR(INDEX(спр_Работы!$C$2:$C$6000,MATCH($C151,спр_Работы!$A$2:$A$6000,0)),"")</f>
        <v/>
      </c>
      <c r="F151">
        <f>IFERROR(INDEX(спр_Работы!$G$2:$G$6000,MATCH($C151,спр_Работы!$A$2:$A$6000,0)),"")</f>
        <v/>
      </c>
      <c r="G151">
        <f>IFERROR(INDEX(спр_Работы!$K$2:$K$6000,MATCH($C151,спр_Работы!$A$2:$A$6000,0)),"")</f>
        <v/>
      </c>
      <c r="H151" s="9" t="n"/>
      <c r="I151" s="9" t="n"/>
      <c r="J151" s="8">
        <f>IFERROR(INDEX(спр_Материалы!$B$2:$B$9000,MATCH($I151,спр_Материалы!$A$2:$A$9000,0)),"")</f>
        <v/>
      </c>
      <c r="K151">
        <f>IF($I151="","",IF($F151=IFERROR(INDEX(спр_Материалы!$G$2:$G$9000,MATCH($I151,спр_Материалы!$A$2:$A$9000,0)),""),"OK","!! не та группа"))</f>
        <v/>
      </c>
      <c r="L151" s="10">
        <f>IFERROR(INDEX(спр_Работы!$H$2:$H$6000,MATCH($C151,спр_Работы!$A$2:$A$6000,0))*(1-ДисконтТендер),0)</f>
        <v/>
      </c>
      <c r="M151" s="10">
        <f>IF($I151="",0,IFERROR(INDEX(спр_Материалы!$I$2:$I$9000,MATCH($I151,спр_Материалы!$A$2:$A$9000,0))*IF(INDEX(спр_Материалы!$J$2:$J$9000,MATCH($I151,спр_Материалы!$A$2:$A$9000,0))="USD",КурсUSD,IF(INDEX(спр_Материалы!$J$2:$J$9000,MATCH($I151,спр_Материалы!$A$2:$A$9000,0))="EUR",КурсEUR,1))*INDEX(спр_Материалы!$K$2:$K$9000,MATCH($I151,спр_Материалы!$A$2:$A$9000,0))*(1+IFERROR(INDEX(спр_Работы!$I$2:$I$6000,MATCH($C151,спр_Работы!$A$2:$A$6000,0))/100,0))*(1-ДисконтТендер),0))</f>
        <v/>
      </c>
      <c r="N151" s="10">
        <f>IF(AND($R151="да",$H151&lt;&gt;""),ROUND($H151*$L151,2),0)</f>
        <v/>
      </c>
      <c r="O151" s="10">
        <f>IF(AND($R151="да",$H151&lt;&gt;""),ROUND($H151*$M151,2),0)</f>
        <v/>
      </c>
      <c r="P151" s="10">
        <f>$N151+$O151</f>
        <v/>
      </c>
      <c r="Q151">
        <f>IFERROR(INDEX(спр_Работы!$J$2:$J$6000,MATCH($C151,спр_Работы!$A$2:$A$6000,0)),"")</f>
        <v/>
      </c>
      <c r="R151" t="inlineStr">
        <is>
          <t>да</t>
        </is>
      </c>
      <c r="T151">
        <f>IF(AND($P151&gt;0,$R151="да"),MAX($T$1:$T150)+1,"")</f>
        <v/>
      </c>
    </row>
    <row r="152">
      <c r="A152">
        <f>IFERROR(INDEX(спр_Работы!$D$2:$D$6000,MATCH($C152,спр_Работы!$A$2:$A$6000,0)),"")</f>
        <v/>
      </c>
      <c r="B152">
        <f>IFERROR(INDEX(спр_Работы!$F$2:$F$6000,MATCH($C152,спр_Работы!$A$2:$A$6000,0)),"")</f>
        <v/>
      </c>
      <c r="C152">
        <f>IFERROR(INDEX(спр_Работы!$A$2:$A$6000,151),"")</f>
        <v/>
      </c>
      <c r="D152" s="8">
        <f>IFERROR(INDEX(спр_Работы!$B$2:$B$6000,MATCH($C152,спр_Работы!$A$2:$A$6000,0)),"")</f>
        <v/>
      </c>
      <c r="E152">
        <f>IFERROR(INDEX(спр_Работы!$C$2:$C$6000,MATCH($C152,спр_Работы!$A$2:$A$6000,0)),"")</f>
        <v/>
      </c>
      <c r="F152">
        <f>IFERROR(INDEX(спр_Работы!$G$2:$G$6000,MATCH($C152,спр_Работы!$A$2:$A$6000,0)),"")</f>
        <v/>
      </c>
      <c r="G152">
        <f>IFERROR(INDEX(спр_Работы!$K$2:$K$6000,MATCH($C152,спр_Работы!$A$2:$A$6000,0)),"")</f>
        <v/>
      </c>
      <c r="H152" s="9" t="n"/>
      <c r="I152" s="9" t="n"/>
      <c r="J152" s="8">
        <f>IFERROR(INDEX(спр_Материалы!$B$2:$B$9000,MATCH($I152,спр_Материалы!$A$2:$A$9000,0)),"")</f>
        <v/>
      </c>
      <c r="K152">
        <f>IF($I152="","",IF($F152=IFERROR(INDEX(спр_Материалы!$G$2:$G$9000,MATCH($I152,спр_Материалы!$A$2:$A$9000,0)),""),"OK","!! не та группа"))</f>
        <v/>
      </c>
      <c r="L152" s="10">
        <f>IFERROR(INDEX(спр_Работы!$H$2:$H$6000,MATCH($C152,спр_Работы!$A$2:$A$6000,0))*(1-ДисконтТендер),0)</f>
        <v/>
      </c>
      <c r="M152" s="10">
        <f>IF($I152="",0,IFERROR(INDEX(спр_Материалы!$I$2:$I$9000,MATCH($I152,спр_Материалы!$A$2:$A$9000,0))*IF(INDEX(спр_Материалы!$J$2:$J$9000,MATCH($I152,спр_Материалы!$A$2:$A$9000,0))="USD",КурсUSD,IF(INDEX(спр_Материалы!$J$2:$J$9000,MATCH($I152,спр_Материалы!$A$2:$A$9000,0))="EUR",КурсEUR,1))*INDEX(спр_Материалы!$K$2:$K$9000,MATCH($I152,спр_Материалы!$A$2:$A$9000,0))*(1+IFERROR(INDEX(спр_Работы!$I$2:$I$6000,MATCH($C152,спр_Работы!$A$2:$A$6000,0))/100,0))*(1-ДисконтТендер),0))</f>
        <v/>
      </c>
      <c r="N152" s="10">
        <f>IF(AND($R152="да",$H152&lt;&gt;""),ROUND($H152*$L152,2),0)</f>
        <v/>
      </c>
      <c r="O152" s="10">
        <f>IF(AND($R152="да",$H152&lt;&gt;""),ROUND($H152*$M152,2),0)</f>
        <v/>
      </c>
      <c r="P152" s="10">
        <f>$N152+$O152</f>
        <v/>
      </c>
      <c r="Q152">
        <f>IFERROR(INDEX(спр_Работы!$J$2:$J$6000,MATCH($C152,спр_Работы!$A$2:$A$6000,0)),"")</f>
        <v/>
      </c>
      <c r="R152" t="inlineStr">
        <is>
          <t>да</t>
        </is>
      </c>
      <c r="T152">
        <f>IF(AND($P152&gt;0,$R152="да"),MAX($T$1:$T151)+1,"")</f>
        <v/>
      </c>
    </row>
    <row r="153">
      <c r="A153">
        <f>IFERROR(INDEX(спр_Работы!$D$2:$D$6000,MATCH($C153,спр_Работы!$A$2:$A$6000,0)),"")</f>
        <v/>
      </c>
      <c r="B153">
        <f>IFERROR(INDEX(спр_Работы!$F$2:$F$6000,MATCH($C153,спр_Работы!$A$2:$A$6000,0)),"")</f>
        <v/>
      </c>
      <c r="C153">
        <f>IFERROR(INDEX(спр_Работы!$A$2:$A$6000,152),"")</f>
        <v/>
      </c>
      <c r="D153" s="8">
        <f>IFERROR(INDEX(спр_Работы!$B$2:$B$6000,MATCH($C153,спр_Работы!$A$2:$A$6000,0)),"")</f>
        <v/>
      </c>
      <c r="E153">
        <f>IFERROR(INDEX(спр_Работы!$C$2:$C$6000,MATCH($C153,спр_Работы!$A$2:$A$6000,0)),"")</f>
        <v/>
      </c>
      <c r="F153">
        <f>IFERROR(INDEX(спр_Работы!$G$2:$G$6000,MATCH($C153,спр_Работы!$A$2:$A$6000,0)),"")</f>
        <v/>
      </c>
      <c r="G153">
        <f>IFERROR(INDEX(спр_Работы!$K$2:$K$6000,MATCH($C153,спр_Работы!$A$2:$A$6000,0)),"")</f>
        <v/>
      </c>
      <c r="H153" s="9" t="n"/>
      <c r="I153" s="9" t="n"/>
      <c r="J153" s="8">
        <f>IFERROR(INDEX(спр_Материалы!$B$2:$B$9000,MATCH($I153,спр_Материалы!$A$2:$A$9000,0)),"")</f>
        <v/>
      </c>
      <c r="K153">
        <f>IF($I153="","",IF($F153=IFERROR(INDEX(спр_Материалы!$G$2:$G$9000,MATCH($I153,спр_Материалы!$A$2:$A$9000,0)),""),"OK","!! не та группа"))</f>
        <v/>
      </c>
      <c r="L153" s="10">
        <f>IFERROR(INDEX(спр_Работы!$H$2:$H$6000,MATCH($C153,спр_Работы!$A$2:$A$6000,0))*(1-ДисконтТендер),0)</f>
        <v/>
      </c>
      <c r="M153" s="10">
        <f>IF($I153="",0,IFERROR(INDEX(спр_Материалы!$I$2:$I$9000,MATCH($I153,спр_Материалы!$A$2:$A$9000,0))*IF(INDEX(спр_Материалы!$J$2:$J$9000,MATCH($I153,спр_Материалы!$A$2:$A$9000,0))="USD",КурсUSD,IF(INDEX(спр_Материалы!$J$2:$J$9000,MATCH($I153,спр_Материалы!$A$2:$A$9000,0))="EUR",КурсEUR,1))*INDEX(спр_Материалы!$K$2:$K$9000,MATCH($I153,спр_Материалы!$A$2:$A$9000,0))*(1+IFERROR(INDEX(спр_Работы!$I$2:$I$6000,MATCH($C153,спр_Работы!$A$2:$A$6000,0))/100,0))*(1-ДисконтТендер),0))</f>
        <v/>
      </c>
      <c r="N153" s="10">
        <f>IF(AND($R153="да",$H153&lt;&gt;""),ROUND($H153*$L153,2),0)</f>
        <v/>
      </c>
      <c r="O153" s="10">
        <f>IF(AND($R153="да",$H153&lt;&gt;""),ROUND($H153*$M153,2),0)</f>
        <v/>
      </c>
      <c r="P153" s="10">
        <f>$N153+$O153</f>
        <v/>
      </c>
      <c r="Q153">
        <f>IFERROR(INDEX(спр_Работы!$J$2:$J$6000,MATCH($C153,спр_Работы!$A$2:$A$6000,0)),"")</f>
        <v/>
      </c>
      <c r="R153" t="inlineStr">
        <is>
          <t>да</t>
        </is>
      </c>
      <c r="T153">
        <f>IF(AND($P153&gt;0,$R153="да"),MAX($T$1:$T152)+1,"")</f>
        <v/>
      </c>
    </row>
    <row r="154">
      <c r="A154">
        <f>IFERROR(INDEX(спр_Работы!$D$2:$D$6000,MATCH($C154,спр_Работы!$A$2:$A$6000,0)),"")</f>
        <v/>
      </c>
      <c r="B154">
        <f>IFERROR(INDEX(спр_Работы!$F$2:$F$6000,MATCH($C154,спр_Работы!$A$2:$A$6000,0)),"")</f>
        <v/>
      </c>
      <c r="C154">
        <f>IFERROR(INDEX(спр_Работы!$A$2:$A$6000,153),"")</f>
        <v/>
      </c>
      <c r="D154" s="8">
        <f>IFERROR(INDEX(спр_Работы!$B$2:$B$6000,MATCH($C154,спр_Работы!$A$2:$A$6000,0)),"")</f>
        <v/>
      </c>
      <c r="E154">
        <f>IFERROR(INDEX(спр_Работы!$C$2:$C$6000,MATCH($C154,спр_Работы!$A$2:$A$6000,0)),"")</f>
        <v/>
      </c>
      <c r="F154">
        <f>IFERROR(INDEX(спр_Работы!$G$2:$G$6000,MATCH($C154,спр_Работы!$A$2:$A$6000,0)),"")</f>
        <v/>
      </c>
      <c r="G154">
        <f>IFERROR(INDEX(спр_Работы!$K$2:$K$6000,MATCH($C154,спр_Работы!$A$2:$A$6000,0)),"")</f>
        <v/>
      </c>
      <c r="H154" s="9" t="n"/>
      <c r="I154" s="9" t="n"/>
      <c r="J154" s="8">
        <f>IFERROR(INDEX(спр_Материалы!$B$2:$B$9000,MATCH($I154,спр_Материалы!$A$2:$A$9000,0)),"")</f>
        <v/>
      </c>
      <c r="K154">
        <f>IF($I154="","",IF($F154=IFERROR(INDEX(спр_Материалы!$G$2:$G$9000,MATCH($I154,спр_Материалы!$A$2:$A$9000,0)),""),"OK","!! не та группа"))</f>
        <v/>
      </c>
      <c r="L154" s="10">
        <f>IFERROR(INDEX(спр_Работы!$H$2:$H$6000,MATCH($C154,спр_Работы!$A$2:$A$6000,0))*(1-ДисконтТендер),0)</f>
        <v/>
      </c>
      <c r="M154" s="10">
        <f>IF($I154="",0,IFERROR(INDEX(спр_Материалы!$I$2:$I$9000,MATCH($I154,спр_Материалы!$A$2:$A$9000,0))*IF(INDEX(спр_Материалы!$J$2:$J$9000,MATCH($I154,спр_Материалы!$A$2:$A$9000,0))="USD",КурсUSD,IF(INDEX(спр_Материалы!$J$2:$J$9000,MATCH($I154,спр_Материалы!$A$2:$A$9000,0))="EUR",КурсEUR,1))*INDEX(спр_Материалы!$K$2:$K$9000,MATCH($I154,спр_Материалы!$A$2:$A$9000,0))*(1+IFERROR(INDEX(спр_Работы!$I$2:$I$6000,MATCH($C154,спр_Работы!$A$2:$A$6000,0))/100,0))*(1-ДисконтТендер),0))</f>
        <v/>
      </c>
      <c r="N154" s="10">
        <f>IF(AND($R154="да",$H154&lt;&gt;""),ROUND($H154*$L154,2),0)</f>
        <v/>
      </c>
      <c r="O154" s="10">
        <f>IF(AND($R154="да",$H154&lt;&gt;""),ROUND($H154*$M154,2),0)</f>
        <v/>
      </c>
      <c r="P154" s="10">
        <f>$N154+$O154</f>
        <v/>
      </c>
      <c r="Q154">
        <f>IFERROR(INDEX(спр_Работы!$J$2:$J$6000,MATCH($C154,спр_Работы!$A$2:$A$6000,0)),"")</f>
        <v/>
      </c>
      <c r="R154" t="inlineStr">
        <is>
          <t>да</t>
        </is>
      </c>
      <c r="T154">
        <f>IF(AND($P154&gt;0,$R154="да"),MAX($T$1:$T153)+1,"")</f>
        <v/>
      </c>
    </row>
    <row r="155">
      <c r="A155">
        <f>IFERROR(INDEX(спр_Работы!$D$2:$D$6000,MATCH($C155,спр_Работы!$A$2:$A$6000,0)),"")</f>
        <v/>
      </c>
      <c r="B155">
        <f>IFERROR(INDEX(спр_Работы!$F$2:$F$6000,MATCH($C155,спр_Работы!$A$2:$A$6000,0)),"")</f>
        <v/>
      </c>
      <c r="C155">
        <f>IFERROR(INDEX(спр_Работы!$A$2:$A$6000,154),"")</f>
        <v/>
      </c>
      <c r="D155" s="8">
        <f>IFERROR(INDEX(спр_Работы!$B$2:$B$6000,MATCH($C155,спр_Работы!$A$2:$A$6000,0)),"")</f>
        <v/>
      </c>
      <c r="E155">
        <f>IFERROR(INDEX(спр_Работы!$C$2:$C$6000,MATCH($C155,спр_Работы!$A$2:$A$6000,0)),"")</f>
        <v/>
      </c>
      <c r="F155">
        <f>IFERROR(INDEX(спр_Работы!$G$2:$G$6000,MATCH($C155,спр_Работы!$A$2:$A$6000,0)),"")</f>
        <v/>
      </c>
      <c r="G155">
        <f>IFERROR(INDEX(спр_Работы!$K$2:$K$6000,MATCH($C155,спр_Работы!$A$2:$A$6000,0)),"")</f>
        <v/>
      </c>
      <c r="H155" s="9" t="n"/>
      <c r="I155" s="9" t="n"/>
      <c r="J155" s="8">
        <f>IFERROR(INDEX(спр_Материалы!$B$2:$B$9000,MATCH($I155,спр_Материалы!$A$2:$A$9000,0)),"")</f>
        <v/>
      </c>
      <c r="K155">
        <f>IF($I155="","",IF($F155=IFERROR(INDEX(спр_Материалы!$G$2:$G$9000,MATCH($I155,спр_Материалы!$A$2:$A$9000,0)),""),"OK","!! не та группа"))</f>
        <v/>
      </c>
      <c r="L155" s="10">
        <f>IFERROR(INDEX(спр_Работы!$H$2:$H$6000,MATCH($C155,спр_Работы!$A$2:$A$6000,0))*(1-ДисконтТендер),0)</f>
        <v/>
      </c>
      <c r="M155" s="10">
        <f>IF($I155="",0,IFERROR(INDEX(спр_Материалы!$I$2:$I$9000,MATCH($I155,спр_Материалы!$A$2:$A$9000,0))*IF(INDEX(спр_Материалы!$J$2:$J$9000,MATCH($I155,спр_Материалы!$A$2:$A$9000,0))="USD",КурсUSD,IF(INDEX(спр_Материалы!$J$2:$J$9000,MATCH($I155,спр_Материалы!$A$2:$A$9000,0))="EUR",КурсEUR,1))*INDEX(спр_Материалы!$K$2:$K$9000,MATCH($I155,спр_Материалы!$A$2:$A$9000,0))*(1+IFERROR(INDEX(спр_Работы!$I$2:$I$6000,MATCH($C155,спр_Работы!$A$2:$A$6000,0))/100,0))*(1-ДисконтТендер),0))</f>
        <v/>
      </c>
      <c r="N155" s="10">
        <f>IF(AND($R155="да",$H155&lt;&gt;""),ROUND($H155*$L155,2),0)</f>
        <v/>
      </c>
      <c r="O155" s="10">
        <f>IF(AND($R155="да",$H155&lt;&gt;""),ROUND($H155*$M155,2),0)</f>
        <v/>
      </c>
      <c r="P155" s="10">
        <f>$N155+$O155</f>
        <v/>
      </c>
      <c r="Q155">
        <f>IFERROR(INDEX(спр_Работы!$J$2:$J$6000,MATCH($C155,спр_Работы!$A$2:$A$6000,0)),"")</f>
        <v/>
      </c>
      <c r="R155" t="inlineStr">
        <is>
          <t>да</t>
        </is>
      </c>
      <c r="T155">
        <f>IF(AND($P155&gt;0,$R155="да"),MAX($T$1:$T154)+1,"")</f>
        <v/>
      </c>
    </row>
    <row r="156">
      <c r="A156">
        <f>IFERROR(INDEX(спр_Работы!$D$2:$D$6000,MATCH($C156,спр_Работы!$A$2:$A$6000,0)),"")</f>
        <v/>
      </c>
      <c r="B156">
        <f>IFERROR(INDEX(спр_Работы!$F$2:$F$6000,MATCH($C156,спр_Работы!$A$2:$A$6000,0)),"")</f>
        <v/>
      </c>
      <c r="C156">
        <f>IFERROR(INDEX(спр_Работы!$A$2:$A$6000,155),"")</f>
        <v/>
      </c>
      <c r="D156" s="8">
        <f>IFERROR(INDEX(спр_Работы!$B$2:$B$6000,MATCH($C156,спр_Работы!$A$2:$A$6000,0)),"")</f>
        <v/>
      </c>
      <c r="E156">
        <f>IFERROR(INDEX(спр_Работы!$C$2:$C$6000,MATCH($C156,спр_Работы!$A$2:$A$6000,0)),"")</f>
        <v/>
      </c>
      <c r="F156">
        <f>IFERROR(INDEX(спр_Работы!$G$2:$G$6000,MATCH($C156,спр_Работы!$A$2:$A$6000,0)),"")</f>
        <v/>
      </c>
      <c r="G156">
        <f>IFERROR(INDEX(спр_Работы!$K$2:$K$6000,MATCH($C156,спр_Работы!$A$2:$A$6000,0)),"")</f>
        <v/>
      </c>
      <c r="H156" s="9" t="n"/>
      <c r="I156" s="9" t="n"/>
      <c r="J156" s="8">
        <f>IFERROR(INDEX(спр_Материалы!$B$2:$B$9000,MATCH($I156,спр_Материалы!$A$2:$A$9000,0)),"")</f>
        <v/>
      </c>
      <c r="K156">
        <f>IF($I156="","",IF($F156=IFERROR(INDEX(спр_Материалы!$G$2:$G$9000,MATCH($I156,спр_Материалы!$A$2:$A$9000,0)),""),"OK","!! не та группа"))</f>
        <v/>
      </c>
      <c r="L156" s="10">
        <f>IFERROR(INDEX(спр_Работы!$H$2:$H$6000,MATCH($C156,спр_Работы!$A$2:$A$6000,0))*(1-ДисконтТендер),0)</f>
        <v/>
      </c>
      <c r="M156" s="10">
        <f>IF($I156="",0,IFERROR(INDEX(спр_Материалы!$I$2:$I$9000,MATCH($I156,спр_Материалы!$A$2:$A$9000,0))*IF(INDEX(спр_Материалы!$J$2:$J$9000,MATCH($I156,спр_Материалы!$A$2:$A$9000,0))="USD",КурсUSD,IF(INDEX(спр_Материалы!$J$2:$J$9000,MATCH($I156,спр_Материалы!$A$2:$A$9000,0))="EUR",КурсEUR,1))*INDEX(спр_Материалы!$K$2:$K$9000,MATCH($I156,спр_Материалы!$A$2:$A$9000,0))*(1+IFERROR(INDEX(спр_Работы!$I$2:$I$6000,MATCH($C156,спр_Работы!$A$2:$A$6000,0))/100,0))*(1-ДисконтТендер),0))</f>
        <v/>
      </c>
      <c r="N156" s="10">
        <f>IF(AND($R156="да",$H156&lt;&gt;""),ROUND($H156*$L156,2),0)</f>
        <v/>
      </c>
      <c r="O156" s="10">
        <f>IF(AND($R156="да",$H156&lt;&gt;""),ROUND($H156*$M156,2),0)</f>
        <v/>
      </c>
      <c r="P156" s="10">
        <f>$N156+$O156</f>
        <v/>
      </c>
      <c r="Q156">
        <f>IFERROR(INDEX(спр_Работы!$J$2:$J$6000,MATCH($C156,спр_Работы!$A$2:$A$6000,0)),"")</f>
        <v/>
      </c>
      <c r="R156" t="inlineStr">
        <is>
          <t>да</t>
        </is>
      </c>
      <c r="T156">
        <f>IF(AND($P156&gt;0,$R156="да"),MAX($T$1:$T155)+1,"")</f>
        <v/>
      </c>
    </row>
    <row r="157">
      <c r="A157">
        <f>IFERROR(INDEX(спр_Работы!$D$2:$D$6000,MATCH($C157,спр_Работы!$A$2:$A$6000,0)),"")</f>
        <v/>
      </c>
      <c r="B157">
        <f>IFERROR(INDEX(спр_Работы!$F$2:$F$6000,MATCH($C157,спр_Работы!$A$2:$A$6000,0)),"")</f>
        <v/>
      </c>
      <c r="C157">
        <f>IFERROR(INDEX(спр_Работы!$A$2:$A$6000,156),"")</f>
        <v/>
      </c>
      <c r="D157" s="8">
        <f>IFERROR(INDEX(спр_Работы!$B$2:$B$6000,MATCH($C157,спр_Работы!$A$2:$A$6000,0)),"")</f>
        <v/>
      </c>
      <c r="E157">
        <f>IFERROR(INDEX(спр_Работы!$C$2:$C$6000,MATCH($C157,спр_Работы!$A$2:$A$6000,0)),"")</f>
        <v/>
      </c>
      <c r="F157">
        <f>IFERROR(INDEX(спр_Работы!$G$2:$G$6000,MATCH($C157,спр_Работы!$A$2:$A$6000,0)),"")</f>
        <v/>
      </c>
      <c r="G157">
        <f>IFERROR(INDEX(спр_Работы!$K$2:$K$6000,MATCH($C157,спр_Работы!$A$2:$A$6000,0)),"")</f>
        <v/>
      </c>
      <c r="H157" s="9" t="n"/>
      <c r="I157" s="9" t="n"/>
      <c r="J157" s="8">
        <f>IFERROR(INDEX(спр_Материалы!$B$2:$B$9000,MATCH($I157,спр_Материалы!$A$2:$A$9000,0)),"")</f>
        <v/>
      </c>
      <c r="K157">
        <f>IF($I157="","",IF($F157=IFERROR(INDEX(спр_Материалы!$G$2:$G$9000,MATCH($I157,спр_Материалы!$A$2:$A$9000,0)),""),"OK","!! не та группа"))</f>
        <v/>
      </c>
      <c r="L157" s="10">
        <f>IFERROR(INDEX(спр_Работы!$H$2:$H$6000,MATCH($C157,спр_Работы!$A$2:$A$6000,0))*(1-ДисконтТендер),0)</f>
        <v/>
      </c>
      <c r="M157" s="10">
        <f>IF($I157="",0,IFERROR(INDEX(спр_Материалы!$I$2:$I$9000,MATCH($I157,спр_Материалы!$A$2:$A$9000,0))*IF(INDEX(спр_Материалы!$J$2:$J$9000,MATCH($I157,спр_Материалы!$A$2:$A$9000,0))="USD",КурсUSD,IF(INDEX(спр_Материалы!$J$2:$J$9000,MATCH($I157,спр_Материалы!$A$2:$A$9000,0))="EUR",КурсEUR,1))*INDEX(спр_Материалы!$K$2:$K$9000,MATCH($I157,спр_Материалы!$A$2:$A$9000,0))*(1+IFERROR(INDEX(спр_Работы!$I$2:$I$6000,MATCH($C157,спр_Работы!$A$2:$A$6000,0))/100,0))*(1-ДисконтТендер),0))</f>
        <v/>
      </c>
      <c r="N157" s="10">
        <f>IF(AND($R157="да",$H157&lt;&gt;""),ROUND($H157*$L157,2),0)</f>
        <v/>
      </c>
      <c r="O157" s="10">
        <f>IF(AND($R157="да",$H157&lt;&gt;""),ROUND($H157*$M157,2),0)</f>
        <v/>
      </c>
      <c r="P157" s="10">
        <f>$N157+$O157</f>
        <v/>
      </c>
      <c r="Q157">
        <f>IFERROR(INDEX(спр_Работы!$J$2:$J$6000,MATCH($C157,спр_Работы!$A$2:$A$6000,0)),"")</f>
        <v/>
      </c>
      <c r="R157" t="inlineStr">
        <is>
          <t>да</t>
        </is>
      </c>
      <c r="T157">
        <f>IF(AND($P157&gt;0,$R157="да"),MAX($T$1:$T156)+1,"")</f>
        <v/>
      </c>
    </row>
    <row r="158">
      <c r="A158">
        <f>IFERROR(INDEX(спр_Работы!$D$2:$D$6000,MATCH($C158,спр_Работы!$A$2:$A$6000,0)),"")</f>
        <v/>
      </c>
      <c r="B158">
        <f>IFERROR(INDEX(спр_Работы!$F$2:$F$6000,MATCH($C158,спр_Работы!$A$2:$A$6000,0)),"")</f>
        <v/>
      </c>
      <c r="C158">
        <f>IFERROR(INDEX(спр_Работы!$A$2:$A$6000,157),"")</f>
        <v/>
      </c>
      <c r="D158" s="8">
        <f>IFERROR(INDEX(спр_Работы!$B$2:$B$6000,MATCH($C158,спр_Работы!$A$2:$A$6000,0)),"")</f>
        <v/>
      </c>
      <c r="E158">
        <f>IFERROR(INDEX(спр_Работы!$C$2:$C$6000,MATCH($C158,спр_Работы!$A$2:$A$6000,0)),"")</f>
        <v/>
      </c>
      <c r="F158">
        <f>IFERROR(INDEX(спр_Работы!$G$2:$G$6000,MATCH($C158,спр_Работы!$A$2:$A$6000,0)),"")</f>
        <v/>
      </c>
      <c r="G158">
        <f>IFERROR(INDEX(спр_Работы!$K$2:$K$6000,MATCH($C158,спр_Работы!$A$2:$A$6000,0)),"")</f>
        <v/>
      </c>
      <c r="H158" s="9" t="n"/>
      <c r="I158" s="9" t="n"/>
      <c r="J158" s="8">
        <f>IFERROR(INDEX(спр_Материалы!$B$2:$B$9000,MATCH($I158,спр_Материалы!$A$2:$A$9000,0)),"")</f>
        <v/>
      </c>
      <c r="K158">
        <f>IF($I158="","",IF($F158=IFERROR(INDEX(спр_Материалы!$G$2:$G$9000,MATCH($I158,спр_Материалы!$A$2:$A$9000,0)),""),"OK","!! не та группа"))</f>
        <v/>
      </c>
      <c r="L158" s="10">
        <f>IFERROR(INDEX(спр_Работы!$H$2:$H$6000,MATCH($C158,спр_Работы!$A$2:$A$6000,0))*(1-ДисконтТендер),0)</f>
        <v/>
      </c>
      <c r="M158" s="10">
        <f>IF($I158="",0,IFERROR(INDEX(спр_Материалы!$I$2:$I$9000,MATCH($I158,спр_Материалы!$A$2:$A$9000,0))*IF(INDEX(спр_Материалы!$J$2:$J$9000,MATCH($I158,спр_Материалы!$A$2:$A$9000,0))="USD",КурсUSD,IF(INDEX(спр_Материалы!$J$2:$J$9000,MATCH($I158,спр_Материалы!$A$2:$A$9000,0))="EUR",КурсEUR,1))*INDEX(спр_Материалы!$K$2:$K$9000,MATCH($I158,спр_Материалы!$A$2:$A$9000,0))*(1+IFERROR(INDEX(спр_Работы!$I$2:$I$6000,MATCH($C158,спр_Работы!$A$2:$A$6000,0))/100,0))*(1-ДисконтТендер),0))</f>
        <v/>
      </c>
      <c r="N158" s="10">
        <f>IF(AND($R158="да",$H158&lt;&gt;""),ROUND($H158*$L158,2),0)</f>
        <v/>
      </c>
      <c r="O158" s="10">
        <f>IF(AND($R158="да",$H158&lt;&gt;""),ROUND($H158*$M158,2),0)</f>
        <v/>
      </c>
      <c r="P158" s="10">
        <f>$N158+$O158</f>
        <v/>
      </c>
      <c r="Q158">
        <f>IFERROR(INDEX(спр_Работы!$J$2:$J$6000,MATCH($C158,спр_Работы!$A$2:$A$6000,0)),"")</f>
        <v/>
      </c>
      <c r="R158" t="inlineStr">
        <is>
          <t>да</t>
        </is>
      </c>
      <c r="T158">
        <f>IF(AND($P158&gt;0,$R158="да"),MAX($T$1:$T157)+1,"")</f>
        <v/>
      </c>
    </row>
    <row r="159">
      <c r="A159">
        <f>IFERROR(INDEX(спр_Работы!$D$2:$D$6000,MATCH($C159,спр_Работы!$A$2:$A$6000,0)),"")</f>
        <v/>
      </c>
      <c r="B159">
        <f>IFERROR(INDEX(спр_Работы!$F$2:$F$6000,MATCH($C159,спр_Работы!$A$2:$A$6000,0)),"")</f>
        <v/>
      </c>
      <c r="C159">
        <f>IFERROR(INDEX(спр_Работы!$A$2:$A$6000,158),"")</f>
        <v/>
      </c>
      <c r="D159" s="8">
        <f>IFERROR(INDEX(спр_Работы!$B$2:$B$6000,MATCH($C159,спр_Работы!$A$2:$A$6000,0)),"")</f>
        <v/>
      </c>
      <c r="E159">
        <f>IFERROR(INDEX(спр_Работы!$C$2:$C$6000,MATCH($C159,спр_Работы!$A$2:$A$6000,0)),"")</f>
        <v/>
      </c>
      <c r="F159">
        <f>IFERROR(INDEX(спр_Работы!$G$2:$G$6000,MATCH($C159,спр_Работы!$A$2:$A$6000,0)),"")</f>
        <v/>
      </c>
      <c r="G159">
        <f>IFERROR(INDEX(спр_Работы!$K$2:$K$6000,MATCH($C159,спр_Работы!$A$2:$A$6000,0)),"")</f>
        <v/>
      </c>
      <c r="H159" s="9" t="n"/>
      <c r="I159" s="9" t="n"/>
      <c r="J159" s="8">
        <f>IFERROR(INDEX(спр_Материалы!$B$2:$B$9000,MATCH($I159,спр_Материалы!$A$2:$A$9000,0)),"")</f>
        <v/>
      </c>
      <c r="K159">
        <f>IF($I159="","",IF($F159=IFERROR(INDEX(спр_Материалы!$G$2:$G$9000,MATCH($I159,спр_Материалы!$A$2:$A$9000,0)),""),"OK","!! не та группа"))</f>
        <v/>
      </c>
      <c r="L159" s="10">
        <f>IFERROR(INDEX(спр_Работы!$H$2:$H$6000,MATCH($C159,спр_Работы!$A$2:$A$6000,0))*(1-ДисконтТендер),0)</f>
        <v/>
      </c>
      <c r="M159" s="10">
        <f>IF($I159="",0,IFERROR(INDEX(спр_Материалы!$I$2:$I$9000,MATCH($I159,спр_Материалы!$A$2:$A$9000,0))*IF(INDEX(спр_Материалы!$J$2:$J$9000,MATCH($I159,спр_Материалы!$A$2:$A$9000,0))="USD",КурсUSD,IF(INDEX(спр_Материалы!$J$2:$J$9000,MATCH($I159,спр_Материалы!$A$2:$A$9000,0))="EUR",КурсEUR,1))*INDEX(спр_Материалы!$K$2:$K$9000,MATCH($I159,спр_Материалы!$A$2:$A$9000,0))*(1+IFERROR(INDEX(спр_Работы!$I$2:$I$6000,MATCH($C159,спр_Работы!$A$2:$A$6000,0))/100,0))*(1-ДисконтТендер),0))</f>
        <v/>
      </c>
      <c r="N159" s="10">
        <f>IF(AND($R159="да",$H159&lt;&gt;""),ROUND($H159*$L159,2),0)</f>
        <v/>
      </c>
      <c r="O159" s="10">
        <f>IF(AND($R159="да",$H159&lt;&gt;""),ROUND($H159*$M159,2),0)</f>
        <v/>
      </c>
      <c r="P159" s="10">
        <f>$N159+$O159</f>
        <v/>
      </c>
      <c r="Q159">
        <f>IFERROR(INDEX(спр_Работы!$J$2:$J$6000,MATCH($C159,спр_Работы!$A$2:$A$6000,0)),"")</f>
        <v/>
      </c>
      <c r="R159" t="inlineStr">
        <is>
          <t>да</t>
        </is>
      </c>
      <c r="T159">
        <f>IF(AND($P159&gt;0,$R159="да"),MAX($T$1:$T158)+1,"")</f>
        <v/>
      </c>
    </row>
    <row r="160">
      <c r="A160">
        <f>IFERROR(INDEX(спр_Работы!$D$2:$D$6000,MATCH($C160,спр_Работы!$A$2:$A$6000,0)),"")</f>
        <v/>
      </c>
      <c r="B160">
        <f>IFERROR(INDEX(спр_Работы!$F$2:$F$6000,MATCH($C160,спр_Работы!$A$2:$A$6000,0)),"")</f>
        <v/>
      </c>
      <c r="C160">
        <f>IFERROR(INDEX(спр_Работы!$A$2:$A$6000,159),"")</f>
        <v/>
      </c>
      <c r="D160" s="8">
        <f>IFERROR(INDEX(спр_Работы!$B$2:$B$6000,MATCH($C160,спр_Работы!$A$2:$A$6000,0)),"")</f>
        <v/>
      </c>
      <c r="E160">
        <f>IFERROR(INDEX(спр_Работы!$C$2:$C$6000,MATCH($C160,спр_Работы!$A$2:$A$6000,0)),"")</f>
        <v/>
      </c>
      <c r="F160">
        <f>IFERROR(INDEX(спр_Работы!$G$2:$G$6000,MATCH($C160,спр_Работы!$A$2:$A$6000,0)),"")</f>
        <v/>
      </c>
      <c r="G160">
        <f>IFERROR(INDEX(спр_Работы!$K$2:$K$6000,MATCH($C160,спр_Работы!$A$2:$A$6000,0)),"")</f>
        <v/>
      </c>
      <c r="H160" s="9" t="n"/>
      <c r="I160" s="9" t="n"/>
      <c r="J160" s="8">
        <f>IFERROR(INDEX(спр_Материалы!$B$2:$B$9000,MATCH($I160,спр_Материалы!$A$2:$A$9000,0)),"")</f>
        <v/>
      </c>
      <c r="K160">
        <f>IF($I160="","",IF($F160=IFERROR(INDEX(спр_Материалы!$G$2:$G$9000,MATCH($I160,спр_Материалы!$A$2:$A$9000,0)),""),"OK","!! не та группа"))</f>
        <v/>
      </c>
      <c r="L160" s="10">
        <f>IFERROR(INDEX(спр_Работы!$H$2:$H$6000,MATCH($C160,спр_Работы!$A$2:$A$6000,0))*(1-ДисконтТендер),0)</f>
        <v/>
      </c>
      <c r="M160" s="10">
        <f>IF($I160="",0,IFERROR(INDEX(спр_Материалы!$I$2:$I$9000,MATCH($I160,спр_Материалы!$A$2:$A$9000,0))*IF(INDEX(спр_Материалы!$J$2:$J$9000,MATCH($I160,спр_Материалы!$A$2:$A$9000,0))="USD",КурсUSD,IF(INDEX(спр_Материалы!$J$2:$J$9000,MATCH($I160,спр_Материалы!$A$2:$A$9000,0))="EUR",КурсEUR,1))*INDEX(спр_Материалы!$K$2:$K$9000,MATCH($I160,спр_Материалы!$A$2:$A$9000,0))*(1+IFERROR(INDEX(спр_Работы!$I$2:$I$6000,MATCH($C160,спр_Работы!$A$2:$A$6000,0))/100,0))*(1-ДисконтТендер),0))</f>
        <v/>
      </c>
      <c r="N160" s="10">
        <f>IF(AND($R160="да",$H160&lt;&gt;""),ROUND($H160*$L160,2),0)</f>
        <v/>
      </c>
      <c r="O160" s="10">
        <f>IF(AND($R160="да",$H160&lt;&gt;""),ROUND($H160*$M160,2),0)</f>
        <v/>
      </c>
      <c r="P160" s="10">
        <f>$N160+$O160</f>
        <v/>
      </c>
      <c r="Q160">
        <f>IFERROR(INDEX(спр_Работы!$J$2:$J$6000,MATCH($C160,спр_Работы!$A$2:$A$6000,0)),"")</f>
        <v/>
      </c>
      <c r="R160" t="inlineStr">
        <is>
          <t>да</t>
        </is>
      </c>
      <c r="T160">
        <f>IF(AND($P160&gt;0,$R160="да"),MAX($T$1:$T159)+1,"")</f>
        <v/>
      </c>
    </row>
    <row r="161">
      <c r="A161">
        <f>IFERROR(INDEX(спр_Работы!$D$2:$D$6000,MATCH($C161,спр_Работы!$A$2:$A$6000,0)),"")</f>
        <v/>
      </c>
      <c r="B161">
        <f>IFERROR(INDEX(спр_Работы!$F$2:$F$6000,MATCH($C161,спр_Работы!$A$2:$A$6000,0)),"")</f>
        <v/>
      </c>
      <c r="C161">
        <f>IFERROR(INDEX(спр_Работы!$A$2:$A$6000,160),"")</f>
        <v/>
      </c>
      <c r="D161" s="8">
        <f>IFERROR(INDEX(спр_Работы!$B$2:$B$6000,MATCH($C161,спр_Работы!$A$2:$A$6000,0)),"")</f>
        <v/>
      </c>
      <c r="E161">
        <f>IFERROR(INDEX(спр_Работы!$C$2:$C$6000,MATCH($C161,спр_Работы!$A$2:$A$6000,0)),"")</f>
        <v/>
      </c>
      <c r="F161">
        <f>IFERROR(INDEX(спр_Работы!$G$2:$G$6000,MATCH($C161,спр_Работы!$A$2:$A$6000,0)),"")</f>
        <v/>
      </c>
      <c r="G161">
        <f>IFERROR(INDEX(спр_Работы!$K$2:$K$6000,MATCH($C161,спр_Работы!$A$2:$A$6000,0)),"")</f>
        <v/>
      </c>
      <c r="H161" s="9" t="n"/>
      <c r="I161" s="9" t="n"/>
      <c r="J161" s="8">
        <f>IFERROR(INDEX(спр_Материалы!$B$2:$B$9000,MATCH($I161,спр_Материалы!$A$2:$A$9000,0)),"")</f>
        <v/>
      </c>
      <c r="K161">
        <f>IF($I161="","",IF($F161=IFERROR(INDEX(спр_Материалы!$G$2:$G$9000,MATCH($I161,спр_Материалы!$A$2:$A$9000,0)),""),"OK","!! не та группа"))</f>
        <v/>
      </c>
      <c r="L161" s="10">
        <f>IFERROR(INDEX(спр_Работы!$H$2:$H$6000,MATCH($C161,спр_Работы!$A$2:$A$6000,0))*(1-ДисконтТендер),0)</f>
        <v/>
      </c>
      <c r="M161" s="10">
        <f>IF($I161="",0,IFERROR(INDEX(спр_Материалы!$I$2:$I$9000,MATCH($I161,спр_Материалы!$A$2:$A$9000,0))*IF(INDEX(спр_Материалы!$J$2:$J$9000,MATCH($I161,спр_Материалы!$A$2:$A$9000,0))="USD",КурсUSD,IF(INDEX(спр_Материалы!$J$2:$J$9000,MATCH($I161,спр_Материалы!$A$2:$A$9000,0))="EUR",КурсEUR,1))*INDEX(спр_Материалы!$K$2:$K$9000,MATCH($I161,спр_Материалы!$A$2:$A$9000,0))*(1+IFERROR(INDEX(спр_Работы!$I$2:$I$6000,MATCH($C161,спр_Работы!$A$2:$A$6000,0))/100,0))*(1-ДисконтТендер),0))</f>
        <v/>
      </c>
      <c r="N161" s="10">
        <f>IF(AND($R161="да",$H161&lt;&gt;""),ROUND($H161*$L161,2),0)</f>
        <v/>
      </c>
      <c r="O161" s="10">
        <f>IF(AND($R161="да",$H161&lt;&gt;""),ROUND($H161*$M161,2),0)</f>
        <v/>
      </c>
      <c r="P161" s="10">
        <f>$N161+$O161</f>
        <v/>
      </c>
      <c r="Q161">
        <f>IFERROR(INDEX(спр_Работы!$J$2:$J$6000,MATCH($C161,спр_Работы!$A$2:$A$6000,0)),"")</f>
        <v/>
      </c>
      <c r="R161" t="inlineStr">
        <is>
          <t>да</t>
        </is>
      </c>
      <c r="T161">
        <f>IF(AND($P161&gt;0,$R161="да"),MAX($T$1:$T160)+1,"")</f>
        <v/>
      </c>
    </row>
    <row r="162">
      <c r="A162">
        <f>IFERROR(INDEX(спр_Работы!$D$2:$D$6000,MATCH($C162,спр_Работы!$A$2:$A$6000,0)),"")</f>
        <v/>
      </c>
      <c r="B162">
        <f>IFERROR(INDEX(спр_Работы!$F$2:$F$6000,MATCH($C162,спр_Работы!$A$2:$A$6000,0)),"")</f>
        <v/>
      </c>
      <c r="C162">
        <f>IFERROR(INDEX(спр_Работы!$A$2:$A$6000,161),"")</f>
        <v/>
      </c>
      <c r="D162" s="8">
        <f>IFERROR(INDEX(спр_Работы!$B$2:$B$6000,MATCH($C162,спр_Работы!$A$2:$A$6000,0)),"")</f>
        <v/>
      </c>
      <c r="E162">
        <f>IFERROR(INDEX(спр_Работы!$C$2:$C$6000,MATCH($C162,спр_Работы!$A$2:$A$6000,0)),"")</f>
        <v/>
      </c>
      <c r="F162">
        <f>IFERROR(INDEX(спр_Работы!$G$2:$G$6000,MATCH($C162,спр_Работы!$A$2:$A$6000,0)),"")</f>
        <v/>
      </c>
      <c r="G162">
        <f>IFERROR(INDEX(спр_Работы!$K$2:$K$6000,MATCH($C162,спр_Работы!$A$2:$A$6000,0)),"")</f>
        <v/>
      </c>
      <c r="H162" s="9" t="n"/>
      <c r="I162" s="9" t="n"/>
      <c r="J162" s="8">
        <f>IFERROR(INDEX(спр_Материалы!$B$2:$B$9000,MATCH($I162,спр_Материалы!$A$2:$A$9000,0)),"")</f>
        <v/>
      </c>
      <c r="K162">
        <f>IF($I162="","",IF($F162=IFERROR(INDEX(спр_Материалы!$G$2:$G$9000,MATCH($I162,спр_Материалы!$A$2:$A$9000,0)),""),"OK","!! не та группа"))</f>
        <v/>
      </c>
      <c r="L162" s="10">
        <f>IFERROR(INDEX(спр_Работы!$H$2:$H$6000,MATCH($C162,спр_Работы!$A$2:$A$6000,0))*(1-ДисконтТендер),0)</f>
        <v/>
      </c>
      <c r="M162" s="10">
        <f>IF($I162="",0,IFERROR(INDEX(спр_Материалы!$I$2:$I$9000,MATCH($I162,спр_Материалы!$A$2:$A$9000,0))*IF(INDEX(спр_Материалы!$J$2:$J$9000,MATCH($I162,спр_Материалы!$A$2:$A$9000,0))="USD",КурсUSD,IF(INDEX(спр_Материалы!$J$2:$J$9000,MATCH($I162,спр_Материалы!$A$2:$A$9000,0))="EUR",КурсEUR,1))*INDEX(спр_Материалы!$K$2:$K$9000,MATCH($I162,спр_Материалы!$A$2:$A$9000,0))*(1+IFERROR(INDEX(спр_Работы!$I$2:$I$6000,MATCH($C162,спр_Работы!$A$2:$A$6000,0))/100,0))*(1-ДисконтТендер),0))</f>
        <v/>
      </c>
      <c r="N162" s="10">
        <f>IF(AND($R162="да",$H162&lt;&gt;""),ROUND($H162*$L162,2),0)</f>
        <v/>
      </c>
      <c r="O162" s="10">
        <f>IF(AND($R162="да",$H162&lt;&gt;""),ROUND($H162*$M162,2),0)</f>
        <v/>
      </c>
      <c r="P162" s="10">
        <f>$N162+$O162</f>
        <v/>
      </c>
      <c r="Q162">
        <f>IFERROR(INDEX(спр_Работы!$J$2:$J$6000,MATCH($C162,спр_Работы!$A$2:$A$6000,0)),"")</f>
        <v/>
      </c>
      <c r="R162" t="inlineStr">
        <is>
          <t>да</t>
        </is>
      </c>
      <c r="T162">
        <f>IF(AND($P162&gt;0,$R162="да"),MAX($T$1:$T161)+1,"")</f>
        <v/>
      </c>
    </row>
    <row r="163">
      <c r="A163">
        <f>IFERROR(INDEX(спр_Работы!$D$2:$D$6000,MATCH($C163,спр_Работы!$A$2:$A$6000,0)),"")</f>
        <v/>
      </c>
      <c r="B163">
        <f>IFERROR(INDEX(спр_Работы!$F$2:$F$6000,MATCH($C163,спр_Работы!$A$2:$A$6000,0)),"")</f>
        <v/>
      </c>
      <c r="C163">
        <f>IFERROR(INDEX(спр_Работы!$A$2:$A$6000,162),"")</f>
        <v/>
      </c>
      <c r="D163" s="8">
        <f>IFERROR(INDEX(спр_Работы!$B$2:$B$6000,MATCH($C163,спр_Работы!$A$2:$A$6000,0)),"")</f>
        <v/>
      </c>
      <c r="E163">
        <f>IFERROR(INDEX(спр_Работы!$C$2:$C$6000,MATCH($C163,спр_Работы!$A$2:$A$6000,0)),"")</f>
        <v/>
      </c>
      <c r="F163">
        <f>IFERROR(INDEX(спр_Работы!$G$2:$G$6000,MATCH($C163,спр_Работы!$A$2:$A$6000,0)),"")</f>
        <v/>
      </c>
      <c r="G163">
        <f>IFERROR(INDEX(спр_Работы!$K$2:$K$6000,MATCH($C163,спр_Работы!$A$2:$A$6000,0)),"")</f>
        <v/>
      </c>
      <c r="H163" s="9" t="n"/>
      <c r="I163" s="9" t="n"/>
      <c r="J163" s="8">
        <f>IFERROR(INDEX(спр_Материалы!$B$2:$B$9000,MATCH($I163,спр_Материалы!$A$2:$A$9000,0)),"")</f>
        <v/>
      </c>
      <c r="K163">
        <f>IF($I163="","",IF($F163=IFERROR(INDEX(спр_Материалы!$G$2:$G$9000,MATCH($I163,спр_Материалы!$A$2:$A$9000,0)),""),"OK","!! не та группа"))</f>
        <v/>
      </c>
      <c r="L163" s="10">
        <f>IFERROR(INDEX(спр_Работы!$H$2:$H$6000,MATCH($C163,спр_Работы!$A$2:$A$6000,0))*(1-ДисконтТендер),0)</f>
        <v/>
      </c>
      <c r="M163" s="10">
        <f>IF($I163="",0,IFERROR(INDEX(спр_Материалы!$I$2:$I$9000,MATCH($I163,спр_Материалы!$A$2:$A$9000,0))*IF(INDEX(спр_Материалы!$J$2:$J$9000,MATCH($I163,спр_Материалы!$A$2:$A$9000,0))="USD",КурсUSD,IF(INDEX(спр_Материалы!$J$2:$J$9000,MATCH($I163,спр_Материалы!$A$2:$A$9000,0))="EUR",КурсEUR,1))*INDEX(спр_Материалы!$K$2:$K$9000,MATCH($I163,спр_Материалы!$A$2:$A$9000,0))*(1+IFERROR(INDEX(спр_Работы!$I$2:$I$6000,MATCH($C163,спр_Работы!$A$2:$A$6000,0))/100,0))*(1-ДисконтТендер),0))</f>
        <v/>
      </c>
      <c r="N163" s="10">
        <f>IF(AND($R163="да",$H163&lt;&gt;""),ROUND($H163*$L163,2),0)</f>
        <v/>
      </c>
      <c r="O163" s="10">
        <f>IF(AND($R163="да",$H163&lt;&gt;""),ROUND($H163*$M163,2),0)</f>
        <v/>
      </c>
      <c r="P163" s="10">
        <f>$N163+$O163</f>
        <v/>
      </c>
      <c r="Q163">
        <f>IFERROR(INDEX(спр_Работы!$J$2:$J$6000,MATCH($C163,спр_Работы!$A$2:$A$6000,0)),"")</f>
        <v/>
      </c>
      <c r="R163" t="inlineStr">
        <is>
          <t>да</t>
        </is>
      </c>
      <c r="T163">
        <f>IF(AND($P163&gt;0,$R163="да"),MAX($T$1:$T162)+1,"")</f>
        <v/>
      </c>
    </row>
    <row r="164">
      <c r="A164">
        <f>IFERROR(INDEX(спр_Работы!$D$2:$D$6000,MATCH($C164,спр_Работы!$A$2:$A$6000,0)),"")</f>
        <v/>
      </c>
      <c r="B164">
        <f>IFERROR(INDEX(спр_Работы!$F$2:$F$6000,MATCH($C164,спр_Работы!$A$2:$A$6000,0)),"")</f>
        <v/>
      </c>
      <c r="C164">
        <f>IFERROR(INDEX(спр_Работы!$A$2:$A$6000,163),"")</f>
        <v/>
      </c>
      <c r="D164" s="8">
        <f>IFERROR(INDEX(спр_Работы!$B$2:$B$6000,MATCH($C164,спр_Работы!$A$2:$A$6000,0)),"")</f>
        <v/>
      </c>
      <c r="E164">
        <f>IFERROR(INDEX(спр_Работы!$C$2:$C$6000,MATCH($C164,спр_Работы!$A$2:$A$6000,0)),"")</f>
        <v/>
      </c>
      <c r="F164">
        <f>IFERROR(INDEX(спр_Работы!$G$2:$G$6000,MATCH($C164,спр_Работы!$A$2:$A$6000,0)),"")</f>
        <v/>
      </c>
      <c r="G164">
        <f>IFERROR(INDEX(спр_Работы!$K$2:$K$6000,MATCH($C164,спр_Работы!$A$2:$A$6000,0)),"")</f>
        <v/>
      </c>
      <c r="H164" s="9" t="n"/>
      <c r="I164" s="9" t="n"/>
      <c r="J164" s="8">
        <f>IFERROR(INDEX(спр_Материалы!$B$2:$B$9000,MATCH($I164,спр_Материалы!$A$2:$A$9000,0)),"")</f>
        <v/>
      </c>
      <c r="K164">
        <f>IF($I164="","",IF($F164=IFERROR(INDEX(спр_Материалы!$G$2:$G$9000,MATCH($I164,спр_Материалы!$A$2:$A$9000,0)),""),"OK","!! не та группа"))</f>
        <v/>
      </c>
      <c r="L164" s="10">
        <f>IFERROR(INDEX(спр_Работы!$H$2:$H$6000,MATCH($C164,спр_Работы!$A$2:$A$6000,0))*(1-ДисконтТендер),0)</f>
        <v/>
      </c>
      <c r="M164" s="10">
        <f>IF($I164="",0,IFERROR(INDEX(спр_Материалы!$I$2:$I$9000,MATCH($I164,спр_Материалы!$A$2:$A$9000,0))*IF(INDEX(спр_Материалы!$J$2:$J$9000,MATCH($I164,спр_Материалы!$A$2:$A$9000,0))="USD",КурсUSD,IF(INDEX(спр_Материалы!$J$2:$J$9000,MATCH($I164,спр_Материалы!$A$2:$A$9000,0))="EUR",КурсEUR,1))*INDEX(спр_Материалы!$K$2:$K$9000,MATCH($I164,спр_Материалы!$A$2:$A$9000,0))*(1+IFERROR(INDEX(спр_Работы!$I$2:$I$6000,MATCH($C164,спр_Работы!$A$2:$A$6000,0))/100,0))*(1-ДисконтТендер),0))</f>
        <v/>
      </c>
      <c r="N164" s="10">
        <f>IF(AND($R164="да",$H164&lt;&gt;""),ROUND($H164*$L164,2),0)</f>
        <v/>
      </c>
      <c r="O164" s="10">
        <f>IF(AND($R164="да",$H164&lt;&gt;""),ROUND($H164*$M164,2),0)</f>
        <v/>
      </c>
      <c r="P164" s="10">
        <f>$N164+$O164</f>
        <v/>
      </c>
      <c r="Q164">
        <f>IFERROR(INDEX(спр_Работы!$J$2:$J$6000,MATCH($C164,спр_Работы!$A$2:$A$6000,0)),"")</f>
        <v/>
      </c>
      <c r="R164" t="inlineStr">
        <is>
          <t>да</t>
        </is>
      </c>
      <c r="T164">
        <f>IF(AND($P164&gt;0,$R164="да"),MAX($T$1:$T163)+1,"")</f>
        <v/>
      </c>
    </row>
    <row r="165">
      <c r="A165">
        <f>IFERROR(INDEX(спр_Работы!$D$2:$D$6000,MATCH($C165,спр_Работы!$A$2:$A$6000,0)),"")</f>
        <v/>
      </c>
      <c r="B165">
        <f>IFERROR(INDEX(спр_Работы!$F$2:$F$6000,MATCH($C165,спр_Работы!$A$2:$A$6000,0)),"")</f>
        <v/>
      </c>
      <c r="C165">
        <f>IFERROR(INDEX(спр_Работы!$A$2:$A$6000,164),"")</f>
        <v/>
      </c>
      <c r="D165" s="8">
        <f>IFERROR(INDEX(спр_Работы!$B$2:$B$6000,MATCH($C165,спр_Работы!$A$2:$A$6000,0)),"")</f>
        <v/>
      </c>
      <c r="E165">
        <f>IFERROR(INDEX(спр_Работы!$C$2:$C$6000,MATCH($C165,спр_Работы!$A$2:$A$6000,0)),"")</f>
        <v/>
      </c>
      <c r="F165">
        <f>IFERROR(INDEX(спр_Работы!$G$2:$G$6000,MATCH($C165,спр_Работы!$A$2:$A$6000,0)),"")</f>
        <v/>
      </c>
      <c r="G165">
        <f>IFERROR(INDEX(спр_Работы!$K$2:$K$6000,MATCH($C165,спр_Работы!$A$2:$A$6000,0)),"")</f>
        <v/>
      </c>
      <c r="H165" s="9" t="n"/>
      <c r="I165" s="9" t="n"/>
      <c r="J165" s="8">
        <f>IFERROR(INDEX(спр_Материалы!$B$2:$B$9000,MATCH($I165,спр_Материалы!$A$2:$A$9000,0)),"")</f>
        <v/>
      </c>
      <c r="K165">
        <f>IF($I165="","",IF($F165=IFERROR(INDEX(спр_Материалы!$G$2:$G$9000,MATCH($I165,спр_Материалы!$A$2:$A$9000,0)),""),"OK","!! не та группа"))</f>
        <v/>
      </c>
      <c r="L165" s="10">
        <f>IFERROR(INDEX(спр_Работы!$H$2:$H$6000,MATCH($C165,спр_Работы!$A$2:$A$6000,0))*(1-ДисконтТендер),0)</f>
        <v/>
      </c>
      <c r="M165" s="10">
        <f>IF($I165="",0,IFERROR(INDEX(спр_Материалы!$I$2:$I$9000,MATCH($I165,спр_Материалы!$A$2:$A$9000,0))*IF(INDEX(спр_Материалы!$J$2:$J$9000,MATCH($I165,спр_Материалы!$A$2:$A$9000,0))="USD",КурсUSD,IF(INDEX(спр_Материалы!$J$2:$J$9000,MATCH($I165,спр_Материалы!$A$2:$A$9000,0))="EUR",КурсEUR,1))*INDEX(спр_Материалы!$K$2:$K$9000,MATCH($I165,спр_Материалы!$A$2:$A$9000,0))*(1+IFERROR(INDEX(спр_Работы!$I$2:$I$6000,MATCH($C165,спр_Работы!$A$2:$A$6000,0))/100,0))*(1-ДисконтТендер),0))</f>
        <v/>
      </c>
      <c r="N165" s="10">
        <f>IF(AND($R165="да",$H165&lt;&gt;""),ROUND($H165*$L165,2),0)</f>
        <v/>
      </c>
      <c r="O165" s="10">
        <f>IF(AND($R165="да",$H165&lt;&gt;""),ROUND($H165*$M165,2),0)</f>
        <v/>
      </c>
      <c r="P165" s="10">
        <f>$N165+$O165</f>
        <v/>
      </c>
      <c r="Q165">
        <f>IFERROR(INDEX(спр_Работы!$J$2:$J$6000,MATCH($C165,спр_Работы!$A$2:$A$6000,0)),"")</f>
        <v/>
      </c>
      <c r="R165" t="inlineStr">
        <is>
          <t>да</t>
        </is>
      </c>
      <c r="T165">
        <f>IF(AND($P165&gt;0,$R165="да"),MAX($T$1:$T164)+1,"")</f>
        <v/>
      </c>
    </row>
    <row r="166">
      <c r="A166">
        <f>IFERROR(INDEX(спр_Работы!$D$2:$D$6000,MATCH($C166,спр_Работы!$A$2:$A$6000,0)),"")</f>
        <v/>
      </c>
      <c r="B166">
        <f>IFERROR(INDEX(спр_Работы!$F$2:$F$6000,MATCH($C166,спр_Работы!$A$2:$A$6000,0)),"")</f>
        <v/>
      </c>
      <c r="C166">
        <f>IFERROR(INDEX(спр_Работы!$A$2:$A$6000,165),"")</f>
        <v/>
      </c>
      <c r="D166" s="8">
        <f>IFERROR(INDEX(спр_Работы!$B$2:$B$6000,MATCH($C166,спр_Работы!$A$2:$A$6000,0)),"")</f>
        <v/>
      </c>
      <c r="E166">
        <f>IFERROR(INDEX(спр_Работы!$C$2:$C$6000,MATCH($C166,спр_Работы!$A$2:$A$6000,0)),"")</f>
        <v/>
      </c>
      <c r="F166">
        <f>IFERROR(INDEX(спр_Работы!$G$2:$G$6000,MATCH($C166,спр_Работы!$A$2:$A$6000,0)),"")</f>
        <v/>
      </c>
      <c r="G166">
        <f>IFERROR(INDEX(спр_Работы!$K$2:$K$6000,MATCH($C166,спр_Работы!$A$2:$A$6000,0)),"")</f>
        <v/>
      </c>
      <c r="H166" s="9" t="n"/>
      <c r="I166" s="9" t="n"/>
      <c r="J166" s="8">
        <f>IFERROR(INDEX(спр_Материалы!$B$2:$B$9000,MATCH($I166,спр_Материалы!$A$2:$A$9000,0)),"")</f>
        <v/>
      </c>
      <c r="K166">
        <f>IF($I166="","",IF($F166=IFERROR(INDEX(спр_Материалы!$G$2:$G$9000,MATCH($I166,спр_Материалы!$A$2:$A$9000,0)),""),"OK","!! не та группа"))</f>
        <v/>
      </c>
      <c r="L166" s="10">
        <f>IFERROR(INDEX(спр_Работы!$H$2:$H$6000,MATCH($C166,спр_Работы!$A$2:$A$6000,0))*(1-ДисконтТендер),0)</f>
        <v/>
      </c>
      <c r="M166" s="10">
        <f>IF($I166="",0,IFERROR(INDEX(спр_Материалы!$I$2:$I$9000,MATCH($I166,спр_Материалы!$A$2:$A$9000,0))*IF(INDEX(спр_Материалы!$J$2:$J$9000,MATCH($I166,спр_Материалы!$A$2:$A$9000,0))="USD",КурсUSD,IF(INDEX(спр_Материалы!$J$2:$J$9000,MATCH($I166,спр_Материалы!$A$2:$A$9000,0))="EUR",КурсEUR,1))*INDEX(спр_Материалы!$K$2:$K$9000,MATCH($I166,спр_Материалы!$A$2:$A$9000,0))*(1+IFERROR(INDEX(спр_Работы!$I$2:$I$6000,MATCH($C166,спр_Работы!$A$2:$A$6000,0))/100,0))*(1-ДисконтТендер),0))</f>
        <v/>
      </c>
      <c r="N166" s="10">
        <f>IF(AND($R166="да",$H166&lt;&gt;""),ROUND($H166*$L166,2),0)</f>
        <v/>
      </c>
      <c r="O166" s="10">
        <f>IF(AND($R166="да",$H166&lt;&gt;""),ROUND($H166*$M166,2),0)</f>
        <v/>
      </c>
      <c r="P166" s="10">
        <f>$N166+$O166</f>
        <v/>
      </c>
      <c r="Q166">
        <f>IFERROR(INDEX(спр_Работы!$J$2:$J$6000,MATCH($C166,спр_Работы!$A$2:$A$6000,0)),"")</f>
        <v/>
      </c>
      <c r="R166" t="inlineStr">
        <is>
          <t>да</t>
        </is>
      </c>
      <c r="T166">
        <f>IF(AND($P166&gt;0,$R166="да"),MAX($T$1:$T165)+1,"")</f>
        <v/>
      </c>
    </row>
    <row r="167">
      <c r="A167">
        <f>IFERROR(INDEX(спр_Работы!$D$2:$D$6000,MATCH($C167,спр_Работы!$A$2:$A$6000,0)),"")</f>
        <v/>
      </c>
      <c r="B167">
        <f>IFERROR(INDEX(спр_Работы!$F$2:$F$6000,MATCH($C167,спр_Работы!$A$2:$A$6000,0)),"")</f>
        <v/>
      </c>
      <c r="C167">
        <f>IFERROR(INDEX(спр_Работы!$A$2:$A$6000,166),"")</f>
        <v/>
      </c>
      <c r="D167" s="8">
        <f>IFERROR(INDEX(спр_Работы!$B$2:$B$6000,MATCH($C167,спр_Работы!$A$2:$A$6000,0)),"")</f>
        <v/>
      </c>
      <c r="E167">
        <f>IFERROR(INDEX(спр_Работы!$C$2:$C$6000,MATCH($C167,спр_Работы!$A$2:$A$6000,0)),"")</f>
        <v/>
      </c>
      <c r="F167">
        <f>IFERROR(INDEX(спр_Работы!$G$2:$G$6000,MATCH($C167,спр_Работы!$A$2:$A$6000,0)),"")</f>
        <v/>
      </c>
      <c r="G167">
        <f>IFERROR(INDEX(спр_Работы!$K$2:$K$6000,MATCH($C167,спр_Работы!$A$2:$A$6000,0)),"")</f>
        <v/>
      </c>
      <c r="H167" s="9" t="n"/>
      <c r="I167" s="9" t="n"/>
      <c r="J167" s="8">
        <f>IFERROR(INDEX(спр_Материалы!$B$2:$B$9000,MATCH($I167,спр_Материалы!$A$2:$A$9000,0)),"")</f>
        <v/>
      </c>
      <c r="K167">
        <f>IF($I167="","",IF($F167=IFERROR(INDEX(спр_Материалы!$G$2:$G$9000,MATCH($I167,спр_Материалы!$A$2:$A$9000,0)),""),"OK","!! не та группа"))</f>
        <v/>
      </c>
      <c r="L167" s="10">
        <f>IFERROR(INDEX(спр_Работы!$H$2:$H$6000,MATCH($C167,спр_Работы!$A$2:$A$6000,0))*(1-ДисконтТендер),0)</f>
        <v/>
      </c>
      <c r="M167" s="10">
        <f>IF($I167="",0,IFERROR(INDEX(спр_Материалы!$I$2:$I$9000,MATCH($I167,спр_Материалы!$A$2:$A$9000,0))*IF(INDEX(спр_Материалы!$J$2:$J$9000,MATCH($I167,спр_Материалы!$A$2:$A$9000,0))="USD",КурсUSD,IF(INDEX(спр_Материалы!$J$2:$J$9000,MATCH($I167,спр_Материалы!$A$2:$A$9000,0))="EUR",КурсEUR,1))*INDEX(спр_Материалы!$K$2:$K$9000,MATCH($I167,спр_Материалы!$A$2:$A$9000,0))*(1+IFERROR(INDEX(спр_Работы!$I$2:$I$6000,MATCH($C167,спр_Работы!$A$2:$A$6000,0))/100,0))*(1-ДисконтТендер),0))</f>
        <v/>
      </c>
      <c r="N167" s="10">
        <f>IF(AND($R167="да",$H167&lt;&gt;""),ROUND($H167*$L167,2),0)</f>
        <v/>
      </c>
      <c r="O167" s="10">
        <f>IF(AND($R167="да",$H167&lt;&gt;""),ROUND($H167*$M167,2),0)</f>
        <v/>
      </c>
      <c r="P167" s="10">
        <f>$N167+$O167</f>
        <v/>
      </c>
      <c r="Q167">
        <f>IFERROR(INDEX(спр_Работы!$J$2:$J$6000,MATCH($C167,спр_Работы!$A$2:$A$6000,0)),"")</f>
        <v/>
      </c>
      <c r="R167" t="inlineStr">
        <is>
          <t>да</t>
        </is>
      </c>
      <c r="T167">
        <f>IF(AND($P167&gt;0,$R167="да"),MAX($T$1:$T166)+1,"")</f>
        <v/>
      </c>
    </row>
    <row r="168">
      <c r="A168">
        <f>IFERROR(INDEX(спр_Работы!$D$2:$D$6000,MATCH($C168,спр_Работы!$A$2:$A$6000,0)),"")</f>
        <v/>
      </c>
      <c r="B168">
        <f>IFERROR(INDEX(спр_Работы!$F$2:$F$6000,MATCH($C168,спр_Работы!$A$2:$A$6000,0)),"")</f>
        <v/>
      </c>
      <c r="C168">
        <f>IFERROR(INDEX(спр_Работы!$A$2:$A$6000,167),"")</f>
        <v/>
      </c>
      <c r="D168" s="8">
        <f>IFERROR(INDEX(спр_Работы!$B$2:$B$6000,MATCH($C168,спр_Работы!$A$2:$A$6000,0)),"")</f>
        <v/>
      </c>
      <c r="E168">
        <f>IFERROR(INDEX(спр_Работы!$C$2:$C$6000,MATCH($C168,спр_Работы!$A$2:$A$6000,0)),"")</f>
        <v/>
      </c>
      <c r="F168">
        <f>IFERROR(INDEX(спр_Работы!$G$2:$G$6000,MATCH($C168,спр_Работы!$A$2:$A$6000,0)),"")</f>
        <v/>
      </c>
      <c r="G168">
        <f>IFERROR(INDEX(спр_Работы!$K$2:$K$6000,MATCH($C168,спр_Работы!$A$2:$A$6000,0)),"")</f>
        <v/>
      </c>
      <c r="H168" s="9" t="n"/>
      <c r="I168" s="9" t="n"/>
      <c r="J168" s="8">
        <f>IFERROR(INDEX(спр_Материалы!$B$2:$B$9000,MATCH($I168,спр_Материалы!$A$2:$A$9000,0)),"")</f>
        <v/>
      </c>
      <c r="K168">
        <f>IF($I168="","",IF($F168=IFERROR(INDEX(спр_Материалы!$G$2:$G$9000,MATCH($I168,спр_Материалы!$A$2:$A$9000,0)),""),"OK","!! не та группа"))</f>
        <v/>
      </c>
      <c r="L168" s="10">
        <f>IFERROR(INDEX(спр_Работы!$H$2:$H$6000,MATCH($C168,спр_Работы!$A$2:$A$6000,0))*(1-ДисконтТендер),0)</f>
        <v/>
      </c>
      <c r="M168" s="10">
        <f>IF($I168="",0,IFERROR(INDEX(спр_Материалы!$I$2:$I$9000,MATCH($I168,спр_Материалы!$A$2:$A$9000,0))*IF(INDEX(спр_Материалы!$J$2:$J$9000,MATCH($I168,спр_Материалы!$A$2:$A$9000,0))="USD",КурсUSD,IF(INDEX(спр_Материалы!$J$2:$J$9000,MATCH($I168,спр_Материалы!$A$2:$A$9000,0))="EUR",КурсEUR,1))*INDEX(спр_Материалы!$K$2:$K$9000,MATCH($I168,спр_Материалы!$A$2:$A$9000,0))*(1+IFERROR(INDEX(спр_Работы!$I$2:$I$6000,MATCH($C168,спр_Работы!$A$2:$A$6000,0))/100,0))*(1-ДисконтТендер),0))</f>
        <v/>
      </c>
      <c r="N168" s="10">
        <f>IF(AND($R168="да",$H168&lt;&gt;""),ROUND($H168*$L168,2),0)</f>
        <v/>
      </c>
      <c r="O168" s="10">
        <f>IF(AND($R168="да",$H168&lt;&gt;""),ROUND($H168*$M168,2),0)</f>
        <v/>
      </c>
      <c r="P168" s="10">
        <f>$N168+$O168</f>
        <v/>
      </c>
      <c r="Q168">
        <f>IFERROR(INDEX(спр_Работы!$J$2:$J$6000,MATCH($C168,спр_Работы!$A$2:$A$6000,0)),"")</f>
        <v/>
      </c>
      <c r="R168" t="inlineStr">
        <is>
          <t>да</t>
        </is>
      </c>
      <c r="T168">
        <f>IF(AND($P168&gt;0,$R168="да"),MAX($T$1:$T167)+1,"")</f>
        <v/>
      </c>
    </row>
    <row r="169">
      <c r="A169">
        <f>IFERROR(INDEX(спр_Работы!$D$2:$D$6000,MATCH($C169,спр_Работы!$A$2:$A$6000,0)),"")</f>
        <v/>
      </c>
      <c r="B169">
        <f>IFERROR(INDEX(спр_Работы!$F$2:$F$6000,MATCH($C169,спр_Работы!$A$2:$A$6000,0)),"")</f>
        <v/>
      </c>
      <c r="C169">
        <f>IFERROR(INDEX(спр_Работы!$A$2:$A$6000,168),"")</f>
        <v/>
      </c>
      <c r="D169" s="8">
        <f>IFERROR(INDEX(спр_Работы!$B$2:$B$6000,MATCH($C169,спр_Работы!$A$2:$A$6000,0)),"")</f>
        <v/>
      </c>
      <c r="E169">
        <f>IFERROR(INDEX(спр_Работы!$C$2:$C$6000,MATCH($C169,спр_Работы!$A$2:$A$6000,0)),"")</f>
        <v/>
      </c>
      <c r="F169">
        <f>IFERROR(INDEX(спр_Работы!$G$2:$G$6000,MATCH($C169,спр_Работы!$A$2:$A$6000,0)),"")</f>
        <v/>
      </c>
      <c r="G169">
        <f>IFERROR(INDEX(спр_Работы!$K$2:$K$6000,MATCH($C169,спр_Работы!$A$2:$A$6000,0)),"")</f>
        <v/>
      </c>
      <c r="H169" s="9" t="n"/>
      <c r="I169" s="9" t="n"/>
      <c r="J169" s="8">
        <f>IFERROR(INDEX(спр_Материалы!$B$2:$B$9000,MATCH($I169,спр_Материалы!$A$2:$A$9000,0)),"")</f>
        <v/>
      </c>
      <c r="K169">
        <f>IF($I169="","",IF($F169=IFERROR(INDEX(спр_Материалы!$G$2:$G$9000,MATCH($I169,спр_Материалы!$A$2:$A$9000,0)),""),"OK","!! не та группа"))</f>
        <v/>
      </c>
      <c r="L169" s="10">
        <f>IFERROR(INDEX(спр_Работы!$H$2:$H$6000,MATCH($C169,спр_Работы!$A$2:$A$6000,0))*(1-ДисконтТендер),0)</f>
        <v/>
      </c>
      <c r="M169" s="10">
        <f>IF($I169="",0,IFERROR(INDEX(спр_Материалы!$I$2:$I$9000,MATCH($I169,спр_Материалы!$A$2:$A$9000,0))*IF(INDEX(спр_Материалы!$J$2:$J$9000,MATCH($I169,спр_Материалы!$A$2:$A$9000,0))="USD",КурсUSD,IF(INDEX(спр_Материалы!$J$2:$J$9000,MATCH($I169,спр_Материалы!$A$2:$A$9000,0))="EUR",КурсEUR,1))*INDEX(спр_Материалы!$K$2:$K$9000,MATCH($I169,спр_Материалы!$A$2:$A$9000,0))*(1+IFERROR(INDEX(спр_Работы!$I$2:$I$6000,MATCH($C169,спр_Работы!$A$2:$A$6000,0))/100,0))*(1-ДисконтТендер),0))</f>
        <v/>
      </c>
      <c r="N169" s="10">
        <f>IF(AND($R169="да",$H169&lt;&gt;""),ROUND($H169*$L169,2),0)</f>
        <v/>
      </c>
      <c r="O169" s="10">
        <f>IF(AND($R169="да",$H169&lt;&gt;""),ROUND($H169*$M169,2),0)</f>
        <v/>
      </c>
      <c r="P169" s="10">
        <f>$N169+$O169</f>
        <v/>
      </c>
      <c r="Q169">
        <f>IFERROR(INDEX(спр_Работы!$J$2:$J$6000,MATCH($C169,спр_Работы!$A$2:$A$6000,0)),"")</f>
        <v/>
      </c>
      <c r="R169" t="inlineStr">
        <is>
          <t>да</t>
        </is>
      </c>
      <c r="T169">
        <f>IF(AND($P169&gt;0,$R169="да"),MAX($T$1:$T168)+1,"")</f>
        <v/>
      </c>
    </row>
    <row r="170">
      <c r="A170">
        <f>IFERROR(INDEX(спр_Работы!$D$2:$D$6000,MATCH($C170,спр_Работы!$A$2:$A$6000,0)),"")</f>
        <v/>
      </c>
      <c r="B170">
        <f>IFERROR(INDEX(спр_Работы!$F$2:$F$6000,MATCH($C170,спр_Работы!$A$2:$A$6000,0)),"")</f>
        <v/>
      </c>
      <c r="C170">
        <f>IFERROR(INDEX(спр_Работы!$A$2:$A$6000,169),"")</f>
        <v/>
      </c>
      <c r="D170" s="8">
        <f>IFERROR(INDEX(спр_Работы!$B$2:$B$6000,MATCH($C170,спр_Работы!$A$2:$A$6000,0)),"")</f>
        <v/>
      </c>
      <c r="E170">
        <f>IFERROR(INDEX(спр_Работы!$C$2:$C$6000,MATCH($C170,спр_Работы!$A$2:$A$6000,0)),"")</f>
        <v/>
      </c>
      <c r="F170">
        <f>IFERROR(INDEX(спр_Работы!$G$2:$G$6000,MATCH($C170,спр_Работы!$A$2:$A$6000,0)),"")</f>
        <v/>
      </c>
      <c r="G170">
        <f>IFERROR(INDEX(спр_Работы!$K$2:$K$6000,MATCH($C170,спр_Работы!$A$2:$A$6000,0)),"")</f>
        <v/>
      </c>
      <c r="H170" s="9" t="n"/>
      <c r="I170" s="9" t="n"/>
      <c r="J170" s="8">
        <f>IFERROR(INDEX(спр_Материалы!$B$2:$B$9000,MATCH($I170,спр_Материалы!$A$2:$A$9000,0)),"")</f>
        <v/>
      </c>
      <c r="K170">
        <f>IF($I170="","",IF($F170=IFERROR(INDEX(спр_Материалы!$G$2:$G$9000,MATCH($I170,спр_Материалы!$A$2:$A$9000,0)),""),"OK","!! не та группа"))</f>
        <v/>
      </c>
      <c r="L170" s="10">
        <f>IFERROR(INDEX(спр_Работы!$H$2:$H$6000,MATCH($C170,спр_Работы!$A$2:$A$6000,0))*(1-ДисконтТендер),0)</f>
        <v/>
      </c>
      <c r="M170" s="10">
        <f>IF($I170="",0,IFERROR(INDEX(спр_Материалы!$I$2:$I$9000,MATCH($I170,спр_Материалы!$A$2:$A$9000,0))*IF(INDEX(спр_Материалы!$J$2:$J$9000,MATCH($I170,спр_Материалы!$A$2:$A$9000,0))="USD",КурсUSD,IF(INDEX(спр_Материалы!$J$2:$J$9000,MATCH($I170,спр_Материалы!$A$2:$A$9000,0))="EUR",КурсEUR,1))*INDEX(спр_Материалы!$K$2:$K$9000,MATCH($I170,спр_Материалы!$A$2:$A$9000,0))*(1+IFERROR(INDEX(спр_Работы!$I$2:$I$6000,MATCH($C170,спр_Работы!$A$2:$A$6000,0))/100,0))*(1-ДисконтТендер),0))</f>
        <v/>
      </c>
      <c r="N170" s="10">
        <f>IF(AND($R170="да",$H170&lt;&gt;""),ROUND($H170*$L170,2),0)</f>
        <v/>
      </c>
      <c r="O170" s="10">
        <f>IF(AND($R170="да",$H170&lt;&gt;""),ROUND($H170*$M170,2),0)</f>
        <v/>
      </c>
      <c r="P170" s="10">
        <f>$N170+$O170</f>
        <v/>
      </c>
      <c r="Q170">
        <f>IFERROR(INDEX(спр_Работы!$J$2:$J$6000,MATCH($C170,спр_Работы!$A$2:$A$6000,0)),"")</f>
        <v/>
      </c>
      <c r="R170" t="inlineStr">
        <is>
          <t>да</t>
        </is>
      </c>
      <c r="T170">
        <f>IF(AND($P170&gt;0,$R170="да"),MAX($T$1:$T169)+1,"")</f>
        <v/>
      </c>
    </row>
    <row r="171">
      <c r="A171">
        <f>IFERROR(INDEX(спр_Работы!$D$2:$D$6000,MATCH($C171,спр_Работы!$A$2:$A$6000,0)),"")</f>
        <v/>
      </c>
      <c r="B171">
        <f>IFERROR(INDEX(спр_Работы!$F$2:$F$6000,MATCH($C171,спр_Работы!$A$2:$A$6000,0)),"")</f>
        <v/>
      </c>
      <c r="C171">
        <f>IFERROR(INDEX(спр_Работы!$A$2:$A$6000,170),"")</f>
        <v/>
      </c>
      <c r="D171" s="8">
        <f>IFERROR(INDEX(спр_Работы!$B$2:$B$6000,MATCH($C171,спр_Работы!$A$2:$A$6000,0)),"")</f>
        <v/>
      </c>
      <c r="E171">
        <f>IFERROR(INDEX(спр_Работы!$C$2:$C$6000,MATCH($C171,спр_Работы!$A$2:$A$6000,0)),"")</f>
        <v/>
      </c>
      <c r="F171">
        <f>IFERROR(INDEX(спр_Работы!$G$2:$G$6000,MATCH($C171,спр_Работы!$A$2:$A$6000,0)),"")</f>
        <v/>
      </c>
      <c r="G171">
        <f>IFERROR(INDEX(спр_Работы!$K$2:$K$6000,MATCH($C171,спр_Работы!$A$2:$A$6000,0)),"")</f>
        <v/>
      </c>
      <c r="H171" s="9" t="n"/>
      <c r="I171" s="9" t="n"/>
      <c r="J171" s="8">
        <f>IFERROR(INDEX(спр_Материалы!$B$2:$B$9000,MATCH($I171,спр_Материалы!$A$2:$A$9000,0)),"")</f>
        <v/>
      </c>
      <c r="K171">
        <f>IF($I171="","",IF($F171=IFERROR(INDEX(спр_Материалы!$G$2:$G$9000,MATCH($I171,спр_Материалы!$A$2:$A$9000,0)),""),"OK","!! не та группа"))</f>
        <v/>
      </c>
      <c r="L171" s="10">
        <f>IFERROR(INDEX(спр_Работы!$H$2:$H$6000,MATCH($C171,спр_Работы!$A$2:$A$6000,0))*(1-ДисконтТендер),0)</f>
        <v/>
      </c>
      <c r="M171" s="10">
        <f>IF($I171="",0,IFERROR(INDEX(спр_Материалы!$I$2:$I$9000,MATCH($I171,спр_Материалы!$A$2:$A$9000,0))*IF(INDEX(спр_Материалы!$J$2:$J$9000,MATCH($I171,спр_Материалы!$A$2:$A$9000,0))="USD",КурсUSD,IF(INDEX(спр_Материалы!$J$2:$J$9000,MATCH($I171,спр_Материалы!$A$2:$A$9000,0))="EUR",КурсEUR,1))*INDEX(спр_Материалы!$K$2:$K$9000,MATCH($I171,спр_Материалы!$A$2:$A$9000,0))*(1+IFERROR(INDEX(спр_Работы!$I$2:$I$6000,MATCH($C171,спр_Работы!$A$2:$A$6000,0))/100,0))*(1-ДисконтТендер),0))</f>
        <v/>
      </c>
      <c r="N171" s="10">
        <f>IF(AND($R171="да",$H171&lt;&gt;""),ROUND($H171*$L171,2),0)</f>
        <v/>
      </c>
      <c r="O171" s="10">
        <f>IF(AND($R171="да",$H171&lt;&gt;""),ROUND($H171*$M171,2),0)</f>
        <v/>
      </c>
      <c r="P171" s="10">
        <f>$N171+$O171</f>
        <v/>
      </c>
      <c r="Q171">
        <f>IFERROR(INDEX(спр_Работы!$J$2:$J$6000,MATCH($C171,спр_Работы!$A$2:$A$6000,0)),"")</f>
        <v/>
      </c>
      <c r="R171" t="inlineStr">
        <is>
          <t>да</t>
        </is>
      </c>
      <c r="T171">
        <f>IF(AND($P171&gt;0,$R171="да"),MAX($T$1:$T170)+1,"")</f>
        <v/>
      </c>
    </row>
    <row r="172">
      <c r="A172">
        <f>IFERROR(INDEX(спр_Работы!$D$2:$D$6000,MATCH($C172,спр_Работы!$A$2:$A$6000,0)),"")</f>
        <v/>
      </c>
      <c r="B172">
        <f>IFERROR(INDEX(спр_Работы!$F$2:$F$6000,MATCH($C172,спр_Работы!$A$2:$A$6000,0)),"")</f>
        <v/>
      </c>
      <c r="C172">
        <f>IFERROR(INDEX(спр_Работы!$A$2:$A$6000,171),"")</f>
        <v/>
      </c>
      <c r="D172" s="8">
        <f>IFERROR(INDEX(спр_Работы!$B$2:$B$6000,MATCH($C172,спр_Работы!$A$2:$A$6000,0)),"")</f>
        <v/>
      </c>
      <c r="E172">
        <f>IFERROR(INDEX(спр_Работы!$C$2:$C$6000,MATCH($C172,спр_Работы!$A$2:$A$6000,0)),"")</f>
        <v/>
      </c>
      <c r="F172">
        <f>IFERROR(INDEX(спр_Работы!$G$2:$G$6000,MATCH($C172,спр_Работы!$A$2:$A$6000,0)),"")</f>
        <v/>
      </c>
      <c r="G172">
        <f>IFERROR(INDEX(спр_Работы!$K$2:$K$6000,MATCH($C172,спр_Работы!$A$2:$A$6000,0)),"")</f>
        <v/>
      </c>
      <c r="H172" s="9" t="n"/>
      <c r="I172" s="9" t="n"/>
      <c r="J172" s="8">
        <f>IFERROR(INDEX(спр_Материалы!$B$2:$B$9000,MATCH($I172,спр_Материалы!$A$2:$A$9000,0)),"")</f>
        <v/>
      </c>
      <c r="K172">
        <f>IF($I172="","",IF($F172=IFERROR(INDEX(спр_Материалы!$G$2:$G$9000,MATCH($I172,спр_Материалы!$A$2:$A$9000,0)),""),"OK","!! не та группа"))</f>
        <v/>
      </c>
      <c r="L172" s="10">
        <f>IFERROR(INDEX(спр_Работы!$H$2:$H$6000,MATCH($C172,спр_Работы!$A$2:$A$6000,0))*(1-ДисконтТендер),0)</f>
        <v/>
      </c>
      <c r="M172" s="10">
        <f>IF($I172="",0,IFERROR(INDEX(спр_Материалы!$I$2:$I$9000,MATCH($I172,спр_Материалы!$A$2:$A$9000,0))*IF(INDEX(спр_Материалы!$J$2:$J$9000,MATCH($I172,спр_Материалы!$A$2:$A$9000,0))="USD",КурсUSD,IF(INDEX(спр_Материалы!$J$2:$J$9000,MATCH($I172,спр_Материалы!$A$2:$A$9000,0))="EUR",КурсEUR,1))*INDEX(спр_Материалы!$K$2:$K$9000,MATCH($I172,спр_Материалы!$A$2:$A$9000,0))*(1+IFERROR(INDEX(спр_Работы!$I$2:$I$6000,MATCH($C172,спр_Работы!$A$2:$A$6000,0))/100,0))*(1-ДисконтТендер),0))</f>
        <v/>
      </c>
      <c r="N172" s="10">
        <f>IF(AND($R172="да",$H172&lt;&gt;""),ROUND($H172*$L172,2),0)</f>
        <v/>
      </c>
      <c r="O172" s="10">
        <f>IF(AND($R172="да",$H172&lt;&gt;""),ROUND($H172*$M172,2),0)</f>
        <v/>
      </c>
      <c r="P172" s="10">
        <f>$N172+$O172</f>
        <v/>
      </c>
      <c r="Q172">
        <f>IFERROR(INDEX(спр_Работы!$J$2:$J$6000,MATCH($C172,спр_Работы!$A$2:$A$6000,0)),"")</f>
        <v/>
      </c>
      <c r="R172" t="inlineStr">
        <is>
          <t>да</t>
        </is>
      </c>
      <c r="T172">
        <f>IF(AND($P172&gt;0,$R172="да"),MAX($T$1:$T171)+1,"")</f>
        <v/>
      </c>
    </row>
    <row r="173">
      <c r="A173">
        <f>IFERROR(INDEX(спр_Работы!$D$2:$D$6000,MATCH($C173,спр_Работы!$A$2:$A$6000,0)),"")</f>
        <v/>
      </c>
      <c r="B173">
        <f>IFERROR(INDEX(спр_Работы!$F$2:$F$6000,MATCH($C173,спр_Работы!$A$2:$A$6000,0)),"")</f>
        <v/>
      </c>
      <c r="C173">
        <f>IFERROR(INDEX(спр_Работы!$A$2:$A$6000,172),"")</f>
        <v/>
      </c>
      <c r="D173" s="8">
        <f>IFERROR(INDEX(спр_Работы!$B$2:$B$6000,MATCH($C173,спр_Работы!$A$2:$A$6000,0)),"")</f>
        <v/>
      </c>
      <c r="E173">
        <f>IFERROR(INDEX(спр_Работы!$C$2:$C$6000,MATCH($C173,спр_Работы!$A$2:$A$6000,0)),"")</f>
        <v/>
      </c>
      <c r="F173">
        <f>IFERROR(INDEX(спр_Работы!$G$2:$G$6000,MATCH($C173,спр_Работы!$A$2:$A$6000,0)),"")</f>
        <v/>
      </c>
      <c r="G173">
        <f>IFERROR(INDEX(спр_Работы!$K$2:$K$6000,MATCH($C173,спр_Работы!$A$2:$A$6000,0)),"")</f>
        <v/>
      </c>
      <c r="H173" s="9" t="n"/>
      <c r="I173" s="9" t="n"/>
      <c r="J173" s="8">
        <f>IFERROR(INDEX(спр_Материалы!$B$2:$B$9000,MATCH($I173,спр_Материалы!$A$2:$A$9000,0)),"")</f>
        <v/>
      </c>
      <c r="K173">
        <f>IF($I173="","",IF($F173=IFERROR(INDEX(спр_Материалы!$G$2:$G$9000,MATCH($I173,спр_Материалы!$A$2:$A$9000,0)),""),"OK","!! не та группа"))</f>
        <v/>
      </c>
      <c r="L173" s="10">
        <f>IFERROR(INDEX(спр_Работы!$H$2:$H$6000,MATCH($C173,спр_Работы!$A$2:$A$6000,0))*(1-ДисконтТендер),0)</f>
        <v/>
      </c>
      <c r="M173" s="10">
        <f>IF($I173="",0,IFERROR(INDEX(спр_Материалы!$I$2:$I$9000,MATCH($I173,спр_Материалы!$A$2:$A$9000,0))*IF(INDEX(спр_Материалы!$J$2:$J$9000,MATCH($I173,спр_Материалы!$A$2:$A$9000,0))="USD",КурсUSD,IF(INDEX(спр_Материалы!$J$2:$J$9000,MATCH($I173,спр_Материалы!$A$2:$A$9000,0))="EUR",КурсEUR,1))*INDEX(спр_Материалы!$K$2:$K$9000,MATCH($I173,спр_Материалы!$A$2:$A$9000,0))*(1+IFERROR(INDEX(спр_Работы!$I$2:$I$6000,MATCH($C173,спр_Работы!$A$2:$A$6000,0))/100,0))*(1-ДисконтТендер),0))</f>
        <v/>
      </c>
      <c r="N173" s="10">
        <f>IF(AND($R173="да",$H173&lt;&gt;""),ROUND($H173*$L173,2),0)</f>
        <v/>
      </c>
      <c r="O173" s="10">
        <f>IF(AND($R173="да",$H173&lt;&gt;""),ROUND($H173*$M173,2),0)</f>
        <v/>
      </c>
      <c r="P173" s="10">
        <f>$N173+$O173</f>
        <v/>
      </c>
      <c r="Q173">
        <f>IFERROR(INDEX(спр_Работы!$J$2:$J$6000,MATCH($C173,спр_Работы!$A$2:$A$6000,0)),"")</f>
        <v/>
      </c>
      <c r="R173" t="inlineStr">
        <is>
          <t>да</t>
        </is>
      </c>
      <c r="T173">
        <f>IF(AND($P173&gt;0,$R173="да"),MAX($T$1:$T172)+1,"")</f>
        <v/>
      </c>
    </row>
    <row r="174">
      <c r="A174">
        <f>IFERROR(INDEX(спр_Работы!$D$2:$D$6000,MATCH($C174,спр_Работы!$A$2:$A$6000,0)),"")</f>
        <v/>
      </c>
      <c r="B174">
        <f>IFERROR(INDEX(спр_Работы!$F$2:$F$6000,MATCH($C174,спр_Работы!$A$2:$A$6000,0)),"")</f>
        <v/>
      </c>
      <c r="C174">
        <f>IFERROR(INDEX(спр_Работы!$A$2:$A$6000,173),"")</f>
        <v/>
      </c>
      <c r="D174" s="8">
        <f>IFERROR(INDEX(спр_Работы!$B$2:$B$6000,MATCH($C174,спр_Работы!$A$2:$A$6000,0)),"")</f>
        <v/>
      </c>
      <c r="E174">
        <f>IFERROR(INDEX(спр_Работы!$C$2:$C$6000,MATCH($C174,спр_Работы!$A$2:$A$6000,0)),"")</f>
        <v/>
      </c>
      <c r="F174">
        <f>IFERROR(INDEX(спр_Работы!$G$2:$G$6000,MATCH($C174,спр_Работы!$A$2:$A$6000,0)),"")</f>
        <v/>
      </c>
      <c r="G174">
        <f>IFERROR(INDEX(спр_Работы!$K$2:$K$6000,MATCH($C174,спр_Работы!$A$2:$A$6000,0)),"")</f>
        <v/>
      </c>
      <c r="H174" s="9" t="n"/>
      <c r="I174" s="9" t="n"/>
      <c r="J174" s="8">
        <f>IFERROR(INDEX(спр_Материалы!$B$2:$B$9000,MATCH($I174,спр_Материалы!$A$2:$A$9000,0)),"")</f>
        <v/>
      </c>
      <c r="K174">
        <f>IF($I174="","",IF($F174=IFERROR(INDEX(спр_Материалы!$G$2:$G$9000,MATCH($I174,спр_Материалы!$A$2:$A$9000,0)),""),"OK","!! не та группа"))</f>
        <v/>
      </c>
      <c r="L174" s="10">
        <f>IFERROR(INDEX(спр_Работы!$H$2:$H$6000,MATCH($C174,спр_Работы!$A$2:$A$6000,0))*(1-ДисконтТендер),0)</f>
        <v/>
      </c>
      <c r="M174" s="10">
        <f>IF($I174="",0,IFERROR(INDEX(спр_Материалы!$I$2:$I$9000,MATCH($I174,спр_Материалы!$A$2:$A$9000,0))*IF(INDEX(спр_Материалы!$J$2:$J$9000,MATCH($I174,спр_Материалы!$A$2:$A$9000,0))="USD",КурсUSD,IF(INDEX(спр_Материалы!$J$2:$J$9000,MATCH($I174,спр_Материалы!$A$2:$A$9000,0))="EUR",КурсEUR,1))*INDEX(спр_Материалы!$K$2:$K$9000,MATCH($I174,спр_Материалы!$A$2:$A$9000,0))*(1+IFERROR(INDEX(спр_Работы!$I$2:$I$6000,MATCH($C174,спр_Работы!$A$2:$A$6000,0))/100,0))*(1-ДисконтТендер),0))</f>
        <v/>
      </c>
      <c r="N174" s="10">
        <f>IF(AND($R174="да",$H174&lt;&gt;""),ROUND($H174*$L174,2),0)</f>
        <v/>
      </c>
      <c r="O174" s="10">
        <f>IF(AND($R174="да",$H174&lt;&gt;""),ROUND($H174*$M174,2),0)</f>
        <v/>
      </c>
      <c r="P174" s="10">
        <f>$N174+$O174</f>
        <v/>
      </c>
      <c r="Q174">
        <f>IFERROR(INDEX(спр_Работы!$J$2:$J$6000,MATCH($C174,спр_Работы!$A$2:$A$6000,0)),"")</f>
        <v/>
      </c>
      <c r="R174" t="inlineStr">
        <is>
          <t>да</t>
        </is>
      </c>
      <c r="T174">
        <f>IF(AND($P174&gt;0,$R174="да"),MAX($T$1:$T173)+1,"")</f>
        <v/>
      </c>
    </row>
    <row r="175">
      <c r="A175">
        <f>IFERROR(INDEX(спр_Работы!$D$2:$D$6000,MATCH($C175,спр_Работы!$A$2:$A$6000,0)),"")</f>
        <v/>
      </c>
      <c r="B175">
        <f>IFERROR(INDEX(спр_Работы!$F$2:$F$6000,MATCH($C175,спр_Работы!$A$2:$A$6000,0)),"")</f>
        <v/>
      </c>
      <c r="C175">
        <f>IFERROR(INDEX(спр_Работы!$A$2:$A$6000,174),"")</f>
        <v/>
      </c>
      <c r="D175" s="8">
        <f>IFERROR(INDEX(спр_Работы!$B$2:$B$6000,MATCH($C175,спр_Работы!$A$2:$A$6000,0)),"")</f>
        <v/>
      </c>
      <c r="E175">
        <f>IFERROR(INDEX(спр_Работы!$C$2:$C$6000,MATCH($C175,спр_Работы!$A$2:$A$6000,0)),"")</f>
        <v/>
      </c>
      <c r="F175">
        <f>IFERROR(INDEX(спр_Работы!$G$2:$G$6000,MATCH($C175,спр_Работы!$A$2:$A$6000,0)),"")</f>
        <v/>
      </c>
      <c r="G175">
        <f>IFERROR(INDEX(спр_Работы!$K$2:$K$6000,MATCH($C175,спр_Работы!$A$2:$A$6000,0)),"")</f>
        <v/>
      </c>
      <c r="H175" s="9" t="n"/>
      <c r="I175" s="9" t="n"/>
      <c r="J175" s="8">
        <f>IFERROR(INDEX(спр_Материалы!$B$2:$B$9000,MATCH($I175,спр_Материалы!$A$2:$A$9000,0)),"")</f>
        <v/>
      </c>
      <c r="K175">
        <f>IF($I175="","",IF($F175=IFERROR(INDEX(спр_Материалы!$G$2:$G$9000,MATCH($I175,спр_Материалы!$A$2:$A$9000,0)),""),"OK","!! не та группа"))</f>
        <v/>
      </c>
      <c r="L175" s="10">
        <f>IFERROR(INDEX(спр_Работы!$H$2:$H$6000,MATCH($C175,спр_Работы!$A$2:$A$6000,0))*(1-ДисконтТендер),0)</f>
        <v/>
      </c>
      <c r="M175" s="10">
        <f>IF($I175="",0,IFERROR(INDEX(спр_Материалы!$I$2:$I$9000,MATCH($I175,спр_Материалы!$A$2:$A$9000,0))*IF(INDEX(спр_Материалы!$J$2:$J$9000,MATCH($I175,спр_Материалы!$A$2:$A$9000,0))="USD",КурсUSD,IF(INDEX(спр_Материалы!$J$2:$J$9000,MATCH($I175,спр_Материалы!$A$2:$A$9000,0))="EUR",КурсEUR,1))*INDEX(спр_Материалы!$K$2:$K$9000,MATCH($I175,спр_Материалы!$A$2:$A$9000,0))*(1+IFERROR(INDEX(спр_Работы!$I$2:$I$6000,MATCH($C175,спр_Работы!$A$2:$A$6000,0))/100,0))*(1-ДисконтТендер),0))</f>
        <v/>
      </c>
      <c r="N175" s="10">
        <f>IF(AND($R175="да",$H175&lt;&gt;""),ROUND($H175*$L175,2),0)</f>
        <v/>
      </c>
      <c r="O175" s="10">
        <f>IF(AND($R175="да",$H175&lt;&gt;""),ROUND($H175*$M175,2),0)</f>
        <v/>
      </c>
      <c r="P175" s="10">
        <f>$N175+$O175</f>
        <v/>
      </c>
      <c r="Q175">
        <f>IFERROR(INDEX(спр_Работы!$J$2:$J$6000,MATCH($C175,спр_Работы!$A$2:$A$6000,0)),"")</f>
        <v/>
      </c>
      <c r="R175" t="inlineStr">
        <is>
          <t>да</t>
        </is>
      </c>
      <c r="T175">
        <f>IF(AND($P175&gt;0,$R175="да"),MAX($T$1:$T174)+1,"")</f>
        <v/>
      </c>
    </row>
    <row r="176">
      <c r="A176">
        <f>IFERROR(INDEX(спр_Работы!$D$2:$D$6000,MATCH($C176,спр_Работы!$A$2:$A$6000,0)),"")</f>
        <v/>
      </c>
      <c r="B176">
        <f>IFERROR(INDEX(спр_Работы!$F$2:$F$6000,MATCH($C176,спр_Работы!$A$2:$A$6000,0)),"")</f>
        <v/>
      </c>
      <c r="C176">
        <f>IFERROR(INDEX(спр_Работы!$A$2:$A$6000,175),"")</f>
        <v/>
      </c>
      <c r="D176" s="8">
        <f>IFERROR(INDEX(спр_Работы!$B$2:$B$6000,MATCH($C176,спр_Работы!$A$2:$A$6000,0)),"")</f>
        <v/>
      </c>
      <c r="E176">
        <f>IFERROR(INDEX(спр_Работы!$C$2:$C$6000,MATCH($C176,спр_Работы!$A$2:$A$6000,0)),"")</f>
        <v/>
      </c>
      <c r="F176">
        <f>IFERROR(INDEX(спр_Работы!$G$2:$G$6000,MATCH($C176,спр_Работы!$A$2:$A$6000,0)),"")</f>
        <v/>
      </c>
      <c r="G176">
        <f>IFERROR(INDEX(спр_Работы!$K$2:$K$6000,MATCH($C176,спр_Работы!$A$2:$A$6000,0)),"")</f>
        <v/>
      </c>
      <c r="H176" s="9" t="n"/>
      <c r="I176" s="9" t="n"/>
      <c r="J176" s="8">
        <f>IFERROR(INDEX(спр_Материалы!$B$2:$B$9000,MATCH($I176,спр_Материалы!$A$2:$A$9000,0)),"")</f>
        <v/>
      </c>
      <c r="K176">
        <f>IF($I176="","",IF($F176=IFERROR(INDEX(спр_Материалы!$G$2:$G$9000,MATCH($I176,спр_Материалы!$A$2:$A$9000,0)),""),"OK","!! не та группа"))</f>
        <v/>
      </c>
      <c r="L176" s="10">
        <f>IFERROR(INDEX(спр_Работы!$H$2:$H$6000,MATCH($C176,спр_Работы!$A$2:$A$6000,0))*(1-ДисконтТендер),0)</f>
        <v/>
      </c>
      <c r="M176" s="10">
        <f>IF($I176="",0,IFERROR(INDEX(спр_Материалы!$I$2:$I$9000,MATCH($I176,спр_Материалы!$A$2:$A$9000,0))*IF(INDEX(спр_Материалы!$J$2:$J$9000,MATCH($I176,спр_Материалы!$A$2:$A$9000,0))="USD",КурсUSD,IF(INDEX(спр_Материалы!$J$2:$J$9000,MATCH($I176,спр_Материалы!$A$2:$A$9000,0))="EUR",КурсEUR,1))*INDEX(спр_Материалы!$K$2:$K$9000,MATCH($I176,спр_Материалы!$A$2:$A$9000,0))*(1+IFERROR(INDEX(спр_Работы!$I$2:$I$6000,MATCH($C176,спр_Работы!$A$2:$A$6000,0))/100,0))*(1-ДисконтТендер),0))</f>
        <v/>
      </c>
      <c r="N176" s="10">
        <f>IF(AND($R176="да",$H176&lt;&gt;""),ROUND($H176*$L176,2),0)</f>
        <v/>
      </c>
      <c r="O176" s="10">
        <f>IF(AND($R176="да",$H176&lt;&gt;""),ROUND($H176*$M176,2),0)</f>
        <v/>
      </c>
      <c r="P176" s="10">
        <f>$N176+$O176</f>
        <v/>
      </c>
      <c r="Q176">
        <f>IFERROR(INDEX(спр_Работы!$J$2:$J$6000,MATCH($C176,спр_Работы!$A$2:$A$6000,0)),"")</f>
        <v/>
      </c>
      <c r="R176" t="inlineStr">
        <is>
          <t>да</t>
        </is>
      </c>
      <c r="T176">
        <f>IF(AND($P176&gt;0,$R176="да"),MAX($T$1:$T175)+1,"")</f>
        <v/>
      </c>
    </row>
    <row r="177">
      <c r="A177">
        <f>IFERROR(INDEX(спр_Работы!$D$2:$D$6000,MATCH($C177,спр_Работы!$A$2:$A$6000,0)),"")</f>
        <v/>
      </c>
      <c r="B177">
        <f>IFERROR(INDEX(спр_Работы!$F$2:$F$6000,MATCH($C177,спр_Работы!$A$2:$A$6000,0)),"")</f>
        <v/>
      </c>
      <c r="C177">
        <f>IFERROR(INDEX(спр_Работы!$A$2:$A$6000,176),"")</f>
        <v/>
      </c>
      <c r="D177" s="8">
        <f>IFERROR(INDEX(спр_Работы!$B$2:$B$6000,MATCH($C177,спр_Работы!$A$2:$A$6000,0)),"")</f>
        <v/>
      </c>
      <c r="E177">
        <f>IFERROR(INDEX(спр_Работы!$C$2:$C$6000,MATCH($C177,спр_Работы!$A$2:$A$6000,0)),"")</f>
        <v/>
      </c>
      <c r="F177">
        <f>IFERROR(INDEX(спр_Работы!$G$2:$G$6000,MATCH($C177,спр_Работы!$A$2:$A$6000,0)),"")</f>
        <v/>
      </c>
      <c r="G177">
        <f>IFERROR(INDEX(спр_Работы!$K$2:$K$6000,MATCH($C177,спр_Работы!$A$2:$A$6000,0)),"")</f>
        <v/>
      </c>
      <c r="H177" s="9" t="n"/>
      <c r="I177" s="9" t="n"/>
      <c r="J177" s="8">
        <f>IFERROR(INDEX(спр_Материалы!$B$2:$B$9000,MATCH($I177,спр_Материалы!$A$2:$A$9000,0)),"")</f>
        <v/>
      </c>
      <c r="K177">
        <f>IF($I177="","",IF($F177=IFERROR(INDEX(спр_Материалы!$G$2:$G$9000,MATCH($I177,спр_Материалы!$A$2:$A$9000,0)),""),"OK","!! не та группа"))</f>
        <v/>
      </c>
      <c r="L177" s="10">
        <f>IFERROR(INDEX(спр_Работы!$H$2:$H$6000,MATCH($C177,спр_Работы!$A$2:$A$6000,0))*(1-ДисконтТендер),0)</f>
        <v/>
      </c>
      <c r="M177" s="10">
        <f>IF($I177="",0,IFERROR(INDEX(спр_Материалы!$I$2:$I$9000,MATCH($I177,спр_Материалы!$A$2:$A$9000,0))*IF(INDEX(спр_Материалы!$J$2:$J$9000,MATCH($I177,спр_Материалы!$A$2:$A$9000,0))="USD",КурсUSD,IF(INDEX(спр_Материалы!$J$2:$J$9000,MATCH($I177,спр_Материалы!$A$2:$A$9000,0))="EUR",КурсEUR,1))*INDEX(спр_Материалы!$K$2:$K$9000,MATCH($I177,спр_Материалы!$A$2:$A$9000,0))*(1+IFERROR(INDEX(спр_Работы!$I$2:$I$6000,MATCH($C177,спр_Работы!$A$2:$A$6000,0))/100,0))*(1-ДисконтТендер),0))</f>
        <v/>
      </c>
      <c r="N177" s="10">
        <f>IF(AND($R177="да",$H177&lt;&gt;""),ROUND($H177*$L177,2),0)</f>
        <v/>
      </c>
      <c r="O177" s="10">
        <f>IF(AND($R177="да",$H177&lt;&gt;""),ROUND($H177*$M177,2),0)</f>
        <v/>
      </c>
      <c r="P177" s="10">
        <f>$N177+$O177</f>
        <v/>
      </c>
      <c r="Q177">
        <f>IFERROR(INDEX(спр_Работы!$J$2:$J$6000,MATCH($C177,спр_Работы!$A$2:$A$6000,0)),"")</f>
        <v/>
      </c>
      <c r="R177" t="inlineStr">
        <is>
          <t>да</t>
        </is>
      </c>
      <c r="T177">
        <f>IF(AND($P177&gt;0,$R177="да"),MAX($T$1:$T176)+1,"")</f>
        <v/>
      </c>
    </row>
    <row r="178">
      <c r="A178">
        <f>IFERROR(INDEX(спр_Работы!$D$2:$D$6000,MATCH($C178,спр_Работы!$A$2:$A$6000,0)),"")</f>
        <v/>
      </c>
      <c r="B178">
        <f>IFERROR(INDEX(спр_Работы!$F$2:$F$6000,MATCH($C178,спр_Работы!$A$2:$A$6000,0)),"")</f>
        <v/>
      </c>
      <c r="C178">
        <f>IFERROR(INDEX(спр_Работы!$A$2:$A$6000,177),"")</f>
        <v/>
      </c>
      <c r="D178" s="8">
        <f>IFERROR(INDEX(спр_Работы!$B$2:$B$6000,MATCH($C178,спр_Работы!$A$2:$A$6000,0)),"")</f>
        <v/>
      </c>
      <c r="E178">
        <f>IFERROR(INDEX(спр_Работы!$C$2:$C$6000,MATCH($C178,спр_Работы!$A$2:$A$6000,0)),"")</f>
        <v/>
      </c>
      <c r="F178">
        <f>IFERROR(INDEX(спр_Работы!$G$2:$G$6000,MATCH($C178,спр_Работы!$A$2:$A$6000,0)),"")</f>
        <v/>
      </c>
      <c r="G178">
        <f>IFERROR(INDEX(спр_Работы!$K$2:$K$6000,MATCH($C178,спр_Работы!$A$2:$A$6000,0)),"")</f>
        <v/>
      </c>
      <c r="H178" s="9" t="n"/>
      <c r="I178" s="9" t="n"/>
      <c r="J178" s="8">
        <f>IFERROR(INDEX(спр_Материалы!$B$2:$B$9000,MATCH($I178,спр_Материалы!$A$2:$A$9000,0)),"")</f>
        <v/>
      </c>
      <c r="K178">
        <f>IF($I178="","",IF($F178=IFERROR(INDEX(спр_Материалы!$G$2:$G$9000,MATCH($I178,спр_Материалы!$A$2:$A$9000,0)),""),"OK","!! не та группа"))</f>
        <v/>
      </c>
      <c r="L178" s="10">
        <f>IFERROR(INDEX(спр_Работы!$H$2:$H$6000,MATCH($C178,спр_Работы!$A$2:$A$6000,0))*(1-ДисконтТендер),0)</f>
        <v/>
      </c>
      <c r="M178" s="10">
        <f>IF($I178="",0,IFERROR(INDEX(спр_Материалы!$I$2:$I$9000,MATCH($I178,спр_Материалы!$A$2:$A$9000,0))*IF(INDEX(спр_Материалы!$J$2:$J$9000,MATCH($I178,спр_Материалы!$A$2:$A$9000,0))="USD",КурсUSD,IF(INDEX(спр_Материалы!$J$2:$J$9000,MATCH($I178,спр_Материалы!$A$2:$A$9000,0))="EUR",КурсEUR,1))*INDEX(спр_Материалы!$K$2:$K$9000,MATCH($I178,спр_Материалы!$A$2:$A$9000,0))*(1+IFERROR(INDEX(спр_Работы!$I$2:$I$6000,MATCH($C178,спр_Работы!$A$2:$A$6000,0))/100,0))*(1-ДисконтТендер),0))</f>
        <v/>
      </c>
      <c r="N178" s="10">
        <f>IF(AND($R178="да",$H178&lt;&gt;""),ROUND($H178*$L178,2),0)</f>
        <v/>
      </c>
      <c r="O178" s="10">
        <f>IF(AND($R178="да",$H178&lt;&gt;""),ROUND($H178*$M178,2),0)</f>
        <v/>
      </c>
      <c r="P178" s="10">
        <f>$N178+$O178</f>
        <v/>
      </c>
      <c r="Q178">
        <f>IFERROR(INDEX(спр_Работы!$J$2:$J$6000,MATCH($C178,спр_Работы!$A$2:$A$6000,0)),"")</f>
        <v/>
      </c>
      <c r="R178" t="inlineStr">
        <is>
          <t>да</t>
        </is>
      </c>
      <c r="T178">
        <f>IF(AND($P178&gt;0,$R178="да"),MAX($T$1:$T177)+1,"")</f>
        <v/>
      </c>
    </row>
    <row r="179">
      <c r="A179">
        <f>IFERROR(INDEX(спр_Работы!$D$2:$D$6000,MATCH($C179,спр_Работы!$A$2:$A$6000,0)),"")</f>
        <v/>
      </c>
      <c r="B179">
        <f>IFERROR(INDEX(спр_Работы!$F$2:$F$6000,MATCH($C179,спр_Работы!$A$2:$A$6000,0)),"")</f>
        <v/>
      </c>
      <c r="C179">
        <f>IFERROR(INDEX(спр_Работы!$A$2:$A$6000,178),"")</f>
        <v/>
      </c>
      <c r="D179" s="8">
        <f>IFERROR(INDEX(спр_Работы!$B$2:$B$6000,MATCH($C179,спр_Работы!$A$2:$A$6000,0)),"")</f>
        <v/>
      </c>
      <c r="E179">
        <f>IFERROR(INDEX(спр_Работы!$C$2:$C$6000,MATCH($C179,спр_Работы!$A$2:$A$6000,0)),"")</f>
        <v/>
      </c>
      <c r="F179">
        <f>IFERROR(INDEX(спр_Работы!$G$2:$G$6000,MATCH($C179,спр_Работы!$A$2:$A$6000,0)),"")</f>
        <v/>
      </c>
      <c r="G179">
        <f>IFERROR(INDEX(спр_Работы!$K$2:$K$6000,MATCH($C179,спр_Работы!$A$2:$A$6000,0)),"")</f>
        <v/>
      </c>
      <c r="H179" s="9" t="n"/>
      <c r="I179" s="9" t="n"/>
      <c r="J179" s="8">
        <f>IFERROR(INDEX(спр_Материалы!$B$2:$B$9000,MATCH($I179,спр_Материалы!$A$2:$A$9000,0)),"")</f>
        <v/>
      </c>
      <c r="K179">
        <f>IF($I179="","",IF($F179=IFERROR(INDEX(спр_Материалы!$G$2:$G$9000,MATCH($I179,спр_Материалы!$A$2:$A$9000,0)),""),"OK","!! не та группа"))</f>
        <v/>
      </c>
      <c r="L179" s="10">
        <f>IFERROR(INDEX(спр_Работы!$H$2:$H$6000,MATCH($C179,спр_Работы!$A$2:$A$6000,0))*(1-ДисконтТендер),0)</f>
        <v/>
      </c>
      <c r="M179" s="10">
        <f>IF($I179="",0,IFERROR(INDEX(спр_Материалы!$I$2:$I$9000,MATCH($I179,спр_Материалы!$A$2:$A$9000,0))*IF(INDEX(спр_Материалы!$J$2:$J$9000,MATCH($I179,спр_Материалы!$A$2:$A$9000,0))="USD",КурсUSD,IF(INDEX(спр_Материалы!$J$2:$J$9000,MATCH($I179,спр_Материалы!$A$2:$A$9000,0))="EUR",КурсEUR,1))*INDEX(спр_Материалы!$K$2:$K$9000,MATCH($I179,спр_Материалы!$A$2:$A$9000,0))*(1+IFERROR(INDEX(спр_Работы!$I$2:$I$6000,MATCH($C179,спр_Работы!$A$2:$A$6000,0))/100,0))*(1-ДисконтТендер),0))</f>
        <v/>
      </c>
      <c r="N179" s="10">
        <f>IF(AND($R179="да",$H179&lt;&gt;""),ROUND($H179*$L179,2),0)</f>
        <v/>
      </c>
      <c r="O179" s="10">
        <f>IF(AND($R179="да",$H179&lt;&gt;""),ROUND($H179*$M179,2),0)</f>
        <v/>
      </c>
      <c r="P179" s="10">
        <f>$N179+$O179</f>
        <v/>
      </c>
      <c r="Q179">
        <f>IFERROR(INDEX(спр_Работы!$J$2:$J$6000,MATCH($C179,спр_Работы!$A$2:$A$6000,0)),"")</f>
        <v/>
      </c>
      <c r="R179" t="inlineStr">
        <is>
          <t>да</t>
        </is>
      </c>
      <c r="T179">
        <f>IF(AND($P179&gt;0,$R179="да"),MAX($T$1:$T178)+1,"")</f>
        <v/>
      </c>
    </row>
    <row r="180">
      <c r="A180">
        <f>IFERROR(INDEX(спр_Работы!$D$2:$D$6000,MATCH($C180,спр_Работы!$A$2:$A$6000,0)),"")</f>
        <v/>
      </c>
      <c r="B180">
        <f>IFERROR(INDEX(спр_Работы!$F$2:$F$6000,MATCH($C180,спр_Работы!$A$2:$A$6000,0)),"")</f>
        <v/>
      </c>
      <c r="C180">
        <f>IFERROR(INDEX(спр_Работы!$A$2:$A$6000,179),"")</f>
        <v/>
      </c>
      <c r="D180" s="8">
        <f>IFERROR(INDEX(спр_Работы!$B$2:$B$6000,MATCH($C180,спр_Работы!$A$2:$A$6000,0)),"")</f>
        <v/>
      </c>
      <c r="E180">
        <f>IFERROR(INDEX(спр_Работы!$C$2:$C$6000,MATCH($C180,спр_Работы!$A$2:$A$6000,0)),"")</f>
        <v/>
      </c>
      <c r="F180">
        <f>IFERROR(INDEX(спр_Работы!$G$2:$G$6000,MATCH($C180,спр_Работы!$A$2:$A$6000,0)),"")</f>
        <v/>
      </c>
      <c r="G180">
        <f>IFERROR(INDEX(спр_Работы!$K$2:$K$6000,MATCH($C180,спр_Работы!$A$2:$A$6000,0)),"")</f>
        <v/>
      </c>
      <c r="H180" s="9" t="n"/>
      <c r="I180" s="9" t="n"/>
      <c r="J180" s="8">
        <f>IFERROR(INDEX(спр_Материалы!$B$2:$B$9000,MATCH($I180,спр_Материалы!$A$2:$A$9000,0)),"")</f>
        <v/>
      </c>
      <c r="K180">
        <f>IF($I180="","",IF($F180=IFERROR(INDEX(спр_Материалы!$G$2:$G$9000,MATCH($I180,спр_Материалы!$A$2:$A$9000,0)),""),"OK","!! не та группа"))</f>
        <v/>
      </c>
      <c r="L180" s="10">
        <f>IFERROR(INDEX(спр_Работы!$H$2:$H$6000,MATCH($C180,спр_Работы!$A$2:$A$6000,0))*(1-ДисконтТендер),0)</f>
        <v/>
      </c>
      <c r="M180" s="10">
        <f>IF($I180="",0,IFERROR(INDEX(спр_Материалы!$I$2:$I$9000,MATCH($I180,спр_Материалы!$A$2:$A$9000,0))*IF(INDEX(спр_Материалы!$J$2:$J$9000,MATCH($I180,спр_Материалы!$A$2:$A$9000,0))="USD",КурсUSD,IF(INDEX(спр_Материалы!$J$2:$J$9000,MATCH($I180,спр_Материалы!$A$2:$A$9000,0))="EUR",КурсEUR,1))*INDEX(спр_Материалы!$K$2:$K$9000,MATCH($I180,спр_Материалы!$A$2:$A$9000,0))*(1+IFERROR(INDEX(спр_Работы!$I$2:$I$6000,MATCH($C180,спр_Работы!$A$2:$A$6000,0))/100,0))*(1-ДисконтТендер),0))</f>
        <v/>
      </c>
      <c r="N180" s="10">
        <f>IF(AND($R180="да",$H180&lt;&gt;""),ROUND($H180*$L180,2),0)</f>
        <v/>
      </c>
      <c r="O180" s="10">
        <f>IF(AND($R180="да",$H180&lt;&gt;""),ROUND($H180*$M180,2),0)</f>
        <v/>
      </c>
      <c r="P180" s="10">
        <f>$N180+$O180</f>
        <v/>
      </c>
      <c r="Q180">
        <f>IFERROR(INDEX(спр_Работы!$J$2:$J$6000,MATCH($C180,спр_Работы!$A$2:$A$6000,0)),"")</f>
        <v/>
      </c>
      <c r="R180" t="inlineStr">
        <is>
          <t>да</t>
        </is>
      </c>
      <c r="T180">
        <f>IF(AND($P180&gt;0,$R180="да"),MAX($T$1:$T179)+1,"")</f>
        <v/>
      </c>
    </row>
    <row r="181">
      <c r="A181">
        <f>IFERROR(INDEX(спр_Работы!$D$2:$D$6000,MATCH($C181,спр_Работы!$A$2:$A$6000,0)),"")</f>
        <v/>
      </c>
      <c r="B181">
        <f>IFERROR(INDEX(спр_Работы!$F$2:$F$6000,MATCH($C181,спр_Работы!$A$2:$A$6000,0)),"")</f>
        <v/>
      </c>
      <c r="C181">
        <f>IFERROR(INDEX(спр_Работы!$A$2:$A$6000,180),"")</f>
        <v/>
      </c>
      <c r="D181" s="8">
        <f>IFERROR(INDEX(спр_Работы!$B$2:$B$6000,MATCH($C181,спр_Работы!$A$2:$A$6000,0)),"")</f>
        <v/>
      </c>
      <c r="E181">
        <f>IFERROR(INDEX(спр_Работы!$C$2:$C$6000,MATCH($C181,спр_Работы!$A$2:$A$6000,0)),"")</f>
        <v/>
      </c>
      <c r="F181">
        <f>IFERROR(INDEX(спр_Работы!$G$2:$G$6000,MATCH($C181,спр_Работы!$A$2:$A$6000,0)),"")</f>
        <v/>
      </c>
      <c r="G181">
        <f>IFERROR(INDEX(спр_Работы!$K$2:$K$6000,MATCH($C181,спр_Работы!$A$2:$A$6000,0)),"")</f>
        <v/>
      </c>
      <c r="H181" s="9" t="n"/>
      <c r="I181" s="9" t="n"/>
      <c r="J181" s="8">
        <f>IFERROR(INDEX(спр_Материалы!$B$2:$B$9000,MATCH($I181,спр_Материалы!$A$2:$A$9000,0)),"")</f>
        <v/>
      </c>
      <c r="K181">
        <f>IF($I181="","",IF($F181=IFERROR(INDEX(спр_Материалы!$G$2:$G$9000,MATCH($I181,спр_Материалы!$A$2:$A$9000,0)),""),"OK","!! не та группа"))</f>
        <v/>
      </c>
      <c r="L181" s="10">
        <f>IFERROR(INDEX(спр_Работы!$H$2:$H$6000,MATCH($C181,спр_Работы!$A$2:$A$6000,0))*(1-ДисконтТендер),0)</f>
        <v/>
      </c>
      <c r="M181" s="10">
        <f>IF($I181="",0,IFERROR(INDEX(спр_Материалы!$I$2:$I$9000,MATCH($I181,спр_Материалы!$A$2:$A$9000,0))*IF(INDEX(спр_Материалы!$J$2:$J$9000,MATCH($I181,спр_Материалы!$A$2:$A$9000,0))="USD",КурсUSD,IF(INDEX(спр_Материалы!$J$2:$J$9000,MATCH($I181,спр_Материалы!$A$2:$A$9000,0))="EUR",КурсEUR,1))*INDEX(спр_Материалы!$K$2:$K$9000,MATCH($I181,спр_Материалы!$A$2:$A$9000,0))*(1+IFERROR(INDEX(спр_Работы!$I$2:$I$6000,MATCH($C181,спр_Работы!$A$2:$A$6000,0))/100,0))*(1-ДисконтТендер),0))</f>
        <v/>
      </c>
      <c r="N181" s="10">
        <f>IF(AND($R181="да",$H181&lt;&gt;""),ROUND($H181*$L181,2),0)</f>
        <v/>
      </c>
      <c r="O181" s="10">
        <f>IF(AND($R181="да",$H181&lt;&gt;""),ROUND($H181*$M181,2),0)</f>
        <v/>
      </c>
      <c r="P181" s="10">
        <f>$N181+$O181</f>
        <v/>
      </c>
      <c r="Q181">
        <f>IFERROR(INDEX(спр_Работы!$J$2:$J$6000,MATCH($C181,спр_Работы!$A$2:$A$6000,0)),"")</f>
        <v/>
      </c>
      <c r="R181" t="inlineStr">
        <is>
          <t>да</t>
        </is>
      </c>
      <c r="T181">
        <f>IF(AND($P181&gt;0,$R181="да"),MAX($T$1:$T180)+1,"")</f>
        <v/>
      </c>
    </row>
    <row r="182">
      <c r="A182">
        <f>IFERROR(INDEX(спр_Работы!$D$2:$D$6000,MATCH($C182,спр_Работы!$A$2:$A$6000,0)),"")</f>
        <v/>
      </c>
      <c r="B182">
        <f>IFERROR(INDEX(спр_Работы!$F$2:$F$6000,MATCH($C182,спр_Работы!$A$2:$A$6000,0)),"")</f>
        <v/>
      </c>
      <c r="C182">
        <f>IFERROR(INDEX(спр_Работы!$A$2:$A$6000,181),"")</f>
        <v/>
      </c>
      <c r="D182" s="8">
        <f>IFERROR(INDEX(спр_Работы!$B$2:$B$6000,MATCH($C182,спр_Работы!$A$2:$A$6000,0)),"")</f>
        <v/>
      </c>
      <c r="E182">
        <f>IFERROR(INDEX(спр_Работы!$C$2:$C$6000,MATCH($C182,спр_Работы!$A$2:$A$6000,0)),"")</f>
        <v/>
      </c>
      <c r="F182">
        <f>IFERROR(INDEX(спр_Работы!$G$2:$G$6000,MATCH($C182,спр_Работы!$A$2:$A$6000,0)),"")</f>
        <v/>
      </c>
      <c r="G182">
        <f>IFERROR(INDEX(спр_Работы!$K$2:$K$6000,MATCH($C182,спр_Работы!$A$2:$A$6000,0)),"")</f>
        <v/>
      </c>
      <c r="H182" s="9" t="n"/>
      <c r="I182" s="9" t="n"/>
      <c r="J182" s="8">
        <f>IFERROR(INDEX(спр_Материалы!$B$2:$B$9000,MATCH($I182,спр_Материалы!$A$2:$A$9000,0)),"")</f>
        <v/>
      </c>
      <c r="K182">
        <f>IF($I182="","",IF($F182=IFERROR(INDEX(спр_Материалы!$G$2:$G$9000,MATCH($I182,спр_Материалы!$A$2:$A$9000,0)),""),"OK","!! не та группа"))</f>
        <v/>
      </c>
      <c r="L182" s="10">
        <f>IFERROR(INDEX(спр_Работы!$H$2:$H$6000,MATCH($C182,спр_Работы!$A$2:$A$6000,0))*(1-ДисконтТендер),0)</f>
        <v/>
      </c>
      <c r="M182" s="10">
        <f>IF($I182="",0,IFERROR(INDEX(спр_Материалы!$I$2:$I$9000,MATCH($I182,спр_Материалы!$A$2:$A$9000,0))*IF(INDEX(спр_Материалы!$J$2:$J$9000,MATCH($I182,спр_Материалы!$A$2:$A$9000,0))="USD",КурсUSD,IF(INDEX(спр_Материалы!$J$2:$J$9000,MATCH($I182,спр_Материалы!$A$2:$A$9000,0))="EUR",КурсEUR,1))*INDEX(спр_Материалы!$K$2:$K$9000,MATCH($I182,спр_Материалы!$A$2:$A$9000,0))*(1+IFERROR(INDEX(спр_Работы!$I$2:$I$6000,MATCH($C182,спр_Работы!$A$2:$A$6000,0))/100,0))*(1-ДисконтТендер),0))</f>
        <v/>
      </c>
      <c r="N182" s="10">
        <f>IF(AND($R182="да",$H182&lt;&gt;""),ROUND($H182*$L182,2),0)</f>
        <v/>
      </c>
      <c r="O182" s="10">
        <f>IF(AND($R182="да",$H182&lt;&gt;""),ROUND($H182*$M182,2),0)</f>
        <v/>
      </c>
      <c r="P182" s="10">
        <f>$N182+$O182</f>
        <v/>
      </c>
      <c r="Q182">
        <f>IFERROR(INDEX(спр_Работы!$J$2:$J$6000,MATCH($C182,спр_Работы!$A$2:$A$6000,0)),"")</f>
        <v/>
      </c>
      <c r="R182" t="inlineStr">
        <is>
          <t>да</t>
        </is>
      </c>
      <c r="T182">
        <f>IF(AND($P182&gt;0,$R182="да"),MAX($T$1:$T181)+1,"")</f>
        <v/>
      </c>
    </row>
    <row r="183">
      <c r="A183">
        <f>IFERROR(INDEX(спр_Работы!$D$2:$D$6000,MATCH($C183,спр_Работы!$A$2:$A$6000,0)),"")</f>
        <v/>
      </c>
      <c r="B183">
        <f>IFERROR(INDEX(спр_Работы!$F$2:$F$6000,MATCH($C183,спр_Работы!$A$2:$A$6000,0)),"")</f>
        <v/>
      </c>
      <c r="C183">
        <f>IFERROR(INDEX(спр_Работы!$A$2:$A$6000,182),"")</f>
        <v/>
      </c>
      <c r="D183" s="8">
        <f>IFERROR(INDEX(спр_Работы!$B$2:$B$6000,MATCH($C183,спр_Работы!$A$2:$A$6000,0)),"")</f>
        <v/>
      </c>
      <c r="E183">
        <f>IFERROR(INDEX(спр_Работы!$C$2:$C$6000,MATCH($C183,спр_Работы!$A$2:$A$6000,0)),"")</f>
        <v/>
      </c>
      <c r="F183">
        <f>IFERROR(INDEX(спр_Работы!$G$2:$G$6000,MATCH($C183,спр_Работы!$A$2:$A$6000,0)),"")</f>
        <v/>
      </c>
      <c r="G183">
        <f>IFERROR(INDEX(спр_Работы!$K$2:$K$6000,MATCH($C183,спр_Работы!$A$2:$A$6000,0)),"")</f>
        <v/>
      </c>
      <c r="H183" s="9" t="n"/>
      <c r="I183" s="9" t="n"/>
      <c r="J183" s="8">
        <f>IFERROR(INDEX(спр_Материалы!$B$2:$B$9000,MATCH($I183,спр_Материалы!$A$2:$A$9000,0)),"")</f>
        <v/>
      </c>
      <c r="K183">
        <f>IF($I183="","",IF($F183=IFERROR(INDEX(спр_Материалы!$G$2:$G$9000,MATCH($I183,спр_Материалы!$A$2:$A$9000,0)),""),"OK","!! не та группа"))</f>
        <v/>
      </c>
      <c r="L183" s="10">
        <f>IFERROR(INDEX(спр_Работы!$H$2:$H$6000,MATCH($C183,спр_Работы!$A$2:$A$6000,0))*(1-ДисконтТендер),0)</f>
        <v/>
      </c>
      <c r="M183" s="10">
        <f>IF($I183="",0,IFERROR(INDEX(спр_Материалы!$I$2:$I$9000,MATCH($I183,спр_Материалы!$A$2:$A$9000,0))*IF(INDEX(спр_Материалы!$J$2:$J$9000,MATCH($I183,спр_Материалы!$A$2:$A$9000,0))="USD",КурсUSD,IF(INDEX(спр_Материалы!$J$2:$J$9000,MATCH($I183,спр_Материалы!$A$2:$A$9000,0))="EUR",КурсEUR,1))*INDEX(спр_Материалы!$K$2:$K$9000,MATCH($I183,спр_Материалы!$A$2:$A$9000,0))*(1+IFERROR(INDEX(спр_Работы!$I$2:$I$6000,MATCH($C183,спр_Работы!$A$2:$A$6000,0))/100,0))*(1-ДисконтТендер),0))</f>
        <v/>
      </c>
      <c r="N183" s="10">
        <f>IF(AND($R183="да",$H183&lt;&gt;""),ROUND($H183*$L183,2),0)</f>
        <v/>
      </c>
      <c r="O183" s="10">
        <f>IF(AND($R183="да",$H183&lt;&gt;""),ROUND($H183*$M183,2),0)</f>
        <v/>
      </c>
      <c r="P183" s="10">
        <f>$N183+$O183</f>
        <v/>
      </c>
      <c r="Q183">
        <f>IFERROR(INDEX(спр_Работы!$J$2:$J$6000,MATCH($C183,спр_Работы!$A$2:$A$6000,0)),"")</f>
        <v/>
      </c>
      <c r="R183" t="inlineStr">
        <is>
          <t>да</t>
        </is>
      </c>
      <c r="T183">
        <f>IF(AND($P183&gt;0,$R183="да"),MAX($T$1:$T182)+1,"")</f>
        <v/>
      </c>
    </row>
    <row r="184">
      <c r="A184">
        <f>IFERROR(INDEX(спр_Работы!$D$2:$D$6000,MATCH($C184,спр_Работы!$A$2:$A$6000,0)),"")</f>
        <v/>
      </c>
      <c r="B184">
        <f>IFERROR(INDEX(спр_Работы!$F$2:$F$6000,MATCH($C184,спр_Работы!$A$2:$A$6000,0)),"")</f>
        <v/>
      </c>
      <c r="C184">
        <f>IFERROR(INDEX(спр_Работы!$A$2:$A$6000,183),"")</f>
        <v/>
      </c>
      <c r="D184" s="8">
        <f>IFERROR(INDEX(спр_Работы!$B$2:$B$6000,MATCH($C184,спр_Работы!$A$2:$A$6000,0)),"")</f>
        <v/>
      </c>
      <c r="E184">
        <f>IFERROR(INDEX(спр_Работы!$C$2:$C$6000,MATCH($C184,спр_Работы!$A$2:$A$6000,0)),"")</f>
        <v/>
      </c>
      <c r="F184">
        <f>IFERROR(INDEX(спр_Работы!$G$2:$G$6000,MATCH($C184,спр_Работы!$A$2:$A$6000,0)),"")</f>
        <v/>
      </c>
      <c r="G184">
        <f>IFERROR(INDEX(спр_Работы!$K$2:$K$6000,MATCH($C184,спр_Работы!$A$2:$A$6000,0)),"")</f>
        <v/>
      </c>
      <c r="H184" s="9" t="n"/>
      <c r="I184" s="9" t="n"/>
      <c r="J184" s="8">
        <f>IFERROR(INDEX(спр_Материалы!$B$2:$B$9000,MATCH($I184,спр_Материалы!$A$2:$A$9000,0)),"")</f>
        <v/>
      </c>
      <c r="K184">
        <f>IF($I184="","",IF($F184=IFERROR(INDEX(спр_Материалы!$G$2:$G$9000,MATCH($I184,спр_Материалы!$A$2:$A$9000,0)),""),"OK","!! не та группа"))</f>
        <v/>
      </c>
      <c r="L184" s="10">
        <f>IFERROR(INDEX(спр_Работы!$H$2:$H$6000,MATCH($C184,спр_Работы!$A$2:$A$6000,0))*(1-ДисконтТендер),0)</f>
        <v/>
      </c>
      <c r="M184" s="10">
        <f>IF($I184="",0,IFERROR(INDEX(спр_Материалы!$I$2:$I$9000,MATCH($I184,спр_Материалы!$A$2:$A$9000,0))*IF(INDEX(спр_Материалы!$J$2:$J$9000,MATCH($I184,спр_Материалы!$A$2:$A$9000,0))="USD",КурсUSD,IF(INDEX(спр_Материалы!$J$2:$J$9000,MATCH($I184,спр_Материалы!$A$2:$A$9000,0))="EUR",КурсEUR,1))*INDEX(спр_Материалы!$K$2:$K$9000,MATCH($I184,спр_Материалы!$A$2:$A$9000,0))*(1+IFERROR(INDEX(спр_Работы!$I$2:$I$6000,MATCH($C184,спр_Работы!$A$2:$A$6000,0))/100,0))*(1-ДисконтТендер),0))</f>
        <v/>
      </c>
      <c r="N184" s="10">
        <f>IF(AND($R184="да",$H184&lt;&gt;""),ROUND($H184*$L184,2),0)</f>
        <v/>
      </c>
      <c r="O184" s="10">
        <f>IF(AND($R184="да",$H184&lt;&gt;""),ROUND($H184*$M184,2),0)</f>
        <v/>
      </c>
      <c r="P184" s="10">
        <f>$N184+$O184</f>
        <v/>
      </c>
      <c r="Q184">
        <f>IFERROR(INDEX(спр_Работы!$J$2:$J$6000,MATCH($C184,спр_Работы!$A$2:$A$6000,0)),"")</f>
        <v/>
      </c>
      <c r="R184" t="inlineStr">
        <is>
          <t>да</t>
        </is>
      </c>
      <c r="T184">
        <f>IF(AND($P184&gt;0,$R184="да"),MAX($T$1:$T183)+1,"")</f>
        <v/>
      </c>
    </row>
    <row r="185">
      <c r="A185">
        <f>IFERROR(INDEX(спр_Работы!$D$2:$D$6000,MATCH($C185,спр_Работы!$A$2:$A$6000,0)),"")</f>
        <v/>
      </c>
      <c r="B185">
        <f>IFERROR(INDEX(спр_Работы!$F$2:$F$6000,MATCH($C185,спр_Работы!$A$2:$A$6000,0)),"")</f>
        <v/>
      </c>
      <c r="C185">
        <f>IFERROR(INDEX(спр_Работы!$A$2:$A$6000,184),"")</f>
        <v/>
      </c>
      <c r="D185" s="8">
        <f>IFERROR(INDEX(спр_Работы!$B$2:$B$6000,MATCH($C185,спр_Работы!$A$2:$A$6000,0)),"")</f>
        <v/>
      </c>
      <c r="E185">
        <f>IFERROR(INDEX(спр_Работы!$C$2:$C$6000,MATCH($C185,спр_Работы!$A$2:$A$6000,0)),"")</f>
        <v/>
      </c>
      <c r="F185">
        <f>IFERROR(INDEX(спр_Работы!$G$2:$G$6000,MATCH($C185,спр_Работы!$A$2:$A$6000,0)),"")</f>
        <v/>
      </c>
      <c r="G185">
        <f>IFERROR(INDEX(спр_Работы!$K$2:$K$6000,MATCH($C185,спр_Работы!$A$2:$A$6000,0)),"")</f>
        <v/>
      </c>
      <c r="H185" s="9" t="n"/>
      <c r="I185" s="9" t="n"/>
      <c r="J185" s="8">
        <f>IFERROR(INDEX(спр_Материалы!$B$2:$B$9000,MATCH($I185,спр_Материалы!$A$2:$A$9000,0)),"")</f>
        <v/>
      </c>
      <c r="K185">
        <f>IF($I185="","",IF($F185=IFERROR(INDEX(спр_Материалы!$G$2:$G$9000,MATCH($I185,спр_Материалы!$A$2:$A$9000,0)),""),"OK","!! не та группа"))</f>
        <v/>
      </c>
      <c r="L185" s="10">
        <f>IFERROR(INDEX(спр_Работы!$H$2:$H$6000,MATCH($C185,спр_Работы!$A$2:$A$6000,0))*(1-ДисконтТендер),0)</f>
        <v/>
      </c>
      <c r="M185" s="10">
        <f>IF($I185="",0,IFERROR(INDEX(спр_Материалы!$I$2:$I$9000,MATCH($I185,спр_Материалы!$A$2:$A$9000,0))*IF(INDEX(спр_Материалы!$J$2:$J$9000,MATCH($I185,спр_Материалы!$A$2:$A$9000,0))="USD",КурсUSD,IF(INDEX(спр_Материалы!$J$2:$J$9000,MATCH($I185,спр_Материалы!$A$2:$A$9000,0))="EUR",КурсEUR,1))*INDEX(спр_Материалы!$K$2:$K$9000,MATCH($I185,спр_Материалы!$A$2:$A$9000,0))*(1+IFERROR(INDEX(спр_Работы!$I$2:$I$6000,MATCH($C185,спр_Работы!$A$2:$A$6000,0))/100,0))*(1-ДисконтТендер),0))</f>
        <v/>
      </c>
      <c r="N185" s="10">
        <f>IF(AND($R185="да",$H185&lt;&gt;""),ROUND($H185*$L185,2),0)</f>
        <v/>
      </c>
      <c r="O185" s="10">
        <f>IF(AND($R185="да",$H185&lt;&gt;""),ROUND($H185*$M185,2),0)</f>
        <v/>
      </c>
      <c r="P185" s="10">
        <f>$N185+$O185</f>
        <v/>
      </c>
      <c r="Q185">
        <f>IFERROR(INDEX(спр_Работы!$J$2:$J$6000,MATCH($C185,спр_Работы!$A$2:$A$6000,0)),"")</f>
        <v/>
      </c>
      <c r="R185" t="inlineStr">
        <is>
          <t>да</t>
        </is>
      </c>
      <c r="T185">
        <f>IF(AND($P185&gt;0,$R185="да"),MAX($T$1:$T184)+1,"")</f>
        <v/>
      </c>
    </row>
    <row r="186">
      <c r="A186">
        <f>IFERROR(INDEX(спр_Работы!$D$2:$D$6000,MATCH($C186,спр_Работы!$A$2:$A$6000,0)),"")</f>
        <v/>
      </c>
      <c r="B186">
        <f>IFERROR(INDEX(спр_Работы!$F$2:$F$6000,MATCH($C186,спр_Работы!$A$2:$A$6000,0)),"")</f>
        <v/>
      </c>
      <c r="C186">
        <f>IFERROR(INDEX(спр_Работы!$A$2:$A$6000,185),"")</f>
        <v/>
      </c>
      <c r="D186" s="8">
        <f>IFERROR(INDEX(спр_Работы!$B$2:$B$6000,MATCH($C186,спр_Работы!$A$2:$A$6000,0)),"")</f>
        <v/>
      </c>
      <c r="E186">
        <f>IFERROR(INDEX(спр_Работы!$C$2:$C$6000,MATCH($C186,спр_Работы!$A$2:$A$6000,0)),"")</f>
        <v/>
      </c>
      <c r="F186">
        <f>IFERROR(INDEX(спр_Работы!$G$2:$G$6000,MATCH($C186,спр_Работы!$A$2:$A$6000,0)),"")</f>
        <v/>
      </c>
      <c r="G186">
        <f>IFERROR(INDEX(спр_Работы!$K$2:$K$6000,MATCH($C186,спр_Работы!$A$2:$A$6000,0)),"")</f>
        <v/>
      </c>
      <c r="H186" s="9" t="n"/>
      <c r="I186" s="9" t="n"/>
      <c r="J186" s="8">
        <f>IFERROR(INDEX(спр_Материалы!$B$2:$B$9000,MATCH($I186,спр_Материалы!$A$2:$A$9000,0)),"")</f>
        <v/>
      </c>
      <c r="K186">
        <f>IF($I186="","",IF($F186=IFERROR(INDEX(спр_Материалы!$G$2:$G$9000,MATCH($I186,спр_Материалы!$A$2:$A$9000,0)),""),"OK","!! не та группа"))</f>
        <v/>
      </c>
      <c r="L186" s="10">
        <f>IFERROR(INDEX(спр_Работы!$H$2:$H$6000,MATCH($C186,спр_Работы!$A$2:$A$6000,0))*(1-ДисконтТендер),0)</f>
        <v/>
      </c>
      <c r="M186" s="10">
        <f>IF($I186="",0,IFERROR(INDEX(спр_Материалы!$I$2:$I$9000,MATCH($I186,спр_Материалы!$A$2:$A$9000,0))*IF(INDEX(спр_Материалы!$J$2:$J$9000,MATCH($I186,спр_Материалы!$A$2:$A$9000,0))="USD",КурсUSD,IF(INDEX(спр_Материалы!$J$2:$J$9000,MATCH($I186,спр_Материалы!$A$2:$A$9000,0))="EUR",КурсEUR,1))*INDEX(спр_Материалы!$K$2:$K$9000,MATCH($I186,спр_Материалы!$A$2:$A$9000,0))*(1+IFERROR(INDEX(спр_Работы!$I$2:$I$6000,MATCH($C186,спр_Работы!$A$2:$A$6000,0))/100,0))*(1-ДисконтТендер),0))</f>
        <v/>
      </c>
      <c r="N186" s="10">
        <f>IF(AND($R186="да",$H186&lt;&gt;""),ROUND($H186*$L186,2),0)</f>
        <v/>
      </c>
      <c r="O186" s="10">
        <f>IF(AND($R186="да",$H186&lt;&gt;""),ROUND($H186*$M186,2),0)</f>
        <v/>
      </c>
      <c r="P186" s="10">
        <f>$N186+$O186</f>
        <v/>
      </c>
      <c r="Q186">
        <f>IFERROR(INDEX(спр_Работы!$J$2:$J$6000,MATCH($C186,спр_Работы!$A$2:$A$6000,0)),"")</f>
        <v/>
      </c>
      <c r="R186" t="inlineStr">
        <is>
          <t>да</t>
        </is>
      </c>
      <c r="T186">
        <f>IF(AND($P186&gt;0,$R186="да"),MAX($T$1:$T185)+1,"")</f>
        <v/>
      </c>
    </row>
    <row r="187">
      <c r="A187">
        <f>IFERROR(INDEX(спр_Работы!$D$2:$D$6000,MATCH($C187,спр_Работы!$A$2:$A$6000,0)),"")</f>
        <v/>
      </c>
      <c r="B187">
        <f>IFERROR(INDEX(спр_Работы!$F$2:$F$6000,MATCH($C187,спр_Работы!$A$2:$A$6000,0)),"")</f>
        <v/>
      </c>
      <c r="C187">
        <f>IFERROR(INDEX(спр_Работы!$A$2:$A$6000,186),"")</f>
        <v/>
      </c>
      <c r="D187" s="8">
        <f>IFERROR(INDEX(спр_Работы!$B$2:$B$6000,MATCH($C187,спр_Работы!$A$2:$A$6000,0)),"")</f>
        <v/>
      </c>
      <c r="E187">
        <f>IFERROR(INDEX(спр_Работы!$C$2:$C$6000,MATCH($C187,спр_Работы!$A$2:$A$6000,0)),"")</f>
        <v/>
      </c>
      <c r="F187">
        <f>IFERROR(INDEX(спр_Работы!$G$2:$G$6000,MATCH($C187,спр_Работы!$A$2:$A$6000,0)),"")</f>
        <v/>
      </c>
      <c r="G187">
        <f>IFERROR(INDEX(спр_Работы!$K$2:$K$6000,MATCH($C187,спр_Работы!$A$2:$A$6000,0)),"")</f>
        <v/>
      </c>
      <c r="H187" s="9" t="n"/>
      <c r="I187" s="9" t="n"/>
      <c r="J187" s="8">
        <f>IFERROR(INDEX(спр_Материалы!$B$2:$B$9000,MATCH($I187,спр_Материалы!$A$2:$A$9000,0)),"")</f>
        <v/>
      </c>
      <c r="K187">
        <f>IF($I187="","",IF($F187=IFERROR(INDEX(спр_Материалы!$G$2:$G$9000,MATCH($I187,спр_Материалы!$A$2:$A$9000,0)),""),"OK","!! не та группа"))</f>
        <v/>
      </c>
      <c r="L187" s="10">
        <f>IFERROR(INDEX(спр_Работы!$H$2:$H$6000,MATCH($C187,спр_Работы!$A$2:$A$6000,0))*(1-ДисконтТендер),0)</f>
        <v/>
      </c>
      <c r="M187" s="10">
        <f>IF($I187="",0,IFERROR(INDEX(спр_Материалы!$I$2:$I$9000,MATCH($I187,спр_Материалы!$A$2:$A$9000,0))*IF(INDEX(спр_Материалы!$J$2:$J$9000,MATCH($I187,спр_Материалы!$A$2:$A$9000,0))="USD",КурсUSD,IF(INDEX(спр_Материалы!$J$2:$J$9000,MATCH($I187,спр_Материалы!$A$2:$A$9000,0))="EUR",КурсEUR,1))*INDEX(спр_Материалы!$K$2:$K$9000,MATCH($I187,спр_Материалы!$A$2:$A$9000,0))*(1+IFERROR(INDEX(спр_Работы!$I$2:$I$6000,MATCH($C187,спр_Работы!$A$2:$A$6000,0))/100,0))*(1-ДисконтТендер),0))</f>
        <v/>
      </c>
      <c r="N187" s="10">
        <f>IF(AND($R187="да",$H187&lt;&gt;""),ROUND($H187*$L187,2),0)</f>
        <v/>
      </c>
      <c r="O187" s="10">
        <f>IF(AND($R187="да",$H187&lt;&gt;""),ROUND($H187*$M187,2),0)</f>
        <v/>
      </c>
      <c r="P187" s="10">
        <f>$N187+$O187</f>
        <v/>
      </c>
      <c r="Q187">
        <f>IFERROR(INDEX(спр_Работы!$J$2:$J$6000,MATCH($C187,спр_Работы!$A$2:$A$6000,0)),"")</f>
        <v/>
      </c>
      <c r="R187" t="inlineStr">
        <is>
          <t>да</t>
        </is>
      </c>
      <c r="T187">
        <f>IF(AND($P187&gt;0,$R187="да"),MAX($T$1:$T186)+1,"")</f>
        <v/>
      </c>
    </row>
    <row r="188">
      <c r="A188">
        <f>IFERROR(INDEX(спр_Работы!$D$2:$D$6000,MATCH($C188,спр_Работы!$A$2:$A$6000,0)),"")</f>
        <v/>
      </c>
      <c r="B188">
        <f>IFERROR(INDEX(спр_Работы!$F$2:$F$6000,MATCH($C188,спр_Работы!$A$2:$A$6000,0)),"")</f>
        <v/>
      </c>
      <c r="C188">
        <f>IFERROR(INDEX(спр_Работы!$A$2:$A$6000,187),"")</f>
        <v/>
      </c>
      <c r="D188" s="8">
        <f>IFERROR(INDEX(спр_Работы!$B$2:$B$6000,MATCH($C188,спр_Работы!$A$2:$A$6000,0)),"")</f>
        <v/>
      </c>
      <c r="E188">
        <f>IFERROR(INDEX(спр_Работы!$C$2:$C$6000,MATCH($C188,спр_Работы!$A$2:$A$6000,0)),"")</f>
        <v/>
      </c>
      <c r="F188">
        <f>IFERROR(INDEX(спр_Работы!$G$2:$G$6000,MATCH($C188,спр_Работы!$A$2:$A$6000,0)),"")</f>
        <v/>
      </c>
      <c r="G188">
        <f>IFERROR(INDEX(спр_Работы!$K$2:$K$6000,MATCH($C188,спр_Работы!$A$2:$A$6000,0)),"")</f>
        <v/>
      </c>
      <c r="H188" s="9" t="n"/>
      <c r="I188" s="9" t="n"/>
      <c r="J188" s="8">
        <f>IFERROR(INDEX(спр_Материалы!$B$2:$B$9000,MATCH($I188,спр_Материалы!$A$2:$A$9000,0)),"")</f>
        <v/>
      </c>
      <c r="K188">
        <f>IF($I188="","",IF($F188=IFERROR(INDEX(спр_Материалы!$G$2:$G$9000,MATCH($I188,спр_Материалы!$A$2:$A$9000,0)),""),"OK","!! не та группа"))</f>
        <v/>
      </c>
      <c r="L188" s="10">
        <f>IFERROR(INDEX(спр_Работы!$H$2:$H$6000,MATCH($C188,спр_Работы!$A$2:$A$6000,0))*(1-ДисконтТендер),0)</f>
        <v/>
      </c>
      <c r="M188" s="10">
        <f>IF($I188="",0,IFERROR(INDEX(спр_Материалы!$I$2:$I$9000,MATCH($I188,спр_Материалы!$A$2:$A$9000,0))*IF(INDEX(спр_Материалы!$J$2:$J$9000,MATCH($I188,спр_Материалы!$A$2:$A$9000,0))="USD",КурсUSD,IF(INDEX(спр_Материалы!$J$2:$J$9000,MATCH($I188,спр_Материалы!$A$2:$A$9000,0))="EUR",КурсEUR,1))*INDEX(спр_Материалы!$K$2:$K$9000,MATCH($I188,спр_Материалы!$A$2:$A$9000,0))*(1+IFERROR(INDEX(спр_Работы!$I$2:$I$6000,MATCH($C188,спр_Работы!$A$2:$A$6000,0))/100,0))*(1-ДисконтТендер),0))</f>
        <v/>
      </c>
      <c r="N188" s="10">
        <f>IF(AND($R188="да",$H188&lt;&gt;""),ROUND($H188*$L188,2),0)</f>
        <v/>
      </c>
      <c r="O188" s="10">
        <f>IF(AND($R188="да",$H188&lt;&gt;""),ROUND($H188*$M188,2),0)</f>
        <v/>
      </c>
      <c r="P188" s="10">
        <f>$N188+$O188</f>
        <v/>
      </c>
      <c r="Q188">
        <f>IFERROR(INDEX(спр_Работы!$J$2:$J$6000,MATCH($C188,спр_Работы!$A$2:$A$6000,0)),"")</f>
        <v/>
      </c>
      <c r="R188" t="inlineStr">
        <is>
          <t>да</t>
        </is>
      </c>
      <c r="T188">
        <f>IF(AND($P188&gt;0,$R188="да"),MAX($T$1:$T187)+1,"")</f>
        <v/>
      </c>
    </row>
    <row r="189">
      <c r="A189">
        <f>IFERROR(INDEX(спр_Работы!$D$2:$D$6000,MATCH($C189,спр_Работы!$A$2:$A$6000,0)),"")</f>
        <v/>
      </c>
      <c r="B189">
        <f>IFERROR(INDEX(спр_Работы!$F$2:$F$6000,MATCH($C189,спр_Работы!$A$2:$A$6000,0)),"")</f>
        <v/>
      </c>
      <c r="C189">
        <f>IFERROR(INDEX(спр_Работы!$A$2:$A$6000,188),"")</f>
        <v/>
      </c>
      <c r="D189" s="8">
        <f>IFERROR(INDEX(спр_Работы!$B$2:$B$6000,MATCH($C189,спр_Работы!$A$2:$A$6000,0)),"")</f>
        <v/>
      </c>
      <c r="E189">
        <f>IFERROR(INDEX(спр_Работы!$C$2:$C$6000,MATCH($C189,спр_Работы!$A$2:$A$6000,0)),"")</f>
        <v/>
      </c>
      <c r="F189">
        <f>IFERROR(INDEX(спр_Работы!$G$2:$G$6000,MATCH($C189,спр_Работы!$A$2:$A$6000,0)),"")</f>
        <v/>
      </c>
      <c r="G189">
        <f>IFERROR(INDEX(спр_Работы!$K$2:$K$6000,MATCH($C189,спр_Работы!$A$2:$A$6000,0)),"")</f>
        <v/>
      </c>
      <c r="H189" s="9" t="n"/>
      <c r="I189" s="9" t="n"/>
      <c r="J189" s="8">
        <f>IFERROR(INDEX(спр_Материалы!$B$2:$B$9000,MATCH($I189,спр_Материалы!$A$2:$A$9000,0)),"")</f>
        <v/>
      </c>
      <c r="K189">
        <f>IF($I189="","",IF($F189=IFERROR(INDEX(спр_Материалы!$G$2:$G$9000,MATCH($I189,спр_Материалы!$A$2:$A$9000,0)),""),"OK","!! не та группа"))</f>
        <v/>
      </c>
      <c r="L189" s="10">
        <f>IFERROR(INDEX(спр_Работы!$H$2:$H$6000,MATCH($C189,спр_Работы!$A$2:$A$6000,0))*(1-ДисконтТендер),0)</f>
        <v/>
      </c>
      <c r="M189" s="10">
        <f>IF($I189="",0,IFERROR(INDEX(спр_Материалы!$I$2:$I$9000,MATCH($I189,спр_Материалы!$A$2:$A$9000,0))*IF(INDEX(спр_Материалы!$J$2:$J$9000,MATCH($I189,спр_Материалы!$A$2:$A$9000,0))="USD",КурсUSD,IF(INDEX(спр_Материалы!$J$2:$J$9000,MATCH($I189,спр_Материалы!$A$2:$A$9000,0))="EUR",КурсEUR,1))*INDEX(спр_Материалы!$K$2:$K$9000,MATCH($I189,спр_Материалы!$A$2:$A$9000,0))*(1+IFERROR(INDEX(спр_Работы!$I$2:$I$6000,MATCH($C189,спр_Работы!$A$2:$A$6000,0))/100,0))*(1-ДисконтТендер),0))</f>
        <v/>
      </c>
      <c r="N189" s="10">
        <f>IF(AND($R189="да",$H189&lt;&gt;""),ROUND($H189*$L189,2),0)</f>
        <v/>
      </c>
      <c r="O189" s="10">
        <f>IF(AND($R189="да",$H189&lt;&gt;""),ROUND($H189*$M189,2),0)</f>
        <v/>
      </c>
      <c r="P189" s="10">
        <f>$N189+$O189</f>
        <v/>
      </c>
      <c r="Q189">
        <f>IFERROR(INDEX(спр_Работы!$J$2:$J$6000,MATCH($C189,спр_Работы!$A$2:$A$6000,0)),"")</f>
        <v/>
      </c>
      <c r="R189" t="inlineStr">
        <is>
          <t>да</t>
        </is>
      </c>
      <c r="T189">
        <f>IF(AND($P189&gt;0,$R189="да"),MAX($T$1:$T188)+1,"")</f>
        <v/>
      </c>
    </row>
    <row r="190">
      <c r="A190">
        <f>IFERROR(INDEX(спр_Работы!$D$2:$D$6000,MATCH($C190,спр_Работы!$A$2:$A$6000,0)),"")</f>
        <v/>
      </c>
      <c r="B190">
        <f>IFERROR(INDEX(спр_Работы!$F$2:$F$6000,MATCH($C190,спр_Работы!$A$2:$A$6000,0)),"")</f>
        <v/>
      </c>
      <c r="C190">
        <f>IFERROR(INDEX(спр_Работы!$A$2:$A$6000,189),"")</f>
        <v/>
      </c>
      <c r="D190" s="8">
        <f>IFERROR(INDEX(спр_Работы!$B$2:$B$6000,MATCH($C190,спр_Работы!$A$2:$A$6000,0)),"")</f>
        <v/>
      </c>
      <c r="E190">
        <f>IFERROR(INDEX(спр_Работы!$C$2:$C$6000,MATCH($C190,спр_Работы!$A$2:$A$6000,0)),"")</f>
        <v/>
      </c>
      <c r="F190">
        <f>IFERROR(INDEX(спр_Работы!$G$2:$G$6000,MATCH($C190,спр_Работы!$A$2:$A$6000,0)),"")</f>
        <v/>
      </c>
      <c r="G190">
        <f>IFERROR(INDEX(спр_Работы!$K$2:$K$6000,MATCH($C190,спр_Работы!$A$2:$A$6000,0)),"")</f>
        <v/>
      </c>
      <c r="H190" s="9" t="n"/>
      <c r="I190" s="9" t="n"/>
      <c r="J190" s="8">
        <f>IFERROR(INDEX(спр_Материалы!$B$2:$B$9000,MATCH($I190,спр_Материалы!$A$2:$A$9000,0)),"")</f>
        <v/>
      </c>
      <c r="K190">
        <f>IF($I190="","",IF($F190=IFERROR(INDEX(спр_Материалы!$G$2:$G$9000,MATCH($I190,спр_Материалы!$A$2:$A$9000,0)),""),"OK","!! не та группа"))</f>
        <v/>
      </c>
      <c r="L190" s="10">
        <f>IFERROR(INDEX(спр_Работы!$H$2:$H$6000,MATCH($C190,спр_Работы!$A$2:$A$6000,0))*(1-ДисконтТендер),0)</f>
        <v/>
      </c>
      <c r="M190" s="10">
        <f>IF($I190="",0,IFERROR(INDEX(спр_Материалы!$I$2:$I$9000,MATCH($I190,спр_Материалы!$A$2:$A$9000,0))*IF(INDEX(спр_Материалы!$J$2:$J$9000,MATCH($I190,спр_Материалы!$A$2:$A$9000,0))="USD",КурсUSD,IF(INDEX(спр_Материалы!$J$2:$J$9000,MATCH($I190,спр_Материалы!$A$2:$A$9000,0))="EUR",КурсEUR,1))*INDEX(спр_Материалы!$K$2:$K$9000,MATCH($I190,спр_Материалы!$A$2:$A$9000,0))*(1+IFERROR(INDEX(спр_Работы!$I$2:$I$6000,MATCH($C190,спр_Работы!$A$2:$A$6000,0))/100,0))*(1-ДисконтТендер),0))</f>
        <v/>
      </c>
      <c r="N190" s="10">
        <f>IF(AND($R190="да",$H190&lt;&gt;""),ROUND($H190*$L190,2),0)</f>
        <v/>
      </c>
      <c r="O190" s="10">
        <f>IF(AND($R190="да",$H190&lt;&gt;""),ROUND($H190*$M190,2),0)</f>
        <v/>
      </c>
      <c r="P190" s="10">
        <f>$N190+$O190</f>
        <v/>
      </c>
      <c r="Q190">
        <f>IFERROR(INDEX(спр_Работы!$J$2:$J$6000,MATCH($C190,спр_Работы!$A$2:$A$6000,0)),"")</f>
        <v/>
      </c>
      <c r="R190" t="inlineStr">
        <is>
          <t>да</t>
        </is>
      </c>
      <c r="T190">
        <f>IF(AND($P190&gt;0,$R190="да"),MAX($T$1:$T189)+1,"")</f>
        <v/>
      </c>
    </row>
    <row r="191">
      <c r="A191">
        <f>IFERROR(INDEX(спр_Работы!$D$2:$D$6000,MATCH($C191,спр_Работы!$A$2:$A$6000,0)),"")</f>
        <v/>
      </c>
      <c r="B191">
        <f>IFERROR(INDEX(спр_Работы!$F$2:$F$6000,MATCH($C191,спр_Работы!$A$2:$A$6000,0)),"")</f>
        <v/>
      </c>
      <c r="C191">
        <f>IFERROR(INDEX(спр_Работы!$A$2:$A$6000,190),"")</f>
        <v/>
      </c>
      <c r="D191" s="8">
        <f>IFERROR(INDEX(спр_Работы!$B$2:$B$6000,MATCH($C191,спр_Работы!$A$2:$A$6000,0)),"")</f>
        <v/>
      </c>
      <c r="E191">
        <f>IFERROR(INDEX(спр_Работы!$C$2:$C$6000,MATCH($C191,спр_Работы!$A$2:$A$6000,0)),"")</f>
        <v/>
      </c>
      <c r="F191">
        <f>IFERROR(INDEX(спр_Работы!$G$2:$G$6000,MATCH($C191,спр_Работы!$A$2:$A$6000,0)),"")</f>
        <v/>
      </c>
      <c r="G191">
        <f>IFERROR(INDEX(спр_Работы!$K$2:$K$6000,MATCH($C191,спр_Работы!$A$2:$A$6000,0)),"")</f>
        <v/>
      </c>
      <c r="H191" s="9" t="n"/>
      <c r="I191" s="9" t="n"/>
      <c r="J191" s="8">
        <f>IFERROR(INDEX(спр_Материалы!$B$2:$B$9000,MATCH($I191,спр_Материалы!$A$2:$A$9000,0)),"")</f>
        <v/>
      </c>
      <c r="K191">
        <f>IF($I191="","",IF($F191=IFERROR(INDEX(спр_Материалы!$G$2:$G$9000,MATCH($I191,спр_Материалы!$A$2:$A$9000,0)),""),"OK","!! не та группа"))</f>
        <v/>
      </c>
      <c r="L191" s="10">
        <f>IFERROR(INDEX(спр_Работы!$H$2:$H$6000,MATCH($C191,спр_Работы!$A$2:$A$6000,0))*(1-ДисконтТендер),0)</f>
        <v/>
      </c>
      <c r="M191" s="10">
        <f>IF($I191="",0,IFERROR(INDEX(спр_Материалы!$I$2:$I$9000,MATCH($I191,спр_Материалы!$A$2:$A$9000,0))*IF(INDEX(спр_Материалы!$J$2:$J$9000,MATCH($I191,спр_Материалы!$A$2:$A$9000,0))="USD",КурсUSD,IF(INDEX(спр_Материалы!$J$2:$J$9000,MATCH($I191,спр_Материалы!$A$2:$A$9000,0))="EUR",КурсEUR,1))*INDEX(спр_Материалы!$K$2:$K$9000,MATCH($I191,спр_Материалы!$A$2:$A$9000,0))*(1+IFERROR(INDEX(спр_Работы!$I$2:$I$6000,MATCH($C191,спр_Работы!$A$2:$A$6000,0))/100,0))*(1-ДисконтТендер),0))</f>
        <v/>
      </c>
      <c r="N191" s="10">
        <f>IF(AND($R191="да",$H191&lt;&gt;""),ROUND($H191*$L191,2),0)</f>
        <v/>
      </c>
      <c r="O191" s="10">
        <f>IF(AND($R191="да",$H191&lt;&gt;""),ROUND($H191*$M191,2),0)</f>
        <v/>
      </c>
      <c r="P191" s="10">
        <f>$N191+$O191</f>
        <v/>
      </c>
      <c r="Q191">
        <f>IFERROR(INDEX(спр_Работы!$J$2:$J$6000,MATCH($C191,спр_Работы!$A$2:$A$6000,0)),"")</f>
        <v/>
      </c>
      <c r="R191" t="inlineStr">
        <is>
          <t>да</t>
        </is>
      </c>
      <c r="T191">
        <f>IF(AND($P191&gt;0,$R191="да"),MAX($T$1:$T190)+1,"")</f>
        <v/>
      </c>
    </row>
    <row r="192">
      <c r="A192">
        <f>IFERROR(INDEX(спр_Работы!$D$2:$D$6000,MATCH($C192,спр_Работы!$A$2:$A$6000,0)),"")</f>
        <v/>
      </c>
      <c r="B192">
        <f>IFERROR(INDEX(спр_Работы!$F$2:$F$6000,MATCH($C192,спр_Работы!$A$2:$A$6000,0)),"")</f>
        <v/>
      </c>
      <c r="C192">
        <f>IFERROR(INDEX(спр_Работы!$A$2:$A$6000,191),"")</f>
        <v/>
      </c>
      <c r="D192" s="8">
        <f>IFERROR(INDEX(спр_Работы!$B$2:$B$6000,MATCH($C192,спр_Работы!$A$2:$A$6000,0)),"")</f>
        <v/>
      </c>
      <c r="E192">
        <f>IFERROR(INDEX(спр_Работы!$C$2:$C$6000,MATCH($C192,спр_Работы!$A$2:$A$6000,0)),"")</f>
        <v/>
      </c>
      <c r="F192">
        <f>IFERROR(INDEX(спр_Работы!$G$2:$G$6000,MATCH($C192,спр_Работы!$A$2:$A$6000,0)),"")</f>
        <v/>
      </c>
      <c r="G192">
        <f>IFERROR(INDEX(спр_Работы!$K$2:$K$6000,MATCH($C192,спр_Работы!$A$2:$A$6000,0)),"")</f>
        <v/>
      </c>
      <c r="H192" s="9" t="n"/>
      <c r="I192" s="9" t="n"/>
      <c r="J192" s="8">
        <f>IFERROR(INDEX(спр_Материалы!$B$2:$B$9000,MATCH($I192,спр_Материалы!$A$2:$A$9000,0)),"")</f>
        <v/>
      </c>
      <c r="K192">
        <f>IF($I192="","",IF($F192=IFERROR(INDEX(спр_Материалы!$G$2:$G$9000,MATCH($I192,спр_Материалы!$A$2:$A$9000,0)),""),"OK","!! не та группа"))</f>
        <v/>
      </c>
      <c r="L192" s="10">
        <f>IFERROR(INDEX(спр_Работы!$H$2:$H$6000,MATCH($C192,спр_Работы!$A$2:$A$6000,0))*(1-ДисконтТендер),0)</f>
        <v/>
      </c>
      <c r="M192" s="10">
        <f>IF($I192="",0,IFERROR(INDEX(спр_Материалы!$I$2:$I$9000,MATCH($I192,спр_Материалы!$A$2:$A$9000,0))*IF(INDEX(спр_Материалы!$J$2:$J$9000,MATCH($I192,спр_Материалы!$A$2:$A$9000,0))="USD",КурсUSD,IF(INDEX(спр_Материалы!$J$2:$J$9000,MATCH($I192,спр_Материалы!$A$2:$A$9000,0))="EUR",КурсEUR,1))*INDEX(спр_Материалы!$K$2:$K$9000,MATCH($I192,спр_Материалы!$A$2:$A$9000,0))*(1+IFERROR(INDEX(спр_Работы!$I$2:$I$6000,MATCH($C192,спр_Работы!$A$2:$A$6000,0))/100,0))*(1-ДисконтТендер),0))</f>
        <v/>
      </c>
      <c r="N192" s="10">
        <f>IF(AND($R192="да",$H192&lt;&gt;""),ROUND($H192*$L192,2),0)</f>
        <v/>
      </c>
      <c r="O192" s="10">
        <f>IF(AND($R192="да",$H192&lt;&gt;""),ROUND($H192*$M192,2),0)</f>
        <v/>
      </c>
      <c r="P192" s="10">
        <f>$N192+$O192</f>
        <v/>
      </c>
      <c r="Q192">
        <f>IFERROR(INDEX(спр_Работы!$J$2:$J$6000,MATCH($C192,спр_Работы!$A$2:$A$6000,0)),"")</f>
        <v/>
      </c>
      <c r="R192" t="inlineStr">
        <is>
          <t>да</t>
        </is>
      </c>
      <c r="T192">
        <f>IF(AND($P192&gt;0,$R192="да"),MAX($T$1:$T191)+1,"")</f>
        <v/>
      </c>
    </row>
    <row r="193">
      <c r="A193">
        <f>IFERROR(INDEX(спр_Работы!$D$2:$D$6000,MATCH($C193,спр_Работы!$A$2:$A$6000,0)),"")</f>
        <v/>
      </c>
      <c r="B193">
        <f>IFERROR(INDEX(спр_Работы!$F$2:$F$6000,MATCH($C193,спр_Работы!$A$2:$A$6000,0)),"")</f>
        <v/>
      </c>
      <c r="C193">
        <f>IFERROR(INDEX(спр_Работы!$A$2:$A$6000,192),"")</f>
        <v/>
      </c>
      <c r="D193" s="8">
        <f>IFERROR(INDEX(спр_Работы!$B$2:$B$6000,MATCH($C193,спр_Работы!$A$2:$A$6000,0)),"")</f>
        <v/>
      </c>
      <c r="E193">
        <f>IFERROR(INDEX(спр_Работы!$C$2:$C$6000,MATCH($C193,спр_Работы!$A$2:$A$6000,0)),"")</f>
        <v/>
      </c>
      <c r="F193">
        <f>IFERROR(INDEX(спр_Работы!$G$2:$G$6000,MATCH($C193,спр_Работы!$A$2:$A$6000,0)),"")</f>
        <v/>
      </c>
      <c r="G193">
        <f>IFERROR(INDEX(спр_Работы!$K$2:$K$6000,MATCH($C193,спр_Работы!$A$2:$A$6000,0)),"")</f>
        <v/>
      </c>
      <c r="H193" s="9" t="n"/>
      <c r="I193" s="9" t="n"/>
      <c r="J193" s="8">
        <f>IFERROR(INDEX(спр_Материалы!$B$2:$B$9000,MATCH($I193,спр_Материалы!$A$2:$A$9000,0)),"")</f>
        <v/>
      </c>
      <c r="K193">
        <f>IF($I193="","",IF($F193=IFERROR(INDEX(спр_Материалы!$G$2:$G$9000,MATCH($I193,спр_Материалы!$A$2:$A$9000,0)),""),"OK","!! не та группа"))</f>
        <v/>
      </c>
      <c r="L193" s="10">
        <f>IFERROR(INDEX(спр_Работы!$H$2:$H$6000,MATCH($C193,спр_Работы!$A$2:$A$6000,0))*(1-ДисконтТендер),0)</f>
        <v/>
      </c>
      <c r="M193" s="10">
        <f>IF($I193="",0,IFERROR(INDEX(спр_Материалы!$I$2:$I$9000,MATCH($I193,спр_Материалы!$A$2:$A$9000,0))*IF(INDEX(спр_Материалы!$J$2:$J$9000,MATCH($I193,спр_Материалы!$A$2:$A$9000,0))="USD",КурсUSD,IF(INDEX(спр_Материалы!$J$2:$J$9000,MATCH($I193,спр_Материалы!$A$2:$A$9000,0))="EUR",КурсEUR,1))*INDEX(спр_Материалы!$K$2:$K$9000,MATCH($I193,спр_Материалы!$A$2:$A$9000,0))*(1+IFERROR(INDEX(спр_Работы!$I$2:$I$6000,MATCH($C193,спр_Работы!$A$2:$A$6000,0))/100,0))*(1-ДисконтТендер),0))</f>
        <v/>
      </c>
      <c r="N193" s="10">
        <f>IF(AND($R193="да",$H193&lt;&gt;""),ROUND($H193*$L193,2),0)</f>
        <v/>
      </c>
      <c r="O193" s="10">
        <f>IF(AND($R193="да",$H193&lt;&gt;""),ROUND($H193*$M193,2),0)</f>
        <v/>
      </c>
      <c r="P193" s="10">
        <f>$N193+$O193</f>
        <v/>
      </c>
      <c r="Q193">
        <f>IFERROR(INDEX(спр_Работы!$J$2:$J$6000,MATCH($C193,спр_Работы!$A$2:$A$6000,0)),"")</f>
        <v/>
      </c>
      <c r="R193" t="inlineStr">
        <is>
          <t>да</t>
        </is>
      </c>
      <c r="T193">
        <f>IF(AND($P193&gt;0,$R193="да"),MAX($T$1:$T192)+1,"")</f>
        <v/>
      </c>
    </row>
    <row r="194">
      <c r="A194">
        <f>IFERROR(INDEX(спр_Работы!$D$2:$D$6000,MATCH($C194,спр_Работы!$A$2:$A$6000,0)),"")</f>
        <v/>
      </c>
      <c r="B194">
        <f>IFERROR(INDEX(спр_Работы!$F$2:$F$6000,MATCH($C194,спр_Работы!$A$2:$A$6000,0)),"")</f>
        <v/>
      </c>
      <c r="C194">
        <f>IFERROR(INDEX(спр_Работы!$A$2:$A$6000,193),"")</f>
        <v/>
      </c>
      <c r="D194" s="8">
        <f>IFERROR(INDEX(спр_Работы!$B$2:$B$6000,MATCH($C194,спр_Работы!$A$2:$A$6000,0)),"")</f>
        <v/>
      </c>
      <c r="E194">
        <f>IFERROR(INDEX(спр_Работы!$C$2:$C$6000,MATCH($C194,спр_Работы!$A$2:$A$6000,0)),"")</f>
        <v/>
      </c>
      <c r="F194">
        <f>IFERROR(INDEX(спр_Работы!$G$2:$G$6000,MATCH($C194,спр_Работы!$A$2:$A$6000,0)),"")</f>
        <v/>
      </c>
      <c r="G194">
        <f>IFERROR(INDEX(спр_Работы!$K$2:$K$6000,MATCH($C194,спр_Работы!$A$2:$A$6000,0)),"")</f>
        <v/>
      </c>
      <c r="H194" s="9" t="n"/>
      <c r="I194" s="9" t="n"/>
      <c r="J194" s="8">
        <f>IFERROR(INDEX(спр_Материалы!$B$2:$B$9000,MATCH($I194,спр_Материалы!$A$2:$A$9000,0)),"")</f>
        <v/>
      </c>
      <c r="K194">
        <f>IF($I194="","",IF($F194=IFERROR(INDEX(спр_Материалы!$G$2:$G$9000,MATCH($I194,спр_Материалы!$A$2:$A$9000,0)),""),"OK","!! не та группа"))</f>
        <v/>
      </c>
      <c r="L194" s="10">
        <f>IFERROR(INDEX(спр_Работы!$H$2:$H$6000,MATCH($C194,спр_Работы!$A$2:$A$6000,0))*(1-ДисконтТендер),0)</f>
        <v/>
      </c>
      <c r="M194" s="10">
        <f>IF($I194="",0,IFERROR(INDEX(спр_Материалы!$I$2:$I$9000,MATCH($I194,спр_Материалы!$A$2:$A$9000,0))*IF(INDEX(спр_Материалы!$J$2:$J$9000,MATCH($I194,спр_Материалы!$A$2:$A$9000,0))="USD",КурсUSD,IF(INDEX(спр_Материалы!$J$2:$J$9000,MATCH($I194,спр_Материалы!$A$2:$A$9000,0))="EUR",КурсEUR,1))*INDEX(спр_Материалы!$K$2:$K$9000,MATCH($I194,спр_Материалы!$A$2:$A$9000,0))*(1+IFERROR(INDEX(спр_Работы!$I$2:$I$6000,MATCH($C194,спр_Работы!$A$2:$A$6000,0))/100,0))*(1-ДисконтТендер),0))</f>
        <v/>
      </c>
      <c r="N194" s="10">
        <f>IF(AND($R194="да",$H194&lt;&gt;""),ROUND($H194*$L194,2),0)</f>
        <v/>
      </c>
      <c r="O194" s="10">
        <f>IF(AND($R194="да",$H194&lt;&gt;""),ROUND($H194*$M194,2),0)</f>
        <v/>
      </c>
      <c r="P194" s="10">
        <f>$N194+$O194</f>
        <v/>
      </c>
      <c r="Q194">
        <f>IFERROR(INDEX(спр_Работы!$J$2:$J$6000,MATCH($C194,спр_Работы!$A$2:$A$6000,0)),"")</f>
        <v/>
      </c>
      <c r="R194" t="inlineStr">
        <is>
          <t>да</t>
        </is>
      </c>
      <c r="T194">
        <f>IF(AND($P194&gt;0,$R194="да"),MAX($T$1:$T193)+1,"")</f>
        <v/>
      </c>
    </row>
    <row r="195">
      <c r="A195">
        <f>IFERROR(INDEX(спр_Работы!$D$2:$D$6000,MATCH($C195,спр_Работы!$A$2:$A$6000,0)),"")</f>
        <v/>
      </c>
      <c r="B195">
        <f>IFERROR(INDEX(спр_Работы!$F$2:$F$6000,MATCH($C195,спр_Работы!$A$2:$A$6000,0)),"")</f>
        <v/>
      </c>
      <c r="C195">
        <f>IFERROR(INDEX(спр_Работы!$A$2:$A$6000,194),"")</f>
        <v/>
      </c>
      <c r="D195" s="8">
        <f>IFERROR(INDEX(спр_Работы!$B$2:$B$6000,MATCH($C195,спр_Работы!$A$2:$A$6000,0)),"")</f>
        <v/>
      </c>
      <c r="E195">
        <f>IFERROR(INDEX(спр_Работы!$C$2:$C$6000,MATCH($C195,спр_Работы!$A$2:$A$6000,0)),"")</f>
        <v/>
      </c>
      <c r="F195">
        <f>IFERROR(INDEX(спр_Работы!$G$2:$G$6000,MATCH($C195,спр_Работы!$A$2:$A$6000,0)),"")</f>
        <v/>
      </c>
      <c r="G195">
        <f>IFERROR(INDEX(спр_Работы!$K$2:$K$6000,MATCH($C195,спр_Работы!$A$2:$A$6000,0)),"")</f>
        <v/>
      </c>
      <c r="H195" s="9" t="n"/>
      <c r="I195" s="9" t="n"/>
      <c r="J195" s="8">
        <f>IFERROR(INDEX(спр_Материалы!$B$2:$B$9000,MATCH($I195,спр_Материалы!$A$2:$A$9000,0)),"")</f>
        <v/>
      </c>
      <c r="K195">
        <f>IF($I195="","",IF($F195=IFERROR(INDEX(спр_Материалы!$G$2:$G$9000,MATCH($I195,спр_Материалы!$A$2:$A$9000,0)),""),"OK","!! не та группа"))</f>
        <v/>
      </c>
      <c r="L195" s="10">
        <f>IFERROR(INDEX(спр_Работы!$H$2:$H$6000,MATCH($C195,спр_Работы!$A$2:$A$6000,0))*(1-ДисконтТендер),0)</f>
        <v/>
      </c>
      <c r="M195" s="10">
        <f>IF($I195="",0,IFERROR(INDEX(спр_Материалы!$I$2:$I$9000,MATCH($I195,спр_Материалы!$A$2:$A$9000,0))*IF(INDEX(спр_Материалы!$J$2:$J$9000,MATCH($I195,спр_Материалы!$A$2:$A$9000,0))="USD",КурсUSD,IF(INDEX(спр_Материалы!$J$2:$J$9000,MATCH($I195,спр_Материалы!$A$2:$A$9000,0))="EUR",КурсEUR,1))*INDEX(спр_Материалы!$K$2:$K$9000,MATCH($I195,спр_Материалы!$A$2:$A$9000,0))*(1+IFERROR(INDEX(спр_Работы!$I$2:$I$6000,MATCH($C195,спр_Работы!$A$2:$A$6000,0))/100,0))*(1-ДисконтТендер),0))</f>
        <v/>
      </c>
      <c r="N195" s="10">
        <f>IF(AND($R195="да",$H195&lt;&gt;""),ROUND($H195*$L195,2),0)</f>
        <v/>
      </c>
      <c r="O195" s="10">
        <f>IF(AND($R195="да",$H195&lt;&gt;""),ROUND($H195*$M195,2),0)</f>
        <v/>
      </c>
      <c r="P195" s="10">
        <f>$N195+$O195</f>
        <v/>
      </c>
      <c r="Q195">
        <f>IFERROR(INDEX(спр_Работы!$J$2:$J$6000,MATCH($C195,спр_Работы!$A$2:$A$6000,0)),"")</f>
        <v/>
      </c>
      <c r="R195" t="inlineStr">
        <is>
          <t>да</t>
        </is>
      </c>
      <c r="T195">
        <f>IF(AND($P195&gt;0,$R195="да"),MAX($T$1:$T194)+1,"")</f>
        <v/>
      </c>
    </row>
    <row r="196">
      <c r="A196">
        <f>IFERROR(INDEX(спр_Работы!$D$2:$D$6000,MATCH($C196,спр_Работы!$A$2:$A$6000,0)),"")</f>
        <v/>
      </c>
      <c r="B196">
        <f>IFERROR(INDEX(спр_Работы!$F$2:$F$6000,MATCH($C196,спр_Работы!$A$2:$A$6000,0)),"")</f>
        <v/>
      </c>
      <c r="C196">
        <f>IFERROR(INDEX(спр_Работы!$A$2:$A$6000,195),"")</f>
        <v/>
      </c>
      <c r="D196" s="8">
        <f>IFERROR(INDEX(спр_Работы!$B$2:$B$6000,MATCH($C196,спр_Работы!$A$2:$A$6000,0)),"")</f>
        <v/>
      </c>
      <c r="E196">
        <f>IFERROR(INDEX(спр_Работы!$C$2:$C$6000,MATCH($C196,спр_Работы!$A$2:$A$6000,0)),"")</f>
        <v/>
      </c>
      <c r="F196">
        <f>IFERROR(INDEX(спр_Работы!$G$2:$G$6000,MATCH($C196,спр_Работы!$A$2:$A$6000,0)),"")</f>
        <v/>
      </c>
      <c r="G196">
        <f>IFERROR(INDEX(спр_Работы!$K$2:$K$6000,MATCH($C196,спр_Работы!$A$2:$A$6000,0)),"")</f>
        <v/>
      </c>
      <c r="H196" s="9" t="n"/>
      <c r="I196" s="9" t="n"/>
      <c r="J196" s="8">
        <f>IFERROR(INDEX(спр_Материалы!$B$2:$B$9000,MATCH($I196,спр_Материалы!$A$2:$A$9000,0)),"")</f>
        <v/>
      </c>
      <c r="K196">
        <f>IF($I196="","",IF($F196=IFERROR(INDEX(спр_Материалы!$G$2:$G$9000,MATCH($I196,спр_Материалы!$A$2:$A$9000,0)),""),"OK","!! не та группа"))</f>
        <v/>
      </c>
      <c r="L196" s="10">
        <f>IFERROR(INDEX(спр_Работы!$H$2:$H$6000,MATCH($C196,спр_Работы!$A$2:$A$6000,0))*(1-ДисконтТендер),0)</f>
        <v/>
      </c>
      <c r="M196" s="10">
        <f>IF($I196="",0,IFERROR(INDEX(спр_Материалы!$I$2:$I$9000,MATCH($I196,спр_Материалы!$A$2:$A$9000,0))*IF(INDEX(спр_Материалы!$J$2:$J$9000,MATCH($I196,спр_Материалы!$A$2:$A$9000,0))="USD",КурсUSD,IF(INDEX(спр_Материалы!$J$2:$J$9000,MATCH($I196,спр_Материалы!$A$2:$A$9000,0))="EUR",КурсEUR,1))*INDEX(спр_Материалы!$K$2:$K$9000,MATCH($I196,спр_Материалы!$A$2:$A$9000,0))*(1+IFERROR(INDEX(спр_Работы!$I$2:$I$6000,MATCH($C196,спр_Работы!$A$2:$A$6000,0))/100,0))*(1-ДисконтТендер),0))</f>
        <v/>
      </c>
      <c r="N196" s="10">
        <f>IF(AND($R196="да",$H196&lt;&gt;""),ROUND($H196*$L196,2),0)</f>
        <v/>
      </c>
      <c r="O196" s="10">
        <f>IF(AND($R196="да",$H196&lt;&gt;""),ROUND($H196*$M196,2),0)</f>
        <v/>
      </c>
      <c r="P196" s="10">
        <f>$N196+$O196</f>
        <v/>
      </c>
      <c r="Q196">
        <f>IFERROR(INDEX(спр_Работы!$J$2:$J$6000,MATCH($C196,спр_Работы!$A$2:$A$6000,0)),"")</f>
        <v/>
      </c>
      <c r="R196" t="inlineStr">
        <is>
          <t>да</t>
        </is>
      </c>
      <c r="T196">
        <f>IF(AND($P196&gt;0,$R196="да"),MAX($T$1:$T195)+1,"")</f>
        <v/>
      </c>
    </row>
    <row r="197">
      <c r="A197">
        <f>IFERROR(INDEX(спр_Работы!$D$2:$D$6000,MATCH($C197,спр_Работы!$A$2:$A$6000,0)),"")</f>
        <v/>
      </c>
      <c r="B197">
        <f>IFERROR(INDEX(спр_Работы!$F$2:$F$6000,MATCH($C197,спр_Работы!$A$2:$A$6000,0)),"")</f>
        <v/>
      </c>
      <c r="C197">
        <f>IFERROR(INDEX(спр_Работы!$A$2:$A$6000,196),"")</f>
        <v/>
      </c>
      <c r="D197" s="8">
        <f>IFERROR(INDEX(спр_Работы!$B$2:$B$6000,MATCH($C197,спр_Работы!$A$2:$A$6000,0)),"")</f>
        <v/>
      </c>
      <c r="E197">
        <f>IFERROR(INDEX(спр_Работы!$C$2:$C$6000,MATCH($C197,спр_Работы!$A$2:$A$6000,0)),"")</f>
        <v/>
      </c>
      <c r="F197">
        <f>IFERROR(INDEX(спр_Работы!$G$2:$G$6000,MATCH($C197,спр_Работы!$A$2:$A$6000,0)),"")</f>
        <v/>
      </c>
      <c r="G197">
        <f>IFERROR(INDEX(спр_Работы!$K$2:$K$6000,MATCH($C197,спр_Работы!$A$2:$A$6000,0)),"")</f>
        <v/>
      </c>
      <c r="H197" s="9" t="n"/>
      <c r="I197" s="9" t="n"/>
      <c r="J197" s="8">
        <f>IFERROR(INDEX(спр_Материалы!$B$2:$B$9000,MATCH($I197,спр_Материалы!$A$2:$A$9000,0)),"")</f>
        <v/>
      </c>
      <c r="K197">
        <f>IF($I197="","",IF($F197=IFERROR(INDEX(спр_Материалы!$G$2:$G$9000,MATCH($I197,спр_Материалы!$A$2:$A$9000,0)),""),"OK","!! не та группа"))</f>
        <v/>
      </c>
      <c r="L197" s="10">
        <f>IFERROR(INDEX(спр_Работы!$H$2:$H$6000,MATCH($C197,спр_Работы!$A$2:$A$6000,0))*(1-ДисконтТендер),0)</f>
        <v/>
      </c>
      <c r="M197" s="10">
        <f>IF($I197="",0,IFERROR(INDEX(спр_Материалы!$I$2:$I$9000,MATCH($I197,спр_Материалы!$A$2:$A$9000,0))*IF(INDEX(спр_Материалы!$J$2:$J$9000,MATCH($I197,спр_Материалы!$A$2:$A$9000,0))="USD",КурсUSD,IF(INDEX(спр_Материалы!$J$2:$J$9000,MATCH($I197,спр_Материалы!$A$2:$A$9000,0))="EUR",КурсEUR,1))*INDEX(спр_Материалы!$K$2:$K$9000,MATCH($I197,спр_Материалы!$A$2:$A$9000,0))*(1+IFERROR(INDEX(спр_Работы!$I$2:$I$6000,MATCH($C197,спр_Работы!$A$2:$A$6000,0))/100,0))*(1-ДисконтТендер),0))</f>
        <v/>
      </c>
      <c r="N197" s="10">
        <f>IF(AND($R197="да",$H197&lt;&gt;""),ROUND($H197*$L197,2),0)</f>
        <v/>
      </c>
      <c r="O197" s="10">
        <f>IF(AND($R197="да",$H197&lt;&gt;""),ROUND($H197*$M197,2),0)</f>
        <v/>
      </c>
      <c r="P197" s="10">
        <f>$N197+$O197</f>
        <v/>
      </c>
      <c r="Q197">
        <f>IFERROR(INDEX(спр_Работы!$J$2:$J$6000,MATCH($C197,спр_Работы!$A$2:$A$6000,0)),"")</f>
        <v/>
      </c>
      <c r="R197" t="inlineStr">
        <is>
          <t>да</t>
        </is>
      </c>
      <c r="T197">
        <f>IF(AND($P197&gt;0,$R197="да"),MAX($T$1:$T196)+1,"")</f>
        <v/>
      </c>
    </row>
    <row r="198">
      <c r="A198">
        <f>IFERROR(INDEX(спр_Работы!$D$2:$D$6000,MATCH($C198,спр_Работы!$A$2:$A$6000,0)),"")</f>
        <v/>
      </c>
      <c r="B198">
        <f>IFERROR(INDEX(спр_Работы!$F$2:$F$6000,MATCH($C198,спр_Работы!$A$2:$A$6000,0)),"")</f>
        <v/>
      </c>
      <c r="C198">
        <f>IFERROR(INDEX(спр_Работы!$A$2:$A$6000,197),"")</f>
        <v/>
      </c>
      <c r="D198" s="8">
        <f>IFERROR(INDEX(спр_Работы!$B$2:$B$6000,MATCH($C198,спр_Работы!$A$2:$A$6000,0)),"")</f>
        <v/>
      </c>
      <c r="E198">
        <f>IFERROR(INDEX(спр_Работы!$C$2:$C$6000,MATCH($C198,спр_Работы!$A$2:$A$6000,0)),"")</f>
        <v/>
      </c>
      <c r="F198">
        <f>IFERROR(INDEX(спр_Работы!$G$2:$G$6000,MATCH($C198,спр_Работы!$A$2:$A$6000,0)),"")</f>
        <v/>
      </c>
      <c r="G198">
        <f>IFERROR(INDEX(спр_Работы!$K$2:$K$6000,MATCH($C198,спр_Работы!$A$2:$A$6000,0)),"")</f>
        <v/>
      </c>
      <c r="H198" s="9" t="n"/>
      <c r="I198" s="9" t="n"/>
      <c r="J198" s="8">
        <f>IFERROR(INDEX(спр_Материалы!$B$2:$B$9000,MATCH($I198,спр_Материалы!$A$2:$A$9000,0)),"")</f>
        <v/>
      </c>
      <c r="K198">
        <f>IF($I198="","",IF($F198=IFERROR(INDEX(спр_Материалы!$G$2:$G$9000,MATCH($I198,спр_Материалы!$A$2:$A$9000,0)),""),"OK","!! не та группа"))</f>
        <v/>
      </c>
      <c r="L198" s="10">
        <f>IFERROR(INDEX(спр_Работы!$H$2:$H$6000,MATCH($C198,спр_Работы!$A$2:$A$6000,0))*(1-ДисконтТендер),0)</f>
        <v/>
      </c>
      <c r="M198" s="10">
        <f>IF($I198="",0,IFERROR(INDEX(спр_Материалы!$I$2:$I$9000,MATCH($I198,спр_Материалы!$A$2:$A$9000,0))*IF(INDEX(спр_Материалы!$J$2:$J$9000,MATCH($I198,спр_Материалы!$A$2:$A$9000,0))="USD",КурсUSD,IF(INDEX(спр_Материалы!$J$2:$J$9000,MATCH($I198,спр_Материалы!$A$2:$A$9000,0))="EUR",КурсEUR,1))*INDEX(спр_Материалы!$K$2:$K$9000,MATCH($I198,спр_Материалы!$A$2:$A$9000,0))*(1+IFERROR(INDEX(спр_Работы!$I$2:$I$6000,MATCH($C198,спр_Работы!$A$2:$A$6000,0))/100,0))*(1-ДисконтТендер),0))</f>
        <v/>
      </c>
      <c r="N198" s="10">
        <f>IF(AND($R198="да",$H198&lt;&gt;""),ROUND($H198*$L198,2),0)</f>
        <v/>
      </c>
      <c r="O198" s="10">
        <f>IF(AND($R198="да",$H198&lt;&gt;""),ROUND($H198*$M198,2),0)</f>
        <v/>
      </c>
      <c r="P198" s="10">
        <f>$N198+$O198</f>
        <v/>
      </c>
      <c r="Q198">
        <f>IFERROR(INDEX(спр_Работы!$J$2:$J$6000,MATCH($C198,спр_Работы!$A$2:$A$6000,0)),"")</f>
        <v/>
      </c>
      <c r="R198" t="inlineStr">
        <is>
          <t>да</t>
        </is>
      </c>
      <c r="T198">
        <f>IF(AND($P198&gt;0,$R198="да"),MAX($T$1:$T197)+1,"")</f>
        <v/>
      </c>
    </row>
    <row r="199">
      <c r="A199">
        <f>IFERROR(INDEX(спр_Работы!$D$2:$D$6000,MATCH($C199,спр_Работы!$A$2:$A$6000,0)),"")</f>
        <v/>
      </c>
      <c r="B199">
        <f>IFERROR(INDEX(спр_Работы!$F$2:$F$6000,MATCH($C199,спр_Работы!$A$2:$A$6000,0)),"")</f>
        <v/>
      </c>
      <c r="C199">
        <f>IFERROR(INDEX(спр_Работы!$A$2:$A$6000,198),"")</f>
        <v/>
      </c>
      <c r="D199" s="8">
        <f>IFERROR(INDEX(спр_Работы!$B$2:$B$6000,MATCH($C199,спр_Работы!$A$2:$A$6000,0)),"")</f>
        <v/>
      </c>
      <c r="E199">
        <f>IFERROR(INDEX(спр_Работы!$C$2:$C$6000,MATCH($C199,спр_Работы!$A$2:$A$6000,0)),"")</f>
        <v/>
      </c>
      <c r="F199">
        <f>IFERROR(INDEX(спр_Работы!$G$2:$G$6000,MATCH($C199,спр_Работы!$A$2:$A$6000,0)),"")</f>
        <v/>
      </c>
      <c r="G199">
        <f>IFERROR(INDEX(спр_Работы!$K$2:$K$6000,MATCH($C199,спр_Работы!$A$2:$A$6000,0)),"")</f>
        <v/>
      </c>
      <c r="H199" s="9" t="n"/>
      <c r="I199" s="9" t="n"/>
      <c r="J199" s="8">
        <f>IFERROR(INDEX(спр_Материалы!$B$2:$B$9000,MATCH($I199,спр_Материалы!$A$2:$A$9000,0)),"")</f>
        <v/>
      </c>
      <c r="K199">
        <f>IF($I199="","",IF($F199=IFERROR(INDEX(спр_Материалы!$G$2:$G$9000,MATCH($I199,спр_Материалы!$A$2:$A$9000,0)),""),"OK","!! не та группа"))</f>
        <v/>
      </c>
      <c r="L199" s="10">
        <f>IFERROR(INDEX(спр_Работы!$H$2:$H$6000,MATCH($C199,спр_Работы!$A$2:$A$6000,0))*(1-ДисконтТендер),0)</f>
        <v/>
      </c>
      <c r="M199" s="10">
        <f>IF($I199="",0,IFERROR(INDEX(спр_Материалы!$I$2:$I$9000,MATCH($I199,спр_Материалы!$A$2:$A$9000,0))*IF(INDEX(спр_Материалы!$J$2:$J$9000,MATCH($I199,спр_Материалы!$A$2:$A$9000,0))="USD",КурсUSD,IF(INDEX(спр_Материалы!$J$2:$J$9000,MATCH($I199,спр_Материалы!$A$2:$A$9000,0))="EUR",КурсEUR,1))*INDEX(спр_Материалы!$K$2:$K$9000,MATCH($I199,спр_Материалы!$A$2:$A$9000,0))*(1+IFERROR(INDEX(спр_Работы!$I$2:$I$6000,MATCH($C199,спр_Работы!$A$2:$A$6000,0))/100,0))*(1-ДисконтТендер),0))</f>
        <v/>
      </c>
      <c r="N199" s="10">
        <f>IF(AND($R199="да",$H199&lt;&gt;""),ROUND($H199*$L199,2),0)</f>
        <v/>
      </c>
      <c r="O199" s="10">
        <f>IF(AND($R199="да",$H199&lt;&gt;""),ROUND($H199*$M199,2),0)</f>
        <v/>
      </c>
      <c r="P199" s="10">
        <f>$N199+$O199</f>
        <v/>
      </c>
      <c r="Q199">
        <f>IFERROR(INDEX(спр_Работы!$J$2:$J$6000,MATCH($C199,спр_Работы!$A$2:$A$6000,0)),"")</f>
        <v/>
      </c>
      <c r="R199" t="inlineStr">
        <is>
          <t>да</t>
        </is>
      </c>
      <c r="T199">
        <f>IF(AND($P199&gt;0,$R199="да"),MAX($T$1:$T198)+1,"")</f>
        <v/>
      </c>
    </row>
    <row r="200">
      <c r="A200">
        <f>IFERROR(INDEX(спр_Работы!$D$2:$D$6000,MATCH($C200,спр_Работы!$A$2:$A$6000,0)),"")</f>
        <v/>
      </c>
      <c r="B200">
        <f>IFERROR(INDEX(спр_Работы!$F$2:$F$6000,MATCH($C200,спр_Работы!$A$2:$A$6000,0)),"")</f>
        <v/>
      </c>
      <c r="C200">
        <f>IFERROR(INDEX(спр_Работы!$A$2:$A$6000,199),"")</f>
        <v/>
      </c>
      <c r="D200" s="8">
        <f>IFERROR(INDEX(спр_Работы!$B$2:$B$6000,MATCH($C200,спр_Работы!$A$2:$A$6000,0)),"")</f>
        <v/>
      </c>
      <c r="E200">
        <f>IFERROR(INDEX(спр_Работы!$C$2:$C$6000,MATCH($C200,спр_Работы!$A$2:$A$6000,0)),"")</f>
        <v/>
      </c>
      <c r="F200">
        <f>IFERROR(INDEX(спр_Работы!$G$2:$G$6000,MATCH($C200,спр_Работы!$A$2:$A$6000,0)),"")</f>
        <v/>
      </c>
      <c r="G200">
        <f>IFERROR(INDEX(спр_Работы!$K$2:$K$6000,MATCH($C200,спр_Работы!$A$2:$A$6000,0)),"")</f>
        <v/>
      </c>
      <c r="H200" s="9" t="n"/>
      <c r="I200" s="9" t="n"/>
      <c r="J200" s="8">
        <f>IFERROR(INDEX(спр_Материалы!$B$2:$B$9000,MATCH($I200,спр_Материалы!$A$2:$A$9000,0)),"")</f>
        <v/>
      </c>
      <c r="K200">
        <f>IF($I200="","",IF($F200=IFERROR(INDEX(спр_Материалы!$G$2:$G$9000,MATCH($I200,спр_Материалы!$A$2:$A$9000,0)),""),"OK","!! не та группа"))</f>
        <v/>
      </c>
      <c r="L200" s="10">
        <f>IFERROR(INDEX(спр_Работы!$H$2:$H$6000,MATCH($C200,спр_Работы!$A$2:$A$6000,0))*(1-ДисконтТендер),0)</f>
        <v/>
      </c>
      <c r="M200" s="10">
        <f>IF($I200="",0,IFERROR(INDEX(спр_Материалы!$I$2:$I$9000,MATCH($I200,спр_Материалы!$A$2:$A$9000,0))*IF(INDEX(спр_Материалы!$J$2:$J$9000,MATCH($I200,спр_Материалы!$A$2:$A$9000,0))="USD",КурсUSD,IF(INDEX(спр_Материалы!$J$2:$J$9000,MATCH($I200,спр_Материалы!$A$2:$A$9000,0))="EUR",КурсEUR,1))*INDEX(спр_Материалы!$K$2:$K$9000,MATCH($I200,спр_Материалы!$A$2:$A$9000,0))*(1+IFERROR(INDEX(спр_Работы!$I$2:$I$6000,MATCH($C200,спр_Работы!$A$2:$A$6000,0))/100,0))*(1-ДисконтТендер),0))</f>
        <v/>
      </c>
      <c r="N200" s="10">
        <f>IF(AND($R200="да",$H200&lt;&gt;""),ROUND($H200*$L200,2),0)</f>
        <v/>
      </c>
      <c r="O200" s="10">
        <f>IF(AND($R200="да",$H200&lt;&gt;""),ROUND($H200*$M200,2),0)</f>
        <v/>
      </c>
      <c r="P200" s="10">
        <f>$N200+$O200</f>
        <v/>
      </c>
      <c r="Q200">
        <f>IFERROR(INDEX(спр_Работы!$J$2:$J$6000,MATCH($C200,спр_Работы!$A$2:$A$6000,0)),"")</f>
        <v/>
      </c>
      <c r="R200" t="inlineStr">
        <is>
          <t>да</t>
        </is>
      </c>
      <c r="T200">
        <f>IF(AND($P200&gt;0,$R200="да"),MAX($T$1:$T199)+1,"")</f>
        <v/>
      </c>
    </row>
    <row r="201">
      <c r="A201">
        <f>IFERROR(INDEX(спр_Работы!$D$2:$D$6000,MATCH($C201,спр_Работы!$A$2:$A$6000,0)),"")</f>
        <v/>
      </c>
      <c r="B201">
        <f>IFERROR(INDEX(спр_Работы!$F$2:$F$6000,MATCH($C201,спр_Работы!$A$2:$A$6000,0)),"")</f>
        <v/>
      </c>
      <c r="C201">
        <f>IFERROR(INDEX(спр_Работы!$A$2:$A$6000,200),"")</f>
        <v/>
      </c>
      <c r="D201" s="8">
        <f>IFERROR(INDEX(спр_Работы!$B$2:$B$6000,MATCH($C201,спр_Работы!$A$2:$A$6000,0)),"")</f>
        <v/>
      </c>
      <c r="E201">
        <f>IFERROR(INDEX(спр_Работы!$C$2:$C$6000,MATCH($C201,спр_Работы!$A$2:$A$6000,0)),"")</f>
        <v/>
      </c>
      <c r="F201">
        <f>IFERROR(INDEX(спр_Работы!$G$2:$G$6000,MATCH($C201,спр_Работы!$A$2:$A$6000,0)),"")</f>
        <v/>
      </c>
      <c r="G201">
        <f>IFERROR(INDEX(спр_Работы!$K$2:$K$6000,MATCH($C201,спр_Работы!$A$2:$A$6000,0)),"")</f>
        <v/>
      </c>
      <c r="H201" s="9" t="n"/>
      <c r="I201" s="9" t="n"/>
      <c r="J201" s="8">
        <f>IFERROR(INDEX(спр_Материалы!$B$2:$B$9000,MATCH($I201,спр_Материалы!$A$2:$A$9000,0)),"")</f>
        <v/>
      </c>
      <c r="K201">
        <f>IF($I201="","",IF($F201=IFERROR(INDEX(спр_Материалы!$G$2:$G$9000,MATCH($I201,спр_Материалы!$A$2:$A$9000,0)),""),"OK","!! не та группа"))</f>
        <v/>
      </c>
      <c r="L201" s="10">
        <f>IFERROR(INDEX(спр_Работы!$H$2:$H$6000,MATCH($C201,спр_Работы!$A$2:$A$6000,0))*(1-ДисконтТендер),0)</f>
        <v/>
      </c>
      <c r="M201" s="10">
        <f>IF($I201="",0,IFERROR(INDEX(спр_Материалы!$I$2:$I$9000,MATCH($I201,спр_Материалы!$A$2:$A$9000,0))*IF(INDEX(спр_Материалы!$J$2:$J$9000,MATCH($I201,спр_Материалы!$A$2:$A$9000,0))="USD",КурсUSD,IF(INDEX(спр_Материалы!$J$2:$J$9000,MATCH($I201,спр_Материалы!$A$2:$A$9000,0))="EUR",КурсEUR,1))*INDEX(спр_Материалы!$K$2:$K$9000,MATCH($I201,спр_Материалы!$A$2:$A$9000,0))*(1+IFERROR(INDEX(спр_Работы!$I$2:$I$6000,MATCH($C201,спр_Работы!$A$2:$A$6000,0))/100,0))*(1-ДисконтТендер),0))</f>
        <v/>
      </c>
      <c r="N201" s="10">
        <f>IF(AND($R201="да",$H201&lt;&gt;""),ROUND($H201*$L201,2),0)</f>
        <v/>
      </c>
      <c r="O201" s="10">
        <f>IF(AND($R201="да",$H201&lt;&gt;""),ROUND($H201*$M201,2),0)</f>
        <v/>
      </c>
      <c r="P201" s="10">
        <f>$N201+$O201</f>
        <v/>
      </c>
      <c r="Q201">
        <f>IFERROR(INDEX(спр_Работы!$J$2:$J$6000,MATCH($C201,спр_Работы!$A$2:$A$6000,0)),"")</f>
        <v/>
      </c>
      <c r="R201" t="inlineStr">
        <is>
          <t>да</t>
        </is>
      </c>
      <c r="T201">
        <f>IF(AND($P201&gt;0,$R201="да"),MAX($T$1:$T200)+1,"")</f>
        <v/>
      </c>
    </row>
    <row r="202">
      <c r="A202">
        <f>IFERROR(INDEX(спр_Работы!$D$2:$D$6000,MATCH($C202,спр_Работы!$A$2:$A$6000,0)),"")</f>
        <v/>
      </c>
      <c r="B202">
        <f>IFERROR(INDEX(спр_Работы!$F$2:$F$6000,MATCH($C202,спр_Работы!$A$2:$A$6000,0)),"")</f>
        <v/>
      </c>
      <c r="C202">
        <f>IFERROR(INDEX(спр_Работы!$A$2:$A$6000,201),"")</f>
        <v/>
      </c>
      <c r="D202" s="8">
        <f>IFERROR(INDEX(спр_Работы!$B$2:$B$6000,MATCH($C202,спр_Работы!$A$2:$A$6000,0)),"")</f>
        <v/>
      </c>
      <c r="E202">
        <f>IFERROR(INDEX(спр_Работы!$C$2:$C$6000,MATCH($C202,спр_Работы!$A$2:$A$6000,0)),"")</f>
        <v/>
      </c>
      <c r="F202">
        <f>IFERROR(INDEX(спр_Работы!$G$2:$G$6000,MATCH($C202,спр_Работы!$A$2:$A$6000,0)),"")</f>
        <v/>
      </c>
      <c r="G202">
        <f>IFERROR(INDEX(спр_Работы!$K$2:$K$6000,MATCH($C202,спр_Работы!$A$2:$A$6000,0)),"")</f>
        <v/>
      </c>
      <c r="H202" s="9" t="n"/>
      <c r="I202" s="9" t="n"/>
      <c r="J202" s="8">
        <f>IFERROR(INDEX(спр_Материалы!$B$2:$B$9000,MATCH($I202,спр_Материалы!$A$2:$A$9000,0)),"")</f>
        <v/>
      </c>
      <c r="K202">
        <f>IF($I202="","",IF($F202=IFERROR(INDEX(спр_Материалы!$G$2:$G$9000,MATCH($I202,спр_Материалы!$A$2:$A$9000,0)),""),"OK","!! не та группа"))</f>
        <v/>
      </c>
      <c r="L202" s="10">
        <f>IFERROR(INDEX(спр_Работы!$H$2:$H$6000,MATCH($C202,спр_Работы!$A$2:$A$6000,0))*(1-ДисконтТендер),0)</f>
        <v/>
      </c>
      <c r="M202" s="10">
        <f>IF($I202="",0,IFERROR(INDEX(спр_Материалы!$I$2:$I$9000,MATCH($I202,спр_Материалы!$A$2:$A$9000,0))*IF(INDEX(спр_Материалы!$J$2:$J$9000,MATCH($I202,спр_Материалы!$A$2:$A$9000,0))="USD",КурсUSD,IF(INDEX(спр_Материалы!$J$2:$J$9000,MATCH($I202,спр_Материалы!$A$2:$A$9000,0))="EUR",КурсEUR,1))*INDEX(спр_Материалы!$K$2:$K$9000,MATCH($I202,спр_Материалы!$A$2:$A$9000,0))*(1+IFERROR(INDEX(спр_Работы!$I$2:$I$6000,MATCH($C202,спр_Работы!$A$2:$A$6000,0))/100,0))*(1-ДисконтТендер),0))</f>
        <v/>
      </c>
      <c r="N202" s="10">
        <f>IF(AND($R202="да",$H202&lt;&gt;""),ROUND($H202*$L202,2),0)</f>
        <v/>
      </c>
      <c r="O202" s="10">
        <f>IF(AND($R202="да",$H202&lt;&gt;""),ROUND($H202*$M202,2),0)</f>
        <v/>
      </c>
      <c r="P202" s="10">
        <f>$N202+$O202</f>
        <v/>
      </c>
      <c r="Q202">
        <f>IFERROR(INDEX(спр_Работы!$J$2:$J$6000,MATCH($C202,спр_Работы!$A$2:$A$6000,0)),"")</f>
        <v/>
      </c>
      <c r="R202" t="inlineStr">
        <is>
          <t>да</t>
        </is>
      </c>
      <c r="T202">
        <f>IF(AND($P202&gt;0,$R202="да"),MAX($T$1:$T201)+1,"")</f>
        <v/>
      </c>
    </row>
    <row r="203">
      <c r="A203">
        <f>IFERROR(INDEX(спр_Работы!$D$2:$D$6000,MATCH($C203,спр_Работы!$A$2:$A$6000,0)),"")</f>
        <v/>
      </c>
      <c r="B203">
        <f>IFERROR(INDEX(спр_Работы!$F$2:$F$6000,MATCH($C203,спр_Работы!$A$2:$A$6000,0)),"")</f>
        <v/>
      </c>
      <c r="C203">
        <f>IFERROR(INDEX(спр_Работы!$A$2:$A$6000,202),"")</f>
        <v/>
      </c>
      <c r="D203" s="8">
        <f>IFERROR(INDEX(спр_Работы!$B$2:$B$6000,MATCH($C203,спр_Работы!$A$2:$A$6000,0)),"")</f>
        <v/>
      </c>
      <c r="E203">
        <f>IFERROR(INDEX(спр_Работы!$C$2:$C$6000,MATCH($C203,спр_Работы!$A$2:$A$6000,0)),"")</f>
        <v/>
      </c>
      <c r="F203">
        <f>IFERROR(INDEX(спр_Работы!$G$2:$G$6000,MATCH($C203,спр_Работы!$A$2:$A$6000,0)),"")</f>
        <v/>
      </c>
      <c r="G203">
        <f>IFERROR(INDEX(спр_Работы!$K$2:$K$6000,MATCH($C203,спр_Работы!$A$2:$A$6000,0)),"")</f>
        <v/>
      </c>
      <c r="H203" s="9" t="n"/>
      <c r="I203" s="9" t="n"/>
      <c r="J203" s="8">
        <f>IFERROR(INDEX(спр_Материалы!$B$2:$B$9000,MATCH($I203,спр_Материалы!$A$2:$A$9000,0)),"")</f>
        <v/>
      </c>
      <c r="K203">
        <f>IF($I203="","",IF($F203=IFERROR(INDEX(спр_Материалы!$G$2:$G$9000,MATCH($I203,спр_Материалы!$A$2:$A$9000,0)),""),"OK","!! не та группа"))</f>
        <v/>
      </c>
      <c r="L203" s="10">
        <f>IFERROR(INDEX(спр_Работы!$H$2:$H$6000,MATCH($C203,спр_Работы!$A$2:$A$6000,0))*(1-ДисконтТендер),0)</f>
        <v/>
      </c>
      <c r="M203" s="10">
        <f>IF($I203="",0,IFERROR(INDEX(спр_Материалы!$I$2:$I$9000,MATCH($I203,спр_Материалы!$A$2:$A$9000,0))*IF(INDEX(спр_Материалы!$J$2:$J$9000,MATCH($I203,спр_Материалы!$A$2:$A$9000,0))="USD",КурсUSD,IF(INDEX(спр_Материалы!$J$2:$J$9000,MATCH($I203,спр_Материалы!$A$2:$A$9000,0))="EUR",КурсEUR,1))*INDEX(спр_Материалы!$K$2:$K$9000,MATCH($I203,спр_Материалы!$A$2:$A$9000,0))*(1+IFERROR(INDEX(спр_Работы!$I$2:$I$6000,MATCH($C203,спр_Работы!$A$2:$A$6000,0))/100,0))*(1-ДисконтТендер),0))</f>
        <v/>
      </c>
      <c r="N203" s="10">
        <f>IF(AND($R203="да",$H203&lt;&gt;""),ROUND($H203*$L203,2),0)</f>
        <v/>
      </c>
      <c r="O203" s="10">
        <f>IF(AND($R203="да",$H203&lt;&gt;""),ROUND($H203*$M203,2),0)</f>
        <v/>
      </c>
      <c r="P203" s="10">
        <f>$N203+$O203</f>
        <v/>
      </c>
      <c r="Q203">
        <f>IFERROR(INDEX(спр_Работы!$J$2:$J$6000,MATCH($C203,спр_Работы!$A$2:$A$6000,0)),"")</f>
        <v/>
      </c>
      <c r="R203" t="inlineStr">
        <is>
          <t>да</t>
        </is>
      </c>
      <c r="T203">
        <f>IF(AND($P203&gt;0,$R203="да"),MAX($T$1:$T202)+1,"")</f>
        <v/>
      </c>
    </row>
    <row r="204">
      <c r="A204">
        <f>IFERROR(INDEX(спр_Работы!$D$2:$D$6000,MATCH($C204,спр_Работы!$A$2:$A$6000,0)),"")</f>
        <v/>
      </c>
      <c r="B204">
        <f>IFERROR(INDEX(спр_Работы!$F$2:$F$6000,MATCH($C204,спр_Работы!$A$2:$A$6000,0)),"")</f>
        <v/>
      </c>
      <c r="C204">
        <f>IFERROR(INDEX(спр_Работы!$A$2:$A$6000,203),"")</f>
        <v/>
      </c>
      <c r="D204" s="8">
        <f>IFERROR(INDEX(спр_Работы!$B$2:$B$6000,MATCH($C204,спр_Работы!$A$2:$A$6000,0)),"")</f>
        <v/>
      </c>
      <c r="E204">
        <f>IFERROR(INDEX(спр_Работы!$C$2:$C$6000,MATCH($C204,спр_Работы!$A$2:$A$6000,0)),"")</f>
        <v/>
      </c>
      <c r="F204">
        <f>IFERROR(INDEX(спр_Работы!$G$2:$G$6000,MATCH($C204,спр_Работы!$A$2:$A$6000,0)),"")</f>
        <v/>
      </c>
      <c r="G204">
        <f>IFERROR(INDEX(спр_Работы!$K$2:$K$6000,MATCH($C204,спр_Работы!$A$2:$A$6000,0)),"")</f>
        <v/>
      </c>
      <c r="H204" s="9" t="n"/>
      <c r="I204" s="9" t="n"/>
      <c r="J204" s="8">
        <f>IFERROR(INDEX(спр_Материалы!$B$2:$B$9000,MATCH($I204,спр_Материалы!$A$2:$A$9000,0)),"")</f>
        <v/>
      </c>
      <c r="K204">
        <f>IF($I204="","",IF($F204=IFERROR(INDEX(спр_Материалы!$G$2:$G$9000,MATCH($I204,спр_Материалы!$A$2:$A$9000,0)),""),"OK","!! не та группа"))</f>
        <v/>
      </c>
      <c r="L204" s="10">
        <f>IFERROR(INDEX(спр_Работы!$H$2:$H$6000,MATCH($C204,спр_Работы!$A$2:$A$6000,0))*(1-ДисконтТендер),0)</f>
        <v/>
      </c>
      <c r="M204" s="10">
        <f>IF($I204="",0,IFERROR(INDEX(спр_Материалы!$I$2:$I$9000,MATCH($I204,спр_Материалы!$A$2:$A$9000,0))*IF(INDEX(спр_Материалы!$J$2:$J$9000,MATCH($I204,спр_Материалы!$A$2:$A$9000,0))="USD",КурсUSD,IF(INDEX(спр_Материалы!$J$2:$J$9000,MATCH($I204,спр_Материалы!$A$2:$A$9000,0))="EUR",КурсEUR,1))*INDEX(спр_Материалы!$K$2:$K$9000,MATCH($I204,спр_Материалы!$A$2:$A$9000,0))*(1+IFERROR(INDEX(спр_Работы!$I$2:$I$6000,MATCH($C204,спр_Работы!$A$2:$A$6000,0))/100,0))*(1-ДисконтТендер),0))</f>
        <v/>
      </c>
      <c r="N204" s="10">
        <f>IF(AND($R204="да",$H204&lt;&gt;""),ROUND($H204*$L204,2),0)</f>
        <v/>
      </c>
      <c r="O204" s="10">
        <f>IF(AND($R204="да",$H204&lt;&gt;""),ROUND($H204*$M204,2),0)</f>
        <v/>
      </c>
      <c r="P204" s="10">
        <f>$N204+$O204</f>
        <v/>
      </c>
      <c r="Q204">
        <f>IFERROR(INDEX(спр_Работы!$J$2:$J$6000,MATCH($C204,спр_Работы!$A$2:$A$6000,0)),"")</f>
        <v/>
      </c>
      <c r="R204" t="inlineStr">
        <is>
          <t>да</t>
        </is>
      </c>
      <c r="T204">
        <f>IF(AND($P204&gt;0,$R204="да"),MAX($T$1:$T203)+1,"")</f>
        <v/>
      </c>
    </row>
    <row r="205">
      <c r="A205">
        <f>IFERROR(INDEX(спр_Работы!$D$2:$D$6000,MATCH($C205,спр_Работы!$A$2:$A$6000,0)),"")</f>
        <v/>
      </c>
      <c r="B205">
        <f>IFERROR(INDEX(спр_Работы!$F$2:$F$6000,MATCH($C205,спр_Работы!$A$2:$A$6000,0)),"")</f>
        <v/>
      </c>
      <c r="C205">
        <f>IFERROR(INDEX(спр_Работы!$A$2:$A$6000,204),"")</f>
        <v/>
      </c>
      <c r="D205" s="8">
        <f>IFERROR(INDEX(спр_Работы!$B$2:$B$6000,MATCH($C205,спр_Работы!$A$2:$A$6000,0)),"")</f>
        <v/>
      </c>
      <c r="E205">
        <f>IFERROR(INDEX(спр_Работы!$C$2:$C$6000,MATCH($C205,спр_Работы!$A$2:$A$6000,0)),"")</f>
        <v/>
      </c>
      <c r="F205">
        <f>IFERROR(INDEX(спр_Работы!$G$2:$G$6000,MATCH($C205,спр_Работы!$A$2:$A$6000,0)),"")</f>
        <v/>
      </c>
      <c r="G205">
        <f>IFERROR(INDEX(спр_Работы!$K$2:$K$6000,MATCH($C205,спр_Работы!$A$2:$A$6000,0)),"")</f>
        <v/>
      </c>
      <c r="H205" s="9" t="n"/>
      <c r="I205" s="9" t="n"/>
      <c r="J205" s="8">
        <f>IFERROR(INDEX(спр_Материалы!$B$2:$B$9000,MATCH($I205,спр_Материалы!$A$2:$A$9000,0)),"")</f>
        <v/>
      </c>
      <c r="K205">
        <f>IF($I205="","",IF($F205=IFERROR(INDEX(спр_Материалы!$G$2:$G$9000,MATCH($I205,спр_Материалы!$A$2:$A$9000,0)),""),"OK","!! не та группа"))</f>
        <v/>
      </c>
      <c r="L205" s="10">
        <f>IFERROR(INDEX(спр_Работы!$H$2:$H$6000,MATCH($C205,спр_Работы!$A$2:$A$6000,0))*(1-ДисконтТендер),0)</f>
        <v/>
      </c>
      <c r="M205" s="10">
        <f>IF($I205="",0,IFERROR(INDEX(спр_Материалы!$I$2:$I$9000,MATCH($I205,спр_Материалы!$A$2:$A$9000,0))*IF(INDEX(спр_Материалы!$J$2:$J$9000,MATCH($I205,спр_Материалы!$A$2:$A$9000,0))="USD",КурсUSD,IF(INDEX(спр_Материалы!$J$2:$J$9000,MATCH($I205,спр_Материалы!$A$2:$A$9000,0))="EUR",КурсEUR,1))*INDEX(спр_Материалы!$K$2:$K$9000,MATCH($I205,спр_Материалы!$A$2:$A$9000,0))*(1+IFERROR(INDEX(спр_Работы!$I$2:$I$6000,MATCH($C205,спр_Работы!$A$2:$A$6000,0))/100,0))*(1-ДисконтТендер),0))</f>
        <v/>
      </c>
      <c r="N205" s="10">
        <f>IF(AND($R205="да",$H205&lt;&gt;""),ROUND($H205*$L205,2),0)</f>
        <v/>
      </c>
      <c r="O205" s="10">
        <f>IF(AND($R205="да",$H205&lt;&gt;""),ROUND($H205*$M205,2),0)</f>
        <v/>
      </c>
      <c r="P205" s="10">
        <f>$N205+$O205</f>
        <v/>
      </c>
      <c r="Q205">
        <f>IFERROR(INDEX(спр_Работы!$J$2:$J$6000,MATCH($C205,спр_Работы!$A$2:$A$6000,0)),"")</f>
        <v/>
      </c>
      <c r="R205" t="inlineStr">
        <is>
          <t>да</t>
        </is>
      </c>
      <c r="T205">
        <f>IF(AND($P205&gt;0,$R205="да"),MAX($T$1:$T204)+1,"")</f>
        <v/>
      </c>
    </row>
    <row r="206">
      <c r="A206">
        <f>IFERROR(INDEX(спр_Работы!$D$2:$D$6000,MATCH($C206,спр_Работы!$A$2:$A$6000,0)),"")</f>
        <v/>
      </c>
      <c r="B206">
        <f>IFERROR(INDEX(спр_Работы!$F$2:$F$6000,MATCH($C206,спр_Работы!$A$2:$A$6000,0)),"")</f>
        <v/>
      </c>
      <c r="C206">
        <f>IFERROR(INDEX(спр_Работы!$A$2:$A$6000,205),"")</f>
        <v/>
      </c>
      <c r="D206" s="8">
        <f>IFERROR(INDEX(спр_Работы!$B$2:$B$6000,MATCH($C206,спр_Работы!$A$2:$A$6000,0)),"")</f>
        <v/>
      </c>
      <c r="E206">
        <f>IFERROR(INDEX(спр_Работы!$C$2:$C$6000,MATCH($C206,спр_Работы!$A$2:$A$6000,0)),"")</f>
        <v/>
      </c>
      <c r="F206">
        <f>IFERROR(INDEX(спр_Работы!$G$2:$G$6000,MATCH($C206,спр_Работы!$A$2:$A$6000,0)),"")</f>
        <v/>
      </c>
      <c r="G206">
        <f>IFERROR(INDEX(спр_Работы!$K$2:$K$6000,MATCH($C206,спр_Работы!$A$2:$A$6000,0)),"")</f>
        <v/>
      </c>
      <c r="H206" s="9" t="n"/>
      <c r="I206" s="9" t="n"/>
      <c r="J206" s="8">
        <f>IFERROR(INDEX(спр_Материалы!$B$2:$B$9000,MATCH($I206,спр_Материалы!$A$2:$A$9000,0)),"")</f>
        <v/>
      </c>
      <c r="K206">
        <f>IF($I206="","",IF($F206=IFERROR(INDEX(спр_Материалы!$G$2:$G$9000,MATCH($I206,спр_Материалы!$A$2:$A$9000,0)),""),"OK","!! не та группа"))</f>
        <v/>
      </c>
      <c r="L206" s="10">
        <f>IFERROR(INDEX(спр_Работы!$H$2:$H$6000,MATCH($C206,спр_Работы!$A$2:$A$6000,0))*(1-ДисконтТендер),0)</f>
        <v/>
      </c>
      <c r="M206" s="10">
        <f>IF($I206="",0,IFERROR(INDEX(спр_Материалы!$I$2:$I$9000,MATCH($I206,спр_Материалы!$A$2:$A$9000,0))*IF(INDEX(спр_Материалы!$J$2:$J$9000,MATCH($I206,спр_Материалы!$A$2:$A$9000,0))="USD",КурсUSD,IF(INDEX(спр_Материалы!$J$2:$J$9000,MATCH($I206,спр_Материалы!$A$2:$A$9000,0))="EUR",КурсEUR,1))*INDEX(спр_Материалы!$K$2:$K$9000,MATCH($I206,спр_Материалы!$A$2:$A$9000,0))*(1+IFERROR(INDEX(спр_Работы!$I$2:$I$6000,MATCH($C206,спр_Работы!$A$2:$A$6000,0))/100,0))*(1-ДисконтТендер),0))</f>
        <v/>
      </c>
      <c r="N206" s="10">
        <f>IF(AND($R206="да",$H206&lt;&gt;""),ROUND($H206*$L206,2),0)</f>
        <v/>
      </c>
      <c r="O206" s="10">
        <f>IF(AND($R206="да",$H206&lt;&gt;""),ROUND($H206*$M206,2),0)</f>
        <v/>
      </c>
      <c r="P206" s="10">
        <f>$N206+$O206</f>
        <v/>
      </c>
      <c r="Q206">
        <f>IFERROR(INDEX(спр_Работы!$J$2:$J$6000,MATCH($C206,спр_Работы!$A$2:$A$6000,0)),"")</f>
        <v/>
      </c>
      <c r="R206" t="inlineStr">
        <is>
          <t>да</t>
        </is>
      </c>
      <c r="T206">
        <f>IF(AND($P206&gt;0,$R206="да"),MAX($T$1:$T205)+1,"")</f>
        <v/>
      </c>
    </row>
    <row r="207">
      <c r="A207">
        <f>IFERROR(INDEX(спр_Работы!$D$2:$D$6000,MATCH($C207,спр_Работы!$A$2:$A$6000,0)),"")</f>
        <v/>
      </c>
      <c r="B207">
        <f>IFERROR(INDEX(спр_Работы!$F$2:$F$6000,MATCH($C207,спр_Работы!$A$2:$A$6000,0)),"")</f>
        <v/>
      </c>
      <c r="C207">
        <f>IFERROR(INDEX(спр_Работы!$A$2:$A$6000,206),"")</f>
        <v/>
      </c>
      <c r="D207" s="8">
        <f>IFERROR(INDEX(спр_Работы!$B$2:$B$6000,MATCH($C207,спр_Работы!$A$2:$A$6000,0)),"")</f>
        <v/>
      </c>
      <c r="E207">
        <f>IFERROR(INDEX(спр_Работы!$C$2:$C$6000,MATCH($C207,спр_Работы!$A$2:$A$6000,0)),"")</f>
        <v/>
      </c>
      <c r="F207">
        <f>IFERROR(INDEX(спр_Работы!$G$2:$G$6000,MATCH($C207,спр_Работы!$A$2:$A$6000,0)),"")</f>
        <v/>
      </c>
      <c r="G207">
        <f>IFERROR(INDEX(спр_Работы!$K$2:$K$6000,MATCH($C207,спр_Работы!$A$2:$A$6000,0)),"")</f>
        <v/>
      </c>
      <c r="H207" s="9" t="n"/>
      <c r="I207" s="9" t="n"/>
      <c r="J207" s="8">
        <f>IFERROR(INDEX(спр_Материалы!$B$2:$B$9000,MATCH($I207,спр_Материалы!$A$2:$A$9000,0)),"")</f>
        <v/>
      </c>
      <c r="K207">
        <f>IF($I207="","",IF($F207=IFERROR(INDEX(спр_Материалы!$G$2:$G$9000,MATCH($I207,спр_Материалы!$A$2:$A$9000,0)),""),"OK","!! не та группа"))</f>
        <v/>
      </c>
      <c r="L207" s="10">
        <f>IFERROR(INDEX(спр_Работы!$H$2:$H$6000,MATCH($C207,спр_Работы!$A$2:$A$6000,0))*(1-ДисконтТендер),0)</f>
        <v/>
      </c>
      <c r="M207" s="10">
        <f>IF($I207="",0,IFERROR(INDEX(спр_Материалы!$I$2:$I$9000,MATCH($I207,спр_Материалы!$A$2:$A$9000,0))*IF(INDEX(спр_Материалы!$J$2:$J$9000,MATCH($I207,спр_Материалы!$A$2:$A$9000,0))="USD",КурсUSD,IF(INDEX(спр_Материалы!$J$2:$J$9000,MATCH($I207,спр_Материалы!$A$2:$A$9000,0))="EUR",КурсEUR,1))*INDEX(спр_Материалы!$K$2:$K$9000,MATCH($I207,спр_Материалы!$A$2:$A$9000,0))*(1+IFERROR(INDEX(спр_Работы!$I$2:$I$6000,MATCH($C207,спр_Работы!$A$2:$A$6000,0))/100,0))*(1-ДисконтТендер),0))</f>
        <v/>
      </c>
      <c r="N207" s="10">
        <f>IF(AND($R207="да",$H207&lt;&gt;""),ROUND($H207*$L207,2),0)</f>
        <v/>
      </c>
      <c r="O207" s="10">
        <f>IF(AND($R207="да",$H207&lt;&gt;""),ROUND($H207*$M207,2),0)</f>
        <v/>
      </c>
      <c r="P207" s="10">
        <f>$N207+$O207</f>
        <v/>
      </c>
      <c r="Q207">
        <f>IFERROR(INDEX(спр_Работы!$J$2:$J$6000,MATCH($C207,спр_Работы!$A$2:$A$6000,0)),"")</f>
        <v/>
      </c>
      <c r="R207" t="inlineStr">
        <is>
          <t>да</t>
        </is>
      </c>
      <c r="T207">
        <f>IF(AND($P207&gt;0,$R207="да"),MAX($T$1:$T206)+1,"")</f>
        <v/>
      </c>
    </row>
    <row r="208">
      <c r="A208">
        <f>IFERROR(INDEX(спр_Работы!$D$2:$D$6000,MATCH($C208,спр_Работы!$A$2:$A$6000,0)),"")</f>
        <v/>
      </c>
      <c r="B208">
        <f>IFERROR(INDEX(спр_Работы!$F$2:$F$6000,MATCH($C208,спр_Работы!$A$2:$A$6000,0)),"")</f>
        <v/>
      </c>
      <c r="C208">
        <f>IFERROR(INDEX(спр_Работы!$A$2:$A$6000,207),"")</f>
        <v/>
      </c>
      <c r="D208" s="8">
        <f>IFERROR(INDEX(спр_Работы!$B$2:$B$6000,MATCH($C208,спр_Работы!$A$2:$A$6000,0)),"")</f>
        <v/>
      </c>
      <c r="E208">
        <f>IFERROR(INDEX(спр_Работы!$C$2:$C$6000,MATCH($C208,спр_Работы!$A$2:$A$6000,0)),"")</f>
        <v/>
      </c>
      <c r="F208">
        <f>IFERROR(INDEX(спр_Работы!$G$2:$G$6000,MATCH($C208,спр_Работы!$A$2:$A$6000,0)),"")</f>
        <v/>
      </c>
      <c r="G208">
        <f>IFERROR(INDEX(спр_Работы!$K$2:$K$6000,MATCH($C208,спр_Работы!$A$2:$A$6000,0)),"")</f>
        <v/>
      </c>
      <c r="H208" s="9" t="n"/>
      <c r="I208" s="9" t="n"/>
      <c r="J208" s="8">
        <f>IFERROR(INDEX(спр_Материалы!$B$2:$B$9000,MATCH($I208,спр_Материалы!$A$2:$A$9000,0)),"")</f>
        <v/>
      </c>
      <c r="K208">
        <f>IF($I208="","",IF($F208=IFERROR(INDEX(спр_Материалы!$G$2:$G$9000,MATCH($I208,спр_Материалы!$A$2:$A$9000,0)),""),"OK","!! не та группа"))</f>
        <v/>
      </c>
      <c r="L208" s="10">
        <f>IFERROR(INDEX(спр_Работы!$H$2:$H$6000,MATCH($C208,спр_Работы!$A$2:$A$6000,0))*(1-ДисконтТендер),0)</f>
        <v/>
      </c>
      <c r="M208" s="10">
        <f>IF($I208="",0,IFERROR(INDEX(спр_Материалы!$I$2:$I$9000,MATCH($I208,спр_Материалы!$A$2:$A$9000,0))*IF(INDEX(спр_Материалы!$J$2:$J$9000,MATCH($I208,спр_Материалы!$A$2:$A$9000,0))="USD",КурсUSD,IF(INDEX(спр_Материалы!$J$2:$J$9000,MATCH($I208,спр_Материалы!$A$2:$A$9000,0))="EUR",КурсEUR,1))*INDEX(спр_Материалы!$K$2:$K$9000,MATCH($I208,спр_Материалы!$A$2:$A$9000,0))*(1+IFERROR(INDEX(спр_Работы!$I$2:$I$6000,MATCH($C208,спр_Работы!$A$2:$A$6000,0))/100,0))*(1-ДисконтТендер),0))</f>
        <v/>
      </c>
      <c r="N208" s="10">
        <f>IF(AND($R208="да",$H208&lt;&gt;""),ROUND($H208*$L208,2),0)</f>
        <v/>
      </c>
      <c r="O208" s="10">
        <f>IF(AND($R208="да",$H208&lt;&gt;""),ROUND($H208*$M208,2),0)</f>
        <v/>
      </c>
      <c r="P208" s="10">
        <f>$N208+$O208</f>
        <v/>
      </c>
      <c r="Q208">
        <f>IFERROR(INDEX(спр_Работы!$J$2:$J$6000,MATCH($C208,спр_Работы!$A$2:$A$6000,0)),"")</f>
        <v/>
      </c>
      <c r="R208" t="inlineStr">
        <is>
          <t>да</t>
        </is>
      </c>
      <c r="T208">
        <f>IF(AND($P208&gt;0,$R208="да"),MAX($T$1:$T207)+1,"")</f>
        <v/>
      </c>
    </row>
    <row r="209">
      <c r="A209">
        <f>IFERROR(INDEX(спр_Работы!$D$2:$D$6000,MATCH($C209,спр_Работы!$A$2:$A$6000,0)),"")</f>
        <v/>
      </c>
      <c r="B209">
        <f>IFERROR(INDEX(спр_Работы!$F$2:$F$6000,MATCH($C209,спр_Работы!$A$2:$A$6000,0)),"")</f>
        <v/>
      </c>
      <c r="C209">
        <f>IFERROR(INDEX(спр_Работы!$A$2:$A$6000,208),"")</f>
        <v/>
      </c>
      <c r="D209" s="8">
        <f>IFERROR(INDEX(спр_Работы!$B$2:$B$6000,MATCH($C209,спр_Работы!$A$2:$A$6000,0)),"")</f>
        <v/>
      </c>
      <c r="E209">
        <f>IFERROR(INDEX(спр_Работы!$C$2:$C$6000,MATCH($C209,спр_Работы!$A$2:$A$6000,0)),"")</f>
        <v/>
      </c>
      <c r="F209">
        <f>IFERROR(INDEX(спр_Работы!$G$2:$G$6000,MATCH($C209,спр_Работы!$A$2:$A$6000,0)),"")</f>
        <v/>
      </c>
      <c r="G209">
        <f>IFERROR(INDEX(спр_Работы!$K$2:$K$6000,MATCH($C209,спр_Работы!$A$2:$A$6000,0)),"")</f>
        <v/>
      </c>
      <c r="H209" s="9" t="n"/>
      <c r="I209" s="9" t="n"/>
      <c r="J209" s="8">
        <f>IFERROR(INDEX(спр_Материалы!$B$2:$B$9000,MATCH($I209,спр_Материалы!$A$2:$A$9000,0)),"")</f>
        <v/>
      </c>
      <c r="K209">
        <f>IF($I209="","",IF($F209=IFERROR(INDEX(спр_Материалы!$G$2:$G$9000,MATCH($I209,спр_Материалы!$A$2:$A$9000,0)),""),"OK","!! не та группа"))</f>
        <v/>
      </c>
      <c r="L209" s="10">
        <f>IFERROR(INDEX(спр_Работы!$H$2:$H$6000,MATCH($C209,спр_Работы!$A$2:$A$6000,0))*(1-ДисконтТендер),0)</f>
        <v/>
      </c>
      <c r="M209" s="10">
        <f>IF($I209="",0,IFERROR(INDEX(спр_Материалы!$I$2:$I$9000,MATCH($I209,спр_Материалы!$A$2:$A$9000,0))*IF(INDEX(спр_Материалы!$J$2:$J$9000,MATCH($I209,спр_Материалы!$A$2:$A$9000,0))="USD",КурсUSD,IF(INDEX(спр_Материалы!$J$2:$J$9000,MATCH($I209,спр_Материалы!$A$2:$A$9000,0))="EUR",КурсEUR,1))*INDEX(спр_Материалы!$K$2:$K$9000,MATCH($I209,спр_Материалы!$A$2:$A$9000,0))*(1+IFERROR(INDEX(спр_Работы!$I$2:$I$6000,MATCH($C209,спр_Работы!$A$2:$A$6000,0))/100,0))*(1-ДисконтТендер),0))</f>
        <v/>
      </c>
      <c r="N209" s="10">
        <f>IF(AND($R209="да",$H209&lt;&gt;""),ROUND($H209*$L209,2),0)</f>
        <v/>
      </c>
      <c r="O209" s="10">
        <f>IF(AND($R209="да",$H209&lt;&gt;""),ROUND($H209*$M209,2),0)</f>
        <v/>
      </c>
      <c r="P209" s="10">
        <f>$N209+$O209</f>
        <v/>
      </c>
      <c r="Q209">
        <f>IFERROR(INDEX(спр_Работы!$J$2:$J$6000,MATCH($C209,спр_Работы!$A$2:$A$6000,0)),"")</f>
        <v/>
      </c>
      <c r="R209" t="inlineStr">
        <is>
          <t>да</t>
        </is>
      </c>
      <c r="T209">
        <f>IF(AND($P209&gt;0,$R209="да"),MAX($T$1:$T208)+1,"")</f>
        <v/>
      </c>
    </row>
    <row r="210">
      <c r="A210">
        <f>IFERROR(INDEX(спр_Работы!$D$2:$D$6000,MATCH($C210,спр_Работы!$A$2:$A$6000,0)),"")</f>
        <v/>
      </c>
      <c r="B210">
        <f>IFERROR(INDEX(спр_Работы!$F$2:$F$6000,MATCH($C210,спр_Работы!$A$2:$A$6000,0)),"")</f>
        <v/>
      </c>
      <c r="C210">
        <f>IFERROR(INDEX(спр_Работы!$A$2:$A$6000,209),"")</f>
        <v/>
      </c>
      <c r="D210" s="8">
        <f>IFERROR(INDEX(спр_Работы!$B$2:$B$6000,MATCH($C210,спр_Работы!$A$2:$A$6000,0)),"")</f>
        <v/>
      </c>
      <c r="E210">
        <f>IFERROR(INDEX(спр_Работы!$C$2:$C$6000,MATCH($C210,спр_Работы!$A$2:$A$6000,0)),"")</f>
        <v/>
      </c>
      <c r="F210">
        <f>IFERROR(INDEX(спр_Работы!$G$2:$G$6000,MATCH($C210,спр_Работы!$A$2:$A$6000,0)),"")</f>
        <v/>
      </c>
      <c r="G210">
        <f>IFERROR(INDEX(спр_Работы!$K$2:$K$6000,MATCH($C210,спр_Работы!$A$2:$A$6000,0)),"")</f>
        <v/>
      </c>
      <c r="H210" s="9" t="n"/>
      <c r="I210" s="9" t="n"/>
      <c r="J210" s="8">
        <f>IFERROR(INDEX(спр_Материалы!$B$2:$B$9000,MATCH($I210,спр_Материалы!$A$2:$A$9000,0)),"")</f>
        <v/>
      </c>
      <c r="K210">
        <f>IF($I210="","",IF($F210=IFERROR(INDEX(спр_Материалы!$G$2:$G$9000,MATCH($I210,спр_Материалы!$A$2:$A$9000,0)),""),"OK","!! не та группа"))</f>
        <v/>
      </c>
      <c r="L210" s="10">
        <f>IFERROR(INDEX(спр_Работы!$H$2:$H$6000,MATCH($C210,спр_Работы!$A$2:$A$6000,0))*(1-ДисконтТендер),0)</f>
        <v/>
      </c>
      <c r="M210" s="10">
        <f>IF($I210="",0,IFERROR(INDEX(спр_Материалы!$I$2:$I$9000,MATCH($I210,спр_Материалы!$A$2:$A$9000,0))*IF(INDEX(спр_Материалы!$J$2:$J$9000,MATCH($I210,спр_Материалы!$A$2:$A$9000,0))="USD",КурсUSD,IF(INDEX(спр_Материалы!$J$2:$J$9000,MATCH($I210,спр_Материалы!$A$2:$A$9000,0))="EUR",КурсEUR,1))*INDEX(спр_Материалы!$K$2:$K$9000,MATCH($I210,спр_Материалы!$A$2:$A$9000,0))*(1+IFERROR(INDEX(спр_Работы!$I$2:$I$6000,MATCH($C210,спр_Работы!$A$2:$A$6000,0))/100,0))*(1-ДисконтТендер),0))</f>
        <v/>
      </c>
      <c r="N210" s="10">
        <f>IF(AND($R210="да",$H210&lt;&gt;""),ROUND($H210*$L210,2),0)</f>
        <v/>
      </c>
      <c r="O210" s="10">
        <f>IF(AND($R210="да",$H210&lt;&gt;""),ROUND($H210*$M210,2),0)</f>
        <v/>
      </c>
      <c r="P210" s="10">
        <f>$N210+$O210</f>
        <v/>
      </c>
      <c r="Q210">
        <f>IFERROR(INDEX(спр_Работы!$J$2:$J$6000,MATCH($C210,спр_Работы!$A$2:$A$6000,0)),"")</f>
        <v/>
      </c>
      <c r="R210" t="inlineStr">
        <is>
          <t>да</t>
        </is>
      </c>
      <c r="T210">
        <f>IF(AND($P210&gt;0,$R210="да"),MAX($T$1:$T209)+1,"")</f>
        <v/>
      </c>
    </row>
    <row r="211">
      <c r="A211">
        <f>IFERROR(INDEX(спр_Работы!$D$2:$D$6000,MATCH($C211,спр_Работы!$A$2:$A$6000,0)),"")</f>
        <v/>
      </c>
      <c r="B211">
        <f>IFERROR(INDEX(спр_Работы!$F$2:$F$6000,MATCH($C211,спр_Работы!$A$2:$A$6000,0)),"")</f>
        <v/>
      </c>
      <c r="C211">
        <f>IFERROR(INDEX(спр_Работы!$A$2:$A$6000,210),"")</f>
        <v/>
      </c>
      <c r="D211" s="8">
        <f>IFERROR(INDEX(спр_Работы!$B$2:$B$6000,MATCH($C211,спр_Работы!$A$2:$A$6000,0)),"")</f>
        <v/>
      </c>
      <c r="E211">
        <f>IFERROR(INDEX(спр_Работы!$C$2:$C$6000,MATCH($C211,спр_Работы!$A$2:$A$6000,0)),"")</f>
        <v/>
      </c>
      <c r="F211">
        <f>IFERROR(INDEX(спр_Работы!$G$2:$G$6000,MATCH($C211,спр_Работы!$A$2:$A$6000,0)),"")</f>
        <v/>
      </c>
      <c r="G211">
        <f>IFERROR(INDEX(спр_Работы!$K$2:$K$6000,MATCH($C211,спр_Работы!$A$2:$A$6000,0)),"")</f>
        <v/>
      </c>
      <c r="H211" s="9" t="n"/>
      <c r="I211" s="9" t="n"/>
      <c r="J211" s="8">
        <f>IFERROR(INDEX(спр_Материалы!$B$2:$B$9000,MATCH($I211,спр_Материалы!$A$2:$A$9000,0)),"")</f>
        <v/>
      </c>
      <c r="K211">
        <f>IF($I211="","",IF($F211=IFERROR(INDEX(спр_Материалы!$G$2:$G$9000,MATCH($I211,спр_Материалы!$A$2:$A$9000,0)),""),"OK","!! не та группа"))</f>
        <v/>
      </c>
      <c r="L211" s="10">
        <f>IFERROR(INDEX(спр_Работы!$H$2:$H$6000,MATCH($C211,спр_Работы!$A$2:$A$6000,0))*(1-ДисконтТендер),0)</f>
        <v/>
      </c>
      <c r="M211" s="10">
        <f>IF($I211="",0,IFERROR(INDEX(спр_Материалы!$I$2:$I$9000,MATCH($I211,спр_Материалы!$A$2:$A$9000,0))*IF(INDEX(спр_Материалы!$J$2:$J$9000,MATCH($I211,спр_Материалы!$A$2:$A$9000,0))="USD",КурсUSD,IF(INDEX(спр_Материалы!$J$2:$J$9000,MATCH($I211,спр_Материалы!$A$2:$A$9000,0))="EUR",КурсEUR,1))*INDEX(спр_Материалы!$K$2:$K$9000,MATCH($I211,спр_Материалы!$A$2:$A$9000,0))*(1+IFERROR(INDEX(спр_Работы!$I$2:$I$6000,MATCH($C211,спр_Работы!$A$2:$A$6000,0))/100,0))*(1-ДисконтТендер),0))</f>
        <v/>
      </c>
      <c r="N211" s="10">
        <f>IF(AND($R211="да",$H211&lt;&gt;""),ROUND($H211*$L211,2),0)</f>
        <v/>
      </c>
      <c r="O211" s="10">
        <f>IF(AND($R211="да",$H211&lt;&gt;""),ROUND($H211*$M211,2),0)</f>
        <v/>
      </c>
      <c r="P211" s="10">
        <f>$N211+$O211</f>
        <v/>
      </c>
      <c r="Q211">
        <f>IFERROR(INDEX(спр_Работы!$J$2:$J$6000,MATCH($C211,спр_Работы!$A$2:$A$6000,0)),"")</f>
        <v/>
      </c>
      <c r="R211" t="inlineStr">
        <is>
          <t>да</t>
        </is>
      </c>
      <c r="T211">
        <f>IF(AND($P211&gt;0,$R211="да"),MAX($T$1:$T210)+1,"")</f>
        <v/>
      </c>
    </row>
    <row r="212">
      <c r="A212">
        <f>IFERROR(INDEX(спр_Работы!$D$2:$D$6000,MATCH($C212,спр_Работы!$A$2:$A$6000,0)),"")</f>
        <v/>
      </c>
      <c r="B212">
        <f>IFERROR(INDEX(спр_Работы!$F$2:$F$6000,MATCH($C212,спр_Работы!$A$2:$A$6000,0)),"")</f>
        <v/>
      </c>
      <c r="C212">
        <f>IFERROR(INDEX(спр_Работы!$A$2:$A$6000,211),"")</f>
        <v/>
      </c>
      <c r="D212" s="8">
        <f>IFERROR(INDEX(спр_Работы!$B$2:$B$6000,MATCH($C212,спр_Работы!$A$2:$A$6000,0)),"")</f>
        <v/>
      </c>
      <c r="E212">
        <f>IFERROR(INDEX(спр_Работы!$C$2:$C$6000,MATCH($C212,спр_Работы!$A$2:$A$6000,0)),"")</f>
        <v/>
      </c>
      <c r="F212">
        <f>IFERROR(INDEX(спр_Работы!$G$2:$G$6000,MATCH($C212,спр_Работы!$A$2:$A$6000,0)),"")</f>
        <v/>
      </c>
      <c r="G212">
        <f>IFERROR(INDEX(спр_Работы!$K$2:$K$6000,MATCH($C212,спр_Работы!$A$2:$A$6000,0)),"")</f>
        <v/>
      </c>
      <c r="H212" s="9" t="n"/>
      <c r="I212" s="9" t="n"/>
      <c r="J212" s="8">
        <f>IFERROR(INDEX(спр_Материалы!$B$2:$B$9000,MATCH($I212,спр_Материалы!$A$2:$A$9000,0)),"")</f>
        <v/>
      </c>
      <c r="K212">
        <f>IF($I212="","",IF($F212=IFERROR(INDEX(спр_Материалы!$G$2:$G$9000,MATCH($I212,спр_Материалы!$A$2:$A$9000,0)),""),"OK","!! не та группа"))</f>
        <v/>
      </c>
      <c r="L212" s="10">
        <f>IFERROR(INDEX(спр_Работы!$H$2:$H$6000,MATCH($C212,спр_Работы!$A$2:$A$6000,0))*(1-ДисконтТендер),0)</f>
        <v/>
      </c>
      <c r="M212" s="10">
        <f>IF($I212="",0,IFERROR(INDEX(спр_Материалы!$I$2:$I$9000,MATCH($I212,спр_Материалы!$A$2:$A$9000,0))*IF(INDEX(спр_Материалы!$J$2:$J$9000,MATCH($I212,спр_Материалы!$A$2:$A$9000,0))="USD",КурсUSD,IF(INDEX(спр_Материалы!$J$2:$J$9000,MATCH($I212,спр_Материалы!$A$2:$A$9000,0))="EUR",КурсEUR,1))*INDEX(спр_Материалы!$K$2:$K$9000,MATCH($I212,спр_Материалы!$A$2:$A$9000,0))*(1+IFERROR(INDEX(спр_Работы!$I$2:$I$6000,MATCH($C212,спр_Работы!$A$2:$A$6000,0))/100,0))*(1-ДисконтТендер),0))</f>
        <v/>
      </c>
      <c r="N212" s="10">
        <f>IF(AND($R212="да",$H212&lt;&gt;""),ROUND($H212*$L212,2),0)</f>
        <v/>
      </c>
      <c r="O212" s="10">
        <f>IF(AND($R212="да",$H212&lt;&gt;""),ROUND($H212*$M212,2),0)</f>
        <v/>
      </c>
      <c r="P212" s="10">
        <f>$N212+$O212</f>
        <v/>
      </c>
      <c r="Q212">
        <f>IFERROR(INDEX(спр_Работы!$J$2:$J$6000,MATCH($C212,спр_Работы!$A$2:$A$6000,0)),"")</f>
        <v/>
      </c>
      <c r="R212" t="inlineStr">
        <is>
          <t>да</t>
        </is>
      </c>
      <c r="T212">
        <f>IF(AND($P212&gt;0,$R212="да"),MAX($T$1:$T211)+1,"")</f>
        <v/>
      </c>
    </row>
    <row r="213">
      <c r="A213">
        <f>IFERROR(INDEX(спр_Работы!$D$2:$D$6000,MATCH($C213,спр_Работы!$A$2:$A$6000,0)),"")</f>
        <v/>
      </c>
      <c r="B213">
        <f>IFERROR(INDEX(спр_Работы!$F$2:$F$6000,MATCH($C213,спр_Работы!$A$2:$A$6000,0)),"")</f>
        <v/>
      </c>
      <c r="C213">
        <f>IFERROR(INDEX(спр_Работы!$A$2:$A$6000,212),"")</f>
        <v/>
      </c>
      <c r="D213" s="8">
        <f>IFERROR(INDEX(спр_Работы!$B$2:$B$6000,MATCH($C213,спр_Работы!$A$2:$A$6000,0)),"")</f>
        <v/>
      </c>
      <c r="E213">
        <f>IFERROR(INDEX(спр_Работы!$C$2:$C$6000,MATCH($C213,спр_Работы!$A$2:$A$6000,0)),"")</f>
        <v/>
      </c>
      <c r="F213">
        <f>IFERROR(INDEX(спр_Работы!$G$2:$G$6000,MATCH($C213,спр_Работы!$A$2:$A$6000,0)),"")</f>
        <v/>
      </c>
      <c r="G213">
        <f>IFERROR(INDEX(спр_Работы!$K$2:$K$6000,MATCH($C213,спр_Работы!$A$2:$A$6000,0)),"")</f>
        <v/>
      </c>
      <c r="H213" s="9" t="n"/>
      <c r="I213" s="9" t="n"/>
      <c r="J213" s="8">
        <f>IFERROR(INDEX(спр_Материалы!$B$2:$B$9000,MATCH($I213,спр_Материалы!$A$2:$A$9000,0)),"")</f>
        <v/>
      </c>
      <c r="K213">
        <f>IF($I213="","",IF($F213=IFERROR(INDEX(спр_Материалы!$G$2:$G$9000,MATCH($I213,спр_Материалы!$A$2:$A$9000,0)),""),"OK","!! не та группа"))</f>
        <v/>
      </c>
      <c r="L213" s="10">
        <f>IFERROR(INDEX(спр_Работы!$H$2:$H$6000,MATCH($C213,спр_Работы!$A$2:$A$6000,0))*(1-ДисконтТендер),0)</f>
        <v/>
      </c>
      <c r="M213" s="10">
        <f>IF($I213="",0,IFERROR(INDEX(спр_Материалы!$I$2:$I$9000,MATCH($I213,спр_Материалы!$A$2:$A$9000,0))*IF(INDEX(спр_Материалы!$J$2:$J$9000,MATCH($I213,спр_Материалы!$A$2:$A$9000,0))="USD",КурсUSD,IF(INDEX(спр_Материалы!$J$2:$J$9000,MATCH($I213,спр_Материалы!$A$2:$A$9000,0))="EUR",КурсEUR,1))*INDEX(спр_Материалы!$K$2:$K$9000,MATCH($I213,спр_Материалы!$A$2:$A$9000,0))*(1+IFERROR(INDEX(спр_Работы!$I$2:$I$6000,MATCH($C213,спр_Работы!$A$2:$A$6000,0))/100,0))*(1-ДисконтТендер),0))</f>
        <v/>
      </c>
      <c r="N213" s="10">
        <f>IF(AND($R213="да",$H213&lt;&gt;""),ROUND($H213*$L213,2),0)</f>
        <v/>
      </c>
      <c r="O213" s="10">
        <f>IF(AND($R213="да",$H213&lt;&gt;""),ROUND($H213*$M213,2),0)</f>
        <v/>
      </c>
      <c r="P213" s="10">
        <f>$N213+$O213</f>
        <v/>
      </c>
      <c r="Q213">
        <f>IFERROR(INDEX(спр_Работы!$J$2:$J$6000,MATCH($C213,спр_Работы!$A$2:$A$6000,0)),"")</f>
        <v/>
      </c>
      <c r="R213" t="inlineStr">
        <is>
          <t>да</t>
        </is>
      </c>
      <c r="T213">
        <f>IF(AND($P213&gt;0,$R213="да"),MAX($T$1:$T212)+1,"")</f>
        <v/>
      </c>
    </row>
    <row r="214">
      <c r="A214">
        <f>IFERROR(INDEX(спр_Работы!$D$2:$D$6000,MATCH($C214,спр_Работы!$A$2:$A$6000,0)),"")</f>
        <v/>
      </c>
      <c r="B214">
        <f>IFERROR(INDEX(спр_Работы!$F$2:$F$6000,MATCH($C214,спр_Работы!$A$2:$A$6000,0)),"")</f>
        <v/>
      </c>
      <c r="C214">
        <f>IFERROR(INDEX(спр_Работы!$A$2:$A$6000,213),"")</f>
        <v/>
      </c>
      <c r="D214" s="8">
        <f>IFERROR(INDEX(спр_Работы!$B$2:$B$6000,MATCH($C214,спр_Работы!$A$2:$A$6000,0)),"")</f>
        <v/>
      </c>
      <c r="E214">
        <f>IFERROR(INDEX(спр_Работы!$C$2:$C$6000,MATCH($C214,спр_Работы!$A$2:$A$6000,0)),"")</f>
        <v/>
      </c>
      <c r="F214">
        <f>IFERROR(INDEX(спр_Работы!$G$2:$G$6000,MATCH($C214,спр_Работы!$A$2:$A$6000,0)),"")</f>
        <v/>
      </c>
      <c r="G214">
        <f>IFERROR(INDEX(спр_Работы!$K$2:$K$6000,MATCH($C214,спр_Работы!$A$2:$A$6000,0)),"")</f>
        <v/>
      </c>
      <c r="H214" s="9" t="n"/>
      <c r="I214" s="9" t="n"/>
      <c r="J214" s="8">
        <f>IFERROR(INDEX(спр_Материалы!$B$2:$B$9000,MATCH($I214,спр_Материалы!$A$2:$A$9000,0)),"")</f>
        <v/>
      </c>
      <c r="K214">
        <f>IF($I214="","",IF($F214=IFERROR(INDEX(спр_Материалы!$G$2:$G$9000,MATCH($I214,спр_Материалы!$A$2:$A$9000,0)),""),"OK","!! не та группа"))</f>
        <v/>
      </c>
      <c r="L214" s="10">
        <f>IFERROR(INDEX(спр_Работы!$H$2:$H$6000,MATCH($C214,спр_Работы!$A$2:$A$6000,0))*(1-ДисконтТендер),0)</f>
        <v/>
      </c>
      <c r="M214" s="10">
        <f>IF($I214="",0,IFERROR(INDEX(спр_Материалы!$I$2:$I$9000,MATCH($I214,спр_Материалы!$A$2:$A$9000,0))*IF(INDEX(спр_Материалы!$J$2:$J$9000,MATCH($I214,спр_Материалы!$A$2:$A$9000,0))="USD",КурсUSD,IF(INDEX(спр_Материалы!$J$2:$J$9000,MATCH($I214,спр_Материалы!$A$2:$A$9000,0))="EUR",КурсEUR,1))*INDEX(спр_Материалы!$K$2:$K$9000,MATCH($I214,спр_Материалы!$A$2:$A$9000,0))*(1+IFERROR(INDEX(спр_Работы!$I$2:$I$6000,MATCH($C214,спр_Работы!$A$2:$A$6000,0))/100,0))*(1-ДисконтТендер),0))</f>
        <v/>
      </c>
      <c r="N214" s="10">
        <f>IF(AND($R214="да",$H214&lt;&gt;""),ROUND($H214*$L214,2),0)</f>
        <v/>
      </c>
      <c r="O214" s="10">
        <f>IF(AND($R214="да",$H214&lt;&gt;""),ROUND($H214*$M214,2),0)</f>
        <v/>
      </c>
      <c r="P214" s="10">
        <f>$N214+$O214</f>
        <v/>
      </c>
      <c r="Q214">
        <f>IFERROR(INDEX(спр_Работы!$J$2:$J$6000,MATCH($C214,спр_Работы!$A$2:$A$6000,0)),"")</f>
        <v/>
      </c>
      <c r="R214" t="inlineStr">
        <is>
          <t>да</t>
        </is>
      </c>
      <c r="T214">
        <f>IF(AND($P214&gt;0,$R214="да"),MAX($T$1:$T213)+1,"")</f>
        <v/>
      </c>
    </row>
    <row r="215">
      <c r="A215">
        <f>IFERROR(INDEX(спр_Работы!$D$2:$D$6000,MATCH($C215,спр_Работы!$A$2:$A$6000,0)),"")</f>
        <v/>
      </c>
      <c r="B215">
        <f>IFERROR(INDEX(спр_Работы!$F$2:$F$6000,MATCH($C215,спр_Работы!$A$2:$A$6000,0)),"")</f>
        <v/>
      </c>
      <c r="C215">
        <f>IFERROR(INDEX(спр_Работы!$A$2:$A$6000,214),"")</f>
        <v/>
      </c>
      <c r="D215" s="8">
        <f>IFERROR(INDEX(спр_Работы!$B$2:$B$6000,MATCH($C215,спр_Работы!$A$2:$A$6000,0)),"")</f>
        <v/>
      </c>
      <c r="E215">
        <f>IFERROR(INDEX(спр_Работы!$C$2:$C$6000,MATCH($C215,спр_Работы!$A$2:$A$6000,0)),"")</f>
        <v/>
      </c>
      <c r="F215">
        <f>IFERROR(INDEX(спр_Работы!$G$2:$G$6000,MATCH($C215,спр_Работы!$A$2:$A$6000,0)),"")</f>
        <v/>
      </c>
      <c r="G215">
        <f>IFERROR(INDEX(спр_Работы!$K$2:$K$6000,MATCH($C215,спр_Работы!$A$2:$A$6000,0)),"")</f>
        <v/>
      </c>
      <c r="H215" s="9" t="n"/>
      <c r="I215" s="9" t="n"/>
      <c r="J215" s="8">
        <f>IFERROR(INDEX(спр_Материалы!$B$2:$B$9000,MATCH($I215,спр_Материалы!$A$2:$A$9000,0)),"")</f>
        <v/>
      </c>
      <c r="K215">
        <f>IF($I215="","",IF($F215=IFERROR(INDEX(спр_Материалы!$G$2:$G$9000,MATCH($I215,спр_Материалы!$A$2:$A$9000,0)),""),"OK","!! не та группа"))</f>
        <v/>
      </c>
      <c r="L215" s="10">
        <f>IFERROR(INDEX(спр_Работы!$H$2:$H$6000,MATCH($C215,спр_Работы!$A$2:$A$6000,0))*(1-ДисконтТендер),0)</f>
        <v/>
      </c>
      <c r="M215" s="10">
        <f>IF($I215="",0,IFERROR(INDEX(спр_Материалы!$I$2:$I$9000,MATCH($I215,спр_Материалы!$A$2:$A$9000,0))*IF(INDEX(спр_Материалы!$J$2:$J$9000,MATCH($I215,спр_Материалы!$A$2:$A$9000,0))="USD",КурсUSD,IF(INDEX(спр_Материалы!$J$2:$J$9000,MATCH($I215,спр_Материалы!$A$2:$A$9000,0))="EUR",КурсEUR,1))*INDEX(спр_Материалы!$K$2:$K$9000,MATCH($I215,спр_Материалы!$A$2:$A$9000,0))*(1+IFERROR(INDEX(спр_Работы!$I$2:$I$6000,MATCH($C215,спр_Работы!$A$2:$A$6000,0))/100,0))*(1-ДисконтТендер),0))</f>
        <v/>
      </c>
      <c r="N215" s="10">
        <f>IF(AND($R215="да",$H215&lt;&gt;""),ROUND($H215*$L215,2),0)</f>
        <v/>
      </c>
      <c r="O215" s="10">
        <f>IF(AND($R215="да",$H215&lt;&gt;""),ROUND($H215*$M215,2),0)</f>
        <v/>
      </c>
      <c r="P215" s="10">
        <f>$N215+$O215</f>
        <v/>
      </c>
      <c r="Q215">
        <f>IFERROR(INDEX(спр_Работы!$J$2:$J$6000,MATCH($C215,спр_Работы!$A$2:$A$6000,0)),"")</f>
        <v/>
      </c>
      <c r="R215" t="inlineStr">
        <is>
          <t>да</t>
        </is>
      </c>
      <c r="T215">
        <f>IF(AND($P215&gt;0,$R215="да"),MAX($T$1:$T214)+1,"")</f>
        <v/>
      </c>
    </row>
    <row r="216">
      <c r="A216">
        <f>IFERROR(INDEX(спр_Работы!$D$2:$D$6000,MATCH($C216,спр_Работы!$A$2:$A$6000,0)),"")</f>
        <v/>
      </c>
      <c r="B216">
        <f>IFERROR(INDEX(спр_Работы!$F$2:$F$6000,MATCH($C216,спр_Работы!$A$2:$A$6000,0)),"")</f>
        <v/>
      </c>
      <c r="C216">
        <f>IFERROR(INDEX(спр_Работы!$A$2:$A$6000,215),"")</f>
        <v/>
      </c>
      <c r="D216" s="8">
        <f>IFERROR(INDEX(спр_Работы!$B$2:$B$6000,MATCH($C216,спр_Работы!$A$2:$A$6000,0)),"")</f>
        <v/>
      </c>
      <c r="E216">
        <f>IFERROR(INDEX(спр_Работы!$C$2:$C$6000,MATCH($C216,спр_Работы!$A$2:$A$6000,0)),"")</f>
        <v/>
      </c>
      <c r="F216">
        <f>IFERROR(INDEX(спр_Работы!$G$2:$G$6000,MATCH($C216,спр_Работы!$A$2:$A$6000,0)),"")</f>
        <v/>
      </c>
      <c r="G216">
        <f>IFERROR(INDEX(спр_Работы!$K$2:$K$6000,MATCH($C216,спр_Работы!$A$2:$A$6000,0)),"")</f>
        <v/>
      </c>
      <c r="H216" s="9" t="n"/>
      <c r="I216" s="9" t="n"/>
      <c r="J216" s="8">
        <f>IFERROR(INDEX(спр_Материалы!$B$2:$B$9000,MATCH($I216,спр_Материалы!$A$2:$A$9000,0)),"")</f>
        <v/>
      </c>
      <c r="K216">
        <f>IF($I216="","",IF($F216=IFERROR(INDEX(спр_Материалы!$G$2:$G$9000,MATCH($I216,спр_Материалы!$A$2:$A$9000,0)),""),"OK","!! не та группа"))</f>
        <v/>
      </c>
      <c r="L216" s="10">
        <f>IFERROR(INDEX(спр_Работы!$H$2:$H$6000,MATCH($C216,спр_Работы!$A$2:$A$6000,0))*(1-ДисконтТендер),0)</f>
        <v/>
      </c>
      <c r="M216" s="10">
        <f>IF($I216="",0,IFERROR(INDEX(спр_Материалы!$I$2:$I$9000,MATCH($I216,спр_Материалы!$A$2:$A$9000,0))*IF(INDEX(спр_Материалы!$J$2:$J$9000,MATCH($I216,спр_Материалы!$A$2:$A$9000,0))="USD",КурсUSD,IF(INDEX(спр_Материалы!$J$2:$J$9000,MATCH($I216,спр_Материалы!$A$2:$A$9000,0))="EUR",КурсEUR,1))*INDEX(спр_Материалы!$K$2:$K$9000,MATCH($I216,спр_Материалы!$A$2:$A$9000,0))*(1+IFERROR(INDEX(спр_Работы!$I$2:$I$6000,MATCH($C216,спр_Работы!$A$2:$A$6000,0))/100,0))*(1-ДисконтТендер),0))</f>
        <v/>
      </c>
      <c r="N216" s="10">
        <f>IF(AND($R216="да",$H216&lt;&gt;""),ROUND($H216*$L216,2),0)</f>
        <v/>
      </c>
      <c r="O216" s="10">
        <f>IF(AND($R216="да",$H216&lt;&gt;""),ROUND($H216*$M216,2),0)</f>
        <v/>
      </c>
      <c r="P216" s="10">
        <f>$N216+$O216</f>
        <v/>
      </c>
      <c r="Q216">
        <f>IFERROR(INDEX(спр_Работы!$J$2:$J$6000,MATCH($C216,спр_Работы!$A$2:$A$6000,0)),"")</f>
        <v/>
      </c>
      <c r="R216" t="inlineStr">
        <is>
          <t>да</t>
        </is>
      </c>
      <c r="T216">
        <f>IF(AND($P216&gt;0,$R216="да"),MAX($T$1:$T215)+1,"")</f>
        <v/>
      </c>
    </row>
    <row r="217">
      <c r="A217">
        <f>IFERROR(INDEX(спр_Работы!$D$2:$D$6000,MATCH($C217,спр_Работы!$A$2:$A$6000,0)),"")</f>
        <v/>
      </c>
      <c r="B217">
        <f>IFERROR(INDEX(спр_Работы!$F$2:$F$6000,MATCH($C217,спр_Работы!$A$2:$A$6000,0)),"")</f>
        <v/>
      </c>
      <c r="C217">
        <f>IFERROR(INDEX(спр_Работы!$A$2:$A$6000,216),"")</f>
        <v/>
      </c>
      <c r="D217" s="8">
        <f>IFERROR(INDEX(спр_Работы!$B$2:$B$6000,MATCH($C217,спр_Работы!$A$2:$A$6000,0)),"")</f>
        <v/>
      </c>
      <c r="E217">
        <f>IFERROR(INDEX(спр_Работы!$C$2:$C$6000,MATCH($C217,спр_Работы!$A$2:$A$6000,0)),"")</f>
        <v/>
      </c>
      <c r="F217">
        <f>IFERROR(INDEX(спр_Работы!$G$2:$G$6000,MATCH($C217,спр_Работы!$A$2:$A$6000,0)),"")</f>
        <v/>
      </c>
      <c r="G217">
        <f>IFERROR(INDEX(спр_Работы!$K$2:$K$6000,MATCH($C217,спр_Работы!$A$2:$A$6000,0)),"")</f>
        <v/>
      </c>
      <c r="H217" s="9" t="n"/>
      <c r="I217" s="9" t="n"/>
      <c r="J217" s="8">
        <f>IFERROR(INDEX(спр_Материалы!$B$2:$B$9000,MATCH($I217,спр_Материалы!$A$2:$A$9000,0)),"")</f>
        <v/>
      </c>
      <c r="K217">
        <f>IF($I217="","",IF($F217=IFERROR(INDEX(спр_Материалы!$G$2:$G$9000,MATCH($I217,спр_Материалы!$A$2:$A$9000,0)),""),"OK","!! не та группа"))</f>
        <v/>
      </c>
      <c r="L217" s="10">
        <f>IFERROR(INDEX(спр_Работы!$H$2:$H$6000,MATCH($C217,спр_Работы!$A$2:$A$6000,0))*(1-ДисконтТендер),0)</f>
        <v/>
      </c>
      <c r="M217" s="10">
        <f>IF($I217="",0,IFERROR(INDEX(спр_Материалы!$I$2:$I$9000,MATCH($I217,спр_Материалы!$A$2:$A$9000,0))*IF(INDEX(спр_Материалы!$J$2:$J$9000,MATCH($I217,спр_Материалы!$A$2:$A$9000,0))="USD",КурсUSD,IF(INDEX(спр_Материалы!$J$2:$J$9000,MATCH($I217,спр_Материалы!$A$2:$A$9000,0))="EUR",КурсEUR,1))*INDEX(спр_Материалы!$K$2:$K$9000,MATCH($I217,спр_Материалы!$A$2:$A$9000,0))*(1+IFERROR(INDEX(спр_Работы!$I$2:$I$6000,MATCH($C217,спр_Работы!$A$2:$A$6000,0))/100,0))*(1-ДисконтТендер),0))</f>
        <v/>
      </c>
      <c r="N217" s="10">
        <f>IF(AND($R217="да",$H217&lt;&gt;""),ROUND($H217*$L217,2),0)</f>
        <v/>
      </c>
      <c r="O217" s="10">
        <f>IF(AND($R217="да",$H217&lt;&gt;""),ROUND($H217*$M217,2),0)</f>
        <v/>
      </c>
      <c r="P217" s="10">
        <f>$N217+$O217</f>
        <v/>
      </c>
      <c r="Q217">
        <f>IFERROR(INDEX(спр_Работы!$J$2:$J$6000,MATCH($C217,спр_Работы!$A$2:$A$6000,0)),"")</f>
        <v/>
      </c>
      <c r="R217" t="inlineStr">
        <is>
          <t>да</t>
        </is>
      </c>
      <c r="T217">
        <f>IF(AND($P217&gt;0,$R217="да"),MAX($T$1:$T216)+1,"")</f>
        <v/>
      </c>
    </row>
    <row r="218">
      <c r="A218">
        <f>IFERROR(INDEX(спр_Работы!$D$2:$D$6000,MATCH($C218,спр_Работы!$A$2:$A$6000,0)),"")</f>
        <v/>
      </c>
      <c r="B218">
        <f>IFERROR(INDEX(спр_Работы!$F$2:$F$6000,MATCH($C218,спр_Работы!$A$2:$A$6000,0)),"")</f>
        <v/>
      </c>
      <c r="C218">
        <f>IFERROR(INDEX(спр_Работы!$A$2:$A$6000,217),"")</f>
        <v/>
      </c>
      <c r="D218" s="8">
        <f>IFERROR(INDEX(спр_Работы!$B$2:$B$6000,MATCH($C218,спр_Работы!$A$2:$A$6000,0)),"")</f>
        <v/>
      </c>
      <c r="E218">
        <f>IFERROR(INDEX(спр_Работы!$C$2:$C$6000,MATCH($C218,спр_Работы!$A$2:$A$6000,0)),"")</f>
        <v/>
      </c>
      <c r="F218">
        <f>IFERROR(INDEX(спр_Работы!$G$2:$G$6000,MATCH($C218,спр_Работы!$A$2:$A$6000,0)),"")</f>
        <v/>
      </c>
      <c r="G218">
        <f>IFERROR(INDEX(спр_Работы!$K$2:$K$6000,MATCH($C218,спр_Работы!$A$2:$A$6000,0)),"")</f>
        <v/>
      </c>
      <c r="H218" s="9" t="n"/>
      <c r="I218" s="9" t="n"/>
      <c r="J218" s="8">
        <f>IFERROR(INDEX(спр_Материалы!$B$2:$B$9000,MATCH($I218,спр_Материалы!$A$2:$A$9000,0)),"")</f>
        <v/>
      </c>
      <c r="K218">
        <f>IF($I218="","",IF($F218=IFERROR(INDEX(спр_Материалы!$G$2:$G$9000,MATCH($I218,спр_Материалы!$A$2:$A$9000,0)),""),"OK","!! не та группа"))</f>
        <v/>
      </c>
      <c r="L218" s="10">
        <f>IFERROR(INDEX(спр_Работы!$H$2:$H$6000,MATCH($C218,спр_Работы!$A$2:$A$6000,0))*(1-ДисконтТендер),0)</f>
        <v/>
      </c>
      <c r="M218" s="10">
        <f>IF($I218="",0,IFERROR(INDEX(спр_Материалы!$I$2:$I$9000,MATCH($I218,спр_Материалы!$A$2:$A$9000,0))*IF(INDEX(спр_Материалы!$J$2:$J$9000,MATCH($I218,спр_Материалы!$A$2:$A$9000,0))="USD",КурсUSD,IF(INDEX(спр_Материалы!$J$2:$J$9000,MATCH($I218,спр_Материалы!$A$2:$A$9000,0))="EUR",КурсEUR,1))*INDEX(спр_Материалы!$K$2:$K$9000,MATCH($I218,спр_Материалы!$A$2:$A$9000,0))*(1+IFERROR(INDEX(спр_Работы!$I$2:$I$6000,MATCH($C218,спр_Работы!$A$2:$A$6000,0))/100,0))*(1-ДисконтТендер),0))</f>
        <v/>
      </c>
      <c r="N218" s="10">
        <f>IF(AND($R218="да",$H218&lt;&gt;""),ROUND($H218*$L218,2),0)</f>
        <v/>
      </c>
      <c r="O218" s="10">
        <f>IF(AND($R218="да",$H218&lt;&gt;""),ROUND($H218*$M218,2),0)</f>
        <v/>
      </c>
      <c r="P218" s="10">
        <f>$N218+$O218</f>
        <v/>
      </c>
      <c r="Q218">
        <f>IFERROR(INDEX(спр_Работы!$J$2:$J$6000,MATCH($C218,спр_Работы!$A$2:$A$6000,0)),"")</f>
        <v/>
      </c>
      <c r="R218" t="inlineStr">
        <is>
          <t>да</t>
        </is>
      </c>
      <c r="T218">
        <f>IF(AND($P218&gt;0,$R218="да"),MAX($T$1:$T217)+1,"")</f>
        <v/>
      </c>
    </row>
    <row r="219">
      <c r="A219">
        <f>IFERROR(INDEX(спр_Работы!$D$2:$D$6000,MATCH($C219,спр_Работы!$A$2:$A$6000,0)),"")</f>
        <v/>
      </c>
      <c r="B219">
        <f>IFERROR(INDEX(спр_Работы!$F$2:$F$6000,MATCH($C219,спр_Работы!$A$2:$A$6000,0)),"")</f>
        <v/>
      </c>
      <c r="C219">
        <f>IFERROR(INDEX(спр_Работы!$A$2:$A$6000,218),"")</f>
        <v/>
      </c>
      <c r="D219" s="8">
        <f>IFERROR(INDEX(спр_Работы!$B$2:$B$6000,MATCH($C219,спр_Работы!$A$2:$A$6000,0)),"")</f>
        <v/>
      </c>
      <c r="E219">
        <f>IFERROR(INDEX(спр_Работы!$C$2:$C$6000,MATCH($C219,спр_Работы!$A$2:$A$6000,0)),"")</f>
        <v/>
      </c>
      <c r="F219">
        <f>IFERROR(INDEX(спр_Работы!$G$2:$G$6000,MATCH($C219,спр_Работы!$A$2:$A$6000,0)),"")</f>
        <v/>
      </c>
      <c r="G219">
        <f>IFERROR(INDEX(спр_Работы!$K$2:$K$6000,MATCH($C219,спр_Работы!$A$2:$A$6000,0)),"")</f>
        <v/>
      </c>
      <c r="H219" s="9" t="n"/>
      <c r="I219" s="9" t="n"/>
      <c r="J219" s="8">
        <f>IFERROR(INDEX(спр_Материалы!$B$2:$B$9000,MATCH($I219,спр_Материалы!$A$2:$A$9000,0)),"")</f>
        <v/>
      </c>
      <c r="K219">
        <f>IF($I219="","",IF($F219=IFERROR(INDEX(спр_Материалы!$G$2:$G$9000,MATCH($I219,спр_Материалы!$A$2:$A$9000,0)),""),"OK","!! не та группа"))</f>
        <v/>
      </c>
      <c r="L219" s="10">
        <f>IFERROR(INDEX(спр_Работы!$H$2:$H$6000,MATCH($C219,спр_Работы!$A$2:$A$6000,0))*(1-ДисконтТендер),0)</f>
        <v/>
      </c>
      <c r="M219" s="10">
        <f>IF($I219="",0,IFERROR(INDEX(спр_Материалы!$I$2:$I$9000,MATCH($I219,спр_Материалы!$A$2:$A$9000,0))*IF(INDEX(спр_Материалы!$J$2:$J$9000,MATCH($I219,спр_Материалы!$A$2:$A$9000,0))="USD",КурсUSD,IF(INDEX(спр_Материалы!$J$2:$J$9000,MATCH($I219,спр_Материалы!$A$2:$A$9000,0))="EUR",КурсEUR,1))*INDEX(спр_Материалы!$K$2:$K$9000,MATCH($I219,спр_Материалы!$A$2:$A$9000,0))*(1+IFERROR(INDEX(спр_Работы!$I$2:$I$6000,MATCH($C219,спр_Работы!$A$2:$A$6000,0))/100,0))*(1-ДисконтТендер),0))</f>
        <v/>
      </c>
      <c r="N219" s="10">
        <f>IF(AND($R219="да",$H219&lt;&gt;""),ROUND($H219*$L219,2),0)</f>
        <v/>
      </c>
      <c r="O219" s="10">
        <f>IF(AND($R219="да",$H219&lt;&gt;""),ROUND($H219*$M219,2),0)</f>
        <v/>
      </c>
      <c r="P219" s="10">
        <f>$N219+$O219</f>
        <v/>
      </c>
      <c r="Q219">
        <f>IFERROR(INDEX(спр_Работы!$J$2:$J$6000,MATCH($C219,спр_Работы!$A$2:$A$6000,0)),"")</f>
        <v/>
      </c>
      <c r="R219" t="inlineStr">
        <is>
          <t>да</t>
        </is>
      </c>
      <c r="T219">
        <f>IF(AND($P219&gt;0,$R219="да"),MAX($T$1:$T218)+1,"")</f>
        <v/>
      </c>
    </row>
    <row r="220">
      <c r="A220">
        <f>IFERROR(INDEX(спр_Работы!$D$2:$D$6000,MATCH($C220,спр_Работы!$A$2:$A$6000,0)),"")</f>
        <v/>
      </c>
      <c r="B220">
        <f>IFERROR(INDEX(спр_Работы!$F$2:$F$6000,MATCH($C220,спр_Работы!$A$2:$A$6000,0)),"")</f>
        <v/>
      </c>
      <c r="C220">
        <f>IFERROR(INDEX(спр_Работы!$A$2:$A$6000,219),"")</f>
        <v/>
      </c>
      <c r="D220" s="8">
        <f>IFERROR(INDEX(спр_Работы!$B$2:$B$6000,MATCH($C220,спр_Работы!$A$2:$A$6000,0)),"")</f>
        <v/>
      </c>
      <c r="E220">
        <f>IFERROR(INDEX(спр_Работы!$C$2:$C$6000,MATCH($C220,спр_Работы!$A$2:$A$6000,0)),"")</f>
        <v/>
      </c>
      <c r="F220">
        <f>IFERROR(INDEX(спр_Работы!$G$2:$G$6000,MATCH($C220,спр_Работы!$A$2:$A$6000,0)),"")</f>
        <v/>
      </c>
      <c r="G220">
        <f>IFERROR(INDEX(спр_Работы!$K$2:$K$6000,MATCH($C220,спр_Работы!$A$2:$A$6000,0)),"")</f>
        <v/>
      </c>
      <c r="H220" s="9" t="n"/>
      <c r="I220" s="9" t="n"/>
      <c r="J220" s="8">
        <f>IFERROR(INDEX(спр_Материалы!$B$2:$B$9000,MATCH($I220,спр_Материалы!$A$2:$A$9000,0)),"")</f>
        <v/>
      </c>
      <c r="K220">
        <f>IF($I220="","",IF($F220=IFERROR(INDEX(спр_Материалы!$G$2:$G$9000,MATCH($I220,спр_Материалы!$A$2:$A$9000,0)),""),"OK","!! не та группа"))</f>
        <v/>
      </c>
      <c r="L220" s="10">
        <f>IFERROR(INDEX(спр_Работы!$H$2:$H$6000,MATCH($C220,спр_Работы!$A$2:$A$6000,0))*(1-ДисконтТендер),0)</f>
        <v/>
      </c>
      <c r="M220" s="10">
        <f>IF($I220="",0,IFERROR(INDEX(спр_Материалы!$I$2:$I$9000,MATCH($I220,спр_Материалы!$A$2:$A$9000,0))*IF(INDEX(спр_Материалы!$J$2:$J$9000,MATCH($I220,спр_Материалы!$A$2:$A$9000,0))="USD",КурсUSD,IF(INDEX(спр_Материалы!$J$2:$J$9000,MATCH($I220,спр_Материалы!$A$2:$A$9000,0))="EUR",КурсEUR,1))*INDEX(спр_Материалы!$K$2:$K$9000,MATCH($I220,спр_Материалы!$A$2:$A$9000,0))*(1+IFERROR(INDEX(спр_Работы!$I$2:$I$6000,MATCH($C220,спр_Работы!$A$2:$A$6000,0))/100,0))*(1-ДисконтТендер),0))</f>
        <v/>
      </c>
      <c r="N220" s="10">
        <f>IF(AND($R220="да",$H220&lt;&gt;""),ROUND($H220*$L220,2),0)</f>
        <v/>
      </c>
      <c r="O220" s="10">
        <f>IF(AND($R220="да",$H220&lt;&gt;""),ROUND($H220*$M220,2),0)</f>
        <v/>
      </c>
      <c r="P220" s="10">
        <f>$N220+$O220</f>
        <v/>
      </c>
      <c r="Q220">
        <f>IFERROR(INDEX(спр_Работы!$J$2:$J$6000,MATCH($C220,спр_Работы!$A$2:$A$6000,0)),"")</f>
        <v/>
      </c>
      <c r="R220" t="inlineStr">
        <is>
          <t>да</t>
        </is>
      </c>
      <c r="T220">
        <f>IF(AND($P220&gt;0,$R220="да"),MAX($T$1:$T219)+1,"")</f>
        <v/>
      </c>
    </row>
    <row r="221">
      <c r="A221">
        <f>IFERROR(INDEX(спр_Работы!$D$2:$D$6000,MATCH($C221,спр_Работы!$A$2:$A$6000,0)),"")</f>
        <v/>
      </c>
      <c r="B221">
        <f>IFERROR(INDEX(спр_Работы!$F$2:$F$6000,MATCH($C221,спр_Работы!$A$2:$A$6000,0)),"")</f>
        <v/>
      </c>
      <c r="C221">
        <f>IFERROR(INDEX(спр_Работы!$A$2:$A$6000,220),"")</f>
        <v/>
      </c>
      <c r="D221" s="8">
        <f>IFERROR(INDEX(спр_Работы!$B$2:$B$6000,MATCH($C221,спр_Работы!$A$2:$A$6000,0)),"")</f>
        <v/>
      </c>
      <c r="E221">
        <f>IFERROR(INDEX(спр_Работы!$C$2:$C$6000,MATCH($C221,спр_Работы!$A$2:$A$6000,0)),"")</f>
        <v/>
      </c>
      <c r="F221">
        <f>IFERROR(INDEX(спр_Работы!$G$2:$G$6000,MATCH($C221,спр_Работы!$A$2:$A$6000,0)),"")</f>
        <v/>
      </c>
      <c r="G221">
        <f>IFERROR(INDEX(спр_Работы!$K$2:$K$6000,MATCH($C221,спр_Работы!$A$2:$A$6000,0)),"")</f>
        <v/>
      </c>
      <c r="H221" s="9" t="n"/>
      <c r="I221" s="9" t="n"/>
      <c r="J221" s="8">
        <f>IFERROR(INDEX(спр_Материалы!$B$2:$B$9000,MATCH($I221,спр_Материалы!$A$2:$A$9000,0)),"")</f>
        <v/>
      </c>
      <c r="K221">
        <f>IF($I221="","",IF($F221=IFERROR(INDEX(спр_Материалы!$G$2:$G$9000,MATCH($I221,спр_Материалы!$A$2:$A$9000,0)),""),"OK","!! не та группа"))</f>
        <v/>
      </c>
      <c r="L221" s="10">
        <f>IFERROR(INDEX(спр_Работы!$H$2:$H$6000,MATCH($C221,спр_Работы!$A$2:$A$6000,0))*(1-ДисконтТендер),0)</f>
        <v/>
      </c>
      <c r="M221" s="10">
        <f>IF($I221="",0,IFERROR(INDEX(спр_Материалы!$I$2:$I$9000,MATCH($I221,спр_Материалы!$A$2:$A$9000,0))*IF(INDEX(спр_Материалы!$J$2:$J$9000,MATCH($I221,спр_Материалы!$A$2:$A$9000,0))="USD",КурсUSD,IF(INDEX(спр_Материалы!$J$2:$J$9000,MATCH($I221,спр_Материалы!$A$2:$A$9000,0))="EUR",КурсEUR,1))*INDEX(спр_Материалы!$K$2:$K$9000,MATCH($I221,спр_Материалы!$A$2:$A$9000,0))*(1+IFERROR(INDEX(спр_Работы!$I$2:$I$6000,MATCH($C221,спр_Работы!$A$2:$A$6000,0))/100,0))*(1-ДисконтТендер),0))</f>
        <v/>
      </c>
      <c r="N221" s="10">
        <f>IF(AND($R221="да",$H221&lt;&gt;""),ROUND($H221*$L221,2),0)</f>
        <v/>
      </c>
      <c r="O221" s="10">
        <f>IF(AND($R221="да",$H221&lt;&gt;""),ROUND($H221*$M221,2),0)</f>
        <v/>
      </c>
      <c r="P221" s="10">
        <f>$N221+$O221</f>
        <v/>
      </c>
      <c r="Q221">
        <f>IFERROR(INDEX(спр_Работы!$J$2:$J$6000,MATCH($C221,спр_Работы!$A$2:$A$6000,0)),"")</f>
        <v/>
      </c>
      <c r="R221" t="inlineStr">
        <is>
          <t>да</t>
        </is>
      </c>
      <c r="T221">
        <f>IF(AND($P221&gt;0,$R221="да"),MAX($T$1:$T220)+1,"")</f>
        <v/>
      </c>
    </row>
    <row r="222">
      <c r="A222">
        <f>IFERROR(INDEX(спр_Работы!$D$2:$D$6000,MATCH($C222,спр_Работы!$A$2:$A$6000,0)),"")</f>
        <v/>
      </c>
      <c r="B222">
        <f>IFERROR(INDEX(спр_Работы!$F$2:$F$6000,MATCH($C222,спр_Работы!$A$2:$A$6000,0)),"")</f>
        <v/>
      </c>
      <c r="C222">
        <f>IFERROR(INDEX(спр_Работы!$A$2:$A$6000,221),"")</f>
        <v/>
      </c>
      <c r="D222" s="8">
        <f>IFERROR(INDEX(спр_Работы!$B$2:$B$6000,MATCH($C222,спр_Работы!$A$2:$A$6000,0)),"")</f>
        <v/>
      </c>
      <c r="E222">
        <f>IFERROR(INDEX(спр_Работы!$C$2:$C$6000,MATCH($C222,спр_Работы!$A$2:$A$6000,0)),"")</f>
        <v/>
      </c>
      <c r="F222">
        <f>IFERROR(INDEX(спр_Работы!$G$2:$G$6000,MATCH($C222,спр_Работы!$A$2:$A$6000,0)),"")</f>
        <v/>
      </c>
      <c r="G222">
        <f>IFERROR(INDEX(спр_Работы!$K$2:$K$6000,MATCH($C222,спр_Работы!$A$2:$A$6000,0)),"")</f>
        <v/>
      </c>
      <c r="H222" s="9" t="n"/>
      <c r="I222" s="9" t="n"/>
      <c r="J222" s="8">
        <f>IFERROR(INDEX(спр_Материалы!$B$2:$B$9000,MATCH($I222,спр_Материалы!$A$2:$A$9000,0)),"")</f>
        <v/>
      </c>
      <c r="K222">
        <f>IF($I222="","",IF($F222=IFERROR(INDEX(спр_Материалы!$G$2:$G$9000,MATCH($I222,спр_Материалы!$A$2:$A$9000,0)),""),"OK","!! не та группа"))</f>
        <v/>
      </c>
      <c r="L222" s="10">
        <f>IFERROR(INDEX(спр_Работы!$H$2:$H$6000,MATCH($C222,спр_Работы!$A$2:$A$6000,0))*(1-ДисконтТендер),0)</f>
        <v/>
      </c>
      <c r="M222" s="10">
        <f>IF($I222="",0,IFERROR(INDEX(спр_Материалы!$I$2:$I$9000,MATCH($I222,спр_Материалы!$A$2:$A$9000,0))*IF(INDEX(спр_Материалы!$J$2:$J$9000,MATCH($I222,спр_Материалы!$A$2:$A$9000,0))="USD",КурсUSD,IF(INDEX(спр_Материалы!$J$2:$J$9000,MATCH($I222,спр_Материалы!$A$2:$A$9000,0))="EUR",КурсEUR,1))*INDEX(спр_Материалы!$K$2:$K$9000,MATCH($I222,спр_Материалы!$A$2:$A$9000,0))*(1+IFERROR(INDEX(спр_Работы!$I$2:$I$6000,MATCH($C222,спр_Работы!$A$2:$A$6000,0))/100,0))*(1-ДисконтТендер),0))</f>
        <v/>
      </c>
      <c r="N222" s="10">
        <f>IF(AND($R222="да",$H222&lt;&gt;""),ROUND($H222*$L222,2),0)</f>
        <v/>
      </c>
      <c r="O222" s="10">
        <f>IF(AND($R222="да",$H222&lt;&gt;""),ROUND($H222*$M222,2),0)</f>
        <v/>
      </c>
      <c r="P222" s="10">
        <f>$N222+$O222</f>
        <v/>
      </c>
      <c r="Q222">
        <f>IFERROR(INDEX(спр_Работы!$J$2:$J$6000,MATCH($C222,спр_Работы!$A$2:$A$6000,0)),"")</f>
        <v/>
      </c>
      <c r="R222" t="inlineStr">
        <is>
          <t>да</t>
        </is>
      </c>
      <c r="T222">
        <f>IF(AND($P222&gt;0,$R222="да"),MAX($T$1:$T221)+1,"")</f>
        <v/>
      </c>
    </row>
    <row r="223">
      <c r="A223">
        <f>IFERROR(INDEX(спр_Работы!$D$2:$D$6000,MATCH($C223,спр_Работы!$A$2:$A$6000,0)),"")</f>
        <v/>
      </c>
      <c r="B223">
        <f>IFERROR(INDEX(спр_Работы!$F$2:$F$6000,MATCH($C223,спр_Работы!$A$2:$A$6000,0)),"")</f>
        <v/>
      </c>
      <c r="C223">
        <f>IFERROR(INDEX(спр_Работы!$A$2:$A$6000,222),"")</f>
        <v/>
      </c>
      <c r="D223" s="8">
        <f>IFERROR(INDEX(спр_Работы!$B$2:$B$6000,MATCH($C223,спр_Работы!$A$2:$A$6000,0)),"")</f>
        <v/>
      </c>
      <c r="E223">
        <f>IFERROR(INDEX(спр_Работы!$C$2:$C$6000,MATCH($C223,спр_Работы!$A$2:$A$6000,0)),"")</f>
        <v/>
      </c>
      <c r="F223">
        <f>IFERROR(INDEX(спр_Работы!$G$2:$G$6000,MATCH($C223,спр_Работы!$A$2:$A$6000,0)),"")</f>
        <v/>
      </c>
      <c r="G223">
        <f>IFERROR(INDEX(спр_Работы!$K$2:$K$6000,MATCH($C223,спр_Работы!$A$2:$A$6000,0)),"")</f>
        <v/>
      </c>
      <c r="H223" s="9" t="n"/>
      <c r="I223" s="9" t="n"/>
      <c r="J223" s="8">
        <f>IFERROR(INDEX(спр_Материалы!$B$2:$B$9000,MATCH($I223,спр_Материалы!$A$2:$A$9000,0)),"")</f>
        <v/>
      </c>
      <c r="K223">
        <f>IF($I223="","",IF($F223=IFERROR(INDEX(спр_Материалы!$G$2:$G$9000,MATCH($I223,спр_Материалы!$A$2:$A$9000,0)),""),"OK","!! не та группа"))</f>
        <v/>
      </c>
      <c r="L223" s="10">
        <f>IFERROR(INDEX(спр_Работы!$H$2:$H$6000,MATCH($C223,спр_Работы!$A$2:$A$6000,0))*(1-ДисконтТендер),0)</f>
        <v/>
      </c>
      <c r="M223" s="10">
        <f>IF($I223="",0,IFERROR(INDEX(спр_Материалы!$I$2:$I$9000,MATCH($I223,спр_Материалы!$A$2:$A$9000,0))*IF(INDEX(спр_Материалы!$J$2:$J$9000,MATCH($I223,спр_Материалы!$A$2:$A$9000,0))="USD",КурсUSD,IF(INDEX(спр_Материалы!$J$2:$J$9000,MATCH($I223,спр_Материалы!$A$2:$A$9000,0))="EUR",КурсEUR,1))*INDEX(спр_Материалы!$K$2:$K$9000,MATCH($I223,спр_Материалы!$A$2:$A$9000,0))*(1+IFERROR(INDEX(спр_Работы!$I$2:$I$6000,MATCH($C223,спр_Работы!$A$2:$A$6000,0))/100,0))*(1-ДисконтТендер),0))</f>
        <v/>
      </c>
      <c r="N223" s="10">
        <f>IF(AND($R223="да",$H223&lt;&gt;""),ROUND($H223*$L223,2),0)</f>
        <v/>
      </c>
      <c r="O223" s="10">
        <f>IF(AND($R223="да",$H223&lt;&gt;""),ROUND($H223*$M223,2),0)</f>
        <v/>
      </c>
      <c r="P223" s="10">
        <f>$N223+$O223</f>
        <v/>
      </c>
      <c r="Q223">
        <f>IFERROR(INDEX(спр_Работы!$J$2:$J$6000,MATCH($C223,спр_Работы!$A$2:$A$6000,0)),"")</f>
        <v/>
      </c>
      <c r="R223" t="inlineStr">
        <is>
          <t>да</t>
        </is>
      </c>
      <c r="T223">
        <f>IF(AND($P223&gt;0,$R223="да"),MAX($T$1:$T222)+1,"")</f>
        <v/>
      </c>
    </row>
    <row r="224">
      <c r="A224">
        <f>IFERROR(INDEX(спр_Работы!$D$2:$D$6000,MATCH($C224,спр_Работы!$A$2:$A$6000,0)),"")</f>
        <v/>
      </c>
      <c r="B224">
        <f>IFERROR(INDEX(спр_Работы!$F$2:$F$6000,MATCH($C224,спр_Работы!$A$2:$A$6000,0)),"")</f>
        <v/>
      </c>
      <c r="C224">
        <f>IFERROR(INDEX(спр_Работы!$A$2:$A$6000,223),"")</f>
        <v/>
      </c>
      <c r="D224" s="8">
        <f>IFERROR(INDEX(спр_Работы!$B$2:$B$6000,MATCH($C224,спр_Работы!$A$2:$A$6000,0)),"")</f>
        <v/>
      </c>
      <c r="E224">
        <f>IFERROR(INDEX(спр_Работы!$C$2:$C$6000,MATCH($C224,спр_Работы!$A$2:$A$6000,0)),"")</f>
        <v/>
      </c>
      <c r="F224">
        <f>IFERROR(INDEX(спр_Работы!$G$2:$G$6000,MATCH($C224,спр_Работы!$A$2:$A$6000,0)),"")</f>
        <v/>
      </c>
      <c r="G224">
        <f>IFERROR(INDEX(спр_Работы!$K$2:$K$6000,MATCH($C224,спр_Работы!$A$2:$A$6000,0)),"")</f>
        <v/>
      </c>
      <c r="H224" s="9" t="n"/>
      <c r="I224" s="9" t="n"/>
      <c r="J224" s="8">
        <f>IFERROR(INDEX(спр_Материалы!$B$2:$B$9000,MATCH($I224,спр_Материалы!$A$2:$A$9000,0)),"")</f>
        <v/>
      </c>
      <c r="K224">
        <f>IF($I224="","",IF($F224=IFERROR(INDEX(спр_Материалы!$G$2:$G$9000,MATCH($I224,спр_Материалы!$A$2:$A$9000,0)),""),"OK","!! не та группа"))</f>
        <v/>
      </c>
      <c r="L224" s="10">
        <f>IFERROR(INDEX(спр_Работы!$H$2:$H$6000,MATCH($C224,спр_Работы!$A$2:$A$6000,0))*(1-ДисконтТендер),0)</f>
        <v/>
      </c>
      <c r="M224" s="10">
        <f>IF($I224="",0,IFERROR(INDEX(спр_Материалы!$I$2:$I$9000,MATCH($I224,спр_Материалы!$A$2:$A$9000,0))*IF(INDEX(спр_Материалы!$J$2:$J$9000,MATCH($I224,спр_Материалы!$A$2:$A$9000,0))="USD",КурсUSD,IF(INDEX(спр_Материалы!$J$2:$J$9000,MATCH($I224,спр_Материалы!$A$2:$A$9000,0))="EUR",КурсEUR,1))*INDEX(спр_Материалы!$K$2:$K$9000,MATCH($I224,спр_Материалы!$A$2:$A$9000,0))*(1+IFERROR(INDEX(спр_Работы!$I$2:$I$6000,MATCH($C224,спр_Работы!$A$2:$A$6000,0))/100,0))*(1-ДисконтТендер),0))</f>
        <v/>
      </c>
      <c r="N224" s="10">
        <f>IF(AND($R224="да",$H224&lt;&gt;""),ROUND($H224*$L224,2),0)</f>
        <v/>
      </c>
      <c r="O224" s="10">
        <f>IF(AND($R224="да",$H224&lt;&gt;""),ROUND($H224*$M224,2),0)</f>
        <v/>
      </c>
      <c r="P224" s="10">
        <f>$N224+$O224</f>
        <v/>
      </c>
      <c r="Q224">
        <f>IFERROR(INDEX(спр_Работы!$J$2:$J$6000,MATCH($C224,спр_Работы!$A$2:$A$6000,0)),"")</f>
        <v/>
      </c>
      <c r="R224" t="inlineStr">
        <is>
          <t>да</t>
        </is>
      </c>
      <c r="T224">
        <f>IF(AND($P224&gt;0,$R224="да"),MAX($T$1:$T223)+1,"")</f>
        <v/>
      </c>
    </row>
    <row r="225">
      <c r="A225">
        <f>IFERROR(INDEX(спр_Работы!$D$2:$D$6000,MATCH($C225,спр_Работы!$A$2:$A$6000,0)),"")</f>
        <v/>
      </c>
      <c r="B225">
        <f>IFERROR(INDEX(спр_Работы!$F$2:$F$6000,MATCH($C225,спр_Работы!$A$2:$A$6000,0)),"")</f>
        <v/>
      </c>
      <c r="C225">
        <f>IFERROR(INDEX(спр_Работы!$A$2:$A$6000,224),"")</f>
        <v/>
      </c>
      <c r="D225" s="8">
        <f>IFERROR(INDEX(спр_Работы!$B$2:$B$6000,MATCH($C225,спр_Работы!$A$2:$A$6000,0)),"")</f>
        <v/>
      </c>
      <c r="E225">
        <f>IFERROR(INDEX(спр_Работы!$C$2:$C$6000,MATCH($C225,спр_Работы!$A$2:$A$6000,0)),"")</f>
        <v/>
      </c>
      <c r="F225">
        <f>IFERROR(INDEX(спр_Работы!$G$2:$G$6000,MATCH($C225,спр_Работы!$A$2:$A$6000,0)),"")</f>
        <v/>
      </c>
      <c r="G225">
        <f>IFERROR(INDEX(спр_Работы!$K$2:$K$6000,MATCH($C225,спр_Работы!$A$2:$A$6000,0)),"")</f>
        <v/>
      </c>
      <c r="H225" s="9" t="n"/>
      <c r="I225" s="9" t="n"/>
      <c r="J225" s="8">
        <f>IFERROR(INDEX(спр_Материалы!$B$2:$B$9000,MATCH($I225,спр_Материалы!$A$2:$A$9000,0)),"")</f>
        <v/>
      </c>
      <c r="K225">
        <f>IF($I225="","",IF($F225=IFERROR(INDEX(спр_Материалы!$G$2:$G$9000,MATCH($I225,спр_Материалы!$A$2:$A$9000,0)),""),"OK","!! не та группа"))</f>
        <v/>
      </c>
      <c r="L225" s="10">
        <f>IFERROR(INDEX(спр_Работы!$H$2:$H$6000,MATCH($C225,спр_Работы!$A$2:$A$6000,0))*(1-ДисконтТендер),0)</f>
        <v/>
      </c>
      <c r="M225" s="10">
        <f>IF($I225="",0,IFERROR(INDEX(спр_Материалы!$I$2:$I$9000,MATCH($I225,спр_Материалы!$A$2:$A$9000,0))*IF(INDEX(спр_Материалы!$J$2:$J$9000,MATCH($I225,спр_Материалы!$A$2:$A$9000,0))="USD",КурсUSD,IF(INDEX(спр_Материалы!$J$2:$J$9000,MATCH($I225,спр_Материалы!$A$2:$A$9000,0))="EUR",КурсEUR,1))*INDEX(спр_Материалы!$K$2:$K$9000,MATCH($I225,спр_Материалы!$A$2:$A$9000,0))*(1+IFERROR(INDEX(спр_Работы!$I$2:$I$6000,MATCH($C225,спр_Работы!$A$2:$A$6000,0))/100,0))*(1-ДисконтТендер),0))</f>
        <v/>
      </c>
      <c r="N225" s="10">
        <f>IF(AND($R225="да",$H225&lt;&gt;""),ROUND($H225*$L225,2),0)</f>
        <v/>
      </c>
      <c r="O225" s="10">
        <f>IF(AND($R225="да",$H225&lt;&gt;""),ROUND($H225*$M225,2),0)</f>
        <v/>
      </c>
      <c r="P225" s="10">
        <f>$N225+$O225</f>
        <v/>
      </c>
      <c r="Q225">
        <f>IFERROR(INDEX(спр_Работы!$J$2:$J$6000,MATCH($C225,спр_Работы!$A$2:$A$6000,0)),"")</f>
        <v/>
      </c>
      <c r="R225" t="inlineStr">
        <is>
          <t>да</t>
        </is>
      </c>
      <c r="T225">
        <f>IF(AND($P225&gt;0,$R225="да"),MAX($T$1:$T224)+1,"")</f>
        <v/>
      </c>
    </row>
    <row r="226">
      <c r="A226">
        <f>IFERROR(INDEX(спр_Работы!$D$2:$D$6000,MATCH($C226,спр_Работы!$A$2:$A$6000,0)),"")</f>
        <v/>
      </c>
      <c r="B226">
        <f>IFERROR(INDEX(спр_Работы!$F$2:$F$6000,MATCH($C226,спр_Работы!$A$2:$A$6000,0)),"")</f>
        <v/>
      </c>
      <c r="C226">
        <f>IFERROR(INDEX(спр_Работы!$A$2:$A$6000,225),"")</f>
        <v/>
      </c>
      <c r="D226" s="8">
        <f>IFERROR(INDEX(спр_Работы!$B$2:$B$6000,MATCH($C226,спр_Работы!$A$2:$A$6000,0)),"")</f>
        <v/>
      </c>
      <c r="E226">
        <f>IFERROR(INDEX(спр_Работы!$C$2:$C$6000,MATCH($C226,спр_Работы!$A$2:$A$6000,0)),"")</f>
        <v/>
      </c>
      <c r="F226">
        <f>IFERROR(INDEX(спр_Работы!$G$2:$G$6000,MATCH($C226,спр_Работы!$A$2:$A$6000,0)),"")</f>
        <v/>
      </c>
      <c r="G226">
        <f>IFERROR(INDEX(спр_Работы!$K$2:$K$6000,MATCH($C226,спр_Работы!$A$2:$A$6000,0)),"")</f>
        <v/>
      </c>
      <c r="H226" s="9" t="n"/>
      <c r="I226" s="9" t="n"/>
      <c r="J226" s="8">
        <f>IFERROR(INDEX(спр_Материалы!$B$2:$B$9000,MATCH($I226,спр_Материалы!$A$2:$A$9000,0)),"")</f>
        <v/>
      </c>
      <c r="K226">
        <f>IF($I226="","",IF($F226=IFERROR(INDEX(спр_Материалы!$G$2:$G$9000,MATCH($I226,спр_Материалы!$A$2:$A$9000,0)),""),"OK","!! не та группа"))</f>
        <v/>
      </c>
      <c r="L226" s="10">
        <f>IFERROR(INDEX(спр_Работы!$H$2:$H$6000,MATCH($C226,спр_Работы!$A$2:$A$6000,0))*(1-ДисконтТендер),0)</f>
        <v/>
      </c>
      <c r="M226" s="10">
        <f>IF($I226="",0,IFERROR(INDEX(спр_Материалы!$I$2:$I$9000,MATCH($I226,спр_Материалы!$A$2:$A$9000,0))*IF(INDEX(спр_Материалы!$J$2:$J$9000,MATCH($I226,спр_Материалы!$A$2:$A$9000,0))="USD",КурсUSD,IF(INDEX(спр_Материалы!$J$2:$J$9000,MATCH($I226,спр_Материалы!$A$2:$A$9000,0))="EUR",КурсEUR,1))*INDEX(спр_Материалы!$K$2:$K$9000,MATCH($I226,спр_Материалы!$A$2:$A$9000,0))*(1+IFERROR(INDEX(спр_Работы!$I$2:$I$6000,MATCH($C226,спр_Работы!$A$2:$A$6000,0))/100,0))*(1-ДисконтТендер),0))</f>
        <v/>
      </c>
      <c r="N226" s="10">
        <f>IF(AND($R226="да",$H226&lt;&gt;""),ROUND($H226*$L226,2),0)</f>
        <v/>
      </c>
      <c r="O226" s="10">
        <f>IF(AND($R226="да",$H226&lt;&gt;""),ROUND($H226*$M226,2),0)</f>
        <v/>
      </c>
      <c r="P226" s="10">
        <f>$N226+$O226</f>
        <v/>
      </c>
      <c r="Q226">
        <f>IFERROR(INDEX(спр_Работы!$J$2:$J$6000,MATCH($C226,спр_Работы!$A$2:$A$6000,0)),"")</f>
        <v/>
      </c>
      <c r="R226" t="inlineStr">
        <is>
          <t>да</t>
        </is>
      </c>
      <c r="T226">
        <f>IF(AND($P226&gt;0,$R226="да"),MAX($T$1:$T225)+1,"")</f>
        <v/>
      </c>
    </row>
    <row r="227">
      <c r="A227">
        <f>IFERROR(INDEX(спр_Работы!$D$2:$D$6000,MATCH($C227,спр_Работы!$A$2:$A$6000,0)),"")</f>
        <v/>
      </c>
      <c r="B227">
        <f>IFERROR(INDEX(спр_Работы!$F$2:$F$6000,MATCH($C227,спр_Работы!$A$2:$A$6000,0)),"")</f>
        <v/>
      </c>
      <c r="C227">
        <f>IFERROR(INDEX(спр_Работы!$A$2:$A$6000,226),"")</f>
        <v/>
      </c>
      <c r="D227" s="8">
        <f>IFERROR(INDEX(спр_Работы!$B$2:$B$6000,MATCH($C227,спр_Работы!$A$2:$A$6000,0)),"")</f>
        <v/>
      </c>
      <c r="E227">
        <f>IFERROR(INDEX(спр_Работы!$C$2:$C$6000,MATCH($C227,спр_Работы!$A$2:$A$6000,0)),"")</f>
        <v/>
      </c>
      <c r="F227">
        <f>IFERROR(INDEX(спр_Работы!$G$2:$G$6000,MATCH($C227,спр_Работы!$A$2:$A$6000,0)),"")</f>
        <v/>
      </c>
      <c r="G227">
        <f>IFERROR(INDEX(спр_Работы!$K$2:$K$6000,MATCH($C227,спр_Работы!$A$2:$A$6000,0)),"")</f>
        <v/>
      </c>
      <c r="H227" s="9" t="n"/>
      <c r="I227" s="9" t="n"/>
      <c r="J227" s="8">
        <f>IFERROR(INDEX(спр_Материалы!$B$2:$B$9000,MATCH($I227,спр_Материалы!$A$2:$A$9000,0)),"")</f>
        <v/>
      </c>
      <c r="K227">
        <f>IF($I227="","",IF($F227=IFERROR(INDEX(спр_Материалы!$G$2:$G$9000,MATCH($I227,спр_Материалы!$A$2:$A$9000,0)),""),"OK","!! не та группа"))</f>
        <v/>
      </c>
      <c r="L227" s="10">
        <f>IFERROR(INDEX(спр_Работы!$H$2:$H$6000,MATCH($C227,спр_Работы!$A$2:$A$6000,0))*(1-ДисконтТендер),0)</f>
        <v/>
      </c>
      <c r="M227" s="10">
        <f>IF($I227="",0,IFERROR(INDEX(спр_Материалы!$I$2:$I$9000,MATCH($I227,спр_Материалы!$A$2:$A$9000,0))*IF(INDEX(спр_Материалы!$J$2:$J$9000,MATCH($I227,спр_Материалы!$A$2:$A$9000,0))="USD",КурсUSD,IF(INDEX(спр_Материалы!$J$2:$J$9000,MATCH($I227,спр_Материалы!$A$2:$A$9000,0))="EUR",КурсEUR,1))*INDEX(спр_Материалы!$K$2:$K$9000,MATCH($I227,спр_Материалы!$A$2:$A$9000,0))*(1+IFERROR(INDEX(спр_Работы!$I$2:$I$6000,MATCH($C227,спр_Работы!$A$2:$A$6000,0))/100,0))*(1-ДисконтТендер),0))</f>
        <v/>
      </c>
      <c r="N227" s="10">
        <f>IF(AND($R227="да",$H227&lt;&gt;""),ROUND($H227*$L227,2),0)</f>
        <v/>
      </c>
      <c r="O227" s="10">
        <f>IF(AND($R227="да",$H227&lt;&gt;""),ROUND($H227*$M227,2),0)</f>
        <v/>
      </c>
      <c r="P227" s="10">
        <f>$N227+$O227</f>
        <v/>
      </c>
      <c r="Q227">
        <f>IFERROR(INDEX(спр_Работы!$J$2:$J$6000,MATCH($C227,спр_Работы!$A$2:$A$6000,0)),"")</f>
        <v/>
      </c>
      <c r="R227" t="inlineStr">
        <is>
          <t>да</t>
        </is>
      </c>
      <c r="T227">
        <f>IF(AND($P227&gt;0,$R227="да"),MAX($T$1:$T226)+1,"")</f>
        <v/>
      </c>
    </row>
    <row r="228">
      <c r="A228">
        <f>IFERROR(INDEX(спр_Работы!$D$2:$D$6000,MATCH($C228,спр_Работы!$A$2:$A$6000,0)),"")</f>
        <v/>
      </c>
      <c r="B228">
        <f>IFERROR(INDEX(спр_Работы!$F$2:$F$6000,MATCH($C228,спр_Работы!$A$2:$A$6000,0)),"")</f>
        <v/>
      </c>
      <c r="C228">
        <f>IFERROR(INDEX(спр_Работы!$A$2:$A$6000,227),"")</f>
        <v/>
      </c>
      <c r="D228" s="8">
        <f>IFERROR(INDEX(спр_Работы!$B$2:$B$6000,MATCH($C228,спр_Работы!$A$2:$A$6000,0)),"")</f>
        <v/>
      </c>
      <c r="E228">
        <f>IFERROR(INDEX(спр_Работы!$C$2:$C$6000,MATCH($C228,спр_Работы!$A$2:$A$6000,0)),"")</f>
        <v/>
      </c>
      <c r="F228">
        <f>IFERROR(INDEX(спр_Работы!$G$2:$G$6000,MATCH($C228,спр_Работы!$A$2:$A$6000,0)),"")</f>
        <v/>
      </c>
      <c r="G228">
        <f>IFERROR(INDEX(спр_Работы!$K$2:$K$6000,MATCH($C228,спр_Работы!$A$2:$A$6000,0)),"")</f>
        <v/>
      </c>
      <c r="H228" s="9" t="n"/>
      <c r="I228" s="9" t="n"/>
      <c r="J228" s="8">
        <f>IFERROR(INDEX(спр_Материалы!$B$2:$B$9000,MATCH($I228,спр_Материалы!$A$2:$A$9000,0)),"")</f>
        <v/>
      </c>
      <c r="K228">
        <f>IF($I228="","",IF($F228=IFERROR(INDEX(спр_Материалы!$G$2:$G$9000,MATCH($I228,спр_Материалы!$A$2:$A$9000,0)),""),"OK","!! не та группа"))</f>
        <v/>
      </c>
      <c r="L228" s="10">
        <f>IFERROR(INDEX(спр_Работы!$H$2:$H$6000,MATCH($C228,спр_Работы!$A$2:$A$6000,0))*(1-ДисконтТендер),0)</f>
        <v/>
      </c>
      <c r="M228" s="10">
        <f>IF($I228="",0,IFERROR(INDEX(спр_Материалы!$I$2:$I$9000,MATCH($I228,спр_Материалы!$A$2:$A$9000,0))*IF(INDEX(спр_Материалы!$J$2:$J$9000,MATCH($I228,спр_Материалы!$A$2:$A$9000,0))="USD",КурсUSD,IF(INDEX(спр_Материалы!$J$2:$J$9000,MATCH($I228,спр_Материалы!$A$2:$A$9000,0))="EUR",КурсEUR,1))*INDEX(спр_Материалы!$K$2:$K$9000,MATCH($I228,спр_Материалы!$A$2:$A$9000,0))*(1+IFERROR(INDEX(спр_Работы!$I$2:$I$6000,MATCH($C228,спр_Работы!$A$2:$A$6000,0))/100,0))*(1-ДисконтТендер),0))</f>
        <v/>
      </c>
      <c r="N228" s="10">
        <f>IF(AND($R228="да",$H228&lt;&gt;""),ROUND($H228*$L228,2),0)</f>
        <v/>
      </c>
      <c r="O228" s="10">
        <f>IF(AND($R228="да",$H228&lt;&gt;""),ROUND($H228*$M228,2),0)</f>
        <v/>
      </c>
      <c r="P228" s="10">
        <f>$N228+$O228</f>
        <v/>
      </c>
      <c r="Q228">
        <f>IFERROR(INDEX(спр_Работы!$J$2:$J$6000,MATCH($C228,спр_Работы!$A$2:$A$6000,0)),"")</f>
        <v/>
      </c>
      <c r="R228" t="inlineStr">
        <is>
          <t>да</t>
        </is>
      </c>
      <c r="T228">
        <f>IF(AND($P228&gt;0,$R228="да"),MAX($T$1:$T227)+1,"")</f>
        <v/>
      </c>
    </row>
    <row r="229">
      <c r="A229">
        <f>IFERROR(INDEX(спр_Работы!$D$2:$D$6000,MATCH($C229,спр_Работы!$A$2:$A$6000,0)),"")</f>
        <v/>
      </c>
      <c r="B229">
        <f>IFERROR(INDEX(спр_Работы!$F$2:$F$6000,MATCH($C229,спр_Работы!$A$2:$A$6000,0)),"")</f>
        <v/>
      </c>
      <c r="C229">
        <f>IFERROR(INDEX(спр_Работы!$A$2:$A$6000,228),"")</f>
        <v/>
      </c>
      <c r="D229" s="8">
        <f>IFERROR(INDEX(спр_Работы!$B$2:$B$6000,MATCH($C229,спр_Работы!$A$2:$A$6000,0)),"")</f>
        <v/>
      </c>
      <c r="E229">
        <f>IFERROR(INDEX(спр_Работы!$C$2:$C$6000,MATCH($C229,спр_Работы!$A$2:$A$6000,0)),"")</f>
        <v/>
      </c>
      <c r="F229">
        <f>IFERROR(INDEX(спр_Работы!$G$2:$G$6000,MATCH($C229,спр_Работы!$A$2:$A$6000,0)),"")</f>
        <v/>
      </c>
      <c r="G229">
        <f>IFERROR(INDEX(спр_Работы!$K$2:$K$6000,MATCH($C229,спр_Работы!$A$2:$A$6000,0)),"")</f>
        <v/>
      </c>
      <c r="H229" s="9" t="n"/>
      <c r="I229" s="9" t="n"/>
      <c r="J229" s="8">
        <f>IFERROR(INDEX(спр_Материалы!$B$2:$B$9000,MATCH($I229,спр_Материалы!$A$2:$A$9000,0)),"")</f>
        <v/>
      </c>
      <c r="K229">
        <f>IF($I229="","",IF($F229=IFERROR(INDEX(спр_Материалы!$G$2:$G$9000,MATCH($I229,спр_Материалы!$A$2:$A$9000,0)),""),"OK","!! не та группа"))</f>
        <v/>
      </c>
      <c r="L229" s="10">
        <f>IFERROR(INDEX(спр_Работы!$H$2:$H$6000,MATCH($C229,спр_Работы!$A$2:$A$6000,0))*(1-ДисконтТендер),0)</f>
        <v/>
      </c>
      <c r="M229" s="10">
        <f>IF($I229="",0,IFERROR(INDEX(спр_Материалы!$I$2:$I$9000,MATCH($I229,спр_Материалы!$A$2:$A$9000,0))*IF(INDEX(спр_Материалы!$J$2:$J$9000,MATCH($I229,спр_Материалы!$A$2:$A$9000,0))="USD",КурсUSD,IF(INDEX(спр_Материалы!$J$2:$J$9000,MATCH($I229,спр_Материалы!$A$2:$A$9000,0))="EUR",КурсEUR,1))*INDEX(спр_Материалы!$K$2:$K$9000,MATCH($I229,спр_Материалы!$A$2:$A$9000,0))*(1+IFERROR(INDEX(спр_Работы!$I$2:$I$6000,MATCH($C229,спр_Работы!$A$2:$A$6000,0))/100,0))*(1-ДисконтТендер),0))</f>
        <v/>
      </c>
      <c r="N229" s="10">
        <f>IF(AND($R229="да",$H229&lt;&gt;""),ROUND($H229*$L229,2),0)</f>
        <v/>
      </c>
      <c r="O229" s="10">
        <f>IF(AND($R229="да",$H229&lt;&gt;""),ROUND($H229*$M229,2),0)</f>
        <v/>
      </c>
      <c r="P229" s="10">
        <f>$N229+$O229</f>
        <v/>
      </c>
      <c r="Q229">
        <f>IFERROR(INDEX(спр_Работы!$J$2:$J$6000,MATCH($C229,спр_Работы!$A$2:$A$6000,0)),"")</f>
        <v/>
      </c>
      <c r="R229" t="inlineStr">
        <is>
          <t>да</t>
        </is>
      </c>
      <c r="T229">
        <f>IF(AND($P229&gt;0,$R229="да"),MAX($T$1:$T228)+1,"")</f>
        <v/>
      </c>
    </row>
    <row r="230">
      <c r="A230">
        <f>IFERROR(INDEX(спр_Работы!$D$2:$D$6000,MATCH($C230,спр_Работы!$A$2:$A$6000,0)),"")</f>
        <v/>
      </c>
      <c r="B230">
        <f>IFERROR(INDEX(спр_Работы!$F$2:$F$6000,MATCH($C230,спр_Работы!$A$2:$A$6000,0)),"")</f>
        <v/>
      </c>
      <c r="C230">
        <f>IFERROR(INDEX(спр_Работы!$A$2:$A$6000,229),"")</f>
        <v/>
      </c>
      <c r="D230" s="8">
        <f>IFERROR(INDEX(спр_Работы!$B$2:$B$6000,MATCH($C230,спр_Работы!$A$2:$A$6000,0)),"")</f>
        <v/>
      </c>
      <c r="E230">
        <f>IFERROR(INDEX(спр_Работы!$C$2:$C$6000,MATCH($C230,спр_Работы!$A$2:$A$6000,0)),"")</f>
        <v/>
      </c>
      <c r="F230">
        <f>IFERROR(INDEX(спр_Работы!$G$2:$G$6000,MATCH($C230,спр_Работы!$A$2:$A$6000,0)),"")</f>
        <v/>
      </c>
      <c r="G230">
        <f>IFERROR(INDEX(спр_Работы!$K$2:$K$6000,MATCH($C230,спр_Работы!$A$2:$A$6000,0)),"")</f>
        <v/>
      </c>
      <c r="H230" s="9" t="n"/>
      <c r="I230" s="9" t="n"/>
      <c r="J230" s="8">
        <f>IFERROR(INDEX(спр_Материалы!$B$2:$B$9000,MATCH($I230,спр_Материалы!$A$2:$A$9000,0)),"")</f>
        <v/>
      </c>
      <c r="K230">
        <f>IF($I230="","",IF($F230=IFERROR(INDEX(спр_Материалы!$G$2:$G$9000,MATCH($I230,спр_Материалы!$A$2:$A$9000,0)),""),"OK","!! не та группа"))</f>
        <v/>
      </c>
      <c r="L230" s="10">
        <f>IFERROR(INDEX(спр_Работы!$H$2:$H$6000,MATCH($C230,спр_Работы!$A$2:$A$6000,0))*(1-ДисконтТендер),0)</f>
        <v/>
      </c>
      <c r="M230" s="10">
        <f>IF($I230="",0,IFERROR(INDEX(спр_Материалы!$I$2:$I$9000,MATCH($I230,спр_Материалы!$A$2:$A$9000,0))*IF(INDEX(спр_Материалы!$J$2:$J$9000,MATCH($I230,спр_Материалы!$A$2:$A$9000,0))="USD",КурсUSD,IF(INDEX(спр_Материалы!$J$2:$J$9000,MATCH($I230,спр_Материалы!$A$2:$A$9000,0))="EUR",КурсEUR,1))*INDEX(спр_Материалы!$K$2:$K$9000,MATCH($I230,спр_Материалы!$A$2:$A$9000,0))*(1+IFERROR(INDEX(спр_Работы!$I$2:$I$6000,MATCH($C230,спр_Работы!$A$2:$A$6000,0))/100,0))*(1-ДисконтТендер),0))</f>
        <v/>
      </c>
      <c r="N230" s="10">
        <f>IF(AND($R230="да",$H230&lt;&gt;""),ROUND($H230*$L230,2),0)</f>
        <v/>
      </c>
      <c r="O230" s="10">
        <f>IF(AND($R230="да",$H230&lt;&gt;""),ROUND($H230*$M230,2),0)</f>
        <v/>
      </c>
      <c r="P230" s="10">
        <f>$N230+$O230</f>
        <v/>
      </c>
      <c r="Q230">
        <f>IFERROR(INDEX(спр_Работы!$J$2:$J$6000,MATCH($C230,спр_Работы!$A$2:$A$6000,0)),"")</f>
        <v/>
      </c>
      <c r="R230" t="inlineStr">
        <is>
          <t>да</t>
        </is>
      </c>
      <c r="T230">
        <f>IF(AND($P230&gt;0,$R230="да"),MAX($T$1:$T229)+1,"")</f>
        <v/>
      </c>
    </row>
    <row r="231">
      <c r="A231">
        <f>IFERROR(INDEX(спр_Работы!$D$2:$D$6000,MATCH($C231,спр_Работы!$A$2:$A$6000,0)),"")</f>
        <v/>
      </c>
      <c r="B231">
        <f>IFERROR(INDEX(спр_Работы!$F$2:$F$6000,MATCH($C231,спр_Работы!$A$2:$A$6000,0)),"")</f>
        <v/>
      </c>
      <c r="C231">
        <f>IFERROR(INDEX(спр_Работы!$A$2:$A$6000,230),"")</f>
        <v/>
      </c>
      <c r="D231" s="8">
        <f>IFERROR(INDEX(спр_Работы!$B$2:$B$6000,MATCH($C231,спр_Работы!$A$2:$A$6000,0)),"")</f>
        <v/>
      </c>
      <c r="E231">
        <f>IFERROR(INDEX(спр_Работы!$C$2:$C$6000,MATCH($C231,спр_Работы!$A$2:$A$6000,0)),"")</f>
        <v/>
      </c>
      <c r="F231">
        <f>IFERROR(INDEX(спр_Работы!$G$2:$G$6000,MATCH($C231,спр_Работы!$A$2:$A$6000,0)),"")</f>
        <v/>
      </c>
      <c r="G231">
        <f>IFERROR(INDEX(спр_Работы!$K$2:$K$6000,MATCH($C231,спр_Работы!$A$2:$A$6000,0)),"")</f>
        <v/>
      </c>
      <c r="H231" s="9" t="n"/>
      <c r="I231" s="9" t="n"/>
      <c r="J231" s="8">
        <f>IFERROR(INDEX(спр_Материалы!$B$2:$B$9000,MATCH($I231,спр_Материалы!$A$2:$A$9000,0)),"")</f>
        <v/>
      </c>
      <c r="K231">
        <f>IF($I231="","",IF($F231=IFERROR(INDEX(спр_Материалы!$G$2:$G$9000,MATCH($I231,спр_Материалы!$A$2:$A$9000,0)),""),"OK","!! не та группа"))</f>
        <v/>
      </c>
      <c r="L231" s="10">
        <f>IFERROR(INDEX(спр_Работы!$H$2:$H$6000,MATCH($C231,спр_Работы!$A$2:$A$6000,0))*(1-ДисконтТендер),0)</f>
        <v/>
      </c>
      <c r="M231" s="10">
        <f>IF($I231="",0,IFERROR(INDEX(спр_Материалы!$I$2:$I$9000,MATCH($I231,спр_Материалы!$A$2:$A$9000,0))*IF(INDEX(спр_Материалы!$J$2:$J$9000,MATCH($I231,спр_Материалы!$A$2:$A$9000,0))="USD",КурсUSD,IF(INDEX(спр_Материалы!$J$2:$J$9000,MATCH($I231,спр_Материалы!$A$2:$A$9000,0))="EUR",КурсEUR,1))*INDEX(спр_Материалы!$K$2:$K$9000,MATCH($I231,спр_Материалы!$A$2:$A$9000,0))*(1+IFERROR(INDEX(спр_Работы!$I$2:$I$6000,MATCH($C231,спр_Работы!$A$2:$A$6000,0))/100,0))*(1-ДисконтТендер),0))</f>
        <v/>
      </c>
      <c r="N231" s="10">
        <f>IF(AND($R231="да",$H231&lt;&gt;""),ROUND($H231*$L231,2),0)</f>
        <v/>
      </c>
      <c r="O231" s="10">
        <f>IF(AND($R231="да",$H231&lt;&gt;""),ROUND($H231*$M231,2),0)</f>
        <v/>
      </c>
      <c r="P231" s="10">
        <f>$N231+$O231</f>
        <v/>
      </c>
      <c r="Q231">
        <f>IFERROR(INDEX(спр_Работы!$J$2:$J$6000,MATCH($C231,спр_Работы!$A$2:$A$6000,0)),"")</f>
        <v/>
      </c>
      <c r="R231" t="inlineStr">
        <is>
          <t>да</t>
        </is>
      </c>
      <c r="T231">
        <f>IF(AND($P231&gt;0,$R231="да"),MAX($T$1:$T230)+1,"")</f>
        <v/>
      </c>
    </row>
    <row r="232">
      <c r="A232">
        <f>IFERROR(INDEX(спр_Работы!$D$2:$D$6000,MATCH($C232,спр_Работы!$A$2:$A$6000,0)),"")</f>
        <v/>
      </c>
      <c r="B232">
        <f>IFERROR(INDEX(спр_Работы!$F$2:$F$6000,MATCH($C232,спр_Работы!$A$2:$A$6000,0)),"")</f>
        <v/>
      </c>
      <c r="C232">
        <f>IFERROR(INDEX(спр_Работы!$A$2:$A$6000,231),"")</f>
        <v/>
      </c>
      <c r="D232" s="8">
        <f>IFERROR(INDEX(спр_Работы!$B$2:$B$6000,MATCH($C232,спр_Работы!$A$2:$A$6000,0)),"")</f>
        <v/>
      </c>
      <c r="E232">
        <f>IFERROR(INDEX(спр_Работы!$C$2:$C$6000,MATCH($C232,спр_Работы!$A$2:$A$6000,0)),"")</f>
        <v/>
      </c>
      <c r="F232">
        <f>IFERROR(INDEX(спр_Работы!$G$2:$G$6000,MATCH($C232,спр_Работы!$A$2:$A$6000,0)),"")</f>
        <v/>
      </c>
      <c r="G232">
        <f>IFERROR(INDEX(спр_Работы!$K$2:$K$6000,MATCH($C232,спр_Работы!$A$2:$A$6000,0)),"")</f>
        <v/>
      </c>
      <c r="H232" s="9" t="n"/>
      <c r="I232" s="9" t="n"/>
      <c r="J232" s="8">
        <f>IFERROR(INDEX(спр_Материалы!$B$2:$B$9000,MATCH($I232,спр_Материалы!$A$2:$A$9000,0)),"")</f>
        <v/>
      </c>
      <c r="K232">
        <f>IF($I232="","",IF($F232=IFERROR(INDEX(спр_Материалы!$G$2:$G$9000,MATCH($I232,спр_Материалы!$A$2:$A$9000,0)),""),"OK","!! не та группа"))</f>
        <v/>
      </c>
      <c r="L232" s="10">
        <f>IFERROR(INDEX(спр_Работы!$H$2:$H$6000,MATCH($C232,спр_Работы!$A$2:$A$6000,0))*(1-ДисконтТендер),0)</f>
        <v/>
      </c>
      <c r="M232" s="10">
        <f>IF($I232="",0,IFERROR(INDEX(спр_Материалы!$I$2:$I$9000,MATCH($I232,спр_Материалы!$A$2:$A$9000,0))*IF(INDEX(спр_Материалы!$J$2:$J$9000,MATCH($I232,спр_Материалы!$A$2:$A$9000,0))="USD",КурсUSD,IF(INDEX(спр_Материалы!$J$2:$J$9000,MATCH($I232,спр_Материалы!$A$2:$A$9000,0))="EUR",КурсEUR,1))*INDEX(спр_Материалы!$K$2:$K$9000,MATCH($I232,спр_Материалы!$A$2:$A$9000,0))*(1+IFERROR(INDEX(спр_Работы!$I$2:$I$6000,MATCH($C232,спр_Работы!$A$2:$A$6000,0))/100,0))*(1-ДисконтТендер),0))</f>
        <v/>
      </c>
      <c r="N232" s="10">
        <f>IF(AND($R232="да",$H232&lt;&gt;""),ROUND($H232*$L232,2),0)</f>
        <v/>
      </c>
      <c r="O232" s="10">
        <f>IF(AND($R232="да",$H232&lt;&gt;""),ROUND($H232*$M232,2),0)</f>
        <v/>
      </c>
      <c r="P232" s="10">
        <f>$N232+$O232</f>
        <v/>
      </c>
      <c r="Q232">
        <f>IFERROR(INDEX(спр_Работы!$J$2:$J$6000,MATCH($C232,спр_Работы!$A$2:$A$6000,0)),"")</f>
        <v/>
      </c>
      <c r="R232" t="inlineStr">
        <is>
          <t>да</t>
        </is>
      </c>
      <c r="T232">
        <f>IF(AND($P232&gt;0,$R232="да"),MAX($T$1:$T231)+1,"")</f>
        <v/>
      </c>
    </row>
    <row r="233">
      <c r="A233">
        <f>IFERROR(INDEX(спр_Работы!$D$2:$D$6000,MATCH($C233,спр_Работы!$A$2:$A$6000,0)),"")</f>
        <v/>
      </c>
      <c r="B233">
        <f>IFERROR(INDEX(спр_Работы!$F$2:$F$6000,MATCH($C233,спр_Работы!$A$2:$A$6000,0)),"")</f>
        <v/>
      </c>
      <c r="C233">
        <f>IFERROR(INDEX(спр_Работы!$A$2:$A$6000,232),"")</f>
        <v/>
      </c>
      <c r="D233" s="8">
        <f>IFERROR(INDEX(спр_Работы!$B$2:$B$6000,MATCH($C233,спр_Работы!$A$2:$A$6000,0)),"")</f>
        <v/>
      </c>
      <c r="E233">
        <f>IFERROR(INDEX(спр_Работы!$C$2:$C$6000,MATCH($C233,спр_Работы!$A$2:$A$6000,0)),"")</f>
        <v/>
      </c>
      <c r="F233">
        <f>IFERROR(INDEX(спр_Работы!$G$2:$G$6000,MATCH($C233,спр_Работы!$A$2:$A$6000,0)),"")</f>
        <v/>
      </c>
      <c r="G233">
        <f>IFERROR(INDEX(спр_Работы!$K$2:$K$6000,MATCH($C233,спр_Работы!$A$2:$A$6000,0)),"")</f>
        <v/>
      </c>
      <c r="H233" s="9" t="n"/>
      <c r="I233" s="9" t="n"/>
      <c r="J233" s="8">
        <f>IFERROR(INDEX(спр_Материалы!$B$2:$B$9000,MATCH($I233,спр_Материалы!$A$2:$A$9000,0)),"")</f>
        <v/>
      </c>
      <c r="K233">
        <f>IF($I233="","",IF($F233=IFERROR(INDEX(спр_Материалы!$G$2:$G$9000,MATCH($I233,спр_Материалы!$A$2:$A$9000,0)),""),"OK","!! не та группа"))</f>
        <v/>
      </c>
      <c r="L233" s="10">
        <f>IFERROR(INDEX(спр_Работы!$H$2:$H$6000,MATCH($C233,спр_Работы!$A$2:$A$6000,0))*(1-ДисконтТендер),0)</f>
        <v/>
      </c>
      <c r="M233" s="10">
        <f>IF($I233="",0,IFERROR(INDEX(спр_Материалы!$I$2:$I$9000,MATCH($I233,спр_Материалы!$A$2:$A$9000,0))*IF(INDEX(спр_Материалы!$J$2:$J$9000,MATCH($I233,спр_Материалы!$A$2:$A$9000,0))="USD",КурсUSD,IF(INDEX(спр_Материалы!$J$2:$J$9000,MATCH($I233,спр_Материалы!$A$2:$A$9000,0))="EUR",КурсEUR,1))*INDEX(спр_Материалы!$K$2:$K$9000,MATCH($I233,спр_Материалы!$A$2:$A$9000,0))*(1+IFERROR(INDEX(спр_Работы!$I$2:$I$6000,MATCH($C233,спр_Работы!$A$2:$A$6000,0))/100,0))*(1-ДисконтТендер),0))</f>
        <v/>
      </c>
      <c r="N233" s="10">
        <f>IF(AND($R233="да",$H233&lt;&gt;""),ROUND($H233*$L233,2),0)</f>
        <v/>
      </c>
      <c r="O233" s="10">
        <f>IF(AND($R233="да",$H233&lt;&gt;""),ROUND($H233*$M233,2),0)</f>
        <v/>
      </c>
      <c r="P233" s="10">
        <f>$N233+$O233</f>
        <v/>
      </c>
      <c r="Q233">
        <f>IFERROR(INDEX(спр_Работы!$J$2:$J$6000,MATCH($C233,спр_Работы!$A$2:$A$6000,0)),"")</f>
        <v/>
      </c>
      <c r="R233" t="inlineStr">
        <is>
          <t>да</t>
        </is>
      </c>
      <c r="T233">
        <f>IF(AND($P233&gt;0,$R233="да"),MAX($T$1:$T232)+1,"")</f>
        <v/>
      </c>
    </row>
    <row r="234">
      <c r="A234">
        <f>IFERROR(INDEX(спр_Работы!$D$2:$D$6000,MATCH($C234,спр_Работы!$A$2:$A$6000,0)),"")</f>
        <v/>
      </c>
      <c r="B234">
        <f>IFERROR(INDEX(спр_Работы!$F$2:$F$6000,MATCH($C234,спр_Работы!$A$2:$A$6000,0)),"")</f>
        <v/>
      </c>
      <c r="C234">
        <f>IFERROR(INDEX(спр_Работы!$A$2:$A$6000,233),"")</f>
        <v/>
      </c>
      <c r="D234" s="8">
        <f>IFERROR(INDEX(спр_Работы!$B$2:$B$6000,MATCH($C234,спр_Работы!$A$2:$A$6000,0)),"")</f>
        <v/>
      </c>
      <c r="E234">
        <f>IFERROR(INDEX(спр_Работы!$C$2:$C$6000,MATCH($C234,спр_Работы!$A$2:$A$6000,0)),"")</f>
        <v/>
      </c>
      <c r="F234">
        <f>IFERROR(INDEX(спр_Работы!$G$2:$G$6000,MATCH($C234,спр_Работы!$A$2:$A$6000,0)),"")</f>
        <v/>
      </c>
      <c r="G234">
        <f>IFERROR(INDEX(спр_Работы!$K$2:$K$6000,MATCH($C234,спр_Работы!$A$2:$A$6000,0)),"")</f>
        <v/>
      </c>
      <c r="H234" s="9" t="n"/>
      <c r="I234" s="9" t="n"/>
      <c r="J234" s="8">
        <f>IFERROR(INDEX(спр_Материалы!$B$2:$B$9000,MATCH($I234,спр_Материалы!$A$2:$A$9000,0)),"")</f>
        <v/>
      </c>
      <c r="K234">
        <f>IF($I234="","",IF($F234=IFERROR(INDEX(спр_Материалы!$G$2:$G$9000,MATCH($I234,спр_Материалы!$A$2:$A$9000,0)),""),"OK","!! не та группа"))</f>
        <v/>
      </c>
      <c r="L234" s="10">
        <f>IFERROR(INDEX(спр_Работы!$H$2:$H$6000,MATCH($C234,спр_Работы!$A$2:$A$6000,0))*(1-ДисконтТендер),0)</f>
        <v/>
      </c>
      <c r="M234" s="10">
        <f>IF($I234="",0,IFERROR(INDEX(спр_Материалы!$I$2:$I$9000,MATCH($I234,спр_Материалы!$A$2:$A$9000,0))*IF(INDEX(спр_Материалы!$J$2:$J$9000,MATCH($I234,спр_Материалы!$A$2:$A$9000,0))="USD",КурсUSD,IF(INDEX(спр_Материалы!$J$2:$J$9000,MATCH($I234,спр_Материалы!$A$2:$A$9000,0))="EUR",КурсEUR,1))*INDEX(спр_Материалы!$K$2:$K$9000,MATCH($I234,спр_Материалы!$A$2:$A$9000,0))*(1+IFERROR(INDEX(спр_Работы!$I$2:$I$6000,MATCH($C234,спр_Работы!$A$2:$A$6000,0))/100,0))*(1-ДисконтТендер),0))</f>
        <v/>
      </c>
      <c r="N234" s="10">
        <f>IF(AND($R234="да",$H234&lt;&gt;""),ROUND($H234*$L234,2),0)</f>
        <v/>
      </c>
      <c r="O234" s="10">
        <f>IF(AND($R234="да",$H234&lt;&gt;""),ROUND($H234*$M234,2),0)</f>
        <v/>
      </c>
      <c r="P234" s="10">
        <f>$N234+$O234</f>
        <v/>
      </c>
      <c r="Q234">
        <f>IFERROR(INDEX(спр_Работы!$J$2:$J$6000,MATCH($C234,спр_Работы!$A$2:$A$6000,0)),"")</f>
        <v/>
      </c>
      <c r="R234" t="inlineStr">
        <is>
          <t>да</t>
        </is>
      </c>
      <c r="T234">
        <f>IF(AND($P234&gt;0,$R234="да"),MAX($T$1:$T233)+1,"")</f>
        <v/>
      </c>
    </row>
    <row r="235">
      <c r="A235">
        <f>IFERROR(INDEX(спр_Работы!$D$2:$D$6000,MATCH($C235,спр_Работы!$A$2:$A$6000,0)),"")</f>
        <v/>
      </c>
      <c r="B235">
        <f>IFERROR(INDEX(спр_Работы!$F$2:$F$6000,MATCH($C235,спр_Работы!$A$2:$A$6000,0)),"")</f>
        <v/>
      </c>
      <c r="C235">
        <f>IFERROR(INDEX(спр_Работы!$A$2:$A$6000,234),"")</f>
        <v/>
      </c>
      <c r="D235" s="8">
        <f>IFERROR(INDEX(спр_Работы!$B$2:$B$6000,MATCH($C235,спр_Работы!$A$2:$A$6000,0)),"")</f>
        <v/>
      </c>
      <c r="E235">
        <f>IFERROR(INDEX(спр_Работы!$C$2:$C$6000,MATCH($C235,спр_Работы!$A$2:$A$6000,0)),"")</f>
        <v/>
      </c>
      <c r="F235">
        <f>IFERROR(INDEX(спр_Работы!$G$2:$G$6000,MATCH($C235,спр_Работы!$A$2:$A$6000,0)),"")</f>
        <v/>
      </c>
      <c r="G235">
        <f>IFERROR(INDEX(спр_Работы!$K$2:$K$6000,MATCH($C235,спр_Работы!$A$2:$A$6000,0)),"")</f>
        <v/>
      </c>
      <c r="H235" s="9" t="n"/>
      <c r="I235" s="9" t="n"/>
      <c r="J235" s="8">
        <f>IFERROR(INDEX(спр_Материалы!$B$2:$B$9000,MATCH($I235,спр_Материалы!$A$2:$A$9000,0)),"")</f>
        <v/>
      </c>
      <c r="K235">
        <f>IF($I235="","",IF($F235=IFERROR(INDEX(спр_Материалы!$G$2:$G$9000,MATCH($I235,спр_Материалы!$A$2:$A$9000,0)),""),"OK","!! не та группа"))</f>
        <v/>
      </c>
      <c r="L235" s="10">
        <f>IFERROR(INDEX(спр_Работы!$H$2:$H$6000,MATCH($C235,спр_Работы!$A$2:$A$6000,0))*(1-ДисконтТендер),0)</f>
        <v/>
      </c>
      <c r="M235" s="10">
        <f>IF($I235="",0,IFERROR(INDEX(спр_Материалы!$I$2:$I$9000,MATCH($I235,спр_Материалы!$A$2:$A$9000,0))*IF(INDEX(спр_Материалы!$J$2:$J$9000,MATCH($I235,спр_Материалы!$A$2:$A$9000,0))="USD",КурсUSD,IF(INDEX(спр_Материалы!$J$2:$J$9000,MATCH($I235,спр_Материалы!$A$2:$A$9000,0))="EUR",КурсEUR,1))*INDEX(спр_Материалы!$K$2:$K$9000,MATCH($I235,спр_Материалы!$A$2:$A$9000,0))*(1+IFERROR(INDEX(спр_Работы!$I$2:$I$6000,MATCH($C235,спр_Работы!$A$2:$A$6000,0))/100,0))*(1-ДисконтТендер),0))</f>
        <v/>
      </c>
      <c r="N235" s="10">
        <f>IF(AND($R235="да",$H235&lt;&gt;""),ROUND($H235*$L235,2),0)</f>
        <v/>
      </c>
      <c r="O235" s="10">
        <f>IF(AND($R235="да",$H235&lt;&gt;""),ROUND($H235*$M235,2),0)</f>
        <v/>
      </c>
      <c r="P235" s="10">
        <f>$N235+$O235</f>
        <v/>
      </c>
      <c r="Q235">
        <f>IFERROR(INDEX(спр_Работы!$J$2:$J$6000,MATCH($C235,спр_Работы!$A$2:$A$6000,0)),"")</f>
        <v/>
      </c>
      <c r="R235" t="inlineStr">
        <is>
          <t>да</t>
        </is>
      </c>
      <c r="T235">
        <f>IF(AND($P235&gt;0,$R235="да"),MAX($T$1:$T234)+1,"")</f>
        <v/>
      </c>
    </row>
    <row r="236">
      <c r="A236">
        <f>IFERROR(INDEX(спр_Работы!$D$2:$D$6000,MATCH($C236,спр_Работы!$A$2:$A$6000,0)),"")</f>
        <v/>
      </c>
      <c r="B236">
        <f>IFERROR(INDEX(спр_Работы!$F$2:$F$6000,MATCH($C236,спр_Работы!$A$2:$A$6000,0)),"")</f>
        <v/>
      </c>
      <c r="C236">
        <f>IFERROR(INDEX(спр_Работы!$A$2:$A$6000,235),"")</f>
        <v/>
      </c>
      <c r="D236" s="8">
        <f>IFERROR(INDEX(спр_Работы!$B$2:$B$6000,MATCH($C236,спр_Работы!$A$2:$A$6000,0)),"")</f>
        <v/>
      </c>
      <c r="E236">
        <f>IFERROR(INDEX(спр_Работы!$C$2:$C$6000,MATCH($C236,спр_Работы!$A$2:$A$6000,0)),"")</f>
        <v/>
      </c>
      <c r="F236">
        <f>IFERROR(INDEX(спр_Работы!$G$2:$G$6000,MATCH($C236,спр_Работы!$A$2:$A$6000,0)),"")</f>
        <v/>
      </c>
      <c r="G236">
        <f>IFERROR(INDEX(спр_Работы!$K$2:$K$6000,MATCH($C236,спр_Работы!$A$2:$A$6000,0)),"")</f>
        <v/>
      </c>
      <c r="H236" s="9" t="n"/>
      <c r="I236" s="9" t="n"/>
      <c r="J236" s="8">
        <f>IFERROR(INDEX(спр_Материалы!$B$2:$B$9000,MATCH($I236,спр_Материалы!$A$2:$A$9000,0)),"")</f>
        <v/>
      </c>
      <c r="K236">
        <f>IF($I236="","",IF($F236=IFERROR(INDEX(спр_Материалы!$G$2:$G$9000,MATCH($I236,спр_Материалы!$A$2:$A$9000,0)),""),"OK","!! не та группа"))</f>
        <v/>
      </c>
      <c r="L236" s="10">
        <f>IFERROR(INDEX(спр_Работы!$H$2:$H$6000,MATCH($C236,спр_Работы!$A$2:$A$6000,0))*(1-ДисконтТендер),0)</f>
        <v/>
      </c>
      <c r="M236" s="10">
        <f>IF($I236="",0,IFERROR(INDEX(спр_Материалы!$I$2:$I$9000,MATCH($I236,спр_Материалы!$A$2:$A$9000,0))*IF(INDEX(спр_Материалы!$J$2:$J$9000,MATCH($I236,спр_Материалы!$A$2:$A$9000,0))="USD",КурсUSD,IF(INDEX(спр_Материалы!$J$2:$J$9000,MATCH($I236,спр_Материалы!$A$2:$A$9000,0))="EUR",КурсEUR,1))*INDEX(спр_Материалы!$K$2:$K$9000,MATCH($I236,спр_Материалы!$A$2:$A$9000,0))*(1+IFERROR(INDEX(спр_Работы!$I$2:$I$6000,MATCH($C236,спр_Работы!$A$2:$A$6000,0))/100,0))*(1-ДисконтТендер),0))</f>
        <v/>
      </c>
      <c r="N236" s="10">
        <f>IF(AND($R236="да",$H236&lt;&gt;""),ROUND($H236*$L236,2),0)</f>
        <v/>
      </c>
      <c r="O236" s="10">
        <f>IF(AND($R236="да",$H236&lt;&gt;""),ROUND($H236*$M236,2),0)</f>
        <v/>
      </c>
      <c r="P236" s="10">
        <f>$N236+$O236</f>
        <v/>
      </c>
      <c r="Q236">
        <f>IFERROR(INDEX(спр_Работы!$J$2:$J$6000,MATCH($C236,спр_Работы!$A$2:$A$6000,0)),"")</f>
        <v/>
      </c>
      <c r="R236" t="inlineStr">
        <is>
          <t>да</t>
        </is>
      </c>
      <c r="T236">
        <f>IF(AND($P236&gt;0,$R236="да"),MAX($T$1:$T235)+1,"")</f>
        <v/>
      </c>
    </row>
    <row r="237">
      <c r="A237">
        <f>IFERROR(INDEX(спр_Работы!$D$2:$D$6000,MATCH($C237,спр_Работы!$A$2:$A$6000,0)),"")</f>
        <v/>
      </c>
      <c r="B237">
        <f>IFERROR(INDEX(спр_Работы!$F$2:$F$6000,MATCH($C237,спр_Работы!$A$2:$A$6000,0)),"")</f>
        <v/>
      </c>
      <c r="C237">
        <f>IFERROR(INDEX(спр_Работы!$A$2:$A$6000,236),"")</f>
        <v/>
      </c>
      <c r="D237" s="8">
        <f>IFERROR(INDEX(спр_Работы!$B$2:$B$6000,MATCH($C237,спр_Работы!$A$2:$A$6000,0)),"")</f>
        <v/>
      </c>
      <c r="E237">
        <f>IFERROR(INDEX(спр_Работы!$C$2:$C$6000,MATCH($C237,спр_Работы!$A$2:$A$6000,0)),"")</f>
        <v/>
      </c>
      <c r="F237">
        <f>IFERROR(INDEX(спр_Работы!$G$2:$G$6000,MATCH($C237,спр_Работы!$A$2:$A$6000,0)),"")</f>
        <v/>
      </c>
      <c r="G237">
        <f>IFERROR(INDEX(спр_Работы!$K$2:$K$6000,MATCH($C237,спр_Работы!$A$2:$A$6000,0)),"")</f>
        <v/>
      </c>
      <c r="H237" s="9" t="n"/>
      <c r="I237" s="9" t="n"/>
      <c r="J237" s="8">
        <f>IFERROR(INDEX(спр_Материалы!$B$2:$B$9000,MATCH($I237,спр_Материалы!$A$2:$A$9000,0)),"")</f>
        <v/>
      </c>
      <c r="K237">
        <f>IF($I237="","",IF($F237=IFERROR(INDEX(спр_Материалы!$G$2:$G$9000,MATCH($I237,спр_Материалы!$A$2:$A$9000,0)),""),"OK","!! не та группа"))</f>
        <v/>
      </c>
      <c r="L237" s="10">
        <f>IFERROR(INDEX(спр_Работы!$H$2:$H$6000,MATCH($C237,спр_Работы!$A$2:$A$6000,0))*(1-ДисконтТендер),0)</f>
        <v/>
      </c>
      <c r="M237" s="10">
        <f>IF($I237="",0,IFERROR(INDEX(спр_Материалы!$I$2:$I$9000,MATCH($I237,спр_Материалы!$A$2:$A$9000,0))*IF(INDEX(спр_Материалы!$J$2:$J$9000,MATCH($I237,спр_Материалы!$A$2:$A$9000,0))="USD",КурсUSD,IF(INDEX(спр_Материалы!$J$2:$J$9000,MATCH($I237,спр_Материалы!$A$2:$A$9000,0))="EUR",КурсEUR,1))*INDEX(спр_Материалы!$K$2:$K$9000,MATCH($I237,спр_Материалы!$A$2:$A$9000,0))*(1+IFERROR(INDEX(спр_Работы!$I$2:$I$6000,MATCH($C237,спр_Работы!$A$2:$A$6000,0))/100,0))*(1-ДисконтТендер),0))</f>
        <v/>
      </c>
      <c r="N237" s="10">
        <f>IF(AND($R237="да",$H237&lt;&gt;""),ROUND($H237*$L237,2),0)</f>
        <v/>
      </c>
      <c r="O237" s="10">
        <f>IF(AND($R237="да",$H237&lt;&gt;""),ROUND($H237*$M237,2),0)</f>
        <v/>
      </c>
      <c r="P237" s="10">
        <f>$N237+$O237</f>
        <v/>
      </c>
      <c r="Q237">
        <f>IFERROR(INDEX(спр_Работы!$J$2:$J$6000,MATCH($C237,спр_Работы!$A$2:$A$6000,0)),"")</f>
        <v/>
      </c>
      <c r="R237" t="inlineStr">
        <is>
          <t>да</t>
        </is>
      </c>
      <c r="T237">
        <f>IF(AND($P237&gt;0,$R237="да"),MAX($T$1:$T236)+1,"")</f>
        <v/>
      </c>
    </row>
    <row r="238">
      <c r="A238">
        <f>IFERROR(INDEX(спр_Работы!$D$2:$D$6000,MATCH($C238,спр_Работы!$A$2:$A$6000,0)),"")</f>
        <v/>
      </c>
      <c r="B238">
        <f>IFERROR(INDEX(спр_Работы!$F$2:$F$6000,MATCH($C238,спр_Работы!$A$2:$A$6000,0)),"")</f>
        <v/>
      </c>
      <c r="C238">
        <f>IFERROR(INDEX(спр_Работы!$A$2:$A$6000,237),"")</f>
        <v/>
      </c>
      <c r="D238" s="8">
        <f>IFERROR(INDEX(спр_Работы!$B$2:$B$6000,MATCH($C238,спр_Работы!$A$2:$A$6000,0)),"")</f>
        <v/>
      </c>
      <c r="E238">
        <f>IFERROR(INDEX(спр_Работы!$C$2:$C$6000,MATCH($C238,спр_Работы!$A$2:$A$6000,0)),"")</f>
        <v/>
      </c>
      <c r="F238">
        <f>IFERROR(INDEX(спр_Работы!$G$2:$G$6000,MATCH($C238,спр_Работы!$A$2:$A$6000,0)),"")</f>
        <v/>
      </c>
      <c r="G238">
        <f>IFERROR(INDEX(спр_Работы!$K$2:$K$6000,MATCH($C238,спр_Работы!$A$2:$A$6000,0)),"")</f>
        <v/>
      </c>
      <c r="H238" s="9" t="n"/>
      <c r="I238" s="9" t="n"/>
      <c r="J238" s="8">
        <f>IFERROR(INDEX(спр_Материалы!$B$2:$B$9000,MATCH($I238,спр_Материалы!$A$2:$A$9000,0)),"")</f>
        <v/>
      </c>
      <c r="K238">
        <f>IF($I238="","",IF($F238=IFERROR(INDEX(спр_Материалы!$G$2:$G$9000,MATCH($I238,спр_Материалы!$A$2:$A$9000,0)),""),"OK","!! не та группа"))</f>
        <v/>
      </c>
      <c r="L238" s="10">
        <f>IFERROR(INDEX(спр_Работы!$H$2:$H$6000,MATCH($C238,спр_Работы!$A$2:$A$6000,0))*(1-ДисконтТендер),0)</f>
        <v/>
      </c>
      <c r="M238" s="10">
        <f>IF($I238="",0,IFERROR(INDEX(спр_Материалы!$I$2:$I$9000,MATCH($I238,спр_Материалы!$A$2:$A$9000,0))*IF(INDEX(спр_Материалы!$J$2:$J$9000,MATCH($I238,спр_Материалы!$A$2:$A$9000,0))="USD",КурсUSD,IF(INDEX(спр_Материалы!$J$2:$J$9000,MATCH($I238,спр_Материалы!$A$2:$A$9000,0))="EUR",КурсEUR,1))*INDEX(спр_Материалы!$K$2:$K$9000,MATCH($I238,спр_Материалы!$A$2:$A$9000,0))*(1+IFERROR(INDEX(спр_Работы!$I$2:$I$6000,MATCH($C238,спр_Работы!$A$2:$A$6000,0))/100,0))*(1-ДисконтТендер),0))</f>
        <v/>
      </c>
      <c r="N238" s="10">
        <f>IF(AND($R238="да",$H238&lt;&gt;""),ROUND($H238*$L238,2),0)</f>
        <v/>
      </c>
      <c r="O238" s="10">
        <f>IF(AND($R238="да",$H238&lt;&gt;""),ROUND($H238*$M238,2),0)</f>
        <v/>
      </c>
      <c r="P238" s="10">
        <f>$N238+$O238</f>
        <v/>
      </c>
      <c r="Q238">
        <f>IFERROR(INDEX(спр_Работы!$J$2:$J$6000,MATCH($C238,спр_Работы!$A$2:$A$6000,0)),"")</f>
        <v/>
      </c>
      <c r="R238" t="inlineStr">
        <is>
          <t>да</t>
        </is>
      </c>
      <c r="T238">
        <f>IF(AND($P238&gt;0,$R238="да"),MAX($T$1:$T237)+1,"")</f>
        <v/>
      </c>
    </row>
    <row r="239">
      <c r="A239">
        <f>IFERROR(INDEX(спр_Работы!$D$2:$D$6000,MATCH($C239,спр_Работы!$A$2:$A$6000,0)),"")</f>
        <v/>
      </c>
      <c r="B239">
        <f>IFERROR(INDEX(спр_Работы!$F$2:$F$6000,MATCH($C239,спр_Работы!$A$2:$A$6000,0)),"")</f>
        <v/>
      </c>
      <c r="C239">
        <f>IFERROR(INDEX(спр_Работы!$A$2:$A$6000,238),"")</f>
        <v/>
      </c>
      <c r="D239" s="8">
        <f>IFERROR(INDEX(спр_Работы!$B$2:$B$6000,MATCH($C239,спр_Работы!$A$2:$A$6000,0)),"")</f>
        <v/>
      </c>
      <c r="E239">
        <f>IFERROR(INDEX(спр_Работы!$C$2:$C$6000,MATCH($C239,спр_Работы!$A$2:$A$6000,0)),"")</f>
        <v/>
      </c>
      <c r="F239">
        <f>IFERROR(INDEX(спр_Работы!$G$2:$G$6000,MATCH($C239,спр_Работы!$A$2:$A$6000,0)),"")</f>
        <v/>
      </c>
      <c r="G239">
        <f>IFERROR(INDEX(спр_Работы!$K$2:$K$6000,MATCH($C239,спр_Работы!$A$2:$A$6000,0)),"")</f>
        <v/>
      </c>
      <c r="H239" s="9" t="n"/>
      <c r="I239" s="9" t="n"/>
      <c r="J239" s="8">
        <f>IFERROR(INDEX(спр_Материалы!$B$2:$B$9000,MATCH($I239,спр_Материалы!$A$2:$A$9000,0)),"")</f>
        <v/>
      </c>
      <c r="K239">
        <f>IF($I239="","",IF($F239=IFERROR(INDEX(спр_Материалы!$G$2:$G$9000,MATCH($I239,спр_Материалы!$A$2:$A$9000,0)),""),"OK","!! не та группа"))</f>
        <v/>
      </c>
      <c r="L239" s="10">
        <f>IFERROR(INDEX(спр_Работы!$H$2:$H$6000,MATCH($C239,спр_Работы!$A$2:$A$6000,0))*(1-ДисконтТендер),0)</f>
        <v/>
      </c>
      <c r="M239" s="10">
        <f>IF($I239="",0,IFERROR(INDEX(спр_Материалы!$I$2:$I$9000,MATCH($I239,спр_Материалы!$A$2:$A$9000,0))*IF(INDEX(спр_Материалы!$J$2:$J$9000,MATCH($I239,спр_Материалы!$A$2:$A$9000,0))="USD",КурсUSD,IF(INDEX(спр_Материалы!$J$2:$J$9000,MATCH($I239,спр_Материалы!$A$2:$A$9000,0))="EUR",КурсEUR,1))*INDEX(спр_Материалы!$K$2:$K$9000,MATCH($I239,спр_Материалы!$A$2:$A$9000,0))*(1+IFERROR(INDEX(спр_Работы!$I$2:$I$6000,MATCH($C239,спр_Работы!$A$2:$A$6000,0))/100,0))*(1-ДисконтТендер),0))</f>
        <v/>
      </c>
      <c r="N239" s="10">
        <f>IF(AND($R239="да",$H239&lt;&gt;""),ROUND($H239*$L239,2),0)</f>
        <v/>
      </c>
      <c r="O239" s="10">
        <f>IF(AND($R239="да",$H239&lt;&gt;""),ROUND($H239*$M239,2),0)</f>
        <v/>
      </c>
      <c r="P239" s="10">
        <f>$N239+$O239</f>
        <v/>
      </c>
      <c r="Q239">
        <f>IFERROR(INDEX(спр_Работы!$J$2:$J$6000,MATCH($C239,спр_Работы!$A$2:$A$6000,0)),"")</f>
        <v/>
      </c>
      <c r="R239" t="inlineStr">
        <is>
          <t>да</t>
        </is>
      </c>
      <c r="T239">
        <f>IF(AND($P239&gt;0,$R239="да"),MAX($T$1:$T238)+1,"")</f>
        <v/>
      </c>
    </row>
    <row r="240">
      <c r="A240">
        <f>IFERROR(INDEX(спр_Работы!$D$2:$D$6000,MATCH($C240,спр_Работы!$A$2:$A$6000,0)),"")</f>
        <v/>
      </c>
      <c r="B240">
        <f>IFERROR(INDEX(спр_Работы!$F$2:$F$6000,MATCH($C240,спр_Работы!$A$2:$A$6000,0)),"")</f>
        <v/>
      </c>
      <c r="C240">
        <f>IFERROR(INDEX(спр_Работы!$A$2:$A$6000,239),"")</f>
        <v/>
      </c>
      <c r="D240" s="8">
        <f>IFERROR(INDEX(спр_Работы!$B$2:$B$6000,MATCH($C240,спр_Работы!$A$2:$A$6000,0)),"")</f>
        <v/>
      </c>
      <c r="E240">
        <f>IFERROR(INDEX(спр_Работы!$C$2:$C$6000,MATCH($C240,спр_Работы!$A$2:$A$6000,0)),"")</f>
        <v/>
      </c>
      <c r="F240">
        <f>IFERROR(INDEX(спр_Работы!$G$2:$G$6000,MATCH($C240,спр_Работы!$A$2:$A$6000,0)),"")</f>
        <v/>
      </c>
      <c r="G240">
        <f>IFERROR(INDEX(спр_Работы!$K$2:$K$6000,MATCH($C240,спр_Работы!$A$2:$A$6000,0)),"")</f>
        <v/>
      </c>
      <c r="H240" s="9" t="n"/>
      <c r="I240" s="9" t="n"/>
      <c r="J240" s="8">
        <f>IFERROR(INDEX(спр_Материалы!$B$2:$B$9000,MATCH($I240,спр_Материалы!$A$2:$A$9000,0)),"")</f>
        <v/>
      </c>
      <c r="K240">
        <f>IF($I240="","",IF($F240=IFERROR(INDEX(спр_Материалы!$G$2:$G$9000,MATCH($I240,спр_Материалы!$A$2:$A$9000,0)),""),"OK","!! не та группа"))</f>
        <v/>
      </c>
      <c r="L240" s="10">
        <f>IFERROR(INDEX(спр_Работы!$H$2:$H$6000,MATCH($C240,спр_Работы!$A$2:$A$6000,0))*(1-ДисконтТендер),0)</f>
        <v/>
      </c>
      <c r="M240" s="10">
        <f>IF($I240="",0,IFERROR(INDEX(спр_Материалы!$I$2:$I$9000,MATCH($I240,спр_Материалы!$A$2:$A$9000,0))*IF(INDEX(спр_Материалы!$J$2:$J$9000,MATCH($I240,спр_Материалы!$A$2:$A$9000,0))="USD",КурсUSD,IF(INDEX(спр_Материалы!$J$2:$J$9000,MATCH($I240,спр_Материалы!$A$2:$A$9000,0))="EUR",КурсEUR,1))*INDEX(спр_Материалы!$K$2:$K$9000,MATCH($I240,спр_Материалы!$A$2:$A$9000,0))*(1+IFERROR(INDEX(спр_Работы!$I$2:$I$6000,MATCH($C240,спр_Работы!$A$2:$A$6000,0))/100,0))*(1-ДисконтТендер),0))</f>
        <v/>
      </c>
      <c r="N240" s="10">
        <f>IF(AND($R240="да",$H240&lt;&gt;""),ROUND($H240*$L240,2),0)</f>
        <v/>
      </c>
      <c r="O240" s="10">
        <f>IF(AND($R240="да",$H240&lt;&gt;""),ROUND($H240*$M240,2),0)</f>
        <v/>
      </c>
      <c r="P240" s="10">
        <f>$N240+$O240</f>
        <v/>
      </c>
      <c r="Q240">
        <f>IFERROR(INDEX(спр_Работы!$J$2:$J$6000,MATCH($C240,спр_Работы!$A$2:$A$6000,0)),"")</f>
        <v/>
      </c>
      <c r="R240" t="inlineStr">
        <is>
          <t>да</t>
        </is>
      </c>
      <c r="T240">
        <f>IF(AND($P240&gt;0,$R240="да"),MAX($T$1:$T239)+1,"")</f>
        <v/>
      </c>
    </row>
    <row r="241">
      <c r="A241">
        <f>IFERROR(INDEX(спр_Работы!$D$2:$D$6000,MATCH($C241,спр_Работы!$A$2:$A$6000,0)),"")</f>
        <v/>
      </c>
      <c r="B241">
        <f>IFERROR(INDEX(спр_Работы!$F$2:$F$6000,MATCH($C241,спр_Работы!$A$2:$A$6000,0)),"")</f>
        <v/>
      </c>
      <c r="C241">
        <f>IFERROR(INDEX(спр_Работы!$A$2:$A$6000,240),"")</f>
        <v/>
      </c>
      <c r="D241" s="8">
        <f>IFERROR(INDEX(спр_Работы!$B$2:$B$6000,MATCH($C241,спр_Работы!$A$2:$A$6000,0)),"")</f>
        <v/>
      </c>
      <c r="E241">
        <f>IFERROR(INDEX(спр_Работы!$C$2:$C$6000,MATCH($C241,спр_Работы!$A$2:$A$6000,0)),"")</f>
        <v/>
      </c>
      <c r="F241">
        <f>IFERROR(INDEX(спр_Работы!$G$2:$G$6000,MATCH($C241,спр_Работы!$A$2:$A$6000,0)),"")</f>
        <v/>
      </c>
      <c r="G241">
        <f>IFERROR(INDEX(спр_Работы!$K$2:$K$6000,MATCH($C241,спр_Работы!$A$2:$A$6000,0)),"")</f>
        <v/>
      </c>
      <c r="H241" s="9" t="n"/>
      <c r="I241" s="9" t="n"/>
      <c r="J241" s="8">
        <f>IFERROR(INDEX(спр_Материалы!$B$2:$B$9000,MATCH($I241,спр_Материалы!$A$2:$A$9000,0)),"")</f>
        <v/>
      </c>
      <c r="K241">
        <f>IF($I241="","",IF($F241=IFERROR(INDEX(спр_Материалы!$G$2:$G$9000,MATCH($I241,спр_Материалы!$A$2:$A$9000,0)),""),"OK","!! не та группа"))</f>
        <v/>
      </c>
      <c r="L241" s="10">
        <f>IFERROR(INDEX(спр_Работы!$H$2:$H$6000,MATCH($C241,спр_Работы!$A$2:$A$6000,0))*(1-ДисконтТендер),0)</f>
        <v/>
      </c>
      <c r="M241" s="10">
        <f>IF($I241="",0,IFERROR(INDEX(спр_Материалы!$I$2:$I$9000,MATCH($I241,спр_Материалы!$A$2:$A$9000,0))*IF(INDEX(спр_Материалы!$J$2:$J$9000,MATCH($I241,спр_Материалы!$A$2:$A$9000,0))="USD",КурсUSD,IF(INDEX(спр_Материалы!$J$2:$J$9000,MATCH($I241,спр_Материалы!$A$2:$A$9000,0))="EUR",КурсEUR,1))*INDEX(спр_Материалы!$K$2:$K$9000,MATCH($I241,спр_Материалы!$A$2:$A$9000,0))*(1+IFERROR(INDEX(спр_Работы!$I$2:$I$6000,MATCH($C241,спр_Работы!$A$2:$A$6000,0))/100,0))*(1-ДисконтТендер),0))</f>
        <v/>
      </c>
      <c r="N241" s="10">
        <f>IF(AND($R241="да",$H241&lt;&gt;""),ROUND($H241*$L241,2),0)</f>
        <v/>
      </c>
      <c r="O241" s="10">
        <f>IF(AND($R241="да",$H241&lt;&gt;""),ROUND($H241*$M241,2),0)</f>
        <v/>
      </c>
      <c r="P241" s="10">
        <f>$N241+$O241</f>
        <v/>
      </c>
      <c r="Q241">
        <f>IFERROR(INDEX(спр_Работы!$J$2:$J$6000,MATCH($C241,спр_Работы!$A$2:$A$6000,0)),"")</f>
        <v/>
      </c>
      <c r="R241" t="inlineStr">
        <is>
          <t>да</t>
        </is>
      </c>
      <c r="T241">
        <f>IF(AND($P241&gt;0,$R241="да"),MAX($T$1:$T240)+1,"")</f>
        <v/>
      </c>
    </row>
    <row r="242">
      <c r="A242">
        <f>IFERROR(INDEX(спр_Работы!$D$2:$D$6000,MATCH($C242,спр_Работы!$A$2:$A$6000,0)),"")</f>
        <v/>
      </c>
      <c r="B242">
        <f>IFERROR(INDEX(спр_Работы!$F$2:$F$6000,MATCH($C242,спр_Работы!$A$2:$A$6000,0)),"")</f>
        <v/>
      </c>
      <c r="C242">
        <f>IFERROR(INDEX(спр_Работы!$A$2:$A$6000,241),"")</f>
        <v/>
      </c>
      <c r="D242" s="8">
        <f>IFERROR(INDEX(спр_Работы!$B$2:$B$6000,MATCH($C242,спр_Работы!$A$2:$A$6000,0)),"")</f>
        <v/>
      </c>
      <c r="E242">
        <f>IFERROR(INDEX(спр_Работы!$C$2:$C$6000,MATCH($C242,спр_Работы!$A$2:$A$6000,0)),"")</f>
        <v/>
      </c>
      <c r="F242">
        <f>IFERROR(INDEX(спр_Работы!$G$2:$G$6000,MATCH($C242,спр_Работы!$A$2:$A$6000,0)),"")</f>
        <v/>
      </c>
      <c r="G242">
        <f>IFERROR(INDEX(спр_Работы!$K$2:$K$6000,MATCH($C242,спр_Работы!$A$2:$A$6000,0)),"")</f>
        <v/>
      </c>
      <c r="H242" s="9" t="n"/>
      <c r="I242" s="9" t="n"/>
      <c r="J242" s="8">
        <f>IFERROR(INDEX(спр_Материалы!$B$2:$B$9000,MATCH($I242,спр_Материалы!$A$2:$A$9000,0)),"")</f>
        <v/>
      </c>
      <c r="K242">
        <f>IF($I242="","",IF($F242=IFERROR(INDEX(спр_Материалы!$G$2:$G$9000,MATCH($I242,спр_Материалы!$A$2:$A$9000,0)),""),"OK","!! не та группа"))</f>
        <v/>
      </c>
      <c r="L242" s="10">
        <f>IFERROR(INDEX(спр_Работы!$H$2:$H$6000,MATCH($C242,спр_Работы!$A$2:$A$6000,0))*(1-ДисконтТендер),0)</f>
        <v/>
      </c>
      <c r="M242" s="10">
        <f>IF($I242="",0,IFERROR(INDEX(спр_Материалы!$I$2:$I$9000,MATCH($I242,спр_Материалы!$A$2:$A$9000,0))*IF(INDEX(спр_Материалы!$J$2:$J$9000,MATCH($I242,спр_Материалы!$A$2:$A$9000,0))="USD",КурсUSD,IF(INDEX(спр_Материалы!$J$2:$J$9000,MATCH($I242,спр_Материалы!$A$2:$A$9000,0))="EUR",КурсEUR,1))*INDEX(спр_Материалы!$K$2:$K$9000,MATCH($I242,спр_Материалы!$A$2:$A$9000,0))*(1+IFERROR(INDEX(спр_Работы!$I$2:$I$6000,MATCH($C242,спр_Работы!$A$2:$A$6000,0))/100,0))*(1-ДисконтТендер),0))</f>
        <v/>
      </c>
      <c r="N242" s="10">
        <f>IF(AND($R242="да",$H242&lt;&gt;""),ROUND($H242*$L242,2),0)</f>
        <v/>
      </c>
      <c r="O242" s="10">
        <f>IF(AND($R242="да",$H242&lt;&gt;""),ROUND($H242*$M242,2),0)</f>
        <v/>
      </c>
      <c r="P242" s="10">
        <f>$N242+$O242</f>
        <v/>
      </c>
      <c r="Q242">
        <f>IFERROR(INDEX(спр_Работы!$J$2:$J$6000,MATCH($C242,спр_Работы!$A$2:$A$6000,0)),"")</f>
        <v/>
      </c>
      <c r="R242" t="inlineStr">
        <is>
          <t>да</t>
        </is>
      </c>
      <c r="T242">
        <f>IF(AND($P242&gt;0,$R242="да"),MAX($T$1:$T241)+1,"")</f>
        <v/>
      </c>
    </row>
    <row r="243">
      <c r="A243">
        <f>IFERROR(INDEX(спр_Работы!$D$2:$D$6000,MATCH($C243,спр_Работы!$A$2:$A$6000,0)),"")</f>
        <v/>
      </c>
      <c r="B243">
        <f>IFERROR(INDEX(спр_Работы!$F$2:$F$6000,MATCH($C243,спр_Работы!$A$2:$A$6000,0)),"")</f>
        <v/>
      </c>
      <c r="C243">
        <f>IFERROR(INDEX(спр_Работы!$A$2:$A$6000,242),"")</f>
        <v/>
      </c>
      <c r="D243" s="8">
        <f>IFERROR(INDEX(спр_Работы!$B$2:$B$6000,MATCH($C243,спр_Работы!$A$2:$A$6000,0)),"")</f>
        <v/>
      </c>
      <c r="E243">
        <f>IFERROR(INDEX(спр_Работы!$C$2:$C$6000,MATCH($C243,спр_Работы!$A$2:$A$6000,0)),"")</f>
        <v/>
      </c>
      <c r="F243">
        <f>IFERROR(INDEX(спр_Работы!$G$2:$G$6000,MATCH($C243,спр_Работы!$A$2:$A$6000,0)),"")</f>
        <v/>
      </c>
      <c r="G243">
        <f>IFERROR(INDEX(спр_Работы!$K$2:$K$6000,MATCH($C243,спр_Работы!$A$2:$A$6000,0)),"")</f>
        <v/>
      </c>
      <c r="H243" s="9" t="n"/>
      <c r="I243" s="9" t="n"/>
      <c r="J243" s="8">
        <f>IFERROR(INDEX(спр_Материалы!$B$2:$B$9000,MATCH($I243,спр_Материалы!$A$2:$A$9000,0)),"")</f>
        <v/>
      </c>
      <c r="K243">
        <f>IF($I243="","",IF($F243=IFERROR(INDEX(спр_Материалы!$G$2:$G$9000,MATCH($I243,спр_Материалы!$A$2:$A$9000,0)),""),"OK","!! не та группа"))</f>
        <v/>
      </c>
      <c r="L243" s="10">
        <f>IFERROR(INDEX(спр_Работы!$H$2:$H$6000,MATCH($C243,спр_Работы!$A$2:$A$6000,0))*(1-ДисконтТендер),0)</f>
        <v/>
      </c>
      <c r="M243" s="10">
        <f>IF($I243="",0,IFERROR(INDEX(спр_Материалы!$I$2:$I$9000,MATCH($I243,спр_Материалы!$A$2:$A$9000,0))*IF(INDEX(спр_Материалы!$J$2:$J$9000,MATCH($I243,спр_Материалы!$A$2:$A$9000,0))="USD",КурсUSD,IF(INDEX(спр_Материалы!$J$2:$J$9000,MATCH($I243,спр_Материалы!$A$2:$A$9000,0))="EUR",КурсEUR,1))*INDEX(спр_Материалы!$K$2:$K$9000,MATCH($I243,спр_Материалы!$A$2:$A$9000,0))*(1+IFERROR(INDEX(спр_Работы!$I$2:$I$6000,MATCH($C243,спр_Работы!$A$2:$A$6000,0))/100,0))*(1-ДисконтТендер),0))</f>
        <v/>
      </c>
      <c r="N243" s="10">
        <f>IF(AND($R243="да",$H243&lt;&gt;""),ROUND($H243*$L243,2),0)</f>
        <v/>
      </c>
      <c r="O243" s="10">
        <f>IF(AND($R243="да",$H243&lt;&gt;""),ROUND($H243*$M243,2),0)</f>
        <v/>
      </c>
      <c r="P243" s="10">
        <f>$N243+$O243</f>
        <v/>
      </c>
      <c r="Q243">
        <f>IFERROR(INDEX(спр_Работы!$J$2:$J$6000,MATCH($C243,спр_Работы!$A$2:$A$6000,0)),"")</f>
        <v/>
      </c>
      <c r="R243" t="inlineStr">
        <is>
          <t>да</t>
        </is>
      </c>
      <c r="T243">
        <f>IF(AND($P243&gt;0,$R243="да"),MAX($T$1:$T242)+1,"")</f>
        <v/>
      </c>
    </row>
    <row r="244">
      <c r="A244">
        <f>IFERROR(INDEX(спр_Работы!$D$2:$D$6000,MATCH($C244,спр_Работы!$A$2:$A$6000,0)),"")</f>
        <v/>
      </c>
      <c r="B244">
        <f>IFERROR(INDEX(спр_Работы!$F$2:$F$6000,MATCH($C244,спр_Работы!$A$2:$A$6000,0)),"")</f>
        <v/>
      </c>
      <c r="C244">
        <f>IFERROR(INDEX(спр_Работы!$A$2:$A$6000,243),"")</f>
        <v/>
      </c>
      <c r="D244" s="8">
        <f>IFERROR(INDEX(спр_Работы!$B$2:$B$6000,MATCH($C244,спр_Работы!$A$2:$A$6000,0)),"")</f>
        <v/>
      </c>
      <c r="E244">
        <f>IFERROR(INDEX(спр_Работы!$C$2:$C$6000,MATCH($C244,спр_Работы!$A$2:$A$6000,0)),"")</f>
        <v/>
      </c>
      <c r="F244">
        <f>IFERROR(INDEX(спр_Работы!$G$2:$G$6000,MATCH($C244,спр_Работы!$A$2:$A$6000,0)),"")</f>
        <v/>
      </c>
      <c r="G244">
        <f>IFERROR(INDEX(спр_Работы!$K$2:$K$6000,MATCH($C244,спр_Работы!$A$2:$A$6000,0)),"")</f>
        <v/>
      </c>
      <c r="H244" s="9" t="n"/>
      <c r="I244" s="9" t="n"/>
      <c r="J244" s="8">
        <f>IFERROR(INDEX(спр_Материалы!$B$2:$B$9000,MATCH($I244,спр_Материалы!$A$2:$A$9000,0)),"")</f>
        <v/>
      </c>
      <c r="K244">
        <f>IF($I244="","",IF($F244=IFERROR(INDEX(спр_Материалы!$G$2:$G$9000,MATCH($I244,спр_Материалы!$A$2:$A$9000,0)),""),"OK","!! не та группа"))</f>
        <v/>
      </c>
      <c r="L244" s="10">
        <f>IFERROR(INDEX(спр_Работы!$H$2:$H$6000,MATCH($C244,спр_Работы!$A$2:$A$6000,0))*(1-ДисконтТендер),0)</f>
        <v/>
      </c>
      <c r="M244" s="10">
        <f>IF($I244="",0,IFERROR(INDEX(спр_Материалы!$I$2:$I$9000,MATCH($I244,спр_Материалы!$A$2:$A$9000,0))*IF(INDEX(спр_Материалы!$J$2:$J$9000,MATCH($I244,спр_Материалы!$A$2:$A$9000,0))="USD",КурсUSD,IF(INDEX(спр_Материалы!$J$2:$J$9000,MATCH($I244,спр_Материалы!$A$2:$A$9000,0))="EUR",КурсEUR,1))*INDEX(спр_Материалы!$K$2:$K$9000,MATCH($I244,спр_Материалы!$A$2:$A$9000,0))*(1+IFERROR(INDEX(спр_Работы!$I$2:$I$6000,MATCH($C244,спр_Работы!$A$2:$A$6000,0))/100,0))*(1-ДисконтТендер),0))</f>
        <v/>
      </c>
      <c r="N244" s="10">
        <f>IF(AND($R244="да",$H244&lt;&gt;""),ROUND($H244*$L244,2),0)</f>
        <v/>
      </c>
      <c r="O244" s="10">
        <f>IF(AND($R244="да",$H244&lt;&gt;""),ROUND($H244*$M244,2),0)</f>
        <v/>
      </c>
      <c r="P244" s="10">
        <f>$N244+$O244</f>
        <v/>
      </c>
      <c r="Q244">
        <f>IFERROR(INDEX(спр_Работы!$J$2:$J$6000,MATCH($C244,спр_Работы!$A$2:$A$6000,0)),"")</f>
        <v/>
      </c>
      <c r="R244" t="inlineStr">
        <is>
          <t>да</t>
        </is>
      </c>
      <c r="T244">
        <f>IF(AND($P244&gt;0,$R244="да"),MAX($T$1:$T243)+1,"")</f>
        <v/>
      </c>
    </row>
    <row r="245">
      <c r="A245">
        <f>IFERROR(INDEX(спр_Работы!$D$2:$D$6000,MATCH($C245,спр_Работы!$A$2:$A$6000,0)),"")</f>
        <v/>
      </c>
      <c r="B245">
        <f>IFERROR(INDEX(спр_Работы!$F$2:$F$6000,MATCH($C245,спр_Работы!$A$2:$A$6000,0)),"")</f>
        <v/>
      </c>
      <c r="C245">
        <f>IFERROR(INDEX(спр_Работы!$A$2:$A$6000,244),"")</f>
        <v/>
      </c>
      <c r="D245" s="8">
        <f>IFERROR(INDEX(спр_Работы!$B$2:$B$6000,MATCH($C245,спр_Работы!$A$2:$A$6000,0)),"")</f>
        <v/>
      </c>
      <c r="E245">
        <f>IFERROR(INDEX(спр_Работы!$C$2:$C$6000,MATCH($C245,спр_Работы!$A$2:$A$6000,0)),"")</f>
        <v/>
      </c>
      <c r="F245">
        <f>IFERROR(INDEX(спр_Работы!$G$2:$G$6000,MATCH($C245,спр_Работы!$A$2:$A$6000,0)),"")</f>
        <v/>
      </c>
      <c r="G245">
        <f>IFERROR(INDEX(спр_Работы!$K$2:$K$6000,MATCH($C245,спр_Работы!$A$2:$A$6000,0)),"")</f>
        <v/>
      </c>
      <c r="H245" s="9" t="n"/>
      <c r="I245" s="9" t="n"/>
      <c r="J245" s="8">
        <f>IFERROR(INDEX(спр_Материалы!$B$2:$B$9000,MATCH($I245,спр_Материалы!$A$2:$A$9000,0)),"")</f>
        <v/>
      </c>
      <c r="K245">
        <f>IF($I245="","",IF($F245=IFERROR(INDEX(спр_Материалы!$G$2:$G$9000,MATCH($I245,спр_Материалы!$A$2:$A$9000,0)),""),"OK","!! не та группа"))</f>
        <v/>
      </c>
      <c r="L245" s="10">
        <f>IFERROR(INDEX(спр_Работы!$H$2:$H$6000,MATCH($C245,спр_Работы!$A$2:$A$6000,0))*(1-ДисконтТендер),0)</f>
        <v/>
      </c>
      <c r="M245" s="10">
        <f>IF($I245="",0,IFERROR(INDEX(спр_Материалы!$I$2:$I$9000,MATCH($I245,спр_Материалы!$A$2:$A$9000,0))*IF(INDEX(спр_Материалы!$J$2:$J$9000,MATCH($I245,спр_Материалы!$A$2:$A$9000,0))="USD",КурсUSD,IF(INDEX(спр_Материалы!$J$2:$J$9000,MATCH($I245,спр_Материалы!$A$2:$A$9000,0))="EUR",КурсEUR,1))*INDEX(спр_Материалы!$K$2:$K$9000,MATCH($I245,спр_Материалы!$A$2:$A$9000,0))*(1+IFERROR(INDEX(спр_Работы!$I$2:$I$6000,MATCH($C245,спр_Работы!$A$2:$A$6000,0))/100,0))*(1-ДисконтТендер),0))</f>
        <v/>
      </c>
      <c r="N245" s="10">
        <f>IF(AND($R245="да",$H245&lt;&gt;""),ROUND($H245*$L245,2),0)</f>
        <v/>
      </c>
      <c r="O245" s="10">
        <f>IF(AND($R245="да",$H245&lt;&gt;""),ROUND($H245*$M245,2),0)</f>
        <v/>
      </c>
      <c r="P245" s="10">
        <f>$N245+$O245</f>
        <v/>
      </c>
      <c r="Q245">
        <f>IFERROR(INDEX(спр_Работы!$J$2:$J$6000,MATCH($C245,спр_Работы!$A$2:$A$6000,0)),"")</f>
        <v/>
      </c>
      <c r="R245" t="inlineStr">
        <is>
          <t>да</t>
        </is>
      </c>
      <c r="T245">
        <f>IF(AND($P245&gt;0,$R245="да"),MAX($T$1:$T244)+1,"")</f>
        <v/>
      </c>
    </row>
    <row r="246">
      <c r="A246">
        <f>IFERROR(INDEX(спр_Работы!$D$2:$D$6000,MATCH($C246,спр_Работы!$A$2:$A$6000,0)),"")</f>
        <v/>
      </c>
      <c r="B246">
        <f>IFERROR(INDEX(спр_Работы!$F$2:$F$6000,MATCH($C246,спр_Работы!$A$2:$A$6000,0)),"")</f>
        <v/>
      </c>
      <c r="C246">
        <f>IFERROR(INDEX(спр_Работы!$A$2:$A$6000,245),"")</f>
        <v/>
      </c>
      <c r="D246" s="8">
        <f>IFERROR(INDEX(спр_Работы!$B$2:$B$6000,MATCH($C246,спр_Работы!$A$2:$A$6000,0)),"")</f>
        <v/>
      </c>
      <c r="E246">
        <f>IFERROR(INDEX(спр_Работы!$C$2:$C$6000,MATCH($C246,спр_Работы!$A$2:$A$6000,0)),"")</f>
        <v/>
      </c>
      <c r="F246">
        <f>IFERROR(INDEX(спр_Работы!$G$2:$G$6000,MATCH($C246,спр_Работы!$A$2:$A$6000,0)),"")</f>
        <v/>
      </c>
      <c r="G246">
        <f>IFERROR(INDEX(спр_Работы!$K$2:$K$6000,MATCH($C246,спр_Работы!$A$2:$A$6000,0)),"")</f>
        <v/>
      </c>
      <c r="H246" s="9" t="n"/>
      <c r="I246" s="9" t="n"/>
      <c r="J246" s="8">
        <f>IFERROR(INDEX(спр_Материалы!$B$2:$B$9000,MATCH($I246,спр_Материалы!$A$2:$A$9000,0)),"")</f>
        <v/>
      </c>
      <c r="K246">
        <f>IF($I246="","",IF($F246=IFERROR(INDEX(спр_Материалы!$G$2:$G$9000,MATCH($I246,спр_Материалы!$A$2:$A$9000,0)),""),"OK","!! не та группа"))</f>
        <v/>
      </c>
      <c r="L246" s="10">
        <f>IFERROR(INDEX(спр_Работы!$H$2:$H$6000,MATCH($C246,спр_Работы!$A$2:$A$6000,0))*(1-ДисконтТендер),0)</f>
        <v/>
      </c>
      <c r="M246" s="10">
        <f>IF($I246="",0,IFERROR(INDEX(спр_Материалы!$I$2:$I$9000,MATCH($I246,спр_Материалы!$A$2:$A$9000,0))*IF(INDEX(спр_Материалы!$J$2:$J$9000,MATCH($I246,спр_Материалы!$A$2:$A$9000,0))="USD",КурсUSD,IF(INDEX(спр_Материалы!$J$2:$J$9000,MATCH($I246,спр_Материалы!$A$2:$A$9000,0))="EUR",КурсEUR,1))*INDEX(спр_Материалы!$K$2:$K$9000,MATCH($I246,спр_Материалы!$A$2:$A$9000,0))*(1+IFERROR(INDEX(спр_Работы!$I$2:$I$6000,MATCH($C246,спр_Работы!$A$2:$A$6000,0))/100,0))*(1-ДисконтТендер),0))</f>
        <v/>
      </c>
      <c r="N246" s="10">
        <f>IF(AND($R246="да",$H246&lt;&gt;""),ROUND($H246*$L246,2),0)</f>
        <v/>
      </c>
      <c r="O246" s="10">
        <f>IF(AND($R246="да",$H246&lt;&gt;""),ROUND($H246*$M246,2),0)</f>
        <v/>
      </c>
      <c r="P246" s="10">
        <f>$N246+$O246</f>
        <v/>
      </c>
      <c r="Q246">
        <f>IFERROR(INDEX(спр_Работы!$J$2:$J$6000,MATCH($C246,спр_Работы!$A$2:$A$6000,0)),"")</f>
        <v/>
      </c>
      <c r="R246" t="inlineStr">
        <is>
          <t>да</t>
        </is>
      </c>
      <c r="T246">
        <f>IF(AND($P246&gt;0,$R246="да"),MAX($T$1:$T245)+1,"")</f>
        <v/>
      </c>
    </row>
    <row r="247">
      <c r="A247">
        <f>IFERROR(INDEX(спр_Работы!$D$2:$D$6000,MATCH($C247,спр_Работы!$A$2:$A$6000,0)),"")</f>
        <v/>
      </c>
      <c r="B247">
        <f>IFERROR(INDEX(спр_Работы!$F$2:$F$6000,MATCH($C247,спр_Работы!$A$2:$A$6000,0)),"")</f>
        <v/>
      </c>
      <c r="C247">
        <f>IFERROR(INDEX(спр_Работы!$A$2:$A$6000,246),"")</f>
        <v/>
      </c>
      <c r="D247" s="8">
        <f>IFERROR(INDEX(спр_Работы!$B$2:$B$6000,MATCH($C247,спр_Работы!$A$2:$A$6000,0)),"")</f>
        <v/>
      </c>
      <c r="E247">
        <f>IFERROR(INDEX(спр_Работы!$C$2:$C$6000,MATCH($C247,спр_Работы!$A$2:$A$6000,0)),"")</f>
        <v/>
      </c>
      <c r="F247">
        <f>IFERROR(INDEX(спр_Работы!$G$2:$G$6000,MATCH($C247,спр_Работы!$A$2:$A$6000,0)),"")</f>
        <v/>
      </c>
      <c r="G247">
        <f>IFERROR(INDEX(спр_Работы!$K$2:$K$6000,MATCH($C247,спр_Работы!$A$2:$A$6000,0)),"")</f>
        <v/>
      </c>
      <c r="H247" s="9" t="n"/>
      <c r="I247" s="9" t="n"/>
      <c r="J247" s="8">
        <f>IFERROR(INDEX(спр_Материалы!$B$2:$B$9000,MATCH($I247,спр_Материалы!$A$2:$A$9000,0)),"")</f>
        <v/>
      </c>
      <c r="K247">
        <f>IF($I247="","",IF($F247=IFERROR(INDEX(спр_Материалы!$G$2:$G$9000,MATCH($I247,спр_Материалы!$A$2:$A$9000,0)),""),"OK","!! не та группа"))</f>
        <v/>
      </c>
      <c r="L247" s="10">
        <f>IFERROR(INDEX(спр_Работы!$H$2:$H$6000,MATCH($C247,спр_Работы!$A$2:$A$6000,0))*(1-ДисконтТендер),0)</f>
        <v/>
      </c>
      <c r="M247" s="10">
        <f>IF($I247="",0,IFERROR(INDEX(спр_Материалы!$I$2:$I$9000,MATCH($I247,спр_Материалы!$A$2:$A$9000,0))*IF(INDEX(спр_Материалы!$J$2:$J$9000,MATCH($I247,спр_Материалы!$A$2:$A$9000,0))="USD",КурсUSD,IF(INDEX(спр_Материалы!$J$2:$J$9000,MATCH($I247,спр_Материалы!$A$2:$A$9000,0))="EUR",КурсEUR,1))*INDEX(спр_Материалы!$K$2:$K$9000,MATCH($I247,спр_Материалы!$A$2:$A$9000,0))*(1+IFERROR(INDEX(спр_Работы!$I$2:$I$6000,MATCH($C247,спр_Работы!$A$2:$A$6000,0))/100,0))*(1-ДисконтТендер),0))</f>
        <v/>
      </c>
      <c r="N247" s="10">
        <f>IF(AND($R247="да",$H247&lt;&gt;""),ROUND($H247*$L247,2),0)</f>
        <v/>
      </c>
      <c r="O247" s="10">
        <f>IF(AND($R247="да",$H247&lt;&gt;""),ROUND($H247*$M247,2),0)</f>
        <v/>
      </c>
      <c r="P247" s="10">
        <f>$N247+$O247</f>
        <v/>
      </c>
      <c r="Q247">
        <f>IFERROR(INDEX(спр_Работы!$J$2:$J$6000,MATCH($C247,спр_Работы!$A$2:$A$6000,0)),"")</f>
        <v/>
      </c>
      <c r="R247" t="inlineStr">
        <is>
          <t>да</t>
        </is>
      </c>
      <c r="T247">
        <f>IF(AND($P247&gt;0,$R247="да"),MAX($T$1:$T246)+1,"")</f>
        <v/>
      </c>
    </row>
    <row r="248">
      <c r="A248">
        <f>IFERROR(INDEX(спр_Работы!$D$2:$D$6000,MATCH($C248,спр_Работы!$A$2:$A$6000,0)),"")</f>
        <v/>
      </c>
      <c r="B248">
        <f>IFERROR(INDEX(спр_Работы!$F$2:$F$6000,MATCH($C248,спр_Работы!$A$2:$A$6000,0)),"")</f>
        <v/>
      </c>
      <c r="C248">
        <f>IFERROR(INDEX(спр_Работы!$A$2:$A$6000,247),"")</f>
        <v/>
      </c>
      <c r="D248" s="8">
        <f>IFERROR(INDEX(спр_Работы!$B$2:$B$6000,MATCH($C248,спр_Работы!$A$2:$A$6000,0)),"")</f>
        <v/>
      </c>
      <c r="E248">
        <f>IFERROR(INDEX(спр_Работы!$C$2:$C$6000,MATCH($C248,спр_Работы!$A$2:$A$6000,0)),"")</f>
        <v/>
      </c>
      <c r="F248">
        <f>IFERROR(INDEX(спр_Работы!$G$2:$G$6000,MATCH($C248,спр_Работы!$A$2:$A$6000,0)),"")</f>
        <v/>
      </c>
      <c r="G248">
        <f>IFERROR(INDEX(спр_Работы!$K$2:$K$6000,MATCH($C248,спр_Работы!$A$2:$A$6000,0)),"")</f>
        <v/>
      </c>
      <c r="H248" s="9" t="n"/>
      <c r="I248" s="9" t="n"/>
      <c r="J248" s="8">
        <f>IFERROR(INDEX(спр_Материалы!$B$2:$B$9000,MATCH($I248,спр_Материалы!$A$2:$A$9000,0)),"")</f>
        <v/>
      </c>
      <c r="K248">
        <f>IF($I248="","",IF($F248=IFERROR(INDEX(спр_Материалы!$G$2:$G$9000,MATCH($I248,спр_Материалы!$A$2:$A$9000,0)),""),"OK","!! не та группа"))</f>
        <v/>
      </c>
      <c r="L248" s="10">
        <f>IFERROR(INDEX(спр_Работы!$H$2:$H$6000,MATCH($C248,спр_Работы!$A$2:$A$6000,0))*(1-ДисконтТендер),0)</f>
        <v/>
      </c>
      <c r="M248" s="10">
        <f>IF($I248="",0,IFERROR(INDEX(спр_Материалы!$I$2:$I$9000,MATCH($I248,спр_Материалы!$A$2:$A$9000,0))*IF(INDEX(спр_Материалы!$J$2:$J$9000,MATCH($I248,спр_Материалы!$A$2:$A$9000,0))="USD",КурсUSD,IF(INDEX(спр_Материалы!$J$2:$J$9000,MATCH($I248,спр_Материалы!$A$2:$A$9000,0))="EUR",КурсEUR,1))*INDEX(спр_Материалы!$K$2:$K$9000,MATCH($I248,спр_Материалы!$A$2:$A$9000,0))*(1+IFERROR(INDEX(спр_Работы!$I$2:$I$6000,MATCH($C248,спр_Работы!$A$2:$A$6000,0))/100,0))*(1-ДисконтТендер),0))</f>
        <v/>
      </c>
      <c r="N248" s="10">
        <f>IF(AND($R248="да",$H248&lt;&gt;""),ROUND($H248*$L248,2),0)</f>
        <v/>
      </c>
      <c r="O248" s="10">
        <f>IF(AND($R248="да",$H248&lt;&gt;""),ROUND($H248*$M248,2),0)</f>
        <v/>
      </c>
      <c r="P248" s="10">
        <f>$N248+$O248</f>
        <v/>
      </c>
      <c r="Q248">
        <f>IFERROR(INDEX(спр_Работы!$J$2:$J$6000,MATCH($C248,спр_Работы!$A$2:$A$6000,0)),"")</f>
        <v/>
      </c>
      <c r="R248" t="inlineStr">
        <is>
          <t>да</t>
        </is>
      </c>
      <c r="T248">
        <f>IF(AND($P248&gt;0,$R248="да"),MAX($T$1:$T247)+1,"")</f>
        <v/>
      </c>
    </row>
    <row r="249">
      <c r="A249">
        <f>IFERROR(INDEX(спр_Работы!$D$2:$D$6000,MATCH($C249,спр_Работы!$A$2:$A$6000,0)),"")</f>
        <v/>
      </c>
      <c r="B249">
        <f>IFERROR(INDEX(спр_Работы!$F$2:$F$6000,MATCH($C249,спр_Работы!$A$2:$A$6000,0)),"")</f>
        <v/>
      </c>
      <c r="C249">
        <f>IFERROR(INDEX(спр_Работы!$A$2:$A$6000,248),"")</f>
        <v/>
      </c>
      <c r="D249" s="8">
        <f>IFERROR(INDEX(спр_Работы!$B$2:$B$6000,MATCH($C249,спр_Работы!$A$2:$A$6000,0)),"")</f>
        <v/>
      </c>
      <c r="E249">
        <f>IFERROR(INDEX(спр_Работы!$C$2:$C$6000,MATCH($C249,спр_Работы!$A$2:$A$6000,0)),"")</f>
        <v/>
      </c>
      <c r="F249">
        <f>IFERROR(INDEX(спр_Работы!$G$2:$G$6000,MATCH($C249,спр_Работы!$A$2:$A$6000,0)),"")</f>
        <v/>
      </c>
      <c r="G249">
        <f>IFERROR(INDEX(спр_Работы!$K$2:$K$6000,MATCH($C249,спр_Работы!$A$2:$A$6000,0)),"")</f>
        <v/>
      </c>
      <c r="H249" s="9" t="n"/>
      <c r="I249" s="9" t="n"/>
      <c r="J249" s="8">
        <f>IFERROR(INDEX(спр_Материалы!$B$2:$B$9000,MATCH($I249,спр_Материалы!$A$2:$A$9000,0)),"")</f>
        <v/>
      </c>
      <c r="K249">
        <f>IF($I249="","",IF($F249=IFERROR(INDEX(спр_Материалы!$G$2:$G$9000,MATCH($I249,спр_Материалы!$A$2:$A$9000,0)),""),"OK","!! не та группа"))</f>
        <v/>
      </c>
      <c r="L249" s="10">
        <f>IFERROR(INDEX(спр_Работы!$H$2:$H$6000,MATCH($C249,спр_Работы!$A$2:$A$6000,0))*(1-ДисконтТендер),0)</f>
        <v/>
      </c>
      <c r="M249" s="10">
        <f>IF($I249="",0,IFERROR(INDEX(спр_Материалы!$I$2:$I$9000,MATCH($I249,спр_Материалы!$A$2:$A$9000,0))*IF(INDEX(спр_Материалы!$J$2:$J$9000,MATCH($I249,спр_Материалы!$A$2:$A$9000,0))="USD",КурсUSD,IF(INDEX(спр_Материалы!$J$2:$J$9000,MATCH($I249,спр_Материалы!$A$2:$A$9000,0))="EUR",КурсEUR,1))*INDEX(спр_Материалы!$K$2:$K$9000,MATCH($I249,спр_Материалы!$A$2:$A$9000,0))*(1+IFERROR(INDEX(спр_Работы!$I$2:$I$6000,MATCH($C249,спр_Работы!$A$2:$A$6000,0))/100,0))*(1-ДисконтТендер),0))</f>
        <v/>
      </c>
      <c r="N249" s="10">
        <f>IF(AND($R249="да",$H249&lt;&gt;""),ROUND($H249*$L249,2),0)</f>
        <v/>
      </c>
      <c r="O249" s="10">
        <f>IF(AND($R249="да",$H249&lt;&gt;""),ROUND($H249*$M249,2),0)</f>
        <v/>
      </c>
      <c r="P249" s="10">
        <f>$N249+$O249</f>
        <v/>
      </c>
      <c r="Q249">
        <f>IFERROR(INDEX(спр_Работы!$J$2:$J$6000,MATCH($C249,спр_Работы!$A$2:$A$6000,0)),"")</f>
        <v/>
      </c>
      <c r="R249" t="inlineStr">
        <is>
          <t>да</t>
        </is>
      </c>
      <c r="T249">
        <f>IF(AND($P249&gt;0,$R249="да"),MAX($T$1:$T248)+1,"")</f>
        <v/>
      </c>
    </row>
    <row r="250">
      <c r="A250">
        <f>IFERROR(INDEX(спр_Работы!$D$2:$D$6000,MATCH($C250,спр_Работы!$A$2:$A$6000,0)),"")</f>
        <v/>
      </c>
      <c r="B250">
        <f>IFERROR(INDEX(спр_Работы!$F$2:$F$6000,MATCH($C250,спр_Работы!$A$2:$A$6000,0)),"")</f>
        <v/>
      </c>
      <c r="C250">
        <f>IFERROR(INDEX(спр_Работы!$A$2:$A$6000,249),"")</f>
        <v/>
      </c>
      <c r="D250" s="8">
        <f>IFERROR(INDEX(спр_Работы!$B$2:$B$6000,MATCH($C250,спр_Работы!$A$2:$A$6000,0)),"")</f>
        <v/>
      </c>
      <c r="E250">
        <f>IFERROR(INDEX(спр_Работы!$C$2:$C$6000,MATCH($C250,спр_Работы!$A$2:$A$6000,0)),"")</f>
        <v/>
      </c>
      <c r="F250">
        <f>IFERROR(INDEX(спр_Работы!$G$2:$G$6000,MATCH($C250,спр_Работы!$A$2:$A$6000,0)),"")</f>
        <v/>
      </c>
      <c r="G250">
        <f>IFERROR(INDEX(спр_Работы!$K$2:$K$6000,MATCH($C250,спр_Работы!$A$2:$A$6000,0)),"")</f>
        <v/>
      </c>
      <c r="H250" s="9" t="n"/>
      <c r="I250" s="9" t="n"/>
      <c r="J250" s="8">
        <f>IFERROR(INDEX(спр_Материалы!$B$2:$B$9000,MATCH($I250,спр_Материалы!$A$2:$A$9000,0)),"")</f>
        <v/>
      </c>
      <c r="K250">
        <f>IF($I250="","",IF($F250=IFERROR(INDEX(спр_Материалы!$G$2:$G$9000,MATCH($I250,спр_Материалы!$A$2:$A$9000,0)),""),"OK","!! не та группа"))</f>
        <v/>
      </c>
      <c r="L250" s="10">
        <f>IFERROR(INDEX(спр_Работы!$H$2:$H$6000,MATCH($C250,спр_Работы!$A$2:$A$6000,0))*(1-ДисконтТендер),0)</f>
        <v/>
      </c>
      <c r="M250" s="10">
        <f>IF($I250="",0,IFERROR(INDEX(спр_Материалы!$I$2:$I$9000,MATCH($I250,спр_Материалы!$A$2:$A$9000,0))*IF(INDEX(спр_Материалы!$J$2:$J$9000,MATCH($I250,спр_Материалы!$A$2:$A$9000,0))="USD",КурсUSD,IF(INDEX(спр_Материалы!$J$2:$J$9000,MATCH($I250,спр_Материалы!$A$2:$A$9000,0))="EUR",КурсEUR,1))*INDEX(спр_Материалы!$K$2:$K$9000,MATCH($I250,спр_Материалы!$A$2:$A$9000,0))*(1+IFERROR(INDEX(спр_Работы!$I$2:$I$6000,MATCH($C250,спр_Работы!$A$2:$A$6000,0))/100,0))*(1-ДисконтТендер),0))</f>
        <v/>
      </c>
      <c r="N250" s="10">
        <f>IF(AND($R250="да",$H250&lt;&gt;""),ROUND($H250*$L250,2),0)</f>
        <v/>
      </c>
      <c r="O250" s="10">
        <f>IF(AND($R250="да",$H250&lt;&gt;""),ROUND($H250*$M250,2),0)</f>
        <v/>
      </c>
      <c r="P250" s="10">
        <f>$N250+$O250</f>
        <v/>
      </c>
      <c r="Q250">
        <f>IFERROR(INDEX(спр_Работы!$J$2:$J$6000,MATCH($C250,спр_Работы!$A$2:$A$6000,0)),"")</f>
        <v/>
      </c>
      <c r="R250" t="inlineStr">
        <is>
          <t>да</t>
        </is>
      </c>
      <c r="T250">
        <f>IF(AND($P250&gt;0,$R250="да"),MAX($T$1:$T249)+1,"")</f>
        <v/>
      </c>
    </row>
    <row r="251">
      <c r="A251">
        <f>IFERROR(INDEX(спр_Работы!$D$2:$D$6000,MATCH($C251,спр_Работы!$A$2:$A$6000,0)),"")</f>
        <v/>
      </c>
      <c r="B251">
        <f>IFERROR(INDEX(спр_Работы!$F$2:$F$6000,MATCH($C251,спр_Работы!$A$2:$A$6000,0)),"")</f>
        <v/>
      </c>
      <c r="C251">
        <f>IFERROR(INDEX(спр_Работы!$A$2:$A$6000,250),"")</f>
        <v/>
      </c>
      <c r="D251" s="8">
        <f>IFERROR(INDEX(спр_Работы!$B$2:$B$6000,MATCH($C251,спр_Работы!$A$2:$A$6000,0)),"")</f>
        <v/>
      </c>
      <c r="E251">
        <f>IFERROR(INDEX(спр_Работы!$C$2:$C$6000,MATCH($C251,спр_Работы!$A$2:$A$6000,0)),"")</f>
        <v/>
      </c>
      <c r="F251">
        <f>IFERROR(INDEX(спр_Работы!$G$2:$G$6000,MATCH($C251,спр_Работы!$A$2:$A$6000,0)),"")</f>
        <v/>
      </c>
      <c r="G251">
        <f>IFERROR(INDEX(спр_Работы!$K$2:$K$6000,MATCH($C251,спр_Работы!$A$2:$A$6000,0)),"")</f>
        <v/>
      </c>
      <c r="H251" s="9" t="n"/>
      <c r="I251" s="9" t="n"/>
      <c r="J251" s="8">
        <f>IFERROR(INDEX(спр_Материалы!$B$2:$B$9000,MATCH($I251,спр_Материалы!$A$2:$A$9000,0)),"")</f>
        <v/>
      </c>
      <c r="K251">
        <f>IF($I251="","",IF($F251=IFERROR(INDEX(спр_Материалы!$G$2:$G$9000,MATCH($I251,спр_Материалы!$A$2:$A$9000,0)),""),"OK","!! не та группа"))</f>
        <v/>
      </c>
      <c r="L251" s="10">
        <f>IFERROR(INDEX(спр_Работы!$H$2:$H$6000,MATCH($C251,спр_Работы!$A$2:$A$6000,0))*(1-ДисконтТендер),0)</f>
        <v/>
      </c>
      <c r="M251" s="10">
        <f>IF($I251="",0,IFERROR(INDEX(спр_Материалы!$I$2:$I$9000,MATCH($I251,спр_Материалы!$A$2:$A$9000,0))*IF(INDEX(спр_Материалы!$J$2:$J$9000,MATCH($I251,спр_Материалы!$A$2:$A$9000,0))="USD",КурсUSD,IF(INDEX(спр_Материалы!$J$2:$J$9000,MATCH($I251,спр_Материалы!$A$2:$A$9000,0))="EUR",КурсEUR,1))*INDEX(спр_Материалы!$K$2:$K$9000,MATCH($I251,спр_Материалы!$A$2:$A$9000,0))*(1+IFERROR(INDEX(спр_Работы!$I$2:$I$6000,MATCH($C251,спр_Работы!$A$2:$A$6000,0))/100,0))*(1-ДисконтТендер),0))</f>
        <v/>
      </c>
      <c r="N251" s="10">
        <f>IF(AND($R251="да",$H251&lt;&gt;""),ROUND($H251*$L251,2),0)</f>
        <v/>
      </c>
      <c r="O251" s="10">
        <f>IF(AND($R251="да",$H251&lt;&gt;""),ROUND($H251*$M251,2),0)</f>
        <v/>
      </c>
      <c r="P251" s="10">
        <f>$N251+$O251</f>
        <v/>
      </c>
      <c r="Q251">
        <f>IFERROR(INDEX(спр_Работы!$J$2:$J$6000,MATCH($C251,спр_Работы!$A$2:$A$6000,0)),"")</f>
        <v/>
      </c>
      <c r="R251" t="inlineStr">
        <is>
          <t>да</t>
        </is>
      </c>
      <c r="T251">
        <f>IF(AND($P251&gt;0,$R251="да"),MAX($T$1:$T250)+1,"")</f>
        <v/>
      </c>
    </row>
    <row r="252">
      <c r="A252">
        <f>IFERROR(INDEX(спр_Работы!$D$2:$D$6000,MATCH($C252,спр_Работы!$A$2:$A$6000,0)),"")</f>
        <v/>
      </c>
      <c r="B252">
        <f>IFERROR(INDEX(спр_Работы!$F$2:$F$6000,MATCH($C252,спр_Работы!$A$2:$A$6000,0)),"")</f>
        <v/>
      </c>
      <c r="C252">
        <f>IFERROR(INDEX(спр_Работы!$A$2:$A$6000,251),"")</f>
        <v/>
      </c>
      <c r="D252" s="8">
        <f>IFERROR(INDEX(спр_Работы!$B$2:$B$6000,MATCH($C252,спр_Работы!$A$2:$A$6000,0)),"")</f>
        <v/>
      </c>
      <c r="E252">
        <f>IFERROR(INDEX(спр_Работы!$C$2:$C$6000,MATCH($C252,спр_Работы!$A$2:$A$6000,0)),"")</f>
        <v/>
      </c>
      <c r="F252">
        <f>IFERROR(INDEX(спр_Работы!$G$2:$G$6000,MATCH($C252,спр_Работы!$A$2:$A$6000,0)),"")</f>
        <v/>
      </c>
      <c r="G252">
        <f>IFERROR(INDEX(спр_Работы!$K$2:$K$6000,MATCH($C252,спр_Работы!$A$2:$A$6000,0)),"")</f>
        <v/>
      </c>
      <c r="H252" s="9" t="n"/>
      <c r="I252" s="9" t="n"/>
      <c r="J252" s="8">
        <f>IFERROR(INDEX(спр_Материалы!$B$2:$B$9000,MATCH($I252,спр_Материалы!$A$2:$A$9000,0)),"")</f>
        <v/>
      </c>
      <c r="K252">
        <f>IF($I252="","",IF($F252=IFERROR(INDEX(спр_Материалы!$G$2:$G$9000,MATCH($I252,спр_Материалы!$A$2:$A$9000,0)),""),"OK","!! не та группа"))</f>
        <v/>
      </c>
      <c r="L252" s="10">
        <f>IFERROR(INDEX(спр_Работы!$H$2:$H$6000,MATCH($C252,спр_Работы!$A$2:$A$6000,0))*(1-ДисконтТендер),0)</f>
        <v/>
      </c>
      <c r="M252" s="10">
        <f>IF($I252="",0,IFERROR(INDEX(спр_Материалы!$I$2:$I$9000,MATCH($I252,спр_Материалы!$A$2:$A$9000,0))*IF(INDEX(спр_Материалы!$J$2:$J$9000,MATCH($I252,спр_Материалы!$A$2:$A$9000,0))="USD",КурсUSD,IF(INDEX(спр_Материалы!$J$2:$J$9000,MATCH($I252,спр_Материалы!$A$2:$A$9000,0))="EUR",КурсEUR,1))*INDEX(спр_Материалы!$K$2:$K$9000,MATCH($I252,спр_Материалы!$A$2:$A$9000,0))*(1+IFERROR(INDEX(спр_Работы!$I$2:$I$6000,MATCH($C252,спр_Работы!$A$2:$A$6000,0))/100,0))*(1-ДисконтТендер),0))</f>
        <v/>
      </c>
      <c r="N252" s="10">
        <f>IF(AND($R252="да",$H252&lt;&gt;""),ROUND($H252*$L252,2),0)</f>
        <v/>
      </c>
      <c r="O252" s="10">
        <f>IF(AND($R252="да",$H252&lt;&gt;""),ROUND($H252*$M252,2),0)</f>
        <v/>
      </c>
      <c r="P252" s="10">
        <f>$N252+$O252</f>
        <v/>
      </c>
      <c r="Q252">
        <f>IFERROR(INDEX(спр_Работы!$J$2:$J$6000,MATCH($C252,спр_Работы!$A$2:$A$6000,0)),"")</f>
        <v/>
      </c>
      <c r="R252" t="inlineStr">
        <is>
          <t>да</t>
        </is>
      </c>
      <c r="T252">
        <f>IF(AND($P252&gt;0,$R252="да"),MAX($T$1:$T251)+1,"")</f>
        <v/>
      </c>
    </row>
    <row r="253">
      <c r="A253">
        <f>IFERROR(INDEX(спр_Работы!$D$2:$D$6000,MATCH($C253,спр_Работы!$A$2:$A$6000,0)),"")</f>
        <v/>
      </c>
      <c r="B253">
        <f>IFERROR(INDEX(спр_Работы!$F$2:$F$6000,MATCH($C253,спр_Работы!$A$2:$A$6000,0)),"")</f>
        <v/>
      </c>
      <c r="C253">
        <f>IFERROR(INDEX(спр_Работы!$A$2:$A$6000,252),"")</f>
        <v/>
      </c>
      <c r="D253" s="8">
        <f>IFERROR(INDEX(спр_Работы!$B$2:$B$6000,MATCH($C253,спр_Работы!$A$2:$A$6000,0)),"")</f>
        <v/>
      </c>
      <c r="E253">
        <f>IFERROR(INDEX(спр_Работы!$C$2:$C$6000,MATCH($C253,спр_Работы!$A$2:$A$6000,0)),"")</f>
        <v/>
      </c>
      <c r="F253">
        <f>IFERROR(INDEX(спр_Работы!$G$2:$G$6000,MATCH($C253,спр_Работы!$A$2:$A$6000,0)),"")</f>
        <v/>
      </c>
      <c r="G253">
        <f>IFERROR(INDEX(спр_Работы!$K$2:$K$6000,MATCH($C253,спр_Работы!$A$2:$A$6000,0)),"")</f>
        <v/>
      </c>
      <c r="H253" s="9" t="n"/>
      <c r="I253" s="9" t="n"/>
      <c r="J253" s="8">
        <f>IFERROR(INDEX(спр_Материалы!$B$2:$B$9000,MATCH($I253,спр_Материалы!$A$2:$A$9000,0)),"")</f>
        <v/>
      </c>
      <c r="K253">
        <f>IF($I253="","",IF($F253=IFERROR(INDEX(спр_Материалы!$G$2:$G$9000,MATCH($I253,спр_Материалы!$A$2:$A$9000,0)),""),"OK","!! не та группа"))</f>
        <v/>
      </c>
      <c r="L253" s="10">
        <f>IFERROR(INDEX(спр_Работы!$H$2:$H$6000,MATCH($C253,спр_Работы!$A$2:$A$6000,0))*(1-ДисконтТендер),0)</f>
        <v/>
      </c>
      <c r="M253" s="10">
        <f>IF($I253="",0,IFERROR(INDEX(спр_Материалы!$I$2:$I$9000,MATCH($I253,спр_Материалы!$A$2:$A$9000,0))*IF(INDEX(спр_Материалы!$J$2:$J$9000,MATCH($I253,спр_Материалы!$A$2:$A$9000,0))="USD",КурсUSD,IF(INDEX(спр_Материалы!$J$2:$J$9000,MATCH($I253,спр_Материалы!$A$2:$A$9000,0))="EUR",КурсEUR,1))*INDEX(спр_Материалы!$K$2:$K$9000,MATCH($I253,спр_Материалы!$A$2:$A$9000,0))*(1+IFERROR(INDEX(спр_Работы!$I$2:$I$6000,MATCH($C253,спр_Работы!$A$2:$A$6000,0))/100,0))*(1-ДисконтТендер),0))</f>
        <v/>
      </c>
      <c r="N253" s="10">
        <f>IF(AND($R253="да",$H253&lt;&gt;""),ROUND($H253*$L253,2),0)</f>
        <v/>
      </c>
      <c r="O253" s="10">
        <f>IF(AND($R253="да",$H253&lt;&gt;""),ROUND($H253*$M253,2),0)</f>
        <v/>
      </c>
      <c r="P253" s="10">
        <f>$N253+$O253</f>
        <v/>
      </c>
      <c r="Q253">
        <f>IFERROR(INDEX(спр_Работы!$J$2:$J$6000,MATCH($C253,спр_Работы!$A$2:$A$6000,0)),"")</f>
        <v/>
      </c>
      <c r="R253" t="inlineStr">
        <is>
          <t>да</t>
        </is>
      </c>
      <c r="T253">
        <f>IF(AND($P253&gt;0,$R253="да"),MAX($T$1:$T252)+1,"")</f>
        <v/>
      </c>
    </row>
    <row r="254">
      <c r="A254">
        <f>IFERROR(INDEX(спр_Работы!$D$2:$D$6000,MATCH($C254,спр_Работы!$A$2:$A$6000,0)),"")</f>
        <v/>
      </c>
      <c r="B254">
        <f>IFERROR(INDEX(спр_Работы!$F$2:$F$6000,MATCH($C254,спр_Работы!$A$2:$A$6000,0)),"")</f>
        <v/>
      </c>
      <c r="C254">
        <f>IFERROR(INDEX(спр_Работы!$A$2:$A$6000,253),"")</f>
        <v/>
      </c>
      <c r="D254" s="8">
        <f>IFERROR(INDEX(спр_Работы!$B$2:$B$6000,MATCH($C254,спр_Работы!$A$2:$A$6000,0)),"")</f>
        <v/>
      </c>
      <c r="E254">
        <f>IFERROR(INDEX(спр_Работы!$C$2:$C$6000,MATCH($C254,спр_Работы!$A$2:$A$6000,0)),"")</f>
        <v/>
      </c>
      <c r="F254">
        <f>IFERROR(INDEX(спр_Работы!$G$2:$G$6000,MATCH($C254,спр_Работы!$A$2:$A$6000,0)),"")</f>
        <v/>
      </c>
      <c r="G254">
        <f>IFERROR(INDEX(спр_Работы!$K$2:$K$6000,MATCH($C254,спр_Работы!$A$2:$A$6000,0)),"")</f>
        <v/>
      </c>
      <c r="H254" s="9" t="n"/>
      <c r="I254" s="9" t="n"/>
      <c r="J254" s="8">
        <f>IFERROR(INDEX(спр_Материалы!$B$2:$B$9000,MATCH($I254,спр_Материалы!$A$2:$A$9000,0)),"")</f>
        <v/>
      </c>
      <c r="K254">
        <f>IF($I254="","",IF($F254=IFERROR(INDEX(спр_Материалы!$G$2:$G$9000,MATCH($I254,спр_Материалы!$A$2:$A$9000,0)),""),"OK","!! не та группа"))</f>
        <v/>
      </c>
      <c r="L254" s="10">
        <f>IFERROR(INDEX(спр_Работы!$H$2:$H$6000,MATCH($C254,спр_Работы!$A$2:$A$6000,0))*(1-ДисконтТендер),0)</f>
        <v/>
      </c>
      <c r="M254" s="10">
        <f>IF($I254="",0,IFERROR(INDEX(спр_Материалы!$I$2:$I$9000,MATCH($I254,спр_Материалы!$A$2:$A$9000,0))*IF(INDEX(спр_Материалы!$J$2:$J$9000,MATCH($I254,спр_Материалы!$A$2:$A$9000,0))="USD",КурсUSD,IF(INDEX(спр_Материалы!$J$2:$J$9000,MATCH($I254,спр_Материалы!$A$2:$A$9000,0))="EUR",КурсEUR,1))*INDEX(спр_Материалы!$K$2:$K$9000,MATCH($I254,спр_Материалы!$A$2:$A$9000,0))*(1+IFERROR(INDEX(спр_Работы!$I$2:$I$6000,MATCH($C254,спр_Работы!$A$2:$A$6000,0))/100,0))*(1-ДисконтТендер),0))</f>
        <v/>
      </c>
      <c r="N254" s="10">
        <f>IF(AND($R254="да",$H254&lt;&gt;""),ROUND($H254*$L254,2),0)</f>
        <v/>
      </c>
      <c r="O254" s="10">
        <f>IF(AND($R254="да",$H254&lt;&gt;""),ROUND($H254*$M254,2),0)</f>
        <v/>
      </c>
      <c r="P254" s="10">
        <f>$N254+$O254</f>
        <v/>
      </c>
      <c r="Q254">
        <f>IFERROR(INDEX(спр_Работы!$J$2:$J$6000,MATCH($C254,спр_Работы!$A$2:$A$6000,0)),"")</f>
        <v/>
      </c>
      <c r="R254" t="inlineStr">
        <is>
          <t>да</t>
        </is>
      </c>
      <c r="T254">
        <f>IF(AND($P254&gt;0,$R254="да"),MAX($T$1:$T253)+1,"")</f>
        <v/>
      </c>
    </row>
    <row r="255">
      <c r="A255">
        <f>IFERROR(INDEX(спр_Работы!$D$2:$D$6000,MATCH($C255,спр_Работы!$A$2:$A$6000,0)),"")</f>
        <v/>
      </c>
      <c r="B255">
        <f>IFERROR(INDEX(спр_Работы!$F$2:$F$6000,MATCH($C255,спр_Работы!$A$2:$A$6000,0)),"")</f>
        <v/>
      </c>
      <c r="C255">
        <f>IFERROR(INDEX(спр_Работы!$A$2:$A$6000,254),"")</f>
        <v/>
      </c>
      <c r="D255" s="8">
        <f>IFERROR(INDEX(спр_Работы!$B$2:$B$6000,MATCH($C255,спр_Работы!$A$2:$A$6000,0)),"")</f>
        <v/>
      </c>
      <c r="E255">
        <f>IFERROR(INDEX(спр_Работы!$C$2:$C$6000,MATCH($C255,спр_Работы!$A$2:$A$6000,0)),"")</f>
        <v/>
      </c>
      <c r="F255">
        <f>IFERROR(INDEX(спр_Работы!$G$2:$G$6000,MATCH($C255,спр_Работы!$A$2:$A$6000,0)),"")</f>
        <v/>
      </c>
      <c r="G255">
        <f>IFERROR(INDEX(спр_Работы!$K$2:$K$6000,MATCH($C255,спр_Работы!$A$2:$A$6000,0)),"")</f>
        <v/>
      </c>
      <c r="H255" s="9" t="n"/>
      <c r="I255" s="9" t="n"/>
      <c r="J255" s="8">
        <f>IFERROR(INDEX(спр_Материалы!$B$2:$B$9000,MATCH($I255,спр_Материалы!$A$2:$A$9000,0)),"")</f>
        <v/>
      </c>
      <c r="K255">
        <f>IF($I255="","",IF($F255=IFERROR(INDEX(спр_Материалы!$G$2:$G$9000,MATCH($I255,спр_Материалы!$A$2:$A$9000,0)),""),"OK","!! не та группа"))</f>
        <v/>
      </c>
      <c r="L255" s="10">
        <f>IFERROR(INDEX(спр_Работы!$H$2:$H$6000,MATCH($C255,спр_Работы!$A$2:$A$6000,0))*(1-ДисконтТендер),0)</f>
        <v/>
      </c>
      <c r="M255" s="10">
        <f>IF($I255="",0,IFERROR(INDEX(спр_Материалы!$I$2:$I$9000,MATCH($I255,спр_Материалы!$A$2:$A$9000,0))*IF(INDEX(спр_Материалы!$J$2:$J$9000,MATCH($I255,спр_Материалы!$A$2:$A$9000,0))="USD",КурсUSD,IF(INDEX(спр_Материалы!$J$2:$J$9000,MATCH($I255,спр_Материалы!$A$2:$A$9000,0))="EUR",КурсEUR,1))*INDEX(спр_Материалы!$K$2:$K$9000,MATCH($I255,спр_Материалы!$A$2:$A$9000,0))*(1+IFERROR(INDEX(спр_Работы!$I$2:$I$6000,MATCH($C255,спр_Работы!$A$2:$A$6000,0))/100,0))*(1-ДисконтТендер),0))</f>
        <v/>
      </c>
      <c r="N255" s="10">
        <f>IF(AND($R255="да",$H255&lt;&gt;""),ROUND($H255*$L255,2),0)</f>
        <v/>
      </c>
      <c r="O255" s="10">
        <f>IF(AND($R255="да",$H255&lt;&gt;""),ROUND($H255*$M255,2),0)</f>
        <v/>
      </c>
      <c r="P255" s="10">
        <f>$N255+$O255</f>
        <v/>
      </c>
      <c r="Q255">
        <f>IFERROR(INDEX(спр_Работы!$J$2:$J$6000,MATCH($C255,спр_Работы!$A$2:$A$6000,0)),"")</f>
        <v/>
      </c>
      <c r="R255" t="inlineStr">
        <is>
          <t>да</t>
        </is>
      </c>
      <c r="T255">
        <f>IF(AND($P255&gt;0,$R255="да"),MAX($T$1:$T254)+1,"")</f>
        <v/>
      </c>
    </row>
    <row r="256">
      <c r="A256">
        <f>IFERROR(INDEX(спр_Работы!$D$2:$D$6000,MATCH($C256,спр_Работы!$A$2:$A$6000,0)),"")</f>
        <v/>
      </c>
      <c r="B256">
        <f>IFERROR(INDEX(спр_Работы!$F$2:$F$6000,MATCH($C256,спр_Работы!$A$2:$A$6000,0)),"")</f>
        <v/>
      </c>
      <c r="C256">
        <f>IFERROR(INDEX(спр_Работы!$A$2:$A$6000,255),"")</f>
        <v/>
      </c>
      <c r="D256" s="8">
        <f>IFERROR(INDEX(спр_Работы!$B$2:$B$6000,MATCH($C256,спр_Работы!$A$2:$A$6000,0)),"")</f>
        <v/>
      </c>
      <c r="E256">
        <f>IFERROR(INDEX(спр_Работы!$C$2:$C$6000,MATCH($C256,спр_Работы!$A$2:$A$6000,0)),"")</f>
        <v/>
      </c>
      <c r="F256">
        <f>IFERROR(INDEX(спр_Работы!$G$2:$G$6000,MATCH($C256,спр_Работы!$A$2:$A$6000,0)),"")</f>
        <v/>
      </c>
      <c r="G256">
        <f>IFERROR(INDEX(спр_Работы!$K$2:$K$6000,MATCH($C256,спр_Работы!$A$2:$A$6000,0)),"")</f>
        <v/>
      </c>
      <c r="H256" s="9" t="n"/>
      <c r="I256" s="9" t="n"/>
      <c r="J256" s="8">
        <f>IFERROR(INDEX(спр_Материалы!$B$2:$B$9000,MATCH($I256,спр_Материалы!$A$2:$A$9000,0)),"")</f>
        <v/>
      </c>
      <c r="K256">
        <f>IF($I256="","",IF($F256=IFERROR(INDEX(спр_Материалы!$G$2:$G$9000,MATCH($I256,спр_Материалы!$A$2:$A$9000,0)),""),"OK","!! не та группа"))</f>
        <v/>
      </c>
      <c r="L256" s="10">
        <f>IFERROR(INDEX(спр_Работы!$H$2:$H$6000,MATCH($C256,спр_Работы!$A$2:$A$6000,0))*(1-ДисконтТендер),0)</f>
        <v/>
      </c>
      <c r="M256" s="10">
        <f>IF($I256="",0,IFERROR(INDEX(спр_Материалы!$I$2:$I$9000,MATCH($I256,спр_Материалы!$A$2:$A$9000,0))*IF(INDEX(спр_Материалы!$J$2:$J$9000,MATCH($I256,спр_Материалы!$A$2:$A$9000,0))="USD",КурсUSD,IF(INDEX(спр_Материалы!$J$2:$J$9000,MATCH($I256,спр_Материалы!$A$2:$A$9000,0))="EUR",КурсEUR,1))*INDEX(спр_Материалы!$K$2:$K$9000,MATCH($I256,спр_Материалы!$A$2:$A$9000,0))*(1+IFERROR(INDEX(спр_Работы!$I$2:$I$6000,MATCH($C256,спр_Работы!$A$2:$A$6000,0))/100,0))*(1-ДисконтТендер),0))</f>
        <v/>
      </c>
      <c r="N256" s="10">
        <f>IF(AND($R256="да",$H256&lt;&gt;""),ROUND($H256*$L256,2),0)</f>
        <v/>
      </c>
      <c r="O256" s="10">
        <f>IF(AND($R256="да",$H256&lt;&gt;""),ROUND($H256*$M256,2),0)</f>
        <v/>
      </c>
      <c r="P256" s="10">
        <f>$N256+$O256</f>
        <v/>
      </c>
      <c r="Q256">
        <f>IFERROR(INDEX(спр_Работы!$J$2:$J$6000,MATCH($C256,спр_Работы!$A$2:$A$6000,0)),"")</f>
        <v/>
      </c>
      <c r="R256" t="inlineStr">
        <is>
          <t>да</t>
        </is>
      </c>
      <c r="T256">
        <f>IF(AND($P256&gt;0,$R256="да"),MAX($T$1:$T255)+1,"")</f>
        <v/>
      </c>
    </row>
    <row r="257">
      <c r="A257">
        <f>IFERROR(INDEX(спр_Работы!$D$2:$D$6000,MATCH($C257,спр_Работы!$A$2:$A$6000,0)),"")</f>
        <v/>
      </c>
      <c r="B257">
        <f>IFERROR(INDEX(спр_Работы!$F$2:$F$6000,MATCH($C257,спр_Работы!$A$2:$A$6000,0)),"")</f>
        <v/>
      </c>
      <c r="C257">
        <f>IFERROR(INDEX(спр_Работы!$A$2:$A$6000,256),"")</f>
        <v/>
      </c>
      <c r="D257" s="8">
        <f>IFERROR(INDEX(спр_Работы!$B$2:$B$6000,MATCH($C257,спр_Работы!$A$2:$A$6000,0)),"")</f>
        <v/>
      </c>
      <c r="E257">
        <f>IFERROR(INDEX(спр_Работы!$C$2:$C$6000,MATCH($C257,спр_Работы!$A$2:$A$6000,0)),"")</f>
        <v/>
      </c>
      <c r="F257">
        <f>IFERROR(INDEX(спр_Работы!$G$2:$G$6000,MATCH($C257,спр_Работы!$A$2:$A$6000,0)),"")</f>
        <v/>
      </c>
      <c r="G257">
        <f>IFERROR(INDEX(спр_Работы!$K$2:$K$6000,MATCH($C257,спр_Работы!$A$2:$A$6000,0)),"")</f>
        <v/>
      </c>
      <c r="H257" s="9" t="n"/>
      <c r="I257" s="9" t="n"/>
      <c r="J257" s="8">
        <f>IFERROR(INDEX(спр_Материалы!$B$2:$B$9000,MATCH($I257,спр_Материалы!$A$2:$A$9000,0)),"")</f>
        <v/>
      </c>
      <c r="K257">
        <f>IF($I257="","",IF($F257=IFERROR(INDEX(спр_Материалы!$G$2:$G$9000,MATCH($I257,спр_Материалы!$A$2:$A$9000,0)),""),"OK","!! не та группа"))</f>
        <v/>
      </c>
      <c r="L257" s="10">
        <f>IFERROR(INDEX(спр_Работы!$H$2:$H$6000,MATCH($C257,спр_Работы!$A$2:$A$6000,0))*(1-ДисконтТендер),0)</f>
        <v/>
      </c>
      <c r="M257" s="10">
        <f>IF($I257="",0,IFERROR(INDEX(спр_Материалы!$I$2:$I$9000,MATCH($I257,спр_Материалы!$A$2:$A$9000,0))*IF(INDEX(спр_Материалы!$J$2:$J$9000,MATCH($I257,спр_Материалы!$A$2:$A$9000,0))="USD",КурсUSD,IF(INDEX(спр_Материалы!$J$2:$J$9000,MATCH($I257,спр_Материалы!$A$2:$A$9000,0))="EUR",КурсEUR,1))*INDEX(спр_Материалы!$K$2:$K$9000,MATCH($I257,спр_Материалы!$A$2:$A$9000,0))*(1+IFERROR(INDEX(спр_Работы!$I$2:$I$6000,MATCH($C257,спр_Работы!$A$2:$A$6000,0))/100,0))*(1-ДисконтТендер),0))</f>
        <v/>
      </c>
      <c r="N257" s="10">
        <f>IF(AND($R257="да",$H257&lt;&gt;""),ROUND($H257*$L257,2),0)</f>
        <v/>
      </c>
      <c r="O257" s="10">
        <f>IF(AND($R257="да",$H257&lt;&gt;""),ROUND($H257*$M257,2),0)</f>
        <v/>
      </c>
      <c r="P257" s="10">
        <f>$N257+$O257</f>
        <v/>
      </c>
      <c r="Q257">
        <f>IFERROR(INDEX(спр_Работы!$J$2:$J$6000,MATCH($C257,спр_Работы!$A$2:$A$6000,0)),"")</f>
        <v/>
      </c>
      <c r="R257" t="inlineStr">
        <is>
          <t>да</t>
        </is>
      </c>
      <c r="T257">
        <f>IF(AND($P257&gt;0,$R257="да"),MAX($T$1:$T256)+1,"")</f>
        <v/>
      </c>
    </row>
    <row r="258">
      <c r="A258">
        <f>IFERROR(INDEX(спр_Работы!$D$2:$D$6000,MATCH($C258,спр_Работы!$A$2:$A$6000,0)),"")</f>
        <v/>
      </c>
      <c r="B258">
        <f>IFERROR(INDEX(спр_Работы!$F$2:$F$6000,MATCH($C258,спр_Работы!$A$2:$A$6000,0)),"")</f>
        <v/>
      </c>
      <c r="C258">
        <f>IFERROR(INDEX(спр_Работы!$A$2:$A$6000,257),"")</f>
        <v/>
      </c>
      <c r="D258" s="8">
        <f>IFERROR(INDEX(спр_Работы!$B$2:$B$6000,MATCH($C258,спр_Работы!$A$2:$A$6000,0)),"")</f>
        <v/>
      </c>
      <c r="E258">
        <f>IFERROR(INDEX(спр_Работы!$C$2:$C$6000,MATCH($C258,спр_Работы!$A$2:$A$6000,0)),"")</f>
        <v/>
      </c>
      <c r="F258">
        <f>IFERROR(INDEX(спр_Работы!$G$2:$G$6000,MATCH($C258,спр_Работы!$A$2:$A$6000,0)),"")</f>
        <v/>
      </c>
      <c r="G258">
        <f>IFERROR(INDEX(спр_Работы!$K$2:$K$6000,MATCH($C258,спр_Работы!$A$2:$A$6000,0)),"")</f>
        <v/>
      </c>
      <c r="H258" s="9" t="n"/>
      <c r="I258" s="9" t="n"/>
      <c r="J258" s="8">
        <f>IFERROR(INDEX(спр_Материалы!$B$2:$B$9000,MATCH($I258,спр_Материалы!$A$2:$A$9000,0)),"")</f>
        <v/>
      </c>
      <c r="K258">
        <f>IF($I258="","",IF($F258=IFERROR(INDEX(спр_Материалы!$G$2:$G$9000,MATCH($I258,спр_Материалы!$A$2:$A$9000,0)),""),"OK","!! не та группа"))</f>
        <v/>
      </c>
      <c r="L258" s="10">
        <f>IFERROR(INDEX(спр_Работы!$H$2:$H$6000,MATCH($C258,спр_Работы!$A$2:$A$6000,0))*(1-ДисконтТендер),0)</f>
        <v/>
      </c>
      <c r="M258" s="10">
        <f>IF($I258="",0,IFERROR(INDEX(спр_Материалы!$I$2:$I$9000,MATCH($I258,спр_Материалы!$A$2:$A$9000,0))*IF(INDEX(спр_Материалы!$J$2:$J$9000,MATCH($I258,спр_Материалы!$A$2:$A$9000,0))="USD",КурсUSD,IF(INDEX(спр_Материалы!$J$2:$J$9000,MATCH($I258,спр_Материалы!$A$2:$A$9000,0))="EUR",КурсEUR,1))*INDEX(спр_Материалы!$K$2:$K$9000,MATCH($I258,спр_Материалы!$A$2:$A$9000,0))*(1+IFERROR(INDEX(спр_Работы!$I$2:$I$6000,MATCH($C258,спр_Работы!$A$2:$A$6000,0))/100,0))*(1-ДисконтТендер),0))</f>
        <v/>
      </c>
      <c r="N258" s="10">
        <f>IF(AND($R258="да",$H258&lt;&gt;""),ROUND($H258*$L258,2),0)</f>
        <v/>
      </c>
      <c r="O258" s="10">
        <f>IF(AND($R258="да",$H258&lt;&gt;""),ROUND($H258*$M258,2),0)</f>
        <v/>
      </c>
      <c r="P258" s="10">
        <f>$N258+$O258</f>
        <v/>
      </c>
      <c r="Q258">
        <f>IFERROR(INDEX(спр_Работы!$J$2:$J$6000,MATCH($C258,спр_Работы!$A$2:$A$6000,0)),"")</f>
        <v/>
      </c>
      <c r="R258" t="inlineStr">
        <is>
          <t>да</t>
        </is>
      </c>
      <c r="T258">
        <f>IF(AND($P258&gt;0,$R258="да"),MAX($T$1:$T257)+1,"")</f>
        <v/>
      </c>
    </row>
    <row r="259">
      <c r="A259">
        <f>IFERROR(INDEX(спр_Работы!$D$2:$D$6000,MATCH($C259,спр_Работы!$A$2:$A$6000,0)),"")</f>
        <v/>
      </c>
      <c r="B259">
        <f>IFERROR(INDEX(спр_Работы!$F$2:$F$6000,MATCH($C259,спр_Работы!$A$2:$A$6000,0)),"")</f>
        <v/>
      </c>
      <c r="C259">
        <f>IFERROR(INDEX(спр_Работы!$A$2:$A$6000,258),"")</f>
        <v/>
      </c>
      <c r="D259" s="8">
        <f>IFERROR(INDEX(спр_Работы!$B$2:$B$6000,MATCH($C259,спр_Работы!$A$2:$A$6000,0)),"")</f>
        <v/>
      </c>
      <c r="E259">
        <f>IFERROR(INDEX(спр_Работы!$C$2:$C$6000,MATCH($C259,спр_Работы!$A$2:$A$6000,0)),"")</f>
        <v/>
      </c>
      <c r="F259">
        <f>IFERROR(INDEX(спр_Работы!$G$2:$G$6000,MATCH($C259,спр_Работы!$A$2:$A$6000,0)),"")</f>
        <v/>
      </c>
      <c r="G259">
        <f>IFERROR(INDEX(спр_Работы!$K$2:$K$6000,MATCH($C259,спр_Работы!$A$2:$A$6000,0)),"")</f>
        <v/>
      </c>
      <c r="H259" s="9" t="n"/>
      <c r="I259" s="9" t="n"/>
      <c r="J259" s="8">
        <f>IFERROR(INDEX(спр_Материалы!$B$2:$B$9000,MATCH($I259,спр_Материалы!$A$2:$A$9000,0)),"")</f>
        <v/>
      </c>
      <c r="K259">
        <f>IF($I259="","",IF($F259=IFERROR(INDEX(спр_Материалы!$G$2:$G$9000,MATCH($I259,спр_Материалы!$A$2:$A$9000,0)),""),"OK","!! не та группа"))</f>
        <v/>
      </c>
      <c r="L259" s="10">
        <f>IFERROR(INDEX(спр_Работы!$H$2:$H$6000,MATCH($C259,спр_Работы!$A$2:$A$6000,0))*(1-ДисконтТендер),0)</f>
        <v/>
      </c>
      <c r="M259" s="10">
        <f>IF($I259="",0,IFERROR(INDEX(спр_Материалы!$I$2:$I$9000,MATCH($I259,спр_Материалы!$A$2:$A$9000,0))*IF(INDEX(спр_Материалы!$J$2:$J$9000,MATCH($I259,спр_Материалы!$A$2:$A$9000,0))="USD",КурсUSD,IF(INDEX(спр_Материалы!$J$2:$J$9000,MATCH($I259,спр_Материалы!$A$2:$A$9000,0))="EUR",КурсEUR,1))*INDEX(спр_Материалы!$K$2:$K$9000,MATCH($I259,спр_Материалы!$A$2:$A$9000,0))*(1+IFERROR(INDEX(спр_Работы!$I$2:$I$6000,MATCH($C259,спр_Работы!$A$2:$A$6000,0))/100,0))*(1-ДисконтТендер),0))</f>
        <v/>
      </c>
      <c r="N259" s="10">
        <f>IF(AND($R259="да",$H259&lt;&gt;""),ROUND($H259*$L259,2),0)</f>
        <v/>
      </c>
      <c r="O259" s="10">
        <f>IF(AND($R259="да",$H259&lt;&gt;""),ROUND($H259*$M259,2),0)</f>
        <v/>
      </c>
      <c r="P259" s="10">
        <f>$N259+$O259</f>
        <v/>
      </c>
      <c r="Q259">
        <f>IFERROR(INDEX(спр_Работы!$J$2:$J$6000,MATCH($C259,спр_Работы!$A$2:$A$6000,0)),"")</f>
        <v/>
      </c>
      <c r="R259" t="inlineStr">
        <is>
          <t>да</t>
        </is>
      </c>
      <c r="T259">
        <f>IF(AND($P259&gt;0,$R259="да"),MAX($T$1:$T258)+1,"")</f>
        <v/>
      </c>
    </row>
    <row r="260">
      <c r="A260">
        <f>IFERROR(INDEX(спр_Работы!$D$2:$D$6000,MATCH($C260,спр_Работы!$A$2:$A$6000,0)),"")</f>
        <v/>
      </c>
      <c r="B260">
        <f>IFERROR(INDEX(спр_Работы!$F$2:$F$6000,MATCH($C260,спр_Работы!$A$2:$A$6000,0)),"")</f>
        <v/>
      </c>
      <c r="C260">
        <f>IFERROR(INDEX(спр_Работы!$A$2:$A$6000,259),"")</f>
        <v/>
      </c>
      <c r="D260" s="8">
        <f>IFERROR(INDEX(спр_Работы!$B$2:$B$6000,MATCH($C260,спр_Работы!$A$2:$A$6000,0)),"")</f>
        <v/>
      </c>
      <c r="E260">
        <f>IFERROR(INDEX(спр_Работы!$C$2:$C$6000,MATCH($C260,спр_Работы!$A$2:$A$6000,0)),"")</f>
        <v/>
      </c>
      <c r="F260">
        <f>IFERROR(INDEX(спр_Работы!$G$2:$G$6000,MATCH($C260,спр_Работы!$A$2:$A$6000,0)),"")</f>
        <v/>
      </c>
      <c r="G260">
        <f>IFERROR(INDEX(спр_Работы!$K$2:$K$6000,MATCH($C260,спр_Работы!$A$2:$A$6000,0)),"")</f>
        <v/>
      </c>
      <c r="H260" s="9" t="n"/>
      <c r="I260" s="9" t="n"/>
      <c r="J260" s="8">
        <f>IFERROR(INDEX(спр_Материалы!$B$2:$B$9000,MATCH($I260,спр_Материалы!$A$2:$A$9000,0)),"")</f>
        <v/>
      </c>
      <c r="K260">
        <f>IF($I260="","",IF($F260=IFERROR(INDEX(спр_Материалы!$G$2:$G$9000,MATCH($I260,спр_Материалы!$A$2:$A$9000,0)),""),"OK","!! не та группа"))</f>
        <v/>
      </c>
      <c r="L260" s="10">
        <f>IFERROR(INDEX(спр_Работы!$H$2:$H$6000,MATCH($C260,спр_Работы!$A$2:$A$6000,0))*(1-ДисконтТендер),0)</f>
        <v/>
      </c>
      <c r="M260" s="10">
        <f>IF($I260="",0,IFERROR(INDEX(спр_Материалы!$I$2:$I$9000,MATCH($I260,спр_Материалы!$A$2:$A$9000,0))*IF(INDEX(спр_Материалы!$J$2:$J$9000,MATCH($I260,спр_Материалы!$A$2:$A$9000,0))="USD",КурсUSD,IF(INDEX(спр_Материалы!$J$2:$J$9000,MATCH($I260,спр_Материалы!$A$2:$A$9000,0))="EUR",КурсEUR,1))*INDEX(спр_Материалы!$K$2:$K$9000,MATCH($I260,спр_Материалы!$A$2:$A$9000,0))*(1+IFERROR(INDEX(спр_Работы!$I$2:$I$6000,MATCH($C260,спр_Работы!$A$2:$A$6000,0))/100,0))*(1-ДисконтТендер),0))</f>
        <v/>
      </c>
      <c r="N260" s="10">
        <f>IF(AND($R260="да",$H260&lt;&gt;""),ROUND($H260*$L260,2),0)</f>
        <v/>
      </c>
      <c r="O260" s="10">
        <f>IF(AND($R260="да",$H260&lt;&gt;""),ROUND($H260*$M260,2),0)</f>
        <v/>
      </c>
      <c r="P260" s="10">
        <f>$N260+$O260</f>
        <v/>
      </c>
      <c r="Q260">
        <f>IFERROR(INDEX(спр_Работы!$J$2:$J$6000,MATCH($C260,спр_Работы!$A$2:$A$6000,0)),"")</f>
        <v/>
      </c>
      <c r="R260" t="inlineStr">
        <is>
          <t>да</t>
        </is>
      </c>
      <c r="T260">
        <f>IF(AND($P260&gt;0,$R260="да"),MAX($T$1:$T259)+1,"")</f>
        <v/>
      </c>
    </row>
    <row r="261">
      <c r="A261">
        <f>IFERROR(INDEX(спр_Работы!$D$2:$D$6000,MATCH($C261,спр_Работы!$A$2:$A$6000,0)),"")</f>
        <v/>
      </c>
      <c r="B261">
        <f>IFERROR(INDEX(спр_Работы!$F$2:$F$6000,MATCH($C261,спр_Работы!$A$2:$A$6000,0)),"")</f>
        <v/>
      </c>
      <c r="C261">
        <f>IFERROR(INDEX(спр_Работы!$A$2:$A$6000,260),"")</f>
        <v/>
      </c>
      <c r="D261" s="8">
        <f>IFERROR(INDEX(спр_Работы!$B$2:$B$6000,MATCH($C261,спр_Работы!$A$2:$A$6000,0)),"")</f>
        <v/>
      </c>
      <c r="E261">
        <f>IFERROR(INDEX(спр_Работы!$C$2:$C$6000,MATCH($C261,спр_Работы!$A$2:$A$6000,0)),"")</f>
        <v/>
      </c>
      <c r="F261">
        <f>IFERROR(INDEX(спр_Работы!$G$2:$G$6000,MATCH($C261,спр_Работы!$A$2:$A$6000,0)),"")</f>
        <v/>
      </c>
      <c r="G261">
        <f>IFERROR(INDEX(спр_Работы!$K$2:$K$6000,MATCH($C261,спр_Работы!$A$2:$A$6000,0)),"")</f>
        <v/>
      </c>
      <c r="H261" s="9" t="n"/>
      <c r="I261" s="9" t="n"/>
      <c r="J261" s="8">
        <f>IFERROR(INDEX(спр_Материалы!$B$2:$B$9000,MATCH($I261,спр_Материалы!$A$2:$A$9000,0)),"")</f>
        <v/>
      </c>
      <c r="K261">
        <f>IF($I261="","",IF($F261=IFERROR(INDEX(спр_Материалы!$G$2:$G$9000,MATCH($I261,спр_Материалы!$A$2:$A$9000,0)),""),"OK","!! не та группа"))</f>
        <v/>
      </c>
      <c r="L261" s="10">
        <f>IFERROR(INDEX(спр_Работы!$H$2:$H$6000,MATCH($C261,спр_Работы!$A$2:$A$6000,0))*(1-ДисконтТендер),0)</f>
        <v/>
      </c>
      <c r="M261" s="10">
        <f>IF($I261="",0,IFERROR(INDEX(спр_Материалы!$I$2:$I$9000,MATCH($I261,спр_Материалы!$A$2:$A$9000,0))*IF(INDEX(спр_Материалы!$J$2:$J$9000,MATCH($I261,спр_Материалы!$A$2:$A$9000,0))="USD",КурсUSD,IF(INDEX(спр_Материалы!$J$2:$J$9000,MATCH($I261,спр_Материалы!$A$2:$A$9000,0))="EUR",КурсEUR,1))*INDEX(спр_Материалы!$K$2:$K$9000,MATCH($I261,спр_Материалы!$A$2:$A$9000,0))*(1+IFERROR(INDEX(спр_Работы!$I$2:$I$6000,MATCH($C261,спр_Работы!$A$2:$A$6000,0))/100,0))*(1-ДисконтТендер),0))</f>
        <v/>
      </c>
      <c r="N261" s="10">
        <f>IF(AND($R261="да",$H261&lt;&gt;""),ROUND($H261*$L261,2),0)</f>
        <v/>
      </c>
      <c r="O261" s="10">
        <f>IF(AND($R261="да",$H261&lt;&gt;""),ROUND($H261*$M261,2),0)</f>
        <v/>
      </c>
      <c r="P261" s="10">
        <f>$N261+$O261</f>
        <v/>
      </c>
      <c r="Q261">
        <f>IFERROR(INDEX(спр_Работы!$J$2:$J$6000,MATCH($C261,спр_Работы!$A$2:$A$6000,0)),"")</f>
        <v/>
      </c>
      <c r="R261" t="inlineStr">
        <is>
          <t>да</t>
        </is>
      </c>
      <c r="T261">
        <f>IF(AND($P261&gt;0,$R261="да"),MAX($T$1:$T260)+1,"")</f>
        <v/>
      </c>
    </row>
    <row r="262">
      <c r="A262">
        <f>IFERROR(INDEX(спр_Работы!$D$2:$D$6000,MATCH($C262,спр_Работы!$A$2:$A$6000,0)),"")</f>
        <v/>
      </c>
      <c r="B262">
        <f>IFERROR(INDEX(спр_Работы!$F$2:$F$6000,MATCH($C262,спр_Работы!$A$2:$A$6000,0)),"")</f>
        <v/>
      </c>
      <c r="C262">
        <f>IFERROR(INDEX(спр_Работы!$A$2:$A$6000,261),"")</f>
        <v/>
      </c>
      <c r="D262" s="8">
        <f>IFERROR(INDEX(спр_Работы!$B$2:$B$6000,MATCH($C262,спр_Работы!$A$2:$A$6000,0)),"")</f>
        <v/>
      </c>
      <c r="E262">
        <f>IFERROR(INDEX(спр_Работы!$C$2:$C$6000,MATCH($C262,спр_Работы!$A$2:$A$6000,0)),"")</f>
        <v/>
      </c>
      <c r="F262">
        <f>IFERROR(INDEX(спр_Работы!$G$2:$G$6000,MATCH($C262,спр_Работы!$A$2:$A$6000,0)),"")</f>
        <v/>
      </c>
      <c r="G262">
        <f>IFERROR(INDEX(спр_Работы!$K$2:$K$6000,MATCH($C262,спр_Работы!$A$2:$A$6000,0)),"")</f>
        <v/>
      </c>
      <c r="H262" s="9" t="n"/>
      <c r="I262" s="9" t="n"/>
      <c r="J262" s="8">
        <f>IFERROR(INDEX(спр_Материалы!$B$2:$B$9000,MATCH($I262,спр_Материалы!$A$2:$A$9000,0)),"")</f>
        <v/>
      </c>
      <c r="K262">
        <f>IF($I262="","",IF($F262=IFERROR(INDEX(спр_Материалы!$G$2:$G$9000,MATCH($I262,спр_Материалы!$A$2:$A$9000,0)),""),"OK","!! не та группа"))</f>
        <v/>
      </c>
      <c r="L262" s="10">
        <f>IFERROR(INDEX(спр_Работы!$H$2:$H$6000,MATCH($C262,спр_Работы!$A$2:$A$6000,0))*(1-ДисконтТендер),0)</f>
        <v/>
      </c>
      <c r="M262" s="10">
        <f>IF($I262="",0,IFERROR(INDEX(спр_Материалы!$I$2:$I$9000,MATCH($I262,спр_Материалы!$A$2:$A$9000,0))*IF(INDEX(спр_Материалы!$J$2:$J$9000,MATCH($I262,спр_Материалы!$A$2:$A$9000,0))="USD",КурсUSD,IF(INDEX(спр_Материалы!$J$2:$J$9000,MATCH($I262,спр_Материалы!$A$2:$A$9000,0))="EUR",КурсEUR,1))*INDEX(спр_Материалы!$K$2:$K$9000,MATCH($I262,спр_Материалы!$A$2:$A$9000,0))*(1+IFERROR(INDEX(спр_Работы!$I$2:$I$6000,MATCH($C262,спр_Работы!$A$2:$A$6000,0))/100,0))*(1-ДисконтТендер),0))</f>
        <v/>
      </c>
      <c r="N262" s="10">
        <f>IF(AND($R262="да",$H262&lt;&gt;""),ROUND($H262*$L262,2),0)</f>
        <v/>
      </c>
      <c r="O262" s="10">
        <f>IF(AND($R262="да",$H262&lt;&gt;""),ROUND($H262*$M262,2),0)</f>
        <v/>
      </c>
      <c r="P262" s="10">
        <f>$N262+$O262</f>
        <v/>
      </c>
      <c r="Q262">
        <f>IFERROR(INDEX(спр_Работы!$J$2:$J$6000,MATCH($C262,спр_Работы!$A$2:$A$6000,0)),"")</f>
        <v/>
      </c>
      <c r="R262" t="inlineStr">
        <is>
          <t>да</t>
        </is>
      </c>
      <c r="T262">
        <f>IF(AND($P262&gt;0,$R262="да"),MAX($T$1:$T261)+1,"")</f>
        <v/>
      </c>
    </row>
    <row r="263">
      <c r="A263">
        <f>IFERROR(INDEX(спр_Работы!$D$2:$D$6000,MATCH($C263,спр_Работы!$A$2:$A$6000,0)),"")</f>
        <v/>
      </c>
      <c r="B263">
        <f>IFERROR(INDEX(спр_Работы!$F$2:$F$6000,MATCH($C263,спр_Работы!$A$2:$A$6000,0)),"")</f>
        <v/>
      </c>
      <c r="C263">
        <f>IFERROR(INDEX(спр_Работы!$A$2:$A$6000,262),"")</f>
        <v/>
      </c>
      <c r="D263" s="8">
        <f>IFERROR(INDEX(спр_Работы!$B$2:$B$6000,MATCH($C263,спр_Работы!$A$2:$A$6000,0)),"")</f>
        <v/>
      </c>
      <c r="E263">
        <f>IFERROR(INDEX(спр_Работы!$C$2:$C$6000,MATCH($C263,спр_Работы!$A$2:$A$6000,0)),"")</f>
        <v/>
      </c>
      <c r="F263">
        <f>IFERROR(INDEX(спр_Работы!$G$2:$G$6000,MATCH($C263,спр_Работы!$A$2:$A$6000,0)),"")</f>
        <v/>
      </c>
      <c r="G263">
        <f>IFERROR(INDEX(спр_Работы!$K$2:$K$6000,MATCH($C263,спр_Работы!$A$2:$A$6000,0)),"")</f>
        <v/>
      </c>
      <c r="H263" s="9" t="n"/>
      <c r="I263" s="9" t="n"/>
      <c r="J263" s="8">
        <f>IFERROR(INDEX(спр_Материалы!$B$2:$B$9000,MATCH($I263,спр_Материалы!$A$2:$A$9000,0)),"")</f>
        <v/>
      </c>
      <c r="K263">
        <f>IF($I263="","",IF($F263=IFERROR(INDEX(спр_Материалы!$G$2:$G$9000,MATCH($I263,спр_Материалы!$A$2:$A$9000,0)),""),"OK","!! не та группа"))</f>
        <v/>
      </c>
      <c r="L263" s="10">
        <f>IFERROR(INDEX(спр_Работы!$H$2:$H$6000,MATCH($C263,спр_Работы!$A$2:$A$6000,0))*(1-ДисконтТендер),0)</f>
        <v/>
      </c>
      <c r="M263" s="10">
        <f>IF($I263="",0,IFERROR(INDEX(спр_Материалы!$I$2:$I$9000,MATCH($I263,спр_Материалы!$A$2:$A$9000,0))*IF(INDEX(спр_Материалы!$J$2:$J$9000,MATCH($I263,спр_Материалы!$A$2:$A$9000,0))="USD",КурсUSD,IF(INDEX(спр_Материалы!$J$2:$J$9000,MATCH($I263,спр_Материалы!$A$2:$A$9000,0))="EUR",КурсEUR,1))*INDEX(спр_Материалы!$K$2:$K$9000,MATCH($I263,спр_Материалы!$A$2:$A$9000,0))*(1+IFERROR(INDEX(спр_Работы!$I$2:$I$6000,MATCH($C263,спр_Работы!$A$2:$A$6000,0))/100,0))*(1-ДисконтТендер),0))</f>
        <v/>
      </c>
      <c r="N263" s="10">
        <f>IF(AND($R263="да",$H263&lt;&gt;""),ROUND($H263*$L263,2),0)</f>
        <v/>
      </c>
      <c r="O263" s="10">
        <f>IF(AND($R263="да",$H263&lt;&gt;""),ROUND($H263*$M263,2),0)</f>
        <v/>
      </c>
      <c r="P263" s="10">
        <f>$N263+$O263</f>
        <v/>
      </c>
      <c r="Q263">
        <f>IFERROR(INDEX(спр_Работы!$J$2:$J$6000,MATCH($C263,спр_Работы!$A$2:$A$6000,0)),"")</f>
        <v/>
      </c>
      <c r="R263" t="inlineStr">
        <is>
          <t>да</t>
        </is>
      </c>
      <c r="T263">
        <f>IF(AND($P263&gt;0,$R263="да"),MAX($T$1:$T262)+1,"")</f>
        <v/>
      </c>
    </row>
    <row r="264">
      <c r="A264">
        <f>IFERROR(INDEX(спр_Работы!$D$2:$D$6000,MATCH($C264,спр_Работы!$A$2:$A$6000,0)),"")</f>
        <v/>
      </c>
      <c r="B264">
        <f>IFERROR(INDEX(спр_Работы!$F$2:$F$6000,MATCH($C264,спр_Работы!$A$2:$A$6000,0)),"")</f>
        <v/>
      </c>
      <c r="C264">
        <f>IFERROR(INDEX(спр_Работы!$A$2:$A$6000,263),"")</f>
        <v/>
      </c>
      <c r="D264" s="8">
        <f>IFERROR(INDEX(спр_Работы!$B$2:$B$6000,MATCH($C264,спр_Работы!$A$2:$A$6000,0)),"")</f>
        <v/>
      </c>
      <c r="E264">
        <f>IFERROR(INDEX(спр_Работы!$C$2:$C$6000,MATCH($C264,спр_Работы!$A$2:$A$6000,0)),"")</f>
        <v/>
      </c>
      <c r="F264">
        <f>IFERROR(INDEX(спр_Работы!$G$2:$G$6000,MATCH($C264,спр_Работы!$A$2:$A$6000,0)),"")</f>
        <v/>
      </c>
      <c r="G264">
        <f>IFERROR(INDEX(спр_Работы!$K$2:$K$6000,MATCH($C264,спр_Работы!$A$2:$A$6000,0)),"")</f>
        <v/>
      </c>
      <c r="H264" s="9" t="n"/>
      <c r="I264" s="9" t="n"/>
      <c r="J264" s="8">
        <f>IFERROR(INDEX(спр_Материалы!$B$2:$B$9000,MATCH($I264,спр_Материалы!$A$2:$A$9000,0)),"")</f>
        <v/>
      </c>
      <c r="K264">
        <f>IF($I264="","",IF($F264=IFERROR(INDEX(спр_Материалы!$G$2:$G$9000,MATCH($I264,спр_Материалы!$A$2:$A$9000,0)),""),"OK","!! не та группа"))</f>
        <v/>
      </c>
      <c r="L264" s="10">
        <f>IFERROR(INDEX(спр_Работы!$H$2:$H$6000,MATCH($C264,спр_Работы!$A$2:$A$6000,0))*(1-ДисконтТендер),0)</f>
        <v/>
      </c>
      <c r="M264" s="10">
        <f>IF($I264="",0,IFERROR(INDEX(спр_Материалы!$I$2:$I$9000,MATCH($I264,спр_Материалы!$A$2:$A$9000,0))*IF(INDEX(спр_Материалы!$J$2:$J$9000,MATCH($I264,спр_Материалы!$A$2:$A$9000,0))="USD",КурсUSD,IF(INDEX(спр_Материалы!$J$2:$J$9000,MATCH($I264,спр_Материалы!$A$2:$A$9000,0))="EUR",КурсEUR,1))*INDEX(спр_Материалы!$K$2:$K$9000,MATCH($I264,спр_Материалы!$A$2:$A$9000,0))*(1+IFERROR(INDEX(спр_Работы!$I$2:$I$6000,MATCH($C264,спр_Работы!$A$2:$A$6000,0))/100,0))*(1-ДисконтТендер),0))</f>
        <v/>
      </c>
      <c r="N264" s="10">
        <f>IF(AND($R264="да",$H264&lt;&gt;""),ROUND($H264*$L264,2),0)</f>
        <v/>
      </c>
      <c r="O264" s="10">
        <f>IF(AND($R264="да",$H264&lt;&gt;""),ROUND($H264*$M264,2),0)</f>
        <v/>
      </c>
      <c r="P264" s="10">
        <f>$N264+$O264</f>
        <v/>
      </c>
      <c r="Q264">
        <f>IFERROR(INDEX(спр_Работы!$J$2:$J$6000,MATCH($C264,спр_Работы!$A$2:$A$6000,0)),"")</f>
        <v/>
      </c>
      <c r="R264" t="inlineStr">
        <is>
          <t>да</t>
        </is>
      </c>
      <c r="T264">
        <f>IF(AND($P264&gt;0,$R264="да"),MAX($T$1:$T263)+1,"")</f>
        <v/>
      </c>
    </row>
    <row r="265">
      <c r="A265">
        <f>IFERROR(INDEX(спр_Работы!$D$2:$D$6000,MATCH($C265,спр_Работы!$A$2:$A$6000,0)),"")</f>
        <v/>
      </c>
      <c r="B265">
        <f>IFERROR(INDEX(спр_Работы!$F$2:$F$6000,MATCH($C265,спр_Работы!$A$2:$A$6000,0)),"")</f>
        <v/>
      </c>
      <c r="C265">
        <f>IFERROR(INDEX(спр_Работы!$A$2:$A$6000,264),"")</f>
        <v/>
      </c>
      <c r="D265" s="8">
        <f>IFERROR(INDEX(спр_Работы!$B$2:$B$6000,MATCH($C265,спр_Работы!$A$2:$A$6000,0)),"")</f>
        <v/>
      </c>
      <c r="E265">
        <f>IFERROR(INDEX(спр_Работы!$C$2:$C$6000,MATCH($C265,спр_Работы!$A$2:$A$6000,0)),"")</f>
        <v/>
      </c>
      <c r="F265">
        <f>IFERROR(INDEX(спр_Работы!$G$2:$G$6000,MATCH($C265,спр_Работы!$A$2:$A$6000,0)),"")</f>
        <v/>
      </c>
      <c r="G265">
        <f>IFERROR(INDEX(спр_Работы!$K$2:$K$6000,MATCH($C265,спр_Работы!$A$2:$A$6000,0)),"")</f>
        <v/>
      </c>
      <c r="H265" s="9" t="n"/>
      <c r="I265" s="9" t="n"/>
      <c r="J265" s="8">
        <f>IFERROR(INDEX(спр_Материалы!$B$2:$B$9000,MATCH($I265,спр_Материалы!$A$2:$A$9000,0)),"")</f>
        <v/>
      </c>
      <c r="K265">
        <f>IF($I265="","",IF($F265=IFERROR(INDEX(спр_Материалы!$G$2:$G$9000,MATCH($I265,спр_Материалы!$A$2:$A$9000,0)),""),"OK","!! не та группа"))</f>
        <v/>
      </c>
      <c r="L265" s="10">
        <f>IFERROR(INDEX(спр_Работы!$H$2:$H$6000,MATCH($C265,спр_Работы!$A$2:$A$6000,0))*(1-ДисконтТендер),0)</f>
        <v/>
      </c>
      <c r="M265" s="10">
        <f>IF($I265="",0,IFERROR(INDEX(спр_Материалы!$I$2:$I$9000,MATCH($I265,спр_Материалы!$A$2:$A$9000,0))*IF(INDEX(спр_Материалы!$J$2:$J$9000,MATCH($I265,спр_Материалы!$A$2:$A$9000,0))="USD",КурсUSD,IF(INDEX(спр_Материалы!$J$2:$J$9000,MATCH($I265,спр_Материалы!$A$2:$A$9000,0))="EUR",КурсEUR,1))*INDEX(спр_Материалы!$K$2:$K$9000,MATCH($I265,спр_Материалы!$A$2:$A$9000,0))*(1+IFERROR(INDEX(спр_Работы!$I$2:$I$6000,MATCH($C265,спр_Работы!$A$2:$A$6000,0))/100,0))*(1-ДисконтТендер),0))</f>
        <v/>
      </c>
      <c r="N265" s="10">
        <f>IF(AND($R265="да",$H265&lt;&gt;""),ROUND($H265*$L265,2),0)</f>
        <v/>
      </c>
      <c r="O265" s="10">
        <f>IF(AND($R265="да",$H265&lt;&gt;""),ROUND($H265*$M265,2),0)</f>
        <v/>
      </c>
      <c r="P265" s="10">
        <f>$N265+$O265</f>
        <v/>
      </c>
      <c r="Q265">
        <f>IFERROR(INDEX(спр_Работы!$J$2:$J$6000,MATCH($C265,спр_Работы!$A$2:$A$6000,0)),"")</f>
        <v/>
      </c>
      <c r="R265" t="inlineStr">
        <is>
          <t>да</t>
        </is>
      </c>
      <c r="T265">
        <f>IF(AND($P265&gt;0,$R265="да"),MAX($T$1:$T264)+1,"")</f>
        <v/>
      </c>
    </row>
    <row r="266">
      <c r="A266">
        <f>IFERROR(INDEX(спр_Работы!$D$2:$D$6000,MATCH($C266,спр_Работы!$A$2:$A$6000,0)),"")</f>
        <v/>
      </c>
      <c r="B266">
        <f>IFERROR(INDEX(спр_Работы!$F$2:$F$6000,MATCH($C266,спр_Работы!$A$2:$A$6000,0)),"")</f>
        <v/>
      </c>
      <c r="C266">
        <f>IFERROR(INDEX(спр_Работы!$A$2:$A$6000,265),"")</f>
        <v/>
      </c>
      <c r="D266" s="8">
        <f>IFERROR(INDEX(спр_Работы!$B$2:$B$6000,MATCH($C266,спр_Работы!$A$2:$A$6000,0)),"")</f>
        <v/>
      </c>
      <c r="E266">
        <f>IFERROR(INDEX(спр_Работы!$C$2:$C$6000,MATCH($C266,спр_Работы!$A$2:$A$6000,0)),"")</f>
        <v/>
      </c>
      <c r="F266">
        <f>IFERROR(INDEX(спр_Работы!$G$2:$G$6000,MATCH($C266,спр_Работы!$A$2:$A$6000,0)),"")</f>
        <v/>
      </c>
      <c r="G266">
        <f>IFERROR(INDEX(спр_Работы!$K$2:$K$6000,MATCH($C266,спр_Работы!$A$2:$A$6000,0)),"")</f>
        <v/>
      </c>
      <c r="H266" s="9" t="n"/>
      <c r="I266" s="9" t="n"/>
      <c r="J266" s="8">
        <f>IFERROR(INDEX(спр_Материалы!$B$2:$B$9000,MATCH($I266,спр_Материалы!$A$2:$A$9000,0)),"")</f>
        <v/>
      </c>
      <c r="K266">
        <f>IF($I266="","",IF($F266=IFERROR(INDEX(спр_Материалы!$G$2:$G$9000,MATCH($I266,спр_Материалы!$A$2:$A$9000,0)),""),"OK","!! не та группа"))</f>
        <v/>
      </c>
      <c r="L266" s="10">
        <f>IFERROR(INDEX(спр_Работы!$H$2:$H$6000,MATCH($C266,спр_Работы!$A$2:$A$6000,0))*(1-ДисконтТендер),0)</f>
        <v/>
      </c>
      <c r="M266" s="10">
        <f>IF($I266="",0,IFERROR(INDEX(спр_Материалы!$I$2:$I$9000,MATCH($I266,спр_Материалы!$A$2:$A$9000,0))*IF(INDEX(спр_Материалы!$J$2:$J$9000,MATCH($I266,спр_Материалы!$A$2:$A$9000,0))="USD",КурсUSD,IF(INDEX(спр_Материалы!$J$2:$J$9000,MATCH($I266,спр_Материалы!$A$2:$A$9000,0))="EUR",КурсEUR,1))*INDEX(спр_Материалы!$K$2:$K$9000,MATCH($I266,спр_Материалы!$A$2:$A$9000,0))*(1+IFERROR(INDEX(спр_Работы!$I$2:$I$6000,MATCH($C266,спр_Работы!$A$2:$A$6000,0))/100,0))*(1-ДисконтТендер),0))</f>
        <v/>
      </c>
      <c r="N266" s="10">
        <f>IF(AND($R266="да",$H266&lt;&gt;""),ROUND($H266*$L266,2),0)</f>
        <v/>
      </c>
      <c r="O266" s="10">
        <f>IF(AND($R266="да",$H266&lt;&gt;""),ROUND($H266*$M266,2),0)</f>
        <v/>
      </c>
      <c r="P266" s="10">
        <f>$N266+$O266</f>
        <v/>
      </c>
      <c r="Q266">
        <f>IFERROR(INDEX(спр_Работы!$J$2:$J$6000,MATCH($C266,спр_Работы!$A$2:$A$6000,0)),"")</f>
        <v/>
      </c>
      <c r="R266" t="inlineStr">
        <is>
          <t>да</t>
        </is>
      </c>
      <c r="T266">
        <f>IF(AND($P266&gt;0,$R266="да"),MAX($T$1:$T265)+1,"")</f>
        <v/>
      </c>
    </row>
    <row r="267">
      <c r="A267">
        <f>IFERROR(INDEX(спр_Работы!$D$2:$D$6000,MATCH($C267,спр_Работы!$A$2:$A$6000,0)),"")</f>
        <v/>
      </c>
      <c r="B267">
        <f>IFERROR(INDEX(спр_Работы!$F$2:$F$6000,MATCH($C267,спр_Работы!$A$2:$A$6000,0)),"")</f>
        <v/>
      </c>
      <c r="C267">
        <f>IFERROR(INDEX(спр_Работы!$A$2:$A$6000,266),"")</f>
        <v/>
      </c>
      <c r="D267" s="8">
        <f>IFERROR(INDEX(спр_Работы!$B$2:$B$6000,MATCH($C267,спр_Работы!$A$2:$A$6000,0)),"")</f>
        <v/>
      </c>
      <c r="E267">
        <f>IFERROR(INDEX(спр_Работы!$C$2:$C$6000,MATCH($C267,спр_Работы!$A$2:$A$6000,0)),"")</f>
        <v/>
      </c>
      <c r="F267">
        <f>IFERROR(INDEX(спр_Работы!$G$2:$G$6000,MATCH($C267,спр_Работы!$A$2:$A$6000,0)),"")</f>
        <v/>
      </c>
      <c r="G267">
        <f>IFERROR(INDEX(спр_Работы!$K$2:$K$6000,MATCH($C267,спр_Работы!$A$2:$A$6000,0)),"")</f>
        <v/>
      </c>
      <c r="H267" s="9" t="n"/>
      <c r="I267" s="9" t="n"/>
      <c r="J267" s="8">
        <f>IFERROR(INDEX(спр_Материалы!$B$2:$B$9000,MATCH($I267,спр_Материалы!$A$2:$A$9000,0)),"")</f>
        <v/>
      </c>
      <c r="K267">
        <f>IF($I267="","",IF($F267=IFERROR(INDEX(спр_Материалы!$G$2:$G$9000,MATCH($I267,спр_Материалы!$A$2:$A$9000,0)),""),"OK","!! не та группа"))</f>
        <v/>
      </c>
      <c r="L267" s="10">
        <f>IFERROR(INDEX(спр_Работы!$H$2:$H$6000,MATCH($C267,спр_Работы!$A$2:$A$6000,0))*(1-ДисконтТендер),0)</f>
        <v/>
      </c>
      <c r="M267" s="10">
        <f>IF($I267="",0,IFERROR(INDEX(спр_Материалы!$I$2:$I$9000,MATCH($I267,спр_Материалы!$A$2:$A$9000,0))*IF(INDEX(спр_Материалы!$J$2:$J$9000,MATCH($I267,спр_Материалы!$A$2:$A$9000,0))="USD",КурсUSD,IF(INDEX(спр_Материалы!$J$2:$J$9000,MATCH($I267,спр_Материалы!$A$2:$A$9000,0))="EUR",КурсEUR,1))*INDEX(спр_Материалы!$K$2:$K$9000,MATCH($I267,спр_Материалы!$A$2:$A$9000,0))*(1+IFERROR(INDEX(спр_Работы!$I$2:$I$6000,MATCH($C267,спр_Работы!$A$2:$A$6000,0))/100,0))*(1-ДисконтТендер),0))</f>
        <v/>
      </c>
      <c r="N267" s="10">
        <f>IF(AND($R267="да",$H267&lt;&gt;""),ROUND($H267*$L267,2),0)</f>
        <v/>
      </c>
      <c r="O267" s="10">
        <f>IF(AND($R267="да",$H267&lt;&gt;""),ROUND($H267*$M267,2),0)</f>
        <v/>
      </c>
      <c r="P267" s="10">
        <f>$N267+$O267</f>
        <v/>
      </c>
      <c r="Q267">
        <f>IFERROR(INDEX(спр_Работы!$J$2:$J$6000,MATCH($C267,спр_Работы!$A$2:$A$6000,0)),"")</f>
        <v/>
      </c>
      <c r="R267" t="inlineStr">
        <is>
          <t>да</t>
        </is>
      </c>
      <c r="T267">
        <f>IF(AND($P267&gt;0,$R267="да"),MAX($T$1:$T266)+1,"")</f>
        <v/>
      </c>
    </row>
    <row r="268">
      <c r="A268">
        <f>IFERROR(INDEX(спр_Работы!$D$2:$D$6000,MATCH($C268,спр_Работы!$A$2:$A$6000,0)),"")</f>
        <v/>
      </c>
      <c r="B268">
        <f>IFERROR(INDEX(спр_Работы!$F$2:$F$6000,MATCH($C268,спр_Работы!$A$2:$A$6000,0)),"")</f>
        <v/>
      </c>
      <c r="C268">
        <f>IFERROR(INDEX(спр_Работы!$A$2:$A$6000,267),"")</f>
        <v/>
      </c>
      <c r="D268" s="8">
        <f>IFERROR(INDEX(спр_Работы!$B$2:$B$6000,MATCH($C268,спр_Работы!$A$2:$A$6000,0)),"")</f>
        <v/>
      </c>
      <c r="E268">
        <f>IFERROR(INDEX(спр_Работы!$C$2:$C$6000,MATCH($C268,спр_Работы!$A$2:$A$6000,0)),"")</f>
        <v/>
      </c>
      <c r="F268">
        <f>IFERROR(INDEX(спр_Работы!$G$2:$G$6000,MATCH($C268,спр_Работы!$A$2:$A$6000,0)),"")</f>
        <v/>
      </c>
      <c r="G268">
        <f>IFERROR(INDEX(спр_Работы!$K$2:$K$6000,MATCH($C268,спр_Работы!$A$2:$A$6000,0)),"")</f>
        <v/>
      </c>
      <c r="H268" s="9" t="n"/>
      <c r="I268" s="9" t="n"/>
      <c r="J268" s="8">
        <f>IFERROR(INDEX(спр_Материалы!$B$2:$B$9000,MATCH($I268,спр_Материалы!$A$2:$A$9000,0)),"")</f>
        <v/>
      </c>
      <c r="K268">
        <f>IF($I268="","",IF($F268=IFERROR(INDEX(спр_Материалы!$G$2:$G$9000,MATCH($I268,спр_Материалы!$A$2:$A$9000,0)),""),"OK","!! не та группа"))</f>
        <v/>
      </c>
      <c r="L268" s="10">
        <f>IFERROR(INDEX(спр_Работы!$H$2:$H$6000,MATCH($C268,спр_Работы!$A$2:$A$6000,0))*(1-ДисконтТендер),0)</f>
        <v/>
      </c>
      <c r="M268" s="10">
        <f>IF($I268="",0,IFERROR(INDEX(спр_Материалы!$I$2:$I$9000,MATCH($I268,спр_Материалы!$A$2:$A$9000,0))*IF(INDEX(спр_Материалы!$J$2:$J$9000,MATCH($I268,спр_Материалы!$A$2:$A$9000,0))="USD",КурсUSD,IF(INDEX(спр_Материалы!$J$2:$J$9000,MATCH($I268,спр_Материалы!$A$2:$A$9000,0))="EUR",КурсEUR,1))*INDEX(спр_Материалы!$K$2:$K$9000,MATCH($I268,спр_Материалы!$A$2:$A$9000,0))*(1+IFERROR(INDEX(спр_Работы!$I$2:$I$6000,MATCH($C268,спр_Работы!$A$2:$A$6000,0))/100,0))*(1-ДисконтТендер),0))</f>
        <v/>
      </c>
      <c r="N268" s="10">
        <f>IF(AND($R268="да",$H268&lt;&gt;""),ROUND($H268*$L268,2),0)</f>
        <v/>
      </c>
      <c r="O268" s="10">
        <f>IF(AND($R268="да",$H268&lt;&gt;""),ROUND($H268*$M268,2),0)</f>
        <v/>
      </c>
      <c r="P268" s="10">
        <f>$N268+$O268</f>
        <v/>
      </c>
      <c r="Q268">
        <f>IFERROR(INDEX(спр_Работы!$J$2:$J$6000,MATCH($C268,спр_Работы!$A$2:$A$6000,0)),"")</f>
        <v/>
      </c>
      <c r="R268" t="inlineStr">
        <is>
          <t>да</t>
        </is>
      </c>
      <c r="T268">
        <f>IF(AND($P268&gt;0,$R268="да"),MAX($T$1:$T267)+1,"")</f>
        <v/>
      </c>
    </row>
    <row r="269">
      <c r="A269">
        <f>IFERROR(INDEX(спр_Работы!$D$2:$D$6000,MATCH($C269,спр_Работы!$A$2:$A$6000,0)),"")</f>
        <v/>
      </c>
      <c r="B269">
        <f>IFERROR(INDEX(спр_Работы!$F$2:$F$6000,MATCH($C269,спр_Работы!$A$2:$A$6000,0)),"")</f>
        <v/>
      </c>
      <c r="C269">
        <f>IFERROR(INDEX(спр_Работы!$A$2:$A$6000,268),"")</f>
        <v/>
      </c>
      <c r="D269" s="8">
        <f>IFERROR(INDEX(спр_Работы!$B$2:$B$6000,MATCH($C269,спр_Работы!$A$2:$A$6000,0)),"")</f>
        <v/>
      </c>
      <c r="E269">
        <f>IFERROR(INDEX(спр_Работы!$C$2:$C$6000,MATCH($C269,спр_Работы!$A$2:$A$6000,0)),"")</f>
        <v/>
      </c>
      <c r="F269">
        <f>IFERROR(INDEX(спр_Работы!$G$2:$G$6000,MATCH($C269,спр_Работы!$A$2:$A$6000,0)),"")</f>
        <v/>
      </c>
      <c r="G269">
        <f>IFERROR(INDEX(спр_Работы!$K$2:$K$6000,MATCH($C269,спр_Работы!$A$2:$A$6000,0)),"")</f>
        <v/>
      </c>
      <c r="H269" s="9" t="n"/>
      <c r="I269" s="9" t="n"/>
      <c r="J269" s="8">
        <f>IFERROR(INDEX(спр_Материалы!$B$2:$B$9000,MATCH($I269,спр_Материалы!$A$2:$A$9000,0)),"")</f>
        <v/>
      </c>
      <c r="K269">
        <f>IF($I269="","",IF($F269=IFERROR(INDEX(спр_Материалы!$G$2:$G$9000,MATCH($I269,спр_Материалы!$A$2:$A$9000,0)),""),"OK","!! не та группа"))</f>
        <v/>
      </c>
      <c r="L269" s="10">
        <f>IFERROR(INDEX(спр_Работы!$H$2:$H$6000,MATCH($C269,спр_Работы!$A$2:$A$6000,0))*(1-ДисконтТендер),0)</f>
        <v/>
      </c>
      <c r="M269" s="10">
        <f>IF($I269="",0,IFERROR(INDEX(спр_Материалы!$I$2:$I$9000,MATCH($I269,спр_Материалы!$A$2:$A$9000,0))*IF(INDEX(спр_Материалы!$J$2:$J$9000,MATCH($I269,спр_Материалы!$A$2:$A$9000,0))="USD",КурсUSD,IF(INDEX(спр_Материалы!$J$2:$J$9000,MATCH($I269,спр_Материалы!$A$2:$A$9000,0))="EUR",КурсEUR,1))*INDEX(спр_Материалы!$K$2:$K$9000,MATCH($I269,спр_Материалы!$A$2:$A$9000,0))*(1+IFERROR(INDEX(спр_Работы!$I$2:$I$6000,MATCH($C269,спр_Работы!$A$2:$A$6000,0))/100,0))*(1-ДисконтТендер),0))</f>
        <v/>
      </c>
      <c r="N269" s="10">
        <f>IF(AND($R269="да",$H269&lt;&gt;""),ROUND($H269*$L269,2),0)</f>
        <v/>
      </c>
      <c r="O269" s="10">
        <f>IF(AND($R269="да",$H269&lt;&gt;""),ROUND($H269*$M269,2),0)</f>
        <v/>
      </c>
      <c r="P269" s="10">
        <f>$N269+$O269</f>
        <v/>
      </c>
      <c r="Q269">
        <f>IFERROR(INDEX(спр_Работы!$J$2:$J$6000,MATCH($C269,спр_Работы!$A$2:$A$6000,0)),"")</f>
        <v/>
      </c>
      <c r="R269" t="inlineStr">
        <is>
          <t>да</t>
        </is>
      </c>
      <c r="T269">
        <f>IF(AND($P269&gt;0,$R269="да"),MAX($T$1:$T268)+1,"")</f>
        <v/>
      </c>
    </row>
    <row r="270">
      <c r="A270">
        <f>IFERROR(INDEX(спр_Работы!$D$2:$D$6000,MATCH($C270,спр_Работы!$A$2:$A$6000,0)),"")</f>
        <v/>
      </c>
      <c r="B270">
        <f>IFERROR(INDEX(спр_Работы!$F$2:$F$6000,MATCH($C270,спр_Работы!$A$2:$A$6000,0)),"")</f>
        <v/>
      </c>
      <c r="C270">
        <f>IFERROR(INDEX(спр_Работы!$A$2:$A$6000,269),"")</f>
        <v/>
      </c>
      <c r="D270" s="8">
        <f>IFERROR(INDEX(спр_Работы!$B$2:$B$6000,MATCH($C270,спр_Работы!$A$2:$A$6000,0)),"")</f>
        <v/>
      </c>
      <c r="E270">
        <f>IFERROR(INDEX(спр_Работы!$C$2:$C$6000,MATCH($C270,спр_Работы!$A$2:$A$6000,0)),"")</f>
        <v/>
      </c>
      <c r="F270">
        <f>IFERROR(INDEX(спр_Работы!$G$2:$G$6000,MATCH($C270,спр_Работы!$A$2:$A$6000,0)),"")</f>
        <v/>
      </c>
      <c r="G270">
        <f>IFERROR(INDEX(спр_Работы!$K$2:$K$6000,MATCH($C270,спр_Работы!$A$2:$A$6000,0)),"")</f>
        <v/>
      </c>
      <c r="H270" s="9" t="n"/>
      <c r="I270" s="9" t="n"/>
      <c r="J270" s="8">
        <f>IFERROR(INDEX(спр_Материалы!$B$2:$B$9000,MATCH($I270,спр_Материалы!$A$2:$A$9000,0)),"")</f>
        <v/>
      </c>
      <c r="K270">
        <f>IF($I270="","",IF($F270=IFERROR(INDEX(спр_Материалы!$G$2:$G$9000,MATCH($I270,спр_Материалы!$A$2:$A$9000,0)),""),"OK","!! не та группа"))</f>
        <v/>
      </c>
      <c r="L270" s="10">
        <f>IFERROR(INDEX(спр_Работы!$H$2:$H$6000,MATCH($C270,спр_Работы!$A$2:$A$6000,0))*(1-ДисконтТендер),0)</f>
        <v/>
      </c>
      <c r="M270" s="10">
        <f>IF($I270="",0,IFERROR(INDEX(спр_Материалы!$I$2:$I$9000,MATCH($I270,спр_Материалы!$A$2:$A$9000,0))*IF(INDEX(спр_Материалы!$J$2:$J$9000,MATCH($I270,спр_Материалы!$A$2:$A$9000,0))="USD",КурсUSD,IF(INDEX(спр_Материалы!$J$2:$J$9000,MATCH($I270,спр_Материалы!$A$2:$A$9000,0))="EUR",КурсEUR,1))*INDEX(спр_Материалы!$K$2:$K$9000,MATCH($I270,спр_Материалы!$A$2:$A$9000,0))*(1+IFERROR(INDEX(спр_Работы!$I$2:$I$6000,MATCH($C270,спр_Работы!$A$2:$A$6000,0))/100,0))*(1-ДисконтТендер),0))</f>
        <v/>
      </c>
      <c r="N270" s="10">
        <f>IF(AND($R270="да",$H270&lt;&gt;""),ROUND($H270*$L270,2),0)</f>
        <v/>
      </c>
      <c r="O270" s="10">
        <f>IF(AND($R270="да",$H270&lt;&gt;""),ROUND($H270*$M270,2),0)</f>
        <v/>
      </c>
      <c r="P270" s="10">
        <f>$N270+$O270</f>
        <v/>
      </c>
      <c r="Q270">
        <f>IFERROR(INDEX(спр_Работы!$J$2:$J$6000,MATCH($C270,спр_Работы!$A$2:$A$6000,0)),"")</f>
        <v/>
      </c>
      <c r="R270" t="inlineStr">
        <is>
          <t>да</t>
        </is>
      </c>
      <c r="T270">
        <f>IF(AND($P270&gt;0,$R270="да"),MAX($T$1:$T269)+1,"")</f>
        <v/>
      </c>
    </row>
    <row r="271">
      <c r="A271">
        <f>IFERROR(INDEX(спр_Работы!$D$2:$D$6000,MATCH($C271,спр_Работы!$A$2:$A$6000,0)),"")</f>
        <v/>
      </c>
      <c r="B271">
        <f>IFERROR(INDEX(спр_Работы!$F$2:$F$6000,MATCH($C271,спр_Работы!$A$2:$A$6000,0)),"")</f>
        <v/>
      </c>
      <c r="C271">
        <f>IFERROR(INDEX(спр_Работы!$A$2:$A$6000,270),"")</f>
        <v/>
      </c>
      <c r="D271" s="8">
        <f>IFERROR(INDEX(спр_Работы!$B$2:$B$6000,MATCH($C271,спр_Работы!$A$2:$A$6000,0)),"")</f>
        <v/>
      </c>
      <c r="E271">
        <f>IFERROR(INDEX(спр_Работы!$C$2:$C$6000,MATCH($C271,спр_Работы!$A$2:$A$6000,0)),"")</f>
        <v/>
      </c>
      <c r="F271">
        <f>IFERROR(INDEX(спр_Работы!$G$2:$G$6000,MATCH($C271,спр_Работы!$A$2:$A$6000,0)),"")</f>
        <v/>
      </c>
      <c r="G271">
        <f>IFERROR(INDEX(спр_Работы!$K$2:$K$6000,MATCH($C271,спр_Работы!$A$2:$A$6000,0)),"")</f>
        <v/>
      </c>
      <c r="H271" s="9" t="n"/>
      <c r="I271" s="9" t="n"/>
      <c r="J271" s="8">
        <f>IFERROR(INDEX(спр_Материалы!$B$2:$B$9000,MATCH($I271,спр_Материалы!$A$2:$A$9000,0)),"")</f>
        <v/>
      </c>
      <c r="K271">
        <f>IF($I271="","",IF($F271=IFERROR(INDEX(спр_Материалы!$G$2:$G$9000,MATCH($I271,спр_Материалы!$A$2:$A$9000,0)),""),"OK","!! не та группа"))</f>
        <v/>
      </c>
      <c r="L271" s="10">
        <f>IFERROR(INDEX(спр_Работы!$H$2:$H$6000,MATCH($C271,спр_Работы!$A$2:$A$6000,0))*(1-ДисконтТендер),0)</f>
        <v/>
      </c>
      <c r="M271" s="10">
        <f>IF($I271="",0,IFERROR(INDEX(спр_Материалы!$I$2:$I$9000,MATCH($I271,спр_Материалы!$A$2:$A$9000,0))*IF(INDEX(спр_Материалы!$J$2:$J$9000,MATCH($I271,спр_Материалы!$A$2:$A$9000,0))="USD",КурсUSD,IF(INDEX(спр_Материалы!$J$2:$J$9000,MATCH($I271,спр_Материалы!$A$2:$A$9000,0))="EUR",КурсEUR,1))*INDEX(спр_Материалы!$K$2:$K$9000,MATCH($I271,спр_Материалы!$A$2:$A$9000,0))*(1+IFERROR(INDEX(спр_Работы!$I$2:$I$6000,MATCH($C271,спр_Работы!$A$2:$A$6000,0))/100,0))*(1-ДисконтТендер),0))</f>
        <v/>
      </c>
      <c r="N271" s="10">
        <f>IF(AND($R271="да",$H271&lt;&gt;""),ROUND($H271*$L271,2),0)</f>
        <v/>
      </c>
      <c r="O271" s="10">
        <f>IF(AND($R271="да",$H271&lt;&gt;""),ROUND($H271*$M271,2),0)</f>
        <v/>
      </c>
      <c r="P271" s="10">
        <f>$N271+$O271</f>
        <v/>
      </c>
      <c r="Q271">
        <f>IFERROR(INDEX(спр_Работы!$J$2:$J$6000,MATCH($C271,спр_Работы!$A$2:$A$6000,0)),"")</f>
        <v/>
      </c>
      <c r="R271" t="inlineStr">
        <is>
          <t>да</t>
        </is>
      </c>
      <c r="T271">
        <f>IF(AND($P271&gt;0,$R271="да"),MAX($T$1:$T270)+1,"")</f>
        <v/>
      </c>
    </row>
    <row r="272">
      <c r="A272">
        <f>IFERROR(INDEX(спр_Работы!$D$2:$D$6000,MATCH($C272,спр_Работы!$A$2:$A$6000,0)),"")</f>
        <v/>
      </c>
      <c r="B272">
        <f>IFERROR(INDEX(спр_Работы!$F$2:$F$6000,MATCH($C272,спр_Работы!$A$2:$A$6000,0)),"")</f>
        <v/>
      </c>
      <c r="C272">
        <f>IFERROR(INDEX(спр_Работы!$A$2:$A$6000,271),"")</f>
        <v/>
      </c>
      <c r="D272" s="8">
        <f>IFERROR(INDEX(спр_Работы!$B$2:$B$6000,MATCH($C272,спр_Работы!$A$2:$A$6000,0)),"")</f>
        <v/>
      </c>
      <c r="E272">
        <f>IFERROR(INDEX(спр_Работы!$C$2:$C$6000,MATCH($C272,спр_Работы!$A$2:$A$6000,0)),"")</f>
        <v/>
      </c>
      <c r="F272">
        <f>IFERROR(INDEX(спр_Работы!$G$2:$G$6000,MATCH($C272,спр_Работы!$A$2:$A$6000,0)),"")</f>
        <v/>
      </c>
      <c r="G272">
        <f>IFERROR(INDEX(спр_Работы!$K$2:$K$6000,MATCH($C272,спр_Работы!$A$2:$A$6000,0)),"")</f>
        <v/>
      </c>
      <c r="H272" s="9" t="n"/>
      <c r="I272" s="9" t="n"/>
      <c r="J272" s="8">
        <f>IFERROR(INDEX(спр_Материалы!$B$2:$B$9000,MATCH($I272,спр_Материалы!$A$2:$A$9000,0)),"")</f>
        <v/>
      </c>
      <c r="K272">
        <f>IF($I272="","",IF($F272=IFERROR(INDEX(спр_Материалы!$G$2:$G$9000,MATCH($I272,спр_Материалы!$A$2:$A$9000,0)),""),"OK","!! не та группа"))</f>
        <v/>
      </c>
      <c r="L272" s="10">
        <f>IFERROR(INDEX(спр_Работы!$H$2:$H$6000,MATCH($C272,спр_Работы!$A$2:$A$6000,0))*(1-ДисконтТендер),0)</f>
        <v/>
      </c>
      <c r="M272" s="10">
        <f>IF($I272="",0,IFERROR(INDEX(спр_Материалы!$I$2:$I$9000,MATCH($I272,спр_Материалы!$A$2:$A$9000,0))*IF(INDEX(спр_Материалы!$J$2:$J$9000,MATCH($I272,спр_Материалы!$A$2:$A$9000,0))="USD",КурсUSD,IF(INDEX(спр_Материалы!$J$2:$J$9000,MATCH($I272,спр_Материалы!$A$2:$A$9000,0))="EUR",КурсEUR,1))*INDEX(спр_Материалы!$K$2:$K$9000,MATCH($I272,спр_Материалы!$A$2:$A$9000,0))*(1+IFERROR(INDEX(спр_Работы!$I$2:$I$6000,MATCH($C272,спр_Работы!$A$2:$A$6000,0))/100,0))*(1-ДисконтТендер),0))</f>
        <v/>
      </c>
      <c r="N272" s="10">
        <f>IF(AND($R272="да",$H272&lt;&gt;""),ROUND($H272*$L272,2),0)</f>
        <v/>
      </c>
      <c r="O272" s="10">
        <f>IF(AND($R272="да",$H272&lt;&gt;""),ROUND($H272*$M272,2),0)</f>
        <v/>
      </c>
      <c r="P272" s="10">
        <f>$N272+$O272</f>
        <v/>
      </c>
      <c r="Q272">
        <f>IFERROR(INDEX(спр_Работы!$J$2:$J$6000,MATCH($C272,спр_Работы!$A$2:$A$6000,0)),"")</f>
        <v/>
      </c>
      <c r="R272" t="inlineStr">
        <is>
          <t>да</t>
        </is>
      </c>
      <c r="T272">
        <f>IF(AND($P272&gt;0,$R272="да"),MAX($T$1:$T271)+1,"")</f>
        <v/>
      </c>
    </row>
    <row r="273">
      <c r="A273">
        <f>IFERROR(INDEX(спр_Работы!$D$2:$D$6000,MATCH($C273,спр_Работы!$A$2:$A$6000,0)),"")</f>
        <v/>
      </c>
      <c r="B273">
        <f>IFERROR(INDEX(спр_Работы!$F$2:$F$6000,MATCH($C273,спр_Работы!$A$2:$A$6000,0)),"")</f>
        <v/>
      </c>
      <c r="C273">
        <f>IFERROR(INDEX(спр_Работы!$A$2:$A$6000,272),"")</f>
        <v/>
      </c>
      <c r="D273" s="8">
        <f>IFERROR(INDEX(спр_Работы!$B$2:$B$6000,MATCH($C273,спр_Работы!$A$2:$A$6000,0)),"")</f>
        <v/>
      </c>
      <c r="E273">
        <f>IFERROR(INDEX(спр_Работы!$C$2:$C$6000,MATCH($C273,спр_Работы!$A$2:$A$6000,0)),"")</f>
        <v/>
      </c>
      <c r="F273">
        <f>IFERROR(INDEX(спр_Работы!$G$2:$G$6000,MATCH($C273,спр_Работы!$A$2:$A$6000,0)),"")</f>
        <v/>
      </c>
      <c r="G273">
        <f>IFERROR(INDEX(спр_Работы!$K$2:$K$6000,MATCH($C273,спр_Работы!$A$2:$A$6000,0)),"")</f>
        <v/>
      </c>
      <c r="H273" s="9" t="n"/>
      <c r="I273" s="9" t="n"/>
      <c r="J273" s="8">
        <f>IFERROR(INDEX(спр_Материалы!$B$2:$B$9000,MATCH($I273,спр_Материалы!$A$2:$A$9000,0)),"")</f>
        <v/>
      </c>
      <c r="K273">
        <f>IF($I273="","",IF($F273=IFERROR(INDEX(спр_Материалы!$G$2:$G$9000,MATCH($I273,спр_Материалы!$A$2:$A$9000,0)),""),"OK","!! не та группа"))</f>
        <v/>
      </c>
      <c r="L273" s="10">
        <f>IFERROR(INDEX(спр_Работы!$H$2:$H$6000,MATCH($C273,спр_Работы!$A$2:$A$6000,0))*(1-ДисконтТендер),0)</f>
        <v/>
      </c>
      <c r="M273" s="10">
        <f>IF($I273="",0,IFERROR(INDEX(спр_Материалы!$I$2:$I$9000,MATCH($I273,спр_Материалы!$A$2:$A$9000,0))*IF(INDEX(спр_Материалы!$J$2:$J$9000,MATCH($I273,спр_Материалы!$A$2:$A$9000,0))="USD",КурсUSD,IF(INDEX(спр_Материалы!$J$2:$J$9000,MATCH($I273,спр_Материалы!$A$2:$A$9000,0))="EUR",КурсEUR,1))*INDEX(спр_Материалы!$K$2:$K$9000,MATCH($I273,спр_Материалы!$A$2:$A$9000,0))*(1+IFERROR(INDEX(спр_Работы!$I$2:$I$6000,MATCH($C273,спр_Работы!$A$2:$A$6000,0))/100,0))*(1-ДисконтТендер),0))</f>
        <v/>
      </c>
      <c r="N273" s="10">
        <f>IF(AND($R273="да",$H273&lt;&gt;""),ROUND($H273*$L273,2),0)</f>
        <v/>
      </c>
      <c r="O273" s="10">
        <f>IF(AND($R273="да",$H273&lt;&gt;""),ROUND($H273*$M273,2),0)</f>
        <v/>
      </c>
      <c r="P273" s="10">
        <f>$N273+$O273</f>
        <v/>
      </c>
      <c r="Q273">
        <f>IFERROR(INDEX(спр_Работы!$J$2:$J$6000,MATCH($C273,спр_Работы!$A$2:$A$6000,0)),"")</f>
        <v/>
      </c>
      <c r="R273" t="inlineStr">
        <is>
          <t>да</t>
        </is>
      </c>
      <c r="T273">
        <f>IF(AND($P273&gt;0,$R273="да"),MAX($T$1:$T272)+1,"")</f>
        <v/>
      </c>
    </row>
    <row r="274">
      <c r="A274">
        <f>IFERROR(INDEX(спр_Работы!$D$2:$D$6000,MATCH($C274,спр_Работы!$A$2:$A$6000,0)),"")</f>
        <v/>
      </c>
      <c r="B274">
        <f>IFERROR(INDEX(спр_Работы!$F$2:$F$6000,MATCH($C274,спр_Работы!$A$2:$A$6000,0)),"")</f>
        <v/>
      </c>
      <c r="C274">
        <f>IFERROR(INDEX(спр_Работы!$A$2:$A$6000,273),"")</f>
        <v/>
      </c>
      <c r="D274" s="8">
        <f>IFERROR(INDEX(спр_Работы!$B$2:$B$6000,MATCH($C274,спр_Работы!$A$2:$A$6000,0)),"")</f>
        <v/>
      </c>
      <c r="E274">
        <f>IFERROR(INDEX(спр_Работы!$C$2:$C$6000,MATCH($C274,спр_Работы!$A$2:$A$6000,0)),"")</f>
        <v/>
      </c>
      <c r="F274">
        <f>IFERROR(INDEX(спр_Работы!$G$2:$G$6000,MATCH($C274,спр_Работы!$A$2:$A$6000,0)),"")</f>
        <v/>
      </c>
      <c r="G274">
        <f>IFERROR(INDEX(спр_Работы!$K$2:$K$6000,MATCH($C274,спр_Работы!$A$2:$A$6000,0)),"")</f>
        <v/>
      </c>
      <c r="H274" s="9" t="n"/>
      <c r="I274" s="9" t="n"/>
      <c r="J274" s="8">
        <f>IFERROR(INDEX(спр_Материалы!$B$2:$B$9000,MATCH($I274,спр_Материалы!$A$2:$A$9000,0)),"")</f>
        <v/>
      </c>
      <c r="K274">
        <f>IF($I274="","",IF($F274=IFERROR(INDEX(спр_Материалы!$G$2:$G$9000,MATCH($I274,спр_Материалы!$A$2:$A$9000,0)),""),"OK","!! не та группа"))</f>
        <v/>
      </c>
      <c r="L274" s="10">
        <f>IFERROR(INDEX(спр_Работы!$H$2:$H$6000,MATCH($C274,спр_Работы!$A$2:$A$6000,0))*(1-ДисконтТендер),0)</f>
        <v/>
      </c>
      <c r="M274" s="10">
        <f>IF($I274="",0,IFERROR(INDEX(спр_Материалы!$I$2:$I$9000,MATCH($I274,спр_Материалы!$A$2:$A$9000,0))*IF(INDEX(спр_Материалы!$J$2:$J$9000,MATCH($I274,спр_Материалы!$A$2:$A$9000,0))="USD",КурсUSD,IF(INDEX(спр_Материалы!$J$2:$J$9000,MATCH($I274,спр_Материалы!$A$2:$A$9000,0))="EUR",КурсEUR,1))*INDEX(спр_Материалы!$K$2:$K$9000,MATCH($I274,спр_Материалы!$A$2:$A$9000,0))*(1+IFERROR(INDEX(спр_Работы!$I$2:$I$6000,MATCH($C274,спр_Работы!$A$2:$A$6000,0))/100,0))*(1-ДисконтТендер),0))</f>
        <v/>
      </c>
      <c r="N274" s="10">
        <f>IF(AND($R274="да",$H274&lt;&gt;""),ROUND($H274*$L274,2),0)</f>
        <v/>
      </c>
      <c r="O274" s="10">
        <f>IF(AND($R274="да",$H274&lt;&gt;""),ROUND($H274*$M274,2),0)</f>
        <v/>
      </c>
      <c r="P274" s="10">
        <f>$N274+$O274</f>
        <v/>
      </c>
      <c r="Q274">
        <f>IFERROR(INDEX(спр_Работы!$J$2:$J$6000,MATCH($C274,спр_Работы!$A$2:$A$6000,0)),"")</f>
        <v/>
      </c>
      <c r="R274" t="inlineStr">
        <is>
          <t>да</t>
        </is>
      </c>
      <c r="T274">
        <f>IF(AND($P274&gt;0,$R274="да"),MAX($T$1:$T273)+1,"")</f>
        <v/>
      </c>
    </row>
    <row r="275">
      <c r="A275">
        <f>IFERROR(INDEX(спр_Работы!$D$2:$D$6000,MATCH($C275,спр_Работы!$A$2:$A$6000,0)),"")</f>
        <v/>
      </c>
      <c r="B275">
        <f>IFERROR(INDEX(спр_Работы!$F$2:$F$6000,MATCH($C275,спр_Работы!$A$2:$A$6000,0)),"")</f>
        <v/>
      </c>
      <c r="C275">
        <f>IFERROR(INDEX(спр_Работы!$A$2:$A$6000,274),"")</f>
        <v/>
      </c>
      <c r="D275" s="8">
        <f>IFERROR(INDEX(спр_Работы!$B$2:$B$6000,MATCH($C275,спр_Работы!$A$2:$A$6000,0)),"")</f>
        <v/>
      </c>
      <c r="E275">
        <f>IFERROR(INDEX(спр_Работы!$C$2:$C$6000,MATCH($C275,спр_Работы!$A$2:$A$6000,0)),"")</f>
        <v/>
      </c>
      <c r="F275">
        <f>IFERROR(INDEX(спр_Работы!$G$2:$G$6000,MATCH($C275,спр_Работы!$A$2:$A$6000,0)),"")</f>
        <v/>
      </c>
      <c r="G275">
        <f>IFERROR(INDEX(спр_Работы!$K$2:$K$6000,MATCH($C275,спр_Работы!$A$2:$A$6000,0)),"")</f>
        <v/>
      </c>
      <c r="H275" s="9" t="n"/>
      <c r="I275" s="9" t="n"/>
      <c r="J275" s="8">
        <f>IFERROR(INDEX(спр_Материалы!$B$2:$B$9000,MATCH($I275,спр_Материалы!$A$2:$A$9000,0)),"")</f>
        <v/>
      </c>
      <c r="K275">
        <f>IF($I275="","",IF($F275=IFERROR(INDEX(спр_Материалы!$G$2:$G$9000,MATCH($I275,спр_Материалы!$A$2:$A$9000,0)),""),"OK","!! не та группа"))</f>
        <v/>
      </c>
      <c r="L275" s="10">
        <f>IFERROR(INDEX(спр_Работы!$H$2:$H$6000,MATCH($C275,спр_Работы!$A$2:$A$6000,0))*(1-ДисконтТендер),0)</f>
        <v/>
      </c>
      <c r="M275" s="10">
        <f>IF($I275="",0,IFERROR(INDEX(спр_Материалы!$I$2:$I$9000,MATCH($I275,спр_Материалы!$A$2:$A$9000,0))*IF(INDEX(спр_Материалы!$J$2:$J$9000,MATCH($I275,спр_Материалы!$A$2:$A$9000,0))="USD",КурсUSD,IF(INDEX(спр_Материалы!$J$2:$J$9000,MATCH($I275,спр_Материалы!$A$2:$A$9000,0))="EUR",КурсEUR,1))*INDEX(спр_Материалы!$K$2:$K$9000,MATCH($I275,спр_Материалы!$A$2:$A$9000,0))*(1+IFERROR(INDEX(спр_Работы!$I$2:$I$6000,MATCH($C275,спр_Работы!$A$2:$A$6000,0))/100,0))*(1-ДисконтТендер),0))</f>
        <v/>
      </c>
      <c r="N275" s="10">
        <f>IF(AND($R275="да",$H275&lt;&gt;""),ROUND($H275*$L275,2),0)</f>
        <v/>
      </c>
      <c r="O275" s="10">
        <f>IF(AND($R275="да",$H275&lt;&gt;""),ROUND($H275*$M275,2),0)</f>
        <v/>
      </c>
      <c r="P275" s="10">
        <f>$N275+$O275</f>
        <v/>
      </c>
      <c r="Q275">
        <f>IFERROR(INDEX(спр_Работы!$J$2:$J$6000,MATCH($C275,спр_Работы!$A$2:$A$6000,0)),"")</f>
        <v/>
      </c>
      <c r="R275" t="inlineStr">
        <is>
          <t>да</t>
        </is>
      </c>
      <c r="T275">
        <f>IF(AND($P275&gt;0,$R275="да"),MAX($T$1:$T274)+1,"")</f>
        <v/>
      </c>
    </row>
    <row r="276">
      <c r="A276">
        <f>IFERROR(INDEX(спр_Работы!$D$2:$D$6000,MATCH($C276,спр_Работы!$A$2:$A$6000,0)),"")</f>
        <v/>
      </c>
      <c r="B276">
        <f>IFERROR(INDEX(спр_Работы!$F$2:$F$6000,MATCH($C276,спр_Работы!$A$2:$A$6000,0)),"")</f>
        <v/>
      </c>
      <c r="C276">
        <f>IFERROR(INDEX(спр_Работы!$A$2:$A$6000,275),"")</f>
        <v/>
      </c>
      <c r="D276" s="8">
        <f>IFERROR(INDEX(спр_Работы!$B$2:$B$6000,MATCH($C276,спр_Работы!$A$2:$A$6000,0)),"")</f>
        <v/>
      </c>
      <c r="E276">
        <f>IFERROR(INDEX(спр_Работы!$C$2:$C$6000,MATCH($C276,спр_Работы!$A$2:$A$6000,0)),"")</f>
        <v/>
      </c>
      <c r="F276">
        <f>IFERROR(INDEX(спр_Работы!$G$2:$G$6000,MATCH($C276,спр_Работы!$A$2:$A$6000,0)),"")</f>
        <v/>
      </c>
      <c r="G276">
        <f>IFERROR(INDEX(спр_Работы!$K$2:$K$6000,MATCH($C276,спр_Работы!$A$2:$A$6000,0)),"")</f>
        <v/>
      </c>
      <c r="H276" s="9" t="n"/>
      <c r="I276" s="9" t="n"/>
      <c r="J276" s="8">
        <f>IFERROR(INDEX(спр_Материалы!$B$2:$B$9000,MATCH($I276,спр_Материалы!$A$2:$A$9000,0)),"")</f>
        <v/>
      </c>
      <c r="K276">
        <f>IF($I276="","",IF($F276=IFERROR(INDEX(спр_Материалы!$G$2:$G$9000,MATCH($I276,спр_Материалы!$A$2:$A$9000,0)),""),"OK","!! не та группа"))</f>
        <v/>
      </c>
      <c r="L276" s="10">
        <f>IFERROR(INDEX(спр_Работы!$H$2:$H$6000,MATCH($C276,спр_Работы!$A$2:$A$6000,0))*(1-ДисконтТендер),0)</f>
        <v/>
      </c>
      <c r="M276" s="10">
        <f>IF($I276="",0,IFERROR(INDEX(спр_Материалы!$I$2:$I$9000,MATCH($I276,спр_Материалы!$A$2:$A$9000,0))*IF(INDEX(спр_Материалы!$J$2:$J$9000,MATCH($I276,спр_Материалы!$A$2:$A$9000,0))="USD",КурсUSD,IF(INDEX(спр_Материалы!$J$2:$J$9000,MATCH($I276,спр_Материалы!$A$2:$A$9000,0))="EUR",КурсEUR,1))*INDEX(спр_Материалы!$K$2:$K$9000,MATCH($I276,спр_Материалы!$A$2:$A$9000,0))*(1+IFERROR(INDEX(спр_Работы!$I$2:$I$6000,MATCH($C276,спр_Работы!$A$2:$A$6000,0))/100,0))*(1-ДисконтТендер),0))</f>
        <v/>
      </c>
      <c r="N276" s="10">
        <f>IF(AND($R276="да",$H276&lt;&gt;""),ROUND($H276*$L276,2),0)</f>
        <v/>
      </c>
      <c r="O276" s="10">
        <f>IF(AND($R276="да",$H276&lt;&gt;""),ROUND($H276*$M276,2),0)</f>
        <v/>
      </c>
      <c r="P276" s="10">
        <f>$N276+$O276</f>
        <v/>
      </c>
      <c r="Q276">
        <f>IFERROR(INDEX(спр_Работы!$J$2:$J$6000,MATCH($C276,спр_Работы!$A$2:$A$6000,0)),"")</f>
        <v/>
      </c>
      <c r="R276" t="inlineStr">
        <is>
          <t>да</t>
        </is>
      </c>
      <c r="T276">
        <f>IF(AND($P276&gt;0,$R276="да"),MAX($T$1:$T275)+1,"")</f>
        <v/>
      </c>
    </row>
    <row r="277">
      <c r="A277">
        <f>IFERROR(INDEX(спр_Работы!$D$2:$D$6000,MATCH($C277,спр_Работы!$A$2:$A$6000,0)),"")</f>
        <v/>
      </c>
      <c r="B277">
        <f>IFERROR(INDEX(спр_Работы!$F$2:$F$6000,MATCH($C277,спр_Работы!$A$2:$A$6000,0)),"")</f>
        <v/>
      </c>
      <c r="C277">
        <f>IFERROR(INDEX(спр_Работы!$A$2:$A$6000,276),"")</f>
        <v/>
      </c>
      <c r="D277" s="8">
        <f>IFERROR(INDEX(спр_Работы!$B$2:$B$6000,MATCH($C277,спр_Работы!$A$2:$A$6000,0)),"")</f>
        <v/>
      </c>
      <c r="E277">
        <f>IFERROR(INDEX(спр_Работы!$C$2:$C$6000,MATCH($C277,спр_Работы!$A$2:$A$6000,0)),"")</f>
        <v/>
      </c>
      <c r="F277">
        <f>IFERROR(INDEX(спр_Работы!$G$2:$G$6000,MATCH($C277,спр_Работы!$A$2:$A$6000,0)),"")</f>
        <v/>
      </c>
      <c r="G277">
        <f>IFERROR(INDEX(спр_Работы!$K$2:$K$6000,MATCH($C277,спр_Работы!$A$2:$A$6000,0)),"")</f>
        <v/>
      </c>
      <c r="H277" s="9" t="n"/>
      <c r="I277" s="9" t="n"/>
      <c r="J277" s="8">
        <f>IFERROR(INDEX(спр_Материалы!$B$2:$B$9000,MATCH($I277,спр_Материалы!$A$2:$A$9000,0)),"")</f>
        <v/>
      </c>
      <c r="K277">
        <f>IF($I277="","",IF($F277=IFERROR(INDEX(спр_Материалы!$G$2:$G$9000,MATCH($I277,спр_Материалы!$A$2:$A$9000,0)),""),"OK","!! не та группа"))</f>
        <v/>
      </c>
      <c r="L277" s="10">
        <f>IFERROR(INDEX(спр_Работы!$H$2:$H$6000,MATCH($C277,спр_Работы!$A$2:$A$6000,0))*(1-ДисконтТендер),0)</f>
        <v/>
      </c>
      <c r="M277" s="10">
        <f>IF($I277="",0,IFERROR(INDEX(спр_Материалы!$I$2:$I$9000,MATCH($I277,спр_Материалы!$A$2:$A$9000,0))*IF(INDEX(спр_Материалы!$J$2:$J$9000,MATCH($I277,спр_Материалы!$A$2:$A$9000,0))="USD",КурсUSD,IF(INDEX(спр_Материалы!$J$2:$J$9000,MATCH($I277,спр_Материалы!$A$2:$A$9000,0))="EUR",КурсEUR,1))*INDEX(спр_Материалы!$K$2:$K$9000,MATCH($I277,спр_Материалы!$A$2:$A$9000,0))*(1+IFERROR(INDEX(спр_Работы!$I$2:$I$6000,MATCH($C277,спр_Работы!$A$2:$A$6000,0))/100,0))*(1-ДисконтТендер),0))</f>
        <v/>
      </c>
      <c r="N277" s="10">
        <f>IF(AND($R277="да",$H277&lt;&gt;""),ROUND($H277*$L277,2),0)</f>
        <v/>
      </c>
      <c r="O277" s="10">
        <f>IF(AND($R277="да",$H277&lt;&gt;""),ROUND($H277*$M277,2),0)</f>
        <v/>
      </c>
      <c r="P277" s="10">
        <f>$N277+$O277</f>
        <v/>
      </c>
      <c r="Q277">
        <f>IFERROR(INDEX(спр_Работы!$J$2:$J$6000,MATCH($C277,спр_Работы!$A$2:$A$6000,0)),"")</f>
        <v/>
      </c>
      <c r="R277" t="inlineStr">
        <is>
          <t>да</t>
        </is>
      </c>
      <c r="T277">
        <f>IF(AND($P277&gt;0,$R277="да"),MAX($T$1:$T276)+1,"")</f>
        <v/>
      </c>
    </row>
    <row r="278">
      <c r="A278">
        <f>IFERROR(INDEX(спр_Работы!$D$2:$D$6000,MATCH($C278,спр_Работы!$A$2:$A$6000,0)),"")</f>
        <v/>
      </c>
      <c r="B278">
        <f>IFERROR(INDEX(спр_Работы!$F$2:$F$6000,MATCH($C278,спр_Работы!$A$2:$A$6000,0)),"")</f>
        <v/>
      </c>
      <c r="C278">
        <f>IFERROR(INDEX(спр_Работы!$A$2:$A$6000,277),"")</f>
        <v/>
      </c>
      <c r="D278" s="8">
        <f>IFERROR(INDEX(спр_Работы!$B$2:$B$6000,MATCH($C278,спр_Работы!$A$2:$A$6000,0)),"")</f>
        <v/>
      </c>
      <c r="E278">
        <f>IFERROR(INDEX(спр_Работы!$C$2:$C$6000,MATCH($C278,спр_Работы!$A$2:$A$6000,0)),"")</f>
        <v/>
      </c>
      <c r="F278">
        <f>IFERROR(INDEX(спр_Работы!$G$2:$G$6000,MATCH($C278,спр_Работы!$A$2:$A$6000,0)),"")</f>
        <v/>
      </c>
      <c r="G278">
        <f>IFERROR(INDEX(спр_Работы!$K$2:$K$6000,MATCH($C278,спр_Работы!$A$2:$A$6000,0)),"")</f>
        <v/>
      </c>
      <c r="H278" s="9" t="n"/>
      <c r="I278" s="9" t="n"/>
      <c r="J278" s="8">
        <f>IFERROR(INDEX(спр_Материалы!$B$2:$B$9000,MATCH($I278,спр_Материалы!$A$2:$A$9000,0)),"")</f>
        <v/>
      </c>
      <c r="K278">
        <f>IF($I278="","",IF($F278=IFERROR(INDEX(спр_Материалы!$G$2:$G$9000,MATCH($I278,спр_Материалы!$A$2:$A$9000,0)),""),"OK","!! не та группа"))</f>
        <v/>
      </c>
      <c r="L278" s="10">
        <f>IFERROR(INDEX(спр_Работы!$H$2:$H$6000,MATCH($C278,спр_Работы!$A$2:$A$6000,0))*(1-ДисконтТендер),0)</f>
        <v/>
      </c>
      <c r="M278" s="10">
        <f>IF($I278="",0,IFERROR(INDEX(спр_Материалы!$I$2:$I$9000,MATCH($I278,спр_Материалы!$A$2:$A$9000,0))*IF(INDEX(спр_Материалы!$J$2:$J$9000,MATCH($I278,спр_Материалы!$A$2:$A$9000,0))="USD",КурсUSD,IF(INDEX(спр_Материалы!$J$2:$J$9000,MATCH($I278,спр_Материалы!$A$2:$A$9000,0))="EUR",КурсEUR,1))*INDEX(спр_Материалы!$K$2:$K$9000,MATCH($I278,спр_Материалы!$A$2:$A$9000,0))*(1+IFERROR(INDEX(спр_Работы!$I$2:$I$6000,MATCH($C278,спр_Работы!$A$2:$A$6000,0))/100,0))*(1-ДисконтТендер),0))</f>
        <v/>
      </c>
      <c r="N278" s="10">
        <f>IF(AND($R278="да",$H278&lt;&gt;""),ROUND($H278*$L278,2),0)</f>
        <v/>
      </c>
      <c r="O278" s="10">
        <f>IF(AND($R278="да",$H278&lt;&gt;""),ROUND($H278*$M278,2),0)</f>
        <v/>
      </c>
      <c r="P278" s="10">
        <f>$N278+$O278</f>
        <v/>
      </c>
      <c r="Q278">
        <f>IFERROR(INDEX(спр_Работы!$J$2:$J$6000,MATCH($C278,спр_Работы!$A$2:$A$6000,0)),"")</f>
        <v/>
      </c>
      <c r="R278" t="inlineStr">
        <is>
          <t>да</t>
        </is>
      </c>
      <c r="T278">
        <f>IF(AND($P278&gt;0,$R278="да"),MAX($T$1:$T277)+1,"")</f>
        <v/>
      </c>
    </row>
    <row r="279">
      <c r="A279">
        <f>IFERROR(INDEX(спр_Работы!$D$2:$D$6000,MATCH($C279,спр_Работы!$A$2:$A$6000,0)),"")</f>
        <v/>
      </c>
      <c r="B279">
        <f>IFERROR(INDEX(спр_Работы!$F$2:$F$6000,MATCH($C279,спр_Работы!$A$2:$A$6000,0)),"")</f>
        <v/>
      </c>
      <c r="C279">
        <f>IFERROR(INDEX(спр_Работы!$A$2:$A$6000,278),"")</f>
        <v/>
      </c>
      <c r="D279" s="8">
        <f>IFERROR(INDEX(спр_Работы!$B$2:$B$6000,MATCH($C279,спр_Работы!$A$2:$A$6000,0)),"")</f>
        <v/>
      </c>
      <c r="E279">
        <f>IFERROR(INDEX(спр_Работы!$C$2:$C$6000,MATCH($C279,спр_Работы!$A$2:$A$6000,0)),"")</f>
        <v/>
      </c>
      <c r="F279">
        <f>IFERROR(INDEX(спр_Работы!$G$2:$G$6000,MATCH($C279,спр_Работы!$A$2:$A$6000,0)),"")</f>
        <v/>
      </c>
      <c r="G279">
        <f>IFERROR(INDEX(спр_Работы!$K$2:$K$6000,MATCH($C279,спр_Работы!$A$2:$A$6000,0)),"")</f>
        <v/>
      </c>
      <c r="H279" s="9" t="n"/>
      <c r="I279" s="9" t="n"/>
      <c r="J279" s="8">
        <f>IFERROR(INDEX(спр_Материалы!$B$2:$B$9000,MATCH($I279,спр_Материалы!$A$2:$A$9000,0)),"")</f>
        <v/>
      </c>
      <c r="K279">
        <f>IF($I279="","",IF($F279=IFERROR(INDEX(спр_Материалы!$G$2:$G$9000,MATCH($I279,спр_Материалы!$A$2:$A$9000,0)),""),"OK","!! не та группа"))</f>
        <v/>
      </c>
      <c r="L279" s="10">
        <f>IFERROR(INDEX(спр_Работы!$H$2:$H$6000,MATCH($C279,спр_Работы!$A$2:$A$6000,0))*(1-ДисконтТендер),0)</f>
        <v/>
      </c>
      <c r="M279" s="10">
        <f>IF($I279="",0,IFERROR(INDEX(спр_Материалы!$I$2:$I$9000,MATCH($I279,спр_Материалы!$A$2:$A$9000,0))*IF(INDEX(спр_Материалы!$J$2:$J$9000,MATCH($I279,спр_Материалы!$A$2:$A$9000,0))="USD",КурсUSD,IF(INDEX(спр_Материалы!$J$2:$J$9000,MATCH($I279,спр_Материалы!$A$2:$A$9000,0))="EUR",КурсEUR,1))*INDEX(спр_Материалы!$K$2:$K$9000,MATCH($I279,спр_Материалы!$A$2:$A$9000,0))*(1+IFERROR(INDEX(спр_Работы!$I$2:$I$6000,MATCH($C279,спр_Работы!$A$2:$A$6000,0))/100,0))*(1-ДисконтТендер),0))</f>
        <v/>
      </c>
      <c r="N279" s="10">
        <f>IF(AND($R279="да",$H279&lt;&gt;""),ROUND($H279*$L279,2),0)</f>
        <v/>
      </c>
      <c r="O279" s="10">
        <f>IF(AND($R279="да",$H279&lt;&gt;""),ROUND($H279*$M279,2),0)</f>
        <v/>
      </c>
      <c r="P279" s="10">
        <f>$N279+$O279</f>
        <v/>
      </c>
      <c r="Q279">
        <f>IFERROR(INDEX(спр_Работы!$J$2:$J$6000,MATCH($C279,спр_Работы!$A$2:$A$6000,0)),"")</f>
        <v/>
      </c>
      <c r="R279" t="inlineStr">
        <is>
          <t>да</t>
        </is>
      </c>
      <c r="T279">
        <f>IF(AND($P279&gt;0,$R279="да"),MAX($T$1:$T278)+1,"")</f>
        <v/>
      </c>
    </row>
    <row r="280">
      <c r="A280">
        <f>IFERROR(INDEX(спр_Работы!$D$2:$D$6000,MATCH($C280,спр_Работы!$A$2:$A$6000,0)),"")</f>
        <v/>
      </c>
      <c r="B280">
        <f>IFERROR(INDEX(спр_Работы!$F$2:$F$6000,MATCH($C280,спр_Работы!$A$2:$A$6000,0)),"")</f>
        <v/>
      </c>
      <c r="C280">
        <f>IFERROR(INDEX(спр_Работы!$A$2:$A$6000,279),"")</f>
        <v/>
      </c>
      <c r="D280" s="8">
        <f>IFERROR(INDEX(спр_Работы!$B$2:$B$6000,MATCH($C280,спр_Работы!$A$2:$A$6000,0)),"")</f>
        <v/>
      </c>
      <c r="E280">
        <f>IFERROR(INDEX(спр_Работы!$C$2:$C$6000,MATCH($C280,спр_Работы!$A$2:$A$6000,0)),"")</f>
        <v/>
      </c>
      <c r="F280">
        <f>IFERROR(INDEX(спр_Работы!$G$2:$G$6000,MATCH($C280,спр_Работы!$A$2:$A$6000,0)),"")</f>
        <v/>
      </c>
      <c r="G280">
        <f>IFERROR(INDEX(спр_Работы!$K$2:$K$6000,MATCH($C280,спр_Работы!$A$2:$A$6000,0)),"")</f>
        <v/>
      </c>
      <c r="H280" s="9" t="n"/>
      <c r="I280" s="9" t="n"/>
      <c r="J280" s="8">
        <f>IFERROR(INDEX(спр_Материалы!$B$2:$B$9000,MATCH($I280,спр_Материалы!$A$2:$A$9000,0)),"")</f>
        <v/>
      </c>
      <c r="K280">
        <f>IF($I280="","",IF($F280=IFERROR(INDEX(спр_Материалы!$G$2:$G$9000,MATCH($I280,спр_Материалы!$A$2:$A$9000,0)),""),"OK","!! не та группа"))</f>
        <v/>
      </c>
      <c r="L280" s="10">
        <f>IFERROR(INDEX(спр_Работы!$H$2:$H$6000,MATCH($C280,спр_Работы!$A$2:$A$6000,0))*(1-ДисконтТендер),0)</f>
        <v/>
      </c>
      <c r="M280" s="10">
        <f>IF($I280="",0,IFERROR(INDEX(спр_Материалы!$I$2:$I$9000,MATCH($I280,спр_Материалы!$A$2:$A$9000,0))*IF(INDEX(спр_Материалы!$J$2:$J$9000,MATCH($I280,спр_Материалы!$A$2:$A$9000,0))="USD",КурсUSD,IF(INDEX(спр_Материалы!$J$2:$J$9000,MATCH($I280,спр_Материалы!$A$2:$A$9000,0))="EUR",КурсEUR,1))*INDEX(спр_Материалы!$K$2:$K$9000,MATCH($I280,спр_Материалы!$A$2:$A$9000,0))*(1+IFERROR(INDEX(спр_Работы!$I$2:$I$6000,MATCH($C280,спр_Работы!$A$2:$A$6000,0))/100,0))*(1-ДисконтТендер),0))</f>
        <v/>
      </c>
      <c r="N280" s="10">
        <f>IF(AND($R280="да",$H280&lt;&gt;""),ROUND($H280*$L280,2),0)</f>
        <v/>
      </c>
      <c r="O280" s="10">
        <f>IF(AND($R280="да",$H280&lt;&gt;""),ROUND($H280*$M280,2),0)</f>
        <v/>
      </c>
      <c r="P280" s="10">
        <f>$N280+$O280</f>
        <v/>
      </c>
      <c r="Q280">
        <f>IFERROR(INDEX(спр_Работы!$J$2:$J$6000,MATCH($C280,спр_Работы!$A$2:$A$6000,0)),"")</f>
        <v/>
      </c>
      <c r="R280" t="inlineStr">
        <is>
          <t>да</t>
        </is>
      </c>
      <c r="T280">
        <f>IF(AND($P280&gt;0,$R280="да"),MAX($T$1:$T279)+1,"")</f>
        <v/>
      </c>
    </row>
    <row r="281">
      <c r="A281">
        <f>IFERROR(INDEX(спр_Работы!$D$2:$D$6000,MATCH($C281,спр_Работы!$A$2:$A$6000,0)),"")</f>
        <v/>
      </c>
      <c r="B281">
        <f>IFERROR(INDEX(спр_Работы!$F$2:$F$6000,MATCH($C281,спр_Работы!$A$2:$A$6000,0)),"")</f>
        <v/>
      </c>
      <c r="C281">
        <f>IFERROR(INDEX(спр_Работы!$A$2:$A$6000,280),"")</f>
        <v/>
      </c>
      <c r="D281" s="8">
        <f>IFERROR(INDEX(спр_Работы!$B$2:$B$6000,MATCH($C281,спр_Работы!$A$2:$A$6000,0)),"")</f>
        <v/>
      </c>
      <c r="E281">
        <f>IFERROR(INDEX(спр_Работы!$C$2:$C$6000,MATCH($C281,спр_Работы!$A$2:$A$6000,0)),"")</f>
        <v/>
      </c>
      <c r="F281">
        <f>IFERROR(INDEX(спр_Работы!$G$2:$G$6000,MATCH($C281,спр_Работы!$A$2:$A$6000,0)),"")</f>
        <v/>
      </c>
      <c r="G281">
        <f>IFERROR(INDEX(спр_Работы!$K$2:$K$6000,MATCH($C281,спр_Работы!$A$2:$A$6000,0)),"")</f>
        <v/>
      </c>
      <c r="H281" s="9" t="n"/>
      <c r="I281" s="9" t="n"/>
      <c r="J281" s="8">
        <f>IFERROR(INDEX(спр_Материалы!$B$2:$B$9000,MATCH($I281,спр_Материалы!$A$2:$A$9000,0)),"")</f>
        <v/>
      </c>
      <c r="K281">
        <f>IF($I281="","",IF($F281=IFERROR(INDEX(спр_Материалы!$G$2:$G$9000,MATCH($I281,спр_Материалы!$A$2:$A$9000,0)),""),"OK","!! не та группа"))</f>
        <v/>
      </c>
      <c r="L281" s="10">
        <f>IFERROR(INDEX(спр_Работы!$H$2:$H$6000,MATCH($C281,спр_Работы!$A$2:$A$6000,0))*(1-ДисконтТендер),0)</f>
        <v/>
      </c>
      <c r="M281" s="10">
        <f>IF($I281="",0,IFERROR(INDEX(спр_Материалы!$I$2:$I$9000,MATCH($I281,спр_Материалы!$A$2:$A$9000,0))*IF(INDEX(спр_Материалы!$J$2:$J$9000,MATCH($I281,спр_Материалы!$A$2:$A$9000,0))="USD",КурсUSD,IF(INDEX(спр_Материалы!$J$2:$J$9000,MATCH($I281,спр_Материалы!$A$2:$A$9000,0))="EUR",КурсEUR,1))*INDEX(спр_Материалы!$K$2:$K$9000,MATCH($I281,спр_Материалы!$A$2:$A$9000,0))*(1+IFERROR(INDEX(спр_Работы!$I$2:$I$6000,MATCH($C281,спр_Работы!$A$2:$A$6000,0))/100,0))*(1-ДисконтТендер),0))</f>
        <v/>
      </c>
      <c r="N281" s="10">
        <f>IF(AND($R281="да",$H281&lt;&gt;""),ROUND($H281*$L281,2),0)</f>
        <v/>
      </c>
      <c r="O281" s="10">
        <f>IF(AND($R281="да",$H281&lt;&gt;""),ROUND($H281*$M281,2),0)</f>
        <v/>
      </c>
      <c r="P281" s="10">
        <f>$N281+$O281</f>
        <v/>
      </c>
      <c r="Q281">
        <f>IFERROR(INDEX(спр_Работы!$J$2:$J$6000,MATCH($C281,спр_Работы!$A$2:$A$6000,0)),"")</f>
        <v/>
      </c>
      <c r="R281" t="inlineStr">
        <is>
          <t>да</t>
        </is>
      </c>
      <c r="T281">
        <f>IF(AND($P281&gt;0,$R281="да"),MAX($T$1:$T280)+1,"")</f>
        <v/>
      </c>
    </row>
    <row r="282">
      <c r="A282">
        <f>IFERROR(INDEX(спр_Работы!$D$2:$D$6000,MATCH($C282,спр_Работы!$A$2:$A$6000,0)),"")</f>
        <v/>
      </c>
      <c r="B282">
        <f>IFERROR(INDEX(спр_Работы!$F$2:$F$6000,MATCH($C282,спр_Работы!$A$2:$A$6000,0)),"")</f>
        <v/>
      </c>
      <c r="C282">
        <f>IFERROR(INDEX(спр_Работы!$A$2:$A$6000,281),"")</f>
        <v/>
      </c>
      <c r="D282" s="8">
        <f>IFERROR(INDEX(спр_Работы!$B$2:$B$6000,MATCH($C282,спр_Работы!$A$2:$A$6000,0)),"")</f>
        <v/>
      </c>
      <c r="E282">
        <f>IFERROR(INDEX(спр_Работы!$C$2:$C$6000,MATCH($C282,спр_Работы!$A$2:$A$6000,0)),"")</f>
        <v/>
      </c>
      <c r="F282">
        <f>IFERROR(INDEX(спр_Работы!$G$2:$G$6000,MATCH($C282,спр_Работы!$A$2:$A$6000,0)),"")</f>
        <v/>
      </c>
      <c r="G282">
        <f>IFERROR(INDEX(спр_Работы!$K$2:$K$6000,MATCH($C282,спр_Работы!$A$2:$A$6000,0)),"")</f>
        <v/>
      </c>
      <c r="H282" s="9" t="n"/>
      <c r="I282" s="9" t="n"/>
      <c r="J282" s="8">
        <f>IFERROR(INDEX(спр_Материалы!$B$2:$B$9000,MATCH($I282,спр_Материалы!$A$2:$A$9000,0)),"")</f>
        <v/>
      </c>
      <c r="K282">
        <f>IF($I282="","",IF($F282=IFERROR(INDEX(спр_Материалы!$G$2:$G$9000,MATCH($I282,спр_Материалы!$A$2:$A$9000,0)),""),"OK","!! не та группа"))</f>
        <v/>
      </c>
      <c r="L282" s="10">
        <f>IFERROR(INDEX(спр_Работы!$H$2:$H$6000,MATCH($C282,спр_Работы!$A$2:$A$6000,0))*(1-ДисконтТендер),0)</f>
        <v/>
      </c>
      <c r="M282" s="10">
        <f>IF($I282="",0,IFERROR(INDEX(спр_Материалы!$I$2:$I$9000,MATCH($I282,спр_Материалы!$A$2:$A$9000,0))*IF(INDEX(спр_Материалы!$J$2:$J$9000,MATCH($I282,спр_Материалы!$A$2:$A$9000,0))="USD",КурсUSD,IF(INDEX(спр_Материалы!$J$2:$J$9000,MATCH($I282,спр_Материалы!$A$2:$A$9000,0))="EUR",КурсEUR,1))*INDEX(спр_Материалы!$K$2:$K$9000,MATCH($I282,спр_Материалы!$A$2:$A$9000,0))*(1+IFERROR(INDEX(спр_Работы!$I$2:$I$6000,MATCH($C282,спр_Работы!$A$2:$A$6000,0))/100,0))*(1-ДисконтТендер),0))</f>
        <v/>
      </c>
      <c r="N282" s="10">
        <f>IF(AND($R282="да",$H282&lt;&gt;""),ROUND($H282*$L282,2),0)</f>
        <v/>
      </c>
      <c r="O282" s="10">
        <f>IF(AND($R282="да",$H282&lt;&gt;""),ROUND($H282*$M282,2),0)</f>
        <v/>
      </c>
      <c r="P282" s="10">
        <f>$N282+$O282</f>
        <v/>
      </c>
      <c r="Q282">
        <f>IFERROR(INDEX(спр_Работы!$J$2:$J$6000,MATCH($C282,спр_Работы!$A$2:$A$6000,0)),"")</f>
        <v/>
      </c>
      <c r="R282" t="inlineStr">
        <is>
          <t>да</t>
        </is>
      </c>
      <c r="T282">
        <f>IF(AND($P282&gt;0,$R282="да"),MAX($T$1:$T281)+1,"")</f>
        <v/>
      </c>
    </row>
    <row r="283">
      <c r="A283">
        <f>IFERROR(INDEX(спр_Работы!$D$2:$D$6000,MATCH($C283,спр_Работы!$A$2:$A$6000,0)),"")</f>
        <v/>
      </c>
      <c r="B283">
        <f>IFERROR(INDEX(спр_Работы!$F$2:$F$6000,MATCH($C283,спр_Работы!$A$2:$A$6000,0)),"")</f>
        <v/>
      </c>
      <c r="C283">
        <f>IFERROR(INDEX(спр_Работы!$A$2:$A$6000,282),"")</f>
        <v/>
      </c>
      <c r="D283" s="8">
        <f>IFERROR(INDEX(спр_Работы!$B$2:$B$6000,MATCH($C283,спр_Работы!$A$2:$A$6000,0)),"")</f>
        <v/>
      </c>
      <c r="E283">
        <f>IFERROR(INDEX(спр_Работы!$C$2:$C$6000,MATCH($C283,спр_Работы!$A$2:$A$6000,0)),"")</f>
        <v/>
      </c>
      <c r="F283">
        <f>IFERROR(INDEX(спр_Работы!$G$2:$G$6000,MATCH($C283,спр_Работы!$A$2:$A$6000,0)),"")</f>
        <v/>
      </c>
      <c r="G283">
        <f>IFERROR(INDEX(спр_Работы!$K$2:$K$6000,MATCH($C283,спр_Работы!$A$2:$A$6000,0)),"")</f>
        <v/>
      </c>
      <c r="H283" s="9" t="n"/>
      <c r="I283" s="9" t="n"/>
      <c r="J283" s="8">
        <f>IFERROR(INDEX(спр_Материалы!$B$2:$B$9000,MATCH($I283,спр_Материалы!$A$2:$A$9000,0)),"")</f>
        <v/>
      </c>
      <c r="K283">
        <f>IF($I283="","",IF($F283=IFERROR(INDEX(спр_Материалы!$G$2:$G$9000,MATCH($I283,спр_Материалы!$A$2:$A$9000,0)),""),"OK","!! не та группа"))</f>
        <v/>
      </c>
      <c r="L283" s="10">
        <f>IFERROR(INDEX(спр_Работы!$H$2:$H$6000,MATCH($C283,спр_Работы!$A$2:$A$6000,0))*(1-ДисконтТендер),0)</f>
        <v/>
      </c>
      <c r="M283" s="10">
        <f>IF($I283="",0,IFERROR(INDEX(спр_Материалы!$I$2:$I$9000,MATCH($I283,спр_Материалы!$A$2:$A$9000,0))*IF(INDEX(спр_Материалы!$J$2:$J$9000,MATCH($I283,спр_Материалы!$A$2:$A$9000,0))="USD",КурсUSD,IF(INDEX(спр_Материалы!$J$2:$J$9000,MATCH($I283,спр_Материалы!$A$2:$A$9000,0))="EUR",КурсEUR,1))*INDEX(спр_Материалы!$K$2:$K$9000,MATCH($I283,спр_Материалы!$A$2:$A$9000,0))*(1+IFERROR(INDEX(спр_Работы!$I$2:$I$6000,MATCH($C283,спр_Работы!$A$2:$A$6000,0))/100,0))*(1-ДисконтТендер),0))</f>
        <v/>
      </c>
      <c r="N283" s="10">
        <f>IF(AND($R283="да",$H283&lt;&gt;""),ROUND($H283*$L283,2),0)</f>
        <v/>
      </c>
      <c r="O283" s="10">
        <f>IF(AND($R283="да",$H283&lt;&gt;""),ROUND($H283*$M283,2),0)</f>
        <v/>
      </c>
      <c r="P283" s="10">
        <f>$N283+$O283</f>
        <v/>
      </c>
      <c r="Q283">
        <f>IFERROR(INDEX(спр_Работы!$J$2:$J$6000,MATCH($C283,спр_Работы!$A$2:$A$6000,0)),"")</f>
        <v/>
      </c>
      <c r="R283" t="inlineStr">
        <is>
          <t>да</t>
        </is>
      </c>
      <c r="T283">
        <f>IF(AND($P283&gt;0,$R283="да"),MAX($T$1:$T282)+1,"")</f>
        <v/>
      </c>
    </row>
    <row r="284">
      <c r="A284">
        <f>IFERROR(INDEX(спр_Работы!$D$2:$D$6000,MATCH($C284,спр_Работы!$A$2:$A$6000,0)),"")</f>
        <v/>
      </c>
      <c r="B284">
        <f>IFERROR(INDEX(спр_Работы!$F$2:$F$6000,MATCH($C284,спр_Работы!$A$2:$A$6000,0)),"")</f>
        <v/>
      </c>
      <c r="C284">
        <f>IFERROR(INDEX(спр_Работы!$A$2:$A$6000,283),"")</f>
        <v/>
      </c>
      <c r="D284" s="8">
        <f>IFERROR(INDEX(спр_Работы!$B$2:$B$6000,MATCH($C284,спр_Работы!$A$2:$A$6000,0)),"")</f>
        <v/>
      </c>
      <c r="E284">
        <f>IFERROR(INDEX(спр_Работы!$C$2:$C$6000,MATCH($C284,спр_Работы!$A$2:$A$6000,0)),"")</f>
        <v/>
      </c>
      <c r="F284">
        <f>IFERROR(INDEX(спр_Работы!$G$2:$G$6000,MATCH($C284,спр_Работы!$A$2:$A$6000,0)),"")</f>
        <v/>
      </c>
      <c r="G284">
        <f>IFERROR(INDEX(спр_Работы!$K$2:$K$6000,MATCH($C284,спр_Работы!$A$2:$A$6000,0)),"")</f>
        <v/>
      </c>
      <c r="H284" s="9" t="n"/>
      <c r="I284" s="9" t="n"/>
      <c r="J284" s="8">
        <f>IFERROR(INDEX(спр_Материалы!$B$2:$B$9000,MATCH($I284,спр_Материалы!$A$2:$A$9000,0)),"")</f>
        <v/>
      </c>
      <c r="K284">
        <f>IF($I284="","",IF($F284=IFERROR(INDEX(спр_Материалы!$G$2:$G$9000,MATCH($I284,спр_Материалы!$A$2:$A$9000,0)),""),"OK","!! не та группа"))</f>
        <v/>
      </c>
      <c r="L284" s="10">
        <f>IFERROR(INDEX(спр_Работы!$H$2:$H$6000,MATCH($C284,спр_Работы!$A$2:$A$6000,0))*(1-ДисконтТендер),0)</f>
        <v/>
      </c>
      <c r="M284" s="10">
        <f>IF($I284="",0,IFERROR(INDEX(спр_Материалы!$I$2:$I$9000,MATCH($I284,спр_Материалы!$A$2:$A$9000,0))*IF(INDEX(спр_Материалы!$J$2:$J$9000,MATCH($I284,спр_Материалы!$A$2:$A$9000,0))="USD",КурсUSD,IF(INDEX(спр_Материалы!$J$2:$J$9000,MATCH($I284,спр_Материалы!$A$2:$A$9000,0))="EUR",КурсEUR,1))*INDEX(спр_Материалы!$K$2:$K$9000,MATCH($I284,спр_Материалы!$A$2:$A$9000,0))*(1+IFERROR(INDEX(спр_Работы!$I$2:$I$6000,MATCH($C284,спр_Работы!$A$2:$A$6000,0))/100,0))*(1-ДисконтТендер),0))</f>
        <v/>
      </c>
      <c r="N284" s="10">
        <f>IF(AND($R284="да",$H284&lt;&gt;""),ROUND($H284*$L284,2),0)</f>
        <v/>
      </c>
      <c r="O284" s="10">
        <f>IF(AND($R284="да",$H284&lt;&gt;""),ROUND($H284*$M284,2),0)</f>
        <v/>
      </c>
      <c r="P284" s="10">
        <f>$N284+$O284</f>
        <v/>
      </c>
      <c r="Q284">
        <f>IFERROR(INDEX(спр_Работы!$J$2:$J$6000,MATCH($C284,спр_Работы!$A$2:$A$6000,0)),"")</f>
        <v/>
      </c>
      <c r="R284" t="inlineStr">
        <is>
          <t>да</t>
        </is>
      </c>
      <c r="T284">
        <f>IF(AND($P284&gt;0,$R284="да"),MAX($T$1:$T283)+1,"")</f>
        <v/>
      </c>
    </row>
    <row r="285">
      <c r="A285">
        <f>IFERROR(INDEX(спр_Работы!$D$2:$D$6000,MATCH($C285,спр_Работы!$A$2:$A$6000,0)),"")</f>
        <v/>
      </c>
      <c r="B285">
        <f>IFERROR(INDEX(спр_Работы!$F$2:$F$6000,MATCH($C285,спр_Работы!$A$2:$A$6000,0)),"")</f>
        <v/>
      </c>
      <c r="C285">
        <f>IFERROR(INDEX(спр_Работы!$A$2:$A$6000,284),"")</f>
        <v/>
      </c>
      <c r="D285" s="8">
        <f>IFERROR(INDEX(спр_Работы!$B$2:$B$6000,MATCH($C285,спр_Работы!$A$2:$A$6000,0)),"")</f>
        <v/>
      </c>
      <c r="E285">
        <f>IFERROR(INDEX(спр_Работы!$C$2:$C$6000,MATCH($C285,спр_Работы!$A$2:$A$6000,0)),"")</f>
        <v/>
      </c>
      <c r="F285">
        <f>IFERROR(INDEX(спр_Работы!$G$2:$G$6000,MATCH($C285,спр_Работы!$A$2:$A$6000,0)),"")</f>
        <v/>
      </c>
      <c r="G285">
        <f>IFERROR(INDEX(спр_Работы!$K$2:$K$6000,MATCH($C285,спр_Работы!$A$2:$A$6000,0)),"")</f>
        <v/>
      </c>
      <c r="H285" s="9" t="n"/>
      <c r="I285" s="9" t="n"/>
      <c r="J285" s="8">
        <f>IFERROR(INDEX(спр_Материалы!$B$2:$B$9000,MATCH($I285,спр_Материалы!$A$2:$A$9000,0)),"")</f>
        <v/>
      </c>
      <c r="K285">
        <f>IF($I285="","",IF($F285=IFERROR(INDEX(спр_Материалы!$G$2:$G$9000,MATCH($I285,спр_Материалы!$A$2:$A$9000,0)),""),"OK","!! не та группа"))</f>
        <v/>
      </c>
      <c r="L285" s="10">
        <f>IFERROR(INDEX(спр_Работы!$H$2:$H$6000,MATCH($C285,спр_Работы!$A$2:$A$6000,0))*(1-ДисконтТендер),0)</f>
        <v/>
      </c>
      <c r="M285" s="10">
        <f>IF($I285="",0,IFERROR(INDEX(спр_Материалы!$I$2:$I$9000,MATCH($I285,спр_Материалы!$A$2:$A$9000,0))*IF(INDEX(спр_Материалы!$J$2:$J$9000,MATCH($I285,спр_Материалы!$A$2:$A$9000,0))="USD",КурсUSD,IF(INDEX(спр_Материалы!$J$2:$J$9000,MATCH($I285,спр_Материалы!$A$2:$A$9000,0))="EUR",КурсEUR,1))*INDEX(спр_Материалы!$K$2:$K$9000,MATCH($I285,спр_Материалы!$A$2:$A$9000,0))*(1+IFERROR(INDEX(спр_Работы!$I$2:$I$6000,MATCH($C285,спр_Работы!$A$2:$A$6000,0))/100,0))*(1-ДисконтТендер),0))</f>
        <v/>
      </c>
      <c r="N285" s="10">
        <f>IF(AND($R285="да",$H285&lt;&gt;""),ROUND($H285*$L285,2),0)</f>
        <v/>
      </c>
      <c r="O285" s="10">
        <f>IF(AND($R285="да",$H285&lt;&gt;""),ROUND($H285*$M285,2),0)</f>
        <v/>
      </c>
      <c r="P285" s="10">
        <f>$N285+$O285</f>
        <v/>
      </c>
      <c r="Q285">
        <f>IFERROR(INDEX(спр_Работы!$J$2:$J$6000,MATCH($C285,спр_Работы!$A$2:$A$6000,0)),"")</f>
        <v/>
      </c>
      <c r="R285" t="inlineStr">
        <is>
          <t>да</t>
        </is>
      </c>
      <c r="T285">
        <f>IF(AND($P285&gt;0,$R285="да"),MAX($T$1:$T284)+1,"")</f>
        <v/>
      </c>
    </row>
    <row r="286">
      <c r="A286">
        <f>IFERROR(INDEX(спр_Работы!$D$2:$D$6000,MATCH($C286,спр_Работы!$A$2:$A$6000,0)),"")</f>
        <v/>
      </c>
      <c r="B286">
        <f>IFERROR(INDEX(спр_Работы!$F$2:$F$6000,MATCH($C286,спр_Работы!$A$2:$A$6000,0)),"")</f>
        <v/>
      </c>
      <c r="C286">
        <f>IFERROR(INDEX(спр_Работы!$A$2:$A$6000,285),"")</f>
        <v/>
      </c>
      <c r="D286" s="8">
        <f>IFERROR(INDEX(спр_Работы!$B$2:$B$6000,MATCH($C286,спр_Работы!$A$2:$A$6000,0)),"")</f>
        <v/>
      </c>
      <c r="E286">
        <f>IFERROR(INDEX(спр_Работы!$C$2:$C$6000,MATCH($C286,спр_Работы!$A$2:$A$6000,0)),"")</f>
        <v/>
      </c>
      <c r="F286">
        <f>IFERROR(INDEX(спр_Работы!$G$2:$G$6000,MATCH($C286,спр_Работы!$A$2:$A$6000,0)),"")</f>
        <v/>
      </c>
      <c r="G286">
        <f>IFERROR(INDEX(спр_Работы!$K$2:$K$6000,MATCH($C286,спр_Работы!$A$2:$A$6000,0)),"")</f>
        <v/>
      </c>
      <c r="H286" s="9" t="n"/>
      <c r="I286" s="9" t="n"/>
      <c r="J286" s="8">
        <f>IFERROR(INDEX(спр_Материалы!$B$2:$B$9000,MATCH($I286,спр_Материалы!$A$2:$A$9000,0)),"")</f>
        <v/>
      </c>
      <c r="K286">
        <f>IF($I286="","",IF($F286=IFERROR(INDEX(спр_Материалы!$G$2:$G$9000,MATCH($I286,спр_Материалы!$A$2:$A$9000,0)),""),"OK","!! не та группа"))</f>
        <v/>
      </c>
      <c r="L286" s="10">
        <f>IFERROR(INDEX(спр_Работы!$H$2:$H$6000,MATCH($C286,спр_Работы!$A$2:$A$6000,0))*(1-ДисконтТендер),0)</f>
        <v/>
      </c>
      <c r="M286" s="10">
        <f>IF($I286="",0,IFERROR(INDEX(спр_Материалы!$I$2:$I$9000,MATCH($I286,спр_Материалы!$A$2:$A$9000,0))*IF(INDEX(спр_Материалы!$J$2:$J$9000,MATCH($I286,спр_Материалы!$A$2:$A$9000,0))="USD",КурсUSD,IF(INDEX(спр_Материалы!$J$2:$J$9000,MATCH($I286,спр_Материалы!$A$2:$A$9000,0))="EUR",КурсEUR,1))*INDEX(спр_Материалы!$K$2:$K$9000,MATCH($I286,спр_Материалы!$A$2:$A$9000,0))*(1+IFERROR(INDEX(спр_Работы!$I$2:$I$6000,MATCH($C286,спр_Работы!$A$2:$A$6000,0))/100,0))*(1-ДисконтТендер),0))</f>
        <v/>
      </c>
      <c r="N286" s="10">
        <f>IF(AND($R286="да",$H286&lt;&gt;""),ROUND($H286*$L286,2),0)</f>
        <v/>
      </c>
      <c r="O286" s="10">
        <f>IF(AND($R286="да",$H286&lt;&gt;""),ROUND($H286*$M286,2),0)</f>
        <v/>
      </c>
      <c r="P286" s="10">
        <f>$N286+$O286</f>
        <v/>
      </c>
      <c r="Q286">
        <f>IFERROR(INDEX(спр_Работы!$J$2:$J$6000,MATCH($C286,спр_Работы!$A$2:$A$6000,0)),"")</f>
        <v/>
      </c>
      <c r="R286" t="inlineStr">
        <is>
          <t>да</t>
        </is>
      </c>
      <c r="T286">
        <f>IF(AND($P286&gt;0,$R286="да"),MAX($T$1:$T285)+1,"")</f>
        <v/>
      </c>
    </row>
    <row r="287">
      <c r="A287">
        <f>IFERROR(INDEX(спр_Работы!$D$2:$D$6000,MATCH($C287,спр_Работы!$A$2:$A$6000,0)),"")</f>
        <v/>
      </c>
      <c r="B287">
        <f>IFERROR(INDEX(спр_Работы!$F$2:$F$6000,MATCH($C287,спр_Работы!$A$2:$A$6000,0)),"")</f>
        <v/>
      </c>
      <c r="C287">
        <f>IFERROR(INDEX(спр_Работы!$A$2:$A$6000,286),"")</f>
        <v/>
      </c>
      <c r="D287" s="8">
        <f>IFERROR(INDEX(спр_Работы!$B$2:$B$6000,MATCH($C287,спр_Работы!$A$2:$A$6000,0)),"")</f>
        <v/>
      </c>
      <c r="E287">
        <f>IFERROR(INDEX(спр_Работы!$C$2:$C$6000,MATCH($C287,спр_Работы!$A$2:$A$6000,0)),"")</f>
        <v/>
      </c>
      <c r="F287">
        <f>IFERROR(INDEX(спр_Работы!$G$2:$G$6000,MATCH($C287,спр_Работы!$A$2:$A$6000,0)),"")</f>
        <v/>
      </c>
      <c r="G287">
        <f>IFERROR(INDEX(спр_Работы!$K$2:$K$6000,MATCH($C287,спр_Работы!$A$2:$A$6000,0)),"")</f>
        <v/>
      </c>
      <c r="H287" s="9" t="n"/>
      <c r="I287" s="9" t="n"/>
      <c r="J287" s="8">
        <f>IFERROR(INDEX(спр_Материалы!$B$2:$B$9000,MATCH($I287,спр_Материалы!$A$2:$A$9000,0)),"")</f>
        <v/>
      </c>
      <c r="K287">
        <f>IF($I287="","",IF($F287=IFERROR(INDEX(спр_Материалы!$G$2:$G$9000,MATCH($I287,спр_Материалы!$A$2:$A$9000,0)),""),"OK","!! не та группа"))</f>
        <v/>
      </c>
      <c r="L287" s="10">
        <f>IFERROR(INDEX(спр_Работы!$H$2:$H$6000,MATCH($C287,спр_Работы!$A$2:$A$6000,0))*(1-ДисконтТендер),0)</f>
        <v/>
      </c>
      <c r="M287" s="10">
        <f>IF($I287="",0,IFERROR(INDEX(спр_Материалы!$I$2:$I$9000,MATCH($I287,спр_Материалы!$A$2:$A$9000,0))*IF(INDEX(спр_Материалы!$J$2:$J$9000,MATCH($I287,спр_Материалы!$A$2:$A$9000,0))="USD",КурсUSD,IF(INDEX(спр_Материалы!$J$2:$J$9000,MATCH($I287,спр_Материалы!$A$2:$A$9000,0))="EUR",КурсEUR,1))*INDEX(спр_Материалы!$K$2:$K$9000,MATCH($I287,спр_Материалы!$A$2:$A$9000,0))*(1+IFERROR(INDEX(спр_Работы!$I$2:$I$6000,MATCH($C287,спр_Работы!$A$2:$A$6000,0))/100,0))*(1-ДисконтТендер),0))</f>
        <v/>
      </c>
      <c r="N287" s="10">
        <f>IF(AND($R287="да",$H287&lt;&gt;""),ROUND($H287*$L287,2),0)</f>
        <v/>
      </c>
      <c r="O287" s="10">
        <f>IF(AND($R287="да",$H287&lt;&gt;""),ROUND($H287*$M287,2),0)</f>
        <v/>
      </c>
      <c r="P287" s="10">
        <f>$N287+$O287</f>
        <v/>
      </c>
      <c r="Q287">
        <f>IFERROR(INDEX(спр_Работы!$J$2:$J$6000,MATCH($C287,спр_Работы!$A$2:$A$6000,0)),"")</f>
        <v/>
      </c>
      <c r="R287" t="inlineStr">
        <is>
          <t>да</t>
        </is>
      </c>
      <c r="T287">
        <f>IF(AND($P287&gt;0,$R287="да"),MAX($T$1:$T286)+1,"")</f>
        <v/>
      </c>
    </row>
    <row r="288">
      <c r="A288">
        <f>IFERROR(INDEX(спр_Работы!$D$2:$D$6000,MATCH($C288,спр_Работы!$A$2:$A$6000,0)),"")</f>
        <v/>
      </c>
      <c r="B288">
        <f>IFERROR(INDEX(спр_Работы!$F$2:$F$6000,MATCH($C288,спр_Работы!$A$2:$A$6000,0)),"")</f>
        <v/>
      </c>
      <c r="C288">
        <f>IFERROR(INDEX(спр_Работы!$A$2:$A$6000,287),"")</f>
        <v/>
      </c>
      <c r="D288" s="8">
        <f>IFERROR(INDEX(спр_Работы!$B$2:$B$6000,MATCH($C288,спр_Работы!$A$2:$A$6000,0)),"")</f>
        <v/>
      </c>
      <c r="E288">
        <f>IFERROR(INDEX(спр_Работы!$C$2:$C$6000,MATCH($C288,спр_Работы!$A$2:$A$6000,0)),"")</f>
        <v/>
      </c>
      <c r="F288">
        <f>IFERROR(INDEX(спр_Работы!$G$2:$G$6000,MATCH($C288,спр_Работы!$A$2:$A$6000,0)),"")</f>
        <v/>
      </c>
      <c r="G288">
        <f>IFERROR(INDEX(спр_Работы!$K$2:$K$6000,MATCH($C288,спр_Работы!$A$2:$A$6000,0)),"")</f>
        <v/>
      </c>
      <c r="H288" s="9" t="n"/>
      <c r="I288" s="9" t="n"/>
      <c r="J288" s="8">
        <f>IFERROR(INDEX(спр_Материалы!$B$2:$B$9000,MATCH($I288,спр_Материалы!$A$2:$A$9000,0)),"")</f>
        <v/>
      </c>
      <c r="K288">
        <f>IF($I288="","",IF($F288=IFERROR(INDEX(спр_Материалы!$G$2:$G$9000,MATCH($I288,спр_Материалы!$A$2:$A$9000,0)),""),"OK","!! не та группа"))</f>
        <v/>
      </c>
      <c r="L288" s="10">
        <f>IFERROR(INDEX(спр_Работы!$H$2:$H$6000,MATCH($C288,спр_Работы!$A$2:$A$6000,0))*(1-ДисконтТендер),0)</f>
        <v/>
      </c>
      <c r="M288" s="10">
        <f>IF($I288="",0,IFERROR(INDEX(спр_Материалы!$I$2:$I$9000,MATCH($I288,спр_Материалы!$A$2:$A$9000,0))*IF(INDEX(спр_Материалы!$J$2:$J$9000,MATCH($I288,спр_Материалы!$A$2:$A$9000,0))="USD",КурсUSD,IF(INDEX(спр_Материалы!$J$2:$J$9000,MATCH($I288,спр_Материалы!$A$2:$A$9000,0))="EUR",КурсEUR,1))*INDEX(спр_Материалы!$K$2:$K$9000,MATCH($I288,спр_Материалы!$A$2:$A$9000,0))*(1+IFERROR(INDEX(спр_Работы!$I$2:$I$6000,MATCH($C288,спр_Работы!$A$2:$A$6000,0))/100,0))*(1-ДисконтТендер),0))</f>
        <v/>
      </c>
      <c r="N288" s="10">
        <f>IF(AND($R288="да",$H288&lt;&gt;""),ROUND($H288*$L288,2),0)</f>
        <v/>
      </c>
      <c r="O288" s="10">
        <f>IF(AND($R288="да",$H288&lt;&gt;""),ROUND($H288*$M288,2),0)</f>
        <v/>
      </c>
      <c r="P288" s="10">
        <f>$N288+$O288</f>
        <v/>
      </c>
      <c r="Q288">
        <f>IFERROR(INDEX(спр_Работы!$J$2:$J$6000,MATCH($C288,спр_Работы!$A$2:$A$6000,0)),"")</f>
        <v/>
      </c>
      <c r="R288" t="inlineStr">
        <is>
          <t>да</t>
        </is>
      </c>
      <c r="T288">
        <f>IF(AND($P288&gt;0,$R288="да"),MAX($T$1:$T287)+1,"")</f>
        <v/>
      </c>
    </row>
    <row r="289">
      <c r="A289">
        <f>IFERROR(INDEX(спр_Работы!$D$2:$D$6000,MATCH($C289,спр_Работы!$A$2:$A$6000,0)),"")</f>
        <v/>
      </c>
      <c r="B289">
        <f>IFERROR(INDEX(спр_Работы!$F$2:$F$6000,MATCH($C289,спр_Работы!$A$2:$A$6000,0)),"")</f>
        <v/>
      </c>
      <c r="C289">
        <f>IFERROR(INDEX(спр_Работы!$A$2:$A$6000,288),"")</f>
        <v/>
      </c>
      <c r="D289" s="8">
        <f>IFERROR(INDEX(спр_Работы!$B$2:$B$6000,MATCH($C289,спр_Работы!$A$2:$A$6000,0)),"")</f>
        <v/>
      </c>
      <c r="E289">
        <f>IFERROR(INDEX(спр_Работы!$C$2:$C$6000,MATCH($C289,спр_Работы!$A$2:$A$6000,0)),"")</f>
        <v/>
      </c>
      <c r="F289">
        <f>IFERROR(INDEX(спр_Работы!$G$2:$G$6000,MATCH($C289,спр_Работы!$A$2:$A$6000,0)),"")</f>
        <v/>
      </c>
      <c r="G289">
        <f>IFERROR(INDEX(спр_Работы!$K$2:$K$6000,MATCH($C289,спр_Работы!$A$2:$A$6000,0)),"")</f>
        <v/>
      </c>
      <c r="H289" s="9" t="n"/>
      <c r="I289" s="9" t="n"/>
      <c r="J289" s="8">
        <f>IFERROR(INDEX(спр_Материалы!$B$2:$B$9000,MATCH($I289,спр_Материалы!$A$2:$A$9000,0)),"")</f>
        <v/>
      </c>
      <c r="K289">
        <f>IF($I289="","",IF($F289=IFERROR(INDEX(спр_Материалы!$G$2:$G$9000,MATCH($I289,спр_Материалы!$A$2:$A$9000,0)),""),"OK","!! не та группа"))</f>
        <v/>
      </c>
      <c r="L289" s="10">
        <f>IFERROR(INDEX(спр_Работы!$H$2:$H$6000,MATCH($C289,спр_Работы!$A$2:$A$6000,0))*(1-ДисконтТендер),0)</f>
        <v/>
      </c>
      <c r="M289" s="10">
        <f>IF($I289="",0,IFERROR(INDEX(спр_Материалы!$I$2:$I$9000,MATCH($I289,спр_Материалы!$A$2:$A$9000,0))*IF(INDEX(спр_Материалы!$J$2:$J$9000,MATCH($I289,спр_Материалы!$A$2:$A$9000,0))="USD",КурсUSD,IF(INDEX(спр_Материалы!$J$2:$J$9000,MATCH($I289,спр_Материалы!$A$2:$A$9000,0))="EUR",КурсEUR,1))*INDEX(спр_Материалы!$K$2:$K$9000,MATCH($I289,спр_Материалы!$A$2:$A$9000,0))*(1+IFERROR(INDEX(спр_Работы!$I$2:$I$6000,MATCH($C289,спр_Работы!$A$2:$A$6000,0))/100,0))*(1-ДисконтТендер),0))</f>
        <v/>
      </c>
      <c r="N289" s="10">
        <f>IF(AND($R289="да",$H289&lt;&gt;""),ROUND($H289*$L289,2),0)</f>
        <v/>
      </c>
      <c r="O289" s="10">
        <f>IF(AND($R289="да",$H289&lt;&gt;""),ROUND($H289*$M289,2),0)</f>
        <v/>
      </c>
      <c r="P289" s="10">
        <f>$N289+$O289</f>
        <v/>
      </c>
      <c r="Q289">
        <f>IFERROR(INDEX(спр_Работы!$J$2:$J$6000,MATCH($C289,спр_Работы!$A$2:$A$6000,0)),"")</f>
        <v/>
      </c>
      <c r="R289" t="inlineStr">
        <is>
          <t>да</t>
        </is>
      </c>
      <c r="T289">
        <f>IF(AND($P289&gt;0,$R289="да"),MAX($T$1:$T288)+1,"")</f>
        <v/>
      </c>
    </row>
    <row r="290">
      <c r="A290">
        <f>IFERROR(INDEX(спр_Работы!$D$2:$D$6000,MATCH($C290,спр_Работы!$A$2:$A$6000,0)),"")</f>
        <v/>
      </c>
      <c r="B290">
        <f>IFERROR(INDEX(спр_Работы!$F$2:$F$6000,MATCH($C290,спр_Работы!$A$2:$A$6000,0)),"")</f>
        <v/>
      </c>
      <c r="C290">
        <f>IFERROR(INDEX(спр_Работы!$A$2:$A$6000,289),"")</f>
        <v/>
      </c>
      <c r="D290" s="8">
        <f>IFERROR(INDEX(спр_Работы!$B$2:$B$6000,MATCH($C290,спр_Работы!$A$2:$A$6000,0)),"")</f>
        <v/>
      </c>
      <c r="E290">
        <f>IFERROR(INDEX(спр_Работы!$C$2:$C$6000,MATCH($C290,спр_Работы!$A$2:$A$6000,0)),"")</f>
        <v/>
      </c>
      <c r="F290">
        <f>IFERROR(INDEX(спр_Работы!$G$2:$G$6000,MATCH($C290,спр_Работы!$A$2:$A$6000,0)),"")</f>
        <v/>
      </c>
      <c r="G290">
        <f>IFERROR(INDEX(спр_Работы!$K$2:$K$6000,MATCH($C290,спр_Работы!$A$2:$A$6000,0)),"")</f>
        <v/>
      </c>
      <c r="H290" s="9" t="n"/>
      <c r="I290" s="9" t="n"/>
      <c r="J290" s="8">
        <f>IFERROR(INDEX(спр_Материалы!$B$2:$B$9000,MATCH($I290,спр_Материалы!$A$2:$A$9000,0)),"")</f>
        <v/>
      </c>
      <c r="K290">
        <f>IF($I290="","",IF($F290=IFERROR(INDEX(спр_Материалы!$G$2:$G$9000,MATCH($I290,спр_Материалы!$A$2:$A$9000,0)),""),"OK","!! не та группа"))</f>
        <v/>
      </c>
      <c r="L290" s="10">
        <f>IFERROR(INDEX(спр_Работы!$H$2:$H$6000,MATCH($C290,спр_Работы!$A$2:$A$6000,0))*(1-ДисконтТендер),0)</f>
        <v/>
      </c>
      <c r="M290" s="10">
        <f>IF($I290="",0,IFERROR(INDEX(спр_Материалы!$I$2:$I$9000,MATCH($I290,спр_Материалы!$A$2:$A$9000,0))*IF(INDEX(спр_Материалы!$J$2:$J$9000,MATCH($I290,спр_Материалы!$A$2:$A$9000,0))="USD",КурсUSD,IF(INDEX(спр_Материалы!$J$2:$J$9000,MATCH($I290,спр_Материалы!$A$2:$A$9000,0))="EUR",КурсEUR,1))*INDEX(спр_Материалы!$K$2:$K$9000,MATCH($I290,спр_Материалы!$A$2:$A$9000,0))*(1+IFERROR(INDEX(спр_Работы!$I$2:$I$6000,MATCH($C290,спр_Работы!$A$2:$A$6000,0))/100,0))*(1-ДисконтТендер),0))</f>
        <v/>
      </c>
      <c r="N290" s="10">
        <f>IF(AND($R290="да",$H290&lt;&gt;""),ROUND($H290*$L290,2),0)</f>
        <v/>
      </c>
      <c r="O290" s="10">
        <f>IF(AND($R290="да",$H290&lt;&gt;""),ROUND($H290*$M290,2),0)</f>
        <v/>
      </c>
      <c r="P290" s="10">
        <f>$N290+$O290</f>
        <v/>
      </c>
      <c r="Q290">
        <f>IFERROR(INDEX(спр_Работы!$J$2:$J$6000,MATCH($C290,спр_Работы!$A$2:$A$6000,0)),"")</f>
        <v/>
      </c>
      <c r="R290" t="inlineStr">
        <is>
          <t>да</t>
        </is>
      </c>
      <c r="T290">
        <f>IF(AND($P290&gt;0,$R290="да"),MAX($T$1:$T289)+1,"")</f>
        <v/>
      </c>
    </row>
    <row r="291">
      <c r="A291">
        <f>IFERROR(INDEX(спр_Работы!$D$2:$D$6000,MATCH($C291,спр_Работы!$A$2:$A$6000,0)),"")</f>
        <v/>
      </c>
      <c r="B291">
        <f>IFERROR(INDEX(спр_Работы!$F$2:$F$6000,MATCH($C291,спр_Работы!$A$2:$A$6000,0)),"")</f>
        <v/>
      </c>
      <c r="C291">
        <f>IFERROR(INDEX(спр_Работы!$A$2:$A$6000,290),"")</f>
        <v/>
      </c>
      <c r="D291" s="8">
        <f>IFERROR(INDEX(спр_Работы!$B$2:$B$6000,MATCH($C291,спр_Работы!$A$2:$A$6000,0)),"")</f>
        <v/>
      </c>
      <c r="E291">
        <f>IFERROR(INDEX(спр_Работы!$C$2:$C$6000,MATCH($C291,спр_Работы!$A$2:$A$6000,0)),"")</f>
        <v/>
      </c>
      <c r="F291">
        <f>IFERROR(INDEX(спр_Работы!$G$2:$G$6000,MATCH($C291,спр_Работы!$A$2:$A$6000,0)),"")</f>
        <v/>
      </c>
      <c r="G291">
        <f>IFERROR(INDEX(спр_Работы!$K$2:$K$6000,MATCH($C291,спр_Работы!$A$2:$A$6000,0)),"")</f>
        <v/>
      </c>
      <c r="H291" s="9" t="n"/>
      <c r="I291" s="9" t="n"/>
      <c r="J291" s="8">
        <f>IFERROR(INDEX(спр_Материалы!$B$2:$B$9000,MATCH($I291,спр_Материалы!$A$2:$A$9000,0)),"")</f>
        <v/>
      </c>
      <c r="K291">
        <f>IF($I291="","",IF($F291=IFERROR(INDEX(спр_Материалы!$G$2:$G$9000,MATCH($I291,спр_Материалы!$A$2:$A$9000,0)),""),"OK","!! не та группа"))</f>
        <v/>
      </c>
      <c r="L291" s="10">
        <f>IFERROR(INDEX(спр_Работы!$H$2:$H$6000,MATCH($C291,спр_Работы!$A$2:$A$6000,0))*(1-ДисконтТендер),0)</f>
        <v/>
      </c>
      <c r="M291" s="10">
        <f>IF($I291="",0,IFERROR(INDEX(спр_Материалы!$I$2:$I$9000,MATCH($I291,спр_Материалы!$A$2:$A$9000,0))*IF(INDEX(спр_Материалы!$J$2:$J$9000,MATCH($I291,спр_Материалы!$A$2:$A$9000,0))="USD",КурсUSD,IF(INDEX(спр_Материалы!$J$2:$J$9000,MATCH($I291,спр_Материалы!$A$2:$A$9000,0))="EUR",КурсEUR,1))*INDEX(спр_Материалы!$K$2:$K$9000,MATCH($I291,спр_Материалы!$A$2:$A$9000,0))*(1+IFERROR(INDEX(спр_Работы!$I$2:$I$6000,MATCH($C291,спр_Работы!$A$2:$A$6000,0))/100,0))*(1-ДисконтТендер),0))</f>
        <v/>
      </c>
      <c r="N291" s="10">
        <f>IF(AND($R291="да",$H291&lt;&gt;""),ROUND($H291*$L291,2),0)</f>
        <v/>
      </c>
      <c r="O291" s="10">
        <f>IF(AND($R291="да",$H291&lt;&gt;""),ROUND($H291*$M291,2),0)</f>
        <v/>
      </c>
      <c r="P291" s="10">
        <f>$N291+$O291</f>
        <v/>
      </c>
      <c r="Q291">
        <f>IFERROR(INDEX(спр_Работы!$J$2:$J$6000,MATCH($C291,спр_Работы!$A$2:$A$6000,0)),"")</f>
        <v/>
      </c>
      <c r="R291" t="inlineStr">
        <is>
          <t>да</t>
        </is>
      </c>
      <c r="T291">
        <f>IF(AND($P291&gt;0,$R291="да"),MAX($T$1:$T290)+1,"")</f>
        <v/>
      </c>
    </row>
    <row r="292">
      <c r="A292">
        <f>IFERROR(INDEX(спр_Работы!$D$2:$D$6000,MATCH($C292,спр_Работы!$A$2:$A$6000,0)),"")</f>
        <v/>
      </c>
      <c r="B292">
        <f>IFERROR(INDEX(спр_Работы!$F$2:$F$6000,MATCH($C292,спр_Работы!$A$2:$A$6000,0)),"")</f>
        <v/>
      </c>
      <c r="C292">
        <f>IFERROR(INDEX(спр_Работы!$A$2:$A$6000,291),"")</f>
        <v/>
      </c>
      <c r="D292" s="8">
        <f>IFERROR(INDEX(спр_Работы!$B$2:$B$6000,MATCH($C292,спр_Работы!$A$2:$A$6000,0)),"")</f>
        <v/>
      </c>
      <c r="E292">
        <f>IFERROR(INDEX(спр_Работы!$C$2:$C$6000,MATCH($C292,спр_Работы!$A$2:$A$6000,0)),"")</f>
        <v/>
      </c>
      <c r="F292">
        <f>IFERROR(INDEX(спр_Работы!$G$2:$G$6000,MATCH($C292,спр_Работы!$A$2:$A$6000,0)),"")</f>
        <v/>
      </c>
      <c r="G292">
        <f>IFERROR(INDEX(спр_Работы!$K$2:$K$6000,MATCH($C292,спр_Работы!$A$2:$A$6000,0)),"")</f>
        <v/>
      </c>
      <c r="H292" s="9" t="n"/>
      <c r="I292" s="9" t="n"/>
      <c r="J292" s="8">
        <f>IFERROR(INDEX(спр_Материалы!$B$2:$B$9000,MATCH($I292,спр_Материалы!$A$2:$A$9000,0)),"")</f>
        <v/>
      </c>
      <c r="K292">
        <f>IF($I292="","",IF($F292=IFERROR(INDEX(спр_Материалы!$G$2:$G$9000,MATCH($I292,спр_Материалы!$A$2:$A$9000,0)),""),"OK","!! не та группа"))</f>
        <v/>
      </c>
      <c r="L292" s="10">
        <f>IFERROR(INDEX(спр_Работы!$H$2:$H$6000,MATCH($C292,спр_Работы!$A$2:$A$6000,0))*(1-ДисконтТендер),0)</f>
        <v/>
      </c>
      <c r="M292" s="10">
        <f>IF($I292="",0,IFERROR(INDEX(спр_Материалы!$I$2:$I$9000,MATCH($I292,спр_Материалы!$A$2:$A$9000,0))*IF(INDEX(спр_Материалы!$J$2:$J$9000,MATCH($I292,спр_Материалы!$A$2:$A$9000,0))="USD",КурсUSD,IF(INDEX(спр_Материалы!$J$2:$J$9000,MATCH($I292,спр_Материалы!$A$2:$A$9000,0))="EUR",КурсEUR,1))*INDEX(спр_Материалы!$K$2:$K$9000,MATCH($I292,спр_Материалы!$A$2:$A$9000,0))*(1+IFERROR(INDEX(спр_Работы!$I$2:$I$6000,MATCH($C292,спр_Работы!$A$2:$A$6000,0))/100,0))*(1-ДисконтТендер),0))</f>
        <v/>
      </c>
      <c r="N292" s="10">
        <f>IF(AND($R292="да",$H292&lt;&gt;""),ROUND($H292*$L292,2),0)</f>
        <v/>
      </c>
      <c r="O292" s="10">
        <f>IF(AND($R292="да",$H292&lt;&gt;""),ROUND($H292*$M292,2),0)</f>
        <v/>
      </c>
      <c r="P292" s="10">
        <f>$N292+$O292</f>
        <v/>
      </c>
      <c r="Q292">
        <f>IFERROR(INDEX(спр_Работы!$J$2:$J$6000,MATCH($C292,спр_Работы!$A$2:$A$6000,0)),"")</f>
        <v/>
      </c>
      <c r="R292" t="inlineStr">
        <is>
          <t>да</t>
        </is>
      </c>
      <c r="T292">
        <f>IF(AND($P292&gt;0,$R292="да"),MAX($T$1:$T291)+1,"")</f>
        <v/>
      </c>
    </row>
    <row r="293">
      <c r="A293">
        <f>IFERROR(INDEX(спр_Работы!$D$2:$D$6000,MATCH($C293,спр_Работы!$A$2:$A$6000,0)),"")</f>
        <v/>
      </c>
      <c r="B293">
        <f>IFERROR(INDEX(спр_Работы!$F$2:$F$6000,MATCH($C293,спр_Работы!$A$2:$A$6000,0)),"")</f>
        <v/>
      </c>
      <c r="C293">
        <f>IFERROR(INDEX(спр_Работы!$A$2:$A$6000,292),"")</f>
        <v/>
      </c>
      <c r="D293" s="8">
        <f>IFERROR(INDEX(спр_Работы!$B$2:$B$6000,MATCH($C293,спр_Работы!$A$2:$A$6000,0)),"")</f>
        <v/>
      </c>
      <c r="E293">
        <f>IFERROR(INDEX(спр_Работы!$C$2:$C$6000,MATCH($C293,спр_Работы!$A$2:$A$6000,0)),"")</f>
        <v/>
      </c>
      <c r="F293">
        <f>IFERROR(INDEX(спр_Работы!$G$2:$G$6000,MATCH($C293,спр_Работы!$A$2:$A$6000,0)),"")</f>
        <v/>
      </c>
      <c r="G293">
        <f>IFERROR(INDEX(спр_Работы!$K$2:$K$6000,MATCH($C293,спр_Работы!$A$2:$A$6000,0)),"")</f>
        <v/>
      </c>
      <c r="H293" s="9" t="n"/>
      <c r="I293" s="9" t="n"/>
      <c r="J293" s="8">
        <f>IFERROR(INDEX(спр_Материалы!$B$2:$B$9000,MATCH($I293,спр_Материалы!$A$2:$A$9000,0)),"")</f>
        <v/>
      </c>
      <c r="K293">
        <f>IF($I293="","",IF($F293=IFERROR(INDEX(спр_Материалы!$G$2:$G$9000,MATCH($I293,спр_Материалы!$A$2:$A$9000,0)),""),"OK","!! не та группа"))</f>
        <v/>
      </c>
      <c r="L293" s="10">
        <f>IFERROR(INDEX(спр_Работы!$H$2:$H$6000,MATCH($C293,спр_Работы!$A$2:$A$6000,0))*(1-ДисконтТендер),0)</f>
        <v/>
      </c>
      <c r="M293" s="10">
        <f>IF($I293="",0,IFERROR(INDEX(спр_Материалы!$I$2:$I$9000,MATCH($I293,спр_Материалы!$A$2:$A$9000,0))*IF(INDEX(спр_Материалы!$J$2:$J$9000,MATCH($I293,спр_Материалы!$A$2:$A$9000,0))="USD",КурсUSD,IF(INDEX(спр_Материалы!$J$2:$J$9000,MATCH($I293,спр_Материалы!$A$2:$A$9000,0))="EUR",КурсEUR,1))*INDEX(спр_Материалы!$K$2:$K$9000,MATCH($I293,спр_Материалы!$A$2:$A$9000,0))*(1+IFERROR(INDEX(спр_Работы!$I$2:$I$6000,MATCH($C293,спр_Работы!$A$2:$A$6000,0))/100,0))*(1-ДисконтТендер),0))</f>
        <v/>
      </c>
      <c r="N293" s="10">
        <f>IF(AND($R293="да",$H293&lt;&gt;""),ROUND($H293*$L293,2),0)</f>
        <v/>
      </c>
      <c r="O293" s="10">
        <f>IF(AND($R293="да",$H293&lt;&gt;""),ROUND($H293*$M293,2),0)</f>
        <v/>
      </c>
      <c r="P293" s="10">
        <f>$N293+$O293</f>
        <v/>
      </c>
      <c r="Q293">
        <f>IFERROR(INDEX(спр_Работы!$J$2:$J$6000,MATCH($C293,спр_Работы!$A$2:$A$6000,0)),"")</f>
        <v/>
      </c>
      <c r="R293" t="inlineStr">
        <is>
          <t>да</t>
        </is>
      </c>
      <c r="T293">
        <f>IF(AND($P293&gt;0,$R293="да"),MAX($T$1:$T292)+1,"")</f>
        <v/>
      </c>
    </row>
    <row r="294">
      <c r="A294">
        <f>IFERROR(INDEX(спр_Работы!$D$2:$D$6000,MATCH($C294,спр_Работы!$A$2:$A$6000,0)),"")</f>
        <v/>
      </c>
      <c r="B294">
        <f>IFERROR(INDEX(спр_Работы!$F$2:$F$6000,MATCH($C294,спр_Работы!$A$2:$A$6000,0)),"")</f>
        <v/>
      </c>
      <c r="C294">
        <f>IFERROR(INDEX(спр_Работы!$A$2:$A$6000,293),"")</f>
        <v/>
      </c>
      <c r="D294" s="8">
        <f>IFERROR(INDEX(спр_Работы!$B$2:$B$6000,MATCH($C294,спр_Работы!$A$2:$A$6000,0)),"")</f>
        <v/>
      </c>
      <c r="E294">
        <f>IFERROR(INDEX(спр_Работы!$C$2:$C$6000,MATCH($C294,спр_Работы!$A$2:$A$6000,0)),"")</f>
        <v/>
      </c>
      <c r="F294">
        <f>IFERROR(INDEX(спр_Работы!$G$2:$G$6000,MATCH($C294,спр_Работы!$A$2:$A$6000,0)),"")</f>
        <v/>
      </c>
      <c r="G294">
        <f>IFERROR(INDEX(спр_Работы!$K$2:$K$6000,MATCH($C294,спр_Работы!$A$2:$A$6000,0)),"")</f>
        <v/>
      </c>
      <c r="H294" s="9" t="n"/>
      <c r="I294" s="9" t="n"/>
      <c r="J294" s="8">
        <f>IFERROR(INDEX(спр_Материалы!$B$2:$B$9000,MATCH($I294,спр_Материалы!$A$2:$A$9000,0)),"")</f>
        <v/>
      </c>
      <c r="K294">
        <f>IF($I294="","",IF($F294=IFERROR(INDEX(спр_Материалы!$G$2:$G$9000,MATCH($I294,спр_Материалы!$A$2:$A$9000,0)),""),"OK","!! не та группа"))</f>
        <v/>
      </c>
      <c r="L294" s="10">
        <f>IFERROR(INDEX(спр_Работы!$H$2:$H$6000,MATCH($C294,спр_Работы!$A$2:$A$6000,0))*(1-ДисконтТендер),0)</f>
        <v/>
      </c>
      <c r="M294" s="10">
        <f>IF($I294="",0,IFERROR(INDEX(спр_Материалы!$I$2:$I$9000,MATCH($I294,спр_Материалы!$A$2:$A$9000,0))*IF(INDEX(спр_Материалы!$J$2:$J$9000,MATCH($I294,спр_Материалы!$A$2:$A$9000,0))="USD",КурсUSD,IF(INDEX(спр_Материалы!$J$2:$J$9000,MATCH($I294,спр_Материалы!$A$2:$A$9000,0))="EUR",КурсEUR,1))*INDEX(спр_Материалы!$K$2:$K$9000,MATCH($I294,спр_Материалы!$A$2:$A$9000,0))*(1+IFERROR(INDEX(спр_Работы!$I$2:$I$6000,MATCH($C294,спр_Работы!$A$2:$A$6000,0))/100,0))*(1-ДисконтТендер),0))</f>
        <v/>
      </c>
      <c r="N294" s="10">
        <f>IF(AND($R294="да",$H294&lt;&gt;""),ROUND($H294*$L294,2),0)</f>
        <v/>
      </c>
      <c r="O294" s="10">
        <f>IF(AND($R294="да",$H294&lt;&gt;""),ROUND($H294*$M294,2),0)</f>
        <v/>
      </c>
      <c r="P294" s="10">
        <f>$N294+$O294</f>
        <v/>
      </c>
      <c r="Q294">
        <f>IFERROR(INDEX(спр_Работы!$J$2:$J$6000,MATCH($C294,спр_Работы!$A$2:$A$6000,0)),"")</f>
        <v/>
      </c>
      <c r="R294" t="inlineStr">
        <is>
          <t>да</t>
        </is>
      </c>
      <c r="T294">
        <f>IF(AND($P294&gt;0,$R294="да"),MAX($T$1:$T293)+1,"")</f>
        <v/>
      </c>
    </row>
    <row r="295">
      <c r="A295">
        <f>IFERROR(INDEX(спр_Работы!$D$2:$D$6000,MATCH($C295,спр_Работы!$A$2:$A$6000,0)),"")</f>
        <v/>
      </c>
      <c r="B295">
        <f>IFERROR(INDEX(спр_Работы!$F$2:$F$6000,MATCH($C295,спр_Работы!$A$2:$A$6000,0)),"")</f>
        <v/>
      </c>
      <c r="C295">
        <f>IFERROR(INDEX(спр_Работы!$A$2:$A$6000,294),"")</f>
        <v/>
      </c>
      <c r="D295" s="8">
        <f>IFERROR(INDEX(спр_Работы!$B$2:$B$6000,MATCH($C295,спр_Работы!$A$2:$A$6000,0)),"")</f>
        <v/>
      </c>
      <c r="E295">
        <f>IFERROR(INDEX(спр_Работы!$C$2:$C$6000,MATCH($C295,спр_Работы!$A$2:$A$6000,0)),"")</f>
        <v/>
      </c>
      <c r="F295">
        <f>IFERROR(INDEX(спр_Работы!$G$2:$G$6000,MATCH($C295,спр_Работы!$A$2:$A$6000,0)),"")</f>
        <v/>
      </c>
      <c r="G295">
        <f>IFERROR(INDEX(спр_Работы!$K$2:$K$6000,MATCH($C295,спр_Работы!$A$2:$A$6000,0)),"")</f>
        <v/>
      </c>
      <c r="H295" s="9" t="n"/>
      <c r="I295" s="9" t="n"/>
      <c r="J295" s="8">
        <f>IFERROR(INDEX(спр_Материалы!$B$2:$B$9000,MATCH($I295,спр_Материалы!$A$2:$A$9000,0)),"")</f>
        <v/>
      </c>
      <c r="K295">
        <f>IF($I295="","",IF($F295=IFERROR(INDEX(спр_Материалы!$G$2:$G$9000,MATCH($I295,спр_Материалы!$A$2:$A$9000,0)),""),"OK","!! не та группа"))</f>
        <v/>
      </c>
      <c r="L295" s="10">
        <f>IFERROR(INDEX(спр_Работы!$H$2:$H$6000,MATCH($C295,спр_Работы!$A$2:$A$6000,0))*(1-ДисконтТендер),0)</f>
        <v/>
      </c>
      <c r="M295" s="10">
        <f>IF($I295="",0,IFERROR(INDEX(спр_Материалы!$I$2:$I$9000,MATCH($I295,спр_Материалы!$A$2:$A$9000,0))*IF(INDEX(спр_Материалы!$J$2:$J$9000,MATCH($I295,спр_Материалы!$A$2:$A$9000,0))="USD",КурсUSD,IF(INDEX(спр_Материалы!$J$2:$J$9000,MATCH($I295,спр_Материалы!$A$2:$A$9000,0))="EUR",КурсEUR,1))*INDEX(спр_Материалы!$K$2:$K$9000,MATCH($I295,спр_Материалы!$A$2:$A$9000,0))*(1+IFERROR(INDEX(спр_Работы!$I$2:$I$6000,MATCH($C295,спр_Работы!$A$2:$A$6000,0))/100,0))*(1-ДисконтТендер),0))</f>
        <v/>
      </c>
      <c r="N295" s="10">
        <f>IF(AND($R295="да",$H295&lt;&gt;""),ROUND($H295*$L295,2),0)</f>
        <v/>
      </c>
      <c r="O295" s="10">
        <f>IF(AND($R295="да",$H295&lt;&gt;""),ROUND($H295*$M295,2),0)</f>
        <v/>
      </c>
      <c r="P295" s="10">
        <f>$N295+$O295</f>
        <v/>
      </c>
      <c r="Q295">
        <f>IFERROR(INDEX(спр_Работы!$J$2:$J$6000,MATCH($C295,спр_Работы!$A$2:$A$6000,0)),"")</f>
        <v/>
      </c>
      <c r="R295" t="inlineStr">
        <is>
          <t>да</t>
        </is>
      </c>
      <c r="T295">
        <f>IF(AND($P295&gt;0,$R295="да"),MAX($T$1:$T294)+1,"")</f>
        <v/>
      </c>
    </row>
    <row r="296">
      <c r="A296">
        <f>IFERROR(INDEX(спр_Работы!$D$2:$D$6000,MATCH($C296,спр_Работы!$A$2:$A$6000,0)),"")</f>
        <v/>
      </c>
      <c r="B296">
        <f>IFERROR(INDEX(спр_Работы!$F$2:$F$6000,MATCH($C296,спр_Работы!$A$2:$A$6000,0)),"")</f>
        <v/>
      </c>
      <c r="C296">
        <f>IFERROR(INDEX(спр_Работы!$A$2:$A$6000,295),"")</f>
        <v/>
      </c>
      <c r="D296" s="8">
        <f>IFERROR(INDEX(спр_Работы!$B$2:$B$6000,MATCH($C296,спр_Работы!$A$2:$A$6000,0)),"")</f>
        <v/>
      </c>
      <c r="E296">
        <f>IFERROR(INDEX(спр_Работы!$C$2:$C$6000,MATCH($C296,спр_Работы!$A$2:$A$6000,0)),"")</f>
        <v/>
      </c>
      <c r="F296">
        <f>IFERROR(INDEX(спр_Работы!$G$2:$G$6000,MATCH($C296,спр_Работы!$A$2:$A$6000,0)),"")</f>
        <v/>
      </c>
      <c r="G296">
        <f>IFERROR(INDEX(спр_Работы!$K$2:$K$6000,MATCH($C296,спр_Работы!$A$2:$A$6000,0)),"")</f>
        <v/>
      </c>
      <c r="H296" s="9" t="n"/>
      <c r="I296" s="9" t="n"/>
      <c r="J296" s="8">
        <f>IFERROR(INDEX(спр_Материалы!$B$2:$B$9000,MATCH($I296,спр_Материалы!$A$2:$A$9000,0)),"")</f>
        <v/>
      </c>
      <c r="K296">
        <f>IF($I296="","",IF($F296=IFERROR(INDEX(спр_Материалы!$G$2:$G$9000,MATCH($I296,спр_Материалы!$A$2:$A$9000,0)),""),"OK","!! не та группа"))</f>
        <v/>
      </c>
      <c r="L296" s="10">
        <f>IFERROR(INDEX(спр_Работы!$H$2:$H$6000,MATCH($C296,спр_Работы!$A$2:$A$6000,0))*(1-ДисконтТендер),0)</f>
        <v/>
      </c>
      <c r="M296" s="10">
        <f>IF($I296="",0,IFERROR(INDEX(спр_Материалы!$I$2:$I$9000,MATCH($I296,спр_Материалы!$A$2:$A$9000,0))*IF(INDEX(спр_Материалы!$J$2:$J$9000,MATCH($I296,спр_Материалы!$A$2:$A$9000,0))="USD",КурсUSD,IF(INDEX(спр_Материалы!$J$2:$J$9000,MATCH($I296,спр_Материалы!$A$2:$A$9000,0))="EUR",КурсEUR,1))*INDEX(спр_Материалы!$K$2:$K$9000,MATCH($I296,спр_Материалы!$A$2:$A$9000,0))*(1+IFERROR(INDEX(спр_Работы!$I$2:$I$6000,MATCH($C296,спр_Работы!$A$2:$A$6000,0))/100,0))*(1-ДисконтТендер),0))</f>
        <v/>
      </c>
      <c r="N296" s="10">
        <f>IF(AND($R296="да",$H296&lt;&gt;""),ROUND($H296*$L296,2),0)</f>
        <v/>
      </c>
      <c r="O296" s="10">
        <f>IF(AND($R296="да",$H296&lt;&gt;""),ROUND($H296*$M296,2),0)</f>
        <v/>
      </c>
      <c r="P296" s="10">
        <f>$N296+$O296</f>
        <v/>
      </c>
      <c r="Q296">
        <f>IFERROR(INDEX(спр_Работы!$J$2:$J$6000,MATCH($C296,спр_Работы!$A$2:$A$6000,0)),"")</f>
        <v/>
      </c>
      <c r="R296" t="inlineStr">
        <is>
          <t>да</t>
        </is>
      </c>
      <c r="T296">
        <f>IF(AND($P296&gt;0,$R296="да"),MAX($T$1:$T295)+1,"")</f>
        <v/>
      </c>
    </row>
    <row r="297">
      <c r="A297">
        <f>IFERROR(INDEX(спр_Работы!$D$2:$D$6000,MATCH($C297,спр_Работы!$A$2:$A$6000,0)),"")</f>
        <v/>
      </c>
      <c r="B297">
        <f>IFERROR(INDEX(спр_Работы!$F$2:$F$6000,MATCH($C297,спр_Работы!$A$2:$A$6000,0)),"")</f>
        <v/>
      </c>
      <c r="C297">
        <f>IFERROR(INDEX(спр_Работы!$A$2:$A$6000,296),"")</f>
        <v/>
      </c>
      <c r="D297" s="8">
        <f>IFERROR(INDEX(спр_Работы!$B$2:$B$6000,MATCH($C297,спр_Работы!$A$2:$A$6000,0)),"")</f>
        <v/>
      </c>
      <c r="E297">
        <f>IFERROR(INDEX(спр_Работы!$C$2:$C$6000,MATCH($C297,спр_Работы!$A$2:$A$6000,0)),"")</f>
        <v/>
      </c>
      <c r="F297">
        <f>IFERROR(INDEX(спр_Работы!$G$2:$G$6000,MATCH($C297,спр_Работы!$A$2:$A$6000,0)),"")</f>
        <v/>
      </c>
      <c r="G297">
        <f>IFERROR(INDEX(спр_Работы!$K$2:$K$6000,MATCH($C297,спр_Работы!$A$2:$A$6000,0)),"")</f>
        <v/>
      </c>
      <c r="H297" s="9" t="n"/>
      <c r="I297" s="9" t="n"/>
      <c r="J297" s="8">
        <f>IFERROR(INDEX(спр_Материалы!$B$2:$B$9000,MATCH($I297,спр_Материалы!$A$2:$A$9000,0)),"")</f>
        <v/>
      </c>
      <c r="K297">
        <f>IF($I297="","",IF($F297=IFERROR(INDEX(спр_Материалы!$G$2:$G$9000,MATCH($I297,спр_Материалы!$A$2:$A$9000,0)),""),"OK","!! не та группа"))</f>
        <v/>
      </c>
      <c r="L297" s="10">
        <f>IFERROR(INDEX(спр_Работы!$H$2:$H$6000,MATCH($C297,спр_Работы!$A$2:$A$6000,0))*(1-ДисконтТендер),0)</f>
        <v/>
      </c>
      <c r="M297" s="10">
        <f>IF($I297="",0,IFERROR(INDEX(спр_Материалы!$I$2:$I$9000,MATCH($I297,спр_Материалы!$A$2:$A$9000,0))*IF(INDEX(спр_Материалы!$J$2:$J$9000,MATCH($I297,спр_Материалы!$A$2:$A$9000,0))="USD",КурсUSD,IF(INDEX(спр_Материалы!$J$2:$J$9000,MATCH($I297,спр_Материалы!$A$2:$A$9000,0))="EUR",КурсEUR,1))*INDEX(спр_Материалы!$K$2:$K$9000,MATCH($I297,спр_Материалы!$A$2:$A$9000,0))*(1+IFERROR(INDEX(спр_Работы!$I$2:$I$6000,MATCH($C297,спр_Работы!$A$2:$A$6000,0))/100,0))*(1-ДисконтТендер),0))</f>
        <v/>
      </c>
      <c r="N297" s="10">
        <f>IF(AND($R297="да",$H297&lt;&gt;""),ROUND($H297*$L297,2),0)</f>
        <v/>
      </c>
      <c r="O297" s="10">
        <f>IF(AND($R297="да",$H297&lt;&gt;""),ROUND($H297*$M297,2),0)</f>
        <v/>
      </c>
      <c r="P297" s="10">
        <f>$N297+$O297</f>
        <v/>
      </c>
      <c r="Q297">
        <f>IFERROR(INDEX(спр_Работы!$J$2:$J$6000,MATCH($C297,спр_Работы!$A$2:$A$6000,0)),"")</f>
        <v/>
      </c>
      <c r="R297" t="inlineStr">
        <is>
          <t>да</t>
        </is>
      </c>
      <c r="T297">
        <f>IF(AND($P297&gt;0,$R297="да"),MAX($T$1:$T296)+1,"")</f>
        <v/>
      </c>
    </row>
    <row r="298">
      <c r="A298">
        <f>IFERROR(INDEX(спр_Работы!$D$2:$D$6000,MATCH($C298,спр_Работы!$A$2:$A$6000,0)),"")</f>
        <v/>
      </c>
      <c r="B298">
        <f>IFERROR(INDEX(спр_Работы!$F$2:$F$6000,MATCH($C298,спр_Работы!$A$2:$A$6000,0)),"")</f>
        <v/>
      </c>
      <c r="C298">
        <f>IFERROR(INDEX(спр_Работы!$A$2:$A$6000,297),"")</f>
        <v/>
      </c>
      <c r="D298" s="8">
        <f>IFERROR(INDEX(спр_Работы!$B$2:$B$6000,MATCH($C298,спр_Работы!$A$2:$A$6000,0)),"")</f>
        <v/>
      </c>
      <c r="E298">
        <f>IFERROR(INDEX(спр_Работы!$C$2:$C$6000,MATCH($C298,спр_Работы!$A$2:$A$6000,0)),"")</f>
        <v/>
      </c>
      <c r="F298">
        <f>IFERROR(INDEX(спр_Работы!$G$2:$G$6000,MATCH($C298,спр_Работы!$A$2:$A$6000,0)),"")</f>
        <v/>
      </c>
      <c r="G298">
        <f>IFERROR(INDEX(спр_Работы!$K$2:$K$6000,MATCH($C298,спр_Работы!$A$2:$A$6000,0)),"")</f>
        <v/>
      </c>
      <c r="H298" s="9" t="n"/>
      <c r="I298" s="9" t="n"/>
      <c r="J298" s="8">
        <f>IFERROR(INDEX(спр_Материалы!$B$2:$B$9000,MATCH($I298,спр_Материалы!$A$2:$A$9000,0)),"")</f>
        <v/>
      </c>
      <c r="K298">
        <f>IF($I298="","",IF($F298=IFERROR(INDEX(спр_Материалы!$G$2:$G$9000,MATCH($I298,спр_Материалы!$A$2:$A$9000,0)),""),"OK","!! не та группа"))</f>
        <v/>
      </c>
      <c r="L298" s="10">
        <f>IFERROR(INDEX(спр_Работы!$H$2:$H$6000,MATCH($C298,спр_Работы!$A$2:$A$6000,0))*(1-ДисконтТендер),0)</f>
        <v/>
      </c>
      <c r="M298" s="10">
        <f>IF($I298="",0,IFERROR(INDEX(спр_Материалы!$I$2:$I$9000,MATCH($I298,спр_Материалы!$A$2:$A$9000,0))*IF(INDEX(спр_Материалы!$J$2:$J$9000,MATCH($I298,спр_Материалы!$A$2:$A$9000,0))="USD",КурсUSD,IF(INDEX(спр_Материалы!$J$2:$J$9000,MATCH($I298,спр_Материалы!$A$2:$A$9000,0))="EUR",КурсEUR,1))*INDEX(спр_Материалы!$K$2:$K$9000,MATCH($I298,спр_Материалы!$A$2:$A$9000,0))*(1+IFERROR(INDEX(спр_Работы!$I$2:$I$6000,MATCH($C298,спр_Работы!$A$2:$A$6000,0))/100,0))*(1-ДисконтТендер),0))</f>
        <v/>
      </c>
      <c r="N298" s="10">
        <f>IF(AND($R298="да",$H298&lt;&gt;""),ROUND($H298*$L298,2),0)</f>
        <v/>
      </c>
      <c r="O298" s="10">
        <f>IF(AND($R298="да",$H298&lt;&gt;""),ROUND($H298*$M298,2),0)</f>
        <v/>
      </c>
      <c r="P298" s="10">
        <f>$N298+$O298</f>
        <v/>
      </c>
      <c r="Q298">
        <f>IFERROR(INDEX(спр_Работы!$J$2:$J$6000,MATCH($C298,спр_Работы!$A$2:$A$6000,0)),"")</f>
        <v/>
      </c>
      <c r="R298" t="inlineStr">
        <is>
          <t>да</t>
        </is>
      </c>
      <c r="T298">
        <f>IF(AND($P298&gt;0,$R298="да"),MAX($T$1:$T297)+1,"")</f>
        <v/>
      </c>
    </row>
    <row r="299">
      <c r="A299">
        <f>IFERROR(INDEX(спр_Работы!$D$2:$D$6000,MATCH($C299,спр_Работы!$A$2:$A$6000,0)),"")</f>
        <v/>
      </c>
      <c r="B299">
        <f>IFERROR(INDEX(спр_Работы!$F$2:$F$6000,MATCH($C299,спр_Работы!$A$2:$A$6000,0)),"")</f>
        <v/>
      </c>
      <c r="C299">
        <f>IFERROR(INDEX(спр_Работы!$A$2:$A$6000,298),"")</f>
        <v/>
      </c>
      <c r="D299" s="8">
        <f>IFERROR(INDEX(спр_Работы!$B$2:$B$6000,MATCH($C299,спр_Работы!$A$2:$A$6000,0)),"")</f>
        <v/>
      </c>
      <c r="E299">
        <f>IFERROR(INDEX(спр_Работы!$C$2:$C$6000,MATCH($C299,спр_Работы!$A$2:$A$6000,0)),"")</f>
        <v/>
      </c>
      <c r="F299">
        <f>IFERROR(INDEX(спр_Работы!$G$2:$G$6000,MATCH($C299,спр_Работы!$A$2:$A$6000,0)),"")</f>
        <v/>
      </c>
      <c r="G299">
        <f>IFERROR(INDEX(спр_Работы!$K$2:$K$6000,MATCH($C299,спр_Работы!$A$2:$A$6000,0)),"")</f>
        <v/>
      </c>
      <c r="H299" s="9" t="n"/>
      <c r="I299" s="9" t="n"/>
      <c r="J299" s="8">
        <f>IFERROR(INDEX(спр_Материалы!$B$2:$B$9000,MATCH($I299,спр_Материалы!$A$2:$A$9000,0)),"")</f>
        <v/>
      </c>
      <c r="K299">
        <f>IF($I299="","",IF($F299=IFERROR(INDEX(спр_Материалы!$G$2:$G$9000,MATCH($I299,спр_Материалы!$A$2:$A$9000,0)),""),"OK","!! не та группа"))</f>
        <v/>
      </c>
      <c r="L299" s="10">
        <f>IFERROR(INDEX(спр_Работы!$H$2:$H$6000,MATCH($C299,спр_Работы!$A$2:$A$6000,0))*(1-ДисконтТендер),0)</f>
        <v/>
      </c>
      <c r="M299" s="10">
        <f>IF($I299="",0,IFERROR(INDEX(спр_Материалы!$I$2:$I$9000,MATCH($I299,спр_Материалы!$A$2:$A$9000,0))*IF(INDEX(спр_Материалы!$J$2:$J$9000,MATCH($I299,спр_Материалы!$A$2:$A$9000,0))="USD",КурсUSD,IF(INDEX(спр_Материалы!$J$2:$J$9000,MATCH($I299,спр_Материалы!$A$2:$A$9000,0))="EUR",КурсEUR,1))*INDEX(спр_Материалы!$K$2:$K$9000,MATCH($I299,спр_Материалы!$A$2:$A$9000,0))*(1+IFERROR(INDEX(спр_Работы!$I$2:$I$6000,MATCH($C299,спр_Работы!$A$2:$A$6000,0))/100,0))*(1-ДисконтТендер),0))</f>
        <v/>
      </c>
      <c r="N299" s="10">
        <f>IF(AND($R299="да",$H299&lt;&gt;""),ROUND($H299*$L299,2),0)</f>
        <v/>
      </c>
      <c r="O299" s="10">
        <f>IF(AND($R299="да",$H299&lt;&gt;""),ROUND($H299*$M299,2),0)</f>
        <v/>
      </c>
      <c r="P299" s="10">
        <f>$N299+$O299</f>
        <v/>
      </c>
      <c r="Q299">
        <f>IFERROR(INDEX(спр_Работы!$J$2:$J$6000,MATCH($C299,спр_Работы!$A$2:$A$6000,0)),"")</f>
        <v/>
      </c>
      <c r="R299" t="inlineStr">
        <is>
          <t>да</t>
        </is>
      </c>
      <c r="T299">
        <f>IF(AND($P299&gt;0,$R299="да"),MAX($T$1:$T298)+1,"")</f>
        <v/>
      </c>
    </row>
    <row r="300">
      <c r="A300">
        <f>IFERROR(INDEX(спр_Работы!$D$2:$D$6000,MATCH($C300,спр_Работы!$A$2:$A$6000,0)),"")</f>
        <v/>
      </c>
      <c r="B300">
        <f>IFERROR(INDEX(спр_Работы!$F$2:$F$6000,MATCH($C300,спр_Работы!$A$2:$A$6000,0)),"")</f>
        <v/>
      </c>
      <c r="C300">
        <f>IFERROR(INDEX(спр_Работы!$A$2:$A$6000,299),"")</f>
        <v/>
      </c>
      <c r="D300" s="8">
        <f>IFERROR(INDEX(спр_Работы!$B$2:$B$6000,MATCH($C300,спр_Работы!$A$2:$A$6000,0)),"")</f>
        <v/>
      </c>
      <c r="E300">
        <f>IFERROR(INDEX(спр_Работы!$C$2:$C$6000,MATCH($C300,спр_Работы!$A$2:$A$6000,0)),"")</f>
        <v/>
      </c>
      <c r="F300">
        <f>IFERROR(INDEX(спр_Работы!$G$2:$G$6000,MATCH($C300,спр_Работы!$A$2:$A$6000,0)),"")</f>
        <v/>
      </c>
      <c r="G300">
        <f>IFERROR(INDEX(спр_Работы!$K$2:$K$6000,MATCH($C300,спр_Работы!$A$2:$A$6000,0)),"")</f>
        <v/>
      </c>
      <c r="H300" s="9" t="n"/>
      <c r="I300" s="9" t="n"/>
      <c r="J300" s="8">
        <f>IFERROR(INDEX(спр_Материалы!$B$2:$B$9000,MATCH($I300,спр_Материалы!$A$2:$A$9000,0)),"")</f>
        <v/>
      </c>
      <c r="K300">
        <f>IF($I300="","",IF($F300=IFERROR(INDEX(спр_Материалы!$G$2:$G$9000,MATCH($I300,спр_Материалы!$A$2:$A$9000,0)),""),"OK","!! не та группа"))</f>
        <v/>
      </c>
      <c r="L300" s="10">
        <f>IFERROR(INDEX(спр_Работы!$H$2:$H$6000,MATCH($C300,спр_Работы!$A$2:$A$6000,0))*(1-ДисконтТендер),0)</f>
        <v/>
      </c>
      <c r="M300" s="10">
        <f>IF($I300="",0,IFERROR(INDEX(спр_Материалы!$I$2:$I$9000,MATCH($I300,спр_Материалы!$A$2:$A$9000,0))*IF(INDEX(спр_Материалы!$J$2:$J$9000,MATCH($I300,спр_Материалы!$A$2:$A$9000,0))="USD",КурсUSD,IF(INDEX(спр_Материалы!$J$2:$J$9000,MATCH($I300,спр_Материалы!$A$2:$A$9000,0))="EUR",КурсEUR,1))*INDEX(спр_Материалы!$K$2:$K$9000,MATCH($I300,спр_Материалы!$A$2:$A$9000,0))*(1+IFERROR(INDEX(спр_Работы!$I$2:$I$6000,MATCH($C300,спр_Работы!$A$2:$A$6000,0))/100,0))*(1-ДисконтТендер),0))</f>
        <v/>
      </c>
      <c r="N300" s="10">
        <f>IF(AND($R300="да",$H300&lt;&gt;""),ROUND($H300*$L300,2),0)</f>
        <v/>
      </c>
      <c r="O300" s="10">
        <f>IF(AND($R300="да",$H300&lt;&gt;""),ROUND($H300*$M300,2),0)</f>
        <v/>
      </c>
      <c r="P300" s="10">
        <f>$N300+$O300</f>
        <v/>
      </c>
      <c r="Q300">
        <f>IFERROR(INDEX(спр_Работы!$J$2:$J$6000,MATCH($C300,спр_Работы!$A$2:$A$6000,0)),"")</f>
        <v/>
      </c>
      <c r="R300" t="inlineStr">
        <is>
          <t>да</t>
        </is>
      </c>
      <c r="T300">
        <f>IF(AND($P300&gt;0,$R300="да"),MAX($T$1:$T299)+1,"")</f>
        <v/>
      </c>
    </row>
    <row r="301">
      <c r="A301">
        <f>IFERROR(INDEX(спр_Работы!$D$2:$D$6000,MATCH($C301,спр_Работы!$A$2:$A$6000,0)),"")</f>
        <v/>
      </c>
      <c r="B301">
        <f>IFERROR(INDEX(спр_Работы!$F$2:$F$6000,MATCH($C301,спр_Работы!$A$2:$A$6000,0)),"")</f>
        <v/>
      </c>
      <c r="C301">
        <f>IFERROR(INDEX(спр_Работы!$A$2:$A$6000,300),"")</f>
        <v/>
      </c>
      <c r="D301" s="8">
        <f>IFERROR(INDEX(спр_Работы!$B$2:$B$6000,MATCH($C301,спр_Работы!$A$2:$A$6000,0)),"")</f>
        <v/>
      </c>
      <c r="E301">
        <f>IFERROR(INDEX(спр_Работы!$C$2:$C$6000,MATCH($C301,спр_Работы!$A$2:$A$6000,0)),"")</f>
        <v/>
      </c>
      <c r="F301">
        <f>IFERROR(INDEX(спр_Работы!$G$2:$G$6000,MATCH($C301,спр_Работы!$A$2:$A$6000,0)),"")</f>
        <v/>
      </c>
      <c r="G301">
        <f>IFERROR(INDEX(спр_Работы!$K$2:$K$6000,MATCH($C301,спр_Работы!$A$2:$A$6000,0)),"")</f>
        <v/>
      </c>
      <c r="H301" s="9" t="n"/>
      <c r="I301" s="9" t="n"/>
      <c r="J301" s="8">
        <f>IFERROR(INDEX(спр_Материалы!$B$2:$B$9000,MATCH($I301,спр_Материалы!$A$2:$A$9000,0)),"")</f>
        <v/>
      </c>
      <c r="K301">
        <f>IF($I301="","",IF($F301=IFERROR(INDEX(спр_Материалы!$G$2:$G$9000,MATCH($I301,спр_Материалы!$A$2:$A$9000,0)),""),"OK","!! не та группа"))</f>
        <v/>
      </c>
      <c r="L301" s="10">
        <f>IFERROR(INDEX(спр_Работы!$H$2:$H$6000,MATCH($C301,спр_Работы!$A$2:$A$6000,0))*(1-ДисконтТендер),0)</f>
        <v/>
      </c>
      <c r="M301" s="10">
        <f>IF($I301="",0,IFERROR(INDEX(спр_Материалы!$I$2:$I$9000,MATCH($I301,спр_Материалы!$A$2:$A$9000,0))*IF(INDEX(спр_Материалы!$J$2:$J$9000,MATCH($I301,спр_Материалы!$A$2:$A$9000,0))="USD",КурсUSD,IF(INDEX(спр_Материалы!$J$2:$J$9000,MATCH($I301,спр_Материалы!$A$2:$A$9000,0))="EUR",КурсEUR,1))*INDEX(спр_Материалы!$K$2:$K$9000,MATCH($I301,спр_Материалы!$A$2:$A$9000,0))*(1+IFERROR(INDEX(спр_Работы!$I$2:$I$6000,MATCH($C301,спр_Работы!$A$2:$A$6000,0))/100,0))*(1-ДисконтТендер),0))</f>
        <v/>
      </c>
      <c r="N301" s="10">
        <f>IF(AND($R301="да",$H301&lt;&gt;""),ROUND($H301*$L301,2),0)</f>
        <v/>
      </c>
      <c r="O301" s="10">
        <f>IF(AND($R301="да",$H301&lt;&gt;""),ROUND($H301*$M301,2),0)</f>
        <v/>
      </c>
      <c r="P301" s="10">
        <f>$N301+$O301</f>
        <v/>
      </c>
      <c r="Q301">
        <f>IFERROR(INDEX(спр_Работы!$J$2:$J$6000,MATCH($C301,спр_Работы!$A$2:$A$6000,0)),"")</f>
        <v/>
      </c>
      <c r="R301" t="inlineStr">
        <is>
          <t>да</t>
        </is>
      </c>
      <c r="T301">
        <f>IF(AND($P301&gt;0,$R301="да"),MAX($T$1:$T300)+1,"")</f>
        <v/>
      </c>
    </row>
    <row r="302">
      <c r="A302">
        <f>IFERROR(INDEX(спр_Работы!$D$2:$D$6000,MATCH($C302,спр_Работы!$A$2:$A$6000,0)),"")</f>
        <v/>
      </c>
      <c r="B302">
        <f>IFERROR(INDEX(спр_Работы!$F$2:$F$6000,MATCH($C302,спр_Работы!$A$2:$A$6000,0)),"")</f>
        <v/>
      </c>
      <c r="C302">
        <f>IFERROR(INDEX(спр_Работы!$A$2:$A$6000,301),"")</f>
        <v/>
      </c>
      <c r="D302" s="8">
        <f>IFERROR(INDEX(спр_Работы!$B$2:$B$6000,MATCH($C302,спр_Работы!$A$2:$A$6000,0)),"")</f>
        <v/>
      </c>
      <c r="E302">
        <f>IFERROR(INDEX(спр_Работы!$C$2:$C$6000,MATCH($C302,спр_Работы!$A$2:$A$6000,0)),"")</f>
        <v/>
      </c>
      <c r="F302">
        <f>IFERROR(INDEX(спр_Работы!$G$2:$G$6000,MATCH($C302,спр_Работы!$A$2:$A$6000,0)),"")</f>
        <v/>
      </c>
      <c r="G302">
        <f>IFERROR(INDEX(спр_Работы!$K$2:$K$6000,MATCH($C302,спр_Работы!$A$2:$A$6000,0)),"")</f>
        <v/>
      </c>
      <c r="H302" s="9" t="n"/>
      <c r="I302" s="9" t="n"/>
      <c r="J302" s="8">
        <f>IFERROR(INDEX(спр_Материалы!$B$2:$B$9000,MATCH($I302,спр_Материалы!$A$2:$A$9000,0)),"")</f>
        <v/>
      </c>
      <c r="K302">
        <f>IF($I302="","",IF($F302=IFERROR(INDEX(спр_Материалы!$G$2:$G$9000,MATCH($I302,спр_Материалы!$A$2:$A$9000,0)),""),"OK","!! не та группа"))</f>
        <v/>
      </c>
      <c r="L302" s="10">
        <f>IFERROR(INDEX(спр_Работы!$H$2:$H$6000,MATCH($C302,спр_Работы!$A$2:$A$6000,0))*(1-ДисконтТендер),0)</f>
        <v/>
      </c>
      <c r="M302" s="10">
        <f>IF($I302="",0,IFERROR(INDEX(спр_Материалы!$I$2:$I$9000,MATCH($I302,спр_Материалы!$A$2:$A$9000,0))*IF(INDEX(спр_Материалы!$J$2:$J$9000,MATCH($I302,спр_Материалы!$A$2:$A$9000,0))="USD",КурсUSD,IF(INDEX(спр_Материалы!$J$2:$J$9000,MATCH($I302,спр_Материалы!$A$2:$A$9000,0))="EUR",КурсEUR,1))*INDEX(спр_Материалы!$K$2:$K$9000,MATCH($I302,спр_Материалы!$A$2:$A$9000,0))*(1+IFERROR(INDEX(спр_Работы!$I$2:$I$6000,MATCH($C302,спр_Работы!$A$2:$A$6000,0))/100,0))*(1-ДисконтТендер),0))</f>
        <v/>
      </c>
      <c r="N302" s="10">
        <f>IF(AND($R302="да",$H302&lt;&gt;""),ROUND($H302*$L302,2),0)</f>
        <v/>
      </c>
      <c r="O302" s="10">
        <f>IF(AND($R302="да",$H302&lt;&gt;""),ROUND($H302*$M302,2),0)</f>
        <v/>
      </c>
      <c r="P302" s="10">
        <f>$N302+$O302</f>
        <v/>
      </c>
      <c r="Q302">
        <f>IFERROR(INDEX(спр_Работы!$J$2:$J$6000,MATCH($C302,спр_Работы!$A$2:$A$6000,0)),"")</f>
        <v/>
      </c>
      <c r="R302" t="inlineStr">
        <is>
          <t>да</t>
        </is>
      </c>
      <c r="T302">
        <f>IF(AND($P302&gt;0,$R302="да"),MAX($T$1:$T301)+1,"")</f>
        <v/>
      </c>
    </row>
    <row r="303">
      <c r="A303">
        <f>IFERROR(INDEX(спр_Работы!$D$2:$D$6000,MATCH($C303,спр_Работы!$A$2:$A$6000,0)),"")</f>
        <v/>
      </c>
      <c r="B303">
        <f>IFERROR(INDEX(спр_Работы!$F$2:$F$6000,MATCH($C303,спр_Работы!$A$2:$A$6000,0)),"")</f>
        <v/>
      </c>
      <c r="C303">
        <f>IFERROR(INDEX(спр_Работы!$A$2:$A$6000,302),"")</f>
        <v/>
      </c>
      <c r="D303" s="8">
        <f>IFERROR(INDEX(спр_Работы!$B$2:$B$6000,MATCH($C303,спр_Работы!$A$2:$A$6000,0)),"")</f>
        <v/>
      </c>
      <c r="E303">
        <f>IFERROR(INDEX(спр_Работы!$C$2:$C$6000,MATCH($C303,спр_Работы!$A$2:$A$6000,0)),"")</f>
        <v/>
      </c>
      <c r="F303">
        <f>IFERROR(INDEX(спр_Работы!$G$2:$G$6000,MATCH($C303,спр_Работы!$A$2:$A$6000,0)),"")</f>
        <v/>
      </c>
      <c r="G303">
        <f>IFERROR(INDEX(спр_Работы!$K$2:$K$6000,MATCH($C303,спр_Работы!$A$2:$A$6000,0)),"")</f>
        <v/>
      </c>
      <c r="H303" s="9" t="n"/>
      <c r="I303" s="9" t="n"/>
      <c r="J303" s="8">
        <f>IFERROR(INDEX(спр_Материалы!$B$2:$B$9000,MATCH($I303,спр_Материалы!$A$2:$A$9000,0)),"")</f>
        <v/>
      </c>
      <c r="K303">
        <f>IF($I303="","",IF($F303=IFERROR(INDEX(спр_Материалы!$G$2:$G$9000,MATCH($I303,спр_Материалы!$A$2:$A$9000,0)),""),"OK","!! не та группа"))</f>
        <v/>
      </c>
      <c r="L303" s="10">
        <f>IFERROR(INDEX(спр_Работы!$H$2:$H$6000,MATCH($C303,спр_Работы!$A$2:$A$6000,0))*(1-ДисконтТендер),0)</f>
        <v/>
      </c>
      <c r="M303" s="10">
        <f>IF($I303="",0,IFERROR(INDEX(спр_Материалы!$I$2:$I$9000,MATCH($I303,спр_Материалы!$A$2:$A$9000,0))*IF(INDEX(спр_Материалы!$J$2:$J$9000,MATCH($I303,спр_Материалы!$A$2:$A$9000,0))="USD",КурсUSD,IF(INDEX(спр_Материалы!$J$2:$J$9000,MATCH($I303,спр_Материалы!$A$2:$A$9000,0))="EUR",КурсEUR,1))*INDEX(спр_Материалы!$K$2:$K$9000,MATCH($I303,спр_Материалы!$A$2:$A$9000,0))*(1+IFERROR(INDEX(спр_Работы!$I$2:$I$6000,MATCH($C303,спр_Работы!$A$2:$A$6000,0))/100,0))*(1-ДисконтТендер),0))</f>
        <v/>
      </c>
      <c r="N303" s="10">
        <f>IF(AND($R303="да",$H303&lt;&gt;""),ROUND($H303*$L303,2),0)</f>
        <v/>
      </c>
      <c r="O303" s="10">
        <f>IF(AND($R303="да",$H303&lt;&gt;""),ROUND($H303*$M303,2),0)</f>
        <v/>
      </c>
      <c r="P303" s="10">
        <f>$N303+$O303</f>
        <v/>
      </c>
      <c r="Q303">
        <f>IFERROR(INDEX(спр_Работы!$J$2:$J$6000,MATCH($C303,спр_Работы!$A$2:$A$6000,0)),"")</f>
        <v/>
      </c>
      <c r="R303" t="inlineStr">
        <is>
          <t>да</t>
        </is>
      </c>
      <c r="T303">
        <f>IF(AND($P303&gt;0,$R303="да"),MAX($T$1:$T302)+1,"")</f>
        <v/>
      </c>
    </row>
    <row r="304">
      <c r="A304">
        <f>IFERROR(INDEX(спр_Работы!$D$2:$D$6000,MATCH($C304,спр_Работы!$A$2:$A$6000,0)),"")</f>
        <v/>
      </c>
      <c r="B304">
        <f>IFERROR(INDEX(спр_Работы!$F$2:$F$6000,MATCH($C304,спр_Работы!$A$2:$A$6000,0)),"")</f>
        <v/>
      </c>
      <c r="C304">
        <f>IFERROR(INDEX(спр_Работы!$A$2:$A$6000,303),"")</f>
        <v/>
      </c>
      <c r="D304" s="8">
        <f>IFERROR(INDEX(спр_Работы!$B$2:$B$6000,MATCH($C304,спр_Работы!$A$2:$A$6000,0)),"")</f>
        <v/>
      </c>
      <c r="E304">
        <f>IFERROR(INDEX(спр_Работы!$C$2:$C$6000,MATCH($C304,спр_Работы!$A$2:$A$6000,0)),"")</f>
        <v/>
      </c>
      <c r="F304">
        <f>IFERROR(INDEX(спр_Работы!$G$2:$G$6000,MATCH($C304,спр_Работы!$A$2:$A$6000,0)),"")</f>
        <v/>
      </c>
      <c r="G304">
        <f>IFERROR(INDEX(спр_Работы!$K$2:$K$6000,MATCH($C304,спр_Работы!$A$2:$A$6000,0)),"")</f>
        <v/>
      </c>
      <c r="H304" s="9" t="n"/>
      <c r="I304" s="9" t="n"/>
      <c r="J304" s="8">
        <f>IFERROR(INDEX(спр_Материалы!$B$2:$B$9000,MATCH($I304,спр_Материалы!$A$2:$A$9000,0)),"")</f>
        <v/>
      </c>
      <c r="K304">
        <f>IF($I304="","",IF($F304=IFERROR(INDEX(спр_Материалы!$G$2:$G$9000,MATCH($I304,спр_Материалы!$A$2:$A$9000,0)),""),"OK","!! не та группа"))</f>
        <v/>
      </c>
      <c r="L304" s="10">
        <f>IFERROR(INDEX(спр_Работы!$H$2:$H$6000,MATCH($C304,спр_Работы!$A$2:$A$6000,0))*(1-ДисконтТендер),0)</f>
        <v/>
      </c>
      <c r="M304" s="10">
        <f>IF($I304="",0,IFERROR(INDEX(спр_Материалы!$I$2:$I$9000,MATCH($I304,спр_Материалы!$A$2:$A$9000,0))*IF(INDEX(спр_Материалы!$J$2:$J$9000,MATCH($I304,спр_Материалы!$A$2:$A$9000,0))="USD",КурсUSD,IF(INDEX(спр_Материалы!$J$2:$J$9000,MATCH($I304,спр_Материалы!$A$2:$A$9000,0))="EUR",КурсEUR,1))*INDEX(спр_Материалы!$K$2:$K$9000,MATCH($I304,спр_Материалы!$A$2:$A$9000,0))*(1+IFERROR(INDEX(спр_Работы!$I$2:$I$6000,MATCH($C304,спр_Работы!$A$2:$A$6000,0))/100,0))*(1-ДисконтТендер),0))</f>
        <v/>
      </c>
      <c r="N304" s="10">
        <f>IF(AND($R304="да",$H304&lt;&gt;""),ROUND($H304*$L304,2),0)</f>
        <v/>
      </c>
      <c r="O304" s="10">
        <f>IF(AND($R304="да",$H304&lt;&gt;""),ROUND($H304*$M304,2),0)</f>
        <v/>
      </c>
      <c r="P304" s="10">
        <f>$N304+$O304</f>
        <v/>
      </c>
      <c r="Q304">
        <f>IFERROR(INDEX(спр_Работы!$J$2:$J$6000,MATCH($C304,спр_Работы!$A$2:$A$6000,0)),"")</f>
        <v/>
      </c>
      <c r="R304" t="inlineStr">
        <is>
          <t>да</t>
        </is>
      </c>
      <c r="T304">
        <f>IF(AND($P304&gt;0,$R304="да"),MAX($T$1:$T303)+1,"")</f>
        <v/>
      </c>
    </row>
    <row r="305">
      <c r="A305">
        <f>IFERROR(INDEX(спр_Работы!$D$2:$D$6000,MATCH($C305,спр_Работы!$A$2:$A$6000,0)),"")</f>
        <v/>
      </c>
      <c r="B305">
        <f>IFERROR(INDEX(спр_Работы!$F$2:$F$6000,MATCH($C305,спр_Работы!$A$2:$A$6000,0)),"")</f>
        <v/>
      </c>
      <c r="C305">
        <f>IFERROR(INDEX(спр_Работы!$A$2:$A$6000,304),"")</f>
        <v/>
      </c>
      <c r="D305" s="8">
        <f>IFERROR(INDEX(спр_Работы!$B$2:$B$6000,MATCH($C305,спр_Работы!$A$2:$A$6000,0)),"")</f>
        <v/>
      </c>
      <c r="E305">
        <f>IFERROR(INDEX(спр_Работы!$C$2:$C$6000,MATCH($C305,спр_Работы!$A$2:$A$6000,0)),"")</f>
        <v/>
      </c>
      <c r="F305">
        <f>IFERROR(INDEX(спр_Работы!$G$2:$G$6000,MATCH($C305,спр_Работы!$A$2:$A$6000,0)),"")</f>
        <v/>
      </c>
      <c r="G305">
        <f>IFERROR(INDEX(спр_Работы!$K$2:$K$6000,MATCH($C305,спр_Работы!$A$2:$A$6000,0)),"")</f>
        <v/>
      </c>
      <c r="H305" s="9" t="n"/>
      <c r="I305" s="9" t="n"/>
      <c r="J305" s="8">
        <f>IFERROR(INDEX(спр_Материалы!$B$2:$B$9000,MATCH($I305,спр_Материалы!$A$2:$A$9000,0)),"")</f>
        <v/>
      </c>
      <c r="K305">
        <f>IF($I305="","",IF($F305=IFERROR(INDEX(спр_Материалы!$G$2:$G$9000,MATCH($I305,спр_Материалы!$A$2:$A$9000,0)),""),"OK","!! не та группа"))</f>
        <v/>
      </c>
      <c r="L305" s="10">
        <f>IFERROR(INDEX(спр_Работы!$H$2:$H$6000,MATCH($C305,спр_Работы!$A$2:$A$6000,0))*(1-ДисконтТендер),0)</f>
        <v/>
      </c>
      <c r="M305" s="10">
        <f>IF($I305="",0,IFERROR(INDEX(спр_Материалы!$I$2:$I$9000,MATCH($I305,спр_Материалы!$A$2:$A$9000,0))*IF(INDEX(спр_Материалы!$J$2:$J$9000,MATCH($I305,спр_Материалы!$A$2:$A$9000,0))="USD",КурсUSD,IF(INDEX(спр_Материалы!$J$2:$J$9000,MATCH($I305,спр_Материалы!$A$2:$A$9000,0))="EUR",КурсEUR,1))*INDEX(спр_Материалы!$K$2:$K$9000,MATCH($I305,спр_Материалы!$A$2:$A$9000,0))*(1+IFERROR(INDEX(спр_Работы!$I$2:$I$6000,MATCH($C305,спр_Работы!$A$2:$A$6000,0))/100,0))*(1-ДисконтТендер),0))</f>
        <v/>
      </c>
      <c r="N305" s="10">
        <f>IF(AND($R305="да",$H305&lt;&gt;""),ROUND($H305*$L305,2),0)</f>
        <v/>
      </c>
      <c r="O305" s="10">
        <f>IF(AND($R305="да",$H305&lt;&gt;""),ROUND($H305*$M305,2),0)</f>
        <v/>
      </c>
      <c r="P305" s="10">
        <f>$N305+$O305</f>
        <v/>
      </c>
      <c r="Q305">
        <f>IFERROR(INDEX(спр_Работы!$J$2:$J$6000,MATCH($C305,спр_Работы!$A$2:$A$6000,0)),"")</f>
        <v/>
      </c>
      <c r="R305" t="inlineStr">
        <is>
          <t>да</t>
        </is>
      </c>
      <c r="T305">
        <f>IF(AND($P305&gt;0,$R305="да"),MAX($T$1:$T304)+1,"")</f>
        <v/>
      </c>
    </row>
    <row r="306">
      <c r="A306">
        <f>IFERROR(INDEX(спр_Работы!$D$2:$D$6000,MATCH($C306,спр_Работы!$A$2:$A$6000,0)),"")</f>
        <v/>
      </c>
      <c r="B306">
        <f>IFERROR(INDEX(спр_Работы!$F$2:$F$6000,MATCH($C306,спр_Работы!$A$2:$A$6000,0)),"")</f>
        <v/>
      </c>
      <c r="C306">
        <f>IFERROR(INDEX(спр_Работы!$A$2:$A$6000,305),"")</f>
        <v/>
      </c>
      <c r="D306" s="8">
        <f>IFERROR(INDEX(спр_Работы!$B$2:$B$6000,MATCH($C306,спр_Работы!$A$2:$A$6000,0)),"")</f>
        <v/>
      </c>
      <c r="E306">
        <f>IFERROR(INDEX(спр_Работы!$C$2:$C$6000,MATCH($C306,спр_Работы!$A$2:$A$6000,0)),"")</f>
        <v/>
      </c>
      <c r="F306">
        <f>IFERROR(INDEX(спр_Работы!$G$2:$G$6000,MATCH($C306,спр_Работы!$A$2:$A$6000,0)),"")</f>
        <v/>
      </c>
      <c r="G306">
        <f>IFERROR(INDEX(спр_Работы!$K$2:$K$6000,MATCH($C306,спр_Работы!$A$2:$A$6000,0)),"")</f>
        <v/>
      </c>
      <c r="H306" s="9" t="n"/>
      <c r="I306" s="9" t="n"/>
      <c r="J306" s="8">
        <f>IFERROR(INDEX(спр_Материалы!$B$2:$B$9000,MATCH($I306,спр_Материалы!$A$2:$A$9000,0)),"")</f>
        <v/>
      </c>
      <c r="K306">
        <f>IF($I306="","",IF($F306=IFERROR(INDEX(спр_Материалы!$G$2:$G$9000,MATCH($I306,спр_Материалы!$A$2:$A$9000,0)),""),"OK","!! не та группа"))</f>
        <v/>
      </c>
      <c r="L306" s="10">
        <f>IFERROR(INDEX(спр_Работы!$H$2:$H$6000,MATCH($C306,спр_Работы!$A$2:$A$6000,0))*(1-ДисконтТендер),0)</f>
        <v/>
      </c>
      <c r="M306" s="10">
        <f>IF($I306="",0,IFERROR(INDEX(спр_Материалы!$I$2:$I$9000,MATCH($I306,спр_Материалы!$A$2:$A$9000,0))*IF(INDEX(спр_Материалы!$J$2:$J$9000,MATCH($I306,спр_Материалы!$A$2:$A$9000,0))="USD",КурсUSD,IF(INDEX(спр_Материалы!$J$2:$J$9000,MATCH($I306,спр_Материалы!$A$2:$A$9000,0))="EUR",КурсEUR,1))*INDEX(спр_Материалы!$K$2:$K$9000,MATCH($I306,спр_Материалы!$A$2:$A$9000,0))*(1+IFERROR(INDEX(спр_Работы!$I$2:$I$6000,MATCH($C306,спр_Работы!$A$2:$A$6000,0))/100,0))*(1-ДисконтТендер),0))</f>
        <v/>
      </c>
      <c r="N306" s="10">
        <f>IF(AND($R306="да",$H306&lt;&gt;""),ROUND($H306*$L306,2),0)</f>
        <v/>
      </c>
      <c r="O306" s="10">
        <f>IF(AND($R306="да",$H306&lt;&gt;""),ROUND($H306*$M306,2),0)</f>
        <v/>
      </c>
      <c r="P306" s="10">
        <f>$N306+$O306</f>
        <v/>
      </c>
      <c r="Q306">
        <f>IFERROR(INDEX(спр_Работы!$J$2:$J$6000,MATCH($C306,спр_Работы!$A$2:$A$6000,0)),"")</f>
        <v/>
      </c>
      <c r="R306" t="inlineStr">
        <is>
          <t>да</t>
        </is>
      </c>
      <c r="T306">
        <f>IF(AND($P306&gt;0,$R306="да"),MAX($T$1:$T305)+1,"")</f>
        <v/>
      </c>
    </row>
    <row r="307">
      <c r="A307">
        <f>IFERROR(INDEX(спр_Работы!$D$2:$D$6000,MATCH($C307,спр_Работы!$A$2:$A$6000,0)),"")</f>
        <v/>
      </c>
      <c r="B307">
        <f>IFERROR(INDEX(спр_Работы!$F$2:$F$6000,MATCH($C307,спр_Работы!$A$2:$A$6000,0)),"")</f>
        <v/>
      </c>
      <c r="C307">
        <f>IFERROR(INDEX(спр_Работы!$A$2:$A$6000,306),"")</f>
        <v/>
      </c>
      <c r="D307" s="8">
        <f>IFERROR(INDEX(спр_Работы!$B$2:$B$6000,MATCH($C307,спр_Работы!$A$2:$A$6000,0)),"")</f>
        <v/>
      </c>
      <c r="E307">
        <f>IFERROR(INDEX(спр_Работы!$C$2:$C$6000,MATCH($C307,спр_Работы!$A$2:$A$6000,0)),"")</f>
        <v/>
      </c>
      <c r="F307">
        <f>IFERROR(INDEX(спр_Работы!$G$2:$G$6000,MATCH($C307,спр_Работы!$A$2:$A$6000,0)),"")</f>
        <v/>
      </c>
      <c r="G307">
        <f>IFERROR(INDEX(спр_Работы!$K$2:$K$6000,MATCH($C307,спр_Работы!$A$2:$A$6000,0)),"")</f>
        <v/>
      </c>
      <c r="H307" s="9" t="n"/>
      <c r="I307" s="9" t="n"/>
      <c r="J307" s="8">
        <f>IFERROR(INDEX(спр_Материалы!$B$2:$B$9000,MATCH($I307,спр_Материалы!$A$2:$A$9000,0)),"")</f>
        <v/>
      </c>
      <c r="K307">
        <f>IF($I307="","",IF($F307=IFERROR(INDEX(спр_Материалы!$G$2:$G$9000,MATCH($I307,спр_Материалы!$A$2:$A$9000,0)),""),"OK","!! не та группа"))</f>
        <v/>
      </c>
      <c r="L307" s="10">
        <f>IFERROR(INDEX(спр_Работы!$H$2:$H$6000,MATCH($C307,спр_Работы!$A$2:$A$6000,0))*(1-ДисконтТендер),0)</f>
        <v/>
      </c>
      <c r="M307" s="10">
        <f>IF($I307="",0,IFERROR(INDEX(спр_Материалы!$I$2:$I$9000,MATCH($I307,спр_Материалы!$A$2:$A$9000,0))*IF(INDEX(спр_Материалы!$J$2:$J$9000,MATCH($I307,спр_Материалы!$A$2:$A$9000,0))="USD",КурсUSD,IF(INDEX(спр_Материалы!$J$2:$J$9000,MATCH($I307,спр_Материалы!$A$2:$A$9000,0))="EUR",КурсEUR,1))*INDEX(спр_Материалы!$K$2:$K$9000,MATCH($I307,спр_Материалы!$A$2:$A$9000,0))*(1+IFERROR(INDEX(спр_Работы!$I$2:$I$6000,MATCH($C307,спр_Работы!$A$2:$A$6000,0))/100,0))*(1-ДисконтТендер),0))</f>
        <v/>
      </c>
      <c r="N307" s="10">
        <f>IF(AND($R307="да",$H307&lt;&gt;""),ROUND($H307*$L307,2),0)</f>
        <v/>
      </c>
      <c r="O307" s="10">
        <f>IF(AND($R307="да",$H307&lt;&gt;""),ROUND($H307*$M307,2),0)</f>
        <v/>
      </c>
      <c r="P307" s="10">
        <f>$N307+$O307</f>
        <v/>
      </c>
      <c r="Q307">
        <f>IFERROR(INDEX(спр_Работы!$J$2:$J$6000,MATCH($C307,спр_Работы!$A$2:$A$6000,0)),"")</f>
        <v/>
      </c>
      <c r="R307" t="inlineStr">
        <is>
          <t>да</t>
        </is>
      </c>
      <c r="T307">
        <f>IF(AND($P307&gt;0,$R307="да"),MAX($T$1:$T306)+1,"")</f>
        <v/>
      </c>
    </row>
    <row r="308">
      <c r="A308">
        <f>IFERROR(INDEX(спр_Работы!$D$2:$D$6000,MATCH($C308,спр_Работы!$A$2:$A$6000,0)),"")</f>
        <v/>
      </c>
      <c r="B308">
        <f>IFERROR(INDEX(спр_Работы!$F$2:$F$6000,MATCH($C308,спр_Работы!$A$2:$A$6000,0)),"")</f>
        <v/>
      </c>
      <c r="C308">
        <f>IFERROR(INDEX(спр_Работы!$A$2:$A$6000,307),"")</f>
        <v/>
      </c>
      <c r="D308" s="8">
        <f>IFERROR(INDEX(спр_Работы!$B$2:$B$6000,MATCH($C308,спр_Работы!$A$2:$A$6000,0)),"")</f>
        <v/>
      </c>
      <c r="E308">
        <f>IFERROR(INDEX(спр_Работы!$C$2:$C$6000,MATCH($C308,спр_Работы!$A$2:$A$6000,0)),"")</f>
        <v/>
      </c>
      <c r="F308">
        <f>IFERROR(INDEX(спр_Работы!$G$2:$G$6000,MATCH($C308,спр_Работы!$A$2:$A$6000,0)),"")</f>
        <v/>
      </c>
      <c r="G308">
        <f>IFERROR(INDEX(спр_Работы!$K$2:$K$6000,MATCH($C308,спр_Работы!$A$2:$A$6000,0)),"")</f>
        <v/>
      </c>
      <c r="H308" s="9" t="n"/>
      <c r="I308" s="9" t="n"/>
      <c r="J308" s="8">
        <f>IFERROR(INDEX(спр_Материалы!$B$2:$B$9000,MATCH($I308,спр_Материалы!$A$2:$A$9000,0)),"")</f>
        <v/>
      </c>
      <c r="K308">
        <f>IF($I308="","",IF($F308=IFERROR(INDEX(спр_Материалы!$G$2:$G$9000,MATCH($I308,спр_Материалы!$A$2:$A$9000,0)),""),"OK","!! не та группа"))</f>
        <v/>
      </c>
      <c r="L308" s="10">
        <f>IFERROR(INDEX(спр_Работы!$H$2:$H$6000,MATCH($C308,спр_Работы!$A$2:$A$6000,0))*(1-ДисконтТендер),0)</f>
        <v/>
      </c>
      <c r="M308" s="10">
        <f>IF($I308="",0,IFERROR(INDEX(спр_Материалы!$I$2:$I$9000,MATCH($I308,спр_Материалы!$A$2:$A$9000,0))*IF(INDEX(спр_Материалы!$J$2:$J$9000,MATCH($I308,спр_Материалы!$A$2:$A$9000,0))="USD",КурсUSD,IF(INDEX(спр_Материалы!$J$2:$J$9000,MATCH($I308,спр_Материалы!$A$2:$A$9000,0))="EUR",КурсEUR,1))*INDEX(спр_Материалы!$K$2:$K$9000,MATCH($I308,спр_Материалы!$A$2:$A$9000,0))*(1+IFERROR(INDEX(спр_Работы!$I$2:$I$6000,MATCH($C308,спр_Работы!$A$2:$A$6000,0))/100,0))*(1-ДисконтТендер),0))</f>
        <v/>
      </c>
      <c r="N308" s="10">
        <f>IF(AND($R308="да",$H308&lt;&gt;""),ROUND($H308*$L308,2),0)</f>
        <v/>
      </c>
      <c r="O308" s="10">
        <f>IF(AND($R308="да",$H308&lt;&gt;""),ROUND($H308*$M308,2),0)</f>
        <v/>
      </c>
      <c r="P308" s="10">
        <f>$N308+$O308</f>
        <v/>
      </c>
      <c r="Q308">
        <f>IFERROR(INDEX(спр_Работы!$J$2:$J$6000,MATCH($C308,спр_Работы!$A$2:$A$6000,0)),"")</f>
        <v/>
      </c>
      <c r="R308" t="inlineStr">
        <is>
          <t>да</t>
        </is>
      </c>
      <c r="T308">
        <f>IF(AND($P308&gt;0,$R308="да"),MAX($T$1:$T307)+1,"")</f>
        <v/>
      </c>
    </row>
    <row r="309">
      <c r="A309">
        <f>IFERROR(INDEX(спр_Работы!$D$2:$D$6000,MATCH($C309,спр_Работы!$A$2:$A$6000,0)),"")</f>
        <v/>
      </c>
      <c r="B309">
        <f>IFERROR(INDEX(спр_Работы!$F$2:$F$6000,MATCH($C309,спр_Работы!$A$2:$A$6000,0)),"")</f>
        <v/>
      </c>
      <c r="C309">
        <f>IFERROR(INDEX(спр_Работы!$A$2:$A$6000,308),"")</f>
        <v/>
      </c>
      <c r="D309" s="8">
        <f>IFERROR(INDEX(спр_Работы!$B$2:$B$6000,MATCH($C309,спр_Работы!$A$2:$A$6000,0)),"")</f>
        <v/>
      </c>
      <c r="E309">
        <f>IFERROR(INDEX(спр_Работы!$C$2:$C$6000,MATCH($C309,спр_Работы!$A$2:$A$6000,0)),"")</f>
        <v/>
      </c>
      <c r="F309">
        <f>IFERROR(INDEX(спр_Работы!$G$2:$G$6000,MATCH($C309,спр_Работы!$A$2:$A$6000,0)),"")</f>
        <v/>
      </c>
      <c r="G309">
        <f>IFERROR(INDEX(спр_Работы!$K$2:$K$6000,MATCH($C309,спр_Работы!$A$2:$A$6000,0)),"")</f>
        <v/>
      </c>
      <c r="H309" s="9" t="n"/>
      <c r="I309" s="9" t="n"/>
      <c r="J309" s="8">
        <f>IFERROR(INDEX(спр_Материалы!$B$2:$B$9000,MATCH($I309,спр_Материалы!$A$2:$A$9000,0)),"")</f>
        <v/>
      </c>
      <c r="K309">
        <f>IF($I309="","",IF($F309=IFERROR(INDEX(спр_Материалы!$G$2:$G$9000,MATCH($I309,спр_Материалы!$A$2:$A$9000,0)),""),"OK","!! не та группа"))</f>
        <v/>
      </c>
      <c r="L309" s="10">
        <f>IFERROR(INDEX(спр_Работы!$H$2:$H$6000,MATCH($C309,спр_Работы!$A$2:$A$6000,0))*(1-ДисконтТендер),0)</f>
        <v/>
      </c>
      <c r="M309" s="10">
        <f>IF($I309="",0,IFERROR(INDEX(спр_Материалы!$I$2:$I$9000,MATCH($I309,спр_Материалы!$A$2:$A$9000,0))*IF(INDEX(спр_Материалы!$J$2:$J$9000,MATCH($I309,спр_Материалы!$A$2:$A$9000,0))="USD",КурсUSD,IF(INDEX(спр_Материалы!$J$2:$J$9000,MATCH($I309,спр_Материалы!$A$2:$A$9000,0))="EUR",КурсEUR,1))*INDEX(спр_Материалы!$K$2:$K$9000,MATCH($I309,спр_Материалы!$A$2:$A$9000,0))*(1+IFERROR(INDEX(спр_Работы!$I$2:$I$6000,MATCH($C309,спр_Работы!$A$2:$A$6000,0))/100,0))*(1-ДисконтТендер),0))</f>
        <v/>
      </c>
      <c r="N309" s="10">
        <f>IF(AND($R309="да",$H309&lt;&gt;""),ROUND($H309*$L309,2),0)</f>
        <v/>
      </c>
      <c r="O309" s="10">
        <f>IF(AND($R309="да",$H309&lt;&gt;""),ROUND($H309*$M309,2),0)</f>
        <v/>
      </c>
      <c r="P309" s="10">
        <f>$N309+$O309</f>
        <v/>
      </c>
      <c r="Q309">
        <f>IFERROR(INDEX(спр_Работы!$J$2:$J$6000,MATCH($C309,спр_Работы!$A$2:$A$6000,0)),"")</f>
        <v/>
      </c>
      <c r="R309" t="inlineStr">
        <is>
          <t>да</t>
        </is>
      </c>
      <c r="T309">
        <f>IF(AND($P309&gt;0,$R309="да"),MAX($T$1:$T308)+1,"")</f>
        <v/>
      </c>
    </row>
    <row r="310">
      <c r="A310">
        <f>IFERROR(INDEX(спр_Работы!$D$2:$D$6000,MATCH($C310,спр_Работы!$A$2:$A$6000,0)),"")</f>
        <v/>
      </c>
      <c r="B310">
        <f>IFERROR(INDEX(спр_Работы!$F$2:$F$6000,MATCH($C310,спр_Работы!$A$2:$A$6000,0)),"")</f>
        <v/>
      </c>
      <c r="C310">
        <f>IFERROR(INDEX(спр_Работы!$A$2:$A$6000,309),"")</f>
        <v/>
      </c>
      <c r="D310" s="8">
        <f>IFERROR(INDEX(спр_Работы!$B$2:$B$6000,MATCH($C310,спр_Работы!$A$2:$A$6000,0)),"")</f>
        <v/>
      </c>
      <c r="E310">
        <f>IFERROR(INDEX(спр_Работы!$C$2:$C$6000,MATCH($C310,спр_Работы!$A$2:$A$6000,0)),"")</f>
        <v/>
      </c>
      <c r="F310">
        <f>IFERROR(INDEX(спр_Работы!$G$2:$G$6000,MATCH($C310,спр_Работы!$A$2:$A$6000,0)),"")</f>
        <v/>
      </c>
      <c r="G310">
        <f>IFERROR(INDEX(спр_Работы!$K$2:$K$6000,MATCH($C310,спр_Работы!$A$2:$A$6000,0)),"")</f>
        <v/>
      </c>
      <c r="H310" s="9" t="n"/>
      <c r="I310" s="9" t="n"/>
      <c r="J310" s="8">
        <f>IFERROR(INDEX(спр_Материалы!$B$2:$B$9000,MATCH($I310,спр_Материалы!$A$2:$A$9000,0)),"")</f>
        <v/>
      </c>
      <c r="K310">
        <f>IF($I310="","",IF($F310=IFERROR(INDEX(спр_Материалы!$G$2:$G$9000,MATCH($I310,спр_Материалы!$A$2:$A$9000,0)),""),"OK","!! не та группа"))</f>
        <v/>
      </c>
      <c r="L310" s="10">
        <f>IFERROR(INDEX(спр_Работы!$H$2:$H$6000,MATCH($C310,спр_Работы!$A$2:$A$6000,0))*(1-ДисконтТендер),0)</f>
        <v/>
      </c>
      <c r="M310" s="10">
        <f>IF($I310="",0,IFERROR(INDEX(спр_Материалы!$I$2:$I$9000,MATCH($I310,спр_Материалы!$A$2:$A$9000,0))*IF(INDEX(спр_Материалы!$J$2:$J$9000,MATCH($I310,спр_Материалы!$A$2:$A$9000,0))="USD",КурсUSD,IF(INDEX(спр_Материалы!$J$2:$J$9000,MATCH($I310,спр_Материалы!$A$2:$A$9000,0))="EUR",КурсEUR,1))*INDEX(спр_Материалы!$K$2:$K$9000,MATCH($I310,спр_Материалы!$A$2:$A$9000,0))*(1+IFERROR(INDEX(спр_Работы!$I$2:$I$6000,MATCH($C310,спр_Работы!$A$2:$A$6000,0))/100,0))*(1-ДисконтТендер),0))</f>
        <v/>
      </c>
      <c r="N310" s="10">
        <f>IF(AND($R310="да",$H310&lt;&gt;""),ROUND($H310*$L310,2),0)</f>
        <v/>
      </c>
      <c r="O310" s="10">
        <f>IF(AND($R310="да",$H310&lt;&gt;""),ROUND($H310*$M310,2),0)</f>
        <v/>
      </c>
      <c r="P310" s="10">
        <f>$N310+$O310</f>
        <v/>
      </c>
      <c r="Q310">
        <f>IFERROR(INDEX(спр_Работы!$J$2:$J$6000,MATCH($C310,спр_Работы!$A$2:$A$6000,0)),"")</f>
        <v/>
      </c>
      <c r="R310" t="inlineStr">
        <is>
          <t>да</t>
        </is>
      </c>
      <c r="T310">
        <f>IF(AND($P310&gt;0,$R310="да"),MAX($T$1:$T309)+1,"")</f>
        <v/>
      </c>
    </row>
    <row r="311">
      <c r="A311">
        <f>IFERROR(INDEX(спр_Работы!$D$2:$D$6000,MATCH($C311,спр_Работы!$A$2:$A$6000,0)),"")</f>
        <v/>
      </c>
      <c r="B311">
        <f>IFERROR(INDEX(спр_Работы!$F$2:$F$6000,MATCH($C311,спр_Работы!$A$2:$A$6000,0)),"")</f>
        <v/>
      </c>
      <c r="C311">
        <f>IFERROR(INDEX(спр_Работы!$A$2:$A$6000,310),"")</f>
        <v/>
      </c>
      <c r="D311" s="8">
        <f>IFERROR(INDEX(спр_Работы!$B$2:$B$6000,MATCH($C311,спр_Работы!$A$2:$A$6000,0)),"")</f>
        <v/>
      </c>
      <c r="E311">
        <f>IFERROR(INDEX(спр_Работы!$C$2:$C$6000,MATCH($C311,спр_Работы!$A$2:$A$6000,0)),"")</f>
        <v/>
      </c>
      <c r="F311">
        <f>IFERROR(INDEX(спр_Работы!$G$2:$G$6000,MATCH($C311,спр_Работы!$A$2:$A$6000,0)),"")</f>
        <v/>
      </c>
      <c r="G311">
        <f>IFERROR(INDEX(спр_Работы!$K$2:$K$6000,MATCH($C311,спр_Работы!$A$2:$A$6000,0)),"")</f>
        <v/>
      </c>
      <c r="H311" s="9" t="n"/>
      <c r="I311" s="9" t="n"/>
      <c r="J311" s="8">
        <f>IFERROR(INDEX(спр_Материалы!$B$2:$B$9000,MATCH($I311,спр_Материалы!$A$2:$A$9000,0)),"")</f>
        <v/>
      </c>
      <c r="K311">
        <f>IF($I311="","",IF($F311=IFERROR(INDEX(спр_Материалы!$G$2:$G$9000,MATCH($I311,спр_Материалы!$A$2:$A$9000,0)),""),"OK","!! не та группа"))</f>
        <v/>
      </c>
      <c r="L311" s="10">
        <f>IFERROR(INDEX(спр_Работы!$H$2:$H$6000,MATCH($C311,спр_Работы!$A$2:$A$6000,0))*(1-ДисконтТендер),0)</f>
        <v/>
      </c>
      <c r="M311" s="10">
        <f>IF($I311="",0,IFERROR(INDEX(спр_Материалы!$I$2:$I$9000,MATCH($I311,спр_Материалы!$A$2:$A$9000,0))*IF(INDEX(спр_Материалы!$J$2:$J$9000,MATCH($I311,спр_Материалы!$A$2:$A$9000,0))="USD",КурсUSD,IF(INDEX(спр_Материалы!$J$2:$J$9000,MATCH($I311,спр_Материалы!$A$2:$A$9000,0))="EUR",КурсEUR,1))*INDEX(спр_Материалы!$K$2:$K$9000,MATCH($I311,спр_Материалы!$A$2:$A$9000,0))*(1+IFERROR(INDEX(спр_Работы!$I$2:$I$6000,MATCH($C311,спр_Работы!$A$2:$A$6000,0))/100,0))*(1-ДисконтТендер),0))</f>
        <v/>
      </c>
      <c r="N311" s="10">
        <f>IF(AND($R311="да",$H311&lt;&gt;""),ROUND($H311*$L311,2),0)</f>
        <v/>
      </c>
      <c r="O311" s="10">
        <f>IF(AND($R311="да",$H311&lt;&gt;""),ROUND($H311*$M311,2),0)</f>
        <v/>
      </c>
      <c r="P311" s="10">
        <f>$N311+$O311</f>
        <v/>
      </c>
      <c r="Q311">
        <f>IFERROR(INDEX(спр_Работы!$J$2:$J$6000,MATCH($C311,спр_Работы!$A$2:$A$6000,0)),"")</f>
        <v/>
      </c>
      <c r="R311" t="inlineStr">
        <is>
          <t>да</t>
        </is>
      </c>
      <c r="T311">
        <f>IF(AND($P311&gt;0,$R311="да"),MAX($T$1:$T310)+1,"")</f>
        <v/>
      </c>
    </row>
    <row r="312">
      <c r="A312">
        <f>IFERROR(INDEX(спр_Работы!$D$2:$D$6000,MATCH($C312,спр_Работы!$A$2:$A$6000,0)),"")</f>
        <v/>
      </c>
      <c r="B312">
        <f>IFERROR(INDEX(спр_Работы!$F$2:$F$6000,MATCH($C312,спр_Работы!$A$2:$A$6000,0)),"")</f>
        <v/>
      </c>
      <c r="C312">
        <f>IFERROR(INDEX(спр_Работы!$A$2:$A$6000,311),"")</f>
        <v/>
      </c>
      <c r="D312" s="8">
        <f>IFERROR(INDEX(спр_Работы!$B$2:$B$6000,MATCH($C312,спр_Работы!$A$2:$A$6000,0)),"")</f>
        <v/>
      </c>
      <c r="E312">
        <f>IFERROR(INDEX(спр_Работы!$C$2:$C$6000,MATCH($C312,спр_Работы!$A$2:$A$6000,0)),"")</f>
        <v/>
      </c>
      <c r="F312">
        <f>IFERROR(INDEX(спр_Работы!$G$2:$G$6000,MATCH($C312,спр_Работы!$A$2:$A$6000,0)),"")</f>
        <v/>
      </c>
      <c r="G312">
        <f>IFERROR(INDEX(спр_Работы!$K$2:$K$6000,MATCH($C312,спр_Работы!$A$2:$A$6000,0)),"")</f>
        <v/>
      </c>
      <c r="H312" s="9" t="n"/>
      <c r="I312" s="9" t="n"/>
      <c r="J312" s="8">
        <f>IFERROR(INDEX(спр_Материалы!$B$2:$B$9000,MATCH($I312,спр_Материалы!$A$2:$A$9000,0)),"")</f>
        <v/>
      </c>
      <c r="K312">
        <f>IF($I312="","",IF($F312=IFERROR(INDEX(спр_Материалы!$G$2:$G$9000,MATCH($I312,спр_Материалы!$A$2:$A$9000,0)),""),"OK","!! не та группа"))</f>
        <v/>
      </c>
      <c r="L312" s="10">
        <f>IFERROR(INDEX(спр_Работы!$H$2:$H$6000,MATCH($C312,спр_Работы!$A$2:$A$6000,0))*(1-ДисконтТендер),0)</f>
        <v/>
      </c>
      <c r="M312" s="10">
        <f>IF($I312="",0,IFERROR(INDEX(спр_Материалы!$I$2:$I$9000,MATCH($I312,спр_Материалы!$A$2:$A$9000,0))*IF(INDEX(спр_Материалы!$J$2:$J$9000,MATCH($I312,спр_Материалы!$A$2:$A$9000,0))="USD",КурсUSD,IF(INDEX(спр_Материалы!$J$2:$J$9000,MATCH($I312,спр_Материалы!$A$2:$A$9000,0))="EUR",КурсEUR,1))*INDEX(спр_Материалы!$K$2:$K$9000,MATCH($I312,спр_Материалы!$A$2:$A$9000,0))*(1+IFERROR(INDEX(спр_Работы!$I$2:$I$6000,MATCH($C312,спр_Работы!$A$2:$A$6000,0))/100,0))*(1-ДисконтТендер),0))</f>
        <v/>
      </c>
      <c r="N312" s="10">
        <f>IF(AND($R312="да",$H312&lt;&gt;""),ROUND($H312*$L312,2),0)</f>
        <v/>
      </c>
      <c r="O312" s="10">
        <f>IF(AND($R312="да",$H312&lt;&gt;""),ROUND($H312*$M312,2),0)</f>
        <v/>
      </c>
      <c r="P312" s="10">
        <f>$N312+$O312</f>
        <v/>
      </c>
      <c r="Q312">
        <f>IFERROR(INDEX(спр_Работы!$J$2:$J$6000,MATCH($C312,спр_Работы!$A$2:$A$6000,0)),"")</f>
        <v/>
      </c>
      <c r="R312" t="inlineStr">
        <is>
          <t>да</t>
        </is>
      </c>
      <c r="T312">
        <f>IF(AND($P312&gt;0,$R312="да"),MAX($T$1:$T311)+1,"")</f>
        <v/>
      </c>
    </row>
    <row r="313">
      <c r="A313">
        <f>IFERROR(INDEX(спр_Работы!$D$2:$D$6000,MATCH($C313,спр_Работы!$A$2:$A$6000,0)),"")</f>
        <v/>
      </c>
      <c r="B313">
        <f>IFERROR(INDEX(спр_Работы!$F$2:$F$6000,MATCH($C313,спр_Работы!$A$2:$A$6000,0)),"")</f>
        <v/>
      </c>
      <c r="C313">
        <f>IFERROR(INDEX(спр_Работы!$A$2:$A$6000,312),"")</f>
        <v/>
      </c>
      <c r="D313" s="8">
        <f>IFERROR(INDEX(спр_Работы!$B$2:$B$6000,MATCH($C313,спр_Работы!$A$2:$A$6000,0)),"")</f>
        <v/>
      </c>
      <c r="E313">
        <f>IFERROR(INDEX(спр_Работы!$C$2:$C$6000,MATCH($C313,спр_Работы!$A$2:$A$6000,0)),"")</f>
        <v/>
      </c>
      <c r="F313">
        <f>IFERROR(INDEX(спр_Работы!$G$2:$G$6000,MATCH($C313,спр_Работы!$A$2:$A$6000,0)),"")</f>
        <v/>
      </c>
      <c r="G313">
        <f>IFERROR(INDEX(спр_Работы!$K$2:$K$6000,MATCH($C313,спр_Работы!$A$2:$A$6000,0)),"")</f>
        <v/>
      </c>
      <c r="H313" s="9" t="n"/>
      <c r="I313" s="9" t="n"/>
      <c r="J313" s="8">
        <f>IFERROR(INDEX(спр_Материалы!$B$2:$B$9000,MATCH($I313,спр_Материалы!$A$2:$A$9000,0)),"")</f>
        <v/>
      </c>
      <c r="K313">
        <f>IF($I313="","",IF($F313=IFERROR(INDEX(спр_Материалы!$G$2:$G$9000,MATCH($I313,спр_Материалы!$A$2:$A$9000,0)),""),"OK","!! не та группа"))</f>
        <v/>
      </c>
      <c r="L313" s="10">
        <f>IFERROR(INDEX(спр_Работы!$H$2:$H$6000,MATCH($C313,спр_Работы!$A$2:$A$6000,0))*(1-ДисконтТендер),0)</f>
        <v/>
      </c>
      <c r="M313" s="10">
        <f>IF($I313="",0,IFERROR(INDEX(спр_Материалы!$I$2:$I$9000,MATCH($I313,спр_Материалы!$A$2:$A$9000,0))*IF(INDEX(спр_Материалы!$J$2:$J$9000,MATCH($I313,спр_Материалы!$A$2:$A$9000,0))="USD",КурсUSD,IF(INDEX(спр_Материалы!$J$2:$J$9000,MATCH($I313,спр_Материалы!$A$2:$A$9000,0))="EUR",КурсEUR,1))*INDEX(спр_Материалы!$K$2:$K$9000,MATCH($I313,спр_Материалы!$A$2:$A$9000,0))*(1+IFERROR(INDEX(спр_Работы!$I$2:$I$6000,MATCH($C313,спр_Работы!$A$2:$A$6000,0))/100,0))*(1-ДисконтТендер),0))</f>
        <v/>
      </c>
      <c r="N313" s="10">
        <f>IF(AND($R313="да",$H313&lt;&gt;""),ROUND($H313*$L313,2),0)</f>
        <v/>
      </c>
      <c r="O313" s="10">
        <f>IF(AND($R313="да",$H313&lt;&gt;""),ROUND($H313*$M313,2),0)</f>
        <v/>
      </c>
      <c r="P313" s="10">
        <f>$N313+$O313</f>
        <v/>
      </c>
      <c r="Q313">
        <f>IFERROR(INDEX(спр_Работы!$J$2:$J$6000,MATCH($C313,спр_Работы!$A$2:$A$6000,0)),"")</f>
        <v/>
      </c>
      <c r="R313" t="inlineStr">
        <is>
          <t>да</t>
        </is>
      </c>
      <c r="T313">
        <f>IF(AND($P313&gt;0,$R313="да"),MAX($T$1:$T312)+1,"")</f>
        <v/>
      </c>
    </row>
    <row r="314">
      <c r="A314">
        <f>IFERROR(INDEX(спр_Работы!$D$2:$D$6000,MATCH($C314,спр_Работы!$A$2:$A$6000,0)),"")</f>
        <v/>
      </c>
      <c r="B314">
        <f>IFERROR(INDEX(спр_Работы!$F$2:$F$6000,MATCH($C314,спр_Работы!$A$2:$A$6000,0)),"")</f>
        <v/>
      </c>
      <c r="C314">
        <f>IFERROR(INDEX(спр_Работы!$A$2:$A$6000,313),"")</f>
        <v/>
      </c>
      <c r="D314" s="8">
        <f>IFERROR(INDEX(спр_Работы!$B$2:$B$6000,MATCH($C314,спр_Работы!$A$2:$A$6000,0)),"")</f>
        <v/>
      </c>
      <c r="E314">
        <f>IFERROR(INDEX(спр_Работы!$C$2:$C$6000,MATCH($C314,спр_Работы!$A$2:$A$6000,0)),"")</f>
        <v/>
      </c>
      <c r="F314">
        <f>IFERROR(INDEX(спр_Работы!$G$2:$G$6000,MATCH($C314,спр_Работы!$A$2:$A$6000,0)),"")</f>
        <v/>
      </c>
      <c r="G314">
        <f>IFERROR(INDEX(спр_Работы!$K$2:$K$6000,MATCH($C314,спр_Работы!$A$2:$A$6000,0)),"")</f>
        <v/>
      </c>
      <c r="H314" s="9" t="n"/>
      <c r="I314" s="9" t="n"/>
      <c r="J314" s="8">
        <f>IFERROR(INDEX(спр_Материалы!$B$2:$B$9000,MATCH($I314,спр_Материалы!$A$2:$A$9000,0)),"")</f>
        <v/>
      </c>
      <c r="K314">
        <f>IF($I314="","",IF($F314=IFERROR(INDEX(спр_Материалы!$G$2:$G$9000,MATCH($I314,спр_Материалы!$A$2:$A$9000,0)),""),"OK","!! не та группа"))</f>
        <v/>
      </c>
      <c r="L314" s="10">
        <f>IFERROR(INDEX(спр_Работы!$H$2:$H$6000,MATCH($C314,спр_Работы!$A$2:$A$6000,0))*(1-ДисконтТендер),0)</f>
        <v/>
      </c>
      <c r="M314" s="10">
        <f>IF($I314="",0,IFERROR(INDEX(спр_Материалы!$I$2:$I$9000,MATCH($I314,спр_Материалы!$A$2:$A$9000,0))*IF(INDEX(спр_Материалы!$J$2:$J$9000,MATCH($I314,спр_Материалы!$A$2:$A$9000,0))="USD",КурсUSD,IF(INDEX(спр_Материалы!$J$2:$J$9000,MATCH($I314,спр_Материалы!$A$2:$A$9000,0))="EUR",КурсEUR,1))*INDEX(спр_Материалы!$K$2:$K$9000,MATCH($I314,спр_Материалы!$A$2:$A$9000,0))*(1+IFERROR(INDEX(спр_Работы!$I$2:$I$6000,MATCH($C314,спр_Работы!$A$2:$A$6000,0))/100,0))*(1-ДисконтТендер),0))</f>
        <v/>
      </c>
      <c r="N314" s="10">
        <f>IF(AND($R314="да",$H314&lt;&gt;""),ROUND($H314*$L314,2),0)</f>
        <v/>
      </c>
      <c r="O314" s="10">
        <f>IF(AND($R314="да",$H314&lt;&gt;""),ROUND($H314*$M314,2),0)</f>
        <v/>
      </c>
      <c r="P314" s="10">
        <f>$N314+$O314</f>
        <v/>
      </c>
      <c r="Q314">
        <f>IFERROR(INDEX(спр_Работы!$J$2:$J$6000,MATCH($C314,спр_Работы!$A$2:$A$6000,0)),"")</f>
        <v/>
      </c>
      <c r="R314" t="inlineStr">
        <is>
          <t>да</t>
        </is>
      </c>
      <c r="T314">
        <f>IF(AND($P314&gt;0,$R314="да"),MAX($T$1:$T313)+1,"")</f>
        <v/>
      </c>
    </row>
    <row r="315">
      <c r="A315">
        <f>IFERROR(INDEX(спр_Работы!$D$2:$D$6000,MATCH($C315,спр_Работы!$A$2:$A$6000,0)),"")</f>
        <v/>
      </c>
      <c r="B315">
        <f>IFERROR(INDEX(спр_Работы!$F$2:$F$6000,MATCH($C315,спр_Работы!$A$2:$A$6000,0)),"")</f>
        <v/>
      </c>
      <c r="C315">
        <f>IFERROR(INDEX(спр_Работы!$A$2:$A$6000,314),"")</f>
        <v/>
      </c>
      <c r="D315" s="8">
        <f>IFERROR(INDEX(спр_Работы!$B$2:$B$6000,MATCH($C315,спр_Работы!$A$2:$A$6000,0)),"")</f>
        <v/>
      </c>
      <c r="E315">
        <f>IFERROR(INDEX(спр_Работы!$C$2:$C$6000,MATCH($C315,спр_Работы!$A$2:$A$6000,0)),"")</f>
        <v/>
      </c>
      <c r="F315">
        <f>IFERROR(INDEX(спр_Работы!$G$2:$G$6000,MATCH($C315,спр_Работы!$A$2:$A$6000,0)),"")</f>
        <v/>
      </c>
      <c r="G315">
        <f>IFERROR(INDEX(спр_Работы!$K$2:$K$6000,MATCH($C315,спр_Работы!$A$2:$A$6000,0)),"")</f>
        <v/>
      </c>
      <c r="H315" s="9" t="n"/>
      <c r="I315" s="9" t="n"/>
      <c r="J315" s="8">
        <f>IFERROR(INDEX(спр_Материалы!$B$2:$B$9000,MATCH($I315,спр_Материалы!$A$2:$A$9000,0)),"")</f>
        <v/>
      </c>
      <c r="K315">
        <f>IF($I315="","",IF($F315=IFERROR(INDEX(спр_Материалы!$G$2:$G$9000,MATCH($I315,спр_Материалы!$A$2:$A$9000,0)),""),"OK","!! не та группа"))</f>
        <v/>
      </c>
      <c r="L315" s="10">
        <f>IFERROR(INDEX(спр_Работы!$H$2:$H$6000,MATCH($C315,спр_Работы!$A$2:$A$6000,0))*(1-ДисконтТендер),0)</f>
        <v/>
      </c>
      <c r="M315" s="10">
        <f>IF($I315="",0,IFERROR(INDEX(спр_Материалы!$I$2:$I$9000,MATCH($I315,спр_Материалы!$A$2:$A$9000,0))*IF(INDEX(спр_Материалы!$J$2:$J$9000,MATCH($I315,спр_Материалы!$A$2:$A$9000,0))="USD",КурсUSD,IF(INDEX(спр_Материалы!$J$2:$J$9000,MATCH($I315,спр_Материалы!$A$2:$A$9000,0))="EUR",КурсEUR,1))*INDEX(спр_Материалы!$K$2:$K$9000,MATCH($I315,спр_Материалы!$A$2:$A$9000,0))*(1+IFERROR(INDEX(спр_Работы!$I$2:$I$6000,MATCH($C315,спр_Работы!$A$2:$A$6000,0))/100,0))*(1-ДисконтТендер),0))</f>
        <v/>
      </c>
      <c r="N315" s="10">
        <f>IF(AND($R315="да",$H315&lt;&gt;""),ROUND($H315*$L315,2),0)</f>
        <v/>
      </c>
      <c r="O315" s="10">
        <f>IF(AND($R315="да",$H315&lt;&gt;""),ROUND($H315*$M315,2),0)</f>
        <v/>
      </c>
      <c r="P315" s="10">
        <f>$N315+$O315</f>
        <v/>
      </c>
      <c r="Q315">
        <f>IFERROR(INDEX(спр_Работы!$J$2:$J$6000,MATCH($C315,спр_Работы!$A$2:$A$6000,0)),"")</f>
        <v/>
      </c>
      <c r="R315" t="inlineStr">
        <is>
          <t>да</t>
        </is>
      </c>
      <c r="T315">
        <f>IF(AND($P315&gt;0,$R315="да"),MAX($T$1:$T314)+1,"")</f>
        <v/>
      </c>
    </row>
    <row r="316">
      <c r="A316">
        <f>IFERROR(INDEX(спр_Работы!$D$2:$D$6000,MATCH($C316,спр_Работы!$A$2:$A$6000,0)),"")</f>
        <v/>
      </c>
      <c r="B316">
        <f>IFERROR(INDEX(спр_Работы!$F$2:$F$6000,MATCH($C316,спр_Работы!$A$2:$A$6000,0)),"")</f>
        <v/>
      </c>
      <c r="C316">
        <f>IFERROR(INDEX(спр_Работы!$A$2:$A$6000,315),"")</f>
        <v/>
      </c>
      <c r="D316" s="8">
        <f>IFERROR(INDEX(спр_Работы!$B$2:$B$6000,MATCH($C316,спр_Работы!$A$2:$A$6000,0)),"")</f>
        <v/>
      </c>
      <c r="E316">
        <f>IFERROR(INDEX(спр_Работы!$C$2:$C$6000,MATCH($C316,спр_Работы!$A$2:$A$6000,0)),"")</f>
        <v/>
      </c>
      <c r="F316">
        <f>IFERROR(INDEX(спр_Работы!$G$2:$G$6000,MATCH($C316,спр_Работы!$A$2:$A$6000,0)),"")</f>
        <v/>
      </c>
      <c r="G316">
        <f>IFERROR(INDEX(спр_Работы!$K$2:$K$6000,MATCH($C316,спр_Работы!$A$2:$A$6000,0)),"")</f>
        <v/>
      </c>
      <c r="H316" s="9" t="n"/>
      <c r="I316" s="9" t="n"/>
      <c r="J316" s="8">
        <f>IFERROR(INDEX(спр_Материалы!$B$2:$B$9000,MATCH($I316,спр_Материалы!$A$2:$A$9000,0)),"")</f>
        <v/>
      </c>
      <c r="K316">
        <f>IF($I316="","",IF($F316=IFERROR(INDEX(спр_Материалы!$G$2:$G$9000,MATCH($I316,спр_Материалы!$A$2:$A$9000,0)),""),"OK","!! не та группа"))</f>
        <v/>
      </c>
      <c r="L316" s="10">
        <f>IFERROR(INDEX(спр_Работы!$H$2:$H$6000,MATCH($C316,спр_Работы!$A$2:$A$6000,0))*(1-ДисконтТендер),0)</f>
        <v/>
      </c>
      <c r="M316" s="10">
        <f>IF($I316="",0,IFERROR(INDEX(спр_Материалы!$I$2:$I$9000,MATCH($I316,спр_Материалы!$A$2:$A$9000,0))*IF(INDEX(спр_Материалы!$J$2:$J$9000,MATCH($I316,спр_Материалы!$A$2:$A$9000,0))="USD",КурсUSD,IF(INDEX(спр_Материалы!$J$2:$J$9000,MATCH($I316,спр_Материалы!$A$2:$A$9000,0))="EUR",КурсEUR,1))*INDEX(спр_Материалы!$K$2:$K$9000,MATCH($I316,спр_Материалы!$A$2:$A$9000,0))*(1+IFERROR(INDEX(спр_Работы!$I$2:$I$6000,MATCH($C316,спр_Работы!$A$2:$A$6000,0))/100,0))*(1-ДисконтТендер),0))</f>
        <v/>
      </c>
      <c r="N316" s="10">
        <f>IF(AND($R316="да",$H316&lt;&gt;""),ROUND($H316*$L316,2),0)</f>
        <v/>
      </c>
      <c r="O316" s="10">
        <f>IF(AND($R316="да",$H316&lt;&gt;""),ROUND($H316*$M316,2),0)</f>
        <v/>
      </c>
      <c r="P316" s="10">
        <f>$N316+$O316</f>
        <v/>
      </c>
      <c r="Q316">
        <f>IFERROR(INDEX(спр_Работы!$J$2:$J$6000,MATCH($C316,спр_Работы!$A$2:$A$6000,0)),"")</f>
        <v/>
      </c>
      <c r="R316" t="inlineStr">
        <is>
          <t>да</t>
        </is>
      </c>
      <c r="T316">
        <f>IF(AND($P316&gt;0,$R316="да"),MAX($T$1:$T315)+1,"")</f>
        <v/>
      </c>
    </row>
    <row r="317">
      <c r="A317">
        <f>IFERROR(INDEX(спр_Работы!$D$2:$D$6000,MATCH($C317,спр_Работы!$A$2:$A$6000,0)),"")</f>
        <v/>
      </c>
      <c r="B317">
        <f>IFERROR(INDEX(спр_Работы!$F$2:$F$6000,MATCH($C317,спр_Работы!$A$2:$A$6000,0)),"")</f>
        <v/>
      </c>
      <c r="C317">
        <f>IFERROR(INDEX(спр_Работы!$A$2:$A$6000,316),"")</f>
        <v/>
      </c>
      <c r="D317" s="8">
        <f>IFERROR(INDEX(спр_Работы!$B$2:$B$6000,MATCH($C317,спр_Работы!$A$2:$A$6000,0)),"")</f>
        <v/>
      </c>
      <c r="E317">
        <f>IFERROR(INDEX(спр_Работы!$C$2:$C$6000,MATCH($C317,спр_Работы!$A$2:$A$6000,0)),"")</f>
        <v/>
      </c>
      <c r="F317">
        <f>IFERROR(INDEX(спр_Работы!$G$2:$G$6000,MATCH($C317,спр_Работы!$A$2:$A$6000,0)),"")</f>
        <v/>
      </c>
      <c r="G317">
        <f>IFERROR(INDEX(спр_Работы!$K$2:$K$6000,MATCH($C317,спр_Работы!$A$2:$A$6000,0)),"")</f>
        <v/>
      </c>
      <c r="H317" s="9" t="n"/>
      <c r="I317" s="9" t="n"/>
      <c r="J317" s="8">
        <f>IFERROR(INDEX(спр_Материалы!$B$2:$B$9000,MATCH($I317,спр_Материалы!$A$2:$A$9000,0)),"")</f>
        <v/>
      </c>
      <c r="K317">
        <f>IF($I317="","",IF($F317=IFERROR(INDEX(спр_Материалы!$G$2:$G$9000,MATCH($I317,спр_Материалы!$A$2:$A$9000,0)),""),"OK","!! не та группа"))</f>
        <v/>
      </c>
      <c r="L317" s="10">
        <f>IFERROR(INDEX(спр_Работы!$H$2:$H$6000,MATCH($C317,спр_Работы!$A$2:$A$6000,0))*(1-ДисконтТендер),0)</f>
        <v/>
      </c>
      <c r="M317" s="10">
        <f>IF($I317="",0,IFERROR(INDEX(спр_Материалы!$I$2:$I$9000,MATCH($I317,спр_Материалы!$A$2:$A$9000,0))*IF(INDEX(спр_Материалы!$J$2:$J$9000,MATCH($I317,спр_Материалы!$A$2:$A$9000,0))="USD",КурсUSD,IF(INDEX(спр_Материалы!$J$2:$J$9000,MATCH($I317,спр_Материалы!$A$2:$A$9000,0))="EUR",КурсEUR,1))*INDEX(спр_Материалы!$K$2:$K$9000,MATCH($I317,спр_Материалы!$A$2:$A$9000,0))*(1+IFERROR(INDEX(спр_Работы!$I$2:$I$6000,MATCH($C317,спр_Работы!$A$2:$A$6000,0))/100,0))*(1-ДисконтТендер),0))</f>
        <v/>
      </c>
      <c r="N317" s="10">
        <f>IF(AND($R317="да",$H317&lt;&gt;""),ROUND($H317*$L317,2),0)</f>
        <v/>
      </c>
      <c r="O317" s="10">
        <f>IF(AND($R317="да",$H317&lt;&gt;""),ROUND($H317*$M317,2),0)</f>
        <v/>
      </c>
      <c r="P317" s="10">
        <f>$N317+$O317</f>
        <v/>
      </c>
      <c r="Q317">
        <f>IFERROR(INDEX(спр_Работы!$J$2:$J$6000,MATCH($C317,спр_Работы!$A$2:$A$6000,0)),"")</f>
        <v/>
      </c>
      <c r="R317" t="inlineStr">
        <is>
          <t>да</t>
        </is>
      </c>
      <c r="T317">
        <f>IF(AND($P317&gt;0,$R317="да"),MAX($T$1:$T316)+1,"")</f>
        <v/>
      </c>
    </row>
    <row r="318">
      <c r="A318">
        <f>IFERROR(INDEX(спр_Работы!$D$2:$D$6000,MATCH($C318,спр_Работы!$A$2:$A$6000,0)),"")</f>
        <v/>
      </c>
      <c r="B318">
        <f>IFERROR(INDEX(спр_Работы!$F$2:$F$6000,MATCH($C318,спр_Работы!$A$2:$A$6000,0)),"")</f>
        <v/>
      </c>
      <c r="C318">
        <f>IFERROR(INDEX(спр_Работы!$A$2:$A$6000,317),"")</f>
        <v/>
      </c>
      <c r="D318" s="8">
        <f>IFERROR(INDEX(спр_Работы!$B$2:$B$6000,MATCH($C318,спр_Работы!$A$2:$A$6000,0)),"")</f>
        <v/>
      </c>
      <c r="E318">
        <f>IFERROR(INDEX(спр_Работы!$C$2:$C$6000,MATCH($C318,спр_Работы!$A$2:$A$6000,0)),"")</f>
        <v/>
      </c>
      <c r="F318">
        <f>IFERROR(INDEX(спр_Работы!$G$2:$G$6000,MATCH($C318,спр_Работы!$A$2:$A$6000,0)),"")</f>
        <v/>
      </c>
      <c r="G318">
        <f>IFERROR(INDEX(спр_Работы!$K$2:$K$6000,MATCH($C318,спр_Работы!$A$2:$A$6000,0)),"")</f>
        <v/>
      </c>
      <c r="H318" s="9" t="n"/>
      <c r="I318" s="9" t="n"/>
      <c r="J318" s="8">
        <f>IFERROR(INDEX(спр_Материалы!$B$2:$B$9000,MATCH($I318,спр_Материалы!$A$2:$A$9000,0)),"")</f>
        <v/>
      </c>
      <c r="K318">
        <f>IF($I318="","",IF($F318=IFERROR(INDEX(спр_Материалы!$G$2:$G$9000,MATCH($I318,спр_Материалы!$A$2:$A$9000,0)),""),"OK","!! не та группа"))</f>
        <v/>
      </c>
      <c r="L318" s="10">
        <f>IFERROR(INDEX(спр_Работы!$H$2:$H$6000,MATCH($C318,спр_Работы!$A$2:$A$6000,0))*(1-ДисконтТендер),0)</f>
        <v/>
      </c>
      <c r="M318" s="10">
        <f>IF($I318="",0,IFERROR(INDEX(спр_Материалы!$I$2:$I$9000,MATCH($I318,спр_Материалы!$A$2:$A$9000,0))*IF(INDEX(спр_Материалы!$J$2:$J$9000,MATCH($I318,спр_Материалы!$A$2:$A$9000,0))="USD",КурсUSD,IF(INDEX(спр_Материалы!$J$2:$J$9000,MATCH($I318,спр_Материалы!$A$2:$A$9000,0))="EUR",КурсEUR,1))*INDEX(спр_Материалы!$K$2:$K$9000,MATCH($I318,спр_Материалы!$A$2:$A$9000,0))*(1+IFERROR(INDEX(спр_Работы!$I$2:$I$6000,MATCH($C318,спр_Работы!$A$2:$A$6000,0))/100,0))*(1-ДисконтТендер),0))</f>
        <v/>
      </c>
      <c r="N318" s="10">
        <f>IF(AND($R318="да",$H318&lt;&gt;""),ROUND($H318*$L318,2),0)</f>
        <v/>
      </c>
      <c r="O318" s="10">
        <f>IF(AND($R318="да",$H318&lt;&gt;""),ROUND($H318*$M318,2),0)</f>
        <v/>
      </c>
      <c r="P318" s="10">
        <f>$N318+$O318</f>
        <v/>
      </c>
      <c r="Q318">
        <f>IFERROR(INDEX(спр_Работы!$J$2:$J$6000,MATCH($C318,спр_Работы!$A$2:$A$6000,0)),"")</f>
        <v/>
      </c>
      <c r="R318" t="inlineStr">
        <is>
          <t>да</t>
        </is>
      </c>
      <c r="T318">
        <f>IF(AND($P318&gt;0,$R318="да"),MAX($T$1:$T317)+1,"")</f>
        <v/>
      </c>
    </row>
    <row r="319">
      <c r="A319">
        <f>IFERROR(INDEX(спр_Работы!$D$2:$D$6000,MATCH($C319,спр_Работы!$A$2:$A$6000,0)),"")</f>
        <v/>
      </c>
      <c r="B319">
        <f>IFERROR(INDEX(спр_Работы!$F$2:$F$6000,MATCH($C319,спр_Работы!$A$2:$A$6000,0)),"")</f>
        <v/>
      </c>
      <c r="C319">
        <f>IFERROR(INDEX(спр_Работы!$A$2:$A$6000,318),"")</f>
        <v/>
      </c>
      <c r="D319" s="8">
        <f>IFERROR(INDEX(спр_Работы!$B$2:$B$6000,MATCH($C319,спр_Работы!$A$2:$A$6000,0)),"")</f>
        <v/>
      </c>
      <c r="E319">
        <f>IFERROR(INDEX(спр_Работы!$C$2:$C$6000,MATCH($C319,спр_Работы!$A$2:$A$6000,0)),"")</f>
        <v/>
      </c>
      <c r="F319">
        <f>IFERROR(INDEX(спр_Работы!$G$2:$G$6000,MATCH($C319,спр_Работы!$A$2:$A$6000,0)),"")</f>
        <v/>
      </c>
      <c r="G319">
        <f>IFERROR(INDEX(спр_Работы!$K$2:$K$6000,MATCH($C319,спр_Работы!$A$2:$A$6000,0)),"")</f>
        <v/>
      </c>
      <c r="H319" s="9" t="n"/>
      <c r="I319" s="9" t="n"/>
      <c r="J319" s="8">
        <f>IFERROR(INDEX(спр_Материалы!$B$2:$B$9000,MATCH($I319,спр_Материалы!$A$2:$A$9000,0)),"")</f>
        <v/>
      </c>
      <c r="K319">
        <f>IF($I319="","",IF($F319=IFERROR(INDEX(спр_Материалы!$G$2:$G$9000,MATCH($I319,спр_Материалы!$A$2:$A$9000,0)),""),"OK","!! не та группа"))</f>
        <v/>
      </c>
      <c r="L319" s="10">
        <f>IFERROR(INDEX(спр_Работы!$H$2:$H$6000,MATCH($C319,спр_Работы!$A$2:$A$6000,0))*(1-ДисконтТендер),0)</f>
        <v/>
      </c>
      <c r="M319" s="10">
        <f>IF($I319="",0,IFERROR(INDEX(спр_Материалы!$I$2:$I$9000,MATCH($I319,спр_Материалы!$A$2:$A$9000,0))*IF(INDEX(спр_Материалы!$J$2:$J$9000,MATCH($I319,спр_Материалы!$A$2:$A$9000,0))="USD",КурсUSD,IF(INDEX(спр_Материалы!$J$2:$J$9000,MATCH($I319,спр_Материалы!$A$2:$A$9000,0))="EUR",КурсEUR,1))*INDEX(спр_Материалы!$K$2:$K$9000,MATCH($I319,спр_Материалы!$A$2:$A$9000,0))*(1+IFERROR(INDEX(спр_Работы!$I$2:$I$6000,MATCH($C319,спр_Работы!$A$2:$A$6000,0))/100,0))*(1-ДисконтТендер),0))</f>
        <v/>
      </c>
      <c r="N319" s="10">
        <f>IF(AND($R319="да",$H319&lt;&gt;""),ROUND($H319*$L319,2),0)</f>
        <v/>
      </c>
      <c r="O319" s="10">
        <f>IF(AND($R319="да",$H319&lt;&gt;""),ROUND($H319*$M319,2),0)</f>
        <v/>
      </c>
      <c r="P319" s="10">
        <f>$N319+$O319</f>
        <v/>
      </c>
      <c r="Q319">
        <f>IFERROR(INDEX(спр_Работы!$J$2:$J$6000,MATCH($C319,спр_Работы!$A$2:$A$6000,0)),"")</f>
        <v/>
      </c>
      <c r="R319" t="inlineStr">
        <is>
          <t>да</t>
        </is>
      </c>
      <c r="T319">
        <f>IF(AND($P319&gt;0,$R319="да"),MAX($T$1:$T318)+1,"")</f>
        <v/>
      </c>
    </row>
    <row r="320">
      <c r="A320">
        <f>IFERROR(INDEX(спр_Работы!$D$2:$D$6000,MATCH($C320,спр_Работы!$A$2:$A$6000,0)),"")</f>
        <v/>
      </c>
      <c r="B320">
        <f>IFERROR(INDEX(спр_Работы!$F$2:$F$6000,MATCH($C320,спр_Работы!$A$2:$A$6000,0)),"")</f>
        <v/>
      </c>
      <c r="C320">
        <f>IFERROR(INDEX(спр_Работы!$A$2:$A$6000,319),"")</f>
        <v/>
      </c>
      <c r="D320" s="8">
        <f>IFERROR(INDEX(спр_Работы!$B$2:$B$6000,MATCH($C320,спр_Работы!$A$2:$A$6000,0)),"")</f>
        <v/>
      </c>
      <c r="E320">
        <f>IFERROR(INDEX(спр_Работы!$C$2:$C$6000,MATCH($C320,спр_Работы!$A$2:$A$6000,0)),"")</f>
        <v/>
      </c>
      <c r="F320">
        <f>IFERROR(INDEX(спр_Работы!$G$2:$G$6000,MATCH($C320,спр_Работы!$A$2:$A$6000,0)),"")</f>
        <v/>
      </c>
      <c r="G320">
        <f>IFERROR(INDEX(спр_Работы!$K$2:$K$6000,MATCH($C320,спр_Работы!$A$2:$A$6000,0)),"")</f>
        <v/>
      </c>
      <c r="H320" s="9" t="n"/>
      <c r="I320" s="9" t="n"/>
      <c r="J320" s="8">
        <f>IFERROR(INDEX(спр_Материалы!$B$2:$B$9000,MATCH($I320,спр_Материалы!$A$2:$A$9000,0)),"")</f>
        <v/>
      </c>
      <c r="K320">
        <f>IF($I320="","",IF($F320=IFERROR(INDEX(спр_Материалы!$G$2:$G$9000,MATCH($I320,спр_Материалы!$A$2:$A$9000,0)),""),"OK","!! не та группа"))</f>
        <v/>
      </c>
      <c r="L320" s="10">
        <f>IFERROR(INDEX(спр_Работы!$H$2:$H$6000,MATCH($C320,спр_Работы!$A$2:$A$6000,0))*(1-ДисконтТендер),0)</f>
        <v/>
      </c>
      <c r="M320" s="10">
        <f>IF($I320="",0,IFERROR(INDEX(спр_Материалы!$I$2:$I$9000,MATCH($I320,спр_Материалы!$A$2:$A$9000,0))*IF(INDEX(спр_Материалы!$J$2:$J$9000,MATCH($I320,спр_Материалы!$A$2:$A$9000,0))="USD",КурсUSD,IF(INDEX(спр_Материалы!$J$2:$J$9000,MATCH($I320,спр_Материалы!$A$2:$A$9000,0))="EUR",КурсEUR,1))*INDEX(спр_Материалы!$K$2:$K$9000,MATCH($I320,спр_Материалы!$A$2:$A$9000,0))*(1+IFERROR(INDEX(спр_Работы!$I$2:$I$6000,MATCH($C320,спр_Работы!$A$2:$A$6000,0))/100,0))*(1-ДисконтТендер),0))</f>
        <v/>
      </c>
      <c r="N320" s="10">
        <f>IF(AND($R320="да",$H320&lt;&gt;""),ROUND($H320*$L320,2),0)</f>
        <v/>
      </c>
      <c r="O320" s="10">
        <f>IF(AND($R320="да",$H320&lt;&gt;""),ROUND($H320*$M320,2),0)</f>
        <v/>
      </c>
      <c r="P320" s="10">
        <f>$N320+$O320</f>
        <v/>
      </c>
      <c r="Q320">
        <f>IFERROR(INDEX(спр_Работы!$J$2:$J$6000,MATCH($C320,спр_Работы!$A$2:$A$6000,0)),"")</f>
        <v/>
      </c>
      <c r="R320" t="inlineStr">
        <is>
          <t>да</t>
        </is>
      </c>
      <c r="T320">
        <f>IF(AND($P320&gt;0,$R320="да"),MAX($T$1:$T319)+1,"")</f>
        <v/>
      </c>
    </row>
    <row r="321">
      <c r="A321">
        <f>IFERROR(INDEX(спр_Работы!$D$2:$D$6000,MATCH($C321,спр_Работы!$A$2:$A$6000,0)),"")</f>
        <v/>
      </c>
      <c r="B321">
        <f>IFERROR(INDEX(спр_Работы!$F$2:$F$6000,MATCH($C321,спр_Работы!$A$2:$A$6000,0)),"")</f>
        <v/>
      </c>
      <c r="C321">
        <f>IFERROR(INDEX(спр_Работы!$A$2:$A$6000,320),"")</f>
        <v/>
      </c>
      <c r="D321" s="8">
        <f>IFERROR(INDEX(спр_Работы!$B$2:$B$6000,MATCH($C321,спр_Работы!$A$2:$A$6000,0)),"")</f>
        <v/>
      </c>
      <c r="E321">
        <f>IFERROR(INDEX(спр_Работы!$C$2:$C$6000,MATCH($C321,спр_Работы!$A$2:$A$6000,0)),"")</f>
        <v/>
      </c>
      <c r="F321">
        <f>IFERROR(INDEX(спр_Работы!$G$2:$G$6000,MATCH($C321,спр_Работы!$A$2:$A$6000,0)),"")</f>
        <v/>
      </c>
      <c r="G321">
        <f>IFERROR(INDEX(спр_Работы!$K$2:$K$6000,MATCH($C321,спр_Работы!$A$2:$A$6000,0)),"")</f>
        <v/>
      </c>
      <c r="H321" s="9" t="n"/>
      <c r="I321" s="9" t="n"/>
      <c r="J321" s="8">
        <f>IFERROR(INDEX(спр_Материалы!$B$2:$B$9000,MATCH($I321,спр_Материалы!$A$2:$A$9000,0)),"")</f>
        <v/>
      </c>
      <c r="K321">
        <f>IF($I321="","",IF($F321=IFERROR(INDEX(спр_Материалы!$G$2:$G$9000,MATCH($I321,спр_Материалы!$A$2:$A$9000,0)),""),"OK","!! не та группа"))</f>
        <v/>
      </c>
      <c r="L321" s="10">
        <f>IFERROR(INDEX(спр_Работы!$H$2:$H$6000,MATCH($C321,спр_Работы!$A$2:$A$6000,0))*(1-ДисконтТендер),0)</f>
        <v/>
      </c>
      <c r="M321" s="10">
        <f>IF($I321="",0,IFERROR(INDEX(спр_Материалы!$I$2:$I$9000,MATCH($I321,спр_Материалы!$A$2:$A$9000,0))*IF(INDEX(спр_Материалы!$J$2:$J$9000,MATCH($I321,спр_Материалы!$A$2:$A$9000,0))="USD",КурсUSD,IF(INDEX(спр_Материалы!$J$2:$J$9000,MATCH($I321,спр_Материалы!$A$2:$A$9000,0))="EUR",КурсEUR,1))*INDEX(спр_Материалы!$K$2:$K$9000,MATCH($I321,спр_Материалы!$A$2:$A$9000,0))*(1+IFERROR(INDEX(спр_Работы!$I$2:$I$6000,MATCH($C321,спр_Работы!$A$2:$A$6000,0))/100,0))*(1-ДисконтТендер),0))</f>
        <v/>
      </c>
      <c r="N321" s="10">
        <f>IF(AND($R321="да",$H321&lt;&gt;""),ROUND($H321*$L321,2),0)</f>
        <v/>
      </c>
      <c r="O321" s="10">
        <f>IF(AND($R321="да",$H321&lt;&gt;""),ROUND($H321*$M321,2),0)</f>
        <v/>
      </c>
      <c r="P321" s="10">
        <f>$N321+$O321</f>
        <v/>
      </c>
      <c r="Q321">
        <f>IFERROR(INDEX(спр_Работы!$J$2:$J$6000,MATCH($C321,спр_Работы!$A$2:$A$6000,0)),"")</f>
        <v/>
      </c>
      <c r="R321" t="inlineStr">
        <is>
          <t>да</t>
        </is>
      </c>
      <c r="T321">
        <f>IF(AND($P321&gt;0,$R321="да"),MAX($T$1:$T320)+1,"")</f>
        <v/>
      </c>
    </row>
    <row r="322">
      <c r="A322">
        <f>IFERROR(INDEX(спр_Работы!$D$2:$D$6000,MATCH($C322,спр_Работы!$A$2:$A$6000,0)),"")</f>
        <v/>
      </c>
      <c r="B322">
        <f>IFERROR(INDEX(спр_Работы!$F$2:$F$6000,MATCH($C322,спр_Работы!$A$2:$A$6000,0)),"")</f>
        <v/>
      </c>
      <c r="C322">
        <f>IFERROR(INDEX(спр_Работы!$A$2:$A$6000,321),"")</f>
        <v/>
      </c>
      <c r="D322" s="8">
        <f>IFERROR(INDEX(спр_Работы!$B$2:$B$6000,MATCH($C322,спр_Работы!$A$2:$A$6000,0)),"")</f>
        <v/>
      </c>
      <c r="E322">
        <f>IFERROR(INDEX(спр_Работы!$C$2:$C$6000,MATCH($C322,спр_Работы!$A$2:$A$6000,0)),"")</f>
        <v/>
      </c>
      <c r="F322">
        <f>IFERROR(INDEX(спр_Работы!$G$2:$G$6000,MATCH($C322,спр_Работы!$A$2:$A$6000,0)),"")</f>
        <v/>
      </c>
      <c r="G322">
        <f>IFERROR(INDEX(спр_Работы!$K$2:$K$6000,MATCH($C322,спр_Работы!$A$2:$A$6000,0)),"")</f>
        <v/>
      </c>
      <c r="H322" s="9" t="n"/>
      <c r="I322" s="9" t="n"/>
      <c r="J322" s="8">
        <f>IFERROR(INDEX(спр_Материалы!$B$2:$B$9000,MATCH($I322,спр_Материалы!$A$2:$A$9000,0)),"")</f>
        <v/>
      </c>
      <c r="K322">
        <f>IF($I322="","",IF($F322=IFERROR(INDEX(спр_Материалы!$G$2:$G$9000,MATCH($I322,спр_Материалы!$A$2:$A$9000,0)),""),"OK","!! не та группа"))</f>
        <v/>
      </c>
      <c r="L322" s="10">
        <f>IFERROR(INDEX(спр_Работы!$H$2:$H$6000,MATCH($C322,спр_Работы!$A$2:$A$6000,0))*(1-ДисконтТендер),0)</f>
        <v/>
      </c>
      <c r="M322" s="10">
        <f>IF($I322="",0,IFERROR(INDEX(спр_Материалы!$I$2:$I$9000,MATCH($I322,спр_Материалы!$A$2:$A$9000,0))*IF(INDEX(спр_Материалы!$J$2:$J$9000,MATCH($I322,спр_Материалы!$A$2:$A$9000,0))="USD",КурсUSD,IF(INDEX(спр_Материалы!$J$2:$J$9000,MATCH($I322,спр_Материалы!$A$2:$A$9000,0))="EUR",КурсEUR,1))*INDEX(спр_Материалы!$K$2:$K$9000,MATCH($I322,спр_Материалы!$A$2:$A$9000,0))*(1+IFERROR(INDEX(спр_Работы!$I$2:$I$6000,MATCH($C322,спр_Работы!$A$2:$A$6000,0))/100,0))*(1-ДисконтТендер),0))</f>
        <v/>
      </c>
      <c r="N322" s="10">
        <f>IF(AND($R322="да",$H322&lt;&gt;""),ROUND($H322*$L322,2),0)</f>
        <v/>
      </c>
      <c r="O322" s="10">
        <f>IF(AND($R322="да",$H322&lt;&gt;""),ROUND($H322*$M322,2),0)</f>
        <v/>
      </c>
      <c r="P322" s="10">
        <f>$N322+$O322</f>
        <v/>
      </c>
      <c r="Q322">
        <f>IFERROR(INDEX(спр_Работы!$J$2:$J$6000,MATCH($C322,спр_Работы!$A$2:$A$6000,0)),"")</f>
        <v/>
      </c>
      <c r="R322" t="inlineStr">
        <is>
          <t>да</t>
        </is>
      </c>
      <c r="T322">
        <f>IF(AND($P322&gt;0,$R322="да"),MAX($T$1:$T321)+1,"")</f>
        <v/>
      </c>
    </row>
    <row r="323">
      <c r="A323">
        <f>IFERROR(INDEX(спр_Работы!$D$2:$D$6000,MATCH($C323,спр_Работы!$A$2:$A$6000,0)),"")</f>
        <v/>
      </c>
      <c r="B323">
        <f>IFERROR(INDEX(спр_Работы!$F$2:$F$6000,MATCH($C323,спр_Работы!$A$2:$A$6000,0)),"")</f>
        <v/>
      </c>
      <c r="C323">
        <f>IFERROR(INDEX(спр_Работы!$A$2:$A$6000,322),"")</f>
        <v/>
      </c>
      <c r="D323" s="8">
        <f>IFERROR(INDEX(спр_Работы!$B$2:$B$6000,MATCH($C323,спр_Работы!$A$2:$A$6000,0)),"")</f>
        <v/>
      </c>
      <c r="E323">
        <f>IFERROR(INDEX(спр_Работы!$C$2:$C$6000,MATCH($C323,спр_Работы!$A$2:$A$6000,0)),"")</f>
        <v/>
      </c>
      <c r="F323">
        <f>IFERROR(INDEX(спр_Работы!$G$2:$G$6000,MATCH($C323,спр_Работы!$A$2:$A$6000,0)),"")</f>
        <v/>
      </c>
      <c r="G323">
        <f>IFERROR(INDEX(спр_Работы!$K$2:$K$6000,MATCH($C323,спр_Работы!$A$2:$A$6000,0)),"")</f>
        <v/>
      </c>
      <c r="H323" s="9" t="n"/>
      <c r="I323" s="9" t="n"/>
      <c r="J323" s="8">
        <f>IFERROR(INDEX(спр_Материалы!$B$2:$B$9000,MATCH($I323,спр_Материалы!$A$2:$A$9000,0)),"")</f>
        <v/>
      </c>
      <c r="K323">
        <f>IF($I323="","",IF($F323=IFERROR(INDEX(спр_Материалы!$G$2:$G$9000,MATCH($I323,спр_Материалы!$A$2:$A$9000,0)),""),"OK","!! не та группа"))</f>
        <v/>
      </c>
      <c r="L323" s="10">
        <f>IFERROR(INDEX(спр_Работы!$H$2:$H$6000,MATCH($C323,спр_Работы!$A$2:$A$6000,0))*(1-ДисконтТендер),0)</f>
        <v/>
      </c>
      <c r="M323" s="10">
        <f>IF($I323="",0,IFERROR(INDEX(спр_Материалы!$I$2:$I$9000,MATCH($I323,спр_Материалы!$A$2:$A$9000,0))*IF(INDEX(спр_Материалы!$J$2:$J$9000,MATCH($I323,спр_Материалы!$A$2:$A$9000,0))="USD",КурсUSD,IF(INDEX(спр_Материалы!$J$2:$J$9000,MATCH($I323,спр_Материалы!$A$2:$A$9000,0))="EUR",КурсEUR,1))*INDEX(спр_Материалы!$K$2:$K$9000,MATCH($I323,спр_Материалы!$A$2:$A$9000,0))*(1+IFERROR(INDEX(спр_Работы!$I$2:$I$6000,MATCH($C323,спр_Работы!$A$2:$A$6000,0))/100,0))*(1-ДисконтТендер),0))</f>
        <v/>
      </c>
      <c r="N323" s="10">
        <f>IF(AND($R323="да",$H323&lt;&gt;""),ROUND($H323*$L323,2),0)</f>
        <v/>
      </c>
      <c r="O323" s="10">
        <f>IF(AND($R323="да",$H323&lt;&gt;""),ROUND($H323*$M323,2),0)</f>
        <v/>
      </c>
      <c r="P323" s="10">
        <f>$N323+$O323</f>
        <v/>
      </c>
      <c r="Q323">
        <f>IFERROR(INDEX(спр_Работы!$J$2:$J$6000,MATCH($C323,спр_Работы!$A$2:$A$6000,0)),"")</f>
        <v/>
      </c>
      <c r="R323" t="inlineStr">
        <is>
          <t>да</t>
        </is>
      </c>
      <c r="T323">
        <f>IF(AND($P323&gt;0,$R323="да"),MAX($T$1:$T322)+1,"")</f>
        <v/>
      </c>
    </row>
    <row r="324">
      <c r="A324">
        <f>IFERROR(INDEX(спр_Работы!$D$2:$D$6000,MATCH($C324,спр_Работы!$A$2:$A$6000,0)),"")</f>
        <v/>
      </c>
      <c r="B324">
        <f>IFERROR(INDEX(спр_Работы!$F$2:$F$6000,MATCH($C324,спр_Работы!$A$2:$A$6000,0)),"")</f>
        <v/>
      </c>
      <c r="C324">
        <f>IFERROR(INDEX(спр_Работы!$A$2:$A$6000,323),"")</f>
        <v/>
      </c>
      <c r="D324" s="8">
        <f>IFERROR(INDEX(спр_Работы!$B$2:$B$6000,MATCH($C324,спр_Работы!$A$2:$A$6000,0)),"")</f>
        <v/>
      </c>
      <c r="E324">
        <f>IFERROR(INDEX(спр_Работы!$C$2:$C$6000,MATCH($C324,спр_Работы!$A$2:$A$6000,0)),"")</f>
        <v/>
      </c>
      <c r="F324">
        <f>IFERROR(INDEX(спр_Работы!$G$2:$G$6000,MATCH($C324,спр_Работы!$A$2:$A$6000,0)),"")</f>
        <v/>
      </c>
      <c r="G324">
        <f>IFERROR(INDEX(спр_Работы!$K$2:$K$6000,MATCH($C324,спр_Работы!$A$2:$A$6000,0)),"")</f>
        <v/>
      </c>
      <c r="H324" s="9" t="n"/>
      <c r="I324" s="9" t="n"/>
      <c r="J324" s="8">
        <f>IFERROR(INDEX(спр_Материалы!$B$2:$B$9000,MATCH($I324,спр_Материалы!$A$2:$A$9000,0)),"")</f>
        <v/>
      </c>
      <c r="K324">
        <f>IF($I324="","",IF($F324=IFERROR(INDEX(спр_Материалы!$G$2:$G$9000,MATCH($I324,спр_Материалы!$A$2:$A$9000,0)),""),"OK","!! не та группа"))</f>
        <v/>
      </c>
      <c r="L324" s="10">
        <f>IFERROR(INDEX(спр_Работы!$H$2:$H$6000,MATCH($C324,спр_Работы!$A$2:$A$6000,0))*(1-ДисконтТендер),0)</f>
        <v/>
      </c>
      <c r="M324" s="10">
        <f>IF($I324="",0,IFERROR(INDEX(спр_Материалы!$I$2:$I$9000,MATCH($I324,спр_Материалы!$A$2:$A$9000,0))*IF(INDEX(спр_Материалы!$J$2:$J$9000,MATCH($I324,спр_Материалы!$A$2:$A$9000,0))="USD",КурсUSD,IF(INDEX(спр_Материалы!$J$2:$J$9000,MATCH($I324,спр_Материалы!$A$2:$A$9000,0))="EUR",КурсEUR,1))*INDEX(спр_Материалы!$K$2:$K$9000,MATCH($I324,спр_Материалы!$A$2:$A$9000,0))*(1+IFERROR(INDEX(спр_Работы!$I$2:$I$6000,MATCH($C324,спр_Работы!$A$2:$A$6000,0))/100,0))*(1-ДисконтТендер),0))</f>
        <v/>
      </c>
      <c r="N324" s="10">
        <f>IF(AND($R324="да",$H324&lt;&gt;""),ROUND($H324*$L324,2),0)</f>
        <v/>
      </c>
      <c r="O324" s="10">
        <f>IF(AND($R324="да",$H324&lt;&gt;""),ROUND($H324*$M324,2),0)</f>
        <v/>
      </c>
      <c r="P324" s="10">
        <f>$N324+$O324</f>
        <v/>
      </c>
      <c r="Q324">
        <f>IFERROR(INDEX(спр_Работы!$J$2:$J$6000,MATCH($C324,спр_Работы!$A$2:$A$6000,0)),"")</f>
        <v/>
      </c>
      <c r="R324" t="inlineStr">
        <is>
          <t>да</t>
        </is>
      </c>
      <c r="T324">
        <f>IF(AND($P324&gt;0,$R324="да"),MAX($T$1:$T323)+1,"")</f>
        <v/>
      </c>
    </row>
    <row r="325">
      <c r="A325">
        <f>IFERROR(INDEX(спр_Работы!$D$2:$D$6000,MATCH($C325,спр_Работы!$A$2:$A$6000,0)),"")</f>
        <v/>
      </c>
      <c r="B325">
        <f>IFERROR(INDEX(спр_Работы!$F$2:$F$6000,MATCH($C325,спр_Работы!$A$2:$A$6000,0)),"")</f>
        <v/>
      </c>
      <c r="C325">
        <f>IFERROR(INDEX(спр_Работы!$A$2:$A$6000,324),"")</f>
        <v/>
      </c>
      <c r="D325" s="8">
        <f>IFERROR(INDEX(спр_Работы!$B$2:$B$6000,MATCH($C325,спр_Работы!$A$2:$A$6000,0)),"")</f>
        <v/>
      </c>
      <c r="E325">
        <f>IFERROR(INDEX(спр_Работы!$C$2:$C$6000,MATCH($C325,спр_Работы!$A$2:$A$6000,0)),"")</f>
        <v/>
      </c>
      <c r="F325">
        <f>IFERROR(INDEX(спр_Работы!$G$2:$G$6000,MATCH($C325,спр_Работы!$A$2:$A$6000,0)),"")</f>
        <v/>
      </c>
      <c r="G325">
        <f>IFERROR(INDEX(спр_Работы!$K$2:$K$6000,MATCH($C325,спр_Работы!$A$2:$A$6000,0)),"")</f>
        <v/>
      </c>
      <c r="H325" s="9" t="n"/>
      <c r="I325" s="9" t="n"/>
      <c r="J325" s="8">
        <f>IFERROR(INDEX(спр_Материалы!$B$2:$B$9000,MATCH($I325,спр_Материалы!$A$2:$A$9000,0)),"")</f>
        <v/>
      </c>
      <c r="K325">
        <f>IF($I325="","",IF($F325=IFERROR(INDEX(спр_Материалы!$G$2:$G$9000,MATCH($I325,спр_Материалы!$A$2:$A$9000,0)),""),"OK","!! не та группа"))</f>
        <v/>
      </c>
      <c r="L325" s="10">
        <f>IFERROR(INDEX(спр_Работы!$H$2:$H$6000,MATCH($C325,спр_Работы!$A$2:$A$6000,0))*(1-ДисконтТендер),0)</f>
        <v/>
      </c>
      <c r="M325" s="10">
        <f>IF($I325="",0,IFERROR(INDEX(спр_Материалы!$I$2:$I$9000,MATCH($I325,спр_Материалы!$A$2:$A$9000,0))*IF(INDEX(спр_Материалы!$J$2:$J$9000,MATCH($I325,спр_Материалы!$A$2:$A$9000,0))="USD",КурсUSD,IF(INDEX(спр_Материалы!$J$2:$J$9000,MATCH($I325,спр_Материалы!$A$2:$A$9000,0))="EUR",КурсEUR,1))*INDEX(спр_Материалы!$K$2:$K$9000,MATCH($I325,спр_Материалы!$A$2:$A$9000,0))*(1+IFERROR(INDEX(спр_Работы!$I$2:$I$6000,MATCH($C325,спр_Работы!$A$2:$A$6000,0))/100,0))*(1-ДисконтТендер),0))</f>
        <v/>
      </c>
      <c r="N325" s="10">
        <f>IF(AND($R325="да",$H325&lt;&gt;""),ROUND($H325*$L325,2),0)</f>
        <v/>
      </c>
      <c r="O325" s="10">
        <f>IF(AND($R325="да",$H325&lt;&gt;""),ROUND($H325*$M325,2),0)</f>
        <v/>
      </c>
      <c r="P325" s="10">
        <f>$N325+$O325</f>
        <v/>
      </c>
      <c r="Q325">
        <f>IFERROR(INDEX(спр_Работы!$J$2:$J$6000,MATCH($C325,спр_Работы!$A$2:$A$6000,0)),"")</f>
        <v/>
      </c>
      <c r="R325" t="inlineStr">
        <is>
          <t>да</t>
        </is>
      </c>
      <c r="T325">
        <f>IF(AND($P325&gt;0,$R325="да"),MAX($T$1:$T324)+1,"")</f>
        <v/>
      </c>
    </row>
    <row r="326">
      <c r="A326">
        <f>IFERROR(INDEX(спр_Работы!$D$2:$D$6000,MATCH($C326,спр_Работы!$A$2:$A$6000,0)),"")</f>
        <v/>
      </c>
      <c r="B326">
        <f>IFERROR(INDEX(спр_Работы!$F$2:$F$6000,MATCH($C326,спр_Работы!$A$2:$A$6000,0)),"")</f>
        <v/>
      </c>
      <c r="C326">
        <f>IFERROR(INDEX(спр_Работы!$A$2:$A$6000,325),"")</f>
        <v/>
      </c>
      <c r="D326" s="8">
        <f>IFERROR(INDEX(спр_Работы!$B$2:$B$6000,MATCH($C326,спр_Работы!$A$2:$A$6000,0)),"")</f>
        <v/>
      </c>
      <c r="E326">
        <f>IFERROR(INDEX(спр_Работы!$C$2:$C$6000,MATCH($C326,спр_Работы!$A$2:$A$6000,0)),"")</f>
        <v/>
      </c>
      <c r="F326">
        <f>IFERROR(INDEX(спр_Работы!$G$2:$G$6000,MATCH($C326,спр_Работы!$A$2:$A$6000,0)),"")</f>
        <v/>
      </c>
      <c r="G326">
        <f>IFERROR(INDEX(спр_Работы!$K$2:$K$6000,MATCH($C326,спр_Работы!$A$2:$A$6000,0)),"")</f>
        <v/>
      </c>
      <c r="H326" s="9" t="n"/>
      <c r="I326" s="9" t="n"/>
      <c r="J326" s="8">
        <f>IFERROR(INDEX(спр_Материалы!$B$2:$B$9000,MATCH($I326,спр_Материалы!$A$2:$A$9000,0)),"")</f>
        <v/>
      </c>
      <c r="K326">
        <f>IF($I326="","",IF($F326=IFERROR(INDEX(спр_Материалы!$G$2:$G$9000,MATCH($I326,спр_Материалы!$A$2:$A$9000,0)),""),"OK","!! не та группа"))</f>
        <v/>
      </c>
      <c r="L326" s="10">
        <f>IFERROR(INDEX(спр_Работы!$H$2:$H$6000,MATCH($C326,спр_Работы!$A$2:$A$6000,0))*(1-ДисконтТендер),0)</f>
        <v/>
      </c>
      <c r="M326" s="10">
        <f>IF($I326="",0,IFERROR(INDEX(спр_Материалы!$I$2:$I$9000,MATCH($I326,спр_Материалы!$A$2:$A$9000,0))*IF(INDEX(спр_Материалы!$J$2:$J$9000,MATCH($I326,спр_Материалы!$A$2:$A$9000,0))="USD",КурсUSD,IF(INDEX(спр_Материалы!$J$2:$J$9000,MATCH($I326,спр_Материалы!$A$2:$A$9000,0))="EUR",КурсEUR,1))*INDEX(спр_Материалы!$K$2:$K$9000,MATCH($I326,спр_Материалы!$A$2:$A$9000,0))*(1+IFERROR(INDEX(спр_Работы!$I$2:$I$6000,MATCH($C326,спр_Работы!$A$2:$A$6000,0))/100,0))*(1-ДисконтТендер),0))</f>
        <v/>
      </c>
      <c r="N326" s="10">
        <f>IF(AND($R326="да",$H326&lt;&gt;""),ROUND($H326*$L326,2),0)</f>
        <v/>
      </c>
      <c r="O326" s="10">
        <f>IF(AND($R326="да",$H326&lt;&gt;""),ROUND($H326*$M326,2),0)</f>
        <v/>
      </c>
      <c r="P326" s="10">
        <f>$N326+$O326</f>
        <v/>
      </c>
      <c r="Q326">
        <f>IFERROR(INDEX(спр_Работы!$J$2:$J$6000,MATCH($C326,спр_Работы!$A$2:$A$6000,0)),"")</f>
        <v/>
      </c>
      <c r="R326" t="inlineStr">
        <is>
          <t>да</t>
        </is>
      </c>
      <c r="T326">
        <f>IF(AND($P326&gt;0,$R326="да"),MAX($T$1:$T325)+1,"")</f>
        <v/>
      </c>
    </row>
    <row r="327">
      <c r="A327">
        <f>IFERROR(INDEX(спр_Работы!$D$2:$D$6000,MATCH($C327,спр_Работы!$A$2:$A$6000,0)),"")</f>
        <v/>
      </c>
      <c r="B327">
        <f>IFERROR(INDEX(спр_Работы!$F$2:$F$6000,MATCH($C327,спр_Работы!$A$2:$A$6000,0)),"")</f>
        <v/>
      </c>
      <c r="C327">
        <f>IFERROR(INDEX(спр_Работы!$A$2:$A$6000,326),"")</f>
        <v/>
      </c>
      <c r="D327" s="8">
        <f>IFERROR(INDEX(спр_Работы!$B$2:$B$6000,MATCH($C327,спр_Работы!$A$2:$A$6000,0)),"")</f>
        <v/>
      </c>
      <c r="E327">
        <f>IFERROR(INDEX(спр_Работы!$C$2:$C$6000,MATCH($C327,спр_Работы!$A$2:$A$6000,0)),"")</f>
        <v/>
      </c>
      <c r="F327">
        <f>IFERROR(INDEX(спр_Работы!$G$2:$G$6000,MATCH($C327,спр_Работы!$A$2:$A$6000,0)),"")</f>
        <v/>
      </c>
      <c r="G327">
        <f>IFERROR(INDEX(спр_Работы!$K$2:$K$6000,MATCH($C327,спр_Работы!$A$2:$A$6000,0)),"")</f>
        <v/>
      </c>
      <c r="H327" s="9" t="n"/>
      <c r="I327" s="9" t="n"/>
      <c r="J327" s="8">
        <f>IFERROR(INDEX(спр_Материалы!$B$2:$B$9000,MATCH($I327,спр_Материалы!$A$2:$A$9000,0)),"")</f>
        <v/>
      </c>
      <c r="K327">
        <f>IF($I327="","",IF($F327=IFERROR(INDEX(спр_Материалы!$G$2:$G$9000,MATCH($I327,спр_Материалы!$A$2:$A$9000,0)),""),"OK","!! не та группа"))</f>
        <v/>
      </c>
      <c r="L327" s="10">
        <f>IFERROR(INDEX(спр_Работы!$H$2:$H$6000,MATCH($C327,спр_Работы!$A$2:$A$6000,0))*(1-ДисконтТендер),0)</f>
        <v/>
      </c>
      <c r="M327" s="10">
        <f>IF($I327="",0,IFERROR(INDEX(спр_Материалы!$I$2:$I$9000,MATCH($I327,спр_Материалы!$A$2:$A$9000,0))*IF(INDEX(спр_Материалы!$J$2:$J$9000,MATCH($I327,спр_Материалы!$A$2:$A$9000,0))="USD",КурсUSD,IF(INDEX(спр_Материалы!$J$2:$J$9000,MATCH($I327,спр_Материалы!$A$2:$A$9000,0))="EUR",КурсEUR,1))*INDEX(спр_Материалы!$K$2:$K$9000,MATCH($I327,спр_Материалы!$A$2:$A$9000,0))*(1+IFERROR(INDEX(спр_Работы!$I$2:$I$6000,MATCH($C327,спр_Работы!$A$2:$A$6000,0))/100,0))*(1-ДисконтТендер),0))</f>
        <v/>
      </c>
      <c r="N327" s="10">
        <f>IF(AND($R327="да",$H327&lt;&gt;""),ROUND($H327*$L327,2),0)</f>
        <v/>
      </c>
      <c r="O327" s="10">
        <f>IF(AND($R327="да",$H327&lt;&gt;""),ROUND($H327*$M327,2),0)</f>
        <v/>
      </c>
      <c r="P327" s="10">
        <f>$N327+$O327</f>
        <v/>
      </c>
      <c r="Q327">
        <f>IFERROR(INDEX(спр_Работы!$J$2:$J$6000,MATCH($C327,спр_Работы!$A$2:$A$6000,0)),"")</f>
        <v/>
      </c>
      <c r="R327" t="inlineStr">
        <is>
          <t>да</t>
        </is>
      </c>
      <c r="T327">
        <f>IF(AND($P327&gt;0,$R327="да"),MAX($T$1:$T326)+1,"")</f>
        <v/>
      </c>
    </row>
    <row r="328">
      <c r="A328">
        <f>IFERROR(INDEX(спр_Работы!$D$2:$D$6000,MATCH($C328,спр_Работы!$A$2:$A$6000,0)),"")</f>
        <v/>
      </c>
      <c r="B328">
        <f>IFERROR(INDEX(спр_Работы!$F$2:$F$6000,MATCH($C328,спр_Работы!$A$2:$A$6000,0)),"")</f>
        <v/>
      </c>
      <c r="C328">
        <f>IFERROR(INDEX(спр_Работы!$A$2:$A$6000,327),"")</f>
        <v/>
      </c>
      <c r="D328" s="8">
        <f>IFERROR(INDEX(спр_Работы!$B$2:$B$6000,MATCH($C328,спр_Работы!$A$2:$A$6000,0)),"")</f>
        <v/>
      </c>
      <c r="E328">
        <f>IFERROR(INDEX(спр_Работы!$C$2:$C$6000,MATCH($C328,спр_Работы!$A$2:$A$6000,0)),"")</f>
        <v/>
      </c>
      <c r="F328">
        <f>IFERROR(INDEX(спр_Работы!$G$2:$G$6000,MATCH($C328,спр_Работы!$A$2:$A$6000,0)),"")</f>
        <v/>
      </c>
      <c r="G328">
        <f>IFERROR(INDEX(спр_Работы!$K$2:$K$6000,MATCH($C328,спр_Работы!$A$2:$A$6000,0)),"")</f>
        <v/>
      </c>
      <c r="H328" s="9" t="n"/>
      <c r="I328" s="9" t="n"/>
      <c r="J328" s="8">
        <f>IFERROR(INDEX(спр_Материалы!$B$2:$B$9000,MATCH($I328,спр_Материалы!$A$2:$A$9000,0)),"")</f>
        <v/>
      </c>
      <c r="K328">
        <f>IF($I328="","",IF($F328=IFERROR(INDEX(спр_Материалы!$G$2:$G$9000,MATCH($I328,спр_Материалы!$A$2:$A$9000,0)),""),"OK","!! не та группа"))</f>
        <v/>
      </c>
      <c r="L328" s="10">
        <f>IFERROR(INDEX(спр_Работы!$H$2:$H$6000,MATCH($C328,спр_Работы!$A$2:$A$6000,0))*(1-ДисконтТендер),0)</f>
        <v/>
      </c>
      <c r="M328" s="10">
        <f>IF($I328="",0,IFERROR(INDEX(спр_Материалы!$I$2:$I$9000,MATCH($I328,спр_Материалы!$A$2:$A$9000,0))*IF(INDEX(спр_Материалы!$J$2:$J$9000,MATCH($I328,спр_Материалы!$A$2:$A$9000,0))="USD",КурсUSD,IF(INDEX(спр_Материалы!$J$2:$J$9000,MATCH($I328,спр_Материалы!$A$2:$A$9000,0))="EUR",КурсEUR,1))*INDEX(спр_Материалы!$K$2:$K$9000,MATCH($I328,спр_Материалы!$A$2:$A$9000,0))*(1+IFERROR(INDEX(спр_Работы!$I$2:$I$6000,MATCH($C328,спр_Работы!$A$2:$A$6000,0))/100,0))*(1-ДисконтТендер),0))</f>
        <v/>
      </c>
      <c r="N328" s="10">
        <f>IF(AND($R328="да",$H328&lt;&gt;""),ROUND($H328*$L328,2),0)</f>
        <v/>
      </c>
      <c r="O328" s="10">
        <f>IF(AND($R328="да",$H328&lt;&gt;""),ROUND($H328*$M328,2),0)</f>
        <v/>
      </c>
      <c r="P328" s="10">
        <f>$N328+$O328</f>
        <v/>
      </c>
      <c r="Q328">
        <f>IFERROR(INDEX(спр_Работы!$J$2:$J$6000,MATCH($C328,спр_Работы!$A$2:$A$6000,0)),"")</f>
        <v/>
      </c>
      <c r="R328" t="inlineStr">
        <is>
          <t>да</t>
        </is>
      </c>
      <c r="T328">
        <f>IF(AND($P328&gt;0,$R328="да"),MAX($T$1:$T327)+1,"")</f>
        <v/>
      </c>
    </row>
    <row r="329">
      <c r="A329">
        <f>IFERROR(INDEX(спр_Работы!$D$2:$D$6000,MATCH($C329,спр_Работы!$A$2:$A$6000,0)),"")</f>
        <v/>
      </c>
      <c r="B329">
        <f>IFERROR(INDEX(спр_Работы!$F$2:$F$6000,MATCH($C329,спр_Работы!$A$2:$A$6000,0)),"")</f>
        <v/>
      </c>
      <c r="C329">
        <f>IFERROR(INDEX(спр_Работы!$A$2:$A$6000,328),"")</f>
        <v/>
      </c>
      <c r="D329" s="8">
        <f>IFERROR(INDEX(спр_Работы!$B$2:$B$6000,MATCH($C329,спр_Работы!$A$2:$A$6000,0)),"")</f>
        <v/>
      </c>
      <c r="E329">
        <f>IFERROR(INDEX(спр_Работы!$C$2:$C$6000,MATCH($C329,спр_Работы!$A$2:$A$6000,0)),"")</f>
        <v/>
      </c>
      <c r="F329">
        <f>IFERROR(INDEX(спр_Работы!$G$2:$G$6000,MATCH($C329,спр_Работы!$A$2:$A$6000,0)),"")</f>
        <v/>
      </c>
      <c r="G329">
        <f>IFERROR(INDEX(спр_Работы!$K$2:$K$6000,MATCH($C329,спр_Работы!$A$2:$A$6000,0)),"")</f>
        <v/>
      </c>
      <c r="H329" s="9" t="n"/>
      <c r="I329" s="9" t="n"/>
      <c r="J329" s="8">
        <f>IFERROR(INDEX(спр_Материалы!$B$2:$B$9000,MATCH($I329,спр_Материалы!$A$2:$A$9000,0)),"")</f>
        <v/>
      </c>
      <c r="K329">
        <f>IF($I329="","",IF($F329=IFERROR(INDEX(спр_Материалы!$G$2:$G$9000,MATCH($I329,спр_Материалы!$A$2:$A$9000,0)),""),"OK","!! не та группа"))</f>
        <v/>
      </c>
      <c r="L329" s="10">
        <f>IFERROR(INDEX(спр_Работы!$H$2:$H$6000,MATCH($C329,спр_Работы!$A$2:$A$6000,0))*(1-ДисконтТендер),0)</f>
        <v/>
      </c>
      <c r="M329" s="10">
        <f>IF($I329="",0,IFERROR(INDEX(спр_Материалы!$I$2:$I$9000,MATCH($I329,спр_Материалы!$A$2:$A$9000,0))*IF(INDEX(спр_Материалы!$J$2:$J$9000,MATCH($I329,спр_Материалы!$A$2:$A$9000,0))="USD",КурсUSD,IF(INDEX(спр_Материалы!$J$2:$J$9000,MATCH($I329,спр_Материалы!$A$2:$A$9000,0))="EUR",КурсEUR,1))*INDEX(спр_Материалы!$K$2:$K$9000,MATCH($I329,спр_Материалы!$A$2:$A$9000,0))*(1+IFERROR(INDEX(спр_Работы!$I$2:$I$6000,MATCH($C329,спр_Работы!$A$2:$A$6000,0))/100,0))*(1-ДисконтТендер),0))</f>
        <v/>
      </c>
      <c r="N329" s="10">
        <f>IF(AND($R329="да",$H329&lt;&gt;""),ROUND($H329*$L329,2),0)</f>
        <v/>
      </c>
      <c r="O329" s="10">
        <f>IF(AND($R329="да",$H329&lt;&gt;""),ROUND($H329*$M329,2),0)</f>
        <v/>
      </c>
      <c r="P329" s="10">
        <f>$N329+$O329</f>
        <v/>
      </c>
      <c r="Q329">
        <f>IFERROR(INDEX(спр_Работы!$J$2:$J$6000,MATCH($C329,спр_Работы!$A$2:$A$6000,0)),"")</f>
        <v/>
      </c>
      <c r="R329" t="inlineStr">
        <is>
          <t>да</t>
        </is>
      </c>
      <c r="T329">
        <f>IF(AND($P329&gt;0,$R329="да"),MAX($T$1:$T328)+1,"")</f>
        <v/>
      </c>
    </row>
    <row r="330">
      <c r="A330">
        <f>IFERROR(INDEX(спр_Работы!$D$2:$D$6000,MATCH($C330,спр_Работы!$A$2:$A$6000,0)),"")</f>
        <v/>
      </c>
      <c r="B330">
        <f>IFERROR(INDEX(спр_Работы!$F$2:$F$6000,MATCH($C330,спр_Работы!$A$2:$A$6000,0)),"")</f>
        <v/>
      </c>
      <c r="C330">
        <f>IFERROR(INDEX(спр_Работы!$A$2:$A$6000,329),"")</f>
        <v/>
      </c>
      <c r="D330" s="8">
        <f>IFERROR(INDEX(спр_Работы!$B$2:$B$6000,MATCH($C330,спр_Работы!$A$2:$A$6000,0)),"")</f>
        <v/>
      </c>
      <c r="E330">
        <f>IFERROR(INDEX(спр_Работы!$C$2:$C$6000,MATCH($C330,спр_Работы!$A$2:$A$6000,0)),"")</f>
        <v/>
      </c>
      <c r="F330">
        <f>IFERROR(INDEX(спр_Работы!$G$2:$G$6000,MATCH($C330,спр_Работы!$A$2:$A$6000,0)),"")</f>
        <v/>
      </c>
      <c r="G330">
        <f>IFERROR(INDEX(спр_Работы!$K$2:$K$6000,MATCH($C330,спр_Работы!$A$2:$A$6000,0)),"")</f>
        <v/>
      </c>
      <c r="H330" s="9" t="n"/>
      <c r="I330" s="9" t="n"/>
      <c r="J330" s="8">
        <f>IFERROR(INDEX(спр_Материалы!$B$2:$B$9000,MATCH($I330,спр_Материалы!$A$2:$A$9000,0)),"")</f>
        <v/>
      </c>
      <c r="K330">
        <f>IF($I330="","",IF($F330=IFERROR(INDEX(спр_Материалы!$G$2:$G$9000,MATCH($I330,спр_Материалы!$A$2:$A$9000,0)),""),"OK","!! не та группа"))</f>
        <v/>
      </c>
      <c r="L330" s="10">
        <f>IFERROR(INDEX(спр_Работы!$H$2:$H$6000,MATCH($C330,спр_Работы!$A$2:$A$6000,0))*(1-ДисконтТендер),0)</f>
        <v/>
      </c>
      <c r="M330" s="10">
        <f>IF($I330="",0,IFERROR(INDEX(спр_Материалы!$I$2:$I$9000,MATCH($I330,спр_Материалы!$A$2:$A$9000,0))*IF(INDEX(спр_Материалы!$J$2:$J$9000,MATCH($I330,спр_Материалы!$A$2:$A$9000,0))="USD",КурсUSD,IF(INDEX(спр_Материалы!$J$2:$J$9000,MATCH($I330,спр_Материалы!$A$2:$A$9000,0))="EUR",КурсEUR,1))*INDEX(спр_Материалы!$K$2:$K$9000,MATCH($I330,спр_Материалы!$A$2:$A$9000,0))*(1+IFERROR(INDEX(спр_Работы!$I$2:$I$6000,MATCH($C330,спр_Работы!$A$2:$A$6000,0))/100,0))*(1-ДисконтТендер),0))</f>
        <v/>
      </c>
      <c r="N330" s="10">
        <f>IF(AND($R330="да",$H330&lt;&gt;""),ROUND($H330*$L330,2),0)</f>
        <v/>
      </c>
      <c r="O330" s="10">
        <f>IF(AND($R330="да",$H330&lt;&gt;""),ROUND($H330*$M330,2),0)</f>
        <v/>
      </c>
      <c r="P330" s="10">
        <f>$N330+$O330</f>
        <v/>
      </c>
      <c r="Q330">
        <f>IFERROR(INDEX(спр_Работы!$J$2:$J$6000,MATCH($C330,спр_Работы!$A$2:$A$6000,0)),"")</f>
        <v/>
      </c>
      <c r="R330" t="inlineStr">
        <is>
          <t>да</t>
        </is>
      </c>
      <c r="T330">
        <f>IF(AND($P330&gt;0,$R330="да"),MAX($T$1:$T329)+1,"")</f>
        <v/>
      </c>
    </row>
    <row r="331">
      <c r="A331">
        <f>IFERROR(INDEX(спр_Работы!$D$2:$D$6000,MATCH($C331,спр_Работы!$A$2:$A$6000,0)),"")</f>
        <v/>
      </c>
      <c r="B331">
        <f>IFERROR(INDEX(спр_Работы!$F$2:$F$6000,MATCH($C331,спр_Работы!$A$2:$A$6000,0)),"")</f>
        <v/>
      </c>
      <c r="C331">
        <f>IFERROR(INDEX(спр_Работы!$A$2:$A$6000,330),"")</f>
        <v/>
      </c>
      <c r="D331" s="8">
        <f>IFERROR(INDEX(спр_Работы!$B$2:$B$6000,MATCH($C331,спр_Работы!$A$2:$A$6000,0)),"")</f>
        <v/>
      </c>
      <c r="E331">
        <f>IFERROR(INDEX(спр_Работы!$C$2:$C$6000,MATCH($C331,спр_Работы!$A$2:$A$6000,0)),"")</f>
        <v/>
      </c>
      <c r="F331">
        <f>IFERROR(INDEX(спр_Работы!$G$2:$G$6000,MATCH($C331,спр_Работы!$A$2:$A$6000,0)),"")</f>
        <v/>
      </c>
      <c r="G331">
        <f>IFERROR(INDEX(спр_Работы!$K$2:$K$6000,MATCH($C331,спр_Работы!$A$2:$A$6000,0)),"")</f>
        <v/>
      </c>
      <c r="H331" s="9" t="n"/>
      <c r="I331" s="9" t="n"/>
      <c r="J331" s="8">
        <f>IFERROR(INDEX(спр_Материалы!$B$2:$B$9000,MATCH($I331,спр_Материалы!$A$2:$A$9000,0)),"")</f>
        <v/>
      </c>
      <c r="K331">
        <f>IF($I331="","",IF($F331=IFERROR(INDEX(спр_Материалы!$G$2:$G$9000,MATCH($I331,спр_Материалы!$A$2:$A$9000,0)),""),"OK","!! не та группа"))</f>
        <v/>
      </c>
      <c r="L331" s="10">
        <f>IFERROR(INDEX(спр_Работы!$H$2:$H$6000,MATCH($C331,спр_Работы!$A$2:$A$6000,0))*(1-ДисконтТендер),0)</f>
        <v/>
      </c>
      <c r="M331" s="10">
        <f>IF($I331="",0,IFERROR(INDEX(спр_Материалы!$I$2:$I$9000,MATCH($I331,спр_Материалы!$A$2:$A$9000,0))*IF(INDEX(спр_Материалы!$J$2:$J$9000,MATCH($I331,спр_Материалы!$A$2:$A$9000,0))="USD",КурсUSD,IF(INDEX(спр_Материалы!$J$2:$J$9000,MATCH($I331,спр_Материалы!$A$2:$A$9000,0))="EUR",КурсEUR,1))*INDEX(спр_Материалы!$K$2:$K$9000,MATCH($I331,спр_Материалы!$A$2:$A$9000,0))*(1+IFERROR(INDEX(спр_Работы!$I$2:$I$6000,MATCH($C331,спр_Работы!$A$2:$A$6000,0))/100,0))*(1-ДисконтТендер),0))</f>
        <v/>
      </c>
      <c r="N331" s="10">
        <f>IF(AND($R331="да",$H331&lt;&gt;""),ROUND($H331*$L331,2),0)</f>
        <v/>
      </c>
      <c r="O331" s="10">
        <f>IF(AND($R331="да",$H331&lt;&gt;""),ROUND($H331*$M331,2),0)</f>
        <v/>
      </c>
      <c r="P331" s="10">
        <f>$N331+$O331</f>
        <v/>
      </c>
      <c r="Q331">
        <f>IFERROR(INDEX(спр_Работы!$J$2:$J$6000,MATCH($C331,спр_Работы!$A$2:$A$6000,0)),"")</f>
        <v/>
      </c>
      <c r="R331" t="inlineStr">
        <is>
          <t>да</t>
        </is>
      </c>
      <c r="T331">
        <f>IF(AND($P331&gt;0,$R331="да"),MAX($T$1:$T330)+1,"")</f>
        <v/>
      </c>
    </row>
    <row r="332">
      <c r="A332">
        <f>IFERROR(INDEX(спр_Работы!$D$2:$D$6000,MATCH($C332,спр_Работы!$A$2:$A$6000,0)),"")</f>
        <v/>
      </c>
      <c r="B332">
        <f>IFERROR(INDEX(спр_Работы!$F$2:$F$6000,MATCH($C332,спр_Работы!$A$2:$A$6000,0)),"")</f>
        <v/>
      </c>
      <c r="C332">
        <f>IFERROR(INDEX(спр_Работы!$A$2:$A$6000,331),"")</f>
        <v/>
      </c>
      <c r="D332" s="8">
        <f>IFERROR(INDEX(спр_Работы!$B$2:$B$6000,MATCH($C332,спр_Работы!$A$2:$A$6000,0)),"")</f>
        <v/>
      </c>
      <c r="E332">
        <f>IFERROR(INDEX(спр_Работы!$C$2:$C$6000,MATCH($C332,спр_Работы!$A$2:$A$6000,0)),"")</f>
        <v/>
      </c>
      <c r="F332">
        <f>IFERROR(INDEX(спр_Работы!$G$2:$G$6000,MATCH($C332,спр_Работы!$A$2:$A$6000,0)),"")</f>
        <v/>
      </c>
      <c r="G332">
        <f>IFERROR(INDEX(спр_Работы!$K$2:$K$6000,MATCH($C332,спр_Работы!$A$2:$A$6000,0)),"")</f>
        <v/>
      </c>
      <c r="H332" s="9" t="n"/>
      <c r="I332" s="9" t="n"/>
      <c r="J332" s="8">
        <f>IFERROR(INDEX(спр_Материалы!$B$2:$B$9000,MATCH($I332,спр_Материалы!$A$2:$A$9000,0)),"")</f>
        <v/>
      </c>
      <c r="K332">
        <f>IF($I332="","",IF($F332=IFERROR(INDEX(спр_Материалы!$G$2:$G$9000,MATCH($I332,спр_Материалы!$A$2:$A$9000,0)),""),"OK","!! не та группа"))</f>
        <v/>
      </c>
      <c r="L332" s="10">
        <f>IFERROR(INDEX(спр_Работы!$H$2:$H$6000,MATCH($C332,спр_Работы!$A$2:$A$6000,0))*(1-ДисконтТендер),0)</f>
        <v/>
      </c>
      <c r="M332" s="10">
        <f>IF($I332="",0,IFERROR(INDEX(спр_Материалы!$I$2:$I$9000,MATCH($I332,спр_Материалы!$A$2:$A$9000,0))*IF(INDEX(спр_Материалы!$J$2:$J$9000,MATCH($I332,спр_Материалы!$A$2:$A$9000,0))="USD",КурсUSD,IF(INDEX(спр_Материалы!$J$2:$J$9000,MATCH($I332,спр_Материалы!$A$2:$A$9000,0))="EUR",КурсEUR,1))*INDEX(спр_Материалы!$K$2:$K$9000,MATCH($I332,спр_Материалы!$A$2:$A$9000,0))*(1+IFERROR(INDEX(спр_Работы!$I$2:$I$6000,MATCH($C332,спр_Работы!$A$2:$A$6000,0))/100,0))*(1-ДисконтТендер),0))</f>
        <v/>
      </c>
      <c r="N332" s="10">
        <f>IF(AND($R332="да",$H332&lt;&gt;""),ROUND($H332*$L332,2),0)</f>
        <v/>
      </c>
      <c r="O332" s="10">
        <f>IF(AND($R332="да",$H332&lt;&gt;""),ROUND($H332*$M332,2),0)</f>
        <v/>
      </c>
      <c r="P332" s="10">
        <f>$N332+$O332</f>
        <v/>
      </c>
      <c r="Q332">
        <f>IFERROR(INDEX(спр_Работы!$J$2:$J$6000,MATCH($C332,спр_Работы!$A$2:$A$6000,0)),"")</f>
        <v/>
      </c>
      <c r="R332" t="inlineStr">
        <is>
          <t>да</t>
        </is>
      </c>
      <c r="T332">
        <f>IF(AND($P332&gt;0,$R332="да"),MAX($T$1:$T331)+1,"")</f>
        <v/>
      </c>
    </row>
    <row r="333">
      <c r="A333">
        <f>IFERROR(INDEX(спр_Работы!$D$2:$D$6000,MATCH($C333,спр_Работы!$A$2:$A$6000,0)),"")</f>
        <v/>
      </c>
      <c r="B333">
        <f>IFERROR(INDEX(спр_Работы!$F$2:$F$6000,MATCH($C333,спр_Работы!$A$2:$A$6000,0)),"")</f>
        <v/>
      </c>
      <c r="C333">
        <f>IFERROR(INDEX(спр_Работы!$A$2:$A$6000,332),"")</f>
        <v/>
      </c>
      <c r="D333" s="8">
        <f>IFERROR(INDEX(спр_Работы!$B$2:$B$6000,MATCH($C333,спр_Работы!$A$2:$A$6000,0)),"")</f>
        <v/>
      </c>
      <c r="E333">
        <f>IFERROR(INDEX(спр_Работы!$C$2:$C$6000,MATCH($C333,спр_Работы!$A$2:$A$6000,0)),"")</f>
        <v/>
      </c>
      <c r="F333">
        <f>IFERROR(INDEX(спр_Работы!$G$2:$G$6000,MATCH($C333,спр_Работы!$A$2:$A$6000,0)),"")</f>
        <v/>
      </c>
      <c r="G333">
        <f>IFERROR(INDEX(спр_Работы!$K$2:$K$6000,MATCH($C333,спр_Работы!$A$2:$A$6000,0)),"")</f>
        <v/>
      </c>
      <c r="H333" s="9" t="n"/>
      <c r="I333" s="9" t="n"/>
      <c r="J333" s="8">
        <f>IFERROR(INDEX(спр_Материалы!$B$2:$B$9000,MATCH($I333,спр_Материалы!$A$2:$A$9000,0)),"")</f>
        <v/>
      </c>
      <c r="K333">
        <f>IF($I333="","",IF($F333=IFERROR(INDEX(спр_Материалы!$G$2:$G$9000,MATCH($I333,спр_Материалы!$A$2:$A$9000,0)),""),"OK","!! не та группа"))</f>
        <v/>
      </c>
      <c r="L333" s="10">
        <f>IFERROR(INDEX(спр_Работы!$H$2:$H$6000,MATCH($C333,спр_Работы!$A$2:$A$6000,0))*(1-ДисконтТендер),0)</f>
        <v/>
      </c>
      <c r="M333" s="10">
        <f>IF($I333="",0,IFERROR(INDEX(спр_Материалы!$I$2:$I$9000,MATCH($I333,спр_Материалы!$A$2:$A$9000,0))*IF(INDEX(спр_Материалы!$J$2:$J$9000,MATCH($I333,спр_Материалы!$A$2:$A$9000,0))="USD",КурсUSD,IF(INDEX(спр_Материалы!$J$2:$J$9000,MATCH($I333,спр_Материалы!$A$2:$A$9000,0))="EUR",КурсEUR,1))*INDEX(спр_Материалы!$K$2:$K$9000,MATCH($I333,спр_Материалы!$A$2:$A$9000,0))*(1+IFERROR(INDEX(спр_Работы!$I$2:$I$6000,MATCH($C333,спр_Работы!$A$2:$A$6000,0))/100,0))*(1-ДисконтТендер),0))</f>
        <v/>
      </c>
      <c r="N333" s="10">
        <f>IF(AND($R333="да",$H333&lt;&gt;""),ROUND($H333*$L333,2),0)</f>
        <v/>
      </c>
      <c r="O333" s="10">
        <f>IF(AND($R333="да",$H333&lt;&gt;""),ROUND($H333*$M333,2),0)</f>
        <v/>
      </c>
      <c r="P333" s="10">
        <f>$N333+$O333</f>
        <v/>
      </c>
      <c r="Q333">
        <f>IFERROR(INDEX(спр_Работы!$J$2:$J$6000,MATCH($C333,спр_Работы!$A$2:$A$6000,0)),"")</f>
        <v/>
      </c>
      <c r="R333" t="inlineStr">
        <is>
          <t>да</t>
        </is>
      </c>
      <c r="T333">
        <f>IF(AND($P333&gt;0,$R333="да"),MAX($T$1:$T332)+1,"")</f>
        <v/>
      </c>
    </row>
    <row r="334">
      <c r="A334">
        <f>IFERROR(INDEX(спр_Работы!$D$2:$D$6000,MATCH($C334,спр_Работы!$A$2:$A$6000,0)),"")</f>
        <v/>
      </c>
      <c r="B334">
        <f>IFERROR(INDEX(спр_Работы!$F$2:$F$6000,MATCH($C334,спр_Работы!$A$2:$A$6000,0)),"")</f>
        <v/>
      </c>
      <c r="C334">
        <f>IFERROR(INDEX(спр_Работы!$A$2:$A$6000,333),"")</f>
        <v/>
      </c>
      <c r="D334" s="8">
        <f>IFERROR(INDEX(спр_Работы!$B$2:$B$6000,MATCH($C334,спр_Работы!$A$2:$A$6000,0)),"")</f>
        <v/>
      </c>
      <c r="E334">
        <f>IFERROR(INDEX(спр_Работы!$C$2:$C$6000,MATCH($C334,спр_Работы!$A$2:$A$6000,0)),"")</f>
        <v/>
      </c>
      <c r="F334">
        <f>IFERROR(INDEX(спр_Работы!$G$2:$G$6000,MATCH($C334,спр_Работы!$A$2:$A$6000,0)),"")</f>
        <v/>
      </c>
      <c r="G334">
        <f>IFERROR(INDEX(спр_Работы!$K$2:$K$6000,MATCH($C334,спр_Работы!$A$2:$A$6000,0)),"")</f>
        <v/>
      </c>
      <c r="H334" s="9" t="n"/>
      <c r="I334" s="9" t="n"/>
      <c r="J334" s="8">
        <f>IFERROR(INDEX(спр_Материалы!$B$2:$B$9000,MATCH($I334,спр_Материалы!$A$2:$A$9000,0)),"")</f>
        <v/>
      </c>
      <c r="K334">
        <f>IF($I334="","",IF($F334=IFERROR(INDEX(спр_Материалы!$G$2:$G$9000,MATCH($I334,спр_Материалы!$A$2:$A$9000,0)),""),"OK","!! не та группа"))</f>
        <v/>
      </c>
      <c r="L334" s="10">
        <f>IFERROR(INDEX(спр_Работы!$H$2:$H$6000,MATCH($C334,спр_Работы!$A$2:$A$6000,0))*(1-ДисконтТендер),0)</f>
        <v/>
      </c>
      <c r="M334" s="10">
        <f>IF($I334="",0,IFERROR(INDEX(спр_Материалы!$I$2:$I$9000,MATCH($I334,спр_Материалы!$A$2:$A$9000,0))*IF(INDEX(спр_Материалы!$J$2:$J$9000,MATCH($I334,спр_Материалы!$A$2:$A$9000,0))="USD",КурсUSD,IF(INDEX(спр_Материалы!$J$2:$J$9000,MATCH($I334,спр_Материалы!$A$2:$A$9000,0))="EUR",КурсEUR,1))*INDEX(спр_Материалы!$K$2:$K$9000,MATCH($I334,спр_Материалы!$A$2:$A$9000,0))*(1+IFERROR(INDEX(спр_Работы!$I$2:$I$6000,MATCH($C334,спр_Работы!$A$2:$A$6000,0))/100,0))*(1-ДисконтТендер),0))</f>
        <v/>
      </c>
      <c r="N334" s="10">
        <f>IF(AND($R334="да",$H334&lt;&gt;""),ROUND($H334*$L334,2),0)</f>
        <v/>
      </c>
      <c r="O334" s="10">
        <f>IF(AND($R334="да",$H334&lt;&gt;""),ROUND($H334*$M334,2),0)</f>
        <v/>
      </c>
      <c r="P334" s="10">
        <f>$N334+$O334</f>
        <v/>
      </c>
      <c r="Q334">
        <f>IFERROR(INDEX(спр_Работы!$J$2:$J$6000,MATCH($C334,спр_Работы!$A$2:$A$6000,0)),"")</f>
        <v/>
      </c>
      <c r="R334" t="inlineStr">
        <is>
          <t>да</t>
        </is>
      </c>
      <c r="T334">
        <f>IF(AND($P334&gt;0,$R334="да"),MAX($T$1:$T333)+1,"")</f>
        <v/>
      </c>
    </row>
    <row r="335">
      <c r="A335">
        <f>IFERROR(INDEX(спр_Работы!$D$2:$D$6000,MATCH($C335,спр_Работы!$A$2:$A$6000,0)),"")</f>
        <v/>
      </c>
      <c r="B335">
        <f>IFERROR(INDEX(спр_Работы!$F$2:$F$6000,MATCH($C335,спр_Работы!$A$2:$A$6000,0)),"")</f>
        <v/>
      </c>
      <c r="C335">
        <f>IFERROR(INDEX(спр_Работы!$A$2:$A$6000,334),"")</f>
        <v/>
      </c>
      <c r="D335" s="8">
        <f>IFERROR(INDEX(спр_Работы!$B$2:$B$6000,MATCH($C335,спр_Работы!$A$2:$A$6000,0)),"")</f>
        <v/>
      </c>
      <c r="E335">
        <f>IFERROR(INDEX(спр_Работы!$C$2:$C$6000,MATCH($C335,спр_Работы!$A$2:$A$6000,0)),"")</f>
        <v/>
      </c>
      <c r="F335">
        <f>IFERROR(INDEX(спр_Работы!$G$2:$G$6000,MATCH($C335,спр_Работы!$A$2:$A$6000,0)),"")</f>
        <v/>
      </c>
      <c r="G335">
        <f>IFERROR(INDEX(спр_Работы!$K$2:$K$6000,MATCH($C335,спр_Работы!$A$2:$A$6000,0)),"")</f>
        <v/>
      </c>
      <c r="H335" s="9" t="n"/>
      <c r="I335" s="9" t="n"/>
      <c r="J335" s="8">
        <f>IFERROR(INDEX(спр_Материалы!$B$2:$B$9000,MATCH($I335,спр_Материалы!$A$2:$A$9000,0)),"")</f>
        <v/>
      </c>
      <c r="K335">
        <f>IF($I335="","",IF($F335=IFERROR(INDEX(спр_Материалы!$G$2:$G$9000,MATCH($I335,спр_Материалы!$A$2:$A$9000,0)),""),"OK","!! не та группа"))</f>
        <v/>
      </c>
      <c r="L335" s="10">
        <f>IFERROR(INDEX(спр_Работы!$H$2:$H$6000,MATCH($C335,спр_Работы!$A$2:$A$6000,0))*(1-ДисконтТендер),0)</f>
        <v/>
      </c>
      <c r="M335" s="10">
        <f>IF($I335="",0,IFERROR(INDEX(спр_Материалы!$I$2:$I$9000,MATCH($I335,спр_Материалы!$A$2:$A$9000,0))*IF(INDEX(спр_Материалы!$J$2:$J$9000,MATCH($I335,спр_Материалы!$A$2:$A$9000,0))="USD",КурсUSD,IF(INDEX(спр_Материалы!$J$2:$J$9000,MATCH($I335,спр_Материалы!$A$2:$A$9000,0))="EUR",КурсEUR,1))*INDEX(спр_Материалы!$K$2:$K$9000,MATCH($I335,спр_Материалы!$A$2:$A$9000,0))*(1+IFERROR(INDEX(спр_Работы!$I$2:$I$6000,MATCH($C335,спр_Работы!$A$2:$A$6000,0))/100,0))*(1-ДисконтТендер),0))</f>
        <v/>
      </c>
      <c r="N335" s="10">
        <f>IF(AND($R335="да",$H335&lt;&gt;""),ROUND($H335*$L335,2),0)</f>
        <v/>
      </c>
      <c r="O335" s="10">
        <f>IF(AND($R335="да",$H335&lt;&gt;""),ROUND($H335*$M335,2),0)</f>
        <v/>
      </c>
      <c r="P335" s="10">
        <f>$N335+$O335</f>
        <v/>
      </c>
      <c r="Q335">
        <f>IFERROR(INDEX(спр_Работы!$J$2:$J$6000,MATCH($C335,спр_Работы!$A$2:$A$6000,0)),"")</f>
        <v/>
      </c>
      <c r="R335" t="inlineStr">
        <is>
          <t>да</t>
        </is>
      </c>
      <c r="T335">
        <f>IF(AND($P335&gt;0,$R335="да"),MAX($T$1:$T334)+1,"")</f>
        <v/>
      </c>
    </row>
    <row r="336">
      <c r="A336">
        <f>IFERROR(INDEX(спр_Работы!$D$2:$D$6000,MATCH($C336,спр_Работы!$A$2:$A$6000,0)),"")</f>
        <v/>
      </c>
      <c r="B336">
        <f>IFERROR(INDEX(спр_Работы!$F$2:$F$6000,MATCH($C336,спр_Работы!$A$2:$A$6000,0)),"")</f>
        <v/>
      </c>
      <c r="C336">
        <f>IFERROR(INDEX(спр_Работы!$A$2:$A$6000,335),"")</f>
        <v/>
      </c>
      <c r="D336" s="8">
        <f>IFERROR(INDEX(спр_Работы!$B$2:$B$6000,MATCH($C336,спр_Работы!$A$2:$A$6000,0)),"")</f>
        <v/>
      </c>
      <c r="E336">
        <f>IFERROR(INDEX(спр_Работы!$C$2:$C$6000,MATCH($C336,спр_Работы!$A$2:$A$6000,0)),"")</f>
        <v/>
      </c>
      <c r="F336">
        <f>IFERROR(INDEX(спр_Работы!$G$2:$G$6000,MATCH($C336,спр_Работы!$A$2:$A$6000,0)),"")</f>
        <v/>
      </c>
      <c r="G336">
        <f>IFERROR(INDEX(спр_Работы!$K$2:$K$6000,MATCH($C336,спр_Работы!$A$2:$A$6000,0)),"")</f>
        <v/>
      </c>
      <c r="H336" s="9" t="n"/>
      <c r="I336" s="9" t="n"/>
      <c r="J336" s="8">
        <f>IFERROR(INDEX(спр_Материалы!$B$2:$B$9000,MATCH($I336,спр_Материалы!$A$2:$A$9000,0)),"")</f>
        <v/>
      </c>
      <c r="K336">
        <f>IF($I336="","",IF($F336=IFERROR(INDEX(спр_Материалы!$G$2:$G$9000,MATCH($I336,спр_Материалы!$A$2:$A$9000,0)),""),"OK","!! не та группа"))</f>
        <v/>
      </c>
      <c r="L336" s="10">
        <f>IFERROR(INDEX(спр_Работы!$H$2:$H$6000,MATCH($C336,спр_Работы!$A$2:$A$6000,0))*(1-ДисконтТендер),0)</f>
        <v/>
      </c>
      <c r="M336" s="10">
        <f>IF($I336="",0,IFERROR(INDEX(спр_Материалы!$I$2:$I$9000,MATCH($I336,спр_Материалы!$A$2:$A$9000,0))*IF(INDEX(спр_Материалы!$J$2:$J$9000,MATCH($I336,спр_Материалы!$A$2:$A$9000,0))="USD",КурсUSD,IF(INDEX(спр_Материалы!$J$2:$J$9000,MATCH($I336,спр_Материалы!$A$2:$A$9000,0))="EUR",КурсEUR,1))*INDEX(спр_Материалы!$K$2:$K$9000,MATCH($I336,спр_Материалы!$A$2:$A$9000,0))*(1+IFERROR(INDEX(спр_Работы!$I$2:$I$6000,MATCH($C336,спр_Работы!$A$2:$A$6000,0))/100,0))*(1-ДисконтТендер),0))</f>
        <v/>
      </c>
      <c r="N336" s="10">
        <f>IF(AND($R336="да",$H336&lt;&gt;""),ROUND($H336*$L336,2),0)</f>
        <v/>
      </c>
      <c r="O336" s="10">
        <f>IF(AND($R336="да",$H336&lt;&gt;""),ROUND($H336*$M336,2),0)</f>
        <v/>
      </c>
      <c r="P336" s="10">
        <f>$N336+$O336</f>
        <v/>
      </c>
      <c r="Q336">
        <f>IFERROR(INDEX(спр_Работы!$J$2:$J$6000,MATCH($C336,спр_Работы!$A$2:$A$6000,0)),"")</f>
        <v/>
      </c>
      <c r="R336" t="inlineStr">
        <is>
          <t>да</t>
        </is>
      </c>
      <c r="T336">
        <f>IF(AND($P336&gt;0,$R336="да"),MAX($T$1:$T335)+1,"")</f>
        <v/>
      </c>
    </row>
    <row r="337">
      <c r="A337">
        <f>IFERROR(INDEX(спр_Работы!$D$2:$D$6000,MATCH($C337,спр_Работы!$A$2:$A$6000,0)),"")</f>
        <v/>
      </c>
      <c r="B337">
        <f>IFERROR(INDEX(спр_Работы!$F$2:$F$6000,MATCH($C337,спр_Работы!$A$2:$A$6000,0)),"")</f>
        <v/>
      </c>
      <c r="C337">
        <f>IFERROR(INDEX(спр_Работы!$A$2:$A$6000,336),"")</f>
        <v/>
      </c>
      <c r="D337" s="8">
        <f>IFERROR(INDEX(спр_Работы!$B$2:$B$6000,MATCH($C337,спр_Работы!$A$2:$A$6000,0)),"")</f>
        <v/>
      </c>
      <c r="E337">
        <f>IFERROR(INDEX(спр_Работы!$C$2:$C$6000,MATCH($C337,спр_Работы!$A$2:$A$6000,0)),"")</f>
        <v/>
      </c>
      <c r="F337">
        <f>IFERROR(INDEX(спр_Работы!$G$2:$G$6000,MATCH($C337,спр_Работы!$A$2:$A$6000,0)),"")</f>
        <v/>
      </c>
      <c r="G337">
        <f>IFERROR(INDEX(спр_Работы!$K$2:$K$6000,MATCH($C337,спр_Работы!$A$2:$A$6000,0)),"")</f>
        <v/>
      </c>
      <c r="H337" s="9" t="n"/>
      <c r="I337" s="9" t="n"/>
      <c r="J337" s="8">
        <f>IFERROR(INDEX(спр_Материалы!$B$2:$B$9000,MATCH($I337,спр_Материалы!$A$2:$A$9000,0)),"")</f>
        <v/>
      </c>
      <c r="K337">
        <f>IF($I337="","",IF($F337=IFERROR(INDEX(спр_Материалы!$G$2:$G$9000,MATCH($I337,спр_Материалы!$A$2:$A$9000,0)),""),"OK","!! не та группа"))</f>
        <v/>
      </c>
      <c r="L337" s="10">
        <f>IFERROR(INDEX(спр_Работы!$H$2:$H$6000,MATCH($C337,спр_Работы!$A$2:$A$6000,0))*(1-ДисконтТендер),0)</f>
        <v/>
      </c>
      <c r="M337" s="10">
        <f>IF($I337="",0,IFERROR(INDEX(спр_Материалы!$I$2:$I$9000,MATCH($I337,спр_Материалы!$A$2:$A$9000,0))*IF(INDEX(спр_Материалы!$J$2:$J$9000,MATCH($I337,спр_Материалы!$A$2:$A$9000,0))="USD",КурсUSD,IF(INDEX(спр_Материалы!$J$2:$J$9000,MATCH($I337,спр_Материалы!$A$2:$A$9000,0))="EUR",КурсEUR,1))*INDEX(спр_Материалы!$K$2:$K$9000,MATCH($I337,спр_Материалы!$A$2:$A$9000,0))*(1+IFERROR(INDEX(спр_Работы!$I$2:$I$6000,MATCH($C337,спр_Работы!$A$2:$A$6000,0))/100,0))*(1-ДисконтТендер),0))</f>
        <v/>
      </c>
      <c r="N337" s="10">
        <f>IF(AND($R337="да",$H337&lt;&gt;""),ROUND($H337*$L337,2),0)</f>
        <v/>
      </c>
      <c r="O337" s="10">
        <f>IF(AND($R337="да",$H337&lt;&gt;""),ROUND($H337*$M337,2),0)</f>
        <v/>
      </c>
      <c r="P337" s="10">
        <f>$N337+$O337</f>
        <v/>
      </c>
      <c r="Q337">
        <f>IFERROR(INDEX(спр_Работы!$J$2:$J$6000,MATCH($C337,спр_Работы!$A$2:$A$6000,0)),"")</f>
        <v/>
      </c>
      <c r="R337" t="inlineStr">
        <is>
          <t>да</t>
        </is>
      </c>
      <c r="T337">
        <f>IF(AND($P337&gt;0,$R337="да"),MAX($T$1:$T336)+1,"")</f>
        <v/>
      </c>
    </row>
    <row r="338">
      <c r="A338">
        <f>IFERROR(INDEX(спр_Работы!$D$2:$D$6000,MATCH($C338,спр_Работы!$A$2:$A$6000,0)),"")</f>
        <v/>
      </c>
      <c r="B338">
        <f>IFERROR(INDEX(спр_Работы!$F$2:$F$6000,MATCH($C338,спр_Работы!$A$2:$A$6000,0)),"")</f>
        <v/>
      </c>
      <c r="C338">
        <f>IFERROR(INDEX(спр_Работы!$A$2:$A$6000,337),"")</f>
        <v/>
      </c>
      <c r="D338" s="8">
        <f>IFERROR(INDEX(спр_Работы!$B$2:$B$6000,MATCH($C338,спр_Работы!$A$2:$A$6000,0)),"")</f>
        <v/>
      </c>
      <c r="E338">
        <f>IFERROR(INDEX(спр_Работы!$C$2:$C$6000,MATCH($C338,спр_Работы!$A$2:$A$6000,0)),"")</f>
        <v/>
      </c>
      <c r="F338">
        <f>IFERROR(INDEX(спр_Работы!$G$2:$G$6000,MATCH($C338,спр_Работы!$A$2:$A$6000,0)),"")</f>
        <v/>
      </c>
      <c r="G338">
        <f>IFERROR(INDEX(спр_Работы!$K$2:$K$6000,MATCH($C338,спр_Работы!$A$2:$A$6000,0)),"")</f>
        <v/>
      </c>
      <c r="H338" s="9" t="n"/>
      <c r="I338" s="9" t="n"/>
      <c r="J338" s="8">
        <f>IFERROR(INDEX(спр_Материалы!$B$2:$B$9000,MATCH($I338,спр_Материалы!$A$2:$A$9000,0)),"")</f>
        <v/>
      </c>
      <c r="K338">
        <f>IF($I338="","",IF($F338=IFERROR(INDEX(спр_Материалы!$G$2:$G$9000,MATCH($I338,спр_Материалы!$A$2:$A$9000,0)),""),"OK","!! не та группа"))</f>
        <v/>
      </c>
      <c r="L338" s="10">
        <f>IFERROR(INDEX(спр_Работы!$H$2:$H$6000,MATCH($C338,спр_Работы!$A$2:$A$6000,0))*(1-ДисконтТендер),0)</f>
        <v/>
      </c>
      <c r="M338" s="10">
        <f>IF($I338="",0,IFERROR(INDEX(спр_Материалы!$I$2:$I$9000,MATCH($I338,спр_Материалы!$A$2:$A$9000,0))*IF(INDEX(спр_Материалы!$J$2:$J$9000,MATCH($I338,спр_Материалы!$A$2:$A$9000,0))="USD",КурсUSD,IF(INDEX(спр_Материалы!$J$2:$J$9000,MATCH($I338,спр_Материалы!$A$2:$A$9000,0))="EUR",КурсEUR,1))*INDEX(спр_Материалы!$K$2:$K$9000,MATCH($I338,спр_Материалы!$A$2:$A$9000,0))*(1+IFERROR(INDEX(спр_Работы!$I$2:$I$6000,MATCH($C338,спр_Работы!$A$2:$A$6000,0))/100,0))*(1-ДисконтТендер),0))</f>
        <v/>
      </c>
      <c r="N338" s="10">
        <f>IF(AND($R338="да",$H338&lt;&gt;""),ROUND($H338*$L338,2),0)</f>
        <v/>
      </c>
      <c r="O338" s="10">
        <f>IF(AND($R338="да",$H338&lt;&gt;""),ROUND($H338*$M338,2),0)</f>
        <v/>
      </c>
      <c r="P338" s="10">
        <f>$N338+$O338</f>
        <v/>
      </c>
      <c r="Q338">
        <f>IFERROR(INDEX(спр_Работы!$J$2:$J$6000,MATCH($C338,спр_Работы!$A$2:$A$6000,0)),"")</f>
        <v/>
      </c>
      <c r="R338" t="inlineStr">
        <is>
          <t>да</t>
        </is>
      </c>
      <c r="T338">
        <f>IF(AND($P338&gt;0,$R338="да"),MAX($T$1:$T337)+1,"")</f>
        <v/>
      </c>
    </row>
    <row r="339">
      <c r="A339">
        <f>IFERROR(INDEX(спр_Работы!$D$2:$D$6000,MATCH($C339,спр_Работы!$A$2:$A$6000,0)),"")</f>
        <v/>
      </c>
      <c r="B339">
        <f>IFERROR(INDEX(спр_Работы!$F$2:$F$6000,MATCH($C339,спр_Работы!$A$2:$A$6000,0)),"")</f>
        <v/>
      </c>
      <c r="C339">
        <f>IFERROR(INDEX(спр_Работы!$A$2:$A$6000,338),"")</f>
        <v/>
      </c>
      <c r="D339" s="8">
        <f>IFERROR(INDEX(спр_Работы!$B$2:$B$6000,MATCH($C339,спр_Работы!$A$2:$A$6000,0)),"")</f>
        <v/>
      </c>
      <c r="E339">
        <f>IFERROR(INDEX(спр_Работы!$C$2:$C$6000,MATCH($C339,спр_Работы!$A$2:$A$6000,0)),"")</f>
        <v/>
      </c>
      <c r="F339">
        <f>IFERROR(INDEX(спр_Работы!$G$2:$G$6000,MATCH($C339,спр_Работы!$A$2:$A$6000,0)),"")</f>
        <v/>
      </c>
      <c r="G339">
        <f>IFERROR(INDEX(спр_Работы!$K$2:$K$6000,MATCH($C339,спр_Работы!$A$2:$A$6000,0)),"")</f>
        <v/>
      </c>
      <c r="H339" s="9" t="n"/>
      <c r="I339" s="9" t="n"/>
      <c r="J339" s="8">
        <f>IFERROR(INDEX(спр_Материалы!$B$2:$B$9000,MATCH($I339,спр_Материалы!$A$2:$A$9000,0)),"")</f>
        <v/>
      </c>
      <c r="K339">
        <f>IF($I339="","",IF($F339=IFERROR(INDEX(спр_Материалы!$G$2:$G$9000,MATCH($I339,спр_Материалы!$A$2:$A$9000,0)),""),"OK","!! не та группа"))</f>
        <v/>
      </c>
      <c r="L339" s="10">
        <f>IFERROR(INDEX(спр_Работы!$H$2:$H$6000,MATCH($C339,спр_Работы!$A$2:$A$6000,0))*(1-ДисконтТендер),0)</f>
        <v/>
      </c>
      <c r="M339" s="10">
        <f>IF($I339="",0,IFERROR(INDEX(спр_Материалы!$I$2:$I$9000,MATCH($I339,спр_Материалы!$A$2:$A$9000,0))*IF(INDEX(спр_Материалы!$J$2:$J$9000,MATCH($I339,спр_Материалы!$A$2:$A$9000,0))="USD",КурсUSD,IF(INDEX(спр_Материалы!$J$2:$J$9000,MATCH($I339,спр_Материалы!$A$2:$A$9000,0))="EUR",КурсEUR,1))*INDEX(спр_Материалы!$K$2:$K$9000,MATCH($I339,спр_Материалы!$A$2:$A$9000,0))*(1+IFERROR(INDEX(спр_Работы!$I$2:$I$6000,MATCH($C339,спр_Работы!$A$2:$A$6000,0))/100,0))*(1-ДисконтТендер),0))</f>
        <v/>
      </c>
      <c r="N339" s="10">
        <f>IF(AND($R339="да",$H339&lt;&gt;""),ROUND($H339*$L339,2),0)</f>
        <v/>
      </c>
      <c r="O339" s="10">
        <f>IF(AND($R339="да",$H339&lt;&gt;""),ROUND($H339*$M339,2),0)</f>
        <v/>
      </c>
      <c r="P339" s="10">
        <f>$N339+$O339</f>
        <v/>
      </c>
      <c r="Q339">
        <f>IFERROR(INDEX(спр_Работы!$J$2:$J$6000,MATCH($C339,спр_Работы!$A$2:$A$6000,0)),"")</f>
        <v/>
      </c>
      <c r="R339" t="inlineStr">
        <is>
          <t>да</t>
        </is>
      </c>
      <c r="T339">
        <f>IF(AND($P339&gt;0,$R339="да"),MAX($T$1:$T338)+1,"")</f>
        <v/>
      </c>
    </row>
    <row r="340">
      <c r="A340">
        <f>IFERROR(INDEX(спр_Работы!$D$2:$D$6000,MATCH($C340,спр_Работы!$A$2:$A$6000,0)),"")</f>
        <v/>
      </c>
      <c r="B340">
        <f>IFERROR(INDEX(спр_Работы!$F$2:$F$6000,MATCH($C340,спр_Работы!$A$2:$A$6000,0)),"")</f>
        <v/>
      </c>
      <c r="C340">
        <f>IFERROR(INDEX(спр_Работы!$A$2:$A$6000,339),"")</f>
        <v/>
      </c>
      <c r="D340" s="8">
        <f>IFERROR(INDEX(спр_Работы!$B$2:$B$6000,MATCH($C340,спр_Работы!$A$2:$A$6000,0)),"")</f>
        <v/>
      </c>
      <c r="E340">
        <f>IFERROR(INDEX(спр_Работы!$C$2:$C$6000,MATCH($C340,спр_Работы!$A$2:$A$6000,0)),"")</f>
        <v/>
      </c>
      <c r="F340">
        <f>IFERROR(INDEX(спр_Работы!$G$2:$G$6000,MATCH($C340,спр_Работы!$A$2:$A$6000,0)),"")</f>
        <v/>
      </c>
      <c r="G340">
        <f>IFERROR(INDEX(спр_Работы!$K$2:$K$6000,MATCH($C340,спр_Работы!$A$2:$A$6000,0)),"")</f>
        <v/>
      </c>
      <c r="H340" s="9" t="n"/>
      <c r="I340" s="9" t="n"/>
      <c r="J340" s="8">
        <f>IFERROR(INDEX(спр_Материалы!$B$2:$B$9000,MATCH($I340,спр_Материалы!$A$2:$A$9000,0)),"")</f>
        <v/>
      </c>
      <c r="K340">
        <f>IF($I340="","",IF($F340=IFERROR(INDEX(спр_Материалы!$G$2:$G$9000,MATCH($I340,спр_Материалы!$A$2:$A$9000,0)),""),"OK","!! не та группа"))</f>
        <v/>
      </c>
      <c r="L340" s="10">
        <f>IFERROR(INDEX(спр_Работы!$H$2:$H$6000,MATCH($C340,спр_Работы!$A$2:$A$6000,0))*(1-ДисконтТендер),0)</f>
        <v/>
      </c>
      <c r="M340" s="10">
        <f>IF($I340="",0,IFERROR(INDEX(спр_Материалы!$I$2:$I$9000,MATCH($I340,спр_Материалы!$A$2:$A$9000,0))*IF(INDEX(спр_Материалы!$J$2:$J$9000,MATCH($I340,спр_Материалы!$A$2:$A$9000,0))="USD",КурсUSD,IF(INDEX(спр_Материалы!$J$2:$J$9000,MATCH($I340,спр_Материалы!$A$2:$A$9000,0))="EUR",КурсEUR,1))*INDEX(спр_Материалы!$K$2:$K$9000,MATCH($I340,спр_Материалы!$A$2:$A$9000,0))*(1+IFERROR(INDEX(спр_Работы!$I$2:$I$6000,MATCH($C340,спр_Работы!$A$2:$A$6000,0))/100,0))*(1-ДисконтТендер),0))</f>
        <v/>
      </c>
      <c r="N340" s="10">
        <f>IF(AND($R340="да",$H340&lt;&gt;""),ROUND($H340*$L340,2),0)</f>
        <v/>
      </c>
      <c r="O340" s="10">
        <f>IF(AND($R340="да",$H340&lt;&gt;""),ROUND($H340*$M340,2),0)</f>
        <v/>
      </c>
      <c r="P340" s="10">
        <f>$N340+$O340</f>
        <v/>
      </c>
      <c r="Q340">
        <f>IFERROR(INDEX(спр_Работы!$J$2:$J$6000,MATCH($C340,спр_Работы!$A$2:$A$6000,0)),"")</f>
        <v/>
      </c>
      <c r="R340" t="inlineStr">
        <is>
          <t>да</t>
        </is>
      </c>
      <c r="T340">
        <f>IF(AND($P340&gt;0,$R340="да"),MAX($T$1:$T339)+1,"")</f>
        <v/>
      </c>
    </row>
    <row r="341">
      <c r="A341">
        <f>IFERROR(INDEX(спр_Работы!$D$2:$D$6000,MATCH($C341,спр_Работы!$A$2:$A$6000,0)),"")</f>
        <v/>
      </c>
      <c r="B341">
        <f>IFERROR(INDEX(спр_Работы!$F$2:$F$6000,MATCH($C341,спр_Работы!$A$2:$A$6000,0)),"")</f>
        <v/>
      </c>
      <c r="C341">
        <f>IFERROR(INDEX(спр_Работы!$A$2:$A$6000,340),"")</f>
        <v/>
      </c>
      <c r="D341" s="8">
        <f>IFERROR(INDEX(спр_Работы!$B$2:$B$6000,MATCH($C341,спр_Работы!$A$2:$A$6000,0)),"")</f>
        <v/>
      </c>
      <c r="E341">
        <f>IFERROR(INDEX(спр_Работы!$C$2:$C$6000,MATCH($C341,спр_Работы!$A$2:$A$6000,0)),"")</f>
        <v/>
      </c>
      <c r="F341">
        <f>IFERROR(INDEX(спр_Работы!$G$2:$G$6000,MATCH($C341,спр_Работы!$A$2:$A$6000,0)),"")</f>
        <v/>
      </c>
      <c r="G341">
        <f>IFERROR(INDEX(спр_Работы!$K$2:$K$6000,MATCH($C341,спр_Работы!$A$2:$A$6000,0)),"")</f>
        <v/>
      </c>
      <c r="H341" s="9" t="n"/>
      <c r="I341" s="9" t="n"/>
      <c r="J341" s="8">
        <f>IFERROR(INDEX(спр_Материалы!$B$2:$B$9000,MATCH($I341,спр_Материалы!$A$2:$A$9000,0)),"")</f>
        <v/>
      </c>
      <c r="K341">
        <f>IF($I341="","",IF($F341=IFERROR(INDEX(спр_Материалы!$G$2:$G$9000,MATCH($I341,спр_Материалы!$A$2:$A$9000,0)),""),"OK","!! не та группа"))</f>
        <v/>
      </c>
      <c r="L341" s="10">
        <f>IFERROR(INDEX(спр_Работы!$H$2:$H$6000,MATCH($C341,спр_Работы!$A$2:$A$6000,0))*(1-ДисконтТендер),0)</f>
        <v/>
      </c>
      <c r="M341" s="10">
        <f>IF($I341="",0,IFERROR(INDEX(спр_Материалы!$I$2:$I$9000,MATCH($I341,спр_Материалы!$A$2:$A$9000,0))*IF(INDEX(спр_Материалы!$J$2:$J$9000,MATCH($I341,спр_Материалы!$A$2:$A$9000,0))="USD",КурсUSD,IF(INDEX(спр_Материалы!$J$2:$J$9000,MATCH($I341,спр_Материалы!$A$2:$A$9000,0))="EUR",КурсEUR,1))*INDEX(спр_Материалы!$K$2:$K$9000,MATCH($I341,спр_Материалы!$A$2:$A$9000,0))*(1+IFERROR(INDEX(спр_Работы!$I$2:$I$6000,MATCH($C341,спр_Работы!$A$2:$A$6000,0))/100,0))*(1-ДисконтТендер),0))</f>
        <v/>
      </c>
      <c r="N341" s="10">
        <f>IF(AND($R341="да",$H341&lt;&gt;""),ROUND($H341*$L341,2),0)</f>
        <v/>
      </c>
      <c r="O341" s="10">
        <f>IF(AND($R341="да",$H341&lt;&gt;""),ROUND($H341*$M341,2),0)</f>
        <v/>
      </c>
      <c r="P341" s="10">
        <f>$N341+$O341</f>
        <v/>
      </c>
      <c r="Q341">
        <f>IFERROR(INDEX(спр_Работы!$J$2:$J$6000,MATCH($C341,спр_Работы!$A$2:$A$6000,0)),"")</f>
        <v/>
      </c>
      <c r="R341" t="inlineStr">
        <is>
          <t>да</t>
        </is>
      </c>
      <c r="T341">
        <f>IF(AND($P341&gt;0,$R341="да"),MAX($T$1:$T340)+1,"")</f>
        <v/>
      </c>
    </row>
    <row r="342">
      <c r="A342">
        <f>IFERROR(INDEX(спр_Работы!$D$2:$D$6000,MATCH($C342,спр_Работы!$A$2:$A$6000,0)),"")</f>
        <v/>
      </c>
      <c r="B342">
        <f>IFERROR(INDEX(спр_Работы!$F$2:$F$6000,MATCH($C342,спр_Работы!$A$2:$A$6000,0)),"")</f>
        <v/>
      </c>
      <c r="C342">
        <f>IFERROR(INDEX(спр_Работы!$A$2:$A$6000,341),"")</f>
        <v/>
      </c>
      <c r="D342" s="8">
        <f>IFERROR(INDEX(спр_Работы!$B$2:$B$6000,MATCH($C342,спр_Работы!$A$2:$A$6000,0)),"")</f>
        <v/>
      </c>
      <c r="E342">
        <f>IFERROR(INDEX(спр_Работы!$C$2:$C$6000,MATCH($C342,спр_Работы!$A$2:$A$6000,0)),"")</f>
        <v/>
      </c>
      <c r="F342">
        <f>IFERROR(INDEX(спр_Работы!$G$2:$G$6000,MATCH($C342,спр_Работы!$A$2:$A$6000,0)),"")</f>
        <v/>
      </c>
      <c r="G342">
        <f>IFERROR(INDEX(спр_Работы!$K$2:$K$6000,MATCH($C342,спр_Работы!$A$2:$A$6000,0)),"")</f>
        <v/>
      </c>
      <c r="H342" s="9" t="n"/>
      <c r="I342" s="9" t="n"/>
      <c r="J342" s="8">
        <f>IFERROR(INDEX(спр_Материалы!$B$2:$B$9000,MATCH($I342,спр_Материалы!$A$2:$A$9000,0)),"")</f>
        <v/>
      </c>
      <c r="K342">
        <f>IF($I342="","",IF($F342=IFERROR(INDEX(спр_Материалы!$G$2:$G$9000,MATCH($I342,спр_Материалы!$A$2:$A$9000,0)),""),"OK","!! не та группа"))</f>
        <v/>
      </c>
      <c r="L342" s="10">
        <f>IFERROR(INDEX(спр_Работы!$H$2:$H$6000,MATCH($C342,спр_Работы!$A$2:$A$6000,0))*(1-ДисконтТендер),0)</f>
        <v/>
      </c>
      <c r="M342" s="10">
        <f>IF($I342="",0,IFERROR(INDEX(спр_Материалы!$I$2:$I$9000,MATCH($I342,спр_Материалы!$A$2:$A$9000,0))*IF(INDEX(спр_Материалы!$J$2:$J$9000,MATCH($I342,спр_Материалы!$A$2:$A$9000,0))="USD",КурсUSD,IF(INDEX(спр_Материалы!$J$2:$J$9000,MATCH($I342,спр_Материалы!$A$2:$A$9000,0))="EUR",КурсEUR,1))*INDEX(спр_Материалы!$K$2:$K$9000,MATCH($I342,спр_Материалы!$A$2:$A$9000,0))*(1+IFERROR(INDEX(спр_Работы!$I$2:$I$6000,MATCH($C342,спр_Работы!$A$2:$A$6000,0))/100,0))*(1-ДисконтТендер),0))</f>
        <v/>
      </c>
      <c r="N342" s="10">
        <f>IF(AND($R342="да",$H342&lt;&gt;""),ROUND($H342*$L342,2),0)</f>
        <v/>
      </c>
      <c r="O342" s="10">
        <f>IF(AND($R342="да",$H342&lt;&gt;""),ROUND($H342*$M342,2),0)</f>
        <v/>
      </c>
      <c r="P342" s="10">
        <f>$N342+$O342</f>
        <v/>
      </c>
      <c r="Q342">
        <f>IFERROR(INDEX(спр_Работы!$J$2:$J$6000,MATCH($C342,спр_Работы!$A$2:$A$6000,0)),"")</f>
        <v/>
      </c>
      <c r="R342" t="inlineStr">
        <is>
          <t>да</t>
        </is>
      </c>
      <c r="T342">
        <f>IF(AND($P342&gt;0,$R342="да"),MAX($T$1:$T341)+1,"")</f>
        <v/>
      </c>
    </row>
    <row r="343">
      <c r="A343">
        <f>IFERROR(INDEX(спр_Работы!$D$2:$D$6000,MATCH($C343,спр_Работы!$A$2:$A$6000,0)),"")</f>
        <v/>
      </c>
      <c r="B343">
        <f>IFERROR(INDEX(спр_Работы!$F$2:$F$6000,MATCH($C343,спр_Работы!$A$2:$A$6000,0)),"")</f>
        <v/>
      </c>
      <c r="C343">
        <f>IFERROR(INDEX(спр_Работы!$A$2:$A$6000,342),"")</f>
        <v/>
      </c>
      <c r="D343" s="8">
        <f>IFERROR(INDEX(спр_Работы!$B$2:$B$6000,MATCH($C343,спр_Работы!$A$2:$A$6000,0)),"")</f>
        <v/>
      </c>
      <c r="E343">
        <f>IFERROR(INDEX(спр_Работы!$C$2:$C$6000,MATCH($C343,спр_Работы!$A$2:$A$6000,0)),"")</f>
        <v/>
      </c>
      <c r="F343">
        <f>IFERROR(INDEX(спр_Работы!$G$2:$G$6000,MATCH($C343,спр_Работы!$A$2:$A$6000,0)),"")</f>
        <v/>
      </c>
      <c r="G343">
        <f>IFERROR(INDEX(спр_Работы!$K$2:$K$6000,MATCH($C343,спр_Работы!$A$2:$A$6000,0)),"")</f>
        <v/>
      </c>
      <c r="H343" s="9" t="n"/>
      <c r="I343" s="9" t="n"/>
      <c r="J343" s="8">
        <f>IFERROR(INDEX(спр_Материалы!$B$2:$B$9000,MATCH($I343,спр_Материалы!$A$2:$A$9000,0)),"")</f>
        <v/>
      </c>
      <c r="K343">
        <f>IF($I343="","",IF($F343=IFERROR(INDEX(спр_Материалы!$G$2:$G$9000,MATCH($I343,спр_Материалы!$A$2:$A$9000,0)),""),"OK","!! не та группа"))</f>
        <v/>
      </c>
      <c r="L343" s="10">
        <f>IFERROR(INDEX(спр_Работы!$H$2:$H$6000,MATCH($C343,спр_Работы!$A$2:$A$6000,0))*(1-ДисконтТендер),0)</f>
        <v/>
      </c>
      <c r="M343" s="10">
        <f>IF($I343="",0,IFERROR(INDEX(спр_Материалы!$I$2:$I$9000,MATCH($I343,спр_Материалы!$A$2:$A$9000,0))*IF(INDEX(спр_Материалы!$J$2:$J$9000,MATCH($I343,спр_Материалы!$A$2:$A$9000,0))="USD",КурсUSD,IF(INDEX(спр_Материалы!$J$2:$J$9000,MATCH($I343,спр_Материалы!$A$2:$A$9000,0))="EUR",КурсEUR,1))*INDEX(спр_Материалы!$K$2:$K$9000,MATCH($I343,спр_Материалы!$A$2:$A$9000,0))*(1+IFERROR(INDEX(спр_Работы!$I$2:$I$6000,MATCH($C343,спр_Работы!$A$2:$A$6000,0))/100,0))*(1-ДисконтТендер),0))</f>
        <v/>
      </c>
      <c r="N343" s="10">
        <f>IF(AND($R343="да",$H343&lt;&gt;""),ROUND($H343*$L343,2),0)</f>
        <v/>
      </c>
      <c r="O343" s="10">
        <f>IF(AND($R343="да",$H343&lt;&gt;""),ROUND($H343*$M343,2),0)</f>
        <v/>
      </c>
      <c r="P343" s="10">
        <f>$N343+$O343</f>
        <v/>
      </c>
      <c r="Q343">
        <f>IFERROR(INDEX(спр_Работы!$J$2:$J$6000,MATCH($C343,спр_Работы!$A$2:$A$6000,0)),"")</f>
        <v/>
      </c>
      <c r="R343" t="inlineStr">
        <is>
          <t>да</t>
        </is>
      </c>
      <c r="T343">
        <f>IF(AND($P343&gt;0,$R343="да"),MAX($T$1:$T342)+1,"")</f>
        <v/>
      </c>
    </row>
    <row r="344">
      <c r="A344">
        <f>IFERROR(INDEX(спр_Работы!$D$2:$D$6000,MATCH($C344,спр_Работы!$A$2:$A$6000,0)),"")</f>
        <v/>
      </c>
      <c r="B344">
        <f>IFERROR(INDEX(спр_Работы!$F$2:$F$6000,MATCH($C344,спр_Работы!$A$2:$A$6000,0)),"")</f>
        <v/>
      </c>
      <c r="C344">
        <f>IFERROR(INDEX(спр_Работы!$A$2:$A$6000,343),"")</f>
        <v/>
      </c>
      <c r="D344" s="8">
        <f>IFERROR(INDEX(спр_Работы!$B$2:$B$6000,MATCH($C344,спр_Работы!$A$2:$A$6000,0)),"")</f>
        <v/>
      </c>
      <c r="E344">
        <f>IFERROR(INDEX(спр_Работы!$C$2:$C$6000,MATCH($C344,спр_Работы!$A$2:$A$6000,0)),"")</f>
        <v/>
      </c>
      <c r="F344">
        <f>IFERROR(INDEX(спр_Работы!$G$2:$G$6000,MATCH($C344,спр_Работы!$A$2:$A$6000,0)),"")</f>
        <v/>
      </c>
      <c r="G344">
        <f>IFERROR(INDEX(спр_Работы!$K$2:$K$6000,MATCH($C344,спр_Работы!$A$2:$A$6000,0)),"")</f>
        <v/>
      </c>
      <c r="H344" s="9" t="n"/>
      <c r="I344" s="9" t="n"/>
      <c r="J344" s="8">
        <f>IFERROR(INDEX(спр_Материалы!$B$2:$B$9000,MATCH($I344,спр_Материалы!$A$2:$A$9000,0)),"")</f>
        <v/>
      </c>
      <c r="K344">
        <f>IF($I344="","",IF($F344=IFERROR(INDEX(спр_Материалы!$G$2:$G$9000,MATCH($I344,спр_Материалы!$A$2:$A$9000,0)),""),"OK","!! не та группа"))</f>
        <v/>
      </c>
      <c r="L344" s="10">
        <f>IFERROR(INDEX(спр_Работы!$H$2:$H$6000,MATCH($C344,спр_Работы!$A$2:$A$6000,0))*(1-ДисконтТендер),0)</f>
        <v/>
      </c>
      <c r="M344" s="10">
        <f>IF($I344="",0,IFERROR(INDEX(спр_Материалы!$I$2:$I$9000,MATCH($I344,спр_Материалы!$A$2:$A$9000,0))*IF(INDEX(спр_Материалы!$J$2:$J$9000,MATCH($I344,спр_Материалы!$A$2:$A$9000,0))="USD",КурсUSD,IF(INDEX(спр_Материалы!$J$2:$J$9000,MATCH($I344,спр_Материалы!$A$2:$A$9000,0))="EUR",КурсEUR,1))*INDEX(спр_Материалы!$K$2:$K$9000,MATCH($I344,спр_Материалы!$A$2:$A$9000,0))*(1+IFERROR(INDEX(спр_Работы!$I$2:$I$6000,MATCH($C344,спр_Работы!$A$2:$A$6000,0))/100,0))*(1-ДисконтТендер),0))</f>
        <v/>
      </c>
      <c r="N344" s="10">
        <f>IF(AND($R344="да",$H344&lt;&gt;""),ROUND($H344*$L344,2),0)</f>
        <v/>
      </c>
      <c r="O344" s="10">
        <f>IF(AND($R344="да",$H344&lt;&gt;""),ROUND($H344*$M344,2),0)</f>
        <v/>
      </c>
      <c r="P344" s="10">
        <f>$N344+$O344</f>
        <v/>
      </c>
      <c r="Q344">
        <f>IFERROR(INDEX(спр_Работы!$J$2:$J$6000,MATCH($C344,спр_Работы!$A$2:$A$6000,0)),"")</f>
        <v/>
      </c>
      <c r="R344" t="inlineStr">
        <is>
          <t>да</t>
        </is>
      </c>
      <c r="T344">
        <f>IF(AND($P344&gt;0,$R344="да"),MAX($T$1:$T343)+1,"")</f>
        <v/>
      </c>
    </row>
    <row r="345">
      <c r="A345">
        <f>IFERROR(INDEX(спр_Работы!$D$2:$D$6000,MATCH($C345,спр_Работы!$A$2:$A$6000,0)),"")</f>
        <v/>
      </c>
      <c r="B345">
        <f>IFERROR(INDEX(спр_Работы!$F$2:$F$6000,MATCH($C345,спр_Работы!$A$2:$A$6000,0)),"")</f>
        <v/>
      </c>
      <c r="C345">
        <f>IFERROR(INDEX(спр_Работы!$A$2:$A$6000,344),"")</f>
        <v/>
      </c>
      <c r="D345" s="8">
        <f>IFERROR(INDEX(спр_Работы!$B$2:$B$6000,MATCH($C345,спр_Работы!$A$2:$A$6000,0)),"")</f>
        <v/>
      </c>
      <c r="E345">
        <f>IFERROR(INDEX(спр_Работы!$C$2:$C$6000,MATCH($C345,спр_Работы!$A$2:$A$6000,0)),"")</f>
        <v/>
      </c>
      <c r="F345">
        <f>IFERROR(INDEX(спр_Работы!$G$2:$G$6000,MATCH($C345,спр_Работы!$A$2:$A$6000,0)),"")</f>
        <v/>
      </c>
      <c r="G345">
        <f>IFERROR(INDEX(спр_Работы!$K$2:$K$6000,MATCH($C345,спр_Работы!$A$2:$A$6000,0)),"")</f>
        <v/>
      </c>
      <c r="H345" s="9" t="n"/>
      <c r="I345" s="9" t="n"/>
      <c r="J345" s="8">
        <f>IFERROR(INDEX(спр_Материалы!$B$2:$B$9000,MATCH($I345,спр_Материалы!$A$2:$A$9000,0)),"")</f>
        <v/>
      </c>
      <c r="K345">
        <f>IF($I345="","",IF($F345=IFERROR(INDEX(спр_Материалы!$G$2:$G$9000,MATCH($I345,спр_Материалы!$A$2:$A$9000,0)),""),"OK","!! не та группа"))</f>
        <v/>
      </c>
      <c r="L345" s="10">
        <f>IFERROR(INDEX(спр_Работы!$H$2:$H$6000,MATCH($C345,спр_Работы!$A$2:$A$6000,0))*(1-ДисконтТендер),0)</f>
        <v/>
      </c>
      <c r="M345" s="10">
        <f>IF($I345="",0,IFERROR(INDEX(спр_Материалы!$I$2:$I$9000,MATCH($I345,спр_Материалы!$A$2:$A$9000,0))*IF(INDEX(спр_Материалы!$J$2:$J$9000,MATCH($I345,спр_Материалы!$A$2:$A$9000,0))="USD",КурсUSD,IF(INDEX(спр_Материалы!$J$2:$J$9000,MATCH($I345,спр_Материалы!$A$2:$A$9000,0))="EUR",КурсEUR,1))*INDEX(спр_Материалы!$K$2:$K$9000,MATCH($I345,спр_Материалы!$A$2:$A$9000,0))*(1+IFERROR(INDEX(спр_Работы!$I$2:$I$6000,MATCH($C345,спр_Работы!$A$2:$A$6000,0))/100,0))*(1-ДисконтТендер),0))</f>
        <v/>
      </c>
      <c r="N345" s="10">
        <f>IF(AND($R345="да",$H345&lt;&gt;""),ROUND($H345*$L345,2),0)</f>
        <v/>
      </c>
      <c r="O345" s="10">
        <f>IF(AND($R345="да",$H345&lt;&gt;""),ROUND($H345*$M345,2),0)</f>
        <v/>
      </c>
      <c r="P345" s="10">
        <f>$N345+$O345</f>
        <v/>
      </c>
      <c r="Q345">
        <f>IFERROR(INDEX(спр_Работы!$J$2:$J$6000,MATCH($C345,спр_Работы!$A$2:$A$6000,0)),"")</f>
        <v/>
      </c>
      <c r="R345" t="inlineStr">
        <is>
          <t>да</t>
        </is>
      </c>
      <c r="T345">
        <f>IF(AND($P345&gt;0,$R345="да"),MAX($T$1:$T344)+1,"")</f>
        <v/>
      </c>
    </row>
    <row r="346">
      <c r="A346">
        <f>IFERROR(INDEX(спр_Работы!$D$2:$D$6000,MATCH($C346,спр_Работы!$A$2:$A$6000,0)),"")</f>
        <v/>
      </c>
      <c r="B346">
        <f>IFERROR(INDEX(спр_Работы!$F$2:$F$6000,MATCH($C346,спр_Работы!$A$2:$A$6000,0)),"")</f>
        <v/>
      </c>
      <c r="C346">
        <f>IFERROR(INDEX(спр_Работы!$A$2:$A$6000,345),"")</f>
        <v/>
      </c>
      <c r="D346" s="8">
        <f>IFERROR(INDEX(спр_Работы!$B$2:$B$6000,MATCH($C346,спр_Работы!$A$2:$A$6000,0)),"")</f>
        <v/>
      </c>
      <c r="E346">
        <f>IFERROR(INDEX(спр_Работы!$C$2:$C$6000,MATCH($C346,спр_Работы!$A$2:$A$6000,0)),"")</f>
        <v/>
      </c>
      <c r="F346">
        <f>IFERROR(INDEX(спр_Работы!$G$2:$G$6000,MATCH($C346,спр_Работы!$A$2:$A$6000,0)),"")</f>
        <v/>
      </c>
      <c r="G346">
        <f>IFERROR(INDEX(спр_Работы!$K$2:$K$6000,MATCH($C346,спр_Работы!$A$2:$A$6000,0)),"")</f>
        <v/>
      </c>
      <c r="H346" s="9" t="n"/>
      <c r="I346" s="9" t="n"/>
      <c r="J346" s="8">
        <f>IFERROR(INDEX(спр_Материалы!$B$2:$B$9000,MATCH($I346,спр_Материалы!$A$2:$A$9000,0)),"")</f>
        <v/>
      </c>
      <c r="K346">
        <f>IF($I346="","",IF($F346=IFERROR(INDEX(спр_Материалы!$G$2:$G$9000,MATCH($I346,спр_Материалы!$A$2:$A$9000,0)),""),"OK","!! не та группа"))</f>
        <v/>
      </c>
      <c r="L346" s="10">
        <f>IFERROR(INDEX(спр_Работы!$H$2:$H$6000,MATCH($C346,спр_Работы!$A$2:$A$6000,0))*(1-ДисконтТендер),0)</f>
        <v/>
      </c>
      <c r="M346" s="10">
        <f>IF($I346="",0,IFERROR(INDEX(спр_Материалы!$I$2:$I$9000,MATCH($I346,спр_Материалы!$A$2:$A$9000,0))*IF(INDEX(спр_Материалы!$J$2:$J$9000,MATCH($I346,спр_Материалы!$A$2:$A$9000,0))="USD",КурсUSD,IF(INDEX(спр_Материалы!$J$2:$J$9000,MATCH($I346,спр_Материалы!$A$2:$A$9000,0))="EUR",КурсEUR,1))*INDEX(спр_Материалы!$K$2:$K$9000,MATCH($I346,спр_Материалы!$A$2:$A$9000,0))*(1+IFERROR(INDEX(спр_Работы!$I$2:$I$6000,MATCH($C346,спр_Работы!$A$2:$A$6000,0))/100,0))*(1-ДисконтТендер),0))</f>
        <v/>
      </c>
      <c r="N346" s="10">
        <f>IF(AND($R346="да",$H346&lt;&gt;""),ROUND($H346*$L346,2),0)</f>
        <v/>
      </c>
      <c r="O346" s="10">
        <f>IF(AND($R346="да",$H346&lt;&gt;""),ROUND($H346*$M346,2),0)</f>
        <v/>
      </c>
      <c r="P346" s="10">
        <f>$N346+$O346</f>
        <v/>
      </c>
      <c r="Q346">
        <f>IFERROR(INDEX(спр_Работы!$J$2:$J$6000,MATCH($C346,спр_Работы!$A$2:$A$6000,0)),"")</f>
        <v/>
      </c>
      <c r="R346" t="inlineStr">
        <is>
          <t>да</t>
        </is>
      </c>
      <c r="T346">
        <f>IF(AND($P346&gt;0,$R346="да"),MAX($T$1:$T345)+1,"")</f>
        <v/>
      </c>
    </row>
    <row r="347">
      <c r="A347">
        <f>IFERROR(INDEX(спр_Работы!$D$2:$D$6000,MATCH($C347,спр_Работы!$A$2:$A$6000,0)),"")</f>
        <v/>
      </c>
      <c r="B347">
        <f>IFERROR(INDEX(спр_Работы!$F$2:$F$6000,MATCH($C347,спр_Работы!$A$2:$A$6000,0)),"")</f>
        <v/>
      </c>
      <c r="C347">
        <f>IFERROR(INDEX(спр_Работы!$A$2:$A$6000,346),"")</f>
        <v/>
      </c>
      <c r="D347" s="8">
        <f>IFERROR(INDEX(спр_Работы!$B$2:$B$6000,MATCH($C347,спр_Работы!$A$2:$A$6000,0)),"")</f>
        <v/>
      </c>
      <c r="E347">
        <f>IFERROR(INDEX(спр_Работы!$C$2:$C$6000,MATCH($C347,спр_Работы!$A$2:$A$6000,0)),"")</f>
        <v/>
      </c>
      <c r="F347">
        <f>IFERROR(INDEX(спр_Работы!$G$2:$G$6000,MATCH($C347,спр_Работы!$A$2:$A$6000,0)),"")</f>
        <v/>
      </c>
      <c r="G347">
        <f>IFERROR(INDEX(спр_Работы!$K$2:$K$6000,MATCH($C347,спр_Работы!$A$2:$A$6000,0)),"")</f>
        <v/>
      </c>
      <c r="H347" s="9" t="n"/>
      <c r="I347" s="9" t="n"/>
      <c r="J347" s="8">
        <f>IFERROR(INDEX(спр_Материалы!$B$2:$B$9000,MATCH($I347,спр_Материалы!$A$2:$A$9000,0)),"")</f>
        <v/>
      </c>
      <c r="K347">
        <f>IF($I347="","",IF($F347=IFERROR(INDEX(спр_Материалы!$G$2:$G$9000,MATCH($I347,спр_Материалы!$A$2:$A$9000,0)),""),"OK","!! не та группа"))</f>
        <v/>
      </c>
      <c r="L347" s="10">
        <f>IFERROR(INDEX(спр_Работы!$H$2:$H$6000,MATCH($C347,спр_Работы!$A$2:$A$6000,0))*(1-ДисконтТендер),0)</f>
        <v/>
      </c>
      <c r="M347" s="10">
        <f>IF($I347="",0,IFERROR(INDEX(спр_Материалы!$I$2:$I$9000,MATCH($I347,спр_Материалы!$A$2:$A$9000,0))*IF(INDEX(спр_Материалы!$J$2:$J$9000,MATCH($I347,спр_Материалы!$A$2:$A$9000,0))="USD",КурсUSD,IF(INDEX(спр_Материалы!$J$2:$J$9000,MATCH($I347,спр_Материалы!$A$2:$A$9000,0))="EUR",КурсEUR,1))*INDEX(спр_Материалы!$K$2:$K$9000,MATCH($I347,спр_Материалы!$A$2:$A$9000,0))*(1+IFERROR(INDEX(спр_Работы!$I$2:$I$6000,MATCH($C347,спр_Работы!$A$2:$A$6000,0))/100,0))*(1-ДисконтТендер),0))</f>
        <v/>
      </c>
      <c r="N347" s="10">
        <f>IF(AND($R347="да",$H347&lt;&gt;""),ROUND($H347*$L347,2),0)</f>
        <v/>
      </c>
      <c r="O347" s="10">
        <f>IF(AND($R347="да",$H347&lt;&gt;""),ROUND($H347*$M347,2),0)</f>
        <v/>
      </c>
      <c r="P347" s="10">
        <f>$N347+$O347</f>
        <v/>
      </c>
      <c r="Q347">
        <f>IFERROR(INDEX(спр_Работы!$J$2:$J$6000,MATCH($C347,спр_Работы!$A$2:$A$6000,0)),"")</f>
        <v/>
      </c>
      <c r="R347" t="inlineStr">
        <is>
          <t>да</t>
        </is>
      </c>
      <c r="T347">
        <f>IF(AND($P347&gt;0,$R347="да"),MAX($T$1:$T346)+1,"")</f>
        <v/>
      </c>
    </row>
    <row r="348">
      <c r="A348">
        <f>IFERROR(INDEX(спр_Работы!$D$2:$D$6000,MATCH($C348,спр_Работы!$A$2:$A$6000,0)),"")</f>
        <v/>
      </c>
      <c r="B348">
        <f>IFERROR(INDEX(спр_Работы!$F$2:$F$6000,MATCH($C348,спр_Работы!$A$2:$A$6000,0)),"")</f>
        <v/>
      </c>
      <c r="C348">
        <f>IFERROR(INDEX(спр_Работы!$A$2:$A$6000,347),"")</f>
        <v/>
      </c>
      <c r="D348" s="8">
        <f>IFERROR(INDEX(спр_Работы!$B$2:$B$6000,MATCH($C348,спр_Работы!$A$2:$A$6000,0)),"")</f>
        <v/>
      </c>
      <c r="E348">
        <f>IFERROR(INDEX(спр_Работы!$C$2:$C$6000,MATCH($C348,спр_Работы!$A$2:$A$6000,0)),"")</f>
        <v/>
      </c>
      <c r="F348">
        <f>IFERROR(INDEX(спр_Работы!$G$2:$G$6000,MATCH($C348,спр_Работы!$A$2:$A$6000,0)),"")</f>
        <v/>
      </c>
      <c r="G348">
        <f>IFERROR(INDEX(спр_Работы!$K$2:$K$6000,MATCH($C348,спр_Работы!$A$2:$A$6000,0)),"")</f>
        <v/>
      </c>
      <c r="H348" s="9" t="n"/>
      <c r="I348" s="9" t="n"/>
      <c r="J348" s="8">
        <f>IFERROR(INDEX(спр_Материалы!$B$2:$B$9000,MATCH($I348,спр_Материалы!$A$2:$A$9000,0)),"")</f>
        <v/>
      </c>
      <c r="K348">
        <f>IF($I348="","",IF($F348=IFERROR(INDEX(спр_Материалы!$G$2:$G$9000,MATCH($I348,спр_Материалы!$A$2:$A$9000,0)),""),"OK","!! не та группа"))</f>
        <v/>
      </c>
      <c r="L348" s="10">
        <f>IFERROR(INDEX(спр_Работы!$H$2:$H$6000,MATCH($C348,спр_Работы!$A$2:$A$6000,0))*(1-ДисконтТендер),0)</f>
        <v/>
      </c>
      <c r="M348" s="10">
        <f>IF($I348="",0,IFERROR(INDEX(спр_Материалы!$I$2:$I$9000,MATCH($I348,спр_Материалы!$A$2:$A$9000,0))*IF(INDEX(спр_Материалы!$J$2:$J$9000,MATCH($I348,спр_Материалы!$A$2:$A$9000,0))="USD",КурсUSD,IF(INDEX(спр_Материалы!$J$2:$J$9000,MATCH($I348,спр_Материалы!$A$2:$A$9000,0))="EUR",КурсEUR,1))*INDEX(спр_Материалы!$K$2:$K$9000,MATCH($I348,спр_Материалы!$A$2:$A$9000,0))*(1+IFERROR(INDEX(спр_Работы!$I$2:$I$6000,MATCH($C348,спр_Работы!$A$2:$A$6000,0))/100,0))*(1-ДисконтТендер),0))</f>
        <v/>
      </c>
      <c r="N348" s="10">
        <f>IF(AND($R348="да",$H348&lt;&gt;""),ROUND($H348*$L348,2),0)</f>
        <v/>
      </c>
      <c r="O348" s="10">
        <f>IF(AND($R348="да",$H348&lt;&gt;""),ROUND($H348*$M348,2),0)</f>
        <v/>
      </c>
      <c r="P348" s="10">
        <f>$N348+$O348</f>
        <v/>
      </c>
      <c r="Q348">
        <f>IFERROR(INDEX(спр_Работы!$J$2:$J$6000,MATCH($C348,спр_Работы!$A$2:$A$6000,0)),"")</f>
        <v/>
      </c>
      <c r="R348" t="inlineStr">
        <is>
          <t>да</t>
        </is>
      </c>
      <c r="T348">
        <f>IF(AND($P348&gt;0,$R348="да"),MAX($T$1:$T347)+1,"")</f>
        <v/>
      </c>
    </row>
    <row r="349">
      <c r="A349">
        <f>IFERROR(INDEX(спр_Работы!$D$2:$D$6000,MATCH($C349,спр_Работы!$A$2:$A$6000,0)),"")</f>
        <v/>
      </c>
      <c r="B349">
        <f>IFERROR(INDEX(спр_Работы!$F$2:$F$6000,MATCH($C349,спр_Работы!$A$2:$A$6000,0)),"")</f>
        <v/>
      </c>
      <c r="C349">
        <f>IFERROR(INDEX(спр_Работы!$A$2:$A$6000,348),"")</f>
        <v/>
      </c>
      <c r="D349" s="8">
        <f>IFERROR(INDEX(спр_Работы!$B$2:$B$6000,MATCH($C349,спр_Работы!$A$2:$A$6000,0)),"")</f>
        <v/>
      </c>
      <c r="E349">
        <f>IFERROR(INDEX(спр_Работы!$C$2:$C$6000,MATCH($C349,спр_Работы!$A$2:$A$6000,0)),"")</f>
        <v/>
      </c>
      <c r="F349">
        <f>IFERROR(INDEX(спр_Работы!$G$2:$G$6000,MATCH($C349,спр_Работы!$A$2:$A$6000,0)),"")</f>
        <v/>
      </c>
      <c r="G349">
        <f>IFERROR(INDEX(спр_Работы!$K$2:$K$6000,MATCH($C349,спр_Работы!$A$2:$A$6000,0)),"")</f>
        <v/>
      </c>
      <c r="H349" s="9" t="n"/>
      <c r="I349" s="9" t="n"/>
      <c r="J349" s="8">
        <f>IFERROR(INDEX(спр_Материалы!$B$2:$B$9000,MATCH($I349,спр_Материалы!$A$2:$A$9000,0)),"")</f>
        <v/>
      </c>
      <c r="K349">
        <f>IF($I349="","",IF($F349=IFERROR(INDEX(спр_Материалы!$G$2:$G$9000,MATCH($I349,спр_Материалы!$A$2:$A$9000,0)),""),"OK","!! не та группа"))</f>
        <v/>
      </c>
      <c r="L349" s="10">
        <f>IFERROR(INDEX(спр_Работы!$H$2:$H$6000,MATCH($C349,спр_Работы!$A$2:$A$6000,0))*(1-ДисконтТендер),0)</f>
        <v/>
      </c>
      <c r="M349" s="10">
        <f>IF($I349="",0,IFERROR(INDEX(спр_Материалы!$I$2:$I$9000,MATCH($I349,спр_Материалы!$A$2:$A$9000,0))*IF(INDEX(спр_Материалы!$J$2:$J$9000,MATCH($I349,спр_Материалы!$A$2:$A$9000,0))="USD",КурсUSD,IF(INDEX(спр_Материалы!$J$2:$J$9000,MATCH($I349,спр_Материалы!$A$2:$A$9000,0))="EUR",КурсEUR,1))*INDEX(спр_Материалы!$K$2:$K$9000,MATCH($I349,спр_Материалы!$A$2:$A$9000,0))*(1+IFERROR(INDEX(спр_Работы!$I$2:$I$6000,MATCH($C349,спр_Работы!$A$2:$A$6000,0))/100,0))*(1-ДисконтТендер),0))</f>
        <v/>
      </c>
      <c r="N349" s="10">
        <f>IF(AND($R349="да",$H349&lt;&gt;""),ROUND($H349*$L349,2),0)</f>
        <v/>
      </c>
      <c r="O349" s="10">
        <f>IF(AND($R349="да",$H349&lt;&gt;""),ROUND($H349*$M349,2),0)</f>
        <v/>
      </c>
      <c r="P349" s="10">
        <f>$N349+$O349</f>
        <v/>
      </c>
      <c r="Q349">
        <f>IFERROR(INDEX(спр_Работы!$J$2:$J$6000,MATCH($C349,спр_Работы!$A$2:$A$6000,0)),"")</f>
        <v/>
      </c>
      <c r="R349" t="inlineStr">
        <is>
          <t>да</t>
        </is>
      </c>
      <c r="T349">
        <f>IF(AND($P349&gt;0,$R349="да"),MAX($T$1:$T348)+1,"")</f>
        <v/>
      </c>
    </row>
    <row r="350">
      <c r="A350">
        <f>IFERROR(INDEX(спр_Работы!$D$2:$D$6000,MATCH($C350,спр_Работы!$A$2:$A$6000,0)),"")</f>
        <v/>
      </c>
      <c r="B350">
        <f>IFERROR(INDEX(спр_Работы!$F$2:$F$6000,MATCH($C350,спр_Работы!$A$2:$A$6000,0)),"")</f>
        <v/>
      </c>
      <c r="C350">
        <f>IFERROR(INDEX(спр_Работы!$A$2:$A$6000,349),"")</f>
        <v/>
      </c>
      <c r="D350" s="8">
        <f>IFERROR(INDEX(спр_Работы!$B$2:$B$6000,MATCH($C350,спр_Работы!$A$2:$A$6000,0)),"")</f>
        <v/>
      </c>
      <c r="E350">
        <f>IFERROR(INDEX(спр_Работы!$C$2:$C$6000,MATCH($C350,спр_Работы!$A$2:$A$6000,0)),"")</f>
        <v/>
      </c>
      <c r="F350">
        <f>IFERROR(INDEX(спр_Работы!$G$2:$G$6000,MATCH($C350,спр_Работы!$A$2:$A$6000,0)),"")</f>
        <v/>
      </c>
      <c r="G350">
        <f>IFERROR(INDEX(спр_Работы!$K$2:$K$6000,MATCH($C350,спр_Работы!$A$2:$A$6000,0)),"")</f>
        <v/>
      </c>
      <c r="H350" s="9" t="n"/>
      <c r="I350" s="9" t="n"/>
      <c r="J350" s="8">
        <f>IFERROR(INDEX(спр_Материалы!$B$2:$B$9000,MATCH($I350,спр_Материалы!$A$2:$A$9000,0)),"")</f>
        <v/>
      </c>
      <c r="K350">
        <f>IF($I350="","",IF($F350=IFERROR(INDEX(спр_Материалы!$G$2:$G$9000,MATCH($I350,спр_Материалы!$A$2:$A$9000,0)),""),"OK","!! не та группа"))</f>
        <v/>
      </c>
      <c r="L350" s="10">
        <f>IFERROR(INDEX(спр_Работы!$H$2:$H$6000,MATCH($C350,спр_Работы!$A$2:$A$6000,0))*(1-ДисконтТендер),0)</f>
        <v/>
      </c>
      <c r="M350" s="10">
        <f>IF($I350="",0,IFERROR(INDEX(спр_Материалы!$I$2:$I$9000,MATCH($I350,спр_Материалы!$A$2:$A$9000,0))*IF(INDEX(спр_Материалы!$J$2:$J$9000,MATCH($I350,спр_Материалы!$A$2:$A$9000,0))="USD",КурсUSD,IF(INDEX(спр_Материалы!$J$2:$J$9000,MATCH($I350,спр_Материалы!$A$2:$A$9000,0))="EUR",КурсEUR,1))*INDEX(спр_Материалы!$K$2:$K$9000,MATCH($I350,спр_Материалы!$A$2:$A$9000,0))*(1+IFERROR(INDEX(спр_Работы!$I$2:$I$6000,MATCH($C350,спр_Работы!$A$2:$A$6000,0))/100,0))*(1-ДисконтТендер),0))</f>
        <v/>
      </c>
      <c r="N350" s="10">
        <f>IF(AND($R350="да",$H350&lt;&gt;""),ROUND($H350*$L350,2),0)</f>
        <v/>
      </c>
      <c r="O350" s="10">
        <f>IF(AND($R350="да",$H350&lt;&gt;""),ROUND($H350*$M350,2),0)</f>
        <v/>
      </c>
      <c r="P350" s="10">
        <f>$N350+$O350</f>
        <v/>
      </c>
      <c r="Q350">
        <f>IFERROR(INDEX(спр_Работы!$J$2:$J$6000,MATCH($C350,спр_Работы!$A$2:$A$6000,0)),"")</f>
        <v/>
      </c>
      <c r="R350" t="inlineStr">
        <is>
          <t>да</t>
        </is>
      </c>
      <c r="T350">
        <f>IF(AND($P350&gt;0,$R350="да"),MAX($T$1:$T349)+1,"")</f>
        <v/>
      </c>
    </row>
    <row r="351">
      <c r="A351">
        <f>IFERROR(INDEX(спр_Работы!$D$2:$D$6000,MATCH($C351,спр_Работы!$A$2:$A$6000,0)),"")</f>
        <v/>
      </c>
      <c r="B351">
        <f>IFERROR(INDEX(спр_Работы!$F$2:$F$6000,MATCH($C351,спр_Работы!$A$2:$A$6000,0)),"")</f>
        <v/>
      </c>
      <c r="C351">
        <f>IFERROR(INDEX(спр_Работы!$A$2:$A$6000,350),"")</f>
        <v/>
      </c>
      <c r="D351" s="8">
        <f>IFERROR(INDEX(спр_Работы!$B$2:$B$6000,MATCH($C351,спр_Работы!$A$2:$A$6000,0)),"")</f>
        <v/>
      </c>
      <c r="E351">
        <f>IFERROR(INDEX(спр_Работы!$C$2:$C$6000,MATCH($C351,спр_Работы!$A$2:$A$6000,0)),"")</f>
        <v/>
      </c>
      <c r="F351">
        <f>IFERROR(INDEX(спр_Работы!$G$2:$G$6000,MATCH($C351,спр_Работы!$A$2:$A$6000,0)),"")</f>
        <v/>
      </c>
      <c r="G351">
        <f>IFERROR(INDEX(спр_Работы!$K$2:$K$6000,MATCH($C351,спр_Работы!$A$2:$A$6000,0)),"")</f>
        <v/>
      </c>
      <c r="H351" s="9" t="n"/>
      <c r="I351" s="9" t="n"/>
      <c r="J351" s="8">
        <f>IFERROR(INDEX(спр_Материалы!$B$2:$B$9000,MATCH($I351,спр_Материалы!$A$2:$A$9000,0)),"")</f>
        <v/>
      </c>
      <c r="K351">
        <f>IF($I351="","",IF($F351=IFERROR(INDEX(спр_Материалы!$G$2:$G$9000,MATCH($I351,спр_Материалы!$A$2:$A$9000,0)),""),"OK","!! не та группа"))</f>
        <v/>
      </c>
      <c r="L351" s="10">
        <f>IFERROR(INDEX(спр_Работы!$H$2:$H$6000,MATCH($C351,спр_Работы!$A$2:$A$6000,0))*(1-ДисконтТендер),0)</f>
        <v/>
      </c>
      <c r="M351" s="10">
        <f>IF($I351="",0,IFERROR(INDEX(спр_Материалы!$I$2:$I$9000,MATCH($I351,спр_Материалы!$A$2:$A$9000,0))*IF(INDEX(спр_Материалы!$J$2:$J$9000,MATCH($I351,спр_Материалы!$A$2:$A$9000,0))="USD",КурсUSD,IF(INDEX(спр_Материалы!$J$2:$J$9000,MATCH($I351,спр_Материалы!$A$2:$A$9000,0))="EUR",КурсEUR,1))*INDEX(спр_Материалы!$K$2:$K$9000,MATCH($I351,спр_Материалы!$A$2:$A$9000,0))*(1+IFERROR(INDEX(спр_Работы!$I$2:$I$6000,MATCH($C351,спр_Работы!$A$2:$A$6000,0))/100,0))*(1-ДисконтТендер),0))</f>
        <v/>
      </c>
      <c r="N351" s="10">
        <f>IF(AND($R351="да",$H351&lt;&gt;""),ROUND($H351*$L351,2),0)</f>
        <v/>
      </c>
      <c r="O351" s="10">
        <f>IF(AND($R351="да",$H351&lt;&gt;""),ROUND($H351*$M351,2),0)</f>
        <v/>
      </c>
      <c r="P351" s="10">
        <f>$N351+$O351</f>
        <v/>
      </c>
      <c r="Q351">
        <f>IFERROR(INDEX(спр_Работы!$J$2:$J$6000,MATCH($C351,спр_Работы!$A$2:$A$6000,0)),"")</f>
        <v/>
      </c>
      <c r="R351" t="inlineStr">
        <is>
          <t>да</t>
        </is>
      </c>
      <c r="T351">
        <f>IF(AND($P351&gt;0,$R351="да"),MAX($T$1:$T350)+1,"")</f>
        <v/>
      </c>
    </row>
    <row r="352">
      <c r="A352">
        <f>IFERROR(INDEX(спр_Работы!$D$2:$D$6000,MATCH($C352,спр_Работы!$A$2:$A$6000,0)),"")</f>
        <v/>
      </c>
      <c r="B352">
        <f>IFERROR(INDEX(спр_Работы!$F$2:$F$6000,MATCH($C352,спр_Работы!$A$2:$A$6000,0)),"")</f>
        <v/>
      </c>
      <c r="C352">
        <f>IFERROR(INDEX(спр_Работы!$A$2:$A$6000,351),"")</f>
        <v/>
      </c>
      <c r="D352" s="8">
        <f>IFERROR(INDEX(спр_Работы!$B$2:$B$6000,MATCH($C352,спр_Работы!$A$2:$A$6000,0)),"")</f>
        <v/>
      </c>
      <c r="E352">
        <f>IFERROR(INDEX(спр_Работы!$C$2:$C$6000,MATCH($C352,спр_Работы!$A$2:$A$6000,0)),"")</f>
        <v/>
      </c>
      <c r="F352">
        <f>IFERROR(INDEX(спр_Работы!$G$2:$G$6000,MATCH($C352,спр_Работы!$A$2:$A$6000,0)),"")</f>
        <v/>
      </c>
      <c r="G352">
        <f>IFERROR(INDEX(спр_Работы!$K$2:$K$6000,MATCH($C352,спр_Работы!$A$2:$A$6000,0)),"")</f>
        <v/>
      </c>
      <c r="H352" s="9" t="n"/>
      <c r="I352" s="9" t="n"/>
      <c r="J352" s="8">
        <f>IFERROR(INDEX(спр_Материалы!$B$2:$B$9000,MATCH($I352,спр_Материалы!$A$2:$A$9000,0)),"")</f>
        <v/>
      </c>
      <c r="K352">
        <f>IF($I352="","",IF($F352=IFERROR(INDEX(спр_Материалы!$G$2:$G$9000,MATCH($I352,спр_Материалы!$A$2:$A$9000,0)),""),"OK","!! не та группа"))</f>
        <v/>
      </c>
      <c r="L352" s="10">
        <f>IFERROR(INDEX(спр_Работы!$H$2:$H$6000,MATCH($C352,спр_Работы!$A$2:$A$6000,0))*(1-ДисконтТендер),0)</f>
        <v/>
      </c>
      <c r="M352" s="10">
        <f>IF($I352="",0,IFERROR(INDEX(спр_Материалы!$I$2:$I$9000,MATCH($I352,спр_Материалы!$A$2:$A$9000,0))*IF(INDEX(спр_Материалы!$J$2:$J$9000,MATCH($I352,спр_Материалы!$A$2:$A$9000,0))="USD",КурсUSD,IF(INDEX(спр_Материалы!$J$2:$J$9000,MATCH($I352,спр_Материалы!$A$2:$A$9000,0))="EUR",КурсEUR,1))*INDEX(спр_Материалы!$K$2:$K$9000,MATCH($I352,спр_Материалы!$A$2:$A$9000,0))*(1+IFERROR(INDEX(спр_Работы!$I$2:$I$6000,MATCH($C352,спр_Работы!$A$2:$A$6000,0))/100,0))*(1-ДисконтТендер),0))</f>
        <v/>
      </c>
      <c r="N352" s="10">
        <f>IF(AND($R352="да",$H352&lt;&gt;""),ROUND($H352*$L352,2),0)</f>
        <v/>
      </c>
      <c r="O352" s="10">
        <f>IF(AND($R352="да",$H352&lt;&gt;""),ROUND($H352*$M352,2),0)</f>
        <v/>
      </c>
      <c r="P352" s="10">
        <f>$N352+$O352</f>
        <v/>
      </c>
      <c r="Q352">
        <f>IFERROR(INDEX(спр_Работы!$J$2:$J$6000,MATCH($C352,спр_Работы!$A$2:$A$6000,0)),"")</f>
        <v/>
      </c>
      <c r="R352" t="inlineStr">
        <is>
          <t>да</t>
        </is>
      </c>
      <c r="T352">
        <f>IF(AND($P352&gt;0,$R352="да"),MAX($T$1:$T351)+1,"")</f>
        <v/>
      </c>
    </row>
    <row r="353">
      <c r="A353">
        <f>IFERROR(INDEX(спр_Работы!$D$2:$D$6000,MATCH($C353,спр_Работы!$A$2:$A$6000,0)),"")</f>
        <v/>
      </c>
      <c r="B353">
        <f>IFERROR(INDEX(спр_Работы!$F$2:$F$6000,MATCH($C353,спр_Работы!$A$2:$A$6000,0)),"")</f>
        <v/>
      </c>
      <c r="C353">
        <f>IFERROR(INDEX(спр_Работы!$A$2:$A$6000,352),"")</f>
        <v/>
      </c>
      <c r="D353" s="8">
        <f>IFERROR(INDEX(спр_Работы!$B$2:$B$6000,MATCH($C353,спр_Работы!$A$2:$A$6000,0)),"")</f>
        <v/>
      </c>
      <c r="E353">
        <f>IFERROR(INDEX(спр_Работы!$C$2:$C$6000,MATCH($C353,спр_Работы!$A$2:$A$6000,0)),"")</f>
        <v/>
      </c>
      <c r="F353">
        <f>IFERROR(INDEX(спр_Работы!$G$2:$G$6000,MATCH($C353,спр_Работы!$A$2:$A$6000,0)),"")</f>
        <v/>
      </c>
      <c r="G353">
        <f>IFERROR(INDEX(спр_Работы!$K$2:$K$6000,MATCH($C353,спр_Работы!$A$2:$A$6000,0)),"")</f>
        <v/>
      </c>
      <c r="H353" s="9" t="n"/>
      <c r="I353" s="9" t="n"/>
      <c r="J353" s="8">
        <f>IFERROR(INDEX(спр_Материалы!$B$2:$B$9000,MATCH($I353,спр_Материалы!$A$2:$A$9000,0)),"")</f>
        <v/>
      </c>
      <c r="K353">
        <f>IF($I353="","",IF($F353=IFERROR(INDEX(спр_Материалы!$G$2:$G$9000,MATCH($I353,спр_Материалы!$A$2:$A$9000,0)),""),"OK","!! не та группа"))</f>
        <v/>
      </c>
      <c r="L353" s="10">
        <f>IFERROR(INDEX(спр_Работы!$H$2:$H$6000,MATCH($C353,спр_Работы!$A$2:$A$6000,0))*(1-ДисконтТендер),0)</f>
        <v/>
      </c>
      <c r="M353" s="10">
        <f>IF($I353="",0,IFERROR(INDEX(спр_Материалы!$I$2:$I$9000,MATCH($I353,спр_Материалы!$A$2:$A$9000,0))*IF(INDEX(спр_Материалы!$J$2:$J$9000,MATCH($I353,спр_Материалы!$A$2:$A$9000,0))="USD",КурсUSD,IF(INDEX(спр_Материалы!$J$2:$J$9000,MATCH($I353,спр_Материалы!$A$2:$A$9000,0))="EUR",КурсEUR,1))*INDEX(спр_Материалы!$K$2:$K$9000,MATCH($I353,спр_Материалы!$A$2:$A$9000,0))*(1+IFERROR(INDEX(спр_Работы!$I$2:$I$6000,MATCH($C353,спр_Работы!$A$2:$A$6000,0))/100,0))*(1-ДисконтТендер),0))</f>
        <v/>
      </c>
      <c r="N353" s="10">
        <f>IF(AND($R353="да",$H353&lt;&gt;""),ROUND($H353*$L353,2),0)</f>
        <v/>
      </c>
      <c r="O353" s="10">
        <f>IF(AND($R353="да",$H353&lt;&gt;""),ROUND($H353*$M353,2),0)</f>
        <v/>
      </c>
      <c r="P353" s="10">
        <f>$N353+$O353</f>
        <v/>
      </c>
      <c r="Q353">
        <f>IFERROR(INDEX(спр_Работы!$J$2:$J$6000,MATCH($C353,спр_Работы!$A$2:$A$6000,0)),"")</f>
        <v/>
      </c>
      <c r="R353" t="inlineStr">
        <is>
          <t>да</t>
        </is>
      </c>
      <c r="T353">
        <f>IF(AND($P353&gt;0,$R353="да"),MAX($T$1:$T352)+1,"")</f>
        <v/>
      </c>
    </row>
    <row r="354">
      <c r="A354">
        <f>IFERROR(INDEX(спр_Работы!$D$2:$D$6000,MATCH($C354,спр_Работы!$A$2:$A$6000,0)),"")</f>
        <v/>
      </c>
      <c r="B354">
        <f>IFERROR(INDEX(спр_Работы!$F$2:$F$6000,MATCH($C354,спр_Работы!$A$2:$A$6000,0)),"")</f>
        <v/>
      </c>
      <c r="C354">
        <f>IFERROR(INDEX(спр_Работы!$A$2:$A$6000,353),"")</f>
        <v/>
      </c>
      <c r="D354" s="8">
        <f>IFERROR(INDEX(спр_Работы!$B$2:$B$6000,MATCH($C354,спр_Работы!$A$2:$A$6000,0)),"")</f>
        <v/>
      </c>
      <c r="E354">
        <f>IFERROR(INDEX(спр_Работы!$C$2:$C$6000,MATCH($C354,спр_Работы!$A$2:$A$6000,0)),"")</f>
        <v/>
      </c>
      <c r="F354">
        <f>IFERROR(INDEX(спр_Работы!$G$2:$G$6000,MATCH($C354,спр_Работы!$A$2:$A$6000,0)),"")</f>
        <v/>
      </c>
      <c r="G354">
        <f>IFERROR(INDEX(спр_Работы!$K$2:$K$6000,MATCH($C354,спр_Работы!$A$2:$A$6000,0)),"")</f>
        <v/>
      </c>
      <c r="H354" s="9" t="n"/>
      <c r="I354" s="9" t="n"/>
      <c r="J354" s="8">
        <f>IFERROR(INDEX(спр_Материалы!$B$2:$B$9000,MATCH($I354,спр_Материалы!$A$2:$A$9000,0)),"")</f>
        <v/>
      </c>
      <c r="K354">
        <f>IF($I354="","",IF($F354=IFERROR(INDEX(спр_Материалы!$G$2:$G$9000,MATCH($I354,спр_Материалы!$A$2:$A$9000,0)),""),"OK","!! не та группа"))</f>
        <v/>
      </c>
      <c r="L354" s="10">
        <f>IFERROR(INDEX(спр_Работы!$H$2:$H$6000,MATCH($C354,спр_Работы!$A$2:$A$6000,0))*(1-ДисконтТендер),0)</f>
        <v/>
      </c>
      <c r="M354" s="10">
        <f>IF($I354="",0,IFERROR(INDEX(спр_Материалы!$I$2:$I$9000,MATCH($I354,спр_Материалы!$A$2:$A$9000,0))*IF(INDEX(спр_Материалы!$J$2:$J$9000,MATCH($I354,спр_Материалы!$A$2:$A$9000,0))="USD",КурсUSD,IF(INDEX(спр_Материалы!$J$2:$J$9000,MATCH($I354,спр_Материалы!$A$2:$A$9000,0))="EUR",КурсEUR,1))*INDEX(спр_Материалы!$K$2:$K$9000,MATCH($I354,спр_Материалы!$A$2:$A$9000,0))*(1+IFERROR(INDEX(спр_Работы!$I$2:$I$6000,MATCH($C354,спр_Работы!$A$2:$A$6000,0))/100,0))*(1-ДисконтТендер),0))</f>
        <v/>
      </c>
      <c r="N354" s="10">
        <f>IF(AND($R354="да",$H354&lt;&gt;""),ROUND($H354*$L354,2),0)</f>
        <v/>
      </c>
      <c r="O354" s="10">
        <f>IF(AND($R354="да",$H354&lt;&gt;""),ROUND($H354*$M354,2),0)</f>
        <v/>
      </c>
      <c r="P354" s="10">
        <f>$N354+$O354</f>
        <v/>
      </c>
      <c r="Q354">
        <f>IFERROR(INDEX(спр_Работы!$J$2:$J$6000,MATCH($C354,спр_Работы!$A$2:$A$6000,0)),"")</f>
        <v/>
      </c>
      <c r="R354" t="inlineStr">
        <is>
          <t>да</t>
        </is>
      </c>
      <c r="T354">
        <f>IF(AND($P354&gt;0,$R354="да"),MAX($T$1:$T353)+1,"")</f>
        <v/>
      </c>
    </row>
    <row r="355">
      <c r="A355">
        <f>IFERROR(INDEX(спр_Работы!$D$2:$D$6000,MATCH($C355,спр_Работы!$A$2:$A$6000,0)),"")</f>
        <v/>
      </c>
      <c r="B355">
        <f>IFERROR(INDEX(спр_Работы!$F$2:$F$6000,MATCH($C355,спр_Работы!$A$2:$A$6000,0)),"")</f>
        <v/>
      </c>
      <c r="C355">
        <f>IFERROR(INDEX(спр_Работы!$A$2:$A$6000,354),"")</f>
        <v/>
      </c>
      <c r="D355" s="8">
        <f>IFERROR(INDEX(спр_Работы!$B$2:$B$6000,MATCH($C355,спр_Работы!$A$2:$A$6000,0)),"")</f>
        <v/>
      </c>
      <c r="E355">
        <f>IFERROR(INDEX(спр_Работы!$C$2:$C$6000,MATCH($C355,спр_Работы!$A$2:$A$6000,0)),"")</f>
        <v/>
      </c>
      <c r="F355">
        <f>IFERROR(INDEX(спр_Работы!$G$2:$G$6000,MATCH($C355,спр_Работы!$A$2:$A$6000,0)),"")</f>
        <v/>
      </c>
      <c r="G355">
        <f>IFERROR(INDEX(спр_Работы!$K$2:$K$6000,MATCH($C355,спр_Работы!$A$2:$A$6000,0)),"")</f>
        <v/>
      </c>
      <c r="H355" s="9" t="n"/>
      <c r="I355" s="9" t="n"/>
      <c r="J355" s="8">
        <f>IFERROR(INDEX(спр_Материалы!$B$2:$B$9000,MATCH($I355,спр_Материалы!$A$2:$A$9000,0)),"")</f>
        <v/>
      </c>
      <c r="K355">
        <f>IF($I355="","",IF($F355=IFERROR(INDEX(спр_Материалы!$G$2:$G$9000,MATCH($I355,спр_Материалы!$A$2:$A$9000,0)),""),"OK","!! не та группа"))</f>
        <v/>
      </c>
      <c r="L355" s="10">
        <f>IFERROR(INDEX(спр_Работы!$H$2:$H$6000,MATCH($C355,спр_Работы!$A$2:$A$6000,0))*(1-ДисконтТендер),0)</f>
        <v/>
      </c>
      <c r="M355" s="10">
        <f>IF($I355="",0,IFERROR(INDEX(спр_Материалы!$I$2:$I$9000,MATCH($I355,спр_Материалы!$A$2:$A$9000,0))*IF(INDEX(спр_Материалы!$J$2:$J$9000,MATCH($I355,спр_Материалы!$A$2:$A$9000,0))="USD",КурсUSD,IF(INDEX(спр_Материалы!$J$2:$J$9000,MATCH($I355,спр_Материалы!$A$2:$A$9000,0))="EUR",КурсEUR,1))*INDEX(спр_Материалы!$K$2:$K$9000,MATCH($I355,спр_Материалы!$A$2:$A$9000,0))*(1+IFERROR(INDEX(спр_Работы!$I$2:$I$6000,MATCH($C355,спр_Работы!$A$2:$A$6000,0))/100,0))*(1-ДисконтТендер),0))</f>
        <v/>
      </c>
      <c r="N355" s="10">
        <f>IF(AND($R355="да",$H355&lt;&gt;""),ROUND($H355*$L355,2),0)</f>
        <v/>
      </c>
      <c r="O355" s="10">
        <f>IF(AND($R355="да",$H355&lt;&gt;""),ROUND($H355*$M355,2),0)</f>
        <v/>
      </c>
      <c r="P355" s="10">
        <f>$N355+$O355</f>
        <v/>
      </c>
      <c r="Q355">
        <f>IFERROR(INDEX(спр_Работы!$J$2:$J$6000,MATCH($C355,спр_Работы!$A$2:$A$6000,0)),"")</f>
        <v/>
      </c>
      <c r="R355" t="inlineStr">
        <is>
          <t>да</t>
        </is>
      </c>
      <c r="T355">
        <f>IF(AND($P355&gt;0,$R355="да"),MAX($T$1:$T354)+1,"")</f>
        <v/>
      </c>
    </row>
    <row r="356">
      <c r="A356">
        <f>IFERROR(INDEX(спр_Работы!$D$2:$D$6000,MATCH($C356,спр_Работы!$A$2:$A$6000,0)),"")</f>
        <v/>
      </c>
      <c r="B356">
        <f>IFERROR(INDEX(спр_Работы!$F$2:$F$6000,MATCH($C356,спр_Работы!$A$2:$A$6000,0)),"")</f>
        <v/>
      </c>
      <c r="C356">
        <f>IFERROR(INDEX(спр_Работы!$A$2:$A$6000,355),"")</f>
        <v/>
      </c>
      <c r="D356" s="8">
        <f>IFERROR(INDEX(спр_Работы!$B$2:$B$6000,MATCH($C356,спр_Работы!$A$2:$A$6000,0)),"")</f>
        <v/>
      </c>
      <c r="E356">
        <f>IFERROR(INDEX(спр_Работы!$C$2:$C$6000,MATCH($C356,спр_Работы!$A$2:$A$6000,0)),"")</f>
        <v/>
      </c>
      <c r="F356">
        <f>IFERROR(INDEX(спр_Работы!$G$2:$G$6000,MATCH($C356,спр_Работы!$A$2:$A$6000,0)),"")</f>
        <v/>
      </c>
      <c r="G356">
        <f>IFERROR(INDEX(спр_Работы!$K$2:$K$6000,MATCH($C356,спр_Работы!$A$2:$A$6000,0)),"")</f>
        <v/>
      </c>
      <c r="H356" s="9" t="n"/>
      <c r="I356" s="9" t="n"/>
      <c r="J356" s="8">
        <f>IFERROR(INDEX(спр_Материалы!$B$2:$B$9000,MATCH($I356,спр_Материалы!$A$2:$A$9000,0)),"")</f>
        <v/>
      </c>
      <c r="K356">
        <f>IF($I356="","",IF($F356=IFERROR(INDEX(спр_Материалы!$G$2:$G$9000,MATCH($I356,спр_Материалы!$A$2:$A$9000,0)),""),"OK","!! не та группа"))</f>
        <v/>
      </c>
      <c r="L356" s="10">
        <f>IFERROR(INDEX(спр_Работы!$H$2:$H$6000,MATCH($C356,спр_Работы!$A$2:$A$6000,0))*(1-ДисконтТендер),0)</f>
        <v/>
      </c>
      <c r="M356" s="10">
        <f>IF($I356="",0,IFERROR(INDEX(спр_Материалы!$I$2:$I$9000,MATCH($I356,спр_Материалы!$A$2:$A$9000,0))*IF(INDEX(спр_Материалы!$J$2:$J$9000,MATCH($I356,спр_Материалы!$A$2:$A$9000,0))="USD",КурсUSD,IF(INDEX(спр_Материалы!$J$2:$J$9000,MATCH($I356,спр_Материалы!$A$2:$A$9000,0))="EUR",КурсEUR,1))*INDEX(спр_Материалы!$K$2:$K$9000,MATCH($I356,спр_Материалы!$A$2:$A$9000,0))*(1+IFERROR(INDEX(спр_Работы!$I$2:$I$6000,MATCH($C356,спр_Работы!$A$2:$A$6000,0))/100,0))*(1-ДисконтТендер),0))</f>
        <v/>
      </c>
      <c r="N356" s="10">
        <f>IF(AND($R356="да",$H356&lt;&gt;""),ROUND($H356*$L356,2),0)</f>
        <v/>
      </c>
      <c r="O356" s="10">
        <f>IF(AND($R356="да",$H356&lt;&gt;""),ROUND($H356*$M356,2),0)</f>
        <v/>
      </c>
      <c r="P356" s="10">
        <f>$N356+$O356</f>
        <v/>
      </c>
      <c r="Q356">
        <f>IFERROR(INDEX(спр_Работы!$J$2:$J$6000,MATCH($C356,спр_Работы!$A$2:$A$6000,0)),"")</f>
        <v/>
      </c>
      <c r="R356" t="inlineStr">
        <is>
          <t>да</t>
        </is>
      </c>
      <c r="T356">
        <f>IF(AND($P356&gt;0,$R356="да"),MAX($T$1:$T355)+1,"")</f>
        <v/>
      </c>
    </row>
    <row r="357">
      <c r="A357">
        <f>IFERROR(INDEX(спр_Работы!$D$2:$D$6000,MATCH($C357,спр_Работы!$A$2:$A$6000,0)),"")</f>
        <v/>
      </c>
      <c r="B357">
        <f>IFERROR(INDEX(спр_Работы!$F$2:$F$6000,MATCH($C357,спр_Работы!$A$2:$A$6000,0)),"")</f>
        <v/>
      </c>
      <c r="C357">
        <f>IFERROR(INDEX(спр_Работы!$A$2:$A$6000,356),"")</f>
        <v/>
      </c>
      <c r="D357" s="8">
        <f>IFERROR(INDEX(спр_Работы!$B$2:$B$6000,MATCH($C357,спр_Работы!$A$2:$A$6000,0)),"")</f>
        <v/>
      </c>
      <c r="E357">
        <f>IFERROR(INDEX(спр_Работы!$C$2:$C$6000,MATCH($C357,спр_Работы!$A$2:$A$6000,0)),"")</f>
        <v/>
      </c>
      <c r="F357">
        <f>IFERROR(INDEX(спр_Работы!$G$2:$G$6000,MATCH($C357,спр_Работы!$A$2:$A$6000,0)),"")</f>
        <v/>
      </c>
      <c r="G357">
        <f>IFERROR(INDEX(спр_Работы!$K$2:$K$6000,MATCH($C357,спр_Работы!$A$2:$A$6000,0)),"")</f>
        <v/>
      </c>
      <c r="H357" s="9" t="n"/>
      <c r="I357" s="9" t="n"/>
      <c r="J357" s="8">
        <f>IFERROR(INDEX(спр_Материалы!$B$2:$B$9000,MATCH($I357,спр_Материалы!$A$2:$A$9000,0)),"")</f>
        <v/>
      </c>
      <c r="K357">
        <f>IF($I357="","",IF($F357=IFERROR(INDEX(спр_Материалы!$G$2:$G$9000,MATCH($I357,спр_Материалы!$A$2:$A$9000,0)),""),"OK","!! не та группа"))</f>
        <v/>
      </c>
      <c r="L357" s="10">
        <f>IFERROR(INDEX(спр_Работы!$H$2:$H$6000,MATCH($C357,спр_Работы!$A$2:$A$6000,0))*(1-ДисконтТендер),0)</f>
        <v/>
      </c>
      <c r="M357" s="10">
        <f>IF($I357="",0,IFERROR(INDEX(спр_Материалы!$I$2:$I$9000,MATCH($I357,спр_Материалы!$A$2:$A$9000,0))*IF(INDEX(спр_Материалы!$J$2:$J$9000,MATCH($I357,спр_Материалы!$A$2:$A$9000,0))="USD",КурсUSD,IF(INDEX(спр_Материалы!$J$2:$J$9000,MATCH($I357,спр_Материалы!$A$2:$A$9000,0))="EUR",КурсEUR,1))*INDEX(спр_Материалы!$K$2:$K$9000,MATCH($I357,спр_Материалы!$A$2:$A$9000,0))*(1+IFERROR(INDEX(спр_Работы!$I$2:$I$6000,MATCH($C357,спр_Работы!$A$2:$A$6000,0))/100,0))*(1-ДисконтТендер),0))</f>
        <v/>
      </c>
      <c r="N357" s="10">
        <f>IF(AND($R357="да",$H357&lt;&gt;""),ROUND($H357*$L357,2),0)</f>
        <v/>
      </c>
      <c r="O357" s="10">
        <f>IF(AND($R357="да",$H357&lt;&gt;""),ROUND($H357*$M357,2),0)</f>
        <v/>
      </c>
      <c r="P357" s="10">
        <f>$N357+$O357</f>
        <v/>
      </c>
      <c r="Q357">
        <f>IFERROR(INDEX(спр_Работы!$J$2:$J$6000,MATCH($C357,спр_Работы!$A$2:$A$6000,0)),"")</f>
        <v/>
      </c>
      <c r="R357" t="inlineStr">
        <is>
          <t>да</t>
        </is>
      </c>
      <c r="T357">
        <f>IF(AND($P357&gt;0,$R357="да"),MAX($T$1:$T356)+1,"")</f>
        <v/>
      </c>
    </row>
    <row r="358">
      <c r="A358">
        <f>IFERROR(INDEX(спр_Работы!$D$2:$D$6000,MATCH($C358,спр_Работы!$A$2:$A$6000,0)),"")</f>
        <v/>
      </c>
      <c r="B358">
        <f>IFERROR(INDEX(спр_Работы!$F$2:$F$6000,MATCH($C358,спр_Работы!$A$2:$A$6000,0)),"")</f>
        <v/>
      </c>
      <c r="C358">
        <f>IFERROR(INDEX(спр_Работы!$A$2:$A$6000,357),"")</f>
        <v/>
      </c>
      <c r="D358" s="8">
        <f>IFERROR(INDEX(спр_Работы!$B$2:$B$6000,MATCH($C358,спр_Работы!$A$2:$A$6000,0)),"")</f>
        <v/>
      </c>
      <c r="E358">
        <f>IFERROR(INDEX(спр_Работы!$C$2:$C$6000,MATCH($C358,спр_Работы!$A$2:$A$6000,0)),"")</f>
        <v/>
      </c>
      <c r="F358">
        <f>IFERROR(INDEX(спр_Работы!$G$2:$G$6000,MATCH($C358,спр_Работы!$A$2:$A$6000,0)),"")</f>
        <v/>
      </c>
      <c r="G358">
        <f>IFERROR(INDEX(спр_Работы!$K$2:$K$6000,MATCH($C358,спр_Работы!$A$2:$A$6000,0)),"")</f>
        <v/>
      </c>
      <c r="H358" s="9" t="n"/>
      <c r="I358" s="9" t="n"/>
      <c r="J358" s="8">
        <f>IFERROR(INDEX(спр_Материалы!$B$2:$B$9000,MATCH($I358,спр_Материалы!$A$2:$A$9000,0)),"")</f>
        <v/>
      </c>
      <c r="K358">
        <f>IF($I358="","",IF($F358=IFERROR(INDEX(спр_Материалы!$G$2:$G$9000,MATCH($I358,спр_Материалы!$A$2:$A$9000,0)),""),"OK","!! не та группа"))</f>
        <v/>
      </c>
      <c r="L358" s="10">
        <f>IFERROR(INDEX(спр_Работы!$H$2:$H$6000,MATCH($C358,спр_Работы!$A$2:$A$6000,0))*(1-ДисконтТендер),0)</f>
        <v/>
      </c>
      <c r="M358" s="10">
        <f>IF($I358="",0,IFERROR(INDEX(спр_Материалы!$I$2:$I$9000,MATCH($I358,спр_Материалы!$A$2:$A$9000,0))*IF(INDEX(спр_Материалы!$J$2:$J$9000,MATCH($I358,спр_Материалы!$A$2:$A$9000,0))="USD",КурсUSD,IF(INDEX(спр_Материалы!$J$2:$J$9000,MATCH($I358,спр_Материалы!$A$2:$A$9000,0))="EUR",КурсEUR,1))*INDEX(спр_Материалы!$K$2:$K$9000,MATCH($I358,спр_Материалы!$A$2:$A$9000,0))*(1+IFERROR(INDEX(спр_Работы!$I$2:$I$6000,MATCH($C358,спр_Работы!$A$2:$A$6000,0))/100,0))*(1-ДисконтТендер),0))</f>
        <v/>
      </c>
      <c r="N358" s="10">
        <f>IF(AND($R358="да",$H358&lt;&gt;""),ROUND($H358*$L358,2),0)</f>
        <v/>
      </c>
      <c r="O358" s="10">
        <f>IF(AND($R358="да",$H358&lt;&gt;""),ROUND($H358*$M358,2),0)</f>
        <v/>
      </c>
      <c r="P358" s="10">
        <f>$N358+$O358</f>
        <v/>
      </c>
      <c r="Q358">
        <f>IFERROR(INDEX(спр_Работы!$J$2:$J$6000,MATCH($C358,спр_Работы!$A$2:$A$6000,0)),"")</f>
        <v/>
      </c>
      <c r="R358" t="inlineStr">
        <is>
          <t>да</t>
        </is>
      </c>
      <c r="T358">
        <f>IF(AND($P358&gt;0,$R358="да"),MAX($T$1:$T357)+1,"")</f>
        <v/>
      </c>
    </row>
    <row r="359">
      <c r="A359">
        <f>IFERROR(INDEX(спр_Работы!$D$2:$D$6000,MATCH($C359,спр_Работы!$A$2:$A$6000,0)),"")</f>
        <v/>
      </c>
      <c r="B359">
        <f>IFERROR(INDEX(спр_Работы!$F$2:$F$6000,MATCH($C359,спр_Работы!$A$2:$A$6000,0)),"")</f>
        <v/>
      </c>
      <c r="C359">
        <f>IFERROR(INDEX(спр_Работы!$A$2:$A$6000,358),"")</f>
        <v/>
      </c>
      <c r="D359" s="8">
        <f>IFERROR(INDEX(спр_Работы!$B$2:$B$6000,MATCH($C359,спр_Работы!$A$2:$A$6000,0)),"")</f>
        <v/>
      </c>
      <c r="E359">
        <f>IFERROR(INDEX(спр_Работы!$C$2:$C$6000,MATCH($C359,спр_Работы!$A$2:$A$6000,0)),"")</f>
        <v/>
      </c>
      <c r="F359">
        <f>IFERROR(INDEX(спр_Работы!$G$2:$G$6000,MATCH($C359,спр_Работы!$A$2:$A$6000,0)),"")</f>
        <v/>
      </c>
      <c r="G359">
        <f>IFERROR(INDEX(спр_Работы!$K$2:$K$6000,MATCH($C359,спр_Работы!$A$2:$A$6000,0)),"")</f>
        <v/>
      </c>
      <c r="H359" s="9" t="n"/>
      <c r="I359" s="9" t="n"/>
      <c r="J359" s="8">
        <f>IFERROR(INDEX(спр_Материалы!$B$2:$B$9000,MATCH($I359,спр_Материалы!$A$2:$A$9000,0)),"")</f>
        <v/>
      </c>
      <c r="K359">
        <f>IF($I359="","",IF($F359=IFERROR(INDEX(спр_Материалы!$G$2:$G$9000,MATCH($I359,спр_Материалы!$A$2:$A$9000,0)),""),"OK","!! не та группа"))</f>
        <v/>
      </c>
      <c r="L359" s="10">
        <f>IFERROR(INDEX(спр_Работы!$H$2:$H$6000,MATCH($C359,спр_Работы!$A$2:$A$6000,0))*(1-ДисконтТендер),0)</f>
        <v/>
      </c>
      <c r="M359" s="10">
        <f>IF($I359="",0,IFERROR(INDEX(спр_Материалы!$I$2:$I$9000,MATCH($I359,спр_Материалы!$A$2:$A$9000,0))*IF(INDEX(спр_Материалы!$J$2:$J$9000,MATCH($I359,спр_Материалы!$A$2:$A$9000,0))="USD",КурсUSD,IF(INDEX(спр_Материалы!$J$2:$J$9000,MATCH($I359,спр_Материалы!$A$2:$A$9000,0))="EUR",КурсEUR,1))*INDEX(спр_Материалы!$K$2:$K$9000,MATCH($I359,спр_Материалы!$A$2:$A$9000,0))*(1+IFERROR(INDEX(спр_Работы!$I$2:$I$6000,MATCH($C359,спр_Работы!$A$2:$A$6000,0))/100,0))*(1-ДисконтТендер),0))</f>
        <v/>
      </c>
      <c r="N359" s="10">
        <f>IF(AND($R359="да",$H359&lt;&gt;""),ROUND($H359*$L359,2),0)</f>
        <v/>
      </c>
      <c r="O359" s="10">
        <f>IF(AND($R359="да",$H359&lt;&gt;""),ROUND($H359*$M359,2),0)</f>
        <v/>
      </c>
      <c r="P359" s="10">
        <f>$N359+$O359</f>
        <v/>
      </c>
      <c r="Q359">
        <f>IFERROR(INDEX(спр_Работы!$J$2:$J$6000,MATCH($C359,спр_Работы!$A$2:$A$6000,0)),"")</f>
        <v/>
      </c>
      <c r="R359" t="inlineStr">
        <is>
          <t>да</t>
        </is>
      </c>
      <c r="T359">
        <f>IF(AND($P359&gt;0,$R359="да"),MAX($T$1:$T358)+1,"")</f>
        <v/>
      </c>
    </row>
    <row r="360">
      <c r="A360">
        <f>IFERROR(INDEX(спр_Работы!$D$2:$D$6000,MATCH($C360,спр_Работы!$A$2:$A$6000,0)),"")</f>
        <v/>
      </c>
      <c r="B360">
        <f>IFERROR(INDEX(спр_Работы!$F$2:$F$6000,MATCH($C360,спр_Работы!$A$2:$A$6000,0)),"")</f>
        <v/>
      </c>
      <c r="C360">
        <f>IFERROR(INDEX(спр_Работы!$A$2:$A$6000,359),"")</f>
        <v/>
      </c>
      <c r="D360" s="8">
        <f>IFERROR(INDEX(спр_Работы!$B$2:$B$6000,MATCH($C360,спр_Работы!$A$2:$A$6000,0)),"")</f>
        <v/>
      </c>
      <c r="E360">
        <f>IFERROR(INDEX(спр_Работы!$C$2:$C$6000,MATCH($C360,спр_Работы!$A$2:$A$6000,0)),"")</f>
        <v/>
      </c>
      <c r="F360">
        <f>IFERROR(INDEX(спр_Работы!$G$2:$G$6000,MATCH($C360,спр_Работы!$A$2:$A$6000,0)),"")</f>
        <v/>
      </c>
      <c r="G360">
        <f>IFERROR(INDEX(спр_Работы!$K$2:$K$6000,MATCH($C360,спр_Работы!$A$2:$A$6000,0)),"")</f>
        <v/>
      </c>
      <c r="H360" s="9" t="n"/>
      <c r="I360" s="9" t="n"/>
      <c r="J360" s="8">
        <f>IFERROR(INDEX(спр_Материалы!$B$2:$B$9000,MATCH($I360,спр_Материалы!$A$2:$A$9000,0)),"")</f>
        <v/>
      </c>
      <c r="K360">
        <f>IF($I360="","",IF($F360=IFERROR(INDEX(спр_Материалы!$G$2:$G$9000,MATCH($I360,спр_Материалы!$A$2:$A$9000,0)),""),"OK","!! не та группа"))</f>
        <v/>
      </c>
      <c r="L360" s="10">
        <f>IFERROR(INDEX(спр_Работы!$H$2:$H$6000,MATCH($C360,спр_Работы!$A$2:$A$6000,0))*(1-ДисконтТендер),0)</f>
        <v/>
      </c>
      <c r="M360" s="10">
        <f>IF($I360="",0,IFERROR(INDEX(спр_Материалы!$I$2:$I$9000,MATCH($I360,спр_Материалы!$A$2:$A$9000,0))*IF(INDEX(спр_Материалы!$J$2:$J$9000,MATCH($I360,спр_Материалы!$A$2:$A$9000,0))="USD",КурсUSD,IF(INDEX(спр_Материалы!$J$2:$J$9000,MATCH($I360,спр_Материалы!$A$2:$A$9000,0))="EUR",КурсEUR,1))*INDEX(спр_Материалы!$K$2:$K$9000,MATCH($I360,спр_Материалы!$A$2:$A$9000,0))*(1+IFERROR(INDEX(спр_Работы!$I$2:$I$6000,MATCH($C360,спр_Работы!$A$2:$A$6000,0))/100,0))*(1-ДисконтТендер),0))</f>
        <v/>
      </c>
      <c r="N360" s="10">
        <f>IF(AND($R360="да",$H360&lt;&gt;""),ROUND($H360*$L360,2),0)</f>
        <v/>
      </c>
      <c r="O360" s="10">
        <f>IF(AND($R360="да",$H360&lt;&gt;""),ROUND($H360*$M360,2),0)</f>
        <v/>
      </c>
      <c r="P360" s="10">
        <f>$N360+$O360</f>
        <v/>
      </c>
      <c r="Q360">
        <f>IFERROR(INDEX(спр_Работы!$J$2:$J$6000,MATCH($C360,спр_Работы!$A$2:$A$6000,0)),"")</f>
        <v/>
      </c>
      <c r="R360" t="inlineStr">
        <is>
          <t>да</t>
        </is>
      </c>
      <c r="T360">
        <f>IF(AND($P360&gt;0,$R360="да"),MAX($T$1:$T359)+1,"")</f>
        <v/>
      </c>
    </row>
    <row r="361">
      <c r="A361">
        <f>IFERROR(INDEX(спр_Работы!$D$2:$D$6000,MATCH($C361,спр_Работы!$A$2:$A$6000,0)),"")</f>
        <v/>
      </c>
      <c r="B361">
        <f>IFERROR(INDEX(спр_Работы!$F$2:$F$6000,MATCH($C361,спр_Работы!$A$2:$A$6000,0)),"")</f>
        <v/>
      </c>
      <c r="C361">
        <f>IFERROR(INDEX(спр_Работы!$A$2:$A$6000,360),"")</f>
        <v/>
      </c>
      <c r="D361" s="8">
        <f>IFERROR(INDEX(спр_Работы!$B$2:$B$6000,MATCH($C361,спр_Работы!$A$2:$A$6000,0)),"")</f>
        <v/>
      </c>
      <c r="E361">
        <f>IFERROR(INDEX(спр_Работы!$C$2:$C$6000,MATCH($C361,спр_Работы!$A$2:$A$6000,0)),"")</f>
        <v/>
      </c>
      <c r="F361">
        <f>IFERROR(INDEX(спр_Работы!$G$2:$G$6000,MATCH($C361,спр_Работы!$A$2:$A$6000,0)),"")</f>
        <v/>
      </c>
      <c r="G361">
        <f>IFERROR(INDEX(спр_Работы!$K$2:$K$6000,MATCH($C361,спр_Работы!$A$2:$A$6000,0)),"")</f>
        <v/>
      </c>
      <c r="H361" s="9" t="n"/>
      <c r="I361" s="9" t="n"/>
      <c r="J361" s="8">
        <f>IFERROR(INDEX(спр_Материалы!$B$2:$B$9000,MATCH($I361,спр_Материалы!$A$2:$A$9000,0)),"")</f>
        <v/>
      </c>
      <c r="K361">
        <f>IF($I361="","",IF($F361=IFERROR(INDEX(спр_Материалы!$G$2:$G$9000,MATCH($I361,спр_Материалы!$A$2:$A$9000,0)),""),"OK","!! не та группа"))</f>
        <v/>
      </c>
      <c r="L361" s="10">
        <f>IFERROR(INDEX(спр_Работы!$H$2:$H$6000,MATCH($C361,спр_Работы!$A$2:$A$6000,0))*(1-ДисконтТендер),0)</f>
        <v/>
      </c>
      <c r="M361" s="10">
        <f>IF($I361="",0,IFERROR(INDEX(спр_Материалы!$I$2:$I$9000,MATCH($I361,спр_Материалы!$A$2:$A$9000,0))*IF(INDEX(спр_Материалы!$J$2:$J$9000,MATCH($I361,спр_Материалы!$A$2:$A$9000,0))="USD",КурсUSD,IF(INDEX(спр_Материалы!$J$2:$J$9000,MATCH($I361,спр_Материалы!$A$2:$A$9000,0))="EUR",КурсEUR,1))*INDEX(спр_Материалы!$K$2:$K$9000,MATCH($I361,спр_Материалы!$A$2:$A$9000,0))*(1+IFERROR(INDEX(спр_Работы!$I$2:$I$6000,MATCH($C361,спр_Работы!$A$2:$A$6000,0))/100,0))*(1-ДисконтТендер),0))</f>
        <v/>
      </c>
      <c r="N361" s="10">
        <f>IF(AND($R361="да",$H361&lt;&gt;""),ROUND($H361*$L361,2),0)</f>
        <v/>
      </c>
      <c r="O361" s="10">
        <f>IF(AND($R361="да",$H361&lt;&gt;""),ROUND($H361*$M361,2),0)</f>
        <v/>
      </c>
      <c r="P361" s="10">
        <f>$N361+$O361</f>
        <v/>
      </c>
      <c r="Q361">
        <f>IFERROR(INDEX(спр_Работы!$J$2:$J$6000,MATCH($C361,спр_Работы!$A$2:$A$6000,0)),"")</f>
        <v/>
      </c>
      <c r="R361" t="inlineStr">
        <is>
          <t>да</t>
        </is>
      </c>
      <c r="T361">
        <f>IF(AND($P361&gt;0,$R361="да"),MAX($T$1:$T360)+1,"")</f>
        <v/>
      </c>
    </row>
    <row r="362">
      <c r="A362">
        <f>IFERROR(INDEX(спр_Работы!$D$2:$D$6000,MATCH($C362,спр_Работы!$A$2:$A$6000,0)),"")</f>
        <v/>
      </c>
      <c r="B362">
        <f>IFERROR(INDEX(спр_Работы!$F$2:$F$6000,MATCH($C362,спр_Работы!$A$2:$A$6000,0)),"")</f>
        <v/>
      </c>
      <c r="C362">
        <f>IFERROR(INDEX(спр_Работы!$A$2:$A$6000,361),"")</f>
        <v/>
      </c>
      <c r="D362" s="8">
        <f>IFERROR(INDEX(спр_Работы!$B$2:$B$6000,MATCH($C362,спр_Работы!$A$2:$A$6000,0)),"")</f>
        <v/>
      </c>
      <c r="E362">
        <f>IFERROR(INDEX(спр_Работы!$C$2:$C$6000,MATCH($C362,спр_Работы!$A$2:$A$6000,0)),"")</f>
        <v/>
      </c>
      <c r="F362">
        <f>IFERROR(INDEX(спр_Работы!$G$2:$G$6000,MATCH($C362,спр_Работы!$A$2:$A$6000,0)),"")</f>
        <v/>
      </c>
      <c r="G362">
        <f>IFERROR(INDEX(спр_Работы!$K$2:$K$6000,MATCH($C362,спр_Работы!$A$2:$A$6000,0)),"")</f>
        <v/>
      </c>
      <c r="H362" s="9" t="n"/>
      <c r="I362" s="9" t="n"/>
      <c r="J362" s="8">
        <f>IFERROR(INDEX(спр_Материалы!$B$2:$B$9000,MATCH($I362,спр_Материалы!$A$2:$A$9000,0)),"")</f>
        <v/>
      </c>
      <c r="K362">
        <f>IF($I362="","",IF($F362=IFERROR(INDEX(спр_Материалы!$G$2:$G$9000,MATCH($I362,спр_Материалы!$A$2:$A$9000,0)),""),"OK","!! не та группа"))</f>
        <v/>
      </c>
      <c r="L362" s="10">
        <f>IFERROR(INDEX(спр_Работы!$H$2:$H$6000,MATCH($C362,спр_Работы!$A$2:$A$6000,0))*(1-ДисконтТендер),0)</f>
        <v/>
      </c>
      <c r="M362" s="10">
        <f>IF($I362="",0,IFERROR(INDEX(спр_Материалы!$I$2:$I$9000,MATCH($I362,спр_Материалы!$A$2:$A$9000,0))*IF(INDEX(спр_Материалы!$J$2:$J$9000,MATCH($I362,спр_Материалы!$A$2:$A$9000,0))="USD",КурсUSD,IF(INDEX(спр_Материалы!$J$2:$J$9000,MATCH($I362,спр_Материалы!$A$2:$A$9000,0))="EUR",КурсEUR,1))*INDEX(спр_Материалы!$K$2:$K$9000,MATCH($I362,спр_Материалы!$A$2:$A$9000,0))*(1+IFERROR(INDEX(спр_Работы!$I$2:$I$6000,MATCH($C362,спр_Работы!$A$2:$A$6000,0))/100,0))*(1-ДисконтТендер),0))</f>
        <v/>
      </c>
      <c r="N362" s="10">
        <f>IF(AND($R362="да",$H362&lt;&gt;""),ROUND($H362*$L362,2),0)</f>
        <v/>
      </c>
      <c r="O362" s="10">
        <f>IF(AND($R362="да",$H362&lt;&gt;""),ROUND($H362*$M362,2),0)</f>
        <v/>
      </c>
      <c r="P362" s="10">
        <f>$N362+$O362</f>
        <v/>
      </c>
      <c r="Q362">
        <f>IFERROR(INDEX(спр_Работы!$J$2:$J$6000,MATCH($C362,спр_Работы!$A$2:$A$6000,0)),"")</f>
        <v/>
      </c>
      <c r="R362" t="inlineStr">
        <is>
          <t>да</t>
        </is>
      </c>
      <c r="T362">
        <f>IF(AND($P362&gt;0,$R362="да"),MAX($T$1:$T361)+1,"")</f>
        <v/>
      </c>
    </row>
    <row r="363">
      <c r="A363">
        <f>IFERROR(INDEX(спр_Работы!$D$2:$D$6000,MATCH($C363,спр_Работы!$A$2:$A$6000,0)),"")</f>
        <v/>
      </c>
      <c r="B363">
        <f>IFERROR(INDEX(спр_Работы!$F$2:$F$6000,MATCH($C363,спр_Работы!$A$2:$A$6000,0)),"")</f>
        <v/>
      </c>
      <c r="C363">
        <f>IFERROR(INDEX(спр_Работы!$A$2:$A$6000,362),"")</f>
        <v/>
      </c>
      <c r="D363" s="8">
        <f>IFERROR(INDEX(спр_Работы!$B$2:$B$6000,MATCH($C363,спр_Работы!$A$2:$A$6000,0)),"")</f>
        <v/>
      </c>
      <c r="E363">
        <f>IFERROR(INDEX(спр_Работы!$C$2:$C$6000,MATCH($C363,спр_Работы!$A$2:$A$6000,0)),"")</f>
        <v/>
      </c>
      <c r="F363">
        <f>IFERROR(INDEX(спр_Работы!$G$2:$G$6000,MATCH($C363,спр_Работы!$A$2:$A$6000,0)),"")</f>
        <v/>
      </c>
      <c r="G363">
        <f>IFERROR(INDEX(спр_Работы!$K$2:$K$6000,MATCH($C363,спр_Работы!$A$2:$A$6000,0)),"")</f>
        <v/>
      </c>
      <c r="H363" s="9" t="n"/>
      <c r="I363" s="9" t="n"/>
      <c r="J363" s="8">
        <f>IFERROR(INDEX(спр_Материалы!$B$2:$B$9000,MATCH($I363,спр_Материалы!$A$2:$A$9000,0)),"")</f>
        <v/>
      </c>
      <c r="K363">
        <f>IF($I363="","",IF($F363=IFERROR(INDEX(спр_Материалы!$G$2:$G$9000,MATCH($I363,спр_Материалы!$A$2:$A$9000,0)),""),"OK","!! не та группа"))</f>
        <v/>
      </c>
      <c r="L363" s="10">
        <f>IFERROR(INDEX(спр_Работы!$H$2:$H$6000,MATCH($C363,спр_Работы!$A$2:$A$6000,0))*(1-ДисконтТендер),0)</f>
        <v/>
      </c>
      <c r="M363" s="10">
        <f>IF($I363="",0,IFERROR(INDEX(спр_Материалы!$I$2:$I$9000,MATCH($I363,спр_Материалы!$A$2:$A$9000,0))*IF(INDEX(спр_Материалы!$J$2:$J$9000,MATCH($I363,спр_Материалы!$A$2:$A$9000,0))="USD",КурсUSD,IF(INDEX(спр_Материалы!$J$2:$J$9000,MATCH($I363,спр_Материалы!$A$2:$A$9000,0))="EUR",КурсEUR,1))*INDEX(спр_Материалы!$K$2:$K$9000,MATCH($I363,спр_Материалы!$A$2:$A$9000,0))*(1+IFERROR(INDEX(спр_Работы!$I$2:$I$6000,MATCH($C363,спр_Работы!$A$2:$A$6000,0))/100,0))*(1-ДисконтТендер),0))</f>
        <v/>
      </c>
      <c r="N363" s="10">
        <f>IF(AND($R363="да",$H363&lt;&gt;""),ROUND($H363*$L363,2),0)</f>
        <v/>
      </c>
      <c r="O363" s="10">
        <f>IF(AND($R363="да",$H363&lt;&gt;""),ROUND($H363*$M363,2),0)</f>
        <v/>
      </c>
      <c r="P363" s="10">
        <f>$N363+$O363</f>
        <v/>
      </c>
      <c r="Q363">
        <f>IFERROR(INDEX(спр_Работы!$J$2:$J$6000,MATCH($C363,спр_Работы!$A$2:$A$6000,0)),"")</f>
        <v/>
      </c>
      <c r="R363" t="inlineStr">
        <is>
          <t>да</t>
        </is>
      </c>
      <c r="T363">
        <f>IF(AND($P363&gt;0,$R363="да"),MAX($T$1:$T362)+1,"")</f>
        <v/>
      </c>
    </row>
    <row r="364">
      <c r="A364">
        <f>IFERROR(INDEX(спр_Работы!$D$2:$D$6000,MATCH($C364,спр_Работы!$A$2:$A$6000,0)),"")</f>
        <v/>
      </c>
      <c r="B364">
        <f>IFERROR(INDEX(спр_Работы!$F$2:$F$6000,MATCH($C364,спр_Работы!$A$2:$A$6000,0)),"")</f>
        <v/>
      </c>
      <c r="C364">
        <f>IFERROR(INDEX(спр_Работы!$A$2:$A$6000,363),"")</f>
        <v/>
      </c>
      <c r="D364" s="8">
        <f>IFERROR(INDEX(спр_Работы!$B$2:$B$6000,MATCH($C364,спр_Работы!$A$2:$A$6000,0)),"")</f>
        <v/>
      </c>
      <c r="E364">
        <f>IFERROR(INDEX(спр_Работы!$C$2:$C$6000,MATCH($C364,спр_Работы!$A$2:$A$6000,0)),"")</f>
        <v/>
      </c>
      <c r="F364">
        <f>IFERROR(INDEX(спр_Работы!$G$2:$G$6000,MATCH($C364,спр_Работы!$A$2:$A$6000,0)),"")</f>
        <v/>
      </c>
      <c r="G364">
        <f>IFERROR(INDEX(спр_Работы!$K$2:$K$6000,MATCH($C364,спр_Работы!$A$2:$A$6000,0)),"")</f>
        <v/>
      </c>
      <c r="H364" s="9" t="n"/>
      <c r="I364" s="9" t="n"/>
      <c r="J364" s="8">
        <f>IFERROR(INDEX(спр_Материалы!$B$2:$B$9000,MATCH($I364,спр_Материалы!$A$2:$A$9000,0)),"")</f>
        <v/>
      </c>
      <c r="K364">
        <f>IF($I364="","",IF($F364=IFERROR(INDEX(спр_Материалы!$G$2:$G$9000,MATCH($I364,спр_Материалы!$A$2:$A$9000,0)),""),"OK","!! не та группа"))</f>
        <v/>
      </c>
      <c r="L364" s="10">
        <f>IFERROR(INDEX(спр_Работы!$H$2:$H$6000,MATCH($C364,спр_Работы!$A$2:$A$6000,0))*(1-ДисконтТендер),0)</f>
        <v/>
      </c>
      <c r="M364" s="10">
        <f>IF($I364="",0,IFERROR(INDEX(спр_Материалы!$I$2:$I$9000,MATCH($I364,спр_Материалы!$A$2:$A$9000,0))*IF(INDEX(спр_Материалы!$J$2:$J$9000,MATCH($I364,спр_Материалы!$A$2:$A$9000,0))="USD",КурсUSD,IF(INDEX(спр_Материалы!$J$2:$J$9000,MATCH($I364,спр_Материалы!$A$2:$A$9000,0))="EUR",КурсEUR,1))*INDEX(спр_Материалы!$K$2:$K$9000,MATCH($I364,спр_Материалы!$A$2:$A$9000,0))*(1+IFERROR(INDEX(спр_Работы!$I$2:$I$6000,MATCH($C364,спр_Работы!$A$2:$A$6000,0))/100,0))*(1-ДисконтТендер),0))</f>
        <v/>
      </c>
      <c r="N364" s="10">
        <f>IF(AND($R364="да",$H364&lt;&gt;""),ROUND($H364*$L364,2),0)</f>
        <v/>
      </c>
      <c r="O364" s="10">
        <f>IF(AND($R364="да",$H364&lt;&gt;""),ROUND($H364*$M364,2),0)</f>
        <v/>
      </c>
      <c r="P364" s="10">
        <f>$N364+$O364</f>
        <v/>
      </c>
      <c r="Q364">
        <f>IFERROR(INDEX(спр_Работы!$J$2:$J$6000,MATCH($C364,спр_Работы!$A$2:$A$6000,0)),"")</f>
        <v/>
      </c>
      <c r="R364" t="inlineStr">
        <is>
          <t>да</t>
        </is>
      </c>
      <c r="T364">
        <f>IF(AND($P364&gt;0,$R364="да"),MAX($T$1:$T363)+1,"")</f>
        <v/>
      </c>
    </row>
    <row r="365">
      <c r="A365">
        <f>IFERROR(INDEX(спр_Работы!$D$2:$D$6000,MATCH($C365,спр_Работы!$A$2:$A$6000,0)),"")</f>
        <v/>
      </c>
      <c r="B365">
        <f>IFERROR(INDEX(спр_Работы!$F$2:$F$6000,MATCH($C365,спр_Работы!$A$2:$A$6000,0)),"")</f>
        <v/>
      </c>
      <c r="C365">
        <f>IFERROR(INDEX(спр_Работы!$A$2:$A$6000,364),"")</f>
        <v/>
      </c>
      <c r="D365" s="8">
        <f>IFERROR(INDEX(спр_Работы!$B$2:$B$6000,MATCH($C365,спр_Работы!$A$2:$A$6000,0)),"")</f>
        <v/>
      </c>
      <c r="E365">
        <f>IFERROR(INDEX(спр_Работы!$C$2:$C$6000,MATCH($C365,спр_Работы!$A$2:$A$6000,0)),"")</f>
        <v/>
      </c>
      <c r="F365">
        <f>IFERROR(INDEX(спр_Работы!$G$2:$G$6000,MATCH($C365,спр_Работы!$A$2:$A$6000,0)),"")</f>
        <v/>
      </c>
      <c r="G365">
        <f>IFERROR(INDEX(спр_Работы!$K$2:$K$6000,MATCH($C365,спр_Работы!$A$2:$A$6000,0)),"")</f>
        <v/>
      </c>
      <c r="H365" s="9" t="n"/>
      <c r="I365" s="9" t="n"/>
      <c r="J365" s="8">
        <f>IFERROR(INDEX(спр_Материалы!$B$2:$B$9000,MATCH($I365,спр_Материалы!$A$2:$A$9000,0)),"")</f>
        <v/>
      </c>
      <c r="K365">
        <f>IF($I365="","",IF($F365=IFERROR(INDEX(спр_Материалы!$G$2:$G$9000,MATCH($I365,спр_Материалы!$A$2:$A$9000,0)),""),"OK","!! не та группа"))</f>
        <v/>
      </c>
      <c r="L365" s="10">
        <f>IFERROR(INDEX(спр_Работы!$H$2:$H$6000,MATCH($C365,спр_Работы!$A$2:$A$6000,0))*(1-ДисконтТендер),0)</f>
        <v/>
      </c>
      <c r="M365" s="10">
        <f>IF($I365="",0,IFERROR(INDEX(спр_Материалы!$I$2:$I$9000,MATCH($I365,спр_Материалы!$A$2:$A$9000,0))*IF(INDEX(спр_Материалы!$J$2:$J$9000,MATCH($I365,спр_Материалы!$A$2:$A$9000,0))="USD",КурсUSD,IF(INDEX(спр_Материалы!$J$2:$J$9000,MATCH($I365,спр_Материалы!$A$2:$A$9000,0))="EUR",КурсEUR,1))*INDEX(спр_Материалы!$K$2:$K$9000,MATCH($I365,спр_Материалы!$A$2:$A$9000,0))*(1+IFERROR(INDEX(спр_Работы!$I$2:$I$6000,MATCH($C365,спр_Работы!$A$2:$A$6000,0))/100,0))*(1-ДисконтТендер),0))</f>
        <v/>
      </c>
      <c r="N365" s="10">
        <f>IF(AND($R365="да",$H365&lt;&gt;""),ROUND($H365*$L365,2),0)</f>
        <v/>
      </c>
      <c r="O365" s="10">
        <f>IF(AND($R365="да",$H365&lt;&gt;""),ROUND($H365*$M365,2),0)</f>
        <v/>
      </c>
      <c r="P365" s="10">
        <f>$N365+$O365</f>
        <v/>
      </c>
      <c r="Q365">
        <f>IFERROR(INDEX(спр_Работы!$J$2:$J$6000,MATCH($C365,спр_Работы!$A$2:$A$6000,0)),"")</f>
        <v/>
      </c>
      <c r="R365" t="inlineStr">
        <is>
          <t>да</t>
        </is>
      </c>
      <c r="T365">
        <f>IF(AND($P365&gt;0,$R365="да"),MAX($T$1:$T364)+1,"")</f>
        <v/>
      </c>
    </row>
    <row r="366">
      <c r="A366">
        <f>IFERROR(INDEX(спр_Работы!$D$2:$D$6000,MATCH($C366,спр_Работы!$A$2:$A$6000,0)),"")</f>
        <v/>
      </c>
      <c r="B366">
        <f>IFERROR(INDEX(спр_Работы!$F$2:$F$6000,MATCH($C366,спр_Работы!$A$2:$A$6000,0)),"")</f>
        <v/>
      </c>
      <c r="C366">
        <f>IFERROR(INDEX(спр_Работы!$A$2:$A$6000,365),"")</f>
        <v/>
      </c>
      <c r="D366" s="8">
        <f>IFERROR(INDEX(спр_Работы!$B$2:$B$6000,MATCH($C366,спр_Работы!$A$2:$A$6000,0)),"")</f>
        <v/>
      </c>
      <c r="E366">
        <f>IFERROR(INDEX(спр_Работы!$C$2:$C$6000,MATCH($C366,спр_Работы!$A$2:$A$6000,0)),"")</f>
        <v/>
      </c>
      <c r="F366">
        <f>IFERROR(INDEX(спр_Работы!$G$2:$G$6000,MATCH($C366,спр_Работы!$A$2:$A$6000,0)),"")</f>
        <v/>
      </c>
      <c r="G366">
        <f>IFERROR(INDEX(спр_Работы!$K$2:$K$6000,MATCH($C366,спр_Работы!$A$2:$A$6000,0)),"")</f>
        <v/>
      </c>
      <c r="H366" s="9" t="n"/>
      <c r="I366" s="9" t="n"/>
      <c r="J366" s="8">
        <f>IFERROR(INDEX(спр_Материалы!$B$2:$B$9000,MATCH($I366,спр_Материалы!$A$2:$A$9000,0)),"")</f>
        <v/>
      </c>
      <c r="K366">
        <f>IF($I366="","",IF($F366=IFERROR(INDEX(спр_Материалы!$G$2:$G$9000,MATCH($I366,спр_Материалы!$A$2:$A$9000,0)),""),"OK","!! не та группа"))</f>
        <v/>
      </c>
      <c r="L366" s="10">
        <f>IFERROR(INDEX(спр_Работы!$H$2:$H$6000,MATCH($C366,спр_Работы!$A$2:$A$6000,0))*(1-ДисконтТендер),0)</f>
        <v/>
      </c>
      <c r="M366" s="10">
        <f>IF($I366="",0,IFERROR(INDEX(спр_Материалы!$I$2:$I$9000,MATCH($I366,спр_Материалы!$A$2:$A$9000,0))*IF(INDEX(спр_Материалы!$J$2:$J$9000,MATCH($I366,спр_Материалы!$A$2:$A$9000,0))="USD",КурсUSD,IF(INDEX(спр_Материалы!$J$2:$J$9000,MATCH($I366,спр_Материалы!$A$2:$A$9000,0))="EUR",КурсEUR,1))*INDEX(спр_Материалы!$K$2:$K$9000,MATCH($I366,спр_Материалы!$A$2:$A$9000,0))*(1+IFERROR(INDEX(спр_Работы!$I$2:$I$6000,MATCH($C366,спр_Работы!$A$2:$A$6000,0))/100,0))*(1-ДисконтТендер),0))</f>
        <v/>
      </c>
      <c r="N366" s="10">
        <f>IF(AND($R366="да",$H366&lt;&gt;""),ROUND($H366*$L366,2),0)</f>
        <v/>
      </c>
      <c r="O366" s="10">
        <f>IF(AND($R366="да",$H366&lt;&gt;""),ROUND($H366*$M366,2),0)</f>
        <v/>
      </c>
      <c r="P366" s="10">
        <f>$N366+$O366</f>
        <v/>
      </c>
      <c r="Q366">
        <f>IFERROR(INDEX(спр_Работы!$J$2:$J$6000,MATCH($C366,спр_Работы!$A$2:$A$6000,0)),"")</f>
        <v/>
      </c>
      <c r="R366" t="inlineStr">
        <is>
          <t>да</t>
        </is>
      </c>
      <c r="T366">
        <f>IF(AND($P366&gt;0,$R366="да"),MAX($T$1:$T365)+1,"")</f>
        <v/>
      </c>
    </row>
    <row r="367">
      <c r="A367">
        <f>IFERROR(INDEX(спр_Работы!$D$2:$D$6000,MATCH($C367,спр_Работы!$A$2:$A$6000,0)),"")</f>
        <v/>
      </c>
      <c r="B367">
        <f>IFERROR(INDEX(спр_Работы!$F$2:$F$6000,MATCH($C367,спр_Работы!$A$2:$A$6000,0)),"")</f>
        <v/>
      </c>
      <c r="C367">
        <f>IFERROR(INDEX(спр_Работы!$A$2:$A$6000,366),"")</f>
        <v/>
      </c>
      <c r="D367" s="8">
        <f>IFERROR(INDEX(спр_Работы!$B$2:$B$6000,MATCH($C367,спр_Работы!$A$2:$A$6000,0)),"")</f>
        <v/>
      </c>
      <c r="E367">
        <f>IFERROR(INDEX(спр_Работы!$C$2:$C$6000,MATCH($C367,спр_Работы!$A$2:$A$6000,0)),"")</f>
        <v/>
      </c>
      <c r="F367">
        <f>IFERROR(INDEX(спр_Работы!$G$2:$G$6000,MATCH($C367,спр_Работы!$A$2:$A$6000,0)),"")</f>
        <v/>
      </c>
      <c r="G367">
        <f>IFERROR(INDEX(спр_Работы!$K$2:$K$6000,MATCH($C367,спр_Работы!$A$2:$A$6000,0)),"")</f>
        <v/>
      </c>
      <c r="H367" s="9" t="n"/>
      <c r="I367" s="9" t="n"/>
      <c r="J367" s="8">
        <f>IFERROR(INDEX(спр_Материалы!$B$2:$B$9000,MATCH($I367,спр_Материалы!$A$2:$A$9000,0)),"")</f>
        <v/>
      </c>
      <c r="K367">
        <f>IF($I367="","",IF($F367=IFERROR(INDEX(спр_Материалы!$G$2:$G$9000,MATCH($I367,спр_Материалы!$A$2:$A$9000,0)),""),"OK","!! не та группа"))</f>
        <v/>
      </c>
      <c r="L367" s="10">
        <f>IFERROR(INDEX(спр_Работы!$H$2:$H$6000,MATCH($C367,спр_Работы!$A$2:$A$6000,0))*(1-ДисконтТендер),0)</f>
        <v/>
      </c>
      <c r="M367" s="10">
        <f>IF($I367="",0,IFERROR(INDEX(спр_Материалы!$I$2:$I$9000,MATCH($I367,спр_Материалы!$A$2:$A$9000,0))*IF(INDEX(спр_Материалы!$J$2:$J$9000,MATCH($I367,спр_Материалы!$A$2:$A$9000,0))="USD",КурсUSD,IF(INDEX(спр_Материалы!$J$2:$J$9000,MATCH($I367,спр_Материалы!$A$2:$A$9000,0))="EUR",КурсEUR,1))*INDEX(спр_Материалы!$K$2:$K$9000,MATCH($I367,спр_Материалы!$A$2:$A$9000,0))*(1+IFERROR(INDEX(спр_Работы!$I$2:$I$6000,MATCH($C367,спр_Работы!$A$2:$A$6000,0))/100,0))*(1-ДисконтТендер),0))</f>
        <v/>
      </c>
      <c r="N367" s="10">
        <f>IF(AND($R367="да",$H367&lt;&gt;""),ROUND($H367*$L367,2),0)</f>
        <v/>
      </c>
      <c r="O367" s="10">
        <f>IF(AND($R367="да",$H367&lt;&gt;""),ROUND($H367*$M367,2),0)</f>
        <v/>
      </c>
      <c r="P367" s="10">
        <f>$N367+$O367</f>
        <v/>
      </c>
      <c r="Q367">
        <f>IFERROR(INDEX(спр_Работы!$J$2:$J$6000,MATCH($C367,спр_Работы!$A$2:$A$6000,0)),"")</f>
        <v/>
      </c>
      <c r="R367" t="inlineStr">
        <is>
          <t>да</t>
        </is>
      </c>
      <c r="T367">
        <f>IF(AND($P367&gt;0,$R367="да"),MAX($T$1:$T366)+1,"")</f>
        <v/>
      </c>
    </row>
    <row r="368">
      <c r="A368">
        <f>IFERROR(INDEX(спр_Работы!$D$2:$D$6000,MATCH($C368,спр_Работы!$A$2:$A$6000,0)),"")</f>
        <v/>
      </c>
      <c r="B368">
        <f>IFERROR(INDEX(спр_Работы!$F$2:$F$6000,MATCH($C368,спр_Работы!$A$2:$A$6000,0)),"")</f>
        <v/>
      </c>
      <c r="C368">
        <f>IFERROR(INDEX(спр_Работы!$A$2:$A$6000,367),"")</f>
        <v/>
      </c>
      <c r="D368" s="8">
        <f>IFERROR(INDEX(спр_Работы!$B$2:$B$6000,MATCH($C368,спр_Работы!$A$2:$A$6000,0)),"")</f>
        <v/>
      </c>
      <c r="E368">
        <f>IFERROR(INDEX(спр_Работы!$C$2:$C$6000,MATCH($C368,спр_Работы!$A$2:$A$6000,0)),"")</f>
        <v/>
      </c>
      <c r="F368">
        <f>IFERROR(INDEX(спр_Работы!$G$2:$G$6000,MATCH($C368,спр_Работы!$A$2:$A$6000,0)),"")</f>
        <v/>
      </c>
      <c r="G368">
        <f>IFERROR(INDEX(спр_Работы!$K$2:$K$6000,MATCH($C368,спр_Работы!$A$2:$A$6000,0)),"")</f>
        <v/>
      </c>
      <c r="H368" s="9" t="n"/>
      <c r="I368" s="9" t="n"/>
      <c r="J368" s="8">
        <f>IFERROR(INDEX(спр_Материалы!$B$2:$B$9000,MATCH($I368,спр_Материалы!$A$2:$A$9000,0)),"")</f>
        <v/>
      </c>
      <c r="K368">
        <f>IF($I368="","",IF($F368=IFERROR(INDEX(спр_Материалы!$G$2:$G$9000,MATCH($I368,спр_Материалы!$A$2:$A$9000,0)),""),"OK","!! не та группа"))</f>
        <v/>
      </c>
      <c r="L368" s="10">
        <f>IFERROR(INDEX(спр_Работы!$H$2:$H$6000,MATCH($C368,спр_Работы!$A$2:$A$6000,0))*(1-ДисконтТендер),0)</f>
        <v/>
      </c>
      <c r="M368" s="10">
        <f>IF($I368="",0,IFERROR(INDEX(спр_Материалы!$I$2:$I$9000,MATCH($I368,спр_Материалы!$A$2:$A$9000,0))*IF(INDEX(спр_Материалы!$J$2:$J$9000,MATCH($I368,спр_Материалы!$A$2:$A$9000,0))="USD",КурсUSD,IF(INDEX(спр_Материалы!$J$2:$J$9000,MATCH($I368,спр_Материалы!$A$2:$A$9000,0))="EUR",КурсEUR,1))*INDEX(спр_Материалы!$K$2:$K$9000,MATCH($I368,спр_Материалы!$A$2:$A$9000,0))*(1+IFERROR(INDEX(спр_Работы!$I$2:$I$6000,MATCH($C368,спр_Работы!$A$2:$A$6000,0))/100,0))*(1-ДисконтТендер),0))</f>
        <v/>
      </c>
      <c r="N368" s="10">
        <f>IF(AND($R368="да",$H368&lt;&gt;""),ROUND($H368*$L368,2),0)</f>
        <v/>
      </c>
      <c r="O368" s="10">
        <f>IF(AND($R368="да",$H368&lt;&gt;""),ROUND($H368*$M368,2),0)</f>
        <v/>
      </c>
      <c r="P368" s="10">
        <f>$N368+$O368</f>
        <v/>
      </c>
      <c r="Q368">
        <f>IFERROR(INDEX(спр_Работы!$J$2:$J$6000,MATCH($C368,спр_Работы!$A$2:$A$6000,0)),"")</f>
        <v/>
      </c>
      <c r="R368" t="inlineStr">
        <is>
          <t>да</t>
        </is>
      </c>
      <c r="T368">
        <f>IF(AND($P368&gt;0,$R368="да"),MAX($T$1:$T367)+1,"")</f>
        <v/>
      </c>
    </row>
    <row r="369">
      <c r="A369">
        <f>IFERROR(INDEX(спр_Работы!$D$2:$D$6000,MATCH($C369,спр_Работы!$A$2:$A$6000,0)),"")</f>
        <v/>
      </c>
      <c r="B369">
        <f>IFERROR(INDEX(спр_Работы!$F$2:$F$6000,MATCH($C369,спр_Работы!$A$2:$A$6000,0)),"")</f>
        <v/>
      </c>
      <c r="C369">
        <f>IFERROR(INDEX(спр_Работы!$A$2:$A$6000,368),"")</f>
        <v/>
      </c>
      <c r="D369" s="8">
        <f>IFERROR(INDEX(спр_Работы!$B$2:$B$6000,MATCH($C369,спр_Работы!$A$2:$A$6000,0)),"")</f>
        <v/>
      </c>
      <c r="E369">
        <f>IFERROR(INDEX(спр_Работы!$C$2:$C$6000,MATCH($C369,спр_Работы!$A$2:$A$6000,0)),"")</f>
        <v/>
      </c>
      <c r="F369">
        <f>IFERROR(INDEX(спр_Работы!$G$2:$G$6000,MATCH($C369,спр_Работы!$A$2:$A$6000,0)),"")</f>
        <v/>
      </c>
      <c r="G369">
        <f>IFERROR(INDEX(спр_Работы!$K$2:$K$6000,MATCH($C369,спр_Работы!$A$2:$A$6000,0)),"")</f>
        <v/>
      </c>
      <c r="H369" s="9" t="n"/>
      <c r="I369" s="9" t="n"/>
      <c r="J369" s="8">
        <f>IFERROR(INDEX(спр_Материалы!$B$2:$B$9000,MATCH($I369,спр_Материалы!$A$2:$A$9000,0)),"")</f>
        <v/>
      </c>
      <c r="K369">
        <f>IF($I369="","",IF($F369=IFERROR(INDEX(спр_Материалы!$G$2:$G$9000,MATCH($I369,спр_Материалы!$A$2:$A$9000,0)),""),"OK","!! не та группа"))</f>
        <v/>
      </c>
      <c r="L369" s="10">
        <f>IFERROR(INDEX(спр_Работы!$H$2:$H$6000,MATCH($C369,спр_Работы!$A$2:$A$6000,0))*(1-ДисконтТендер),0)</f>
        <v/>
      </c>
      <c r="M369" s="10">
        <f>IF($I369="",0,IFERROR(INDEX(спр_Материалы!$I$2:$I$9000,MATCH($I369,спр_Материалы!$A$2:$A$9000,0))*IF(INDEX(спр_Материалы!$J$2:$J$9000,MATCH($I369,спр_Материалы!$A$2:$A$9000,0))="USD",КурсUSD,IF(INDEX(спр_Материалы!$J$2:$J$9000,MATCH($I369,спр_Материалы!$A$2:$A$9000,0))="EUR",КурсEUR,1))*INDEX(спр_Материалы!$K$2:$K$9000,MATCH($I369,спр_Материалы!$A$2:$A$9000,0))*(1+IFERROR(INDEX(спр_Работы!$I$2:$I$6000,MATCH($C369,спр_Работы!$A$2:$A$6000,0))/100,0))*(1-ДисконтТендер),0))</f>
        <v/>
      </c>
      <c r="N369" s="10">
        <f>IF(AND($R369="да",$H369&lt;&gt;""),ROUND($H369*$L369,2),0)</f>
        <v/>
      </c>
      <c r="O369" s="10">
        <f>IF(AND($R369="да",$H369&lt;&gt;""),ROUND($H369*$M369,2),0)</f>
        <v/>
      </c>
      <c r="P369" s="10">
        <f>$N369+$O369</f>
        <v/>
      </c>
      <c r="Q369">
        <f>IFERROR(INDEX(спр_Работы!$J$2:$J$6000,MATCH($C369,спр_Работы!$A$2:$A$6000,0)),"")</f>
        <v/>
      </c>
      <c r="R369" t="inlineStr">
        <is>
          <t>да</t>
        </is>
      </c>
      <c r="T369">
        <f>IF(AND($P369&gt;0,$R369="да"),MAX($T$1:$T368)+1,"")</f>
        <v/>
      </c>
    </row>
    <row r="370">
      <c r="A370">
        <f>IFERROR(INDEX(спр_Работы!$D$2:$D$6000,MATCH($C370,спр_Работы!$A$2:$A$6000,0)),"")</f>
        <v/>
      </c>
      <c r="B370">
        <f>IFERROR(INDEX(спр_Работы!$F$2:$F$6000,MATCH($C370,спр_Работы!$A$2:$A$6000,0)),"")</f>
        <v/>
      </c>
      <c r="C370">
        <f>IFERROR(INDEX(спр_Работы!$A$2:$A$6000,369),"")</f>
        <v/>
      </c>
      <c r="D370" s="8">
        <f>IFERROR(INDEX(спр_Работы!$B$2:$B$6000,MATCH($C370,спр_Работы!$A$2:$A$6000,0)),"")</f>
        <v/>
      </c>
      <c r="E370">
        <f>IFERROR(INDEX(спр_Работы!$C$2:$C$6000,MATCH($C370,спр_Работы!$A$2:$A$6000,0)),"")</f>
        <v/>
      </c>
      <c r="F370">
        <f>IFERROR(INDEX(спр_Работы!$G$2:$G$6000,MATCH($C370,спр_Работы!$A$2:$A$6000,0)),"")</f>
        <v/>
      </c>
      <c r="G370">
        <f>IFERROR(INDEX(спр_Работы!$K$2:$K$6000,MATCH($C370,спр_Работы!$A$2:$A$6000,0)),"")</f>
        <v/>
      </c>
      <c r="H370" s="9" t="n"/>
      <c r="I370" s="9" t="n"/>
      <c r="J370" s="8">
        <f>IFERROR(INDEX(спр_Материалы!$B$2:$B$9000,MATCH($I370,спр_Материалы!$A$2:$A$9000,0)),"")</f>
        <v/>
      </c>
      <c r="K370">
        <f>IF($I370="","",IF($F370=IFERROR(INDEX(спр_Материалы!$G$2:$G$9000,MATCH($I370,спр_Материалы!$A$2:$A$9000,0)),""),"OK","!! не та группа"))</f>
        <v/>
      </c>
      <c r="L370" s="10">
        <f>IFERROR(INDEX(спр_Работы!$H$2:$H$6000,MATCH($C370,спр_Работы!$A$2:$A$6000,0))*(1-ДисконтТендер),0)</f>
        <v/>
      </c>
      <c r="M370" s="10">
        <f>IF($I370="",0,IFERROR(INDEX(спр_Материалы!$I$2:$I$9000,MATCH($I370,спр_Материалы!$A$2:$A$9000,0))*IF(INDEX(спр_Материалы!$J$2:$J$9000,MATCH($I370,спр_Материалы!$A$2:$A$9000,0))="USD",КурсUSD,IF(INDEX(спр_Материалы!$J$2:$J$9000,MATCH($I370,спр_Материалы!$A$2:$A$9000,0))="EUR",КурсEUR,1))*INDEX(спр_Материалы!$K$2:$K$9000,MATCH($I370,спр_Материалы!$A$2:$A$9000,0))*(1+IFERROR(INDEX(спр_Работы!$I$2:$I$6000,MATCH($C370,спр_Работы!$A$2:$A$6000,0))/100,0))*(1-ДисконтТендер),0))</f>
        <v/>
      </c>
      <c r="N370" s="10">
        <f>IF(AND($R370="да",$H370&lt;&gt;""),ROUND($H370*$L370,2),0)</f>
        <v/>
      </c>
      <c r="O370" s="10">
        <f>IF(AND($R370="да",$H370&lt;&gt;""),ROUND($H370*$M370,2),0)</f>
        <v/>
      </c>
      <c r="P370" s="10">
        <f>$N370+$O370</f>
        <v/>
      </c>
      <c r="Q370">
        <f>IFERROR(INDEX(спр_Работы!$J$2:$J$6000,MATCH($C370,спр_Работы!$A$2:$A$6000,0)),"")</f>
        <v/>
      </c>
      <c r="R370" t="inlineStr">
        <is>
          <t>да</t>
        </is>
      </c>
      <c r="T370">
        <f>IF(AND($P370&gt;0,$R370="да"),MAX($T$1:$T369)+1,"")</f>
        <v/>
      </c>
    </row>
    <row r="371">
      <c r="A371">
        <f>IFERROR(INDEX(спр_Работы!$D$2:$D$6000,MATCH($C371,спр_Работы!$A$2:$A$6000,0)),"")</f>
        <v/>
      </c>
      <c r="B371">
        <f>IFERROR(INDEX(спр_Работы!$F$2:$F$6000,MATCH($C371,спр_Работы!$A$2:$A$6000,0)),"")</f>
        <v/>
      </c>
      <c r="C371">
        <f>IFERROR(INDEX(спр_Работы!$A$2:$A$6000,370),"")</f>
        <v/>
      </c>
      <c r="D371" s="8">
        <f>IFERROR(INDEX(спр_Работы!$B$2:$B$6000,MATCH($C371,спр_Работы!$A$2:$A$6000,0)),"")</f>
        <v/>
      </c>
      <c r="E371">
        <f>IFERROR(INDEX(спр_Работы!$C$2:$C$6000,MATCH($C371,спр_Работы!$A$2:$A$6000,0)),"")</f>
        <v/>
      </c>
      <c r="F371">
        <f>IFERROR(INDEX(спр_Работы!$G$2:$G$6000,MATCH($C371,спр_Работы!$A$2:$A$6000,0)),"")</f>
        <v/>
      </c>
      <c r="G371">
        <f>IFERROR(INDEX(спр_Работы!$K$2:$K$6000,MATCH($C371,спр_Работы!$A$2:$A$6000,0)),"")</f>
        <v/>
      </c>
      <c r="H371" s="9" t="n"/>
      <c r="I371" s="9" t="n"/>
      <c r="J371" s="8">
        <f>IFERROR(INDEX(спр_Материалы!$B$2:$B$9000,MATCH($I371,спр_Материалы!$A$2:$A$9000,0)),"")</f>
        <v/>
      </c>
      <c r="K371">
        <f>IF($I371="","",IF($F371=IFERROR(INDEX(спр_Материалы!$G$2:$G$9000,MATCH($I371,спр_Материалы!$A$2:$A$9000,0)),""),"OK","!! не та группа"))</f>
        <v/>
      </c>
      <c r="L371" s="10">
        <f>IFERROR(INDEX(спр_Работы!$H$2:$H$6000,MATCH($C371,спр_Работы!$A$2:$A$6000,0))*(1-ДисконтТендер),0)</f>
        <v/>
      </c>
      <c r="M371" s="10">
        <f>IF($I371="",0,IFERROR(INDEX(спр_Материалы!$I$2:$I$9000,MATCH($I371,спр_Материалы!$A$2:$A$9000,0))*IF(INDEX(спр_Материалы!$J$2:$J$9000,MATCH($I371,спр_Материалы!$A$2:$A$9000,0))="USD",КурсUSD,IF(INDEX(спр_Материалы!$J$2:$J$9000,MATCH($I371,спр_Материалы!$A$2:$A$9000,0))="EUR",КурсEUR,1))*INDEX(спр_Материалы!$K$2:$K$9000,MATCH($I371,спр_Материалы!$A$2:$A$9000,0))*(1+IFERROR(INDEX(спр_Работы!$I$2:$I$6000,MATCH($C371,спр_Работы!$A$2:$A$6000,0))/100,0))*(1-ДисконтТендер),0))</f>
        <v/>
      </c>
      <c r="N371" s="10">
        <f>IF(AND($R371="да",$H371&lt;&gt;""),ROUND($H371*$L371,2),0)</f>
        <v/>
      </c>
      <c r="O371" s="10">
        <f>IF(AND($R371="да",$H371&lt;&gt;""),ROUND($H371*$M371,2),0)</f>
        <v/>
      </c>
      <c r="P371" s="10">
        <f>$N371+$O371</f>
        <v/>
      </c>
      <c r="Q371">
        <f>IFERROR(INDEX(спр_Работы!$J$2:$J$6000,MATCH($C371,спр_Работы!$A$2:$A$6000,0)),"")</f>
        <v/>
      </c>
      <c r="R371" t="inlineStr">
        <is>
          <t>да</t>
        </is>
      </c>
      <c r="T371">
        <f>IF(AND($P371&gt;0,$R371="да"),MAX($T$1:$T370)+1,"")</f>
        <v/>
      </c>
    </row>
    <row r="372">
      <c r="A372">
        <f>IFERROR(INDEX(спр_Работы!$D$2:$D$6000,MATCH($C372,спр_Работы!$A$2:$A$6000,0)),"")</f>
        <v/>
      </c>
      <c r="B372">
        <f>IFERROR(INDEX(спр_Работы!$F$2:$F$6000,MATCH($C372,спр_Работы!$A$2:$A$6000,0)),"")</f>
        <v/>
      </c>
      <c r="C372">
        <f>IFERROR(INDEX(спр_Работы!$A$2:$A$6000,371),"")</f>
        <v/>
      </c>
      <c r="D372" s="8">
        <f>IFERROR(INDEX(спр_Работы!$B$2:$B$6000,MATCH($C372,спр_Работы!$A$2:$A$6000,0)),"")</f>
        <v/>
      </c>
      <c r="E372">
        <f>IFERROR(INDEX(спр_Работы!$C$2:$C$6000,MATCH($C372,спр_Работы!$A$2:$A$6000,0)),"")</f>
        <v/>
      </c>
      <c r="F372">
        <f>IFERROR(INDEX(спр_Работы!$G$2:$G$6000,MATCH($C372,спр_Работы!$A$2:$A$6000,0)),"")</f>
        <v/>
      </c>
      <c r="G372">
        <f>IFERROR(INDEX(спр_Работы!$K$2:$K$6000,MATCH($C372,спр_Работы!$A$2:$A$6000,0)),"")</f>
        <v/>
      </c>
      <c r="H372" s="9" t="n"/>
      <c r="I372" s="9" t="n"/>
      <c r="J372" s="8">
        <f>IFERROR(INDEX(спр_Материалы!$B$2:$B$9000,MATCH($I372,спр_Материалы!$A$2:$A$9000,0)),"")</f>
        <v/>
      </c>
      <c r="K372">
        <f>IF($I372="","",IF($F372=IFERROR(INDEX(спр_Материалы!$G$2:$G$9000,MATCH($I372,спр_Материалы!$A$2:$A$9000,0)),""),"OK","!! не та группа"))</f>
        <v/>
      </c>
      <c r="L372" s="10">
        <f>IFERROR(INDEX(спр_Работы!$H$2:$H$6000,MATCH($C372,спр_Работы!$A$2:$A$6000,0))*(1-ДисконтТендер),0)</f>
        <v/>
      </c>
      <c r="M372" s="10">
        <f>IF($I372="",0,IFERROR(INDEX(спр_Материалы!$I$2:$I$9000,MATCH($I372,спр_Материалы!$A$2:$A$9000,0))*IF(INDEX(спр_Материалы!$J$2:$J$9000,MATCH($I372,спр_Материалы!$A$2:$A$9000,0))="USD",КурсUSD,IF(INDEX(спр_Материалы!$J$2:$J$9000,MATCH($I372,спр_Материалы!$A$2:$A$9000,0))="EUR",КурсEUR,1))*INDEX(спр_Материалы!$K$2:$K$9000,MATCH($I372,спр_Материалы!$A$2:$A$9000,0))*(1+IFERROR(INDEX(спр_Работы!$I$2:$I$6000,MATCH($C372,спр_Работы!$A$2:$A$6000,0))/100,0))*(1-ДисконтТендер),0))</f>
        <v/>
      </c>
      <c r="N372" s="10">
        <f>IF(AND($R372="да",$H372&lt;&gt;""),ROUND($H372*$L372,2),0)</f>
        <v/>
      </c>
      <c r="O372" s="10">
        <f>IF(AND($R372="да",$H372&lt;&gt;""),ROUND($H372*$M372,2),0)</f>
        <v/>
      </c>
      <c r="P372" s="10">
        <f>$N372+$O372</f>
        <v/>
      </c>
      <c r="Q372">
        <f>IFERROR(INDEX(спр_Работы!$J$2:$J$6000,MATCH($C372,спр_Работы!$A$2:$A$6000,0)),"")</f>
        <v/>
      </c>
      <c r="R372" t="inlineStr">
        <is>
          <t>да</t>
        </is>
      </c>
      <c r="T372">
        <f>IF(AND($P372&gt;0,$R372="да"),MAX($T$1:$T371)+1,"")</f>
        <v/>
      </c>
    </row>
    <row r="373">
      <c r="A373">
        <f>IFERROR(INDEX(спр_Работы!$D$2:$D$6000,MATCH($C373,спр_Работы!$A$2:$A$6000,0)),"")</f>
        <v/>
      </c>
      <c r="B373">
        <f>IFERROR(INDEX(спр_Работы!$F$2:$F$6000,MATCH($C373,спр_Работы!$A$2:$A$6000,0)),"")</f>
        <v/>
      </c>
      <c r="C373">
        <f>IFERROR(INDEX(спр_Работы!$A$2:$A$6000,372),"")</f>
        <v/>
      </c>
      <c r="D373" s="8">
        <f>IFERROR(INDEX(спр_Работы!$B$2:$B$6000,MATCH($C373,спр_Работы!$A$2:$A$6000,0)),"")</f>
        <v/>
      </c>
      <c r="E373">
        <f>IFERROR(INDEX(спр_Работы!$C$2:$C$6000,MATCH($C373,спр_Работы!$A$2:$A$6000,0)),"")</f>
        <v/>
      </c>
      <c r="F373">
        <f>IFERROR(INDEX(спр_Работы!$G$2:$G$6000,MATCH($C373,спр_Работы!$A$2:$A$6000,0)),"")</f>
        <v/>
      </c>
      <c r="G373">
        <f>IFERROR(INDEX(спр_Работы!$K$2:$K$6000,MATCH($C373,спр_Работы!$A$2:$A$6000,0)),"")</f>
        <v/>
      </c>
      <c r="H373" s="9" t="n"/>
      <c r="I373" s="9" t="n"/>
      <c r="J373" s="8">
        <f>IFERROR(INDEX(спр_Материалы!$B$2:$B$9000,MATCH($I373,спр_Материалы!$A$2:$A$9000,0)),"")</f>
        <v/>
      </c>
      <c r="K373">
        <f>IF($I373="","",IF($F373=IFERROR(INDEX(спр_Материалы!$G$2:$G$9000,MATCH($I373,спр_Материалы!$A$2:$A$9000,0)),""),"OK","!! не та группа"))</f>
        <v/>
      </c>
      <c r="L373" s="10">
        <f>IFERROR(INDEX(спр_Работы!$H$2:$H$6000,MATCH($C373,спр_Работы!$A$2:$A$6000,0))*(1-ДисконтТендер),0)</f>
        <v/>
      </c>
      <c r="M373" s="10">
        <f>IF($I373="",0,IFERROR(INDEX(спр_Материалы!$I$2:$I$9000,MATCH($I373,спр_Материалы!$A$2:$A$9000,0))*IF(INDEX(спр_Материалы!$J$2:$J$9000,MATCH($I373,спр_Материалы!$A$2:$A$9000,0))="USD",КурсUSD,IF(INDEX(спр_Материалы!$J$2:$J$9000,MATCH($I373,спр_Материалы!$A$2:$A$9000,0))="EUR",КурсEUR,1))*INDEX(спр_Материалы!$K$2:$K$9000,MATCH($I373,спр_Материалы!$A$2:$A$9000,0))*(1+IFERROR(INDEX(спр_Работы!$I$2:$I$6000,MATCH($C373,спр_Работы!$A$2:$A$6000,0))/100,0))*(1-ДисконтТендер),0))</f>
        <v/>
      </c>
      <c r="N373" s="10">
        <f>IF(AND($R373="да",$H373&lt;&gt;""),ROUND($H373*$L373,2),0)</f>
        <v/>
      </c>
      <c r="O373" s="10">
        <f>IF(AND($R373="да",$H373&lt;&gt;""),ROUND($H373*$M373,2),0)</f>
        <v/>
      </c>
      <c r="P373" s="10">
        <f>$N373+$O373</f>
        <v/>
      </c>
      <c r="Q373">
        <f>IFERROR(INDEX(спр_Работы!$J$2:$J$6000,MATCH($C373,спр_Работы!$A$2:$A$6000,0)),"")</f>
        <v/>
      </c>
      <c r="R373" t="inlineStr">
        <is>
          <t>да</t>
        </is>
      </c>
      <c r="T373">
        <f>IF(AND($P373&gt;0,$R373="да"),MAX($T$1:$T372)+1,"")</f>
        <v/>
      </c>
    </row>
    <row r="374">
      <c r="A374">
        <f>IFERROR(INDEX(спр_Работы!$D$2:$D$6000,MATCH($C374,спр_Работы!$A$2:$A$6000,0)),"")</f>
        <v/>
      </c>
      <c r="B374">
        <f>IFERROR(INDEX(спр_Работы!$F$2:$F$6000,MATCH($C374,спр_Работы!$A$2:$A$6000,0)),"")</f>
        <v/>
      </c>
      <c r="C374">
        <f>IFERROR(INDEX(спр_Работы!$A$2:$A$6000,373),"")</f>
        <v/>
      </c>
      <c r="D374" s="8">
        <f>IFERROR(INDEX(спр_Работы!$B$2:$B$6000,MATCH($C374,спр_Работы!$A$2:$A$6000,0)),"")</f>
        <v/>
      </c>
      <c r="E374">
        <f>IFERROR(INDEX(спр_Работы!$C$2:$C$6000,MATCH($C374,спр_Работы!$A$2:$A$6000,0)),"")</f>
        <v/>
      </c>
      <c r="F374">
        <f>IFERROR(INDEX(спр_Работы!$G$2:$G$6000,MATCH($C374,спр_Работы!$A$2:$A$6000,0)),"")</f>
        <v/>
      </c>
      <c r="G374">
        <f>IFERROR(INDEX(спр_Работы!$K$2:$K$6000,MATCH($C374,спр_Работы!$A$2:$A$6000,0)),"")</f>
        <v/>
      </c>
      <c r="H374" s="9" t="n"/>
      <c r="I374" s="9" t="n"/>
      <c r="J374" s="8">
        <f>IFERROR(INDEX(спр_Материалы!$B$2:$B$9000,MATCH($I374,спр_Материалы!$A$2:$A$9000,0)),"")</f>
        <v/>
      </c>
      <c r="K374">
        <f>IF($I374="","",IF($F374=IFERROR(INDEX(спр_Материалы!$G$2:$G$9000,MATCH($I374,спр_Материалы!$A$2:$A$9000,0)),""),"OK","!! не та группа"))</f>
        <v/>
      </c>
      <c r="L374" s="10">
        <f>IFERROR(INDEX(спр_Работы!$H$2:$H$6000,MATCH($C374,спр_Работы!$A$2:$A$6000,0))*(1-ДисконтТендер),0)</f>
        <v/>
      </c>
      <c r="M374" s="10">
        <f>IF($I374="",0,IFERROR(INDEX(спр_Материалы!$I$2:$I$9000,MATCH($I374,спр_Материалы!$A$2:$A$9000,0))*IF(INDEX(спр_Материалы!$J$2:$J$9000,MATCH($I374,спр_Материалы!$A$2:$A$9000,0))="USD",КурсUSD,IF(INDEX(спр_Материалы!$J$2:$J$9000,MATCH($I374,спр_Материалы!$A$2:$A$9000,0))="EUR",КурсEUR,1))*INDEX(спр_Материалы!$K$2:$K$9000,MATCH($I374,спр_Материалы!$A$2:$A$9000,0))*(1+IFERROR(INDEX(спр_Работы!$I$2:$I$6000,MATCH($C374,спр_Работы!$A$2:$A$6000,0))/100,0))*(1-ДисконтТендер),0))</f>
        <v/>
      </c>
      <c r="N374" s="10">
        <f>IF(AND($R374="да",$H374&lt;&gt;""),ROUND($H374*$L374,2),0)</f>
        <v/>
      </c>
      <c r="O374" s="10">
        <f>IF(AND($R374="да",$H374&lt;&gt;""),ROUND($H374*$M374,2),0)</f>
        <v/>
      </c>
      <c r="P374" s="10">
        <f>$N374+$O374</f>
        <v/>
      </c>
      <c r="Q374">
        <f>IFERROR(INDEX(спр_Работы!$J$2:$J$6000,MATCH($C374,спр_Работы!$A$2:$A$6000,0)),"")</f>
        <v/>
      </c>
      <c r="R374" t="inlineStr">
        <is>
          <t>да</t>
        </is>
      </c>
      <c r="T374">
        <f>IF(AND($P374&gt;0,$R374="да"),MAX($T$1:$T373)+1,"")</f>
        <v/>
      </c>
    </row>
    <row r="375">
      <c r="A375">
        <f>IFERROR(INDEX(спр_Работы!$D$2:$D$6000,MATCH($C375,спр_Работы!$A$2:$A$6000,0)),"")</f>
        <v/>
      </c>
      <c r="B375">
        <f>IFERROR(INDEX(спр_Работы!$F$2:$F$6000,MATCH($C375,спр_Работы!$A$2:$A$6000,0)),"")</f>
        <v/>
      </c>
      <c r="C375">
        <f>IFERROR(INDEX(спр_Работы!$A$2:$A$6000,374),"")</f>
        <v/>
      </c>
      <c r="D375" s="8">
        <f>IFERROR(INDEX(спр_Работы!$B$2:$B$6000,MATCH($C375,спр_Работы!$A$2:$A$6000,0)),"")</f>
        <v/>
      </c>
      <c r="E375">
        <f>IFERROR(INDEX(спр_Работы!$C$2:$C$6000,MATCH($C375,спр_Работы!$A$2:$A$6000,0)),"")</f>
        <v/>
      </c>
      <c r="F375">
        <f>IFERROR(INDEX(спр_Работы!$G$2:$G$6000,MATCH($C375,спр_Работы!$A$2:$A$6000,0)),"")</f>
        <v/>
      </c>
      <c r="G375">
        <f>IFERROR(INDEX(спр_Работы!$K$2:$K$6000,MATCH($C375,спр_Работы!$A$2:$A$6000,0)),"")</f>
        <v/>
      </c>
      <c r="H375" s="9" t="n"/>
      <c r="I375" s="9" t="n"/>
      <c r="J375" s="8">
        <f>IFERROR(INDEX(спр_Материалы!$B$2:$B$9000,MATCH($I375,спр_Материалы!$A$2:$A$9000,0)),"")</f>
        <v/>
      </c>
      <c r="K375">
        <f>IF($I375="","",IF($F375=IFERROR(INDEX(спр_Материалы!$G$2:$G$9000,MATCH($I375,спр_Материалы!$A$2:$A$9000,0)),""),"OK","!! не та группа"))</f>
        <v/>
      </c>
      <c r="L375" s="10">
        <f>IFERROR(INDEX(спр_Работы!$H$2:$H$6000,MATCH($C375,спр_Работы!$A$2:$A$6000,0))*(1-ДисконтТендер),0)</f>
        <v/>
      </c>
      <c r="M375" s="10">
        <f>IF($I375="",0,IFERROR(INDEX(спр_Материалы!$I$2:$I$9000,MATCH($I375,спр_Материалы!$A$2:$A$9000,0))*IF(INDEX(спр_Материалы!$J$2:$J$9000,MATCH($I375,спр_Материалы!$A$2:$A$9000,0))="USD",КурсUSD,IF(INDEX(спр_Материалы!$J$2:$J$9000,MATCH($I375,спр_Материалы!$A$2:$A$9000,0))="EUR",КурсEUR,1))*INDEX(спр_Материалы!$K$2:$K$9000,MATCH($I375,спр_Материалы!$A$2:$A$9000,0))*(1+IFERROR(INDEX(спр_Работы!$I$2:$I$6000,MATCH($C375,спр_Работы!$A$2:$A$6000,0))/100,0))*(1-ДисконтТендер),0))</f>
        <v/>
      </c>
      <c r="N375" s="10">
        <f>IF(AND($R375="да",$H375&lt;&gt;""),ROUND($H375*$L375,2),0)</f>
        <v/>
      </c>
      <c r="O375" s="10">
        <f>IF(AND($R375="да",$H375&lt;&gt;""),ROUND($H375*$M375,2),0)</f>
        <v/>
      </c>
      <c r="P375" s="10">
        <f>$N375+$O375</f>
        <v/>
      </c>
      <c r="Q375">
        <f>IFERROR(INDEX(спр_Работы!$J$2:$J$6000,MATCH($C375,спр_Работы!$A$2:$A$6000,0)),"")</f>
        <v/>
      </c>
      <c r="R375" t="inlineStr">
        <is>
          <t>да</t>
        </is>
      </c>
      <c r="T375">
        <f>IF(AND($P375&gt;0,$R375="да"),MAX($T$1:$T374)+1,"")</f>
        <v/>
      </c>
    </row>
    <row r="376">
      <c r="A376">
        <f>IFERROR(INDEX(спр_Работы!$D$2:$D$6000,MATCH($C376,спр_Работы!$A$2:$A$6000,0)),"")</f>
        <v/>
      </c>
      <c r="B376">
        <f>IFERROR(INDEX(спр_Работы!$F$2:$F$6000,MATCH($C376,спр_Работы!$A$2:$A$6000,0)),"")</f>
        <v/>
      </c>
      <c r="C376">
        <f>IFERROR(INDEX(спр_Работы!$A$2:$A$6000,375),"")</f>
        <v/>
      </c>
      <c r="D376" s="8">
        <f>IFERROR(INDEX(спр_Работы!$B$2:$B$6000,MATCH($C376,спр_Работы!$A$2:$A$6000,0)),"")</f>
        <v/>
      </c>
      <c r="E376">
        <f>IFERROR(INDEX(спр_Работы!$C$2:$C$6000,MATCH($C376,спр_Работы!$A$2:$A$6000,0)),"")</f>
        <v/>
      </c>
      <c r="F376">
        <f>IFERROR(INDEX(спр_Работы!$G$2:$G$6000,MATCH($C376,спр_Работы!$A$2:$A$6000,0)),"")</f>
        <v/>
      </c>
      <c r="G376">
        <f>IFERROR(INDEX(спр_Работы!$K$2:$K$6000,MATCH($C376,спр_Работы!$A$2:$A$6000,0)),"")</f>
        <v/>
      </c>
      <c r="H376" s="9" t="n"/>
      <c r="I376" s="9" t="n"/>
      <c r="J376" s="8">
        <f>IFERROR(INDEX(спр_Материалы!$B$2:$B$9000,MATCH($I376,спр_Материалы!$A$2:$A$9000,0)),"")</f>
        <v/>
      </c>
      <c r="K376">
        <f>IF($I376="","",IF($F376=IFERROR(INDEX(спр_Материалы!$G$2:$G$9000,MATCH($I376,спр_Материалы!$A$2:$A$9000,0)),""),"OK","!! не та группа"))</f>
        <v/>
      </c>
      <c r="L376" s="10">
        <f>IFERROR(INDEX(спр_Работы!$H$2:$H$6000,MATCH($C376,спр_Работы!$A$2:$A$6000,0))*(1-ДисконтТендер),0)</f>
        <v/>
      </c>
      <c r="M376" s="10">
        <f>IF($I376="",0,IFERROR(INDEX(спр_Материалы!$I$2:$I$9000,MATCH($I376,спр_Материалы!$A$2:$A$9000,0))*IF(INDEX(спр_Материалы!$J$2:$J$9000,MATCH($I376,спр_Материалы!$A$2:$A$9000,0))="USD",КурсUSD,IF(INDEX(спр_Материалы!$J$2:$J$9000,MATCH($I376,спр_Материалы!$A$2:$A$9000,0))="EUR",КурсEUR,1))*INDEX(спр_Материалы!$K$2:$K$9000,MATCH($I376,спр_Материалы!$A$2:$A$9000,0))*(1+IFERROR(INDEX(спр_Работы!$I$2:$I$6000,MATCH($C376,спр_Работы!$A$2:$A$6000,0))/100,0))*(1-ДисконтТендер),0))</f>
        <v/>
      </c>
      <c r="N376" s="10">
        <f>IF(AND($R376="да",$H376&lt;&gt;""),ROUND($H376*$L376,2),0)</f>
        <v/>
      </c>
      <c r="O376" s="10">
        <f>IF(AND($R376="да",$H376&lt;&gt;""),ROUND($H376*$M376,2),0)</f>
        <v/>
      </c>
      <c r="P376" s="10">
        <f>$N376+$O376</f>
        <v/>
      </c>
      <c r="Q376">
        <f>IFERROR(INDEX(спр_Работы!$J$2:$J$6000,MATCH($C376,спр_Работы!$A$2:$A$6000,0)),"")</f>
        <v/>
      </c>
      <c r="R376" t="inlineStr">
        <is>
          <t>да</t>
        </is>
      </c>
      <c r="T376">
        <f>IF(AND($P376&gt;0,$R376="да"),MAX($T$1:$T375)+1,"")</f>
        <v/>
      </c>
    </row>
    <row r="377">
      <c r="A377">
        <f>IFERROR(INDEX(спр_Работы!$D$2:$D$6000,MATCH($C377,спр_Работы!$A$2:$A$6000,0)),"")</f>
        <v/>
      </c>
      <c r="B377">
        <f>IFERROR(INDEX(спр_Работы!$F$2:$F$6000,MATCH($C377,спр_Работы!$A$2:$A$6000,0)),"")</f>
        <v/>
      </c>
      <c r="C377">
        <f>IFERROR(INDEX(спр_Работы!$A$2:$A$6000,376),"")</f>
        <v/>
      </c>
      <c r="D377" s="8">
        <f>IFERROR(INDEX(спр_Работы!$B$2:$B$6000,MATCH($C377,спр_Работы!$A$2:$A$6000,0)),"")</f>
        <v/>
      </c>
      <c r="E377">
        <f>IFERROR(INDEX(спр_Работы!$C$2:$C$6000,MATCH($C377,спр_Работы!$A$2:$A$6000,0)),"")</f>
        <v/>
      </c>
      <c r="F377">
        <f>IFERROR(INDEX(спр_Работы!$G$2:$G$6000,MATCH($C377,спр_Работы!$A$2:$A$6000,0)),"")</f>
        <v/>
      </c>
      <c r="G377">
        <f>IFERROR(INDEX(спр_Работы!$K$2:$K$6000,MATCH($C377,спр_Работы!$A$2:$A$6000,0)),"")</f>
        <v/>
      </c>
      <c r="H377" s="9" t="n"/>
      <c r="I377" s="9" t="n"/>
      <c r="J377" s="8">
        <f>IFERROR(INDEX(спр_Материалы!$B$2:$B$9000,MATCH($I377,спр_Материалы!$A$2:$A$9000,0)),"")</f>
        <v/>
      </c>
      <c r="K377">
        <f>IF($I377="","",IF($F377=IFERROR(INDEX(спр_Материалы!$G$2:$G$9000,MATCH($I377,спр_Материалы!$A$2:$A$9000,0)),""),"OK","!! не та группа"))</f>
        <v/>
      </c>
      <c r="L377" s="10">
        <f>IFERROR(INDEX(спр_Работы!$H$2:$H$6000,MATCH($C377,спр_Работы!$A$2:$A$6000,0))*(1-ДисконтТендер),0)</f>
        <v/>
      </c>
      <c r="M377" s="10">
        <f>IF($I377="",0,IFERROR(INDEX(спр_Материалы!$I$2:$I$9000,MATCH($I377,спр_Материалы!$A$2:$A$9000,0))*IF(INDEX(спр_Материалы!$J$2:$J$9000,MATCH($I377,спр_Материалы!$A$2:$A$9000,0))="USD",КурсUSD,IF(INDEX(спр_Материалы!$J$2:$J$9000,MATCH($I377,спр_Материалы!$A$2:$A$9000,0))="EUR",КурсEUR,1))*INDEX(спр_Материалы!$K$2:$K$9000,MATCH($I377,спр_Материалы!$A$2:$A$9000,0))*(1+IFERROR(INDEX(спр_Работы!$I$2:$I$6000,MATCH($C377,спр_Работы!$A$2:$A$6000,0))/100,0))*(1-ДисконтТендер),0))</f>
        <v/>
      </c>
      <c r="N377" s="10">
        <f>IF(AND($R377="да",$H377&lt;&gt;""),ROUND($H377*$L377,2),0)</f>
        <v/>
      </c>
      <c r="O377" s="10">
        <f>IF(AND($R377="да",$H377&lt;&gt;""),ROUND($H377*$M377,2),0)</f>
        <v/>
      </c>
      <c r="P377" s="10">
        <f>$N377+$O377</f>
        <v/>
      </c>
      <c r="Q377">
        <f>IFERROR(INDEX(спр_Работы!$J$2:$J$6000,MATCH($C377,спр_Работы!$A$2:$A$6000,0)),"")</f>
        <v/>
      </c>
      <c r="R377" t="inlineStr">
        <is>
          <t>да</t>
        </is>
      </c>
      <c r="T377">
        <f>IF(AND($P377&gt;0,$R377="да"),MAX($T$1:$T376)+1,"")</f>
        <v/>
      </c>
    </row>
    <row r="378">
      <c r="A378">
        <f>IFERROR(INDEX(спр_Работы!$D$2:$D$6000,MATCH($C378,спр_Работы!$A$2:$A$6000,0)),"")</f>
        <v/>
      </c>
      <c r="B378">
        <f>IFERROR(INDEX(спр_Работы!$F$2:$F$6000,MATCH($C378,спр_Работы!$A$2:$A$6000,0)),"")</f>
        <v/>
      </c>
      <c r="C378">
        <f>IFERROR(INDEX(спр_Работы!$A$2:$A$6000,377),"")</f>
        <v/>
      </c>
      <c r="D378" s="8">
        <f>IFERROR(INDEX(спр_Работы!$B$2:$B$6000,MATCH($C378,спр_Работы!$A$2:$A$6000,0)),"")</f>
        <v/>
      </c>
      <c r="E378">
        <f>IFERROR(INDEX(спр_Работы!$C$2:$C$6000,MATCH($C378,спр_Работы!$A$2:$A$6000,0)),"")</f>
        <v/>
      </c>
      <c r="F378">
        <f>IFERROR(INDEX(спр_Работы!$G$2:$G$6000,MATCH($C378,спр_Работы!$A$2:$A$6000,0)),"")</f>
        <v/>
      </c>
      <c r="G378">
        <f>IFERROR(INDEX(спр_Работы!$K$2:$K$6000,MATCH($C378,спр_Работы!$A$2:$A$6000,0)),"")</f>
        <v/>
      </c>
      <c r="H378" s="9" t="n"/>
      <c r="I378" s="9" t="n"/>
      <c r="J378" s="8">
        <f>IFERROR(INDEX(спр_Материалы!$B$2:$B$9000,MATCH($I378,спр_Материалы!$A$2:$A$9000,0)),"")</f>
        <v/>
      </c>
      <c r="K378">
        <f>IF($I378="","",IF($F378=IFERROR(INDEX(спр_Материалы!$G$2:$G$9000,MATCH($I378,спр_Материалы!$A$2:$A$9000,0)),""),"OK","!! не та группа"))</f>
        <v/>
      </c>
      <c r="L378" s="10">
        <f>IFERROR(INDEX(спр_Работы!$H$2:$H$6000,MATCH($C378,спр_Работы!$A$2:$A$6000,0))*(1-ДисконтТендер),0)</f>
        <v/>
      </c>
      <c r="M378" s="10">
        <f>IF($I378="",0,IFERROR(INDEX(спр_Материалы!$I$2:$I$9000,MATCH($I378,спр_Материалы!$A$2:$A$9000,0))*IF(INDEX(спр_Материалы!$J$2:$J$9000,MATCH($I378,спр_Материалы!$A$2:$A$9000,0))="USD",КурсUSD,IF(INDEX(спр_Материалы!$J$2:$J$9000,MATCH($I378,спр_Материалы!$A$2:$A$9000,0))="EUR",КурсEUR,1))*INDEX(спр_Материалы!$K$2:$K$9000,MATCH($I378,спр_Материалы!$A$2:$A$9000,0))*(1+IFERROR(INDEX(спр_Работы!$I$2:$I$6000,MATCH($C378,спр_Работы!$A$2:$A$6000,0))/100,0))*(1-ДисконтТендер),0))</f>
        <v/>
      </c>
      <c r="N378" s="10">
        <f>IF(AND($R378="да",$H378&lt;&gt;""),ROUND($H378*$L378,2),0)</f>
        <v/>
      </c>
      <c r="O378" s="10">
        <f>IF(AND($R378="да",$H378&lt;&gt;""),ROUND($H378*$M378,2),0)</f>
        <v/>
      </c>
      <c r="P378" s="10">
        <f>$N378+$O378</f>
        <v/>
      </c>
      <c r="Q378">
        <f>IFERROR(INDEX(спр_Работы!$J$2:$J$6000,MATCH($C378,спр_Работы!$A$2:$A$6000,0)),"")</f>
        <v/>
      </c>
      <c r="R378" t="inlineStr">
        <is>
          <t>да</t>
        </is>
      </c>
      <c r="T378">
        <f>IF(AND($P378&gt;0,$R378="да"),MAX($T$1:$T377)+1,"")</f>
        <v/>
      </c>
    </row>
    <row r="379">
      <c r="A379">
        <f>IFERROR(INDEX(спр_Работы!$D$2:$D$6000,MATCH($C379,спр_Работы!$A$2:$A$6000,0)),"")</f>
        <v/>
      </c>
      <c r="B379">
        <f>IFERROR(INDEX(спр_Работы!$F$2:$F$6000,MATCH($C379,спр_Работы!$A$2:$A$6000,0)),"")</f>
        <v/>
      </c>
      <c r="C379">
        <f>IFERROR(INDEX(спр_Работы!$A$2:$A$6000,378),"")</f>
        <v/>
      </c>
      <c r="D379" s="8">
        <f>IFERROR(INDEX(спр_Работы!$B$2:$B$6000,MATCH($C379,спр_Работы!$A$2:$A$6000,0)),"")</f>
        <v/>
      </c>
      <c r="E379">
        <f>IFERROR(INDEX(спр_Работы!$C$2:$C$6000,MATCH($C379,спр_Работы!$A$2:$A$6000,0)),"")</f>
        <v/>
      </c>
      <c r="F379">
        <f>IFERROR(INDEX(спр_Работы!$G$2:$G$6000,MATCH($C379,спр_Работы!$A$2:$A$6000,0)),"")</f>
        <v/>
      </c>
      <c r="G379">
        <f>IFERROR(INDEX(спр_Работы!$K$2:$K$6000,MATCH($C379,спр_Работы!$A$2:$A$6000,0)),"")</f>
        <v/>
      </c>
      <c r="H379" s="9" t="n"/>
      <c r="I379" s="9" t="n"/>
      <c r="J379" s="8">
        <f>IFERROR(INDEX(спр_Материалы!$B$2:$B$9000,MATCH($I379,спр_Материалы!$A$2:$A$9000,0)),"")</f>
        <v/>
      </c>
      <c r="K379">
        <f>IF($I379="","",IF($F379=IFERROR(INDEX(спр_Материалы!$G$2:$G$9000,MATCH($I379,спр_Материалы!$A$2:$A$9000,0)),""),"OK","!! не та группа"))</f>
        <v/>
      </c>
      <c r="L379" s="10">
        <f>IFERROR(INDEX(спр_Работы!$H$2:$H$6000,MATCH($C379,спр_Работы!$A$2:$A$6000,0))*(1-ДисконтТендер),0)</f>
        <v/>
      </c>
      <c r="M379" s="10">
        <f>IF($I379="",0,IFERROR(INDEX(спр_Материалы!$I$2:$I$9000,MATCH($I379,спр_Материалы!$A$2:$A$9000,0))*IF(INDEX(спр_Материалы!$J$2:$J$9000,MATCH($I379,спр_Материалы!$A$2:$A$9000,0))="USD",КурсUSD,IF(INDEX(спр_Материалы!$J$2:$J$9000,MATCH($I379,спр_Материалы!$A$2:$A$9000,0))="EUR",КурсEUR,1))*INDEX(спр_Материалы!$K$2:$K$9000,MATCH($I379,спр_Материалы!$A$2:$A$9000,0))*(1+IFERROR(INDEX(спр_Работы!$I$2:$I$6000,MATCH($C379,спр_Работы!$A$2:$A$6000,0))/100,0))*(1-ДисконтТендер),0))</f>
        <v/>
      </c>
      <c r="N379" s="10">
        <f>IF(AND($R379="да",$H379&lt;&gt;""),ROUND($H379*$L379,2),0)</f>
        <v/>
      </c>
      <c r="O379" s="10">
        <f>IF(AND($R379="да",$H379&lt;&gt;""),ROUND($H379*$M379,2),0)</f>
        <v/>
      </c>
      <c r="P379" s="10">
        <f>$N379+$O379</f>
        <v/>
      </c>
      <c r="Q379">
        <f>IFERROR(INDEX(спр_Работы!$J$2:$J$6000,MATCH($C379,спр_Работы!$A$2:$A$6000,0)),"")</f>
        <v/>
      </c>
      <c r="R379" t="inlineStr">
        <is>
          <t>да</t>
        </is>
      </c>
      <c r="T379">
        <f>IF(AND($P379&gt;0,$R379="да"),MAX($T$1:$T378)+1,"")</f>
        <v/>
      </c>
    </row>
    <row r="380">
      <c r="A380">
        <f>IFERROR(INDEX(спр_Работы!$D$2:$D$6000,MATCH($C380,спр_Работы!$A$2:$A$6000,0)),"")</f>
        <v/>
      </c>
      <c r="B380">
        <f>IFERROR(INDEX(спр_Работы!$F$2:$F$6000,MATCH($C380,спр_Работы!$A$2:$A$6000,0)),"")</f>
        <v/>
      </c>
      <c r="C380">
        <f>IFERROR(INDEX(спр_Работы!$A$2:$A$6000,379),"")</f>
        <v/>
      </c>
      <c r="D380" s="8">
        <f>IFERROR(INDEX(спр_Работы!$B$2:$B$6000,MATCH($C380,спр_Работы!$A$2:$A$6000,0)),"")</f>
        <v/>
      </c>
      <c r="E380">
        <f>IFERROR(INDEX(спр_Работы!$C$2:$C$6000,MATCH($C380,спр_Работы!$A$2:$A$6000,0)),"")</f>
        <v/>
      </c>
      <c r="F380">
        <f>IFERROR(INDEX(спр_Работы!$G$2:$G$6000,MATCH($C380,спр_Работы!$A$2:$A$6000,0)),"")</f>
        <v/>
      </c>
      <c r="G380">
        <f>IFERROR(INDEX(спр_Работы!$K$2:$K$6000,MATCH($C380,спр_Работы!$A$2:$A$6000,0)),"")</f>
        <v/>
      </c>
      <c r="H380" s="9" t="n"/>
      <c r="I380" s="9" t="n"/>
      <c r="J380" s="8">
        <f>IFERROR(INDEX(спр_Материалы!$B$2:$B$9000,MATCH($I380,спр_Материалы!$A$2:$A$9000,0)),"")</f>
        <v/>
      </c>
      <c r="K380">
        <f>IF($I380="","",IF($F380=IFERROR(INDEX(спр_Материалы!$G$2:$G$9000,MATCH($I380,спр_Материалы!$A$2:$A$9000,0)),""),"OK","!! не та группа"))</f>
        <v/>
      </c>
      <c r="L380" s="10">
        <f>IFERROR(INDEX(спр_Работы!$H$2:$H$6000,MATCH($C380,спр_Работы!$A$2:$A$6000,0))*(1-ДисконтТендер),0)</f>
        <v/>
      </c>
      <c r="M380" s="10">
        <f>IF($I380="",0,IFERROR(INDEX(спр_Материалы!$I$2:$I$9000,MATCH($I380,спр_Материалы!$A$2:$A$9000,0))*IF(INDEX(спр_Материалы!$J$2:$J$9000,MATCH($I380,спр_Материалы!$A$2:$A$9000,0))="USD",КурсUSD,IF(INDEX(спр_Материалы!$J$2:$J$9000,MATCH($I380,спр_Материалы!$A$2:$A$9000,0))="EUR",КурсEUR,1))*INDEX(спр_Материалы!$K$2:$K$9000,MATCH($I380,спр_Материалы!$A$2:$A$9000,0))*(1+IFERROR(INDEX(спр_Работы!$I$2:$I$6000,MATCH($C380,спр_Работы!$A$2:$A$6000,0))/100,0))*(1-ДисконтТендер),0))</f>
        <v/>
      </c>
      <c r="N380" s="10">
        <f>IF(AND($R380="да",$H380&lt;&gt;""),ROUND($H380*$L380,2),0)</f>
        <v/>
      </c>
      <c r="O380" s="10">
        <f>IF(AND($R380="да",$H380&lt;&gt;""),ROUND($H380*$M380,2),0)</f>
        <v/>
      </c>
      <c r="P380" s="10">
        <f>$N380+$O380</f>
        <v/>
      </c>
      <c r="Q380">
        <f>IFERROR(INDEX(спр_Работы!$J$2:$J$6000,MATCH($C380,спр_Работы!$A$2:$A$6000,0)),"")</f>
        <v/>
      </c>
      <c r="R380" t="inlineStr">
        <is>
          <t>да</t>
        </is>
      </c>
      <c r="T380">
        <f>IF(AND($P380&gt;0,$R380="да"),MAX($T$1:$T379)+1,"")</f>
        <v/>
      </c>
    </row>
    <row r="381">
      <c r="A381">
        <f>IFERROR(INDEX(спр_Работы!$D$2:$D$6000,MATCH($C381,спр_Работы!$A$2:$A$6000,0)),"")</f>
        <v/>
      </c>
      <c r="B381">
        <f>IFERROR(INDEX(спр_Работы!$F$2:$F$6000,MATCH($C381,спр_Работы!$A$2:$A$6000,0)),"")</f>
        <v/>
      </c>
      <c r="C381">
        <f>IFERROR(INDEX(спр_Работы!$A$2:$A$6000,380),"")</f>
        <v/>
      </c>
      <c r="D381" s="8">
        <f>IFERROR(INDEX(спр_Работы!$B$2:$B$6000,MATCH($C381,спр_Работы!$A$2:$A$6000,0)),"")</f>
        <v/>
      </c>
      <c r="E381">
        <f>IFERROR(INDEX(спр_Работы!$C$2:$C$6000,MATCH($C381,спр_Работы!$A$2:$A$6000,0)),"")</f>
        <v/>
      </c>
      <c r="F381">
        <f>IFERROR(INDEX(спр_Работы!$G$2:$G$6000,MATCH($C381,спр_Работы!$A$2:$A$6000,0)),"")</f>
        <v/>
      </c>
      <c r="G381">
        <f>IFERROR(INDEX(спр_Работы!$K$2:$K$6000,MATCH($C381,спр_Работы!$A$2:$A$6000,0)),"")</f>
        <v/>
      </c>
      <c r="H381" s="9" t="n"/>
      <c r="I381" s="9" t="n"/>
      <c r="J381" s="8">
        <f>IFERROR(INDEX(спр_Материалы!$B$2:$B$9000,MATCH($I381,спр_Материалы!$A$2:$A$9000,0)),"")</f>
        <v/>
      </c>
      <c r="K381">
        <f>IF($I381="","",IF($F381=IFERROR(INDEX(спр_Материалы!$G$2:$G$9000,MATCH($I381,спр_Материалы!$A$2:$A$9000,0)),""),"OK","!! не та группа"))</f>
        <v/>
      </c>
      <c r="L381" s="10">
        <f>IFERROR(INDEX(спр_Работы!$H$2:$H$6000,MATCH($C381,спр_Работы!$A$2:$A$6000,0))*(1-ДисконтТендер),0)</f>
        <v/>
      </c>
      <c r="M381" s="10">
        <f>IF($I381="",0,IFERROR(INDEX(спр_Материалы!$I$2:$I$9000,MATCH($I381,спр_Материалы!$A$2:$A$9000,0))*IF(INDEX(спр_Материалы!$J$2:$J$9000,MATCH($I381,спр_Материалы!$A$2:$A$9000,0))="USD",КурсUSD,IF(INDEX(спр_Материалы!$J$2:$J$9000,MATCH($I381,спр_Материалы!$A$2:$A$9000,0))="EUR",КурсEUR,1))*INDEX(спр_Материалы!$K$2:$K$9000,MATCH($I381,спр_Материалы!$A$2:$A$9000,0))*(1+IFERROR(INDEX(спр_Работы!$I$2:$I$6000,MATCH($C381,спр_Работы!$A$2:$A$6000,0))/100,0))*(1-ДисконтТендер),0))</f>
        <v/>
      </c>
      <c r="N381" s="10">
        <f>IF(AND($R381="да",$H381&lt;&gt;""),ROUND($H381*$L381,2),0)</f>
        <v/>
      </c>
      <c r="O381" s="10">
        <f>IF(AND($R381="да",$H381&lt;&gt;""),ROUND($H381*$M381,2),0)</f>
        <v/>
      </c>
      <c r="P381" s="10">
        <f>$N381+$O381</f>
        <v/>
      </c>
      <c r="Q381">
        <f>IFERROR(INDEX(спр_Работы!$J$2:$J$6000,MATCH($C381,спр_Работы!$A$2:$A$6000,0)),"")</f>
        <v/>
      </c>
      <c r="R381" t="inlineStr">
        <is>
          <t>да</t>
        </is>
      </c>
      <c r="T381">
        <f>IF(AND($P381&gt;0,$R381="да"),MAX($T$1:$T380)+1,"")</f>
        <v/>
      </c>
    </row>
    <row r="382">
      <c r="A382">
        <f>IFERROR(INDEX(спр_Работы!$D$2:$D$6000,MATCH($C382,спр_Работы!$A$2:$A$6000,0)),"")</f>
        <v/>
      </c>
      <c r="B382">
        <f>IFERROR(INDEX(спр_Работы!$F$2:$F$6000,MATCH($C382,спр_Работы!$A$2:$A$6000,0)),"")</f>
        <v/>
      </c>
      <c r="C382">
        <f>IFERROR(INDEX(спр_Работы!$A$2:$A$6000,381),"")</f>
        <v/>
      </c>
      <c r="D382" s="8">
        <f>IFERROR(INDEX(спр_Работы!$B$2:$B$6000,MATCH($C382,спр_Работы!$A$2:$A$6000,0)),"")</f>
        <v/>
      </c>
      <c r="E382">
        <f>IFERROR(INDEX(спр_Работы!$C$2:$C$6000,MATCH($C382,спр_Работы!$A$2:$A$6000,0)),"")</f>
        <v/>
      </c>
      <c r="F382">
        <f>IFERROR(INDEX(спр_Работы!$G$2:$G$6000,MATCH($C382,спр_Работы!$A$2:$A$6000,0)),"")</f>
        <v/>
      </c>
      <c r="G382">
        <f>IFERROR(INDEX(спр_Работы!$K$2:$K$6000,MATCH($C382,спр_Работы!$A$2:$A$6000,0)),"")</f>
        <v/>
      </c>
      <c r="H382" s="9" t="n"/>
      <c r="I382" s="9" t="n"/>
      <c r="J382" s="8">
        <f>IFERROR(INDEX(спр_Материалы!$B$2:$B$9000,MATCH($I382,спр_Материалы!$A$2:$A$9000,0)),"")</f>
        <v/>
      </c>
      <c r="K382">
        <f>IF($I382="","",IF($F382=IFERROR(INDEX(спр_Материалы!$G$2:$G$9000,MATCH($I382,спр_Материалы!$A$2:$A$9000,0)),""),"OK","!! не та группа"))</f>
        <v/>
      </c>
      <c r="L382" s="10">
        <f>IFERROR(INDEX(спр_Работы!$H$2:$H$6000,MATCH($C382,спр_Работы!$A$2:$A$6000,0))*(1-ДисконтТендер),0)</f>
        <v/>
      </c>
      <c r="M382" s="10">
        <f>IF($I382="",0,IFERROR(INDEX(спр_Материалы!$I$2:$I$9000,MATCH($I382,спр_Материалы!$A$2:$A$9000,0))*IF(INDEX(спр_Материалы!$J$2:$J$9000,MATCH($I382,спр_Материалы!$A$2:$A$9000,0))="USD",КурсUSD,IF(INDEX(спр_Материалы!$J$2:$J$9000,MATCH($I382,спр_Материалы!$A$2:$A$9000,0))="EUR",КурсEUR,1))*INDEX(спр_Материалы!$K$2:$K$9000,MATCH($I382,спр_Материалы!$A$2:$A$9000,0))*(1+IFERROR(INDEX(спр_Работы!$I$2:$I$6000,MATCH($C382,спр_Работы!$A$2:$A$6000,0))/100,0))*(1-ДисконтТендер),0))</f>
        <v/>
      </c>
      <c r="N382" s="10">
        <f>IF(AND($R382="да",$H382&lt;&gt;""),ROUND($H382*$L382,2),0)</f>
        <v/>
      </c>
      <c r="O382" s="10">
        <f>IF(AND($R382="да",$H382&lt;&gt;""),ROUND($H382*$M382,2),0)</f>
        <v/>
      </c>
      <c r="P382" s="10">
        <f>$N382+$O382</f>
        <v/>
      </c>
      <c r="Q382">
        <f>IFERROR(INDEX(спр_Работы!$J$2:$J$6000,MATCH($C382,спр_Работы!$A$2:$A$6000,0)),"")</f>
        <v/>
      </c>
      <c r="R382" t="inlineStr">
        <is>
          <t>да</t>
        </is>
      </c>
      <c r="T382">
        <f>IF(AND($P382&gt;0,$R382="да"),MAX($T$1:$T381)+1,"")</f>
        <v/>
      </c>
    </row>
    <row r="383">
      <c r="A383">
        <f>IFERROR(INDEX(спр_Работы!$D$2:$D$6000,MATCH($C383,спр_Работы!$A$2:$A$6000,0)),"")</f>
        <v/>
      </c>
      <c r="B383">
        <f>IFERROR(INDEX(спр_Работы!$F$2:$F$6000,MATCH($C383,спр_Работы!$A$2:$A$6000,0)),"")</f>
        <v/>
      </c>
      <c r="C383">
        <f>IFERROR(INDEX(спр_Работы!$A$2:$A$6000,382),"")</f>
        <v/>
      </c>
      <c r="D383" s="8">
        <f>IFERROR(INDEX(спр_Работы!$B$2:$B$6000,MATCH($C383,спр_Работы!$A$2:$A$6000,0)),"")</f>
        <v/>
      </c>
      <c r="E383">
        <f>IFERROR(INDEX(спр_Работы!$C$2:$C$6000,MATCH($C383,спр_Работы!$A$2:$A$6000,0)),"")</f>
        <v/>
      </c>
      <c r="F383">
        <f>IFERROR(INDEX(спр_Работы!$G$2:$G$6000,MATCH($C383,спр_Работы!$A$2:$A$6000,0)),"")</f>
        <v/>
      </c>
      <c r="G383">
        <f>IFERROR(INDEX(спр_Работы!$K$2:$K$6000,MATCH($C383,спр_Работы!$A$2:$A$6000,0)),"")</f>
        <v/>
      </c>
      <c r="H383" s="9" t="n"/>
      <c r="I383" s="9" t="n"/>
      <c r="J383" s="8">
        <f>IFERROR(INDEX(спр_Материалы!$B$2:$B$9000,MATCH($I383,спр_Материалы!$A$2:$A$9000,0)),"")</f>
        <v/>
      </c>
      <c r="K383">
        <f>IF($I383="","",IF($F383=IFERROR(INDEX(спр_Материалы!$G$2:$G$9000,MATCH($I383,спр_Материалы!$A$2:$A$9000,0)),""),"OK","!! не та группа"))</f>
        <v/>
      </c>
      <c r="L383" s="10">
        <f>IFERROR(INDEX(спр_Работы!$H$2:$H$6000,MATCH($C383,спр_Работы!$A$2:$A$6000,0))*(1-ДисконтТендер),0)</f>
        <v/>
      </c>
      <c r="M383" s="10">
        <f>IF($I383="",0,IFERROR(INDEX(спр_Материалы!$I$2:$I$9000,MATCH($I383,спр_Материалы!$A$2:$A$9000,0))*IF(INDEX(спр_Материалы!$J$2:$J$9000,MATCH($I383,спр_Материалы!$A$2:$A$9000,0))="USD",КурсUSD,IF(INDEX(спр_Материалы!$J$2:$J$9000,MATCH($I383,спр_Материалы!$A$2:$A$9000,0))="EUR",КурсEUR,1))*INDEX(спр_Материалы!$K$2:$K$9000,MATCH($I383,спр_Материалы!$A$2:$A$9000,0))*(1+IFERROR(INDEX(спр_Работы!$I$2:$I$6000,MATCH($C383,спр_Работы!$A$2:$A$6000,0))/100,0))*(1-ДисконтТендер),0))</f>
        <v/>
      </c>
      <c r="N383" s="10">
        <f>IF(AND($R383="да",$H383&lt;&gt;""),ROUND($H383*$L383,2),0)</f>
        <v/>
      </c>
      <c r="O383" s="10">
        <f>IF(AND($R383="да",$H383&lt;&gt;""),ROUND($H383*$M383,2),0)</f>
        <v/>
      </c>
      <c r="P383" s="10">
        <f>$N383+$O383</f>
        <v/>
      </c>
      <c r="Q383">
        <f>IFERROR(INDEX(спр_Работы!$J$2:$J$6000,MATCH($C383,спр_Работы!$A$2:$A$6000,0)),"")</f>
        <v/>
      </c>
      <c r="R383" t="inlineStr">
        <is>
          <t>да</t>
        </is>
      </c>
      <c r="T383">
        <f>IF(AND($P383&gt;0,$R383="да"),MAX($T$1:$T382)+1,"")</f>
        <v/>
      </c>
    </row>
    <row r="384">
      <c r="A384">
        <f>IFERROR(INDEX(спр_Работы!$D$2:$D$6000,MATCH($C384,спр_Работы!$A$2:$A$6000,0)),"")</f>
        <v/>
      </c>
      <c r="B384">
        <f>IFERROR(INDEX(спр_Работы!$F$2:$F$6000,MATCH($C384,спр_Работы!$A$2:$A$6000,0)),"")</f>
        <v/>
      </c>
      <c r="C384">
        <f>IFERROR(INDEX(спр_Работы!$A$2:$A$6000,383),"")</f>
        <v/>
      </c>
      <c r="D384" s="8">
        <f>IFERROR(INDEX(спр_Работы!$B$2:$B$6000,MATCH($C384,спр_Работы!$A$2:$A$6000,0)),"")</f>
        <v/>
      </c>
      <c r="E384">
        <f>IFERROR(INDEX(спр_Работы!$C$2:$C$6000,MATCH($C384,спр_Работы!$A$2:$A$6000,0)),"")</f>
        <v/>
      </c>
      <c r="F384">
        <f>IFERROR(INDEX(спр_Работы!$G$2:$G$6000,MATCH($C384,спр_Работы!$A$2:$A$6000,0)),"")</f>
        <v/>
      </c>
      <c r="G384">
        <f>IFERROR(INDEX(спр_Работы!$K$2:$K$6000,MATCH($C384,спр_Работы!$A$2:$A$6000,0)),"")</f>
        <v/>
      </c>
      <c r="H384" s="9" t="n"/>
      <c r="I384" s="9" t="n"/>
      <c r="J384" s="8">
        <f>IFERROR(INDEX(спр_Материалы!$B$2:$B$9000,MATCH($I384,спр_Материалы!$A$2:$A$9000,0)),"")</f>
        <v/>
      </c>
      <c r="K384">
        <f>IF($I384="","",IF($F384=IFERROR(INDEX(спр_Материалы!$G$2:$G$9000,MATCH($I384,спр_Материалы!$A$2:$A$9000,0)),""),"OK","!! не та группа"))</f>
        <v/>
      </c>
      <c r="L384" s="10">
        <f>IFERROR(INDEX(спр_Работы!$H$2:$H$6000,MATCH($C384,спр_Работы!$A$2:$A$6000,0))*(1-ДисконтТендер),0)</f>
        <v/>
      </c>
      <c r="M384" s="10">
        <f>IF($I384="",0,IFERROR(INDEX(спр_Материалы!$I$2:$I$9000,MATCH($I384,спр_Материалы!$A$2:$A$9000,0))*IF(INDEX(спр_Материалы!$J$2:$J$9000,MATCH($I384,спр_Материалы!$A$2:$A$9000,0))="USD",КурсUSD,IF(INDEX(спр_Материалы!$J$2:$J$9000,MATCH($I384,спр_Материалы!$A$2:$A$9000,0))="EUR",КурсEUR,1))*INDEX(спр_Материалы!$K$2:$K$9000,MATCH($I384,спр_Материалы!$A$2:$A$9000,0))*(1+IFERROR(INDEX(спр_Работы!$I$2:$I$6000,MATCH($C384,спр_Работы!$A$2:$A$6000,0))/100,0))*(1-ДисконтТендер),0))</f>
        <v/>
      </c>
      <c r="N384" s="10">
        <f>IF(AND($R384="да",$H384&lt;&gt;""),ROUND($H384*$L384,2),0)</f>
        <v/>
      </c>
      <c r="O384" s="10">
        <f>IF(AND($R384="да",$H384&lt;&gt;""),ROUND($H384*$M384,2),0)</f>
        <v/>
      </c>
      <c r="P384" s="10">
        <f>$N384+$O384</f>
        <v/>
      </c>
      <c r="Q384">
        <f>IFERROR(INDEX(спр_Работы!$J$2:$J$6000,MATCH($C384,спр_Работы!$A$2:$A$6000,0)),"")</f>
        <v/>
      </c>
      <c r="R384" t="inlineStr">
        <is>
          <t>да</t>
        </is>
      </c>
      <c r="T384">
        <f>IF(AND($P384&gt;0,$R384="да"),MAX($T$1:$T383)+1,"")</f>
        <v/>
      </c>
    </row>
    <row r="385">
      <c r="A385">
        <f>IFERROR(INDEX(спр_Работы!$D$2:$D$6000,MATCH($C385,спр_Работы!$A$2:$A$6000,0)),"")</f>
        <v/>
      </c>
      <c r="B385">
        <f>IFERROR(INDEX(спр_Работы!$F$2:$F$6000,MATCH($C385,спр_Работы!$A$2:$A$6000,0)),"")</f>
        <v/>
      </c>
      <c r="C385">
        <f>IFERROR(INDEX(спр_Работы!$A$2:$A$6000,384),"")</f>
        <v/>
      </c>
      <c r="D385" s="8">
        <f>IFERROR(INDEX(спр_Работы!$B$2:$B$6000,MATCH($C385,спр_Работы!$A$2:$A$6000,0)),"")</f>
        <v/>
      </c>
      <c r="E385">
        <f>IFERROR(INDEX(спр_Работы!$C$2:$C$6000,MATCH($C385,спр_Работы!$A$2:$A$6000,0)),"")</f>
        <v/>
      </c>
      <c r="F385">
        <f>IFERROR(INDEX(спр_Работы!$G$2:$G$6000,MATCH($C385,спр_Работы!$A$2:$A$6000,0)),"")</f>
        <v/>
      </c>
      <c r="G385">
        <f>IFERROR(INDEX(спр_Работы!$K$2:$K$6000,MATCH($C385,спр_Работы!$A$2:$A$6000,0)),"")</f>
        <v/>
      </c>
      <c r="H385" s="9" t="n"/>
      <c r="I385" s="9" t="n"/>
      <c r="J385" s="8">
        <f>IFERROR(INDEX(спр_Материалы!$B$2:$B$9000,MATCH($I385,спр_Материалы!$A$2:$A$9000,0)),"")</f>
        <v/>
      </c>
      <c r="K385">
        <f>IF($I385="","",IF($F385=IFERROR(INDEX(спр_Материалы!$G$2:$G$9000,MATCH($I385,спр_Материалы!$A$2:$A$9000,0)),""),"OK","!! не та группа"))</f>
        <v/>
      </c>
      <c r="L385" s="10">
        <f>IFERROR(INDEX(спр_Работы!$H$2:$H$6000,MATCH($C385,спр_Работы!$A$2:$A$6000,0))*(1-ДисконтТендер),0)</f>
        <v/>
      </c>
      <c r="M385" s="10">
        <f>IF($I385="",0,IFERROR(INDEX(спр_Материалы!$I$2:$I$9000,MATCH($I385,спр_Материалы!$A$2:$A$9000,0))*IF(INDEX(спр_Материалы!$J$2:$J$9000,MATCH($I385,спр_Материалы!$A$2:$A$9000,0))="USD",КурсUSD,IF(INDEX(спр_Материалы!$J$2:$J$9000,MATCH($I385,спр_Материалы!$A$2:$A$9000,0))="EUR",КурсEUR,1))*INDEX(спр_Материалы!$K$2:$K$9000,MATCH($I385,спр_Материалы!$A$2:$A$9000,0))*(1+IFERROR(INDEX(спр_Работы!$I$2:$I$6000,MATCH($C385,спр_Работы!$A$2:$A$6000,0))/100,0))*(1-ДисконтТендер),0))</f>
        <v/>
      </c>
      <c r="N385" s="10">
        <f>IF(AND($R385="да",$H385&lt;&gt;""),ROUND($H385*$L385,2),0)</f>
        <v/>
      </c>
      <c r="O385" s="10">
        <f>IF(AND($R385="да",$H385&lt;&gt;""),ROUND($H385*$M385,2),0)</f>
        <v/>
      </c>
      <c r="P385" s="10">
        <f>$N385+$O385</f>
        <v/>
      </c>
      <c r="Q385">
        <f>IFERROR(INDEX(спр_Работы!$J$2:$J$6000,MATCH($C385,спр_Работы!$A$2:$A$6000,0)),"")</f>
        <v/>
      </c>
      <c r="R385" t="inlineStr">
        <is>
          <t>да</t>
        </is>
      </c>
      <c r="T385">
        <f>IF(AND($P385&gt;0,$R385="да"),MAX($T$1:$T384)+1,"")</f>
        <v/>
      </c>
    </row>
    <row r="386">
      <c r="A386">
        <f>IFERROR(INDEX(спр_Работы!$D$2:$D$6000,MATCH($C386,спр_Работы!$A$2:$A$6000,0)),"")</f>
        <v/>
      </c>
      <c r="B386">
        <f>IFERROR(INDEX(спр_Работы!$F$2:$F$6000,MATCH($C386,спр_Работы!$A$2:$A$6000,0)),"")</f>
        <v/>
      </c>
      <c r="C386">
        <f>IFERROR(INDEX(спр_Работы!$A$2:$A$6000,385),"")</f>
        <v/>
      </c>
      <c r="D386" s="8">
        <f>IFERROR(INDEX(спр_Работы!$B$2:$B$6000,MATCH($C386,спр_Работы!$A$2:$A$6000,0)),"")</f>
        <v/>
      </c>
      <c r="E386">
        <f>IFERROR(INDEX(спр_Работы!$C$2:$C$6000,MATCH($C386,спр_Работы!$A$2:$A$6000,0)),"")</f>
        <v/>
      </c>
      <c r="F386">
        <f>IFERROR(INDEX(спр_Работы!$G$2:$G$6000,MATCH($C386,спр_Работы!$A$2:$A$6000,0)),"")</f>
        <v/>
      </c>
      <c r="G386">
        <f>IFERROR(INDEX(спр_Работы!$K$2:$K$6000,MATCH($C386,спр_Работы!$A$2:$A$6000,0)),"")</f>
        <v/>
      </c>
      <c r="H386" s="9" t="n"/>
      <c r="I386" s="9" t="n"/>
      <c r="J386" s="8">
        <f>IFERROR(INDEX(спр_Материалы!$B$2:$B$9000,MATCH($I386,спр_Материалы!$A$2:$A$9000,0)),"")</f>
        <v/>
      </c>
      <c r="K386">
        <f>IF($I386="","",IF($F386=IFERROR(INDEX(спр_Материалы!$G$2:$G$9000,MATCH($I386,спр_Материалы!$A$2:$A$9000,0)),""),"OK","!! не та группа"))</f>
        <v/>
      </c>
      <c r="L386" s="10">
        <f>IFERROR(INDEX(спр_Работы!$H$2:$H$6000,MATCH($C386,спр_Работы!$A$2:$A$6000,0))*(1-ДисконтТендер),0)</f>
        <v/>
      </c>
      <c r="M386" s="10">
        <f>IF($I386="",0,IFERROR(INDEX(спр_Материалы!$I$2:$I$9000,MATCH($I386,спр_Материалы!$A$2:$A$9000,0))*IF(INDEX(спр_Материалы!$J$2:$J$9000,MATCH($I386,спр_Материалы!$A$2:$A$9000,0))="USD",КурсUSD,IF(INDEX(спр_Материалы!$J$2:$J$9000,MATCH($I386,спр_Материалы!$A$2:$A$9000,0))="EUR",КурсEUR,1))*INDEX(спр_Материалы!$K$2:$K$9000,MATCH($I386,спр_Материалы!$A$2:$A$9000,0))*(1+IFERROR(INDEX(спр_Работы!$I$2:$I$6000,MATCH($C386,спр_Работы!$A$2:$A$6000,0))/100,0))*(1-ДисконтТендер),0))</f>
        <v/>
      </c>
      <c r="N386" s="10">
        <f>IF(AND($R386="да",$H386&lt;&gt;""),ROUND($H386*$L386,2),0)</f>
        <v/>
      </c>
      <c r="O386" s="10">
        <f>IF(AND($R386="да",$H386&lt;&gt;""),ROUND($H386*$M386,2),0)</f>
        <v/>
      </c>
      <c r="P386" s="10">
        <f>$N386+$O386</f>
        <v/>
      </c>
      <c r="Q386">
        <f>IFERROR(INDEX(спр_Работы!$J$2:$J$6000,MATCH($C386,спр_Работы!$A$2:$A$6000,0)),"")</f>
        <v/>
      </c>
      <c r="R386" t="inlineStr">
        <is>
          <t>да</t>
        </is>
      </c>
      <c r="T386">
        <f>IF(AND($P386&gt;0,$R386="да"),MAX($T$1:$T385)+1,"")</f>
        <v/>
      </c>
    </row>
    <row r="387">
      <c r="A387">
        <f>IFERROR(INDEX(спр_Работы!$D$2:$D$6000,MATCH($C387,спр_Работы!$A$2:$A$6000,0)),"")</f>
        <v/>
      </c>
      <c r="B387">
        <f>IFERROR(INDEX(спр_Работы!$F$2:$F$6000,MATCH($C387,спр_Работы!$A$2:$A$6000,0)),"")</f>
        <v/>
      </c>
      <c r="C387">
        <f>IFERROR(INDEX(спр_Работы!$A$2:$A$6000,386),"")</f>
        <v/>
      </c>
      <c r="D387" s="8">
        <f>IFERROR(INDEX(спр_Работы!$B$2:$B$6000,MATCH($C387,спр_Работы!$A$2:$A$6000,0)),"")</f>
        <v/>
      </c>
      <c r="E387">
        <f>IFERROR(INDEX(спр_Работы!$C$2:$C$6000,MATCH($C387,спр_Работы!$A$2:$A$6000,0)),"")</f>
        <v/>
      </c>
      <c r="F387">
        <f>IFERROR(INDEX(спр_Работы!$G$2:$G$6000,MATCH($C387,спр_Работы!$A$2:$A$6000,0)),"")</f>
        <v/>
      </c>
      <c r="G387">
        <f>IFERROR(INDEX(спр_Работы!$K$2:$K$6000,MATCH($C387,спр_Работы!$A$2:$A$6000,0)),"")</f>
        <v/>
      </c>
      <c r="H387" s="9" t="n"/>
      <c r="I387" s="9" t="n"/>
      <c r="J387" s="8">
        <f>IFERROR(INDEX(спр_Материалы!$B$2:$B$9000,MATCH($I387,спр_Материалы!$A$2:$A$9000,0)),"")</f>
        <v/>
      </c>
      <c r="K387">
        <f>IF($I387="","",IF($F387=IFERROR(INDEX(спр_Материалы!$G$2:$G$9000,MATCH($I387,спр_Материалы!$A$2:$A$9000,0)),""),"OK","!! не та группа"))</f>
        <v/>
      </c>
      <c r="L387" s="10">
        <f>IFERROR(INDEX(спр_Работы!$H$2:$H$6000,MATCH($C387,спр_Работы!$A$2:$A$6000,0))*(1-ДисконтТендер),0)</f>
        <v/>
      </c>
      <c r="M387" s="10">
        <f>IF($I387="",0,IFERROR(INDEX(спр_Материалы!$I$2:$I$9000,MATCH($I387,спр_Материалы!$A$2:$A$9000,0))*IF(INDEX(спр_Материалы!$J$2:$J$9000,MATCH($I387,спр_Материалы!$A$2:$A$9000,0))="USD",КурсUSD,IF(INDEX(спр_Материалы!$J$2:$J$9000,MATCH($I387,спр_Материалы!$A$2:$A$9000,0))="EUR",КурсEUR,1))*INDEX(спр_Материалы!$K$2:$K$9000,MATCH($I387,спр_Материалы!$A$2:$A$9000,0))*(1+IFERROR(INDEX(спр_Работы!$I$2:$I$6000,MATCH($C387,спр_Работы!$A$2:$A$6000,0))/100,0))*(1-ДисконтТендер),0))</f>
        <v/>
      </c>
      <c r="N387" s="10">
        <f>IF(AND($R387="да",$H387&lt;&gt;""),ROUND($H387*$L387,2),0)</f>
        <v/>
      </c>
      <c r="O387" s="10">
        <f>IF(AND($R387="да",$H387&lt;&gt;""),ROUND($H387*$M387,2),0)</f>
        <v/>
      </c>
      <c r="P387" s="10">
        <f>$N387+$O387</f>
        <v/>
      </c>
      <c r="Q387">
        <f>IFERROR(INDEX(спр_Работы!$J$2:$J$6000,MATCH($C387,спр_Работы!$A$2:$A$6000,0)),"")</f>
        <v/>
      </c>
      <c r="R387" t="inlineStr">
        <is>
          <t>да</t>
        </is>
      </c>
      <c r="T387">
        <f>IF(AND($P387&gt;0,$R387="да"),MAX($T$1:$T386)+1,"")</f>
        <v/>
      </c>
    </row>
    <row r="388">
      <c r="A388">
        <f>IFERROR(INDEX(спр_Работы!$D$2:$D$6000,MATCH($C388,спр_Работы!$A$2:$A$6000,0)),"")</f>
        <v/>
      </c>
      <c r="B388">
        <f>IFERROR(INDEX(спр_Работы!$F$2:$F$6000,MATCH($C388,спр_Работы!$A$2:$A$6000,0)),"")</f>
        <v/>
      </c>
      <c r="C388">
        <f>IFERROR(INDEX(спр_Работы!$A$2:$A$6000,387),"")</f>
        <v/>
      </c>
      <c r="D388" s="8">
        <f>IFERROR(INDEX(спр_Работы!$B$2:$B$6000,MATCH($C388,спр_Работы!$A$2:$A$6000,0)),"")</f>
        <v/>
      </c>
      <c r="E388">
        <f>IFERROR(INDEX(спр_Работы!$C$2:$C$6000,MATCH($C388,спр_Работы!$A$2:$A$6000,0)),"")</f>
        <v/>
      </c>
      <c r="F388">
        <f>IFERROR(INDEX(спр_Работы!$G$2:$G$6000,MATCH($C388,спр_Работы!$A$2:$A$6000,0)),"")</f>
        <v/>
      </c>
      <c r="G388">
        <f>IFERROR(INDEX(спр_Работы!$K$2:$K$6000,MATCH($C388,спр_Работы!$A$2:$A$6000,0)),"")</f>
        <v/>
      </c>
      <c r="H388" s="9" t="n"/>
      <c r="I388" s="9" t="n"/>
      <c r="J388" s="8">
        <f>IFERROR(INDEX(спр_Материалы!$B$2:$B$9000,MATCH($I388,спр_Материалы!$A$2:$A$9000,0)),"")</f>
        <v/>
      </c>
      <c r="K388">
        <f>IF($I388="","",IF($F388=IFERROR(INDEX(спр_Материалы!$G$2:$G$9000,MATCH($I388,спр_Материалы!$A$2:$A$9000,0)),""),"OK","!! не та группа"))</f>
        <v/>
      </c>
      <c r="L388" s="10">
        <f>IFERROR(INDEX(спр_Работы!$H$2:$H$6000,MATCH($C388,спр_Работы!$A$2:$A$6000,0))*(1-ДисконтТендер),0)</f>
        <v/>
      </c>
      <c r="M388" s="10">
        <f>IF($I388="",0,IFERROR(INDEX(спр_Материалы!$I$2:$I$9000,MATCH($I388,спр_Материалы!$A$2:$A$9000,0))*IF(INDEX(спр_Материалы!$J$2:$J$9000,MATCH($I388,спр_Материалы!$A$2:$A$9000,0))="USD",КурсUSD,IF(INDEX(спр_Материалы!$J$2:$J$9000,MATCH($I388,спр_Материалы!$A$2:$A$9000,0))="EUR",КурсEUR,1))*INDEX(спр_Материалы!$K$2:$K$9000,MATCH($I388,спр_Материалы!$A$2:$A$9000,0))*(1+IFERROR(INDEX(спр_Работы!$I$2:$I$6000,MATCH($C388,спр_Работы!$A$2:$A$6000,0))/100,0))*(1-ДисконтТендер),0))</f>
        <v/>
      </c>
      <c r="N388" s="10">
        <f>IF(AND($R388="да",$H388&lt;&gt;""),ROUND($H388*$L388,2),0)</f>
        <v/>
      </c>
      <c r="O388" s="10">
        <f>IF(AND($R388="да",$H388&lt;&gt;""),ROUND($H388*$M388,2),0)</f>
        <v/>
      </c>
      <c r="P388" s="10">
        <f>$N388+$O388</f>
        <v/>
      </c>
      <c r="Q388">
        <f>IFERROR(INDEX(спр_Работы!$J$2:$J$6000,MATCH($C388,спр_Работы!$A$2:$A$6000,0)),"")</f>
        <v/>
      </c>
      <c r="R388" t="inlineStr">
        <is>
          <t>да</t>
        </is>
      </c>
      <c r="T388">
        <f>IF(AND($P388&gt;0,$R388="да"),MAX($T$1:$T387)+1,"")</f>
        <v/>
      </c>
    </row>
    <row r="389">
      <c r="A389">
        <f>IFERROR(INDEX(спр_Работы!$D$2:$D$6000,MATCH($C389,спр_Работы!$A$2:$A$6000,0)),"")</f>
        <v/>
      </c>
      <c r="B389">
        <f>IFERROR(INDEX(спр_Работы!$F$2:$F$6000,MATCH($C389,спр_Работы!$A$2:$A$6000,0)),"")</f>
        <v/>
      </c>
      <c r="C389">
        <f>IFERROR(INDEX(спр_Работы!$A$2:$A$6000,388),"")</f>
        <v/>
      </c>
      <c r="D389" s="8">
        <f>IFERROR(INDEX(спр_Работы!$B$2:$B$6000,MATCH($C389,спр_Работы!$A$2:$A$6000,0)),"")</f>
        <v/>
      </c>
      <c r="E389">
        <f>IFERROR(INDEX(спр_Работы!$C$2:$C$6000,MATCH($C389,спр_Работы!$A$2:$A$6000,0)),"")</f>
        <v/>
      </c>
      <c r="F389">
        <f>IFERROR(INDEX(спр_Работы!$G$2:$G$6000,MATCH($C389,спр_Работы!$A$2:$A$6000,0)),"")</f>
        <v/>
      </c>
      <c r="G389">
        <f>IFERROR(INDEX(спр_Работы!$K$2:$K$6000,MATCH($C389,спр_Работы!$A$2:$A$6000,0)),"")</f>
        <v/>
      </c>
      <c r="H389" s="9" t="n"/>
      <c r="I389" s="9" t="n"/>
      <c r="J389" s="8">
        <f>IFERROR(INDEX(спр_Материалы!$B$2:$B$9000,MATCH($I389,спр_Материалы!$A$2:$A$9000,0)),"")</f>
        <v/>
      </c>
      <c r="K389">
        <f>IF($I389="","",IF($F389=IFERROR(INDEX(спр_Материалы!$G$2:$G$9000,MATCH($I389,спр_Материалы!$A$2:$A$9000,0)),""),"OK","!! не та группа"))</f>
        <v/>
      </c>
      <c r="L389" s="10">
        <f>IFERROR(INDEX(спр_Работы!$H$2:$H$6000,MATCH($C389,спр_Работы!$A$2:$A$6000,0))*(1-ДисконтТендер),0)</f>
        <v/>
      </c>
      <c r="M389" s="10">
        <f>IF($I389="",0,IFERROR(INDEX(спр_Материалы!$I$2:$I$9000,MATCH($I389,спр_Материалы!$A$2:$A$9000,0))*IF(INDEX(спр_Материалы!$J$2:$J$9000,MATCH($I389,спр_Материалы!$A$2:$A$9000,0))="USD",КурсUSD,IF(INDEX(спр_Материалы!$J$2:$J$9000,MATCH($I389,спр_Материалы!$A$2:$A$9000,0))="EUR",КурсEUR,1))*INDEX(спр_Материалы!$K$2:$K$9000,MATCH($I389,спр_Материалы!$A$2:$A$9000,0))*(1+IFERROR(INDEX(спр_Работы!$I$2:$I$6000,MATCH($C389,спр_Работы!$A$2:$A$6000,0))/100,0))*(1-ДисконтТендер),0))</f>
        <v/>
      </c>
      <c r="N389" s="10">
        <f>IF(AND($R389="да",$H389&lt;&gt;""),ROUND($H389*$L389,2),0)</f>
        <v/>
      </c>
      <c r="O389" s="10">
        <f>IF(AND($R389="да",$H389&lt;&gt;""),ROUND($H389*$M389,2),0)</f>
        <v/>
      </c>
      <c r="P389" s="10">
        <f>$N389+$O389</f>
        <v/>
      </c>
      <c r="Q389">
        <f>IFERROR(INDEX(спр_Работы!$J$2:$J$6000,MATCH($C389,спр_Работы!$A$2:$A$6000,0)),"")</f>
        <v/>
      </c>
      <c r="R389" t="inlineStr">
        <is>
          <t>да</t>
        </is>
      </c>
      <c r="T389">
        <f>IF(AND($P389&gt;0,$R389="да"),MAX($T$1:$T388)+1,"")</f>
        <v/>
      </c>
    </row>
    <row r="390">
      <c r="A390">
        <f>IFERROR(INDEX(спр_Работы!$D$2:$D$6000,MATCH($C390,спр_Работы!$A$2:$A$6000,0)),"")</f>
        <v/>
      </c>
      <c r="B390">
        <f>IFERROR(INDEX(спр_Работы!$F$2:$F$6000,MATCH($C390,спр_Работы!$A$2:$A$6000,0)),"")</f>
        <v/>
      </c>
      <c r="C390">
        <f>IFERROR(INDEX(спр_Работы!$A$2:$A$6000,389),"")</f>
        <v/>
      </c>
      <c r="D390" s="8">
        <f>IFERROR(INDEX(спр_Работы!$B$2:$B$6000,MATCH($C390,спр_Работы!$A$2:$A$6000,0)),"")</f>
        <v/>
      </c>
      <c r="E390">
        <f>IFERROR(INDEX(спр_Работы!$C$2:$C$6000,MATCH($C390,спр_Работы!$A$2:$A$6000,0)),"")</f>
        <v/>
      </c>
      <c r="F390">
        <f>IFERROR(INDEX(спр_Работы!$G$2:$G$6000,MATCH($C390,спр_Работы!$A$2:$A$6000,0)),"")</f>
        <v/>
      </c>
      <c r="G390">
        <f>IFERROR(INDEX(спр_Работы!$K$2:$K$6000,MATCH($C390,спр_Работы!$A$2:$A$6000,0)),"")</f>
        <v/>
      </c>
      <c r="H390" s="9" t="n"/>
      <c r="I390" s="9" t="n"/>
      <c r="J390" s="8">
        <f>IFERROR(INDEX(спр_Материалы!$B$2:$B$9000,MATCH($I390,спр_Материалы!$A$2:$A$9000,0)),"")</f>
        <v/>
      </c>
      <c r="K390">
        <f>IF($I390="","",IF($F390=IFERROR(INDEX(спр_Материалы!$G$2:$G$9000,MATCH($I390,спр_Материалы!$A$2:$A$9000,0)),""),"OK","!! не та группа"))</f>
        <v/>
      </c>
      <c r="L390" s="10">
        <f>IFERROR(INDEX(спр_Работы!$H$2:$H$6000,MATCH($C390,спр_Работы!$A$2:$A$6000,0))*(1-ДисконтТендер),0)</f>
        <v/>
      </c>
      <c r="M390" s="10">
        <f>IF($I390="",0,IFERROR(INDEX(спр_Материалы!$I$2:$I$9000,MATCH($I390,спр_Материалы!$A$2:$A$9000,0))*IF(INDEX(спр_Материалы!$J$2:$J$9000,MATCH($I390,спр_Материалы!$A$2:$A$9000,0))="USD",КурсUSD,IF(INDEX(спр_Материалы!$J$2:$J$9000,MATCH($I390,спр_Материалы!$A$2:$A$9000,0))="EUR",КурсEUR,1))*INDEX(спр_Материалы!$K$2:$K$9000,MATCH($I390,спр_Материалы!$A$2:$A$9000,0))*(1+IFERROR(INDEX(спр_Работы!$I$2:$I$6000,MATCH($C390,спр_Работы!$A$2:$A$6000,0))/100,0))*(1-ДисконтТендер),0))</f>
        <v/>
      </c>
      <c r="N390" s="10">
        <f>IF(AND($R390="да",$H390&lt;&gt;""),ROUND($H390*$L390,2),0)</f>
        <v/>
      </c>
      <c r="O390" s="10">
        <f>IF(AND($R390="да",$H390&lt;&gt;""),ROUND($H390*$M390,2),0)</f>
        <v/>
      </c>
      <c r="P390" s="10">
        <f>$N390+$O390</f>
        <v/>
      </c>
      <c r="Q390">
        <f>IFERROR(INDEX(спр_Работы!$J$2:$J$6000,MATCH($C390,спр_Работы!$A$2:$A$6000,0)),"")</f>
        <v/>
      </c>
      <c r="R390" t="inlineStr">
        <is>
          <t>да</t>
        </is>
      </c>
      <c r="T390">
        <f>IF(AND($P390&gt;0,$R390="да"),MAX($T$1:$T389)+1,"")</f>
        <v/>
      </c>
    </row>
    <row r="391">
      <c r="A391">
        <f>IFERROR(INDEX(спр_Работы!$D$2:$D$6000,MATCH($C391,спр_Работы!$A$2:$A$6000,0)),"")</f>
        <v/>
      </c>
      <c r="B391">
        <f>IFERROR(INDEX(спр_Работы!$F$2:$F$6000,MATCH($C391,спр_Работы!$A$2:$A$6000,0)),"")</f>
        <v/>
      </c>
      <c r="C391">
        <f>IFERROR(INDEX(спр_Работы!$A$2:$A$6000,390),"")</f>
        <v/>
      </c>
      <c r="D391" s="8">
        <f>IFERROR(INDEX(спр_Работы!$B$2:$B$6000,MATCH($C391,спр_Работы!$A$2:$A$6000,0)),"")</f>
        <v/>
      </c>
      <c r="E391">
        <f>IFERROR(INDEX(спр_Работы!$C$2:$C$6000,MATCH($C391,спр_Работы!$A$2:$A$6000,0)),"")</f>
        <v/>
      </c>
      <c r="F391">
        <f>IFERROR(INDEX(спр_Работы!$G$2:$G$6000,MATCH($C391,спр_Работы!$A$2:$A$6000,0)),"")</f>
        <v/>
      </c>
      <c r="G391">
        <f>IFERROR(INDEX(спр_Работы!$K$2:$K$6000,MATCH($C391,спр_Работы!$A$2:$A$6000,0)),"")</f>
        <v/>
      </c>
      <c r="H391" s="9" t="n"/>
      <c r="I391" s="9" t="n"/>
      <c r="J391" s="8">
        <f>IFERROR(INDEX(спр_Материалы!$B$2:$B$9000,MATCH($I391,спр_Материалы!$A$2:$A$9000,0)),"")</f>
        <v/>
      </c>
      <c r="K391">
        <f>IF($I391="","",IF($F391=IFERROR(INDEX(спр_Материалы!$G$2:$G$9000,MATCH($I391,спр_Материалы!$A$2:$A$9000,0)),""),"OK","!! не та группа"))</f>
        <v/>
      </c>
      <c r="L391" s="10">
        <f>IFERROR(INDEX(спр_Работы!$H$2:$H$6000,MATCH($C391,спр_Работы!$A$2:$A$6000,0))*(1-ДисконтТендер),0)</f>
        <v/>
      </c>
      <c r="M391" s="10">
        <f>IF($I391="",0,IFERROR(INDEX(спр_Материалы!$I$2:$I$9000,MATCH($I391,спр_Материалы!$A$2:$A$9000,0))*IF(INDEX(спр_Материалы!$J$2:$J$9000,MATCH($I391,спр_Материалы!$A$2:$A$9000,0))="USD",КурсUSD,IF(INDEX(спр_Материалы!$J$2:$J$9000,MATCH($I391,спр_Материалы!$A$2:$A$9000,0))="EUR",КурсEUR,1))*INDEX(спр_Материалы!$K$2:$K$9000,MATCH($I391,спр_Материалы!$A$2:$A$9000,0))*(1+IFERROR(INDEX(спр_Работы!$I$2:$I$6000,MATCH($C391,спр_Работы!$A$2:$A$6000,0))/100,0))*(1-ДисконтТендер),0))</f>
        <v/>
      </c>
      <c r="N391" s="10">
        <f>IF(AND($R391="да",$H391&lt;&gt;""),ROUND($H391*$L391,2),0)</f>
        <v/>
      </c>
      <c r="O391" s="10">
        <f>IF(AND($R391="да",$H391&lt;&gt;""),ROUND($H391*$M391,2),0)</f>
        <v/>
      </c>
      <c r="P391" s="10">
        <f>$N391+$O391</f>
        <v/>
      </c>
      <c r="Q391">
        <f>IFERROR(INDEX(спр_Работы!$J$2:$J$6000,MATCH($C391,спр_Работы!$A$2:$A$6000,0)),"")</f>
        <v/>
      </c>
      <c r="R391" t="inlineStr">
        <is>
          <t>да</t>
        </is>
      </c>
      <c r="T391">
        <f>IF(AND($P391&gt;0,$R391="да"),MAX($T$1:$T390)+1,"")</f>
        <v/>
      </c>
    </row>
    <row r="392">
      <c r="A392">
        <f>IFERROR(INDEX(спр_Работы!$D$2:$D$6000,MATCH($C392,спр_Работы!$A$2:$A$6000,0)),"")</f>
        <v/>
      </c>
      <c r="B392">
        <f>IFERROR(INDEX(спр_Работы!$F$2:$F$6000,MATCH($C392,спр_Работы!$A$2:$A$6000,0)),"")</f>
        <v/>
      </c>
      <c r="C392">
        <f>IFERROR(INDEX(спр_Работы!$A$2:$A$6000,391),"")</f>
        <v/>
      </c>
      <c r="D392" s="8">
        <f>IFERROR(INDEX(спр_Работы!$B$2:$B$6000,MATCH($C392,спр_Работы!$A$2:$A$6000,0)),"")</f>
        <v/>
      </c>
      <c r="E392">
        <f>IFERROR(INDEX(спр_Работы!$C$2:$C$6000,MATCH($C392,спр_Работы!$A$2:$A$6000,0)),"")</f>
        <v/>
      </c>
      <c r="F392">
        <f>IFERROR(INDEX(спр_Работы!$G$2:$G$6000,MATCH($C392,спр_Работы!$A$2:$A$6000,0)),"")</f>
        <v/>
      </c>
      <c r="G392">
        <f>IFERROR(INDEX(спр_Работы!$K$2:$K$6000,MATCH($C392,спр_Работы!$A$2:$A$6000,0)),"")</f>
        <v/>
      </c>
      <c r="H392" s="9" t="n"/>
      <c r="I392" s="9" t="n"/>
      <c r="J392" s="8">
        <f>IFERROR(INDEX(спр_Материалы!$B$2:$B$9000,MATCH($I392,спр_Материалы!$A$2:$A$9000,0)),"")</f>
        <v/>
      </c>
      <c r="K392">
        <f>IF($I392="","",IF($F392=IFERROR(INDEX(спр_Материалы!$G$2:$G$9000,MATCH($I392,спр_Материалы!$A$2:$A$9000,0)),""),"OK","!! не та группа"))</f>
        <v/>
      </c>
      <c r="L392" s="10">
        <f>IFERROR(INDEX(спр_Работы!$H$2:$H$6000,MATCH($C392,спр_Работы!$A$2:$A$6000,0))*(1-ДисконтТендер),0)</f>
        <v/>
      </c>
      <c r="M392" s="10">
        <f>IF($I392="",0,IFERROR(INDEX(спр_Материалы!$I$2:$I$9000,MATCH($I392,спр_Материалы!$A$2:$A$9000,0))*IF(INDEX(спр_Материалы!$J$2:$J$9000,MATCH($I392,спр_Материалы!$A$2:$A$9000,0))="USD",КурсUSD,IF(INDEX(спр_Материалы!$J$2:$J$9000,MATCH($I392,спр_Материалы!$A$2:$A$9000,0))="EUR",КурсEUR,1))*INDEX(спр_Материалы!$K$2:$K$9000,MATCH($I392,спр_Материалы!$A$2:$A$9000,0))*(1+IFERROR(INDEX(спр_Работы!$I$2:$I$6000,MATCH($C392,спр_Работы!$A$2:$A$6000,0))/100,0))*(1-ДисконтТендер),0))</f>
        <v/>
      </c>
      <c r="N392" s="10">
        <f>IF(AND($R392="да",$H392&lt;&gt;""),ROUND($H392*$L392,2),0)</f>
        <v/>
      </c>
      <c r="O392" s="10">
        <f>IF(AND($R392="да",$H392&lt;&gt;""),ROUND($H392*$M392,2),0)</f>
        <v/>
      </c>
      <c r="P392" s="10">
        <f>$N392+$O392</f>
        <v/>
      </c>
      <c r="Q392">
        <f>IFERROR(INDEX(спр_Работы!$J$2:$J$6000,MATCH($C392,спр_Работы!$A$2:$A$6000,0)),"")</f>
        <v/>
      </c>
      <c r="R392" t="inlineStr">
        <is>
          <t>да</t>
        </is>
      </c>
      <c r="T392">
        <f>IF(AND($P392&gt;0,$R392="да"),MAX($T$1:$T391)+1,"")</f>
        <v/>
      </c>
    </row>
    <row r="393">
      <c r="A393">
        <f>IFERROR(INDEX(спр_Работы!$D$2:$D$6000,MATCH($C393,спр_Работы!$A$2:$A$6000,0)),"")</f>
        <v/>
      </c>
      <c r="B393">
        <f>IFERROR(INDEX(спр_Работы!$F$2:$F$6000,MATCH($C393,спр_Работы!$A$2:$A$6000,0)),"")</f>
        <v/>
      </c>
      <c r="C393">
        <f>IFERROR(INDEX(спр_Работы!$A$2:$A$6000,392),"")</f>
        <v/>
      </c>
      <c r="D393" s="8">
        <f>IFERROR(INDEX(спр_Работы!$B$2:$B$6000,MATCH($C393,спр_Работы!$A$2:$A$6000,0)),"")</f>
        <v/>
      </c>
      <c r="E393">
        <f>IFERROR(INDEX(спр_Работы!$C$2:$C$6000,MATCH($C393,спр_Работы!$A$2:$A$6000,0)),"")</f>
        <v/>
      </c>
      <c r="F393">
        <f>IFERROR(INDEX(спр_Работы!$G$2:$G$6000,MATCH($C393,спр_Работы!$A$2:$A$6000,0)),"")</f>
        <v/>
      </c>
      <c r="G393">
        <f>IFERROR(INDEX(спр_Работы!$K$2:$K$6000,MATCH($C393,спр_Работы!$A$2:$A$6000,0)),"")</f>
        <v/>
      </c>
      <c r="H393" s="9" t="n"/>
      <c r="I393" s="9" t="n"/>
      <c r="J393" s="8">
        <f>IFERROR(INDEX(спр_Материалы!$B$2:$B$9000,MATCH($I393,спр_Материалы!$A$2:$A$9000,0)),"")</f>
        <v/>
      </c>
      <c r="K393">
        <f>IF($I393="","",IF($F393=IFERROR(INDEX(спр_Материалы!$G$2:$G$9000,MATCH($I393,спр_Материалы!$A$2:$A$9000,0)),""),"OK","!! не та группа"))</f>
        <v/>
      </c>
      <c r="L393" s="10">
        <f>IFERROR(INDEX(спр_Работы!$H$2:$H$6000,MATCH($C393,спр_Работы!$A$2:$A$6000,0))*(1-ДисконтТендер),0)</f>
        <v/>
      </c>
      <c r="M393" s="10">
        <f>IF($I393="",0,IFERROR(INDEX(спр_Материалы!$I$2:$I$9000,MATCH($I393,спр_Материалы!$A$2:$A$9000,0))*IF(INDEX(спр_Материалы!$J$2:$J$9000,MATCH($I393,спр_Материалы!$A$2:$A$9000,0))="USD",КурсUSD,IF(INDEX(спр_Материалы!$J$2:$J$9000,MATCH($I393,спр_Материалы!$A$2:$A$9000,0))="EUR",КурсEUR,1))*INDEX(спр_Материалы!$K$2:$K$9000,MATCH($I393,спр_Материалы!$A$2:$A$9000,0))*(1+IFERROR(INDEX(спр_Работы!$I$2:$I$6000,MATCH($C393,спр_Работы!$A$2:$A$6000,0))/100,0))*(1-ДисконтТендер),0))</f>
        <v/>
      </c>
      <c r="N393" s="10">
        <f>IF(AND($R393="да",$H393&lt;&gt;""),ROUND($H393*$L393,2),0)</f>
        <v/>
      </c>
      <c r="O393" s="10">
        <f>IF(AND($R393="да",$H393&lt;&gt;""),ROUND($H393*$M393,2),0)</f>
        <v/>
      </c>
      <c r="P393" s="10">
        <f>$N393+$O393</f>
        <v/>
      </c>
      <c r="Q393">
        <f>IFERROR(INDEX(спр_Работы!$J$2:$J$6000,MATCH($C393,спр_Работы!$A$2:$A$6000,0)),"")</f>
        <v/>
      </c>
      <c r="R393" t="inlineStr">
        <is>
          <t>да</t>
        </is>
      </c>
      <c r="T393">
        <f>IF(AND($P393&gt;0,$R393="да"),MAX($T$1:$T392)+1,"")</f>
        <v/>
      </c>
    </row>
    <row r="394">
      <c r="A394">
        <f>IFERROR(INDEX(спр_Работы!$D$2:$D$6000,MATCH($C394,спр_Работы!$A$2:$A$6000,0)),"")</f>
        <v/>
      </c>
      <c r="B394">
        <f>IFERROR(INDEX(спр_Работы!$F$2:$F$6000,MATCH($C394,спр_Работы!$A$2:$A$6000,0)),"")</f>
        <v/>
      </c>
      <c r="C394">
        <f>IFERROR(INDEX(спр_Работы!$A$2:$A$6000,393),"")</f>
        <v/>
      </c>
      <c r="D394" s="8">
        <f>IFERROR(INDEX(спр_Работы!$B$2:$B$6000,MATCH($C394,спр_Работы!$A$2:$A$6000,0)),"")</f>
        <v/>
      </c>
      <c r="E394">
        <f>IFERROR(INDEX(спр_Работы!$C$2:$C$6000,MATCH($C394,спр_Работы!$A$2:$A$6000,0)),"")</f>
        <v/>
      </c>
      <c r="F394">
        <f>IFERROR(INDEX(спр_Работы!$G$2:$G$6000,MATCH($C394,спр_Работы!$A$2:$A$6000,0)),"")</f>
        <v/>
      </c>
      <c r="G394">
        <f>IFERROR(INDEX(спр_Работы!$K$2:$K$6000,MATCH($C394,спр_Работы!$A$2:$A$6000,0)),"")</f>
        <v/>
      </c>
      <c r="H394" s="9" t="n"/>
      <c r="I394" s="9" t="n"/>
      <c r="J394" s="8">
        <f>IFERROR(INDEX(спр_Материалы!$B$2:$B$9000,MATCH($I394,спр_Материалы!$A$2:$A$9000,0)),"")</f>
        <v/>
      </c>
      <c r="K394">
        <f>IF($I394="","",IF($F394=IFERROR(INDEX(спр_Материалы!$G$2:$G$9000,MATCH($I394,спр_Материалы!$A$2:$A$9000,0)),""),"OK","!! не та группа"))</f>
        <v/>
      </c>
      <c r="L394" s="10">
        <f>IFERROR(INDEX(спр_Работы!$H$2:$H$6000,MATCH($C394,спр_Работы!$A$2:$A$6000,0))*(1-ДисконтТендер),0)</f>
        <v/>
      </c>
      <c r="M394" s="10">
        <f>IF($I394="",0,IFERROR(INDEX(спр_Материалы!$I$2:$I$9000,MATCH($I394,спр_Материалы!$A$2:$A$9000,0))*IF(INDEX(спр_Материалы!$J$2:$J$9000,MATCH($I394,спр_Материалы!$A$2:$A$9000,0))="USD",КурсUSD,IF(INDEX(спр_Материалы!$J$2:$J$9000,MATCH($I394,спр_Материалы!$A$2:$A$9000,0))="EUR",КурсEUR,1))*INDEX(спр_Материалы!$K$2:$K$9000,MATCH($I394,спр_Материалы!$A$2:$A$9000,0))*(1+IFERROR(INDEX(спр_Работы!$I$2:$I$6000,MATCH($C394,спр_Работы!$A$2:$A$6000,0))/100,0))*(1-ДисконтТендер),0))</f>
        <v/>
      </c>
      <c r="N394" s="10">
        <f>IF(AND($R394="да",$H394&lt;&gt;""),ROUND($H394*$L394,2),0)</f>
        <v/>
      </c>
      <c r="O394" s="10">
        <f>IF(AND($R394="да",$H394&lt;&gt;""),ROUND($H394*$M394,2),0)</f>
        <v/>
      </c>
      <c r="P394" s="10">
        <f>$N394+$O394</f>
        <v/>
      </c>
      <c r="Q394">
        <f>IFERROR(INDEX(спр_Работы!$J$2:$J$6000,MATCH($C394,спр_Работы!$A$2:$A$6000,0)),"")</f>
        <v/>
      </c>
      <c r="R394" t="inlineStr">
        <is>
          <t>да</t>
        </is>
      </c>
      <c r="T394">
        <f>IF(AND($P394&gt;0,$R394="да"),MAX($T$1:$T393)+1,"")</f>
        <v/>
      </c>
    </row>
    <row r="395">
      <c r="A395">
        <f>IFERROR(INDEX(спр_Работы!$D$2:$D$6000,MATCH($C395,спр_Работы!$A$2:$A$6000,0)),"")</f>
        <v/>
      </c>
      <c r="B395">
        <f>IFERROR(INDEX(спр_Работы!$F$2:$F$6000,MATCH($C395,спр_Работы!$A$2:$A$6000,0)),"")</f>
        <v/>
      </c>
      <c r="C395">
        <f>IFERROR(INDEX(спр_Работы!$A$2:$A$6000,394),"")</f>
        <v/>
      </c>
      <c r="D395" s="8">
        <f>IFERROR(INDEX(спр_Работы!$B$2:$B$6000,MATCH($C395,спр_Работы!$A$2:$A$6000,0)),"")</f>
        <v/>
      </c>
      <c r="E395">
        <f>IFERROR(INDEX(спр_Работы!$C$2:$C$6000,MATCH($C395,спр_Работы!$A$2:$A$6000,0)),"")</f>
        <v/>
      </c>
      <c r="F395">
        <f>IFERROR(INDEX(спр_Работы!$G$2:$G$6000,MATCH($C395,спр_Работы!$A$2:$A$6000,0)),"")</f>
        <v/>
      </c>
      <c r="G395">
        <f>IFERROR(INDEX(спр_Работы!$K$2:$K$6000,MATCH($C395,спр_Работы!$A$2:$A$6000,0)),"")</f>
        <v/>
      </c>
      <c r="H395" s="9" t="n"/>
      <c r="I395" s="9" t="n"/>
      <c r="J395" s="8">
        <f>IFERROR(INDEX(спр_Материалы!$B$2:$B$9000,MATCH($I395,спр_Материалы!$A$2:$A$9000,0)),"")</f>
        <v/>
      </c>
      <c r="K395">
        <f>IF($I395="","",IF($F395=IFERROR(INDEX(спр_Материалы!$G$2:$G$9000,MATCH($I395,спр_Материалы!$A$2:$A$9000,0)),""),"OK","!! не та группа"))</f>
        <v/>
      </c>
      <c r="L395" s="10">
        <f>IFERROR(INDEX(спр_Работы!$H$2:$H$6000,MATCH($C395,спр_Работы!$A$2:$A$6000,0))*(1-ДисконтТендер),0)</f>
        <v/>
      </c>
      <c r="M395" s="10">
        <f>IF($I395="",0,IFERROR(INDEX(спр_Материалы!$I$2:$I$9000,MATCH($I395,спр_Материалы!$A$2:$A$9000,0))*IF(INDEX(спр_Материалы!$J$2:$J$9000,MATCH($I395,спр_Материалы!$A$2:$A$9000,0))="USD",КурсUSD,IF(INDEX(спр_Материалы!$J$2:$J$9000,MATCH($I395,спр_Материалы!$A$2:$A$9000,0))="EUR",КурсEUR,1))*INDEX(спр_Материалы!$K$2:$K$9000,MATCH($I395,спр_Материалы!$A$2:$A$9000,0))*(1+IFERROR(INDEX(спр_Работы!$I$2:$I$6000,MATCH($C395,спр_Работы!$A$2:$A$6000,0))/100,0))*(1-ДисконтТендер),0))</f>
        <v/>
      </c>
      <c r="N395" s="10">
        <f>IF(AND($R395="да",$H395&lt;&gt;""),ROUND($H395*$L395,2),0)</f>
        <v/>
      </c>
      <c r="O395" s="10">
        <f>IF(AND($R395="да",$H395&lt;&gt;""),ROUND($H395*$M395,2),0)</f>
        <v/>
      </c>
      <c r="P395" s="10">
        <f>$N395+$O395</f>
        <v/>
      </c>
      <c r="Q395">
        <f>IFERROR(INDEX(спр_Работы!$J$2:$J$6000,MATCH($C395,спр_Работы!$A$2:$A$6000,0)),"")</f>
        <v/>
      </c>
      <c r="R395" t="inlineStr">
        <is>
          <t>да</t>
        </is>
      </c>
      <c r="T395">
        <f>IF(AND($P395&gt;0,$R395="да"),MAX($T$1:$T394)+1,"")</f>
        <v/>
      </c>
    </row>
    <row r="396">
      <c r="A396">
        <f>IFERROR(INDEX(спр_Работы!$D$2:$D$6000,MATCH($C396,спр_Работы!$A$2:$A$6000,0)),"")</f>
        <v/>
      </c>
      <c r="B396">
        <f>IFERROR(INDEX(спр_Работы!$F$2:$F$6000,MATCH($C396,спр_Работы!$A$2:$A$6000,0)),"")</f>
        <v/>
      </c>
      <c r="C396">
        <f>IFERROR(INDEX(спр_Работы!$A$2:$A$6000,395),"")</f>
        <v/>
      </c>
      <c r="D396" s="8">
        <f>IFERROR(INDEX(спр_Работы!$B$2:$B$6000,MATCH($C396,спр_Работы!$A$2:$A$6000,0)),"")</f>
        <v/>
      </c>
      <c r="E396">
        <f>IFERROR(INDEX(спр_Работы!$C$2:$C$6000,MATCH($C396,спр_Работы!$A$2:$A$6000,0)),"")</f>
        <v/>
      </c>
      <c r="F396">
        <f>IFERROR(INDEX(спр_Работы!$G$2:$G$6000,MATCH($C396,спр_Работы!$A$2:$A$6000,0)),"")</f>
        <v/>
      </c>
      <c r="G396">
        <f>IFERROR(INDEX(спр_Работы!$K$2:$K$6000,MATCH($C396,спр_Работы!$A$2:$A$6000,0)),"")</f>
        <v/>
      </c>
      <c r="H396" s="9" t="n"/>
      <c r="I396" s="9" t="n"/>
      <c r="J396" s="8">
        <f>IFERROR(INDEX(спр_Материалы!$B$2:$B$9000,MATCH($I396,спр_Материалы!$A$2:$A$9000,0)),"")</f>
        <v/>
      </c>
      <c r="K396">
        <f>IF($I396="","",IF($F396=IFERROR(INDEX(спр_Материалы!$G$2:$G$9000,MATCH($I396,спр_Материалы!$A$2:$A$9000,0)),""),"OK","!! не та группа"))</f>
        <v/>
      </c>
      <c r="L396" s="10">
        <f>IFERROR(INDEX(спр_Работы!$H$2:$H$6000,MATCH($C396,спр_Работы!$A$2:$A$6000,0))*(1-ДисконтТендер),0)</f>
        <v/>
      </c>
      <c r="M396" s="10">
        <f>IF($I396="",0,IFERROR(INDEX(спр_Материалы!$I$2:$I$9000,MATCH($I396,спр_Материалы!$A$2:$A$9000,0))*IF(INDEX(спр_Материалы!$J$2:$J$9000,MATCH($I396,спр_Материалы!$A$2:$A$9000,0))="USD",КурсUSD,IF(INDEX(спр_Материалы!$J$2:$J$9000,MATCH($I396,спр_Материалы!$A$2:$A$9000,0))="EUR",КурсEUR,1))*INDEX(спр_Материалы!$K$2:$K$9000,MATCH($I396,спр_Материалы!$A$2:$A$9000,0))*(1+IFERROR(INDEX(спр_Работы!$I$2:$I$6000,MATCH($C396,спр_Работы!$A$2:$A$6000,0))/100,0))*(1-ДисконтТендер),0))</f>
        <v/>
      </c>
      <c r="N396" s="10">
        <f>IF(AND($R396="да",$H396&lt;&gt;""),ROUND($H396*$L396,2),0)</f>
        <v/>
      </c>
      <c r="O396" s="10">
        <f>IF(AND($R396="да",$H396&lt;&gt;""),ROUND($H396*$M396,2),0)</f>
        <v/>
      </c>
      <c r="P396" s="10">
        <f>$N396+$O396</f>
        <v/>
      </c>
      <c r="Q396">
        <f>IFERROR(INDEX(спр_Работы!$J$2:$J$6000,MATCH($C396,спр_Работы!$A$2:$A$6000,0)),"")</f>
        <v/>
      </c>
      <c r="R396" t="inlineStr">
        <is>
          <t>да</t>
        </is>
      </c>
      <c r="T396">
        <f>IF(AND($P396&gt;0,$R396="да"),MAX($T$1:$T395)+1,"")</f>
        <v/>
      </c>
    </row>
    <row r="397">
      <c r="A397">
        <f>IFERROR(INDEX(спр_Работы!$D$2:$D$6000,MATCH($C397,спр_Работы!$A$2:$A$6000,0)),"")</f>
        <v/>
      </c>
      <c r="B397">
        <f>IFERROR(INDEX(спр_Работы!$F$2:$F$6000,MATCH($C397,спр_Работы!$A$2:$A$6000,0)),"")</f>
        <v/>
      </c>
      <c r="C397">
        <f>IFERROR(INDEX(спр_Работы!$A$2:$A$6000,396),"")</f>
        <v/>
      </c>
      <c r="D397" s="8">
        <f>IFERROR(INDEX(спр_Работы!$B$2:$B$6000,MATCH($C397,спр_Работы!$A$2:$A$6000,0)),"")</f>
        <v/>
      </c>
      <c r="E397">
        <f>IFERROR(INDEX(спр_Работы!$C$2:$C$6000,MATCH($C397,спр_Работы!$A$2:$A$6000,0)),"")</f>
        <v/>
      </c>
      <c r="F397">
        <f>IFERROR(INDEX(спр_Работы!$G$2:$G$6000,MATCH($C397,спр_Работы!$A$2:$A$6000,0)),"")</f>
        <v/>
      </c>
      <c r="G397">
        <f>IFERROR(INDEX(спр_Работы!$K$2:$K$6000,MATCH($C397,спр_Работы!$A$2:$A$6000,0)),"")</f>
        <v/>
      </c>
      <c r="H397" s="9" t="n"/>
      <c r="I397" s="9" t="n"/>
      <c r="J397" s="8">
        <f>IFERROR(INDEX(спр_Материалы!$B$2:$B$9000,MATCH($I397,спр_Материалы!$A$2:$A$9000,0)),"")</f>
        <v/>
      </c>
      <c r="K397">
        <f>IF($I397="","",IF($F397=IFERROR(INDEX(спр_Материалы!$G$2:$G$9000,MATCH($I397,спр_Материалы!$A$2:$A$9000,0)),""),"OK","!! не та группа"))</f>
        <v/>
      </c>
      <c r="L397" s="10">
        <f>IFERROR(INDEX(спр_Работы!$H$2:$H$6000,MATCH($C397,спр_Работы!$A$2:$A$6000,0))*(1-ДисконтТендер),0)</f>
        <v/>
      </c>
      <c r="M397" s="10">
        <f>IF($I397="",0,IFERROR(INDEX(спр_Материалы!$I$2:$I$9000,MATCH($I397,спр_Материалы!$A$2:$A$9000,0))*IF(INDEX(спр_Материалы!$J$2:$J$9000,MATCH($I397,спр_Материалы!$A$2:$A$9000,0))="USD",КурсUSD,IF(INDEX(спр_Материалы!$J$2:$J$9000,MATCH($I397,спр_Материалы!$A$2:$A$9000,0))="EUR",КурсEUR,1))*INDEX(спр_Материалы!$K$2:$K$9000,MATCH($I397,спр_Материалы!$A$2:$A$9000,0))*(1+IFERROR(INDEX(спр_Работы!$I$2:$I$6000,MATCH($C397,спр_Работы!$A$2:$A$6000,0))/100,0))*(1-ДисконтТендер),0))</f>
        <v/>
      </c>
      <c r="N397" s="10">
        <f>IF(AND($R397="да",$H397&lt;&gt;""),ROUND($H397*$L397,2),0)</f>
        <v/>
      </c>
      <c r="O397" s="10">
        <f>IF(AND($R397="да",$H397&lt;&gt;""),ROUND($H397*$M397,2),0)</f>
        <v/>
      </c>
      <c r="P397" s="10">
        <f>$N397+$O397</f>
        <v/>
      </c>
      <c r="Q397">
        <f>IFERROR(INDEX(спр_Работы!$J$2:$J$6000,MATCH($C397,спр_Работы!$A$2:$A$6000,0)),"")</f>
        <v/>
      </c>
      <c r="R397" t="inlineStr">
        <is>
          <t>да</t>
        </is>
      </c>
      <c r="T397">
        <f>IF(AND($P397&gt;0,$R397="да"),MAX($T$1:$T396)+1,"")</f>
        <v/>
      </c>
    </row>
    <row r="398">
      <c r="A398">
        <f>IFERROR(INDEX(спр_Работы!$D$2:$D$6000,MATCH($C398,спр_Работы!$A$2:$A$6000,0)),"")</f>
        <v/>
      </c>
      <c r="B398">
        <f>IFERROR(INDEX(спр_Работы!$F$2:$F$6000,MATCH($C398,спр_Работы!$A$2:$A$6000,0)),"")</f>
        <v/>
      </c>
      <c r="C398">
        <f>IFERROR(INDEX(спр_Работы!$A$2:$A$6000,397),"")</f>
        <v/>
      </c>
      <c r="D398" s="8">
        <f>IFERROR(INDEX(спр_Работы!$B$2:$B$6000,MATCH($C398,спр_Работы!$A$2:$A$6000,0)),"")</f>
        <v/>
      </c>
      <c r="E398">
        <f>IFERROR(INDEX(спр_Работы!$C$2:$C$6000,MATCH($C398,спр_Работы!$A$2:$A$6000,0)),"")</f>
        <v/>
      </c>
      <c r="F398">
        <f>IFERROR(INDEX(спр_Работы!$G$2:$G$6000,MATCH($C398,спр_Работы!$A$2:$A$6000,0)),"")</f>
        <v/>
      </c>
      <c r="G398">
        <f>IFERROR(INDEX(спр_Работы!$K$2:$K$6000,MATCH($C398,спр_Работы!$A$2:$A$6000,0)),"")</f>
        <v/>
      </c>
      <c r="H398" s="9" t="n"/>
      <c r="I398" s="9" t="n"/>
      <c r="J398" s="8">
        <f>IFERROR(INDEX(спр_Материалы!$B$2:$B$9000,MATCH($I398,спр_Материалы!$A$2:$A$9000,0)),"")</f>
        <v/>
      </c>
      <c r="K398">
        <f>IF($I398="","",IF($F398=IFERROR(INDEX(спр_Материалы!$G$2:$G$9000,MATCH($I398,спр_Материалы!$A$2:$A$9000,0)),""),"OK","!! не та группа"))</f>
        <v/>
      </c>
      <c r="L398" s="10">
        <f>IFERROR(INDEX(спр_Работы!$H$2:$H$6000,MATCH($C398,спр_Работы!$A$2:$A$6000,0))*(1-ДисконтТендер),0)</f>
        <v/>
      </c>
      <c r="M398" s="10">
        <f>IF($I398="",0,IFERROR(INDEX(спр_Материалы!$I$2:$I$9000,MATCH($I398,спр_Материалы!$A$2:$A$9000,0))*IF(INDEX(спр_Материалы!$J$2:$J$9000,MATCH($I398,спр_Материалы!$A$2:$A$9000,0))="USD",КурсUSD,IF(INDEX(спр_Материалы!$J$2:$J$9000,MATCH($I398,спр_Материалы!$A$2:$A$9000,0))="EUR",КурсEUR,1))*INDEX(спр_Материалы!$K$2:$K$9000,MATCH($I398,спр_Материалы!$A$2:$A$9000,0))*(1+IFERROR(INDEX(спр_Работы!$I$2:$I$6000,MATCH($C398,спр_Работы!$A$2:$A$6000,0))/100,0))*(1-ДисконтТендер),0))</f>
        <v/>
      </c>
      <c r="N398" s="10">
        <f>IF(AND($R398="да",$H398&lt;&gt;""),ROUND($H398*$L398,2),0)</f>
        <v/>
      </c>
      <c r="O398" s="10">
        <f>IF(AND($R398="да",$H398&lt;&gt;""),ROUND($H398*$M398,2),0)</f>
        <v/>
      </c>
      <c r="P398" s="10">
        <f>$N398+$O398</f>
        <v/>
      </c>
      <c r="Q398">
        <f>IFERROR(INDEX(спр_Работы!$J$2:$J$6000,MATCH($C398,спр_Работы!$A$2:$A$6000,0)),"")</f>
        <v/>
      </c>
      <c r="R398" t="inlineStr">
        <is>
          <t>да</t>
        </is>
      </c>
      <c r="T398">
        <f>IF(AND($P398&gt;0,$R398="да"),MAX($T$1:$T397)+1,"")</f>
        <v/>
      </c>
    </row>
    <row r="399">
      <c r="A399">
        <f>IFERROR(INDEX(спр_Работы!$D$2:$D$6000,MATCH($C399,спр_Работы!$A$2:$A$6000,0)),"")</f>
        <v/>
      </c>
      <c r="B399">
        <f>IFERROR(INDEX(спр_Работы!$F$2:$F$6000,MATCH($C399,спр_Работы!$A$2:$A$6000,0)),"")</f>
        <v/>
      </c>
      <c r="C399">
        <f>IFERROR(INDEX(спр_Работы!$A$2:$A$6000,398),"")</f>
        <v/>
      </c>
      <c r="D399" s="8">
        <f>IFERROR(INDEX(спр_Работы!$B$2:$B$6000,MATCH($C399,спр_Работы!$A$2:$A$6000,0)),"")</f>
        <v/>
      </c>
      <c r="E399">
        <f>IFERROR(INDEX(спр_Работы!$C$2:$C$6000,MATCH($C399,спр_Работы!$A$2:$A$6000,0)),"")</f>
        <v/>
      </c>
      <c r="F399">
        <f>IFERROR(INDEX(спр_Работы!$G$2:$G$6000,MATCH($C399,спр_Работы!$A$2:$A$6000,0)),"")</f>
        <v/>
      </c>
      <c r="G399">
        <f>IFERROR(INDEX(спр_Работы!$K$2:$K$6000,MATCH($C399,спр_Работы!$A$2:$A$6000,0)),"")</f>
        <v/>
      </c>
      <c r="H399" s="9" t="n"/>
      <c r="I399" s="9" t="n"/>
      <c r="J399" s="8">
        <f>IFERROR(INDEX(спр_Материалы!$B$2:$B$9000,MATCH($I399,спр_Материалы!$A$2:$A$9000,0)),"")</f>
        <v/>
      </c>
      <c r="K399">
        <f>IF($I399="","",IF($F399=IFERROR(INDEX(спр_Материалы!$G$2:$G$9000,MATCH($I399,спр_Материалы!$A$2:$A$9000,0)),""),"OK","!! не та группа"))</f>
        <v/>
      </c>
      <c r="L399" s="10">
        <f>IFERROR(INDEX(спр_Работы!$H$2:$H$6000,MATCH($C399,спр_Работы!$A$2:$A$6000,0))*(1-ДисконтТендер),0)</f>
        <v/>
      </c>
      <c r="M399" s="10">
        <f>IF($I399="",0,IFERROR(INDEX(спр_Материалы!$I$2:$I$9000,MATCH($I399,спр_Материалы!$A$2:$A$9000,0))*IF(INDEX(спр_Материалы!$J$2:$J$9000,MATCH($I399,спр_Материалы!$A$2:$A$9000,0))="USD",КурсUSD,IF(INDEX(спр_Материалы!$J$2:$J$9000,MATCH($I399,спр_Материалы!$A$2:$A$9000,0))="EUR",КурсEUR,1))*INDEX(спр_Материалы!$K$2:$K$9000,MATCH($I399,спр_Материалы!$A$2:$A$9000,0))*(1+IFERROR(INDEX(спр_Работы!$I$2:$I$6000,MATCH($C399,спр_Работы!$A$2:$A$6000,0))/100,0))*(1-ДисконтТендер),0))</f>
        <v/>
      </c>
      <c r="N399" s="10">
        <f>IF(AND($R399="да",$H399&lt;&gt;""),ROUND($H399*$L399,2),0)</f>
        <v/>
      </c>
      <c r="O399" s="10">
        <f>IF(AND($R399="да",$H399&lt;&gt;""),ROUND($H399*$M399,2),0)</f>
        <v/>
      </c>
      <c r="P399" s="10">
        <f>$N399+$O399</f>
        <v/>
      </c>
      <c r="Q399">
        <f>IFERROR(INDEX(спр_Работы!$J$2:$J$6000,MATCH($C399,спр_Работы!$A$2:$A$6000,0)),"")</f>
        <v/>
      </c>
      <c r="R399" t="inlineStr">
        <is>
          <t>да</t>
        </is>
      </c>
      <c r="T399">
        <f>IF(AND($P399&gt;0,$R399="да"),MAX($T$1:$T398)+1,"")</f>
        <v/>
      </c>
    </row>
    <row r="400">
      <c r="A400">
        <f>IFERROR(INDEX(спр_Работы!$D$2:$D$6000,MATCH($C400,спр_Работы!$A$2:$A$6000,0)),"")</f>
        <v/>
      </c>
      <c r="B400">
        <f>IFERROR(INDEX(спр_Работы!$F$2:$F$6000,MATCH($C400,спр_Работы!$A$2:$A$6000,0)),"")</f>
        <v/>
      </c>
      <c r="C400">
        <f>IFERROR(INDEX(спр_Работы!$A$2:$A$6000,399),"")</f>
        <v/>
      </c>
      <c r="D400" s="8">
        <f>IFERROR(INDEX(спр_Работы!$B$2:$B$6000,MATCH($C400,спр_Работы!$A$2:$A$6000,0)),"")</f>
        <v/>
      </c>
      <c r="E400">
        <f>IFERROR(INDEX(спр_Работы!$C$2:$C$6000,MATCH($C400,спр_Работы!$A$2:$A$6000,0)),"")</f>
        <v/>
      </c>
      <c r="F400">
        <f>IFERROR(INDEX(спр_Работы!$G$2:$G$6000,MATCH($C400,спр_Работы!$A$2:$A$6000,0)),"")</f>
        <v/>
      </c>
      <c r="G400">
        <f>IFERROR(INDEX(спр_Работы!$K$2:$K$6000,MATCH($C400,спр_Работы!$A$2:$A$6000,0)),"")</f>
        <v/>
      </c>
      <c r="H400" s="9" t="n"/>
      <c r="I400" s="9" t="n"/>
      <c r="J400" s="8">
        <f>IFERROR(INDEX(спр_Материалы!$B$2:$B$9000,MATCH($I400,спр_Материалы!$A$2:$A$9000,0)),"")</f>
        <v/>
      </c>
      <c r="K400">
        <f>IF($I400="","",IF($F400=IFERROR(INDEX(спр_Материалы!$G$2:$G$9000,MATCH($I400,спр_Материалы!$A$2:$A$9000,0)),""),"OK","!! не та группа"))</f>
        <v/>
      </c>
      <c r="L400" s="10">
        <f>IFERROR(INDEX(спр_Работы!$H$2:$H$6000,MATCH($C400,спр_Работы!$A$2:$A$6000,0))*(1-ДисконтТендер),0)</f>
        <v/>
      </c>
      <c r="M400" s="10">
        <f>IF($I400="",0,IFERROR(INDEX(спр_Материалы!$I$2:$I$9000,MATCH($I400,спр_Материалы!$A$2:$A$9000,0))*IF(INDEX(спр_Материалы!$J$2:$J$9000,MATCH($I400,спр_Материалы!$A$2:$A$9000,0))="USD",КурсUSD,IF(INDEX(спр_Материалы!$J$2:$J$9000,MATCH($I400,спр_Материалы!$A$2:$A$9000,0))="EUR",КурсEUR,1))*INDEX(спр_Материалы!$K$2:$K$9000,MATCH($I400,спр_Материалы!$A$2:$A$9000,0))*(1+IFERROR(INDEX(спр_Работы!$I$2:$I$6000,MATCH($C400,спр_Работы!$A$2:$A$6000,0))/100,0))*(1-ДисконтТендер),0))</f>
        <v/>
      </c>
      <c r="N400" s="10">
        <f>IF(AND($R400="да",$H400&lt;&gt;""),ROUND($H400*$L400,2),0)</f>
        <v/>
      </c>
      <c r="O400" s="10">
        <f>IF(AND($R400="да",$H400&lt;&gt;""),ROUND($H400*$M400,2),0)</f>
        <v/>
      </c>
      <c r="P400" s="10">
        <f>$N400+$O400</f>
        <v/>
      </c>
      <c r="Q400">
        <f>IFERROR(INDEX(спр_Работы!$J$2:$J$6000,MATCH($C400,спр_Работы!$A$2:$A$6000,0)),"")</f>
        <v/>
      </c>
      <c r="R400" t="inlineStr">
        <is>
          <t>да</t>
        </is>
      </c>
      <c r="T400">
        <f>IF(AND($P400&gt;0,$R400="да"),MAX($T$1:$T399)+1,"")</f>
        <v/>
      </c>
    </row>
    <row r="401">
      <c r="A401">
        <f>IFERROR(INDEX(спр_Работы!$D$2:$D$6000,MATCH($C401,спр_Работы!$A$2:$A$6000,0)),"")</f>
        <v/>
      </c>
      <c r="B401">
        <f>IFERROR(INDEX(спр_Работы!$F$2:$F$6000,MATCH($C401,спр_Работы!$A$2:$A$6000,0)),"")</f>
        <v/>
      </c>
      <c r="C401">
        <f>IFERROR(INDEX(спр_Работы!$A$2:$A$6000,400),"")</f>
        <v/>
      </c>
      <c r="D401" s="8">
        <f>IFERROR(INDEX(спр_Работы!$B$2:$B$6000,MATCH($C401,спр_Работы!$A$2:$A$6000,0)),"")</f>
        <v/>
      </c>
      <c r="E401">
        <f>IFERROR(INDEX(спр_Работы!$C$2:$C$6000,MATCH($C401,спр_Работы!$A$2:$A$6000,0)),"")</f>
        <v/>
      </c>
      <c r="F401">
        <f>IFERROR(INDEX(спр_Работы!$G$2:$G$6000,MATCH($C401,спр_Работы!$A$2:$A$6000,0)),"")</f>
        <v/>
      </c>
      <c r="G401">
        <f>IFERROR(INDEX(спр_Работы!$K$2:$K$6000,MATCH($C401,спр_Работы!$A$2:$A$6000,0)),"")</f>
        <v/>
      </c>
      <c r="H401" s="9" t="n"/>
      <c r="I401" s="9" t="n"/>
      <c r="J401" s="8">
        <f>IFERROR(INDEX(спр_Материалы!$B$2:$B$9000,MATCH($I401,спр_Материалы!$A$2:$A$9000,0)),"")</f>
        <v/>
      </c>
      <c r="K401">
        <f>IF($I401="","",IF($F401=IFERROR(INDEX(спр_Материалы!$G$2:$G$9000,MATCH($I401,спр_Материалы!$A$2:$A$9000,0)),""),"OK","!! не та группа"))</f>
        <v/>
      </c>
      <c r="L401" s="10">
        <f>IFERROR(INDEX(спр_Работы!$H$2:$H$6000,MATCH($C401,спр_Работы!$A$2:$A$6000,0))*(1-ДисконтТендер),0)</f>
        <v/>
      </c>
      <c r="M401" s="10">
        <f>IF($I401="",0,IFERROR(INDEX(спр_Материалы!$I$2:$I$9000,MATCH($I401,спр_Материалы!$A$2:$A$9000,0))*IF(INDEX(спр_Материалы!$J$2:$J$9000,MATCH($I401,спр_Материалы!$A$2:$A$9000,0))="USD",КурсUSD,IF(INDEX(спр_Материалы!$J$2:$J$9000,MATCH($I401,спр_Материалы!$A$2:$A$9000,0))="EUR",КурсEUR,1))*INDEX(спр_Материалы!$K$2:$K$9000,MATCH($I401,спр_Материалы!$A$2:$A$9000,0))*(1+IFERROR(INDEX(спр_Работы!$I$2:$I$6000,MATCH($C401,спр_Работы!$A$2:$A$6000,0))/100,0))*(1-ДисконтТендер),0))</f>
        <v/>
      </c>
      <c r="N401" s="10">
        <f>IF(AND($R401="да",$H401&lt;&gt;""),ROUND($H401*$L401,2),0)</f>
        <v/>
      </c>
      <c r="O401" s="10">
        <f>IF(AND($R401="да",$H401&lt;&gt;""),ROUND($H401*$M401,2),0)</f>
        <v/>
      </c>
      <c r="P401" s="10">
        <f>$N401+$O401</f>
        <v/>
      </c>
      <c r="Q401">
        <f>IFERROR(INDEX(спр_Работы!$J$2:$J$6000,MATCH($C401,спр_Работы!$A$2:$A$6000,0)),"")</f>
        <v/>
      </c>
      <c r="R401" t="inlineStr">
        <is>
          <t>да</t>
        </is>
      </c>
      <c r="T401">
        <f>IF(AND($P401&gt;0,$R401="да"),MAX($T$1:$T400)+1,"")</f>
        <v/>
      </c>
    </row>
    <row r="402">
      <c r="A402">
        <f>IFERROR(INDEX(спр_Работы!$D$2:$D$6000,MATCH($C402,спр_Работы!$A$2:$A$6000,0)),"")</f>
        <v/>
      </c>
      <c r="B402">
        <f>IFERROR(INDEX(спр_Работы!$F$2:$F$6000,MATCH($C402,спр_Работы!$A$2:$A$6000,0)),"")</f>
        <v/>
      </c>
      <c r="C402">
        <f>IFERROR(INDEX(спр_Работы!$A$2:$A$6000,401),"")</f>
        <v/>
      </c>
      <c r="D402" s="8">
        <f>IFERROR(INDEX(спр_Работы!$B$2:$B$6000,MATCH($C402,спр_Работы!$A$2:$A$6000,0)),"")</f>
        <v/>
      </c>
      <c r="E402">
        <f>IFERROR(INDEX(спр_Работы!$C$2:$C$6000,MATCH($C402,спр_Работы!$A$2:$A$6000,0)),"")</f>
        <v/>
      </c>
      <c r="F402">
        <f>IFERROR(INDEX(спр_Работы!$G$2:$G$6000,MATCH($C402,спр_Работы!$A$2:$A$6000,0)),"")</f>
        <v/>
      </c>
      <c r="G402">
        <f>IFERROR(INDEX(спр_Работы!$K$2:$K$6000,MATCH($C402,спр_Работы!$A$2:$A$6000,0)),"")</f>
        <v/>
      </c>
      <c r="H402" s="9" t="n"/>
      <c r="I402" s="9" t="n"/>
      <c r="J402" s="8">
        <f>IFERROR(INDEX(спр_Материалы!$B$2:$B$9000,MATCH($I402,спр_Материалы!$A$2:$A$9000,0)),"")</f>
        <v/>
      </c>
      <c r="K402">
        <f>IF($I402="","",IF($F402=IFERROR(INDEX(спр_Материалы!$G$2:$G$9000,MATCH($I402,спр_Материалы!$A$2:$A$9000,0)),""),"OK","!! не та группа"))</f>
        <v/>
      </c>
      <c r="L402" s="10">
        <f>IFERROR(INDEX(спр_Работы!$H$2:$H$6000,MATCH($C402,спр_Работы!$A$2:$A$6000,0))*(1-ДисконтТендер),0)</f>
        <v/>
      </c>
      <c r="M402" s="10">
        <f>IF($I402="",0,IFERROR(INDEX(спр_Материалы!$I$2:$I$9000,MATCH($I402,спр_Материалы!$A$2:$A$9000,0))*IF(INDEX(спр_Материалы!$J$2:$J$9000,MATCH($I402,спр_Материалы!$A$2:$A$9000,0))="USD",КурсUSD,IF(INDEX(спр_Материалы!$J$2:$J$9000,MATCH($I402,спр_Материалы!$A$2:$A$9000,0))="EUR",КурсEUR,1))*INDEX(спр_Материалы!$K$2:$K$9000,MATCH($I402,спр_Материалы!$A$2:$A$9000,0))*(1+IFERROR(INDEX(спр_Работы!$I$2:$I$6000,MATCH($C402,спр_Работы!$A$2:$A$6000,0))/100,0))*(1-ДисконтТендер),0))</f>
        <v/>
      </c>
      <c r="N402" s="10">
        <f>IF(AND($R402="да",$H402&lt;&gt;""),ROUND($H402*$L402,2),0)</f>
        <v/>
      </c>
      <c r="O402" s="10">
        <f>IF(AND($R402="да",$H402&lt;&gt;""),ROUND($H402*$M402,2),0)</f>
        <v/>
      </c>
      <c r="P402" s="10">
        <f>$N402+$O402</f>
        <v/>
      </c>
      <c r="Q402">
        <f>IFERROR(INDEX(спр_Работы!$J$2:$J$6000,MATCH($C402,спр_Работы!$A$2:$A$6000,0)),"")</f>
        <v/>
      </c>
      <c r="R402" t="inlineStr">
        <is>
          <t>да</t>
        </is>
      </c>
      <c r="T402">
        <f>IF(AND($P402&gt;0,$R402="да"),MAX($T$1:$T401)+1,"")</f>
        <v/>
      </c>
    </row>
    <row r="403">
      <c r="A403">
        <f>IFERROR(INDEX(спр_Работы!$D$2:$D$6000,MATCH($C403,спр_Работы!$A$2:$A$6000,0)),"")</f>
        <v/>
      </c>
      <c r="B403">
        <f>IFERROR(INDEX(спр_Работы!$F$2:$F$6000,MATCH($C403,спр_Работы!$A$2:$A$6000,0)),"")</f>
        <v/>
      </c>
      <c r="C403">
        <f>IFERROR(INDEX(спр_Работы!$A$2:$A$6000,402),"")</f>
        <v/>
      </c>
      <c r="D403" s="8">
        <f>IFERROR(INDEX(спр_Работы!$B$2:$B$6000,MATCH($C403,спр_Работы!$A$2:$A$6000,0)),"")</f>
        <v/>
      </c>
      <c r="E403">
        <f>IFERROR(INDEX(спр_Работы!$C$2:$C$6000,MATCH($C403,спр_Работы!$A$2:$A$6000,0)),"")</f>
        <v/>
      </c>
      <c r="F403">
        <f>IFERROR(INDEX(спр_Работы!$G$2:$G$6000,MATCH($C403,спр_Работы!$A$2:$A$6000,0)),"")</f>
        <v/>
      </c>
      <c r="G403">
        <f>IFERROR(INDEX(спр_Работы!$K$2:$K$6000,MATCH($C403,спр_Работы!$A$2:$A$6000,0)),"")</f>
        <v/>
      </c>
      <c r="H403" s="9" t="n"/>
      <c r="I403" s="9" t="n"/>
      <c r="J403" s="8">
        <f>IFERROR(INDEX(спр_Материалы!$B$2:$B$9000,MATCH($I403,спр_Материалы!$A$2:$A$9000,0)),"")</f>
        <v/>
      </c>
      <c r="K403">
        <f>IF($I403="","",IF($F403=IFERROR(INDEX(спр_Материалы!$G$2:$G$9000,MATCH($I403,спр_Материалы!$A$2:$A$9000,0)),""),"OK","!! не та группа"))</f>
        <v/>
      </c>
      <c r="L403" s="10">
        <f>IFERROR(INDEX(спр_Работы!$H$2:$H$6000,MATCH($C403,спр_Работы!$A$2:$A$6000,0))*(1-ДисконтТендер),0)</f>
        <v/>
      </c>
      <c r="M403" s="10">
        <f>IF($I403="",0,IFERROR(INDEX(спр_Материалы!$I$2:$I$9000,MATCH($I403,спр_Материалы!$A$2:$A$9000,0))*IF(INDEX(спр_Материалы!$J$2:$J$9000,MATCH($I403,спр_Материалы!$A$2:$A$9000,0))="USD",КурсUSD,IF(INDEX(спр_Материалы!$J$2:$J$9000,MATCH($I403,спр_Материалы!$A$2:$A$9000,0))="EUR",КурсEUR,1))*INDEX(спр_Материалы!$K$2:$K$9000,MATCH($I403,спр_Материалы!$A$2:$A$9000,0))*(1+IFERROR(INDEX(спр_Работы!$I$2:$I$6000,MATCH($C403,спр_Работы!$A$2:$A$6000,0))/100,0))*(1-ДисконтТендер),0))</f>
        <v/>
      </c>
      <c r="N403" s="10">
        <f>IF(AND($R403="да",$H403&lt;&gt;""),ROUND($H403*$L403,2),0)</f>
        <v/>
      </c>
      <c r="O403" s="10">
        <f>IF(AND($R403="да",$H403&lt;&gt;""),ROUND($H403*$M403,2),0)</f>
        <v/>
      </c>
      <c r="P403" s="10">
        <f>$N403+$O403</f>
        <v/>
      </c>
      <c r="Q403">
        <f>IFERROR(INDEX(спр_Работы!$J$2:$J$6000,MATCH($C403,спр_Работы!$A$2:$A$6000,0)),"")</f>
        <v/>
      </c>
      <c r="R403" t="inlineStr">
        <is>
          <t>да</t>
        </is>
      </c>
      <c r="T403">
        <f>IF(AND($P403&gt;0,$R403="да"),MAX($T$1:$T402)+1,"")</f>
        <v/>
      </c>
    </row>
    <row r="404">
      <c r="A404">
        <f>IFERROR(INDEX(спр_Работы!$D$2:$D$6000,MATCH($C404,спр_Работы!$A$2:$A$6000,0)),"")</f>
        <v/>
      </c>
      <c r="B404">
        <f>IFERROR(INDEX(спр_Работы!$F$2:$F$6000,MATCH($C404,спр_Работы!$A$2:$A$6000,0)),"")</f>
        <v/>
      </c>
      <c r="C404">
        <f>IFERROR(INDEX(спр_Работы!$A$2:$A$6000,403),"")</f>
        <v/>
      </c>
      <c r="D404" s="8">
        <f>IFERROR(INDEX(спр_Работы!$B$2:$B$6000,MATCH($C404,спр_Работы!$A$2:$A$6000,0)),"")</f>
        <v/>
      </c>
      <c r="E404">
        <f>IFERROR(INDEX(спр_Работы!$C$2:$C$6000,MATCH($C404,спр_Работы!$A$2:$A$6000,0)),"")</f>
        <v/>
      </c>
      <c r="F404">
        <f>IFERROR(INDEX(спр_Работы!$G$2:$G$6000,MATCH($C404,спр_Работы!$A$2:$A$6000,0)),"")</f>
        <v/>
      </c>
      <c r="G404">
        <f>IFERROR(INDEX(спр_Работы!$K$2:$K$6000,MATCH($C404,спр_Работы!$A$2:$A$6000,0)),"")</f>
        <v/>
      </c>
      <c r="H404" s="9" t="n"/>
      <c r="I404" s="9" t="n"/>
      <c r="J404" s="8">
        <f>IFERROR(INDEX(спр_Материалы!$B$2:$B$9000,MATCH($I404,спр_Материалы!$A$2:$A$9000,0)),"")</f>
        <v/>
      </c>
      <c r="K404">
        <f>IF($I404="","",IF($F404=IFERROR(INDEX(спр_Материалы!$G$2:$G$9000,MATCH($I404,спр_Материалы!$A$2:$A$9000,0)),""),"OK","!! не та группа"))</f>
        <v/>
      </c>
      <c r="L404" s="10">
        <f>IFERROR(INDEX(спр_Работы!$H$2:$H$6000,MATCH($C404,спр_Работы!$A$2:$A$6000,0))*(1-ДисконтТендер),0)</f>
        <v/>
      </c>
      <c r="M404" s="10">
        <f>IF($I404="",0,IFERROR(INDEX(спр_Материалы!$I$2:$I$9000,MATCH($I404,спр_Материалы!$A$2:$A$9000,0))*IF(INDEX(спр_Материалы!$J$2:$J$9000,MATCH($I404,спр_Материалы!$A$2:$A$9000,0))="USD",КурсUSD,IF(INDEX(спр_Материалы!$J$2:$J$9000,MATCH($I404,спр_Материалы!$A$2:$A$9000,0))="EUR",КурсEUR,1))*INDEX(спр_Материалы!$K$2:$K$9000,MATCH($I404,спр_Материалы!$A$2:$A$9000,0))*(1+IFERROR(INDEX(спр_Работы!$I$2:$I$6000,MATCH($C404,спр_Работы!$A$2:$A$6000,0))/100,0))*(1-ДисконтТендер),0))</f>
        <v/>
      </c>
      <c r="N404" s="10">
        <f>IF(AND($R404="да",$H404&lt;&gt;""),ROUND($H404*$L404,2),0)</f>
        <v/>
      </c>
      <c r="O404" s="10">
        <f>IF(AND($R404="да",$H404&lt;&gt;""),ROUND($H404*$M404,2),0)</f>
        <v/>
      </c>
      <c r="P404" s="10">
        <f>$N404+$O404</f>
        <v/>
      </c>
      <c r="Q404">
        <f>IFERROR(INDEX(спр_Работы!$J$2:$J$6000,MATCH($C404,спр_Работы!$A$2:$A$6000,0)),"")</f>
        <v/>
      </c>
      <c r="R404" t="inlineStr">
        <is>
          <t>да</t>
        </is>
      </c>
      <c r="T404">
        <f>IF(AND($P404&gt;0,$R404="да"),MAX($T$1:$T403)+1,"")</f>
        <v/>
      </c>
    </row>
    <row r="405">
      <c r="A405">
        <f>IFERROR(INDEX(спр_Работы!$D$2:$D$6000,MATCH($C405,спр_Работы!$A$2:$A$6000,0)),"")</f>
        <v/>
      </c>
      <c r="B405">
        <f>IFERROR(INDEX(спр_Работы!$F$2:$F$6000,MATCH($C405,спр_Работы!$A$2:$A$6000,0)),"")</f>
        <v/>
      </c>
      <c r="C405">
        <f>IFERROR(INDEX(спр_Работы!$A$2:$A$6000,404),"")</f>
        <v/>
      </c>
      <c r="D405" s="8">
        <f>IFERROR(INDEX(спр_Работы!$B$2:$B$6000,MATCH($C405,спр_Работы!$A$2:$A$6000,0)),"")</f>
        <v/>
      </c>
      <c r="E405">
        <f>IFERROR(INDEX(спр_Работы!$C$2:$C$6000,MATCH($C405,спр_Работы!$A$2:$A$6000,0)),"")</f>
        <v/>
      </c>
      <c r="F405">
        <f>IFERROR(INDEX(спр_Работы!$G$2:$G$6000,MATCH($C405,спр_Работы!$A$2:$A$6000,0)),"")</f>
        <v/>
      </c>
      <c r="G405">
        <f>IFERROR(INDEX(спр_Работы!$K$2:$K$6000,MATCH($C405,спр_Работы!$A$2:$A$6000,0)),"")</f>
        <v/>
      </c>
      <c r="H405" s="9" t="n"/>
      <c r="I405" s="9" t="n"/>
      <c r="J405" s="8">
        <f>IFERROR(INDEX(спр_Материалы!$B$2:$B$9000,MATCH($I405,спр_Материалы!$A$2:$A$9000,0)),"")</f>
        <v/>
      </c>
      <c r="K405">
        <f>IF($I405="","",IF($F405=IFERROR(INDEX(спр_Материалы!$G$2:$G$9000,MATCH($I405,спр_Материалы!$A$2:$A$9000,0)),""),"OK","!! не та группа"))</f>
        <v/>
      </c>
      <c r="L405" s="10">
        <f>IFERROR(INDEX(спр_Работы!$H$2:$H$6000,MATCH($C405,спр_Работы!$A$2:$A$6000,0))*(1-ДисконтТендер),0)</f>
        <v/>
      </c>
      <c r="M405" s="10">
        <f>IF($I405="",0,IFERROR(INDEX(спр_Материалы!$I$2:$I$9000,MATCH($I405,спр_Материалы!$A$2:$A$9000,0))*IF(INDEX(спр_Материалы!$J$2:$J$9000,MATCH($I405,спр_Материалы!$A$2:$A$9000,0))="USD",КурсUSD,IF(INDEX(спр_Материалы!$J$2:$J$9000,MATCH($I405,спр_Материалы!$A$2:$A$9000,0))="EUR",КурсEUR,1))*INDEX(спр_Материалы!$K$2:$K$9000,MATCH($I405,спр_Материалы!$A$2:$A$9000,0))*(1+IFERROR(INDEX(спр_Работы!$I$2:$I$6000,MATCH($C405,спр_Работы!$A$2:$A$6000,0))/100,0))*(1-ДисконтТендер),0))</f>
        <v/>
      </c>
      <c r="N405" s="10">
        <f>IF(AND($R405="да",$H405&lt;&gt;""),ROUND($H405*$L405,2),0)</f>
        <v/>
      </c>
      <c r="O405" s="10">
        <f>IF(AND($R405="да",$H405&lt;&gt;""),ROUND($H405*$M405,2),0)</f>
        <v/>
      </c>
      <c r="P405" s="10">
        <f>$N405+$O405</f>
        <v/>
      </c>
      <c r="Q405">
        <f>IFERROR(INDEX(спр_Работы!$J$2:$J$6000,MATCH($C405,спр_Работы!$A$2:$A$6000,0)),"")</f>
        <v/>
      </c>
      <c r="R405" t="inlineStr">
        <is>
          <t>да</t>
        </is>
      </c>
      <c r="T405">
        <f>IF(AND($P405&gt;0,$R405="да"),MAX($T$1:$T404)+1,"")</f>
        <v/>
      </c>
    </row>
    <row r="406">
      <c r="A406">
        <f>IFERROR(INDEX(спр_Работы!$D$2:$D$6000,MATCH($C406,спр_Работы!$A$2:$A$6000,0)),"")</f>
        <v/>
      </c>
      <c r="B406">
        <f>IFERROR(INDEX(спр_Работы!$F$2:$F$6000,MATCH($C406,спр_Работы!$A$2:$A$6000,0)),"")</f>
        <v/>
      </c>
      <c r="C406">
        <f>IFERROR(INDEX(спр_Работы!$A$2:$A$6000,405),"")</f>
        <v/>
      </c>
      <c r="D406" s="8">
        <f>IFERROR(INDEX(спр_Работы!$B$2:$B$6000,MATCH($C406,спр_Работы!$A$2:$A$6000,0)),"")</f>
        <v/>
      </c>
      <c r="E406">
        <f>IFERROR(INDEX(спр_Работы!$C$2:$C$6000,MATCH($C406,спр_Работы!$A$2:$A$6000,0)),"")</f>
        <v/>
      </c>
      <c r="F406">
        <f>IFERROR(INDEX(спр_Работы!$G$2:$G$6000,MATCH($C406,спр_Работы!$A$2:$A$6000,0)),"")</f>
        <v/>
      </c>
      <c r="G406">
        <f>IFERROR(INDEX(спр_Работы!$K$2:$K$6000,MATCH($C406,спр_Работы!$A$2:$A$6000,0)),"")</f>
        <v/>
      </c>
      <c r="H406" s="9" t="n"/>
      <c r="I406" s="9" t="n"/>
      <c r="J406" s="8">
        <f>IFERROR(INDEX(спр_Материалы!$B$2:$B$9000,MATCH($I406,спр_Материалы!$A$2:$A$9000,0)),"")</f>
        <v/>
      </c>
      <c r="K406">
        <f>IF($I406="","",IF($F406=IFERROR(INDEX(спр_Материалы!$G$2:$G$9000,MATCH($I406,спр_Материалы!$A$2:$A$9000,0)),""),"OK","!! не та группа"))</f>
        <v/>
      </c>
      <c r="L406" s="10">
        <f>IFERROR(INDEX(спр_Работы!$H$2:$H$6000,MATCH($C406,спр_Работы!$A$2:$A$6000,0))*(1-ДисконтТендер),0)</f>
        <v/>
      </c>
      <c r="M406" s="10">
        <f>IF($I406="",0,IFERROR(INDEX(спр_Материалы!$I$2:$I$9000,MATCH($I406,спр_Материалы!$A$2:$A$9000,0))*IF(INDEX(спр_Материалы!$J$2:$J$9000,MATCH($I406,спр_Материалы!$A$2:$A$9000,0))="USD",КурсUSD,IF(INDEX(спр_Материалы!$J$2:$J$9000,MATCH($I406,спр_Материалы!$A$2:$A$9000,0))="EUR",КурсEUR,1))*INDEX(спр_Материалы!$K$2:$K$9000,MATCH($I406,спр_Материалы!$A$2:$A$9000,0))*(1+IFERROR(INDEX(спр_Работы!$I$2:$I$6000,MATCH($C406,спр_Работы!$A$2:$A$6000,0))/100,0))*(1-ДисконтТендер),0))</f>
        <v/>
      </c>
      <c r="N406" s="10">
        <f>IF(AND($R406="да",$H406&lt;&gt;""),ROUND($H406*$L406,2),0)</f>
        <v/>
      </c>
      <c r="O406" s="10">
        <f>IF(AND($R406="да",$H406&lt;&gt;""),ROUND($H406*$M406,2),0)</f>
        <v/>
      </c>
      <c r="P406" s="10">
        <f>$N406+$O406</f>
        <v/>
      </c>
      <c r="Q406">
        <f>IFERROR(INDEX(спр_Работы!$J$2:$J$6000,MATCH($C406,спр_Работы!$A$2:$A$6000,0)),"")</f>
        <v/>
      </c>
      <c r="R406" t="inlineStr">
        <is>
          <t>да</t>
        </is>
      </c>
      <c r="T406">
        <f>IF(AND($P406&gt;0,$R406="да"),MAX($T$1:$T405)+1,"")</f>
        <v/>
      </c>
    </row>
    <row r="407">
      <c r="A407">
        <f>IFERROR(INDEX(спр_Работы!$D$2:$D$6000,MATCH($C407,спр_Работы!$A$2:$A$6000,0)),"")</f>
        <v/>
      </c>
      <c r="B407">
        <f>IFERROR(INDEX(спр_Работы!$F$2:$F$6000,MATCH($C407,спр_Работы!$A$2:$A$6000,0)),"")</f>
        <v/>
      </c>
      <c r="C407">
        <f>IFERROR(INDEX(спр_Работы!$A$2:$A$6000,406),"")</f>
        <v/>
      </c>
      <c r="D407" s="8">
        <f>IFERROR(INDEX(спр_Работы!$B$2:$B$6000,MATCH($C407,спр_Работы!$A$2:$A$6000,0)),"")</f>
        <v/>
      </c>
      <c r="E407">
        <f>IFERROR(INDEX(спр_Работы!$C$2:$C$6000,MATCH($C407,спр_Работы!$A$2:$A$6000,0)),"")</f>
        <v/>
      </c>
      <c r="F407">
        <f>IFERROR(INDEX(спр_Работы!$G$2:$G$6000,MATCH($C407,спр_Работы!$A$2:$A$6000,0)),"")</f>
        <v/>
      </c>
      <c r="G407">
        <f>IFERROR(INDEX(спр_Работы!$K$2:$K$6000,MATCH($C407,спр_Работы!$A$2:$A$6000,0)),"")</f>
        <v/>
      </c>
      <c r="H407" s="9" t="n"/>
      <c r="I407" s="9" t="n"/>
      <c r="J407" s="8">
        <f>IFERROR(INDEX(спр_Материалы!$B$2:$B$9000,MATCH($I407,спр_Материалы!$A$2:$A$9000,0)),"")</f>
        <v/>
      </c>
      <c r="K407">
        <f>IF($I407="","",IF($F407=IFERROR(INDEX(спр_Материалы!$G$2:$G$9000,MATCH($I407,спр_Материалы!$A$2:$A$9000,0)),""),"OK","!! не та группа"))</f>
        <v/>
      </c>
      <c r="L407" s="10">
        <f>IFERROR(INDEX(спр_Работы!$H$2:$H$6000,MATCH($C407,спр_Работы!$A$2:$A$6000,0))*(1-ДисконтТендер),0)</f>
        <v/>
      </c>
      <c r="M407" s="10">
        <f>IF($I407="",0,IFERROR(INDEX(спр_Материалы!$I$2:$I$9000,MATCH($I407,спр_Материалы!$A$2:$A$9000,0))*IF(INDEX(спр_Материалы!$J$2:$J$9000,MATCH($I407,спр_Материалы!$A$2:$A$9000,0))="USD",КурсUSD,IF(INDEX(спр_Материалы!$J$2:$J$9000,MATCH($I407,спр_Материалы!$A$2:$A$9000,0))="EUR",КурсEUR,1))*INDEX(спр_Материалы!$K$2:$K$9000,MATCH($I407,спр_Материалы!$A$2:$A$9000,0))*(1+IFERROR(INDEX(спр_Работы!$I$2:$I$6000,MATCH($C407,спр_Работы!$A$2:$A$6000,0))/100,0))*(1-ДисконтТендер),0))</f>
        <v/>
      </c>
      <c r="N407" s="10">
        <f>IF(AND($R407="да",$H407&lt;&gt;""),ROUND($H407*$L407,2),0)</f>
        <v/>
      </c>
      <c r="O407" s="10">
        <f>IF(AND($R407="да",$H407&lt;&gt;""),ROUND($H407*$M407,2),0)</f>
        <v/>
      </c>
      <c r="P407" s="10">
        <f>$N407+$O407</f>
        <v/>
      </c>
      <c r="Q407">
        <f>IFERROR(INDEX(спр_Работы!$J$2:$J$6000,MATCH($C407,спр_Работы!$A$2:$A$6000,0)),"")</f>
        <v/>
      </c>
      <c r="R407" t="inlineStr">
        <is>
          <t>да</t>
        </is>
      </c>
      <c r="T407">
        <f>IF(AND($P407&gt;0,$R407="да"),MAX($T$1:$T406)+1,"")</f>
        <v/>
      </c>
    </row>
    <row r="408">
      <c r="A408">
        <f>IFERROR(INDEX(спр_Работы!$D$2:$D$6000,MATCH($C408,спр_Работы!$A$2:$A$6000,0)),"")</f>
        <v/>
      </c>
      <c r="B408">
        <f>IFERROR(INDEX(спр_Работы!$F$2:$F$6000,MATCH($C408,спр_Работы!$A$2:$A$6000,0)),"")</f>
        <v/>
      </c>
      <c r="C408">
        <f>IFERROR(INDEX(спр_Работы!$A$2:$A$6000,407),"")</f>
        <v/>
      </c>
      <c r="D408" s="8">
        <f>IFERROR(INDEX(спр_Работы!$B$2:$B$6000,MATCH($C408,спр_Работы!$A$2:$A$6000,0)),"")</f>
        <v/>
      </c>
      <c r="E408">
        <f>IFERROR(INDEX(спр_Работы!$C$2:$C$6000,MATCH($C408,спр_Работы!$A$2:$A$6000,0)),"")</f>
        <v/>
      </c>
      <c r="F408">
        <f>IFERROR(INDEX(спр_Работы!$G$2:$G$6000,MATCH($C408,спр_Работы!$A$2:$A$6000,0)),"")</f>
        <v/>
      </c>
      <c r="G408">
        <f>IFERROR(INDEX(спр_Работы!$K$2:$K$6000,MATCH($C408,спр_Работы!$A$2:$A$6000,0)),"")</f>
        <v/>
      </c>
      <c r="H408" s="9" t="n"/>
      <c r="I408" s="9" t="n"/>
      <c r="J408" s="8">
        <f>IFERROR(INDEX(спр_Материалы!$B$2:$B$9000,MATCH($I408,спр_Материалы!$A$2:$A$9000,0)),"")</f>
        <v/>
      </c>
      <c r="K408">
        <f>IF($I408="","",IF($F408=IFERROR(INDEX(спр_Материалы!$G$2:$G$9000,MATCH($I408,спр_Материалы!$A$2:$A$9000,0)),""),"OK","!! не та группа"))</f>
        <v/>
      </c>
      <c r="L408" s="10">
        <f>IFERROR(INDEX(спр_Работы!$H$2:$H$6000,MATCH($C408,спр_Работы!$A$2:$A$6000,0))*(1-ДисконтТендер),0)</f>
        <v/>
      </c>
      <c r="M408" s="10">
        <f>IF($I408="",0,IFERROR(INDEX(спр_Материалы!$I$2:$I$9000,MATCH($I408,спр_Материалы!$A$2:$A$9000,0))*IF(INDEX(спр_Материалы!$J$2:$J$9000,MATCH($I408,спр_Материалы!$A$2:$A$9000,0))="USD",КурсUSD,IF(INDEX(спр_Материалы!$J$2:$J$9000,MATCH($I408,спр_Материалы!$A$2:$A$9000,0))="EUR",КурсEUR,1))*INDEX(спр_Материалы!$K$2:$K$9000,MATCH($I408,спр_Материалы!$A$2:$A$9000,0))*(1+IFERROR(INDEX(спр_Работы!$I$2:$I$6000,MATCH($C408,спр_Работы!$A$2:$A$6000,0))/100,0))*(1-ДисконтТендер),0))</f>
        <v/>
      </c>
      <c r="N408" s="10">
        <f>IF(AND($R408="да",$H408&lt;&gt;""),ROUND($H408*$L408,2),0)</f>
        <v/>
      </c>
      <c r="O408" s="10">
        <f>IF(AND($R408="да",$H408&lt;&gt;""),ROUND($H408*$M408,2),0)</f>
        <v/>
      </c>
      <c r="P408" s="10">
        <f>$N408+$O408</f>
        <v/>
      </c>
      <c r="Q408">
        <f>IFERROR(INDEX(спр_Работы!$J$2:$J$6000,MATCH($C408,спр_Работы!$A$2:$A$6000,0)),"")</f>
        <v/>
      </c>
      <c r="R408" t="inlineStr">
        <is>
          <t>да</t>
        </is>
      </c>
      <c r="T408">
        <f>IF(AND($P408&gt;0,$R408="да"),MAX($T$1:$T407)+1,"")</f>
        <v/>
      </c>
    </row>
    <row r="409">
      <c r="A409">
        <f>IFERROR(INDEX(спр_Работы!$D$2:$D$6000,MATCH($C409,спр_Работы!$A$2:$A$6000,0)),"")</f>
        <v/>
      </c>
      <c r="B409">
        <f>IFERROR(INDEX(спр_Работы!$F$2:$F$6000,MATCH($C409,спр_Работы!$A$2:$A$6000,0)),"")</f>
        <v/>
      </c>
      <c r="C409">
        <f>IFERROR(INDEX(спр_Работы!$A$2:$A$6000,408),"")</f>
        <v/>
      </c>
      <c r="D409" s="8">
        <f>IFERROR(INDEX(спр_Работы!$B$2:$B$6000,MATCH($C409,спр_Работы!$A$2:$A$6000,0)),"")</f>
        <v/>
      </c>
      <c r="E409">
        <f>IFERROR(INDEX(спр_Работы!$C$2:$C$6000,MATCH($C409,спр_Работы!$A$2:$A$6000,0)),"")</f>
        <v/>
      </c>
      <c r="F409">
        <f>IFERROR(INDEX(спр_Работы!$G$2:$G$6000,MATCH($C409,спр_Работы!$A$2:$A$6000,0)),"")</f>
        <v/>
      </c>
      <c r="G409">
        <f>IFERROR(INDEX(спр_Работы!$K$2:$K$6000,MATCH($C409,спр_Работы!$A$2:$A$6000,0)),"")</f>
        <v/>
      </c>
      <c r="H409" s="9" t="n"/>
      <c r="I409" s="9" t="n"/>
      <c r="J409" s="8">
        <f>IFERROR(INDEX(спр_Материалы!$B$2:$B$9000,MATCH($I409,спр_Материалы!$A$2:$A$9000,0)),"")</f>
        <v/>
      </c>
      <c r="K409">
        <f>IF($I409="","",IF($F409=IFERROR(INDEX(спр_Материалы!$G$2:$G$9000,MATCH($I409,спр_Материалы!$A$2:$A$9000,0)),""),"OK","!! не та группа"))</f>
        <v/>
      </c>
      <c r="L409" s="10">
        <f>IFERROR(INDEX(спр_Работы!$H$2:$H$6000,MATCH($C409,спр_Работы!$A$2:$A$6000,0))*(1-ДисконтТендер),0)</f>
        <v/>
      </c>
      <c r="M409" s="10">
        <f>IF($I409="",0,IFERROR(INDEX(спр_Материалы!$I$2:$I$9000,MATCH($I409,спр_Материалы!$A$2:$A$9000,0))*IF(INDEX(спр_Материалы!$J$2:$J$9000,MATCH($I409,спр_Материалы!$A$2:$A$9000,0))="USD",КурсUSD,IF(INDEX(спр_Материалы!$J$2:$J$9000,MATCH($I409,спр_Материалы!$A$2:$A$9000,0))="EUR",КурсEUR,1))*INDEX(спр_Материалы!$K$2:$K$9000,MATCH($I409,спр_Материалы!$A$2:$A$9000,0))*(1+IFERROR(INDEX(спр_Работы!$I$2:$I$6000,MATCH($C409,спр_Работы!$A$2:$A$6000,0))/100,0))*(1-ДисконтТендер),0))</f>
        <v/>
      </c>
      <c r="N409" s="10">
        <f>IF(AND($R409="да",$H409&lt;&gt;""),ROUND($H409*$L409,2),0)</f>
        <v/>
      </c>
      <c r="O409" s="10">
        <f>IF(AND($R409="да",$H409&lt;&gt;""),ROUND($H409*$M409,2),0)</f>
        <v/>
      </c>
      <c r="P409" s="10">
        <f>$N409+$O409</f>
        <v/>
      </c>
      <c r="Q409">
        <f>IFERROR(INDEX(спр_Работы!$J$2:$J$6000,MATCH($C409,спр_Работы!$A$2:$A$6000,0)),"")</f>
        <v/>
      </c>
      <c r="R409" t="inlineStr">
        <is>
          <t>да</t>
        </is>
      </c>
      <c r="T409">
        <f>IF(AND($P409&gt;0,$R409="да"),MAX($T$1:$T408)+1,"")</f>
        <v/>
      </c>
    </row>
    <row r="410">
      <c r="A410">
        <f>IFERROR(INDEX(спр_Работы!$D$2:$D$6000,MATCH($C410,спр_Работы!$A$2:$A$6000,0)),"")</f>
        <v/>
      </c>
      <c r="B410">
        <f>IFERROR(INDEX(спр_Работы!$F$2:$F$6000,MATCH($C410,спр_Работы!$A$2:$A$6000,0)),"")</f>
        <v/>
      </c>
      <c r="C410">
        <f>IFERROR(INDEX(спр_Работы!$A$2:$A$6000,409),"")</f>
        <v/>
      </c>
      <c r="D410" s="8">
        <f>IFERROR(INDEX(спр_Работы!$B$2:$B$6000,MATCH($C410,спр_Работы!$A$2:$A$6000,0)),"")</f>
        <v/>
      </c>
      <c r="E410">
        <f>IFERROR(INDEX(спр_Работы!$C$2:$C$6000,MATCH($C410,спр_Работы!$A$2:$A$6000,0)),"")</f>
        <v/>
      </c>
      <c r="F410">
        <f>IFERROR(INDEX(спр_Работы!$G$2:$G$6000,MATCH($C410,спр_Работы!$A$2:$A$6000,0)),"")</f>
        <v/>
      </c>
      <c r="G410">
        <f>IFERROR(INDEX(спр_Работы!$K$2:$K$6000,MATCH($C410,спр_Работы!$A$2:$A$6000,0)),"")</f>
        <v/>
      </c>
      <c r="H410" s="9" t="n"/>
      <c r="I410" s="9" t="n"/>
      <c r="J410" s="8">
        <f>IFERROR(INDEX(спр_Материалы!$B$2:$B$9000,MATCH($I410,спр_Материалы!$A$2:$A$9000,0)),"")</f>
        <v/>
      </c>
      <c r="K410">
        <f>IF($I410="","",IF($F410=IFERROR(INDEX(спр_Материалы!$G$2:$G$9000,MATCH($I410,спр_Материалы!$A$2:$A$9000,0)),""),"OK","!! не та группа"))</f>
        <v/>
      </c>
      <c r="L410" s="10">
        <f>IFERROR(INDEX(спр_Работы!$H$2:$H$6000,MATCH($C410,спр_Работы!$A$2:$A$6000,0))*(1-ДисконтТендер),0)</f>
        <v/>
      </c>
      <c r="M410" s="10">
        <f>IF($I410="",0,IFERROR(INDEX(спр_Материалы!$I$2:$I$9000,MATCH($I410,спр_Материалы!$A$2:$A$9000,0))*IF(INDEX(спр_Материалы!$J$2:$J$9000,MATCH($I410,спр_Материалы!$A$2:$A$9000,0))="USD",КурсUSD,IF(INDEX(спр_Материалы!$J$2:$J$9000,MATCH($I410,спр_Материалы!$A$2:$A$9000,0))="EUR",КурсEUR,1))*INDEX(спр_Материалы!$K$2:$K$9000,MATCH($I410,спр_Материалы!$A$2:$A$9000,0))*(1+IFERROR(INDEX(спр_Работы!$I$2:$I$6000,MATCH($C410,спр_Работы!$A$2:$A$6000,0))/100,0))*(1-ДисконтТендер),0))</f>
        <v/>
      </c>
      <c r="N410" s="10">
        <f>IF(AND($R410="да",$H410&lt;&gt;""),ROUND($H410*$L410,2),0)</f>
        <v/>
      </c>
      <c r="O410" s="10">
        <f>IF(AND($R410="да",$H410&lt;&gt;""),ROUND($H410*$M410,2),0)</f>
        <v/>
      </c>
      <c r="P410" s="10">
        <f>$N410+$O410</f>
        <v/>
      </c>
      <c r="Q410">
        <f>IFERROR(INDEX(спр_Работы!$J$2:$J$6000,MATCH($C410,спр_Работы!$A$2:$A$6000,0)),"")</f>
        <v/>
      </c>
      <c r="R410" t="inlineStr">
        <is>
          <t>да</t>
        </is>
      </c>
      <c r="T410">
        <f>IF(AND($P410&gt;0,$R410="да"),MAX($T$1:$T409)+1,"")</f>
        <v/>
      </c>
    </row>
    <row r="411">
      <c r="A411">
        <f>IFERROR(INDEX(спр_Работы!$D$2:$D$6000,MATCH($C411,спр_Работы!$A$2:$A$6000,0)),"")</f>
        <v/>
      </c>
      <c r="B411">
        <f>IFERROR(INDEX(спр_Работы!$F$2:$F$6000,MATCH($C411,спр_Работы!$A$2:$A$6000,0)),"")</f>
        <v/>
      </c>
      <c r="C411">
        <f>IFERROR(INDEX(спр_Работы!$A$2:$A$6000,410),"")</f>
        <v/>
      </c>
      <c r="D411" s="8">
        <f>IFERROR(INDEX(спр_Работы!$B$2:$B$6000,MATCH($C411,спр_Работы!$A$2:$A$6000,0)),"")</f>
        <v/>
      </c>
      <c r="E411">
        <f>IFERROR(INDEX(спр_Работы!$C$2:$C$6000,MATCH($C411,спр_Работы!$A$2:$A$6000,0)),"")</f>
        <v/>
      </c>
      <c r="F411">
        <f>IFERROR(INDEX(спр_Работы!$G$2:$G$6000,MATCH($C411,спр_Работы!$A$2:$A$6000,0)),"")</f>
        <v/>
      </c>
      <c r="G411">
        <f>IFERROR(INDEX(спр_Работы!$K$2:$K$6000,MATCH($C411,спр_Работы!$A$2:$A$6000,0)),"")</f>
        <v/>
      </c>
      <c r="H411" s="9" t="n"/>
      <c r="I411" s="9" t="n"/>
      <c r="J411" s="8">
        <f>IFERROR(INDEX(спр_Материалы!$B$2:$B$9000,MATCH($I411,спр_Материалы!$A$2:$A$9000,0)),"")</f>
        <v/>
      </c>
      <c r="K411">
        <f>IF($I411="","",IF($F411=IFERROR(INDEX(спр_Материалы!$G$2:$G$9000,MATCH($I411,спр_Материалы!$A$2:$A$9000,0)),""),"OK","!! не та группа"))</f>
        <v/>
      </c>
      <c r="L411" s="10">
        <f>IFERROR(INDEX(спр_Работы!$H$2:$H$6000,MATCH($C411,спр_Работы!$A$2:$A$6000,0))*(1-ДисконтТендер),0)</f>
        <v/>
      </c>
      <c r="M411" s="10">
        <f>IF($I411="",0,IFERROR(INDEX(спр_Материалы!$I$2:$I$9000,MATCH($I411,спр_Материалы!$A$2:$A$9000,0))*IF(INDEX(спр_Материалы!$J$2:$J$9000,MATCH($I411,спр_Материалы!$A$2:$A$9000,0))="USD",КурсUSD,IF(INDEX(спр_Материалы!$J$2:$J$9000,MATCH($I411,спр_Материалы!$A$2:$A$9000,0))="EUR",КурсEUR,1))*INDEX(спр_Материалы!$K$2:$K$9000,MATCH($I411,спр_Материалы!$A$2:$A$9000,0))*(1+IFERROR(INDEX(спр_Работы!$I$2:$I$6000,MATCH($C411,спр_Работы!$A$2:$A$6000,0))/100,0))*(1-ДисконтТендер),0))</f>
        <v/>
      </c>
      <c r="N411" s="10">
        <f>IF(AND($R411="да",$H411&lt;&gt;""),ROUND($H411*$L411,2),0)</f>
        <v/>
      </c>
      <c r="O411" s="10">
        <f>IF(AND($R411="да",$H411&lt;&gt;""),ROUND($H411*$M411,2),0)</f>
        <v/>
      </c>
      <c r="P411" s="10">
        <f>$N411+$O411</f>
        <v/>
      </c>
      <c r="Q411">
        <f>IFERROR(INDEX(спр_Работы!$J$2:$J$6000,MATCH($C411,спр_Работы!$A$2:$A$6000,0)),"")</f>
        <v/>
      </c>
      <c r="R411" t="inlineStr">
        <is>
          <t>да</t>
        </is>
      </c>
      <c r="T411">
        <f>IF(AND($P411&gt;0,$R411="да"),MAX($T$1:$T410)+1,"")</f>
        <v/>
      </c>
    </row>
    <row r="412">
      <c r="A412">
        <f>IFERROR(INDEX(спр_Работы!$D$2:$D$6000,MATCH($C412,спр_Работы!$A$2:$A$6000,0)),"")</f>
        <v/>
      </c>
      <c r="B412">
        <f>IFERROR(INDEX(спр_Работы!$F$2:$F$6000,MATCH($C412,спр_Работы!$A$2:$A$6000,0)),"")</f>
        <v/>
      </c>
      <c r="C412">
        <f>IFERROR(INDEX(спр_Работы!$A$2:$A$6000,411),"")</f>
        <v/>
      </c>
      <c r="D412" s="8">
        <f>IFERROR(INDEX(спр_Работы!$B$2:$B$6000,MATCH($C412,спр_Работы!$A$2:$A$6000,0)),"")</f>
        <v/>
      </c>
      <c r="E412">
        <f>IFERROR(INDEX(спр_Работы!$C$2:$C$6000,MATCH($C412,спр_Работы!$A$2:$A$6000,0)),"")</f>
        <v/>
      </c>
      <c r="F412">
        <f>IFERROR(INDEX(спр_Работы!$G$2:$G$6000,MATCH($C412,спр_Работы!$A$2:$A$6000,0)),"")</f>
        <v/>
      </c>
      <c r="G412">
        <f>IFERROR(INDEX(спр_Работы!$K$2:$K$6000,MATCH($C412,спр_Работы!$A$2:$A$6000,0)),"")</f>
        <v/>
      </c>
      <c r="H412" s="9" t="n"/>
      <c r="I412" s="9" t="n"/>
      <c r="J412" s="8">
        <f>IFERROR(INDEX(спр_Материалы!$B$2:$B$9000,MATCH($I412,спр_Материалы!$A$2:$A$9000,0)),"")</f>
        <v/>
      </c>
      <c r="K412">
        <f>IF($I412="","",IF($F412=IFERROR(INDEX(спр_Материалы!$G$2:$G$9000,MATCH($I412,спр_Материалы!$A$2:$A$9000,0)),""),"OK","!! не та группа"))</f>
        <v/>
      </c>
      <c r="L412" s="10">
        <f>IFERROR(INDEX(спр_Работы!$H$2:$H$6000,MATCH($C412,спр_Работы!$A$2:$A$6000,0))*(1-ДисконтТендер),0)</f>
        <v/>
      </c>
      <c r="M412" s="10">
        <f>IF($I412="",0,IFERROR(INDEX(спр_Материалы!$I$2:$I$9000,MATCH($I412,спр_Материалы!$A$2:$A$9000,0))*IF(INDEX(спр_Материалы!$J$2:$J$9000,MATCH($I412,спр_Материалы!$A$2:$A$9000,0))="USD",КурсUSD,IF(INDEX(спр_Материалы!$J$2:$J$9000,MATCH($I412,спр_Материалы!$A$2:$A$9000,0))="EUR",КурсEUR,1))*INDEX(спр_Материалы!$K$2:$K$9000,MATCH($I412,спр_Материалы!$A$2:$A$9000,0))*(1+IFERROR(INDEX(спр_Работы!$I$2:$I$6000,MATCH($C412,спр_Работы!$A$2:$A$6000,0))/100,0))*(1-ДисконтТендер),0))</f>
        <v/>
      </c>
      <c r="N412" s="10">
        <f>IF(AND($R412="да",$H412&lt;&gt;""),ROUND($H412*$L412,2),0)</f>
        <v/>
      </c>
      <c r="O412" s="10">
        <f>IF(AND($R412="да",$H412&lt;&gt;""),ROUND($H412*$M412,2),0)</f>
        <v/>
      </c>
      <c r="P412" s="10">
        <f>$N412+$O412</f>
        <v/>
      </c>
      <c r="Q412">
        <f>IFERROR(INDEX(спр_Работы!$J$2:$J$6000,MATCH($C412,спр_Работы!$A$2:$A$6000,0)),"")</f>
        <v/>
      </c>
      <c r="R412" t="inlineStr">
        <is>
          <t>да</t>
        </is>
      </c>
      <c r="T412">
        <f>IF(AND($P412&gt;0,$R412="да"),MAX($T$1:$T411)+1,"")</f>
        <v/>
      </c>
    </row>
    <row r="413">
      <c r="A413">
        <f>IFERROR(INDEX(спр_Работы!$D$2:$D$6000,MATCH($C413,спр_Работы!$A$2:$A$6000,0)),"")</f>
        <v/>
      </c>
      <c r="B413">
        <f>IFERROR(INDEX(спр_Работы!$F$2:$F$6000,MATCH($C413,спр_Работы!$A$2:$A$6000,0)),"")</f>
        <v/>
      </c>
      <c r="C413">
        <f>IFERROR(INDEX(спр_Работы!$A$2:$A$6000,412),"")</f>
        <v/>
      </c>
      <c r="D413" s="8">
        <f>IFERROR(INDEX(спр_Работы!$B$2:$B$6000,MATCH($C413,спр_Работы!$A$2:$A$6000,0)),"")</f>
        <v/>
      </c>
      <c r="E413">
        <f>IFERROR(INDEX(спр_Работы!$C$2:$C$6000,MATCH($C413,спр_Работы!$A$2:$A$6000,0)),"")</f>
        <v/>
      </c>
      <c r="F413">
        <f>IFERROR(INDEX(спр_Работы!$G$2:$G$6000,MATCH($C413,спр_Работы!$A$2:$A$6000,0)),"")</f>
        <v/>
      </c>
      <c r="G413">
        <f>IFERROR(INDEX(спр_Работы!$K$2:$K$6000,MATCH($C413,спр_Работы!$A$2:$A$6000,0)),"")</f>
        <v/>
      </c>
      <c r="H413" s="9" t="n"/>
      <c r="I413" s="9" t="n"/>
      <c r="J413" s="8">
        <f>IFERROR(INDEX(спр_Материалы!$B$2:$B$9000,MATCH($I413,спр_Материалы!$A$2:$A$9000,0)),"")</f>
        <v/>
      </c>
      <c r="K413">
        <f>IF($I413="","",IF($F413=IFERROR(INDEX(спр_Материалы!$G$2:$G$9000,MATCH($I413,спр_Материалы!$A$2:$A$9000,0)),""),"OK","!! не та группа"))</f>
        <v/>
      </c>
      <c r="L413" s="10">
        <f>IFERROR(INDEX(спр_Работы!$H$2:$H$6000,MATCH($C413,спр_Работы!$A$2:$A$6000,0))*(1-ДисконтТендер),0)</f>
        <v/>
      </c>
      <c r="M413" s="10">
        <f>IF($I413="",0,IFERROR(INDEX(спр_Материалы!$I$2:$I$9000,MATCH($I413,спр_Материалы!$A$2:$A$9000,0))*IF(INDEX(спр_Материалы!$J$2:$J$9000,MATCH($I413,спр_Материалы!$A$2:$A$9000,0))="USD",КурсUSD,IF(INDEX(спр_Материалы!$J$2:$J$9000,MATCH($I413,спр_Материалы!$A$2:$A$9000,0))="EUR",КурсEUR,1))*INDEX(спр_Материалы!$K$2:$K$9000,MATCH($I413,спр_Материалы!$A$2:$A$9000,0))*(1+IFERROR(INDEX(спр_Работы!$I$2:$I$6000,MATCH($C413,спр_Работы!$A$2:$A$6000,0))/100,0))*(1-ДисконтТендер),0))</f>
        <v/>
      </c>
      <c r="N413" s="10">
        <f>IF(AND($R413="да",$H413&lt;&gt;""),ROUND($H413*$L413,2),0)</f>
        <v/>
      </c>
      <c r="O413" s="10">
        <f>IF(AND($R413="да",$H413&lt;&gt;""),ROUND($H413*$M413,2),0)</f>
        <v/>
      </c>
      <c r="P413" s="10">
        <f>$N413+$O413</f>
        <v/>
      </c>
      <c r="Q413">
        <f>IFERROR(INDEX(спр_Работы!$J$2:$J$6000,MATCH($C413,спр_Работы!$A$2:$A$6000,0)),"")</f>
        <v/>
      </c>
      <c r="R413" t="inlineStr">
        <is>
          <t>да</t>
        </is>
      </c>
      <c r="T413">
        <f>IF(AND($P413&gt;0,$R413="да"),MAX($T$1:$T412)+1,"")</f>
        <v/>
      </c>
    </row>
    <row r="414">
      <c r="A414">
        <f>IFERROR(INDEX(спр_Работы!$D$2:$D$6000,MATCH($C414,спр_Работы!$A$2:$A$6000,0)),"")</f>
        <v/>
      </c>
      <c r="B414">
        <f>IFERROR(INDEX(спр_Работы!$F$2:$F$6000,MATCH($C414,спр_Работы!$A$2:$A$6000,0)),"")</f>
        <v/>
      </c>
      <c r="C414">
        <f>IFERROR(INDEX(спр_Работы!$A$2:$A$6000,413),"")</f>
        <v/>
      </c>
      <c r="D414" s="8">
        <f>IFERROR(INDEX(спр_Работы!$B$2:$B$6000,MATCH($C414,спр_Работы!$A$2:$A$6000,0)),"")</f>
        <v/>
      </c>
      <c r="E414">
        <f>IFERROR(INDEX(спр_Работы!$C$2:$C$6000,MATCH($C414,спр_Работы!$A$2:$A$6000,0)),"")</f>
        <v/>
      </c>
      <c r="F414">
        <f>IFERROR(INDEX(спр_Работы!$G$2:$G$6000,MATCH($C414,спр_Работы!$A$2:$A$6000,0)),"")</f>
        <v/>
      </c>
      <c r="G414">
        <f>IFERROR(INDEX(спр_Работы!$K$2:$K$6000,MATCH($C414,спр_Работы!$A$2:$A$6000,0)),"")</f>
        <v/>
      </c>
      <c r="H414" s="9" t="n"/>
      <c r="I414" s="9" t="n"/>
      <c r="J414" s="8">
        <f>IFERROR(INDEX(спр_Материалы!$B$2:$B$9000,MATCH($I414,спр_Материалы!$A$2:$A$9000,0)),"")</f>
        <v/>
      </c>
      <c r="K414">
        <f>IF($I414="","",IF($F414=IFERROR(INDEX(спр_Материалы!$G$2:$G$9000,MATCH($I414,спр_Материалы!$A$2:$A$9000,0)),""),"OK","!! не та группа"))</f>
        <v/>
      </c>
      <c r="L414" s="10">
        <f>IFERROR(INDEX(спр_Работы!$H$2:$H$6000,MATCH($C414,спр_Работы!$A$2:$A$6000,0))*(1-ДисконтТендер),0)</f>
        <v/>
      </c>
      <c r="M414" s="10">
        <f>IF($I414="",0,IFERROR(INDEX(спр_Материалы!$I$2:$I$9000,MATCH($I414,спр_Материалы!$A$2:$A$9000,0))*IF(INDEX(спр_Материалы!$J$2:$J$9000,MATCH($I414,спр_Материалы!$A$2:$A$9000,0))="USD",КурсUSD,IF(INDEX(спр_Материалы!$J$2:$J$9000,MATCH($I414,спр_Материалы!$A$2:$A$9000,0))="EUR",КурсEUR,1))*INDEX(спр_Материалы!$K$2:$K$9000,MATCH($I414,спр_Материалы!$A$2:$A$9000,0))*(1+IFERROR(INDEX(спр_Работы!$I$2:$I$6000,MATCH($C414,спр_Работы!$A$2:$A$6000,0))/100,0))*(1-ДисконтТендер),0))</f>
        <v/>
      </c>
      <c r="N414" s="10">
        <f>IF(AND($R414="да",$H414&lt;&gt;""),ROUND($H414*$L414,2),0)</f>
        <v/>
      </c>
      <c r="O414" s="10">
        <f>IF(AND($R414="да",$H414&lt;&gt;""),ROUND($H414*$M414,2),0)</f>
        <v/>
      </c>
      <c r="P414" s="10">
        <f>$N414+$O414</f>
        <v/>
      </c>
      <c r="Q414">
        <f>IFERROR(INDEX(спр_Работы!$J$2:$J$6000,MATCH($C414,спр_Работы!$A$2:$A$6000,0)),"")</f>
        <v/>
      </c>
      <c r="R414" t="inlineStr">
        <is>
          <t>да</t>
        </is>
      </c>
      <c r="T414">
        <f>IF(AND($P414&gt;0,$R414="да"),MAX($T$1:$T413)+1,"")</f>
        <v/>
      </c>
    </row>
    <row r="415">
      <c r="A415">
        <f>IFERROR(INDEX(спр_Работы!$D$2:$D$6000,MATCH($C415,спр_Работы!$A$2:$A$6000,0)),"")</f>
        <v/>
      </c>
      <c r="B415">
        <f>IFERROR(INDEX(спр_Работы!$F$2:$F$6000,MATCH($C415,спр_Работы!$A$2:$A$6000,0)),"")</f>
        <v/>
      </c>
      <c r="C415">
        <f>IFERROR(INDEX(спр_Работы!$A$2:$A$6000,414),"")</f>
        <v/>
      </c>
      <c r="D415" s="8">
        <f>IFERROR(INDEX(спр_Работы!$B$2:$B$6000,MATCH($C415,спр_Работы!$A$2:$A$6000,0)),"")</f>
        <v/>
      </c>
      <c r="E415">
        <f>IFERROR(INDEX(спр_Работы!$C$2:$C$6000,MATCH($C415,спр_Работы!$A$2:$A$6000,0)),"")</f>
        <v/>
      </c>
      <c r="F415">
        <f>IFERROR(INDEX(спр_Работы!$G$2:$G$6000,MATCH($C415,спр_Работы!$A$2:$A$6000,0)),"")</f>
        <v/>
      </c>
      <c r="G415">
        <f>IFERROR(INDEX(спр_Работы!$K$2:$K$6000,MATCH($C415,спр_Работы!$A$2:$A$6000,0)),"")</f>
        <v/>
      </c>
      <c r="H415" s="9" t="n"/>
      <c r="I415" s="9" t="n"/>
      <c r="J415" s="8">
        <f>IFERROR(INDEX(спр_Материалы!$B$2:$B$9000,MATCH($I415,спр_Материалы!$A$2:$A$9000,0)),"")</f>
        <v/>
      </c>
      <c r="K415">
        <f>IF($I415="","",IF($F415=IFERROR(INDEX(спр_Материалы!$G$2:$G$9000,MATCH($I415,спр_Материалы!$A$2:$A$9000,0)),""),"OK","!! не та группа"))</f>
        <v/>
      </c>
      <c r="L415" s="10">
        <f>IFERROR(INDEX(спр_Работы!$H$2:$H$6000,MATCH($C415,спр_Работы!$A$2:$A$6000,0))*(1-ДисконтТендер),0)</f>
        <v/>
      </c>
      <c r="M415" s="10">
        <f>IF($I415="",0,IFERROR(INDEX(спр_Материалы!$I$2:$I$9000,MATCH($I415,спр_Материалы!$A$2:$A$9000,0))*IF(INDEX(спр_Материалы!$J$2:$J$9000,MATCH($I415,спр_Материалы!$A$2:$A$9000,0))="USD",КурсUSD,IF(INDEX(спр_Материалы!$J$2:$J$9000,MATCH($I415,спр_Материалы!$A$2:$A$9000,0))="EUR",КурсEUR,1))*INDEX(спр_Материалы!$K$2:$K$9000,MATCH($I415,спр_Материалы!$A$2:$A$9000,0))*(1+IFERROR(INDEX(спр_Работы!$I$2:$I$6000,MATCH($C415,спр_Работы!$A$2:$A$6000,0))/100,0))*(1-ДисконтТендер),0))</f>
        <v/>
      </c>
      <c r="N415" s="10">
        <f>IF(AND($R415="да",$H415&lt;&gt;""),ROUND($H415*$L415,2),0)</f>
        <v/>
      </c>
      <c r="O415" s="10">
        <f>IF(AND($R415="да",$H415&lt;&gt;""),ROUND($H415*$M415,2),0)</f>
        <v/>
      </c>
      <c r="P415" s="10">
        <f>$N415+$O415</f>
        <v/>
      </c>
      <c r="Q415">
        <f>IFERROR(INDEX(спр_Работы!$J$2:$J$6000,MATCH($C415,спр_Работы!$A$2:$A$6000,0)),"")</f>
        <v/>
      </c>
      <c r="R415" t="inlineStr">
        <is>
          <t>да</t>
        </is>
      </c>
      <c r="T415">
        <f>IF(AND($P415&gt;0,$R415="да"),MAX($T$1:$T414)+1,"")</f>
        <v/>
      </c>
    </row>
    <row r="416">
      <c r="A416">
        <f>IFERROR(INDEX(спр_Работы!$D$2:$D$6000,MATCH($C416,спр_Работы!$A$2:$A$6000,0)),"")</f>
        <v/>
      </c>
      <c r="B416">
        <f>IFERROR(INDEX(спр_Работы!$F$2:$F$6000,MATCH($C416,спр_Работы!$A$2:$A$6000,0)),"")</f>
        <v/>
      </c>
      <c r="C416">
        <f>IFERROR(INDEX(спр_Работы!$A$2:$A$6000,415),"")</f>
        <v/>
      </c>
      <c r="D416" s="8">
        <f>IFERROR(INDEX(спр_Работы!$B$2:$B$6000,MATCH($C416,спр_Работы!$A$2:$A$6000,0)),"")</f>
        <v/>
      </c>
      <c r="E416">
        <f>IFERROR(INDEX(спр_Работы!$C$2:$C$6000,MATCH($C416,спр_Работы!$A$2:$A$6000,0)),"")</f>
        <v/>
      </c>
      <c r="F416">
        <f>IFERROR(INDEX(спр_Работы!$G$2:$G$6000,MATCH($C416,спр_Работы!$A$2:$A$6000,0)),"")</f>
        <v/>
      </c>
      <c r="G416">
        <f>IFERROR(INDEX(спр_Работы!$K$2:$K$6000,MATCH($C416,спр_Работы!$A$2:$A$6000,0)),"")</f>
        <v/>
      </c>
      <c r="H416" s="9" t="n"/>
      <c r="I416" s="9" t="n"/>
      <c r="J416" s="8">
        <f>IFERROR(INDEX(спр_Материалы!$B$2:$B$9000,MATCH($I416,спр_Материалы!$A$2:$A$9000,0)),"")</f>
        <v/>
      </c>
      <c r="K416">
        <f>IF($I416="","",IF($F416=IFERROR(INDEX(спр_Материалы!$G$2:$G$9000,MATCH($I416,спр_Материалы!$A$2:$A$9000,0)),""),"OK","!! не та группа"))</f>
        <v/>
      </c>
      <c r="L416" s="10">
        <f>IFERROR(INDEX(спр_Работы!$H$2:$H$6000,MATCH($C416,спр_Работы!$A$2:$A$6000,0))*(1-ДисконтТендер),0)</f>
        <v/>
      </c>
      <c r="M416" s="10">
        <f>IF($I416="",0,IFERROR(INDEX(спр_Материалы!$I$2:$I$9000,MATCH($I416,спр_Материалы!$A$2:$A$9000,0))*IF(INDEX(спр_Материалы!$J$2:$J$9000,MATCH($I416,спр_Материалы!$A$2:$A$9000,0))="USD",КурсUSD,IF(INDEX(спр_Материалы!$J$2:$J$9000,MATCH($I416,спр_Материалы!$A$2:$A$9000,0))="EUR",КурсEUR,1))*INDEX(спр_Материалы!$K$2:$K$9000,MATCH($I416,спр_Материалы!$A$2:$A$9000,0))*(1+IFERROR(INDEX(спр_Работы!$I$2:$I$6000,MATCH($C416,спр_Работы!$A$2:$A$6000,0))/100,0))*(1-ДисконтТендер),0))</f>
        <v/>
      </c>
      <c r="N416" s="10">
        <f>IF(AND($R416="да",$H416&lt;&gt;""),ROUND($H416*$L416,2),0)</f>
        <v/>
      </c>
      <c r="O416" s="10">
        <f>IF(AND($R416="да",$H416&lt;&gt;""),ROUND($H416*$M416,2),0)</f>
        <v/>
      </c>
      <c r="P416" s="10">
        <f>$N416+$O416</f>
        <v/>
      </c>
      <c r="Q416">
        <f>IFERROR(INDEX(спр_Работы!$J$2:$J$6000,MATCH($C416,спр_Работы!$A$2:$A$6000,0)),"")</f>
        <v/>
      </c>
      <c r="R416" t="inlineStr">
        <is>
          <t>да</t>
        </is>
      </c>
      <c r="T416">
        <f>IF(AND($P416&gt;0,$R416="да"),MAX($T$1:$T415)+1,"")</f>
        <v/>
      </c>
    </row>
    <row r="417">
      <c r="A417">
        <f>IFERROR(INDEX(спр_Работы!$D$2:$D$6000,MATCH($C417,спр_Работы!$A$2:$A$6000,0)),"")</f>
        <v/>
      </c>
      <c r="B417">
        <f>IFERROR(INDEX(спр_Работы!$F$2:$F$6000,MATCH($C417,спр_Работы!$A$2:$A$6000,0)),"")</f>
        <v/>
      </c>
      <c r="C417">
        <f>IFERROR(INDEX(спр_Работы!$A$2:$A$6000,416),"")</f>
        <v/>
      </c>
      <c r="D417" s="8">
        <f>IFERROR(INDEX(спр_Работы!$B$2:$B$6000,MATCH($C417,спр_Работы!$A$2:$A$6000,0)),"")</f>
        <v/>
      </c>
      <c r="E417">
        <f>IFERROR(INDEX(спр_Работы!$C$2:$C$6000,MATCH($C417,спр_Работы!$A$2:$A$6000,0)),"")</f>
        <v/>
      </c>
      <c r="F417">
        <f>IFERROR(INDEX(спр_Работы!$G$2:$G$6000,MATCH($C417,спр_Работы!$A$2:$A$6000,0)),"")</f>
        <v/>
      </c>
      <c r="G417">
        <f>IFERROR(INDEX(спр_Работы!$K$2:$K$6000,MATCH($C417,спр_Работы!$A$2:$A$6000,0)),"")</f>
        <v/>
      </c>
      <c r="H417" s="9" t="n"/>
      <c r="I417" s="9" t="n"/>
      <c r="J417" s="8">
        <f>IFERROR(INDEX(спр_Материалы!$B$2:$B$9000,MATCH($I417,спр_Материалы!$A$2:$A$9000,0)),"")</f>
        <v/>
      </c>
      <c r="K417">
        <f>IF($I417="","",IF($F417=IFERROR(INDEX(спр_Материалы!$G$2:$G$9000,MATCH($I417,спр_Материалы!$A$2:$A$9000,0)),""),"OK","!! не та группа"))</f>
        <v/>
      </c>
      <c r="L417" s="10">
        <f>IFERROR(INDEX(спр_Работы!$H$2:$H$6000,MATCH($C417,спр_Работы!$A$2:$A$6000,0))*(1-ДисконтТендер),0)</f>
        <v/>
      </c>
      <c r="M417" s="10">
        <f>IF($I417="",0,IFERROR(INDEX(спр_Материалы!$I$2:$I$9000,MATCH($I417,спр_Материалы!$A$2:$A$9000,0))*IF(INDEX(спр_Материалы!$J$2:$J$9000,MATCH($I417,спр_Материалы!$A$2:$A$9000,0))="USD",КурсUSD,IF(INDEX(спр_Материалы!$J$2:$J$9000,MATCH($I417,спр_Материалы!$A$2:$A$9000,0))="EUR",КурсEUR,1))*INDEX(спр_Материалы!$K$2:$K$9000,MATCH($I417,спр_Материалы!$A$2:$A$9000,0))*(1+IFERROR(INDEX(спр_Работы!$I$2:$I$6000,MATCH($C417,спр_Работы!$A$2:$A$6000,0))/100,0))*(1-ДисконтТендер),0))</f>
        <v/>
      </c>
      <c r="N417" s="10">
        <f>IF(AND($R417="да",$H417&lt;&gt;""),ROUND($H417*$L417,2),0)</f>
        <v/>
      </c>
      <c r="O417" s="10">
        <f>IF(AND($R417="да",$H417&lt;&gt;""),ROUND($H417*$M417,2),0)</f>
        <v/>
      </c>
      <c r="P417" s="10">
        <f>$N417+$O417</f>
        <v/>
      </c>
      <c r="Q417">
        <f>IFERROR(INDEX(спр_Работы!$J$2:$J$6000,MATCH($C417,спр_Работы!$A$2:$A$6000,0)),"")</f>
        <v/>
      </c>
      <c r="R417" t="inlineStr">
        <is>
          <t>да</t>
        </is>
      </c>
      <c r="T417">
        <f>IF(AND($P417&gt;0,$R417="да"),MAX($T$1:$T416)+1,"")</f>
        <v/>
      </c>
    </row>
    <row r="418">
      <c r="A418">
        <f>IFERROR(INDEX(спр_Работы!$D$2:$D$6000,MATCH($C418,спр_Работы!$A$2:$A$6000,0)),"")</f>
        <v/>
      </c>
      <c r="B418">
        <f>IFERROR(INDEX(спр_Работы!$F$2:$F$6000,MATCH($C418,спр_Работы!$A$2:$A$6000,0)),"")</f>
        <v/>
      </c>
      <c r="C418">
        <f>IFERROR(INDEX(спр_Работы!$A$2:$A$6000,417),"")</f>
        <v/>
      </c>
      <c r="D418" s="8">
        <f>IFERROR(INDEX(спр_Работы!$B$2:$B$6000,MATCH($C418,спр_Работы!$A$2:$A$6000,0)),"")</f>
        <v/>
      </c>
      <c r="E418">
        <f>IFERROR(INDEX(спр_Работы!$C$2:$C$6000,MATCH($C418,спр_Работы!$A$2:$A$6000,0)),"")</f>
        <v/>
      </c>
      <c r="F418">
        <f>IFERROR(INDEX(спр_Работы!$G$2:$G$6000,MATCH($C418,спр_Работы!$A$2:$A$6000,0)),"")</f>
        <v/>
      </c>
      <c r="G418">
        <f>IFERROR(INDEX(спр_Работы!$K$2:$K$6000,MATCH($C418,спр_Работы!$A$2:$A$6000,0)),"")</f>
        <v/>
      </c>
      <c r="H418" s="9" t="n"/>
      <c r="I418" s="9" t="n"/>
      <c r="J418" s="8">
        <f>IFERROR(INDEX(спр_Материалы!$B$2:$B$9000,MATCH($I418,спр_Материалы!$A$2:$A$9000,0)),"")</f>
        <v/>
      </c>
      <c r="K418">
        <f>IF($I418="","",IF($F418=IFERROR(INDEX(спр_Материалы!$G$2:$G$9000,MATCH($I418,спр_Материалы!$A$2:$A$9000,0)),""),"OK","!! не та группа"))</f>
        <v/>
      </c>
      <c r="L418" s="10">
        <f>IFERROR(INDEX(спр_Работы!$H$2:$H$6000,MATCH($C418,спр_Работы!$A$2:$A$6000,0))*(1-ДисконтТендер),0)</f>
        <v/>
      </c>
      <c r="M418" s="10">
        <f>IF($I418="",0,IFERROR(INDEX(спр_Материалы!$I$2:$I$9000,MATCH($I418,спр_Материалы!$A$2:$A$9000,0))*IF(INDEX(спр_Материалы!$J$2:$J$9000,MATCH($I418,спр_Материалы!$A$2:$A$9000,0))="USD",КурсUSD,IF(INDEX(спр_Материалы!$J$2:$J$9000,MATCH($I418,спр_Материалы!$A$2:$A$9000,0))="EUR",КурсEUR,1))*INDEX(спр_Материалы!$K$2:$K$9000,MATCH($I418,спр_Материалы!$A$2:$A$9000,0))*(1+IFERROR(INDEX(спр_Работы!$I$2:$I$6000,MATCH($C418,спр_Работы!$A$2:$A$6000,0))/100,0))*(1-ДисконтТендер),0))</f>
        <v/>
      </c>
      <c r="N418" s="10">
        <f>IF(AND($R418="да",$H418&lt;&gt;""),ROUND($H418*$L418,2),0)</f>
        <v/>
      </c>
      <c r="O418" s="10">
        <f>IF(AND($R418="да",$H418&lt;&gt;""),ROUND($H418*$M418,2),0)</f>
        <v/>
      </c>
      <c r="P418" s="10">
        <f>$N418+$O418</f>
        <v/>
      </c>
      <c r="Q418">
        <f>IFERROR(INDEX(спр_Работы!$J$2:$J$6000,MATCH($C418,спр_Работы!$A$2:$A$6000,0)),"")</f>
        <v/>
      </c>
      <c r="R418" t="inlineStr">
        <is>
          <t>да</t>
        </is>
      </c>
      <c r="T418">
        <f>IF(AND($P418&gt;0,$R418="да"),MAX($T$1:$T417)+1,"")</f>
        <v/>
      </c>
    </row>
    <row r="419">
      <c r="A419">
        <f>IFERROR(INDEX(спр_Работы!$D$2:$D$6000,MATCH($C419,спр_Работы!$A$2:$A$6000,0)),"")</f>
        <v/>
      </c>
      <c r="B419">
        <f>IFERROR(INDEX(спр_Работы!$F$2:$F$6000,MATCH($C419,спр_Работы!$A$2:$A$6000,0)),"")</f>
        <v/>
      </c>
      <c r="C419">
        <f>IFERROR(INDEX(спр_Работы!$A$2:$A$6000,418),"")</f>
        <v/>
      </c>
      <c r="D419" s="8">
        <f>IFERROR(INDEX(спр_Работы!$B$2:$B$6000,MATCH($C419,спр_Работы!$A$2:$A$6000,0)),"")</f>
        <v/>
      </c>
      <c r="E419">
        <f>IFERROR(INDEX(спр_Работы!$C$2:$C$6000,MATCH($C419,спр_Работы!$A$2:$A$6000,0)),"")</f>
        <v/>
      </c>
      <c r="F419">
        <f>IFERROR(INDEX(спр_Работы!$G$2:$G$6000,MATCH($C419,спр_Работы!$A$2:$A$6000,0)),"")</f>
        <v/>
      </c>
      <c r="G419">
        <f>IFERROR(INDEX(спр_Работы!$K$2:$K$6000,MATCH($C419,спр_Работы!$A$2:$A$6000,0)),"")</f>
        <v/>
      </c>
      <c r="H419" s="9" t="n"/>
      <c r="I419" s="9" t="n"/>
      <c r="J419" s="8">
        <f>IFERROR(INDEX(спр_Материалы!$B$2:$B$9000,MATCH($I419,спр_Материалы!$A$2:$A$9000,0)),"")</f>
        <v/>
      </c>
      <c r="K419">
        <f>IF($I419="","",IF($F419=IFERROR(INDEX(спр_Материалы!$G$2:$G$9000,MATCH($I419,спр_Материалы!$A$2:$A$9000,0)),""),"OK","!! не та группа"))</f>
        <v/>
      </c>
      <c r="L419" s="10">
        <f>IFERROR(INDEX(спр_Работы!$H$2:$H$6000,MATCH($C419,спр_Работы!$A$2:$A$6000,0))*(1-ДисконтТендер),0)</f>
        <v/>
      </c>
      <c r="M419" s="10">
        <f>IF($I419="",0,IFERROR(INDEX(спр_Материалы!$I$2:$I$9000,MATCH($I419,спр_Материалы!$A$2:$A$9000,0))*IF(INDEX(спр_Материалы!$J$2:$J$9000,MATCH($I419,спр_Материалы!$A$2:$A$9000,0))="USD",КурсUSD,IF(INDEX(спр_Материалы!$J$2:$J$9000,MATCH($I419,спр_Материалы!$A$2:$A$9000,0))="EUR",КурсEUR,1))*INDEX(спр_Материалы!$K$2:$K$9000,MATCH($I419,спр_Материалы!$A$2:$A$9000,0))*(1+IFERROR(INDEX(спр_Работы!$I$2:$I$6000,MATCH($C419,спр_Работы!$A$2:$A$6000,0))/100,0))*(1-ДисконтТендер),0))</f>
        <v/>
      </c>
      <c r="N419" s="10">
        <f>IF(AND($R419="да",$H419&lt;&gt;""),ROUND($H419*$L419,2),0)</f>
        <v/>
      </c>
      <c r="O419" s="10">
        <f>IF(AND($R419="да",$H419&lt;&gt;""),ROUND($H419*$M419,2),0)</f>
        <v/>
      </c>
      <c r="P419" s="10">
        <f>$N419+$O419</f>
        <v/>
      </c>
      <c r="Q419">
        <f>IFERROR(INDEX(спр_Работы!$J$2:$J$6000,MATCH($C419,спр_Работы!$A$2:$A$6000,0)),"")</f>
        <v/>
      </c>
      <c r="R419" t="inlineStr">
        <is>
          <t>да</t>
        </is>
      </c>
      <c r="T419">
        <f>IF(AND($P419&gt;0,$R419="да"),MAX($T$1:$T418)+1,"")</f>
        <v/>
      </c>
    </row>
    <row r="420">
      <c r="A420">
        <f>IFERROR(INDEX(спр_Работы!$D$2:$D$6000,MATCH($C420,спр_Работы!$A$2:$A$6000,0)),"")</f>
        <v/>
      </c>
      <c r="B420">
        <f>IFERROR(INDEX(спр_Работы!$F$2:$F$6000,MATCH($C420,спр_Работы!$A$2:$A$6000,0)),"")</f>
        <v/>
      </c>
      <c r="C420">
        <f>IFERROR(INDEX(спр_Работы!$A$2:$A$6000,419),"")</f>
        <v/>
      </c>
      <c r="D420" s="8">
        <f>IFERROR(INDEX(спр_Работы!$B$2:$B$6000,MATCH($C420,спр_Работы!$A$2:$A$6000,0)),"")</f>
        <v/>
      </c>
      <c r="E420">
        <f>IFERROR(INDEX(спр_Работы!$C$2:$C$6000,MATCH($C420,спр_Работы!$A$2:$A$6000,0)),"")</f>
        <v/>
      </c>
      <c r="F420">
        <f>IFERROR(INDEX(спр_Работы!$G$2:$G$6000,MATCH($C420,спр_Работы!$A$2:$A$6000,0)),"")</f>
        <v/>
      </c>
      <c r="G420">
        <f>IFERROR(INDEX(спр_Работы!$K$2:$K$6000,MATCH($C420,спр_Работы!$A$2:$A$6000,0)),"")</f>
        <v/>
      </c>
      <c r="H420" s="9" t="n"/>
      <c r="I420" s="9" t="n"/>
      <c r="J420" s="8">
        <f>IFERROR(INDEX(спр_Материалы!$B$2:$B$9000,MATCH($I420,спр_Материалы!$A$2:$A$9000,0)),"")</f>
        <v/>
      </c>
      <c r="K420">
        <f>IF($I420="","",IF($F420=IFERROR(INDEX(спр_Материалы!$G$2:$G$9000,MATCH($I420,спр_Материалы!$A$2:$A$9000,0)),""),"OK","!! не та группа"))</f>
        <v/>
      </c>
      <c r="L420" s="10">
        <f>IFERROR(INDEX(спр_Работы!$H$2:$H$6000,MATCH($C420,спр_Работы!$A$2:$A$6000,0))*(1-ДисконтТендер),0)</f>
        <v/>
      </c>
      <c r="M420" s="10">
        <f>IF($I420="",0,IFERROR(INDEX(спр_Материалы!$I$2:$I$9000,MATCH($I420,спр_Материалы!$A$2:$A$9000,0))*IF(INDEX(спр_Материалы!$J$2:$J$9000,MATCH($I420,спр_Материалы!$A$2:$A$9000,0))="USD",КурсUSD,IF(INDEX(спр_Материалы!$J$2:$J$9000,MATCH($I420,спр_Материалы!$A$2:$A$9000,0))="EUR",КурсEUR,1))*INDEX(спр_Материалы!$K$2:$K$9000,MATCH($I420,спр_Материалы!$A$2:$A$9000,0))*(1+IFERROR(INDEX(спр_Работы!$I$2:$I$6000,MATCH($C420,спр_Работы!$A$2:$A$6000,0))/100,0))*(1-ДисконтТендер),0))</f>
        <v/>
      </c>
      <c r="N420" s="10">
        <f>IF(AND($R420="да",$H420&lt;&gt;""),ROUND($H420*$L420,2),0)</f>
        <v/>
      </c>
      <c r="O420" s="10">
        <f>IF(AND($R420="да",$H420&lt;&gt;""),ROUND($H420*$M420,2),0)</f>
        <v/>
      </c>
      <c r="P420" s="10">
        <f>$N420+$O420</f>
        <v/>
      </c>
      <c r="Q420">
        <f>IFERROR(INDEX(спр_Работы!$J$2:$J$6000,MATCH($C420,спр_Работы!$A$2:$A$6000,0)),"")</f>
        <v/>
      </c>
      <c r="R420" t="inlineStr">
        <is>
          <t>да</t>
        </is>
      </c>
      <c r="T420">
        <f>IF(AND($P420&gt;0,$R420="да"),MAX($T$1:$T419)+1,"")</f>
        <v/>
      </c>
    </row>
    <row r="421">
      <c r="A421">
        <f>IFERROR(INDEX(спр_Работы!$D$2:$D$6000,MATCH($C421,спр_Работы!$A$2:$A$6000,0)),"")</f>
        <v/>
      </c>
      <c r="B421">
        <f>IFERROR(INDEX(спр_Работы!$F$2:$F$6000,MATCH($C421,спр_Работы!$A$2:$A$6000,0)),"")</f>
        <v/>
      </c>
      <c r="C421">
        <f>IFERROR(INDEX(спр_Работы!$A$2:$A$6000,420),"")</f>
        <v/>
      </c>
      <c r="D421" s="8">
        <f>IFERROR(INDEX(спр_Работы!$B$2:$B$6000,MATCH($C421,спр_Работы!$A$2:$A$6000,0)),"")</f>
        <v/>
      </c>
      <c r="E421">
        <f>IFERROR(INDEX(спр_Работы!$C$2:$C$6000,MATCH($C421,спр_Работы!$A$2:$A$6000,0)),"")</f>
        <v/>
      </c>
      <c r="F421">
        <f>IFERROR(INDEX(спр_Работы!$G$2:$G$6000,MATCH($C421,спр_Работы!$A$2:$A$6000,0)),"")</f>
        <v/>
      </c>
      <c r="G421">
        <f>IFERROR(INDEX(спр_Работы!$K$2:$K$6000,MATCH($C421,спр_Работы!$A$2:$A$6000,0)),"")</f>
        <v/>
      </c>
      <c r="H421" s="9" t="n"/>
      <c r="I421" s="9" t="n"/>
      <c r="J421" s="8">
        <f>IFERROR(INDEX(спр_Материалы!$B$2:$B$9000,MATCH($I421,спр_Материалы!$A$2:$A$9000,0)),"")</f>
        <v/>
      </c>
      <c r="K421">
        <f>IF($I421="","",IF($F421=IFERROR(INDEX(спр_Материалы!$G$2:$G$9000,MATCH($I421,спр_Материалы!$A$2:$A$9000,0)),""),"OK","!! не та группа"))</f>
        <v/>
      </c>
      <c r="L421" s="10">
        <f>IFERROR(INDEX(спр_Работы!$H$2:$H$6000,MATCH($C421,спр_Работы!$A$2:$A$6000,0))*(1-ДисконтТендер),0)</f>
        <v/>
      </c>
      <c r="M421" s="10">
        <f>IF($I421="",0,IFERROR(INDEX(спр_Материалы!$I$2:$I$9000,MATCH($I421,спр_Материалы!$A$2:$A$9000,0))*IF(INDEX(спр_Материалы!$J$2:$J$9000,MATCH($I421,спр_Материалы!$A$2:$A$9000,0))="USD",КурсUSD,IF(INDEX(спр_Материалы!$J$2:$J$9000,MATCH($I421,спр_Материалы!$A$2:$A$9000,0))="EUR",КурсEUR,1))*INDEX(спр_Материалы!$K$2:$K$9000,MATCH($I421,спр_Материалы!$A$2:$A$9000,0))*(1+IFERROR(INDEX(спр_Работы!$I$2:$I$6000,MATCH($C421,спр_Работы!$A$2:$A$6000,0))/100,0))*(1-ДисконтТендер),0))</f>
        <v/>
      </c>
      <c r="N421" s="10">
        <f>IF(AND($R421="да",$H421&lt;&gt;""),ROUND($H421*$L421,2),0)</f>
        <v/>
      </c>
      <c r="O421" s="10">
        <f>IF(AND($R421="да",$H421&lt;&gt;""),ROUND($H421*$M421,2),0)</f>
        <v/>
      </c>
      <c r="P421" s="10">
        <f>$N421+$O421</f>
        <v/>
      </c>
      <c r="Q421">
        <f>IFERROR(INDEX(спр_Работы!$J$2:$J$6000,MATCH($C421,спр_Работы!$A$2:$A$6000,0)),"")</f>
        <v/>
      </c>
      <c r="R421" t="inlineStr">
        <is>
          <t>да</t>
        </is>
      </c>
      <c r="T421">
        <f>IF(AND($P421&gt;0,$R421="да"),MAX($T$1:$T420)+1,"")</f>
        <v/>
      </c>
    </row>
    <row r="422">
      <c r="A422">
        <f>IFERROR(INDEX(спр_Работы!$D$2:$D$6000,MATCH($C422,спр_Работы!$A$2:$A$6000,0)),"")</f>
        <v/>
      </c>
      <c r="B422">
        <f>IFERROR(INDEX(спр_Работы!$F$2:$F$6000,MATCH($C422,спр_Работы!$A$2:$A$6000,0)),"")</f>
        <v/>
      </c>
      <c r="C422">
        <f>IFERROR(INDEX(спр_Работы!$A$2:$A$6000,421),"")</f>
        <v/>
      </c>
      <c r="D422" s="8">
        <f>IFERROR(INDEX(спр_Работы!$B$2:$B$6000,MATCH($C422,спр_Работы!$A$2:$A$6000,0)),"")</f>
        <v/>
      </c>
      <c r="E422">
        <f>IFERROR(INDEX(спр_Работы!$C$2:$C$6000,MATCH($C422,спр_Работы!$A$2:$A$6000,0)),"")</f>
        <v/>
      </c>
      <c r="F422">
        <f>IFERROR(INDEX(спр_Работы!$G$2:$G$6000,MATCH($C422,спр_Работы!$A$2:$A$6000,0)),"")</f>
        <v/>
      </c>
      <c r="G422">
        <f>IFERROR(INDEX(спр_Работы!$K$2:$K$6000,MATCH($C422,спр_Работы!$A$2:$A$6000,0)),"")</f>
        <v/>
      </c>
      <c r="H422" s="9" t="n"/>
      <c r="I422" s="9" t="n"/>
      <c r="J422" s="8">
        <f>IFERROR(INDEX(спр_Материалы!$B$2:$B$9000,MATCH($I422,спр_Материалы!$A$2:$A$9000,0)),"")</f>
        <v/>
      </c>
      <c r="K422">
        <f>IF($I422="","",IF($F422=IFERROR(INDEX(спр_Материалы!$G$2:$G$9000,MATCH($I422,спр_Материалы!$A$2:$A$9000,0)),""),"OK","!! не та группа"))</f>
        <v/>
      </c>
      <c r="L422" s="10">
        <f>IFERROR(INDEX(спр_Работы!$H$2:$H$6000,MATCH($C422,спр_Работы!$A$2:$A$6000,0))*(1-ДисконтТендер),0)</f>
        <v/>
      </c>
      <c r="M422" s="10">
        <f>IF($I422="",0,IFERROR(INDEX(спр_Материалы!$I$2:$I$9000,MATCH($I422,спр_Материалы!$A$2:$A$9000,0))*IF(INDEX(спр_Материалы!$J$2:$J$9000,MATCH($I422,спр_Материалы!$A$2:$A$9000,0))="USD",КурсUSD,IF(INDEX(спр_Материалы!$J$2:$J$9000,MATCH($I422,спр_Материалы!$A$2:$A$9000,0))="EUR",КурсEUR,1))*INDEX(спр_Материалы!$K$2:$K$9000,MATCH($I422,спр_Материалы!$A$2:$A$9000,0))*(1+IFERROR(INDEX(спр_Работы!$I$2:$I$6000,MATCH($C422,спр_Работы!$A$2:$A$6000,0))/100,0))*(1-ДисконтТендер),0))</f>
        <v/>
      </c>
      <c r="N422" s="10">
        <f>IF(AND($R422="да",$H422&lt;&gt;""),ROUND($H422*$L422,2),0)</f>
        <v/>
      </c>
      <c r="O422" s="10">
        <f>IF(AND($R422="да",$H422&lt;&gt;""),ROUND($H422*$M422,2),0)</f>
        <v/>
      </c>
      <c r="P422" s="10">
        <f>$N422+$O422</f>
        <v/>
      </c>
      <c r="Q422">
        <f>IFERROR(INDEX(спр_Работы!$J$2:$J$6000,MATCH($C422,спр_Работы!$A$2:$A$6000,0)),"")</f>
        <v/>
      </c>
      <c r="R422" t="inlineStr">
        <is>
          <t>да</t>
        </is>
      </c>
      <c r="T422">
        <f>IF(AND($P422&gt;0,$R422="да"),MAX($T$1:$T421)+1,"")</f>
        <v/>
      </c>
    </row>
    <row r="423">
      <c r="A423">
        <f>IFERROR(INDEX(спр_Работы!$D$2:$D$6000,MATCH($C423,спр_Работы!$A$2:$A$6000,0)),"")</f>
        <v/>
      </c>
      <c r="B423">
        <f>IFERROR(INDEX(спр_Работы!$F$2:$F$6000,MATCH($C423,спр_Работы!$A$2:$A$6000,0)),"")</f>
        <v/>
      </c>
      <c r="C423">
        <f>IFERROR(INDEX(спр_Работы!$A$2:$A$6000,422),"")</f>
        <v/>
      </c>
      <c r="D423" s="8">
        <f>IFERROR(INDEX(спр_Работы!$B$2:$B$6000,MATCH($C423,спр_Работы!$A$2:$A$6000,0)),"")</f>
        <v/>
      </c>
      <c r="E423">
        <f>IFERROR(INDEX(спр_Работы!$C$2:$C$6000,MATCH($C423,спр_Работы!$A$2:$A$6000,0)),"")</f>
        <v/>
      </c>
      <c r="F423">
        <f>IFERROR(INDEX(спр_Работы!$G$2:$G$6000,MATCH($C423,спр_Работы!$A$2:$A$6000,0)),"")</f>
        <v/>
      </c>
      <c r="G423">
        <f>IFERROR(INDEX(спр_Работы!$K$2:$K$6000,MATCH($C423,спр_Работы!$A$2:$A$6000,0)),"")</f>
        <v/>
      </c>
      <c r="H423" s="9" t="n"/>
      <c r="I423" s="9" t="n"/>
      <c r="J423" s="8">
        <f>IFERROR(INDEX(спр_Материалы!$B$2:$B$9000,MATCH($I423,спр_Материалы!$A$2:$A$9000,0)),"")</f>
        <v/>
      </c>
      <c r="K423">
        <f>IF($I423="","",IF($F423=IFERROR(INDEX(спр_Материалы!$G$2:$G$9000,MATCH($I423,спр_Материалы!$A$2:$A$9000,0)),""),"OK","!! не та группа"))</f>
        <v/>
      </c>
      <c r="L423" s="10">
        <f>IFERROR(INDEX(спр_Работы!$H$2:$H$6000,MATCH($C423,спр_Работы!$A$2:$A$6000,0))*(1-ДисконтТендер),0)</f>
        <v/>
      </c>
      <c r="M423" s="10">
        <f>IF($I423="",0,IFERROR(INDEX(спр_Материалы!$I$2:$I$9000,MATCH($I423,спр_Материалы!$A$2:$A$9000,0))*IF(INDEX(спр_Материалы!$J$2:$J$9000,MATCH($I423,спр_Материалы!$A$2:$A$9000,0))="USD",КурсUSD,IF(INDEX(спр_Материалы!$J$2:$J$9000,MATCH($I423,спр_Материалы!$A$2:$A$9000,0))="EUR",КурсEUR,1))*INDEX(спр_Материалы!$K$2:$K$9000,MATCH($I423,спр_Материалы!$A$2:$A$9000,0))*(1+IFERROR(INDEX(спр_Работы!$I$2:$I$6000,MATCH($C423,спр_Работы!$A$2:$A$6000,0))/100,0))*(1-ДисконтТендер),0))</f>
        <v/>
      </c>
      <c r="N423" s="10">
        <f>IF(AND($R423="да",$H423&lt;&gt;""),ROUND($H423*$L423,2),0)</f>
        <v/>
      </c>
      <c r="O423" s="10">
        <f>IF(AND($R423="да",$H423&lt;&gt;""),ROUND($H423*$M423,2),0)</f>
        <v/>
      </c>
      <c r="P423" s="10">
        <f>$N423+$O423</f>
        <v/>
      </c>
      <c r="Q423">
        <f>IFERROR(INDEX(спр_Работы!$J$2:$J$6000,MATCH($C423,спр_Работы!$A$2:$A$6000,0)),"")</f>
        <v/>
      </c>
      <c r="R423" t="inlineStr">
        <is>
          <t>да</t>
        </is>
      </c>
      <c r="T423">
        <f>IF(AND($P423&gt;0,$R423="да"),MAX($T$1:$T422)+1,"")</f>
        <v/>
      </c>
    </row>
    <row r="424">
      <c r="A424">
        <f>IFERROR(INDEX(спр_Работы!$D$2:$D$6000,MATCH($C424,спр_Работы!$A$2:$A$6000,0)),"")</f>
        <v/>
      </c>
      <c r="B424">
        <f>IFERROR(INDEX(спр_Работы!$F$2:$F$6000,MATCH($C424,спр_Работы!$A$2:$A$6000,0)),"")</f>
        <v/>
      </c>
      <c r="C424">
        <f>IFERROR(INDEX(спр_Работы!$A$2:$A$6000,423),"")</f>
        <v/>
      </c>
      <c r="D424" s="8">
        <f>IFERROR(INDEX(спр_Работы!$B$2:$B$6000,MATCH($C424,спр_Работы!$A$2:$A$6000,0)),"")</f>
        <v/>
      </c>
      <c r="E424">
        <f>IFERROR(INDEX(спр_Работы!$C$2:$C$6000,MATCH($C424,спр_Работы!$A$2:$A$6000,0)),"")</f>
        <v/>
      </c>
      <c r="F424">
        <f>IFERROR(INDEX(спр_Работы!$G$2:$G$6000,MATCH($C424,спр_Работы!$A$2:$A$6000,0)),"")</f>
        <v/>
      </c>
      <c r="G424">
        <f>IFERROR(INDEX(спр_Работы!$K$2:$K$6000,MATCH($C424,спр_Работы!$A$2:$A$6000,0)),"")</f>
        <v/>
      </c>
      <c r="H424" s="9" t="n"/>
      <c r="I424" s="9" t="n"/>
      <c r="J424" s="8">
        <f>IFERROR(INDEX(спр_Материалы!$B$2:$B$9000,MATCH($I424,спр_Материалы!$A$2:$A$9000,0)),"")</f>
        <v/>
      </c>
      <c r="K424">
        <f>IF($I424="","",IF($F424=IFERROR(INDEX(спр_Материалы!$G$2:$G$9000,MATCH($I424,спр_Материалы!$A$2:$A$9000,0)),""),"OK","!! не та группа"))</f>
        <v/>
      </c>
      <c r="L424" s="10">
        <f>IFERROR(INDEX(спр_Работы!$H$2:$H$6000,MATCH($C424,спр_Работы!$A$2:$A$6000,0))*(1-ДисконтТендер),0)</f>
        <v/>
      </c>
      <c r="M424" s="10">
        <f>IF($I424="",0,IFERROR(INDEX(спр_Материалы!$I$2:$I$9000,MATCH($I424,спр_Материалы!$A$2:$A$9000,0))*IF(INDEX(спр_Материалы!$J$2:$J$9000,MATCH($I424,спр_Материалы!$A$2:$A$9000,0))="USD",КурсUSD,IF(INDEX(спр_Материалы!$J$2:$J$9000,MATCH($I424,спр_Материалы!$A$2:$A$9000,0))="EUR",КурсEUR,1))*INDEX(спр_Материалы!$K$2:$K$9000,MATCH($I424,спр_Материалы!$A$2:$A$9000,0))*(1+IFERROR(INDEX(спр_Работы!$I$2:$I$6000,MATCH($C424,спр_Работы!$A$2:$A$6000,0))/100,0))*(1-ДисконтТендер),0))</f>
        <v/>
      </c>
      <c r="N424" s="10">
        <f>IF(AND($R424="да",$H424&lt;&gt;""),ROUND($H424*$L424,2),0)</f>
        <v/>
      </c>
      <c r="O424" s="10">
        <f>IF(AND($R424="да",$H424&lt;&gt;""),ROUND($H424*$M424,2),0)</f>
        <v/>
      </c>
      <c r="P424" s="10">
        <f>$N424+$O424</f>
        <v/>
      </c>
      <c r="Q424">
        <f>IFERROR(INDEX(спр_Работы!$J$2:$J$6000,MATCH($C424,спр_Работы!$A$2:$A$6000,0)),"")</f>
        <v/>
      </c>
      <c r="R424" t="inlineStr">
        <is>
          <t>да</t>
        </is>
      </c>
      <c r="T424">
        <f>IF(AND($P424&gt;0,$R424="да"),MAX($T$1:$T423)+1,"")</f>
        <v/>
      </c>
    </row>
    <row r="425">
      <c r="A425">
        <f>IFERROR(INDEX(спр_Работы!$D$2:$D$6000,MATCH($C425,спр_Работы!$A$2:$A$6000,0)),"")</f>
        <v/>
      </c>
      <c r="B425">
        <f>IFERROR(INDEX(спр_Работы!$F$2:$F$6000,MATCH($C425,спр_Работы!$A$2:$A$6000,0)),"")</f>
        <v/>
      </c>
      <c r="C425">
        <f>IFERROR(INDEX(спр_Работы!$A$2:$A$6000,424),"")</f>
        <v/>
      </c>
      <c r="D425" s="8">
        <f>IFERROR(INDEX(спр_Работы!$B$2:$B$6000,MATCH($C425,спр_Работы!$A$2:$A$6000,0)),"")</f>
        <v/>
      </c>
      <c r="E425">
        <f>IFERROR(INDEX(спр_Работы!$C$2:$C$6000,MATCH($C425,спр_Работы!$A$2:$A$6000,0)),"")</f>
        <v/>
      </c>
      <c r="F425">
        <f>IFERROR(INDEX(спр_Работы!$G$2:$G$6000,MATCH($C425,спр_Работы!$A$2:$A$6000,0)),"")</f>
        <v/>
      </c>
      <c r="G425">
        <f>IFERROR(INDEX(спр_Работы!$K$2:$K$6000,MATCH($C425,спр_Работы!$A$2:$A$6000,0)),"")</f>
        <v/>
      </c>
      <c r="H425" s="9" t="n"/>
      <c r="I425" s="9" t="n"/>
      <c r="J425" s="8">
        <f>IFERROR(INDEX(спр_Материалы!$B$2:$B$9000,MATCH($I425,спр_Материалы!$A$2:$A$9000,0)),"")</f>
        <v/>
      </c>
      <c r="K425">
        <f>IF($I425="","",IF($F425=IFERROR(INDEX(спр_Материалы!$G$2:$G$9000,MATCH($I425,спр_Материалы!$A$2:$A$9000,0)),""),"OK","!! не та группа"))</f>
        <v/>
      </c>
      <c r="L425" s="10">
        <f>IFERROR(INDEX(спр_Работы!$H$2:$H$6000,MATCH($C425,спр_Работы!$A$2:$A$6000,0))*(1-ДисконтТендер),0)</f>
        <v/>
      </c>
      <c r="M425" s="10">
        <f>IF($I425="",0,IFERROR(INDEX(спр_Материалы!$I$2:$I$9000,MATCH($I425,спр_Материалы!$A$2:$A$9000,0))*IF(INDEX(спр_Материалы!$J$2:$J$9000,MATCH($I425,спр_Материалы!$A$2:$A$9000,0))="USD",КурсUSD,IF(INDEX(спр_Материалы!$J$2:$J$9000,MATCH($I425,спр_Материалы!$A$2:$A$9000,0))="EUR",КурсEUR,1))*INDEX(спр_Материалы!$K$2:$K$9000,MATCH($I425,спр_Материалы!$A$2:$A$9000,0))*(1+IFERROR(INDEX(спр_Работы!$I$2:$I$6000,MATCH($C425,спр_Работы!$A$2:$A$6000,0))/100,0))*(1-ДисконтТендер),0))</f>
        <v/>
      </c>
      <c r="N425" s="10">
        <f>IF(AND($R425="да",$H425&lt;&gt;""),ROUND($H425*$L425,2),0)</f>
        <v/>
      </c>
      <c r="O425" s="10">
        <f>IF(AND($R425="да",$H425&lt;&gt;""),ROUND($H425*$M425,2),0)</f>
        <v/>
      </c>
      <c r="P425" s="10">
        <f>$N425+$O425</f>
        <v/>
      </c>
      <c r="Q425">
        <f>IFERROR(INDEX(спр_Работы!$J$2:$J$6000,MATCH($C425,спр_Работы!$A$2:$A$6000,0)),"")</f>
        <v/>
      </c>
      <c r="R425" t="inlineStr">
        <is>
          <t>да</t>
        </is>
      </c>
      <c r="T425">
        <f>IF(AND($P425&gt;0,$R425="да"),MAX($T$1:$T424)+1,"")</f>
        <v/>
      </c>
    </row>
    <row r="426">
      <c r="A426">
        <f>IFERROR(INDEX(спр_Работы!$D$2:$D$6000,MATCH($C426,спр_Работы!$A$2:$A$6000,0)),"")</f>
        <v/>
      </c>
      <c r="B426">
        <f>IFERROR(INDEX(спр_Работы!$F$2:$F$6000,MATCH($C426,спр_Работы!$A$2:$A$6000,0)),"")</f>
        <v/>
      </c>
      <c r="C426">
        <f>IFERROR(INDEX(спр_Работы!$A$2:$A$6000,425),"")</f>
        <v/>
      </c>
      <c r="D426" s="8">
        <f>IFERROR(INDEX(спр_Работы!$B$2:$B$6000,MATCH($C426,спр_Работы!$A$2:$A$6000,0)),"")</f>
        <v/>
      </c>
      <c r="E426">
        <f>IFERROR(INDEX(спр_Работы!$C$2:$C$6000,MATCH($C426,спр_Работы!$A$2:$A$6000,0)),"")</f>
        <v/>
      </c>
      <c r="F426">
        <f>IFERROR(INDEX(спр_Работы!$G$2:$G$6000,MATCH($C426,спр_Работы!$A$2:$A$6000,0)),"")</f>
        <v/>
      </c>
      <c r="G426">
        <f>IFERROR(INDEX(спр_Работы!$K$2:$K$6000,MATCH($C426,спр_Работы!$A$2:$A$6000,0)),"")</f>
        <v/>
      </c>
      <c r="H426" s="9" t="n"/>
      <c r="I426" s="9" t="n"/>
      <c r="J426" s="8">
        <f>IFERROR(INDEX(спр_Материалы!$B$2:$B$9000,MATCH($I426,спр_Материалы!$A$2:$A$9000,0)),"")</f>
        <v/>
      </c>
      <c r="K426">
        <f>IF($I426="","",IF($F426=IFERROR(INDEX(спр_Материалы!$G$2:$G$9000,MATCH($I426,спр_Материалы!$A$2:$A$9000,0)),""),"OK","!! не та группа"))</f>
        <v/>
      </c>
      <c r="L426" s="10">
        <f>IFERROR(INDEX(спр_Работы!$H$2:$H$6000,MATCH($C426,спр_Работы!$A$2:$A$6000,0))*(1-ДисконтТендер),0)</f>
        <v/>
      </c>
      <c r="M426" s="10">
        <f>IF($I426="",0,IFERROR(INDEX(спр_Материалы!$I$2:$I$9000,MATCH($I426,спр_Материалы!$A$2:$A$9000,0))*IF(INDEX(спр_Материалы!$J$2:$J$9000,MATCH($I426,спр_Материалы!$A$2:$A$9000,0))="USD",КурсUSD,IF(INDEX(спр_Материалы!$J$2:$J$9000,MATCH($I426,спр_Материалы!$A$2:$A$9000,0))="EUR",КурсEUR,1))*INDEX(спр_Материалы!$K$2:$K$9000,MATCH($I426,спр_Материалы!$A$2:$A$9000,0))*(1+IFERROR(INDEX(спр_Работы!$I$2:$I$6000,MATCH($C426,спр_Работы!$A$2:$A$6000,0))/100,0))*(1-ДисконтТендер),0))</f>
        <v/>
      </c>
      <c r="N426" s="10">
        <f>IF(AND($R426="да",$H426&lt;&gt;""),ROUND($H426*$L426,2),0)</f>
        <v/>
      </c>
      <c r="O426" s="10">
        <f>IF(AND($R426="да",$H426&lt;&gt;""),ROUND($H426*$M426,2),0)</f>
        <v/>
      </c>
      <c r="P426" s="10">
        <f>$N426+$O426</f>
        <v/>
      </c>
      <c r="Q426">
        <f>IFERROR(INDEX(спр_Работы!$J$2:$J$6000,MATCH($C426,спр_Работы!$A$2:$A$6000,0)),"")</f>
        <v/>
      </c>
      <c r="R426" t="inlineStr">
        <is>
          <t>да</t>
        </is>
      </c>
      <c r="T426">
        <f>IF(AND($P426&gt;0,$R426="да"),MAX($T$1:$T425)+1,"")</f>
        <v/>
      </c>
    </row>
    <row r="427">
      <c r="A427">
        <f>IFERROR(INDEX(спр_Работы!$D$2:$D$6000,MATCH($C427,спр_Работы!$A$2:$A$6000,0)),"")</f>
        <v/>
      </c>
      <c r="B427">
        <f>IFERROR(INDEX(спр_Работы!$F$2:$F$6000,MATCH($C427,спр_Работы!$A$2:$A$6000,0)),"")</f>
        <v/>
      </c>
      <c r="C427">
        <f>IFERROR(INDEX(спр_Работы!$A$2:$A$6000,426),"")</f>
        <v/>
      </c>
      <c r="D427" s="8">
        <f>IFERROR(INDEX(спр_Работы!$B$2:$B$6000,MATCH($C427,спр_Работы!$A$2:$A$6000,0)),"")</f>
        <v/>
      </c>
      <c r="E427">
        <f>IFERROR(INDEX(спр_Работы!$C$2:$C$6000,MATCH($C427,спр_Работы!$A$2:$A$6000,0)),"")</f>
        <v/>
      </c>
      <c r="F427">
        <f>IFERROR(INDEX(спр_Работы!$G$2:$G$6000,MATCH($C427,спр_Работы!$A$2:$A$6000,0)),"")</f>
        <v/>
      </c>
      <c r="G427">
        <f>IFERROR(INDEX(спр_Работы!$K$2:$K$6000,MATCH($C427,спр_Работы!$A$2:$A$6000,0)),"")</f>
        <v/>
      </c>
      <c r="H427" s="9" t="n"/>
      <c r="I427" s="9" t="n"/>
      <c r="J427" s="8">
        <f>IFERROR(INDEX(спр_Материалы!$B$2:$B$9000,MATCH($I427,спр_Материалы!$A$2:$A$9000,0)),"")</f>
        <v/>
      </c>
      <c r="K427">
        <f>IF($I427="","",IF($F427=IFERROR(INDEX(спр_Материалы!$G$2:$G$9000,MATCH($I427,спр_Материалы!$A$2:$A$9000,0)),""),"OK","!! не та группа"))</f>
        <v/>
      </c>
      <c r="L427" s="10">
        <f>IFERROR(INDEX(спр_Работы!$H$2:$H$6000,MATCH($C427,спр_Работы!$A$2:$A$6000,0))*(1-ДисконтТендер),0)</f>
        <v/>
      </c>
      <c r="M427" s="10">
        <f>IF($I427="",0,IFERROR(INDEX(спр_Материалы!$I$2:$I$9000,MATCH($I427,спр_Материалы!$A$2:$A$9000,0))*IF(INDEX(спр_Материалы!$J$2:$J$9000,MATCH($I427,спр_Материалы!$A$2:$A$9000,0))="USD",КурсUSD,IF(INDEX(спр_Материалы!$J$2:$J$9000,MATCH($I427,спр_Материалы!$A$2:$A$9000,0))="EUR",КурсEUR,1))*INDEX(спр_Материалы!$K$2:$K$9000,MATCH($I427,спр_Материалы!$A$2:$A$9000,0))*(1+IFERROR(INDEX(спр_Работы!$I$2:$I$6000,MATCH($C427,спр_Работы!$A$2:$A$6000,0))/100,0))*(1-ДисконтТендер),0))</f>
        <v/>
      </c>
      <c r="N427" s="10">
        <f>IF(AND($R427="да",$H427&lt;&gt;""),ROUND($H427*$L427,2),0)</f>
        <v/>
      </c>
      <c r="O427" s="10">
        <f>IF(AND($R427="да",$H427&lt;&gt;""),ROUND($H427*$M427,2),0)</f>
        <v/>
      </c>
      <c r="P427" s="10">
        <f>$N427+$O427</f>
        <v/>
      </c>
      <c r="Q427">
        <f>IFERROR(INDEX(спр_Работы!$J$2:$J$6000,MATCH($C427,спр_Работы!$A$2:$A$6000,0)),"")</f>
        <v/>
      </c>
      <c r="R427" t="inlineStr">
        <is>
          <t>да</t>
        </is>
      </c>
      <c r="T427">
        <f>IF(AND($P427&gt;0,$R427="да"),MAX($T$1:$T426)+1,"")</f>
        <v/>
      </c>
    </row>
    <row r="428">
      <c r="A428">
        <f>IFERROR(INDEX(спр_Работы!$D$2:$D$6000,MATCH($C428,спр_Работы!$A$2:$A$6000,0)),"")</f>
        <v/>
      </c>
      <c r="B428">
        <f>IFERROR(INDEX(спр_Работы!$F$2:$F$6000,MATCH($C428,спр_Работы!$A$2:$A$6000,0)),"")</f>
        <v/>
      </c>
      <c r="C428">
        <f>IFERROR(INDEX(спр_Работы!$A$2:$A$6000,427),"")</f>
        <v/>
      </c>
      <c r="D428" s="8">
        <f>IFERROR(INDEX(спр_Работы!$B$2:$B$6000,MATCH($C428,спр_Работы!$A$2:$A$6000,0)),"")</f>
        <v/>
      </c>
      <c r="E428">
        <f>IFERROR(INDEX(спр_Работы!$C$2:$C$6000,MATCH($C428,спр_Работы!$A$2:$A$6000,0)),"")</f>
        <v/>
      </c>
      <c r="F428">
        <f>IFERROR(INDEX(спр_Работы!$G$2:$G$6000,MATCH($C428,спр_Работы!$A$2:$A$6000,0)),"")</f>
        <v/>
      </c>
      <c r="G428">
        <f>IFERROR(INDEX(спр_Работы!$K$2:$K$6000,MATCH($C428,спр_Работы!$A$2:$A$6000,0)),"")</f>
        <v/>
      </c>
      <c r="H428" s="9" t="n"/>
      <c r="I428" s="9" t="n"/>
      <c r="J428" s="8">
        <f>IFERROR(INDEX(спр_Материалы!$B$2:$B$9000,MATCH($I428,спр_Материалы!$A$2:$A$9000,0)),"")</f>
        <v/>
      </c>
      <c r="K428">
        <f>IF($I428="","",IF($F428=IFERROR(INDEX(спр_Материалы!$G$2:$G$9000,MATCH($I428,спр_Материалы!$A$2:$A$9000,0)),""),"OK","!! не та группа"))</f>
        <v/>
      </c>
      <c r="L428" s="10">
        <f>IFERROR(INDEX(спр_Работы!$H$2:$H$6000,MATCH($C428,спр_Работы!$A$2:$A$6000,0))*(1-ДисконтТендер),0)</f>
        <v/>
      </c>
      <c r="M428" s="10">
        <f>IF($I428="",0,IFERROR(INDEX(спр_Материалы!$I$2:$I$9000,MATCH($I428,спр_Материалы!$A$2:$A$9000,0))*IF(INDEX(спр_Материалы!$J$2:$J$9000,MATCH($I428,спр_Материалы!$A$2:$A$9000,0))="USD",КурсUSD,IF(INDEX(спр_Материалы!$J$2:$J$9000,MATCH($I428,спр_Материалы!$A$2:$A$9000,0))="EUR",КурсEUR,1))*INDEX(спр_Материалы!$K$2:$K$9000,MATCH($I428,спр_Материалы!$A$2:$A$9000,0))*(1+IFERROR(INDEX(спр_Работы!$I$2:$I$6000,MATCH($C428,спр_Работы!$A$2:$A$6000,0))/100,0))*(1-ДисконтТендер),0))</f>
        <v/>
      </c>
      <c r="N428" s="10">
        <f>IF(AND($R428="да",$H428&lt;&gt;""),ROUND($H428*$L428,2),0)</f>
        <v/>
      </c>
      <c r="O428" s="10">
        <f>IF(AND($R428="да",$H428&lt;&gt;""),ROUND($H428*$M428,2),0)</f>
        <v/>
      </c>
      <c r="P428" s="10">
        <f>$N428+$O428</f>
        <v/>
      </c>
      <c r="Q428">
        <f>IFERROR(INDEX(спр_Работы!$J$2:$J$6000,MATCH($C428,спр_Работы!$A$2:$A$6000,0)),"")</f>
        <v/>
      </c>
      <c r="R428" t="inlineStr">
        <is>
          <t>да</t>
        </is>
      </c>
      <c r="T428">
        <f>IF(AND($P428&gt;0,$R428="да"),MAX($T$1:$T427)+1,"")</f>
        <v/>
      </c>
    </row>
    <row r="429">
      <c r="A429">
        <f>IFERROR(INDEX(спр_Работы!$D$2:$D$6000,MATCH($C429,спр_Работы!$A$2:$A$6000,0)),"")</f>
        <v/>
      </c>
      <c r="B429">
        <f>IFERROR(INDEX(спр_Работы!$F$2:$F$6000,MATCH($C429,спр_Работы!$A$2:$A$6000,0)),"")</f>
        <v/>
      </c>
      <c r="C429">
        <f>IFERROR(INDEX(спр_Работы!$A$2:$A$6000,428),"")</f>
        <v/>
      </c>
      <c r="D429" s="8">
        <f>IFERROR(INDEX(спр_Работы!$B$2:$B$6000,MATCH($C429,спр_Работы!$A$2:$A$6000,0)),"")</f>
        <v/>
      </c>
      <c r="E429">
        <f>IFERROR(INDEX(спр_Работы!$C$2:$C$6000,MATCH($C429,спр_Работы!$A$2:$A$6000,0)),"")</f>
        <v/>
      </c>
      <c r="F429">
        <f>IFERROR(INDEX(спр_Работы!$G$2:$G$6000,MATCH($C429,спр_Работы!$A$2:$A$6000,0)),"")</f>
        <v/>
      </c>
      <c r="G429">
        <f>IFERROR(INDEX(спр_Работы!$K$2:$K$6000,MATCH($C429,спр_Работы!$A$2:$A$6000,0)),"")</f>
        <v/>
      </c>
      <c r="H429" s="9" t="n"/>
      <c r="I429" s="9" t="n"/>
      <c r="J429" s="8">
        <f>IFERROR(INDEX(спр_Материалы!$B$2:$B$9000,MATCH($I429,спр_Материалы!$A$2:$A$9000,0)),"")</f>
        <v/>
      </c>
      <c r="K429">
        <f>IF($I429="","",IF($F429=IFERROR(INDEX(спр_Материалы!$G$2:$G$9000,MATCH($I429,спр_Материалы!$A$2:$A$9000,0)),""),"OK","!! не та группа"))</f>
        <v/>
      </c>
      <c r="L429" s="10">
        <f>IFERROR(INDEX(спр_Работы!$H$2:$H$6000,MATCH($C429,спр_Работы!$A$2:$A$6000,0))*(1-ДисконтТендер),0)</f>
        <v/>
      </c>
      <c r="M429" s="10">
        <f>IF($I429="",0,IFERROR(INDEX(спр_Материалы!$I$2:$I$9000,MATCH($I429,спр_Материалы!$A$2:$A$9000,0))*IF(INDEX(спр_Материалы!$J$2:$J$9000,MATCH($I429,спр_Материалы!$A$2:$A$9000,0))="USD",КурсUSD,IF(INDEX(спр_Материалы!$J$2:$J$9000,MATCH($I429,спр_Материалы!$A$2:$A$9000,0))="EUR",КурсEUR,1))*INDEX(спр_Материалы!$K$2:$K$9000,MATCH($I429,спр_Материалы!$A$2:$A$9000,0))*(1+IFERROR(INDEX(спр_Работы!$I$2:$I$6000,MATCH($C429,спр_Работы!$A$2:$A$6000,0))/100,0))*(1-ДисконтТендер),0))</f>
        <v/>
      </c>
      <c r="N429" s="10">
        <f>IF(AND($R429="да",$H429&lt;&gt;""),ROUND($H429*$L429,2),0)</f>
        <v/>
      </c>
      <c r="O429" s="10">
        <f>IF(AND($R429="да",$H429&lt;&gt;""),ROUND($H429*$M429,2),0)</f>
        <v/>
      </c>
      <c r="P429" s="10">
        <f>$N429+$O429</f>
        <v/>
      </c>
      <c r="Q429">
        <f>IFERROR(INDEX(спр_Работы!$J$2:$J$6000,MATCH($C429,спр_Работы!$A$2:$A$6000,0)),"")</f>
        <v/>
      </c>
      <c r="R429" t="inlineStr">
        <is>
          <t>да</t>
        </is>
      </c>
      <c r="T429">
        <f>IF(AND($P429&gt;0,$R429="да"),MAX($T$1:$T428)+1,"")</f>
        <v/>
      </c>
    </row>
    <row r="430">
      <c r="A430">
        <f>IFERROR(INDEX(спр_Работы!$D$2:$D$6000,MATCH($C430,спр_Работы!$A$2:$A$6000,0)),"")</f>
        <v/>
      </c>
      <c r="B430">
        <f>IFERROR(INDEX(спр_Работы!$F$2:$F$6000,MATCH($C430,спр_Работы!$A$2:$A$6000,0)),"")</f>
        <v/>
      </c>
      <c r="C430">
        <f>IFERROR(INDEX(спр_Работы!$A$2:$A$6000,429),"")</f>
        <v/>
      </c>
      <c r="D430" s="8">
        <f>IFERROR(INDEX(спр_Работы!$B$2:$B$6000,MATCH($C430,спр_Работы!$A$2:$A$6000,0)),"")</f>
        <v/>
      </c>
      <c r="E430">
        <f>IFERROR(INDEX(спр_Работы!$C$2:$C$6000,MATCH($C430,спр_Работы!$A$2:$A$6000,0)),"")</f>
        <v/>
      </c>
      <c r="F430">
        <f>IFERROR(INDEX(спр_Работы!$G$2:$G$6000,MATCH($C430,спр_Работы!$A$2:$A$6000,0)),"")</f>
        <v/>
      </c>
      <c r="G430">
        <f>IFERROR(INDEX(спр_Работы!$K$2:$K$6000,MATCH($C430,спр_Работы!$A$2:$A$6000,0)),"")</f>
        <v/>
      </c>
      <c r="H430" s="9" t="n"/>
      <c r="I430" s="9" t="n"/>
      <c r="J430" s="8">
        <f>IFERROR(INDEX(спр_Материалы!$B$2:$B$9000,MATCH($I430,спр_Материалы!$A$2:$A$9000,0)),"")</f>
        <v/>
      </c>
      <c r="K430">
        <f>IF($I430="","",IF($F430=IFERROR(INDEX(спр_Материалы!$G$2:$G$9000,MATCH($I430,спр_Материалы!$A$2:$A$9000,0)),""),"OK","!! не та группа"))</f>
        <v/>
      </c>
      <c r="L430" s="10">
        <f>IFERROR(INDEX(спр_Работы!$H$2:$H$6000,MATCH($C430,спр_Работы!$A$2:$A$6000,0))*(1-ДисконтТендер),0)</f>
        <v/>
      </c>
      <c r="M430" s="10">
        <f>IF($I430="",0,IFERROR(INDEX(спр_Материалы!$I$2:$I$9000,MATCH($I430,спр_Материалы!$A$2:$A$9000,0))*IF(INDEX(спр_Материалы!$J$2:$J$9000,MATCH($I430,спр_Материалы!$A$2:$A$9000,0))="USD",КурсUSD,IF(INDEX(спр_Материалы!$J$2:$J$9000,MATCH($I430,спр_Материалы!$A$2:$A$9000,0))="EUR",КурсEUR,1))*INDEX(спр_Материалы!$K$2:$K$9000,MATCH($I430,спр_Материалы!$A$2:$A$9000,0))*(1+IFERROR(INDEX(спр_Работы!$I$2:$I$6000,MATCH($C430,спр_Работы!$A$2:$A$6000,0))/100,0))*(1-ДисконтТендер),0))</f>
        <v/>
      </c>
      <c r="N430" s="10">
        <f>IF(AND($R430="да",$H430&lt;&gt;""),ROUND($H430*$L430,2),0)</f>
        <v/>
      </c>
      <c r="O430" s="10">
        <f>IF(AND($R430="да",$H430&lt;&gt;""),ROUND($H430*$M430,2),0)</f>
        <v/>
      </c>
      <c r="P430" s="10">
        <f>$N430+$O430</f>
        <v/>
      </c>
      <c r="Q430">
        <f>IFERROR(INDEX(спр_Работы!$J$2:$J$6000,MATCH($C430,спр_Работы!$A$2:$A$6000,0)),"")</f>
        <v/>
      </c>
      <c r="R430" t="inlineStr">
        <is>
          <t>да</t>
        </is>
      </c>
      <c r="T430">
        <f>IF(AND($P430&gt;0,$R430="да"),MAX($T$1:$T429)+1,"")</f>
        <v/>
      </c>
    </row>
    <row r="431">
      <c r="A431">
        <f>IFERROR(INDEX(спр_Работы!$D$2:$D$6000,MATCH($C431,спр_Работы!$A$2:$A$6000,0)),"")</f>
        <v/>
      </c>
      <c r="B431">
        <f>IFERROR(INDEX(спр_Работы!$F$2:$F$6000,MATCH($C431,спр_Работы!$A$2:$A$6000,0)),"")</f>
        <v/>
      </c>
      <c r="C431">
        <f>IFERROR(INDEX(спр_Работы!$A$2:$A$6000,430),"")</f>
        <v/>
      </c>
      <c r="D431" s="8">
        <f>IFERROR(INDEX(спр_Работы!$B$2:$B$6000,MATCH($C431,спр_Работы!$A$2:$A$6000,0)),"")</f>
        <v/>
      </c>
      <c r="E431">
        <f>IFERROR(INDEX(спр_Работы!$C$2:$C$6000,MATCH($C431,спр_Работы!$A$2:$A$6000,0)),"")</f>
        <v/>
      </c>
      <c r="F431">
        <f>IFERROR(INDEX(спр_Работы!$G$2:$G$6000,MATCH($C431,спр_Работы!$A$2:$A$6000,0)),"")</f>
        <v/>
      </c>
      <c r="G431">
        <f>IFERROR(INDEX(спр_Работы!$K$2:$K$6000,MATCH($C431,спр_Работы!$A$2:$A$6000,0)),"")</f>
        <v/>
      </c>
      <c r="H431" s="9" t="n"/>
      <c r="I431" s="9" t="n"/>
      <c r="J431" s="8">
        <f>IFERROR(INDEX(спр_Материалы!$B$2:$B$9000,MATCH($I431,спр_Материалы!$A$2:$A$9000,0)),"")</f>
        <v/>
      </c>
      <c r="K431">
        <f>IF($I431="","",IF($F431=IFERROR(INDEX(спр_Материалы!$G$2:$G$9000,MATCH($I431,спр_Материалы!$A$2:$A$9000,0)),""),"OK","!! не та группа"))</f>
        <v/>
      </c>
      <c r="L431" s="10">
        <f>IFERROR(INDEX(спр_Работы!$H$2:$H$6000,MATCH($C431,спр_Работы!$A$2:$A$6000,0))*(1-ДисконтТендер),0)</f>
        <v/>
      </c>
      <c r="M431" s="10">
        <f>IF($I431="",0,IFERROR(INDEX(спр_Материалы!$I$2:$I$9000,MATCH($I431,спр_Материалы!$A$2:$A$9000,0))*IF(INDEX(спр_Материалы!$J$2:$J$9000,MATCH($I431,спр_Материалы!$A$2:$A$9000,0))="USD",КурсUSD,IF(INDEX(спр_Материалы!$J$2:$J$9000,MATCH($I431,спр_Материалы!$A$2:$A$9000,0))="EUR",КурсEUR,1))*INDEX(спр_Материалы!$K$2:$K$9000,MATCH($I431,спр_Материалы!$A$2:$A$9000,0))*(1+IFERROR(INDEX(спр_Работы!$I$2:$I$6000,MATCH($C431,спр_Работы!$A$2:$A$6000,0))/100,0))*(1-ДисконтТендер),0))</f>
        <v/>
      </c>
      <c r="N431" s="10">
        <f>IF(AND($R431="да",$H431&lt;&gt;""),ROUND($H431*$L431,2),0)</f>
        <v/>
      </c>
      <c r="O431" s="10">
        <f>IF(AND($R431="да",$H431&lt;&gt;""),ROUND($H431*$M431,2),0)</f>
        <v/>
      </c>
      <c r="P431" s="10">
        <f>$N431+$O431</f>
        <v/>
      </c>
      <c r="Q431">
        <f>IFERROR(INDEX(спр_Работы!$J$2:$J$6000,MATCH($C431,спр_Работы!$A$2:$A$6000,0)),"")</f>
        <v/>
      </c>
      <c r="R431" t="inlineStr">
        <is>
          <t>да</t>
        </is>
      </c>
      <c r="T431">
        <f>IF(AND($P431&gt;0,$R431="да"),MAX($T$1:$T430)+1,"")</f>
        <v/>
      </c>
    </row>
    <row r="432">
      <c r="A432">
        <f>IFERROR(INDEX(спр_Работы!$D$2:$D$6000,MATCH($C432,спр_Работы!$A$2:$A$6000,0)),"")</f>
        <v/>
      </c>
      <c r="B432">
        <f>IFERROR(INDEX(спр_Работы!$F$2:$F$6000,MATCH($C432,спр_Работы!$A$2:$A$6000,0)),"")</f>
        <v/>
      </c>
      <c r="C432">
        <f>IFERROR(INDEX(спр_Работы!$A$2:$A$6000,431),"")</f>
        <v/>
      </c>
      <c r="D432" s="8">
        <f>IFERROR(INDEX(спр_Работы!$B$2:$B$6000,MATCH($C432,спр_Работы!$A$2:$A$6000,0)),"")</f>
        <v/>
      </c>
      <c r="E432">
        <f>IFERROR(INDEX(спр_Работы!$C$2:$C$6000,MATCH($C432,спр_Работы!$A$2:$A$6000,0)),"")</f>
        <v/>
      </c>
      <c r="F432">
        <f>IFERROR(INDEX(спр_Работы!$G$2:$G$6000,MATCH($C432,спр_Работы!$A$2:$A$6000,0)),"")</f>
        <v/>
      </c>
      <c r="G432">
        <f>IFERROR(INDEX(спр_Работы!$K$2:$K$6000,MATCH($C432,спр_Работы!$A$2:$A$6000,0)),"")</f>
        <v/>
      </c>
      <c r="H432" s="9" t="n"/>
      <c r="I432" s="9" t="n"/>
      <c r="J432" s="8">
        <f>IFERROR(INDEX(спр_Материалы!$B$2:$B$9000,MATCH($I432,спр_Материалы!$A$2:$A$9000,0)),"")</f>
        <v/>
      </c>
      <c r="K432">
        <f>IF($I432="","",IF($F432=IFERROR(INDEX(спр_Материалы!$G$2:$G$9000,MATCH($I432,спр_Материалы!$A$2:$A$9000,0)),""),"OK","!! не та группа"))</f>
        <v/>
      </c>
      <c r="L432" s="10">
        <f>IFERROR(INDEX(спр_Работы!$H$2:$H$6000,MATCH($C432,спр_Работы!$A$2:$A$6000,0))*(1-ДисконтТендер),0)</f>
        <v/>
      </c>
      <c r="M432" s="10">
        <f>IF($I432="",0,IFERROR(INDEX(спр_Материалы!$I$2:$I$9000,MATCH($I432,спр_Материалы!$A$2:$A$9000,0))*IF(INDEX(спр_Материалы!$J$2:$J$9000,MATCH($I432,спр_Материалы!$A$2:$A$9000,0))="USD",КурсUSD,IF(INDEX(спр_Материалы!$J$2:$J$9000,MATCH($I432,спр_Материалы!$A$2:$A$9000,0))="EUR",КурсEUR,1))*INDEX(спр_Материалы!$K$2:$K$9000,MATCH($I432,спр_Материалы!$A$2:$A$9000,0))*(1+IFERROR(INDEX(спр_Работы!$I$2:$I$6000,MATCH($C432,спр_Работы!$A$2:$A$6000,0))/100,0))*(1-ДисконтТендер),0))</f>
        <v/>
      </c>
      <c r="N432" s="10">
        <f>IF(AND($R432="да",$H432&lt;&gt;""),ROUND($H432*$L432,2),0)</f>
        <v/>
      </c>
      <c r="O432" s="10">
        <f>IF(AND($R432="да",$H432&lt;&gt;""),ROUND($H432*$M432,2),0)</f>
        <v/>
      </c>
      <c r="P432" s="10">
        <f>$N432+$O432</f>
        <v/>
      </c>
      <c r="Q432">
        <f>IFERROR(INDEX(спр_Работы!$J$2:$J$6000,MATCH($C432,спр_Работы!$A$2:$A$6000,0)),"")</f>
        <v/>
      </c>
      <c r="R432" t="inlineStr">
        <is>
          <t>да</t>
        </is>
      </c>
      <c r="T432">
        <f>IF(AND($P432&gt;0,$R432="да"),MAX($T$1:$T431)+1,"")</f>
        <v/>
      </c>
    </row>
    <row r="433">
      <c r="A433">
        <f>IFERROR(INDEX(спр_Работы!$D$2:$D$6000,MATCH($C433,спр_Работы!$A$2:$A$6000,0)),"")</f>
        <v/>
      </c>
      <c r="B433">
        <f>IFERROR(INDEX(спр_Работы!$F$2:$F$6000,MATCH($C433,спр_Работы!$A$2:$A$6000,0)),"")</f>
        <v/>
      </c>
      <c r="C433">
        <f>IFERROR(INDEX(спр_Работы!$A$2:$A$6000,432),"")</f>
        <v/>
      </c>
      <c r="D433" s="8">
        <f>IFERROR(INDEX(спр_Работы!$B$2:$B$6000,MATCH($C433,спр_Работы!$A$2:$A$6000,0)),"")</f>
        <v/>
      </c>
      <c r="E433">
        <f>IFERROR(INDEX(спр_Работы!$C$2:$C$6000,MATCH($C433,спр_Работы!$A$2:$A$6000,0)),"")</f>
        <v/>
      </c>
      <c r="F433">
        <f>IFERROR(INDEX(спр_Работы!$G$2:$G$6000,MATCH($C433,спр_Работы!$A$2:$A$6000,0)),"")</f>
        <v/>
      </c>
      <c r="G433">
        <f>IFERROR(INDEX(спр_Работы!$K$2:$K$6000,MATCH($C433,спр_Работы!$A$2:$A$6000,0)),"")</f>
        <v/>
      </c>
      <c r="H433" s="9" t="n"/>
      <c r="I433" s="9" t="n"/>
      <c r="J433" s="8">
        <f>IFERROR(INDEX(спр_Материалы!$B$2:$B$9000,MATCH($I433,спр_Материалы!$A$2:$A$9000,0)),"")</f>
        <v/>
      </c>
      <c r="K433">
        <f>IF($I433="","",IF($F433=IFERROR(INDEX(спр_Материалы!$G$2:$G$9000,MATCH($I433,спр_Материалы!$A$2:$A$9000,0)),""),"OK","!! не та группа"))</f>
        <v/>
      </c>
      <c r="L433" s="10">
        <f>IFERROR(INDEX(спр_Работы!$H$2:$H$6000,MATCH($C433,спр_Работы!$A$2:$A$6000,0))*(1-ДисконтТендер),0)</f>
        <v/>
      </c>
      <c r="M433" s="10">
        <f>IF($I433="",0,IFERROR(INDEX(спр_Материалы!$I$2:$I$9000,MATCH($I433,спр_Материалы!$A$2:$A$9000,0))*IF(INDEX(спр_Материалы!$J$2:$J$9000,MATCH($I433,спр_Материалы!$A$2:$A$9000,0))="USD",КурсUSD,IF(INDEX(спр_Материалы!$J$2:$J$9000,MATCH($I433,спр_Материалы!$A$2:$A$9000,0))="EUR",КурсEUR,1))*INDEX(спр_Материалы!$K$2:$K$9000,MATCH($I433,спр_Материалы!$A$2:$A$9000,0))*(1+IFERROR(INDEX(спр_Работы!$I$2:$I$6000,MATCH($C433,спр_Работы!$A$2:$A$6000,0))/100,0))*(1-ДисконтТендер),0))</f>
        <v/>
      </c>
      <c r="N433" s="10">
        <f>IF(AND($R433="да",$H433&lt;&gt;""),ROUND($H433*$L433,2),0)</f>
        <v/>
      </c>
      <c r="O433" s="10">
        <f>IF(AND($R433="да",$H433&lt;&gt;""),ROUND($H433*$M433,2),0)</f>
        <v/>
      </c>
      <c r="P433" s="10">
        <f>$N433+$O433</f>
        <v/>
      </c>
      <c r="Q433">
        <f>IFERROR(INDEX(спр_Работы!$J$2:$J$6000,MATCH($C433,спр_Работы!$A$2:$A$6000,0)),"")</f>
        <v/>
      </c>
      <c r="R433" t="inlineStr">
        <is>
          <t>да</t>
        </is>
      </c>
      <c r="T433">
        <f>IF(AND($P433&gt;0,$R433="да"),MAX($T$1:$T432)+1,"")</f>
        <v/>
      </c>
    </row>
    <row r="434">
      <c r="A434">
        <f>IFERROR(INDEX(спр_Работы!$D$2:$D$6000,MATCH($C434,спр_Работы!$A$2:$A$6000,0)),"")</f>
        <v/>
      </c>
      <c r="B434">
        <f>IFERROR(INDEX(спр_Работы!$F$2:$F$6000,MATCH($C434,спр_Работы!$A$2:$A$6000,0)),"")</f>
        <v/>
      </c>
      <c r="C434">
        <f>IFERROR(INDEX(спр_Работы!$A$2:$A$6000,433),"")</f>
        <v/>
      </c>
      <c r="D434" s="8">
        <f>IFERROR(INDEX(спр_Работы!$B$2:$B$6000,MATCH($C434,спр_Работы!$A$2:$A$6000,0)),"")</f>
        <v/>
      </c>
      <c r="E434">
        <f>IFERROR(INDEX(спр_Работы!$C$2:$C$6000,MATCH($C434,спр_Работы!$A$2:$A$6000,0)),"")</f>
        <v/>
      </c>
      <c r="F434">
        <f>IFERROR(INDEX(спр_Работы!$G$2:$G$6000,MATCH($C434,спр_Работы!$A$2:$A$6000,0)),"")</f>
        <v/>
      </c>
      <c r="G434">
        <f>IFERROR(INDEX(спр_Работы!$K$2:$K$6000,MATCH($C434,спр_Работы!$A$2:$A$6000,0)),"")</f>
        <v/>
      </c>
      <c r="H434" s="9" t="n"/>
      <c r="I434" s="9" t="n"/>
      <c r="J434" s="8">
        <f>IFERROR(INDEX(спр_Материалы!$B$2:$B$9000,MATCH($I434,спр_Материалы!$A$2:$A$9000,0)),"")</f>
        <v/>
      </c>
      <c r="K434">
        <f>IF($I434="","",IF($F434=IFERROR(INDEX(спр_Материалы!$G$2:$G$9000,MATCH($I434,спр_Материалы!$A$2:$A$9000,0)),""),"OK","!! не та группа"))</f>
        <v/>
      </c>
      <c r="L434" s="10">
        <f>IFERROR(INDEX(спр_Работы!$H$2:$H$6000,MATCH($C434,спр_Работы!$A$2:$A$6000,0))*(1-ДисконтТендер),0)</f>
        <v/>
      </c>
      <c r="M434" s="10">
        <f>IF($I434="",0,IFERROR(INDEX(спр_Материалы!$I$2:$I$9000,MATCH($I434,спр_Материалы!$A$2:$A$9000,0))*IF(INDEX(спр_Материалы!$J$2:$J$9000,MATCH($I434,спр_Материалы!$A$2:$A$9000,0))="USD",КурсUSD,IF(INDEX(спр_Материалы!$J$2:$J$9000,MATCH($I434,спр_Материалы!$A$2:$A$9000,0))="EUR",КурсEUR,1))*INDEX(спр_Материалы!$K$2:$K$9000,MATCH($I434,спр_Материалы!$A$2:$A$9000,0))*(1+IFERROR(INDEX(спр_Работы!$I$2:$I$6000,MATCH($C434,спр_Работы!$A$2:$A$6000,0))/100,0))*(1-ДисконтТендер),0))</f>
        <v/>
      </c>
      <c r="N434" s="10">
        <f>IF(AND($R434="да",$H434&lt;&gt;""),ROUND($H434*$L434,2),0)</f>
        <v/>
      </c>
      <c r="O434" s="10">
        <f>IF(AND($R434="да",$H434&lt;&gt;""),ROUND($H434*$M434,2),0)</f>
        <v/>
      </c>
      <c r="P434" s="10">
        <f>$N434+$O434</f>
        <v/>
      </c>
      <c r="Q434">
        <f>IFERROR(INDEX(спр_Работы!$J$2:$J$6000,MATCH($C434,спр_Работы!$A$2:$A$6000,0)),"")</f>
        <v/>
      </c>
      <c r="R434" t="inlineStr">
        <is>
          <t>да</t>
        </is>
      </c>
      <c r="T434">
        <f>IF(AND($P434&gt;0,$R434="да"),MAX($T$1:$T433)+1,"")</f>
        <v/>
      </c>
    </row>
    <row r="435">
      <c r="A435">
        <f>IFERROR(INDEX(спр_Работы!$D$2:$D$6000,MATCH($C435,спр_Работы!$A$2:$A$6000,0)),"")</f>
        <v/>
      </c>
      <c r="B435">
        <f>IFERROR(INDEX(спр_Работы!$F$2:$F$6000,MATCH($C435,спр_Работы!$A$2:$A$6000,0)),"")</f>
        <v/>
      </c>
      <c r="C435">
        <f>IFERROR(INDEX(спр_Работы!$A$2:$A$6000,434),"")</f>
        <v/>
      </c>
      <c r="D435" s="8">
        <f>IFERROR(INDEX(спр_Работы!$B$2:$B$6000,MATCH($C435,спр_Работы!$A$2:$A$6000,0)),"")</f>
        <v/>
      </c>
      <c r="E435">
        <f>IFERROR(INDEX(спр_Работы!$C$2:$C$6000,MATCH($C435,спр_Работы!$A$2:$A$6000,0)),"")</f>
        <v/>
      </c>
      <c r="F435">
        <f>IFERROR(INDEX(спр_Работы!$G$2:$G$6000,MATCH($C435,спр_Работы!$A$2:$A$6000,0)),"")</f>
        <v/>
      </c>
      <c r="G435">
        <f>IFERROR(INDEX(спр_Работы!$K$2:$K$6000,MATCH($C435,спр_Работы!$A$2:$A$6000,0)),"")</f>
        <v/>
      </c>
      <c r="H435" s="9" t="n"/>
      <c r="I435" s="9" t="n"/>
      <c r="J435" s="8">
        <f>IFERROR(INDEX(спр_Материалы!$B$2:$B$9000,MATCH($I435,спр_Материалы!$A$2:$A$9000,0)),"")</f>
        <v/>
      </c>
      <c r="K435">
        <f>IF($I435="","",IF($F435=IFERROR(INDEX(спр_Материалы!$G$2:$G$9000,MATCH($I435,спр_Материалы!$A$2:$A$9000,0)),""),"OK","!! не та группа"))</f>
        <v/>
      </c>
      <c r="L435" s="10">
        <f>IFERROR(INDEX(спр_Работы!$H$2:$H$6000,MATCH($C435,спр_Работы!$A$2:$A$6000,0))*(1-ДисконтТендер),0)</f>
        <v/>
      </c>
      <c r="M435" s="10">
        <f>IF($I435="",0,IFERROR(INDEX(спр_Материалы!$I$2:$I$9000,MATCH($I435,спр_Материалы!$A$2:$A$9000,0))*IF(INDEX(спр_Материалы!$J$2:$J$9000,MATCH($I435,спр_Материалы!$A$2:$A$9000,0))="USD",КурсUSD,IF(INDEX(спр_Материалы!$J$2:$J$9000,MATCH($I435,спр_Материалы!$A$2:$A$9000,0))="EUR",КурсEUR,1))*INDEX(спр_Материалы!$K$2:$K$9000,MATCH($I435,спр_Материалы!$A$2:$A$9000,0))*(1+IFERROR(INDEX(спр_Работы!$I$2:$I$6000,MATCH($C435,спр_Работы!$A$2:$A$6000,0))/100,0))*(1-ДисконтТендер),0))</f>
        <v/>
      </c>
      <c r="N435" s="10">
        <f>IF(AND($R435="да",$H435&lt;&gt;""),ROUND($H435*$L435,2),0)</f>
        <v/>
      </c>
      <c r="O435" s="10">
        <f>IF(AND($R435="да",$H435&lt;&gt;""),ROUND($H435*$M435,2),0)</f>
        <v/>
      </c>
      <c r="P435" s="10">
        <f>$N435+$O435</f>
        <v/>
      </c>
      <c r="Q435">
        <f>IFERROR(INDEX(спр_Работы!$J$2:$J$6000,MATCH($C435,спр_Работы!$A$2:$A$6000,0)),"")</f>
        <v/>
      </c>
      <c r="R435" t="inlineStr">
        <is>
          <t>да</t>
        </is>
      </c>
      <c r="T435">
        <f>IF(AND($P435&gt;0,$R435="да"),MAX($T$1:$T434)+1,"")</f>
        <v/>
      </c>
    </row>
    <row r="436">
      <c r="A436">
        <f>IFERROR(INDEX(спр_Работы!$D$2:$D$6000,MATCH($C436,спр_Работы!$A$2:$A$6000,0)),"")</f>
        <v/>
      </c>
      <c r="B436">
        <f>IFERROR(INDEX(спр_Работы!$F$2:$F$6000,MATCH($C436,спр_Работы!$A$2:$A$6000,0)),"")</f>
        <v/>
      </c>
      <c r="C436">
        <f>IFERROR(INDEX(спр_Работы!$A$2:$A$6000,435),"")</f>
        <v/>
      </c>
      <c r="D436" s="8">
        <f>IFERROR(INDEX(спр_Работы!$B$2:$B$6000,MATCH($C436,спр_Работы!$A$2:$A$6000,0)),"")</f>
        <v/>
      </c>
      <c r="E436">
        <f>IFERROR(INDEX(спр_Работы!$C$2:$C$6000,MATCH($C436,спр_Работы!$A$2:$A$6000,0)),"")</f>
        <v/>
      </c>
      <c r="F436">
        <f>IFERROR(INDEX(спр_Работы!$G$2:$G$6000,MATCH($C436,спр_Работы!$A$2:$A$6000,0)),"")</f>
        <v/>
      </c>
      <c r="G436">
        <f>IFERROR(INDEX(спр_Работы!$K$2:$K$6000,MATCH($C436,спр_Работы!$A$2:$A$6000,0)),"")</f>
        <v/>
      </c>
      <c r="H436" s="9" t="n"/>
      <c r="I436" s="9" t="n"/>
      <c r="J436" s="8">
        <f>IFERROR(INDEX(спр_Материалы!$B$2:$B$9000,MATCH($I436,спр_Материалы!$A$2:$A$9000,0)),"")</f>
        <v/>
      </c>
      <c r="K436">
        <f>IF($I436="","",IF($F436=IFERROR(INDEX(спр_Материалы!$G$2:$G$9000,MATCH($I436,спр_Материалы!$A$2:$A$9000,0)),""),"OK","!! не та группа"))</f>
        <v/>
      </c>
      <c r="L436" s="10">
        <f>IFERROR(INDEX(спр_Работы!$H$2:$H$6000,MATCH($C436,спр_Работы!$A$2:$A$6000,0))*(1-ДисконтТендер),0)</f>
        <v/>
      </c>
      <c r="M436" s="10">
        <f>IF($I436="",0,IFERROR(INDEX(спр_Материалы!$I$2:$I$9000,MATCH($I436,спр_Материалы!$A$2:$A$9000,0))*IF(INDEX(спр_Материалы!$J$2:$J$9000,MATCH($I436,спр_Материалы!$A$2:$A$9000,0))="USD",КурсUSD,IF(INDEX(спр_Материалы!$J$2:$J$9000,MATCH($I436,спр_Материалы!$A$2:$A$9000,0))="EUR",КурсEUR,1))*INDEX(спр_Материалы!$K$2:$K$9000,MATCH($I436,спр_Материалы!$A$2:$A$9000,0))*(1+IFERROR(INDEX(спр_Работы!$I$2:$I$6000,MATCH($C436,спр_Работы!$A$2:$A$6000,0))/100,0))*(1-ДисконтТендер),0))</f>
        <v/>
      </c>
      <c r="N436" s="10">
        <f>IF(AND($R436="да",$H436&lt;&gt;""),ROUND($H436*$L436,2),0)</f>
        <v/>
      </c>
      <c r="O436" s="10">
        <f>IF(AND($R436="да",$H436&lt;&gt;""),ROUND($H436*$M436,2),0)</f>
        <v/>
      </c>
      <c r="P436" s="10">
        <f>$N436+$O436</f>
        <v/>
      </c>
      <c r="Q436">
        <f>IFERROR(INDEX(спр_Работы!$J$2:$J$6000,MATCH($C436,спр_Работы!$A$2:$A$6000,0)),"")</f>
        <v/>
      </c>
      <c r="R436" t="inlineStr">
        <is>
          <t>да</t>
        </is>
      </c>
      <c r="T436">
        <f>IF(AND($P436&gt;0,$R436="да"),MAX($T$1:$T435)+1,"")</f>
        <v/>
      </c>
    </row>
    <row r="437">
      <c r="A437">
        <f>IFERROR(INDEX(спр_Работы!$D$2:$D$6000,MATCH($C437,спр_Работы!$A$2:$A$6000,0)),"")</f>
        <v/>
      </c>
      <c r="B437">
        <f>IFERROR(INDEX(спр_Работы!$F$2:$F$6000,MATCH($C437,спр_Работы!$A$2:$A$6000,0)),"")</f>
        <v/>
      </c>
      <c r="C437">
        <f>IFERROR(INDEX(спр_Работы!$A$2:$A$6000,436),"")</f>
        <v/>
      </c>
      <c r="D437" s="8">
        <f>IFERROR(INDEX(спр_Работы!$B$2:$B$6000,MATCH($C437,спр_Работы!$A$2:$A$6000,0)),"")</f>
        <v/>
      </c>
      <c r="E437">
        <f>IFERROR(INDEX(спр_Работы!$C$2:$C$6000,MATCH($C437,спр_Работы!$A$2:$A$6000,0)),"")</f>
        <v/>
      </c>
      <c r="F437">
        <f>IFERROR(INDEX(спр_Работы!$G$2:$G$6000,MATCH($C437,спр_Работы!$A$2:$A$6000,0)),"")</f>
        <v/>
      </c>
      <c r="G437">
        <f>IFERROR(INDEX(спр_Работы!$K$2:$K$6000,MATCH($C437,спр_Работы!$A$2:$A$6000,0)),"")</f>
        <v/>
      </c>
      <c r="H437" s="9" t="n"/>
      <c r="I437" s="9" t="n"/>
      <c r="J437" s="8">
        <f>IFERROR(INDEX(спр_Материалы!$B$2:$B$9000,MATCH($I437,спр_Материалы!$A$2:$A$9000,0)),"")</f>
        <v/>
      </c>
      <c r="K437">
        <f>IF($I437="","",IF($F437=IFERROR(INDEX(спр_Материалы!$G$2:$G$9000,MATCH($I437,спр_Материалы!$A$2:$A$9000,0)),""),"OK","!! не та группа"))</f>
        <v/>
      </c>
      <c r="L437" s="10">
        <f>IFERROR(INDEX(спр_Работы!$H$2:$H$6000,MATCH($C437,спр_Работы!$A$2:$A$6000,0))*(1-ДисконтТендер),0)</f>
        <v/>
      </c>
      <c r="M437" s="10">
        <f>IF($I437="",0,IFERROR(INDEX(спр_Материалы!$I$2:$I$9000,MATCH($I437,спр_Материалы!$A$2:$A$9000,0))*IF(INDEX(спр_Материалы!$J$2:$J$9000,MATCH($I437,спр_Материалы!$A$2:$A$9000,0))="USD",КурсUSD,IF(INDEX(спр_Материалы!$J$2:$J$9000,MATCH($I437,спр_Материалы!$A$2:$A$9000,0))="EUR",КурсEUR,1))*INDEX(спр_Материалы!$K$2:$K$9000,MATCH($I437,спр_Материалы!$A$2:$A$9000,0))*(1+IFERROR(INDEX(спр_Работы!$I$2:$I$6000,MATCH($C437,спр_Работы!$A$2:$A$6000,0))/100,0))*(1-ДисконтТендер),0))</f>
        <v/>
      </c>
      <c r="N437" s="10">
        <f>IF(AND($R437="да",$H437&lt;&gt;""),ROUND($H437*$L437,2),0)</f>
        <v/>
      </c>
      <c r="O437" s="10">
        <f>IF(AND($R437="да",$H437&lt;&gt;""),ROUND($H437*$M437,2),0)</f>
        <v/>
      </c>
      <c r="P437" s="10">
        <f>$N437+$O437</f>
        <v/>
      </c>
      <c r="Q437">
        <f>IFERROR(INDEX(спр_Работы!$J$2:$J$6000,MATCH($C437,спр_Работы!$A$2:$A$6000,0)),"")</f>
        <v/>
      </c>
      <c r="R437" t="inlineStr">
        <is>
          <t>да</t>
        </is>
      </c>
      <c r="T437">
        <f>IF(AND($P437&gt;0,$R437="да"),MAX($T$1:$T436)+1,"")</f>
        <v/>
      </c>
    </row>
    <row r="438">
      <c r="A438">
        <f>IFERROR(INDEX(спр_Работы!$D$2:$D$6000,MATCH($C438,спр_Работы!$A$2:$A$6000,0)),"")</f>
        <v/>
      </c>
      <c r="B438">
        <f>IFERROR(INDEX(спр_Работы!$F$2:$F$6000,MATCH($C438,спр_Работы!$A$2:$A$6000,0)),"")</f>
        <v/>
      </c>
      <c r="C438">
        <f>IFERROR(INDEX(спр_Работы!$A$2:$A$6000,437),"")</f>
        <v/>
      </c>
      <c r="D438" s="8">
        <f>IFERROR(INDEX(спр_Работы!$B$2:$B$6000,MATCH($C438,спр_Работы!$A$2:$A$6000,0)),"")</f>
        <v/>
      </c>
      <c r="E438">
        <f>IFERROR(INDEX(спр_Работы!$C$2:$C$6000,MATCH($C438,спр_Работы!$A$2:$A$6000,0)),"")</f>
        <v/>
      </c>
      <c r="F438">
        <f>IFERROR(INDEX(спр_Работы!$G$2:$G$6000,MATCH($C438,спр_Работы!$A$2:$A$6000,0)),"")</f>
        <v/>
      </c>
      <c r="G438">
        <f>IFERROR(INDEX(спр_Работы!$K$2:$K$6000,MATCH($C438,спр_Работы!$A$2:$A$6000,0)),"")</f>
        <v/>
      </c>
      <c r="H438" s="9" t="n"/>
      <c r="I438" s="9" t="n"/>
      <c r="J438" s="8">
        <f>IFERROR(INDEX(спр_Материалы!$B$2:$B$9000,MATCH($I438,спр_Материалы!$A$2:$A$9000,0)),"")</f>
        <v/>
      </c>
      <c r="K438">
        <f>IF($I438="","",IF($F438=IFERROR(INDEX(спр_Материалы!$G$2:$G$9000,MATCH($I438,спр_Материалы!$A$2:$A$9000,0)),""),"OK","!! не та группа"))</f>
        <v/>
      </c>
      <c r="L438" s="10">
        <f>IFERROR(INDEX(спр_Работы!$H$2:$H$6000,MATCH($C438,спр_Работы!$A$2:$A$6000,0))*(1-ДисконтТендер),0)</f>
        <v/>
      </c>
      <c r="M438" s="10">
        <f>IF($I438="",0,IFERROR(INDEX(спр_Материалы!$I$2:$I$9000,MATCH($I438,спр_Материалы!$A$2:$A$9000,0))*IF(INDEX(спр_Материалы!$J$2:$J$9000,MATCH($I438,спр_Материалы!$A$2:$A$9000,0))="USD",КурсUSD,IF(INDEX(спр_Материалы!$J$2:$J$9000,MATCH($I438,спр_Материалы!$A$2:$A$9000,0))="EUR",КурсEUR,1))*INDEX(спр_Материалы!$K$2:$K$9000,MATCH($I438,спр_Материалы!$A$2:$A$9000,0))*(1+IFERROR(INDEX(спр_Работы!$I$2:$I$6000,MATCH($C438,спр_Работы!$A$2:$A$6000,0))/100,0))*(1-ДисконтТендер),0))</f>
        <v/>
      </c>
      <c r="N438" s="10">
        <f>IF(AND($R438="да",$H438&lt;&gt;""),ROUND($H438*$L438,2),0)</f>
        <v/>
      </c>
      <c r="O438" s="10">
        <f>IF(AND($R438="да",$H438&lt;&gt;""),ROUND($H438*$M438,2),0)</f>
        <v/>
      </c>
      <c r="P438" s="10">
        <f>$N438+$O438</f>
        <v/>
      </c>
      <c r="Q438">
        <f>IFERROR(INDEX(спр_Работы!$J$2:$J$6000,MATCH($C438,спр_Работы!$A$2:$A$6000,0)),"")</f>
        <v/>
      </c>
      <c r="R438" t="inlineStr">
        <is>
          <t>да</t>
        </is>
      </c>
      <c r="T438">
        <f>IF(AND($P438&gt;0,$R438="да"),MAX($T$1:$T437)+1,"")</f>
        <v/>
      </c>
    </row>
    <row r="439">
      <c r="A439">
        <f>IFERROR(INDEX(спр_Работы!$D$2:$D$6000,MATCH($C439,спр_Работы!$A$2:$A$6000,0)),"")</f>
        <v/>
      </c>
      <c r="B439">
        <f>IFERROR(INDEX(спр_Работы!$F$2:$F$6000,MATCH($C439,спр_Работы!$A$2:$A$6000,0)),"")</f>
        <v/>
      </c>
      <c r="C439">
        <f>IFERROR(INDEX(спр_Работы!$A$2:$A$6000,438),"")</f>
        <v/>
      </c>
      <c r="D439" s="8">
        <f>IFERROR(INDEX(спр_Работы!$B$2:$B$6000,MATCH($C439,спр_Работы!$A$2:$A$6000,0)),"")</f>
        <v/>
      </c>
      <c r="E439">
        <f>IFERROR(INDEX(спр_Работы!$C$2:$C$6000,MATCH($C439,спр_Работы!$A$2:$A$6000,0)),"")</f>
        <v/>
      </c>
      <c r="F439">
        <f>IFERROR(INDEX(спр_Работы!$G$2:$G$6000,MATCH($C439,спр_Работы!$A$2:$A$6000,0)),"")</f>
        <v/>
      </c>
      <c r="G439">
        <f>IFERROR(INDEX(спр_Работы!$K$2:$K$6000,MATCH($C439,спр_Работы!$A$2:$A$6000,0)),"")</f>
        <v/>
      </c>
      <c r="H439" s="9" t="n"/>
      <c r="I439" s="9" t="n"/>
      <c r="J439" s="8">
        <f>IFERROR(INDEX(спр_Материалы!$B$2:$B$9000,MATCH($I439,спр_Материалы!$A$2:$A$9000,0)),"")</f>
        <v/>
      </c>
      <c r="K439">
        <f>IF($I439="","",IF($F439=IFERROR(INDEX(спр_Материалы!$G$2:$G$9000,MATCH($I439,спр_Материалы!$A$2:$A$9000,0)),""),"OK","!! не та группа"))</f>
        <v/>
      </c>
      <c r="L439" s="10">
        <f>IFERROR(INDEX(спр_Работы!$H$2:$H$6000,MATCH($C439,спр_Работы!$A$2:$A$6000,0))*(1-ДисконтТендер),0)</f>
        <v/>
      </c>
      <c r="M439" s="10">
        <f>IF($I439="",0,IFERROR(INDEX(спр_Материалы!$I$2:$I$9000,MATCH($I439,спр_Материалы!$A$2:$A$9000,0))*IF(INDEX(спр_Материалы!$J$2:$J$9000,MATCH($I439,спр_Материалы!$A$2:$A$9000,0))="USD",КурсUSD,IF(INDEX(спр_Материалы!$J$2:$J$9000,MATCH($I439,спр_Материалы!$A$2:$A$9000,0))="EUR",КурсEUR,1))*INDEX(спр_Материалы!$K$2:$K$9000,MATCH($I439,спр_Материалы!$A$2:$A$9000,0))*(1+IFERROR(INDEX(спр_Работы!$I$2:$I$6000,MATCH($C439,спр_Работы!$A$2:$A$6000,0))/100,0))*(1-ДисконтТендер),0))</f>
        <v/>
      </c>
      <c r="N439" s="10">
        <f>IF(AND($R439="да",$H439&lt;&gt;""),ROUND($H439*$L439,2),0)</f>
        <v/>
      </c>
      <c r="O439" s="10">
        <f>IF(AND($R439="да",$H439&lt;&gt;""),ROUND($H439*$M439,2),0)</f>
        <v/>
      </c>
      <c r="P439" s="10">
        <f>$N439+$O439</f>
        <v/>
      </c>
      <c r="Q439">
        <f>IFERROR(INDEX(спр_Работы!$J$2:$J$6000,MATCH($C439,спр_Работы!$A$2:$A$6000,0)),"")</f>
        <v/>
      </c>
      <c r="R439" t="inlineStr">
        <is>
          <t>да</t>
        </is>
      </c>
      <c r="T439">
        <f>IF(AND($P439&gt;0,$R439="да"),MAX($T$1:$T438)+1,"")</f>
        <v/>
      </c>
    </row>
    <row r="440">
      <c r="A440">
        <f>IFERROR(INDEX(спр_Работы!$D$2:$D$6000,MATCH($C440,спр_Работы!$A$2:$A$6000,0)),"")</f>
        <v/>
      </c>
      <c r="B440">
        <f>IFERROR(INDEX(спр_Работы!$F$2:$F$6000,MATCH($C440,спр_Работы!$A$2:$A$6000,0)),"")</f>
        <v/>
      </c>
      <c r="C440">
        <f>IFERROR(INDEX(спр_Работы!$A$2:$A$6000,439),"")</f>
        <v/>
      </c>
      <c r="D440" s="8">
        <f>IFERROR(INDEX(спр_Работы!$B$2:$B$6000,MATCH($C440,спр_Работы!$A$2:$A$6000,0)),"")</f>
        <v/>
      </c>
      <c r="E440">
        <f>IFERROR(INDEX(спр_Работы!$C$2:$C$6000,MATCH($C440,спр_Работы!$A$2:$A$6000,0)),"")</f>
        <v/>
      </c>
      <c r="F440">
        <f>IFERROR(INDEX(спр_Работы!$G$2:$G$6000,MATCH($C440,спр_Работы!$A$2:$A$6000,0)),"")</f>
        <v/>
      </c>
      <c r="G440">
        <f>IFERROR(INDEX(спр_Работы!$K$2:$K$6000,MATCH($C440,спр_Работы!$A$2:$A$6000,0)),"")</f>
        <v/>
      </c>
      <c r="H440" s="9" t="n"/>
      <c r="I440" s="9" t="n"/>
      <c r="J440" s="8">
        <f>IFERROR(INDEX(спр_Материалы!$B$2:$B$9000,MATCH($I440,спр_Материалы!$A$2:$A$9000,0)),"")</f>
        <v/>
      </c>
      <c r="K440">
        <f>IF($I440="","",IF($F440=IFERROR(INDEX(спр_Материалы!$G$2:$G$9000,MATCH($I440,спр_Материалы!$A$2:$A$9000,0)),""),"OK","!! не та группа"))</f>
        <v/>
      </c>
      <c r="L440" s="10">
        <f>IFERROR(INDEX(спр_Работы!$H$2:$H$6000,MATCH($C440,спр_Работы!$A$2:$A$6000,0))*(1-ДисконтТендер),0)</f>
        <v/>
      </c>
      <c r="M440" s="10">
        <f>IF($I440="",0,IFERROR(INDEX(спр_Материалы!$I$2:$I$9000,MATCH($I440,спр_Материалы!$A$2:$A$9000,0))*IF(INDEX(спр_Материалы!$J$2:$J$9000,MATCH($I440,спр_Материалы!$A$2:$A$9000,0))="USD",КурсUSD,IF(INDEX(спр_Материалы!$J$2:$J$9000,MATCH($I440,спр_Материалы!$A$2:$A$9000,0))="EUR",КурсEUR,1))*INDEX(спр_Материалы!$K$2:$K$9000,MATCH($I440,спр_Материалы!$A$2:$A$9000,0))*(1+IFERROR(INDEX(спр_Работы!$I$2:$I$6000,MATCH($C440,спр_Работы!$A$2:$A$6000,0))/100,0))*(1-ДисконтТендер),0))</f>
        <v/>
      </c>
      <c r="N440" s="10">
        <f>IF(AND($R440="да",$H440&lt;&gt;""),ROUND($H440*$L440,2),0)</f>
        <v/>
      </c>
      <c r="O440" s="10">
        <f>IF(AND($R440="да",$H440&lt;&gt;""),ROUND($H440*$M440,2),0)</f>
        <v/>
      </c>
      <c r="P440" s="10">
        <f>$N440+$O440</f>
        <v/>
      </c>
      <c r="Q440">
        <f>IFERROR(INDEX(спр_Работы!$J$2:$J$6000,MATCH($C440,спр_Работы!$A$2:$A$6000,0)),"")</f>
        <v/>
      </c>
      <c r="R440" t="inlineStr">
        <is>
          <t>да</t>
        </is>
      </c>
      <c r="T440">
        <f>IF(AND($P440&gt;0,$R440="да"),MAX($T$1:$T439)+1,"")</f>
        <v/>
      </c>
    </row>
    <row r="441">
      <c r="A441">
        <f>IFERROR(INDEX(спр_Работы!$D$2:$D$6000,MATCH($C441,спр_Работы!$A$2:$A$6000,0)),"")</f>
        <v/>
      </c>
      <c r="B441">
        <f>IFERROR(INDEX(спр_Работы!$F$2:$F$6000,MATCH($C441,спр_Работы!$A$2:$A$6000,0)),"")</f>
        <v/>
      </c>
      <c r="C441">
        <f>IFERROR(INDEX(спр_Работы!$A$2:$A$6000,440),"")</f>
        <v/>
      </c>
      <c r="D441" s="8">
        <f>IFERROR(INDEX(спр_Работы!$B$2:$B$6000,MATCH($C441,спр_Работы!$A$2:$A$6000,0)),"")</f>
        <v/>
      </c>
      <c r="E441">
        <f>IFERROR(INDEX(спр_Работы!$C$2:$C$6000,MATCH($C441,спр_Работы!$A$2:$A$6000,0)),"")</f>
        <v/>
      </c>
      <c r="F441">
        <f>IFERROR(INDEX(спр_Работы!$G$2:$G$6000,MATCH($C441,спр_Работы!$A$2:$A$6000,0)),"")</f>
        <v/>
      </c>
      <c r="G441">
        <f>IFERROR(INDEX(спр_Работы!$K$2:$K$6000,MATCH($C441,спр_Работы!$A$2:$A$6000,0)),"")</f>
        <v/>
      </c>
      <c r="H441" s="9" t="n"/>
      <c r="I441" s="9" t="n"/>
      <c r="J441" s="8">
        <f>IFERROR(INDEX(спр_Материалы!$B$2:$B$9000,MATCH($I441,спр_Материалы!$A$2:$A$9000,0)),"")</f>
        <v/>
      </c>
      <c r="K441">
        <f>IF($I441="","",IF($F441=IFERROR(INDEX(спр_Материалы!$G$2:$G$9000,MATCH($I441,спр_Материалы!$A$2:$A$9000,0)),""),"OK","!! не та группа"))</f>
        <v/>
      </c>
      <c r="L441" s="10">
        <f>IFERROR(INDEX(спр_Работы!$H$2:$H$6000,MATCH($C441,спр_Работы!$A$2:$A$6000,0))*(1-ДисконтТендер),0)</f>
        <v/>
      </c>
      <c r="M441" s="10">
        <f>IF($I441="",0,IFERROR(INDEX(спр_Материалы!$I$2:$I$9000,MATCH($I441,спр_Материалы!$A$2:$A$9000,0))*IF(INDEX(спр_Материалы!$J$2:$J$9000,MATCH($I441,спр_Материалы!$A$2:$A$9000,0))="USD",КурсUSD,IF(INDEX(спр_Материалы!$J$2:$J$9000,MATCH($I441,спр_Материалы!$A$2:$A$9000,0))="EUR",КурсEUR,1))*INDEX(спр_Материалы!$K$2:$K$9000,MATCH($I441,спр_Материалы!$A$2:$A$9000,0))*(1+IFERROR(INDEX(спр_Работы!$I$2:$I$6000,MATCH($C441,спр_Работы!$A$2:$A$6000,0))/100,0))*(1-ДисконтТендер),0))</f>
        <v/>
      </c>
      <c r="N441" s="10">
        <f>IF(AND($R441="да",$H441&lt;&gt;""),ROUND($H441*$L441,2),0)</f>
        <v/>
      </c>
      <c r="O441" s="10">
        <f>IF(AND($R441="да",$H441&lt;&gt;""),ROUND($H441*$M441,2),0)</f>
        <v/>
      </c>
      <c r="P441" s="10">
        <f>$N441+$O441</f>
        <v/>
      </c>
      <c r="Q441">
        <f>IFERROR(INDEX(спр_Работы!$J$2:$J$6000,MATCH($C441,спр_Работы!$A$2:$A$6000,0)),"")</f>
        <v/>
      </c>
      <c r="R441" t="inlineStr">
        <is>
          <t>да</t>
        </is>
      </c>
      <c r="T441">
        <f>IF(AND($P441&gt;0,$R441="да"),MAX($T$1:$T440)+1,"")</f>
        <v/>
      </c>
    </row>
    <row r="442">
      <c r="A442">
        <f>IFERROR(INDEX(спр_Работы!$D$2:$D$6000,MATCH($C442,спр_Работы!$A$2:$A$6000,0)),"")</f>
        <v/>
      </c>
      <c r="B442">
        <f>IFERROR(INDEX(спр_Работы!$F$2:$F$6000,MATCH($C442,спр_Работы!$A$2:$A$6000,0)),"")</f>
        <v/>
      </c>
      <c r="C442">
        <f>IFERROR(INDEX(спр_Работы!$A$2:$A$6000,441),"")</f>
        <v/>
      </c>
      <c r="D442" s="8">
        <f>IFERROR(INDEX(спр_Работы!$B$2:$B$6000,MATCH($C442,спр_Работы!$A$2:$A$6000,0)),"")</f>
        <v/>
      </c>
      <c r="E442">
        <f>IFERROR(INDEX(спр_Работы!$C$2:$C$6000,MATCH($C442,спр_Работы!$A$2:$A$6000,0)),"")</f>
        <v/>
      </c>
      <c r="F442">
        <f>IFERROR(INDEX(спр_Работы!$G$2:$G$6000,MATCH($C442,спр_Работы!$A$2:$A$6000,0)),"")</f>
        <v/>
      </c>
      <c r="G442">
        <f>IFERROR(INDEX(спр_Работы!$K$2:$K$6000,MATCH($C442,спр_Работы!$A$2:$A$6000,0)),"")</f>
        <v/>
      </c>
      <c r="H442" s="9" t="n"/>
      <c r="I442" s="9" t="n"/>
      <c r="J442" s="8">
        <f>IFERROR(INDEX(спр_Материалы!$B$2:$B$9000,MATCH($I442,спр_Материалы!$A$2:$A$9000,0)),"")</f>
        <v/>
      </c>
      <c r="K442">
        <f>IF($I442="","",IF($F442=IFERROR(INDEX(спр_Материалы!$G$2:$G$9000,MATCH($I442,спр_Материалы!$A$2:$A$9000,0)),""),"OK","!! не та группа"))</f>
        <v/>
      </c>
      <c r="L442" s="10">
        <f>IFERROR(INDEX(спр_Работы!$H$2:$H$6000,MATCH($C442,спр_Работы!$A$2:$A$6000,0))*(1-ДисконтТендер),0)</f>
        <v/>
      </c>
      <c r="M442" s="10">
        <f>IF($I442="",0,IFERROR(INDEX(спр_Материалы!$I$2:$I$9000,MATCH($I442,спр_Материалы!$A$2:$A$9000,0))*IF(INDEX(спр_Материалы!$J$2:$J$9000,MATCH($I442,спр_Материалы!$A$2:$A$9000,0))="USD",КурсUSD,IF(INDEX(спр_Материалы!$J$2:$J$9000,MATCH($I442,спр_Материалы!$A$2:$A$9000,0))="EUR",КурсEUR,1))*INDEX(спр_Материалы!$K$2:$K$9000,MATCH($I442,спр_Материалы!$A$2:$A$9000,0))*(1+IFERROR(INDEX(спр_Работы!$I$2:$I$6000,MATCH($C442,спр_Работы!$A$2:$A$6000,0))/100,0))*(1-ДисконтТендер),0))</f>
        <v/>
      </c>
      <c r="N442" s="10">
        <f>IF(AND($R442="да",$H442&lt;&gt;""),ROUND($H442*$L442,2),0)</f>
        <v/>
      </c>
      <c r="O442" s="10">
        <f>IF(AND($R442="да",$H442&lt;&gt;""),ROUND($H442*$M442,2),0)</f>
        <v/>
      </c>
      <c r="P442" s="10">
        <f>$N442+$O442</f>
        <v/>
      </c>
      <c r="Q442">
        <f>IFERROR(INDEX(спр_Работы!$J$2:$J$6000,MATCH($C442,спр_Работы!$A$2:$A$6000,0)),"")</f>
        <v/>
      </c>
      <c r="R442" t="inlineStr">
        <is>
          <t>да</t>
        </is>
      </c>
      <c r="T442">
        <f>IF(AND($P442&gt;0,$R442="да"),MAX($T$1:$T441)+1,"")</f>
        <v/>
      </c>
    </row>
    <row r="443">
      <c r="A443">
        <f>IFERROR(INDEX(спр_Работы!$D$2:$D$6000,MATCH($C443,спр_Работы!$A$2:$A$6000,0)),"")</f>
        <v/>
      </c>
      <c r="B443">
        <f>IFERROR(INDEX(спр_Работы!$F$2:$F$6000,MATCH($C443,спр_Работы!$A$2:$A$6000,0)),"")</f>
        <v/>
      </c>
      <c r="C443">
        <f>IFERROR(INDEX(спр_Работы!$A$2:$A$6000,442),"")</f>
        <v/>
      </c>
      <c r="D443" s="8">
        <f>IFERROR(INDEX(спр_Работы!$B$2:$B$6000,MATCH($C443,спр_Работы!$A$2:$A$6000,0)),"")</f>
        <v/>
      </c>
      <c r="E443">
        <f>IFERROR(INDEX(спр_Работы!$C$2:$C$6000,MATCH($C443,спр_Работы!$A$2:$A$6000,0)),"")</f>
        <v/>
      </c>
      <c r="F443">
        <f>IFERROR(INDEX(спр_Работы!$G$2:$G$6000,MATCH($C443,спр_Работы!$A$2:$A$6000,0)),"")</f>
        <v/>
      </c>
      <c r="G443">
        <f>IFERROR(INDEX(спр_Работы!$K$2:$K$6000,MATCH($C443,спр_Работы!$A$2:$A$6000,0)),"")</f>
        <v/>
      </c>
      <c r="H443" s="9" t="n"/>
      <c r="I443" s="9" t="n"/>
      <c r="J443" s="8">
        <f>IFERROR(INDEX(спр_Материалы!$B$2:$B$9000,MATCH($I443,спр_Материалы!$A$2:$A$9000,0)),"")</f>
        <v/>
      </c>
      <c r="K443">
        <f>IF($I443="","",IF($F443=IFERROR(INDEX(спр_Материалы!$G$2:$G$9000,MATCH($I443,спр_Материалы!$A$2:$A$9000,0)),""),"OK","!! не та группа"))</f>
        <v/>
      </c>
      <c r="L443" s="10">
        <f>IFERROR(INDEX(спр_Работы!$H$2:$H$6000,MATCH($C443,спр_Работы!$A$2:$A$6000,0))*(1-ДисконтТендер),0)</f>
        <v/>
      </c>
      <c r="M443" s="10">
        <f>IF($I443="",0,IFERROR(INDEX(спр_Материалы!$I$2:$I$9000,MATCH($I443,спр_Материалы!$A$2:$A$9000,0))*IF(INDEX(спр_Материалы!$J$2:$J$9000,MATCH($I443,спр_Материалы!$A$2:$A$9000,0))="USD",КурсUSD,IF(INDEX(спр_Материалы!$J$2:$J$9000,MATCH($I443,спр_Материалы!$A$2:$A$9000,0))="EUR",КурсEUR,1))*INDEX(спр_Материалы!$K$2:$K$9000,MATCH($I443,спр_Материалы!$A$2:$A$9000,0))*(1+IFERROR(INDEX(спр_Работы!$I$2:$I$6000,MATCH($C443,спр_Работы!$A$2:$A$6000,0))/100,0))*(1-ДисконтТендер),0))</f>
        <v/>
      </c>
      <c r="N443" s="10">
        <f>IF(AND($R443="да",$H443&lt;&gt;""),ROUND($H443*$L443,2),0)</f>
        <v/>
      </c>
      <c r="O443" s="10">
        <f>IF(AND($R443="да",$H443&lt;&gt;""),ROUND($H443*$M443,2),0)</f>
        <v/>
      </c>
      <c r="P443" s="10">
        <f>$N443+$O443</f>
        <v/>
      </c>
      <c r="Q443">
        <f>IFERROR(INDEX(спр_Работы!$J$2:$J$6000,MATCH($C443,спр_Работы!$A$2:$A$6000,0)),"")</f>
        <v/>
      </c>
      <c r="R443" t="inlineStr">
        <is>
          <t>да</t>
        </is>
      </c>
      <c r="T443">
        <f>IF(AND($P443&gt;0,$R443="да"),MAX($T$1:$T442)+1,"")</f>
        <v/>
      </c>
    </row>
    <row r="444">
      <c r="A444">
        <f>IFERROR(INDEX(спр_Работы!$D$2:$D$6000,MATCH($C444,спр_Работы!$A$2:$A$6000,0)),"")</f>
        <v/>
      </c>
      <c r="B444">
        <f>IFERROR(INDEX(спр_Работы!$F$2:$F$6000,MATCH($C444,спр_Работы!$A$2:$A$6000,0)),"")</f>
        <v/>
      </c>
      <c r="C444">
        <f>IFERROR(INDEX(спр_Работы!$A$2:$A$6000,443),"")</f>
        <v/>
      </c>
      <c r="D444" s="8">
        <f>IFERROR(INDEX(спр_Работы!$B$2:$B$6000,MATCH($C444,спр_Работы!$A$2:$A$6000,0)),"")</f>
        <v/>
      </c>
      <c r="E444">
        <f>IFERROR(INDEX(спр_Работы!$C$2:$C$6000,MATCH($C444,спр_Работы!$A$2:$A$6000,0)),"")</f>
        <v/>
      </c>
      <c r="F444">
        <f>IFERROR(INDEX(спр_Работы!$G$2:$G$6000,MATCH($C444,спр_Работы!$A$2:$A$6000,0)),"")</f>
        <v/>
      </c>
      <c r="G444">
        <f>IFERROR(INDEX(спр_Работы!$K$2:$K$6000,MATCH($C444,спр_Работы!$A$2:$A$6000,0)),"")</f>
        <v/>
      </c>
      <c r="H444" s="9" t="n"/>
      <c r="I444" s="9" t="n"/>
      <c r="J444" s="8">
        <f>IFERROR(INDEX(спр_Материалы!$B$2:$B$9000,MATCH($I444,спр_Материалы!$A$2:$A$9000,0)),"")</f>
        <v/>
      </c>
      <c r="K444">
        <f>IF($I444="","",IF($F444=IFERROR(INDEX(спр_Материалы!$G$2:$G$9000,MATCH($I444,спр_Материалы!$A$2:$A$9000,0)),""),"OK","!! не та группа"))</f>
        <v/>
      </c>
      <c r="L444" s="10">
        <f>IFERROR(INDEX(спр_Работы!$H$2:$H$6000,MATCH($C444,спр_Работы!$A$2:$A$6000,0))*(1-ДисконтТендер),0)</f>
        <v/>
      </c>
      <c r="M444" s="10">
        <f>IF($I444="",0,IFERROR(INDEX(спр_Материалы!$I$2:$I$9000,MATCH($I444,спр_Материалы!$A$2:$A$9000,0))*IF(INDEX(спр_Материалы!$J$2:$J$9000,MATCH($I444,спр_Материалы!$A$2:$A$9000,0))="USD",КурсUSD,IF(INDEX(спр_Материалы!$J$2:$J$9000,MATCH($I444,спр_Материалы!$A$2:$A$9000,0))="EUR",КурсEUR,1))*INDEX(спр_Материалы!$K$2:$K$9000,MATCH($I444,спр_Материалы!$A$2:$A$9000,0))*(1+IFERROR(INDEX(спр_Работы!$I$2:$I$6000,MATCH($C444,спр_Работы!$A$2:$A$6000,0))/100,0))*(1-ДисконтТендер),0))</f>
        <v/>
      </c>
      <c r="N444" s="10">
        <f>IF(AND($R444="да",$H444&lt;&gt;""),ROUND($H444*$L444,2),0)</f>
        <v/>
      </c>
      <c r="O444" s="10">
        <f>IF(AND($R444="да",$H444&lt;&gt;""),ROUND($H444*$M444,2),0)</f>
        <v/>
      </c>
      <c r="P444" s="10">
        <f>$N444+$O444</f>
        <v/>
      </c>
      <c r="Q444">
        <f>IFERROR(INDEX(спр_Работы!$J$2:$J$6000,MATCH($C444,спр_Работы!$A$2:$A$6000,0)),"")</f>
        <v/>
      </c>
      <c r="R444" t="inlineStr">
        <is>
          <t>да</t>
        </is>
      </c>
      <c r="T444">
        <f>IF(AND($P444&gt;0,$R444="да"),MAX($T$1:$T443)+1,"")</f>
        <v/>
      </c>
    </row>
    <row r="445">
      <c r="A445">
        <f>IFERROR(INDEX(спр_Работы!$D$2:$D$6000,MATCH($C445,спр_Работы!$A$2:$A$6000,0)),"")</f>
        <v/>
      </c>
      <c r="B445">
        <f>IFERROR(INDEX(спр_Работы!$F$2:$F$6000,MATCH($C445,спр_Работы!$A$2:$A$6000,0)),"")</f>
        <v/>
      </c>
      <c r="C445">
        <f>IFERROR(INDEX(спр_Работы!$A$2:$A$6000,444),"")</f>
        <v/>
      </c>
      <c r="D445" s="8">
        <f>IFERROR(INDEX(спр_Работы!$B$2:$B$6000,MATCH($C445,спр_Работы!$A$2:$A$6000,0)),"")</f>
        <v/>
      </c>
      <c r="E445">
        <f>IFERROR(INDEX(спр_Работы!$C$2:$C$6000,MATCH($C445,спр_Работы!$A$2:$A$6000,0)),"")</f>
        <v/>
      </c>
      <c r="F445">
        <f>IFERROR(INDEX(спр_Работы!$G$2:$G$6000,MATCH($C445,спр_Работы!$A$2:$A$6000,0)),"")</f>
        <v/>
      </c>
      <c r="G445">
        <f>IFERROR(INDEX(спр_Работы!$K$2:$K$6000,MATCH($C445,спр_Работы!$A$2:$A$6000,0)),"")</f>
        <v/>
      </c>
      <c r="H445" s="9" t="n"/>
      <c r="I445" s="9" t="n"/>
      <c r="J445" s="8">
        <f>IFERROR(INDEX(спр_Материалы!$B$2:$B$9000,MATCH($I445,спр_Материалы!$A$2:$A$9000,0)),"")</f>
        <v/>
      </c>
      <c r="K445">
        <f>IF($I445="","",IF($F445=IFERROR(INDEX(спр_Материалы!$G$2:$G$9000,MATCH($I445,спр_Материалы!$A$2:$A$9000,0)),""),"OK","!! не та группа"))</f>
        <v/>
      </c>
      <c r="L445" s="10">
        <f>IFERROR(INDEX(спр_Работы!$H$2:$H$6000,MATCH($C445,спр_Работы!$A$2:$A$6000,0))*(1-ДисконтТендер),0)</f>
        <v/>
      </c>
      <c r="M445" s="10">
        <f>IF($I445="",0,IFERROR(INDEX(спр_Материалы!$I$2:$I$9000,MATCH($I445,спр_Материалы!$A$2:$A$9000,0))*IF(INDEX(спр_Материалы!$J$2:$J$9000,MATCH($I445,спр_Материалы!$A$2:$A$9000,0))="USD",КурсUSD,IF(INDEX(спр_Материалы!$J$2:$J$9000,MATCH($I445,спр_Материалы!$A$2:$A$9000,0))="EUR",КурсEUR,1))*INDEX(спр_Материалы!$K$2:$K$9000,MATCH($I445,спр_Материалы!$A$2:$A$9000,0))*(1+IFERROR(INDEX(спр_Работы!$I$2:$I$6000,MATCH($C445,спр_Работы!$A$2:$A$6000,0))/100,0))*(1-ДисконтТендер),0))</f>
        <v/>
      </c>
      <c r="N445" s="10">
        <f>IF(AND($R445="да",$H445&lt;&gt;""),ROUND($H445*$L445,2),0)</f>
        <v/>
      </c>
      <c r="O445" s="10">
        <f>IF(AND($R445="да",$H445&lt;&gt;""),ROUND($H445*$M445,2),0)</f>
        <v/>
      </c>
      <c r="P445" s="10">
        <f>$N445+$O445</f>
        <v/>
      </c>
      <c r="Q445">
        <f>IFERROR(INDEX(спр_Работы!$J$2:$J$6000,MATCH($C445,спр_Работы!$A$2:$A$6000,0)),"")</f>
        <v/>
      </c>
      <c r="R445" t="inlineStr">
        <is>
          <t>да</t>
        </is>
      </c>
      <c r="T445">
        <f>IF(AND($P445&gt;0,$R445="да"),MAX($T$1:$T444)+1,"")</f>
        <v/>
      </c>
    </row>
    <row r="446">
      <c r="A446">
        <f>IFERROR(INDEX(спр_Работы!$D$2:$D$6000,MATCH($C446,спр_Работы!$A$2:$A$6000,0)),"")</f>
        <v/>
      </c>
      <c r="B446">
        <f>IFERROR(INDEX(спр_Работы!$F$2:$F$6000,MATCH($C446,спр_Работы!$A$2:$A$6000,0)),"")</f>
        <v/>
      </c>
      <c r="C446">
        <f>IFERROR(INDEX(спр_Работы!$A$2:$A$6000,445),"")</f>
        <v/>
      </c>
      <c r="D446" s="8">
        <f>IFERROR(INDEX(спр_Работы!$B$2:$B$6000,MATCH($C446,спр_Работы!$A$2:$A$6000,0)),"")</f>
        <v/>
      </c>
      <c r="E446">
        <f>IFERROR(INDEX(спр_Работы!$C$2:$C$6000,MATCH($C446,спр_Работы!$A$2:$A$6000,0)),"")</f>
        <v/>
      </c>
      <c r="F446">
        <f>IFERROR(INDEX(спр_Работы!$G$2:$G$6000,MATCH($C446,спр_Работы!$A$2:$A$6000,0)),"")</f>
        <v/>
      </c>
      <c r="G446">
        <f>IFERROR(INDEX(спр_Работы!$K$2:$K$6000,MATCH($C446,спр_Работы!$A$2:$A$6000,0)),"")</f>
        <v/>
      </c>
      <c r="H446" s="9" t="n"/>
      <c r="I446" s="9" t="n"/>
      <c r="J446" s="8">
        <f>IFERROR(INDEX(спр_Материалы!$B$2:$B$9000,MATCH($I446,спр_Материалы!$A$2:$A$9000,0)),"")</f>
        <v/>
      </c>
      <c r="K446">
        <f>IF($I446="","",IF($F446=IFERROR(INDEX(спр_Материалы!$G$2:$G$9000,MATCH($I446,спр_Материалы!$A$2:$A$9000,0)),""),"OK","!! не та группа"))</f>
        <v/>
      </c>
      <c r="L446" s="10">
        <f>IFERROR(INDEX(спр_Работы!$H$2:$H$6000,MATCH($C446,спр_Работы!$A$2:$A$6000,0))*(1-ДисконтТендер),0)</f>
        <v/>
      </c>
      <c r="M446" s="10">
        <f>IF($I446="",0,IFERROR(INDEX(спр_Материалы!$I$2:$I$9000,MATCH($I446,спр_Материалы!$A$2:$A$9000,0))*IF(INDEX(спр_Материалы!$J$2:$J$9000,MATCH($I446,спр_Материалы!$A$2:$A$9000,0))="USD",КурсUSD,IF(INDEX(спр_Материалы!$J$2:$J$9000,MATCH($I446,спр_Материалы!$A$2:$A$9000,0))="EUR",КурсEUR,1))*INDEX(спр_Материалы!$K$2:$K$9000,MATCH($I446,спр_Материалы!$A$2:$A$9000,0))*(1+IFERROR(INDEX(спр_Работы!$I$2:$I$6000,MATCH($C446,спр_Работы!$A$2:$A$6000,0))/100,0))*(1-ДисконтТендер),0))</f>
        <v/>
      </c>
      <c r="N446" s="10">
        <f>IF(AND($R446="да",$H446&lt;&gt;""),ROUND($H446*$L446,2),0)</f>
        <v/>
      </c>
      <c r="O446" s="10">
        <f>IF(AND($R446="да",$H446&lt;&gt;""),ROUND($H446*$M446,2),0)</f>
        <v/>
      </c>
      <c r="P446" s="10">
        <f>$N446+$O446</f>
        <v/>
      </c>
      <c r="Q446">
        <f>IFERROR(INDEX(спр_Работы!$J$2:$J$6000,MATCH($C446,спр_Работы!$A$2:$A$6000,0)),"")</f>
        <v/>
      </c>
      <c r="R446" t="inlineStr">
        <is>
          <t>да</t>
        </is>
      </c>
      <c r="T446">
        <f>IF(AND($P446&gt;0,$R446="да"),MAX($T$1:$T445)+1,"")</f>
        <v/>
      </c>
    </row>
    <row r="447">
      <c r="A447">
        <f>IFERROR(INDEX(спр_Работы!$D$2:$D$6000,MATCH($C447,спр_Работы!$A$2:$A$6000,0)),"")</f>
        <v/>
      </c>
      <c r="B447">
        <f>IFERROR(INDEX(спр_Работы!$F$2:$F$6000,MATCH($C447,спр_Работы!$A$2:$A$6000,0)),"")</f>
        <v/>
      </c>
      <c r="C447">
        <f>IFERROR(INDEX(спр_Работы!$A$2:$A$6000,446),"")</f>
        <v/>
      </c>
      <c r="D447" s="8">
        <f>IFERROR(INDEX(спр_Работы!$B$2:$B$6000,MATCH($C447,спр_Работы!$A$2:$A$6000,0)),"")</f>
        <v/>
      </c>
      <c r="E447">
        <f>IFERROR(INDEX(спр_Работы!$C$2:$C$6000,MATCH($C447,спр_Работы!$A$2:$A$6000,0)),"")</f>
        <v/>
      </c>
      <c r="F447">
        <f>IFERROR(INDEX(спр_Работы!$G$2:$G$6000,MATCH($C447,спр_Работы!$A$2:$A$6000,0)),"")</f>
        <v/>
      </c>
      <c r="G447">
        <f>IFERROR(INDEX(спр_Работы!$K$2:$K$6000,MATCH($C447,спр_Работы!$A$2:$A$6000,0)),"")</f>
        <v/>
      </c>
      <c r="H447" s="9" t="n"/>
      <c r="I447" s="9" t="n"/>
      <c r="J447" s="8">
        <f>IFERROR(INDEX(спр_Материалы!$B$2:$B$9000,MATCH($I447,спр_Материалы!$A$2:$A$9000,0)),"")</f>
        <v/>
      </c>
      <c r="K447">
        <f>IF($I447="","",IF($F447=IFERROR(INDEX(спр_Материалы!$G$2:$G$9000,MATCH($I447,спр_Материалы!$A$2:$A$9000,0)),""),"OK","!! не та группа"))</f>
        <v/>
      </c>
      <c r="L447" s="10">
        <f>IFERROR(INDEX(спр_Работы!$H$2:$H$6000,MATCH($C447,спр_Работы!$A$2:$A$6000,0))*(1-ДисконтТендер),0)</f>
        <v/>
      </c>
      <c r="M447" s="10">
        <f>IF($I447="",0,IFERROR(INDEX(спр_Материалы!$I$2:$I$9000,MATCH($I447,спр_Материалы!$A$2:$A$9000,0))*IF(INDEX(спр_Материалы!$J$2:$J$9000,MATCH($I447,спр_Материалы!$A$2:$A$9000,0))="USD",КурсUSD,IF(INDEX(спр_Материалы!$J$2:$J$9000,MATCH($I447,спр_Материалы!$A$2:$A$9000,0))="EUR",КурсEUR,1))*INDEX(спр_Материалы!$K$2:$K$9000,MATCH($I447,спр_Материалы!$A$2:$A$9000,0))*(1+IFERROR(INDEX(спр_Работы!$I$2:$I$6000,MATCH($C447,спр_Работы!$A$2:$A$6000,0))/100,0))*(1-ДисконтТендер),0))</f>
        <v/>
      </c>
      <c r="N447" s="10">
        <f>IF(AND($R447="да",$H447&lt;&gt;""),ROUND($H447*$L447,2),0)</f>
        <v/>
      </c>
      <c r="O447" s="10">
        <f>IF(AND($R447="да",$H447&lt;&gt;""),ROUND($H447*$M447,2),0)</f>
        <v/>
      </c>
      <c r="P447" s="10">
        <f>$N447+$O447</f>
        <v/>
      </c>
      <c r="Q447">
        <f>IFERROR(INDEX(спр_Работы!$J$2:$J$6000,MATCH($C447,спр_Работы!$A$2:$A$6000,0)),"")</f>
        <v/>
      </c>
      <c r="R447" t="inlineStr">
        <is>
          <t>да</t>
        </is>
      </c>
      <c r="T447">
        <f>IF(AND($P447&gt;0,$R447="да"),MAX($T$1:$T446)+1,"")</f>
        <v/>
      </c>
    </row>
    <row r="448">
      <c r="A448">
        <f>IFERROR(INDEX(спр_Работы!$D$2:$D$6000,MATCH($C448,спр_Работы!$A$2:$A$6000,0)),"")</f>
        <v/>
      </c>
      <c r="B448">
        <f>IFERROR(INDEX(спр_Работы!$F$2:$F$6000,MATCH($C448,спр_Работы!$A$2:$A$6000,0)),"")</f>
        <v/>
      </c>
      <c r="C448">
        <f>IFERROR(INDEX(спр_Работы!$A$2:$A$6000,447),"")</f>
        <v/>
      </c>
      <c r="D448" s="8">
        <f>IFERROR(INDEX(спр_Работы!$B$2:$B$6000,MATCH($C448,спр_Работы!$A$2:$A$6000,0)),"")</f>
        <v/>
      </c>
      <c r="E448">
        <f>IFERROR(INDEX(спр_Работы!$C$2:$C$6000,MATCH($C448,спр_Работы!$A$2:$A$6000,0)),"")</f>
        <v/>
      </c>
      <c r="F448">
        <f>IFERROR(INDEX(спр_Работы!$G$2:$G$6000,MATCH($C448,спр_Работы!$A$2:$A$6000,0)),"")</f>
        <v/>
      </c>
      <c r="G448">
        <f>IFERROR(INDEX(спр_Работы!$K$2:$K$6000,MATCH($C448,спр_Работы!$A$2:$A$6000,0)),"")</f>
        <v/>
      </c>
      <c r="H448" s="9" t="n"/>
      <c r="I448" s="9" t="n"/>
      <c r="J448" s="8">
        <f>IFERROR(INDEX(спр_Материалы!$B$2:$B$9000,MATCH($I448,спр_Материалы!$A$2:$A$9000,0)),"")</f>
        <v/>
      </c>
      <c r="K448">
        <f>IF($I448="","",IF($F448=IFERROR(INDEX(спр_Материалы!$G$2:$G$9000,MATCH($I448,спр_Материалы!$A$2:$A$9000,0)),""),"OK","!! не та группа"))</f>
        <v/>
      </c>
      <c r="L448" s="10">
        <f>IFERROR(INDEX(спр_Работы!$H$2:$H$6000,MATCH($C448,спр_Работы!$A$2:$A$6000,0))*(1-ДисконтТендер),0)</f>
        <v/>
      </c>
      <c r="M448" s="10">
        <f>IF($I448="",0,IFERROR(INDEX(спр_Материалы!$I$2:$I$9000,MATCH($I448,спр_Материалы!$A$2:$A$9000,0))*IF(INDEX(спр_Материалы!$J$2:$J$9000,MATCH($I448,спр_Материалы!$A$2:$A$9000,0))="USD",КурсUSD,IF(INDEX(спр_Материалы!$J$2:$J$9000,MATCH($I448,спр_Материалы!$A$2:$A$9000,0))="EUR",КурсEUR,1))*INDEX(спр_Материалы!$K$2:$K$9000,MATCH($I448,спр_Материалы!$A$2:$A$9000,0))*(1+IFERROR(INDEX(спр_Работы!$I$2:$I$6000,MATCH($C448,спр_Работы!$A$2:$A$6000,0))/100,0))*(1-ДисконтТендер),0))</f>
        <v/>
      </c>
      <c r="N448" s="10">
        <f>IF(AND($R448="да",$H448&lt;&gt;""),ROUND($H448*$L448,2),0)</f>
        <v/>
      </c>
      <c r="O448" s="10">
        <f>IF(AND($R448="да",$H448&lt;&gt;""),ROUND($H448*$M448,2),0)</f>
        <v/>
      </c>
      <c r="P448" s="10">
        <f>$N448+$O448</f>
        <v/>
      </c>
      <c r="Q448">
        <f>IFERROR(INDEX(спр_Работы!$J$2:$J$6000,MATCH($C448,спр_Работы!$A$2:$A$6000,0)),"")</f>
        <v/>
      </c>
      <c r="R448" t="inlineStr">
        <is>
          <t>да</t>
        </is>
      </c>
      <c r="T448">
        <f>IF(AND($P448&gt;0,$R448="да"),MAX($T$1:$T447)+1,"")</f>
        <v/>
      </c>
    </row>
    <row r="449">
      <c r="A449">
        <f>IFERROR(INDEX(спр_Работы!$D$2:$D$6000,MATCH($C449,спр_Работы!$A$2:$A$6000,0)),"")</f>
        <v/>
      </c>
      <c r="B449">
        <f>IFERROR(INDEX(спр_Работы!$F$2:$F$6000,MATCH($C449,спр_Работы!$A$2:$A$6000,0)),"")</f>
        <v/>
      </c>
      <c r="C449">
        <f>IFERROR(INDEX(спр_Работы!$A$2:$A$6000,448),"")</f>
        <v/>
      </c>
      <c r="D449" s="8">
        <f>IFERROR(INDEX(спр_Работы!$B$2:$B$6000,MATCH($C449,спр_Работы!$A$2:$A$6000,0)),"")</f>
        <v/>
      </c>
      <c r="E449">
        <f>IFERROR(INDEX(спр_Работы!$C$2:$C$6000,MATCH($C449,спр_Работы!$A$2:$A$6000,0)),"")</f>
        <v/>
      </c>
      <c r="F449">
        <f>IFERROR(INDEX(спр_Работы!$G$2:$G$6000,MATCH($C449,спр_Работы!$A$2:$A$6000,0)),"")</f>
        <v/>
      </c>
      <c r="G449">
        <f>IFERROR(INDEX(спр_Работы!$K$2:$K$6000,MATCH($C449,спр_Работы!$A$2:$A$6000,0)),"")</f>
        <v/>
      </c>
      <c r="H449" s="9" t="n"/>
      <c r="I449" s="9" t="n"/>
      <c r="J449" s="8">
        <f>IFERROR(INDEX(спр_Материалы!$B$2:$B$9000,MATCH($I449,спр_Материалы!$A$2:$A$9000,0)),"")</f>
        <v/>
      </c>
      <c r="K449">
        <f>IF($I449="","",IF($F449=IFERROR(INDEX(спр_Материалы!$G$2:$G$9000,MATCH($I449,спр_Материалы!$A$2:$A$9000,0)),""),"OK","!! не та группа"))</f>
        <v/>
      </c>
      <c r="L449" s="10">
        <f>IFERROR(INDEX(спр_Работы!$H$2:$H$6000,MATCH($C449,спр_Работы!$A$2:$A$6000,0))*(1-ДисконтТендер),0)</f>
        <v/>
      </c>
      <c r="M449" s="10">
        <f>IF($I449="",0,IFERROR(INDEX(спр_Материалы!$I$2:$I$9000,MATCH($I449,спр_Материалы!$A$2:$A$9000,0))*IF(INDEX(спр_Материалы!$J$2:$J$9000,MATCH($I449,спр_Материалы!$A$2:$A$9000,0))="USD",КурсUSD,IF(INDEX(спр_Материалы!$J$2:$J$9000,MATCH($I449,спр_Материалы!$A$2:$A$9000,0))="EUR",КурсEUR,1))*INDEX(спр_Материалы!$K$2:$K$9000,MATCH($I449,спр_Материалы!$A$2:$A$9000,0))*(1+IFERROR(INDEX(спр_Работы!$I$2:$I$6000,MATCH($C449,спр_Работы!$A$2:$A$6000,0))/100,0))*(1-ДисконтТендер),0))</f>
        <v/>
      </c>
      <c r="N449" s="10">
        <f>IF(AND($R449="да",$H449&lt;&gt;""),ROUND($H449*$L449,2),0)</f>
        <v/>
      </c>
      <c r="O449" s="10">
        <f>IF(AND($R449="да",$H449&lt;&gt;""),ROUND($H449*$M449,2),0)</f>
        <v/>
      </c>
      <c r="P449" s="10">
        <f>$N449+$O449</f>
        <v/>
      </c>
      <c r="Q449">
        <f>IFERROR(INDEX(спр_Работы!$J$2:$J$6000,MATCH($C449,спр_Работы!$A$2:$A$6000,0)),"")</f>
        <v/>
      </c>
      <c r="R449" t="inlineStr">
        <is>
          <t>да</t>
        </is>
      </c>
      <c r="T449">
        <f>IF(AND($P449&gt;0,$R449="да"),MAX($T$1:$T448)+1,"")</f>
        <v/>
      </c>
    </row>
    <row r="450">
      <c r="A450">
        <f>IFERROR(INDEX(спр_Работы!$D$2:$D$6000,MATCH($C450,спр_Работы!$A$2:$A$6000,0)),"")</f>
        <v/>
      </c>
      <c r="B450">
        <f>IFERROR(INDEX(спр_Работы!$F$2:$F$6000,MATCH($C450,спр_Работы!$A$2:$A$6000,0)),"")</f>
        <v/>
      </c>
      <c r="C450">
        <f>IFERROR(INDEX(спр_Работы!$A$2:$A$6000,449),"")</f>
        <v/>
      </c>
      <c r="D450" s="8">
        <f>IFERROR(INDEX(спр_Работы!$B$2:$B$6000,MATCH($C450,спр_Работы!$A$2:$A$6000,0)),"")</f>
        <v/>
      </c>
      <c r="E450">
        <f>IFERROR(INDEX(спр_Работы!$C$2:$C$6000,MATCH($C450,спр_Работы!$A$2:$A$6000,0)),"")</f>
        <v/>
      </c>
      <c r="F450">
        <f>IFERROR(INDEX(спр_Работы!$G$2:$G$6000,MATCH($C450,спр_Работы!$A$2:$A$6000,0)),"")</f>
        <v/>
      </c>
      <c r="G450">
        <f>IFERROR(INDEX(спр_Работы!$K$2:$K$6000,MATCH($C450,спр_Работы!$A$2:$A$6000,0)),"")</f>
        <v/>
      </c>
      <c r="H450" s="9" t="n"/>
      <c r="I450" s="9" t="n"/>
      <c r="J450" s="8">
        <f>IFERROR(INDEX(спр_Материалы!$B$2:$B$9000,MATCH($I450,спр_Материалы!$A$2:$A$9000,0)),"")</f>
        <v/>
      </c>
      <c r="K450">
        <f>IF($I450="","",IF($F450=IFERROR(INDEX(спр_Материалы!$G$2:$G$9000,MATCH($I450,спр_Материалы!$A$2:$A$9000,0)),""),"OK","!! не та группа"))</f>
        <v/>
      </c>
      <c r="L450" s="10">
        <f>IFERROR(INDEX(спр_Работы!$H$2:$H$6000,MATCH($C450,спр_Работы!$A$2:$A$6000,0))*(1-ДисконтТендер),0)</f>
        <v/>
      </c>
      <c r="M450" s="10">
        <f>IF($I450="",0,IFERROR(INDEX(спр_Материалы!$I$2:$I$9000,MATCH($I450,спр_Материалы!$A$2:$A$9000,0))*IF(INDEX(спр_Материалы!$J$2:$J$9000,MATCH($I450,спр_Материалы!$A$2:$A$9000,0))="USD",КурсUSD,IF(INDEX(спр_Материалы!$J$2:$J$9000,MATCH($I450,спр_Материалы!$A$2:$A$9000,0))="EUR",КурсEUR,1))*INDEX(спр_Материалы!$K$2:$K$9000,MATCH($I450,спр_Материалы!$A$2:$A$9000,0))*(1+IFERROR(INDEX(спр_Работы!$I$2:$I$6000,MATCH($C450,спр_Работы!$A$2:$A$6000,0))/100,0))*(1-ДисконтТендер),0))</f>
        <v/>
      </c>
      <c r="N450" s="10">
        <f>IF(AND($R450="да",$H450&lt;&gt;""),ROUND($H450*$L450,2),0)</f>
        <v/>
      </c>
      <c r="O450" s="10">
        <f>IF(AND($R450="да",$H450&lt;&gt;""),ROUND($H450*$M450,2),0)</f>
        <v/>
      </c>
      <c r="P450" s="10">
        <f>$N450+$O450</f>
        <v/>
      </c>
      <c r="Q450">
        <f>IFERROR(INDEX(спр_Работы!$J$2:$J$6000,MATCH($C450,спр_Работы!$A$2:$A$6000,0)),"")</f>
        <v/>
      </c>
      <c r="R450" t="inlineStr">
        <is>
          <t>да</t>
        </is>
      </c>
      <c r="T450">
        <f>IF(AND($P450&gt;0,$R450="да"),MAX($T$1:$T449)+1,"")</f>
        <v/>
      </c>
    </row>
    <row r="451">
      <c r="A451">
        <f>IFERROR(INDEX(спр_Работы!$D$2:$D$6000,MATCH($C451,спр_Работы!$A$2:$A$6000,0)),"")</f>
        <v/>
      </c>
      <c r="B451">
        <f>IFERROR(INDEX(спр_Работы!$F$2:$F$6000,MATCH($C451,спр_Работы!$A$2:$A$6000,0)),"")</f>
        <v/>
      </c>
      <c r="C451">
        <f>IFERROR(INDEX(спр_Работы!$A$2:$A$6000,450),"")</f>
        <v/>
      </c>
      <c r="D451" s="8">
        <f>IFERROR(INDEX(спр_Работы!$B$2:$B$6000,MATCH($C451,спр_Работы!$A$2:$A$6000,0)),"")</f>
        <v/>
      </c>
      <c r="E451">
        <f>IFERROR(INDEX(спр_Работы!$C$2:$C$6000,MATCH($C451,спр_Работы!$A$2:$A$6000,0)),"")</f>
        <v/>
      </c>
      <c r="F451">
        <f>IFERROR(INDEX(спр_Работы!$G$2:$G$6000,MATCH($C451,спр_Работы!$A$2:$A$6000,0)),"")</f>
        <v/>
      </c>
      <c r="G451">
        <f>IFERROR(INDEX(спр_Работы!$K$2:$K$6000,MATCH($C451,спр_Работы!$A$2:$A$6000,0)),"")</f>
        <v/>
      </c>
      <c r="H451" s="9" t="n"/>
      <c r="I451" s="9" t="n"/>
      <c r="J451" s="8">
        <f>IFERROR(INDEX(спр_Материалы!$B$2:$B$9000,MATCH($I451,спр_Материалы!$A$2:$A$9000,0)),"")</f>
        <v/>
      </c>
      <c r="K451">
        <f>IF($I451="","",IF($F451=IFERROR(INDEX(спр_Материалы!$G$2:$G$9000,MATCH($I451,спр_Материалы!$A$2:$A$9000,0)),""),"OK","!! не та группа"))</f>
        <v/>
      </c>
      <c r="L451" s="10">
        <f>IFERROR(INDEX(спр_Работы!$H$2:$H$6000,MATCH($C451,спр_Работы!$A$2:$A$6000,0))*(1-ДисконтТендер),0)</f>
        <v/>
      </c>
      <c r="M451" s="10">
        <f>IF($I451="",0,IFERROR(INDEX(спр_Материалы!$I$2:$I$9000,MATCH($I451,спр_Материалы!$A$2:$A$9000,0))*IF(INDEX(спр_Материалы!$J$2:$J$9000,MATCH($I451,спр_Материалы!$A$2:$A$9000,0))="USD",КурсUSD,IF(INDEX(спр_Материалы!$J$2:$J$9000,MATCH($I451,спр_Материалы!$A$2:$A$9000,0))="EUR",КурсEUR,1))*INDEX(спр_Материалы!$K$2:$K$9000,MATCH($I451,спр_Материалы!$A$2:$A$9000,0))*(1+IFERROR(INDEX(спр_Работы!$I$2:$I$6000,MATCH($C451,спр_Работы!$A$2:$A$6000,0))/100,0))*(1-ДисконтТендер),0))</f>
        <v/>
      </c>
      <c r="N451" s="10">
        <f>IF(AND($R451="да",$H451&lt;&gt;""),ROUND($H451*$L451,2),0)</f>
        <v/>
      </c>
      <c r="O451" s="10">
        <f>IF(AND($R451="да",$H451&lt;&gt;""),ROUND($H451*$M451,2),0)</f>
        <v/>
      </c>
      <c r="P451" s="10">
        <f>$N451+$O451</f>
        <v/>
      </c>
      <c r="Q451">
        <f>IFERROR(INDEX(спр_Работы!$J$2:$J$6000,MATCH($C451,спр_Работы!$A$2:$A$6000,0)),"")</f>
        <v/>
      </c>
      <c r="R451" t="inlineStr">
        <is>
          <t>да</t>
        </is>
      </c>
      <c r="T451">
        <f>IF(AND($P451&gt;0,$R451="да"),MAX($T$1:$T450)+1,"")</f>
        <v/>
      </c>
    </row>
    <row r="452">
      <c r="A452">
        <f>IFERROR(INDEX(спр_Работы!$D$2:$D$6000,MATCH($C452,спр_Работы!$A$2:$A$6000,0)),"")</f>
        <v/>
      </c>
      <c r="B452">
        <f>IFERROR(INDEX(спр_Работы!$F$2:$F$6000,MATCH($C452,спр_Работы!$A$2:$A$6000,0)),"")</f>
        <v/>
      </c>
      <c r="C452">
        <f>IFERROR(INDEX(спр_Работы!$A$2:$A$6000,451),"")</f>
        <v/>
      </c>
      <c r="D452" s="8">
        <f>IFERROR(INDEX(спр_Работы!$B$2:$B$6000,MATCH($C452,спр_Работы!$A$2:$A$6000,0)),"")</f>
        <v/>
      </c>
      <c r="E452">
        <f>IFERROR(INDEX(спр_Работы!$C$2:$C$6000,MATCH($C452,спр_Работы!$A$2:$A$6000,0)),"")</f>
        <v/>
      </c>
      <c r="F452">
        <f>IFERROR(INDEX(спр_Работы!$G$2:$G$6000,MATCH($C452,спр_Работы!$A$2:$A$6000,0)),"")</f>
        <v/>
      </c>
      <c r="G452">
        <f>IFERROR(INDEX(спр_Работы!$K$2:$K$6000,MATCH($C452,спр_Работы!$A$2:$A$6000,0)),"")</f>
        <v/>
      </c>
      <c r="H452" s="9" t="n"/>
      <c r="I452" s="9" t="n"/>
      <c r="J452" s="8">
        <f>IFERROR(INDEX(спр_Материалы!$B$2:$B$9000,MATCH($I452,спр_Материалы!$A$2:$A$9000,0)),"")</f>
        <v/>
      </c>
      <c r="K452">
        <f>IF($I452="","",IF($F452=IFERROR(INDEX(спр_Материалы!$G$2:$G$9000,MATCH($I452,спр_Материалы!$A$2:$A$9000,0)),""),"OK","!! не та группа"))</f>
        <v/>
      </c>
      <c r="L452" s="10">
        <f>IFERROR(INDEX(спр_Работы!$H$2:$H$6000,MATCH($C452,спр_Работы!$A$2:$A$6000,0))*(1-ДисконтТендер),0)</f>
        <v/>
      </c>
      <c r="M452" s="10">
        <f>IF($I452="",0,IFERROR(INDEX(спр_Материалы!$I$2:$I$9000,MATCH($I452,спр_Материалы!$A$2:$A$9000,0))*IF(INDEX(спр_Материалы!$J$2:$J$9000,MATCH($I452,спр_Материалы!$A$2:$A$9000,0))="USD",КурсUSD,IF(INDEX(спр_Материалы!$J$2:$J$9000,MATCH($I452,спр_Материалы!$A$2:$A$9000,0))="EUR",КурсEUR,1))*INDEX(спр_Материалы!$K$2:$K$9000,MATCH($I452,спр_Материалы!$A$2:$A$9000,0))*(1+IFERROR(INDEX(спр_Работы!$I$2:$I$6000,MATCH($C452,спр_Работы!$A$2:$A$6000,0))/100,0))*(1-ДисконтТендер),0))</f>
        <v/>
      </c>
      <c r="N452" s="10">
        <f>IF(AND($R452="да",$H452&lt;&gt;""),ROUND($H452*$L452,2),0)</f>
        <v/>
      </c>
      <c r="O452" s="10">
        <f>IF(AND($R452="да",$H452&lt;&gt;""),ROUND($H452*$M452,2),0)</f>
        <v/>
      </c>
      <c r="P452" s="10">
        <f>$N452+$O452</f>
        <v/>
      </c>
      <c r="Q452">
        <f>IFERROR(INDEX(спр_Работы!$J$2:$J$6000,MATCH($C452,спр_Работы!$A$2:$A$6000,0)),"")</f>
        <v/>
      </c>
      <c r="R452" t="inlineStr">
        <is>
          <t>да</t>
        </is>
      </c>
      <c r="T452">
        <f>IF(AND($P452&gt;0,$R452="да"),MAX($T$1:$T451)+1,"")</f>
        <v/>
      </c>
    </row>
    <row r="453">
      <c r="A453">
        <f>IFERROR(INDEX(спр_Работы!$D$2:$D$6000,MATCH($C453,спр_Работы!$A$2:$A$6000,0)),"")</f>
        <v/>
      </c>
      <c r="B453">
        <f>IFERROR(INDEX(спр_Работы!$F$2:$F$6000,MATCH($C453,спр_Работы!$A$2:$A$6000,0)),"")</f>
        <v/>
      </c>
      <c r="C453">
        <f>IFERROR(INDEX(спр_Работы!$A$2:$A$6000,452),"")</f>
        <v/>
      </c>
      <c r="D453" s="8">
        <f>IFERROR(INDEX(спр_Работы!$B$2:$B$6000,MATCH($C453,спр_Работы!$A$2:$A$6000,0)),"")</f>
        <v/>
      </c>
      <c r="E453">
        <f>IFERROR(INDEX(спр_Работы!$C$2:$C$6000,MATCH($C453,спр_Работы!$A$2:$A$6000,0)),"")</f>
        <v/>
      </c>
      <c r="F453">
        <f>IFERROR(INDEX(спр_Работы!$G$2:$G$6000,MATCH($C453,спр_Работы!$A$2:$A$6000,0)),"")</f>
        <v/>
      </c>
      <c r="G453">
        <f>IFERROR(INDEX(спр_Работы!$K$2:$K$6000,MATCH($C453,спр_Работы!$A$2:$A$6000,0)),"")</f>
        <v/>
      </c>
      <c r="H453" s="9" t="n"/>
      <c r="I453" s="9" t="n"/>
      <c r="J453" s="8">
        <f>IFERROR(INDEX(спр_Материалы!$B$2:$B$9000,MATCH($I453,спр_Материалы!$A$2:$A$9000,0)),"")</f>
        <v/>
      </c>
      <c r="K453">
        <f>IF($I453="","",IF($F453=IFERROR(INDEX(спр_Материалы!$G$2:$G$9000,MATCH($I453,спр_Материалы!$A$2:$A$9000,0)),""),"OK","!! не та группа"))</f>
        <v/>
      </c>
      <c r="L453" s="10">
        <f>IFERROR(INDEX(спр_Работы!$H$2:$H$6000,MATCH($C453,спр_Работы!$A$2:$A$6000,0))*(1-ДисконтТендер),0)</f>
        <v/>
      </c>
      <c r="M453" s="10">
        <f>IF($I453="",0,IFERROR(INDEX(спр_Материалы!$I$2:$I$9000,MATCH($I453,спр_Материалы!$A$2:$A$9000,0))*IF(INDEX(спр_Материалы!$J$2:$J$9000,MATCH($I453,спр_Материалы!$A$2:$A$9000,0))="USD",КурсUSD,IF(INDEX(спр_Материалы!$J$2:$J$9000,MATCH($I453,спр_Материалы!$A$2:$A$9000,0))="EUR",КурсEUR,1))*INDEX(спр_Материалы!$K$2:$K$9000,MATCH($I453,спр_Материалы!$A$2:$A$9000,0))*(1+IFERROR(INDEX(спр_Работы!$I$2:$I$6000,MATCH($C453,спр_Работы!$A$2:$A$6000,0))/100,0))*(1-ДисконтТендер),0))</f>
        <v/>
      </c>
      <c r="N453" s="10">
        <f>IF(AND($R453="да",$H453&lt;&gt;""),ROUND($H453*$L453,2),0)</f>
        <v/>
      </c>
      <c r="O453" s="10">
        <f>IF(AND($R453="да",$H453&lt;&gt;""),ROUND($H453*$M453,2),0)</f>
        <v/>
      </c>
      <c r="P453" s="10">
        <f>$N453+$O453</f>
        <v/>
      </c>
      <c r="Q453">
        <f>IFERROR(INDEX(спр_Работы!$J$2:$J$6000,MATCH($C453,спр_Работы!$A$2:$A$6000,0)),"")</f>
        <v/>
      </c>
      <c r="R453" t="inlineStr">
        <is>
          <t>да</t>
        </is>
      </c>
      <c r="T453">
        <f>IF(AND($P453&gt;0,$R453="да"),MAX($T$1:$T452)+1,"")</f>
        <v/>
      </c>
    </row>
    <row r="454">
      <c r="A454">
        <f>IFERROR(INDEX(спр_Работы!$D$2:$D$6000,MATCH($C454,спр_Работы!$A$2:$A$6000,0)),"")</f>
        <v/>
      </c>
      <c r="B454">
        <f>IFERROR(INDEX(спр_Работы!$F$2:$F$6000,MATCH($C454,спр_Работы!$A$2:$A$6000,0)),"")</f>
        <v/>
      </c>
      <c r="C454">
        <f>IFERROR(INDEX(спр_Работы!$A$2:$A$6000,453),"")</f>
        <v/>
      </c>
      <c r="D454" s="8">
        <f>IFERROR(INDEX(спр_Работы!$B$2:$B$6000,MATCH($C454,спр_Работы!$A$2:$A$6000,0)),"")</f>
        <v/>
      </c>
      <c r="E454">
        <f>IFERROR(INDEX(спр_Работы!$C$2:$C$6000,MATCH($C454,спр_Работы!$A$2:$A$6000,0)),"")</f>
        <v/>
      </c>
      <c r="F454">
        <f>IFERROR(INDEX(спр_Работы!$G$2:$G$6000,MATCH($C454,спр_Работы!$A$2:$A$6000,0)),"")</f>
        <v/>
      </c>
      <c r="G454">
        <f>IFERROR(INDEX(спр_Работы!$K$2:$K$6000,MATCH($C454,спр_Работы!$A$2:$A$6000,0)),"")</f>
        <v/>
      </c>
      <c r="H454" s="9" t="n"/>
      <c r="I454" s="9" t="n"/>
      <c r="J454" s="8">
        <f>IFERROR(INDEX(спр_Материалы!$B$2:$B$9000,MATCH($I454,спр_Материалы!$A$2:$A$9000,0)),"")</f>
        <v/>
      </c>
      <c r="K454">
        <f>IF($I454="","",IF($F454=IFERROR(INDEX(спр_Материалы!$G$2:$G$9000,MATCH($I454,спр_Материалы!$A$2:$A$9000,0)),""),"OK","!! не та группа"))</f>
        <v/>
      </c>
      <c r="L454" s="10">
        <f>IFERROR(INDEX(спр_Работы!$H$2:$H$6000,MATCH($C454,спр_Работы!$A$2:$A$6000,0))*(1-ДисконтТендер),0)</f>
        <v/>
      </c>
      <c r="M454" s="10">
        <f>IF($I454="",0,IFERROR(INDEX(спр_Материалы!$I$2:$I$9000,MATCH($I454,спр_Материалы!$A$2:$A$9000,0))*IF(INDEX(спр_Материалы!$J$2:$J$9000,MATCH($I454,спр_Материалы!$A$2:$A$9000,0))="USD",КурсUSD,IF(INDEX(спр_Материалы!$J$2:$J$9000,MATCH($I454,спр_Материалы!$A$2:$A$9000,0))="EUR",КурсEUR,1))*INDEX(спр_Материалы!$K$2:$K$9000,MATCH($I454,спр_Материалы!$A$2:$A$9000,0))*(1+IFERROR(INDEX(спр_Работы!$I$2:$I$6000,MATCH($C454,спр_Работы!$A$2:$A$6000,0))/100,0))*(1-ДисконтТендер),0))</f>
        <v/>
      </c>
      <c r="N454" s="10">
        <f>IF(AND($R454="да",$H454&lt;&gt;""),ROUND($H454*$L454,2),0)</f>
        <v/>
      </c>
      <c r="O454" s="10">
        <f>IF(AND($R454="да",$H454&lt;&gt;""),ROUND($H454*$M454,2),0)</f>
        <v/>
      </c>
      <c r="P454" s="10">
        <f>$N454+$O454</f>
        <v/>
      </c>
      <c r="Q454">
        <f>IFERROR(INDEX(спр_Работы!$J$2:$J$6000,MATCH($C454,спр_Работы!$A$2:$A$6000,0)),"")</f>
        <v/>
      </c>
      <c r="R454" t="inlineStr">
        <is>
          <t>да</t>
        </is>
      </c>
      <c r="T454">
        <f>IF(AND($P454&gt;0,$R454="да"),MAX($T$1:$T453)+1,"")</f>
        <v/>
      </c>
    </row>
    <row r="455">
      <c r="A455">
        <f>IFERROR(INDEX(спр_Работы!$D$2:$D$6000,MATCH($C455,спр_Работы!$A$2:$A$6000,0)),"")</f>
        <v/>
      </c>
      <c r="B455">
        <f>IFERROR(INDEX(спр_Работы!$F$2:$F$6000,MATCH($C455,спр_Работы!$A$2:$A$6000,0)),"")</f>
        <v/>
      </c>
      <c r="C455">
        <f>IFERROR(INDEX(спр_Работы!$A$2:$A$6000,454),"")</f>
        <v/>
      </c>
      <c r="D455" s="8">
        <f>IFERROR(INDEX(спр_Работы!$B$2:$B$6000,MATCH($C455,спр_Работы!$A$2:$A$6000,0)),"")</f>
        <v/>
      </c>
      <c r="E455">
        <f>IFERROR(INDEX(спр_Работы!$C$2:$C$6000,MATCH($C455,спр_Работы!$A$2:$A$6000,0)),"")</f>
        <v/>
      </c>
      <c r="F455">
        <f>IFERROR(INDEX(спр_Работы!$G$2:$G$6000,MATCH($C455,спр_Работы!$A$2:$A$6000,0)),"")</f>
        <v/>
      </c>
      <c r="G455">
        <f>IFERROR(INDEX(спр_Работы!$K$2:$K$6000,MATCH($C455,спр_Работы!$A$2:$A$6000,0)),"")</f>
        <v/>
      </c>
      <c r="H455" s="9" t="n"/>
      <c r="I455" s="9" t="n"/>
      <c r="J455" s="8">
        <f>IFERROR(INDEX(спр_Материалы!$B$2:$B$9000,MATCH($I455,спр_Материалы!$A$2:$A$9000,0)),"")</f>
        <v/>
      </c>
      <c r="K455">
        <f>IF($I455="","",IF($F455=IFERROR(INDEX(спр_Материалы!$G$2:$G$9000,MATCH($I455,спр_Материалы!$A$2:$A$9000,0)),""),"OK","!! не та группа"))</f>
        <v/>
      </c>
      <c r="L455" s="10">
        <f>IFERROR(INDEX(спр_Работы!$H$2:$H$6000,MATCH($C455,спр_Работы!$A$2:$A$6000,0))*(1-ДисконтТендер),0)</f>
        <v/>
      </c>
      <c r="M455" s="10">
        <f>IF($I455="",0,IFERROR(INDEX(спр_Материалы!$I$2:$I$9000,MATCH($I455,спр_Материалы!$A$2:$A$9000,0))*IF(INDEX(спр_Материалы!$J$2:$J$9000,MATCH($I455,спр_Материалы!$A$2:$A$9000,0))="USD",КурсUSD,IF(INDEX(спр_Материалы!$J$2:$J$9000,MATCH($I455,спр_Материалы!$A$2:$A$9000,0))="EUR",КурсEUR,1))*INDEX(спр_Материалы!$K$2:$K$9000,MATCH($I455,спр_Материалы!$A$2:$A$9000,0))*(1+IFERROR(INDEX(спр_Работы!$I$2:$I$6000,MATCH($C455,спр_Работы!$A$2:$A$6000,0))/100,0))*(1-ДисконтТендер),0))</f>
        <v/>
      </c>
      <c r="N455" s="10">
        <f>IF(AND($R455="да",$H455&lt;&gt;""),ROUND($H455*$L455,2),0)</f>
        <v/>
      </c>
      <c r="O455" s="10">
        <f>IF(AND($R455="да",$H455&lt;&gt;""),ROUND($H455*$M455,2),0)</f>
        <v/>
      </c>
      <c r="P455" s="10">
        <f>$N455+$O455</f>
        <v/>
      </c>
      <c r="Q455">
        <f>IFERROR(INDEX(спр_Работы!$J$2:$J$6000,MATCH($C455,спр_Работы!$A$2:$A$6000,0)),"")</f>
        <v/>
      </c>
      <c r="R455" t="inlineStr">
        <is>
          <t>да</t>
        </is>
      </c>
      <c r="T455">
        <f>IF(AND($P455&gt;0,$R455="да"),MAX($T$1:$T454)+1,"")</f>
        <v/>
      </c>
    </row>
    <row r="456">
      <c r="A456">
        <f>IFERROR(INDEX(спр_Работы!$D$2:$D$6000,MATCH($C456,спр_Работы!$A$2:$A$6000,0)),"")</f>
        <v/>
      </c>
      <c r="B456">
        <f>IFERROR(INDEX(спр_Работы!$F$2:$F$6000,MATCH($C456,спр_Работы!$A$2:$A$6000,0)),"")</f>
        <v/>
      </c>
      <c r="C456">
        <f>IFERROR(INDEX(спр_Работы!$A$2:$A$6000,455),"")</f>
        <v/>
      </c>
      <c r="D456" s="8">
        <f>IFERROR(INDEX(спр_Работы!$B$2:$B$6000,MATCH($C456,спр_Работы!$A$2:$A$6000,0)),"")</f>
        <v/>
      </c>
      <c r="E456">
        <f>IFERROR(INDEX(спр_Работы!$C$2:$C$6000,MATCH($C456,спр_Работы!$A$2:$A$6000,0)),"")</f>
        <v/>
      </c>
      <c r="F456">
        <f>IFERROR(INDEX(спр_Работы!$G$2:$G$6000,MATCH($C456,спр_Работы!$A$2:$A$6000,0)),"")</f>
        <v/>
      </c>
      <c r="G456">
        <f>IFERROR(INDEX(спр_Работы!$K$2:$K$6000,MATCH($C456,спр_Работы!$A$2:$A$6000,0)),"")</f>
        <v/>
      </c>
      <c r="H456" s="9" t="n"/>
      <c r="I456" s="9" t="n"/>
      <c r="J456" s="8">
        <f>IFERROR(INDEX(спр_Материалы!$B$2:$B$9000,MATCH($I456,спр_Материалы!$A$2:$A$9000,0)),"")</f>
        <v/>
      </c>
      <c r="K456">
        <f>IF($I456="","",IF($F456=IFERROR(INDEX(спр_Материалы!$G$2:$G$9000,MATCH($I456,спр_Материалы!$A$2:$A$9000,0)),""),"OK","!! не та группа"))</f>
        <v/>
      </c>
      <c r="L456" s="10">
        <f>IFERROR(INDEX(спр_Работы!$H$2:$H$6000,MATCH($C456,спр_Работы!$A$2:$A$6000,0))*(1-ДисконтТендер),0)</f>
        <v/>
      </c>
      <c r="M456" s="10">
        <f>IF($I456="",0,IFERROR(INDEX(спр_Материалы!$I$2:$I$9000,MATCH($I456,спр_Материалы!$A$2:$A$9000,0))*IF(INDEX(спр_Материалы!$J$2:$J$9000,MATCH($I456,спр_Материалы!$A$2:$A$9000,0))="USD",КурсUSD,IF(INDEX(спр_Материалы!$J$2:$J$9000,MATCH($I456,спр_Материалы!$A$2:$A$9000,0))="EUR",КурсEUR,1))*INDEX(спр_Материалы!$K$2:$K$9000,MATCH($I456,спр_Материалы!$A$2:$A$9000,0))*(1+IFERROR(INDEX(спр_Работы!$I$2:$I$6000,MATCH($C456,спр_Работы!$A$2:$A$6000,0))/100,0))*(1-ДисконтТендер),0))</f>
        <v/>
      </c>
      <c r="N456" s="10">
        <f>IF(AND($R456="да",$H456&lt;&gt;""),ROUND($H456*$L456,2),0)</f>
        <v/>
      </c>
      <c r="O456" s="10">
        <f>IF(AND($R456="да",$H456&lt;&gt;""),ROUND($H456*$M456,2),0)</f>
        <v/>
      </c>
      <c r="P456" s="10">
        <f>$N456+$O456</f>
        <v/>
      </c>
      <c r="Q456">
        <f>IFERROR(INDEX(спр_Работы!$J$2:$J$6000,MATCH($C456,спр_Работы!$A$2:$A$6000,0)),"")</f>
        <v/>
      </c>
      <c r="R456" t="inlineStr">
        <is>
          <t>да</t>
        </is>
      </c>
      <c r="T456">
        <f>IF(AND($P456&gt;0,$R456="да"),MAX($T$1:$T455)+1,"")</f>
        <v/>
      </c>
    </row>
    <row r="457">
      <c r="A457">
        <f>IFERROR(INDEX(спр_Работы!$D$2:$D$6000,MATCH($C457,спр_Работы!$A$2:$A$6000,0)),"")</f>
        <v/>
      </c>
      <c r="B457">
        <f>IFERROR(INDEX(спр_Работы!$F$2:$F$6000,MATCH($C457,спр_Работы!$A$2:$A$6000,0)),"")</f>
        <v/>
      </c>
      <c r="C457">
        <f>IFERROR(INDEX(спр_Работы!$A$2:$A$6000,456),"")</f>
        <v/>
      </c>
      <c r="D457" s="8">
        <f>IFERROR(INDEX(спр_Работы!$B$2:$B$6000,MATCH($C457,спр_Работы!$A$2:$A$6000,0)),"")</f>
        <v/>
      </c>
      <c r="E457">
        <f>IFERROR(INDEX(спр_Работы!$C$2:$C$6000,MATCH($C457,спр_Работы!$A$2:$A$6000,0)),"")</f>
        <v/>
      </c>
      <c r="F457">
        <f>IFERROR(INDEX(спр_Работы!$G$2:$G$6000,MATCH($C457,спр_Работы!$A$2:$A$6000,0)),"")</f>
        <v/>
      </c>
      <c r="G457">
        <f>IFERROR(INDEX(спр_Работы!$K$2:$K$6000,MATCH($C457,спр_Работы!$A$2:$A$6000,0)),"")</f>
        <v/>
      </c>
      <c r="H457" s="9" t="n"/>
      <c r="I457" s="9" t="n"/>
      <c r="J457" s="8">
        <f>IFERROR(INDEX(спр_Материалы!$B$2:$B$9000,MATCH($I457,спр_Материалы!$A$2:$A$9000,0)),"")</f>
        <v/>
      </c>
      <c r="K457">
        <f>IF($I457="","",IF($F457=IFERROR(INDEX(спр_Материалы!$G$2:$G$9000,MATCH($I457,спр_Материалы!$A$2:$A$9000,0)),""),"OK","!! не та группа"))</f>
        <v/>
      </c>
      <c r="L457" s="10">
        <f>IFERROR(INDEX(спр_Работы!$H$2:$H$6000,MATCH($C457,спр_Работы!$A$2:$A$6000,0))*(1-ДисконтТендер),0)</f>
        <v/>
      </c>
      <c r="M457" s="10">
        <f>IF($I457="",0,IFERROR(INDEX(спр_Материалы!$I$2:$I$9000,MATCH($I457,спр_Материалы!$A$2:$A$9000,0))*IF(INDEX(спр_Материалы!$J$2:$J$9000,MATCH($I457,спр_Материалы!$A$2:$A$9000,0))="USD",КурсUSD,IF(INDEX(спр_Материалы!$J$2:$J$9000,MATCH($I457,спр_Материалы!$A$2:$A$9000,0))="EUR",КурсEUR,1))*INDEX(спр_Материалы!$K$2:$K$9000,MATCH($I457,спр_Материалы!$A$2:$A$9000,0))*(1+IFERROR(INDEX(спр_Работы!$I$2:$I$6000,MATCH($C457,спр_Работы!$A$2:$A$6000,0))/100,0))*(1-ДисконтТендер),0))</f>
        <v/>
      </c>
      <c r="N457" s="10">
        <f>IF(AND($R457="да",$H457&lt;&gt;""),ROUND($H457*$L457,2),0)</f>
        <v/>
      </c>
      <c r="O457" s="10">
        <f>IF(AND($R457="да",$H457&lt;&gt;""),ROUND($H457*$M457,2),0)</f>
        <v/>
      </c>
      <c r="P457" s="10">
        <f>$N457+$O457</f>
        <v/>
      </c>
      <c r="Q457">
        <f>IFERROR(INDEX(спр_Работы!$J$2:$J$6000,MATCH($C457,спр_Работы!$A$2:$A$6000,0)),"")</f>
        <v/>
      </c>
      <c r="R457" t="inlineStr">
        <is>
          <t>да</t>
        </is>
      </c>
      <c r="T457">
        <f>IF(AND($P457&gt;0,$R457="да"),MAX($T$1:$T456)+1,"")</f>
        <v/>
      </c>
    </row>
    <row r="458">
      <c r="A458">
        <f>IFERROR(INDEX(спр_Работы!$D$2:$D$6000,MATCH($C458,спр_Работы!$A$2:$A$6000,0)),"")</f>
        <v/>
      </c>
      <c r="B458">
        <f>IFERROR(INDEX(спр_Работы!$F$2:$F$6000,MATCH($C458,спр_Работы!$A$2:$A$6000,0)),"")</f>
        <v/>
      </c>
      <c r="C458">
        <f>IFERROR(INDEX(спр_Работы!$A$2:$A$6000,457),"")</f>
        <v/>
      </c>
      <c r="D458" s="8">
        <f>IFERROR(INDEX(спр_Работы!$B$2:$B$6000,MATCH($C458,спр_Работы!$A$2:$A$6000,0)),"")</f>
        <v/>
      </c>
      <c r="E458">
        <f>IFERROR(INDEX(спр_Работы!$C$2:$C$6000,MATCH($C458,спр_Работы!$A$2:$A$6000,0)),"")</f>
        <v/>
      </c>
      <c r="F458">
        <f>IFERROR(INDEX(спр_Работы!$G$2:$G$6000,MATCH($C458,спр_Работы!$A$2:$A$6000,0)),"")</f>
        <v/>
      </c>
      <c r="G458">
        <f>IFERROR(INDEX(спр_Работы!$K$2:$K$6000,MATCH($C458,спр_Работы!$A$2:$A$6000,0)),"")</f>
        <v/>
      </c>
      <c r="H458" s="9" t="n"/>
      <c r="I458" s="9" t="n"/>
      <c r="J458" s="8">
        <f>IFERROR(INDEX(спр_Материалы!$B$2:$B$9000,MATCH($I458,спр_Материалы!$A$2:$A$9000,0)),"")</f>
        <v/>
      </c>
      <c r="K458">
        <f>IF($I458="","",IF($F458=IFERROR(INDEX(спр_Материалы!$G$2:$G$9000,MATCH($I458,спр_Материалы!$A$2:$A$9000,0)),""),"OK","!! не та группа"))</f>
        <v/>
      </c>
      <c r="L458" s="10">
        <f>IFERROR(INDEX(спр_Работы!$H$2:$H$6000,MATCH($C458,спр_Работы!$A$2:$A$6000,0))*(1-ДисконтТендер),0)</f>
        <v/>
      </c>
      <c r="M458" s="10">
        <f>IF($I458="",0,IFERROR(INDEX(спр_Материалы!$I$2:$I$9000,MATCH($I458,спр_Материалы!$A$2:$A$9000,0))*IF(INDEX(спр_Материалы!$J$2:$J$9000,MATCH($I458,спр_Материалы!$A$2:$A$9000,0))="USD",КурсUSD,IF(INDEX(спр_Материалы!$J$2:$J$9000,MATCH($I458,спр_Материалы!$A$2:$A$9000,0))="EUR",КурсEUR,1))*INDEX(спр_Материалы!$K$2:$K$9000,MATCH($I458,спр_Материалы!$A$2:$A$9000,0))*(1+IFERROR(INDEX(спр_Работы!$I$2:$I$6000,MATCH($C458,спр_Работы!$A$2:$A$6000,0))/100,0))*(1-ДисконтТендер),0))</f>
        <v/>
      </c>
      <c r="N458" s="10">
        <f>IF(AND($R458="да",$H458&lt;&gt;""),ROUND($H458*$L458,2),0)</f>
        <v/>
      </c>
      <c r="O458" s="10">
        <f>IF(AND($R458="да",$H458&lt;&gt;""),ROUND($H458*$M458,2),0)</f>
        <v/>
      </c>
      <c r="P458" s="10">
        <f>$N458+$O458</f>
        <v/>
      </c>
      <c r="Q458">
        <f>IFERROR(INDEX(спр_Работы!$J$2:$J$6000,MATCH($C458,спр_Работы!$A$2:$A$6000,0)),"")</f>
        <v/>
      </c>
      <c r="R458" t="inlineStr">
        <is>
          <t>да</t>
        </is>
      </c>
      <c r="T458">
        <f>IF(AND($P458&gt;0,$R458="да"),MAX($T$1:$T457)+1,"")</f>
        <v/>
      </c>
    </row>
    <row r="459">
      <c r="A459">
        <f>IFERROR(INDEX(спр_Работы!$D$2:$D$6000,MATCH($C459,спр_Работы!$A$2:$A$6000,0)),"")</f>
        <v/>
      </c>
      <c r="B459">
        <f>IFERROR(INDEX(спр_Работы!$F$2:$F$6000,MATCH($C459,спр_Работы!$A$2:$A$6000,0)),"")</f>
        <v/>
      </c>
      <c r="C459">
        <f>IFERROR(INDEX(спр_Работы!$A$2:$A$6000,458),"")</f>
        <v/>
      </c>
      <c r="D459" s="8">
        <f>IFERROR(INDEX(спр_Работы!$B$2:$B$6000,MATCH($C459,спр_Работы!$A$2:$A$6000,0)),"")</f>
        <v/>
      </c>
      <c r="E459">
        <f>IFERROR(INDEX(спр_Работы!$C$2:$C$6000,MATCH($C459,спр_Работы!$A$2:$A$6000,0)),"")</f>
        <v/>
      </c>
      <c r="F459">
        <f>IFERROR(INDEX(спр_Работы!$G$2:$G$6000,MATCH($C459,спр_Работы!$A$2:$A$6000,0)),"")</f>
        <v/>
      </c>
      <c r="G459">
        <f>IFERROR(INDEX(спр_Работы!$K$2:$K$6000,MATCH($C459,спр_Работы!$A$2:$A$6000,0)),"")</f>
        <v/>
      </c>
      <c r="H459" s="9" t="n"/>
      <c r="I459" s="9" t="n"/>
      <c r="J459" s="8">
        <f>IFERROR(INDEX(спр_Материалы!$B$2:$B$9000,MATCH($I459,спр_Материалы!$A$2:$A$9000,0)),"")</f>
        <v/>
      </c>
      <c r="K459">
        <f>IF($I459="","",IF($F459=IFERROR(INDEX(спр_Материалы!$G$2:$G$9000,MATCH($I459,спр_Материалы!$A$2:$A$9000,0)),""),"OK","!! не та группа"))</f>
        <v/>
      </c>
      <c r="L459" s="10">
        <f>IFERROR(INDEX(спр_Работы!$H$2:$H$6000,MATCH($C459,спр_Работы!$A$2:$A$6000,0))*(1-ДисконтТендер),0)</f>
        <v/>
      </c>
      <c r="M459" s="10">
        <f>IF($I459="",0,IFERROR(INDEX(спр_Материалы!$I$2:$I$9000,MATCH($I459,спр_Материалы!$A$2:$A$9000,0))*IF(INDEX(спр_Материалы!$J$2:$J$9000,MATCH($I459,спр_Материалы!$A$2:$A$9000,0))="USD",КурсUSD,IF(INDEX(спр_Материалы!$J$2:$J$9000,MATCH($I459,спр_Материалы!$A$2:$A$9000,0))="EUR",КурсEUR,1))*INDEX(спр_Материалы!$K$2:$K$9000,MATCH($I459,спр_Материалы!$A$2:$A$9000,0))*(1+IFERROR(INDEX(спр_Работы!$I$2:$I$6000,MATCH($C459,спр_Работы!$A$2:$A$6000,0))/100,0))*(1-ДисконтТендер),0))</f>
        <v/>
      </c>
      <c r="N459" s="10">
        <f>IF(AND($R459="да",$H459&lt;&gt;""),ROUND($H459*$L459,2),0)</f>
        <v/>
      </c>
      <c r="O459" s="10">
        <f>IF(AND($R459="да",$H459&lt;&gt;""),ROUND($H459*$M459,2),0)</f>
        <v/>
      </c>
      <c r="P459" s="10">
        <f>$N459+$O459</f>
        <v/>
      </c>
      <c r="Q459">
        <f>IFERROR(INDEX(спр_Работы!$J$2:$J$6000,MATCH($C459,спр_Работы!$A$2:$A$6000,0)),"")</f>
        <v/>
      </c>
      <c r="R459" t="inlineStr">
        <is>
          <t>да</t>
        </is>
      </c>
      <c r="T459">
        <f>IF(AND($P459&gt;0,$R459="да"),MAX($T$1:$T458)+1,"")</f>
        <v/>
      </c>
    </row>
    <row r="460">
      <c r="A460">
        <f>IFERROR(INDEX(спр_Работы!$D$2:$D$6000,MATCH($C460,спр_Работы!$A$2:$A$6000,0)),"")</f>
        <v/>
      </c>
      <c r="B460">
        <f>IFERROR(INDEX(спр_Работы!$F$2:$F$6000,MATCH($C460,спр_Работы!$A$2:$A$6000,0)),"")</f>
        <v/>
      </c>
      <c r="C460">
        <f>IFERROR(INDEX(спр_Работы!$A$2:$A$6000,459),"")</f>
        <v/>
      </c>
      <c r="D460" s="8">
        <f>IFERROR(INDEX(спр_Работы!$B$2:$B$6000,MATCH($C460,спр_Работы!$A$2:$A$6000,0)),"")</f>
        <v/>
      </c>
      <c r="E460">
        <f>IFERROR(INDEX(спр_Работы!$C$2:$C$6000,MATCH($C460,спр_Работы!$A$2:$A$6000,0)),"")</f>
        <v/>
      </c>
      <c r="F460">
        <f>IFERROR(INDEX(спр_Работы!$G$2:$G$6000,MATCH($C460,спр_Работы!$A$2:$A$6000,0)),"")</f>
        <v/>
      </c>
      <c r="G460">
        <f>IFERROR(INDEX(спр_Работы!$K$2:$K$6000,MATCH($C460,спр_Работы!$A$2:$A$6000,0)),"")</f>
        <v/>
      </c>
      <c r="H460" s="9" t="n"/>
      <c r="I460" s="9" t="n"/>
      <c r="J460" s="8">
        <f>IFERROR(INDEX(спр_Материалы!$B$2:$B$9000,MATCH($I460,спр_Материалы!$A$2:$A$9000,0)),"")</f>
        <v/>
      </c>
      <c r="K460">
        <f>IF($I460="","",IF($F460=IFERROR(INDEX(спр_Материалы!$G$2:$G$9000,MATCH($I460,спр_Материалы!$A$2:$A$9000,0)),""),"OK","!! не та группа"))</f>
        <v/>
      </c>
      <c r="L460" s="10">
        <f>IFERROR(INDEX(спр_Работы!$H$2:$H$6000,MATCH($C460,спр_Работы!$A$2:$A$6000,0))*(1-ДисконтТендер),0)</f>
        <v/>
      </c>
      <c r="M460" s="10">
        <f>IF($I460="",0,IFERROR(INDEX(спр_Материалы!$I$2:$I$9000,MATCH($I460,спр_Материалы!$A$2:$A$9000,0))*IF(INDEX(спр_Материалы!$J$2:$J$9000,MATCH($I460,спр_Материалы!$A$2:$A$9000,0))="USD",КурсUSD,IF(INDEX(спр_Материалы!$J$2:$J$9000,MATCH($I460,спр_Материалы!$A$2:$A$9000,0))="EUR",КурсEUR,1))*INDEX(спр_Материалы!$K$2:$K$9000,MATCH($I460,спр_Материалы!$A$2:$A$9000,0))*(1+IFERROR(INDEX(спр_Работы!$I$2:$I$6000,MATCH($C460,спр_Работы!$A$2:$A$6000,0))/100,0))*(1-ДисконтТендер),0))</f>
        <v/>
      </c>
      <c r="N460" s="10">
        <f>IF(AND($R460="да",$H460&lt;&gt;""),ROUND($H460*$L460,2),0)</f>
        <v/>
      </c>
      <c r="O460" s="10">
        <f>IF(AND($R460="да",$H460&lt;&gt;""),ROUND($H460*$M460,2),0)</f>
        <v/>
      </c>
      <c r="P460" s="10">
        <f>$N460+$O460</f>
        <v/>
      </c>
      <c r="Q460">
        <f>IFERROR(INDEX(спр_Работы!$J$2:$J$6000,MATCH($C460,спр_Работы!$A$2:$A$6000,0)),"")</f>
        <v/>
      </c>
      <c r="R460" t="inlineStr">
        <is>
          <t>да</t>
        </is>
      </c>
      <c r="T460">
        <f>IF(AND($P460&gt;0,$R460="да"),MAX($T$1:$T459)+1,"")</f>
        <v/>
      </c>
    </row>
    <row r="461">
      <c r="A461">
        <f>IFERROR(INDEX(спр_Работы!$D$2:$D$6000,MATCH($C461,спр_Работы!$A$2:$A$6000,0)),"")</f>
        <v/>
      </c>
      <c r="B461">
        <f>IFERROR(INDEX(спр_Работы!$F$2:$F$6000,MATCH($C461,спр_Работы!$A$2:$A$6000,0)),"")</f>
        <v/>
      </c>
      <c r="C461">
        <f>IFERROR(INDEX(спр_Работы!$A$2:$A$6000,460),"")</f>
        <v/>
      </c>
      <c r="D461" s="8">
        <f>IFERROR(INDEX(спр_Работы!$B$2:$B$6000,MATCH($C461,спр_Работы!$A$2:$A$6000,0)),"")</f>
        <v/>
      </c>
      <c r="E461">
        <f>IFERROR(INDEX(спр_Работы!$C$2:$C$6000,MATCH($C461,спр_Работы!$A$2:$A$6000,0)),"")</f>
        <v/>
      </c>
      <c r="F461">
        <f>IFERROR(INDEX(спр_Работы!$G$2:$G$6000,MATCH($C461,спр_Работы!$A$2:$A$6000,0)),"")</f>
        <v/>
      </c>
      <c r="G461">
        <f>IFERROR(INDEX(спр_Работы!$K$2:$K$6000,MATCH($C461,спр_Работы!$A$2:$A$6000,0)),"")</f>
        <v/>
      </c>
      <c r="H461" s="9" t="n"/>
      <c r="I461" s="9" t="n"/>
      <c r="J461" s="8">
        <f>IFERROR(INDEX(спр_Материалы!$B$2:$B$9000,MATCH($I461,спр_Материалы!$A$2:$A$9000,0)),"")</f>
        <v/>
      </c>
      <c r="K461">
        <f>IF($I461="","",IF($F461=IFERROR(INDEX(спр_Материалы!$G$2:$G$9000,MATCH($I461,спр_Материалы!$A$2:$A$9000,0)),""),"OK","!! не та группа"))</f>
        <v/>
      </c>
      <c r="L461" s="10">
        <f>IFERROR(INDEX(спр_Работы!$H$2:$H$6000,MATCH($C461,спр_Работы!$A$2:$A$6000,0))*(1-ДисконтТендер),0)</f>
        <v/>
      </c>
      <c r="M461" s="10">
        <f>IF($I461="",0,IFERROR(INDEX(спр_Материалы!$I$2:$I$9000,MATCH($I461,спр_Материалы!$A$2:$A$9000,0))*IF(INDEX(спр_Материалы!$J$2:$J$9000,MATCH($I461,спр_Материалы!$A$2:$A$9000,0))="USD",КурсUSD,IF(INDEX(спр_Материалы!$J$2:$J$9000,MATCH($I461,спр_Материалы!$A$2:$A$9000,0))="EUR",КурсEUR,1))*INDEX(спр_Материалы!$K$2:$K$9000,MATCH($I461,спр_Материалы!$A$2:$A$9000,0))*(1+IFERROR(INDEX(спр_Работы!$I$2:$I$6000,MATCH($C461,спр_Работы!$A$2:$A$6000,0))/100,0))*(1-ДисконтТендер),0))</f>
        <v/>
      </c>
      <c r="N461" s="10">
        <f>IF(AND($R461="да",$H461&lt;&gt;""),ROUND($H461*$L461,2),0)</f>
        <v/>
      </c>
      <c r="O461" s="10">
        <f>IF(AND($R461="да",$H461&lt;&gt;""),ROUND($H461*$M461,2),0)</f>
        <v/>
      </c>
      <c r="P461" s="10">
        <f>$N461+$O461</f>
        <v/>
      </c>
      <c r="Q461">
        <f>IFERROR(INDEX(спр_Работы!$J$2:$J$6000,MATCH($C461,спр_Работы!$A$2:$A$6000,0)),"")</f>
        <v/>
      </c>
      <c r="R461" t="inlineStr">
        <is>
          <t>да</t>
        </is>
      </c>
      <c r="T461">
        <f>IF(AND($P461&gt;0,$R461="да"),MAX($T$1:$T460)+1,"")</f>
        <v/>
      </c>
    </row>
    <row r="462">
      <c r="A462">
        <f>IFERROR(INDEX(спр_Работы!$D$2:$D$6000,MATCH($C462,спр_Работы!$A$2:$A$6000,0)),"")</f>
        <v/>
      </c>
      <c r="B462">
        <f>IFERROR(INDEX(спр_Работы!$F$2:$F$6000,MATCH($C462,спр_Работы!$A$2:$A$6000,0)),"")</f>
        <v/>
      </c>
      <c r="C462">
        <f>IFERROR(INDEX(спр_Работы!$A$2:$A$6000,461),"")</f>
        <v/>
      </c>
      <c r="D462" s="8">
        <f>IFERROR(INDEX(спр_Работы!$B$2:$B$6000,MATCH($C462,спр_Работы!$A$2:$A$6000,0)),"")</f>
        <v/>
      </c>
      <c r="E462">
        <f>IFERROR(INDEX(спр_Работы!$C$2:$C$6000,MATCH($C462,спр_Работы!$A$2:$A$6000,0)),"")</f>
        <v/>
      </c>
      <c r="F462">
        <f>IFERROR(INDEX(спр_Работы!$G$2:$G$6000,MATCH($C462,спр_Работы!$A$2:$A$6000,0)),"")</f>
        <v/>
      </c>
      <c r="G462">
        <f>IFERROR(INDEX(спр_Работы!$K$2:$K$6000,MATCH($C462,спр_Работы!$A$2:$A$6000,0)),"")</f>
        <v/>
      </c>
      <c r="H462" s="9" t="n"/>
      <c r="I462" s="9" t="n"/>
      <c r="J462" s="8">
        <f>IFERROR(INDEX(спр_Материалы!$B$2:$B$9000,MATCH($I462,спр_Материалы!$A$2:$A$9000,0)),"")</f>
        <v/>
      </c>
      <c r="K462">
        <f>IF($I462="","",IF($F462=IFERROR(INDEX(спр_Материалы!$G$2:$G$9000,MATCH($I462,спр_Материалы!$A$2:$A$9000,0)),""),"OK","!! не та группа"))</f>
        <v/>
      </c>
      <c r="L462" s="10">
        <f>IFERROR(INDEX(спр_Работы!$H$2:$H$6000,MATCH($C462,спр_Работы!$A$2:$A$6000,0))*(1-ДисконтТендер),0)</f>
        <v/>
      </c>
      <c r="M462" s="10">
        <f>IF($I462="",0,IFERROR(INDEX(спр_Материалы!$I$2:$I$9000,MATCH($I462,спр_Материалы!$A$2:$A$9000,0))*IF(INDEX(спр_Материалы!$J$2:$J$9000,MATCH($I462,спр_Материалы!$A$2:$A$9000,0))="USD",КурсUSD,IF(INDEX(спр_Материалы!$J$2:$J$9000,MATCH($I462,спр_Материалы!$A$2:$A$9000,0))="EUR",КурсEUR,1))*INDEX(спр_Материалы!$K$2:$K$9000,MATCH($I462,спр_Материалы!$A$2:$A$9000,0))*(1+IFERROR(INDEX(спр_Работы!$I$2:$I$6000,MATCH($C462,спр_Работы!$A$2:$A$6000,0))/100,0))*(1-ДисконтТендер),0))</f>
        <v/>
      </c>
      <c r="N462" s="10">
        <f>IF(AND($R462="да",$H462&lt;&gt;""),ROUND($H462*$L462,2),0)</f>
        <v/>
      </c>
      <c r="O462" s="10">
        <f>IF(AND($R462="да",$H462&lt;&gt;""),ROUND($H462*$M462,2),0)</f>
        <v/>
      </c>
      <c r="P462" s="10">
        <f>$N462+$O462</f>
        <v/>
      </c>
      <c r="Q462">
        <f>IFERROR(INDEX(спр_Работы!$J$2:$J$6000,MATCH($C462,спр_Работы!$A$2:$A$6000,0)),"")</f>
        <v/>
      </c>
      <c r="R462" t="inlineStr">
        <is>
          <t>да</t>
        </is>
      </c>
      <c r="T462">
        <f>IF(AND($P462&gt;0,$R462="да"),MAX($T$1:$T461)+1,"")</f>
        <v/>
      </c>
    </row>
    <row r="463">
      <c r="A463">
        <f>IFERROR(INDEX(спр_Работы!$D$2:$D$6000,MATCH($C463,спр_Работы!$A$2:$A$6000,0)),"")</f>
        <v/>
      </c>
      <c r="B463">
        <f>IFERROR(INDEX(спр_Работы!$F$2:$F$6000,MATCH($C463,спр_Работы!$A$2:$A$6000,0)),"")</f>
        <v/>
      </c>
      <c r="C463">
        <f>IFERROR(INDEX(спр_Работы!$A$2:$A$6000,462),"")</f>
        <v/>
      </c>
      <c r="D463" s="8">
        <f>IFERROR(INDEX(спр_Работы!$B$2:$B$6000,MATCH($C463,спр_Работы!$A$2:$A$6000,0)),"")</f>
        <v/>
      </c>
      <c r="E463">
        <f>IFERROR(INDEX(спр_Работы!$C$2:$C$6000,MATCH($C463,спр_Работы!$A$2:$A$6000,0)),"")</f>
        <v/>
      </c>
      <c r="F463">
        <f>IFERROR(INDEX(спр_Работы!$G$2:$G$6000,MATCH($C463,спр_Работы!$A$2:$A$6000,0)),"")</f>
        <v/>
      </c>
      <c r="G463">
        <f>IFERROR(INDEX(спр_Работы!$K$2:$K$6000,MATCH($C463,спр_Работы!$A$2:$A$6000,0)),"")</f>
        <v/>
      </c>
      <c r="H463" s="9" t="n"/>
      <c r="I463" s="9" t="n"/>
      <c r="J463" s="8">
        <f>IFERROR(INDEX(спр_Материалы!$B$2:$B$9000,MATCH($I463,спр_Материалы!$A$2:$A$9000,0)),"")</f>
        <v/>
      </c>
      <c r="K463">
        <f>IF($I463="","",IF($F463=IFERROR(INDEX(спр_Материалы!$G$2:$G$9000,MATCH($I463,спр_Материалы!$A$2:$A$9000,0)),""),"OK","!! не та группа"))</f>
        <v/>
      </c>
      <c r="L463" s="10">
        <f>IFERROR(INDEX(спр_Работы!$H$2:$H$6000,MATCH($C463,спр_Работы!$A$2:$A$6000,0))*(1-ДисконтТендер),0)</f>
        <v/>
      </c>
      <c r="M463" s="10">
        <f>IF($I463="",0,IFERROR(INDEX(спр_Материалы!$I$2:$I$9000,MATCH($I463,спр_Материалы!$A$2:$A$9000,0))*IF(INDEX(спр_Материалы!$J$2:$J$9000,MATCH($I463,спр_Материалы!$A$2:$A$9000,0))="USD",КурсUSD,IF(INDEX(спр_Материалы!$J$2:$J$9000,MATCH($I463,спр_Материалы!$A$2:$A$9000,0))="EUR",КурсEUR,1))*INDEX(спр_Материалы!$K$2:$K$9000,MATCH($I463,спр_Материалы!$A$2:$A$9000,0))*(1+IFERROR(INDEX(спр_Работы!$I$2:$I$6000,MATCH($C463,спр_Работы!$A$2:$A$6000,0))/100,0))*(1-ДисконтТендер),0))</f>
        <v/>
      </c>
      <c r="N463" s="10">
        <f>IF(AND($R463="да",$H463&lt;&gt;""),ROUND($H463*$L463,2),0)</f>
        <v/>
      </c>
      <c r="O463" s="10">
        <f>IF(AND($R463="да",$H463&lt;&gt;""),ROUND($H463*$M463,2),0)</f>
        <v/>
      </c>
      <c r="P463" s="10">
        <f>$N463+$O463</f>
        <v/>
      </c>
      <c r="Q463">
        <f>IFERROR(INDEX(спр_Работы!$J$2:$J$6000,MATCH($C463,спр_Работы!$A$2:$A$6000,0)),"")</f>
        <v/>
      </c>
      <c r="R463" t="inlineStr">
        <is>
          <t>да</t>
        </is>
      </c>
      <c r="T463">
        <f>IF(AND($P463&gt;0,$R463="да"),MAX($T$1:$T462)+1,"")</f>
        <v/>
      </c>
    </row>
    <row r="464">
      <c r="A464">
        <f>IFERROR(INDEX(спр_Работы!$D$2:$D$6000,MATCH($C464,спр_Работы!$A$2:$A$6000,0)),"")</f>
        <v/>
      </c>
      <c r="B464">
        <f>IFERROR(INDEX(спр_Работы!$F$2:$F$6000,MATCH($C464,спр_Работы!$A$2:$A$6000,0)),"")</f>
        <v/>
      </c>
      <c r="C464">
        <f>IFERROR(INDEX(спр_Работы!$A$2:$A$6000,463),"")</f>
        <v/>
      </c>
      <c r="D464" s="8">
        <f>IFERROR(INDEX(спр_Работы!$B$2:$B$6000,MATCH($C464,спр_Работы!$A$2:$A$6000,0)),"")</f>
        <v/>
      </c>
      <c r="E464">
        <f>IFERROR(INDEX(спр_Работы!$C$2:$C$6000,MATCH($C464,спр_Работы!$A$2:$A$6000,0)),"")</f>
        <v/>
      </c>
      <c r="F464">
        <f>IFERROR(INDEX(спр_Работы!$G$2:$G$6000,MATCH($C464,спр_Работы!$A$2:$A$6000,0)),"")</f>
        <v/>
      </c>
      <c r="G464">
        <f>IFERROR(INDEX(спр_Работы!$K$2:$K$6000,MATCH($C464,спр_Работы!$A$2:$A$6000,0)),"")</f>
        <v/>
      </c>
      <c r="H464" s="9" t="n"/>
      <c r="I464" s="9" t="n"/>
      <c r="J464" s="8">
        <f>IFERROR(INDEX(спр_Материалы!$B$2:$B$9000,MATCH($I464,спр_Материалы!$A$2:$A$9000,0)),"")</f>
        <v/>
      </c>
      <c r="K464">
        <f>IF($I464="","",IF($F464=IFERROR(INDEX(спр_Материалы!$G$2:$G$9000,MATCH($I464,спр_Материалы!$A$2:$A$9000,0)),""),"OK","!! не та группа"))</f>
        <v/>
      </c>
      <c r="L464" s="10">
        <f>IFERROR(INDEX(спр_Работы!$H$2:$H$6000,MATCH($C464,спр_Работы!$A$2:$A$6000,0))*(1-ДисконтТендер),0)</f>
        <v/>
      </c>
      <c r="M464" s="10">
        <f>IF($I464="",0,IFERROR(INDEX(спр_Материалы!$I$2:$I$9000,MATCH($I464,спр_Материалы!$A$2:$A$9000,0))*IF(INDEX(спр_Материалы!$J$2:$J$9000,MATCH($I464,спр_Материалы!$A$2:$A$9000,0))="USD",КурсUSD,IF(INDEX(спр_Материалы!$J$2:$J$9000,MATCH($I464,спр_Материалы!$A$2:$A$9000,0))="EUR",КурсEUR,1))*INDEX(спр_Материалы!$K$2:$K$9000,MATCH($I464,спр_Материалы!$A$2:$A$9000,0))*(1+IFERROR(INDEX(спр_Работы!$I$2:$I$6000,MATCH($C464,спр_Работы!$A$2:$A$6000,0))/100,0))*(1-ДисконтТендер),0))</f>
        <v/>
      </c>
      <c r="N464" s="10">
        <f>IF(AND($R464="да",$H464&lt;&gt;""),ROUND($H464*$L464,2),0)</f>
        <v/>
      </c>
      <c r="O464" s="10">
        <f>IF(AND($R464="да",$H464&lt;&gt;""),ROUND($H464*$M464,2),0)</f>
        <v/>
      </c>
      <c r="P464" s="10">
        <f>$N464+$O464</f>
        <v/>
      </c>
      <c r="Q464">
        <f>IFERROR(INDEX(спр_Работы!$J$2:$J$6000,MATCH($C464,спр_Работы!$A$2:$A$6000,0)),"")</f>
        <v/>
      </c>
      <c r="R464" t="inlineStr">
        <is>
          <t>да</t>
        </is>
      </c>
      <c r="T464">
        <f>IF(AND($P464&gt;0,$R464="да"),MAX($T$1:$T463)+1,"")</f>
        <v/>
      </c>
    </row>
    <row r="465">
      <c r="A465">
        <f>IFERROR(INDEX(спр_Работы!$D$2:$D$6000,MATCH($C465,спр_Работы!$A$2:$A$6000,0)),"")</f>
        <v/>
      </c>
      <c r="B465">
        <f>IFERROR(INDEX(спр_Работы!$F$2:$F$6000,MATCH($C465,спр_Работы!$A$2:$A$6000,0)),"")</f>
        <v/>
      </c>
      <c r="C465">
        <f>IFERROR(INDEX(спр_Работы!$A$2:$A$6000,464),"")</f>
        <v/>
      </c>
      <c r="D465" s="8">
        <f>IFERROR(INDEX(спр_Работы!$B$2:$B$6000,MATCH($C465,спр_Работы!$A$2:$A$6000,0)),"")</f>
        <v/>
      </c>
      <c r="E465">
        <f>IFERROR(INDEX(спр_Работы!$C$2:$C$6000,MATCH($C465,спр_Работы!$A$2:$A$6000,0)),"")</f>
        <v/>
      </c>
      <c r="F465">
        <f>IFERROR(INDEX(спр_Работы!$G$2:$G$6000,MATCH($C465,спр_Работы!$A$2:$A$6000,0)),"")</f>
        <v/>
      </c>
      <c r="G465">
        <f>IFERROR(INDEX(спр_Работы!$K$2:$K$6000,MATCH($C465,спр_Работы!$A$2:$A$6000,0)),"")</f>
        <v/>
      </c>
      <c r="H465" s="9" t="n"/>
      <c r="I465" s="9" t="n"/>
      <c r="J465" s="8">
        <f>IFERROR(INDEX(спр_Материалы!$B$2:$B$9000,MATCH($I465,спр_Материалы!$A$2:$A$9000,0)),"")</f>
        <v/>
      </c>
      <c r="K465">
        <f>IF($I465="","",IF($F465=IFERROR(INDEX(спр_Материалы!$G$2:$G$9000,MATCH($I465,спр_Материалы!$A$2:$A$9000,0)),""),"OK","!! не та группа"))</f>
        <v/>
      </c>
      <c r="L465" s="10">
        <f>IFERROR(INDEX(спр_Работы!$H$2:$H$6000,MATCH($C465,спр_Работы!$A$2:$A$6000,0))*(1-ДисконтТендер),0)</f>
        <v/>
      </c>
      <c r="M465" s="10">
        <f>IF($I465="",0,IFERROR(INDEX(спр_Материалы!$I$2:$I$9000,MATCH($I465,спр_Материалы!$A$2:$A$9000,0))*IF(INDEX(спр_Материалы!$J$2:$J$9000,MATCH($I465,спр_Материалы!$A$2:$A$9000,0))="USD",КурсUSD,IF(INDEX(спр_Материалы!$J$2:$J$9000,MATCH($I465,спр_Материалы!$A$2:$A$9000,0))="EUR",КурсEUR,1))*INDEX(спр_Материалы!$K$2:$K$9000,MATCH($I465,спр_Материалы!$A$2:$A$9000,0))*(1+IFERROR(INDEX(спр_Работы!$I$2:$I$6000,MATCH($C465,спр_Работы!$A$2:$A$6000,0))/100,0))*(1-ДисконтТендер),0))</f>
        <v/>
      </c>
      <c r="N465" s="10">
        <f>IF(AND($R465="да",$H465&lt;&gt;""),ROUND($H465*$L465,2),0)</f>
        <v/>
      </c>
      <c r="O465" s="10">
        <f>IF(AND($R465="да",$H465&lt;&gt;""),ROUND($H465*$M465,2),0)</f>
        <v/>
      </c>
      <c r="P465" s="10">
        <f>$N465+$O465</f>
        <v/>
      </c>
      <c r="Q465">
        <f>IFERROR(INDEX(спр_Работы!$J$2:$J$6000,MATCH($C465,спр_Работы!$A$2:$A$6000,0)),"")</f>
        <v/>
      </c>
      <c r="R465" t="inlineStr">
        <is>
          <t>да</t>
        </is>
      </c>
      <c r="T465">
        <f>IF(AND($P465&gt;0,$R465="да"),MAX($T$1:$T464)+1,"")</f>
        <v/>
      </c>
    </row>
    <row r="466">
      <c r="A466">
        <f>IFERROR(INDEX(спр_Работы!$D$2:$D$6000,MATCH($C466,спр_Работы!$A$2:$A$6000,0)),"")</f>
        <v/>
      </c>
      <c r="B466">
        <f>IFERROR(INDEX(спр_Работы!$F$2:$F$6000,MATCH($C466,спр_Работы!$A$2:$A$6000,0)),"")</f>
        <v/>
      </c>
      <c r="C466">
        <f>IFERROR(INDEX(спр_Работы!$A$2:$A$6000,465),"")</f>
        <v/>
      </c>
      <c r="D466" s="8">
        <f>IFERROR(INDEX(спр_Работы!$B$2:$B$6000,MATCH($C466,спр_Работы!$A$2:$A$6000,0)),"")</f>
        <v/>
      </c>
      <c r="E466">
        <f>IFERROR(INDEX(спр_Работы!$C$2:$C$6000,MATCH($C466,спр_Работы!$A$2:$A$6000,0)),"")</f>
        <v/>
      </c>
      <c r="F466">
        <f>IFERROR(INDEX(спр_Работы!$G$2:$G$6000,MATCH($C466,спр_Работы!$A$2:$A$6000,0)),"")</f>
        <v/>
      </c>
      <c r="G466">
        <f>IFERROR(INDEX(спр_Работы!$K$2:$K$6000,MATCH($C466,спр_Работы!$A$2:$A$6000,0)),"")</f>
        <v/>
      </c>
      <c r="H466" s="9" t="n"/>
      <c r="I466" s="9" t="n"/>
      <c r="J466" s="8">
        <f>IFERROR(INDEX(спр_Материалы!$B$2:$B$9000,MATCH($I466,спр_Материалы!$A$2:$A$9000,0)),"")</f>
        <v/>
      </c>
      <c r="K466">
        <f>IF($I466="","",IF($F466=IFERROR(INDEX(спр_Материалы!$G$2:$G$9000,MATCH($I466,спр_Материалы!$A$2:$A$9000,0)),""),"OK","!! не та группа"))</f>
        <v/>
      </c>
      <c r="L466" s="10">
        <f>IFERROR(INDEX(спр_Работы!$H$2:$H$6000,MATCH($C466,спр_Работы!$A$2:$A$6000,0))*(1-ДисконтТендер),0)</f>
        <v/>
      </c>
      <c r="M466" s="10">
        <f>IF($I466="",0,IFERROR(INDEX(спр_Материалы!$I$2:$I$9000,MATCH($I466,спр_Материалы!$A$2:$A$9000,0))*IF(INDEX(спр_Материалы!$J$2:$J$9000,MATCH($I466,спр_Материалы!$A$2:$A$9000,0))="USD",КурсUSD,IF(INDEX(спр_Материалы!$J$2:$J$9000,MATCH($I466,спр_Материалы!$A$2:$A$9000,0))="EUR",КурсEUR,1))*INDEX(спр_Материалы!$K$2:$K$9000,MATCH($I466,спр_Материалы!$A$2:$A$9000,0))*(1+IFERROR(INDEX(спр_Работы!$I$2:$I$6000,MATCH($C466,спр_Работы!$A$2:$A$6000,0))/100,0))*(1-ДисконтТендер),0))</f>
        <v/>
      </c>
      <c r="N466" s="10">
        <f>IF(AND($R466="да",$H466&lt;&gt;""),ROUND($H466*$L466,2),0)</f>
        <v/>
      </c>
      <c r="O466" s="10">
        <f>IF(AND($R466="да",$H466&lt;&gt;""),ROUND($H466*$M466,2),0)</f>
        <v/>
      </c>
      <c r="P466" s="10">
        <f>$N466+$O466</f>
        <v/>
      </c>
      <c r="Q466">
        <f>IFERROR(INDEX(спр_Работы!$J$2:$J$6000,MATCH($C466,спр_Работы!$A$2:$A$6000,0)),"")</f>
        <v/>
      </c>
      <c r="R466" t="inlineStr">
        <is>
          <t>да</t>
        </is>
      </c>
      <c r="T466">
        <f>IF(AND($P466&gt;0,$R466="да"),MAX($T$1:$T465)+1,"")</f>
        <v/>
      </c>
    </row>
    <row r="467">
      <c r="A467">
        <f>IFERROR(INDEX(спр_Работы!$D$2:$D$6000,MATCH($C467,спр_Работы!$A$2:$A$6000,0)),"")</f>
        <v/>
      </c>
      <c r="B467">
        <f>IFERROR(INDEX(спр_Работы!$F$2:$F$6000,MATCH($C467,спр_Работы!$A$2:$A$6000,0)),"")</f>
        <v/>
      </c>
      <c r="C467">
        <f>IFERROR(INDEX(спр_Работы!$A$2:$A$6000,466),"")</f>
        <v/>
      </c>
      <c r="D467" s="8">
        <f>IFERROR(INDEX(спр_Работы!$B$2:$B$6000,MATCH($C467,спр_Работы!$A$2:$A$6000,0)),"")</f>
        <v/>
      </c>
      <c r="E467">
        <f>IFERROR(INDEX(спр_Работы!$C$2:$C$6000,MATCH($C467,спр_Работы!$A$2:$A$6000,0)),"")</f>
        <v/>
      </c>
      <c r="F467">
        <f>IFERROR(INDEX(спр_Работы!$G$2:$G$6000,MATCH($C467,спр_Работы!$A$2:$A$6000,0)),"")</f>
        <v/>
      </c>
      <c r="G467">
        <f>IFERROR(INDEX(спр_Работы!$K$2:$K$6000,MATCH($C467,спр_Работы!$A$2:$A$6000,0)),"")</f>
        <v/>
      </c>
      <c r="H467" s="9" t="n"/>
      <c r="I467" s="9" t="n"/>
      <c r="J467" s="8">
        <f>IFERROR(INDEX(спр_Материалы!$B$2:$B$9000,MATCH($I467,спр_Материалы!$A$2:$A$9000,0)),"")</f>
        <v/>
      </c>
      <c r="K467">
        <f>IF($I467="","",IF($F467=IFERROR(INDEX(спр_Материалы!$G$2:$G$9000,MATCH($I467,спр_Материалы!$A$2:$A$9000,0)),""),"OK","!! не та группа"))</f>
        <v/>
      </c>
      <c r="L467" s="10">
        <f>IFERROR(INDEX(спр_Работы!$H$2:$H$6000,MATCH($C467,спр_Работы!$A$2:$A$6000,0))*(1-ДисконтТендер),0)</f>
        <v/>
      </c>
      <c r="M467" s="10">
        <f>IF($I467="",0,IFERROR(INDEX(спр_Материалы!$I$2:$I$9000,MATCH($I467,спр_Материалы!$A$2:$A$9000,0))*IF(INDEX(спр_Материалы!$J$2:$J$9000,MATCH($I467,спр_Материалы!$A$2:$A$9000,0))="USD",КурсUSD,IF(INDEX(спр_Материалы!$J$2:$J$9000,MATCH($I467,спр_Материалы!$A$2:$A$9000,0))="EUR",КурсEUR,1))*INDEX(спр_Материалы!$K$2:$K$9000,MATCH($I467,спр_Материалы!$A$2:$A$9000,0))*(1+IFERROR(INDEX(спр_Работы!$I$2:$I$6000,MATCH($C467,спр_Работы!$A$2:$A$6000,0))/100,0))*(1-ДисконтТендер),0))</f>
        <v/>
      </c>
      <c r="N467" s="10">
        <f>IF(AND($R467="да",$H467&lt;&gt;""),ROUND($H467*$L467,2),0)</f>
        <v/>
      </c>
      <c r="O467" s="10">
        <f>IF(AND($R467="да",$H467&lt;&gt;""),ROUND($H467*$M467,2),0)</f>
        <v/>
      </c>
      <c r="P467" s="10">
        <f>$N467+$O467</f>
        <v/>
      </c>
      <c r="Q467">
        <f>IFERROR(INDEX(спр_Работы!$J$2:$J$6000,MATCH($C467,спр_Работы!$A$2:$A$6000,0)),"")</f>
        <v/>
      </c>
      <c r="R467" t="inlineStr">
        <is>
          <t>да</t>
        </is>
      </c>
      <c r="T467">
        <f>IF(AND($P467&gt;0,$R467="да"),MAX($T$1:$T466)+1,"")</f>
        <v/>
      </c>
    </row>
    <row r="468">
      <c r="A468">
        <f>IFERROR(INDEX(спр_Работы!$D$2:$D$6000,MATCH($C468,спр_Работы!$A$2:$A$6000,0)),"")</f>
        <v/>
      </c>
      <c r="B468">
        <f>IFERROR(INDEX(спр_Работы!$F$2:$F$6000,MATCH($C468,спр_Работы!$A$2:$A$6000,0)),"")</f>
        <v/>
      </c>
      <c r="C468">
        <f>IFERROR(INDEX(спр_Работы!$A$2:$A$6000,467),"")</f>
        <v/>
      </c>
      <c r="D468" s="8">
        <f>IFERROR(INDEX(спр_Работы!$B$2:$B$6000,MATCH($C468,спр_Работы!$A$2:$A$6000,0)),"")</f>
        <v/>
      </c>
      <c r="E468">
        <f>IFERROR(INDEX(спр_Работы!$C$2:$C$6000,MATCH($C468,спр_Работы!$A$2:$A$6000,0)),"")</f>
        <v/>
      </c>
      <c r="F468">
        <f>IFERROR(INDEX(спр_Работы!$G$2:$G$6000,MATCH($C468,спр_Работы!$A$2:$A$6000,0)),"")</f>
        <v/>
      </c>
      <c r="G468">
        <f>IFERROR(INDEX(спр_Работы!$K$2:$K$6000,MATCH($C468,спр_Работы!$A$2:$A$6000,0)),"")</f>
        <v/>
      </c>
      <c r="H468" s="9" t="n"/>
      <c r="I468" s="9" t="n"/>
      <c r="J468" s="8">
        <f>IFERROR(INDEX(спр_Материалы!$B$2:$B$9000,MATCH($I468,спр_Материалы!$A$2:$A$9000,0)),"")</f>
        <v/>
      </c>
      <c r="K468">
        <f>IF($I468="","",IF($F468=IFERROR(INDEX(спр_Материалы!$G$2:$G$9000,MATCH($I468,спр_Материалы!$A$2:$A$9000,0)),""),"OK","!! не та группа"))</f>
        <v/>
      </c>
      <c r="L468" s="10">
        <f>IFERROR(INDEX(спр_Работы!$H$2:$H$6000,MATCH($C468,спр_Работы!$A$2:$A$6000,0))*(1-ДисконтТендер),0)</f>
        <v/>
      </c>
      <c r="M468" s="10">
        <f>IF($I468="",0,IFERROR(INDEX(спр_Материалы!$I$2:$I$9000,MATCH($I468,спр_Материалы!$A$2:$A$9000,0))*IF(INDEX(спр_Материалы!$J$2:$J$9000,MATCH($I468,спр_Материалы!$A$2:$A$9000,0))="USD",КурсUSD,IF(INDEX(спр_Материалы!$J$2:$J$9000,MATCH($I468,спр_Материалы!$A$2:$A$9000,0))="EUR",КурсEUR,1))*INDEX(спр_Материалы!$K$2:$K$9000,MATCH($I468,спр_Материалы!$A$2:$A$9000,0))*(1+IFERROR(INDEX(спр_Работы!$I$2:$I$6000,MATCH($C468,спр_Работы!$A$2:$A$6000,0))/100,0))*(1-ДисконтТендер),0))</f>
        <v/>
      </c>
      <c r="N468" s="10">
        <f>IF(AND($R468="да",$H468&lt;&gt;""),ROUND($H468*$L468,2),0)</f>
        <v/>
      </c>
      <c r="O468" s="10">
        <f>IF(AND($R468="да",$H468&lt;&gt;""),ROUND($H468*$M468,2),0)</f>
        <v/>
      </c>
      <c r="P468" s="10">
        <f>$N468+$O468</f>
        <v/>
      </c>
      <c r="Q468">
        <f>IFERROR(INDEX(спр_Работы!$J$2:$J$6000,MATCH($C468,спр_Работы!$A$2:$A$6000,0)),"")</f>
        <v/>
      </c>
      <c r="R468" t="inlineStr">
        <is>
          <t>да</t>
        </is>
      </c>
      <c r="T468">
        <f>IF(AND($P468&gt;0,$R468="да"),MAX($T$1:$T467)+1,"")</f>
        <v/>
      </c>
    </row>
    <row r="469">
      <c r="A469">
        <f>IFERROR(INDEX(спр_Работы!$D$2:$D$6000,MATCH($C469,спр_Работы!$A$2:$A$6000,0)),"")</f>
        <v/>
      </c>
      <c r="B469">
        <f>IFERROR(INDEX(спр_Работы!$F$2:$F$6000,MATCH($C469,спр_Работы!$A$2:$A$6000,0)),"")</f>
        <v/>
      </c>
      <c r="C469">
        <f>IFERROR(INDEX(спр_Работы!$A$2:$A$6000,468),"")</f>
        <v/>
      </c>
      <c r="D469" s="8">
        <f>IFERROR(INDEX(спр_Работы!$B$2:$B$6000,MATCH($C469,спр_Работы!$A$2:$A$6000,0)),"")</f>
        <v/>
      </c>
      <c r="E469">
        <f>IFERROR(INDEX(спр_Работы!$C$2:$C$6000,MATCH($C469,спр_Работы!$A$2:$A$6000,0)),"")</f>
        <v/>
      </c>
      <c r="F469">
        <f>IFERROR(INDEX(спр_Работы!$G$2:$G$6000,MATCH($C469,спр_Работы!$A$2:$A$6000,0)),"")</f>
        <v/>
      </c>
      <c r="G469">
        <f>IFERROR(INDEX(спр_Работы!$K$2:$K$6000,MATCH($C469,спр_Работы!$A$2:$A$6000,0)),"")</f>
        <v/>
      </c>
      <c r="H469" s="9" t="n"/>
      <c r="I469" s="9" t="n"/>
      <c r="J469" s="8">
        <f>IFERROR(INDEX(спр_Материалы!$B$2:$B$9000,MATCH($I469,спр_Материалы!$A$2:$A$9000,0)),"")</f>
        <v/>
      </c>
      <c r="K469">
        <f>IF($I469="","",IF($F469=IFERROR(INDEX(спр_Материалы!$G$2:$G$9000,MATCH($I469,спр_Материалы!$A$2:$A$9000,0)),""),"OK","!! не та группа"))</f>
        <v/>
      </c>
      <c r="L469" s="10">
        <f>IFERROR(INDEX(спр_Работы!$H$2:$H$6000,MATCH($C469,спр_Работы!$A$2:$A$6000,0))*(1-ДисконтТендер),0)</f>
        <v/>
      </c>
      <c r="M469" s="10">
        <f>IF($I469="",0,IFERROR(INDEX(спр_Материалы!$I$2:$I$9000,MATCH($I469,спр_Материалы!$A$2:$A$9000,0))*IF(INDEX(спр_Материалы!$J$2:$J$9000,MATCH($I469,спр_Материалы!$A$2:$A$9000,0))="USD",КурсUSD,IF(INDEX(спр_Материалы!$J$2:$J$9000,MATCH($I469,спр_Материалы!$A$2:$A$9000,0))="EUR",КурсEUR,1))*INDEX(спр_Материалы!$K$2:$K$9000,MATCH($I469,спр_Материалы!$A$2:$A$9000,0))*(1+IFERROR(INDEX(спр_Работы!$I$2:$I$6000,MATCH($C469,спр_Работы!$A$2:$A$6000,0))/100,0))*(1-ДисконтТендер),0))</f>
        <v/>
      </c>
      <c r="N469" s="10">
        <f>IF(AND($R469="да",$H469&lt;&gt;""),ROUND($H469*$L469,2),0)</f>
        <v/>
      </c>
      <c r="O469" s="10">
        <f>IF(AND($R469="да",$H469&lt;&gt;""),ROUND($H469*$M469,2),0)</f>
        <v/>
      </c>
      <c r="P469" s="10">
        <f>$N469+$O469</f>
        <v/>
      </c>
      <c r="Q469">
        <f>IFERROR(INDEX(спр_Работы!$J$2:$J$6000,MATCH($C469,спр_Работы!$A$2:$A$6000,0)),"")</f>
        <v/>
      </c>
      <c r="R469" t="inlineStr">
        <is>
          <t>да</t>
        </is>
      </c>
      <c r="T469">
        <f>IF(AND($P469&gt;0,$R469="да"),MAX($T$1:$T468)+1,"")</f>
        <v/>
      </c>
    </row>
    <row r="470">
      <c r="A470">
        <f>IFERROR(INDEX(спр_Работы!$D$2:$D$6000,MATCH($C470,спр_Работы!$A$2:$A$6000,0)),"")</f>
        <v/>
      </c>
      <c r="B470">
        <f>IFERROR(INDEX(спр_Работы!$F$2:$F$6000,MATCH($C470,спр_Работы!$A$2:$A$6000,0)),"")</f>
        <v/>
      </c>
      <c r="C470">
        <f>IFERROR(INDEX(спр_Работы!$A$2:$A$6000,469),"")</f>
        <v/>
      </c>
      <c r="D470" s="8">
        <f>IFERROR(INDEX(спр_Работы!$B$2:$B$6000,MATCH($C470,спр_Работы!$A$2:$A$6000,0)),"")</f>
        <v/>
      </c>
      <c r="E470">
        <f>IFERROR(INDEX(спр_Работы!$C$2:$C$6000,MATCH($C470,спр_Работы!$A$2:$A$6000,0)),"")</f>
        <v/>
      </c>
      <c r="F470">
        <f>IFERROR(INDEX(спр_Работы!$G$2:$G$6000,MATCH($C470,спр_Работы!$A$2:$A$6000,0)),"")</f>
        <v/>
      </c>
      <c r="G470">
        <f>IFERROR(INDEX(спр_Работы!$K$2:$K$6000,MATCH($C470,спр_Работы!$A$2:$A$6000,0)),"")</f>
        <v/>
      </c>
      <c r="H470" s="9" t="n"/>
      <c r="I470" s="9" t="n"/>
      <c r="J470" s="8">
        <f>IFERROR(INDEX(спр_Материалы!$B$2:$B$9000,MATCH($I470,спр_Материалы!$A$2:$A$9000,0)),"")</f>
        <v/>
      </c>
      <c r="K470">
        <f>IF($I470="","",IF($F470=IFERROR(INDEX(спр_Материалы!$G$2:$G$9000,MATCH($I470,спр_Материалы!$A$2:$A$9000,0)),""),"OK","!! не та группа"))</f>
        <v/>
      </c>
      <c r="L470" s="10">
        <f>IFERROR(INDEX(спр_Работы!$H$2:$H$6000,MATCH($C470,спр_Работы!$A$2:$A$6000,0))*(1-ДисконтТендер),0)</f>
        <v/>
      </c>
      <c r="M470" s="10">
        <f>IF($I470="",0,IFERROR(INDEX(спр_Материалы!$I$2:$I$9000,MATCH($I470,спр_Материалы!$A$2:$A$9000,0))*IF(INDEX(спр_Материалы!$J$2:$J$9000,MATCH($I470,спр_Материалы!$A$2:$A$9000,0))="USD",КурсUSD,IF(INDEX(спр_Материалы!$J$2:$J$9000,MATCH($I470,спр_Материалы!$A$2:$A$9000,0))="EUR",КурсEUR,1))*INDEX(спр_Материалы!$K$2:$K$9000,MATCH($I470,спр_Материалы!$A$2:$A$9000,0))*(1+IFERROR(INDEX(спр_Работы!$I$2:$I$6000,MATCH($C470,спр_Работы!$A$2:$A$6000,0))/100,0))*(1-ДисконтТендер),0))</f>
        <v/>
      </c>
      <c r="N470" s="10">
        <f>IF(AND($R470="да",$H470&lt;&gt;""),ROUND($H470*$L470,2),0)</f>
        <v/>
      </c>
      <c r="O470" s="10">
        <f>IF(AND($R470="да",$H470&lt;&gt;""),ROUND($H470*$M470,2),0)</f>
        <v/>
      </c>
      <c r="P470" s="10">
        <f>$N470+$O470</f>
        <v/>
      </c>
      <c r="Q470">
        <f>IFERROR(INDEX(спр_Работы!$J$2:$J$6000,MATCH($C470,спр_Работы!$A$2:$A$6000,0)),"")</f>
        <v/>
      </c>
      <c r="R470" t="inlineStr">
        <is>
          <t>да</t>
        </is>
      </c>
      <c r="T470">
        <f>IF(AND($P470&gt;0,$R470="да"),MAX($T$1:$T469)+1,"")</f>
        <v/>
      </c>
    </row>
    <row r="471">
      <c r="A471">
        <f>IFERROR(INDEX(спр_Работы!$D$2:$D$6000,MATCH($C471,спр_Работы!$A$2:$A$6000,0)),"")</f>
        <v/>
      </c>
      <c r="B471">
        <f>IFERROR(INDEX(спр_Работы!$F$2:$F$6000,MATCH($C471,спр_Работы!$A$2:$A$6000,0)),"")</f>
        <v/>
      </c>
      <c r="C471">
        <f>IFERROR(INDEX(спр_Работы!$A$2:$A$6000,470),"")</f>
        <v/>
      </c>
      <c r="D471" s="8">
        <f>IFERROR(INDEX(спр_Работы!$B$2:$B$6000,MATCH($C471,спр_Работы!$A$2:$A$6000,0)),"")</f>
        <v/>
      </c>
      <c r="E471">
        <f>IFERROR(INDEX(спр_Работы!$C$2:$C$6000,MATCH($C471,спр_Работы!$A$2:$A$6000,0)),"")</f>
        <v/>
      </c>
      <c r="F471">
        <f>IFERROR(INDEX(спр_Работы!$G$2:$G$6000,MATCH($C471,спр_Работы!$A$2:$A$6000,0)),"")</f>
        <v/>
      </c>
      <c r="G471">
        <f>IFERROR(INDEX(спр_Работы!$K$2:$K$6000,MATCH($C471,спр_Работы!$A$2:$A$6000,0)),"")</f>
        <v/>
      </c>
      <c r="H471" s="9" t="n"/>
      <c r="I471" s="9" t="n"/>
      <c r="J471" s="8">
        <f>IFERROR(INDEX(спр_Материалы!$B$2:$B$9000,MATCH($I471,спр_Материалы!$A$2:$A$9000,0)),"")</f>
        <v/>
      </c>
      <c r="K471">
        <f>IF($I471="","",IF($F471=IFERROR(INDEX(спр_Материалы!$G$2:$G$9000,MATCH($I471,спр_Материалы!$A$2:$A$9000,0)),""),"OK","!! не та группа"))</f>
        <v/>
      </c>
      <c r="L471" s="10">
        <f>IFERROR(INDEX(спр_Работы!$H$2:$H$6000,MATCH($C471,спр_Работы!$A$2:$A$6000,0))*(1-ДисконтТендер),0)</f>
        <v/>
      </c>
      <c r="M471" s="10">
        <f>IF($I471="",0,IFERROR(INDEX(спр_Материалы!$I$2:$I$9000,MATCH($I471,спр_Материалы!$A$2:$A$9000,0))*IF(INDEX(спр_Материалы!$J$2:$J$9000,MATCH($I471,спр_Материалы!$A$2:$A$9000,0))="USD",КурсUSD,IF(INDEX(спр_Материалы!$J$2:$J$9000,MATCH($I471,спр_Материалы!$A$2:$A$9000,0))="EUR",КурсEUR,1))*INDEX(спр_Материалы!$K$2:$K$9000,MATCH($I471,спр_Материалы!$A$2:$A$9000,0))*(1+IFERROR(INDEX(спр_Работы!$I$2:$I$6000,MATCH($C471,спр_Работы!$A$2:$A$6000,0))/100,0))*(1-ДисконтТендер),0))</f>
        <v/>
      </c>
      <c r="N471" s="10">
        <f>IF(AND($R471="да",$H471&lt;&gt;""),ROUND($H471*$L471,2),0)</f>
        <v/>
      </c>
      <c r="O471" s="10">
        <f>IF(AND($R471="да",$H471&lt;&gt;""),ROUND($H471*$M471,2),0)</f>
        <v/>
      </c>
      <c r="P471" s="10">
        <f>$N471+$O471</f>
        <v/>
      </c>
      <c r="Q471">
        <f>IFERROR(INDEX(спр_Работы!$J$2:$J$6000,MATCH($C471,спр_Работы!$A$2:$A$6000,0)),"")</f>
        <v/>
      </c>
      <c r="R471" t="inlineStr">
        <is>
          <t>да</t>
        </is>
      </c>
      <c r="T471">
        <f>IF(AND($P471&gt;0,$R471="да"),MAX($T$1:$T470)+1,"")</f>
        <v/>
      </c>
    </row>
    <row r="472">
      <c r="A472">
        <f>IFERROR(INDEX(спр_Работы!$D$2:$D$6000,MATCH($C472,спр_Работы!$A$2:$A$6000,0)),"")</f>
        <v/>
      </c>
      <c r="B472">
        <f>IFERROR(INDEX(спр_Работы!$F$2:$F$6000,MATCH($C472,спр_Работы!$A$2:$A$6000,0)),"")</f>
        <v/>
      </c>
      <c r="C472">
        <f>IFERROR(INDEX(спр_Работы!$A$2:$A$6000,471),"")</f>
        <v/>
      </c>
      <c r="D472" s="8">
        <f>IFERROR(INDEX(спр_Работы!$B$2:$B$6000,MATCH($C472,спр_Работы!$A$2:$A$6000,0)),"")</f>
        <v/>
      </c>
      <c r="E472">
        <f>IFERROR(INDEX(спр_Работы!$C$2:$C$6000,MATCH($C472,спр_Работы!$A$2:$A$6000,0)),"")</f>
        <v/>
      </c>
      <c r="F472">
        <f>IFERROR(INDEX(спр_Работы!$G$2:$G$6000,MATCH($C472,спр_Работы!$A$2:$A$6000,0)),"")</f>
        <v/>
      </c>
      <c r="G472">
        <f>IFERROR(INDEX(спр_Работы!$K$2:$K$6000,MATCH($C472,спр_Работы!$A$2:$A$6000,0)),"")</f>
        <v/>
      </c>
      <c r="H472" s="9" t="n"/>
      <c r="I472" s="9" t="n"/>
      <c r="J472" s="8">
        <f>IFERROR(INDEX(спр_Материалы!$B$2:$B$9000,MATCH($I472,спр_Материалы!$A$2:$A$9000,0)),"")</f>
        <v/>
      </c>
      <c r="K472">
        <f>IF($I472="","",IF($F472=IFERROR(INDEX(спр_Материалы!$G$2:$G$9000,MATCH($I472,спр_Материалы!$A$2:$A$9000,0)),""),"OK","!! не та группа"))</f>
        <v/>
      </c>
      <c r="L472" s="10">
        <f>IFERROR(INDEX(спр_Работы!$H$2:$H$6000,MATCH($C472,спр_Работы!$A$2:$A$6000,0))*(1-ДисконтТендер),0)</f>
        <v/>
      </c>
      <c r="M472" s="10">
        <f>IF($I472="",0,IFERROR(INDEX(спр_Материалы!$I$2:$I$9000,MATCH($I472,спр_Материалы!$A$2:$A$9000,0))*IF(INDEX(спр_Материалы!$J$2:$J$9000,MATCH($I472,спр_Материалы!$A$2:$A$9000,0))="USD",КурсUSD,IF(INDEX(спр_Материалы!$J$2:$J$9000,MATCH($I472,спр_Материалы!$A$2:$A$9000,0))="EUR",КурсEUR,1))*INDEX(спр_Материалы!$K$2:$K$9000,MATCH($I472,спр_Материалы!$A$2:$A$9000,0))*(1+IFERROR(INDEX(спр_Работы!$I$2:$I$6000,MATCH($C472,спр_Работы!$A$2:$A$6000,0))/100,0))*(1-ДисконтТендер),0))</f>
        <v/>
      </c>
      <c r="N472" s="10">
        <f>IF(AND($R472="да",$H472&lt;&gt;""),ROUND($H472*$L472,2),0)</f>
        <v/>
      </c>
      <c r="O472" s="10">
        <f>IF(AND($R472="да",$H472&lt;&gt;""),ROUND($H472*$M472,2),0)</f>
        <v/>
      </c>
      <c r="P472" s="10">
        <f>$N472+$O472</f>
        <v/>
      </c>
      <c r="Q472">
        <f>IFERROR(INDEX(спр_Работы!$J$2:$J$6000,MATCH($C472,спр_Работы!$A$2:$A$6000,0)),"")</f>
        <v/>
      </c>
      <c r="R472" t="inlineStr">
        <is>
          <t>да</t>
        </is>
      </c>
      <c r="T472">
        <f>IF(AND($P472&gt;0,$R472="да"),MAX($T$1:$T471)+1,"")</f>
        <v/>
      </c>
    </row>
    <row r="473">
      <c r="A473">
        <f>IFERROR(INDEX(спр_Работы!$D$2:$D$6000,MATCH($C473,спр_Работы!$A$2:$A$6000,0)),"")</f>
        <v/>
      </c>
      <c r="B473">
        <f>IFERROR(INDEX(спр_Работы!$F$2:$F$6000,MATCH($C473,спр_Работы!$A$2:$A$6000,0)),"")</f>
        <v/>
      </c>
      <c r="C473">
        <f>IFERROR(INDEX(спр_Работы!$A$2:$A$6000,472),"")</f>
        <v/>
      </c>
      <c r="D473" s="8">
        <f>IFERROR(INDEX(спр_Работы!$B$2:$B$6000,MATCH($C473,спр_Работы!$A$2:$A$6000,0)),"")</f>
        <v/>
      </c>
      <c r="E473">
        <f>IFERROR(INDEX(спр_Работы!$C$2:$C$6000,MATCH($C473,спр_Работы!$A$2:$A$6000,0)),"")</f>
        <v/>
      </c>
      <c r="F473">
        <f>IFERROR(INDEX(спр_Работы!$G$2:$G$6000,MATCH($C473,спр_Работы!$A$2:$A$6000,0)),"")</f>
        <v/>
      </c>
      <c r="G473">
        <f>IFERROR(INDEX(спр_Работы!$K$2:$K$6000,MATCH($C473,спр_Работы!$A$2:$A$6000,0)),"")</f>
        <v/>
      </c>
      <c r="H473" s="9" t="n"/>
      <c r="I473" s="9" t="n"/>
      <c r="J473" s="8">
        <f>IFERROR(INDEX(спр_Материалы!$B$2:$B$9000,MATCH($I473,спр_Материалы!$A$2:$A$9000,0)),"")</f>
        <v/>
      </c>
      <c r="K473">
        <f>IF($I473="","",IF($F473=IFERROR(INDEX(спр_Материалы!$G$2:$G$9000,MATCH($I473,спр_Материалы!$A$2:$A$9000,0)),""),"OK","!! не та группа"))</f>
        <v/>
      </c>
      <c r="L473" s="10">
        <f>IFERROR(INDEX(спр_Работы!$H$2:$H$6000,MATCH($C473,спр_Работы!$A$2:$A$6000,0))*(1-ДисконтТендер),0)</f>
        <v/>
      </c>
      <c r="M473" s="10">
        <f>IF($I473="",0,IFERROR(INDEX(спр_Материалы!$I$2:$I$9000,MATCH($I473,спр_Материалы!$A$2:$A$9000,0))*IF(INDEX(спр_Материалы!$J$2:$J$9000,MATCH($I473,спр_Материалы!$A$2:$A$9000,0))="USD",КурсUSD,IF(INDEX(спр_Материалы!$J$2:$J$9000,MATCH($I473,спр_Материалы!$A$2:$A$9000,0))="EUR",КурсEUR,1))*INDEX(спр_Материалы!$K$2:$K$9000,MATCH($I473,спр_Материалы!$A$2:$A$9000,0))*(1+IFERROR(INDEX(спр_Работы!$I$2:$I$6000,MATCH($C473,спр_Работы!$A$2:$A$6000,0))/100,0))*(1-ДисконтТендер),0))</f>
        <v/>
      </c>
      <c r="N473" s="10">
        <f>IF(AND($R473="да",$H473&lt;&gt;""),ROUND($H473*$L473,2),0)</f>
        <v/>
      </c>
      <c r="O473" s="10">
        <f>IF(AND($R473="да",$H473&lt;&gt;""),ROUND($H473*$M473,2),0)</f>
        <v/>
      </c>
      <c r="P473" s="10">
        <f>$N473+$O473</f>
        <v/>
      </c>
      <c r="Q473">
        <f>IFERROR(INDEX(спр_Работы!$J$2:$J$6000,MATCH($C473,спр_Работы!$A$2:$A$6000,0)),"")</f>
        <v/>
      </c>
      <c r="R473" t="inlineStr">
        <is>
          <t>да</t>
        </is>
      </c>
      <c r="T473">
        <f>IF(AND($P473&gt;0,$R473="да"),MAX($T$1:$T472)+1,"")</f>
        <v/>
      </c>
    </row>
    <row r="474">
      <c r="A474">
        <f>IFERROR(INDEX(спр_Работы!$D$2:$D$6000,MATCH($C474,спр_Работы!$A$2:$A$6000,0)),"")</f>
        <v/>
      </c>
      <c r="B474">
        <f>IFERROR(INDEX(спр_Работы!$F$2:$F$6000,MATCH($C474,спр_Работы!$A$2:$A$6000,0)),"")</f>
        <v/>
      </c>
      <c r="C474">
        <f>IFERROR(INDEX(спр_Работы!$A$2:$A$6000,473),"")</f>
        <v/>
      </c>
      <c r="D474" s="8">
        <f>IFERROR(INDEX(спр_Работы!$B$2:$B$6000,MATCH($C474,спр_Работы!$A$2:$A$6000,0)),"")</f>
        <v/>
      </c>
      <c r="E474">
        <f>IFERROR(INDEX(спр_Работы!$C$2:$C$6000,MATCH($C474,спр_Работы!$A$2:$A$6000,0)),"")</f>
        <v/>
      </c>
      <c r="F474">
        <f>IFERROR(INDEX(спр_Работы!$G$2:$G$6000,MATCH($C474,спр_Работы!$A$2:$A$6000,0)),"")</f>
        <v/>
      </c>
      <c r="G474">
        <f>IFERROR(INDEX(спр_Работы!$K$2:$K$6000,MATCH($C474,спр_Работы!$A$2:$A$6000,0)),"")</f>
        <v/>
      </c>
      <c r="H474" s="9" t="n"/>
      <c r="I474" s="9" t="n"/>
      <c r="J474" s="8">
        <f>IFERROR(INDEX(спр_Материалы!$B$2:$B$9000,MATCH($I474,спр_Материалы!$A$2:$A$9000,0)),"")</f>
        <v/>
      </c>
      <c r="K474">
        <f>IF($I474="","",IF($F474=IFERROR(INDEX(спр_Материалы!$G$2:$G$9000,MATCH($I474,спр_Материалы!$A$2:$A$9000,0)),""),"OK","!! не та группа"))</f>
        <v/>
      </c>
      <c r="L474" s="10">
        <f>IFERROR(INDEX(спр_Работы!$H$2:$H$6000,MATCH($C474,спр_Работы!$A$2:$A$6000,0))*(1-ДисконтТендер),0)</f>
        <v/>
      </c>
      <c r="M474" s="10">
        <f>IF($I474="",0,IFERROR(INDEX(спр_Материалы!$I$2:$I$9000,MATCH($I474,спр_Материалы!$A$2:$A$9000,0))*IF(INDEX(спр_Материалы!$J$2:$J$9000,MATCH($I474,спр_Материалы!$A$2:$A$9000,0))="USD",КурсUSD,IF(INDEX(спр_Материалы!$J$2:$J$9000,MATCH($I474,спр_Материалы!$A$2:$A$9000,0))="EUR",КурсEUR,1))*INDEX(спр_Материалы!$K$2:$K$9000,MATCH($I474,спр_Материалы!$A$2:$A$9000,0))*(1+IFERROR(INDEX(спр_Работы!$I$2:$I$6000,MATCH($C474,спр_Работы!$A$2:$A$6000,0))/100,0))*(1-ДисконтТендер),0))</f>
        <v/>
      </c>
      <c r="N474" s="10">
        <f>IF(AND($R474="да",$H474&lt;&gt;""),ROUND($H474*$L474,2),0)</f>
        <v/>
      </c>
      <c r="O474" s="10">
        <f>IF(AND($R474="да",$H474&lt;&gt;""),ROUND($H474*$M474,2),0)</f>
        <v/>
      </c>
      <c r="P474" s="10">
        <f>$N474+$O474</f>
        <v/>
      </c>
      <c r="Q474">
        <f>IFERROR(INDEX(спр_Работы!$J$2:$J$6000,MATCH($C474,спр_Работы!$A$2:$A$6000,0)),"")</f>
        <v/>
      </c>
      <c r="R474" t="inlineStr">
        <is>
          <t>да</t>
        </is>
      </c>
      <c r="T474">
        <f>IF(AND($P474&gt;0,$R474="да"),MAX($T$1:$T473)+1,"")</f>
        <v/>
      </c>
    </row>
    <row r="475">
      <c r="A475">
        <f>IFERROR(INDEX(спр_Работы!$D$2:$D$6000,MATCH($C475,спр_Работы!$A$2:$A$6000,0)),"")</f>
        <v/>
      </c>
      <c r="B475">
        <f>IFERROR(INDEX(спр_Работы!$F$2:$F$6000,MATCH($C475,спр_Работы!$A$2:$A$6000,0)),"")</f>
        <v/>
      </c>
      <c r="C475">
        <f>IFERROR(INDEX(спр_Работы!$A$2:$A$6000,474),"")</f>
        <v/>
      </c>
      <c r="D475" s="8">
        <f>IFERROR(INDEX(спр_Работы!$B$2:$B$6000,MATCH($C475,спр_Работы!$A$2:$A$6000,0)),"")</f>
        <v/>
      </c>
      <c r="E475">
        <f>IFERROR(INDEX(спр_Работы!$C$2:$C$6000,MATCH($C475,спр_Работы!$A$2:$A$6000,0)),"")</f>
        <v/>
      </c>
      <c r="F475">
        <f>IFERROR(INDEX(спр_Работы!$G$2:$G$6000,MATCH($C475,спр_Работы!$A$2:$A$6000,0)),"")</f>
        <v/>
      </c>
      <c r="G475">
        <f>IFERROR(INDEX(спр_Работы!$K$2:$K$6000,MATCH($C475,спр_Работы!$A$2:$A$6000,0)),"")</f>
        <v/>
      </c>
      <c r="H475" s="9" t="n"/>
      <c r="I475" s="9" t="n"/>
      <c r="J475" s="8">
        <f>IFERROR(INDEX(спр_Материалы!$B$2:$B$9000,MATCH($I475,спр_Материалы!$A$2:$A$9000,0)),"")</f>
        <v/>
      </c>
      <c r="K475">
        <f>IF($I475="","",IF($F475=IFERROR(INDEX(спр_Материалы!$G$2:$G$9000,MATCH($I475,спр_Материалы!$A$2:$A$9000,0)),""),"OK","!! не та группа"))</f>
        <v/>
      </c>
      <c r="L475" s="10">
        <f>IFERROR(INDEX(спр_Работы!$H$2:$H$6000,MATCH($C475,спр_Работы!$A$2:$A$6000,0))*(1-ДисконтТендер),0)</f>
        <v/>
      </c>
      <c r="M475" s="10">
        <f>IF($I475="",0,IFERROR(INDEX(спр_Материалы!$I$2:$I$9000,MATCH($I475,спр_Материалы!$A$2:$A$9000,0))*IF(INDEX(спр_Материалы!$J$2:$J$9000,MATCH($I475,спр_Материалы!$A$2:$A$9000,0))="USD",КурсUSD,IF(INDEX(спр_Материалы!$J$2:$J$9000,MATCH($I475,спр_Материалы!$A$2:$A$9000,0))="EUR",КурсEUR,1))*INDEX(спр_Материалы!$K$2:$K$9000,MATCH($I475,спр_Материалы!$A$2:$A$9000,0))*(1+IFERROR(INDEX(спр_Работы!$I$2:$I$6000,MATCH($C475,спр_Работы!$A$2:$A$6000,0))/100,0))*(1-ДисконтТендер),0))</f>
        <v/>
      </c>
      <c r="N475" s="10">
        <f>IF(AND($R475="да",$H475&lt;&gt;""),ROUND($H475*$L475,2),0)</f>
        <v/>
      </c>
      <c r="O475" s="10">
        <f>IF(AND($R475="да",$H475&lt;&gt;""),ROUND($H475*$M475,2),0)</f>
        <v/>
      </c>
      <c r="P475" s="10">
        <f>$N475+$O475</f>
        <v/>
      </c>
      <c r="Q475">
        <f>IFERROR(INDEX(спр_Работы!$J$2:$J$6000,MATCH($C475,спр_Работы!$A$2:$A$6000,0)),"")</f>
        <v/>
      </c>
      <c r="R475" t="inlineStr">
        <is>
          <t>да</t>
        </is>
      </c>
      <c r="T475">
        <f>IF(AND($P475&gt;0,$R475="да"),MAX($T$1:$T474)+1,"")</f>
        <v/>
      </c>
    </row>
    <row r="476">
      <c r="A476">
        <f>IFERROR(INDEX(спр_Работы!$D$2:$D$6000,MATCH($C476,спр_Работы!$A$2:$A$6000,0)),"")</f>
        <v/>
      </c>
      <c r="B476">
        <f>IFERROR(INDEX(спр_Работы!$F$2:$F$6000,MATCH($C476,спр_Работы!$A$2:$A$6000,0)),"")</f>
        <v/>
      </c>
      <c r="C476">
        <f>IFERROR(INDEX(спр_Работы!$A$2:$A$6000,475),"")</f>
        <v/>
      </c>
      <c r="D476" s="8">
        <f>IFERROR(INDEX(спр_Работы!$B$2:$B$6000,MATCH($C476,спр_Работы!$A$2:$A$6000,0)),"")</f>
        <v/>
      </c>
      <c r="E476">
        <f>IFERROR(INDEX(спр_Работы!$C$2:$C$6000,MATCH($C476,спр_Работы!$A$2:$A$6000,0)),"")</f>
        <v/>
      </c>
      <c r="F476">
        <f>IFERROR(INDEX(спр_Работы!$G$2:$G$6000,MATCH($C476,спр_Работы!$A$2:$A$6000,0)),"")</f>
        <v/>
      </c>
      <c r="G476">
        <f>IFERROR(INDEX(спр_Работы!$K$2:$K$6000,MATCH($C476,спр_Работы!$A$2:$A$6000,0)),"")</f>
        <v/>
      </c>
      <c r="H476" s="9" t="n"/>
      <c r="I476" s="9" t="n"/>
      <c r="J476" s="8">
        <f>IFERROR(INDEX(спр_Материалы!$B$2:$B$9000,MATCH($I476,спр_Материалы!$A$2:$A$9000,0)),"")</f>
        <v/>
      </c>
      <c r="K476">
        <f>IF($I476="","",IF($F476=IFERROR(INDEX(спр_Материалы!$G$2:$G$9000,MATCH($I476,спр_Материалы!$A$2:$A$9000,0)),""),"OK","!! не та группа"))</f>
        <v/>
      </c>
      <c r="L476" s="10">
        <f>IFERROR(INDEX(спр_Работы!$H$2:$H$6000,MATCH($C476,спр_Работы!$A$2:$A$6000,0))*(1-ДисконтТендер),0)</f>
        <v/>
      </c>
      <c r="M476" s="10">
        <f>IF($I476="",0,IFERROR(INDEX(спр_Материалы!$I$2:$I$9000,MATCH($I476,спр_Материалы!$A$2:$A$9000,0))*IF(INDEX(спр_Материалы!$J$2:$J$9000,MATCH($I476,спр_Материалы!$A$2:$A$9000,0))="USD",КурсUSD,IF(INDEX(спр_Материалы!$J$2:$J$9000,MATCH($I476,спр_Материалы!$A$2:$A$9000,0))="EUR",КурсEUR,1))*INDEX(спр_Материалы!$K$2:$K$9000,MATCH($I476,спр_Материалы!$A$2:$A$9000,0))*(1+IFERROR(INDEX(спр_Работы!$I$2:$I$6000,MATCH($C476,спр_Работы!$A$2:$A$6000,0))/100,0))*(1-ДисконтТендер),0))</f>
        <v/>
      </c>
      <c r="N476" s="10">
        <f>IF(AND($R476="да",$H476&lt;&gt;""),ROUND($H476*$L476,2),0)</f>
        <v/>
      </c>
      <c r="O476" s="10">
        <f>IF(AND($R476="да",$H476&lt;&gt;""),ROUND($H476*$M476,2),0)</f>
        <v/>
      </c>
      <c r="P476" s="10">
        <f>$N476+$O476</f>
        <v/>
      </c>
      <c r="Q476">
        <f>IFERROR(INDEX(спр_Работы!$J$2:$J$6000,MATCH($C476,спр_Работы!$A$2:$A$6000,0)),"")</f>
        <v/>
      </c>
      <c r="R476" t="inlineStr">
        <is>
          <t>да</t>
        </is>
      </c>
      <c r="T476">
        <f>IF(AND($P476&gt;0,$R476="да"),MAX($T$1:$T475)+1,"")</f>
        <v/>
      </c>
    </row>
    <row r="477">
      <c r="A477">
        <f>IFERROR(INDEX(спр_Работы!$D$2:$D$6000,MATCH($C477,спр_Работы!$A$2:$A$6000,0)),"")</f>
        <v/>
      </c>
      <c r="B477">
        <f>IFERROR(INDEX(спр_Работы!$F$2:$F$6000,MATCH($C477,спр_Работы!$A$2:$A$6000,0)),"")</f>
        <v/>
      </c>
      <c r="C477">
        <f>IFERROR(INDEX(спр_Работы!$A$2:$A$6000,476),"")</f>
        <v/>
      </c>
      <c r="D477" s="8">
        <f>IFERROR(INDEX(спр_Работы!$B$2:$B$6000,MATCH($C477,спр_Работы!$A$2:$A$6000,0)),"")</f>
        <v/>
      </c>
      <c r="E477">
        <f>IFERROR(INDEX(спр_Работы!$C$2:$C$6000,MATCH($C477,спр_Работы!$A$2:$A$6000,0)),"")</f>
        <v/>
      </c>
      <c r="F477">
        <f>IFERROR(INDEX(спр_Работы!$G$2:$G$6000,MATCH($C477,спр_Работы!$A$2:$A$6000,0)),"")</f>
        <v/>
      </c>
      <c r="G477">
        <f>IFERROR(INDEX(спр_Работы!$K$2:$K$6000,MATCH($C477,спр_Работы!$A$2:$A$6000,0)),"")</f>
        <v/>
      </c>
      <c r="H477" s="9" t="n"/>
      <c r="I477" s="9" t="n"/>
      <c r="J477" s="8">
        <f>IFERROR(INDEX(спр_Материалы!$B$2:$B$9000,MATCH($I477,спр_Материалы!$A$2:$A$9000,0)),"")</f>
        <v/>
      </c>
      <c r="K477">
        <f>IF($I477="","",IF($F477=IFERROR(INDEX(спр_Материалы!$G$2:$G$9000,MATCH($I477,спр_Материалы!$A$2:$A$9000,0)),""),"OK","!! не та группа"))</f>
        <v/>
      </c>
      <c r="L477" s="10">
        <f>IFERROR(INDEX(спр_Работы!$H$2:$H$6000,MATCH($C477,спр_Работы!$A$2:$A$6000,0))*(1-ДисконтТендер),0)</f>
        <v/>
      </c>
      <c r="M477" s="10">
        <f>IF($I477="",0,IFERROR(INDEX(спр_Материалы!$I$2:$I$9000,MATCH($I477,спр_Материалы!$A$2:$A$9000,0))*IF(INDEX(спр_Материалы!$J$2:$J$9000,MATCH($I477,спр_Материалы!$A$2:$A$9000,0))="USD",КурсUSD,IF(INDEX(спр_Материалы!$J$2:$J$9000,MATCH($I477,спр_Материалы!$A$2:$A$9000,0))="EUR",КурсEUR,1))*INDEX(спр_Материалы!$K$2:$K$9000,MATCH($I477,спр_Материалы!$A$2:$A$9000,0))*(1+IFERROR(INDEX(спр_Работы!$I$2:$I$6000,MATCH($C477,спр_Работы!$A$2:$A$6000,0))/100,0))*(1-ДисконтТендер),0))</f>
        <v/>
      </c>
      <c r="N477" s="10">
        <f>IF(AND($R477="да",$H477&lt;&gt;""),ROUND($H477*$L477,2),0)</f>
        <v/>
      </c>
      <c r="O477" s="10">
        <f>IF(AND($R477="да",$H477&lt;&gt;""),ROUND($H477*$M477,2),0)</f>
        <v/>
      </c>
      <c r="P477" s="10">
        <f>$N477+$O477</f>
        <v/>
      </c>
      <c r="Q477">
        <f>IFERROR(INDEX(спр_Работы!$J$2:$J$6000,MATCH($C477,спр_Работы!$A$2:$A$6000,0)),"")</f>
        <v/>
      </c>
      <c r="R477" t="inlineStr">
        <is>
          <t>да</t>
        </is>
      </c>
      <c r="T477">
        <f>IF(AND($P477&gt;0,$R477="да"),MAX($T$1:$T476)+1,"")</f>
        <v/>
      </c>
    </row>
    <row r="478">
      <c r="A478">
        <f>IFERROR(INDEX(спр_Работы!$D$2:$D$6000,MATCH($C478,спр_Работы!$A$2:$A$6000,0)),"")</f>
        <v/>
      </c>
      <c r="B478">
        <f>IFERROR(INDEX(спр_Работы!$F$2:$F$6000,MATCH($C478,спр_Работы!$A$2:$A$6000,0)),"")</f>
        <v/>
      </c>
      <c r="C478">
        <f>IFERROR(INDEX(спр_Работы!$A$2:$A$6000,477),"")</f>
        <v/>
      </c>
      <c r="D478" s="8">
        <f>IFERROR(INDEX(спр_Работы!$B$2:$B$6000,MATCH($C478,спр_Работы!$A$2:$A$6000,0)),"")</f>
        <v/>
      </c>
      <c r="E478">
        <f>IFERROR(INDEX(спр_Работы!$C$2:$C$6000,MATCH($C478,спр_Работы!$A$2:$A$6000,0)),"")</f>
        <v/>
      </c>
      <c r="F478">
        <f>IFERROR(INDEX(спр_Работы!$G$2:$G$6000,MATCH($C478,спр_Работы!$A$2:$A$6000,0)),"")</f>
        <v/>
      </c>
      <c r="G478">
        <f>IFERROR(INDEX(спр_Работы!$K$2:$K$6000,MATCH($C478,спр_Работы!$A$2:$A$6000,0)),"")</f>
        <v/>
      </c>
      <c r="H478" s="9" t="n"/>
      <c r="I478" s="9" t="n"/>
      <c r="J478" s="8">
        <f>IFERROR(INDEX(спр_Материалы!$B$2:$B$9000,MATCH($I478,спр_Материалы!$A$2:$A$9000,0)),"")</f>
        <v/>
      </c>
      <c r="K478">
        <f>IF($I478="","",IF($F478=IFERROR(INDEX(спр_Материалы!$G$2:$G$9000,MATCH($I478,спр_Материалы!$A$2:$A$9000,0)),""),"OK","!! не та группа"))</f>
        <v/>
      </c>
      <c r="L478" s="10">
        <f>IFERROR(INDEX(спр_Работы!$H$2:$H$6000,MATCH($C478,спр_Работы!$A$2:$A$6000,0))*(1-ДисконтТендер),0)</f>
        <v/>
      </c>
      <c r="M478" s="10">
        <f>IF($I478="",0,IFERROR(INDEX(спр_Материалы!$I$2:$I$9000,MATCH($I478,спр_Материалы!$A$2:$A$9000,0))*IF(INDEX(спр_Материалы!$J$2:$J$9000,MATCH($I478,спр_Материалы!$A$2:$A$9000,0))="USD",КурсUSD,IF(INDEX(спр_Материалы!$J$2:$J$9000,MATCH($I478,спр_Материалы!$A$2:$A$9000,0))="EUR",КурсEUR,1))*INDEX(спр_Материалы!$K$2:$K$9000,MATCH($I478,спр_Материалы!$A$2:$A$9000,0))*(1+IFERROR(INDEX(спр_Работы!$I$2:$I$6000,MATCH($C478,спр_Работы!$A$2:$A$6000,0))/100,0))*(1-ДисконтТендер),0))</f>
        <v/>
      </c>
      <c r="N478" s="10">
        <f>IF(AND($R478="да",$H478&lt;&gt;""),ROUND($H478*$L478,2),0)</f>
        <v/>
      </c>
      <c r="O478" s="10">
        <f>IF(AND($R478="да",$H478&lt;&gt;""),ROUND($H478*$M478,2),0)</f>
        <v/>
      </c>
      <c r="P478" s="10">
        <f>$N478+$O478</f>
        <v/>
      </c>
      <c r="Q478">
        <f>IFERROR(INDEX(спр_Работы!$J$2:$J$6000,MATCH($C478,спр_Работы!$A$2:$A$6000,0)),"")</f>
        <v/>
      </c>
      <c r="R478" t="inlineStr">
        <is>
          <t>да</t>
        </is>
      </c>
      <c r="T478">
        <f>IF(AND($P478&gt;0,$R478="да"),MAX($T$1:$T477)+1,"")</f>
        <v/>
      </c>
    </row>
    <row r="479">
      <c r="A479">
        <f>IFERROR(INDEX(спр_Работы!$D$2:$D$6000,MATCH($C479,спр_Работы!$A$2:$A$6000,0)),"")</f>
        <v/>
      </c>
      <c r="B479">
        <f>IFERROR(INDEX(спр_Работы!$F$2:$F$6000,MATCH($C479,спр_Работы!$A$2:$A$6000,0)),"")</f>
        <v/>
      </c>
      <c r="C479">
        <f>IFERROR(INDEX(спр_Работы!$A$2:$A$6000,478),"")</f>
        <v/>
      </c>
      <c r="D479" s="8">
        <f>IFERROR(INDEX(спр_Работы!$B$2:$B$6000,MATCH($C479,спр_Работы!$A$2:$A$6000,0)),"")</f>
        <v/>
      </c>
      <c r="E479">
        <f>IFERROR(INDEX(спр_Работы!$C$2:$C$6000,MATCH($C479,спр_Работы!$A$2:$A$6000,0)),"")</f>
        <v/>
      </c>
      <c r="F479">
        <f>IFERROR(INDEX(спр_Работы!$G$2:$G$6000,MATCH($C479,спр_Работы!$A$2:$A$6000,0)),"")</f>
        <v/>
      </c>
      <c r="G479">
        <f>IFERROR(INDEX(спр_Работы!$K$2:$K$6000,MATCH($C479,спр_Работы!$A$2:$A$6000,0)),"")</f>
        <v/>
      </c>
      <c r="H479" s="9" t="n"/>
      <c r="I479" s="9" t="n"/>
      <c r="J479" s="8">
        <f>IFERROR(INDEX(спр_Материалы!$B$2:$B$9000,MATCH($I479,спр_Материалы!$A$2:$A$9000,0)),"")</f>
        <v/>
      </c>
      <c r="K479">
        <f>IF($I479="","",IF($F479=IFERROR(INDEX(спр_Материалы!$G$2:$G$9000,MATCH($I479,спр_Материалы!$A$2:$A$9000,0)),""),"OK","!! не та группа"))</f>
        <v/>
      </c>
      <c r="L479" s="10">
        <f>IFERROR(INDEX(спр_Работы!$H$2:$H$6000,MATCH($C479,спр_Работы!$A$2:$A$6000,0))*(1-ДисконтТендер),0)</f>
        <v/>
      </c>
      <c r="M479" s="10">
        <f>IF($I479="",0,IFERROR(INDEX(спр_Материалы!$I$2:$I$9000,MATCH($I479,спр_Материалы!$A$2:$A$9000,0))*IF(INDEX(спр_Материалы!$J$2:$J$9000,MATCH($I479,спр_Материалы!$A$2:$A$9000,0))="USD",КурсUSD,IF(INDEX(спр_Материалы!$J$2:$J$9000,MATCH($I479,спр_Материалы!$A$2:$A$9000,0))="EUR",КурсEUR,1))*INDEX(спр_Материалы!$K$2:$K$9000,MATCH($I479,спр_Материалы!$A$2:$A$9000,0))*(1+IFERROR(INDEX(спр_Работы!$I$2:$I$6000,MATCH($C479,спр_Работы!$A$2:$A$6000,0))/100,0))*(1-ДисконтТендер),0))</f>
        <v/>
      </c>
      <c r="N479" s="10">
        <f>IF(AND($R479="да",$H479&lt;&gt;""),ROUND($H479*$L479,2),0)</f>
        <v/>
      </c>
      <c r="O479" s="10">
        <f>IF(AND($R479="да",$H479&lt;&gt;""),ROUND($H479*$M479,2),0)</f>
        <v/>
      </c>
      <c r="P479" s="10">
        <f>$N479+$O479</f>
        <v/>
      </c>
      <c r="Q479">
        <f>IFERROR(INDEX(спр_Работы!$J$2:$J$6000,MATCH($C479,спр_Работы!$A$2:$A$6000,0)),"")</f>
        <v/>
      </c>
      <c r="R479" t="inlineStr">
        <is>
          <t>да</t>
        </is>
      </c>
      <c r="T479">
        <f>IF(AND($P479&gt;0,$R479="да"),MAX($T$1:$T478)+1,"")</f>
        <v/>
      </c>
    </row>
    <row r="480">
      <c r="A480">
        <f>IFERROR(INDEX(спр_Работы!$D$2:$D$6000,MATCH($C480,спр_Работы!$A$2:$A$6000,0)),"")</f>
        <v/>
      </c>
      <c r="B480">
        <f>IFERROR(INDEX(спр_Работы!$F$2:$F$6000,MATCH($C480,спр_Работы!$A$2:$A$6000,0)),"")</f>
        <v/>
      </c>
      <c r="C480">
        <f>IFERROR(INDEX(спр_Работы!$A$2:$A$6000,479),"")</f>
        <v/>
      </c>
      <c r="D480" s="8">
        <f>IFERROR(INDEX(спр_Работы!$B$2:$B$6000,MATCH($C480,спр_Работы!$A$2:$A$6000,0)),"")</f>
        <v/>
      </c>
      <c r="E480">
        <f>IFERROR(INDEX(спр_Работы!$C$2:$C$6000,MATCH($C480,спр_Работы!$A$2:$A$6000,0)),"")</f>
        <v/>
      </c>
      <c r="F480">
        <f>IFERROR(INDEX(спр_Работы!$G$2:$G$6000,MATCH($C480,спр_Работы!$A$2:$A$6000,0)),"")</f>
        <v/>
      </c>
      <c r="G480">
        <f>IFERROR(INDEX(спр_Работы!$K$2:$K$6000,MATCH($C480,спр_Работы!$A$2:$A$6000,0)),"")</f>
        <v/>
      </c>
      <c r="H480" s="9" t="n"/>
      <c r="I480" s="9" t="n"/>
      <c r="J480" s="8">
        <f>IFERROR(INDEX(спр_Материалы!$B$2:$B$9000,MATCH($I480,спр_Материалы!$A$2:$A$9000,0)),"")</f>
        <v/>
      </c>
      <c r="K480">
        <f>IF($I480="","",IF($F480=IFERROR(INDEX(спр_Материалы!$G$2:$G$9000,MATCH($I480,спр_Материалы!$A$2:$A$9000,0)),""),"OK","!! не та группа"))</f>
        <v/>
      </c>
      <c r="L480" s="10">
        <f>IFERROR(INDEX(спр_Работы!$H$2:$H$6000,MATCH($C480,спр_Работы!$A$2:$A$6000,0))*(1-ДисконтТендер),0)</f>
        <v/>
      </c>
      <c r="M480" s="10">
        <f>IF($I480="",0,IFERROR(INDEX(спр_Материалы!$I$2:$I$9000,MATCH($I480,спр_Материалы!$A$2:$A$9000,0))*IF(INDEX(спр_Материалы!$J$2:$J$9000,MATCH($I480,спр_Материалы!$A$2:$A$9000,0))="USD",КурсUSD,IF(INDEX(спр_Материалы!$J$2:$J$9000,MATCH($I480,спр_Материалы!$A$2:$A$9000,0))="EUR",КурсEUR,1))*INDEX(спр_Материалы!$K$2:$K$9000,MATCH($I480,спр_Материалы!$A$2:$A$9000,0))*(1+IFERROR(INDEX(спр_Работы!$I$2:$I$6000,MATCH($C480,спр_Работы!$A$2:$A$6000,0))/100,0))*(1-ДисконтТендер),0))</f>
        <v/>
      </c>
      <c r="N480" s="10">
        <f>IF(AND($R480="да",$H480&lt;&gt;""),ROUND($H480*$L480,2),0)</f>
        <v/>
      </c>
      <c r="O480" s="10">
        <f>IF(AND($R480="да",$H480&lt;&gt;""),ROUND($H480*$M480,2),0)</f>
        <v/>
      </c>
      <c r="P480" s="10">
        <f>$N480+$O480</f>
        <v/>
      </c>
      <c r="Q480">
        <f>IFERROR(INDEX(спр_Работы!$J$2:$J$6000,MATCH($C480,спр_Работы!$A$2:$A$6000,0)),"")</f>
        <v/>
      </c>
      <c r="R480" t="inlineStr">
        <is>
          <t>да</t>
        </is>
      </c>
      <c r="T480">
        <f>IF(AND($P480&gt;0,$R480="да"),MAX($T$1:$T479)+1,"")</f>
        <v/>
      </c>
    </row>
    <row r="481">
      <c r="A481">
        <f>IFERROR(INDEX(спр_Работы!$D$2:$D$6000,MATCH($C481,спр_Работы!$A$2:$A$6000,0)),"")</f>
        <v/>
      </c>
      <c r="B481">
        <f>IFERROR(INDEX(спр_Работы!$F$2:$F$6000,MATCH($C481,спр_Работы!$A$2:$A$6000,0)),"")</f>
        <v/>
      </c>
      <c r="C481">
        <f>IFERROR(INDEX(спр_Работы!$A$2:$A$6000,480),"")</f>
        <v/>
      </c>
      <c r="D481" s="8">
        <f>IFERROR(INDEX(спр_Работы!$B$2:$B$6000,MATCH($C481,спр_Работы!$A$2:$A$6000,0)),"")</f>
        <v/>
      </c>
      <c r="E481">
        <f>IFERROR(INDEX(спр_Работы!$C$2:$C$6000,MATCH($C481,спр_Работы!$A$2:$A$6000,0)),"")</f>
        <v/>
      </c>
      <c r="F481">
        <f>IFERROR(INDEX(спр_Работы!$G$2:$G$6000,MATCH($C481,спр_Работы!$A$2:$A$6000,0)),"")</f>
        <v/>
      </c>
      <c r="G481">
        <f>IFERROR(INDEX(спр_Работы!$K$2:$K$6000,MATCH($C481,спр_Работы!$A$2:$A$6000,0)),"")</f>
        <v/>
      </c>
      <c r="H481" s="9" t="n"/>
      <c r="I481" s="9" t="n"/>
      <c r="J481" s="8">
        <f>IFERROR(INDEX(спр_Материалы!$B$2:$B$9000,MATCH($I481,спр_Материалы!$A$2:$A$9000,0)),"")</f>
        <v/>
      </c>
      <c r="K481">
        <f>IF($I481="","",IF($F481=IFERROR(INDEX(спр_Материалы!$G$2:$G$9000,MATCH($I481,спр_Материалы!$A$2:$A$9000,0)),""),"OK","!! не та группа"))</f>
        <v/>
      </c>
      <c r="L481" s="10">
        <f>IFERROR(INDEX(спр_Работы!$H$2:$H$6000,MATCH($C481,спр_Работы!$A$2:$A$6000,0))*(1-ДисконтТендер),0)</f>
        <v/>
      </c>
      <c r="M481" s="10">
        <f>IF($I481="",0,IFERROR(INDEX(спр_Материалы!$I$2:$I$9000,MATCH($I481,спр_Материалы!$A$2:$A$9000,0))*IF(INDEX(спр_Материалы!$J$2:$J$9000,MATCH($I481,спр_Материалы!$A$2:$A$9000,0))="USD",КурсUSD,IF(INDEX(спр_Материалы!$J$2:$J$9000,MATCH($I481,спр_Материалы!$A$2:$A$9000,0))="EUR",КурсEUR,1))*INDEX(спр_Материалы!$K$2:$K$9000,MATCH($I481,спр_Материалы!$A$2:$A$9000,0))*(1+IFERROR(INDEX(спр_Работы!$I$2:$I$6000,MATCH($C481,спр_Работы!$A$2:$A$6000,0))/100,0))*(1-ДисконтТендер),0))</f>
        <v/>
      </c>
      <c r="N481" s="10">
        <f>IF(AND($R481="да",$H481&lt;&gt;""),ROUND($H481*$L481,2),0)</f>
        <v/>
      </c>
      <c r="O481" s="10">
        <f>IF(AND($R481="да",$H481&lt;&gt;""),ROUND($H481*$M481,2),0)</f>
        <v/>
      </c>
      <c r="P481" s="10">
        <f>$N481+$O481</f>
        <v/>
      </c>
      <c r="Q481">
        <f>IFERROR(INDEX(спр_Работы!$J$2:$J$6000,MATCH($C481,спр_Работы!$A$2:$A$6000,0)),"")</f>
        <v/>
      </c>
      <c r="R481" t="inlineStr">
        <is>
          <t>да</t>
        </is>
      </c>
      <c r="T481">
        <f>IF(AND($P481&gt;0,$R481="да"),MAX($T$1:$T480)+1,"")</f>
        <v/>
      </c>
    </row>
    <row r="482">
      <c r="A482">
        <f>IFERROR(INDEX(спр_Работы!$D$2:$D$6000,MATCH($C482,спр_Работы!$A$2:$A$6000,0)),"")</f>
        <v/>
      </c>
      <c r="B482">
        <f>IFERROR(INDEX(спр_Работы!$F$2:$F$6000,MATCH($C482,спр_Работы!$A$2:$A$6000,0)),"")</f>
        <v/>
      </c>
      <c r="C482">
        <f>IFERROR(INDEX(спр_Работы!$A$2:$A$6000,481),"")</f>
        <v/>
      </c>
      <c r="D482" s="8">
        <f>IFERROR(INDEX(спр_Работы!$B$2:$B$6000,MATCH($C482,спр_Работы!$A$2:$A$6000,0)),"")</f>
        <v/>
      </c>
      <c r="E482">
        <f>IFERROR(INDEX(спр_Работы!$C$2:$C$6000,MATCH($C482,спр_Работы!$A$2:$A$6000,0)),"")</f>
        <v/>
      </c>
      <c r="F482">
        <f>IFERROR(INDEX(спр_Работы!$G$2:$G$6000,MATCH($C482,спр_Работы!$A$2:$A$6000,0)),"")</f>
        <v/>
      </c>
      <c r="G482">
        <f>IFERROR(INDEX(спр_Работы!$K$2:$K$6000,MATCH($C482,спр_Работы!$A$2:$A$6000,0)),"")</f>
        <v/>
      </c>
      <c r="H482" s="9" t="n"/>
      <c r="I482" s="9" t="n"/>
      <c r="J482" s="8">
        <f>IFERROR(INDEX(спр_Материалы!$B$2:$B$9000,MATCH($I482,спр_Материалы!$A$2:$A$9000,0)),"")</f>
        <v/>
      </c>
      <c r="K482">
        <f>IF($I482="","",IF($F482=IFERROR(INDEX(спр_Материалы!$G$2:$G$9000,MATCH($I482,спр_Материалы!$A$2:$A$9000,0)),""),"OK","!! не та группа"))</f>
        <v/>
      </c>
      <c r="L482" s="10">
        <f>IFERROR(INDEX(спр_Работы!$H$2:$H$6000,MATCH($C482,спр_Работы!$A$2:$A$6000,0))*(1-ДисконтТендер),0)</f>
        <v/>
      </c>
      <c r="M482" s="10">
        <f>IF($I482="",0,IFERROR(INDEX(спр_Материалы!$I$2:$I$9000,MATCH($I482,спр_Материалы!$A$2:$A$9000,0))*IF(INDEX(спр_Материалы!$J$2:$J$9000,MATCH($I482,спр_Материалы!$A$2:$A$9000,0))="USD",КурсUSD,IF(INDEX(спр_Материалы!$J$2:$J$9000,MATCH($I482,спр_Материалы!$A$2:$A$9000,0))="EUR",КурсEUR,1))*INDEX(спр_Материалы!$K$2:$K$9000,MATCH($I482,спр_Материалы!$A$2:$A$9000,0))*(1+IFERROR(INDEX(спр_Работы!$I$2:$I$6000,MATCH($C482,спр_Работы!$A$2:$A$6000,0))/100,0))*(1-ДисконтТендер),0))</f>
        <v/>
      </c>
      <c r="N482" s="10">
        <f>IF(AND($R482="да",$H482&lt;&gt;""),ROUND($H482*$L482,2),0)</f>
        <v/>
      </c>
      <c r="O482" s="10">
        <f>IF(AND($R482="да",$H482&lt;&gt;""),ROUND($H482*$M482,2),0)</f>
        <v/>
      </c>
      <c r="P482" s="10">
        <f>$N482+$O482</f>
        <v/>
      </c>
      <c r="Q482">
        <f>IFERROR(INDEX(спр_Работы!$J$2:$J$6000,MATCH($C482,спр_Работы!$A$2:$A$6000,0)),"")</f>
        <v/>
      </c>
      <c r="R482" t="inlineStr">
        <is>
          <t>да</t>
        </is>
      </c>
      <c r="T482">
        <f>IF(AND($P482&gt;0,$R482="да"),MAX($T$1:$T481)+1,"")</f>
        <v/>
      </c>
    </row>
    <row r="483">
      <c r="A483">
        <f>IFERROR(INDEX(спр_Работы!$D$2:$D$6000,MATCH($C483,спр_Работы!$A$2:$A$6000,0)),"")</f>
        <v/>
      </c>
      <c r="B483">
        <f>IFERROR(INDEX(спр_Работы!$F$2:$F$6000,MATCH($C483,спр_Работы!$A$2:$A$6000,0)),"")</f>
        <v/>
      </c>
      <c r="C483">
        <f>IFERROR(INDEX(спр_Работы!$A$2:$A$6000,482),"")</f>
        <v/>
      </c>
      <c r="D483" s="8">
        <f>IFERROR(INDEX(спр_Работы!$B$2:$B$6000,MATCH($C483,спр_Работы!$A$2:$A$6000,0)),"")</f>
        <v/>
      </c>
      <c r="E483">
        <f>IFERROR(INDEX(спр_Работы!$C$2:$C$6000,MATCH($C483,спр_Работы!$A$2:$A$6000,0)),"")</f>
        <v/>
      </c>
      <c r="F483">
        <f>IFERROR(INDEX(спр_Работы!$G$2:$G$6000,MATCH($C483,спр_Работы!$A$2:$A$6000,0)),"")</f>
        <v/>
      </c>
      <c r="G483">
        <f>IFERROR(INDEX(спр_Работы!$K$2:$K$6000,MATCH($C483,спр_Работы!$A$2:$A$6000,0)),"")</f>
        <v/>
      </c>
      <c r="H483" s="9" t="n"/>
      <c r="I483" s="9" t="n"/>
      <c r="J483" s="8">
        <f>IFERROR(INDEX(спр_Материалы!$B$2:$B$9000,MATCH($I483,спр_Материалы!$A$2:$A$9000,0)),"")</f>
        <v/>
      </c>
      <c r="K483">
        <f>IF($I483="","",IF($F483=IFERROR(INDEX(спр_Материалы!$G$2:$G$9000,MATCH($I483,спр_Материалы!$A$2:$A$9000,0)),""),"OK","!! не та группа"))</f>
        <v/>
      </c>
      <c r="L483" s="10">
        <f>IFERROR(INDEX(спр_Работы!$H$2:$H$6000,MATCH($C483,спр_Работы!$A$2:$A$6000,0))*(1-ДисконтТендер),0)</f>
        <v/>
      </c>
      <c r="M483" s="10">
        <f>IF($I483="",0,IFERROR(INDEX(спр_Материалы!$I$2:$I$9000,MATCH($I483,спр_Материалы!$A$2:$A$9000,0))*IF(INDEX(спр_Материалы!$J$2:$J$9000,MATCH($I483,спр_Материалы!$A$2:$A$9000,0))="USD",КурсUSD,IF(INDEX(спр_Материалы!$J$2:$J$9000,MATCH($I483,спр_Материалы!$A$2:$A$9000,0))="EUR",КурсEUR,1))*INDEX(спр_Материалы!$K$2:$K$9000,MATCH($I483,спр_Материалы!$A$2:$A$9000,0))*(1+IFERROR(INDEX(спр_Работы!$I$2:$I$6000,MATCH($C483,спр_Работы!$A$2:$A$6000,0))/100,0))*(1-ДисконтТендер),0))</f>
        <v/>
      </c>
      <c r="N483" s="10">
        <f>IF(AND($R483="да",$H483&lt;&gt;""),ROUND($H483*$L483,2),0)</f>
        <v/>
      </c>
      <c r="O483" s="10">
        <f>IF(AND($R483="да",$H483&lt;&gt;""),ROUND($H483*$M483,2),0)</f>
        <v/>
      </c>
      <c r="P483" s="10">
        <f>$N483+$O483</f>
        <v/>
      </c>
      <c r="Q483">
        <f>IFERROR(INDEX(спр_Работы!$J$2:$J$6000,MATCH($C483,спр_Работы!$A$2:$A$6000,0)),"")</f>
        <v/>
      </c>
      <c r="R483" t="inlineStr">
        <is>
          <t>да</t>
        </is>
      </c>
      <c r="T483">
        <f>IF(AND($P483&gt;0,$R483="да"),MAX($T$1:$T482)+1,"")</f>
        <v/>
      </c>
    </row>
    <row r="484">
      <c r="A484">
        <f>IFERROR(INDEX(спр_Работы!$D$2:$D$6000,MATCH($C484,спр_Работы!$A$2:$A$6000,0)),"")</f>
        <v/>
      </c>
      <c r="B484">
        <f>IFERROR(INDEX(спр_Работы!$F$2:$F$6000,MATCH($C484,спр_Работы!$A$2:$A$6000,0)),"")</f>
        <v/>
      </c>
      <c r="C484">
        <f>IFERROR(INDEX(спр_Работы!$A$2:$A$6000,483),"")</f>
        <v/>
      </c>
      <c r="D484" s="8">
        <f>IFERROR(INDEX(спр_Работы!$B$2:$B$6000,MATCH($C484,спр_Работы!$A$2:$A$6000,0)),"")</f>
        <v/>
      </c>
      <c r="E484">
        <f>IFERROR(INDEX(спр_Работы!$C$2:$C$6000,MATCH($C484,спр_Работы!$A$2:$A$6000,0)),"")</f>
        <v/>
      </c>
      <c r="F484">
        <f>IFERROR(INDEX(спр_Работы!$G$2:$G$6000,MATCH($C484,спр_Работы!$A$2:$A$6000,0)),"")</f>
        <v/>
      </c>
      <c r="G484">
        <f>IFERROR(INDEX(спр_Работы!$K$2:$K$6000,MATCH($C484,спр_Работы!$A$2:$A$6000,0)),"")</f>
        <v/>
      </c>
      <c r="H484" s="9" t="n"/>
      <c r="I484" s="9" t="n"/>
      <c r="J484" s="8">
        <f>IFERROR(INDEX(спр_Материалы!$B$2:$B$9000,MATCH($I484,спр_Материалы!$A$2:$A$9000,0)),"")</f>
        <v/>
      </c>
      <c r="K484">
        <f>IF($I484="","",IF($F484=IFERROR(INDEX(спр_Материалы!$G$2:$G$9000,MATCH($I484,спр_Материалы!$A$2:$A$9000,0)),""),"OK","!! не та группа"))</f>
        <v/>
      </c>
      <c r="L484" s="10">
        <f>IFERROR(INDEX(спр_Работы!$H$2:$H$6000,MATCH($C484,спр_Работы!$A$2:$A$6000,0))*(1-ДисконтТендер),0)</f>
        <v/>
      </c>
      <c r="M484" s="10">
        <f>IF($I484="",0,IFERROR(INDEX(спр_Материалы!$I$2:$I$9000,MATCH($I484,спр_Материалы!$A$2:$A$9000,0))*IF(INDEX(спр_Материалы!$J$2:$J$9000,MATCH($I484,спр_Материалы!$A$2:$A$9000,0))="USD",КурсUSD,IF(INDEX(спр_Материалы!$J$2:$J$9000,MATCH($I484,спр_Материалы!$A$2:$A$9000,0))="EUR",КурсEUR,1))*INDEX(спр_Материалы!$K$2:$K$9000,MATCH($I484,спр_Материалы!$A$2:$A$9000,0))*(1+IFERROR(INDEX(спр_Работы!$I$2:$I$6000,MATCH($C484,спр_Работы!$A$2:$A$6000,0))/100,0))*(1-ДисконтТендер),0))</f>
        <v/>
      </c>
      <c r="N484" s="10">
        <f>IF(AND($R484="да",$H484&lt;&gt;""),ROUND($H484*$L484,2),0)</f>
        <v/>
      </c>
      <c r="O484" s="10">
        <f>IF(AND($R484="да",$H484&lt;&gt;""),ROUND($H484*$M484,2),0)</f>
        <v/>
      </c>
      <c r="P484" s="10">
        <f>$N484+$O484</f>
        <v/>
      </c>
      <c r="Q484">
        <f>IFERROR(INDEX(спр_Работы!$J$2:$J$6000,MATCH($C484,спр_Работы!$A$2:$A$6000,0)),"")</f>
        <v/>
      </c>
      <c r="R484" t="inlineStr">
        <is>
          <t>да</t>
        </is>
      </c>
      <c r="T484">
        <f>IF(AND($P484&gt;0,$R484="да"),MAX($T$1:$T483)+1,"")</f>
        <v/>
      </c>
    </row>
    <row r="485">
      <c r="A485">
        <f>IFERROR(INDEX(спр_Работы!$D$2:$D$6000,MATCH($C485,спр_Работы!$A$2:$A$6000,0)),"")</f>
        <v/>
      </c>
      <c r="B485">
        <f>IFERROR(INDEX(спр_Работы!$F$2:$F$6000,MATCH($C485,спр_Работы!$A$2:$A$6000,0)),"")</f>
        <v/>
      </c>
      <c r="C485">
        <f>IFERROR(INDEX(спр_Работы!$A$2:$A$6000,484),"")</f>
        <v/>
      </c>
      <c r="D485" s="8">
        <f>IFERROR(INDEX(спр_Работы!$B$2:$B$6000,MATCH($C485,спр_Работы!$A$2:$A$6000,0)),"")</f>
        <v/>
      </c>
      <c r="E485">
        <f>IFERROR(INDEX(спр_Работы!$C$2:$C$6000,MATCH($C485,спр_Работы!$A$2:$A$6000,0)),"")</f>
        <v/>
      </c>
      <c r="F485">
        <f>IFERROR(INDEX(спр_Работы!$G$2:$G$6000,MATCH($C485,спр_Работы!$A$2:$A$6000,0)),"")</f>
        <v/>
      </c>
      <c r="G485">
        <f>IFERROR(INDEX(спр_Работы!$K$2:$K$6000,MATCH($C485,спр_Работы!$A$2:$A$6000,0)),"")</f>
        <v/>
      </c>
      <c r="H485" s="9" t="n"/>
      <c r="I485" s="9" t="n"/>
      <c r="J485" s="8">
        <f>IFERROR(INDEX(спр_Материалы!$B$2:$B$9000,MATCH($I485,спр_Материалы!$A$2:$A$9000,0)),"")</f>
        <v/>
      </c>
      <c r="K485">
        <f>IF($I485="","",IF($F485=IFERROR(INDEX(спр_Материалы!$G$2:$G$9000,MATCH($I485,спр_Материалы!$A$2:$A$9000,0)),""),"OK","!! не та группа"))</f>
        <v/>
      </c>
      <c r="L485" s="10">
        <f>IFERROR(INDEX(спр_Работы!$H$2:$H$6000,MATCH($C485,спр_Работы!$A$2:$A$6000,0))*(1-ДисконтТендер),0)</f>
        <v/>
      </c>
      <c r="M485" s="10">
        <f>IF($I485="",0,IFERROR(INDEX(спр_Материалы!$I$2:$I$9000,MATCH($I485,спр_Материалы!$A$2:$A$9000,0))*IF(INDEX(спр_Материалы!$J$2:$J$9000,MATCH($I485,спр_Материалы!$A$2:$A$9000,0))="USD",КурсUSD,IF(INDEX(спр_Материалы!$J$2:$J$9000,MATCH($I485,спр_Материалы!$A$2:$A$9000,0))="EUR",КурсEUR,1))*INDEX(спр_Материалы!$K$2:$K$9000,MATCH($I485,спр_Материалы!$A$2:$A$9000,0))*(1+IFERROR(INDEX(спр_Работы!$I$2:$I$6000,MATCH($C485,спр_Работы!$A$2:$A$6000,0))/100,0))*(1-ДисконтТендер),0))</f>
        <v/>
      </c>
      <c r="N485" s="10">
        <f>IF(AND($R485="да",$H485&lt;&gt;""),ROUND($H485*$L485,2),0)</f>
        <v/>
      </c>
      <c r="O485" s="10">
        <f>IF(AND($R485="да",$H485&lt;&gt;""),ROUND($H485*$M485,2),0)</f>
        <v/>
      </c>
      <c r="P485" s="10">
        <f>$N485+$O485</f>
        <v/>
      </c>
      <c r="Q485">
        <f>IFERROR(INDEX(спр_Работы!$J$2:$J$6000,MATCH($C485,спр_Работы!$A$2:$A$6000,0)),"")</f>
        <v/>
      </c>
      <c r="R485" t="inlineStr">
        <is>
          <t>да</t>
        </is>
      </c>
      <c r="T485">
        <f>IF(AND($P485&gt;0,$R485="да"),MAX($T$1:$T484)+1,"")</f>
        <v/>
      </c>
    </row>
    <row r="486">
      <c r="A486">
        <f>IFERROR(INDEX(спр_Работы!$D$2:$D$6000,MATCH($C486,спр_Работы!$A$2:$A$6000,0)),"")</f>
        <v/>
      </c>
      <c r="B486">
        <f>IFERROR(INDEX(спр_Работы!$F$2:$F$6000,MATCH($C486,спр_Работы!$A$2:$A$6000,0)),"")</f>
        <v/>
      </c>
      <c r="C486">
        <f>IFERROR(INDEX(спр_Работы!$A$2:$A$6000,485),"")</f>
        <v/>
      </c>
      <c r="D486" s="8">
        <f>IFERROR(INDEX(спр_Работы!$B$2:$B$6000,MATCH($C486,спр_Работы!$A$2:$A$6000,0)),"")</f>
        <v/>
      </c>
      <c r="E486">
        <f>IFERROR(INDEX(спр_Работы!$C$2:$C$6000,MATCH($C486,спр_Работы!$A$2:$A$6000,0)),"")</f>
        <v/>
      </c>
      <c r="F486">
        <f>IFERROR(INDEX(спр_Работы!$G$2:$G$6000,MATCH($C486,спр_Работы!$A$2:$A$6000,0)),"")</f>
        <v/>
      </c>
      <c r="G486">
        <f>IFERROR(INDEX(спр_Работы!$K$2:$K$6000,MATCH($C486,спр_Работы!$A$2:$A$6000,0)),"")</f>
        <v/>
      </c>
      <c r="H486" s="9" t="n"/>
      <c r="I486" s="9" t="n"/>
      <c r="J486" s="8">
        <f>IFERROR(INDEX(спр_Материалы!$B$2:$B$9000,MATCH($I486,спр_Материалы!$A$2:$A$9000,0)),"")</f>
        <v/>
      </c>
      <c r="K486">
        <f>IF($I486="","",IF($F486=IFERROR(INDEX(спр_Материалы!$G$2:$G$9000,MATCH($I486,спр_Материалы!$A$2:$A$9000,0)),""),"OK","!! не та группа"))</f>
        <v/>
      </c>
      <c r="L486" s="10">
        <f>IFERROR(INDEX(спр_Работы!$H$2:$H$6000,MATCH($C486,спр_Работы!$A$2:$A$6000,0))*(1-ДисконтТендер),0)</f>
        <v/>
      </c>
      <c r="M486" s="10">
        <f>IF($I486="",0,IFERROR(INDEX(спр_Материалы!$I$2:$I$9000,MATCH($I486,спр_Материалы!$A$2:$A$9000,0))*IF(INDEX(спр_Материалы!$J$2:$J$9000,MATCH($I486,спр_Материалы!$A$2:$A$9000,0))="USD",КурсUSD,IF(INDEX(спр_Материалы!$J$2:$J$9000,MATCH($I486,спр_Материалы!$A$2:$A$9000,0))="EUR",КурсEUR,1))*INDEX(спр_Материалы!$K$2:$K$9000,MATCH($I486,спр_Материалы!$A$2:$A$9000,0))*(1+IFERROR(INDEX(спр_Работы!$I$2:$I$6000,MATCH($C486,спр_Работы!$A$2:$A$6000,0))/100,0))*(1-ДисконтТендер),0))</f>
        <v/>
      </c>
      <c r="N486" s="10">
        <f>IF(AND($R486="да",$H486&lt;&gt;""),ROUND($H486*$L486,2),0)</f>
        <v/>
      </c>
      <c r="O486" s="10">
        <f>IF(AND($R486="да",$H486&lt;&gt;""),ROUND($H486*$M486,2),0)</f>
        <v/>
      </c>
      <c r="P486" s="10">
        <f>$N486+$O486</f>
        <v/>
      </c>
      <c r="Q486">
        <f>IFERROR(INDEX(спр_Работы!$J$2:$J$6000,MATCH($C486,спр_Работы!$A$2:$A$6000,0)),"")</f>
        <v/>
      </c>
      <c r="R486" t="inlineStr">
        <is>
          <t>да</t>
        </is>
      </c>
      <c r="T486">
        <f>IF(AND($P486&gt;0,$R486="да"),MAX($T$1:$T485)+1,"")</f>
        <v/>
      </c>
    </row>
    <row r="487">
      <c r="A487">
        <f>IFERROR(INDEX(спр_Работы!$D$2:$D$6000,MATCH($C487,спр_Работы!$A$2:$A$6000,0)),"")</f>
        <v/>
      </c>
      <c r="B487">
        <f>IFERROR(INDEX(спр_Работы!$F$2:$F$6000,MATCH($C487,спр_Работы!$A$2:$A$6000,0)),"")</f>
        <v/>
      </c>
      <c r="C487">
        <f>IFERROR(INDEX(спр_Работы!$A$2:$A$6000,486),"")</f>
        <v/>
      </c>
      <c r="D487" s="8">
        <f>IFERROR(INDEX(спр_Работы!$B$2:$B$6000,MATCH($C487,спр_Работы!$A$2:$A$6000,0)),"")</f>
        <v/>
      </c>
      <c r="E487">
        <f>IFERROR(INDEX(спр_Работы!$C$2:$C$6000,MATCH($C487,спр_Работы!$A$2:$A$6000,0)),"")</f>
        <v/>
      </c>
      <c r="F487">
        <f>IFERROR(INDEX(спр_Работы!$G$2:$G$6000,MATCH($C487,спр_Работы!$A$2:$A$6000,0)),"")</f>
        <v/>
      </c>
      <c r="G487">
        <f>IFERROR(INDEX(спр_Работы!$K$2:$K$6000,MATCH($C487,спр_Работы!$A$2:$A$6000,0)),"")</f>
        <v/>
      </c>
      <c r="H487" s="9" t="n"/>
      <c r="I487" s="9" t="n"/>
      <c r="J487" s="8">
        <f>IFERROR(INDEX(спр_Материалы!$B$2:$B$9000,MATCH($I487,спр_Материалы!$A$2:$A$9000,0)),"")</f>
        <v/>
      </c>
      <c r="K487">
        <f>IF($I487="","",IF($F487=IFERROR(INDEX(спр_Материалы!$G$2:$G$9000,MATCH($I487,спр_Материалы!$A$2:$A$9000,0)),""),"OK","!! не та группа"))</f>
        <v/>
      </c>
      <c r="L487" s="10">
        <f>IFERROR(INDEX(спр_Работы!$H$2:$H$6000,MATCH($C487,спр_Работы!$A$2:$A$6000,0))*(1-ДисконтТендер),0)</f>
        <v/>
      </c>
      <c r="M487" s="10">
        <f>IF($I487="",0,IFERROR(INDEX(спр_Материалы!$I$2:$I$9000,MATCH($I487,спр_Материалы!$A$2:$A$9000,0))*IF(INDEX(спр_Материалы!$J$2:$J$9000,MATCH($I487,спр_Материалы!$A$2:$A$9000,0))="USD",КурсUSD,IF(INDEX(спр_Материалы!$J$2:$J$9000,MATCH($I487,спр_Материалы!$A$2:$A$9000,0))="EUR",КурсEUR,1))*INDEX(спр_Материалы!$K$2:$K$9000,MATCH($I487,спр_Материалы!$A$2:$A$9000,0))*(1+IFERROR(INDEX(спр_Работы!$I$2:$I$6000,MATCH($C487,спр_Работы!$A$2:$A$6000,0))/100,0))*(1-ДисконтТендер),0))</f>
        <v/>
      </c>
      <c r="N487" s="10">
        <f>IF(AND($R487="да",$H487&lt;&gt;""),ROUND($H487*$L487,2),0)</f>
        <v/>
      </c>
      <c r="O487" s="10">
        <f>IF(AND($R487="да",$H487&lt;&gt;""),ROUND($H487*$M487,2),0)</f>
        <v/>
      </c>
      <c r="P487" s="10">
        <f>$N487+$O487</f>
        <v/>
      </c>
      <c r="Q487">
        <f>IFERROR(INDEX(спр_Работы!$J$2:$J$6000,MATCH($C487,спр_Работы!$A$2:$A$6000,0)),"")</f>
        <v/>
      </c>
      <c r="R487" t="inlineStr">
        <is>
          <t>да</t>
        </is>
      </c>
      <c r="T487">
        <f>IF(AND($P487&gt;0,$R487="да"),MAX($T$1:$T486)+1,"")</f>
        <v/>
      </c>
    </row>
    <row r="488">
      <c r="A488">
        <f>IFERROR(INDEX(спр_Работы!$D$2:$D$6000,MATCH($C488,спр_Работы!$A$2:$A$6000,0)),"")</f>
        <v/>
      </c>
      <c r="B488">
        <f>IFERROR(INDEX(спр_Работы!$F$2:$F$6000,MATCH($C488,спр_Работы!$A$2:$A$6000,0)),"")</f>
        <v/>
      </c>
      <c r="C488">
        <f>IFERROR(INDEX(спр_Работы!$A$2:$A$6000,487),"")</f>
        <v/>
      </c>
      <c r="D488" s="8">
        <f>IFERROR(INDEX(спр_Работы!$B$2:$B$6000,MATCH($C488,спр_Работы!$A$2:$A$6000,0)),"")</f>
        <v/>
      </c>
      <c r="E488">
        <f>IFERROR(INDEX(спр_Работы!$C$2:$C$6000,MATCH($C488,спр_Работы!$A$2:$A$6000,0)),"")</f>
        <v/>
      </c>
      <c r="F488">
        <f>IFERROR(INDEX(спр_Работы!$G$2:$G$6000,MATCH($C488,спр_Работы!$A$2:$A$6000,0)),"")</f>
        <v/>
      </c>
      <c r="G488">
        <f>IFERROR(INDEX(спр_Работы!$K$2:$K$6000,MATCH($C488,спр_Работы!$A$2:$A$6000,0)),"")</f>
        <v/>
      </c>
      <c r="H488" s="9" t="n"/>
      <c r="I488" s="9" t="n"/>
      <c r="J488" s="8">
        <f>IFERROR(INDEX(спр_Материалы!$B$2:$B$9000,MATCH($I488,спр_Материалы!$A$2:$A$9000,0)),"")</f>
        <v/>
      </c>
      <c r="K488">
        <f>IF($I488="","",IF($F488=IFERROR(INDEX(спр_Материалы!$G$2:$G$9000,MATCH($I488,спр_Материалы!$A$2:$A$9000,0)),""),"OK","!! не та группа"))</f>
        <v/>
      </c>
      <c r="L488" s="10">
        <f>IFERROR(INDEX(спр_Работы!$H$2:$H$6000,MATCH($C488,спр_Работы!$A$2:$A$6000,0))*(1-ДисконтТендер),0)</f>
        <v/>
      </c>
      <c r="M488" s="10">
        <f>IF($I488="",0,IFERROR(INDEX(спр_Материалы!$I$2:$I$9000,MATCH($I488,спр_Материалы!$A$2:$A$9000,0))*IF(INDEX(спр_Материалы!$J$2:$J$9000,MATCH($I488,спр_Материалы!$A$2:$A$9000,0))="USD",КурсUSD,IF(INDEX(спр_Материалы!$J$2:$J$9000,MATCH($I488,спр_Материалы!$A$2:$A$9000,0))="EUR",КурсEUR,1))*INDEX(спр_Материалы!$K$2:$K$9000,MATCH($I488,спр_Материалы!$A$2:$A$9000,0))*(1+IFERROR(INDEX(спр_Работы!$I$2:$I$6000,MATCH($C488,спр_Работы!$A$2:$A$6000,0))/100,0))*(1-ДисконтТендер),0))</f>
        <v/>
      </c>
      <c r="N488" s="10">
        <f>IF(AND($R488="да",$H488&lt;&gt;""),ROUND($H488*$L488,2),0)</f>
        <v/>
      </c>
      <c r="O488" s="10">
        <f>IF(AND($R488="да",$H488&lt;&gt;""),ROUND($H488*$M488,2),0)</f>
        <v/>
      </c>
      <c r="P488" s="10">
        <f>$N488+$O488</f>
        <v/>
      </c>
      <c r="Q488">
        <f>IFERROR(INDEX(спр_Работы!$J$2:$J$6000,MATCH($C488,спр_Работы!$A$2:$A$6000,0)),"")</f>
        <v/>
      </c>
      <c r="R488" t="inlineStr">
        <is>
          <t>да</t>
        </is>
      </c>
      <c r="T488">
        <f>IF(AND($P488&gt;0,$R488="да"),MAX($T$1:$T487)+1,"")</f>
        <v/>
      </c>
    </row>
    <row r="489">
      <c r="A489">
        <f>IFERROR(INDEX(спр_Работы!$D$2:$D$6000,MATCH($C489,спр_Работы!$A$2:$A$6000,0)),"")</f>
        <v/>
      </c>
      <c r="B489">
        <f>IFERROR(INDEX(спр_Работы!$F$2:$F$6000,MATCH($C489,спр_Работы!$A$2:$A$6000,0)),"")</f>
        <v/>
      </c>
      <c r="C489">
        <f>IFERROR(INDEX(спр_Работы!$A$2:$A$6000,488),"")</f>
        <v/>
      </c>
      <c r="D489" s="8">
        <f>IFERROR(INDEX(спр_Работы!$B$2:$B$6000,MATCH($C489,спр_Работы!$A$2:$A$6000,0)),"")</f>
        <v/>
      </c>
      <c r="E489">
        <f>IFERROR(INDEX(спр_Работы!$C$2:$C$6000,MATCH($C489,спр_Работы!$A$2:$A$6000,0)),"")</f>
        <v/>
      </c>
      <c r="F489">
        <f>IFERROR(INDEX(спр_Работы!$G$2:$G$6000,MATCH($C489,спр_Работы!$A$2:$A$6000,0)),"")</f>
        <v/>
      </c>
      <c r="G489">
        <f>IFERROR(INDEX(спр_Работы!$K$2:$K$6000,MATCH($C489,спр_Работы!$A$2:$A$6000,0)),"")</f>
        <v/>
      </c>
      <c r="H489" s="9" t="n"/>
      <c r="I489" s="9" t="n"/>
      <c r="J489" s="8">
        <f>IFERROR(INDEX(спр_Материалы!$B$2:$B$9000,MATCH($I489,спр_Материалы!$A$2:$A$9000,0)),"")</f>
        <v/>
      </c>
      <c r="K489">
        <f>IF($I489="","",IF($F489=IFERROR(INDEX(спр_Материалы!$G$2:$G$9000,MATCH($I489,спр_Материалы!$A$2:$A$9000,0)),""),"OK","!! не та группа"))</f>
        <v/>
      </c>
      <c r="L489" s="10">
        <f>IFERROR(INDEX(спр_Работы!$H$2:$H$6000,MATCH($C489,спр_Работы!$A$2:$A$6000,0))*(1-ДисконтТендер),0)</f>
        <v/>
      </c>
      <c r="M489" s="10">
        <f>IF($I489="",0,IFERROR(INDEX(спр_Материалы!$I$2:$I$9000,MATCH($I489,спр_Материалы!$A$2:$A$9000,0))*IF(INDEX(спр_Материалы!$J$2:$J$9000,MATCH($I489,спр_Материалы!$A$2:$A$9000,0))="USD",КурсUSD,IF(INDEX(спр_Материалы!$J$2:$J$9000,MATCH($I489,спр_Материалы!$A$2:$A$9000,0))="EUR",КурсEUR,1))*INDEX(спр_Материалы!$K$2:$K$9000,MATCH($I489,спр_Материалы!$A$2:$A$9000,0))*(1+IFERROR(INDEX(спр_Работы!$I$2:$I$6000,MATCH($C489,спр_Работы!$A$2:$A$6000,0))/100,0))*(1-ДисконтТендер),0))</f>
        <v/>
      </c>
      <c r="N489" s="10">
        <f>IF(AND($R489="да",$H489&lt;&gt;""),ROUND($H489*$L489,2),0)</f>
        <v/>
      </c>
      <c r="O489" s="10">
        <f>IF(AND($R489="да",$H489&lt;&gt;""),ROUND($H489*$M489,2),0)</f>
        <v/>
      </c>
      <c r="P489" s="10">
        <f>$N489+$O489</f>
        <v/>
      </c>
      <c r="Q489">
        <f>IFERROR(INDEX(спр_Работы!$J$2:$J$6000,MATCH($C489,спр_Работы!$A$2:$A$6000,0)),"")</f>
        <v/>
      </c>
      <c r="R489" t="inlineStr">
        <is>
          <t>да</t>
        </is>
      </c>
      <c r="T489">
        <f>IF(AND($P489&gt;0,$R489="да"),MAX($T$1:$T488)+1,"")</f>
        <v/>
      </c>
    </row>
    <row r="490">
      <c r="A490">
        <f>IFERROR(INDEX(спр_Работы!$D$2:$D$6000,MATCH($C490,спр_Работы!$A$2:$A$6000,0)),"")</f>
        <v/>
      </c>
      <c r="B490">
        <f>IFERROR(INDEX(спр_Работы!$F$2:$F$6000,MATCH($C490,спр_Работы!$A$2:$A$6000,0)),"")</f>
        <v/>
      </c>
      <c r="C490">
        <f>IFERROR(INDEX(спр_Работы!$A$2:$A$6000,489),"")</f>
        <v/>
      </c>
      <c r="D490" s="8">
        <f>IFERROR(INDEX(спр_Работы!$B$2:$B$6000,MATCH($C490,спр_Работы!$A$2:$A$6000,0)),"")</f>
        <v/>
      </c>
      <c r="E490">
        <f>IFERROR(INDEX(спр_Работы!$C$2:$C$6000,MATCH($C490,спр_Работы!$A$2:$A$6000,0)),"")</f>
        <v/>
      </c>
      <c r="F490">
        <f>IFERROR(INDEX(спр_Работы!$G$2:$G$6000,MATCH($C490,спр_Работы!$A$2:$A$6000,0)),"")</f>
        <v/>
      </c>
      <c r="G490">
        <f>IFERROR(INDEX(спр_Работы!$K$2:$K$6000,MATCH($C490,спр_Работы!$A$2:$A$6000,0)),"")</f>
        <v/>
      </c>
      <c r="H490" s="9" t="n"/>
      <c r="I490" s="9" t="n"/>
      <c r="J490" s="8">
        <f>IFERROR(INDEX(спр_Материалы!$B$2:$B$9000,MATCH($I490,спр_Материалы!$A$2:$A$9000,0)),"")</f>
        <v/>
      </c>
      <c r="K490">
        <f>IF($I490="","",IF($F490=IFERROR(INDEX(спр_Материалы!$G$2:$G$9000,MATCH($I490,спр_Материалы!$A$2:$A$9000,0)),""),"OK","!! не та группа"))</f>
        <v/>
      </c>
      <c r="L490" s="10">
        <f>IFERROR(INDEX(спр_Работы!$H$2:$H$6000,MATCH($C490,спр_Работы!$A$2:$A$6000,0))*(1-ДисконтТендер),0)</f>
        <v/>
      </c>
      <c r="M490" s="10">
        <f>IF($I490="",0,IFERROR(INDEX(спр_Материалы!$I$2:$I$9000,MATCH($I490,спр_Материалы!$A$2:$A$9000,0))*IF(INDEX(спр_Материалы!$J$2:$J$9000,MATCH($I490,спр_Материалы!$A$2:$A$9000,0))="USD",КурсUSD,IF(INDEX(спр_Материалы!$J$2:$J$9000,MATCH($I490,спр_Материалы!$A$2:$A$9000,0))="EUR",КурсEUR,1))*INDEX(спр_Материалы!$K$2:$K$9000,MATCH($I490,спр_Материалы!$A$2:$A$9000,0))*(1+IFERROR(INDEX(спр_Работы!$I$2:$I$6000,MATCH($C490,спр_Работы!$A$2:$A$6000,0))/100,0))*(1-ДисконтТендер),0))</f>
        <v/>
      </c>
      <c r="N490" s="10">
        <f>IF(AND($R490="да",$H490&lt;&gt;""),ROUND($H490*$L490,2),0)</f>
        <v/>
      </c>
      <c r="O490" s="10">
        <f>IF(AND($R490="да",$H490&lt;&gt;""),ROUND($H490*$M490,2),0)</f>
        <v/>
      </c>
      <c r="P490" s="10">
        <f>$N490+$O490</f>
        <v/>
      </c>
      <c r="Q490">
        <f>IFERROR(INDEX(спр_Работы!$J$2:$J$6000,MATCH($C490,спр_Работы!$A$2:$A$6000,0)),"")</f>
        <v/>
      </c>
      <c r="R490" t="inlineStr">
        <is>
          <t>да</t>
        </is>
      </c>
      <c r="T490">
        <f>IF(AND($P490&gt;0,$R490="да"),MAX($T$1:$T489)+1,"")</f>
        <v/>
      </c>
    </row>
    <row r="491">
      <c r="A491">
        <f>IFERROR(INDEX(спр_Работы!$D$2:$D$6000,MATCH($C491,спр_Работы!$A$2:$A$6000,0)),"")</f>
        <v/>
      </c>
      <c r="B491">
        <f>IFERROR(INDEX(спр_Работы!$F$2:$F$6000,MATCH($C491,спр_Работы!$A$2:$A$6000,0)),"")</f>
        <v/>
      </c>
      <c r="C491">
        <f>IFERROR(INDEX(спр_Работы!$A$2:$A$6000,490),"")</f>
        <v/>
      </c>
      <c r="D491" s="8">
        <f>IFERROR(INDEX(спр_Работы!$B$2:$B$6000,MATCH($C491,спр_Работы!$A$2:$A$6000,0)),"")</f>
        <v/>
      </c>
      <c r="E491">
        <f>IFERROR(INDEX(спр_Работы!$C$2:$C$6000,MATCH($C491,спр_Работы!$A$2:$A$6000,0)),"")</f>
        <v/>
      </c>
      <c r="F491">
        <f>IFERROR(INDEX(спр_Работы!$G$2:$G$6000,MATCH($C491,спр_Работы!$A$2:$A$6000,0)),"")</f>
        <v/>
      </c>
      <c r="G491">
        <f>IFERROR(INDEX(спр_Работы!$K$2:$K$6000,MATCH($C491,спр_Работы!$A$2:$A$6000,0)),"")</f>
        <v/>
      </c>
      <c r="H491" s="9" t="n"/>
      <c r="I491" s="9" t="n"/>
      <c r="J491" s="8">
        <f>IFERROR(INDEX(спр_Материалы!$B$2:$B$9000,MATCH($I491,спр_Материалы!$A$2:$A$9000,0)),"")</f>
        <v/>
      </c>
      <c r="K491">
        <f>IF($I491="","",IF($F491=IFERROR(INDEX(спр_Материалы!$G$2:$G$9000,MATCH($I491,спр_Материалы!$A$2:$A$9000,0)),""),"OK","!! не та группа"))</f>
        <v/>
      </c>
      <c r="L491" s="10">
        <f>IFERROR(INDEX(спр_Работы!$H$2:$H$6000,MATCH($C491,спр_Работы!$A$2:$A$6000,0))*(1-ДисконтТендер),0)</f>
        <v/>
      </c>
      <c r="M491" s="10">
        <f>IF($I491="",0,IFERROR(INDEX(спр_Материалы!$I$2:$I$9000,MATCH($I491,спр_Материалы!$A$2:$A$9000,0))*IF(INDEX(спр_Материалы!$J$2:$J$9000,MATCH($I491,спр_Материалы!$A$2:$A$9000,0))="USD",КурсUSD,IF(INDEX(спр_Материалы!$J$2:$J$9000,MATCH($I491,спр_Материалы!$A$2:$A$9000,0))="EUR",КурсEUR,1))*INDEX(спр_Материалы!$K$2:$K$9000,MATCH($I491,спр_Материалы!$A$2:$A$9000,0))*(1+IFERROR(INDEX(спр_Работы!$I$2:$I$6000,MATCH($C491,спр_Работы!$A$2:$A$6000,0))/100,0))*(1-ДисконтТендер),0))</f>
        <v/>
      </c>
      <c r="N491" s="10">
        <f>IF(AND($R491="да",$H491&lt;&gt;""),ROUND($H491*$L491,2),0)</f>
        <v/>
      </c>
      <c r="O491" s="10">
        <f>IF(AND($R491="да",$H491&lt;&gt;""),ROUND($H491*$M491,2),0)</f>
        <v/>
      </c>
      <c r="P491" s="10">
        <f>$N491+$O491</f>
        <v/>
      </c>
      <c r="Q491">
        <f>IFERROR(INDEX(спр_Работы!$J$2:$J$6000,MATCH($C491,спр_Работы!$A$2:$A$6000,0)),"")</f>
        <v/>
      </c>
      <c r="R491" t="inlineStr">
        <is>
          <t>да</t>
        </is>
      </c>
      <c r="T491">
        <f>IF(AND($P491&gt;0,$R491="да"),MAX($T$1:$T490)+1,"")</f>
        <v/>
      </c>
    </row>
    <row r="492">
      <c r="A492">
        <f>IFERROR(INDEX(спр_Работы!$D$2:$D$6000,MATCH($C492,спр_Работы!$A$2:$A$6000,0)),"")</f>
        <v/>
      </c>
      <c r="B492">
        <f>IFERROR(INDEX(спр_Работы!$F$2:$F$6000,MATCH($C492,спр_Работы!$A$2:$A$6000,0)),"")</f>
        <v/>
      </c>
      <c r="C492">
        <f>IFERROR(INDEX(спр_Работы!$A$2:$A$6000,491),"")</f>
        <v/>
      </c>
      <c r="D492" s="8">
        <f>IFERROR(INDEX(спр_Работы!$B$2:$B$6000,MATCH($C492,спр_Работы!$A$2:$A$6000,0)),"")</f>
        <v/>
      </c>
      <c r="E492">
        <f>IFERROR(INDEX(спр_Работы!$C$2:$C$6000,MATCH($C492,спр_Работы!$A$2:$A$6000,0)),"")</f>
        <v/>
      </c>
      <c r="F492">
        <f>IFERROR(INDEX(спр_Работы!$G$2:$G$6000,MATCH($C492,спр_Работы!$A$2:$A$6000,0)),"")</f>
        <v/>
      </c>
      <c r="G492">
        <f>IFERROR(INDEX(спр_Работы!$K$2:$K$6000,MATCH($C492,спр_Работы!$A$2:$A$6000,0)),"")</f>
        <v/>
      </c>
      <c r="H492" s="9" t="n"/>
      <c r="I492" s="9" t="n"/>
      <c r="J492" s="8">
        <f>IFERROR(INDEX(спр_Материалы!$B$2:$B$9000,MATCH($I492,спр_Материалы!$A$2:$A$9000,0)),"")</f>
        <v/>
      </c>
      <c r="K492">
        <f>IF($I492="","",IF($F492=IFERROR(INDEX(спр_Материалы!$G$2:$G$9000,MATCH($I492,спр_Материалы!$A$2:$A$9000,0)),""),"OK","!! не та группа"))</f>
        <v/>
      </c>
      <c r="L492" s="10">
        <f>IFERROR(INDEX(спр_Работы!$H$2:$H$6000,MATCH($C492,спр_Работы!$A$2:$A$6000,0))*(1-ДисконтТендер),0)</f>
        <v/>
      </c>
      <c r="M492" s="10">
        <f>IF($I492="",0,IFERROR(INDEX(спр_Материалы!$I$2:$I$9000,MATCH($I492,спр_Материалы!$A$2:$A$9000,0))*IF(INDEX(спр_Материалы!$J$2:$J$9000,MATCH($I492,спр_Материалы!$A$2:$A$9000,0))="USD",КурсUSD,IF(INDEX(спр_Материалы!$J$2:$J$9000,MATCH($I492,спр_Материалы!$A$2:$A$9000,0))="EUR",КурсEUR,1))*INDEX(спр_Материалы!$K$2:$K$9000,MATCH($I492,спр_Материалы!$A$2:$A$9000,0))*(1+IFERROR(INDEX(спр_Работы!$I$2:$I$6000,MATCH($C492,спр_Работы!$A$2:$A$6000,0))/100,0))*(1-ДисконтТендер),0))</f>
        <v/>
      </c>
      <c r="N492" s="10">
        <f>IF(AND($R492="да",$H492&lt;&gt;""),ROUND($H492*$L492,2),0)</f>
        <v/>
      </c>
      <c r="O492" s="10">
        <f>IF(AND($R492="да",$H492&lt;&gt;""),ROUND($H492*$M492,2),0)</f>
        <v/>
      </c>
      <c r="P492" s="10">
        <f>$N492+$O492</f>
        <v/>
      </c>
      <c r="Q492">
        <f>IFERROR(INDEX(спр_Работы!$J$2:$J$6000,MATCH($C492,спр_Работы!$A$2:$A$6000,0)),"")</f>
        <v/>
      </c>
      <c r="R492" t="inlineStr">
        <is>
          <t>да</t>
        </is>
      </c>
      <c r="T492">
        <f>IF(AND($P492&gt;0,$R492="да"),MAX($T$1:$T491)+1,"")</f>
        <v/>
      </c>
    </row>
    <row r="493">
      <c r="A493">
        <f>IFERROR(INDEX(спр_Работы!$D$2:$D$6000,MATCH($C493,спр_Работы!$A$2:$A$6000,0)),"")</f>
        <v/>
      </c>
      <c r="B493">
        <f>IFERROR(INDEX(спр_Работы!$F$2:$F$6000,MATCH($C493,спр_Работы!$A$2:$A$6000,0)),"")</f>
        <v/>
      </c>
      <c r="C493">
        <f>IFERROR(INDEX(спр_Работы!$A$2:$A$6000,492),"")</f>
        <v/>
      </c>
      <c r="D493" s="8">
        <f>IFERROR(INDEX(спр_Работы!$B$2:$B$6000,MATCH($C493,спр_Работы!$A$2:$A$6000,0)),"")</f>
        <v/>
      </c>
      <c r="E493">
        <f>IFERROR(INDEX(спр_Работы!$C$2:$C$6000,MATCH($C493,спр_Работы!$A$2:$A$6000,0)),"")</f>
        <v/>
      </c>
      <c r="F493">
        <f>IFERROR(INDEX(спр_Работы!$G$2:$G$6000,MATCH($C493,спр_Работы!$A$2:$A$6000,0)),"")</f>
        <v/>
      </c>
      <c r="G493">
        <f>IFERROR(INDEX(спр_Работы!$K$2:$K$6000,MATCH($C493,спр_Работы!$A$2:$A$6000,0)),"")</f>
        <v/>
      </c>
      <c r="H493" s="9" t="n"/>
      <c r="I493" s="9" t="n"/>
      <c r="J493" s="8">
        <f>IFERROR(INDEX(спр_Материалы!$B$2:$B$9000,MATCH($I493,спр_Материалы!$A$2:$A$9000,0)),"")</f>
        <v/>
      </c>
      <c r="K493">
        <f>IF($I493="","",IF($F493=IFERROR(INDEX(спр_Материалы!$G$2:$G$9000,MATCH($I493,спр_Материалы!$A$2:$A$9000,0)),""),"OK","!! не та группа"))</f>
        <v/>
      </c>
      <c r="L493" s="10">
        <f>IFERROR(INDEX(спр_Работы!$H$2:$H$6000,MATCH($C493,спр_Работы!$A$2:$A$6000,0))*(1-ДисконтТендер),0)</f>
        <v/>
      </c>
      <c r="M493" s="10">
        <f>IF($I493="",0,IFERROR(INDEX(спр_Материалы!$I$2:$I$9000,MATCH($I493,спр_Материалы!$A$2:$A$9000,0))*IF(INDEX(спр_Материалы!$J$2:$J$9000,MATCH($I493,спр_Материалы!$A$2:$A$9000,0))="USD",КурсUSD,IF(INDEX(спр_Материалы!$J$2:$J$9000,MATCH($I493,спр_Материалы!$A$2:$A$9000,0))="EUR",КурсEUR,1))*INDEX(спр_Материалы!$K$2:$K$9000,MATCH($I493,спр_Материалы!$A$2:$A$9000,0))*(1+IFERROR(INDEX(спр_Работы!$I$2:$I$6000,MATCH($C493,спр_Работы!$A$2:$A$6000,0))/100,0))*(1-ДисконтТендер),0))</f>
        <v/>
      </c>
      <c r="N493" s="10">
        <f>IF(AND($R493="да",$H493&lt;&gt;""),ROUND($H493*$L493,2),0)</f>
        <v/>
      </c>
      <c r="O493" s="10">
        <f>IF(AND($R493="да",$H493&lt;&gt;""),ROUND($H493*$M493,2),0)</f>
        <v/>
      </c>
      <c r="P493" s="10">
        <f>$N493+$O493</f>
        <v/>
      </c>
      <c r="Q493">
        <f>IFERROR(INDEX(спр_Работы!$J$2:$J$6000,MATCH($C493,спр_Работы!$A$2:$A$6000,0)),"")</f>
        <v/>
      </c>
      <c r="R493" t="inlineStr">
        <is>
          <t>да</t>
        </is>
      </c>
      <c r="T493">
        <f>IF(AND($P493&gt;0,$R493="да"),MAX($T$1:$T492)+1,"")</f>
        <v/>
      </c>
    </row>
    <row r="494">
      <c r="A494">
        <f>IFERROR(INDEX(спр_Работы!$D$2:$D$6000,MATCH($C494,спр_Работы!$A$2:$A$6000,0)),"")</f>
        <v/>
      </c>
      <c r="B494">
        <f>IFERROR(INDEX(спр_Работы!$F$2:$F$6000,MATCH($C494,спр_Работы!$A$2:$A$6000,0)),"")</f>
        <v/>
      </c>
      <c r="C494">
        <f>IFERROR(INDEX(спр_Работы!$A$2:$A$6000,493),"")</f>
        <v/>
      </c>
      <c r="D494" s="8">
        <f>IFERROR(INDEX(спр_Работы!$B$2:$B$6000,MATCH($C494,спр_Работы!$A$2:$A$6000,0)),"")</f>
        <v/>
      </c>
      <c r="E494">
        <f>IFERROR(INDEX(спр_Работы!$C$2:$C$6000,MATCH($C494,спр_Работы!$A$2:$A$6000,0)),"")</f>
        <v/>
      </c>
      <c r="F494">
        <f>IFERROR(INDEX(спр_Работы!$G$2:$G$6000,MATCH($C494,спр_Работы!$A$2:$A$6000,0)),"")</f>
        <v/>
      </c>
      <c r="G494">
        <f>IFERROR(INDEX(спр_Работы!$K$2:$K$6000,MATCH($C494,спр_Работы!$A$2:$A$6000,0)),"")</f>
        <v/>
      </c>
      <c r="H494" s="9" t="n"/>
      <c r="I494" s="9" t="n"/>
      <c r="J494" s="8">
        <f>IFERROR(INDEX(спр_Материалы!$B$2:$B$9000,MATCH($I494,спр_Материалы!$A$2:$A$9000,0)),"")</f>
        <v/>
      </c>
      <c r="K494">
        <f>IF($I494="","",IF($F494=IFERROR(INDEX(спр_Материалы!$G$2:$G$9000,MATCH($I494,спр_Материалы!$A$2:$A$9000,0)),""),"OK","!! не та группа"))</f>
        <v/>
      </c>
      <c r="L494" s="10">
        <f>IFERROR(INDEX(спр_Работы!$H$2:$H$6000,MATCH($C494,спр_Работы!$A$2:$A$6000,0))*(1-ДисконтТендер),0)</f>
        <v/>
      </c>
      <c r="M494" s="10">
        <f>IF($I494="",0,IFERROR(INDEX(спр_Материалы!$I$2:$I$9000,MATCH($I494,спр_Материалы!$A$2:$A$9000,0))*IF(INDEX(спр_Материалы!$J$2:$J$9000,MATCH($I494,спр_Материалы!$A$2:$A$9000,0))="USD",КурсUSD,IF(INDEX(спр_Материалы!$J$2:$J$9000,MATCH($I494,спр_Материалы!$A$2:$A$9000,0))="EUR",КурсEUR,1))*INDEX(спр_Материалы!$K$2:$K$9000,MATCH($I494,спр_Материалы!$A$2:$A$9000,0))*(1+IFERROR(INDEX(спр_Работы!$I$2:$I$6000,MATCH($C494,спр_Работы!$A$2:$A$6000,0))/100,0))*(1-ДисконтТендер),0))</f>
        <v/>
      </c>
      <c r="N494" s="10">
        <f>IF(AND($R494="да",$H494&lt;&gt;""),ROUND($H494*$L494,2),0)</f>
        <v/>
      </c>
      <c r="O494" s="10">
        <f>IF(AND($R494="да",$H494&lt;&gt;""),ROUND($H494*$M494,2),0)</f>
        <v/>
      </c>
      <c r="P494" s="10">
        <f>$N494+$O494</f>
        <v/>
      </c>
      <c r="Q494">
        <f>IFERROR(INDEX(спр_Работы!$J$2:$J$6000,MATCH($C494,спр_Работы!$A$2:$A$6000,0)),"")</f>
        <v/>
      </c>
      <c r="R494" t="inlineStr">
        <is>
          <t>да</t>
        </is>
      </c>
      <c r="T494">
        <f>IF(AND($P494&gt;0,$R494="да"),MAX($T$1:$T493)+1,"")</f>
        <v/>
      </c>
    </row>
    <row r="495">
      <c r="A495">
        <f>IFERROR(INDEX(спр_Работы!$D$2:$D$6000,MATCH($C495,спр_Работы!$A$2:$A$6000,0)),"")</f>
        <v/>
      </c>
      <c r="B495">
        <f>IFERROR(INDEX(спр_Работы!$F$2:$F$6000,MATCH($C495,спр_Работы!$A$2:$A$6000,0)),"")</f>
        <v/>
      </c>
      <c r="C495">
        <f>IFERROR(INDEX(спр_Работы!$A$2:$A$6000,494),"")</f>
        <v/>
      </c>
      <c r="D495" s="8">
        <f>IFERROR(INDEX(спр_Работы!$B$2:$B$6000,MATCH($C495,спр_Работы!$A$2:$A$6000,0)),"")</f>
        <v/>
      </c>
      <c r="E495">
        <f>IFERROR(INDEX(спр_Работы!$C$2:$C$6000,MATCH($C495,спр_Работы!$A$2:$A$6000,0)),"")</f>
        <v/>
      </c>
      <c r="F495">
        <f>IFERROR(INDEX(спр_Работы!$G$2:$G$6000,MATCH($C495,спр_Работы!$A$2:$A$6000,0)),"")</f>
        <v/>
      </c>
      <c r="G495">
        <f>IFERROR(INDEX(спр_Работы!$K$2:$K$6000,MATCH($C495,спр_Работы!$A$2:$A$6000,0)),"")</f>
        <v/>
      </c>
      <c r="H495" s="9" t="n"/>
      <c r="I495" s="9" t="n"/>
      <c r="J495" s="8">
        <f>IFERROR(INDEX(спр_Материалы!$B$2:$B$9000,MATCH($I495,спр_Материалы!$A$2:$A$9000,0)),"")</f>
        <v/>
      </c>
      <c r="K495">
        <f>IF($I495="","",IF($F495=IFERROR(INDEX(спр_Материалы!$G$2:$G$9000,MATCH($I495,спр_Материалы!$A$2:$A$9000,0)),""),"OK","!! не та группа"))</f>
        <v/>
      </c>
      <c r="L495" s="10">
        <f>IFERROR(INDEX(спр_Работы!$H$2:$H$6000,MATCH($C495,спр_Работы!$A$2:$A$6000,0))*(1-ДисконтТендер),0)</f>
        <v/>
      </c>
      <c r="M495" s="10">
        <f>IF($I495="",0,IFERROR(INDEX(спр_Материалы!$I$2:$I$9000,MATCH($I495,спр_Материалы!$A$2:$A$9000,0))*IF(INDEX(спр_Материалы!$J$2:$J$9000,MATCH($I495,спр_Материалы!$A$2:$A$9000,0))="USD",КурсUSD,IF(INDEX(спр_Материалы!$J$2:$J$9000,MATCH($I495,спр_Материалы!$A$2:$A$9000,0))="EUR",КурсEUR,1))*INDEX(спр_Материалы!$K$2:$K$9000,MATCH($I495,спр_Материалы!$A$2:$A$9000,0))*(1+IFERROR(INDEX(спр_Работы!$I$2:$I$6000,MATCH($C495,спр_Работы!$A$2:$A$6000,0))/100,0))*(1-ДисконтТендер),0))</f>
        <v/>
      </c>
      <c r="N495" s="10">
        <f>IF(AND($R495="да",$H495&lt;&gt;""),ROUND($H495*$L495,2),0)</f>
        <v/>
      </c>
      <c r="O495" s="10">
        <f>IF(AND($R495="да",$H495&lt;&gt;""),ROUND($H495*$M495,2),0)</f>
        <v/>
      </c>
      <c r="P495" s="10">
        <f>$N495+$O495</f>
        <v/>
      </c>
      <c r="Q495">
        <f>IFERROR(INDEX(спр_Работы!$J$2:$J$6000,MATCH($C495,спр_Работы!$A$2:$A$6000,0)),"")</f>
        <v/>
      </c>
      <c r="R495" t="inlineStr">
        <is>
          <t>да</t>
        </is>
      </c>
      <c r="T495">
        <f>IF(AND($P495&gt;0,$R495="да"),MAX($T$1:$T494)+1,"")</f>
        <v/>
      </c>
    </row>
    <row r="496">
      <c r="A496">
        <f>IFERROR(INDEX(спр_Работы!$D$2:$D$6000,MATCH($C496,спр_Работы!$A$2:$A$6000,0)),"")</f>
        <v/>
      </c>
      <c r="B496">
        <f>IFERROR(INDEX(спр_Работы!$F$2:$F$6000,MATCH($C496,спр_Работы!$A$2:$A$6000,0)),"")</f>
        <v/>
      </c>
      <c r="C496">
        <f>IFERROR(INDEX(спр_Работы!$A$2:$A$6000,495),"")</f>
        <v/>
      </c>
      <c r="D496" s="8">
        <f>IFERROR(INDEX(спр_Работы!$B$2:$B$6000,MATCH($C496,спр_Работы!$A$2:$A$6000,0)),"")</f>
        <v/>
      </c>
      <c r="E496">
        <f>IFERROR(INDEX(спр_Работы!$C$2:$C$6000,MATCH($C496,спр_Работы!$A$2:$A$6000,0)),"")</f>
        <v/>
      </c>
      <c r="F496">
        <f>IFERROR(INDEX(спр_Работы!$G$2:$G$6000,MATCH($C496,спр_Работы!$A$2:$A$6000,0)),"")</f>
        <v/>
      </c>
      <c r="G496">
        <f>IFERROR(INDEX(спр_Работы!$K$2:$K$6000,MATCH($C496,спр_Работы!$A$2:$A$6000,0)),"")</f>
        <v/>
      </c>
      <c r="H496" s="9" t="n"/>
      <c r="I496" s="9" t="n"/>
      <c r="J496" s="8">
        <f>IFERROR(INDEX(спр_Материалы!$B$2:$B$9000,MATCH($I496,спр_Материалы!$A$2:$A$9000,0)),"")</f>
        <v/>
      </c>
      <c r="K496">
        <f>IF($I496="","",IF($F496=IFERROR(INDEX(спр_Материалы!$G$2:$G$9000,MATCH($I496,спр_Материалы!$A$2:$A$9000,0)),""),"OK","!! не та группа"))</f>
        <v/>
      </c>
      <c r="L496" s="10">
        <f>IFERROR(INDEX(спр_Работы!$H$2:$H$6000,MATCH($C496,спр_Работы!$A$2:$A$6000,0))*(1-ДисконтТендер),0)</f>
        <v/>
      </c>
      <c r="M496" s="10">
        <f>IF($I496="",0,IFERROR(INDEX(спр_Материалы!$I$2:$I$9000,MATCH($I496,спр_Материалы!$A$2:$A$9000,0))*IF(INDEX(спр_Материалы!$J$2:$J$9000,MATCH($I496,спр_Материалы!$A$2:$A$9000,0))="USD",КурсUSD,IF(INDEX(спр_Материалы!$J$2:$J$9000,MATCH($I496,спр_Материалы!$A$2:$A$9000,0))="EUR",КурсEUR,1))*INDEX(спр_Материалы!$K$2:$K$9000,MATCH($I496,спр_Материалы!$A$2:$A$9000,0))*(1+IFERROR(INDEX(спр_Работы!$I$2:$I$6000,MATCH($C496,спр_Работы!$A$2:$A$6000,0))/100,0))*(1-ДисконтТендер),0))</f>
        <v/>
      </c>
      <c r="N496" s="10">
        <f>IF(AND($R496="да",$H496&lt;&gt;""),ROUND($H496*$L496,2),0)</f>
        <v/>
      </c>
      <c r="O496" s="10">
        <f>IF(AND($R496="да",$H496&lt;&gt;""),ROUND($H496*$M496,2),0)</f>
        <v/>
      </c>
      <c r="P496" s="10">
        <f>$N496+$O496</f>
        <v/>
      </c>
      <c r="Q496">
        <f>IFERROR(INDEX(спр_Работы!$J$2:$J$6000,MATCH($C496,спр_Работы!$A$2:$A$6000,0)),"")</f>
        <v/>
      </c>
      <c r="R496" t="inlineStr">
        <is>
          <t>да</t>
        </is>
      </c>
      <c r="T496">
        <f>IF(AND($P496&gt;0,$R496="да"),MAX($T$1:$T495)+1,"")</f>
        <v/>
      </c>
    </row>
    <row r="497">
      <c r="A497">
        <f>IFERROR(INDEX(спр_Работы!$D$2:$D$6000,MATCH($C497,спр_Работы!$A$2:$A$6000,0)),"")</f>
        <v/>
      </c>
      <c r="B497">
        <f>IFERROR(INDEX(спр_Работы!$F$2:$F$6000,MATCH($C497,спр_Работы!$A$2:$A$6000,0)),"")</f>
        <v/>
      </c>
      <c r="C497">
        <f>IFERROR(INDEX(спр_Работы!$A$2:$A$6000,496),"")</f>
        <v/>
      </c>
      <c r="D497" s="8">
        <f>IFERROR(INDEX(спр_Работы!$B$2:$B$6000,MATCH($C497,спр_Работы!$A$2:$A$6000,0)),"")</f>
        <v/>
      </c>
      <c r="E497">
        <f>IFERROR(INDEX(спр_Работы!$C$2:$C$6000,MATCH($C497,спр_Работы!$A$2:$A$6000,0)),"")</f>
        <v/>
      </c>
      <c r="F497">
        <f>IFERROR(INDEX(спр_Работы!$G$2:$G$6000,MATCH($C497,спр_Работы!$A$2:$A$6000,0)),"")</f>
        <v/>
      </c>
      <c r="G497">
        <f>IFERROR(INDEX(спр_Работы!$K$2:$K$6000,MATCH($C497,спр_Работы!$A$2:$A$6000,0)),"")</f>
        <v/>
      </c>
      <c r="H497" s="9" t="n"/>
      <c r="I497" s="9" t="n"/>
      <c r="J497" s="8">
        <f>IFERROR(INDEX(спр_Материалы!$B$2:$B$9000,MATCH($I497,спр_Материалы!$A$2:$A$9000,0)),"")</f>
        <v/>
      </c>
      <c r="K497">
        <f>IF($I497="","",IF($F497=IFERROR(INDEX(спр_Материалы!$G$2:$G$9000,MATCH($I497,спр_Материалы!$A$2:$A$9000,0)),""),"OK","!! не та группа"))</f>
        <v/>
      </c>
      <c r="L497" s="10">
        <f>IFERROR(INDEX(спр_Работы!$H$2:$H$6000,MATCH($C497,спр_Работы!$A$2:$A$6000,0))*(1-ДисконтТендер),0)</f>
        <v/>
      </c>
      <c r="M497" s="10">
        <f>IF($I497="",0,IFERROR(INDEX(спр_Материалы!$I$2:$I$9000,MATCH($I497,спр_Материалы!$A$2:$A$9000,0))*IF(INDEX(спр_Материалы!$J$2:$J$9000,MATCH($I497,спр_Материалы!$A$2:$A$9000,0))="USD",КурсUSD,IF(INDEX(спр_Материалы!$J$2:$J$9000,MATCH($I497,спр_Материалы!$A$2:$A$9000,0))="EUR",КурсEUR,1))*INDEX(спр_Материалы!$K$2:$K$9000,MATCH($I497,спр_Материалы!$A$2:$A$9000,0))*(1+IFERROR(INDEX(спр_Работы!$I$2:$I$6000,MATCH($C497,спр_Работы!$A$2:$A$6000,0))/100,0))*(1-ДисконтТендер),0))</f>
        <v/>
      </c>
      <c r="N497" s="10">
        <f>IF(AND($R497="да",$H497&lt;&gt;""),ROUND($H497*$L497,2),0)</f>
        <v/>
      </c>
      <c r="O497" s="10">
        <f>IF(AND($R497="да",$H497&lt;&gt;""),ROUND($H497*$M497,2),0)</f>
        <v/>
      </c>
      <c r="P497" s="10">
        <f>$N497+$O497</f>
        <v/>
      </c>
      <c r="Q497">
        <f>IFERROR(INDEX(спр_Работы!$J$2:$J$6000,MATCH($C497,спр_Работы!$A$2:$A$6000,0)),"")</f>
        <v/>
      </c>
      <c r="R497" t="inlineStr">
        <is>
          <t>да</t>
        </is>
      </c>
      <c r="T497">
        <f>IF(AND($P497&gt;0,$R497="да"),MAX($T$1:$T496)+1,"")</f>
        <v/>
      </c>
    </row>
    <row r="498">
      <c r="A498">
        <f>IFERROR(INDEX(спр_Работы!$D$2:$D$6000,MATCH($C498,спр_Работы!$A$2:$A$6000,0)),"")</f>
        <v/>
      </c>
      <c r="B498">
        <f>IFERROR(INDEX(спр_Работы!$F$2:$F$6000,MATCH($C498,спр_Работы!$A$2:$A$6000,0)),"")</f>
        <v/>
      </c>
      <c r="C498">
        <f>IFERROR(INDEX(спр_Работы!$A$2:$A$6000,497),"")</f>
        <v/>
      </c>
      <c r="D498" s="8">
        <f>IFERROR(INDEX(спр_Работы!$B$2:$B$6000,MATCH($C498,спр_Работы!$A$2:$A$6000,0)),"")</f>
        <v/>
      </c>
      <c r="E498">
        <f>IFERROR(INDEX(спр_Работы!$C$2:$C$6000,MATCH($C498,спр_Работы!$A$2:$A$6000,0)),"")</f>
        <v/>
      </c>
      <c r="F498">
        <f>IFERROR(INDEX(спр_Работы!$G$2:$G$6000,MATCH($C498,спр_Работы!$A$2:$A$6000,0)),"")</f>
        <v/>
      </c>
      <c r="G498">
        <f>IFERROR(INDEX(спр_Работы!$K$2:$K$6000,MATCH($C498,спр_Работы!$A$2:$A$6000,0)),"")</f>
        <v/>
      </c>
      <c r="H498" s="9" t="n"/>
      <c r="I498" s="9" t="n"/>
      <c r="J498" s="8">
        <f>IFERROR(INDEX(спр_Материалы!$B$2:$B$9000,MATCH($I498,спр_Материалы!$A$2:$A$9000,0)),"")</f>
        <v/>
      </c>
      <c r="K498">
        <f>IF($I498="","",IF($F498=IFERROR(INDEX(спр_Материалы!$G$2:$G$9000,MATCH($I498,спр_Материалы!$A$2:$A$9000,0)),""),"OK","!! не та группа"))</f>
        <v/>
      </c>
      <c r="L498" s="10">
        <f>IFERROR(INDEX(спр_Работы!$H$2:$H$6000,MATCH($C498,спр_Работы!$A$2:$A$6000,0))*(1-ДисконтТендер),0)</f>
        <v/>
      </c>
      <c r="M498" s="10">
        <f>IF($I498="",0,IFERROR(INDEX(спр_Материалы!$I$2:$I$9000,MATCH($I498,спр_Материалы!$A$2:$A$9000,0))*IF(INDEX(спр_Материалы!$J$2:$J$9000,MATCH($I498,спр_Материалы!$A$2:$A$9000,0))="USD",КурсUSD,IF(INDEX(спр_Материалы!$J$2:$J$9000,MATCH($I498,спр_Материалы!$A$2:$A$9000,0))="EUR",КурсEUR,1))*INDEX(спр_Материалы!$K$2:$K$9000,MATCH($I498,спр_Материалы!$A$2:$A$9000,0))*(1+IFERROR(INDEX(спр_Работы!$I$2:$I$6000,MATCH($C498,спр_Работы!$A$2:$A$6000,0))/100,0))*(1-ДисконтТендер),0))</f>
        <v/>
      </c>
      <c r="N498" s="10">
        <f>IF(AND($R498="да",$H498&lt;&gt;""),ROUND($H498*$L498,2),0)</f>
        <v/>
      </c>
      <c r="O498" s="10">
        <f>IF(AND($R498="да",$H498&lt;&gt;""),ROUND($H498*$M498,2),0)</f>
        <v/>
      </c>
      <c r="P498" s="10">
        <f>$N498+$O498</f>
        <v/>
      </c>
      <c r="Q498">
        <f>IFERROR(INDEX(спр_Работы!$J$2:$J$6000,MATCH($C498,спр_Работы!$A$2:$A$6000,0)),"")</f>
        <v/>
      </c>
      <c r="R498" t="inlineStr">
        <is>
          <t>да</t>
        </is>
      </c>
      <c r="T498">
        <f>IF(AND($P498&gt;0,$R498="да"),MAX($T$1:$T497)+1,"")</f>
        <v/>
      </c>
    </row>
    <row r="499">
      <c r="A499">
        <f>IFERROR(INDEX(спр_Работы!$D$2:$D$6000,MATCH($C499,спр_Работы!$A$2:$A$6000,0)),"")</f>
        <v/>
      </c>
      <c r="B499">
        <f>IFERROR(INDEX(спр_Работы!$F$2:$F$6000,MATCH($C499,спр_Работы!$A$2:$A$6000,0)),"")</f>
        <v/>
      </c>
      <c r="C499">
        <f>IFERROR(INDEX(спр_Работы!$A$2:$A$6000,498),"")</f>
        <v/>
      </c>
      <c r="D499" s="8">
        <f>IFERROR(INDEX(спр_Работы!$B$2:$B$6000,MATCH($C499,спр_Работы!$A$2:$A$6000,0)),"")</f>
        <v/>
      </c>
      <c r="E499">
        <f>IFERROR(INDEX(спр_Работы!$C$2:$C$6000,MATCH($C499,спр_Работы!$A$2:$A$6000,0)),"")</f>
        <v/>
      </c>
      <c r="F499">
        <f>IFERROR(INDEX(спр_Работы!$G$2:$G$6000,MATCH($C499,спр_Работы!$A$2:$A$6000,0)),"")</f>
        <v/>
      </c>
      <c r="G499">
        <f>IFERROR(INDEX(спр_Работы!$K$2:$K$6000,MATCH($C499,спр_Работы!$A$2:$A$6000,0)),"")</f>
        <v/>
      </c>
      <c r="H499" s="9" t="n"/>
      <c r="I499" s="9" t="n"/>
      <c r="J499" s="8">
        <f>IFERROR(INDEX(спр_Материалы!$B$2:$B$9000,MATCH($I499,спр_Материалы!$A$2:$A$9000,0)),"")</f>
        <v/>
      </c>
      <c r="K499">
        <f>IF($I499="","",IF($F499=IFERROR(INDEX(спр_Материалы!$G$2:$G$9000,MATCH($I499,спр_Материалы!$A$2:$A$9000,0)),""),"OK","!! не та группа"))</f>
        <v/>
      </c>
      <c r="L499" s="10">
        <f>IFERROR(INDEX(спр_Работы!$H$2:$H$6000,MATCH($C499,спр_Работы!$A$2:$A$6000,0))*(1-ДисконтТендер),0)</f>
        <v/>
      </c>
      <c r="M499" s="10">
        <f>IF($I499="",0,IFERROR(INDEX(спр_Материалы!$I$2:$I$9000,MATCH($I499,спр_Материалы!$A$2:$A$9000,0))*IF(INDEX(спр_Материалы!$J$2:$J$9000,MATCH($I499,спр_Материалы!$A$2:$A$9000,0))="USD",КурсUSD,IF(INDEX(спр_Материалы!$J$2:$J$9000,MATCH($I499,спр_Материалы!$A$2:$A$9000,0))="EUR",КурсEUR,1))*INDEX(спр_Материалы!$K$2:$K$9000,MATCH($I499,спр_Материалы!$A$2:$A$9000,0))*(1+IFERROR(INDEX(спр_Работы!$I$2:$I$6000,MATCH($C499,спр_Работы!$A$2:$A$6000,0))/100,0))*(1-ДисконтТендер),0))</f>
        <v/>
      </c>
      <c r="N499" s="10">
        <f>IF(AND($R499="да",$H499&lt;&gt;""),ROUND($H499*$L499,2),0)</f>
        <v/>
      </c>
      <c r="O499" s="10">
        <f>IF(AND($R499="да",$H499&lt;&gt;""),ROUND($H499*$M499,2),0)</f>
        <v/>
      </c>
      <c r="P499" s="10">
        <f>$N499+$O499</f>
        <v/>
      </c>
      <c r="Q499">
        <f>IFERROR(INDEX(спр_Работы!$J$2:$J$6000,MATCH($C499,спр_Работы!$A$2:$A$6000,0)),"")</f>
        <v/>
      </c>
      <c r="R499" t="inlineStr">
        <is>
          <t>да</t>
        </is>
      </c>
      <c r="T499">
        <f>IF(AND($P499&gt;0,$R499="да"),MAX($T$1:$T498)+1,"")</f>
        <v/>
      </c>
    </row>
    <row r="500">
      <c r="A500">
        <f>IFERROR(INDEX(спр_Работы!$D$2:$D$6000,MATCH($C500,спр_Работы!$A$2:$A$6000,0)),"")</f>
        <v/>
      </c>
      <c r="B500">
        <f>IFERROR(INDEX(спр_Работы!$F$2:$F$6000,MATCH($C500,спр_Работы!$A$2:$A$6000,0)),"")</f>
        <v/>
      </c>
      <c r="C500">
        <f>IFERROR(INDEX(спр_Работы!$A$2:$A$6000,499),"")</f>
        <v/>
      </c>
      <c r="D500" s="8">
        <f>IFERROR(INDEX(спр_Работы!$B$2:$B$6000,MATCH($C500,спр_Работы!$A$2:$A$6000,0)),"")</f>
        <v/>
      </c>
      <c r="E500">
        <f>IFERROR(INDEX(спр_Работы!$C$2:$C$6000,MATCH($C500,спр_Работы!$A$2:$A$6000,0)),"")</f>
        <v/>
      </c>
      <c r="F500">
        <f>IFERROR(INDEX(спр_Работы!$G$2:$G$6000,MATCH($C500,спр_Работы!$A$2:$A$6000,0)),"")</f>
        <v/>
      </c>
      <c r="G500">
        <f>IFERROR(INDEX(спр_Работы!$K$2:$K$6000,MATCH($C500,спр_Работы!$A$2:$A$6000,0)),"")</f>
        <v/>
      </c>
      <c r="H500" s="9" t="n"/>
      <c r="I500" s="9" t="n"/>
      <c r="J500" s="8">
        <f>IFERROR(INDEX(спр_Материалы!$B$2:$B$9000,MATCH($I500,спр_Материалы!$A$2:$A$9000,0)),"")</f>
        <v/>
      </c>
      <c r="K500">
        <f>IF($I500="","",IF($F500=IFERROR(INDEX(спр_Материалы!$G$2:$G$9000,MATCH($I500,спр_Материалы!$A$2:$A$9000,0)),""),"OK","!! не та группа"))</f>
        <v/>
      </c>
      <c r="L500" s="10">
        <f>IFERROR(INDEX(спр_Работы!$H$2:$H$6000,MATCH($C500,спр_Работы!$A$2:$A$6000,0))*(1-ДисконтТендер),0)</f>
        <v/>
      </c>
      <c r="M500" s="10">
        <f>IF($I500="",0,IFERROR(INDEX(спр_Материалы!$I$2:$I$9000,MATCH($I500,спр_Материалы!$A$2:$A$9000,0))*IF(INDEX(спр_Материалы!$J$2:$J$9000,MATCH($I500,спр_Материалы!$A$2:$A$9000,0))="USD",КурсUSD,IF(INDEX(спр_Материалы!$J$2:$J$9000,MATCH($I500,спр_Материалы!$A$2:$A$9000,0))="EUR",КурсEUR,1))*INDEX(спр_Материалы!$K$2:$K$9000,MATCH($I500,спр_Материалы!$A$2:$A$9000,0))*(1+IFERROR(INDEX(спр_Работы!$I$2:$I$6000,MATCH($C500,спр_Работы!$A$2:$A$6000,0))/100,0))*(1-ДисконтТендер),0))</f>
        <v/>
      </c>
      <c r="N500" s="10">
        <f>IF(AND($R500="да",$H500&lt;&gt;""),ROUND($H500*$L500,2),0)</f>
        <v/>
      </c>
      <c r="O500" s="10">
        <f>IF(AND($R500="да",$H500&lt;&gt;""),ROUND($H500*$M500,2),0)</f>
        <v/>
      </c>
      <c r="P500" s="10">
        <f>$N500+$O500</f>
        <v/>
      </c>
      <c r="Q500">
        <f>IFERROR(INDEX(спр_Работы!$J$2:$J$6000,MATCH($C500,спр_Работы!$A$2:$A$6000,0)),"")</f>
        <v/>
      </c>
      <c r="R500" t="inlineStr">
        <is>
          <t>да</t>
        </is>
      </c>
      <c r="T500">
        <f>IF(AND($P500&gt;0,$R500="да"),MAX($T$1:$T499)+1,"")</f>
        <v/>
      </c>
    </row>
    <row r="501">
      <c r="A501">
        <f>IFERROR(INDEX(спр_Работы!$D$2:$D$6000,MATCH($C501,спр_Работы!$A$2:$A$6000,0)),"")</f>
        <v/>
      </c>
      <c r="B501">
        <f>IFERROR(INDEX(спр_Работы!$F$2:$F$6000,MATCH($C501,спр_Работы!$A$2:$A$6000,0)),"")</f>
        <v/>
      </c>
      <c r="C501">
        <f>IFERROR(INDEX(спр_Работы!$A$2:$A$6000,500),"")</f>
        <v/>
      </c>
      <c r="D501" s="8">
        <f>IFERROR(INDEX(спр_Работы!$B$2:$B$6000,MATCH($C501,спр_Работы!$A$2:$A$6000,0)),"")</f>
        <v/>
      </c>
      <c r="E501">
        <f>IFERROR(INDEX(спр_Работы!$C$2:$C$6000,MATCH($C501,спр_Работы!$A$2:$A$6000,0)),"")</f>
        <v/>
      </c>
      <c r="F501">
        <f>IFERROR(INDEX(спр_Работы!$G$2:$G$6000,MATCH($C501,спр_Работы!$A$2:$A$6000,0)),"")</f>
        <v/>
      </c>
      <c r="G501">
        <f>IFERROR(INDEX(спр_Работы!$K$2:$K$6000,MATCH($C501,спр_Работы!$A$2:$A$6000,0)),"")</f>
        <v/>
      </c>
      <c r="H501" s="9" t="n"/>
      <c r="I501" s="9" t="n"/>
      <c r="J501" s="8">
        <f>IFERROR(INDEX(спр_Материалы!$B$2:$B$9000,MATCH($I501,спр_Материалы!$A$2:$A$9000,0)),"")</f>
        <v/>
      </c>
      <c r="K501">
        <f>IF($I501="","",IF($F501=IFERROR(INDEX(спр_Материалы!$G$2:$G$9000,MATCH($I501,спр_Материалы!$A$2:$A$9000,0)),""),"OK","!! не та группа"))</f>
        <v/>
      </c>
      <c r="L501" s="10">
        <f>IFERROR(INDEX(спр_Работы!$H$2:$H$6000,MATCH($C501,спр_Работы!$A$2:$A$6000,0))*(1-ДисконтТендер),0)</f>
        <v/>
      </c>
      <c r="M501" s="10">
        <f>IF($I501="",0,IFERROR(INDEX(спр_Материалы!$I$2:$I$9000,MATCH($I501,спр_Материалы!$A$2:$A$9000,0))*IF(INDEX(спр_Материалы!$J$2:$J$9000,MATCH($I501,спр_Материалы!$A$2:$A$9000,0))="USD",КурсUSD,IF(INDEX(спр_Материалы!$J$2:$J$9000,MATCH($I501,спр_Материалы!$A$2:$A$9000,0))="EUR",КурсEUR,1))*INDEX(спр_Материалы!$K$2:$K$9000,MATCH($I501,спр_Материалы!$A$2:$A$9000,0))*(1+IFERROR(INDEX(спр_Работы!$I$2:$I$6000,MATCH($C501,спр_Работы!$A$2:$A$6000,0))/100,0))*(1-ДисконтТендер),0))</f>
        <v/>
      </c>
      <c r="N501" s="10">
        <f>IF(AND($R501="да",$H501&lt;&gt;""),ROUND($H501*$L501,2),0)</f>
        <v/>
      </c>
      <c r="O501" s="10">
        <f>IF(AND($R501="да",$H501&lt;&gt;""),ROUND($H501*$M501,2),0)</f>
        <v/>
      </c>
      <c r="P501" s="10">
        <f>$N501+$O501</f>
        <v/>
      </c>
      <c r="Q501">
        <f>IFERROR(INDEX(спр_Работы!$J$2:$J$6000,MATCH($C501,спр_Работы!$A$2:$A$6000,0)),"")</f>
        <v/>
      </c>
      <c r="R501" t="inlineStr">
        <is>
          <t>да</t>
        </is>
      </c>
      <c r="T501">
        <f>IF(AND($P501&gt;0,$R501="да"),MAX($T$1:$T500)+1,"")</f>
        <v/>
      </c>
    </row>
    <row r="502">
      <c r="A502">
        <f>IFERROR(INDEX(спр_Работы!$D$2:$D$6000,MATCH($C502,спр_Работы!$A$2:$A$6000,0)),"")</f>
        <v/>
      </c>
      <c r="B502">
        <f>IFERROR(INDEX(спр_Работы!$F$2:$F$6000,MATCH($C502,спр_Работы!$A$2:$A$6000,0)),"")</f>
        <v/>
      </c>
      <c r="C502">
        <f>IFERROR(INDEX(спр_Работы!$A$2:$A$6000,501),"")</f>
        <v/>
      </c>
      <c r="D502" s="8">
        <f>IFERROR(INDEX(спр_Работы!$B$2:$B$6000,MATCH($C502,спр_Работы!$A$2:$A$6000,0)),"")</f>
        <v/>
      </c>
      <c r="E502">
        <f>IFERROR(INDEX(спр_Работы!$C$2:$C$6000,MATCH($C502,спр_Работы!$A$2:$A$6000,0)),"")</f>
        <v/>
      </c>
      <c r="F502">
        <f>IFERROR(INDEX(спр_Работы!$G$2:$G$6000,MATCH($C502,спр_Работы!$A$2:$A$6000,0)),"")</f>
        <v/>
      </c>
      <c r="G502">
        <f>IFERROR(INDEX(спр_Работы!$K$2:$K$6000,MATCH($C502,спр_Работы!$A$2:$A$6000,0)),"")</f>
        <v/>
      </c>
      <c r="H502" s="9" t="n"/>
      <c r="I502" s="9" t="n"/>
      <c r="J502" s="8">
        <f>IFERROR(INDEX(спр_Материалы!$B$2:$B$9000,MATCH($I502,спр_Материалы!$A$2:$A$9000,0)),"")</f>
        <v/>
      </c>
      <c r="K502">
        <f>IF($I502="","",IF($F502=IFERROR(INDEX(спр_Материалы!$G$2:$G$9000,MATCH($I502,спр_Материалы!$A$2:$A$9000,0)),""),"OK","!! не та группа"))</f>
        <v/>
      </c>
      <c r="L502" s="10">
        <f>IFERROR(INDEX(спр_Работы!$H$2:$H$6000,MATCH($C502,спр_Работы!$A$2:$A$6000,0))*(1-ДисконтТендер),0)</f>
        <v/>
      </c>
      <c r="M502" s="10">
        <f>IF($I502="",0,IFERROR(INDEX(спр_Материалы!$I$2:$I$9000,MATCH($I502,спр_Материалы!$A$2:$A$9000,0))*IF(INDEX(спр_Материалы!$J$2:$J$9000,MATCH($I502,спр_Материалы!$A$2:$A$9000,0))="USD",КурсUSD,IF(INDEX(спр_Материалы!$J$2:$J$9000,MATCH($I502,спр_Материалы!$A$2:$A$9000,0))="EUR",КурсEUR,1))*INDEX(спр_Материалы!$K$2:$K$9000,MATCH($I502,спр_Материалы!$A$2:$A$9000,0))*(1+IFERROR(INDEX(спр_Работы!$I$2:$I$6000,MATCH($C502,спр_Работы!$A$2:$A$6000,0))/100,0))*(1-ДисконтТендер),0))</f>
        <v/>
      </c>
      <c r="N502" s="10">
        <f>IF(AND($R502="да",$H502&lt;&gt;""),ROUND($H502*$L502,2),0)</f>
        <v/>
      </c>
      <c r="O502" s="10">
        <f>IF(AND($R502="да",$H502&lt;&gt;""),ROUND($H502*$M502,2),0)</f>
        <v/>
      </c>
      <c r="P502" s="10">
        <f>$N502+$O502</f>
        <v/>
      </c>
      <c r="Q502">
        <f>IFERROR(INDEX(спр_Работы!$J$2:$J$6000,MATCH($C502,спр_Работы!$A$2:$A$6000,0)),"")</f>
        <v/>
      </c>
      <c r="R502" t="inlineStr">
        <is>
          <t>да</t>
        </is>
      </c>
      <c r="T502">
        <f>IF(AND($P502&gt;0,$R502="да"),MAX($T$1:$T501)+1,"")</f>
        <v/>
      </c>
    </row>
    <row r="503">
      <c r="A503">
        <f>IFERROR(INDEX(спр_Работы!$D$2:$D$6000,MATCH($C503,спр_Работы!$A$2:$A$6000,0)),"")</f>
        <v/>
      </c>
      <c r="B503">
        <f>IFERROR(INDEX(спр_Работы!$F$2:$F$6000,MATCH($C503,спр_Работы!$A$2:$A$6000,0)),"")</f>
        <v/>
      </c>
      <c r="C503">
        <f>IFERROR(INDEX(спр_Работы!$A$2:$A$6000,502),"")</f>
        <v/>
      </c>
      <c r="D503" s="8">
        <f>IFERROR(INDEX(спр_Работы!$B$2:$B$6000,MATCH($C503,спр_Работы!$A$2:$A$6000,0)),"")</f>
        <v/>
      </c>
      <c r="E503">
        <f>IFERROR(INDEX(спр_Работы!$C$2:$C$6000,MATCH($C503,спр_Работы!$A$2:$A$6000,0)),"")</f>
        <v/>
      </c>
      <c r="F503">
        <f>IFERROR(INDEX(спр_Работы!$G$2:$G$6000,MATCH($C503,спр_Работы!$A$2:$A$6000,0)),"")</f>
        <v/>
      </c>
      <c r="G503">
        <f>IFERROR(INDEX(спр_Работы!$K$2:$K$6000,MATCH($C503,спр_Работы!$A$2:$A$6000,0)),"")</f>
        <v/>
      </c>
      <c r="H503" s="9" t="n"/>
      <c r="I503" s="9" t="n"/>
      <c r="J503" s="8">
        <f>IFERROR(INDEX(спр_Материалы!$B$2:$B$9000,MATCH($I503,спр_Материалы!$A$2:$A$9000,0)),"")</f>
        <v/>
      </c>
      <c r="K503">
        <f>IF($I503="","",IF($F503=IFERROR(INDEX(спр_Материалы!$G$2:$G$9000,MATCH($I503,спр_Материалы!$A$2:$A$9000,0)),""),"OK","!! не та группа"))</f>
        <v/>
      </c>
      <c r="L503" s="10">
        <f>IFERROR(INDEX(спр_Работы!$H$2:$H$6000,MATCH($C503,спр_Работы!$A$2:$A$6000,0))*(1-ДисконтТендер),0)</f>
        <v/>
      </c>
      <c r="M503" s="10">
        <f>IF($I503="",0,IFERROR(INDEX(спр_Материалы!$I$2:$I$9000,MATCH($I503,спр_Материалы!$A$2:$A$9000,0))*IF(INDEX(спр_Материалы!$J$2:$J$9000,MATCH($I503,спр_Материалы!$A$2:$A$9000,0))="USD",КурсUSD,IF(INDEX(спр_Материалы!$J$2:$J$9000,MATCH($I503,спр_Материалы!$A$2:$A$9000,0))="EUR",КурсEUR,1))*INDEX(спр_Материалы!$K$2:$K$9000,MATCH($I503,спр_Материалы!$A$2:$A$9000,0))*(1+IFERROR(INDEX(спр_Работы!$I$2:$I$6000,MATCH($C503,спр_Работы!$A$2:$A$6000,0))/100,0))*(1-ДисконтТендер),0))</f>
        <v/>
      </c>
      <c r="N503" s="10">
        <f>IF(AND($R503="да",$H503&lt;&gt;""),ROUND($H503*$L503,2),0)</f>
        <v/>
      </c>
      <c r="O503" s="10">
        <f>IF(AND($R503="да",$H503&lt;&gt;""),ROUND($H503*$M503,2),0)</f>
        <v/>
      </c>
      <c r="P503" s="10">
        <f>$N503+$O503</f>
        <v/>
      </c>
      <c r="Q503">
        <f>IFERROR(INDEX(спр_Работы!$J$2:$J$6000,MATCH($C503,спр_Работы!$A$2:$A$6000,0)),"")</f>
        <v/>
      </c>
      <c r="R503" t="inlineStr">
        <is>
          <t>да</t>
        </is>
      </c>
      <c r="T503">
        <f>IF(AND($P503&gt;0,$R503="да"),MAX($T$1:$T502)+1,"")</f>
        <v/>
      </c>
    </row>
    <row r="504">
      <c r="A504">
        <f>IFERROR(INDEX(спр_Работы!$D$2:$D$6000,MATCH($C504,спр_Работы!$A$2:$A$6000,0)),"")</f>
        <v/>
      </c>
      <c r="B504">
        <f>IFERROR(INDEX(спр_Работы!$F$2:$F$6000,MATCH($C504,спр_Работы!$A$2:$A$6000,0)),"")</f>
        <v/>
      </c>
      <c r="C504">
        <f>IFERROR(INDEX(спр_Работы!$A$2:$A$6000,503),"")</f>
        <v/>
      </c>
      <c r="D504" s="8">
        <f>IFERROR(INDEX(спр_Работы!$B$2:$B$6000,MATCH($C504,спр_Работы!$A$2:$A$6000,0)),"")</f>
        <v/>
      </c>
      <c r="E504">
        <f>IFERROR(INDEX(спр_Работы!$C$2:$C$6000,MATCH($C504,спр_Работы!$A$2:$A$6000,0)),"")</f>
        <v/>
      </c>
      <c r="F504">
        <f>IFERROR(INDEX(спр_Работы!$G$2:$G$6000,MATCH($C504,спр_Работы!$A$2:$A$6000,0)),"")</f>
        <v/>
      </c>
      <c r="G504">
        <f>IFERROR(INDEX(спр_Работы!$K$2:$K$6000,MATCH($C504,спр_Работы!$A$2:$A$6000,0)),"")</f>
        <v/>
      </c>
      <c r="H504" s="9" t="n"/>
      <c r="I504" s="9" t="n"/>
      <c r="J504" s="8">
        <f>IFERROR(INDEX(спр_Материалы!$B$2:$B$9000,MATCH($I504,спр_Материалы!$A$2:$A$9000,0)),"")</f>
        <v/>
      </c>
      <c r="K504">
        <f>IF($I504="","",IF($F504=IFERROR(INDEX(спр_Материалы!$G$2:$G$9000,MATCH($I504,спр_Материалы!$A$2:$A$9000,0)),""),"OK","!! не та группа"))</f>
        <v/>
      </c>
      <c r="L504" s="10">
        <f>IFERROR(INDEX(спр_Работы!$H$2:$H$6000,MATCH($C504,спр_Работы!$A$2:$A$6000,0))*(1-ДисконтТендер),0)</f>
        <v/>
      </c>
      <c r="M504" s="10">
        <f>IF($I504="",0,IFERROR(INDEX(спр_Материалы!$I$2:$I$9000,MATCH($I504,спр_Материалы!$A$2:$A$9000,0))*IF(INDEX(спр_Материалы!$J$2:$J$9000,MATCH($I504,спр_Материалы!$A$2:$A$9000,0))="USD",КурсUSD,IF(INDEX(спр_Материалы!$J$2:$J$9000,MATCH($I504,спр_Материалы!$A$2:$A$9000,0))="EUR",КурсEUR,1))*INDEX(спр_Материалы!$K$2:$K$9000,MATCH($I504,спр_Материалы!$A$2:$A$9000,0))*(1+IFERROR(INDEX(спр_Работы!$I$2:$I$6000,MATCH($C504,спр_Работы!$A$2:$A$6000,0))/100,0))*(1-ДисконтТендер),0))</f>
        <v/>
      </c>
      <c r="N504" s="10">
        <f>IF(AND($R504="да",$H504&lt;&gt;""),ROUND($H504*$L504,2),0)</f>
        <v/>
      </c>
      <c r="O504" s="10">
        <f>IF(AND($R504="да",$H504&lt;&gt;""),ROUND($H504*$M504,2),0)</f>
        <v/>
      </c>
      <c r="P504" s="10">
        <f>$N504+$O504</f>
        <v/>
      </c>
      <c r="Q504">
        <f>IFERROR(INDEX(спр_Работы!$J$2:$J$6000,MATCH($C504,спр_Работы!$A$2:$A$6000,0)),"")</f>
        <v/>
      </c>
      <c r="R504" t="inlineStr">
        <is>
          <t>да</t>
        </is>
      </c>
      <c r="T504">
        <f>IF(AND($P504&gt;0,$R504="да"),MAX($T$1:$T503)+1,"")</f>
        <v/>
      </c>
    </row>
    <row r="505">
      <c r="A505">
        <f>IFERROR(INDEX(спр_Работы!$D$2:$D$6000,MATCH($C505,спр_Работы!$A$2:$A$6000,0)),"")</f>
        <v/>
      </c>
      <c r="B505">
        <f>IFERROR(INDEX(спр_Работы!$F$2:$F$6000,MATCH($C505,спр_Работы!$A$2:$A$6000,0)),"")</f>
        <v/>
      </c>
      <c r="C505">
        <f>IFERROR(INDEX(спр_Работы!$A$2:$A$6000,504),"")</f>
        <v/>
      </c>
      <c r="D505" s="8">
        <f>IFERROR(INDEX(спр_Работы!$B$2:$B$6000,MATCH($C505,спр_Работы!$A$2:$A$6000,0)),"")</f>
        <v/>
      </c>
      <c r="E505">
        <f>IFERROR(INDEX(спр_Работы!$C$2:$C$6000,MATCH($C505,спр_Работы!$A$2:$A$6000,0)),"")</f>
        <v/>
      </c>
      <c r="F505">
        <f>IFERROR(INDEX(спр_Работы!$G$2:$G$6000,MATCH($C505,спр_Работы!$A$2:$A$6000,0)),"")</f>
        <v/>
      </c>
      <c r="G505">
        <f>IFERROR(INDEX(спр_Работы!$K$2:$K$6000,MATCH($C505,спр_Работы!$A$2:$A$6000,0)),"")</f>
        <v/>
      </c>
      <c r="H505" s="9" t="n"/>
      <c r="I505" s="9" t="n"/>
      <c r="J505" s="8">
        <f>IFERROR(INDEX(спр_Материалы!$B$2:$B$9000,MATCH($I505,спр_Материалы!$A$2:$A$9000,0)),"")</f>
        <v/>
      </c>
      <c r="K505">
        <f>IF($I505="","",IF($F505=IFERROR(INDEX(спр_Материалы!$G$2:$G$9000,MATCH($I505,спр_Материалы!$A$2:$A$9000,0)),""),"OK","!! не та группа"))</f>
        <v/>
      </c>
      <c r="L505" s="10">
        <f>IFERROR(INDEX(спр_Работы!$H$2:$H$6000,MATCH($C505,спр_Работы!$A$2:$A$6000,0))*(1-ДисконтТендер),0)</f>
        <v/>
      </c>
      <c r="M505" s="10">
        <f>IF($I505="",0,IFERROR(INDEX(спр_Материалы!$I$2:$I$9000,MATCH($I505,спр_Материалы!$A$2:$A$9000,0))*IF(INDEX(спр_Материалы!$J$2:$J$9000,MATCH($I505,спр_Материалы!$A$2:$A$9000,0))="USD",КурсUSD,IF(INDEX(спр_Материалы!$J$2:$J$9000,MATCH($I505,спр_Материалы!$A$2:$A$9000,0))="EUR",КурсEUR,1))*INDEX(спр_Материалы!$K$2:$K$9000,MATCH($I505,спр_Материалы!$A$2:$A$9000,0))*(1+IFERROR(INDEX(спр_Работы!$I$2:$I$6000,MATCH($C505,спр_Работы!$A$2:$A$6000,0))/100,0))*(1-ДисконтТендер),0))</f>
        <v/>
      </c>
      <c r="N505" s="10">
        <f>IF(AND($R505="да",$H505&lt;&gt;""),ROUND($H505*$L505,2),0)</f>
        <v/>
      </c>
      <c r="O505" s="10">
        <f>IF(AND($R505="да",$H505&lt;&gt;""),ROUND($H505*$M505,2),0)</f>
        <v/>
      </c>
      <c r="P505" s="10">
        <f>$N505+$O505</f>
        <v/>
      </c>
      <c r="Q505">
        <f>IFERROR(INDEX(спр_Работы!$J$2:$J$6000,MATCH($C505,спр_Работы!$A$2:$A$6000,0)),"")</f>
        <v/>
      </c>
      <c r="R505" t="inlineStr">
        <is>
          <t>да</t>
        </is>
      </c>
      <c r="T505">
        <f>IF(AND($P505&gt;0,$R505="да"),MAX($T$1:$T504)+1,"")</f>
        <v/>
      </c>
    </row>
    <row r="506">
      <c r="A506">
        <f>IFERROR(INDEX(спр_Работы!$D$2:$D$6000,MATCH($C506,спр_Работы!$A$2:$A$6000,0)),"")</f>
        <v/>
      </c>
      <c r="B506">
        <f>IFERROR(INDEX(спр_Работы!$F$2:$F$6000,MATCH($C506,спр_Работы!$A$2:$A$6000,0)),"")</f>
        <v/>
      </c>
      <c r="C506">
        <f>IFERROR(INDEX(спр_Работы!$A$2:$A$6000,505),"")</f>
        <v/>
      </c>
      <c r="D506" s="8">
        <f>IFERROR(INDEX(спр_Работы!$B$2:$B$6000,MATCH($C506,спр_Работы!$A$2:$A$6000,0)),"")</f>
        <v/>
      </c>
      <c r="E506">
        <f>IFERROR(INDEX(спр_Работы!$C$2:$C$6000,MATCH($C506,спр_Работы!$A$2:$A$6000,0)),"")</f>
        <v/>
      </c>
      <c r="F506">
        <f>IFERROR(INDEX(спр_Работы!$G$2:$G$6000,MATCH($C506,спр_Работы!$A$2:$A$6000,0)),"")</f>
        <v/>
      </c>
      <c r="G506">
        <f>IFERROR(INDEX(спр_Работы!$K$2:$K$6000,MATCH($C506,спр_Работы!$A$2:$A$6000,0)),"")</f>
        <v/>
      </c>
      <c r="H506" s="9" t="n"/>
      <c r="I506" s="9" t="n"/>
      <c r="J506" s="8">
        <f>IFERROR(INDEX(спр_Материалы!$B$2:$B$9000,MATCH($I506,спр_Материалы!$A$2:$A$9000,0)),"")</f>
        <v/>
      </c>
      <c r="K506">
        <f>IF($I506="","",IF($F506=IFERROR(INDEX(спр_Материалы!$G$2:$G$9000,MATCH($I506,спр_Материалы!$A$2:$A$9000,0)),""),"OK","!! не та группа"))</f>
        <v/>
      </c>
      <c r="L506" s="10">
        <f>IFERROR(INDEX(спр_Работы!$H$2:$H$6000,MATCH($C506,спр_Работы!$A$2:$A$6000,0))*(1-ДисконтТендер),0)</f>
        <v/>
      </c>
      <c r="M506" s="10">
        <f>IF($I506="",0,IFERROR(INDEX(спр_Материалы!$I$2:$I$9000,MATCH($I506,спр_Материалы!$A$2:$A$9000,0))*IF(INDEX(спр_Материалы!$J$2:$J$9000,MATCH($I506,спр_Материалы!$A$2:$A$9000,0))="USD",КурсUSD,IF(INDEX(спр_Материалы!$J$2:$J$9000,MATCH($I506,спр_Материалы!$A$2:$A$9000,0))="EUR",КурсEUR,1))*INDEX(спр_Материалы!$K$2:$K$9000,MATCH($I506,спр_Материалы!$A$2:$A$9000,0))*(1+IFERROR(INDEX(спр_Работы!$I$2:$I$6000,MATCH($C506,спр_Работы!$A$2:$A$6000,0))/100,0))*(1-ДисконтТендер),0))</f>
        <v/>
      </c>
      <c r="N506" s="10">
        <f>IF(AND($R506="да",$H506&lt;&gt;""),ROUND($H506*$L506,2),0)</f>
        <v/>
      </c>
      <c r="O506" s="10">
        <f>IF(AND($R506="да",$H506&lt;&gt;""),ROUND($H506*$M506,2),0)</f>
        <v/>
      </c>
      <c r="P506" s="10">
        <f>$N506+$O506</f>
        <v/>
      </c>
      <c r="Q506">
        <f>IFERROR(INDEX(спр_Работы!$J$2:$J$6000,MATCH($C506,спр_Работы!$A$2:$A$6000,0)),"")</f>
        <v/>
      </c>
      <c r="R506" t="inlineStr">
        <is>
          <t>да</t>
        </is>
      </c>
      <c r="T506">
        <f>IF(AND($P506&gt;0,$R506="да"),MAX($T$1:$T505)+1,"")</f>
        <v/>
      </c>
    </row>
    <row r="507">
      <c r="A507">
        <f>IFERROR(INDEX(спр_Работы!$D$2:$D$6000,MATCH($C507,спр_Работы!$A$2:$A$6000,0)),"")</f>
        <v/>
      </c>
      <c r="B507">
        <f>IFERROR(INDEX(спр_Работы!$F$2:$F$6000,MATCH($C507,спр_Работы!$A$2:$A$6000,0)),"")</f>
        <v/>
      </c>
      <c r="C507">
        <f>IFERROR(INDEX(спр_Работы!$A$2:$A$6000,506),"")</f>
        <v/>
      </c>
      <c r="D507" s="8">
        <f>IFERROR(INDEX(спр_Работы!$B$2:$B$6000,MATCH($C507,спр_Работы!$A$2:$A$6000,0)),"")</f>
        <v/>
      </c>
      <c r="E507">
        <f>IFERROR(INDEX(спр_Работы!$C$2:$C$6000,MATCH($C507,спр_Работы!$A$2:$A$6000,0)),"")</f>
        <v/>
      </c>
      <c r="F507">
        <f>IFERROR(INDEX(спр_Работы!$G$2:$G$6000,MATCH($C507,спр_Работы!$A$2:$A$6000,0)),"")</f>
        <v/>
      </c>
      <c r="G507">
        <f>IFERROR(INDEX(спр_Работы!$K$2:$K$6000,MATCH($C507,спр_Работы!$A$2:$A$6000,0)),"")</f>
        <v/>
      </c>
      <c r="H507" s="9" t="n"/>
      <c r="I507" s="9" t="n"/>
      <c r="J507" s="8">
        <f>IFERROR(INDEX(спр_Материалы!$B$2:$B$9000,MATCH($I507,спр_Материалы!$A$2:$A$9000,0)),"")</f>
        <v/>
      </c>
      <c r="K507">
        <f>IF($I507="","",IF($F507=IFERROR(INDEX(спр_Материалы!$G$2:$G$9000,MATCH($I507,спр_Материалы!$A$2:$A$9000,0)),""),"OK","!! не та группа"))</f>
        <v/>
      </c>
      <c r="L507" s="10">
        <f>IFERROR(INDEX(спр_Работы!$H$2:$H$6000,MATCH($C507,спр_Работы!$A$2:$A$6000,0))*(1-ДисконтТендер),0)</f>
        <v/>
      </c>
      <c r="M507" s="10">
        <f>IF($I507="",0,IFERROR(INDEX(спр_Материалы!$I$2:$I$9000,MATCH($I507,спр_Материалы!$A$2:$A$9000,0))*IF(INDEX(спр_Материалы!$J$2:$J$9000,MATCH($I507,спр_Материалы!$A$2:$A$9000,0))="USD",КурсUSD,IF(INDEX(спр_Материалы!$J$2:$J$9000,MATCH($I507,спр_Материалы!$A$2:$A$9000,0))="EUR",КурсEUR,1))*INDEX(спр_Материалы!$K$2:$K$9000,MATCH($I507,спр_Материалы!$A$2:$A$9000,0))*(1+IFERROR(INDEX(спр_Работы!$I$2:$I$6000,MATCH($C507,спр_Работы!$A$2:$A$6000,0))/100,0))*(1-ДисконтТендер),0))</f>
        <v/>
      </c>
      <c r="N507" s="10">
        <f>IF(AND($R507="да",$H507&lt;&gt;""),ROUND($H507*$L507,2),0)</f>
        <v/>
      </c>
      <c r="O507" s="10">
        <f>IF(AND($R507="да",$H507&lt;&gt;""),ROUND($H507*$M507,2),0)</f>
        <v/>
      </c>
      <c r="P507" s="10">
        <f>$N507+$O507</f>
        <v/>
      </c>
      <c r="Q507">
        <f>IFERROR(INDEX(спр_Работы!$J$2:$J$6000,MATCH($C507,спр_Работы!$A$2:$A$6000,0)),"")</f>
        <v/>
      </c>
      <c r="R507" t="inlineStr">
        <is>
          <t>да</t>
        </is>
      </c>
      <c r="T507">
        <f>IF(AND($P507&gt;0,$R507="да"),MAX($T$1:$T506)+1,"")</f>
        <v/>
      </c>
    </row>
    <row r="508">
      <c r="A508">
        <f>IFERROR(INDEX(спр_Работы!$D$2:$D$6000,MATCH($C508,спр_Работы!$A$2:$A$6000,0)),"")</f>
        <v/>
      </c>
      <c r="B508">
        <f>IFERROR(INDEX(спр_Работы!$F$2:$F$6000,MATCH($C508,спр_Работы!$A$2:$A$6000,0)),"")</f>
        <v/>
      </c>
      <c r="C508">
        <f>IFERROR(INDEX(спр_Работы!$A$2:$A$6000,507),"")</f>
        <v/>
      </c>
      <c r="D508" s="8">
        <f>IFERROR(INDEX(спр_Работы!$B$2:$B$6000,MATCH($C508,спр_Работы!$A$2:$A$6000,0)),"")</f>
        <v/>
      </c>
      <c r="E508">
        <f>IFERROR(INDEX(спр_Работы!$C$2:$C$6000,MATCH($C508,спр_Работы!$A$2:$A$6000,0)),"")</f>
        <v/>
      </c>
      <c r="F508">
        <f>IFERROR(INDEX(спр_Работы!$G$2:$G$6000,MATCH($C508,спр_Работы!$A$2:$A$6000,0)),"")</f>
        <v/>
      </c>
      <c r="G508">
        <f>IFERROR(INDEX(спр_Работы!$K$2:$K$6000,MATCH($C508,спр_Работы!$A$2:$A$6000,0)),"")</f>
        <v/>
      </c>
      <c r="H508" s="9" t="n"/>
      <c r="I508" s="9" t="n"/>
      <c r="J508" s="8">
        <f>IFERROR(INDEX(спр_Материалы!$B$2:$B$9000,MATCH($I508,спр_Материалы!$A$2:$A$9000,0)),"")</f>
        <v/>
      </c>
      <c r="K508">
        <f>IF($I508="","",IF($F508=IFERROR(INDEX(спр_Материалы!$G$2:$G$9000,MATCH($I508,спр_Материалы!$A$2:$A$9000,0)),""),"OK","!! не та группа"))</f>
        <v/>
      </c>
      <c r="L508" s="10">
        <f>IFERROR(INDEX(спр_Работы!$H$2:$H$6000,MATCH($C508,спр_Работы!$A$2:$A$6000,0))*(1-ДисконтТендер),0)</f>
        <v/>
      </c>
      <c r="M508" s="10">
        <f>IF($I508="",0,IFERROR(INDEX(спр_Материалы!$I$2:$I$9000,MATCH($I508,спр_Материалы!$A$2:$A$9000,0))*IF(INDEX(спр_Материалы!$J$2:$J$9000,MATCH($I508,спр_Материалы!$A$2:$A$9000,0))="USD",КурсUSD,IF(INDEX(спр_Материалы!$J$2:$J$9000,MATCH($I508,спр_Материалы!$A$2:$A$9000,0))="EUR",КурсEUR,1))*INDEX(спр_Материалы!$K$2:$K$9000,MATCH($I508,спр_Материалы!$A$2:$A$9000,0))*(1+IFERROR(INDEX(спр_Работы!$I$2:$I$6000,MATCH($C508,спр_Работы!$A$2:$A$6000,0))/100,0))*(1-ДисконтТендер),0))</f>
        <v/>
      </c>
      <c r="N508" s="10">
        <f>IF(AND($R508="да",$H508&lt;&gt;""),ROUND($H508*$L508,2),0)</f>
        <v/>
      </c>
      <c r="O508" s="10">
        <f>IF(AND($R508="да",$H508&lt;&gt;""),ROUND($H508*$M508,2),0)</f>
        <v/>
      </c>
      <c r="P508" s="10">
        <f>$N508+$O508</f>
        <v/>
      </c>
      <c r="Q508">
        <f>IFERROR(INDEX(спр_Работы!$J$2:$J$6000,MATCH($C508,спр_Работы!$A$2:$A$6000,0)),"")</f>
        <v/>
      </c>
      <c r="R508" t="inlineStr">
        <is>
          <t>да</t>
        </is>
      </c>
      <c r="T508">
        <f>IF(AND($P508&gt;0,$R508="да"),MAX($T$1:$T507)+1,"")</f>
        <v/>
      </c>
    </row>
    <row r="509">
      <c r="A509">
        <f>IFERROR(INDEX(спр_Работы!$D$2:$D$6000,MATCH($C509,спр_Работы!$A$2:$A$6000,0)),"")</f>
        <v/>
      </c>
      <c r="B509">
        <f>IFERROR(INDEX(спр_Работы!$F$2:$F$6000,MATCH($C509,спр_Работы!$A$2:$A$6000,0)),"")</f>
        <v/>
      </c>
      <c r="C509">
        <f>IFERROR(INDEX(спр_Работы!$A$2:$A$6000,508),"")</f>
        <v/>
      </c>
      <c r="D509" s="8">
        <f>IFERROR(INDEX(спр_Работы!$B$2:$B$6000,MATCH($C509,спр_Работы!$A$2:$A$6000,0)),"")</f>
        <v/>
      </c>
      <c r="E509">
        <f>IFERROR(INDEX(спр_Работы!$C$2:$C$6000,MATCH($C509,спр_Работы!$A$2:$A$6000,0)),"")</f>
        <v/>
      </c>
      <c r="F509">
        <f>IFERROR(INDEX(спр_Работы!$G$2:$G$6000,MATCH($C509,спр_Работы!$A$2:$A$6000,0)),"")</f>
        <v/>
      </c>
      <c r="G509">
        <f>IFERROR(INDEX(спр_Работы!$K$2:$K$6000,MATCH($C509,спр_Работы!$A$2:$A$6000,0)),"")</f>
        <v/>
      </c>
      <c r="H509" s="9" t="n"/>
      <c r="I509" s="9" t="n"/>
      <c r="J509" s="8">
        <f>IFERROR(INDEX(спр_Материалы!$B$2:$B$9000,MATCH($I509,спр_Материалы!$A$2:$A$9000,0)),"")</f>
        <v/>
      </c>
      <c r="K509">
        <f>IF($I509="","",IF($F509=IFERROR(INDEX(спр_Материалы!$G$2:$G$9000,MATCH($I509,спр_Материалы!$A$2:$A$9000,0)),""),"OK","!! не та группа"))</f>
        <v/>
      </c>
      <c r="L509" s="10">
        <f>IFERROR(INDEX(спр_Работы!$H$2:$H$6000,MATCH($C509,спр_Работы!$A$2:$A$6000,0))*(1-ДисконтТендер),0)</f>
        <v/>
      </c>
      <c r="M509" s="10">
        <f>IF($I509="",0,IFERROR(INDEX(спр_Материалы!$I$2:$I$9000,MATCH($I509,спр_Материалы!$A$2:$A$9000,0))*IF(INDEX(спр_Материалы!$J$2:$J$9000,MATCH($I509,спр_Материалы!$A$2:$A$9000,0))="USD",КурсUSD,IF(INDEX(спр_Материалы!$J$2:$J$9000,MATCH($I509,спр_Материалы!$A$2:$A$9000,0))="EUR",КурсEUR,1))*INDEX(спр_Материалы!$K$2:$K$9000,MATCH($I509,спр_Материалы!$A$2:$A$9000,0))*(1+IFERROR(INDEX(спр_Работы!$I$2:$I$6000,MATCH($C509,спр_Работы!$A$2:$A$6000,0))/100,0))*(1-ДисконтТендер),0))</f>
        <v/>
      </c>
      <c r="N509" s="10">
        <f>IF(AND($R509="да",$H509&lt;&gt;""),ROUND($H509*$L509,2),0)</f>
        <v/>
      </c>
      <c r="O509" s="10">
        <f>IF(AND($R509="да",$H509&lt;&gt;""),ROUND($H509*$M509,2),0)</f>
        <v/>
      </c>
      <c r="P509" s="10">
        <f>$N509+$O509</f>
        <v/>
      </c>
      <c r="Q509">
        <f>IFERROR(INDEX(спр_Работы!$J$2:$J$6000,MATCH($C509,спр_Работы!$A$2:$A$6000,0)),"")</f>
        <v/>
      </c>
      <c r="R509" t="inlineStr">
        <is>
          <t>да</t>
        </is>
      </c>
      <c r="T509">
        <f>IF(AND($P509&gt;0,$R509="да"),MAX($T$1:$T508)+1,"")</f>
        <v/>
      </c>
    </row>
    <row r="510">
      <c r="A510">
        <f>IFERROR(INDEX(спр_Работы!$D$2:$D$6000,MATCH($C510,спр_Работы!$A$2:$A$6000,0)),"")</f>
        <v/>
      </c>
      <c r="B510">
        <f>IFERROR(INDEX(спр_Работы!$F$2:$F$6000,MATCH($C510,спр_Работы!$A$2:$A$6000,0)),"")</f>
        <v/>
      </c>
      <c r="C510">
        <f>IFERROR(INDEX(спр_Работы!$A$2:$A$6000,509),"")</f>
        <v/>
      </c>
      <c r="D510" s="8">
        <f>IFERROR(INDEX(спр_Работы!$B$2:$B$6000,MATCH($C510,спр_Работы!$A$2:$A$6000,0)),"")</f>
        <v/>
      </c>
      <c r="E510">
        <f>IFERROR(INDEX(спр_Работы!$C$2:$C$6000,MATCH($C510,спр_Работы!$A$2:$A$6000,0)),"")</f>
        <v/>
      </c>
      <c r="F510">
        <f>IFERROR(INDEX(спр_Работы!$G$2:$G$6000,MATCH($C510,спр_Работы!$A$2:$A$6000,0)),"")</f>
        <v/>
      </c>
      <c r="G510">
        <f>IFERROR(INDEX(спр_Работы!$K$2:$K$6000,MATCH($C510,спр_Работы!$A$2:$A$6000,0)),"")</f>
        <v/>
      </c>
      <c r="H510" s="9" t="n"/>
      <c r="I510" s="9" t="n"/>
      <c r="J510" s="8">
        <f>IFERROR(INDEX(спр_Материалы!$B$2:$B$9000,MATCH($I510,спр_Материалы!$A$2:$A$9000,0)),"")</f>
        <v/>
      </c>
      <c r="K510">
        <f>IF($I510="","",IF($F510=IFERROR(INDEX(спр_Материалы!$G$2:$G$9000,MATCH($I510,спр_Материалы!$A$2:$A$9000,0)),""),"OK","!! не та группа"))</f>
        <v/>
      </c>
      <c r="L510" s="10">
        <f>IFERROR(INDEX(спр_Работы!$H$2:$H$6000,MATCH($C510,спр_Работы!$A$2:$A$6000,0))*(1-ДисконтТендер),0)</f>
        <v/>
      </c>
      <c r="M510" s="10">
        <f>IF($I510="",0,IFERROR(INDEX(спр_Материалы!$I$2:$I$9000,MATCH($I510,спр_Материалы!$A$2:$A$9000,0))*IF(INDEX(спр_Материалы!$J$2:$J$9000,MATCH($I510,спр_Материалы!$A$2:$A$9000,0))="USD",КурсUSD,IF(INDEX(спр_Материалы!$J$2:$J$9000,MATCH($I510,спр_Материалы!$A$2:$A$9000,0))="EUR",КурсEUR,1))*INDEX(спр_Материалы!$K$2:$K$9000,MATCH($I510,спр_Материалы!$A$2:$A$9000,0))*(1+IFERROR(INDEX(спр_Работы!$I$2:$I$6000,MATCH($C510,спр_Работы!$A$2:$A$6000,0))/100,0))*(1-ДисконтТендер),0))</f>
        <v/>
      </c>
      <c r="N510" s="10">
        <f>IF(AND($R510="да",$H510&lt;&gt;""),ROUND($H510*$L510,2),0)</f>
        <v/>
      </c>
      <c r="O510" s="10">
        <f>IF(AND($R510="да",$H510&lt;&gt;""),ROUND($H510*$M510,2),0)</f>
        <v/>
      </c>
      <c r="P510" s="10">
        <f>$N510+$O510</f>
        <v/>
      </c>
      <c r="Q510">
        <f>IFERROR(INDEX(спр_Работы!$J$2:$J$6000,MATCH($C510,спр_Работы!$A$2:$A$6000,0)),"")</f>
        <v/>
      </c>
      <c r="R510" t="inlineStr">
        <is>
          <t>да</t>
        </is>
      </c>
      <c r="T510">
        <f>IF(AND($P510&gt;0,$R510="да"),MAX($T$1:$T509)+1,"")</f>
        <v/>
      </c>
    </row>
    <row r="511">
      <c r="A511">
        <f>IFERROR(INDEX(спр_Работы!$D$2:$D$6000,MATCH($C511,спр_Работы!$A$2:$A$6000,0)),"")</f>
        <v/>
      </c>
      <c r="B511">
        <f>IFERROR(INDEX(спр_Работы!$F$2:$F$6000,MATCH($C511,спр_Работы!$A$2:$A$6000,0)),"")</f>
        <v/>
      </c>
      <c r="C511">
        <f>IFERROR(INDEX(спр_Работы!$A$2:$A$6000,510),"")</f>
        <v/>
      </c>
      <c r="D511" s="8">
        <f>IFERROR(INDEX(спр_Работы!$B$2:$B$6000,MATCH($C511,спр_Работы!$A$2:$A$6000,0)),"")</f>
        <v/>
      </c>
      <c r="E511">
        <f>IFERROR(INDEX(спр_Работы!$C$2:$C$6000,MATCH($C511,спр_Работы!$A$2:$A$6000,0)),"")</f>
        <v/>
      </c>
      <c r="F511">
        <f>IFERROR(INDEX(спр_Работы!$G$2:$G$6000,MATCH($C511,спр_Работы!$A$2:$A$6000,0)),"")</f>
        <v/>
      </c>
      <c r="G511">
        <f>IFERROR(INDEX(спр_Работы!$K$2:$K$6000,MATCH($C511,спр_Работы!$A$2:$A$6000,0)),"")</f>
        <v/>
      </c>
      <c r="H511" s="9" t="n"/>
      <c r="I511" s="9" t="n"/>
      <c r="J511" s="8">
        <f>IFERROR(INDEX(спр_Материалы!$B$2:$B$9000,MATCH($I511,спр_Материалы!$A$2:$A$9000,0)),"")</f>
        <v/>
      </c>
      <c r="K511">
        <f>IF($I511="","",IF($F511=IFERROR(INDEX(спр_Материалы!$G$2:$G$9000,MATCH($I511,спр_Материалы!$A$2:$A$9000,0)),""),"OK","!! не та группа"))</f>
        <v/>
      </c>
      <c r="L511" s="10">
        <f>IFERROR(INDEX(спр_Работы!$H$2:$H$6000,MATCH($C511,спр_Работы!$A$2:$A$6000,0))*(1-ДисконтТендер),0)</f>
        <v/>
      </c>
      <c r="M511" s="10">
        <f>IF($I511="",0,IFERROR(INDEX(спр_Материалы!$I$2:$I$9000,MATCH($I511,спр_Материалы!$A$2:$A$9000,0))*IF(INDEX(спр_Материалы!$J$2:$J$9000,MATCH($I511,спр_Материалы!$A$2:$A$9000,0))="USD",КурсUSD,IF(INDEX(спр_Материалы!$J$2:$J$9000,MATCH($I511,спр_Материалы!$A$2:$A$9000,0))="EUR",КурсEUR,1))*INDEX(спр_Материалы!$K$2:$K$9000,MATCH($I511,спр_Материалы!$A$2:$A$9000,0))*(1+IFERROR(INDEX(спр_Работы!$I$2:$I$6000,MATCH($C511,спр_Работы!$A$2:$A$6000,0))/100,0))*(1-ДисконтТендер),0))</f>
        <v/>
      </c>
      <c r="N511" s="10">
        <f>IF(AND($R511="да",$H511&lt;&gt;""),ROUND($H511*$L511,2),0)</f>
        <v/>
      </c>
      <c r="O511" s="10">
        <f>IF(AND($R511="да",$H511&lt;&gt;""),ROUND($H511*$M511,2),0)</f>
        <v/>
      </c>
      <c r="P511" s="10">
        <f>$N511+$O511</f>
        <v/>
      </c>
      <c r="Q511">
        <f>IFERROR(INDEX(спр_Работы!$J$2:$J$6000,MATCH($C511,спр_Работы!$A$2:$A$6000,0)),"")</f>
        <v/>
      </c>
      <c r="R511" t="inlineStr">
        <is>
          <t>да</t>
        </is>
      </c>
      <c r="T511">
        <f>IF(AND($P511&gt;0,$R511="да"),MAX($T$1:$T510)+1,"")</f>
        <v/>
      </c>
    </row>
    <row r="512">
      <c r="A512">
        <f>IFERROR(INDEX(спр_Работы!$D$2:$D$6000,MATCH($C512,спр_Работы!$A$2:$A$6000,0)),"")</f>
        <v/>
      </c>
      <c r="B512">
        <f>IFERROR(INDEX(спр_Работы!$F$2:$F$6000,MATCH($C512,спр_Работы!$A$2:$A$6000,0)),"")</f>
        <v/>
      </c>
      <c r="C512">
        <f>IFERROR(INDEX(спр_Работы!$A$2:$A$6000,511),"")</f>
        <v/>
      </c>
      <c r="D512" s="8">
        <f>IFERROR(INDEX(спр_Работы!$B$2:$B$6000,MATCH($C512,спр_Работы!$A$2:$A$6000,0)),"")</f>
        <v/>
      </c>
      <c r="E512">
        <f>IFERROR(INDEX(спр_Работы!$C$2:$C$6000,MATCH($C512,спр_Работы!$A$2:$A$6000,0)),"")</f>
        <v/>
      </c>
      <c r="F512">
        <f>IFERROR(INDEX(спр_Работы!$G$2:$G$6000,MATCH($C512,спр_Работы!$A$2:$A$6000,0)),"")</f>
        <v/>
      </c>
      <c r="G512">
        <f>IFERROR(INDEX(спр_Работы!$K$2:$K$6000,MATCH($C512,спр_Работы!$A$2:$A$6000,0)),"")</f>
        <v/>
      </c>
      <c r="H512" s="9" t="n"/>
      <c r="I512" s="9" t="n"/>
      <c r="J512" s="8">
        <f>IFERROR(INDEX(спр_Материалы!$B$2:$B$9000,MATCH($I512,спр_Материалы!$A$2:$A$9000,0)),"")</f>
        <v/>
      </c>
      <c r="K512">
        <f>IF($I512="","",IF($F512=IFERROR(INDEX(спр_Материалы!$G$2:$G$9000,MATCH($I512,спр_Материалы!$A$2:$A$9000,0)),""),"OK","!! не та группа"))</f>
        <v/>
      </c>
      <c r="L512" s="10">
        <f>IFERROR(INDEX(спр_Работы!$H$2:$H$6000,MATCH($C512,спр_Работы!$A$2:$A$6000,0))*(1-ДисконтТендер),0)</f>
        <v/>
      </c>
      <c r="M512" s="10">
        <f>IF($I512="",0,IFERROR(INDEX(спр_Материалы!$I$2:$I$9000,MATCH($I512,спр_Материалы!$A$2:$A$9000,0))*IF(INDEX(спр_Материалы!$J$2:$J$9000,MATCH($I512,спр_Материалы!$A$2:$A$9000,0))="USD",КурсUSD,IF(INDEX(спр_Материалы!$J$2:$J$9000,MATCH($I512,спр_Материалы!$A$2:$A$9000,0))="EUR",КурсEUR,1))*INDEX(спр_Материалы!$K$2:$K$9000,MATCH($I512,спр_Материалы!$A$2:$A$9000,0))*(1+IFERROR(INDEX(спр_Работы!$I$2:$I$6000,MATCH($C512,спр_Работы!$A$2:$A$6000,0))/100,0))*(1-ДисконтТендер),0))</f>
        <v/>
      </c>
      <c r="N512" s="10">
        <f>IF(AND($R512="да",$H512&lt;&gt;""),ROUND($H512*$L512,2),0)</f>
        <v/>
      </c>
      <c r="O512" s="10">
        <f>IF(AND($R512="да",$H512&lt;&gt;""),ROUND($H512*$M512,2),0)</f>
        <v/>
      </c>
      <c r="P512" s="10">
        <f>$N512+$O512</f>
        <v/>
      </c>
      <c r="Q512">
        <f>IFERROR(INDEX(спр_Работы!$J$2:$J$6000,MATCH($C512,спр_Работы!$A$2:$A$6000,0)),"")</f>
        <v/>
      </c>
      <c r="R512" t="inlineStr">
        <is>
          <t>да</t>
        </is>
      </c>
      <c r="T512">
        <f>IF(AND($P512&gt;0,$R512="да"),MAX($T$1:$T511)+1,"")</f>
        <v/>
      </c>
    </row>
    <row r="513">
      <c r="A513">
        <f>IFERROR(INDEX(спр_Работы!$D$2:$D$6000,MATCH($C513,спр_Работы!$A$2:$A$6000,0)),"")</f>
        <v/>
      </c>
      <c r="B513">
        <f>IFERROR(INDEX(спр_Работы!$F$2:$F$6000,MATCH($C513,спр_Работы!$A$2:$A$6000,0)),"")</f>
        <v/>
      </c>
      <c r="C513">
        <f>IFERROR(INDEX(спр_Работы!$A$2:$A$6000,512),"")</f>
        <v/>
      </c>
      <c r="D513" s="8">
        <f>IFERROR(INDEX(спр_Работы!$B$2:$B$6000,MATCH($C513,спр_Работы!$A$2:$A$6000,0)),"")</f>
        <v/>
      </c>
      <c r="E513">
        <f>IFERROR(INDEX(спр_Работы!$C$2:$C$6000,MATCH($C513,спр_Работы!$A$2:$A$6000,0)),"")</f>
        <v/>
      </c>
      <c r="F513">
        <f>IFERROR(INDEX(спр_Работы!$G$2:$G$6000,MATCH($C513,спр_Работы!$A$2:$A$6000,0)),"")</f>
        <v/>
      </c>
      <c r="G513">
        <f>IFERROR(INDEX(спр_Работы!$K$2:$K$6000,MATCH($C513,спр_Работы!$A$2:$A$6000,0)),"")</f>
        <v/>
      </c>
      <c r="H513" s="9" t="n"/>
      <c r="I513" s="9" t="n"/>
      <c r="J513" s="8">
        <f>IFERROR(INDEX(спр_Материалы!$B$2:$B$9000,MATCH($I513,спр_Материалы!$A$2:$A$9000,0)),"")</f>
        <v/>
      </c>
      <c r="K513">
        <f>IF($I513="","",IF($F513=IFERROR(INDEX(спр_Материалы!$G$2:$G$9000,MATCH($I513,спр_Материалы!$A$2:$A$9000,0)),""),"OK","!! не та группа"))</f>
        <v/>
      </c>
      <c r="L513" s="10">
        <f>IFERROR(INDEX(спр_Работы!$H$2:$H$6000,MATCH($C513,спр_Работы!$A$2:$A$6000,0))*(1-ДисконтТендер),0)</f>
        <v/>
      </c>
      <c r="M513" s="10">
        <f>IF($I513="",0,IFERROR(INDEX(спр_Материалы!$I$2:$I$9000,MATCH($I513,спр_Материалы!$A$2:$A$9000,0))*IF(INDEX(спр_Материалы!$J$2:$J$9000,MATCH($I513,спр_Материалы!$A$2:$A$9000,0))="USD",КурсUSD,IF(INDEX(спр_Материалы!$J$2:$J$9000,MATCH($I513,спр_Материалы!$A$2:$A$9000,0))="EUR",КурсEUR,1))*INDEX(спр_Материалы!$K$2:$K$9000,MATCH($I513,спр_Материалы!$A$2:$A$9000,0))*(1+IFERROR(INDEX(спр_Работы!$I$2:$I$6000,MATCH($C513,спр_Работы!$A$2:$A$6000,0))/100,0))*(1-ДисконтТендер),0))</f>
        <v/>
      </c>
      <c r="N513" s="10">
        <f>IF(AND($R513="да",$H513&lt;&gt;""),ROUND($H513*$L513,2),0)</f>
        <v/>
      </c>
      <c r="O513" s="10">
        <f>IF(AND($R513="да",$H513&lt;&gt;""),ROUND($H513*$M513,2),0)</f>
        <v/>
      </c>
      <c r="P513" s="10">
        <f>$N513+$O513</f>
        <v/>
      </c>
      <c r="Q513">
        <f>IFERROR(INDEX(спр_Работы!$J$2:$J$6000,MATCH($C513,спр_Работы!$A$2:$A$6000,0)),"")</f>
        <v/>
      </c>
      <c r="R513" t="inlineStr">
        <is>
          <t>да</t>
        </is>
      </c>
      <c r="T513">
        <f>IF(AND($P513&gt;0,$R513="да"),MAX($T$1:$T512)+1,"")</f>
        <v/>
      </c>
    </row>
    <row r="514">
      <c r="A514">
        <f>IFERROR(INDEX(спр_Работы!$D$2:$D$6000,MATCH($C514,спр_Работы!$A$2:$A$6000,0)),"")</f>
        <v/>
      </c>
      <c r="B514">
        <f>IFERROR(INDEX(спр_Работы!$F$2:$F$6000,MATCH($C514,спр_Работы!$A$2:$A$6000,0)),"")</f>
        <v/>
      </c>
      <c r="C514">
        <f>IFERROR(INDEX(спр_Работы!$A$2:$A$6000,513),"")</f>
        <v/>
      </c>
      <c r="D514" s="8">
        <f>IFERROR(INDEX(спр_Работы!$B$2:$B$6000,MATCH($C514,спр_Работы!$A$2:$A$6000,0)),"")</f>
        <v/>
      </c>
      <c r="E514">
        <f>IFERROR(INDEX(спр_Работы!$C$2:$C$6000,MATCH($C514,спр_Работы!$A$2:$A$6000,0)),"")</f>
        <v/>
      </c>
      <c r="F514">
        <f>IFERROR(INDEX(спр_Работы!$G$2:$G$6000,MATCH($C514,спр_Работы!$A$2:$A$6000,0)),"")</f>
        <v/>
      </c>
      <c r="G514">
        <f>IFERROR(INDEX(спр_Работы!$K$2:$K$6000,MATCH($C514,спр_Работы!$A$2:$A$6000,0)),"")</f>
        <v/>
      </c>
      <c r="H514" s="9" t="n"/>
      <c r="I514" s="9" t="n"/>
      <c r="J514" s="8">
        <f>IFERROR(INDEX(спр_Материалы!$B$2:$B$9000,MATCH($I514,спр_Материалы!$A$2:$A$9000,0)),"")</f>
        <v/>
      </c>
      <c r="K514">
        <f>IF($I514="","",IF($F514=IFERROR(INDEX(спр_Материалы!$G$2:$G$9000,MATCH($I514,спр_Материалы!$A$2:$A$9000,0)),""),"OK","!! не та группа"))</f>
        <v/>
      </c>
      <c r="L514" s="10">
        <f>IFERROR(INDEX(спр_Работы!$H$2:$H$6000,MATCH($C514,спр_Работы!$A$2:$A$6000,0))*(1-ДисконтТендер),0)</f>
        <v/>
      </c>
      <c r="M514" s="10">
        <f>IF($I514="",0,IFERROR(INDEX(спр_Материалы!$I$2:$I$9000,MATCH($I514,спр_Материалы!$A$2:$A$9000,0))*IF(INDEX(спр_Материалы!$J$2:$J$9000,MATCH($I514,спр_Материалы!$A$2:$A$9000,0))="USD",КурсUSD,IF(INDEX(спр_Материалы!$J$2:$J$9000,MATCH($I514,спр_Материалы!$A$2:$A$9000,0))="EUR",КурсEUR,1))*INDEX(спр_Материалы!$K$2:$K$9000,MATCH($I514,спр_Материалы!$A$2:$A$9000,0))*(1+IFERROR(INDEX(спр_Работы!$I$2:$I$6000,MATCH($C514,спр_Работы!$A$2:$A$6000,0))/100,0))*(1-ДисконтТендер),0))</f>
        <v/>
      </c>
      <c r="N514" s="10">
        <f>IF(AND($R514="да",$H514&lt;&gt;""),ROUND($H514*$L514,2),0)</f>
        <v/>
      </c>
      <c r="O514" s="10">
        <f>IF(AND($R514="да",$H514&lt;&gt;""),ROUND($H514*$M514,2),0)</f>
        <v/>
      </c>
      <c r="P514" s="10">
        <f>$N514+$O514</f>
        <v/>
      </c>
      <c r="Q514">
        <f>IFERROR(INDEX(спр_Работы!$J$2:$J$6000,MATCH($C514,спр_Работы!$A$2:$A$6000,0)),"")</f>
        <v/>
      </c>
      <c r="R514" t="inlineStr">
        <is>
          <t>да</t>
        </is>
      </c>
      <c r="T514">
        <f>IF(AND($P514&gt;0,$R514="да"),MAX($T$1:$T513)+1,"")</f>
        <v/>
      </c>
    </row>
    <row r="515">
      <c r="A515">
        <f>IFERROR(INDEX(спр_Работы!$D$2:$D$6000,MATCH($C515,спр_Работы!$A$2:$A$6000,0)),"")</f>
        <v/>
      </c>
      <c r="B515">
        <f>IFERROR(INDEX(спр_Работы!$F$2:$F$6000,MATCH($C515,спр_Работы!$A$2:$A$6000,0)),"")</f>
        <v/>
      </c>
      <c r="C515">
        <f>IFERROR(INDEX(спр_Работы!$A$2:$A$6000,514),"")</f>
        <v/>
      </c>
      <c r="D515" s="8">
        <f>IFERROR(INDEX(спр_Работы!$B$2:$B$6000,MATCH($C515,спр_Работы!$A$2:$A$6000,0)),"")</f>
        <v/>
      </c>
      <c r="E515">
        <f>IFERROR(INDEX(спр_Работы!$C$2:$C$6000,MATCH($C515,спр_Работы!$A$2:$A$6000,0)),"")</f>
        <v/>
      </c>
      <c r="F515">
        <f>IFERROR(INDEX(спр_Работы!$G$2:$G$6000,MATCH($C515,спр_Работы!$A$2:$A$6000,0)),"")</f>
        <v/>
      </c>
      <c r="G515">
        <f>IFERROR(INDEX(спр_Работы!$K$2:$K$6000,MATCH($C515,спр_Работы!$A$2:$A$6000,0)),"")</f>
        <v/>
      </c>
      <c r="H515" s="9" t="n"/>
      <c r="I515" s="9" t="n"/>
      <c r="J515" s="8">
        <f>IFERROR(INDEX(спр_Материалы!$B$2:$B$9000,MATCH($I515,спр_Материалы!$A$2:$A$9000,0)),"")</f>
        <v/>
      </c>
      <c r="K515">
        <f>IF($I515="","",IF($F515=IFERROR(INDEX(спр_Материалы!$G$2:$G$9000,MATCH($I515,спр_Материалы!$A$2:$A$9000,0)),""),"OK","!! не та группа"))</f>
        <v/>
      </c>
      <c r="L515" s="10">
        <f>IFERROR(INDEX(спр_Работы!$H$2:$H$6000,MATCH($C515,спр_Работы!$A$2:$A$6000,0))*(1-ДисконтТендер),0)</f>
        <v/>
      </c>
      <c r="M515" s="10">
        <f>IF($I515="",0,IFERROR(INDEX(спр_Материалы!$I$2:$I$9000,MATCH($I515,спр_Материалы!$A$2:$A$9000,0))*IF(INDEX(спр_Материалы!$J$2:$J$9000,MATCH($I515,спр_Материалы!$A$2:$A$9000,0))="USD",КурсUSD,IF(INDEX(спр_Материалы!$J$2:$J$9000,MATCH($I515,спр_Материалы!$A$2:$A$9000,0))="EUR",КурсEUR,1))*INDEX(спр_Материалы!$K$2:$K$9000,MATCH($I515,спр_Материалы!$A$2:$A$9000,0))*(1+IFERROR(INDEX(спр_Работы!$I$2:$I$6000,MATCH($C515,спр_Работы!$A$2:$A$6000,0))/100,0))*(1-ДисконтТендер),0))</f>
        <v/>
      </c>
      <c r="N515" s="10">
        <f>IF(AND($R515="да",$H515&lt;&gt;""),ROUND($H515*$L515,2),0)</f>
        <v/>
      </c>
      <c r="O515" s="10">
        <f>IF(AND($R515="да",$H515&lt;&gt;""),ROUND($H515*$M515,2),0)</f>
        <v/>
      </c>
      <c r="P515" s="10">
        <f>$N515+$O515</f>
        <v/>
      </c>
      <c r="Q515">
        <f>IFERROR(INDEX(спр_Работы!$J$2:$J$6000,MATCH($C515,спр_Работы!$A$2:$A$6000,0)),"")</f>
        <v/>
      </c>
      <c r="R515" t="inlineStr">
        <is>
          <t>да</t>
        </is>
      </c>
      <c r="T515">
        <f>IF(AND($P515&gt;0,$R515="да"),MAX($T$1:$T514)+1,"")</f>
        <v/>
      </c>
    </row>
    <row r="516">
      <c r="A516">
        <f>IFERROR(INDEX(спр_Работы!$D$2:$D$6000,MATCH($C516,спр_Работы!$A$2:$A$6000,0)),"")</f>
        <v/>
      </c>
      <c r="B516">
        <f>IFERROR(INDEX(спр_Работы!$F$2:$F$6000,MATCH($C516,спр_Работы!$A$2:$A$6000,0)),"")</f>
        <v/>
      </c>
      <c r="C516">
        <f>IFERROR(INDEX(спр_Работы!$A$2:$A$6000,515),"")</f>
        <v/>
      </c>
      <c r="D516" s="8">
        <f>IFERROR(INDEX(спр_Работы!$B$2:$B$6000,MATCH($C516,спр_Работы!$A$2:$A$6000,0)),"")</f>
        <v/>
      </c>
      <c r="E516">
        <f>IFERROR(INDEX(спр_Работы!$C$2:$C$6000,MATCH($C516,спр_Работы!$A$2:$A$6000,0)),"")</f>
        <v/>
      </c>
      <c r="F516">
        <f>IFERROR(INDEX(спр_Работы!$G$2:$G$6000,MATCH($C516,спр_Работы!$A$2:$A$6000,0)),"")</f>
        <v/>
      </c>
      <c r="G516">
        <f>IFERROR(INDEX(спр_Работы!$K$2:$K$6000,MATCH($C516,спр_Работы!$A$2:$A$6000,0)),"")</f>
        <v/>
      </c>
      <c r="H516" s="9" t="n"/>
      <c r="I516" s="9" t="n"/>
      <c r="J516" s="8">
        <f>IFERROR(INDEX(спр_Материалы!$B$2:$B$9000,MATCH($I516,спр_Материалы!$A$2:$A$9000,0)),"")</f>
        <v/>
      </c>
      <c r="K516">
        <f>IF($I516="","",IF($F516=IFERROR(INDEX(спр_Материалы!$G$2:$G$9000,MATCH($I516,спр_Материалы!$A$2:$A$9000,0)),""),"OK","!! не та группа"))</f>
        <v/>
      </c>
      <c r="L516" s="10">
        <f>IFERROR(INDEX(спр_Работы!$H$2:$H$6000,MATCH($C516,спр_Работы!$A$2:$A$6000,0))*(1-ДисконтТендер),0)</f>
        <v/>
      </c>
      <c r="M516" s="10">
        <f>IF($I516="",0,IFERROR(INDEX(спр_Материалы!$I$2:$I$9000,MATCH($I516,спр_Материалы!$A$2:$A$9000,0))*IF(INDEX(спр_Материалы!$J$2:$J$9000,MATCH($I516,спр_Материалы!$A$2:$A$9000,0))="USD",КурсUSD,IF(INDEX(спр_Материалы!$J$2:$J$9000,MATCH($I516,спр_Материалы!$A$2:$A$9000,0))="EUR",КурсEUR,1))*INDEX(спр_Материалы!$K$2:$K$9000,MATCH($I516,спр_Материалы!$A$2:$A$9000,0))*(1+IFERROR(INDEX(спр_Работы!$I$2:$I$6000,MATCH($C516,спр_Работы!$A$2:$A$6000,0))/100,0))*(1-ДисконтТендер),0))</f>
        <v/>
      </c>
      <c r="N516" s="10">
        <f>IF(AND($R516="да",$H516&lt;&gt;""),ROUND($H516*$L516,2),0)</f>
        <v/>
      </c>
      <c r="O516" s="10">
        <f>IF(AND($R516="да",$H516&lt;&gt;""),ROUND($H516*$M516,2),0)</f>
        <v/>
      </c>
      <c r="P516" s="10">
        <f>$N516+$O516</f>
        <v/>
      </c>
      <c r="Q516">
        <f>IFERROR(INDEX(спр_Работы!$J$2:$J$6000,MATCH($C516,спр_Работы!$A$2:$A$6000,0)),"")</f>
        <v/>
      </c>
      <c r="R516" t="inlineStr">
        <is>
          <t>да</t>
        </is>
      </c>
      <c r="T516">
        <f>IF(AND($P516&gt;0,$R516="да"),MAX($T$1:$T515)+1,"")</f>
        <v/>
      </c>
    </row>
    <row r="517">
      <c r="A517">
        <f>IFERROR(INDEX(спр_Работы!$D$2:$D$6000,MATCH($C517,спр_Работы!$A$2:$A$6000,0)),"")</f>
        <v/>
      </c>
      <c r="B517">
        <f>IFERROR(INDEX(спр_Работы!$F$2:$F$6000,MATCH($C517,спр_Работы!$A$2:$A$6000,0)),"")</f>
        <v/>
      </c>
      <c r="C517">
        <f>IFERROR(INDEX(спр_Работы!$A$2:$A$6000,516),"")</f>
        <v/>
      </c>
      <c r="D517" s="8">
        <f>IFERROR(INDEX(спр_Работы!$B$2:$B$6000,MATCH($C517,спр_Работы!$A$2:$A$6000,0)),"")</f>
        <v/>
      </c>
      <c r="E517">
        <f>IFERROR(INDEX(спр_Работы!$C$2:$C$6000,MATCH($C517,спр_Работы!$A$2:$A$6000,0)),"")</f>
        <v/>
      </c>
      <c r="F517">
        <f>IFERROR(INDEX(спр_Работы!$G$2:$G$6000,MATCH($C517,спр_Работы!$A$2:$A$6000,0)),"")</f>
        <v/>
      </c>
      <c r="G517">
        <f>IFERROR(INDEX(спр_Работы!$K$2:$K$6000,MATCH($C517,спр_Работы!$A$2:$A$6000,0)),"")</f>
        <v/>
      </c>
      <c r="H517" s="9" t="n"/>
      <c r="I517" s="9" t="n"/>
      <c r="J517" s="8">
        <f>IFERROR(INDEX(спр_Материалы!$B$2:$B$9000,MATCH($I517,спр_Материалы!$A$2:$A$9000,0)),"")</f>
        <v/>
      </c>
      <c r="K517">
        <f>IF($I517="","",IF($F517=IFERROR(INDEX(спр_Материалы!$G$2:$G$9000,MATCH($I517,спр_Материалы!$A$2:$A$9000,0)),""),"OK","!! не та группа"))</f>
        <v/>
      </c>
      <c r="L517" s="10">
        <f>IFERROR(INDEX(спр_Работы!$H$2:$H$6000,MATCH($C517,спр_Работы!$A$2:$A$6000,0))*(1-ДисконтТендер),0)</f>
        <v/>
      </c>
      <c r="M517" s="10">
        <f>IF($I517="",0,IFERROR(INDEX(спр_Материалы!$I$2:$I$9000,MATCH($I517,спр_Материалы!$A$2:$A$9000,0))*IF(INDEX(спр_Материалы!$J$2:$J$9000,MATCH($I517,спр_Материалы!$A$2:$A$9000,0))="USD",КурсUSD,IF(INDEX(спр_Материалы!$J$2:$J$9000,MATCH($I517,спр_Материалы!$A$2:$A$9000,0))="EUR",КурсEUR,1))*INDEX(спр_Материалы!$K$2:$K$9000,MATCH($I517,спр_Материалы!$A$2:$A$9000,0))*(1+IFERROR(INDEX(спр_Работы!$I$2:$I$6000,MATCH($C517,спр_Работы!$A$2:$A$6000,0))/100,0))*(1-ДисконтТендер),0))</f>
        <v/>
      </c>
      <c r="N517" s="10">
        <f>IF(AND($R517="да",$H517&lt;&gt;""),ROUND($H517*$L517,2),0)</f>
        <v/>
      </c>
      <c r="O517" s="10">
        <f>IF(AND($R517="да",$H517&lt;&gt;""),ROUND($H517*$M517,2),0)</f>
        <v/>
      </c>
      <c r="P517" s="10">
        <f>$N517+$O517</f>
        <v/>
      </c>
      <c r="Q517">
        <f>IFERROR(INDEX(спр_Работы!$J$2:$J$6000,MATCH($C517,спр_Работы!$A$2:$A$6000,0)),"")</f>
        <v/>
      </c>
      <c r="R517" t="inlineStr">
        <is>
          <t>да</t>
        </is>
      </c>
      <c r="T517">
        <f>IF(AND($P517&gt;0,$R517="да"),MAX($T$1:$T516)+1,"")</f>
        <v/>
      </c>
    </row>
    <row r="518">
      <c r="A518">
        <f>IFERROR(INDEX(спр_Работы!$D$2:$D$6000,MATCH($C518,спр_Работы!$A$2:$A$6000,0)),"")</f>
        <v/>
      </c>
      <c r="B518">
        <f>IFERROR(INDEX(спр_Работы!$F$2:$F$6000,MATCH($C518,спр_Работы!$A$2:$A$6000,0)),"")</f>
        <v/>
      </c>
      <c r="C518">
        <f>IFERROR(INDEX(спр_Работы!$A$2:$A$6000,517),"")</f>
        <v/>
      </c>
      <c r="D518" s="8">
        <f>IFERROR(INDEX(спр_Работы!$B$2:$B$6000,MATCH($C518,спр_Работы!$A$2:$A$6000,0)),"")</f>
        <v/>
      </c>
      <c r="E518">
        <f>IFERROR(INDEX(спр_Работы!$C$2:$C$6000,MATCH($C518,спр_Работы!$A$2:$A$6000,0)),"")</f>
        <v/>
      </c>
      <c r="F518">
        <f>IFERROR(INDEX(спр_Работы!$G$2:$G$6000,MATCH($C518,спр_Работы!$A$2:$A$6000,0)),"")</f>
        <v/>
      </c>
      <c r="G518">
        <f>IFERROR(INDEX(спр_Работы!$K$2:$K$6000,MATCH($C518,спр_Работы!$A$2:$A$6000,0)),"")</f>
        <v/>
      </c>
      <c r="H518" s="9" t="n"/>
      <c r="I518" s="9" t="n"/>
      <c r="J518" s="8">
        <f>IFERROR(INDEX(спр_Материалы!$B$2:$B$9000,MATCH($I518,спр_Материалы!$A$2:$A$9000,0)),"")</f>
        <v/>
      </c>
      <c r="K518">
        <f>IF($I518="","",IF($F518=IFERROR(INDEX(спр_Материалы!$G$2:$G$9000,MATCH($I518,спр_Материалы!$A$2:$A$9000,0)),""),"OK","!! не та группа"))</f>
        <v/>
      </c>
      <c r="L518" s="10">
        <f>IFERROR(INDEX(спр_Работы!$H$2:$H$6000,MATCH($C518,спр_Работы!$A$2:$A$6000,0))*(1-ДисконтТендер),0)</f>
        <v/>
      </c>
      <c r="M518" s="10">
        <f>IF($I518="",0,IFERROR(INDEX(спр_Материалы!$I$2:$I$9000,MATCH($I518,спр_Материалы!$A$2:$A$9000,0))*IF(INDEX(спр_Материалы!$J$2:$J$9000,MATCH($I518,спр_Материалы!$A$2:$A$9000,0))="USD",КурсUSD,IF(INDEX(спр_Материалы!$J$2:$J$9000,MATCH($I518,спр_Материалы!$A$2:$A$9000,0))="EUR",КурсEUR,1))*INDEX(спр_Материалы!$K$2:$K$9000,MATCH($I518,спр_Материалы!$A$2:$A$9000,0))*(1+IFERROR(INDEX(спр_Работы!$I$2:$I$6000,MATCH($C518,спр_Работы!$A$2:$A$6000,0))/100,0))*(1-ДисконтТендер),0))</f>
        <v/>
      </c>
      <c r="N518" s="10">
        <f>IF(AND($R518="да",$H518&lt;&gt;""),ROUND($H518*$L518,2),0)</f>
        <v/>
      </c>
      <c r="O518" s="10">
        <f>IF(AND($R518="да",$H518&lt;&gt;""),ROUND($H518*$M518,2),0)</f>
        <v/>
      </c>
      <c r="P518" s="10">
        <f>$N518+$O518</f>
        <v/>
      </c>
      <c r="Q518">
        <f>IFERROR(INDEX(спр_Работы!$J$2:$J$6000,MATCH($C518,спр_Работы!$A$2:$A$6000,0)),"")</f>
        <v/>
      </c>
      <c r="R518" t="inlineStr">
        <is>
          <t>да</t>
        </is>
      </c>
      <c r="T518">
        <f>IF(AND($P518&gt;0,$R518="да"),MAX($T$1:$T517)+1,"")</f>
        <v/>
      </c>
    </row>
    <row r="519">
      <c r="A519">
        <f>IFERROR(INDEX(спр_Работы!$D$2:$D$6000,MATCH($C519,спр_Работы!$A$2:$A$6000,0)),"")</f>
        <v/>
      </c>
      <c r="B519">
        <f>IFERROR(INDEX(спр_Работы!$F$2:$F$6000,MATCH($C519,спр_Работы!$A$2:$A$6000,0)),"")</f>
        <v/>
      </c>
      <c r="C519">
        <f>IFERROR(INDEX(спр_Работы!$A$2:$A$6000,518),"")</f>
        <v/>
      </c>
      <c r="D519" s="8">
        <f>IFERROR(INDEX(спр_Работы!$B$2:$B$6000,MATCH($C519,спр_Работы!$A$2:$A$6000,0)),"")</f>
        <v/>
      </c>
      <c r="E519">
        <f>IFERROR(INDEX(спр_Работы!$C$2:$C$6000,MATCH($C519,спр_Работы!$A$2:$A$6000,0)),"")</f>
        <v/>
      </c>
      <c r="F519">
        <f>IFERROR(INDEX(спр_Работы!$G$2:$G$6000,MATCH($C519,спр_Работы!$A$2:$A$6000,0)),"")</f>
        <v/>
      </c>
      <c r="G519">
        <f>IFERROR(INDEX(спр_Работы!$K$2:$K$6000,MATCH($C519,спр_Работы!$A$2:$A$6000,0)),"")</f>
        <v/>
      </c>
      <c r="H519" s="9" t="n"/>
      <c r="I519" s="9" t="n"/>
      <c r="J519" s="8">
        <f>IFERROR(INDEX(спр_Материалы!$B$2:$B$9000,MATCH($I519,спр_Материалы!$A$2:$A$9000,0)),"")</f>
        <v/>
      </c>
      <c r="K519">
        <f>IF($I519="","",IF($F519=IFERROR(INDEX(спр_Материалы!$G$2:$G$9000,MATCH($I519,спр_Материалы!$A$2:$A$9000,0)),""),"OK","!! не та группа"))</f>
        <v/>
      </c>
      <c r="L519" s="10">
        <f>IFERROR(INDEX(спр_Работы!$H$2:$H$6000,MATCH($C519,спр_Работы!$A$2:$A$6000,0))*(1-ДисконтТендер),0)</f>
        <v/>
      </c>
      <c r="M519" s="10">
        <f>IF($I519="",0,IFERROR(INDEX(спр_Материалы!$I$2:$I$9000,MATCH($I519,спр_Материалы!$A$2:$A$9000,0))*IF(INDEX(спр_Материалы!$J$2:$J$9000,MATCH($I519,спр_Материалы!$A$2:$A$9000,0))="USD",КурсUSD,IF(INDEX(спр_Материалы!$J$2:$J$9000,MATCH($I519,спр_Материалы!$A$2:$A$9000,0))="EUR",КурсEUR,1))*INDEX(спр_Материалы!$K$2:$K$9000,MATCH($I519,спр_Материалы!$A$2:$A$9000,0))*(1+IFERROR(INDEX(спр_Работы!$I$2:$I$6000,MATCH($C519,спр_Работы!$A$2:$A$6000,0))/100,0))*(1-ДисконтТендер),0))</f>
        <v/>
      </c>
      <c r="N519" s="10">
        <f>IF(AND($R519="да",$H519&lt;&gt;""),ROUND($H519*$L519,2),0)</f>
        <v/>
      </c>
      <c r="O519" s="10">
        <f>IF(AND($R519="да",$H519&lt;&gt;""),ROUND($H519*$M519,2),0)</f>
        <v/>
      </c>
      <c r="P519" s="10">
        <f>$N519+$O519</f>
        <v/>
      </c>
      <c r="Q519">
        <f>IFERROR(INDEX(спр_Работы!$J$2:$J$6000,MATCH($C519,спр_Работы!$A$2:$A$6000,0)),"")</f>
        <v/>
      </c>
      <c r="R519" t="inlineStr">
        <is>
          <t>да</t>
        </is>
      </c>
      <c r="T519">
        <f>IF(AND($P519&gt;0,$R519="да"),MAX($T$1:$T518)+1,"")</f>
        <v/>
      </c>
    </row>
    <row r="520">
      <c r="A520">
        <f>IFERROR(INDEX(спр_Работы!$D$2:$D$6000,MATCH($C520,спр_Работы!$A$2:$A$6000,0)),"")</f>
        <v/>
      </c>
      <c r="B520">
        <f>IFERROR(INDEX(спр_Работы!$F$2:$F$6000,MATCH($C520,спр_Работы!$A$2:$A$6000,0)),"")</f>
        <v/>
      </c>
      <c r="C520">
        <f>IFERROR(INDEX(спр_Работы!$A$2:$A$6000,519),"")</f>
        <v/>
      </c>
      <c r="D520" s="8">
        <f>IFERROR(INDEX(спр_Работы!$B$2:$B$6000,MATCH($C520,спр_Работы!$A$2:$A$6000,0)),"")</f>
        <v/>
      </c>
      <c r="E520">
        <f>IFERROR(INDEX(спр_Работы!$C$2:$C$6000,MATCH($C520,спр_Работы!$A$2:$A$6000,0)),"")</f>
        <v/>
      </c>
      <c r="F520">
        <f>IFERROR(INDEX(спр_Работы!$G$2:$G$6000,MATCH($C520,спр_Работы!$A$2:$A$6000,0)),"")</f>
        <v/>
      </c>
      <c r="G520">
        <f>IFERROR(INDEX(спр_Работы!$K$2:$K$6000,MATCH($C520,спр_Работы!$A$2:$A$6000,0)),"")</f>
        <v/>
      </c>
      <c r="H520" s="9" t="n"/>
      <c r="I520" s="9" t="n"/>
      <c r="J520" s="8">
        <f>IFERROR(INDEX(спр_Материалы!$B$2:$B$9000,MATCH($I520,спр_Материалы!$A$2:$A$9000,0)),"")</f>
        <v/>
      </c>
      <c r="K520">
        <f>IF($I520="","",IF($F520=IFERROR(INDEX(спр_Материалы!$G$2:$G$9000,MATCH($I520,спр_Материалы!$A$2:$A$9000,0)),""),"OK","!! не та группа"))</f>
        <v/>
      </c>
      <c r="L520" s="10">
        <f>IFERROR(INDEX(спр_Работы!$H$2:$H$6000,MATCH($C520,спр_Работы!$A$2:$A$6000,0))*(1-ДисконтТендер),0)</f>
        <v/>
      </c>
      <c r="M520" s="10">
        <f>IF($I520="",0,IFERROR(INDEX(спр_Материалы!$I$2:$I$9000,MATCH($I520,спр_Материалы!$A$2:$A$9000,0))*IF(INDEX(спр_Материалы!$J$2:$J$9000,MATCH($I520,спр_Материалы!$A$2:$A$9000,0))="USD",КурсUSD,IF(INDEX(спр_Материалы!$J$2:$J$9000,MATCH($I520,спр_Материалы!$A$2:$A$9000,0))="EUR",КурсEUR,1))*INDEX(спр_Материалы!$K$2:$K$9000,MATCH($I520,спр_Материалы!$A$2:$A$9000,0))*(1+IFERROR(INDEX(спр_Работы!$I$2:$I$6000,MATCH($C520,спр_Работы!$A$2:$A$6000,0))/100,0))*(1-ДисконтТендер),0))</f>
        <v/>
      </c>
      <c r="N520" s="10">
        <f>IF(AND($R520="да",$H520&lt;&gt;""),ROUND($H520*$L520,2),0)</f>
        <v/>
      </c>
      <c r="O520" s="10">
        <f>IF(AND($R520="да",$H520&lt;&gt;""),ROUND($H520*$M520,2),0)</f>
        <v/>
      </c>
      <c r="P520" s="10">
        <f>$N520+$O520</f>
        <v/>
      </c>
      <c r="Q520">
        <f>IFERROR(INDEX(спр_Работы!$J$2:$J$6000,MATCH($C520,спр_Работы!$A$2:$A$6000,0)),"")</f>
        <v/>
      </c>
      <c r="R520" t="inlineStr">
        <is>
          <t>да</t>
        </is>
      </c>
      <c r="T520">
        <f>IF(AND($P520&gt;0,$R520="да"),MAX($T$1:$T519)+1,"")</f>
        <v/>
      </c>
    </row>
    <row r="521">
      <c r="A521">
        <f>IFERROR(INDEX(спр_Работы!$D$2:$D$6000,MATCH($C521,спр_Работы!$A$2:$A$6000,0)),"")</f>
        <v/>
      </c>
      <c r="B521">
        <f>IFERROR(INDEX(спр_Работы!$F$2:$F$6000,MATCH($C521,спр_Работы!$A$2:$A$6000,0)),"")</f>
        <v/>
      </c>
      <c r="C521">
        <f>IFERROR(INDEX(спр_Работы!$A$2:$A$6000,520),"")</f>
        <v/>
      </c>
      <c r="D521" s="8">
        <f>IFERROR(INDEX(спр_Работы!$B$2:$B$6000,MATCH($C521,спр_Работы!$A$2:$A$6000,0)),"")</f>
        <v/>
      </c>
      <c r="E521">
        <f>IFERROR(INDEX(спр_Работы!$C$2:$C$6000,MATCH($C521,спр_Работы!$A$2:$A$6000,0)),"")</f>
        <v/>
      </c>
      <c r="F521">
        <f>IFERROR(INDEX(спр_Работы!$G$2:$G$6000,MATCH($C521,спр_Работы!$A$2:$A$6000,0)),"")</f>
        <v/>
      </c>
      <c r="G521">
        <f>IFERROR(INDEX(спр_Работы!$K$2:$K$6000,MATCH($C521,спр_Работы!$A$2:$A$6000,0)),"")</f>
        <v/>
      </c>
      <c r="H521" s="9" t="n"/>
      <c r="I521" s="9" t="n"/>
      <c r="J521" s="8">
        <f>IFERROR(INDEX(спр_Материалы!$B$2:$B$9000,MATCH($I521,спр_Материалы!$A$2:$A$9000,0)),"")</f>
        <v/>
      </c>
      <c r="K521">
        <f>IF($I521="","",IF($F521=IFERROR(INDEX(спр_Материалы!$G$2:$G$9000,MATCH($I521,спр_Материалы!$A$2:$A$9000,0)),""),"OK","!! не та группа"))</f>
        <v/>
      </c>
      <c r="L521" s="10">
        <f>IFERROR(INDEX(спр_Работы!$H$2:$H$6000,MATCH($C521,спр_Работы!$A$2:$A$6000,0))*(1-ДисконтТендер),0)</f>
        <v/>
      </c>
      <c r="M521" s="10">
        <f>IF($I521="",0,IFERROR(INDEX(спр_Материалы!$I$2:$I$9000,MATCH($I521,спр_Материалы!$A$2:$A$9000,0))*IF(INDEX(спр_Материалы!$J$2:$J$9000,MATCH($I521,спр_Материалы!$A$2:$A$9000,0))="USD",КурсUSD,IF(INDEX(спр_Материалы!$J$2:$J$9000,MATCH($I521,спр_Материалы!$A$2:$A$9000,0))="EUR",КурсEUR,1))*INDEX(спр_Материалы!$K$2:$K$9000,MATCH($I521,спр_Материалы!$A$2:$A$9000,0))*(1+IFERROR(INDEX(спр_Работы!$I$2:$I$6000,MATCH($C521,спр_Работы!$A$2:$A$6000,0))/100,0))*(1-ДисконтТендер),0))</f>
        <v/>
      </c>
      <c r="N521" s="10">
        <f>IF(AND($R521="да",$H521&lt;&gt;""),ROUND($H521*$L521,2),0)</f>
        <v/>
      </c>
      <c r="O521" s="10">
        <f>IF(AND($R521="да",$H521&lt;&gt;""),ROUND($H521*$M521,2),0)</f>
        <v/>
      </c>
      <c r="P521" s="10">
        <f>$N521+$O521</f>
        <v/>
      </c>
      <c r="Q521">
        <f>IFERROR(INDEX(спр_Работы!$J$2:$J$6000,MATCH($C521,спр_Работы!$A$2:$A$6000,0)),"")</f>
        <v/>
      </c>
      <c r="R521" t="inlineStr">
        <is>
          <t>да</t>
        </is>
      </c>
      <c r="T521">
        <f>IF(AND($P521&gt;0,$R521="да"),MAX($T$1:$T520)+1,"")</f>
        <v/>
      </c>
    </row>
    <row r="522">
      <c r="A522">
        <f>IFERROR(INDEX(спр_Работы!$D$2:$D$6000,MATCH($C522,спр_Работы!$A$2:$A$6000,0)),"")</f>
        <v/>
      </c>
      <c r="B522">
        <f>IFERROR(INDEX(спр_Работы!$F$2:$F$6000,MATCH($C522,спр_Работы!$A$2:$A$6000,0)),"")</f>
        <v/>
      </c>
      <c r="C522">
        <f>IFERROR(INDEX(спр_Работы!$A$2:$A$6000,521),"")</f>
        <v/>
      </c>
      <c r="D522" s="8">
        <f>IFERROR(INDEX(спр_Работы!$B$2:$B$6000,MATCH($C522,спр_Работы!$A$2:$A$6000,0)),"")</f>
        <v/>
      </c>
      <c r="E522">
        <f>IFERROR(INDEX(спр_Работы!$C$2:$C$6000,MATCH($C522,спр_Работы!$A$2:$A$6000,0)),"")</f>
        <v/>
      </c>
      <c r="F522">
        <f>IFERROR(INDEX(спр_Работы!$G$2:$G$6000,MATCH($C522,спр_Работы!$A$2:$A$6000,0)),"")</f>
        <v/>
      </c>
      <c r="G522">
        <f>IFERROR(INDEX(спр_Работы!$K$2:$K$6000,MATCH($C522,спр_Работы!$A$2:$A$6000,0)),"")</f>
        <v/>
      </c>
      <c r="H522" s="9" t="n"/>
      <c r="I522" s="9" t="n"/>
      <c r="J522" s="8">
        <f>IFERROR(INDEX(спр_Материалы!$B$2:$B$9000,MATCH($I522,спр_Материалы!$A$2:$A$9000,0)),"")</f>
        <v/>
      </c>
      <c r="K522">
        <f>IF($I522="","",IF($F522=IFERROR(INDEX(спр_Материалы!$G$2:$G$9000,MATCH($I522,спр_Материалы!$A$2:$A$9000,0)),""),"OK","!! не та группа"))</f>
        <v/>
      </c>
      <c r="L522" s="10">
        <f>IFERROR(INDEX(спр_Работы!$H$2:$H$6000,MATCH($C522,спр_Работы!$A$2:$A$6000,0))*(1-ДисконтТендер),0)</f>
        <v/>
      </c>
      <c r="M522" s="10">
        <f>IF($I522="",0,IFERROR(INDEX(спр_Материалы!$I$2:$I$9000,MATCH($I522,спр_Материалы!$A$2:$A$9000,0))*IF(INDEX(спр_Материалы!$J$2:$J$9000,MATCH($I522,спр_Материалы!$A$2:$A$9000,0))="USD",КурсUSD,IF(INDEX(спр_Материалы!$J$2:$J$9000,MATCH($I522,спр_Материалы!$A$2:$A$9000,0))="EUR",КурсEUR,1))*INDEX(спр_Материалы!$K$2:$K$9000,MATCH($I522,спр_Материалы!$A$2:$A$9000,0))*(1+IFERROR(INDEX(спр_Работы!$I$2:$I$6000,MATCH($C522,спр_Работы!$A$2:$A$6000,0))/100,0))*(1-ДисконтТендер),0))</f>
        <v/>
      </c>
      <c r="N522" s="10">
        <f>IF(AND($R522="да",$H522&lt;&gt;""),ROUND($H522*$L522,2),0)</f>
        <v/>
      </c>
      <c r="O522" s="10">
        <f>IF(AND($R522="да",$H522&lt;&gt;""),ROUND($H522*$M522,2),0)</f>
        <v/>
      </c>
      <c r="P522" s="10">
        <f>$N522+$O522</f>
        <v/>
      </c>
      <c r="Q522">
        <f>IFERROR(INDEX(спр_Работы!$J$2:$J$6000,MATCH($C522,спр_Работы!$A$2:$A$6000,0)),"")</f>
        <v/>
      </c>
      <c r="R522" t="inlineStr">
        <is>
          <t>да</t>
        </is>
      </c>
      <c r="T522">
        <f>IF(AND($P522&gt;0,$R522="да"),MAX($T$1:$T521)+1,"")</f>
        <v/>
      </c>
    </row>
    <row r="523">
      <c r="A523">
        <f>IFERROR(INDEX(спр_Работы!$D$2:$D$6000,MATCH($C523,спр_Работы!$A$2:$A$6000,0)),"")</f>
        <v/>
      </c>
      <c r="B523">
        <f>IFERROR(INDEX(спр_Работы!$F$2:$F$6000,MATCH($C523,спр_Работы!$A$2:$A$6000,0)),"")</f>
        <v/>
      </c>
      <c r="C523">
        <f>IFERROR(INDEX(спр_Работы!$A$2:$A$6000,522),"")</f>
        <v/>
      </c>
      <c r="D523" s="8">
        <f>IFERROR(INDEX(спр_Работы!$B$2:$B$6000,MATCH($C523,спр_Работы!$A$2:$A$6000,0)),"")</f>
        <v/>
      </c>
      <c r="E523">
        <f>IFERROR(INDEX(спр_Работы!$C$2:$C$6000,MATCH($C523,спр_Работы!$A$2:$A$6000,0)),"")</f>
        <v/>
      </c>
      <c r="F523">
        <f>IFERROR(INDEX(спр_Работы!$G$2:$G$6000,MATCH($C523,спр_Работы!$A$2:$A$6000,0)),"")</f>
        <v/>
      </c>
      <c r="G523">
        <f>IFERROR(INDEX(спр_Работы!$K$2:$K$6000,MATCH($C523,спр_Работы!$A$2:$A$6000,0)),"")</f>
        <v/>
      </c>
      <c r="H523" s="9" t="n"/>
      <c r="I523" s="9" t="n"/>
      <c r="J523" s="8">
        <f>IFERROR(INDEX(спр_Материалы!$B$2:$B$9000,MATCH($I523,спр_Материалы!$A$2:$A$9000,0)),"")</f>
        <v/>
      </c>
      <c r="K523">
        <f>IF($I523="","",IF($F523=IFERROR(INDEX(спр_Материалы!$G$2:$G$9000,MATCH($I523,спр_Материалы!$A$2:$A$9000,0)),""),"OK","!! не та группа"))</f>
        <v/>
      </c>
      <c r="L523" s="10">
        <f>IFERROR(INDEX(спр_Работы!$H$2:$H$6000,MATCH($C523,спр_Работы!$A$2:$A$6000,0))*(1-ДисконтТендер),0)</f>
        <v/>
      </c>
      <c r="M523" s="10">
        <f>IF($I523="",0,IFERROR(INDEX(спр_Материалы!$I$2:$I$9000,MATCH($I523,спр_Материалы!$A$2:$A$9000,0))*IF(INDEX(спр_Материалы!$J$2:$J$9000,MATCH($I523,спр_Материалы!$A$2:$A$9000,0))="USD",КурсUSD,IF(INDEX(спр_Материалы!$J$2:$J$9000,MATCH($I523,спр_Материалы!$A$2:$A$9000,0))="EUR",КурсEUR,1))*INDEX(спр_Материалы!$K$2:$K$9000,MATCH($I523,спр_Материалы!$A$2:$A$9000,0))*(1+IFERROR(INDEX(спр_Работы!$I$2:$I$6000,MATCH($C523,спр_Работы!$A$2:$A$6000,0))/100,0))*(1-ДисконтТендер),0))</f>
        <v/>
      </c>
      <c r="N523" s="10">
        <f>IF(AND($R523="да",$H523&lt;&gt;""),ROUND($H523*$L523,2),0)</f>
        <v/>
      </c>
      <c r="O523" s="10">
        <f>IF(AND($R523="да",$H523&lt;&gt;""),ROUND($H523*$M523,2),0)</f>
        <v/>
      </c>
      <c r="P523" s="10">
        <f>$N523+$O523</f>
        <v/>
      </c>
      <c r="Q523">
        <f>IFERROR(INDEX(спр_Работы!$J$2:$J$6000,MATCH($C523,спр_Работы!$A$2:$A$6000,0)),"")</f>
        <v/>
      </c>
      <c r="R523" t="inlineStr">
        <is>
          <t>да</t>
        </is>
      </c>
      <c r="T523">
        <f>IF(AND($P523&gt;0,$R523="да"),MAX($T$1:$T522)+1,"")</f>
        <v/>
      </c>
    </row>
    <row r="524">
      <c r="A524">
        <f>IFERROR(INDEX(спр_Работы!$D$2:$D$6000,MATCH($C524,спр_Работы!$A$2:$A$6000,0)),"")</f>
        <v/>
      </c>
      <c r="B524">
        <f>IFERROR(INDEX(спр_Работы!$F$2:$F$6000,MATCH($C524,спр_Работы!$A$2:$A$6000,0)),"")</f>
        <v/>
      </c>
      <c r="C524">
        <f>IFERROR(INDEX(спр_Работы!$A$2:$A$6000,523),"")</f>
        <v/>
      </c>
      <c r="D524" s="8">
        <f>IFERROR(INDEX(спр_Работы!$B$2:$B$6000,MATCH($C524,спр_Работы!$A$2:$A$6000,0)),"")</f>
        <v/>
      </c>
      <c r="E524">
        <f>IFERROR(INDEX(спр_Работы!$C$2:$C$6000,MATCH($C524,спр_Работы!$A$2:$A$6000,0)),"")</f>
        <v/>
      </c>
      <c r="F524">
        <f>IFERROR(INDEX(спр_Работы!$G$2:$G$6000,MATCH($C524,спр_Работы!$A$2:$A$6000,0)),"")</f>
        <v/>
      </c>
      <c r="G524">
        <f>IFERROR(INDEX(спр_Работы!$K$2:$K$6000,MATCH($C524,спр_Работы!$A$2:$A$6000,0)),"")</f>
        <v/>
      </c>
      <c r="H524" s="9" t="n"/>
      <c r="I524" s="9" t="n"/>
      <c r="J524" s="8">
        <f>IFERROR(INDEX(спр_Материалы!$B$2:$B$9000,MATCH($I524,спр_Материалы!$A$2:$A$9000,0)),"")</f>
        <v/>
      </c>
      <c r="K524">
        <f>IF($I524="","",IF($F524=IFERROR(INDEX(спр_Материалы!$G$2:$G$9000,MATCH($I524,спр_Материалы!$A$2:$A$9000,0)),""),"OK","!! не та группа"))</f>
        <v/>
      </c>
      <c r="L524" s="10">
        <f>IFERROR(INDEX(спр_Работы!$H$2:$H$6000,MATCH($C524,спр_Работы!$A$2:$A$6000,0))*(1-ДисконтТендер),0)</f>
        <v/>
      </c>
      <c r="M524" s="10">
        <f>IF($I524="",0,IFERROR(INDEX(спр_Материалы!$I$2:$I$9000,MATCH($I524,спр_Материалы!$A$2:$A$9000,0))*IF(INDEX(спр_Материалы!$J$2:$J$9000,MATCH($I524,спр_Материалы!$A$2:$A$9000,0))="USD",КурсUSD,IF(INDEX(спр_Материалы!$J$2:$J$9000,MATCH($I524,спр_Материалы!$A$2:$A$9000,0))="EUR",КурсEUR,1))*INDEX(спр_Материалы!$K$2:$K$9000,MATCH($I524,спр_Материалы!$A$2:$A$9000,0))*(1+IFERROR(INDEX(спр_Работы!$I$2:$I$6000,MATCH($C524,спр_Работы!$A$2:$A$6000,0))/100,0))*(1-ДисконтТендер),0))</f>
        <v/>
      </c>
      <c r="N524" s="10">
        <f>IF(AND($R524="да",$H524&lt;&gt;""),ROUND($H524*$L524,2),0)</f>
        <v/>
      </c>
      <c r="O524" s="10">
        <f>IF(AND($R524="да",$H524&lt;&gt;""),ROUND($H524*$M524,2),0)</f>
        <v/>
      </c>
      <c r="P524" s="10">
        <f>$N524+$O524</f>
        <v/>
      </c>
      <c r="Q524">
        <f>IFERROR(INDEX(спр_Работы!$J$2:$J$6000,MATCH($C524,спр_Работы!$A$2:$A$6000,0)),"")</f>
        <v/>
      </c>
      <c r="R524" t="inlineStr">
        <is>
          <t>да</t>
        </is>
      </c>
      <c r="T524">
        <f>IF(AND($P524&gt;0,$R524="да"),MAX($T$1:$T523)+1,"")</f>
        <v/>
      </c>
    </row>
    <row r="525">
      <c r="A525">
        <f>IFERROR(INDEX(спр_Работы!$D$2:$D$6000,MATCH($C525,спр_Работы!$A$2:$A$6000,0)),"")</f>
        <v/>
      </c>
      <c r="B525">
        <f>IFERROR(INDEX(спр_Работы!$F$2:$F$6000,MATCH($C525,спр_Работы!$A$2:$A$6000,0)),"")</f>
        <v/>
      </c>
      <c r="C525">
        <f>IFERROR(INDEX(спр_Работы!$A$2:$A$6000,524),"")</f>
        <v/>
      </c>
      <c r="D525" s="8">
        <f>IFERROR(INDEX(спр_Работы!$B$2:$B$6000,MATCH($C525,спр_Работы!$A$2:$A$6000,0)),"")</f>
        <v/>
      </c>
      <c r="E525">
        <f>IFERROR(INDEX(спр_Работы!$C$2:$C$6000,MATCH($C525,спр_Работы!$A$2:$A$6000,0)),"")</f>
        <v/>
      </c>
      <c r="F525">
        <f>IFERROR(INDEX(спр_Работы!$G$2:$G$6000,MATCH($C525,спр_Работы!$A$2:$A$6000,0)),"")</f>
        <v/>
      </c>
      <c r="G525">
        <f>IFERROR(INDEX(спр_Работы!$K$2:$K$6000,MATCH($C525,спр_Работы!$A$2:$A$6000,0)),"")</f>
        <v/>
      </c>
      <c r="H525" s="9" t="n"/>
      <c r="I525" s="9" t="n"/>
      <c r="J525" s="8">
        <f>IFERROR(INDEX(спр_Материалы!$B$2:$B$9000,MATCH($I525,спр_Материалы!$A$2:$A$9000,0)),"")</f>
        <v/>
      </c>
      <c r="K525">
        <f>IF($I525="","",IF($F525=IFERROR(INDEX(спр_Материалы!$G$2:$G$9000,MATCH($I525,спр_Материалы!$A$2:$A$9000,0)),""),"OK","!! не та группа"))</f>
        <v/>
      </c>
      <c r="L525" s="10">
        <f>IFERROR(INDEX(спр_Работы!$H$2:$H$6000,MATCH($C525,спр_Работы!$A$2:$A$6000,0))*(1-ДисконтТендер),0)</f>
        <v/>
      </c>
      <c r="M525" s="10">
        <f>IF($I525="",0,IFERROR(INDEX(спр_Материалы!$I$2:$I$9000,MATCH($I525,спр_Материалы!$A$2:$A$9000,0))*IF(INDEX(спр_Материалы!$J$2:$J$9000,MATCH($I525,спр_Материалы!$A$2:$A$9000,0))="USD",КурсUSD,IF(INDEX(спр_Материалы!$J$2:$J$9000,MATCH($I525,спр_Материалы!$A$2:$A$9000,0))="EUR",КурсEUR,1))*INDEX(спр_Материалы!$K$2:$K$9000,MATCH($I525,спр_Материалы!$A$2:$A$9000,0))*(1+IFERROR(INDEX(спр_Работы!$I$2:$I$6000,MATCH($C525,спр_Работы!$A$2:$A$6000,0))/100,0))*(1-ДисконтТендер),0))</f>
        <v/>
      </c>
      <c r="N525" s="10">
        <f>IF(AND($R525="да",$H525&lt;&gt;""),ROUND($H525*$L525,2),0)</f>
        <v/>
      </c>
      <c r="O525" s="10">
        <f>IF(AND($R525="да",$H525&lt;&gt;""),ROUND($H525*$M525,2),0)</f>
        <v/>
      </c>
      <c r="P525" s="10">
        <f>$N525+$O525</f>
        <v/>
      </c>
      <c r="Q525">
        <f>IFERROR(INDEX(спр_Работы!$J$2:$J$6000,MATCH($C525,спр_Работы!$A$2:$A$6000,0)),"")</f>
        <v/>
      </c>
      <c r="R525" t="inlineStr">
        <is>
          <t>да</t>
        </is>
      </c>
      <c r="T525">
        <f>IF(AND($P525&gt;0,$R525="да"),MAX($T$1:$T524)+1,"")</f>
        <v/>
      </c>
    </row>
    <row r="526">
      <c r="A526">
        <f>IFERROR(INDEX(спр_Работы!$D$2:$D$6000,MATCH($C526,спр_Работы!$A$2:$A$6000,0)),"")</f>
        <v/>
      </c>
      <c r="B526">
        <f>IFERROR(INDEX(спр_Работы!$F$2:$F$6000,MATCH($C526,спр_Работы!$A$2:$A$6000,0)),"")</f>
        <v/>
      </c>
      <c r="C526">
        <f>IFERROR(INDEX(спр_Работы!$A$2:$A$6000,525),"")</f>
        <v/>
      </c>
      <c r="D526" s="8">
        <f>IFERROR(INDEX(спр_Работы!$B$2:$B$6000,MATCH($C526,спр_Работы!$A$2:$A$6000,0)),"")</f>
        <v/>
      </c>
      <c r="E526">
        <f>IFERROR(INDEX(спр_Работы!$C$2:$C$6000,MATCH($C526,спр_Работы!$A$2:$A$6000,0)),"")</f>
        <v/>
      </c>
      <c r="F526">
        <f>IFERROR(INDEX(спр_Работы!$G$2:$G$6000,MATCH($C526,спр_Работы!$A$2:$A$6000,0)),"")</f>
        <v/>
      </c>
      <c r="G526">
        <f>IFERROR(INDEX(спр_Работы!$K$2:$K$6000,MATCH($C526,спр_Работы!$A$2:$A$6000,0)),"")</f>
        <v/>
      </c>
      <c r="H526" s="9" t="n"/>
      <c r="I526" s="9" t="n"/>
      <c r="J526" s="8">
        <f>IFERROR(INDEX(спр_Материалы!$B$2:$B$9000,MATCH($I526,спр_Материалы!$A$2:$A$9000,0)),"")</f>
        <v/>
      </c>
      <c r="K526">
        <f>IF($I526="","",IF($F526=IFERROR(INDEX(спр_Материалы!$G$2:$G$9000,MATCH($I526,спр_Материалы!$A$2:$A$9000,0)),""),"OK","!! не та группа"))</f>
        <v/>
      </c>
      <c r="L526" s="10">
        <f>IFERROR(INDEX(спр_Работы!$H$2:$H$6000,MATCH($C526,спр_Работы!$A$2:$A$6000,0))*(1-ДисконтТендер),0)</f>
        <v/>
      </c>
      <c r="M526" s="10">
        <f>IF($I526="",0,IFERROR(INDEX(спр_Материалы!$I$2:$I$9000,MATCH($I526,спр_Материалы!$A$2:$A$9000,0))*IF(INDEX(спр_Материалы!$J$2:$J$9000,MATCH($I526,спр_Материалы!$A$2:$A$9000,0))="USD",КурсUSD,IF(INDEX(спр_Материалы!$J$2:$J$9000,MATCH($I526,спр_Материалы!$A$2:$A$9000,0))="EUR",КурсEUR,1))*INDEX(спр_Материалы!$K$2:$K$9000,MATCH($I526,спр_Материалы!$A$2:$A$9000,0))*(1+IFERROR(INDEX(спр_Работы!$I$2:$I$6000,MATCH($C526,спр_Работы!$A$2:$A$6000,0))/100,0))*(1-ДисконтТендер),0))</f>
        <v/>
      </c>
      <c r="N526" s="10">
        <f>IF(AND($R526="да",$H526&lt;&gt;""),ROUND($H526*$L526,2),0)</f>
        <v/>
      </c>
      <c r="O526" s="10">
        <f>IF(AND($R526="да",$H526&lt;&gt;""),ROUND($H526*$M526,2),0)</f>
        <v/>
      </c>
      <c r="P526" s="10">
        <f>$N526+$O526</f>
        <v/>
      </c>
      <c r="Q526">
        <f>IFERROR(INDEX(спр_Работы!$J$2:$J$6000,MATCH($C526,спр_Работы!$A$2:$A$6000,0)),"")</f>
        <v/>
      </c>
      <c r="R526" t="inlineStr">
        <is>
          <t>да</t>
        </is>
      </c>
      <c r="T526">
        <f>IF(AND($P526&gt;0,$R526="да"),MAX($T$1:$T525)+1,"")</f>
        <v/>
      </c>
    </row>
    <row r="527">
      <c r="A527">
        <f>IFERROR(INDEX(спр_Работы!$D$2:$D$6000,MATCH($C527,спр_Работы!$A$2:$A$6000,0)),"")</f>
        <v/>
      </c>
      <c r="B527">
        <f>IFERROR(INDEX(спр_Работы!$F$2:$F$6000,MATCH($C527,спр_Работы!$A$2:$A$6000,0)),"")</f>
        <v/>
      </c>
      <c r="C527">
        <f>IFERROR(INDEX(спр_Работы!$A$2:$A$6000,526),"")</f>
        <v/>
      </c>
      <c r="D527" s="8">
        <f>IFERROR(INDEX(спр_Работы!$B$2:$B$6000,MATCH($C527,спр_Работы!$A$2:$A$6000,0)),"")</f>
        <v/>
      </c>
      <c r="E527">
        <f>IFERROR(INDEX(спр_Работы!$C$2:$C$6000,MATCH($C527,спр_Работы!$A$2:$A$6000,0)),"")</f>
        <v/>
      </c>
      <c r="F527">
        <f>IFERROR(INDEX(спр_Работы!$G$2:$G$6000,MATCH($C527,спр_Работы!$A$2:$A$6000,0)),"")</f>
        <v/>
      </c>
      <c r="G527">
        <f>IFERROR(INDEX(спр_Работы!$K$2:$K$6000,MATCH($C527,спр_Работы!$A$2:$A$6000,0)),"")</f>
        <v/>
      </c>
      <c r="H527" s="9" t="n"/>
      <c r="I527" s="9" t="n"/>
      <c r="J527" s="8">
        <f>IFERROR(INDEX(спр_Материалы!$B$2:$B$9000,MATCH($I527,спр_Материалы!$A$2:$A$9000,0)),"")</f>
        <v/>
      </c>
      <c r="K527">
        <f>IF($I527="","",IF($F527=IFERROR(INDEX(спр_Материалы!$G$2:$G$9000,MATCH($I527,спр_Материалы!$A$2:$A$9000,0)),""),"OK","!! не та группа"))</f>
        <v/>
      </c>
      <c r="L527" s="10">
        <f>IFERROR(INDEX(спр_Работы!$H$2:$H$6000,MATCH($C527,спр_Работы!$A$2:$A$6000,0))*(1-ДисконтТендер),0)</f>
        <v/>
      </c>
      <c r="M527" s="10">
        <f>IF($I527="",0,IFERROR(INDEX(спр_Материалы!$I$2:$I$9000,MATCH($I527,спр_Материалы!$A$2:$A$9000,0))*IF(INDEX(спр_Материалы!$J$2:$J$9000,MATCH($I527,спр_Материалы!$A$2:$A$9000,0))="USD",КурсUSD,IF(INDEX(спр_Материалы!$J$2:$J$9000,MATCH($I527,спр_Материалы!$A$2:$A$9000,0))="EUR",КурсEUR,1))*INDEX(спр_Материалы!$K$2:$K$9000,MATCH($I527,спр_Материалы!$A$2:$A$9000,0))*(1+IFERROR(INDEX(спр_Работы!$I$2:$I$6000,MATCH($C527,спр_Работы!$A$2:$A$6000,0))/100,0))*(1-ДисконтТендер),0))</f>
        <v/>
      </c>
      <c r="N527" s="10">
        <f>IF(AND($R527="да",$H527&lt;&gt;""),ROUND($H527*$L527,2),0)</f>
        <v/>
      </c>
      <c r="O527" s="10">
        <f>IF(AND($R527="да",$H527&lt;&gt;""),ROUND($H527*$M527,2),0)</f>
        <v/>
      </c>
      <c r="P527" s="10">
        <f>$N527+$O527</f>
        <v/>
      </c>
      <c r="Q527">
        <f>IFERROR(INDEX(спр_Работы!$J$2:$J$6000,MATCH($C527,спр_Работы!$A$2:$A$6000,0)),"")</f>
        <v/>
      </c>
      <c r="R527" t="inlineStr">
        <is>
          <t>да</t>
        </is>
      </c>
      <c r="T527">
        <f>IF(AND($P527&gt;0,$R527="да"),MAX($T$1:$T526)+1,"")</f>
        <v/>
      </c>
    </row>
    <row r="528">
      <c r="A528">
        <f>IFERROR(INDEX(спр_Работы!$D$2:$D$6000,MATCH($C528,спр_Работы!$A$2:$A$6000,0)),"")</f>
        <v/>
      </c>
      <c r="B528">
        <f>IFERROR(INDEX(спр_Работы!$F$2:$F$6000,MATCH($C528,спр_Работы!$A$2:$A$6000,0)),"")</f>
        <v/>
      </c>
      <c r="C528">
        <f>IFERROR(INDEX(спр_Работы!$A$2:$A$6000,527),"")</f>
        <v/>
      </c>
      <c r="D528" s="8">
        <f>IFERROR(INDEX(спр_Работы!$B$2:$B$6000,MATCH($C528,спр_Работы!$A$2:$A$6000,0)),"")</f>
        <v/>
      </c>
      <c r="E528">
        <f>IFERROR(INDEX(спр_Работы!$C$2:$C$6000,MATCH($C528,спр_Работы!$A$2:$A$6000,0)),"")</f>
        <v/>
      </c>
      <c r="F528">
        <f>IFERROR(INDEX(спр_Работы!$G$2:$G$6000,MATCH($C528,спр_Работы!$A$2:$A$6000,0)),"")</f>
        <v/>
      </c>
      <c r="G528">
        <f>IFERROR(INDEX(спр_Работы!$K$2:$K$6000,MATCH($C528,спр_Работы!$A$2:$A$6000,0)),"")</f>
        <v/>
      </c>
      <c r="H528" s="9" t="n"/>
      <c r="I528" s="9" t="n"/>
      <c r="J528" s="8">
        <f>IFERROR(INDEX(спр_Материалы!$B$2:$B$9000,MATCH($I528,спр_Материалы!$A$2:$A$9000,0)),"")</f>
        <v/>
      </c>
      <c r="K528">
        <f>IF($I528="","",IF($F528=IFERROR(INDEX(спр_Материалы!$G$2:$G$9000,MATCH($I528,спр_Материалы!$A$2:$A$9000,0)),""),"OK","!! не та группа"))</f>
        <v/>
      </c>
      <c r="L528" s="10">
        <f>IFERROR(INDEX(спр_Работы!$H$2:$H$6000,MATCH($C528,спр_Работы!$A$2:$A$6000,0))*(1-ДисконтТендер),0)</f>
        <v/>
      </c>
      <c r="M528" s="10">
        <f>IF($I528="",0,IFERROR(INDEX(спр_Материалы!$I$2:$I$9000,MATCH($I528,спр_Материалы!$A$2:$A$9000,0))*IF(INDEX(спр_Материалы!$J$2:$J$9000,MATCH($I528,спр_Материалы!$A$2:$A$9000,0))="USD",КурсUSD,IF(INDEX(спр_Материалы!$J$2:$J$9000,MATCH($I528,спр_Материалы!$A$2:$A$9000,0))="EUR",КурсEUR,1))*INDEX(спр_Материалы!$K$2:$K$9000,MATCH($I528,спр_Материалы!$A$2:$A$9000,0))*(1+IFERROR(INDEX(спр_Работы!$I$2:$I$6000,MATCH($C528,спр_Работы!$A$2:$A$6000,0))/100,0))*(1-ДисконтТендер),0))</f>
        <v/>
      </c>
      <c r="N528" s="10">
        <f>IF(AND($R528="да",$H528&lt;&gt;""),ROUND($H528*$L528,2),0)</f>
        <v/>
      </c>
      <c r="O528" s="10">
        <f>IF(AND($R528="да",$H528&lt;&gt;""),ROUND($H528*$M528,2),0)</f>
        <v/>
      </c>
      <c r="P528" s="10">
        <f>$N528+$O528</f>
        <v/>
      </c>
      <c r="Q528">
        <f>IFERROR(INDEX(спр_Работы!$J$2:$J$6000,MATCH($C528,спр_Работы!$A$2:$A$6000,0)),"")</f>
        <v/>
      </c>
      <c r="R528" t="inlineStr">
        <is>
          <t>да</t>
        </is>
      </c>
      <c r="T528">
        <f>IF(AND($P528&gt;0,$R528="да"),MAX($T$1:$T527)+1,"")</f>
        <v/>
      </c>
    </row>
    <row r="529">
      <c r="A529">
        <f>IFERROR(INDEX(спр_Работы!$D$2:$D$6000,MATCH($C529,спр_Работы!$A$2:$A$6000,0)),"")</f>
        <v/>
      </c>
      <c r="B529">
        <f>IFERROR(INDEX(спр_Работы!$F$2:$F$6000,MATCH($C529,спр_Работы!$A$2:$A$6000,0)),"")</f>
        <v/>
      </c>
      <c r="C529">
        <f>IFERROR(INDEX(спр_Работы!$A$2:$A$6000,528),"")</f>
        <v/>
      </c>
      <c r="D529" s="8">
        <f>IFERROR(INDEX(спр_Работы!$B$2:$B$6000,MATCH($C529,спр_Работы!$A$2:$A$6000,0)),"")</f>
        <v/>
      </c>
      <c r="E529">
        <f>IFERROR(INDEX(спр_Работы!$C$2:$C$6000,MATCH($C529,спр_Работы!$A$2:$A$6000,0)),"")</f>
        <v/>
      </c>
      <c r="F529">
        <f>IFERROR(INDEX(спр_Работы!$G$2:$G$6000,MATCH($C529,спр_Работы!$A$2:$A$6000,0)),"")</f>
        <v/>
      </c>
      <c r="G529">
        <f>IFERROR(INDEX(спр_Работы!$K$2:$K$6000,MATCH($C529,спр_Работы!$A$2:$A$6000,0)),"")</f>
        <v/>
      </c>
      <c r="H529" s="9" t="n"/>
      <c r="I529" s="9" t="n"/>
      <c r="J529" s="8">
        <f>IFERROR(INDEX(спр_Материалы!$B$2:$B$9000,MATCH($I529,спр_Материалы!$A$2:$A$9000,0)),"")</f>
        <v/>
      </c>
      <c r="K529">
        <f>IF($I529="","",IF($F529=IFERROR(INDEX(спр_Материалы!$G$2:$G$9000,MATCH($I529,спр_Материалы!$A$2:$A$9000,0)),""),"OK","!! не та группа"))</f>
        <v/>
      </c>
      <c r="L529" s="10">
        <f>IFERROR(INDEX(спр_Работы!$H$2:$H$6000,MATCH($C529,спр_Работы!$A$2:$A$6000,0))*(1-ДисконтТендер),0)</f>
        <v/>
      </c>
      <c r="M529" s="10">
        <f>IF($I529="",0,IFERROR(INDEX(спр_Материалы!$I$2:$I$9000,MATCH($I529,спр_Материалы!$A$2:$A$9000,0))*IF(INDEX(спр_Материалы!$J$2:$J$9000,MATCH($I529,спр_Материалы!$A$2:$A$9000,0))="USD",КурсUSD,IF(INDEX(спр_Материалы!$J$2:$J$9000,MATCH($I529,спр_Материалы!$A$2:$A$9000,0))="EUR",КурсEUR,1))*INDEX(спр_Материалы!$K$2:$K$9000,MATCH($I529,спр_Материалы!$A$2:$A$9000,0))*(1+IFERROR(INDEX(спр_Работы!$I$2:$I$6000,MATCH($C529,спр_Работы!$A$2:$A$6000,0))/100,0))*(1-ДисконтТендер),0))</f>
        <v/>
      </c>
      <c r="N529" s="10">
        <f>IF(AND($R529="да",$H529&lt;&gt;""),ROUND($H529*$L529,2),0)</f>
        <v/>
      </c>
      <c r="O529" s="10">
        <f>IF(AND($R529="да",$H529&lt;&gt;""),ROUND($H529*$M529,2),0)</f>
        <v/>
      </c>
      <c r="P529" s="10">
        <f>$N529+$O529</f>
        <v/>
      </c>
      <c r="Q529">
        <f>IFERROR(INDEX(спр_Работы!$J$2:$J$6000,MATCH($C529,спр_Работы!$A$2:$A$6000,0)),"")</f>
        <v/>
      </c>
      <c r="R529" t="inlineStr">
        <is>
          <t>да</t>
        </is>
      </c>
      <c r="T529">
        <f>IF(AND($P529&gt;0,$R529="да"),MAX($T$1:$T528)+1,"")</f>
        <v/>
      </c>
    </row>
    <row r="530">
      <c r="A530">
        <f>IFERROR(INDEX(спр_Работы!$D$2:$D$6000,MATCH($C530,спр_Работы!$A$2:$A$6000,0)),"")</f>
        <v/>
      </c>
      <c r="B530">
        <f>IFERROR(INDEX(спр_Работы!$F$2:$F$6000,MATCH($C530,спр_Работы!$A$2:$A$6000,0)),"")</f>
        <v/>
      </c>
      <c r="C530">
        <f>IFERROR(INDEX(спр_Работы!$A$2:$A$6000,529),"")</f>
        <v/>
      </c>
      <c r="D530" s="8">
        <f>IFERROR(INDEX(спр_Работы!$B$2:$B$6000,MATCH($C530,спр_Работы!$A$2:$A$6000,0)),"")</f>
        <v/>
      </c>
      <c r="E530">
        <f>IFERROR(INDEX(спр_Работы!$C$2:$C$6000,MATCH($C530,спр_Работы!$A$2:$A$6000,0)),"")</f>
        <v/>
      </c>
      <c r="F530">
        <f>IFERROR(INDEX(спр_Работы!$G$2:$G$6000,MATCH($C530,спр_Работы!$A$2:$A$6000,0)),"")</f>
        <v/>
      </c>
      <c r="G530">
        <f>IFERROR(INDEX(спр_Работы!$K$2:$K$6000,MATCH($C530,спр_Работы!$A$2:$A$6000,0)),"")</f>
        <v/>
      </c>
      <c r="H530" s="9" t="n"/>
      <c r="I530" s="9" t="n"/>
      <c r="J530" s="8">
        <f>IFERROR(INDEX(спр_Материалы!$B$2:$B$9000,MATCH($I530,спр_Материалы!$A$2:$A$9000,0)),"")</f>
        <v/>
      </c>
      <c r="K530">
        <f>IF($I530="","",IF($F530=IFERROR(INDEX(спр_Материалы!$G$2:$G$9000,MATCH($I530,спр_Материалы!$A$2:$A$9000,0)),""),"OK","!! не та группа"))</f>
        <v/>
      </c>
      <c r="L530" s="10">
        <f>IFERROR(INDEX(спр_Работы!$H$2:$H$6000,MATCH($C530,спр_Работы!$A$2:$A$6000,0))*(1-ДисконтТендер),0)</f>
        <v/>
      </c>
      <c r="M530" s="10">
        <f>IF($I530="",0,IFERROR(INDEX(спр_Материалы!$I$2:$I$9000,MATCH($I530,спр_Материалы!$A$2:$A$9000,0))*IF(INDEX(спр_Материалы!$J$2:$J$9000,MATCH($I530,спр_Материалы!$A$2:$A$9000,0))="USD",КурсUSD,IF(INDEX(спр_Материалы!$J$2:$J$9000,MATCH($I530,спр_Материалы!$A$2:$A$9000,0))="EUR",КурсEUR,1))*INDEX(спр_Материалы!$K$2:$K$9000,MATCH($I530,спр_Материалы!$A$2:$A$9000,0))*(1+IFERROR(INDEX(спр_Работы!$I$2:$I$6000,MATCH($C530,спр_Работы!$A$2:$A$6000,0))/100,0))*(1-ДисконтТендер),0))</f>
        <v/>
      </c>
      <c r="N530" s="10">
        <f>IF(AND($R530="да",$H530&lt;&gt;""),ROUND($H530*$L530,2),0)</f>
        <v/>
      </c>
      <c r="O530" s="10">
        <f>IF(AND($R530="да",$H530&lt;&gt;""),ROUND($H530*$M530,2),0)</f>
        <v/>
      </c>
      <c r="P530" s="10">
        <f>$N530+$O530</f>
        <v/>
      </c>
      <c r="Q530">
        <f>IFERROR(INDEX(спр_Работы!$J$2:$J$6000,MATCH($C530,спр_Работы!$A$2:$A$6000,0)),"")</f>
        <v/>
      </c>
      <c r="R530" t="inlineStr">
        <is>
          <t>да</t>
        </is>
      </c>
      <c r="T530">
        <f>IF(AND($P530&gt;0,$R530="да"),MAX($T$1:$T529)+1,"")</f>
        <v/>
      </c>
    </row>
    <row r="531">
      <c r="A531">
        <f>IFERROR(INDEX(спр_Работы!$D$2:$D$6000,MATCH($C531,спр_Работы!$A$2:$A$6000,0)),"")</f>
        <v/>
      </c>
      <c r="B531">
        <f>IFERROR(INDEX(спр_Работы!$F$2:$F$6000,MATCH($C531,спр_Работы!$A$2:$A$6000,0)),"")</f>
        <v/>
      </c>
      <c r="C531">
        <f>IFERROR(INDEX(спр_Работы!$A$2:$A$6000,530),"")</f>
        <v/>
      </c>
      <c r="D531" s="8">
        <f>IFERROR(INDEX(спр_Работы!$B$2:$B$6000,MATCH($C531,спр_Работы!$A$2:$A$6000,0)),"")</f>
        <v/>
      </c>
      <c r="E531">
        <f>IFERROR(INDEX(спр_Работы!$C$2:$C$6000,MATCH($C531,спр_Работы!$A$2:$A$6000,0)),"")</f>
        <v/>
      </c>
      <c r="F531">
        <f>IFERROR(INDEX(спр_Работы!$G$2:$G$6000,MATCH($C531,спр_Работы!$A$2:$A$6000,0)),"")</f>
        <v/>
      </c>
      <c r="G531">
        <f>IFERROR(INDEX(спр_Работы!$K$2:$K$6000,MATCH($C531,спр_Работы!$A$2:$A$6000,0)),"")</f>
        <v/>
      </c>
      <c r="H531" s="9" t="n"/>
      <c r="I531" s="9" t="n"/>
      <c r="J531" s="8">
        <f>IFERROR(INDEX(спр_Материалы!$B$2:$B$9000,MATCH($I531,спр_Материалы!$A$2:$A$9000,0)),"")</f>
        <v/>
      </c>
      <c r="K531">
        <f>IF($I531="","",IF($F531=IFERROR(INDEX(спр_Материалы!$G$2:$G$9000,MATCH($I531,спр_Материалы!$A$2:$A$9000,0)),""),"OK","!! не та группа"))</f>
        <v/>
      </c>
      <c r="L531" s="10">
        <f>IFERROR(INDEX(спр_Работы!$H$2:$H$6000,MATCH($C531,спр_Работы!$A$2:$A$6000,0))*(1-ДисконтТендер),0)</f>
        <v/>
      </c>
      <c r="M531" s="10">
        <f>IF($I531="",0,IFERROR(INDEX(спр_Материалы!$I$2:$I$9000,MATCH($I531,спр_Материалы!$A$2:$A$9000,0))*IF(INDEX(спр_Материалы!$J$2:$J$9000,MATCH($I531,спр_Материалы!$A$2:$A$9000,0))="USD",КурсUSD,IF(INDEX(спр_Материалы!$J$2:$J$9000,MATCH($I531,спр_Материалы!$A$2:$A$9000,0))="EUR",КурсEUR,1))*INDEX(спр_Материалы!$K$2:$K$9000,MATCH($I531,спр_Материалы!$A$2:$A$9000,0))*(1+IFERROR(INDEX(спр_Работы!$I$2:$I$6000,MATCH($C531,спр_Работы!$A$2:$A$6000,0))/100,0))*(1-ДисконтТендер),0))</f>
        <v/>
      </c>
      <c r="N531" s="10">
        <f>IF(AND($R531="да",$H531&lt;&gt;""),ROUND($H531*$L531,2),0)</f>
        <v/>
      </c>
      <c r="O531" s="10">
        <f>IF(AND($R531="да",$H531&lt;&gt;""),ROUND($H531*$M531,2),0)</f>
        <v/>
      </c>
      <c r="P531" s="10">
        <f>$N531+$O531</f>
        <v/>
      </c>
      <c r="Q531">
        <f>IFERROR(INDEX(спр_Работы!$J$2:$J$6000,MATCH($C531,спр_Работы!$A$2:$A$6000,0)),"")</f>
        <v/>
      </c>
      <c r="R531" t="inlineStr">
        <is>
          <t>да</t>
        </is>
      </c>
      <c r="T531">
        <f>IF(AND($P531&gt;0,$R531="да"),MAX($T$1:$T530)+1,"")</f>
        <v/>
      </c>
    </row>
    <row r="532">
      <c r="A532">
        <f>IFERROR(INDEX(спр_Работы!$D$2:$D$6000,MATCH($C532,спр_Работы!$A$2:$A$6000,0)),"")</f>
        <v/>
      </c>
      <c r="B532">
        <f>IFERROR(INDEX(спр_Работы!$F$2:$F$6000,MATCH($C532,спр_Работы!$A$2:$A$6000,0)),"")</f>
        <v/>
      </c>
      <c r="C532">
        <f>IFERROR(INDEX(спр_Работы!$A$2:$A$6000,531),"")</f>
        <v/>
      </c>
      <c r="D532" s="8">
        <f>IFERROR(INDEX(спр_Работы!$B$2:$B$6000,MATCH($C532,спр_Работы!$A$2:$A$6000,0)),"")</f>
        <v/>
      </c>
      <c r="E532">
        <f>IFERROR(INDEX(спр_Работы!$C$2:$C$6000,MATCH($C532,спр_Работы!$A$2:$A$6000,0)),"")</f>
        <v/>
      </c>
      <c r="F532">
        <f>IFERROR(INDEX(спр_Работы!$G$2:$G$6000,MATCH($C532,спр_Работы!$A$2:$A$6000,0)),"")</f>
        <v/>
      </c>
      <c r="G532">
        <f>IFERROR(INDEX(спр_Работы!$K$2:$K$6000,MATCH($C532,спр_Работы!$A$2:$A$6000,0)),"")</f>
        <v/>
      </c>
      <c r="H532" s="9" t="n"/>
      <c r="I532" s="9" t="n"/>
      <c r="J532" s="8">
        <f>IFERROR(INDEX(спр_Материалы!$B$2:$B$9000,MATCH($I532,спр_Материалы!$A$2:$A$9000,0)),"")</f>
        <v/>
      </c>
      <c r="K532">
        <f>IF($I532="","",IF($F532=IFERROR(INDEX(спр_Материалы!$G$2:$G$9000,MATCH($I532,спр_Материалы!$A$2:$A$9000,0)),""),"OK","!! не та группа"))</f>
        <v/>
      </c>
      <c r="L532" s="10">
        <f>IFERROR(INDEX(спр_Работы!$H$2:$H$6000,MATCH($C532,спр_Работы!$A$2:$A$6000,0))*(1-ДисконтТендер),0)</f>
        <v/>
      </c>
      <c r="M532" s="10">
        <f>IF($I532="",0,IFERROR(INDEX(спр_Материалы!$I$2:$I$9000,MATCH($I532,спр_Материалы!$A$2:$A$9000,0))*IF(INDEX(спр_Материалы!$J$2:$J$9000,MATCH($I532,спр_Материалы!$A$2:$A$9000,0))="USD",КурсUSD,IF(INDEX(спр_Материалы!$J$2:$J$9000,MATCH($I532,спр_Материалы!$A$2:$A$9000,0))="EUR",КурсEUR,1))*INDEX(спр_Материалы!$K$2:$K$9000,MATCH($I532,спр_Материалы!$A$2:$A$9000,0))*(1+IFERROR(INDEX(спр_Работы!$I$2:$I$6000,MATCH($C532,спр_Работы!$A$2:$A$6000,0))/100,0))*(1-ДисконтТендер),0))</f>
        <v/>
      </c>
      <c r="N532" s="10">
        <f>IF(AND($R532="да",$H532&lt;&gt;""),ROUND($H532*$L532,2),0)</f>
        <v/>
      </c>
      <c r="O532" s="10">
        <f>IF(AND($R532="да",$H532&lt;&gt;""),ROUND($H532*$M532,2),0)</f>
        <v/>
      </c>
      <c r="P532" s="10">
        <f>$N532+$O532</f>
        <v/>
      </c>
      <c r="Q532">
        <f>IFERROR(INDEX(спр_Работы!$J$2:$J$6000,MATCH($C532,спр_Работы!$A$2:$A$6000,0)),"")</f>
        <v/>
      </c>
      <c r="R532" t="inlineStr">
        <is>
          <t>да</t>
        </is>
      </c>
      <c r="T532">
        <f>IF(AND($P532&gt;0,$R532="да"),MAX($T$1:$T531)+1,"")</f>
        <v/>
      </c>
    </row>
    <row r="533">
      <c r="A533">
        <f>IFERROR(INDEX(спр_Работы!$D$2:$D$6000,MATCH($C533,спр_Работы!$A$2:$A$6000,0)),"")</f>
        <v/>
      </c>
      <c r="B533">
        <f>IFERROR(INDEX(спр_Работы!$F$2:$F$6000,MATCH($C533,спр_Работы!$A$2:$A$6000,0)),"")</f>
        <v/>
      </c>
      <c r="C533">
        <f>IFERROR(INDEX(спр_Работы!$A$2:$A$6000,532),"")</f>
        <v/>
      </c>
      <c r="D533" s="8">
        <f>IFERROR(INDEX(спр_Работы!$B$2:$B$6000,MATCH($C533,спр_Работы!$A$2:$A$6000,0)),"")</f>
        <v/>
      </c>
      <c r="E533">
        <f>IFERROR(INDEX(спр_Работы!$C$2:$C$6000,MATCH($C533,спр_Работы!$A$2:$A$6000,0)),"")</f>
        <v/>
      </c>
      <c r="F533">
        <f>IFERROR(INDEX(спр_Работы!$G$2:$G$6000,MATCH($C533,спр_Работы!$A$2:$A$6000,0)),"")</f>
        <v/>
      </c>
      <c r="G533">
        <f>IFERROR(INDEX(спр_Работы!$K$2:$K$6000,MATCH($C533,спр_Работы!$A$2:$A$6000,0)),"")</f>
        <v/>
      </c>
      <c r="H533" s="9" t="n"/>
      <c r="I533" s="9" t="n"/>
      <c r="J533" s="8">
        <f>IFERROR(INDEX(спр_Материалы!$B$2:$B$9000,MATCH($I533,спр_Материалы!$A$2:$A$9000,0)),"")</f>
        <v/>
      </c>
      <c r="K533">
        <f>IF($I533="","",IF($F533=IFERROR(INDEX(спр_Материалы!$G$2:$G$9000,MATCH($I533,спр_Материалы!$A$2:$A$9000,0)),""),"OK","!! не та группа"))</f>
        <v/>
      </c>
      <c r="L533" s="10">
        <f>IFERROR(INDEX(спр_Работы!$H$2:$H$6000,MATCH($C533,спр_Работы!$A$2:$A$6000,0))*(1-ДисконтТендер),0)</f>
        <v/>
      </c>
      <c r="M533" s="10">
        <f>IF($I533="",0,IFERROR(INDEX(спр_Материалы!$I$2:$I$9000,MATCH($I533,спр_Материалы!$A$2:$A$9000,0))*IF(INDEX(спр_Материалы!$J$2:$J$9000,MATCH($I533,спр_Материалы!$A$2:$A$9000,0))="USD",КурсUSD,IF(INDEX(спр_Материалы!$J$2:$J$9000,MATCH($I533,спр_Материалы!$A$2:$A$9000,0))="EUR",КурсEUR,1))*INDEX(спр_Материалы!$K$2:$K$9000,MATCH($I533,спр_Материалы!$A$2:$A$9000,0))*(1+IFERROR(INDEX(спр_Работы!$I$2:$I$6000,MATCH($C533,спр_Работы!$A$2:$A$6000,0))/100,0))*(1-ДисконтТендер),0))</f>
        <v/>
      </c>
      <c r="N533" s="10">
        <f>IF(AND($R533="да",$H533&lt;&gt;""),ROUND($H533*$L533,2),0)</f>
        <v/>
      </c>
      <c r="O533" s="10">
        <f>IF(AND($R533="да",$H533&lt;&gt;""),ROUND($H533*$M533,2),0)</f>
        <v/>
      </c>
      <c r="P533" s="10">
        <f>$N533+$O533</f>
        <v/>
      </c>
      <c r="Q533">
        <f>IFERROR(INDEX(спр_Работы!$J$2:$J$6000,MATCH($C533,спр_Работы!$A$2:$A$6000,0)),"")</f>
        <v/>
      </c>
      <c r="R533" t="inlineStr">
        <is>
          <t>да</t>
        </is>
      </c>
      <c r="T533">
        <f>IF(AND($P533&gt;0,$R533="да"),MAX($T$1:$T532)+1,"")</f>
        <v/>
      </c>
    </row>
    <row r="534">
      <c r="A534">
        <f>IFERROR(INDEX(спр_Работы!$D$2:$D$6000,MATCH($C534,спр_Работы!$A$2:$A$6000,0)),"")</f>
        <v/>
      </c>
      <c r="B534">
        <f>IFERROR(INDEX(спр_Работы!$F$2:$F$6000,MATCH($C534,спр_Работы!$A$2:$A$6000,0)),"")</f>
        <v/>
      </c>
      <c r="C534">
        <f>IFERROR(INDEX(спр_Работы!$A$2:$A$6000,533),"")</f>
        <v/>
      </c>
      <c r="D534" s="8">
        <f>IFERROR(INDEX(спр_Работы!$B$2:$B$6000,MATCH($C534,спр_Работы!$A$2:$A$6000,0)),"")</f>
        <v/>
      </c>
      <c r="E534">
        <f>IFERROR(INDEX(спр_Работы!$C$2:$C$6000,MATCH($C534,спр_Работы!$A$2:$A$6000,0)),"")</f>
        <v/>
      </c>
      <c r="F534">
        <f>IFERROR(INDEX(спр_Работы!$G$2:$G$6000,MATCH($C534,спр_Работы!$A$2:$A$6000,0)),"")</f>
        <v/>
      </c>
      <c r="G534">
        <f>IFERROR(INDEX(спр_Работы!$K$2:$K$6000,MATCH($C534,спр_Работы!$A$2:$A$6000,0)),"")</f>
        <v/>
      </c>
      <c r="H534" s="9" t="n"/>
      <c r="I534" s="9" t="n"/>
      <c r="J534" s="8">
        <f>IFERROR(INDEX(спр_Материалы!$B$2:$B$9000,MATCH($I534,спр_Материалы!$A$2:$A$9000,0)),"")</f>
        <v/>
      </c>
      <c r="K534">
        <f>IF($I534="","",IF($F534=IFERROR(INDEX(спр_Материалы!$G$2:$G$9000,MATCH($I534,спр_Материалы!$A$2:$A$9000,0)),""),"OK","!! не та группа"))</f>
        <v/>
      </c>
      <c r="L534" s="10">
        <f>IFERROR(INDEX(спр_Работы!$H$2:$H$6000,MATCH($C534,спр_Работы!$A$2:$A$6000,0))*(1-ДисконтТендер),0)</f>
        <v/>
      </c>
      <c r="M534" s="10">
        <f>IF($I534="",0,IFERROR(INDEX(спр_Материалы!$I$2:$I$9000,MATCH($I534,спр_Материалы!$A$2:$A$9000,0))*IF(INDEX(спр_Материалы!$J$2:$J$9000,MATCH($I534,спр_Материалы!$A$2:$A$9000,0))="USD",КурсUSD,IF(INDEX(спр_Материалы!$J$2:$J$9000,MATCH($I534,спр_Материалы!$A$2:$A$9000,0))="EUR",КурсEUR,1))*INDEX(спр_Материалы!$K$2:$K$9000,MATCH($I534,спр_Материалы!$A$2:$A$9000,0))*(1+IFERROR(INDEX(спр_Работы!$I$2:$I$6000,MATCH($C534,спр_Работы!$A$2:$A$6000,0))/100,0))*(1-ДисконтТендер),0))</f>
        <v/>
      </c>
      <c r="N534" s="10">
        <f>IF(AND($R534="да",$H534&lt;&gt;""),ROUND($H534*$L534,2),0)</f>
        <v/>
      </c>
      <c r="O534" s="10">
        <f>IF(AND($R534="да",$H534&lt;&gt;""),ROUND($H534*$M534,2),0)</f>
        <v/>
      </c>
      <c r="P534" s="10">
        <f>$N534+$O534</f>
        <v/>
      </c>
      <c r="Q534">
        <f>IFERROR(INDEX(спр_Работы!$J$2:$J$6000,MATCH($C534,спр_Работы!$A$2:$A$6000,0)),"")</f>
        <v/>
      </c>
      <c r="R534" t="inlineStr">
        <is>
          <t>да</t>
        </is>
      </c>
      <c r="T534">
        <f>IF(AND($P534&gt;0,$R534="да"),MAX($T$1:$T533)+1,"")</f>
        <v/>
      </c>
    </row>
    <row r="535">
      <c r="A535">
        <f>IFERROR(INDEX(спр_Работы!$D$2:$D$6000,MATCH($C535,спр_Работы!$A$2:$A$6000,0)),"")</f>
        <v/>
      </c>
      <c r="B535">
        <f>IFERROR(INDEX(спр_Работы!$F$2:$F$6000,MATCH($C535,спр_Работы!$A$2:$A$6000,0)),"")</f>
        <v/>
      </c>
      <c r="C535">
        <f>IFERROR(INDEX(спр_Работы!$A$2:$A$6000,534),"")</f>
        <v/>
      </c>
      <c r="D535" s="8">
        <f>IFERROR(INDEX(спр_Работы!$B$2:$B$6000,MATCH($C535,спр_Работы!$A$2:$A$6000,0)),"")</f>
        <v/>
      </c>
      <c r="E535">
        <f>IFERROR(INDEX(спр_Работы!$C$2:$C$6000,MATCH($C535,спр_Работы!$A$2:$A$6000,0)),"")</f>
        <v/>
      </c>
      <c r="F535">
        <f>IFERROR(INDEX(спр_Работы!$G$2:$G$6000,MATCH($C535,спр_Работы!$A$2:$A$6000,0)),"")</f>
        <v/>
      </c>
      <c r="G535">
        <f>IFERROR(INDEX(спр_Работы!$K$2:$K$6000,MATCH($C535,спр_Работы!$A$2:$A$6000,0)),"")</f>
        <v/>
      </c>
      <c r="H535" s="9" t="n"/>
      <c r="I535" s="9" t="n"/>
      <c r="J535" s="8">
        <f>IFERROR(INDEX(спр_Материалы!$B$2:$B$9000,MATCH($I535,спр_Материалы!$A$2:$A$9000,0)),"")</f>
        <v/>
      </c>
      <c r="K535">
        <f>IF($I535="","",IF($F535=IFERROR(INDEX(спр_Материалы!$G$2:$G$9000,MATCH($I535,спр_Материалы!$A$2:$A$9000,0)),""),"OK","!! не та группа"))</f>
        <v/>
      </c>
      <c r="L535" s="10">
        <f>IFERROR(INDEX(спр_Работы!$H$2:$H$6000,MATCH($C535,спр_Работы!$A$2:$A$6000,0))*(1-ДисконтТендер),0)</f>
        <v/>
      </c>
      <c r="M535" s="10">
        <f>IF($I535="",0,IFERROR(INDEX(спр_Материалы!$I$2:$I$9000,MATCH($I535,спр_Материалы!$A$2:$A$9000,0))*IF(INDEX(спр_Материалы!$J$2:$J$9000,MATCH($I535,спр_Материалы!$A$2:$A$9000,0))="USD",КурсUSD,IF(INDEX(спр_Материалы!$J$2:$J$9000,MATCH($I535,спр_Материалы!$A$2:$A$9000,0))="EUR",КурсEUR,1))*INDEX(спр_Материалы!$K$2:$K$9000,MATCH($I535,спр_Материалы!$A$2:$A$9000,0))*(1+IFERROR(INDEX(спр_Работы!$I$2:$I$6000,MATCH($C535,спр_Работы!$A$2:$A$6000,0))/100,0))*(1-ДисконтТендер),0))</f>
        <v/>
      </c>
      <c r="N535" s="10">
        <f>IF(AND($R535="да",$H535&lt;&gt;""),ROUND($H535*$L535,2),0)</f>
        <v/>
      </c>
      <c r="O535" s="10">
        <f>IF(AND($R535="да",$H535&lt;&gt;""),ROUND($H535*$M535,2),0)</f>
        <v/>
      </c>
      <c r="P535" s="10">
        <f>$N535+$O535</f>
        <v/>
      </c>
      <c r="Q535">
        <f>IFERROR(INDEX(спр_Работы!$J$2:$J$6000,MATCH($C535,спр_Работы!$A$2:$A$6000,0)),"")</f>
        <v/>
      </c>
      <c r="R535" t="inlineStr">
        <is>
          <t>да</t>
        </is>
      </c>
      <c r="T535">
        <f>IF(AND($P535&gt;0,$R535="да"),MAX($T$1:$T534)+1,"")</f>
        <v/>
      </c>
    </row>
    <row r="536">
      <c r="A536">
        <f>IFERROR(INDEX(спр_Работы!$D$2:$D$6000,MATCH($C536,спр_Работы!$A$2:$A$6000,0)),"")</f>
        <v/>
      </c>
      <c r="B536">
        <f>IFERROR(INDEX(спр_Работы!$F$2:$F$6000,MATCH($C536,спр_Работы!$A$2:$A$6000,0)),"")</f>
        <v/>
      </c>
      <c r="C536">
        <f>IFERROR(INDEX(спр_Работы!$A$2:$A$6000,535),"")</f>
        <v/>
      </c>
      <c r="D536" s="8">
        <f>IFERROR(INDEX(спр_Работы!$B$2:$B$6000,MATCH($C536,спр_Работы!$A$2:$A$6000,0)),"")</f>
        <v/>
      </c>
      <c r="E536">
        <f>IFERROR(INDEX(спр_Работы!$C$2:$C$6000,MATCH($C536,спр_Работы!$A$2:$A$6000,0)),"")</f>
        <v/>
      </c>
      <c r="F536">
        <f>IFERROR(INDEX(спр_Работы!$G$2:$G$6000,MATCH($C536,спр_Работы!$A$2:$A$6000,0)),"")</f>
        <v/>
      </c>
      <c r="G536">
        <f>IFERROR(INDEX(спр_Работы!$K$2:$K$6000,MATCH($C536,спр_Работы!$A$2:$A$6000,0)),"")</f>
        <v/>
      </c>
      <c r="H536" s="9" t="n"/>
      <c r="I536" s="9" t="n"/>
      <c r="J536" s="8">
        <f>IFERROR(INDEX(спр_Материалы!$B$2:$B$9000,MATCH($I536,спр_Материалы!$A$2:$A$9000,0)),"")</f>
        <v/>
      </c>
      <c r="K536">
        <f>IF($I536="","",IF($F536=IFERROR(INDEX(спр_Материалы!$G$2:$G$9000,MATCH($I536,спр_Материалы!$A$2:$A$9000,0)),""),"OK","!! не та группа"))</f>
        <v/>
      </c>
      <c r="L536" s="10">
        <f>IFERROR(INDEX(спр_Работы!$H$2:$H$6000,MATCH($C536,спр_Работы!$A$2:$A$6000,0))*(1-ДисконтТендер),0)</f>
        <v/>
      </c>
      <c r="M536" s="10">
        <f>IF($I536="",0,IFERROR(INDEX(спр_Материалы!$I$2:$I$9000,MATCH($I536,спр_Материалы!$A$2:$A$9000,0))*IF(INDEX(спр_Материалы!$J$2:$J$9000,MATCH($I536,спр_Материалы!$A$2:$A$9000,0))="USD",КурсUSD,IF(INDEX(спр_Материалы!$J$2:$J$9000,MATCH($I536,спр_Материалы!$A$2:$A$9000,0))="EUR",КурсEUR,1))*INDEX(спр_Материалы!$K$2:$K$9000,MATCH($I536,спр_Материалы!$A$2:$A$9000,0))*(1+IFERROR(INDEX(спр_Работы!$I$2:$I$6000,MATCH($C536,спр_Работы!$A$2:$A$6000,0))/100,0))*(1-ДисконтТендер),0))</f>
        <v/>
      </c>
      <c r="N536" s="10">
        <f>IF(AND($R536="да",$H536&lt;&gt;""),ROUND($H536*$L536,2),0)</f>
        <v/>
      </c>
      <c r="O536" s="10">
        <f>IF(AND($R536="да",$H536&lt;&gt;""),ROUND($H536*$M536,2),0)</f>
        <v/>
      </c>
      <c r="P536" s="10">
        <f>$N536+$O536</f>
        <v/>
      </c>
      <c r="Q536">
        <f>IFERROR(INDEX(спр_Работы!$J$2:$J$6000,MATCH($C536,спр_Работы!$A$2:$A$6000,0)),"")</f>
        <v/>
      </c>
      <c r="R536" t="inlineStr">
        <is>
          <t>да</t>
        </is>
      </c>
      <c r="T536">
        <f>IF(AND($P536&gt;0,$R536="да"),MAX($T$1:$T535)+1,"")</f>
        <v/>
      </c>
    </row>
    <row r="537">
      <c r="A537">
        <f>IFERROR(INDEX(спр_Работы!$D$2:$D$6000,MATCH($C537,спр_Работы!$A$2:$A$6000,0)),"")</f>
        <v/>
      </c>
      <c r="B537">
        <f>IFERROR(INDEX(спр_Работы!$F$2:$F$6000,MATCH($C537,спр_Работы!$A$2:$A$6000,0)),"")</f>
        <v/>
      </c>
      <c r="C537">
        <f>IFERROR(INDEX(спр_Работы!$A$2:$A$6000,536),"")</f>
        <v/>
      </c>
      <c r="D537" s="8">
        <f>IFERROR(INDEX(спр_Работы!$B$2:$B$6000,MATCH($C537,спр_Работы!$A$2:$A$6000,0)),"")</f>
        <v/>
      </c>
      <c r="E537">
        <f>IFERROR(INDEX(спр_Работы!$C$2:$C$6000,MATCH($C537,спр_Работы!$A$2:$A$6000,0)),"")</f>
        <v/>
      </c>
      <c r="F537">
        <f>IFERROR(INDEX(спр_Работы!$G$2:$G$6000,MATCH($C537,спр_Работы!$A$2:$A$6000,0)),"")</f>
        <v/>
      </c>
      <c r="G537">
        <f>IFERROR(INDEX(спр_Работы!$K$2:$K$6000,MATCH($C537,спр_Работы!$A$2:$A$6000,0)),"")</f>
        <v/>
      </c>
      <c r="H537" s="9" t="n"/>
      <c r="I537" s="9" t="n"/>
      <c r="J537" s="8">
        <f>IFERROR(INDEX(спр_Материалы!$B$2:$B$9000,MATCH($I537,спр_Материалы!$A$2:$A$9000,0)),"")</f>
        <v/>
      </c>
      <c r="K537">
        <f>IF($I537="","",IF($F537=IFERROR(INDEX(спр_Материалы!$G$2:$G$9000,MATCH($I537,спр_Материалы!$A$2:$A$9000,0)),""),"OK","!! не та группа"))</f>
        <v/>
      </c>
      <c r="L537" s="10">
        <f>IFERROR(INDEX(спр_Работы!$H$2:$H$6000,MATCH($C537,спр_Работы!$A$2:$A$6000,0))*(1-ДисконтТендер),0)</f>
        <v/>
      </c>
      <c r="M537" s="10">
        <f>IF($I537="",0,IFERROR(INDEX(спр_Материалы!$I$2:$I$9000,MATCH($I537,спр_Материалы!$A$2:$A$9000,0))*IF(INDEX(спр_Материалы!$J$2:$J$9000,MATCH($I537,спр_Материалы!$A$2:$A$9000,0))="USD",КурсUSD,IF(INDEX(спр_Материалы!$J$2:$J$9000,MATCH($I537,спр_Материалы!$A$2:$A$9000,0))="EUR",КурсEUR,1))*INDEX(спр_Материалы!$K$2:$K$9000,MATCH($I537,спр_Материалы!$A$2:$A$9000,0))*(1+IFERROR(INDEX(спр_Работы!$I$2:$I$6000,MATCH($C537,спр_Работы!$A$2:$A$6000,0))/100,0))*(1-ДисконтТендер),0))</f>
        <v/>
      </c>
      <c r="N537" s="10">
        <f>IF(AND($R537="да",$H537&lt;&gt;""),ROUND($H537*$L537,2),0)</f>
        <v/>
      </c>
      <c r="O537" s="10">
        <f>IF(AND($R537="да",$H537&lt;&gt;""),ROUND($H537*$M537,2),0)</f>
        <v/>
      </c>
      <c r="P537" s="10">
        <f>$N537+$O537</f>
        <v/>
      </c>
      <c r="Q537">
        <f>IFERROR(INDEX(спр_Работы!$J$2:$J$6000,MATCH($C537,спр_Работы!$A$2:$A$6000,0)),"")</f>
        <v/>
      </c>
      <c r="R537" t="inlineStr">
        <is>
          <t>да</t>
        </is>
      </c>
      <c r="T537">
        <f>IF(AND($P537&gt;0,$R537="да"),MAX($T$1:$T536)+1,"")</f>
        <v/>
      </c>
    </row>
    <row r="538">
      <c r="A538">
        <f>IFERROR(INDEX(спр_Работы!$D$2:$D$6000,MATCH($C538,спр_Работы!$A$2:$A$6000,0)),"")</f>
        <v/>
      </c>
      <c r="B538">
        <f>IFERROR(INDEX(спр_Работы!$F$2:$F$6000,MATCH($C538,спр_Работы!$A$2:$A$6000,0)),"")</f>
        <v/>
      </c>
      <c r="C538">
        <f>IFERROR(INDEX(спр_Работы!$A$2:$A$6000,537),"")</f>
        <v/>
      </c>
      <c r="D538" s="8">
        <f>IFERROR(INDEX(спр_Работы!$B$2:$B$6000,MATCH($C538,спр_Работы!$A$2:$A$6000,0)),"")</f>
        <v/>
      </c>
      <c r="E538">
        <f>IFERROR(INDEX(спр_Работы!$C$2:$C$6000,MATCH($C538,спр_Работы!$A$2:$A$6000,0)),"")</f>
        <v/>
      </c>
      <c r="F538">
        <f>IFERROR(INDEX(спр_Работы!$G$2:$G$6000,MATCH($C538,спр_Работы!$A$2:$A$6000,0)),"")</f>
        <v/>
      </c>
      <c r="G538">
        <f>IFERROR(INDEX(спр_Работы!$K$2:$K$6000,MATCH($C538,спр_Работы!$A$2:$A$6000,0)),"")</f>
        <v/>
      </c>
      <c r="H538" s="9" t="n"/>
      <c r="I538" s="9" t="n"/>
      <c r="J538" s="8">
        <f>IFERROR(INDEX(спр_Материалы!$B$2:$B$9000,MATCH($I538,спр_Материалы!$A$2:$A$9000,0)),"")</f>
        <v/>
      </c>
      <c r="K538">
        <f>IF($I538="","",IF($F538=IFERROR(INDEX(спр_Материалы!$G$2:$G$9000,MATCH($I538,спр_Материалы!$A$2:$A$9000,0)),""),"OK","!! не та группа"))</f>
        <v/>
      </c>
      <c r="L538" s="10">
        <f>IFERROR(INDEX(спр_Работы!$H$2:$H$6000,MATCH($C538,спр_Работы!$A$2:$A$6000,0))*(1-ДисконтТендер),0)</f>
        <v/>
      </c>
      <c r="M538" s="10">
        <f>IF($I538="",0,IFERROR(INDEX(спр_Материалы!$I$2:$I$9000,MATCH($I538,спр_Материалы!$A$2:$A$9000,0))*IF(INDEX(спр_Материалы!$J$2:$J$9000,MATCH($I538,спр_Материалы!$A$2:$A$9000,0))="USD",КурсUSD,IF(INDEX(спр_Материалы!$J$2:$J$9000,MATCH($I538,спр_Материалы!$A$2:$A$9000,0))="EUR",КурсEUR,1))*INDEX(спр_Материалы!$K$2:$K$9000,MATCH($I538,спр_Материалы!$A$2:$A$9000,0))*(1+IFERROR(INDEX(спр_Работы!$I$2:$I$6000,MATCH($C538,спр_Работы!$A$2:$A$6000,0))/100,0))*(1-ДисконтТендер),0))</f>
        <v/>
      </c>
      <c r="N538" s="10">
        <f>IF(AND($R538="да",$H538&lt;&gt;""),ROUND($H538*$L538,2),0)</f>
        <v/>
      </c>
      <c r="O538" s="10">
        <f>IF(AND($R538="да",$H538&lt;&gt;""),ROUND($H538*$M538,2),0)</f>
        <v/>
      </c>
      <c r="P538" s="10">
        <f>$N538+$O538</f>
        <v/>
      </c>
      <c r="Q538">
        <f>IFERROR(INDEX(спр_Работы!$J$2:$J$6000,MATCH($C538,спр_Работы!$A$2:$A$6000,0)),"")</f>
        <v/>
      </c>
      <c r="R538" t="inlineStr">
        <is>
          <t>да</t>
        </is>
      </c>
      <c r="T538">
        <f>IF(AND($P538&gt;0,$R538="да"),MAX($T$1:$T537)+1,"")</f>
        <v/>
      </c>
    </row>
    <row r="539">
      <c r="A539">
        <f>IFERROR(INDEX(спр_Работы!$D$2:$D$6000,MATCH($C539,спр_Работы!$A$2:$A$6000,0)),"")</f>
        <v/>
      </c>
      <c r="B539">
        <f>IFERROR(INDEX(спр_Работы!$F$2:$F$6000,MATCH($C539,спр_Работы!$A$2:$A$6000,0)),"")</f>
        <v/>
      </c>
      <c r="C539">
        <f>IFERROR(INDEX(спр_Работы!$A$2:$A$6000,538),"")</f>
        <v/>
      </c>
      <c r="D539" s="8">
        <f>IFERROR(INDEX(спр_Работы!$B$2:$B$6000,MATCH($C539,спр_Работы!$A$2:$A$6000,0)),"")</f>
        <v/>
      </c>
      <c r="E539">
        <f>IFERROR(INDEX(спр_Работы!$C$2:$C$6000,MATCH($C539,спр_Работы!$A$2:$A$6000,0)),"")</f>
        <v/>
      </c>
      <c r="F539">
        <f>IFERROR(INDEX(спр_Работы!$G$2:$G$6000,MATCH($C539,спр_Работы!$A$2:$A$6000,0)),"")</f>
        <v/>
      </c>
      <c r="G539">
        <f>IFERROR(INDEX(спр_Работы!$K$2:$K$6000,MATCH($C539,спр_Работы!$A$2:$A$6000,0)),"")</f>
        <v/>
      </c>
      <c r="H539" s="9" t="n"/>
      <c r="I539" s="9" t="n"/>
      <c r="J539" s="8">
        <f>IFERROR(INDEX(спр_Материалы!$B$2:$B$9000,MATCH($I539,спр_Материалы!$A$2:$A$9000,0)),"")</f>
        <v/>
      </c>
      <c r="K539">
        <f>IF($I539="","",IF($F539=IFERROR(INDEX(спр_Материалы!$G$2:$G$9000,MATCH($I539,спр_Материалы!$A$2:$A$9000,0)),""),"OK","!! не та группа"))</f>
        <v/>
      </c>
      <c r="L539" s="10">
        <f>IFERROR(INDEX(спр_Работы!$H$2:$H$6000,MATCH($C539,спр_Работы!$A$2:$A$6000,0))*(1-ДисконтТендер),0)</f>
        <v/>
      </c>
      <c r="M539" s="10">
        <f>IF($I539="",0,IFERROR(INDEX(спр_Материалы!$I$2:$I$9000,MATCH($I539,спр_Материалы!$A$2:$A$9000,0))*IF(INDEX(спр_Материалы!$J$2:$J$9000,MATCH($I539,спр_Материалы!$A$2:$A$9000,0))="USD",КурсUSD,IF(INDEX(спр_Материалы!$J$2:$J$9000,MATCH($I539,спр_Материалы!$A$2:$A$9000,0))="EUR",КурсEUR,1))*INDEX(спр_Материалы!$K$2:$K$9000,MATCH($I539,спр_Материалы!$A$2:$A$9000,0))*(1+IFERROR(INDEX(спр_Работы!$I$2:$I$6000,MATCH($C539,спр_Работы!$A$2:$A$6000,0))/100,0))*(1-ДисконтТендер),0))</f>
        <v/>
      </c>
      <c r="N539" s="10">
        <f>IF(AND($R539="да",$H539&lt;&gt;""),ROUND($H539*$L539,2),0)</f>
        <v/>
      </c>
      <c r="O539" s="10">
        <f>IF(AND($R539="да",$H539&lt;&gt;""),ROUND($H539*$M539,2),0)</f>
        <v/>
      </c>
      <c r="P539" s="10">
        <f>$N539+$O539</f>
        <v/>
      </c>
      <c r="Q539">
        <f>IFERROR(INDEX(спр_Работы!$J$2:$J$6000,MATCH($C539,спр_Работы!$A$2:$A$6000,0)),"")</f>
        <v/>
      </c>
      <c r="R539" t="inlineStr">
        <is>
          <t>да</t>
        </is>
      </c>
      <c r="T539">
        <f>IF(AND($P539&gt;0,$R539="да"),MAX($T$1:$T538)+1,"")</f>
        <v/>
      </c>
    </row>
    <row r="540">
      <c r="A540">
        <f>IFERROR(INDEX(спр_Работы!$D$2:$D$6000,MATCH($C540,спр_Работы!$A$2:$A$6000,0)),"")</f>
        <v/>
      </c>
      <c r="B540">
        <f>IFERROR(INDEX(спр_Работы!$F$2:$F$6000,MATCH($C540,спр_Работы!$A$2:$A$6000,0)),"")</f>
        <v/>
      </c>
      <c r="C540">
        <f>IFERROR(INDEX(спр_Работы!$A$2:$A$6000,539),"")</f>
        <v/>
      </c>
      <c r="D540" s="8">
        <f>IFERROR(INDEX(спр_Работы!$B$2:$B$6000,MATCH($C540,спр_Работы!$A$2:$A$6000,0)),"")</f>
        <v/>
      </c>
      <c r="E540">
        <f>IFERROR(INDEX(спр_Работы!$C$2:$C$6000,MATCH($C540,спр_Работы!$A$2:$A$6000,0)),"")</f>
        <v/>
      </c>
      <c r="F540">
        <f>IFERROR(INDEX(спр_Работы!$G$2:$G$6000,MATCH($C540,спр_Работы!$A$2:$A$6000,0)),"")</f>
        <v/>
      </c>
      <c r="G540">
        <f>IFERROR(INDEX(спр_Работы!$K$2:$K$6000,MATCH($C540,спр_Работы!$A$2:$A$6000,0)),"")</f>
        <v/>
      </c>
      <c r="H540" s="9" t="n"/>
      <c r="I540" s="9" t="n"/>
      <c r="J540" s="8">
        <f>IFERROR(INDEX(спр_Материалы!$B$2:$B$9000,MATCH($I540,спр_Материалы!$A$2:$A$9000,0)),"")</f>
        <v/>
      </c>
      <c r="K540">
        <f>IF($I540="","",IF($F540=IFERROR(INDEX(спр_Материалы!$G$2:$G$9000,MATCH($I540,спр_Материалы!$A$2:$A$9000,0)),""),"OK","!! не та группа"))</f>
        <v/>
      </c>
      <c r="L540" s="10">
        <f>IFERROR(INDEX(спр_Работы!$H$2:$H$6000,MATCH($C540,спр_Работы!$A$2:$A$6000,0))*(1-ДисконтТендер),0)</f>
        <v/>
      </c>
      <c r="M540" s="10">
        <f>IF($I540="",0,IFERROR(INDEX(спр_Материалы!$I$2:$I$9000,MATCH($I540,спр_Материалы!$A$2:$A$9000,0))*IF(INDEX(спр_Материалы!$J$2:$J$9000,MATCH($I540,спр_Материалы!$A$2:$A$9000,0))="USD",КурсUSD,IF(INDEX(спр_Материалы!$J$2:$J$9000,MATCH($I540,спр_Материалы!$A$2:$A$9000,0))="EUR",КурсEUR,1))*INDEX(спр_Материалы!$K$2:$K$9000,MATCH($I540,спр_Материалы!$A$2:$A$9000,0))*(1+IFERROR(INDEX(спр_Работы!$I$2:$I$6000,MATCH($C540,спр_Работы!$A$2:$A$6000,0))/100,0))*(1-ДисконтТендер),0))</f>
        <v/>
      </c>
      <c r="N540" s="10">
        <f>IF(AND($R540="да",$H540&lt;&gt;""),ROUND($H540*$L540,2),0)</f>
        <v/>
      </c>
      <c r="O540" s="10">
        <f>IF(AND($R540="да",$H540&lt;&gt;""),ROUND($H540*$M540,2),0)</f>
        <v/>
      </c>
      <c r="P540" s="10">
        <f>$N540+$O540</f>
        <v/>
      </c>
      <c r="Q540">
        <f>IFERROR(INDEX(спр_Работы!$J$2:$J$6000,MATCH($C540,спр_Работы!$A$2:$A$6000,0)),"")</f>
        <v/>
      </c>
      <c r="R540" t="inlineStr">
        <is>
          <t>да</t>
        </is>
      </c>
      <c r="T540">
        <f>IF(AND($P540&gt;0,$R540="да"),MAX($T$1:$T539)+1,"")</f>
        <v/>
      </c>
    </row>
    <row r="541">
      <c r="A541">
        <f>IFERROR(INDEX(спр_Работы!$D$2:$D$6000,MATCH($C541,спр_Работы!$A$2:$A$6000,0)),"")</f>
        <v/>
      </c>
      <c r="B541">
        <f>IFERROR(INDEX(спр_Работы!$F$2:$F$6000,MATCH($C541,спр_Работы!$A$2:$A$6000,0)),"")</f>
        <v/>
      </c>
      <c r="C541">
        <f>IFERROR(INDEX(спр_Работы!$A$2:$A$6000,540),"")</f>
        <v/>
      </c>
      <c r="D541" s="8">
        <f>IFERROR(INDEX(спр_Работы!$B$2:$B$6000,MATCH($C541,спр_Работы!$A$2:$A$6000,0)),"")</f>
        <v/>
      </c>
      <c r="E541">
        <f>IFERROR(INDEX(спр_Работы!$C$2:$C$6000,MATCH($C541,спр_Работы!$A$2:$A$6000,0)),"")</f>
        <v/>
      </c>
      <c r="F541">
        <f>IFERROR(INDEX(спр_Работы!$G$2:$G$6000,MATCH($C541,спр_Работы!$A$2:$A$6000,0)),"")</f>
        <v/>
      </c>
      <c r="G541">
        <f>IFERROR(INDEX(спр_Работы!$K$2:$K$6000,MATCH($C541,спр_Работы!$A$2:$A$6000,0)),"")</f>
        <v/>
      </c>
      <c r="H541" s="9" t="n"/>
      <c r="I541" s="9" t="n"/>
      <c r="J541" s="8">
        <f>IFERROR(INDEX(спр_Материалы!$B$2:$B$9000,MATCH($I541,спр_Материалы!$A$2:$A$9000,0)),"")</f>
        <v/>
      </c>
      <c r="K541">
        <f>IF($I541="","",IF($F541=IFERROR(INDEX(спр_Материалы!$G$2:$G$9000,MATCH($I541,спр_Материалы!$A$2:$A$9000,0)),""),"OK","!! не та группа"))</f>
        <v/>
      </c>
      <c r="L541" s="10">
        <f>IFERROR(INDEX(спр_Работы!$H$2:$H$6000,MATCH($C541,спр_Работы!$A$2:$A$6000,0))*(1-ДисконтТендер),0)</f>
        <v/>
      </c>
      <c r="M541" s="10">
        <f>IF($I541="",0,IFERROR(INDEX(спр_Материалы!$I$2:$I$9000,MATCH($I541,спр_Материалы!$A$2:$A$9000,0))*IF(INDEX(спр_Материалы!$J$2:$J$9000,MATCH($I541,спр_Материалы!$A$2:$A$9000,0))="USD",КурсUSD,IF(INDEX(спр_Материалы!$J$2:$J$9000,MATCH($I541,спр_Материалы!$A$2:$A$9000,0))="EUR",КурсEUR,1))*INDEX(спр_Материалы!$K$2:$K$9000,MATCH($I541,спр_Материалы!$A$2:$A$9000,0))*(1+IFERROR(INDEX(спр_Работы!$I$2:$I$6000,MATCH($C541,спр_Работы!$A$2:$A$6000,0))/100,0))*(1-ДисконтТендер),0))</f>
        <v/>
      </c>
      <c r="N541" s="10">
        <f>IF(AND($R541="да",$H541&lt;&gt;""),ROUND($H541*$L541,2),0)</f>
        <v/>
      </c>
      <c r="O541" s="10">
        <f>IF(AND($R541="да",$H541&lt;&gt;""),ROUND($H541*$M541,2),0)</f>
        <v/>
      </c>
      <c r="P541" s="10">
        <f>$N541+$O541</f>
        <v/>
      </c>
      <c r="Q541">
        <f>IFERROR(INDEX(спр_Работы!$J$2:$J$6000,MATCH($C541,спр_Работы!$A$2:$A$6000,0)),"")</f>
        <v/>
      </c>
      <c r="R541" t="inlineStr">
        <is>
          <t>да</t>
        </is>
      </c>
      <c r="T541">
        <f>IF(AND($P541&gt;0,$R541="да"),MAX($T$1:$T540)+1,"")</f>
        <v/>
      </c>
    </row>
    <row r="542">
      <c r="A542">
        <f>IFERROR(INDEX(спр_Работы!$D$2:$D$6000,MATCH($C542,спр_Работы!$A$2:$A$6000,0)),"")</f>
        <v/>
      </c>
      <c r="B542">
        <f>IFERROR(INDEX(спр_Работы!$F$2:$F$6000,MATCH($C542,спр_Работы!$A$2:$A$6000,0)),"")</f>
        <v/>
      </c>
      <c r="C542">
        <f>IFERROR(INDEX(спр_Работы!$A$2:$A$6000,541),"")</f>
        <v/>
      </c>
      <c r="D542" s="8">
        <f>IFERROR(INDEX(спр_Работы!$B$2:$B$6000,MATCH($C542,спр_Работы!$A$2:$A$6000,0)),"")</f>
        <v/>
      </c>
      <c r="E542">
        <f>IFERROR(INDEX(спр_Работы!$C$2:$C$6000,MATCH($C542,спр_Работы!$A$2:$A$6000,0)),"")</f>
        <v/>
      </c>
      <c r="F542">
        <f>IFERROR(INDEX(спр_Работы!$G$2:$G$6000,MATCH($C542,спр_Работы!$A$2:$A$6000,0)),"")</f>
        <v/>
      </c>
      <c r="G542">
        <f>IFERROR(INDEX(спр_Работы!$K$2:$K$6000,MATCH($C542,спр_Работы!$A$2:$A$6000,0)),"")</f>
        <v/>
      </c>
      <c r="H542" s="9" t="n"/>
      <c r="I542" s="9" t="n"/>
      <c r="J542" s="8">
        <f>IFERROR(INDEX(спр_Материалы!$B$2:$B$9000,MATCH($I542,спр_Материалы!$A$2:$A$9000,0)),"")</f>
        <v/>
      </c>
      <c r="K542">
        <f>IF($I542="","",IF($F542=IFERROR(INDEX(спр_Материалы!$G$2:$G$9000,MATCH($I542,спр_Материалы!$A$2:$A$9000,0)),""),"OK","!! не та группа"))</f>
        <v/>
      </c>
      <c r="L542" s="10">
        <f>IFERROR(INDEX(спр_Работы!$H$2:$H$6000,MATCH($C542,спр_Работы!$A$2:$A$6000,0))*(1-ДисконтТендер),0)</f>
        <v/>
      </c>
      <c r="M542" s="10">
        <f>IF($I542="",0,IFERROR(INDEX(спр_Материалы!$I$2:$I$9000,MATCH($I542,спр_Материалы!$A$2:$A$9000,0))*IF(INDEX(спр_Материалы!$J$2:$J$9000,MATCH($I542,спр_Материалы!$A$2:$A$9000,0))="USD",КурсUSD,IF(INDEX(спр_Материалы!$J$2:$J$9000,MATCH($I542,спр_Материалы!$A$2:$A$9000,0))="EUR",КурсEUR,1))*INDEX(спр_Материалы!$K$2:$K$9000,MATCH($I542,спр_Материалы!$A$2:$A$9000,0))*(1+IFERROR(INDEX(спр_Работы!$I$2:$I$6000,MATCH($C542,спр_Работы!$A$2:$A$6000,0))/100,0))*(1-ДисконтТендер),0))</f>
        <v/>
      </c>
      <c r="N542" s="10">
        <f>IF(AND($R542="да",$H542&lt;&gt;""),ROUND($H542*$L542,2),0)</f>
        <v/>
      </c>
      <c r="O542" s="10">
        <f>IF(AND($R542="да",$H542&lt;&gt;""),ROUND($H542*$M542,2),0)</f>
        <v/>
      </c>
      <c r="P542" s="10">
        <f>$N542+$O542</f>
        <v/>
      </c>
      <c r="Q542">
        <f>IFERROR(INDEX(спр_Работы!$J$2:$J$6000,MATCH($C542,спр_Работы!$A$2:$A$6000,0)),"")</f>
        <v/>
      </c>
      <c r="R542" t="inlineStr">
        <is>
          <t>да</t>
        </is>
      </c>
      <c r="T542">
        <f>IF(AND($P542&gt;0,$R542="да"),MAX($T$1:$T541)+1,"")</f>
        <v/>
      </c>
    </row>
    <row r="543">
      <c r="A543">
        <f>IFERROR(INDEX(спр_Работы!$D$2:$D$6000,MATCH($C543,спр_Работы!$A$2:$A$6000,0)),"")</f>
        <v/>
      </c>
      <c r="B543">
        <f>IFERROR(INDEX(спр_Работы!$F$2:$F$6000,MATCH($C543,спр_Работы!$A$2:$A$6000,0)),"")</f>
        <v/>
      </c>
      <c r="C543">
        <f>IFERROR(INDEX(спр_Работы!$A$2:$A$6000,542),"")</f>
        <v/>
      </c>
      <c r="D543" s="8">
        <f>IFERROR(INDEX(спр_Работы!$B$2:$B$6000,MATCH($C543,спр_Работы!$A$2:$A$6000,0)),"")</f>
        <v/>
      </c>
      <c r="E543">
        <f>IFERROR(INDEX(спр_Работы!$C$2:$C$6000,MATCH($C543,спр_Работы!$A$2:$A$6000,0)),"")</f>
        <v/>
      </c>
      <c r="F543">
        <f>IFERROR(INDEX(спр_Работы!$G$2:$G$6000,MATCH($C543,спр_Работы!$A$2:$A$6000,0)),"")</f>
        <v/>
      </c>
      <c r="G543">
        <f>IFERROR(INDEX(спр_Работы!$K$2:$K$6000,MATCH($C543,спр_Работы!$A$2:$A$6000,0)),"")</f>
        <v/>
      </c>
      <c r="H543" s="9" t="n"/>
      <c r="I543" s="9" t="n"/>
      <c r="J543" s="8">
        <f>IFERROR(INDEX(спр_Материалы!$B$2:$B$9000,MATCH($I543,спр_Материалы!$A$2:$A$9000,0)),"")</f>
        <v/>
      </c>
      <c r="K543">
        <f>IF($I543="","",IF($F543=IFERROR(INDEX(спр_Материалы!$G$2:$G$9000,MATCH($I543,спр_Материалы!$A$2:$A$9000,0)),""),"OK","!! не та группа"))</f>
        <v/>
      </c>
      <c r="L543" s="10">
        <f>IFERROR(INDEX(спр_Работы!$H$2:$H$6000,MATCH($C543,спр_Работы!$A$2:$A$6000,0))*(1-ДисконтТендер),0)</f>
        <v/>
      </c>
      <c r="M543" s="10">
        <f>IF($I543="",0,IFERROR(INDEX(спр_Материалы!$I$2:$I$9000,MATCH($I543,спр_Материалы!$A$2:$A$9000,0))*IF(INDEX(спр_Материалы!$J$2:$J$9000,MATCH($I543,спр_Материалы!$A$2:$A$9000,0))="USD",КурсUSD,IF(INDEX(спр_Материалы!$J$2:$J$9000,MATCH($I543,спр_Материалы!$A$2:$A$9000,0))="EUR",КурсEUR,1))*INDEX(спр_Материалы!$K$2:$K$9000,MATCH($I543,спр_Материалы!$A$2:$A$9000,0))*(1+IFERROR(INDEX(спр_Работы!$I$2:$I$6000,MATCH($C543,спр_Работы!$A$2:$A$6000,0))/100,0))*(1-ДисконтТендер),0))</f>
        <v/>
      </c>
      <c r="N543" s="10">
        <f>IF(AND($R543="да",$H543&lt;&gt;""),ROUND($H543*$L543,2),0)</f>
        <v/>
      </c>
      <c r="O543" s="10">
        <f>IF(AND($R543="да",$H543&lt;&gt;""),ROUND($H543*$M543,2),0)</f>
        <v/>
      </c>
      <c r="P543" s="10">
        <f>$N543+$O543</f>
        <v/>
      </c>
      <c r="Q543">
        <f>IFERROR(INDEX(спр_Работы!$J$2:$J$6000,MATCH($C543,спр_Работы!$A$2:$A$6000,0)),"")</f>
        <v/>
      </c>
      <c r="R543" t="inlineStr">
        <is>
          <t>да</t>
        </is>
      </c>
      <c r="T543">
        <f>IF(AND($P543&gt;0,$R543="да"),MAX($T$1:$T542)+1,"")</f>
        <v/>
      </c>
    </row>
    <row r="544">
      <c r="A544">
        <f>IFERROR(INDEX(спр_Работы!$D$2:$D$6000,MATCH($C544,спр_Работы!$A$2:$A$6000,0)),"")</f>
        <v/>
      </c>
      <c r="B544">
        <f>IFERROR(INDEX(спр_Работы!$F$2:$F$6000,MATCH($C544,спр_Работы!$A$2:$A$6000,0)),"")</f>
        <v/>
      </c>
      <c r="C544">
        <f>IFERROR(INDEX(спр_Работы!$A$2:$A$6000,543),"")</f>
        <v/>
      </c>
      <c r="D544" s="8">
        <f>IFERROR(INDEX(спр_Работы!$B$2:$B$6000,MATCH($C544,спр_Работы!$A$2:$A$6000,0)),"")</f>
        <v/>
      </c>
      <c r="E544">
        <f>IFERROR(INDEX(спр_Работы!$C$2:$C$6000,MATCH($C544,спр_Работы!$A$2:$A$6000,0)),"")</f>
        <v/>
      </c>
      <c r="F544">
        <f>IFERROR(INDEX(спр_Работы!$G$2:$G$6000,MATCH($C544,спр_Работы!$A$2:$A$6000,0)),"")</f>
        <v/>
      </c>
      <c r="G544">
        <f>IFERROR(INDEX(спр_Работы!$K$2:$K$6000,MATCH($C544,спр_Работы!$A$2:$A$6000,0)),"")</f>
        <v/>
      </c>
      <c r="H544" s="9" t="n"/>
      <c r="I544" s="9" t="n"/>
      <c r="J544" s="8">
        <f>IFERROR(INDEX(спр_Материалы!$B$2:$B$9000,MATCH($I544,спр_Материалы!$A$2:$A$9000,0)),"")</f>
        <v/>
      </c>
      <c r="K544">
        <f>IF($I544="","",IF($F544=IFERROR(INDEX(спр_Материалы!$G$2:$G$9000,MATCH($I544,спр_Материалы!$A$2:$A$9000,0)),""),"OK","!! не та группа"))</f>
        <v/>
      </c>
      <c r="L544" s="10">
        <f>IFERROR(INDEX(спр_Работы!$H$2:$H$6000,MATCH($C544,спр_Работы!$A$2:$A$6000,0))*(1-ДисконтТендер),0)</f>
        <v/>
      </c>
      <c r="M544" s="10">
        <f>IF($I544="",0,IFERROR(INDEX(спр_Материалы!$I$2:$I$9000,MATCH($I544,спр_Материалы!$A$2:$A$9000,0))*IF(INDEX(спр_Материалы!$J$2:$J$9000,MATCH($I544,спр_Материалы!$A$2:$A$9000,0))="USD",КурсUSD,IF(INDEX(спр_Материалы!$J$2:$J$9000,MATCH($I544,спр_Материалы!$A$2:$A$9000,0))="EUR",КурсEUR,1))*INDEX(спр_Материалы!$K$2:$K$9000,MATCH($I544,спр_Материалы!$A$2:$A$9000,0))*(1+IFERROR(INDEX(спр_Работы!$I$2:$I$6000,MATCH($C544,спр_Работы!$A$2:$A$6000,0))/100,0))*(1-ДисконтТендер),0))</f>
        <v/>
      </c>
      <c r="N544" s="10">
        <f>IF(AND($R544="да",$H544&lt;&gt;""),ROUND($H544*$L544,2),0)</f>
        <v/>
      </c>
      <c r="O544" s="10">
        <f>IF(AND($R544="да",$H544&lt;&gt;""),ROUND($H544*$M544,2),0)</f>
        <v/>
      </c>
      <c r="P544" s="10">
        <f>$N544+$O544</f>
        <v/>
      </c>
      <c r="Q544">
        <f>IFERROR(INDEX(спр_Работы!$J$2:$J$6000,MATCH($C544,спр_Работы!$A$2:$A$6000,0)),"")</f>
        <v/>
      </c>
      <c r="R544" t="inlineStr">
        <is>
          <t>да</t>
        </is>
      </c>
      <c r="T544">
        <f>IF(AND($P544&gt;0,$R544="да"),MAX($T$1:$T543)+1,"")</f>
        <v/>
      </c>
    </row>
    <row r="545">
      <c r="A545">
        <f>IFERROR(INDEX(спр_Работы!$D$2:$D$6000,MATCH($C545,спр_Работы!$A$2:$A$6000,0)),"")</f>
        <v/>
      </c>
      <c r="B545">
        <f>IFERROR(INDEX(спр_Работы!$F$2:$F$6000,MATCH($C545,спр_Работы!$A$2:$A$6000,0)),"")</f>
        <v/>
      </c>
      <c r="C545">
        <f>IFERROR(INDEX(спр_Работы!$A$2:$A$6000,544),"")</f>
        <v/>
      </c>
      <c r="D545" s="8">
        <f>IFERROR(INDEX(спр_Работы!$B$2:$B$6000,MATCH($C545,спр_Работы!$A$2:$A$6000,0)),"")</f>
        <v/>
      </c>
      <c r="E545">
        <f>IFERROR(INDEX(спр_Работы!$C$2:$C$6000,MATCH($C545,спр_Работы!$A$2:$A$6000,0)),"")</f>
        <v/>
      </c>
      <c r="F545">
        <f>IFERROR(INDEX(спр_Работы!$G$2:$G$6000,MATCH($C545,спр_Работы!$A$2:$A$6000,0)),"")</f>
        <v/>
      </c>
      <c r="G545">
        <f>IFERROR(INDEX(спр_Работы!$K$2:$K$6000,MATCH($C545,спр_Работы!$A$2:$A$6000,0)),"")</f>
        <v/>
      </c>
      <c r="H545" s="9" t="n"/>
      <c r="I545" s="9" t="n"/>
      <c r="J545" s="8">
        <f>IFERROR(INDEX(спр_Материалы!$B$2:$B$9000,MATCH($I545,спр_Материалы!$A$2:$A$9000,0)),"")</f>
        <v/>
      </c>
      <c r="K545">
        <f>IF($I545="","",IF($F545=IFERROR(INDEX(спр_Материалы!$G$2:$G$9000,MATCH($I545,спр_Материалы!$A$2:$A$9000,0)),""),"OK","!! не та группа"))</f>
        <v/>
      </c>
      <c r="L545" s="10">
        <f>IFERROR(INDEX(спр_Работы!$H$2:$H$6000,MATCH($C545,спр_Работы!$A$2:$A$6000,0))*(1-ДисконтТендер),0)</f>
        <v/>
      </c>
      <c r="M545" s="10">
        <f>IF($I545="",0,IFERROR(INDEX(спр_Материалы!$I$2:$I$9000,MATCH($I545,спр_Материалы!$A$2:$A$9000,0))*IF(INDEX(спр_Материалы!$J$2:$J$9000,MATCH($I545,спр_Материалы!$A$2:$A$9000,0))="USD",КурсUSD,IF(INDEX(спр_Материалы!$J$2:$J$9000,MATCH($I545,спр_Материалы!$A$2:$A$9000,0))="EUR",КурсEUR,1))*INDEX(спр_Материалы!$K$2:$K$9000,MATCH($I545,спр_Материалы!$A$2:$A$9000,0))*(1+IFERROR(INDEX(спр_Работы!$I$2:$I$6000,MATCH($C545,спр_Работы!$A$2:$A$6000,0))/100,0))*(1-ДисконтТендер),0))</f>
        <v/>
      </c>
      <c r="N545" s="10">
        <f>IF(AND($R545="да",$H545&lt;&gt;""),ROUND($H545*$L545,2),0)</f>
        <v/>
      </c>
      <c r="O545" s="10">
        <f>IF(AND($R545="да",$H545&lt;&gt;""),ROUND($H545*$M545,2),0)</f>
        <v/>
      </c>
      <c r="P545" s="10">
        <f>$N545+$O545</f>
        <v/>
      </c>
      <c r="Q545">
        <f>IFERROR(INDEX(спр_Работы!$J$2:$J$6000,MATCH($C545,спр_Работы!$A$2:$A$6000,0)),"")</f>
        <v/>
      </c>
      <c r="R545" t="inlineStr">
        <is>
          <t>да</t>
        </is>
      </c>
      <c r="T545">
        <f>IF(AND($P545&gt;0,$R545="да"),MAX($T$1:$T544)+1,"")</f>
        <v/>
      </c>
    </row>
    <row r="546">
      <c r="A546">
        <f>IFERROR(INDEX(спр_Работы!$D$2:$D$6000,MATCH($C546,спр_Работы!$A$2:$A$6000,0)),"")</f>
        <v/>
      </c>
      <c r="B546">
        <f>IFERROR(INDEX(спр_Работы!$F$2:$F$6000,MATCH($C546,спр_Работы!$A$2:$A$6000,0)),"")</f>
        <v/>
      </c>
      <c r="C546">
        <f>IFERROR(INDEX(спр_Работы!$A$2:$A$6000,545),"")</f>
        <v/>
      </c>
      <c r="D546" s="8">
        <f>IFERROR(INDEX(спр_Работы!$B$2:$B$6000,MATCH($C546,спр_Работы!$A$2:$A$6000,0)),"")</f>
        <v/>
      </c>
      <c r="E546">
        <f>IFERROR(INDEX(спр_Работы!$C$2:$C$6000,MATCH($C546,спр_Работы!$A$2:$A$6000,0)),"")</f>
        <v/>
      </c>
      <c r="F546">
        <f>IFERROR(INDEX(спр_Работы!$G$2:$G$6000,MATCH($C546,спр_Работы!$A$2:$A$6000,0)),"")</f>
        <v/>
      </c>
      <c r="G546">
        <f>IFERROR(INDEX(спр_Работы!$K$2:$K$6000,MATCH($C546,спр_Работы!$A$2:$A$6000,0)),"")</f>
        <v/>
      </c>
      <c r="H546" s="9" t="n"/>
      <c r="I546" s="9" t="n"/>
      <c r="J546" s="8">
        <f>IFERROR(INDEX(спр_Материалы!$B$2:$B$9000,MATCH($I546,спр_Материалы!$A$2:$A$9000,0)),"")</f>
        <v/>
      </c>
      <c r="K546">
        <f>IF($I546="","",IF($F546=IFERROR(INDEX(спр_Материалы!$G$2:$G$9000,MATCH($I546,спр_Материалы!$A$2:$A$9000,0)),""),"OK","!! не та группа"))</f>
        <v/>
      </c>
      <c r="L546" s="10">
        <f>IFERROR(INDEX(спр_Работы!$H$2:$H$6000,MATCH($C546,спр_Работы!$A$2:$A$6000,0))*(1-ДисконтТендер),0)</f>
        <v/>
      </c>
      <c r="M546" s="10">
        <f>IF($I546="",0,IFERROR(INDEX(спр_Материалы!$I$2:$I$9000,MATCH($I546,спр_Материалы!$A$2:$A$9000,0))*IF(INDEX(спр_Материалы!$J$2:$J$9000,MATCH($I546,спр_Материалы!$A$2:$A$9000,0))="USD",КурсUSD,IF(INDEX(спр_Материалы!$J$2:$J$9000,MATCH($I546,спр_Материалы!$A$2:$A$9000,0))="EUR",КурсEUR,1))*INDEX(спр_Материалы!$K$2:$K$9000,MATCH($I546,спр_Материалы!$A$2:$A$9000,0))*(1+IFERROR(INDEX(спр_Работы!$I$2:$I$6000,MATCH($C546,спр_Работы!$A$2:$A$6000,0))/100,0))*(1-ДисконтТендер),0))</f>
        <v/>
      </c>
      <c r="N546" s="10">
        <f>IF(AND($R546="да",$H546&lt;&gt;""),ROUND($H546*$L546,2),0)</f>
        <v/>
      </c>
      <c r="O546" s="10">
        <f>IF(AND($R546="да",$H546&lt;&gt;""),ROUND($H546*$M546,2),0)</f>
        <v/>
      </c>
      <c r="P546" s="10">
        <f>$N546+$O546</f>
        <v/>
      </c>
      <c r="Q546">
        <f>IFERROR(INDEX(спр_Работы!$J$2:$J$6000,MATCH($C546,спр_Работы!$A$2:$A$6000,0)),"")</f>
        <v/>
      </c>
      <c r="R546" t="inlineStr">
        <is>
          <t>да</t>
        </is>
      </c>
      <c r="T546">
        <f>IF(AND($P546&gt;0,$R546="да"),MAX($T$1:$T545)+1,"")</f>
        <v/>
      </c>
    </row>
    <row r="547">
      <c r="A547">
        <f>IFERROR(INDEX(спр_Работы!$D$2:$D$6000,MATCH($C547,спр_Работы!$A$2:$A$6000,0)),"")</f>
        <v/>
      </c>
      <c r="B547">
        <f>IFERROR(INDEX(спр_Работы!$F$2:$F$6000,MATCH($C547,спр_Работы!$A$2:$A$6000,0)),"")</f>
        <v/>
      </c>
      <c r="C547">
        <f>IFERROR(INDEX(спр_Работы!$A$2:$A$6000,546),"")</f>
        <v/>
      </c>
      <c r="D547" s="8">
        <f>IFERROR(INDEX(спр_Работы!$B$2:$B$6000,MATCH($C547,спр_Работы!$A$2:$A$6000,0)),"")</f>
        <v/>
      </c>
      <c r="E547">
        <f>IFERROR(INDEX(спр_Работы!$C$2:$C$6000,MATCH($C547,спр_Работы!$A$2:$A$6000,0)),"")</f>
        <v/>
      </c>
      <c r="F547">
        <f>IFERROR(INDEX(спр_Работы!$G$2:$G$6000,MATCH($C547,спр_Работы!$A$2:$A$6000,0)),"")</f>
        <v/>
      </c>
      <c r="G547">
        <f>IFERROR(INDEX(спр_Работы!$K$2:$K$6000,MATCH($C547,спр_Работы!$A$2:$A$6000,0)),"")</f>
        <v/>
      </c>
      <c r="H547" s="9" t="n"/>
      <c r="I547" s="9" t="n"/>
      <c r="J547" s="8">
        <f>IFERROR(INDEX(спр_Материалы!$B$2:$B$9000,MATCH($I547,спр_Материалы!$A$2:$A$9000,0)),"")</f>
        <v/>
      </c>
      <c r="K547">
        <f>IF($I547="","",IF($F547=IFERROR(INDEX(спр_Материалы!$G$2:$G$9000,MATCH($I547,спр_Материалы!$A$2:$A$9000,0)),""),"OK","!! не та группа"))</f>
        <v/>
      </c>
      <c r="L547" s="10">
        <f>IFERROR(INDEX(спр_Работы!$H$2:$H$6000,MATCH($C547,спр_Работы!$A$2:$A$6000,0))*(1-ДисконтТендер),0)</f>
        <v/>
      </c>
      <c r="M547" s="10">
        <f>IF($I547="",0,IFERROR(INDEX(спр_Материалы!$I$2:$I$9000,MATCH($I547,спр_Материалы!$A$2:$A$9000,0))*IF(INDEX(спр_Материалы!$J$2:$J$9000,MATCH($I547,спр_Материалы!$A$2:$A$9000,0))="USD",КурсUSD,IF(INDEX(спр_Материалы!$J$2:$J$9000,MATCH($I547,спр_Материалы!$A$2:$A$9000,0))="EUR",КурсEUR,1))*INDEX(спр_Материалы!$K$2:$K$9000,MATCH($I547,спр_Материалы!$A$2:$A$9000,0))*(1+IFERROR(INDEX(спр_Работы!$I$2:$I$6000,MATCH($C547,спр_Работы!$A$2:$A$6000,0))/100,0))*(1-ДисконтТендер),0))</f>
        <v/>
      </c>
      <c r="N547" s="10">
        <f>IF(AND($R547="да",$H547&lt;&gt;""),ROUND($H547*$L547,2),0)</f>
        <v/>
      </c>
      <c r="O547" s="10">
        <f>IF(AND($R547="да",$H547&lt;&gt;""),ROUND($H547*$M547,2),0)</f>
        <v/>
      </c>
      <c r="P547" s="10">
        <f>$N547+$O547</f>
        <v/>
      </c>
      <c r="Q547">
        <f>IFERROR(INDEX(спр_Работы!$J$2:$J$6000,MATCH($C547,спр_Работы!$A$2:$A$6000,0)),"")</f>
        <v/>
      </c>
      <c r="R547" t="inlineStr">
        <is>
          <t>да</t>
        </is>
      </c>
      <c r="T547">
        <f>IF(AND($P547&gt;0,$R547="да"),MAX($T$1:$T546)+1,"")</f>
        <v/>
      </c>
    </row>
    <row r="548">
      <c r="A548">
        <f>IFERROR(INDEX(спр_Работы!$D$2:$D$6000,MATCH($C548,спр_Работы!$A$2:$A$6000,0)),"")</f>
        <v/>
      </c>
      <c r="B548">
        <f>IFERROR(INDEX(спр_Работы!$F$2:$F$6000,MATCH($C548,спр_Работы!$A$2:$A$6000,0)),"")</f>
        <v/>
      </c>
      <c r="C548">
        <f>IFERROR(INDEX(спр_Работы!$A$2:$A$6000,547),"")</f>
        <v/>
      </c>
      <c r="D548" s="8">
        <f>IFERROR(INDEX(спр_Работы!$B$2:$B$6000,MATCH($C548,спр_Работы!$A$2:$A$6000,0)),"")</f>
        <v/>
      </c>
      <c r="E548">
        <f>IFERROR(INDEX(спр_Работы!$C$2:$C$6000,MATCH($C548,спр_Работы!$A$2:$A$6000,0)),"")</f>
        <v/>
      </c>
      <c r="F548">
        <f>IFERROR(INDEX(спр_Работы!$G$2:$G$6000,MATCH($C548,спр_Работы!$A$2:$A$6000,0)),"")</f>
        <v/>
      </c>
      <c r="G548">
        <f>IFERROR(INDEX(спр_Работы!$K$2:$K$6000,MATCH($C548,спр_Работы!$A$2:$A$6000,0)),"")</f>
        <v/>
      </c>
      <c r="H548" s="9" t="n"/>
      <c r="I548" s="9" t="n"/>
      <c r="J548" s="8">
        <f>IFERROR(INDEX(спр_Материалы!$B$2:$B$9000,MATCH($I548,спр_Материалы!$A$2:$A$9000,0)),"")</f>
        <v/>
      </c>
      <c r="K548">
        <f>IF($I548="","",IF($F548=IFERROR(INDEX(спр_Материалы!$G$2:$G$9000,MATCH($I548,спр_Материалы!$A$2:$A$9000,0)),""),"OK","!! не та группа"))</f>
        <v/>
      </c>
      <c r="L548" s="10">
        <f>IFERROR(INDEX(спр_Работы!$H$2:$H$6000,MATCH($C548,спр_Работы!$A$2:$A$6000,0))*(1-ДисконтТендер),0)</f>
        <v/>
      </c>
      <c r="M548" s="10">
        <f>IF($I548="",0,IFERROR(INDEX(спр_Материалы!$I$2:$I$9000,MATCH($I548,спр_Материалы!$A$2:$A$9000,0))*IF(INDEX(спр_Материалы!$J$2:$J$9000,MATCH($I548,спр_Материалы!$A$2:$A$9000,0))="USD",КурсUSD,IF(INDEX(спр_Материалы!$J$2:$J$9000,MATCH($I548,спр_Материалы!$A$2:$A$9000,0))="EUR",КурсEUR,1))*INDEX(спр_Материалы!$K$2:$K$9000,MATCH($I548,спр_Материалы!$A$2:$A$9000,0))*(1+IFERROR(INDEX(спр_Работы!$I$2:$I$6000,MATCH($C548,спр_Работы!$A$2:$A$6000,0))/100,0))*(1-ДисконтТендер),0))</f>
        <v/>
      </c>
      <c r="N548" s="10">
        <f>IF(AND($R548="да",$H548&lt;&gt;""),ROUND($H548*$L548,2),0)</f>
        <v/>
      </c>
      <c r="O548" s="10">
        <f>IF(AND($R548="да",$H548&lt;&gt;""),ROUND($H548*$M548,2),0)</f>
        <v/>
      </c>
      <c r="P548" s="10">
        <f>$N548+$O548</f>
        <v/>
      </c>
      <c r="Q548">
        <f>IFERROR(INDEX(спр_Работы!$J$2:$J$6000,MATCH($C548,спр_Работы!$A$2:$A$6000,0)),"")</f>
        <v/>
      </c>
      <c r="R548" t="inlineStr">
        <is>
          <t>да</t>
        </is>
      </c>
      <c r="T548">
        <f>IF(AND($P548&gt;0,$R548="да"),MAX($T$1:$T547)+1,"")</f>
        <v/>
      </c>
    </row>
    <row r="549">
      <c r="A549">
        <f>IFERROR(INDEX(спр_Работы!$D$2:$D$6000,MATCH($C549,спр_Работы!$A$2:$A$6000,0)),"")</f>
        <v/>
      </c>
      <c r="B549">
        <f>IFERROR(INDEX(спр_Работы!$F$2:$F$6000,MATCH($C549,спр_Работы!$A$2:$A$6000,0)),"")</f>
        <v/>
      </c>
      <c r="C549">
        <f>IFERROR(INDEX(спр_Работы!$A$2:$A$6000,548),"")</f>
        <v/>
      </c>
      <c r="D549" s="8">
        <f>IFERROR(INDEX(спр_Работы!$B$2:$B$6000,MATCH($C549,спр_Работы!$A$2:$A$6000,0)),"")</f>
        <v/>
      </c>
      <c r="E549">
        <f>IFERROR(INDEX(спр_Работы!$C$2:$C$6000,MATCH($C549,спр_Работы!$A$2:$A$6000,0)),"")</f>
        <v/>
      </c>
      <c r="F549">
        <f>IFERROR(INDEX(спр_Работы!$G$2:$G$6000,MATCH($C549,спр_Работы!$A$2:$A$6000,0)),"")</f>
        <v/>
      </c>
      <c r="G549">
        <f>IFERROR(INDEX(спр_Работы!$K$2:$K$6000,MATCH($C549,спр_Работы!$A$2:$A$6000,0)),"")</f>
        <v/>
      </c>
      <c r="H549" s="9" t="n"/>
      <c r="I549" s="9" t="n"/>
      <c r="J549" s="8">
        <f>IFERROR(INDEX(спр_Материалы!$B$2:$B$9000,MATCH($I549,спр_Материалы!$A$2:$A$9000,0)),"")</f>
        <v/>
      </c>
      <c r="K549">
        <f>IF($I549="","",IF($F549=IFERROR(INDEX(спр_Материалы!$G$2:$G$9000,MATCH($I549,спр_Материалы!$A$2:$A$9000,0)),""),"OK","!! не та группа"))</f>
        <v/>
      </c>
      <c r="L549" s="10">
        <f>IFERROR(INDEX(спр_Работы!$H$2:$H$6000,MATCH($C549,спр_Работы!$A$2:$A$6000,0))*(1-ДисконтТендер),0)</f>
        <v/>
      </c>
      <c r="M549" s="10">
        <f>IF($I549="",0,IFERROR(INDEX(спр_Материалы!$I$2:$I$9000,MATCH($I549,спр_Материалы!$A$2:$A$9000,0))*IF(INDEX(спр_Материалы!$J$2:$J$9000,MATCH($I549,спр_Материалы!$A$2:$A$9000,0))="USD",КурсUSD,IF(INDEX(спр_Материалы!$J$2:$J$9000,MATCH($I549,спр_Материалы!$A$2:$A$9000,0))="EUR",КурсEUR,1))*INDEX(спр_Материалы!$K$2:$K$9000,MATCH($I549,спр_Материалы!$A$2:$A$9000,0))*(1+IFERROR(INDEX(спр_Работы!$I$2:$I$6000,MATCH($C549,спр_Работы!$A$2:$A$6000,0))/100,0))*(1-ДисконтТендер),0))</f>
        <v/>
      </c>
      <c r="N549" s="10">
        <f>IF(AND($R549="да",$H549&lt;&gt;""),ROUND($H549*$L549,2),0)</f>
        <v/>
      </c>
      <c r="O549" s="10">
        <f>IF(AND($R549="да",$H549&lt;&gt;""),ROUND($H549*$M549,2),0)</f>
        <v/>
      </c>
      <c r="P549" s="10">
        <f>$N549+$O549</f>
        <v/>
      </c>
      <c r="Q549">
        <f>IFERROR(INDEX(спр_Работы!$J$2:$J$6000,MATCH($C549,спр_Работы!$A$2:$A$6000,0)),"")</f>
        <v/>
      </c>
      <c r="R549" t="inlineStr">
        <is>
          <t>да</t>
        </is>
      </c>
      <c r="T549">
        <f>IF(AND($P549&gt;0,$R549="да"),MAX($T$1:$T548)+1,"")</f>
        <v/>
      </c>
    </row>
    <row r="550">
      <c r="A550">
        <f>IFERROR(INDEX(спр_Работы!$D$2:$D$6000,MATCH($C550,спр_Работы!$A$2:$A$6000,0)),"")</f>
        <v/>
      </c>
      <c r="B550">
        <f>IFERROR(INDEX(спр_Работы!$F$2:$F$6000,MATCH($C550,спр_Работы!$A$2:$A$6000,0)),"")</f>
        <v/>
      </c>
      <c r="C550">
        <f>IFERROR(INDEX(спр_Работы!$A$2:$A$6000,549),"")</f>
        <v/>
      </c>
      <c r="D550" s="8">
        <f>IFERROR(INDEX(спр_Работы!$B$2:$B$6000,MATCH($C550,спр_Работы!$A$2:$A$6000,0)),"")</f>
        <v/>
      </c>
      <c r="E550">
        <f>IFERROR(INDEX(спр_Работы!$C$2:$C$6000,MATCH($C550,спр_Работы!$A$2:$A$6000,0)),"")</f>
        <v/>
      </c>
      <c r="F550">
        <f>IFERROR(INDEX(спр_Работы!$G$2:$G$6000,MATCH($C550,спр_Работы!$A$2:$A$6000,0)),"")</f>
        <v/>
      </c>
      <c r="G550">
        <f>IFERROR(INDEX(спр_Работы!$K$2:$K$6000,MATCH($C550,спр_Работы!$A$2:$A$6000,0)),"")</f>
        <v/>
      </c>
      <c r="H550" s="9" t="n"/>
      <c r="I550" s="9" t="n"/>
      <c r="J550" s="8">
        <f>IFERROR(INDEX(спр_Материалы!$B$2:$B$9000,MATCH($I550,спр_Материалы!$A$2:$A$9000,0)),"")</f>
        <v/>
      </c>
      <c r="K550">
        <f>IF($I550="","",IF($F550=IFERROR(INDEX(спр_Материалы!$G$2:$G$9000,MATCH($I550,спр_Материалы!$A$2:$A$9000,0)),""),"OK","!! не та группа"))</f>
        <v/>
      </c>
      <c r="L550" s="10">
        <f>IFERROR(INDEX(спр_Работы!$H$2:$H$6000,MATCH($C550,спр_Работы!$A$2:$A$6000,0))*(1-ДисконтТендер),0)</f>
        <v/>
      </c>
      <c r="M550" s="10">
        <f>IF($I550="",0,IFERROR(INDEX(спр_Материалы!$I$2:$I$9000,MATCH($I550,спр_Материалы!$A$2:$A$9000,0))*IF(INDEX(спр_Материалы!$J$2:$J$9000,MATCH($I550,спр_Материалы!$A$2:$A$9000,0))="USD",КурсUSD,IF(INDEX(спр_Материалы!$J$2:$J$9000,MATCH($I550,спр_Материалы!$A$2:$A$9000,0))="EUR",КурсEUR,1))*INDEX(спр_Материалы!$K$2:$K$9000,MATCH($I550,спр_Материалы!$A$2:$A$9000,0))*(1+IFERROR(INDEX(спр_Работы!$I$2:$I$6000,MATCH($C550,спр_Работы!$A$2:$A$6000,0))/100,0))*(1-ДисконтТендер),0))</f>
        <v/>
      </c>
      <c r="N550" s="10">
        <f>IF(AND($R550="да",$H550&lt;&gt;""),ROUND($H550*$L550,2),0)</f>
        <v/>
      </c>
      <c r="O550" s="10">
        <f>IF(AND($R550="да",$H550&lt;&gt;""),ROUND($H550*$M550,2),0)</f>
        <v/>
      </c>
      <c r="P550" s="10">
        <f>$N550+$O550</f>
        <v/>
      </c>
      <c r="Q550">
        <f>IFERROR(INDEX(спр_Работы!$J$2:$J$6000,MATCH($C550,спр_Работы!$A$2:$A$6000,0)),"")</f>
        <v/>
      </c>
      <c r="R550" t="inlineStr">
        <is>
          <t>да</t>
        </is>
      </c>
      <c r="T550">
        <f>IF(AND($P550&gt;0,$R550="да"),MAX($T$1:$T549)+1,"")</f>
        <v/>
      </c>
    </row>
    <row r="551">
      <c r="A551">
        <f>IFERROR(INDEX(спр_Работы!$D$2:$D$6000,MATCH($C551,спр_Работы!$A$2:$A$6000,0)),"")</f>
        <v/>
      </c>
      <c r="B551">
        <f>IFERROR(INDEX(спр_Работы!$F$2:$F$6000,MATCH($C551,спр_Работы!$A$2:$A$6000,0)),"")</f>
        <v/>
      </c>
      <c r="C551">
        <f>IFERROR(INDEX(спр_Работы!$A$2:$A$6000,550),"")</f>
        <v/>
      </c>
      <c r="D551" s="8">
        <f>IFERROR(INDEX(спр_Работы!$B$2:$B$6000,MATCH($C551,спр_Работы!$A$2:$A$6000,0)),"")</f>
        <v/>
      </c>
      <c r="E551">
        <f>IFERROR(INDEX(спр_Работы!$C$2:$C$6000,MATCH($C551,спр_Работы!$A$2:$A$6000,0)),"")</f>
        <v/>
      </c>
      <c r="F551">
        <f>IFERROR(INDEX(спр_Работы!$G$2:$G$6000,MATCH($C551,спр_Работы!$A$2:$A$6000,0)),"")</f>
        <v/>
      </c>
      <c r="G551">
        <f>IFERROR(INDEX(спр_Работы!$K$2:$K$6000,MATCH($C551,спр_Работы!$A$2:$A$6000,0)),"")</f>
        <v/>
      </c>
      <c r="H551" s="9" t="n"/>
      <c r="I551" s="9" t="n"/>
      <c r="J551" s="8">
        <f>IFERROR(INDEX(спр_Материалы!$B$2:$B$9000,MATCH($I551,спр_Материалы!$A$2:$A$9000,0)),"")</f>
        <v/>
      </c>
      <c r="K551">
        <f>IF($I551="","",IF($F551=IFERROR(INDEX(спр_Материалы!$G$2:$G$9000,MATCH($I551,спр_Материалы!$A$2:$A$9000,0)),""),"OK","!! не та группа"))</f>
        <v/>
      </c>
      <c r="L551" s="10">
        <f>IFERROR(INDEX(спр_Работы!$H$2:$H$6000,MATCH($C551,спр_Работы!$A$2:$A$6000,0))*(1-ДисконтТендер),0)</f>
        <v/>
      </c>
      <c r="M551" s="10">
        <f>IF($I551="",0,IFERROR(INDEX(спр_Материалы!$I$2:$I$9000,MATCH($I551,спр_Материалы!$A$2:$A$9000,0))*IF(INDEX(спр_Материалы!$J$2:$J$9000,MATCH($I551,спр_Материалы!$A$2:$A$9000,0))="USD",КурсUSD,IF(INDEX(спр_Материалы!$J$2:$J$9000,MATCH($I551,спр_Материалы!$A$2:$A$9000,0))="EUR",КурсEUR,1))*INDEX(спр_Материалы!$K$2:$K$9000,MATCH($I551,спр_Материалы!$A$2:$A$9000,0))*(1+IFERROR(INDEX(спр_Работы!$I$2:$I$6000,MATCH($C551,спр_Работы!$A$2:$A$6000,0))/100,0))*(1-ДисконтТендер),0))</f>
        <v/>
      </c>
      <c r="N551" s="10">
        <f>IF(AND($R551="да",$H551&lt;&gt;""),ROUND($H551*$L551,2),0)</f>
        <v/>
      </c>
      <c r="O551" s="10">
        <f>IF(AND($R551="да",$H551&lt;&gt;""),ROUND($H551*$M551,2),0)</f>
        <v/>
      </c>
      <c r="P551" s="10">
        <f>$N551+$O551</f>
        <v/>
      </c>
      <c r="Q551">
        <f>IFERROR(INDEX(спр_Работы!$J$2:$J$6000,MATCH($C551,спр_Работы!$A$2:$A$6000,0)),"")</f>
        <v/>
      </c>
      <c r="R551" t="inlineStr">
        <is>
          <t>да</t>
        </is>
      </c>
      <c r="T551">
        <f>IF(AND($P551&gt;0,$R551="да"),MAX($T$1:$T550)+1,"")</f>
        <v/>
      </c>
    </row>
    <row r="552">
      <c r="A552">
        <f>IFERROR(INDEX(спр_Работы!$D$2:$D$6000,MATCH($C552,спр_Работы!$A$2:$A$6000,0)),"")</f>
        <v/>
      </c>
      <c r="B552">
        <f>IFERROR(INDEX(спр_Работы!$F$2:$F$6000,MATCH($C552,спр_Работы!$A$2:$A$6000,0)),"")</f>
        <v/>
      </c>
      <c r="C552">
        <f>IFERROR(INDEX(спр_Работы!$A$2:$A$6000,551),"")</f>
        <v/>
      </c>
      <c r="D552" s="8">
        <f>IFERROR(INDEX(спр_Работы!$B$2:$B$6000,MATCH($C552,спр_Работы!$A$2:$A$6000,0)),"")</f>
        <v/>
      </c>
      <c r="E552">
        <f>IFERROR(INDEX(спр_Работы!$C$2:$C$6000,MATCH($C552,спр_Работы!$A$2:$A$6000,0)),"")</f>
        <v/>
      </c>
      <c r="F552">
        <f>IFERROR(INDEX(спр_Работы!$G$2:$G$6000,MATCH($C552,спр_Работы!$A$2:$A$6000,0)),"")</f>
        <v/>
      </c>
      <c r="G552">
        <f>IFERROR(INDEX(спр_Работы!$K$2:$K$6000,MATCH($C552,спр_Работы!$A$2:$A$6000,0)),"")</f>
        <v/>
      </c>
      <c r="H552" s="9" t="n"/>
      <c r="I552" s="9" t="n"/>
      <c r="J552" s="8">
        <f>IFERROR(INDEX(спр_Материалы!$B$2:$B$9000,MATCH($I552,спр_Материалы!$A$2:$A$9000,0)),"")</f>
        <v/>
      </c>
      <c r="K552">
        <f>IF($I552="","",IF($F552=IFERROR(INDEX(спр_Материалы!$G$2:$G$9000,MATCH($I552,спр_Материалы!$A$2:$A$9000,0)),""),"OK","!! не та группа"))</f>
        <v/>
      </c>
      <c r="L552" s="10">
        <f>IFERROR(INDEX(спр_Работы!$H$2:$H$6000,MATCH($C552,спр_Работы!$A$2:$A$6000,0))*(1-ДисконтТендер),0)</f>
        <v/>
      </c>
      <c r="M552" s="10">
        <f>IF($I552="",0,IFERROR(INDEX(спр_Материалы!$I$2:$I$9000,MATCH($I552,спр_Материалы!$A$2:$A$9000,0))*IF(INDEX(спр_Материалы!$J$2:$J$9000,MATCH($I552,спр_Материалы!$A$2:$A$9000,0))="USD",КурсUSD,IF(INDEX(спр_Материалы!$J$2:$J$9000,MATCH($I552,спр_Материалы!$A$2:$A$9000,0))="EUR",КурсEUR,1))*INDEX(спр_Материалы!$K$2:$K$9000,MATCH($I552,спр_Материалы!$A$2:$A$9000,0))*(1+IFERROR(INDEX(спр_Работы!$I$2:$I$6000,MATCH($C552,спр_Работы!$A$2:$A$6000,0))/100,0))*(1-ДисконтТендер),0))</f>
        <v/>
      </c>
      <c r="N552" s="10">
        <f>IF(AND($R552="да",$H552&lt;&gt;""),ROUND($H552*$L552,2),0)</f>
        <v/>
      </c>
      <c r="O552" s="10">
        <f>IF(AND($R552="да",$H552&lt;&gt;""),ROUND($H552*$M552,2),0)</f>
        <v/>
      </c>
      <c r="P552" s="10">
        <f>$N552+$O552</f>
        <v/>
      </c>
      <c r="Q552">
        <f>IFERROR(INDEX(спр_Работы!$J$2:$J$6000,MATCH($C552,спр_Работы!$A$2:$A$6000,0)),"")</f>
        <v/>
      </c>
      <c r="R552" t="inlineStr">
        <is>
          <t>да</t>
        </is>
      </c>
      <c r="T552">
        <f>IF(AND($P552&gt;0,$R552="да"),MAX($T$1:$T551)+1,"")</f>
        <v/>
      </c>
    </row>
    <row r="553">
      <c r="A553">
        <f>IFERROR(INDEX(спр_Работы!$D$2:$D$6000,MATCH($C553,спр_Работы!$A$2:$A$6000,0)),"")</f>
        <v/>
      </c>
      <c r="B553">
        <f>IFERROR(INDEX(спр_Работы!$F$2:$F$6000,MATCH($C553,спр_Работы!$A$2:$A$6000,0)),"")</f>
        <v/>
      </c>
      <c r="C553">
        <f>IFERROR(INDEX(спр_Работы!$A$2:$A$6000,552),"")</f>
        <v/>
      </c>
      <c r="D553" s="8">
        <f>IFERROR(INDEX(спр_Работы!$B$2:$B$6000,MATCH($C553,спр_Работы!$A$2:$A$6000,0)),"")</f>
        <v/>
      </c>
      <c r="E553">
        <f>IFERROR(INDEX(спр_Работы!$C$2:$C$6000,MATCH($C553,спр_Работы!$A$2:$A$6000,0)),"")</f>
        <v/>
      </c>
      <c r="F553">
        <f>IFERROR(INDEX(спр_Работы!$G$2:$G$6000,MATCH($C553,спр_Работы!$A$2:$A$6000,0)),"")</f>
        <v/>
      </c>
      <c r="G553">
        <f>IFERROR(INDEX(спр_Работы!$K$2:$K$6000,MATCH($C553,спр_Работы!$A$2:$A$6000,0)),"")</f>
        <v/>
      </c>
      <c r="H553" s="9" t="n"/>
      <c r="I553" s="9" t="n"/>
      <c r="J553" s="8">
        <f>IFERROR(INDEX(спр_Материалы!$B$2:$B$9000,MATCH($I553,спр_Материалы!$A$2:$A$9000,0)),"")</f>
        <v/>
      </c>
      <c r="K553">
        <f>IF($I553="","",IF($F553=IFERROR(INDEX(спр_Материалы!$G$2:$G$9000,MATCH($I553,спр_Материалы!$A$2:$A$9000,0)),""),"OK","!! не та группа"))</f>
        <v/>
      </c>
      <c r="L553" s="10">
        <f>IFERROR(INDEX(спр_Работы!$H$2:$H$6000,MATCH($C553,спр_Работы!$A$2:$A$6000,0))*(1-ДисконтТендер),0)</f>
        <v/>
      </c>
      <c r="M553" s="10">
        <f>IF($I553="",0,IFERROR(INDEX(спр_Материалы!$I$2:$I$9000,MATCH($I553,спр_Материалы!$A$2:$A$9000,0))*IF(INDEX(спр_Материалы!$J$2:$J$9000,MATCH($I553,спр_Материалы!$A$2:$A$9000,0))="USD",КурсUSD,IF(INDEX(спр_Материалы!$J$2:$J$9000,MATCH($I553,спр_Материалы!$A$2:$A$9000,0))="EUR",КурсEUR,1))*INDEX(спр_Материалы!$K$2:$K$9000,MATCH($I553,спр_Материалы!$A$2:$A$9000,0))*(1+IFERROR(INDEX(спр_Работы!$I$2:$I$6000,MATCH($C553,спр_Работы!$A$2:$A$6000,0))/100,0))*(1-ДисконтТендер),0))</f>
        <v/>
      </c>
      <c r="N553" s="10">
        <f>IF(AND($R553="да",$H553&lt;&gt;""),ROUND($H553*$L553,2),0)</f>
        <v/>
      </c>
      <c r="O553" s="10">
        <f>IF(AND($R553="да",$H553&lt;&gt;""),ROUND($H553*$M553,2),0)</f>
        <v/>
      </c>
      <c r="P553" s="10">
        <f>$N553+$O553</f>
        <v/>
      </c>
      <c r="Q553">
        <f>IFERROR(INDEX(спр_Работы!$J$2:$J$6000,MATCH($C553,спр_Работы!$A$2:$A$6000,0)),"")</f>
        <v/>
      </c>
      <c r="R553" t="inlineStr">
        <is>
          <t>да</t>
        </is>
      </c>
      <c r="T553">
        <f>IF(AND($P553&gt;0,$R553="да"),MAX($T$1:$T552)+1,"")</f>
        <v/>
      </c>
    </row>
    <row r="554">
      <c r="A554">
        <f>IFERROR(INDEX(спр_Работы!$D$2:$D$6000,MATCH($C554,спр_Работы!$A$2:$A$6000,0)),"")</f>
        <v/>
      </c>
      <c r="B554">
        <f>IFERROR(INDEX(спр_Работы!$F$2:$F$6000,MATCH($C554,спр_Работы!$A$2:$A$6000,0)),"")</f>
        <v/>
      </c>
      <c r="C554">
        <f>IFERROR(INDEX(спр_Работы!$A$2:$A$6000,553),"")</f>
        <v/>
      </c>
      <c r="D554" s="8">
        <f>IFERROR(INDEX(спр_Работы!$B$2:$B$6000,MATCH($C554,спр_Работы!$A$2:$A$6000,0)),"")</f>
        <v/>
      </c>
      <c r="E554">
        <f>IFERROR(INDEX(спр_Работы!$C$2:$C$6000,MATCH($C554,спр_Работы!$A$2:$A$6000,0)),"")</f>
        <v/>
      </c>
      <c r="F554">
        <f>IFERROR(INDEX(спр_Работы!$G$2:$G$6000,MATCH($C554,спр_Работы!$A$2:$A$6000,0)),"")</f>
        <v/>
      </c>
      <c r="G554">
        <f>IFERROR(INDEX(спр_Работы!$K$2:$K$6000,MATCH($C554,спр_Работы!$A$2:$A$6000,0)),"")</f>
        <v/>
      </c>
      <c r="H554" s="9" t="n"/>
      <c r="I554" s="9" t="n"/>
      <c r="J554" s="8">
        <f>IFERROR(INDEX(спр_Материалы!$B$2:$B$9000,MATCH($I554,спр_Материалы!$A$2:$A$9000,0)),"")</f>
        <v/>
      </c>
      <c r="K554">
        <f>IF($I554="","",IF($F554=IFERROR(INDEX(спр_Материалы!$G$2:$G$9000,MATCH($I554,спр_Материалы!$A$2:$A$9000,0)),""),"OK","!! не та группа"))</f>
        <v/>
      </c>
      <c r="L554" s="10">
        <f>IFERROR(INDEX(спр_Работы!$H$2:$H$6000,MATCH($C554,спр_Работы!$A$2:$A$6000,0))*(1-ДисконтТендер),0)</f>
        <v/>
      </c>
      <c r="M554" s="10">
        <f>IF($I554="",0,IFERROR(INDEX(спр_Материалы!$I$2:$I$9000,MATCH($I554,спр_Материалы!$A$2:$A$9000,0))*IF(INDEX(спр_Материалы!$J$2:$J$9000,MATCH($I554,спр_Материалы!$A$2:$A$9000,0))="USD",КурсUSD,IF(INDEX(спр_Материалы!$J$2:$J$9000,MATCH($I554,спр_Материалы!$A$2:$A$9000,0))="EUR",КурсEUR,1))*INDEX(спр_Материалы!$K$2:$K$9000,MATCH($I554,спр_Материалы!$A$2:$A$9000,0))*(1+IFERROR(INDEX(спр_Работы!$I$2:$I$6000,MATCH($C554,спр_Работы!$A$2:$A$6000,0))/100,0))*(1-ДисконтТендер),0))</f>
        <v/>
      </c>
      <c r="N554" s="10">
        <f>IF(AND($R554="да",$H554&lt;&gt;""),ROUND($H554*$L554,2),0)</f>
        <v/>
      </c>
      <c r="O554" s="10">
        <f>IF(AND($R554="да",$H554&lt;&gt;""),ROUND($H554*$M554,2),0)</f>
        <v/>
      </c>
      <c r="P554" s="10">
        <f>$N554+$O554</f>
        <v/>
      </c>
      <c r="Q554">
        <f>IFERROR(INDEX(спр_Работы!$J$2:$J$6000,MATCH($C554,спр_Работы!$A$2:$A$6000,0)),"")</f>
        <v/>
      </c>
      <c r="R554" t="inlineStr">
        <is>
          <t>да</t>
        </is>
      </c>
      <c r="T554">
        <f>IF(AND($P554&gt;0,$R554="да"),MAX($T$1:$T553)+1,"")</f>
        <v/>
      </c>
    </row>
    <row r="555">
      <c r="A555">
        <f>IFERROR(INDEX(спр_Работы!$D$2:$D$6000,MATCH($C555,спр_Работы!$A$2:$A$6000,0)),"")</f>
        <v/>
      </c>
      <c r="B555">
        <f>IFERROR(INDEX(спр_Работы!$F$2:$F$6000,MATCH($C555,спр_Работы!$A$2:$A$6000,0)),"")</f>
        <v/>
      </c>
      <c r="C555">
        <f>IFERROR(INDEX(спр_Работы!$A$2:$A$6000,554),"")</f>
        <v/>
      </c>
      <c r="D555" s="8">
        <f>IFERROR(INDEX(спр_Работы!$B$2:$B$6000,MATCH($C555,спр_Работы!$A$2:$A$6000,0)),"")</f>
        <v/>
      </c>
      <c r="E555">
        <f>IFERROR(INDEX(спр_Работы!$C$2:$C$6000,MATCH($C555,спр_Работы!$A$2:$A$6000,0)),"")</f>
        <v/>
      </c>
      <c r="F555">
        <f>IFERROR(INDEX(спр_Работы!$G$2:$G$6000,MATCH($C555,спр_Работы!$A$2:$A$6000,0)),"")</f>
        <v/>
      </c>
      <c r="G555">
        <f>IFERROR(INDEX(спр_Работы!$K$2:$K$6000,MATCH($C555,спр_Работы!$A$2:$A$6000,0)),"")</f>
        <v/>
      </c>
      <c r="H555" s="9" t="n"/>
      <c r="I555" s="9" t="n"/>
      <c r="J555" s="8">
        <f>IFERROR(INDEX(спр_Материалы!$B$2:$B$9000,MATCH($I555,спр_Материалы!$A$2:$A$9000,0)),"")</f>
        <v/>
      </c>
      <c r="K555">
        <f>IF($I555="","",IF($F555=IFERROR(INDEX(спр_Материалы!$G$2:$G$9000,MATCH($I555,спр_Материалы!$A$2:$A$9000,0)),""),"OK","!! не та группа"))</f>
        <v/>
      </c>
      <c r="L555" s="10">
        <f>IFERROR(INDEX(спр_Работы!$H$2:$H$6000,MATCH($C555,спр_Работы!$A$2:$A$6000,0))*(1-ДисконтТендер),0)</f>
        <v/>
      </c>
      <c r="M555" s="10">
        <f>IF($I555="",0,IFERROR(INDEX(спр_Материалы!$I$2:$I$9000,MATCH($I555,спр_Материалы!$A$2:$A$9000,0))*IF(INDEX(спр_Материалы!$J$2:$J$9000,MATCH($I555,спр_Материалы!$A$2:$A$9000,0))="USD",КурсUSD,IF(INDEX(спр_Материалы!$J$2:$J$9000,MATCH($I555,спр_Материалы!$A$2:$A$9000,0))="EUR",КурсEUR,1))*INDEX(спр_Материалы!$K$2:$K$9000,MATCH($I555,спр_Материалы!$A$2:$A$9000,0))*(1+IFERROR(INDEX(спр_Работы!$I$2:$I$6000,MATCH($C555,спр_Работы!$A$2:$A$6000,0))/100,0))*(1-ДисконтТендер),0))</f>
        <v/>
      </c>
      <c r="N555" s="10">
        <f>IF(AND($R555="да",$H555&lt;&gt;""),ROUND($H555*$L555,2),0)</f>
        <v/>
      </c>
      <c r="O555" s="10">
        <f>IF(AND($R555="да",$H555&lt;&gt;""),ROUND($H555*$M555,2),0)</f>
        <v/>
      </c>
      <c r="P555" s="10">
        <f>$N555+$O555</f>
        <v/>
      </c>
      <c r="Q555">
        <f>IFERROR(INDEX(спр_Работы!$J$2:$J$6000,MATCH($C555,спр_Работы!$A$2:$A$6000,0)),"")</f>
        <v/>
      </c>
      <c r="R555" t="inlineStr">
        <is>
          <t>да</t>
        </is>
      </c>
      <c r="T555">
        <f>IF(AND($P555&gt;0,$R555="да"),MAX($T$1:$T554)+1,"")</f>
        <v/>
      </c>
    </row>
    <row r="556">
      <c r="A556">
        <f>IFERROR(INDEX(спр_Работы!$D$2:$D$6000,MATCH($C556,спр_Работы!$A$2:$A$6000,0)),"")</f>
        <v/>
      </c>
      <c r="B556">
        <f>IFERROR(INDEX(спр_Работы!$F$2:$F$6000,MATCH($C556,спр_Работы!$A$2:$A$6000,0)),"")</f>
        <v/>
      </c>
      <c r="C556">
        <f>IFERROR(INDEX(спр_Работы!$A$2:$A$6000,555),"")</f>
        <v/>
      </c>
      <c r="D556" s="8">
        <f>IFERROR(INDEX(спр_Работы!$B$2:$B$6000,MATCH($C556,спр_Работы!$A$2:$A$6000,0)),"")</f>
        <v/>
      </c>
      <c r="E556">
        <f>IFERROR(INDEX(спр_Работы!$C$2:$C$6000,MATCH($C556,спр_Работы!$A$2:$A$6000,0)),"")</f>
        <v/>
      </c>
      <c r="F556">
        <f>IFERROR(INDEX(спр_Работы!$G$2:$G$6000,MATCH($C556,спр_Работы!$A$2:$A$6000,0)),"")</f>
        <v/>
      </c>
      <c r="G556">
        <f>IFERROR(INDEX(спр_Работы!$K$2:$K$6000,MATCH($C556,спр_Работы!$A$2:$A$6000,0)),"")</f>
        <v/>
      </c>
      <c r="H556" s="9" t="n"/>
      <c r="I556" s="9" t="n"/>
      <c r="J556" s="8">
        <f>IFERROR(INDEX(спр_Материалы!$B$2:$B$9000,MATCH($I556,спр_Материалы!$A$2:$A$9000,0)),"")</f>
        <v/>
      </c>
      <c r="K556">
        <f>IF($I556="","",IF($F556=IFERROR(INDEX(спр_Материалы!$G$2:$G$9000,MATCH($I556,спр_Материалы!$A$2:$A$9000,0)),""),"OK","!! не та группа"))</f>
        <v/>
      </c>
      <c r="L556" s="10">
        <f>IFERROR(INDEX(спр_Работы!$H$2:$H$6000,MATCH($C556,спр_Работы!$A$2:$A$6000,0))*(1-ДисконтТендер),0)</f>
        <v/>
      </c>
      <c r="M556" s="10">
        <f>IF($I556="",0,IFERROR(INDEX(спр_Материалы!$I$2:$I$9000,MATCH($I556,спр_Материалы!$A$2:$A$9000,0))*IF(INDEX(спр_Материалы!$J$2:$J$9000,MATCH($I556,спр_Материалы!$A$2:$A$9000,0))="USD",КурсUSD,IF(INDEX(спр_Материалы!$J$2:$J$9000,MATCH($I556,спр_Материалы!$A$2:$A$9000,0))="EUR",КурсEUR,1))*INDEX(спр_Материалы!$K$2:$K$9000,MATCH($I556,спр_Материалы!$A$2:$A$9000,0))*(1+IFERROR(INDEX(спр_Работы!$I$2:$I$6000,MATCH($C556,спр_Работы!$A$2:$A$6000,0))/100,0))*(1-ДисконтТендер),0))</f>
        <v/>
      </c>
      <c r="N556" s="10">
        <f>IF(AND($R556="да",$H556&lt;&gt;""),ROUND($H556*$L556,2),0)</f>
        <v/>
      </c>
      <c r="O556" s="10">
        <f>IF(AND($R556="да",$H556&lt;&gt;""),ROUND($H556*$M556,2),0)</f>
        <v/>
      </c>
      <c r="P556" s="10">
        <f>$N556+$O556</f>
        <v/>
      </c>
      <c r="Q556">
        <f>IFERROR(INDEX(спр_Работы!$J$2:$J$6000,MATCH($C556,спр_Работы!$A$2:$A$6000,0)),"")</f>
        <v/>
      </c>
      <c r="R556" t="inlineStr">
        <is>
          <t>да</t>
        </is>
      </c>
      <c r="T556">
        <f>IF(AND($P556&gt;0,$R556="да"),MAX($T$1:$T555)+1,"")</f>
        <v/>
      </c>
    </row>
    <row r="557">
      <c r="A557">
        <f>IFERROR(INDEX(спр_Работы!$D$2:$D$6000,MATCH($C557,спр_Работы!$A$2:$A$6000,0)),"")</f>
        <v/>
      </c>
      <c r="B557">
        <f>IFERROR(INDEX(спр_Работы!$F$2:$F$6000,MATCH($C557,спр_Работы!$A$2:$A$6000,0)),"")</f>
        <v/>
      </c>
      <c r="C557">
        <f>IFERROR(INDEX(спр_Работы!$A$2:$A$6000,556),"")</f>
        <v/>
      </c>
      <c r="D557" s="8">
        <f>IFERROR(INDEX(спр_Работы!$B$2:$B$6000,MATCH($C557,спр_Работы!$A$2:$A$6000,0)),"")</f>
        <v/>
      </c>
      <c r="E557">
        <f>IFERROR(INDEX(спр_Работы!$C$2:$C$6000,MATCH($C557,спр_Работы!$A$2:$A$6000,0)),"")</f>
        <v/>
      </c>
      <c r="F557">
        <f>IFERROR(INDEX(спр_Работы!$G$2:$G$6000,MATCH($C557,спр_Работы!$A$2:$A$6000,0)),"")</f>
        <v/>
      </c>
      <c r="G557">
        <f>IFERROR(INDEX(спр_Работы!$K$2:$K$6000,MATCH($C557,спр_Работы!$A$2:$A$6000,0)),"")</f>
        <v/>
      </c>
      <c r="H557" s="9" t="n"/>
      <c r="I557" s="9" t="n"/>
      <c r="J557" s="8">
        <f>IFERROR(INDEX(спр_Материалы!$B$2:$B$9000,MATCH($I557,спр_Материалы!$A$2:$A$9000,0)),"")</f>
        <v/>
      </c>
      <c r="K557">
        <f>IF($I557="","",IF($F557=IFERROR(INDEX(спр_Материалы!$G$2:$G$9000,MATCH($I557,спр_Материалы!$A$2:$A$9000,0)),""),"OK","!! не та группа"))</f>
        <v/>
      </c>
      <c r="L557" s="10">
        <f>IFERROR(INDEX(спр_Работы!$H$2:$H$6000,MATCH($C557,спр_Работы!$A$2:$A$6000,0))*(1-ДисконтТендер),0)</f>
        <v/>
      </c>
      <c r="M557" s="10">
        <f>IF($I557="",0,IFERROR(INDEX(спр_Материалы!$I$2:$I$9000,MATCH($I557,спр_Материалы!$A$2:$A$9000,0))*IF(INDEX(спр_Материалы!$J$2:$J$9000,MATCH($I557,спр_Материалы!$A$2:$A$9000,0))="USD",КурсUSD,IF(INDEX(спр_Материалы!$J$2:$J$9000,MATCH($I557,спр_Материалы!$A$2:$A$9000,0))="EUR",КурсEUR,1))*INDEX(спр_Материалы!$K$2:$K$9000,MATCH($I557,спр_Материалы!$A$2:$A$9000,0))*(1+IFERROR(INDEX(спр_Работы!$I$2:$I$6000,MATCH($C557,спр_Работы!$A$2:$A$6000,0))/100,0))*(1-ДисконтТендер),0))</f>
        <v/>
      </c>
      <c r="N557" s="10">
        <f>IF(AND($R557="да",$H557&lt;&gt;""),ROUND($H557*$L557,2),0)</f>
        <v/>
      </c>
      <c r="O557" s="10">
        <f>IF(AND($R557="да",$H557&lt;&gt;""),ROUND($H557*$M557,2),0)</f>
        <v/>
      </c>
      <c r="P557" s="10">
        <f>$N557+$O557</f>
        <v/>
      </c>
      <c r="Q557">
        <f>IFERROR(INDEX(спр_Работы!$J$2:$J$6000,MATCH($C557,спр_Работы!$A$2:$A$6000,0)),"")</f>
        <v/>
      </c>
      <c r="R557" t="inlineStr">
        <is>
          <t>да</t>
        </is>
      </c>
      <c r="T557">
        <f>IF(AND($P557&gt;0,$R557="да"),MAX($T$1:$T556)+1,"")</f>
        <v/>
      </c>
    </row>
    <row r="558">
      <c r="A558">
        <f>IFERROR(INDEX(спр_Работы!$D$2:$D$6000,MATCH($C558,спр_Работы!$A$2:$A$6000,0)),"")</f>
        <v/>
      </c>
      <c r="B558">
        <f>IFERROR(INDEX(спр_Работы!$F$2:$F$6000,MATCH($C558,спр_Работы!$A$2:$A$6000,0)),"")</f>
        <v/>
      </c>
      <c r="C558">
        <f>IFERROR(INDEX(спр_Работы!$A$2:$A$6000,557),"")</f>
        <v/>
      </c>
      <c r="D558" s="8">
        <f>IFERROR(INDEX(спр_Работы!$B$2:$B$6000,MATCH($C558,спр_Работы!$A$2:$A$6000,0)),"")</f>
        <v/>
      </c>
      <c r="E558">
        <f>IFERROR(INDEX(спр_Работы!$C$2:$C$6000,MATCH($C558,спр_Работы!$A$2:$A$6000,0)),"")</f>
        <v/>
      </c>
      <c r="F558">
        <f>IFERROR(INDEX(спр_Работы!$G$2:$G$6000,MATCH($C558,спр_Работы!$A$2:$A$6000,0)),"")</f>
        <v/>
      </c>
      <c r="G558">
        <f>IFERROR(INDEX(спр_Работы!$K$2:$K$6000,MATCH($C558,спр_Работы!$A$2:$A$6000,0)),"")</f>
        <v/>
      </c>
      <c r="H558" s="9" t="n"/>
      <c r="I558" s="9" t="n"/>
      <c r="J558" s="8">
        <f>IFERROR(INDEX(спр_Материалы!$B$2:$B$9000,MATCH($I558,спр_Материалы!$A$2:$A$9000,0)),"")</f>
        <v/>
      </c>
      <c r="K558">
        <f>IF($I558="","",IF($F558=IFERROR(INDEX(спр_Материалы!$G$2:$G$9000,MATCH($I558,спр_Материалы!$A$2:$A$9000,0)),""),"OK","!! не та группа"))</f>
        <v/>
      </c>
      <c r="L558" s="10">
        <f>IFERROR(INDEX(спр_Работы!$H$2:$H$6000,MATCH($C558,спр_Работы!$A$2:$A$6000,0))*(1-ДисконтТендер),0)</f>
        <v/>
      </c>
      <c r="M558" s="10">
        <f>IF($I558="",0,IFERROR(INDEX(спр_Материалы!$I$2:$I$9000,MATCH($I558,спр_Материалы!$A$2:$A$9000,0))*IF(INDEX(спр_Материалы!$J$2:$J$9000,MATCH($I558,спр_Материалы!$A$2:$A$9000,0))="USD",КурсUSD,IF(INDEX(спр_Материалы!$J$2:$J$9000,MATCH($I558,спр_Материалы!$A$2:$A$9000,0))="EUR",КурсEUR,1))*INDEX(спр_Материалы!$K$2:$K$9000,MATCH($I558,спр_Материалы!$A$2:$A$9000,0))*(1+IFERROR(INDEX(спр_Работы!$I$2:$I$6000,MATCH($C558,спр_Работы!$A$2:$A$6000,0))/100,0))*(1-ДисконтТендер),0))</f>
        <v/>
      </c>
      <c r="N558" s="10">
        <f>IF(AND($R558="да",$H558&lt;&gt;""),ROUND($H558*$L558,2),0)</f>
        <v/>
      </c>
      <c r="O558" s="10">
        <f>IF(AND($R558="да",$H558&lt;&gt;""),ROUND($H558*$M558,2),0)</f>
        <v/>
      </c>
      <c r="P558" s="10">
        <f>$N558+$O558</f>
        <v/>
      </c>
      <c r="Q558">
        <f>IFERROR(INDEX(спр_Работы!$J$2:$J$6000,MATCH($C558,спр_Работы!$A$2:$A$6000,0)),"")</f>
        <v/>
      </c>
      <c r="R558" t="inlineStr">
        <is>
          <t>да</t>
        </is>
      </c>
      <c r="T558">
        <f>IF(AND($P558&gt;0,$R558="да"),MAX($T$1:$T557)+1,"")</f>
        <v/>
      </c>
    </row>
    <row r="559">
      <c r="A559">
        <f>IFERROR(INDEX(спр_Работы!$D$2:$D$6000,MATCH($C559,спр_Работы!$A$2:$A$6000,0)),"")</f>
        <v/>
      </c>
      <c r="B559">
        <f>IFERROR(INDEX(спр_Работы!$F$2:$F$6000,MATCH($C559,спр_Работы!$A$2:$A$6000,0)),"")</f>
        <v/>
      </c>
      <c r="C559">
        <f>IFERROR(INDEX(спр_Работы!$A$2:$A$6000,558),"")</f>
        <v/>
      </c>
      <c r="D559" s="8">
        <f>IFERROR(INDEX(спр_Работы!$B$2:$B$6000,MATCH($C559,спр_Работы!$A$2:$A$6000,0)),"")</f>
        <v/>
      </c>
      <c r="E559">
        <f>IFERROR(INDEX(спр_Работы!$C$2:$C$6000,MATCH($C559,спр_Работы!$A$2:$A$6000,0)),"")</f>
        <v/>
      </c>
      <c r="F559">
        <f>IFERROR(INDEX(спр_Работы!$G$2:$G$6000,MATCH($C559,спр_Работы!$A$2:$A$6000,0)),"")</f>
        <v/>
      </c>
      <c r="G559">
        <f>IFERROR(INDEX(спр_Работы!$K$2:$K$6000,MATCH($C559,спр_Работы!$A$2:$A$6000,0)),"")</f>
        <v/>
      </c>
      <c r="H559" s="9" t="n"/>
      <c r="I559" s="9" t="n"/>
      <c r="J559" s="8">
        <f>IFERROR(INDEX(спр_Материалы!$B$2:$B$9000,MATCH($I559,спр_Материалы!$A$2:$A$9000,0)),"")</f>
        <v/>
      </c>
      <c r="K559">
        <f>IF($I559="","",IF($F559=IFERROR(INDEX(спр_Материалы!$G$2:$G$9000,MATCH($I559,спр_Материалы!$A$2:$A$9000,0)),""),"OK","!! не та группа"))</f>
        <v/>
      </c>
      <c r="L559" s="10">
        <f>IFERROR(INDEX(спр_Работы!$H$2:$H$6000,MATCH($C559,спр_Работы!$A$2:$A$6000,0))*(1-ДисконтТендер),0)</f>
        <v/>
      </c>
      <c r="M559" s="10">
        <f>IF($I559="",0,IFERROR(INDEX(спр_Материалы!$I$2:$I$9000,MATCH($I559,спр_Материалы!$A$2:$A$9000,0))*IF(INDEX(спр_Материалы!$J$2:$J$9000,MATCH($I559,спр_Материалы!$A$2:$A$9000,0))="USD",КурсUSD,IF(INDEX(спр_Материалы!$J$2:$J$9000,MATCH($I559,спр_Материалы!$A$2:$A$9000,0))="EUR",КурсEUR,1))*INDEX(спр_Материалы!$K$2:$K$9000,MATCH($I559,спр_Материалы!$A$2:$A$9000,0))*(1+IFERROR(INDEX(спр_Работы!$I$2:$I$6000,MATCH($C559,спр_Работы!$A$2:$A$6000,0))/100,0))*(1-ДисконтТендер),0))</f>
        <v/>
      </c>
      <c r="N559" s="10">
        <f>IF(AND($R559="да",$H559&lt;&gt;""),ROUND($H559*$L559,2),0)</f>
        <v/>
      </c>
      <c r="O559" s="10">
        <f>IF(AND($R559="да",$H559&lt;&gt;""),ROUND($H559*$M559,2),0)</f>
        <v/>
      </c>
      <c r="P559" s="10">
        <f>$N559+$O559</f>
        <v/>
      </c>
      <c r="Q559">
        <f>IFERROR(INDEX(спр_Работы!$J$2:$J$6000,MATCH($C559,спр_Работы!$A$2:$A$6000,0)),"")</f>
        <v/>
      </c>
      <c r="R559" t="inlineStr">
        <is>
          <t>да</t>
        </is>
      </c>
      <c r="T559">
        <f>IF(AND($P559&gt;0,$R559="да"),MAX($T$1:$T558)+1,"")</f>
        <v/>
      </c>
    </row>
    <row r="560">
      <c r="A560">
        <f>IFERROR(INDEX(спр_Работы!$D$2:$D$6000,MATCH($C560,спр_Работы!$A$2:$A$6000,0)),"")</f>
        <v/>
      </c>
      <c r="B560">
        <f>IFERROR(INDEX(спр_Работы!$F$2:$F$6000,MATCH($C560,спр_Работы!$A$2:$A$6000,0)),"")</f>
        <v/>
      </c>
      <c r="C560">
        <f>IFERROR(INDEX(спр_Работы!$A$2:$A$6000,559),"")</f>
        <v/>
      </c>
      <c r="D560" s="8">
        <f>IFERROR(INDEX(спр_Работы!$B$2:$B$6000,MATCH($C560,спр_Работы!$A$2:$A$6000,0)),"")</f>
        <v/>
      </c>
      <c r="E560">
        <f>IFERROR(INDEX(спр_Работы!$C$2:$C$6000,MATCH($C560,спр_Работы!$A$2:$A$6000,0)),"")</f>
        <v/>
      </c>
      <c r="F560">
        <f>IFERROR(INDEX(спр_Работы!$G$2:$G$6000,MATCH($C560,спр_Работы!$A$2:$A$6000,0)),"")</f>
        <v/>
      </c>
      <c r="G560">
        <f>IFERROR(INDEX(спр_Работы!$K$2:$K$6000,MATCH($C560,спр_Работы!$A$2:$A$6000,0)),"")</f>
        <v/>
      </c>
      <c r="H560" s="9" t="n"/>
      <c r="I560" s="9" t="n"/>
      <c r="J560" s="8">
        <f>IFERROR(INDEX(спр_Материалы!$B$2:$B$9000,MATCH($I560,спр_Материалы!$A$2:$A$9000,0)),"")</f>
        <v/>
      </c>
      <c r="K560">
        <f>IF($I560="","",IF($F560=IFERROR(INDEX(спр_Материалы!$G$2:$G$9000,MATCH($I560,спр_Материалы!$A$2:$A$9000,0)),""),"OK","!! не та группа"))</f>
        <v/>
      </c>
      <c r="L560" s="10">
        <f>IFERROR(INDEX(спр_Работы!$H$2:$H$6000,MATCH($C560,спр_Работы!$A$2:$A$6000,0))*(1-ДисконтТендер),0)</f>
        <v/>
      </c>
      <c r="M560" s="10">
        <f>IF($I560="",0,IFERROR(INDEX(спр_Материалы!$I$2:$I$9000,MATCH($I560,спр_Материалы!$A$2:$A$9000,0))*IF(INDEX(спр_Материалы!$J$2:$J$9000,MATCH($I560,спр_Материалы!$A$2:$A$9000,0))="USD",КурсUSD,IF(INDEX(спр_Материалы!$J$2:$J$9000,MATCH($I560,спр_Материалы!$A$2:$A$9000,0))="EUR",КурсEUR,1))*INDEX(спр_Материалы!$K$2:$K$9000,MATCH($I560,спр_Материалы!$A$2:$A$9000,0))*(1+IFERROR(INDEX(спр_Работы!$I$2:$I$6000,MATCH($C560,спр_Работы!$A$2:$A$6000,0))/100,0))*(1-ДисконтТендер),0))</f>
        <v/>
      </c>
      <c r="N560" s="10">
        <f>IF(AND($R560="да",$H560&lt;&gt;""),ROUND($H560*$L560,2),0)</f>
        <v/>
      </c>
      <c r="O560" s="10">
        <f>IF(AND($R560="да",$H560&lt;&gt;""),ROUND($H560*$M560,2),0)</f>
        <v/>
      </c>
      <c r="P560" s="10">
        <f>$N560+$O560</f>
        <v/>
      </c>
      <c r="Q560">
        <f>IFERROR(INDEX(спр_Работы!$J$2:$J$6000,MATCH($C560,спр_Работы!$A$2:$A$6000,0)),"")</f>
        <v/>
      </c>
      <c r="R560" t="inlineStr">
        <is>
          <t>да</t>
        </is>
      </c>
      <c r="T560">
        <f>IF(AND($P560&gt;0,$R560="да"),MAX($T$1:$T559)+1,"")</f>
        <v/>
      </c>
    </row>
    <row r="561">
      <c r="A561">
        <f>IFERROR(INDEX(спр_Работы!$D$2:$D$6000,MATCH($C561,спр_Работы!$A$2:$A$6000,0)),"")</f>
        <v/>
      </c>
      <c r="B561">
        <f>IFERROR(INDEX(спр_Работы!$F$2:$F$6000,MATCH($C561,спр_Работы!$A$2:$A$6000,0)),"")</f>
        <v/>
      </c>
      <c r="C561">
        <f>IFERROR(INDEX(спр_Работы!$A$2:$A$6000,560),"")</f>
        <v/>
      </c>
      <c r="D561" s="8">
        <f>IFERROR(INDEX(спр_Работы!$B$2:$B$6000,MATCH($C561,спр_Работы!$A$2:$A$6000,0)),"")</f>
        <v/>
      </c>
      <c r="E561">
        <f>IFERROR(INDEX(спр_Работы!$C$2:$C$6000,MATCH($C561,спр_Работы!$A$2:$A$6000,0)),"")</f>
        <v/>
      </c>
      <c r="F561">
        <f>IFERROR(INDEX(спр_Работы!$G$2:$G$6000,MATCH($C561,спр_Работы!$A$2:$A$6000,0)),"")</f>
        <v/>
      </c>
      <c r="G561">
        <f>IFERROR(INDEX(спр_Работы!$K$2:$K$6000,MATCH($C561,спр_Работы!$A$2:$A$6000,0)),"")</f>
        <v/>
      </c>
      <c r="H561" s="9" t="n"/>
      <c r="I561" s="9" t="n"/>
      <c r="J561" s="8">
        <f>IFERROR(INDEX(спр_Материалы!$B$2:$B$9000,MATCH($I561,спр_Материалы!$A$2:$A$9000,0)),"")</f>
        <v/>
      </c>
      <c r="K561">
        <f>IF($I561="","",IF($F561=IFERROR(INDEX(спр_Материалы!$G$2:$G$9000,MATCH($I561,спр_Материалы!$A$2:$A$9000,0)),""),"OK","!! не та группа"))</f>
        <v/>
      </c>
      <c r="L561" s="10">
        <f>IFERROR(INDEX(спр_Работы!$H$2:$H$6000,MATCH($C561,спр_Работы!$A$2:$A$6000,0))*(1-ДисконтТендер),0)</f>
        <v/>
      </c>
      <c r="M561" s="10">
        <f>IF($I561="",0,IFERROR(INDEX(спр_Материалы!$I$2:$I$9000,MATCH($I561,спр_Материалы!$A$2:$A$9000,0))*IF(INDEX(спр_Материалы!$J$2:$J$9000,MATCH($I561,спр_Материалы!$A$2:$A$9000,0))="USD",КурсUSD,IF(INDEX(спр_Материалы!$J$2:$J$9000,MATCH($I561,спр_Материалы!$A$2:$A$9000,0))="EUR",КурсEUR,1))*INDEX(спр_Материалы!$K$2:$K$9000,MATCH($I561,спр_Материалы!$A$2:$A$9000,0))*(1+IFERROR(INDEX(спр_Работы!$I$2:$I$6000,MATCH($C561,спр_Работы!$A$2:$A$6000,0))/100,0))*(1-ДисконтТендер),0))</f>
        <v/>
      </c>
      <c r="N561" s="10">
        <f>IF(AND($R561="да",$H561&lt;&gt;""),ROUND($H561*$L561,2),0)</f>
        <v/>
      </c>
      <c r="O561" s="10">
        <f>IF(AND($R561="да",$H561&lt;&gt;""),ROUND($H561*$M561,2),0)</f>
        <v/>
      </c>
      <c r="P561" s="10">
        <f>$N561+$O561</f>
        <v/>
      </c>
      <c r="Q561">
        <f>IFERROR(INDEX(спр_Работы!$J$2:$J$6000,MATCH($C561,спр_Работы!$A$2:$A$6000,0)),"")</f>
        <v/>
      </c>
      <c r="R561" t="inlineStr">
        <is>
          <t>да</t>
        </is>
      </c>
      <c r="T561">
        <f>IF(AND($P561&gt;0,$R561="да"),MAX($T$1:$T560)+1,"")</f>
        <v/>
      </c>
    </row>
    <row r="562">
      <c r="A562">
        <f>IFERROR(INDEX(спр_Работы!$D$2:$D$6000,MATCH($C562,спр_Работы!$A$2:$A$6000,0)),"")</f>
        <v/>
      </c>
      <c r="B562">
        <f>IFERROR(INDEX(спр_Работы!$F$2:$F$6000,MATCH($C562,спр_Работы!$A$2:$A$6000,0)),"")</f>
        <v/>
      </c>
      <c r="C562">
        <f>IFERROR(INDEX(спр_Работы!$A$2:$A$6000,561),"")</f>
        <v/>
      </c>
      <c r="D562" s="8">
        <f>IFERROR(INDEX(спр_Работы!$B$2:$B$6000,MATCH($C562,спр_Работы!$A$2:$A$6000,0)),"")</f>
        <v/>
      </c>
      <c r="E562">
        <f>IFERROR(INDEX(спр_Работы!$C$2:$C$6000,MATCH($C562,спр_Работы!$A$2:$A$6000,0)),"")</f>
        <v/>
      </c>
      <c r="F562">
        <f>IFERROR(INDEX(спр_Работы!$G$2:$G$6000,MATCH($C562,спр_Работы!$A$2:$A$6000,0)),"")</f>
        <v/>
      </c>
      <c r="G562">
        <f>IFERROR(INDEX(спр_Работы!$K$2:$K$6000,MATCH($C562,спр_Работы!$A$2:$A$6000,0)),"")</f>
        <v/>
      </c>
      <c r="H562" s="9" t="n"/>
      <c r="I562" s="9" t="n"/>
      <c r="J562" s="8">
        <f>IFERROR(INDEX(спр_Материалы!$B$2:$B$9000,MATCH($I562,спр_Материалы!$A$2:$A$9000,0)),"")</f>
        <v/>
      </c>
      <c r="K562">
        <f>IF($I562="","",IF($F562=IFERROR(INDEX(спр_Материалы!$G$2:$G$9000,MATCH($I562,спр_Материалы!$A$2:$A$9000,0)),""),"OK","!! не та группа"))</f>
        <v/>
      </c>
      <c r="L562" s="10">
        <f>IFERROR(INDEX(спр_Работы!$H$2:$H$6000,MATCH($C562,спр_Работы!$A$2:$A$6000,0))*(1-ДисконтТендер),0)</f>
        <v/>
      </c>
      <c r="M562" s="10">
        <f>IF($I562="",0,IFERROR(INDEX(спр_Материалы!$I$2:$I$9000,MATCH($I562,спр_Материалы!$A$2:$A$9000,0))*IF(INDEX(спр_Материалы!$J$2:$J$9000,MATCH($I562,спр_Материалы!$A$2:$A$9000,0))="USD",КурсUSD,IF(INDEX(спр_Материалы!$J$2:$J$9000,MATCH($I562,спр_Материалы!$A$2:$A$9000,0))="EUR",КурсEUR,1))*INDEX(спр_Материалы!$K$2:$K$9000,MATCH($I562,спр_Материалы!$A$2:$A$9000,0))*(1+IFERROR(INDEX(спр_Работы!$I$2:$I$6000,MATCH($C562,спр_Работы!$A$2:$A$6000,0))/100,0))*(1-ДисконтТендер),0))</f>
        <v/>
      </c>
      <c r="N562" s="10">
        <f>IF(AND($R562="да",$H562&lt;&gt;""),ROUND($H562*$L562,2),0)</f>
        <v/>
      </c>
      <c r="O562" s="10">
        <f>IF(AND($R562="да",$H562&lt;&gt;""),ROUND($H562*$M562,2),0)</f>
        <v/>
      </c>
      <c r="P562" s="10">
        <f>$N562+$O562</f>
        <v/>
      </c>
      <c r="Q562">
        <f>IFERROR(INDEX(спр_Работы!$J$2:$J$6000,MATCH($C562,спр_Работы!$A$2:$A$6000,0)),"")</f>
        <v/>
      </c>
      <c r="R562" t="inlineStr">
        <is>
          <t>да</t>
        </is>
      </c>
      <c r="T562">
        <f>IF(AND($P562&gt;0,$R562="да"),MAX($T$1:$T561)+1,"")</f>
        <v/>
      </c>
    </row>
    <row r="563">
      <c r="A563">
        <f>IFERROR(INDEX(спр_Работы!$D$2:$D$6000,MATCH($C563,спр_Работы!$A$2:$A$6000,0)),"")</f>
        <v/>
      </c>
      <c r="B563">
        <f>IFERROR(INDEX(спр_Работы!$F$2:$F$6000,MATCH($C563,спр_Работы!$A$2:$A$6000,0)),"")</f>
        <v/>
      </c>
      <c r="C563">
        <f>IFERROR(INDEX(спр_Работы!$A$2:$A$6000,562),"")</f>
        <v/>
      </c>
      <c r="D563" s="8">
        <f>IFERROR(INDEX(спр_Работы!$B$2:$B$6000,MATCH($C563,спр_Работы!$A$2:$A$6000,0)),"")</f>
        <v/>
      </c>
      <c r="E563">
        <f>IFERROR(INDEX(спр_Работы!$C$2:$C$6000,MATCH($C563,спр_Работы!$A$2:$A$6000,0)),"")</f>
        <v/>
      </c>
      <c r="F563">
        <f>IFERROR(INDEX(спр_Работы!$G$2:$G$6000,MATCH($C563,спр_Работы!$A$2:$A$6000,0)),"")</f>
        <v/>
      </c>
      <c r="G563">
        <f>IFERROR(INDEX(спр_Работы!$K$2:$K$6000,MATCH($C563,спр_Работы!$A$2:$A$6000,0)),"")</f>
        <v/>
      </c>
      <c r="H563" s="9" t="n"/>
      <c r="I563" s="9" t="n"/>
      <c r="J563" s="8">
        <f>IFERROR(INDEX(спр_Материалы!$B$2:$B$9000,MATCH($I563,спр_Материалы!$A$2:$A$9000,0)),"")</f>
        <v/>
      </c>
      <c r="K563">
        <f>IF($I563="","",IF($F563=IFERROR(INDEX(спр_Материалы!$G$2:$G$9000,MATCH($I563,спр_Материалы!$A$2:$A$9000,0)),""),"OK","!! не та группа"))</f>
        <v/>
      </c>
      <c r="L563" s="10">
        <f>IFERROR(INDEX(спр_Работы!$H$2:$H$6000,MATCH($C563,спр_Работы!$A$2:$A$6000,0))*(1-ДисконтТендер),0)</f>
        <v/>
      </c>
      <c r="M563" s="10">
        <f>IF($I563="",0,IFERROR(INDEX(спр_Материалы!$I$2:$I$9000,MATCH($I563,спр_Материалы!$A$2:$A$9000,0))*IF(INDEX(спр_Материалы!$J$2:$J$9000,MATCH($I563,спр_Материалы!$A$2:$A$9000,0))="USD",КурсUSD,IF(INDEX(спр_Материалы!$J$2:$J$9000,MATCH($I563,спр_Материалы!$A$2:$A$9000,0))="EUR",КурсEUR,1))*INDEX(спр_Материалы!$K$2:$K$9000,MATCH($I563,спр_Материалы!$A$2:$A$9000,0))*(1+IFERROR(INDEX(спр_Работы!$I$2:$I$6000,MATCH($C563,спр_Работы!$A$2:$A$6000,0))/100,0))*(1-ДисконтТендер),0))</f>
        <v/>
      </c>
      <c r="N563" s="10">
        <f>IF(AND($R563="да",$H563&lt;&gt;""),ROUND($H563*$L563,2),0)</f>
        <v/>
      </c>
      <c r="O563" s="10">
        <f>IF(AND($R563="да",$H563&lt;&gt;""),ROUND($H563*$M563,2),0)</f>
        <v/>
      </c>
      <c r="P563" s="10">
        <f>$N563+$O563</f>
        <v/>
      </c>
      <c r="Q563">
        <f>IFERROR(INDEX(спр_Работы!$J$2:$J$6000,MATCH($C563,спр_Работы!$A$2:$A$6000,0)),"")</f>
        <v/>
      </c>
      <c r="R563" t="inlineStr">
        <is>
          <t>да</t>
        </is>
      </c>
      <c r="T563">
        <f>IF(AND($P563&gt;0,$R563="да"),MAX($T$1:$T562)+1,"")</f>
        <v/>
      </c>
    </row>
    <row r="564">
      <c r="A564">
        <f>IFERROR(INDEX(спр_Работы!$D$2:$D$6000,MATCH($C564,спр_Работы!$A$2:$A$6000,0)),"")</f>
        <v/>
      </c>
      <c r="B564">
        <f>IFERROR(INDEX(спр_Работы!$F$2:$F$6000,MATCH($C564,спр_Работы!$A$2:$A$6000,0)),"")</f>
        <v/>
      </c>
      <c r="C564">
        <f>IFERROR(INDEX(спр_Работы!$A$2:$A$6000,563),"")</f>
        <v/>
      </c>
      <c r="D564" s="8">
        <f>IFERROR(INDEX(спр_Работы!$B$2:$B$6000,MATCH($C564,спр_Работы!$A$2:$A$6000,0)),"")</f>
        <v/>
      </c>
      <c r="E564">
        <f>IFERROR(INDEX(спр_Работы!$C$2:$C$6000,MATCH($C564,спр_Работы!$A$2:$A$6000,0)),"")</f>
        <v/>
      </c>
      <c r="F564">
        <f>IFERROR(INDEX(спр_Работы!$G$2:$G$6000,MATCH($C564,спр_Работы!$A$2:$A$6000,0)),"")</f>
        <v/>
      </c>
      <c r="G564">
        <f>IFERROR(INDEX(спр_Работы!$K$2:$K$6000,MATCH($C564,спр_Работы!$A$2:$A$6000,0)),"")</f>
        <v/>
      </c>
      <c r="H564" s="9" t="n"/>
      <c r="I564" s="9" t="n"/>
      <c r="J564" s="8">
        <f>IFERROR(INDEX(спр_Материалы!$B$2:$B$9000,MATCH($I564,спр_Материалы!$A$2:$A$9000,0)),"")</f>
        <v/>
      </c>
      <c r="K564">
        <f>IF($I564="","",IF($F564=IFERROR(INDEX(спр_Материалы!$G$2:$G$9000,MATCH($I564,спр_Материалы!$A$2:$A$9000,0)),""),"OK","!! не та группа"))</f>
        <v/>
      </c>
      <c r="L564" s="10">
        <f>IFERROR(INDEX(спр_Работы!$H$2:$H$6000,MATCH($C564,спр_Работы!$A$2:$A$6000,0))*(1-ДисконтТендер),0)</f>
        <v/>
      </c>
      <c r="M564" s="10">
        <f>IF($I564="",0,IFERROR(INDEX(спр_Материалы!$I$2:$I$9000,MATCH($I564,спр_Материалы!$A$2:$A$9000,0))*IF(INDEX(спр_Материалы!$J$2:$J$9000,MATCH($I564,спр_Материалы!$A$2:$A$9000,0))="USD",КурсUSD,IF(INDEX(спр_Материалы!$J$2:$J$9000,MATCH($I564,спр_Материалы!$A$2:$A$9000,0))="EUR",КурсEUR,1))*INDEX(спр_Материалы!$K$2:$K$9000,MATCH($I564,спр_Материалы!$A$2:$A$9000,0))*(1+IFERROR(INDEX(спр_Работы!$I$2:$I$6000,MATCH($C564,спр_Работы!$A$2:$A$6000,0))/100,0))*(1-ДисконтТендер),0))</f>
        <v/>
      </c>
      <c r="N564" s="10">
        <f>IF(AND($R564="да",$H564&lt;&gt;""),ROUND($H564*$L564,2),0)</f>
        <v/>
      </c>
      <c r="O564" s="10">
        <f>IF(AND($R564="да",$H564&lt;&gt;""),ROUND($H564*$M564,2),0)</f>
        <v/>
      </c>
      <c r="P564" s="10">
        <f>$N564+$O564</f>
        <v/>
      </c>
      <c r="Q564">
        <f>IFERROR(INDEX(спр_Работы!$J$2:$J$6000,MATCH($C564,спр_Работы!$A$2:$A$6000,0)),"")</f>
        <v/>
      </c>
      <c r="R564" t="inlineStr">
        <is>
          <t>да</t>
        </is>
      </c>
      <c r="T564">
        <f>IF(AND($P564&gt;0,$R564="да"),MAX($T$1:$T563)+1,"")</f>
        <v/>
      </c>
    </row>
    <row r="565">
      <c r="A565">
        <f>IFERROR(INDEX(спр_Работы!$D$2:$D$6000,MATCH($C565,спр_Работы!$A$2:$A$6000,0)),"")</f>
        <v/>
      </c>
      <c r="B565">
        <f>IFERROR(INDEX(спр_Работы!$F$2:$F$6000,MATCH($C565,спр_Работы!$A$2:$A$6000,0)),"")</f>
        <v/>
      </c>
      <c r="C565">
        <f>IFERROR(INDEX(спр_Работы!$A$2:$A$6000,564),"")</f>
        <v/>
      </c>
      <c r="D565" s="8">
        <f>IFERROR(INDEX(спр_Работы!$B$2:$B$6000,MATCH($C565,спр_Работы!$A$2:$A$6000,0)),"")</f>
        <v/>
      </c>
      <c r="E565">
        <f>IFERROR(INDEX(спр_Работы!$C$2:$C$6000,MATCH($C565,спр_Работы!$A$2:$A$6000,0)),"")</f>
        <v/>
      </c>
      <c r="F565">
        <f>IFERROR(INDEX(спр_Работы!$G$2:$G$6000,MATCH($C565,спр_Работы!$A$2:$A$6000,0)),"")</f>
        <v/>
      </c>
      <c r="G565">
        <f>IFERROR(INDEX(спр_Работы!$K$2:$K$6000,MATCH($C565,спр_Работы!$A$2:$A$6000,0)),"")</f>
        <v/>
      </c>
      <c r="H565" s="9" t="n"/>
      <c r="I565" s="9" t="n"/>
      <c r="J565" s="8">
        <f>IFERROR(INDEX(спр_Материалы!$B$2:$B$9000,MATCH($I565,спр_Материалы!$A$2:$A$9000,0)),"")</f>
        <v/>
      </c>
      <c r="K565">
        <f>IF($I565="","",IF($F565=IFERROR(INDEX(спр_Материалы!$G$2:$G$9000,MATCH($I565,спр_Материалы!$A$2:$A$9000,0)),""),"OK","!! не та группа"))</f>
        <v/>
      </c>
      <c r="L565" s="10">
        <f>IFERROR(INDEX(спр_Работы!$H$2:$H$6000,MATCH($C565,спр_Работы!$A$2:$A$6000,0))*(1-ДисконтТендер),0)</f>
        <v/>
      </c>
      <c r="M565" s="10">
        <f>IF($I565="",0,IFERROR(INDEX(спр_Материалы!$I$2:$I$9000,MATCH($I565,спр_Материалы!$A$2:$A$9000,0))*IF(INDEX(спр_Материалы!$J$2:$J$9000,MATCH($I565,спр_Материалы!$A$2:$A$9000,0))="USD",КурсUSD,IF(INDEX(спр_Материалы!$J$2:$J$9000,MATCH($I565,спр_Материалы!$A$2:$A$9000,0))="EUR",КурсEUR,1))*INDEX(спр_Материалы!$K$2:$K$9000,MATCH($I565,спр_Материалы!$A$2:$A$9000,0))*(1+IFERROR(INDEX(спр_Работы!$I$2:$I$6000,MATCH($C565,спр_Работы!$A$2:$A$6000,0))/100,0))*(1-ДисконтТендер),0))</f>
        <v/>
      </c>
      <c r="N565" s="10">
        <f>IF(AND($R565="да",$H565&lt;&gt;""),ROUND($H565*$L565,2),0)</f>
        <v/>
      </c>
      <c r="O565" s="10">
        <f>IF(AND($R565="да",$H565&lt;&gt;""),ROUND($H565*$M565,2),0)</f>
        <v/>
      </c>
      <c r="P565" s="10">
        <f>$N565+$O565</f>
        <v/>
      </c>
      <c r="Q565">
        <f>IFERROR(INDEX(спр_Работы!$J$2:$J$6000,MATCH($C565,спр_Работы!$A$2:$A$6000,0)),"")</f>
        <v/>
      </c>
      <c r="R565" t="inlineStr">
        <is>
          <t>да</t>
        </is>
      </c>
      <c r="T565">
        <f>IF(AND($P565&gt;0,$R565="да"),MAX($T$1:$T564)+1,"")</f>
        <v/>
      </c>
    </row>
    <row r="566">
      <c r="A566">
        <f>IFERROR(INDEX(спр_Работы!$D$2:$D$6000,MATCH($C566,спр_Работы!$A$2:$A$6000,0)),"")</f>
        <v/>
      </c>
      <c r="B566">
        <f>IFERROR(INDEX(спр_Работы!$F$2:$F$6000,MATCH($C566,спр_Работы!$A$2:$A$6000,0)),"")</f>
        <v/>
      </c>
      <c r="C566">
        <f>IFERROR(INDEX(спр_Работы!$A$2:$A$6000,565),"")</f>
        <v/>
      </c>
      <c r="D566" s="8">
        <f>IFERROR(INDEX(спр_Работы!$B$2:$B$6000,MATCH($C566,спр_Работы!$A$2:$A$6000,0)),"")</f>
        <v/>
      </c>
      <c r="E566">
        <f>IFERROR(INDEX(спр_Работы!$C$2:$C$6000,MATCH($C566,спр_Работы!$A$2:$A$6000,0)),"")</f>
        <v/>
      </c>
      <c r="F566">
        <f>IFERROR(INDEX(спр_Работы!$G$2:$G$6000,MATCH($C566,спр_Работы!$A$2:$A$6000,0)),"")</f>
        <v/>
      </c>
      <c r="G566">
        <f>IFERROR(INDEX(спр_Работы!$K$2:$K$6000,MATCH($C566,спр_Работы!$A$2:$A$6000,0)),"")</f>
        <v/>
      </c>
      <c r="H566" s="9" t="n"/>
      <c r="I566" s="9" t="n"/>
      <c r="J566" s="8">
        <f>IFERROR(INDEX(спр_Материалы!$B$2:$B$9000,MATCH($I566,спр_Материалы!$A$2:$A$9000,0)),"")</f>
        <v/>
      </c>
      <c r="K566">
        <f>IF($I566="","",IF($F566=IFERROR(INDEX(спр_Материалы!$G$2:$G$9000,MATCH($I566,спр_Материалы!$A$2:$A$9000,0)),""),"OK","!! не та группа"))</f>
        <v/>
      </c>
      <c r="L566" s="10">
        <f>IFERROR(INDEX(спр_Работы!$H$2:$H$6000,MATCH($C566,спр_Работы!$A$2:$A$6000,0))*(1-ДисконтТендер),0)</f>
        <v/>
      </c>
      <c r="M566" s="10">
        <f>IF($I566="",0,IFERROR(INDEX(спр_Материалы!$I$2:$I$9000,MATCH($I566,спр_Материалы!$A$2:$A$9000,0))*IF(INDEX(спр_Материалы!$J$2:$J$9000,MATCH($I566,спр_Материалы!$A$2:$A$9000,0))="USD",КурсUSD,IF(INDEX(спр_Материалы!$J$2:$J$9000,MATCH($I566,спр_Материалы!$A$2:$A$9000,0))="EUR",КурсEUR,1))*INDEX(спр_Материалы!$K$2:$K$9000,MATCH($I566,спр_Материалы!$A$2:$A$9000,0))*(1+IFERROR(INDEX(спр_Работы!$I$2:$I$6000,MATCH($C566,спр_Работы!$A$2:$A$6000,0))/100,0))*(1-ДисконтТендер),0))</f>
        <v/>
      </c>
      <c r="N566" s="10">
        <f>IF(AND($R566="да",$H566&lt;&gt;""),ROUND($H566*$L566,2),0)</f>
        <v/>
      </c>
      <c r="O566" s="10">
        <f>IF(AND($R566="да",$H566&lt;&gt;""),ROUND($H566*$M566,2),0)</f>
        <v/>
      </c>
      <c r="P566" s="10">
        <f>$N566+$O566</f>
        <v/>
      </c>
      <c r="Q566">
        <f>IFERROR(INDEX(спр_Работы!$J$2:$J$6000,MATCH($C566,спр_Работы!$A$2:$A$6000,0)),"")</f>
        <v/>
      </c>
      <c r="R566" t="inlineStr">
        <is>
          <t>да</t>
        </is>
      </c>
      <c r="T566">
        <f>IF(AND($P566&gt;0,$R566="да"),MAX($T$1:$T565)+1,"")</f>
        <v/>
      </c>
    </row>
    <row r="567">
      <c r="A567">
        <f>IFERROR(INDEX(спр_Работы!$D$2:$D$6000,MATCH($C567,спр_Работы!$A$2:$A$6000,0)),"")</f>
        <v/>
      </c>
      <c r="B567">
        <f>IFERROR(INDEX(спр_Работы!$F$2:$F$6000,MATCH($C567,спр_Работы!$A$2:$A$6000,0)),"")</f>
        <v/>
      </c>
      <c r="C567">
        <f>IFERROR(INDEX(спр_Работы!$A$2:$A$6000,566),"")</f>
        <v/>
      </c>
      <c r="D567" s="8">
        <f>IFERROR(INDEX(спр_Работы!$B$2:$B$6000,MATCH($C567,спр_Работы!$A$2:$A$6000,0)),"")</f>
        <v/>
      </c>
      <c r="E567">
        <f>IFERROR(INDEX(спр_Работы!$C$2:$C$6000,MATCH($C567,спр_Работы!$A$2:$A$6000,0)),"")</f>
        <v/>
      </c>
      <c r="F567">
        <f>IFERROR(INDEX(спр_Работы!$G$2:$G$6000,MATCH($C567,спр_Работы!$A$2:$A$6000,0)),"")</f>
        <v/>
      </c>
      <c r="G567">
        <f>IFERROR(INDEX(спр_Работы!$K$2:$K$6000,MATCH($C567,спр_Работы!$A$2:$A$6000,0)),"")</f>
        <v/>
      </c>
      <c r="H567" s="9" t="n"/>
      <c r="I567" s="9" t="n"/>
      <c r="J567" s="8">
        <f>IFERROR(INDEX(спр_Материалы!$B$2:$B$9000,MATCH($I567,спр_Материалы!$A$2:$A$9000,0)),"")</f>
        <v/>
      </c>
      <c r="K567">
        <f>IF($I567="","",IF($F567=IFERROR(INDEX(спр_Материалы!$G$2:$G$9000,MATCH($I567,спр_Материалы!$A$2:$A$9000,0)),""),"OK","!! не та группа"))</f>
        <v/>
      </c>
      <c r="L567" s="10">
        <f>IFERROR(INDEX(спр_Работы!$H$2:$H$6000,MATCH($C567,спр_Работы!$A$2:$A$6000,0))*(1-ДисконтТендер),0)</f>
        <v/>
      </c>
      <c r="M567" s="10">
        <f>IF($I567="",0,IFERROR(INDEX(спр_Материалы!$I$2:$I$9000,MATCH($I567,спр_Материалы!$A$2:$A$9000,0))*IF(INDEX(спр_Материалы!$J$2:$J$9000,MATCH($I567,спр_Материалы!$A$2:$A$9000,0))="USD",КурсUSD,IF(INDEX(спр_Материалы!$J$2:$J$9000,MATCH($I567,спр_Материалы!$A$2:$A$9000,0))="EUR",КурсEUR,1))*INDEX(спр_Материалы!$K$2:$K$9000,MATCH($I567,спр_Материалы!$A$2:$A$9000,0))*(1+IFERROR(INDEX(спр_Работы!$I$2:$I$6000,MATCH($C567,спр_Работы!$A$2:$A$6000,0))/100,0))*(1-ДисконтТендер),0))</f>
        <v/>
      </c>
      <c r="N567" s="10">
        <f>IF(AND($R567="да",$H567&lt;&gt;""),ROUND($H567*$L567,2),0)</f>
        <v/>
      </c>
      <c r="O567" s="10">
        <f>IF(AND($R567="да",$H567&lt;&gt;""),ROUND($H567*$M567,2),0)</f>
        <v/>
      </c>
      <c r="P567" s="10">
        <f>$N567+$O567</f>
        <v/>
      </c>
      <c r="Q567">
        <f>IFERROR(INDEX(спр_Работы!$J$2:$J$6000,MATCH($C567,спр_Работы!$A$2:$A$6000,0)),"")</f>
        <v/>
      </c>
      <c r="R567" t="inlineStr">
        <is>
          <t>да</t>
        </is>
      </c>
      <c r="T567">
        <f>IF(AND($P567&gt;0,$R567="да"),MAX($T$1:$T566)+1,"")</f>
        <v/>
      </c>
    </row>
    <row r="568">
      <c r="A568">
        <f>IFERROR(INDEX(спр_Работы!$D$2:$D$6000,MATCH($C568,спр_Работы!$A$2:$A$6000,0)),"")</f>
        <v/>
      </c>
      <c r="B568">
        <f>IFERROR(INDEX(спр_Работы!$F$2:$F$6000,MATCH($C568,спр_Работы!$A$2:$A$6000,0)),"")</f>
        <v/>
      </c>
      <c r="C568">
        <f>IFERROR(INDEX(спр_Работы!$A$2:$A$6000,567),"")</f>
        <v/>
      </c>
      <c r="D568" s="8">
        <f>IFERROR(INDEX(спр_Работы!$B$2:$B$6000,MATCH($C568,спр_Работы!$A$2:$A$6000,0)),"")</f>
        <v/>
      </c>
      <c r="E568">
        <f>IFERROR(INDEX(спр_Работы!$C$2:$C$6000,MATCH($C568,спр_Работы!$A$2:$A$6000,0)),"")</f>
        <v/>
      </c>
      <c r="F568">
        <f>IFERROR(INDEX(спр_Работы!$G$2:$G$6000,MATCH($C568,спр_Работы!$A$2:$A$6000,0)),"")</f>
        <v/>
      </c>
      <c r="G568">
        <f>IFERROR(INDEX(спр_Работы!$K$2:$K$6000,MATCH($C568,спр_Работы!$A$2:$A$6000,0)),"")</f>
        <v/>
      </c>
      <c r="H568" s="9" t="n"/>
      <c r="I568" s="9" t="n"/>
      <c r="J568" s="8">
        <f>IFERROR(INDEX(спр_Материалы!$B$2:$B$9000,MATCH($I568,спр_Материалы!$A$2:$A$9000,0)),"")</f>
        <v/>
      </c>
      <c r="K568">
        <f>IF($I568="","",IF($F568=IFERROR(INDEX(спр_Материалы!$G$2:$G$9000,MATCH($I568,спр_Материалы!$A$2:$A$9000,0)),""),"OK","!! не та группа"))</f>
        <v/>
      </c>
      <c r="L568" s="10">
        <f>IFERROR(INDEX(спр_Работы!$H$2:$H$6000,MATCH($C568,спр_Работы!$A$2:$A$6000,0))*(1-ДисконтТендер),0)</f>
        <v/>
      </c>
      <c r="M568" s="10">
        <f>IF($I568="",0,IFERROR(INDEX(спр_Материалы!$I$2:$I$9000,MATCH($I568,спр_Материалы!$A$2:$A$9000,0))*IF(INDEX(спр_Материалы!$J$2:$J$9000,MATCH($I568,спр_Материалы!$A$2:$A$9000,0))="USD",КурсUSD,IF(INDEX(спр_Материалы!$J$2:$J$9000,MATCH($I568,спр_Материалы!$A$2:$A$9000,0))="EUR",КурсEUR,1))*INDEX(спр_Материалы!$K$2:$K$9000,MATCH($I568,спр_Материалы!$A$2:$A$9000,0))*(1+IFERROR(INDEX(спр_Работы!$I$2:$I$6000,MATCH($C568,спр_Работы!$A$2:$A$6000,0))/100,0))*(1-ДисконтТендер),0))</f>
        <v/>
      </c>
      <c r="N568" s="10">
        <f>IF(AND($R568="да",$H568&lt;&gt;""),ROUND($H568*$L568,2),0)</f>
        <v/>
      </c>
      <c r="O568" s="10">
        <f>IF(AND($R568="да",$H568&lt;&gt;""),ROUND($H568*$M568,2),0)</f>
        <v/>
      </c>
      <c r="P568" s="10">
        <f>$N568+$O568</f>
        <v/>
      </c>
      <c r="Q568">
        <f>IFERROR(INDEX(спр_Работы!$J$2:$J$6000,MATCH($C568,спр_Работы!$A$2:$A$6000,0)),"")</f>
        <v/>
      </c>
      <c r="R568" t="inlineStr">
        <is>
          <t>да</t>
        </is>
      </c>
      <c r="T568">
        <f>IF(AND($P568&gt;0,$R568="да"),MAX($T$1:$T567)+1,"")</f>
        <v/>
      </c>
    </row>
    <row r="569">
      <c r="A569">
        <f>IFERROR(INDEX(спр_Работы!$D$2:$D$6000,MATCH($C569,спр_Работы!$A$2:$A$6000,0)),"")</f>
        <v/>
      </c>
      <c r="B569">
        <f>IFERROR(INDEX(спр_Работы!$F$2:$F$6000,MATCH($C569,спр_Работы!$A$2:$A$6000,0)),"")</f>
        <v/>
      </c>
      <c r="C569">
        <f>IFERROR(INDEX(спр_Работы!$A$2:$A$6000,568),"")</f>
        <v/>
      </c>
      <c r="D569" s="8">
        <f>IFERROR(INDEX(спр_Работы!$B$2:$B$6000,MATCH($C569,спр_Работы!$A$2:$A$6000,0)),"")</f>
        <v/>
      </c>
      <c r="E569">
        <f>IFERROR(INDEX(спр_Работы!$C$2:$C$6000,MATCH($C569,спр_Работы!$A$2:$A$6000,0)),"")</f>
        <v/>
      </c>
      <c r="F569">
        <f>IFERROR(INDEX(спр_Работы!$G$2:$G$6000,MATCH($C569,спр_Работы!$A$2:$A$6000,0)),"")</f>
        <v/>
      </c>
      <c r="G569">
        <f>IFERROR(INDEX(спр_Работы!$K$2:$K$6000,MATCH($C569,спр_Работы!$A$2:$A$6000,0)),"")</f>
        <v/>
      </c>
      <c r="H569" s="9" t="n"/>
      <c r="I569" s="9" t="n"/>
      <c r="J569" s="8">
        <f>IFERROR(INDEX(спр_Материалы!$B$2:$B$9000,MATCH($I569,спр_Материалы!$A$2:$A$9000,0)),"")</f>
        <v/>
      </c>
      <c r="K569">
        <f>IF($I569="","",IF($F569=IFERROR(INDEX(спр_Материалы!$G$2:$G$9000,MATCH($I569,спр_Материалы!$A$2:$A$9000,0)),""),"OK","!! не та группа"))</f>
        <v/>
      </c>
      <c r="L569" s="10">
        <f>IFERROR(INDEX(спр_Работы!$H$2:$H$6000,MATCH($C569,спр_Работы!$A$2:$A$6000,0))*(1-ДисконтТендер),0)</f>
        <v/>
      </c>
      <c r="M569" s="10">
        <f>IF($I569="",0,IFERROR(INDEX(спр_Материалы!$I$2:$I$9000,MATCH($I569,спр_Материалы!$A$2:$A$9000,0))*IF(INDEX(спр_Материалы!$J$2:$J$9000,MATCH($I569,спр_Материалы!$A$2:$A$9000,0))="USD",КурсUSD,IF(INDEX(спр_Материалы!$J$2:$J$9000,MATCH($I569,спр_Материалы!$A$2:$A$9000,0))="EUR",КурсEUR,1))*INDEX(спр_Материалы!$K$2:$K$9000,MATCH($I569,спр_Материалы!$A$2:$A$9000,0))*(1+IFERROR(INDEX(спр_Работы!$I$2:$I$6000,MATCH($C569,спр_Работы!$A$2:$A$6000,0))/100,0))*(1-ДисконтТендер),0))</f>
        <v/>
      </c>
      <c r="N569" s="10">
        <f>IF(AND($R569="да",$H569&lt;&gt;""),ROUND($H569*$L569,2),0)</f>
        <v/>
      </c>
      <c r="O569" s="10">
        <f>IF(AND($R569="да",$H569&lt;&gt;""),ROUND($H569*$M569,2),0)</f>
        <v/>
      </c>
      <c r="P569" s="10">
        <f>$N569+$O569</f>
        <v/>
      </c>
      <c r="Q569">
        <f>IFERROR(INDEX(спр_Работы!$J$2:$J$6000,MATCH($C569,спр_Работы!$A$2:$A$6000,0)),"")</f>
        <v/>
      </c>
      <c r="R569" t="inlineStr">
        <is>
          <t>да</t>
        </is>
      </c>
      <c r="T569">
        <f>IF(AND($P569&gt;0,$R569="да"),MAX($T$1:$T568)+1,"")</f>
        <v/>
      </c>
    </row>
    <row r="570">
      <c r="A570">
        <f>IFERROR(INDEX(спр_Работы!$D$2:$D$6000,MATCH($C570,спр_Работы!$A$2:$A$6000,0)),"")</f>
        <v/>
      </c>
      <c r="B570">
        <f>IFERROR(INDEX(спр_Работы!$F$2:$F$6000,MATCH($C570,спр_Работы!$A$2:$A$6000,0)),"")</f>
        <v/>
      </c>
      <c r="C570">
        <f>IFERROR(INDEX(спр_Работы!$A$2:$A$6000,569),"")</f>
        <v/>
      </c>
      <c r="D570" s="8">
        <f>IFERROR(INDEX(спр_Работы!$B$2:$B$6000,MATCH($C570,спр_Работы!$A$2:$A$6000,0)),"")</f>
        <v/>
      </c>
      <c r="E570">
        <f>IFERROR(INDEX(спр_Работы!$C$2:$C$6000,MATCH($C570,спр_Работы!$A$2:$A$6000,0)),"")</f>
        <v/>
      </c>
      <c r="F570">
        <f>IFERROR(INDEX(спр_Работы!$G$2:$G$6000,MATCH($C570,спр_Работы!$A$2:$A$6000,0)),"")</f>
        <v/>
      </c>
      <c r="G570">
        <f>IFERROR(INDEX(спр_Работы!$K$2:$K$6000,MATCH($C570,спр_Работы!$A$2:$A$6000,0)),"")</f>
        <v/>
      </c>
      <c r="H570" s="9" t="n"/>
      <c r="I570" s="9" t="n"/>
      <c r="J570" s="8">
        <f>IFERROR(INDEX(спр_Материалы!$B$2:$B$9000,MATCH($I570,спр_Материалы!$A$2:$A$9000,0)),"")</f>
        <v/>
      </c>
      <c r="K570">
        <f>IF($I570="","",IF($F570=IFERROR(INDEX(спр_Материалы!$G$2:$G$9000,MATCH($I570,спр_Материалы!$A$2:$A$9000,0)),""),"OK","!! не та группа"))</f>
        <v/>
      </c>
      <c r="L570" s="10">
        <f>IFERROR(INDEX(спр_Работы!$H$2:$H$6000,MATCH($C570,спр_Работы!$A$2:$A$6000,0))*(1-ДисконтТендер),0)</f>
        <v/>
      </c>
      <c r="M570" s="10">
        <f>IF($I570="",0,IFERROR(INDEX(спр_Материалы!$I$2:$I$9000,MATCH($I570,спр_Материалы!$A$2:$A$9000,0))*IF(INDEX(спр_Материалы!$J$2:$J$9000,MATCH($I570,спр_Материалы!$A$2:$A$9000,0))="USD",КурсUSD,IF(INDEX(спр_Материалы!$J$2:$J$9000,MATCH($I570,спр_Материалы!$A$2:$A$9000,0))="EUR",КурсEUR,1))*INDEX(спр_Материалы!$K$2:$K$9000,MATCH($I570,спр_Материалы!$A$2:$A$9000,0))*(1+IFERROR(INDEX(спр_Работы!$I$2:$I$6000,MATCH($C570,спр_Работы!$A$2:$A$6000,0))/100,0))*(1-ДисконтТендер),0))</f>
        <v/>
      </c>
      <c r="N570" s="10">
        <f>IF(AND($R570="да",$H570&lt;&gt;""),ROUND($H570*$L570,2),0)</f>
        <v/>
      </c>
      <c r="O570" s="10">
        <f>IF(AND($R570="да",$H570&lt;&gt;""),ROUND($H570*$M570,2),0)</f>
        <v/>
      </c>
      <c r="P570" s="10">
        <f>$N570+$O570</f>
        <v/>
      </c>
      <c r="Q570">
        <f>IFERROR(INDEX(спр_Работы!$J$2:$J$6000,MATCH($C570,спр_Работы!$A$2:$A$6000,0)),"")</f>
        <v/>
      </c>
      <c r="R570" t="inlineStr">
        <is>
          <t>да</t>
        </is>
      </c>
      <c r="T570">
        <f>IF(AND($P570&gt;0,$R570="да"),MAX($T$1:$T569)+1,"")</f>
        <v/>
      </c>
    </row>
    <row r="571">
      <c r="A571">
        <f>IFERROR(INDEX(спр_Работы!$D$2:$D$6000,MATCH($C571,спр_Работы!$A$2:$A$6000,0)),"")</f>
        <v/>
      </c>
      <c r="B571">
        <f>IFERROR(INDEX(спр_Работы!$F$2:$F$6000,MATCH($C571,спр_Работы!$A$2:$A$6000,0)),"")</f>
        <v/>
      </c>
      <c r="C571">
        <f>IFERROR(INDEX(спр_Работы!$A$2:$A$6000,570),"")</f>
        <v/>
      </c>
      <c r="D571" s="8">
        <f>IFERROR(INDEX(спр_Работы!$B$2:$B$6000,MATCH($C571,спр_Работы!$A$2:$A$6000,0)),"")</f>
        <v/>
      </c>
      <c r="E571">
        <f>IFERROR(INDEX(спр_Работы!$C$2:$C$6000,MATCH($C571,спр_Работы!$A$2:$A$6000,0)),"")</f>
        <v/>
      </c>
      <c r="F571">
        <f>IFERROR(INDEX(спр_Работы!$G$2:$G$6000,MATCH($C571,спр_Работы!$A$2:$A$6000,0)),"")</f>
        <v/>
      </c>
      <c r="G571">
        <f>IFERROR(INDEX(спр_Работы!$K$2:$K$6000,MATCH($C571,спр_Работы!$A$2:$A$6000,0)),"")</f>
        <v/>
      </c>
      <c r="H571" s="9" t="n"/>
      <c r="I571" s="9" t="n"/>
      <c r="J571" s="8">
        <f>IFERROR(INDEX(спр_Материалы!$B$2:$B$9000,MATCH($I571,спр_Материалы!$A$2:$A$9000,0)),"")</f>
        <v/>
      </c>
      <c r="K571">
        <f>IF($I571="","",IF($F571=IFERROR(INDEX(спр_Материалы!$G$2:$G$9000,MATCH($I571,спр_Материалы!$A$2:$A$9000,0)),""),"OK","!! не та группа"))</f>
        <v/>
      </c>
      <c r="L571" s="10">
        <f>IFERROR(INDEX(спр_Работы!$H$2:$H$6000,MATCH($C571,спр_Работы!$A$2:$A$6000,0))*(1-ДисконтТендер),0)</f>
        <v/>
      </c>
      <c r="M571" s="10">
        <f>IF($I571="",0,IFERROR(INDEX(спр_Материалы!$I$2:$I$9000,MATCH($I571,спр_Материалы!$A$2:$A$9000,0))*IF(INDEX(спр_Материалы!$J$2:$J$9000,MATCH($I571,спр_Материалы!$A$2:$A$9000,0))="USD",КурсUSD,IF(INDEX(спр_Материалы!$J$2:$J$9000,MATCH($I571,спр_Материалы!$A$2:$A$9000,0))="EUR",КурсEUR,1))*INDEX(спр_Материалы!$K$2:$K$9000,MATCH($I571,спр_Материалы!$A$2:$A$9000,0))*(1+IFERROR(INDEX(спр_Работы!$I$2:$I$6000,MATCH($C571,спр_Работы!$A$2:$A$6000,0))/100,0))*(1-ДисконтТендер),0))</f>
        <v/>
      </c>
      <c r="N571" s="10">
        <f>IF(AND($R571="да",$H571&lt;&gt;""),ROUND($H571*$L571,2),0)</f>
        <v/>
      </c>
      <c r="O571" s="10">
        <f>IF(AND($R571="да",$H571&lt;&gt;""),ROUND($H571*$M571,2),0)</f>
        <v/>
      </c>
      <c r="P571" s="10">
        <f>$N571+$O571</f>
        <v/>
      </c>
      <c r="Q571">
        <f>IFERROR(INDEX(спр_Работы!$J$2:$J$6000,MATCH($C571,спр_Работы!$A$2:$A$6000,0)),"")</f>
        <v/>
      </c>
      <c r="R571" t="inlineStr">
        <is>
          <t>да</t>
        </is>
      </c>
      <c r="T571">
        <f>IF(AND($P571&gt;0,$R571="да"),MAX($T$1:$T570)+1,"")</f>
        <v/>
      </c>
    </row>
    <row r="572">
      <c r="A572">
        <f>IFERROR(INDEX(спр_Работы!$D$2:$D$6000,MATCH($C572,спр_Работы!$A$2:$A$6000,0)),"")</f>
        <v/>
      </c>
      <c r="B572">
        <f>IFERROR(INDEX(спр_Работы!$F$2:$F$6000,MATCH($C572,спр_Работы!$A$2:$A$6000,0)),"")</f>
        <v/>
      </c>
      <c r="C572">
        <f>IFERROR(INDEX(спр_Работы!$A$2:$A$6000,571),"")</f>
        <v/>
      </c>
      <c r="D572" s="8">
        <f>IFERROR(INDEX(спр_Работы!$B$2:$B$6000,MATCH($C572,спр_Работы!$A$2:$A$6000,0)),"")</f>
        <v/>
      </c>
      <c r="E572">
        <f>IFERROR(INDEX(спр_Работы!$C$2:$C$6000,MATCH($C572,спр_Работы!$A$2:$A$6000,0)),"")</f>
        <v/>
      </c>
      <c r="F572">
        <f>IFERROR(INDEX(спр_Работы!$G$2:$G$6000,MATCH($C572,спр_Работы!$A$2:$A$6000,0)),"")</f>
        <v/>
      </c>
      <c r="G572">
        <f>IFERROR(INDEX(спр_Работы!$K$2:$K$6000,MATCH($C572,спр_Работы!$A$2:$A$6000,0)),"")</f>
        <v/>
      </c>
      <c r="H572" s="9" t="n"/>
      <c r="I572" s="9" t="n"/>
      <c r="J572" s="8">
        <f>IFERROR(INDEX(спр_Материалы!$B$2:$B$9000,MATCH($I572,спр_Материалы!$A$2:$A$9000,0)),"")</f>
        <v/>
      </c>
      <c r="K572">
        <f>IF($I572="","",IF($F572=IFERROR(INDEX(спр_Материалы!$G$2:$G$9000,MATCH($I572,спр_Материалы!$A$2:$A$9000,0)),""),"OK","!! не та группа"))</f>
        <v/>
      </c>
      <c r="L572" s="10">
        <f>IFERROR(INDEX(спр_Работы!$H$2:$H$6000,MATCH($C572,спр_Работы!$A$2:$A$6000,0))*(1-ДисконтТендер),0)</f>
        <v/>
      </c>
      <c r="M572" s="10">
        <f>IF($I572="",0,IFERROR(INDEX(спр_Материалы!$I$2:$I$9000,MATCH($I572,спр_Материалы!$A$2:$A$9000,0))*IF(INDEX(спр_Материалы!$J$2:$J$9000,MATCH($I572,спр_Материалы!$A$2:$A$9000,0))="USD",КурсUSD,IF(INDEX(спр_Материалы!$J$2:$J$9000,MATCH($I572,спр_Материалы!$A$2:$A$9000,0))="EUR",КурсEUR,1))*INDEX(спр_Материалы!$K$2:$K$9000,MATCH($I572,спр_Материалы!$A$2:$A$9000,0))*(1+IFERROR(INDEX(спр_Работы!$I$2:$I$6000,MATCH($C572,спр_Работы!$A$2:$A$6000,0))/100,0))*(1-ДисконтТендер),0))</f>
        <v/>
      </c>
      <c r="N572" s="10">
        <f>IF(AND($R572="да",$H572&lt;&gt;""),ROUND($H572*$L572,2),0)</f>
        <v/>
      </c>
      <c r="O572" s="10">
        <f>IF(AND($R572="да",$H572&lt;&gt;""),ROUND($H572*$M572,2),0)</f>
        <v/>
      </c>
      <c r="P572" s="10">
        <f>$N572+$O572</f>
        <v/>
      </c>
      <c r="Q572">
        <f>IFERROR(INDEX(спр_Работы!$J$2:$J$6000,MATCH($C572,спр_Работы!$A$2:$A$6000,0)),"")</f>
        <v/>
      </c>
      <c r="R572" t="inlineStr">
        <is>
          <t>да</t>
        </is>
      </c>
      <c r="T572">
        <f>IF(AND($P572&gt;0,$R572="да"),MAX($T$1:$T571)+1,"")</f>
        <v/>
      </c>
    </row>
    <row r="573">
      <c r="A573">
        <f>IFERROR(INDEX(спр_Работы!$D$2:$D$6000,MATCH($C573,спр_Работы!$A$2:$A$6000,0)),"")</f>
        <v/>
      </c>
      <c r="B573">
        <f>IFERROR(INDEX(спр_Работы!$F$2:$F$6000,MATCH($C573,спр_Работы!$A$2:$A$6000,0)),"")</f>
        <v/>
      </c>
      <c r="C573">
        <f>IFERROR(INDEX(спр_Работы!$A$2:$A$6000,572),"")</f>
        <v/>
      </c>
      <c r="D573" s="8">
        <f>IFERROR(INDEX(спр_Работы!$B$2:$B$6000,MATCH($C573,спр_Работы!$A$2:$A$6000,0)),"")</f>
        <v/>
      </c>
      <c r="E573">
        <f>IFERROR(INDEX(спр_Работы!$C$2:$C$6000,MATCH($C573,спр_Работы!$A$2:$A$6000,0)),"")</f>
        <v/>
      </c>
      <c r="F573">
        <f>IFERROR(INDEX(спр_Работы!$G$2:$G$6000,MATCH($C573,спр_Работы!$A$2:$A$6000,0)),"")</f>
        <v/>
      </c>
      <c r="G573">
        <f>IFERROR(INDEX(спр_Работы!$K$2:$K$6000,MATCH($C573,спр_Работы!$A$2:$A$6000,0)),"")</f>
        <v/>
      </c>
      <c r="H573" s="9" t="n"/>
      <c r="I573" s="9" t="n"/>
      <c r="J573" s="8">
        <f>IFERROR(INDEX(спр_Материалы!$B$2:$B$9000,MATCH($I573,спр_Материалы!$A$2:$A$9000,0)),"")</f>
        <v/>
      </c>
      <c r="K573">
        <f>IF($I573="","",IF($F573=IFERROR(INDEX(спр_Материалы!$G$2:$G$9000,MATCH($I573,спр_Материалы!$A$2:$A$9000,0)),""),"OK","!! не та группа"))</f>
        <v/>
      </c>
      <c r="L573" s="10">
        <f>IFERROR(INDEX(спр_Работы!$H$2:$H$6000,MATCH($C573,спр_Работы!$A$2:$A$6000,0))*(1-ДисконтТендер),0)</f>
        <v/>
      </c>
      <c r="M573" s="10">
        <f>IF($I573="",0,IFERROR(INDEX(спр_Материалы!$I$2:$I$9000,MATCH($I573,спр_Материалы!$A$2:$A$9000,0))*IF(INDEX(спр_Материалы!$J$2:$J$9000,MATCH($I573,спр_Материалы!$A$2:$A$9000,0))="USD",КурсUSD,IF(INDEX(спр_Материалы!$J$2:$J$9000,MATCH($I573,спр_Материалы!$A$2:$A$9000,0))="EUR",КурсEUR,1))*INDEX(спр_Материалы!$K$2:$K$9000,MATCH($I573,спр_Материалы!$A$2:$A$9000,0))*(1+IFERROR(INDEX(спр_Работы!$I$2:$I$6000,MATCH($C573,спр_Работы!$A$2:$A$6000,0))/100,0))*(1-ДисконтТендер),0))</f>
        <v/>
      </c>
      <c r="N573" s="10">
        <f>IF(AND($R573="да",$H573&lt;&gt;""),ROUND($H573*$L573,2),0)</f>
        <v/>
      </c>
      <c r="O573" s="10">
        <f>IF(AND($R573="да",$H573&lt;&gt;""),ROUND($H573*$M573,2),0)</f>
        <v/>
      </c>
      <c r="P573" s="10">
        <f>$N573+$O573</f>
        <v/>
      </c>
      <c r="Q573">
        <f>IFERROR(INDEX(спр_Работы!$J$2:$J$6000,MATCH($C573,спр_Работы!$A$2:$A$6000,0)),"")</f>
        <v/>
      </c>
      <c r="R573" t="inlineStr">
        <is>
          <t>да</t>
        </is>
      </c>
      <c r="T573">
        <f>IF(AND($P573&gt;0,$R573="да"),MAX($T$1:$T572)+1,"")</f>
        <v/>
      </c>
    </row>
    <row r="574">
      <c r="A574">
        <f>IFERROR(INDEX(спр_Работы!$D$2:$D$6000,MATCH($C574,спр_Работы!$A$2:$A$6000,0)),"")</f>
        <v/>
      </c>
      <c r="B574">
        <f>IFERROR(INDEX(спр_Работы!$F$2:$F$6000,MATCH($C574,спр_Работы!$A$2:$A$6000,0)),"")</f>
        <v/>
      </c>
      <c r="C574">
        <f>IFERROR(INDEX(спр_Работы!$A$2:$A$6000,573),"")</f>
        <v/>
      </c>
      <c r="D574" s="8">
        <f>IFERROR(INDEX(спр_Работы!$B$2:$B$6000,MATCH($C574,спр_Работы!$A$2:$A$6000,0)),"")</f>
        <v/>
      </c>
      <c r="E574">
        <f>IFERROR(INDEX(спр_Работы!$C$2:$C$6000,MATCH($C574,спр_Работы!$A$2:$A$6000,0)),"")</f>
        <v/>
      </c>
      <c r="F574">
        <f>IFERROR(INDEX(спр_Работы!$G$2:$G$6000,MATCH($C574,спр_Работы!$A$2:$A$6000,0)),"")</f>
        <v/>
      </c>
      <c r="G574">
        <f>IFERROR(INDEX(спр_Работы!$K$2:$K$6000,MATCH($C574,спр_Работы!$A$2:$A$6000,0)),"")</f>
        <v/>
      </c>
      <c r="H574" s="9" t="n"/>
      <c r="I574" s="9" t="n"/>
      <c r="J574" s="8">
        <f>IFERROR(INDEX(спр_Материалы!$B$2:$B$9000,MATCH($I574,спр_Материалы!$A$2:$A$9000,0)),"")</f>
        <v/>
      </c>
      <c r="K574">
        <f>IF($I574="","",IF($F574=IFERROR(INDEX(спр_Материалы!$G$2:$G$9000,MATCH($I574,спр_Материалы!$A$2:$A$9000,0)),""),"OK","!! не та группа"))</f>
        <v/>
      </c>
      <c r="L574" s="10">
        <f>IFERROR(INDEX(спр_Работы!$H$2:$H$6000,MATCH($C574,спр_Работы!$A$2:$A$6000,0))*(1-ДисконтТендер),0)</f>
        <v/>
      </c>
      <c r="M574" s="10">
        <f>IF($I574="",0,IFERROR(INDEX(спр_Материалы!$I$2:$I$9000,MATCH($I574,спр_Материалы!$A$2:$A$9000,0))*IF(INDEX(спр_Материалы!$J$2:$J$9000,MATCH($I574,спр_Материалы!$A$2:$A$9000,0))="USD",КурсUSD,IF(INDEX(спр_Материалы!$J$2:$J$9000,MATCH($I574,спр_Материалы!$A$2:$A$9000,0))="EUR",КурсEUR,1))*INDEX(спр_Материалы!$K$2:$K$9000,MATCH($I574,спр_Материалы!$A$2:$A$9000,0))*(1+IFERROR(INDEX(спр_Работы!$I$2:$I$6000,MATCH($C574,спр_Работы!$A$2:$A$6000,0))/100,0))*(1-ДисконтТендер),0))</f>
        <v/>
      </c>
      <c r="N574" s="10">
        <f>IF(AND($R574="да",$H574&lt;&gt;""),ROUND($H574*$L574,2),0)</f>
        <v/>
      </c>
      <c r="O574" s="10">
        <f>IF(AND($R574="да",$H574&lt;&gt;""),ROUND($H574*$M574,2),0)</f>
        <v/>
      </c>
      <c r="P574" s="10">
        <f>$N574+$O574</f>
        <v/>
      </c>
      <c r="Q574">
        <f>IFERROR(INDEX(спр_Работы!$J$2:$J$6000,MATCH($C574,спр_Работы!$A$2:$A$6000,0)),"")</f>
        <v/>
      </c>
      <c r="R574" t="inlineStr">
        <is>
          <t>да</t>
        </is>
      </c>
      <c r="T574">
        <f>IF(AND($P574&gt;0,$R574="да"),MAX($T$1:$T573)+1,"")</f>
        <v/>
      </c>
    </row>
    <row r="575">
      <c r="A575">
        <f>IFERROR(INDEX(спр_Работы!$D$2:$D$6000,MATCH($C575,спр_Работы!$A$2:$A$6000,0)),"")</f>
        <v/>
      </c>
      <c r="B575">
        <f>IFERROR(INDEX(спр_Работы!$F$2:$F$6000,MATCH($C575,спр_Работы!$A$2:$A$6000,0)),"")</f>
        <v/>
      </c>
      <c r="C575">
        <f>IFERROR(INDEX(спр_Работы!$A$2:$A$6000,574),"")</f>
        <v/>
      </c>
      <c r="D575" s="8">
        <f>IFERROR(INDEX(спр_Работы!$B$2:$B$6000,MATCH($C575,спр_Работы!$A$2:$A$6000,0)),"")</f>
        <v/>
      </c>
      <c r="E575">
        <f>IFERROR(INDEX(спр_Работы!$C$2:$C$6000,MATCH($C575,спр_Работы!$A$2:$A$6000,0)),"")</f>
        <v/>
      </c>
      <c r="F575">
        <f>IFERROR(INDEX(спр_Работы!$G$2:$G$6000,MATCH($C575,спр_Работы!$A$2:$A$6000,0)),"")</f>
        <v/>
      </c>
      <c r="G575">
        <f>IFERROR(INDEX(спр_Работы!$K$2:$K$6000,MATCH($C575,спр_Работы!$A$2:$A$6000,0)),"")</f>
        <v/>
      </c>
      <c r="H575" s="9" t="n"/>
      <c r="I575" s="9" t="n"/>
      <c r="J575" s="8">
        <f>IFERROR(INDEX(спр_Материалы!$B$2:$B$9000,MATCH($I575,спр_Материалы!$A$2:$A$9000,0)),"")</f>
        <v/>
      </c>
      <c r="K575">
        <f>IF($I575="","",IF($F575=IFERROR(INDEX(спр_Материалы!$G$2:$G$9000,MATCH($I575,спр_Материалы!$A$2:$A$9000,0)),""),"OK","!! не та группа"))</f>
        <v/>
      </c>
      <c r="L575" s="10">
        <f>IFERROR(INDEX(спр_Работы!$H$2:$H$6000,MATCH($C575,спр_Работы!$A$2:$A$6000,0))*(1-ДисконтТендер),0)</f>
        <v/>
      </c>
      <c r="M575" s="10">
        <f>IF($I575="",0,IFERROR(INDEX(спр_Материалы!$I$2:$I$9000,MATCH($I575,спр_Материалы!$A$2:$A$9000,0))*IF(INDEX(спр_Материалы!$J$2:$J$9000,MATCH($I575,спр_Материалы!$A$2:$A$9000,0))="USD",КурсUSD,IF(INDEX(спр_Материалы!$J$2:$J$9000,MATCH($I575,спр_Материалы!$A$2:$A$9000,0))="EUR",КурсEUR,1))*INDEX(спр_Материалы!$K$2:$K$9000,MATCH($I575,спр_Материалы!$A$2:$A$9000,0))*(1+IFERROR(INDEX(спр_Работы!$I$2:$I$6000,MATCH($C575,спр_Работы!$A$2:$A$6000,0))/100,0))*(1-ДисконтТендер),0))</f>
        <v/>
      </c>
      <c r="N575" s="10">
        <f>IF(AND($R575="да",$H575&lt;&gt;""),ROUND($H575*$L575,2),0)</f>
        <v/>
      </c>
      <c r="O575" s="10">
        <f>IF(AND($R575="да",$H575&lt;&gt;""),ROUND($H575*$M575,2),0)</f>
        <v/>
      </c>
      <c r="P575" s="10">
        <f>$N575+$O575</f>
        <v/>
      </c>
      <c r="Q575">
        <f>IFERROR(INDEX(спр_Работы!$J$2:$J$6000,MATCH($C575,спр_Работы!$A$2:$A$6000,0)),"")</f>
        <v/>
      </c>
      <c r="R575" t="inlineStr">
        <is>
          <t>да</t>
        </is>
      </c>
      <c r="T575">
        <f>IF(AND($P575&gt;0,$R575="да"),MAX($T$1:$T574)+1,"")</f>
        <v/>
      </c>
    </row>
    <row r="576">
      <c r="A576">
        <f>IFERROR(INDEX(спр_Работы!$D$2:$D$6000,MATCH($C576,спр_Работы!$A$2:$A$6000,0)),"")</f>
        <v/>
      </c>
      <c r="B576">
        <f>IFERROR(INDEX(спр_Работы!$F$2:$F$6000,MATCH($C576,спр_Работы!$A$2:$A$6000,0)),"")</f>
        <v/>
      </c>
      <c r="C576">
        <f>IFERROR(INDEX(спр_Работы!$A$2:$A$6000,575),"")</f>
        <v/>
      </c>
      <c r="D576" s="8">
        <f>IFERROR(INDEX(спр_Работы!$B$2:$B$6000,MATCH($C576,спр_Работы!$A$2:$A$6000,0)),"")</f>
        <v/>
      </c>
      <c r="E576">
        <f>IFERROR(INDEX(спр_Работы!$C$2:$C$6000,MATCH($C576,спр_Работы!$A$2:$A$6000,0)),"")</f>
        <v/>
      </c>
      <c r="F576">
        <f>IFERROR(INDEX(спр_Работы!$G$2:$G$6000,MATCH($C576,спр_Работы!$A$2:$A$6000,0)),"")</f>
        <v/>
      </c>
      <c r="G576">
        <f>IFERROR(INDEX(спр_Работы!$K$2:$K$6000,MATCH($C576,спр_Работы!$A$2:$A$6000,0)),"")</f>
        <v/>
      </c>
      <c r="H576" s="9" t="n"/>
      <c r="I576" s="9" t="n"/>
      <c r="J576" s="8">
        <f>IFERROR(INDEX(спр_Материалы!$B$2:$B$9000,MATCH($I576,спр_Материалы!$A$2:$A$9000,0)),"")</f>
        <v/>
      </c>
      <c r="K576">
        <f>IF($I576="","",IF($F576=IFERROR(INDEX(спр_Материалы!$G$2:$G$9000,MATCH($I576,спр_Материалы!$A$2:$A$9000,0)),""),"OK","!! не та группа"))</f>
        <v/>
      </c>
      <c r="L576" s="10">
        <f>IFERROR(INDEX(спр_Работы!$H$2:$H$6000,MATCH($C576,спр_Работы!$A$2:$A$6000,0))*(1-ДисконтТендер),0)</f>
        <v/>
      </c>
      <c r="M576" s="10">
        <f>IF($I576="",0,IFERROR(INDEX(спр_Материалы!$I$2:$I$9000,MATCH($I576,спр_Материалы!$A$2:$A$9000,0))*IF(INDEX(спр_Материалы!$J$2:$J$9000,MATCH($I576,спр_Материалы!$A$2:$A$9000,0))="USD",КурсUSD,IF(INDEX(спр_Материалы!$J$2:$J$9000,MATCH($I576,спр_Материалы!$A$2:$A$9000,0))="EUR",КурсEUR,1))*INDEX(спр_Материалы!$K$2:$K$9000,MATCH($I576,спр_Материалы!$A$2:$A$9000,0))*(1+IFERROR(INDEX(спр_Работы!$I$2:$I$6000,MATCH($C576,спр_Работы!$A$2:$A$6000,0))/100,0))*(1-ДисконтТендер),0))</f>
        <v/>
      </c>
      <c r="N576" s="10">
        <f>IF(AND($R576="да",$H576&lt;&gt;""),ROUND($H576*$L576,2),0)</f>
        <v/>
      </c>
      <c r="O576" s="10">
        <f>IF(AND($R576="да",$H576&lt;&gt;""),ROUND($H576*$M576,2),0)</f>
        <v/>
      </c>
      <c r="P576" s="10">
        <f>$N576+$O576</f>
        <v/>
      </c>
      <c r="Q576">
        <f>IFERROR(INDEX(спр_Работы!$J$2:$J$6000,MATCH($C576,спр_Работы!$A$2:$A$6000,0)),"")</f>
        <v/>
      </c>
      <c r="R576" t="inlineStr">
        <is>
          <t>да</t>
        </is>
      </c>
      <c r="T576">
        <f>IF(AND($P576&gt;0,$R576="да"),MAX($T$1:$T575)+1,"")</f>
        <v/>
      </c>
    </row>
    <row r="577">
      <c r="A577">
        <f>IFERROR(INDEX(спр_Работы!$D$2:$D$6000,MATCH($C577,спр_Работы!$A$2:$A$6000,0)),"")</f>
        <v/>
      </c>
      <c r="B577">
        <f>IFERROR(INDEX(спр_Работы!$F$2:$F$6000,MATCH($C577,спр_Работы!$A$2:$A$6000,0)),"")</f>
        <v/>
      </c>
      <c r="C577">
        <f>IFERROR(INDEX(спр_Работы!$A$2:$A$6000,576),"")</f>
        <v/>
      </c>
      <c r="D577" s="8">
        <f>IFERROR(INDEX(спр_Работы!$B$2:$B$6000,MATCH($C577,спр_Работы!$A$2:$A$6000,0)),"")</f>
        <v/>
      </c>
      <c r="E577">
        <f>IFERROR(INDEX(спр_Работы!$C$2:$C$6000,MATCH($C577,спр_Работы!$A$2:$A$6000,0)),"")</f>
        <v/>
      </c>
      <c r="F577">
        <f>IFERROR(INDEX(спр_Работы!$G$2:$G$6000,MATCH($C577,спр_Работы!$A$2:$A$6000,0)),"")</f>
        <v/>
      </c>
      <c r="G577">
        <f>IFERROR(INDEX(спр_Работы!$K$2:$K$6000,MATCH($C577,спр_Работы!$A$2:$A$6000,0)),"")</f>
        <v/>
      </c>
      <c r="H577" s="9" t="n"/>
      <c r="I577" s="9" t="n"/>
      <c r="J577" s="8">
        <f>IFERROR(INDEX(спр_Материалы!$B$2:$B$9000,MATCH($I577,спр_Материалы!$A$2:$A$9000,0)),"")</f>
        <v/>
      </c>
      <c r="K577">
        <f>IF($I577="","",IF($F577=IFERROR(INDEX(спр_Материалы!$G$2:$G$9000,MATCH($I577,спр_Материалы!$A$2:$A$9000,0)),""),"OK","!! не та группа"))</f>
        <v/>
      </c>
      <c r="L577" s="10">
        <f>IFERROR(INDEX(спр_Работы!$H$2:$H$6000,MATCH($C577,спр_Работы!$A$2:$A$6000,0))*(1-ДисконтТендер),0)</f>
        <v/>
      </c>
      <c r="M577" s="10">
        <f>IF($I577="",0,IFERROR(INDEX(спр_Материалы!$I$2:$I$9000,MATCH($I577,спр_Материалы!$A$2:$A$9000,0))*IF(INDEX(спр_Материалы!$J$2:$J$9000,MATCH($I577,спр_Материалы!$A$2:$A$9000,0))="USD",КурсUSD,IF(INDEX(спр_Материалы!$J$2:$J$9000,MATCH($I577,спр_Материалы!$A$2:$A$9000,0))="EUR",КурсEUR,1))*INDEX(спр_Материалы!$K$2:$K$9000,MATCH($I577,спр_Материалы!$A$2:$A$9000,0))*(1+IFERROR(INDEX(спр_Работы!$I$2:$I$6000,MATCH($C577,спр_Работы!$A$2:$A$6000,0))/100,0))*(1-ДисконтТендер),0))</f>
        <v/>
      </c>
      <c r="N577" s="10">
        <f>IF(AND($R577="да",$H577&lt;&gt;""),ROUND($H577*$L577,2),0)</f>
        <v/>
      </c>
      <c r="O577" s="10">
        <f>IF(AND($R577="да",$H577&lt;&gt;""),ROUND($H577*$M577,2),0)</f>
        <v/>
      </c>
      <c r="P577" s="10">
        <f>$N577+$O577</f>
        <v/>
      </c>
      <c r="Q577">
        <f>IFERROR(INDEX(спр_Работы!$J$2:$J$6000,MATCH($C577,спр_Работы!$A$2:$A$6000,0)),"")</f>
        <v/>
      </c>
      <c r="R577" t="inlineStr">
        <is>
          <t>да</t>
        </is>
      </c>
      <c r="T577">
        <f>IF(AND($P577&gt;0,$R577="да"),MAX($T$1:$T576)+1,"")</f>
        <v/>
      </c>
    </row>
    <row r="578">
      <c r="A578">
        <f>IFERROR(INDEX(спр_Работы!$D$2:$D$6000,MATCH($C578,спр_Работы!$A$2:$A$6000,0)),"")</f>
        <v/>
      </c>
      <c r="B578">
        <f>IFERROR(INDEX(спр_Работы!$F$2:$F$6000,MATCH($C578,спр_Работы!$A$2:$A$6000,0)),"")</f>
        <v/>
      </c>
      <c r="C578">
        <f>IFERROR(INDEX(спр_Работы!$A$2:$A$6000,577),"")</f>
        <v/>
      </c>
      <c r="D578" s="8">
        <f>IFERROR(INDEX(спр_Работы!$B$2:$B$6000,MATCH($C578,спр_Работы!$A$2:$A$6000,0)),"")</f>
        <v/>
      </c>
      <c r="E578">
        <f>IFERROR(INDEX(спр_Работы!$C$2:$C$6000,MATCH($C578,спр_Работы!$A$2:$A$6000,0)),"")</f>
        <v/>
      </c>
      <c r="F578">
        <f>IFERROR(INDEX(спр_Работы!$G$2:$G$6000,MATCH($C578,спр_Работы!$A$2:$A$6000,0)),"")</f>
        <v/>
      </c>
      <c r="G578">
        <f>IFERROR(INDEX(спр_Работы!$K$2:$K$6000,MATCH($C578,спр_Работы!$A$2:$A$6000,0)),"")</f>
        <v/>
      </c>
      <c r="H578" s="9" t="n"/>
      <c r="I578" s="9" t="n"/>
      <c r="J578" s="8">
        <f>IFERROR(INDEX(спр_Материалы!$B$2:$B$9000,MATCH($I578,спр_Материалы!$A$2:$A$9000,0)),"")</f>
        <v/>
      </c>
      <c r="K578">
        <f>IF($I578="","",IF($F578=IFERROR(INDEX(спр_Материалы!$G$2:$G$9000,MATCH($I578,спр_Материалы!$A$2:$A$9000,0)),""),"OK","!! не та группа"))</f>
        <v/>
      </c>
      <c r="L578" s="10">
        <f>IFERROR(INDEX(спр_Работы!$H$2:$H$6000,MATCH($C578,спр_Работы!$A$2:$A$6000,0))*(1-ДисконтТендер),0)</f>
        <v/>
      </c>
      <c r="M578" s="10">
        <f>IF($I578="",0,IFERROR(INDEX(спр_Материалы!$I$2:$I$9000,MATCH($I578,спр_Материалы!$A$2:$A$9000,0))*IF(INDEX(спр_Материалы!$J$2:$J$9000,MATCH($I578,спр_Материалы!$A$2:$A$9000,0))="USD",КурсUSD,IF(INDEX(спр_Материалы!$J$2:$J$9000,MATCH($I578,спр_Материалы!$A$2:$A$9000,0))="EUR",КурсEUR,1))*INDEX(спр_Материалы!$K$2:$K$9000,MATCH($I578,спр_Материалы!$A$2:$A$9000,0))*(1+IFERROR(INDEX(спр_Работы!$I$2:$I$6000,MATCH($C578,спр_Работы!$A$2:$A$6000,0))/100,0))*(1-ДисконтТендер),0))</f>
        <v/>
      </c>
      <c r="N578" s="10">
        <f>IF(AND($R578="да",$H578&lt;&gt;""),ROUND($H578*$L578,2),0)</f>
        <v/>
      </c>
      <c r="O578" s="10">
        <f>IF(AND($R578="да",$H578&lt;&gt;""),ROUND($H578*$M578,2),0)</f>
        <v/>
      </c>
      <c r="P578" s="10">
        <f>$N578+$O578</f>
        <v/>
      </c>
      <c r="Q578">
        <f>IFERROR(INDEX(спр_Работы!$J$2:$J$6000,MATCH($C578,спр_Работы!$A$2:$A$6000,0)),"")</f>
        <v/>
      </c>
      <c r="R578" t="inlineStr">
        <is>
          <t>да</t>
        </is>
      </c>
      <c r="T578">
        <f>IF(AND($P578&gt;0,$R578="да"),MAX($T$1:$T577)+1,"")</f>
        <v/>
      </c>
    </row>
    <row r="579">
      <c r="A579">
        <f>IFERROR(INDEX(спр_Работы!$D$2:$D$6000,MATCH($C579,спр_Работы!$A$2:$A$6000,0)),"")</f>
        <v/>
      </c>
      <c r="B579">
        <f>IFERROR(INDEX(спр_Работы!$F$2:$F$6000,MATCH($C579,спр_Работы!$A$2:$A$6000,0)),"")</f>
        <v/>
      </c>
      <c r="C579">
        <f>IFERROR(INDEX(спр_Работы!$A$2:$A$6000,578),"")</f>
        <v/>
      </c>
      <c r="D579" s="8">
        <f>IFERROR(INDEX(спр_Работы!$B$2:$B$6000,MATCH($C579,спр_Работы!$A$2:$A$6000,0)),"")</f>
        <v/>
      </c>
      <c r="E579">
        <f>IFERROR(INDEX(спр_Работы!$C$2:$C$6000,MATCH($C579,спр_Работы!$A$2:$A$6000,0)),"")</f>
        <v/>
      </c>
      <c r="F579">
        <f>IFERROR(INDEX(спр_Работы!$G$2:$G$6000,MATCH($C579,спр_Работы!$A$2:$A$6000,0)),"")</f>
        <v/>
      </c>
      <c r="G579">
        <f>IFERROR(INDEX(спр_Работы!$K$2:$K$6000,MATCH($C579,спр_Работы!$A$2:$A$6000,0)),"")</f>
        <v/>
      </c>
      <c r="H579" s="9" t="n"/>
      <c r="I579" s="9" t="n"/>
      <c r="J579" s="8">
        <f>IFERROR(INDEX(спр_Материалы!$B$2:$B$9000,MATCH($I579,спр_Материалы!$A$2:$A$9000,0)),"")</f>
        <v/>
      </c>
      <c r="K579">
        <f>IF($I579="","",IF($F579=IFERROR(INDEX(спр_Материалы!$G$2:$G$9000,MATCH($I579,спр_Материалы!$A$2:$A$9000,0)),""),"OK","!! не та группа"))</f>
        <v/>
      </c>
      <c r="L579" s="10">
        <f>IFERROR(INDEX(спр_Работы!$H$2:$H$6000,MATCH($C579,спр_Работы!$A$2:$A$6000,0))*(1-ДисконтТендер),0)</f>
        <v/>
      </c>
      <c r="M579" s="10">
        <f>IF($I579="",0,IFERROR(INDEX(спр_Материалы!$I$2:$I$9000,MATCH($I579,спр_Материалы!$A$2:$A$9000,0))*IF(INDEX(спр_Материалы!$J$2:$J$9000,MATCH($I579,спр_Материалы!$A$2:$A$9000,0))="USD",КурсUSD,IF(INDEX(спр_Материалы!$J$2:$J$9000,MATCH($I579,спр_Материалы!$A$2:$A$9000,0))="EUR",КурсEUR,1))*INDEX(спр_Материалы!$K$2:$K$9000,MATCH($I579,спр_Материалы!$A$2:$A$9000,0))*(1+IFERROR(INDEX(спр_Работы!$I$2:$I$6000,MATCH($C579,спр_Работы!$A$2:$A$6000,0))/100,0))*(1-ДисконтТендер),0))</f>
        <v/>
      </c>
      <c r="N579" s="10">
        <f>IF(AND($R579="да",$H579&lt;&gt;""),ROUND($H579*$L579,2),0)</f>
        <v/>
      </c>
      <c r="O579" s="10">
        <f>IF(AND($R579="да",$H579&lt;&gt;""),ROUND($H579*$M579,2),0)</f>
        <v/>
      </c>
      <c r="P579" s="10">
        <f>$N579+$O579</f>
        <v/>
      </c>
      <c r="Q579">
        <f>IFERROR(INDEX(спр_Работы!$J$2:$J$6000,MATCH($C579,спр_Работы!$A$2:$A$6000,0)),"")</f>
        <v/>
      </c>
      <c r="R579" t="inlineStr">
        <is>
          <t>да</t>
        </is>
      </c>
      <c r="T579">
        <f>IF(AND($P579&gt;0,$R579="да"),MAX($T$1:$T578)+1,"")</f>
        <v/>
      </c>
    </row>
    <row r="580">
      <c r="A580">
        <f>IFERROR(INDEX(спр_Работы!$D$2:$D$6000,MATCH($C580,спр_Работы!$A$2:$A$6000,0)),"")</f>
        <v/>
      </c>
      <c r="B580">
        <f>IFERROR(INDEX(спр_Работы!$F$2:$F$6000,MATCH($C580,спр_Работы!$A$2:$A$6000,0)),"")</f>
        <v/>
      </c>
      <c r="C580">
        <f>IFERROR(INDEX(спр_Работы!$A$2:$A$6000,579),"")</f>
        <v/>
      </c>
      <c r="D580" s="8">
        <f>IFERROR(INDEX(спр_Работы!$B$2:$B$6000,MATCH($C580,спр_Работы!$A$2:$A$6000,0)),"")</f>
        <v/>
      </c>
      <c r="E580">
        <f>IFERROR(INDEX(спр_Работы!$C$2:$C$6000,MATCH($C580,спр_Работы!$A$2:$A$6000,0)),"")</f>
        <v/>
      </c>
      <c r="F580">
        <f>IFERROR(INDEX(спр_Работы!$G$2:$G$6000,MATCH($C580,спр_Работы!$A$2:$A$6000,0)),"")</f>
        <v/>
      </c>
      <c r="G580">
        <f>IFERROR(INDEX(спр_Работы!$K$2:$K$6000,MATCH($C580,спр_Работы!$A$2:$A$6000,0)),"")</f>
        <v/>
      </c>
      <c r="H580" s="9" t="n"/>
      <c r="I580" s="9" t="n"/>
      <c r="J580" s="8">
        <f>IFERROR(INDEX(спр_Материалы!$B$2:$B$9000,MATCH($I580,спр_Материалы!$A$2:$A$9000,0)),"")</f>
        <v/>
      </c>
      <c r="K580">
        <f>IF($I580="","",IF($F580=IFERROR(INDEX(спр_Материалы!$G$2:$G$9000,MATCH($I580,спр_Материалы!$A$2:$A$9000,0)),""),"OK","!! не та группа"))</f>
        <v/>
      </c>
      <c r="L580" s="10">
        <f>IFERROR(INDEX(спр_Работы!$H$2:$H$6000,MATCH($C580,спр_Работы!$A$2:$A$6000,0))*(1-ДисконтТендер),0)</f>
        <v/>
      </c>
      <c r="M580" s="10">
        <f>IF($I580="",0,IFERROR(INDEX(спр_Материалы!$I$2:$I$9000,MATCH($I580,спр_Материалы!$A$2:$A$9000,0))*IF(INDEX(спр_Материалы!$J$2:$J$9000,MATCH($I580,спр_Материалы!$A$2:$A$9000,0))="USD",КурсUSD,IF(INDEX(спр_Материалы!$J$2:$J$9000,MATCH($I580,спр_Материалы!$A$2:$A$9000,0))="EUR",КурсEUR,1))*INDEX(спр_Материалы!$K$2:$K$9000,MATCH($I580,спр_Материалы!$A$2:$A$9000,0))*(1+IFERROR(INDEX(спр_Работы!$I$2:$I$6000,MATCH($C580,спр_Работы!$A$2:$A$6000,0))/100,0))*(1-ДисконтТендер),0))</f>
        <v/>
      </c>
      <c r="N580" s="10">
        <f>IF(AND($R580="да",$H580&lt;&gt;""),ROUND($H580*$L580,2),0)</f>
        <v/>
      </c>
      <c r="O580" s="10">
        <f>IF(AND($R580="да",$H580&lt;&gt;""),ROUND($H580*$M580,2),0)</f>
        <v/>
      </c>
      <c r="P580" s="10">
        <f>$N580+$O580</f>
        <v/>
      </c>
      <c r="Q580">
        <f>IFERROR(INDEX(спр_Работы!$J$2:$J$6000,MATCH($C580,спр_Работы!$A$2:$A$6000,0)),"")</f>
        <v/>
      </c>
      <c r="R580" t="inlineStr">
        <is>
          <t>да</t>
        </is>
      </c>
      <c r="T580">
        <f>IF(AND($P580&gt;0,$R580="да"),MAX($T$1:$T579)+1,"")</f>
        <v/>
      </c>
    </row>
    <row r="581">
      <c r="A581">
        <f>IFERROR(INDEX(спр_Работы!$D$2:$D$6000,MATCH($C581,спр_Работы!$A$2:$A$6000,0)),"")</f>
        <v/>
      </c>
      <c r="B581">
        <f>IFERROR(INDEX(спр_Работы!$F$2:$F$6000,MATCH($C581,спр_Работы!$A$2:$A$6000,0)),"")</f>
        <v/>
      </c>
      <c r="C581">
        <f>IFERROR(INDEX(спр_Работы!$A$2:$A$6000,580),"")</f>
        <v/>
      </c>
      <c r="D581" s="8">
        <f>IFERROR(INDEX(спр_Работы!$B$2:$B$6000,MATCH($C581,спр_Работы!$A$2:$A$6000,0)),"")</f>
        <v/>
      </c>
      <c r="E581">
        <f>IFERROR(INDEX(спр_Работы!$C$2:$C$6000,MATCH($C581,спр_Работы!$A$2:$A$6000,0)),"")</f>
        <v/>
      </c>
      <c r="F581">
        <f>IFERROR(INDEX(спр_Работы!$G$2:$G$6000,MATCH($C581,спр_Работы!$A$2:$A$6000,0)),"")</f>
        <v/>
      </c>
      <c r="G581">
        <f>IFERROR(INDEX(спр_Работы!$K$2:$K$6000,MATCH($C581,спр_Работы!$A$2:$A$6000,0)),"")</f>
        <v/>
      </c>
      <c r="H581" s="9" t="n"/>
      <c r="I581" s="9" t="n"/>
      <c r="J581" s="8">
        <f>IFERROR(INDEX(спр_Материалы!$B$2:$B$9000,MATCH($I581,спр_Материалы!$A$2:$A$9000,0)),"")</f>
        <v/>
      </c>
      <c r="K581">
        <f>IF($I581="","",IF($F581=IFERROR(INDEX(спр_Материалы!$G$2:$G$9000,MATCH($I581,спр_Материалы!$A$2:$A$9000,0)),""),"OK","!! не та группа"))</f>
        <v/>
      </c>
      <c r="L581" s="10">
        <f>IFERROR(INDEX(спр_Работы!$H$2:$H$6000,MATCH($C581,спр_Работы!$A$2:$A$6000,0))*(1-ДисконтТендер),0)</f>
        <v/>
      </c>
      <c r="M581" s="10">
        <f>IF($I581="",0,IFERROR(INDEX(спр_Материалы!$I$2:$I$9000,MATCH($I581,спр_Материалы!$A$2:$A$9000,0))*IF(INDEX(спр_Материалы!$J$2:$J$9000,MATCH($I581,спр_Материалы!$A$2:$A$9000,0))="USD",КурсUSD,IF(INDEX(спр_Материалы!$J$2:$J$9000,MATCH($I581,спр_Материалы!$A$2:$A$9000,0))="EUR",КурсEUR,1))*INDEX(спр_Материалы!$K$2:$K$9000,MATCH($I581,спр_Материалы!$A$2:$A$9000,0))*(1+IFERROR(INDEX(спр_Работы!$I$2:$I$6000,MATCH($C581,спр_Работы!$A$2:$A$6000,0))/100,0))*(1-ДисконтТендер),0))</f>
        <v/>
      </c>
      <c r="N581" s="10">
        <f>IF(AND($R581="да",$H581&lt;&gt;""),ROUND($H581*$L581,2),0)</f>
        <v/>
      </c>
      <c r="O581" s="10">
        <f>IF(AND($R581="да",$H581&lt;&gt;""),ROUND($H581*$M581,2),0)</f>
        <v/>
      </c>
      <c r="P581" s="10">
        <f>$N581+$O581</f>
        <v/>
      </c>
      <c r="Q581">
        <f>IFERROR(INDEX(спр_Работы!$J$2:$J$6000,MATCH($C581,спр_Работы!$A$2:$A$6000,0)),"")</f>
        <v/>
      </c>
      <c r="R581" t="inlineStr">
        <is>
          <t>да</t>
        </is>
      </c>
      <c r="T581">
        <f>IF(AND($P581&gt;0,$R581="да"),MAX($T$1:$T580)+1,"")</f>
        <v/>
      </c>
    </row>
    <row r="582">
      <c r="A582">
        <f>IFERROR(INDEX(спр_Работы!$D$2:$D$6000,MATCH($C582,спр_Работы!$A$2:$A$6000,0)),"")</f>
        <v/>
      </c>
      <c r="B582">
        <f>IFERROR(INDEX(спр_Работы!$F$2:$F$6000,MATCH($C582,спр_Работы!$A$2:$A$6000,0)),"")</f>
        <v/>
      </c>
      <c r="C582">
        <f>IFERROR(INDEX(спр_Работы!$A$2:$A$6000,581),"")</f>
        <v/>
      </c>
      <c r="D582" s="8">
        <f>IFERROR(INDEX(спр_Работы!$B$2:$B$6000,MATCH($C582,спр_Работы!$A$2:$A$6000,0)),"")</f>
        <v/>
      </c>
      <c r="E582">
        <f>IFERROR(INDEX(спр_Работы!$C$2:$C$6000,MATCH($C582,спр_Работы!$A$2:$A$6000,0)),"")</f>
        <v/>
      </c>
      <c r="F582">
        <f>IFERROR(INDEX(спр_Работы!$G$2:$G$6000,MATCH($C582,спр_Работы!$A$2:$A$6000,0)),"")</f>
        <v/>
      </c>
      <c r="G582">
        <f>IFERROR(INDEX(спр_Работы!$K$2:$K$6000,MATCH($C582,спр_Работы!$A$2:$A$6000,0)),"")</f>
        <v/>
      </c>
      <c r="H582" s="9" t="n"/>
      <c r="I582" s="9" t="n"/>
      <c r="J582" s="8">
        <f>IFERROR(INDEX(спр_Материалы!$B$2:$B$9000,MATCH($I582,спр_Материалы!$A$2:$A$9000,0)),"")</f>
        <v/>
      </c>
      <c r="K582">
        <f>IF($I582="","",IF($F582=IFERROR(INDEX(спр_Материалы!$G$2:$G$9000,MATCH($I582,спр_Материалы!$A$2:$A$9000,0)),""),"OK","!! не та группа"))</f>
        <v/>
      </c>
      <c r="L582" s="10">
        <f>IFERROR(INDEX(спр_Работы!$H$2:$H$6000,MATCH($C582,спр_Работы!$A$2:$A$6000,0))*(1-ДисконтТендер),0)</f>
        <v/>
      </c>
      <c r="M582" s="10">
        <f>IF($I582="",0,IFERROR(INDEX(спр_Материалы!$I$2:$I$9000,MATCH($I582,спр_Материалы!$A$2:$A$9000,0))*IF(INDEX(спр_Материалы!$J$2:$J$9000,MATCH($I582,спр_Материалы!$A$2:$A$9000,0))="USD",КурсUSD,IF(INDEX(спр_Материалы!$J$2:$J$9000,MATCH($I582,спр_Материалы!$A$2:$A$9000,0))="EUR",КурсEUR,1))*INDEX(спр_Материалы!$K$2:$K$9000,MATCH($I582,спр_Материалы!$A$2:$A$9000,0))*(1+IFERROR(INDEX(спр_Работы!$I$2:$I$6000,MATCH($C582,спр_Работы!$A$2:$A$6000,0))/100,0))*(1-ДисконтТендер),0))</f>
        <v/>
      </c>
      <c r="N582" s="10">
        <f>IF(AND($R582="да",$H582&lt;&gt;""),ROUND($H582*$L582,2),0)</f>
        <v/>
      </c>
      <c r="O582" s="10">
        <f>IF(AND($R582="да",$H582&lt;&gt;""),ROUND($H582*$M582,2),0)</f>
        <v/>
      </c>
      <c r="P582" s="10">
        <f>$N582+$O582</f>
        <v/>
      </c>
      <c r="Q582">
        <f>IFERROR(INDEX(спр_Работы!$J$2:$J$6000,MATCH($C582,спр_Работы!$A$2:$A$6000,0)),"")</f>
        <v/>
      </c>
      <c r="R582" t="inlineStr">
        <is>
          <t>да</t>
        </is>
      </c>
      <c r="T582">
        <f>IF(AND($P582&gt;0,$R582="да"),MAX($T$1:$T581)+1,"")</f>
        <v/>
      </c>
    </row>
    <row r="583">
      <c r="A583">
        <f>IFERROR(INDEX(спр_Работы!$D$2:$D$6000,MATCH($C583,спр_Работы!$A$2:$A$6000,0)),"")</f>
        <v/>
      </c>
      <c r="B583">
        <f>IFERROR(INDEX(спр_Работы!$F$2:$F$6000,MATCH($C583,спр_Работы!$A$2:$A$6000,0)),"")</f>
        <v/>
      </c>
      <c r="C583">
        <f>IFERROR(INDEX(спр_Работы!$A$2:$A$6000,582),"")</f>
        <v/>
      </c>
      <c r="D583" s="8">
        <f>IFERROR(INDEX(спр_Работы!$B$2:$B$6000,MATCH($C583,спр_Работы!$A$2:$A$6000,0)),"")</f>
        <v/>
      </c>
      <c r="E583">
        <f>IFERROR(INDEX(спр_Работы!$C$2:$C$6000,MATCH($C583,спр_Работы!$A$2:$A$6000,0)),"")</f>
        <v/>
      </c>
      <c r="F583">
        <f>IFERROR(INDEX(спр_Работы!$G$2:$G$6000,MATCH($C583,спр_Работы!$A$2:$A$6000,0)),"")</f>
        <v/>
      </c>
      <c r="G583">
        <f>IFERROR(INDEX(спр_Работы!$K$2:$K$6000,MATCH($C583,спр_Работы!$A$2:$A$6000,0)),"")</f>
        <v/>
      </c>
      <c r="H583" s="9" t="n"/>
      <c r="I583" s="9" t="n"/>
      <c r="J583" s="8">
        <f>IFERROR(INDEX(спр_Материалы!$B$2:$B$9000,MATCH($I583,спр_Материалы!$A$2:$A$9000,0)),"")</f>
        <v/>
      </c>
      <c r="K583">
        <f>IF($I583="","",IF($F583=IFERROR(INDEX(спр_Материалы!$G$2:$G$9000,MATCH($I583,спр_Материалы!$A$2:$A$9000,0)),""),"OK","!! не та группа"))</f>
        <v/>
      </c>
      <c r="L583" s="10">
        <f>IFERROR(INDEX(спр_Работы!$H$2:$H$6000,MATCH($C583,спр_Работы!$A$2:$A$6000,0))*(1-ДисконтТендер),0)</f>
        <v/>
      </c>
      <c r="M583" s="10">
        <f>IF($I583="",0,IFERROR(INDEX(спр_Материалы!$I$2:$I$9000,MATCH($I583,спр_Материалы!$A$2:$A$9000,0))*IF(INDEX(спр_Материалы!$J$2:$J$9000,MATCH($I583,спр_Материалы!$A$2:$A$9000,0))="USD",КурсUSD,IF(INDEX(спр_Материалы!$J$2:$J$9000,MATCH($I583,спр_Материалы!$A$2:$A$9000,0))="EUR",КурсEUR,1))*INDEX(спр_Материалы!$K$2:$K$9000,MATCH($I583,спр_Материалы!$A$2:$A$9000,0))*(1+IFERROR(INDEX(спр_Работы!$I$2:$I$6000,MATCH($C583,спр_Работы!$A$2:$A$6000,0))/100,0))*(1-ДисконтТендер),0))</f>
        <v/>
      </c>
      <c r="N583" s="10">
        <f>IF(AND($R583="да",$H583&lt;&gt;""),ROUND($H583*$L583,2),0)</f>
        <v/>
      </c>
      <c r="O583" s="10">
        <f>IF(AND($R583="да",$H583&lt;&gt;""),ROUND($H583*$M583,2),0)</f>
        <v/>
      </c>
      <c r="P583" s="10">
        <f>$N583+$O583</f>
        <v/>
      </c>
      <c r="Q583">
        <f>IFERROR(INDEX(спр_Работы!$J$2:$J$6000,MATCH($C583,спр_Работы!$A$2:$A$6000,0)),"")</f>
        <v/>
      </c>
      <c r="R583" t="inlineStr">
        <is>
          <t>да</t>
        </is>
      </c>
      <c r="T583">
        <f>IF(AND($P583&gt;0,$R583="да"),MAX($T$1:$T582)+1,"")</f>
        <v/>
      </c>
    </row>
    <row r="584">
      <c r="A584">
        <f>IFERROR(INDEX(спр_Работы!$D$2:$D$6000,MATCH($C584,спр_Работы!$A$2:$A$6000,0)),"")</f>
        <v/>
      </c>
      <c r="B584">
        <f>IFERROR(INDEX(спр_Работы!$F$2:$F$6000,MATCH($C584,спр_Работы!$A$2:$A$6000,0)),"")</f>
        <v/>
      </c>
      <c r="C584">
        <f>IFERROR(INDEX(спр_Работы!$A$2:$A$6000,583),"")</f>
        <v/>
      </c>
      <c r="D584" s="8">
        <f>IFERROR(INDEX(спр_Работы!$B$2:$B$6000,MATCH($C584,спр_Работы!$A$2:$A$6000,0)),"")</f>
        <v/>
      </c>
      <c r="E584">
        <f>IFERROR(INDEX(спр_Работы!$C$2:$C$6000,MATCH($C584,спр_Работы!$A$2:$A$6000,0)),"")</f>
        <v/>
      </c>
      <c r="F584">
        <f>IFERROR(INDEX(спр_Работы!$G$2:$G$6000,MATCH($C584,спр_Работы!$A$2:$A$6000,0)),"")</f>
        <v/>
      </c>
      <c r="G584">
        <f>IFERROR(INDEX(спр_Работы!$K$2:$K$6000,MATCH($C584,спр_Работы!$A$2:$A$6000,0)),"")</f>
        <v/>
      </c>
      <c r="H584" s="9" t="n"/>
      <c r="I584" s="9" t="n"/>
      <c r="J584" s="8">
        <f>IFERROR(INDEX(спр_Материалы!$B$2:$B$9000,MATCH($I584,спр_Материалы!$A$2:$A$9000,0)),"")</f>
        <v/>
      </c>
      <c r="K584">
        <f>IF($I584="","",IF($F584=IFERROR(INDEX(спр_Материалы!$G$2:$G$9000,MATCH($I584,спр_Материалы!$A$2:$A$9000,0)),""),"OK","!! не та группа"))</f>
        <v/>
      </c>
      <c r="L584" s="10">
        <f>IFERROR(INDEX(спр_Работы!$H$2:$H$6000,MATCH($C584,спр_Работы!$A$2:$A$6000,0))*(1-ДисконтТендер),0)</f>
        <v/>
      </c>
      <c r="M584" s="10">
        <f>IF($I584="",0,IFERROR(INDEX(спр_Материалы!$I$2:$I$9000,MATCH($I584,спр_Материалы!$A$2:$A$9000,0))*IF(INDEX(спр_Материалы!$J$2:$J$9000,MATCH($I584,спр_Материалы!$A$2:$A$9000,0))="USD",КурсUSD,IF(INDEX(спр_Материалы!$J$2:$J$9000,MATCH($I584,спр_Материалы!$A$2:$A$9000,0))="EUR",КурсEUR,1))*INDEX(спр_Материалы!$K$2:$K$9000,MATCH($I584,спр_Материалы!$A$2:$A$9000,0))*(1+IFERROR(INDEX(спр_Работы!$I$2:$I$6000,MATCH($C584,спр_Работы!$A$2:$A$6000,0))/100,0))*(1-ДисконтТендер),0))</f>
        <v/>
      </c>
      <c r="N584" s="10">
        <f>IF(AND($R584="да",$H584&lt;&gt;""),ROUND($H584*$L584,2),0)</f>
        <v/>
      </c>
      <c r="O584" s="10">
        <f>IF(AND($R584="да",$H584&lt;&gt;""),ROUND($H584*$M584,2),0)</f>
        <v/>
      </c>
      <c r="P584" s="10">
        <f>$N584+$O584</f>
        <v/>
      </c>
      <c r="Q584">
        <f>IFERROR(INDEX(спр_Работы!$J$2:$J$6000,MATCH($C584,спр_Работы!$A$2:$A$6000,0)),"")</f>
        <v/>
      </c>
      <c r="R584" t="inlineStr">
        <is>
          <t>да</t>
        </is>
      </c>
      <c r="T584">
        <f>IF(AND($P584&gt;0,$R584="да"),MAX($T$1:$T583)+1,"")</f>
        <v/>
      </c>
    </row>
    <row r="585">
      <c r="A585">
        <f>IFERROR(INDEX(спр_Работы!$D$2:$D$6000,MATCH($C585,спр_Работы!$A$2:$A$6000,0)),"")</f>
        <v/>
      </c>
      <c r="B585">
        <f>IFERROR(INDEX(спр_Работы!$F$2:$F$6000,MATCH($C585,спр_Работы!$A$2:$A$6000,0)),"")</f>
        <v/>
      </c>
      <c r="C585">
        <f>IFERROR(INDEX(спр_Работы!$A$2:$A$6000,584),"")</f>
        <v/>
      </c>
      <c r="D585" s="8">
        <f>IFERROR(INDEX(спр_Работы!$B$2:$B$6000,MATCH($C585,спр_Работы!$A$2:$A$6000,0)),"")</f>
        <v/>
      </c>
      <c r="E585">
        <f>IFERROR(INDEX(спр_Работы!$C$2:$C$6000,MATCH($C585,спр_Работы!$A$2:$A$6000,0)),"")</f>
        <v/>
      </c>
      <c r="F585">
        <f>IFERROR(INDEX(спр_Работы!$G$2:$G$6000,MATCH($C585,спр_Работы!$A$2:$A$6000,0)),"")</f>
        <v/>
      </c>
      <c r="G585">
        <f>IFERROR(INDEX(спр_Работы!$K$2:$K$6000,MATCH($C585,спр_Работы!$A$2:$A$6000,0)),"")</f>
        <v/>
      </c>
      <c r="H585" s="9" t="n"/>
      <c r="I585" s="9" t="n"/>
      <c r="J585" s="8">
        <f>IFERROR(INDEX(спр_Материалы!$B$2:$B$9000,MATCH($I585,спр_Материалы!$A$2:$A$9000,0)),"")</f>
        <v/>
      </c>
      <c r="K585">
        <f>IF($I585="","",IF($F585=IFERROR(INDEX(спр_Материалы!$G$2:$G$9000,MATCH($I585,спр_Материалы!$A$2:$A$9000,0)),""),"OK","!! не та группа"))</f>
        <v/>
      </c>
      <c r="L585" s="10">
        <f>IFERROR(INDEX(спр_Работы!$H$2:$H$6000,MATCH($C585,спр_Работы!$A$2:$A$6000,0))*(1-ДисконтТендер),0)</f>
        <v/>
      </c>
      <c r="M585" s="10">
        <f>IF($I585="",0,IFERROR(INDEX(спр_Материалы!$I$2:$I$9000,MATCH($I585,спр_Материалы!$A$2:$A$9000,0))*IF(INDEX(спр_Материалы!$J$2:$J$9000,MATCH($I585,спр_Материалы!$A$2:$A$9000,0))="USD",КурсUSD,IF(INDEX(спр_Материалы!$J$2:$J$9000,MATCH($I585,спр_Материалы!$A$2:$A$9000,0))="EUR",КурсEUR,1))*INDEX(спр_Материалы!$K$2:$K$9000,MATCH($I585,спр_Материалы!$A$2:$A$9000,0))*(1+IFERROR(INDEX(спр_Работы!$I$2:$I$6000,MATCH($C585,спр_Работы!$A$2:$A$6000,0))/100,0))*(1-ДисконтТендер),0))</f>
        <v/>
      </c>
      <c r="N585" s="10">
        <f>IF(AND($R585="да",$H585&lt;&gt;""),ROUND($H585*$L585,2),0)</f>
        <v/>
      </c>
      <c r="O585" s="10">
        <f>IF(AND($R585="да",$H585&lt;&gt;""),ROUND($H585*$M585,2),0)</f>
        <v/>
      </c>
      <c r="P585" s="10">
        <f>$N585+$O585</f>
        <v/>
      </c>
      <c r="Q585">
        <f>IFERROR(INDEX(спр_Работы!$J$2:$J$6000,MATCH($C585,спр_Работы!$A$2:$A$6000,0)),"")</f>
        <v/>
      </c>
      <c r="R585" t="inlineStr">
        <is>
          <t>да</t>
        </is>
      </c>
      <c r="T585">
        <f>IF(AND($P585&gt;0,$R585="да"),MAX($T$1:$T584)+1,"")</f>
        <v/>
      </c>
    </row>
    <row r="586">
      <c r="A586">
        <f>IFERROR(INDEX(спр_Работы!$D$2:$D$6000,MATCH($C586,спр_Работы!$A$2:$A$6000,0)),"")</f>
        <v/>
      </c>
      <c r="B586">
        <f>IFERROR(INDEX(спр_Работы!$F$2:$F$6000,MATCH($C586,спр_Работы!$A$2:$A$6000,0)),"")</f>
        <v/>
      </c>
      <c r="C586">
        <f>IFERROR(INDEX(спр_Работы!$A$2:$A$6000,585),"")</f>
        <v/>
      </c>
      <c r="D586" s="8">
        <f>IFERROR(INDEX(спр_Работы!$B$2:$B$6000,MATCH($C586,спр_Работы!$A$2:$A$6000,0)),"")</f>
        <v/>
      </c>
      <c r="E586">
        <f>IFERROR(INDEX(спр_Работы!$C$2:$C$6000,MATCH($C586,спр_Работы!$A$2:$A$6000,0)),"")</f>
        <v/>
      </c>
      <c r="F586">
        <f>IFERROR(INDEX(спр_Работы!$G$2:$G$6000,MATCH($C586,спр_Работы!$A$2:$A$6000,0)),"")</f>
        <v/>
      </c>
      <c r="G586">
        <f>IFERROR(INDEX(спр_Работы!$K$2:$K$6000,MATCH($C586,спр_Работы!$A$2:$A$6000,0)),"")</f>
        <v/>
      </c>
      <c r="H586" s="9" t="n"/>
      <c r="I586" s="9" t="n"/>
      <c r="J586" s="8">
        <f>IFERROR(INDEX(спр_Материалы!$B$2:$B$9000,MATCH($I586,спр_Материалы!$A$2:$A$9000,0)),"")</f>
        <v/>
      </c>
      <c r="K586">
        <f>IF($I586="","",IF($F586=IFERROR(INDEX(спр_Материалы!$G$2:$G$9000,MATCH($I586,спр_Материалы!$A$2:$A$9000,0)),""),"OK","!! не та группа"))</f>
        <v/>
      </c>
      <c r="L586" s="10">
        <f>IFERROR(INDEX(спр_Работы!$H$2:$H$6000,MATCH($C586,спр_Работы!$A$2:$A$6000,0))*(1-ДисконтТендер),0)</f>
        <v/>
      </c>
      <c r="M586" s="10">
        <f>IF($I586="",0,IFERROR(INDEX(спр_Материалы!$I$2:$I$9000,MATCH($I586,спр_Материалы!$A$2:$A$9000,0))*IF(INDEX(спр_Материалы!$J$2:$J$9000,MATCH($I586,спр_Материалы!$A$2:$A$9000,0))="USD",КурсUSD,IF(INDEX(спр_Материалы!$J$2:$J$9000,MATCH($I586,спр_Материалы!$A$2:$A$9000,0))="EUR",КурсEUR,1))*INDEX(спр_Материалы!$K$2:$K$9000,MATCH($I586,спр_Материалы!$A$2:$A$9000,0))*(1+IFERROR(INDEX(спр_Работы!$I$2:$I$6000,MATCH($C586,спр_Работы!$A$2:$A$6000,0))/100,0))*(1-ДисконтТендер),0))</f>
        <v/>
      </c>
      <c r="N586" s="10">
        <f>IF(AND($R586="да",$H586&lt;&gt;""),ROUND($H586*$L586,2),0)</f>
        <v/>
      </c>
      <c r="O586" s="10">
        <f>IF(AND($R586="да",$H586&lt;&gt;""),ROUND($H586*$M586,2),0)</f>
        <v/>
      </c>
      <c r="P586" s="10">
        <f>$N586+$O586</f>
        <v/>
      </c>
      <c r="Q586">
        <f>IFERROR(INDEX(спр_Работы!$J$2:$J$6000,MATCH($C586,спр_Работы!$A$2:$A$6000,0)),"")</f>
        <v/>
      </c>
      <c r="R586" t="inlineStr">
        <is>
          <t>да</t>
        </is>
      </c>
      <c r="T586">
        <f>IF(AND($P586&gt;0,$R586="да"),MAX($T$1:$T585)+1,"")</f>
        <v/>
      </c>
    </row>
    <row r="587">
      <c r="A587">
        <f>IFERROR(INDEX(спр_Работы!$D$2:$D$6000,MATCH($C587,спр_Работы!$A$2:$A$6000,0)),"")</f>
        <v/>
      </c>
      <c r="B587">
        <f>IFERROR(INDEX(спр_Работы!$F$2:$F$6000,MATCH($C587,спр_Работы!$A$2:$A$6000,0)),"")</f>
        <v/>
      </c>
      <c r="C587">
        <f>IFERROR(INDEX(спр_Работы!$A$2:$A$6000,586),"")</f>
        <v/>
      </c>
      <c r="D587" s="8">
        <f>IFERROR(INDEX(спр_Работы!$B$2:$B$6000,MATCH($C587,спр_Работы!$A$2:$A$6000,0)),"")</f>
        <v/>
      </c>
      <c r="E587">
        <f>IFERROR(INDEX(спр_Работы!$C$2:$C$6000,MATCH($C587,спр_Работы!$A$2:$A$6000,0)),"")</f>
        <v/>
      </c>
      <c r="F587">
        <f>IFERROR(INDEX(спр_Работы!$G$2:$G$6000,MATCH($C587,спр_Работы!$A$2:$A$6000,0)),"")</f>
        <v/>
      </c>
      <c r="G587">
        <f>IFERROR(INDEX(спр_Работы!$K$2:$K$6000,MATCH($C587,спр_Работы!$A$2:$A$6000,0)),"")</f>
        <v/>
      </c>
      <c r="H587" s="9" t="n"/>
      <c r="I587" s="9" t="n"/>
      <c r="J587" s="8">
        <f>IFERROR(INDEX(спр_Материалы!$B$2:$B$9000,MATCH($I587,спр_Материалы!$A$2:$A$9000,0)),"")</f>
        <v/>
      </c>
      <c r="K587">
        <f>IF($I587="","",IF($F587=IFERROR(INDEX(спр_Материалы!$G$2:$G$9000,MATCH($I587,спр_Материалы!$A$2:$A$9000,0)),""),"OK","!! не та группа"))</f>
        <v/>
      </c>
      <c r="L587" s="10">
        <f>IFERROR(INDEX(спр_Работы!$H$2:$H$6000,MATCH($C587,спр_Работы!$A$2:$A$6000,0))*(1-ДисконтТендер),0)</f>
        <v/>
      </c>
      <c r="M587" s="10">
        <f>IF($I587="",0,IFERROR(INDEX(спр_Материалы!$I$2:$I$9000,MATCH($I587,спр_Материалы!$A$2:$A$9000,0))*IF(INDEX(спр_Материалы!$J$2:$J$9000,MATCH($I587,спр_Материалы!$A$2:$A$9000,0))="USD",КурсUSD,IF(INDEX(спр_Материалы!$J$2:$J$9000,MATCH($I587,спр_Материалы!$A$2:$A$9000,0))="EUR",КурсEUR,1))*INDEX(спр_Материалы!$K$2:$K$9000,MATCH($I587,спр_Материалы!$A$2:$A$9000,0))*(1+IFERROR(INDEX(спр_Работы!$I$2:$I$6000,MATCH($C587,спр_Работы!$A$2:$A$6000,0))/100,0))*(1-ДисконтТендер),0))</f>
        <v/>
      </c>
      <c r="N587" s="10">
        <f>IF(AND($R587="да",$H587&lt;&gt;""),ROUND($H587*$L587,2),0)</f>
        <v/>
      </c>
      <c r="O587" s="10">
        <f>IF(AND($R587="да",$H587&lt;&gt;""),ROUND($H587*$M587,2),0)</f>
        <v/>
      </c>
      <c r="P587" s="10">
        <f>$N587+$O587</f>
        <v/>
      </c>
      <c r="Q587">
        <f>IFERROR(INDEX(спр_Работы!$J$2:$J$6000,MATCH($C587,спр_Работы!$A$2:$A$6000,0)),"")</f>
        <v/>
      </c>
      <c r="R587" t="inlineStr">
        <is>
          <t>да</t>
        </is>
      </c>
      <c r="T587">
        <f>IF(AND($P587&gt;0,$R587="да"),MAX($T$1:$T586)+1,"")</f>
        <v/>
      </c>
    </row>
    <row r="588">
      <c r="A588">
        <f>IFERROR(INDEX(спр_Работы!$D$2:$D$6000,MATCH($C588,спр_Работы!$A$2:$A$6000,0)),"")</f>
        <v/>
      </c>
      <c r="B588">
        <f>IFERROR(INDEX(спр_Работы!$F$2:$F$6000,MATCH($C588,спр_Работы!$A$2:$A$6000,0)),"")</f>
        <v/>
      </c>
      <c r="C588">
        <f>IFERROR(INDEX(спр_Работы!$A$2:$A$6000,587),"")</f>
        <v/>
      </c>
      <c r="D588" s="8">
        <f>IFERROR(INDEX(спр_Работы!$B$2:$B$6000,MATCH($C588,спр_Работы!$A$2:$A$6000,0)),"")</f>
        <v/>
      </c>
      <c r="E588">
        <f>IFERROR(INDEX(спр_Работы!$C$2:$C$6000,MATCH($C588,спр_Работы!$A$2:$A$6000,0)),"")</f>
        <v/>
      </c>
      <c r="F588">
        <f>IFERROR(INDEX(спр_Работы!$G$2:$G$6000,MATCH($C588,спр_Работы!$A$2:$A$6000,0)),"")</f>
        <v/>
      </c>
      <c r="G588">
        <f>IFERROR(INDEX(спр_Работы!$K$2:$K$6000,MATCH($C588,спр_Работы!$A$2:$A$6000,0)),"")</f>
        <v/>
      </c>
      <c r="H588" s="9" t="n"/>
      <c r="I588" s="9" t="n"/>
      <c r="J588" s="8">
        <f>IFERROR(INDEX(спр_Материалы!$B$2:$B$9000,MATCH($I588,спр_Материалы!$A$2:$A$9000,0)),"")</f>
        <v/>
      </c>
      <c r="K588">
        <f>IF($I588="","",IF($F588=IFERROR(INDEX(спр_Материалы!$G$2:$G$9000,MATCH($I588,спр_Материалы!$A$2:$A$9000,0)),""),"OK","!! не та группа"))</f>
        <v/>
      </c>
      <c r="L588" s="10">
        <f>IFERROR(INDEX(спр_Работы!$H$2:$H$6000,MATCH($C588,спр_Работы!$A$2:$A$6000,0))*(1-ДисконтТендер),0)</f>
        <v/>
      </c>
      <c r="M588" s="10">
        <f>IF($I588="",0,IFERROR(INDEX(спр_Материалы!$I$2:$I$9000,MATCH($I588,спр_Материалы!$A$2:$A$9000,0))*IF(INDEX(спр_Материалы!$J$2:$J$9000,MATCH($I588,спр_Материалы!$A$2:$A$9000,0))="USD",КурсUSD,IF(INDEX(спр_Материалы!$J$2:$J$9000,MATCH($I588,спр_Материалы!$A$2:$A$9000,0))="EUR",КурсEUR,1))*INDEX(спр_Материалы!$K$2:$K$9000,MATCH($I588,спр_Материалы!$A$2:$A$9000,0))*(1+IFERROR(INDEX(спр_Работы!$I$2:$I$6000,MATCH($C588,спр_Работы!$A$2:$A$6000,0))/100,0))*(1-ДисконтТендер),0))</f>
        <v/>
      </c>
      <c r="N588" s="10">
        <f>IF(AND($R588="да",$H588&lt;&gt;""),ROUND($H588*$L588,2),0)</f>
        <v/>
      </c>
      <c r="O588" s="10">
        <f>IF(AND($R588="да",$H588&lt;&gt;""),ROUND($H588*$M588,2),0)</f>
        <v/>
      </c>
      <c r="P588" s="10">
        <f>$N588+$O588</f>
        <v/>
      </c>
      <c r="Q588">
        <f>IFERROR(INDEX(спр_Работы!$J$2:$J$6000,MATCH($C588,спр_Работы!$A$2:$A$6000,0)),"")</f>
        <v/>
      </c>
      <c r="R588" t="inlineStr">
        <is>
          <t>да</t>
        </is>
      </c>
      <c r="T588">
        <f>IF(AND($P588&gt;0,$R588="да"),MAX($T$1:$T587)+1,"")</f>
        <v/>
      </c>
    </row>
    <row r="589">
      <c r="A589">
        <f>IFERROR(INDEX(спр_Работы!$D$2:$D$6000,MATCH($C589,спр_Работы!$A$2:$A$6000,0)),"")</f>
        <v/>
      </c>
      <c r="B589">
        <f>IFERROR(INDEX(спр_Работы!$F$2:$F$6000,MATCH($C589,спр_Работы!$A$2:$A$6000,0)),"")</f>
        <v/>
      </c>
      <c r="C589">
        <f>IFERROR(INDEX(спр_Работы!$A$2:$A$6000,588),"")</f>
        <v/>
      </c>
      <c r="D589" s="8">
        <f>IFERROR(INDEX(спр_Работы!$B$2:$B$6000,MATCH($C589,спр_Работы!$A$2:$A$6000,0)),"")</f>
        <v/>
      </c>
      <c r="E589">
        <f>IFERROR(INDEX(спр_Работы!$C$2:$C$6000,MATCH($C589,спр_Работы!$A$2:$A$6000,0)),"")</f>
        <v/>
      </c>
      <c r="F589">
        <f>IFERROR(INDEX(спр_Работы!$G$2:$G$6000,MATCH($C589,спр_Работы!$A$2:$A$6000,0)),"")</f>
        <v/>
      </c>
      <c r="G589">
        <f>IFERROR(INDEX(спр_Работы!$K$2:$K$6000,MATCH($C589,спр_Работы!$A$2:$A$6000,0)),"")</f>
        <v/>
      </c>
      <c r="H589" s="9" t="n"/>
      <c r="I589" s="9" t="n"/>
      <c r="J589" s="8">
        <f>IFERROR(INDEX(спр_Материалы!$B$2:$B$9000,MATCH($I589,спр_Материалы!$A$2:$A$9000,0)),"")</f>
        <v/>
      </c>
      <c r="K589">
        <f>IF($I589="","",IF($F589=IFERROR(INDEX(спр_Материалы!$G$2:$G$9000,MATCH($I589,спр_Материалы!$A$2:$A$9000,0)),""),"OK","!! не та группа"))</f>
        <v/>
      </c>
      <c r="L589" s="10">
        <f>IFERROR(INDEX(спр_Работы!$H$2:$H$6000,MATCH($C589,спр_Работы!$A$2:$A$6000,0))*(1-ДисконтТендер),0)</f>
        <v/>
      </c>
      <c r="M589" s="10">
        <f>IF($I589="",0,IFERROR(INDEX(спр_Материалы!$I$2:$I$9000,MATCH($I589,спр_Материалы!$A$2:$A$9000,0))*IF(INDEX(спр_Материалы!$J$2:$J$9000,MATCH($I589,спр_Материалы!$A$2:$A$9000,0))="USD",КурсUSD,IF(INDEX(спр_Материалы!$J$2:$J$9000,MATCH($I589,спр_Материалы!$A$2:$A$9000,0))="EUR",КурсEUR,1))*INDEX(спр_Материалы!$K$2:$K$9000,MATCH($I589,спр_Материалы!$A$2:$A$9000,0))*(1+IFERROR(INDEX(спр_Работы!$I$2:$I$6000,MATCH($C589,спр_Работы!$A$2:$A$6000,0))/100,0))*(1-ДисконтТендер),0))</f>
        <v/>
      </c>
      <c r="N589" s="10">
        <f>IF(AND($R589="да",$H589&lt;&gt;""),ROUND($H589*$L589,2),0)</f>
        <v/>
      </c>
      <c r="O589" s="10">
        <f>IF(AND($R589="да",$H589&lt;&gt;""),ROUND($H589*$M589,2),0)</f>
        <v/>
      </c>
      <c r="P589" s="10">
        <f>$N589+$O589</f>
        <v/>
      </c>
      <c r="Q589">
        <f>IFERROR(INDEX(спр_Работы!$J$2:$J$6000,MATCH($C589,спр_Работы!$A$2:$A$6000,0)),"")</f>
        <v/>
      </c>
      <c r="R589" t="inlineStr">
        <is>
          <t>да</t>
        </is>
      </c>
      <c r="T589">
        <f>IF(AND($P589&gt;0,$R589="да"),MAX($T$1:$T588)+1,"")</f>
        <v/>
      </c>
    </row>
    <row r="590">
      <c r="A590">
        <f>IFERROR(INDEX(спр_Работы!$D$2:$D$6000,MATCH($C590,спр_Работы!$A$2:$A$6000,0)),"")</f>
        <v/>
      </c>
      <c r="B590">
        <f>IFERROR(INDEX(спр_Работы!$F$2:$F$6000,MATCH($C590,спр_Работы!$A$2:$A$6000,0)),"")</f>
        <v/>
      </c>
      <c r="C590">
        <f>IFERROR(INDEX(спр_Работы!$A$2:$A$6000,589),"")</f>
        <v/>
      </c>
      <c r="D590" s="8">
        <f>IFERROR(INDEX(спр_Работы!$B$2:$B$6000,MATCH($C590,спр_Работы!$A$2:$A$6000,0)),"")</f>
        <v/>
      </c>
      <c r="E590">
        <f>IFERROR(INDEX(спр_Работы!$C$2:$C$6000,MATCH($C590,спр_Работы!$A$2:$A$6000,0)),"")</f>
        <v/>
      </c>
      <c r="F590">
        <f>IFERROR(INDEX(спр_Работы!$G$2:$G$6000,MATCH($C590,спр_Работы!$A$2:$A$6000,0)),"")</f>
        <v/>
      </c>
      <c r="G590">
        <f>IFERROR(INDEX(спр_Работы!$K$2:$K$6000,MATCH($C590,спр_Работы!$A$2:$A$6000,0)),"")</f>
        <v/>
      </c>
      <c r="H590" s="9" t="n"/>
      <c r="I590" s="9" t="n"/>
      <c r="J590" s="8">
        <f>IFERROR(INDEX(спр_Материалы!$B$2:$B$9000,MATCH($I590,спр_Материалы!$A$2:$A$9000,0)),"")</f>
        <v/>
      </c>
      <c r="K590">
        <f>IF($I590="","",IF($F590=IFERROR(INDEX(спр_Материалы!$G$2:$G$9000,MATCH($I590,спр_Материалы!$A$2:$A$9000,0)),""),"OK","!! не та группа"))</f>
        <v/>
      </c>
      <c r="L590" s="10">
        <f>IFERROR(INDEX(спр_Работы!$H$2:$H$6000,MATCH($C590,спр_Работы!$A$2:$A$6000,0))*(1-ДисконтТендер),0)</f>
        <v/>
      </c>
      <c r="M590" s="10">
        <f>IF($I590="",0,IFERROR(INDEX(спр_Материалы!$I$2:$I$9000,MATCH($I590,спр_Материалы!$A$2:$A$9000,0))*IF(INDEX(спр_Материалы!$J$2:$J$9000,MATCH($I590,спр_Материалы!$A$2:$A$9000,0))="USD",КурсUSD,IF(INDEX(спр_Материалы!$J$2:$J$9000,MATCH($I590,спр_Материалы!$A$2:$A$9000,0))="EUR",КурсEUR,1))*INDEX(спр_Материалы!$K$2:$K$9000,MATCH($I590,спр_Материалы!$A$2:$A$9000,0))*(1+IFERROR(INDEX(спр_Работы!$I$2:$I$6000,MATCH($C590,спр_Работы!$A$2:$A$6000,0))/100,0))*(1-ДисконтТендер),0))</f>
        <v/>
      </c>
      <c r="N590" s="10">
        <f>IF(AND($R590="да",$H590&lt;&gt;""),ROUND($H590*$L590,2),0)</f>
        <v/>
      </c>
      <c r="O590" s="10">
        <f>IF(AND($R590="да",$H590&lt;&gt;""),ROUND($H590*$M590,2),0)</f>
        <v/>
      </c>
      <c r="P590" s="10">
        <f>$N590+$O590</f>
        <v/>
      </c>
      <c r="Q590">
        <f>IFERROR(INDEX(спр_Работы!$J$2:$J$6000,MATCH($C590,спр_Работы!$A$2:$A$6000,0)),"")</f>
        <v/>
      </c>
      <c r="R590" t="inlineStr">
        <is>
          <t>да</t>
        </is>
      </c>
      <c r="T590">
        <f>IF(AND($P590&gt;0,$R590="да"),MAX($T$1:$T589)+1,"")</f>
        <v/>
      </c>
    </row>
    <row r="591">
      <c r="A591">
        <f>IFERROR(INDEX(спр_Работы!$D$2:$D$6000,MATCH($C591,спр_Работы!$A$2:$A$6000,0)),"")</f>
        <v/>
      </c>
      <c r="B591">
        <f>IFERROR(INDEX(спр_Работы!$F$2:$F$6000,MATCH($C591,спр_Работы!$A$2:$A$6000,0)),"")</f>
        <v/>
      </c>
      <c r="C591">
        <f>IFERROR(INDEX(спр_Работы!$A$2:$A$6000,590),"")</f>
        <v/>
      </c>
      <c r="D591" s="8">
        <f>IFERROR(INDEX(спр_Работы!$B$2:$B$6000,MATCH($C591,спр_Работы!$A$2:$A$6000,0)),"")</f>
        <v/>
      </c>
      <c r="E591">
        <f>IFERROR(INDEX(спр_Работы!$C$2:$C$6000,MATCH($C591,спр_Работы!$A$2:$A$6000,0)),"")</f>
        <v/>
      </c>
      <c r="F591">
        <f>IFERROR(INDEX(спр_Работы!$G$2:$G$6000,MATCH($C591,спр_Работы!$A$2:$A$6000,0)),"")</f>
        <v/>
      </c>
      <c r="G591">
        <f>IFERROR(INDEX(спр_Работы!$K$2:$K$6000,MATCH($C591,спр_Работы!$A$2:$A$6000,0)),"")</f>
        <v/>
      </c>
      <c r="H591" s="9" t="n"/>
      <c r="I591" s="9" t="n"/>
      <c r="J591" s="8">
        <f>IFERROR(INDEX(спр_Материалы!$B$2:$B$9000,MATCH($I591,спр_Материалы!$A$2:$A$9000,0)),"")</f>
        <v/>
      </c>
      <c r="K591">
        <f>IF($I591="","",IF($F591=IFERROR(INDEX(спр_Материалы!$G$2:$G$9000,MATCH($I591,спр_Материалы!$A$2:$A$9000,0)),""),"OK","!! не та группа"))</f>
        <v/>
      </c>
      <c r="L591" s="10">
        <f>IFERROR(INDEX(спр_Работы!$H$2:$H$6000,MATCH($C591,спр_Работы!$A$2:$A$6000,0))*(1-ДисконтТендер),0)</f>
        <v/>
      </c>
      <c r="M591" s="10">
        <f>IF($I591="",0,IFERROR(INDEX(спр_Материалы!$I$2:$I$9000,MATCH($I591,спр_Материалы!$A$2:$A$9000,0))*IF(INDEX(спр_Материалы!$J$2:$J$9000,MATCH($I591,спр_Материалы!$A$2:$A$9000,0))="USD",КурсUSD,IF(INDEX(спр_Материалы!$J$2:$J$9000,MATCH($I591,спр_Материалы!$A$2:$A$9000,0))="EUR",КурсEUR,1))*INDEX(спр_Материалы!$K$2:$K$9000,MATCH($I591,спр_Материалы!$A$2:$A$9000,0))*(1+IFERROR(INDEX(спр_Работы!$I$2:$I$6000,MATCH($C591,спр_Работы!$A$2:$A$6000,0))/100,0))*(1-ДисконтТендер),0))</f>
        <v/>
      </c>
      <c r="N591" s="10">
        <f>IF(AND($R591="да",$H591&lt;&gt;""),ROUND($H591*$L591,2),0)</f>
        <v/>
      </c>
      <c r="O591" s="10">
        <f>IF(AND($R591="да",$H591&lt;&gt;""),ROUND($H591*$M591,2),0)</f>
        <v/>
      </c>
      <c r="P591" s="10">
        <f>$N591+$O591</f>
        <v/>
      </c>
      <c r="Q591">
        <f>IFERROR(INDEX(спр_Работы!$J$2:$J$6000,MATCH($C591,спр_Работы!$A$2:$A$6000,0)),"")</f>
        <v/>
      </c>
      <c r="R591" t="inlineStr">
        <is>
          <t>да</t>
        </is>
      </c>
      <c r="T591">
        <f>IF(AND($P591&gt;0,$R591="да"),MAX($T$1:$T590)+1,"")</f>
        <v/>
      </c>
    </row>
    <row r="592">
      <c r="A592">
        <f>IFERROR(INDEX(спр_Работы!$D$2:$D$6000,MATCH($C592,спр_Работы!$A$2:$A$6000,0)),"")</f>
        <v/>
      </c>
      <c r="B592">
        <f>IFERROR(INDEX(спр_Работы!$F$2:$F$6000,MATCH($C592,спр_Работы!$A$2:$A$6000,0)),"")</f>
        <v/>
      </c>
      <c r="C592">
        <f>IFERROR(INDEX(спр_Работы!$A$2:$A$6000,591),"")</f>
        <v/>
      </c>
      <c r="D592" s="8">
        <f>IFERROR(INDEX(спр_Работы!$B$2:$B$6000,MATCH($C592,спр_Работы!$A$2:$A$6000,0)),"")</f>
        <v/>
      </c>
      <c r="E592">
        <f>IFERROR(INDEX(спр_Работы!$C$2:$C$6000,MATCH($C592,спр_Работы!$A$2:$A$6000,0)),"")</f>
        <v/>
      </c>
      <c r="F592">
        <f>IFERROR(INDEX(спр_Работы!$G$2:$G$6000,MATCH($C592,спр_Работы!$A$2:$A$6000,0)),"")</f>
        <v/>
      </c>
      <c r="G592">
        <f>IFERROR(INDEX(спр_Работы!$K$2:$K$6000,MATCH($C592,спр_Работы!$A$2:$A$6000,0)),"")</f>
        <v/>
      </c>
      <c r="H592" s="9" t="n"/>
      <c r="I592" s="9" t="n"/>
      <c r="J592" s="8">
        <f>IFERROR(INDEX(спр_Материалы!$B$2:$B$9000,MATCH($I592,спр_Материалы!$A$2:$A$9000,0)),"")</f>
        <v/>
      </c>
      <c r="K592">
        <f>IF($I592="","",IF($F592=IFERROR(INDEX(спр_Материалы!$G$2:$G$9000,MATCH($I592,спр_Материалы!$A$2:$A$9000,0)),""),"OK","!! не та группа"))</f>
        <v/>
      </c>
      <c r="L592" s="10">
        <f>IFERROR(INDEX(спр_Работы!$H$2:$H$6000,MATCH($C592,спр_Работы!$A$2:$A$6000,0))*(1-ДисконтТендер),0)</f>
        <v/>
      </c>
      <c r="M592" s="10">
        <f>IF($I592="",0,IFERROR(INDEX(спр_Материалы!$I$2:$I$9000,MATCH($I592,спр_Материалы!$A$2:$A$9000,0))*IF(INDEX(спр_Материалы!$J$2:$J$9000,MATCH($I592,спр_Материалы!$A$2:$A$9000,0))="USD",КурсUSD,IF(INDEX(спр_Материалы!$J$2:$J$9000,MATCH($I592,спр_Материалы!$A$2:$A$9000,0))="EUR",КурсEUR,1))*INDEX(спр_Материалы!$K$2:$K$9000,MATCH($I592,спр_Материалы!$A$2:$A$9000,0))*(1+IFERROR(INDEX(спр_Работы!$I$2:$I$6000,MATCH($C592,спр_Работы!$A$2:$A$6000,0))/100,0))*(1-ДисконтТендер),0))</f>
        <v/>
      </c>
      <c r="N592" s="10">
        <f>IF(AND($R592="да",$H592&lt;&gt;""),ROUND($H592*$L592,2),0)</f>
        <v/>
      </c>
      <c r="O592" s="10">
        <f>IF(AND($R592="да",$H592&lt;&gt;""),ROUND($H592*$M592,2),0)</f>
        <v/>
      </c>
      <c r="P592" s="10">
        <f>$N592+$O592</f>
        <v/>
      </c>
      <c r="Q592">
        <f>IFERROR(INDEX(спр_Работы!$J$2:$J$6000,MATCH($C592,спр_Работы!$A$2:$A$6000,0)),"")</f>
        <v/>
      </c>
      <c r="R592" t="inlineStr">
        <is>
          <t>да</t>
        </is>
      </c>
      <c r="T592">
        <f>IF(AND($P592&gt;0,$R592="да"),MAX($T$1:$T591)+1,"")</f>
        <v/>
      </c>
    </row>
    <row r="593">
      <c r="A593">
        <f>IFERROR(INDEX(спр_Работы!$D$2:$D$6000,MATCH($C593,спр_Работы!$A$2:$A$6000,0)),"")</f>
        <v/>
      </c>
      <c r="B593">
        <f>IFERROR(INDEX(спр_Работы!$F$2:$F$6000,MATCH($C593,спр_Работы!$A$2:$A$6000,0)),"")</f>
        <v/>
      </c>
      <c r="C593">
        <f>IFERROR(INDEX(спр_Работы!$A$2:$A$6000,592),"")</f>
        <v/>
      </c>
      <c r="D593" s="8">
        <f>IFERROR(INDEX(спр_Работы!$B$2:$B$6000,MATCH($C593,спр_Работы!$A$2:$A$6000,0)),"")</f>
        <v/>
      </c>
      <c r="E593">
        <f>IFERROR(INDEX(спр_Работы!$C$2:$C$6000,MATCH($C593,спр_Работы!$A$2:$A$6000,0)),"")</f>
        <v/>
      </c>
      <c r="F593">
        <f>IFERROR(INDEX(спр_Работы!$G$2:$G$6000,MATCH($C593,спр_Работы!$A$2:$A$6000,0)),"")</f>
        <v/>
      </c>
      <c r="G593">
        <f>IFERROR(INDEX(спр_Работы!$K$2:$K$6000,MATCH($C593,спр_Работы!$A$2:$A$6000,0)),"")</f>
        <v/>
      </c>
      <c r="H593" s="9" t="n"/>
      <c r="I593" s="9" t="n"/>
      <c r="J593" s="8">
        <f>IFERROR(INDEX(спр_Материалы!$B$2:$B$9000,MATCH($I593,спр_Материалы!$A$2:$A$9000,0)),"")</f>
        <v/>
      </c>
      <c r="K593">
        <f>IF($I593="","",IF($F593=IFERROR(INDEX(спр_Материалы!$G$2:$G$9000,MATCH($I593,спр_Материалы!$A$2:$A$9000,0)),""),"OK","!! не та группа"))</f>
        <v/>
      </c>
      <c r="L593" s="10">
        <f>IFERROR(INDEX(спр_Работы!$H$2:$H$6000,MATCH($C593,спр_Работы!$A$2:$A$6000,0))*(1-ДисконтТендер),0)</f>
        <v/>
      </c>
      <c r="M593" s="10">
        <f>IF($I593="",0,IFERROR(INDEX(спр_Материалы!$I$2:$I$9000,MATCH($I593,спр_Материалы!$A$2:$A$9000,0))*IF(INDEX(спр_Материалы!$J$2:$J$9000,MATCH($I593,спр_Материалы!$A$2:$A$9000,0))="USD",КурсUSD,IF(INDEX(спр_Материалы!$J$2:$J$9000,MATCH($I593,спр_Материалы!$A$2:$A$9000,0))="EUR",КурсEUR,1))*INDEX(спр_Материалы!$K$2:$K$9000,MATCH($I593,спр_Материалы!$A$2:$A$9000,0))*(1+IFERROR(INDEX(спр_Работы!$I$2:$I$6000,MATCH($C593,спр_Работы!$A$2:$A$6000,0))/100,0))*(1-ДисконтТендер),0))</f>
        <v/>
      </c>
      <c r="N593" s="10">
        <f>IF(AND($R593="да",$H593&lt;&gt;""),ROUND($H593*$L593,2),0)</f>
        <v/>
      </c>
      <c r="O593" s="10">
        <f>IF(AND($R593="да",$H593&lt;&gt;""),ROUND($H593*$M593,2),0)</f>
        <v/>
      </c>
      <c r="P593" s="10">
        <f>$N593+$O593</f>
        <v/>
      </c>
      <c r="Q593">
        <f>IFERROR(INDEX(спр_Работы!$J$2:$J$6000,MATCH($C593,спр_Работы!$A$2:$A$6000,0)),"")</f>
        <v/>
      </c>
      <c r="R593" t="inlineStr">
        <is>
          <t>да</t>
        </is>
      </c>
      <c r="T593">
        <f>IF(AND($P593&gt;0,$R593="да"),MAX($T$1:$T592)+1,"")</f>
        <v/>
      </c>
    </row>
    <row r="594">
      <c r="A594">
        <f>IFERROR(INDEX(спр_Работы!$D$2:$D$6000,MATCH($C594,спр_Работы!$A$2:$A$6000,0)),"")</f>
        <v/>
      </c>
      <c r="B594">
        <f>IFERROR(INDEX(спр_Работы!$F$2:$F$6000,MATCH($C594,спр_Работы!$A$2:$A$6000,0)),"")</f>
        <v/>
      </c>
      <c r="C594">
        <f>IFERROR(INDEX(спр_Работы!$A$2:$A$6000,593),"")</f>
        <v/>
      </c>
      <c r="D594" s="8">
        <f>IFERROR(INDEX(спр_Работы!$B$2:$B$6000,MATCH($C594,спр_Работы!$A$2:$A$6000,0)),"")</f>
        <v/>
      </c>
      <c r="E594">
        <f>IFERROR(INDEX(спр_Работы!$C$2:$C$6000,MATCH($C594,спр_Работы!$A$2:$A$6000,0)),"")</f>
        <v/>
      </c>
      <c r="F594">
        <f>IFERROR(INDEX(спр_Работы!$G$2:$G$6000,MATCH($C594,спр_Работы!$A$2:$A$6000,0)),"")</f>
        <v/>
      </c>
      <c r="G594">
        <f>IFERROR(INDEX(спр_Работы!$K$2:$K$6000,MATCH($C594,спр_Работы!$A$2:$A$6000,0)),"")</f>
        <v/>
      </c>
      <c r="H594" s="9" t="n"/>
      <c r="I594" s="9" t="n"/>
      <c r="J594" s="8">
        <f>IFERROR(INDEX(спр_Материалы!$B$2:$B$9000,MATCH($I594,спр_Материалы!$A$2:$A$9000,0)),"")</f>
        <v/>
      </c>
      <c r="K594">
        <f>IF($I594="","",IF($F594=IFERROR(INDEX(спр_Материалы!$G$2:$G$9000,MATCH($I594,спр_Материалы!$A$2:$A$9000,0)),""),"OK","!! не та группа"))</f>
        <v/>
      </c>
      <c r="L594" s="10">
        <f>IFERROR(INDEX(спр_Работы!$H$2:$H$6000,MATCH($C594,спр_Работы!$A$2:$A$6000,0))*(1-ДисконтТендер),0)</f>
        <v/>
      </c>
      <c r="M594" s="10">
        <f>IF($I594="",0,IFERROR(INDEX(спр_Материалы!$I$2:$I$9000,MATCH($I594,спр_Материалы!$A$2:$A$9000,0))*IF(INDEX(спр_Материалы!$J$2:$J$9000,MATCH($I594,спр_Материалы!$A$2:$A$9000,0))="USD",КурсUSD,IF(INDEX(спр_Материалы!$J$2:$J$9000,MATCH($I594,спр_Материалы!$A$2:$A$9000,0))="EUR",КурсEUR,1))*INDEX(спр_Материалы!$K$2:$K$9000,MATCH($I594,спр_Материалы!$A$2:$A$9000,0))*(1+IFERROR(INDEX(спр_Работы!$I$2:$I$6000,MATCH($C594,спр_Работы!$A$2:$A$6000,0))/100,0))*(1-ДисконтТендер),0))</f>
        <v/>
      </c>
      <c r="N594" s="10">
        <f>IF(AND($R594="да",$H594&lt;&gt;""),ROUND($H594*$L594,2),0)</f>
        <v/>
      </c>
      <c r="O594" s="10">
        <f>IF(AND($R594="да",$H594&lt;&gt;""),ROUND($H594*$M594,2),0)</f>
        <v/>
      </c>
      <c r="P594" s="10">
        <f>$N594+$O594</f>
        <v/>
      </c>
      <c r="Q594">
        <f>IFERROR(INDEX(спр_Работы!$J$2:$J$6000,MATCH($C594,спр_Работы!$A$2:$A$6000,0)),"")</f>
        <v/>
      </c>
      <c r="R594" t="inlineStr">
        <is>
          <t>да</t>
        </is>
      </c>
      <c r="T594">
        <f>IF(AND($P594&gt;0,$R594="да"),MAX($T$1:$T593)+1,"")</f>
        <v/>
      </c>
    </row>
    <row r="595">
      <c r="A595">
        <f>IFERROR(INDEX(спр_Работы!$D$2:$D$6000,MATCH($C595,спр_Работы!$A$2:$A$6000,0)),"")</f>
        <v/>
      </c>
      <c r="B595">
        <f>IFERROR(INDEX(спр_Работы!$F$2:$F$6000,MATCH($C595,спр_Работы!$A$2:$A$6000,0)),"")</f>
        <v/>
      </c>
      <c r="C595">
        <f>IFERROR(INDEX(спр_Работы!$A$2:$A$6000,594),"")</f>
        <v/>
      </c>
      <c r="D595" s="8">
        <f>IFERROR(INDEX(спр_Работы!$B$2:$B$6000,MATCH($C595,спр_Работы!$A$2:$A$6000,0)),"")</f>
        <v/>
      </c>
      <c r="E595">
        <f>IFERROR(INDEX(спр_Работы!$C$2:$C$6000,MATCH($C595,спр_Работы!$A$2:$A$6000,0)),"")</f>
        <v/>
      </c>
      <c r="F595">
        <f>IFERROR(INDEX(спр_Работы!$G$2:$G$6000,MATCH($C595,спр_Работы!$A$2:$A$6000,0)),"")</f>
        <v/>
      </c>
      <c r="G595">
        <f>IFERROR(INDEX(спр_Работы!$K$2:$K$6000,MATCH($C595,спр_Работы!$A$2:$A$6000,0)),"")</f>
        <v/>
      </c>
      <c r="H595" s="9" t="n"/>
      <c r="I595" s="9" t="n"/>
      <c r="J595" s="8">
        <f>IFERROR(INDEX(спр_Материалы!$B$2:$B$9000,MATCH($I595,спр_Материалы!$A$2:$A$9000,0)),"")</f>
        <v/>
      </c>
      <c r="K595">
        <f>IF($I595="","",IF($F595=IFERROR(INDEX(спр_Материалы!$G$2:$G$9000,MATCH($I595,спр_Материалы!$A$2:$A$9000,0)),""),"OK","!! не та группа"))</f>
        <v/>
      </c>
      <c r="L595" s="10">
        <f>IFERROR(INDEX(спр_Работы!$H$2:$H$6000,MATCH($C595,спр_Работы!$A$2:$A$6000,0))*(1-ДисконтТендер),0)</f>
        <v/>
      </c>
      <c r="M595" s="10">
        <f>IF($I595="",0,IFERROR(INDEX(спр_Материалы!$I$2:$I$9000,MATCH($I595,спр_Материалы!$A$2:$A$9000,0))*IF(INDEX(спр_Материалы!$J$2:$J$9000,MATCH($I595,спр_Материалы!$A$2:$A$9000,0))="USD",КурсUSD,IF(INDEX(спр_Материалы!$J$2:$J$9000,MATCH($I595,спр_Материалы!$A$2:$A$9000,0))="EUR",КурсEUR,1))*INDEX(спр_Материалы!$K$2:$K$9000,MATCH($I595,спр_Материалы!$A$2:$A$9000,0))*(1+IFERROR(INDEX(спр_Работы!$I$2:$I$6000,MATCH($C595,спр_Работы!$A$2:$A$6000,0))/100,0))*(1-ДисконтТендер),0))</f>
        <v/>
      </c>
      <c r="N595" s="10">
        <f>IF(AND($R595="да",$H595&lt;&gt;""),ROUND($H595*$L595,2),0)</f>
        <v/>
      </c>
      <c r="O595" s="10">
        <f>IF(AND($R595="да",$H595&lt;&gt;""),ROUND($H595*$M595,2),0)</f>
        <v/>
      </c>
      <c r="P595" s="10">
        <f>$N595+$O595</f>
        <v/>
      </c>
      <c r="Q595">
        <f>IFERROR(INDEX(спр_Работы!$J$2:$J$6000,MATCH($C595,спр_Работы!$A$2:$A$6000,0)),"")</f>
        <v/>
      </c>
      <c r="R595" t="inlineStr">
        <is>
          <t>да</t>
        </is>
      </c>
      <c r="T595">
        <f>IF(AND($P595&gt;0,$R595="да"),MAX($T$1:$T594)+1,"")</f>
        <v/>
      </c>
    </row>
    <row r="596">
      <c r="A596">
        <f>IFERROR(INDEX(спр_Работы!$D$2:$D$6000,MATCH($C596,спр_Работы!$A$2:$A$6000,0)),"")</f>
        <v/>
      </c>
      <c r="B596">
        <f>IFERROR(INDEX(спр_Работы!$F$2:$F$6000,MATCH($C596,спр_Работы!$A$2:$A$6000,0)),"")</f>
        <v/>
      </c>
      <c r="C596">
        <f>IFERROR(INDEX(спр_Работы!$A$2:$A$6000,595),"")</f>
        <v/>
      </c>
      <c r="D596" s="8">
        <f>IFERROR(INDEX(спр_Работы!$B$2:$B$6000,MATCH($C596,спр_Работы!$A$2:$A$6000,0)),"")</f>
        <v/>
      </c>
      <c r="E596">
        <f>IFERROR(INDEX(спр_Работы!$C$2:$C$6000,MATCH($C596,спр_Работы!$A$2:$A$6000,0)),"")</f>
        <v/>
      </c>
      <c r="F596">
        <f>IFERROR(INDEX(спр_Работы!$G$2:$G$6000,MATCH($C596,спр_Работы!$A$2:$A$6000,0)),"")</f>
        <v/>
      </c>
      <c r="G596">
        <f>IFERROR(INDEX(спр_Работы!$K$2:$K$6000,MATCH($C596,спр_Работы!$A$2:$A$6000,0)),"")</f>
        <v/>
      </c>
      <c r="H596" s="9" t="n"/>
      <c r="I596" s="9" t="n"/>
      <c r="J596" s="8">
        <f>IFERROR(INDEX(спр_Материалы!$B$2:$B$9000,MATCH($I596,спр_Материалы!$A$2:$A$9000,0)),"")</f>
        <v/>
      </c>
      <c r="K596">
        <f>IF($I596="","",IF($F596=IFERROR(INDEX(спр_Материалы!$G$2:$G$9000,MATCH($I596,спр_Материалы!$A$2:$A$9000,0)),""),"OK","!! не та группа"))</f>
        <v/>
      </c>
      <c r="L596" s="10">
        <f>IFERROR(INDEX(спр_Работы!$H$2:$H$6000,MATCH($C596,спр_Работы!$A$2:$A$6000,0))*(1-ДисконтТендер),0)</f>
        <v/>
      </c>
      <c r="M596" s="10">
        <f>IF($I596="",0,IFERROR(INDEX(спр_Материалы!$I$2:$I$9000,MATCH($I596,спр_Материалы!$A$2:$A$9000,0))*IF(INDEX(спр_Материалы!$J$2:$J$9000,MATCH($I596,спр_Материалы!$A$2:$A$9000,0))="USD",КурсUSD,IF(INDEX(спр_Материалы!$J$2:$J$9000,MATCH($I596,спр_Материалы!$A$2:$A$9000,0))="EUR",КурсEUR,1))*INDEX(спр_Материалы!$K$2:$K$9000,MATCH($I596,спр_Материалы!$A$2:$A$9000,0))*(1+IFERROR(INDEX(спр_Работы!$I$2:$I$6000,MATCH($C596,спр_Работы!$A$2:$A$6000,0))/100,0))*(1-ДисконтТендер),0))</f>
        <v/>
      </c>
      <c r="N596" s="10">
        <f>IF(AND($R596="да",$H596&lt;&gt;""),ROUND($H596*$L596,2),0)</f>
        <v/>
      </c>
      <c r="O596" s="10">
        <f>IF(AND($R596="да",$H596&lt;&gt;""),ROUND($H596*$M596,2),0)</f>
        <v/>
      </c>
      <c r="P596" s="10">
        <f>$N596+$O596</f>
        <v/>
      </c>
      <c r="Q596">
        <f>IFERROR(INDEX(спр_Работы!$J$2:$J$6000,MATCH($C596,спр_Работы!$A$2:$A$6000,0)),"")</f>
        <v/>
      </c>
      <c r="R596" t="inlineStr">
        <is>
          <t>да</t>
        </is>
      </c>
      <c r="T596">
        <f>IF(AND($P596&gt;0,$R596="да"),MAX($T$1:$T595)+1,"")</f>
        <v/>
      </c>
    </row>
    <row r="597">
      <c r="A597">
        <f>IFERROR(INDEX(спр_Работы!$D$2:$D$6000,MATCH($C597,спр_Работы!$A$2:$A$6000,0)),"")</f>
        <v/>
      </c>
      <c r="B597">
        <f>IFERROR(INDEX(спр_Работы!$F$2:$F$6000,MATCH($C597,спр_Работы!$A$2:$A$6000,0)),"")</f>
        <v/>
      </c>
      <c r="C597">
        <f>IFERROR(INDEX(спр_Работы!$A$2:$A$6000,596),"")</f>
        <v/>
      </c>
      <c r="D597" s="8">
        <f>IFERROR(INDEX(спр_Работы!$B$2:$B$6000,MATCH($C597,спр_Работы!$A$2:$A$6000,0)),"")</f>
        <v/>
      </c>
      <c r="E597">
        <f>IFERROR(INDEX(спр_Работы!$C$2:$C$6000,MATCH($C597,спр_Работы!$A$2:$A$6000,0)),"")</f>
        <v/>
      </c>
      <c r="F597">
        <f>IFERROR(INDEX(спр_Работы!$G$2:$G$6000,MATCH($C597,спр_Работы!$A$2:$A$6000,0)),"")</f>
        <v/>
      </c>
      <c r="G597">
        <f>IFERROR(INDEX(спр_Работы!$K$2:$K$6000,MATCH($C597,спр_Работы!$A$2:$A$6000,0)),"")</f>
        <v/>
      </c>
      <c r="H597" s="9" t="n"/>
      <c r="I597" s="9" t="n"/>
      <c r="J597" s="8">
        <f>IFERROR(INDEX(спр_Материалы!$B$2:$B$9000,MATCH($I597,спр_Материалы!$A$2:$A$9000,0)),"")</f>
        <v/>
      </c>
      <c r="K597">
        <f>IF($I597="","",IF($F597=IFERROR(INDEX(спр_Материалы!$G$2:$G$9000,MATCH($I597,спр_Материалы!$A$2:$A$9000,0)),""),"OK","!! не та группа"))</f>
        <v/>
      </c>
      <c r="L597" s="10">
        <f>IFERROR(INDEX(спр_Работы!$H$2:$H$6000,MATCH($C597,спр_Работы!$A$2:$A$6000,0))*(1-ДисконтТендер),0)</f>
        <v/>
      </c>
      <c r="M597" s="10">
        <f>IF($I597="",0,IFERROR(INDEX(спр_Материалы!$I$2:$I$9000,MATCH($I597,спр_Материалы!$A$2:$A$9000,0))*IF(INDEX(спр_Материалы!$J$2:$J$9000,MATCH($I597,спр_Материалы!$A$2:$A$9000,0))="USD",КурсUSD,IF(INDEX(спр_Материалы!$J$2:$J$9000,MATCH($I597,спр_Материалы!$A$2:$A$9000,0))="EUR",КурсEUR,1))*INDEX(спр_Материалы!$K$2:$K$9000,MATCH($I597,спр_Материалы!$A$2:$A$9000,0))*(1+IFERROR(INDEX(спр_Работы!$I$2:$I$6000,MATCH($C597,спр_Работы!$A$2:$A$6000,0))/100,0))*(1-ДисконтТендер),0))</f>
        <v/>
      </c>
      <c r="N597" s="10">
        <f>IF(AND($R597="да",$H597&lt;&gt;""),ROUND($H597*$L597,2),0)</f>
        <v/>
      </c>
      <c r="O597" s="10">
        <f>IF(AND($R597="да",$H597&lt;&gt;""),ROUND($H597*$M597,2),0)</f>
        <v/>
      </c>
      <c r="P597" s="10">
        <f>$N597+$O597</f>
        <v/>
      </c>
      <c r="Q597">
        <f>IFERROR(INDEX(спр_Работы!$J$2:$J$6000,MATCH($C597,спр_Работы!$A$2:$A$6000,0)),"")</f>
        <v/>
      </c>
      <c r="R597" t="inlineStr">
        <is>
          <t>да</t>
        </is>
      </c>
      <c r="T597">
        <f>IF(AND($P597&gt;0,$R597="да"),MAX($T$1:$T596)+1,"")</f>
        <v/>
      </c>
    </row>
    <row r="598">
      <c r="A598">
        <f>IFERROR(INDEX(спр_Работы!$D$2:$D$6000,MATCH($C598,спр_Работы!$A$2:$A$6000,0)),"")</f>
        <v/>
      </c>
      <c r="B598">
        <f>IFERROR(INDEX(спр_Работы!$F$2:$F$6000,MATCH($C598,спр_Работы!$A$2:$A$6000,0)),"")</f>
        <v/>
      </c>
      <c r="C598">
        <f>IFERROR(INDEX(спр_Работы!$A$2:$A$6000,597),"")</f>
        <v/>
      </c>
      <c r="D598" s="8">
        <f>IFERROR(INDEX(спр_Работы!$B$2:$B$6000,MATCH($C598,спр_Работы!$A$2:$A$6000,0)),"")</f>
        <v/>
      </c>
      <c r="E598">
        <f>IFERROR(INDEX(спр_Работы!$C$2:$C$6000,MATCH($C598,спр_Работы!$A$2:$A$6000,0)),"")</f>
        <v/>
      </c>
      <c r="F598">
        <f>IFERROR(INDEX(спр_Работы!$G$2:$G$6000,MATCH($C598,спр_Работы!$A$2:$A$6000,0)),"")</f>
        <v/>
      </c>
      <c r="G598">
        <f>IFERROR(INDEX(спр_Работы!$K$2:$K$6000,MATCH($C598,спр_Работы!$A$2:$A$6000,0)),"")</f>
        <v/>
      </c>
      <c r="H598" s="9" t="n"/>
      <c r="I598" s="9" t="n"/>
      <c r="J598" s="8">
        <f>IFERROR(INDEX(спр_Материалы!$B$2:$B$9000,MATCH($I598,спр_Материалы!$A$2:$A$9000,0)),"")</f>
        <v/>
      </c>
      <c r="K598">
        <f>IF($I598="","",IF($F598=IFERROR(INDEX(спр_Материалы!$G$2:$G$9000,MATCH($I598,спр_Материалы!$A$2:$A$9000,0)),""),"OK","!! не та группа"))</f>
        <v/>
      </c>
      <c r="L598" s="10">
        <f>IFERROR(INDEX(спр_Работы!$H$2:$H$6000,MATCH($C598,спр_Работы!$A$2:$A$6000,0))*(1-ДисконтТендер),0)</f>
        <v/>
      </c>
      <c r="M598" s="10">
        <f>IF($I598="",0,IFERROR(INDEX(спр_Материалы!$I$2:$I$9000,MATCH($I598,спр_Материалы!$A$2:$A$9000,0))*IF(INDEX(спр_Материалы!$J$2:$J$9000,MATCH($I598,спр_Материалы!$A$2:$A$9000,0))="USD",КурсUSD,IF(INDEX(спр_Материалы!$J$2:$J$9000,MATCH($I598,спр_Материалы!$A$2:$A$9000,0))="EUR",КурсEUR,1))*INDEX(спр_Материалы!$K$2:$K$9000,MATCH($I598,спр_Материалы!$A$2:$A$9000,0))*(1+IFERROR(INDEX(спр_Работы!$I$2:$I$6000,MATCH($C598,спр_Работы!$A$2:$A$6000,0))/100,0))*(1-ДисконтТендер),0))</f>
        <v/>
      </c>
      <c r="N598" s="10">
        <f>IF(AND($R598="да",$H598&lt;&gt;""),ROUND($H598*$L598,2),0)</f>
        <v/>
      </c>
      <c r="O598" s="10">
        <f>IF(AND($R598="да",$H598&lt;&gt;""),ROUND($H598*$M598,2),0)</f>
        <v/>
      </c>
      <c r="P598" s="10">
        <f>$N598+$O598</f>
        <v/>
      </c>
      <c r="Q598">
        <f>IFERROR(INDEX(спр_Работы!$J$2:$J$6000,MATCH($C598,спр_Работы!$A$2:$A$6000,0)),"")</f>
        <v/>
      </c>
      <c r="R598" t="inlineStr">
        <is>
          <t>да</t>
        </is>
      </c>
      <c r="T598">
        <f>IF(AND($P598&gt;0,$R598="да"),MAX($T$1:$T597)+1,"")</f>
        <v/>
      </c>
    </row>
    <row r="599">
      <c r="A599">
        <f>IFERROR(INDEX(спр_Работы!$D$2:$D$6000,MATCH($C599,спр_Работы!$A$2:$A$6000,0)),"")</f>
        <v/>
      </c>
      <c r="B599">
        <f>IFERROR(INDEX(спр_Работы!$F$2:$F$6000,MATCH($C599,спр_Работы!$A$2:$A$6000,0)),"")</f>
        <v/>
      </c>
      <c r="C599">
        <f>IFERROR(INDEX(спр_Работы!$A$2:$A$6000,598),"")</f>
        <v/>
      </c>
      <c r="D599" s="8">
        <f>IFERROR(INDEX(спр_Работы!$B$2:$B$6000,MATCH($C599,спр_Работы!$A$2:$A$6000,0)),"")</f>
        <v/>
      </c>
      <c r="E599">
        <f>IFERROR(INDEX(спр_Работы!$C$2:$C$6000,MATCH($C599,спр_Работы!$A$2:$A$6000,0)),"")</f>
        <v/>
      </c>
      <c r="F599">
        <f>IFERROR(INDEX(спр_Работы!$G$2:$G$6000,MATCH($C599,спр_Работы!$A$2:$A$6000,0)),"")</f>
        <v/>
      </c>
      <c r="G599">
        <f>IFERROR(INDEX(спр_Работы!$K$2:$K$6000,MATCH($C599,спр_Работы!$A$2:$A$6000,0)),"")</f>
        <v/>
      </c>
      <c r="H599" s="9" t="n"/>
      <c r="I599" s="9" t="n"/>
      <c r="J599" s="8">
        <f>IFERROR(INDEX(спр_Материалы!$B$2:$B$9000,MATCH($I599,спр_Материалы!$A$2:$A$9000,0)),"")</f>
        <v/>
      </c>
      <c r="K599">
        <f>IF($I599="","",IF($F599=IFERROR(INDEX(спр_Материалы!$G$2:$G$9000,MATCH($I599,спр_Материалы!$A$2:$A$9000,0)),""),"OK","!! не та группа"))</f>
        <v/>
      </c>
      <c r="L599" s="10">
        <f>IFERROR(INDEX(спр_Работы!$H$2:$H$6000,MATCH($C599,спр_Работы!$A$2:$A$6000,0))*(1-ДисконтТендер),0)</f>
        <v/>
      </c>
      <c r="M599" s="10">
        <f>IF($I599="",0,IFERROR(INDEX(спр_Материалы!$I$2:$I$9000,MATCH($I599,спр_Материалы!$A$2:$A$9000,0))*IF(INDEX(спр_Материалы!$J$2:$J$9000,MATCH($I599,спр_Материалы!$A$2:$A$9000,0))="USD",КурсUSD,IF(INDEX(спр_Материалы!$J$2:$J$9000,MATCH($I599,спр_Материалы!$A$2:$A$9000,0))="EUR",КурсEUR,1))*INDEX(спр_Материалы!$K$2:$K$9000,MATCH($I599,спр_Материалы!$A$2:$A$9000,0))*(1+IFERROR(INDEX(спр_Работы!$I$2:$I$6000,MATCH($C599,спр_Работы!$A$2:$A$6000,0))/100,0))*(1-ДисконтТендер),0))</f>
        <v/>
      </c>
      <c r="N599" s="10">
        <f>IF(AND($R599="да",$H599&lt;&gt;""),ROUND($H599*$L599,2),0)</f>
        <v/>
      </c>
      <c r="O599" s="10">
        <f>IF(AND($R599="да",$H599&lt;&gt;""),ROUND($H599*$M599,2),0)</f>
        <v/>
      </c>
      <c r="P599" s="10">
        <f>$N599+$O599</f>
        <v/>
      </c>
      <c r="Q599">
        <f>IFERROR(INDEX(спр_Работы!$J$2:$J$6000,MATCH($C599,спр_Работы!$A$2:$A$6000,0)),"")</f>
        <v/>
      </c>
      <c r="R599" t="inlineStr">
        <is>
          <t>да</t>
        </is>
      </c>
      <c r="T599">
        <f>IF(AND($P599&gt;0,$R599="да"),MAX($T$1:$T598)+1,"")</f>
        <v/>
      </c>
    </row>
    <row r="600">
      <c r="A600">
        <f>IFERROR(INDEX(спр_Работы!$D$2:$D$6000,MATCH($C600,спр_Работы!$A$2:$A$6000,0)),"")</f>
        <v/>
      </c>
      <c r="B600">
        <f>IFERROR(INDEX(спр_Работы!$F$2:$F$6000,MATCH($C600,спр_Работы!$A$2:$A$6000,0)),"")</f>
        <v/>
      </c>
      <c r="C600">
        <f>IFERROR(INDEX(спр_Работы!$A$2:$A$6000,599),"")</f>
        <v/>
      </c>
      <c r="D600" s="8">
        <f>IFERROR(INDEX(спр_Работы!$B$2:$B$6000,MATCH($C600,спр_Работы!$A$2:$A$6000,0)),"")</f>
        <v/>
      </c>
      <c r="E600">
        <f>IFERROR(INDEX(спр_Работы!$C$2:$C$6000,MATCH($C600,спр_Работы!$A$2:$A$6000,0)),"")</f>
        <v/>
      </c>
      <c r="F600">
        <f>IFERROR(INDEX(спр_Работы!$G$2:$G$6000,MATCH($C600,спр_Работы!$A$2:$A$6000,0)),"")</f>
        <v/>
      </c>
      <c r="G600">
        <f>IFERROR(INDEX(спр_Работы!$K$2:$K$6000,MATCH($C600,спр_Работы!$A$2:$A$6000,0)),"")</f>
        <v/>
      </c>
      <c r="H600" s="9" t="n"/>
      <c r="I600" s="9" t="n"/>
      <c r="J600" s="8">
        <f>IFERROR(INDEX(спр_Материалы!$B$2:$B$9000,MATCH($I600,спр_Материалы!$A$2:$A$9000,0)),"")</f>
        <v/>
      </c>
      <c r="K600">
        <f>IF($I600="","",IF($F600=IFERROR(INDEX(спр_Материалы!$G$2:$G$9000,MATCH($I600,спр_Материалы!$A$2:$A$9000,0)),""),"OK","!! не та группа"))</f>
        <v/>
      </c>
      <c r="L600" s="10">
        <f>IFERROR(INDEX(спр_Работы!$H$2:$H$6000,MATCH($C600,спр_Работы!$A$2:$A$6000,0))*(1-ДисконтТендер),0)</f>
        <v/>
      </c>
      <c r="M600" s="10">
        <f>IF($I600="",0,IFERROR(INDEX(спр_Материалы!$I$2:$I$9000,MATCH($I600,спр_Материалы!$A$2:$A$9000,0))*IF(INDEX(спр_Материалы!$J$2:$J$9000,MATCH($I600,спр_Материалы!$A$2:$A$9000,0))="USD",КурсUSD,IF(INDEX(спр_Материалы!$J$2:$J$9000,MATCH($I600,спр_Материалы!$A$2:$A$9000,0))="EUR",КурсEUR,1))*INDEX(спр_Материалы!$K$2:$K$9000,MATCH($I600,спр_Материалы!$A$2:$A$9000,0))*(1+IFERROR(INDEX(спр_Работы!$I$2:$I$6000,MATCH($C600,спр_Работы!$A$2:$A$6000,0))/100,0))*(1-ДисконтТендер),0))</f>
        <v/>
      </c>
      <c r="N600" s="10">
        <f>IF(AND($R600="да",$H600&lt;&gt;""),ROUND($H600*$L600,2),0)</f>
        <v/>
      </c>
      <c r="O600" s="10">
        <f>IF(AND($R600="да",$H600&lt;&gt;""),ROUND($H600*$M600,2),0)</f>
        <v/>
      </c>
      <c r="P600" s="10">
        <f>$N600+$O600</f>
        <v/>
      </c>
      <c r="Q600">
        <f>IFERROR(INDEX(спр_Работы!$J$2:$J$6000,MATCH($C600,спр_Работы!$A$2:$A$6000,0)),"")</f>
        <v/>
      </c>
      <c r="R600" t="inlineStr">
        <is>
          <t>да</t>
        </is>
      </c>
      <c r="T600">
        <f>IF(AND($P600&gt;0,$R600="да"),MAX($T$1:$T599)+1,"")</f>
        <v/>
      </c>
    </row>
    <row r="601">
      <c r="A601">
        <f>IFERROR(INDEX(спр_Работы!$D$2:$D$6000,MATCH($C601,спр_Работы!$A$2:$A$6000,0)),"")</f>
        <v/>
      </c>
      <c r="B601">
        <f>IFERROR(INDEX(спр_Работы!$F$2:$F$6000,MATCH($C601,спр_Работы!$A$2:$A$6000,0)),"")</f>
        <v/>
      </c>
      <c r="C601">
        <f>IFERROR(INDEX(спр_Работы!$A$2:$A$6000,600),"")</f>
        <v/>
      </c>
      <c r="D601" s="8">
        <f>IFERROR(INDEX(спр_Работы!$B$2:$B$6000,MATCH($C601,спр_Работы!$A$2:$A$6000,0)),"")</f>
        <v/>
      </c>
      <c r="E601">
        <f>IFERROR(INDEX(спр_Работы!$C$2:$C$6000,MATCH($C601,спр_Работы!$A$2:$A$6000,0)),"")</f>
        <v/>
      </c>
      <c r="F601">
        <f>IFERROR(INDEX(спр_Работы!$G$2:$G$6000,MATCH($C601,спр_Работы!$A$2:$A$6000,0)),"")</f>
        <v/>
      </c>
      <c r="G601">
        <f>IFERROR(INDEX(спр_Работы!$K$2:$K$6000,MATCH($C601,спр_Работы!$A$2:$A$6000,0)),"")</f>
        <v/>
      </c>
      <c r="H601" s="9" t="n"/>
      <c r="I601" s="9" t="n"/>
      <c r="J601" s="8">
        <f>IFERROR(INDEX(спр_Материалы!$B$2:$B$9000,MATCH($I601,спр_Материалы!$A$2:$A$9000,0)),"")</f>
        <v/>
      </c>
      <c r="K601">
        <f>IF($I601="","",IF($F601=IFERROR(INDEX(спр_Материалы!$G$2:$G$9000,MATCH($I601,спр_Материалы!$A$2:$A$9000,0)),""),"OK","!! не та группа"))</f>
        <v/>
      </c>
      <c r="L601" s="10">
        <f>IFERROR(INDEX(спр_Работы!$H$2:$H$6000,MATCH($C601,спр_Работы!$A$2:$A$6000,0))*(1-ДисконтТендер),0)</f>
        <v/>
      </c>
      <c r="M601" s="10">
        <f>IF($I601="",0,IFERROR(INDEX(спр_Материалы!$I$2:$I$9000,MATCH($I601,спр_Материалы!$A$2:$A$9000,0))*IF(INDEX(спр_Материалы!$J$2:$J$9000,MATCH($I601,спр_Материалы!$A$2:$A$9000,0))="USD",КурсUSD,IF(INDEX(спр_Материалы!$J$2:$J$9000,MATCH($I601,спр_Материалы!$A$2:$A$9000,0))="EUR",КурсEUR,1))*INDEX(спр_Материалы!$K$2:$K$9000,MATCH($I601,спр_Материалы!$A$2:$A$9000,0))*(1+IFERROR(INDEX(спр_Работы!$I$2:$I$6000,MATCH($C601,спр_Работы!$A$2:$A$6000,0))/100,0))*(1-ДисконтТендер),0))</f>
        <v/>
      </c>
      <c r="N601" s="10">
        <f>IF(AND($R601="да",$H601&lt;&gt;""),ROUND($H601*$L601,2),0)</f>
        <v/>
      </c>
      <c r="O601" s="10">
        <f>IF(AND($R601="да",$H601&lt;&gt;""),ROUND($H601*$M601,2),0)</f>
        <v/>
      </c>
      <c r="P601" s="10">
        <f>$N601+$O601</f>
        <v/>
      </c>
      <c r="Q601">
        <f>IFERROR(INDEX(спр_Работы!$J$2:$J$6000,MATCH($C601,спр_Работы!$A$2:$A$6000,0)),"")</f>
        <v/>
      </c>
      <c r="R601" t="inlineStr">
        <is>
          <t>да</t>
        </is>
      </c>
      <c r="T601">
        <f>IF(AND($P601&gt;0,$R601="да"),MAX($T$1:$T600)+1,"")</f>
        <v/>
      </c>
    </row>
    <row r="602">
      <c r="A602">
        <f>IFERROR(INDEX(спр_Работы!$D$2:$D$6000,MATCH($C602,спр_Работы!$A$2:$A$6000,0)),"")</f>
        <v/>
      </c>
      <c r="B602">
        <f>IFERROR(INDEX(спр_Работы!$F$2:$F$6000,MATCH($C602,спр_Работы!$A$2:$A$6000,0)),"")</f>
        <v/>
      </c>
      <c r="C602">
        <f>IFERROR(INDEX(спр_Работы!$A$2:$A$6000,601),"")</f>
        <v/>
      </c>
      <c r="D602" s="8">
        <f>IFERROR(INDEX(спр_Работы!$B$2:$B$6000,MATCH($C602,спр_Работы!$A$2:$A$6000,0)),"")</f>
        <v/>
      </c>
      <c r="E602">
        <f>IFERROR(INDEX(спр_Работы!$C$2:$C$6000,MATCH($C602,спр_Работы!$A$2:$A$6000,0)),"")</f>
        <v/>
      </c>
      <c r="F602">
        <f>IFERROR(INDEX(спр_Работы!$G$2:$G$6000,MATCH($C602,спр_Работы!$A$2:$A$6000,0)),"")</f>
        <v/>
      </c>
      <c r="G602">
        <f>IFERROR(INDEX(спр_Работы!$K$2:$K$6000,MATCH($C602,спр_Работы!$A$2:$A$6000,0)),"")</f>
        <v/>
      </c>
      <c r="H602" s="9" t="n"/>
      <c r="I602" s="9" t="n"/>
      <c r="J602" s="8">
        <f>IFERROR(INDEX(спр_Материалы!$B$2:$B$9000,MATCH($I602,спр_Материалы!$A$2:$A$9000,0)),"")</f>
        <v/>
      </c>
      <c r="K602">
        <f>IF($I602="","",IF($F602=IFERROR(INDEX(спр_Материалы!$G$2:$G$9000,MATCH($I602,спр_Материалы!$A$2:$A$9000,0)),""),"OK","!! не та группа"))</f>
        <v/>
      </c>
      <c r="L602" s="10">
        <f>IFERROR(INDEX(спр_Работы!$H$2:$H$6000,MATCH($C602,спр_Работы!$A$2:$A$6000,0))*(1-ДисконтТендер),0)</f>
        <v/>
      </c>
      <c r="M602" s="10">
        <f>IF($I602="",0,IFERROR(INDEX(спр_Материалы!$I$2:$I$9000,MATCH($I602,спр_Материалы!$A$2:$A$9000,0))*IF(INDEX(спр_Материалы!$J$2:$J$9000,MATCH($I602,спр_Материалы!$A$2:$A$9000,0))="USD",КурсUSD,IF(INDEX(спр_Материалы!$J$2:$J$9000,MATCH($I602,спр_Материалы!$A$2:$A$9000,0))="EUR",КурсEUR,1))*INDEX(спр_Материалы!$K$2:$K$9000,MATCH($I602,спр_Материалы!$A$2:$A$9000,0))*(1+IFERROR(INDEX(спр_Работы!$I$2:$I$6000,MATCH($C602,спр_Работы!$A$2:$A$6000,0))/100,0))*(1-ДисконтТендер),0))</f>
        <v/>
      </c>
      <c r="N602" s="10">
        <f>IF(AND($R602="да",$H602&lt;&gt;""),ROUND($H602*$L602,2),0)</f>
        <v/>
      </c>
      <c r="O602" s="10">
        <f>IF(AND($R602="да",$H602&lt;&gt;""),ROUND($H602*$M602,2),0)</f>
        <v/>
      </c>
      <c r="P602" s="10">
        <f>$N602+$O602</f>
        <v/>
      </c>
      <c r="Q602">
        <f>IFERROR(INDEX(спр_Работы!$J$2:$J$6000,MATCH($C602,спр_Работы!$A$2:$A$6000,0)),"")</f>
        <v/>
      </c>
      <c r="R602" t="inlineStr">
        <is>
          <t>да</t>
        </is>
      </c>
      <c r="T602">
        <f>IF(AND($P602&gt;0,$R602="да"),MAX($T$1:$T601)+1,"")</f>
        <v/>
      </c>
    </row>
    <row r="603">
      <c r="A603">
        <f>IFERROR(INDEX(спр_Работы!$D$2:$D$6000,MATCH($C603,спр_Работы!$A$2:$A$6000,0)),"")</f>
        <v/>
      </c>
      <c r="B603">
        <f>IFERROR(INDEX(спр_Работы!$F$2:$F$6000,MATCH($C603,спр_Работы!$A$2:$A$6000,0)),"")</f>
        <v/>
      </c>
      <c r="C603">
        <f>IFERROR(INDEX(спр_Работы!$A$2:$A$6000,602),"")</f>
        <v/>
      </c>
      <c r="D603" s="8">
        <f>IFERROR(INDEX(спр_Работы!$B$2:$B$6000,MATCH($C603,спр_Работы!$A$2:$A$6000,0)),"")</f>
        <v/>
      </c>
      <c r="E603">
        <f>IFERROR(INDEX(спр_Работы!$C$2:$C$6000,MATCH($C603,спр_Работы!$A$2:$A$6000,0)),"")</f>
        <v/>
      </c>
      <c r="F603">
        <f>IFERROR(INDEX(спр_Работы!$G$2:$G$6000,MATCH($C603,спр_Работы!$A$2:$A$6000,0)),"")</f>
        <v/>
      </c>
      <c r="G603">
        <f>IFERROR(INDEX(спр_Работы!$K$2:$K$6000,MATCH($C603,спр_Работы!$A$2:$A$6000,0)),"")</f>
        <v/>
      </c>
      <c r="H603" s="9" t="n"/>
      <c r="I603" s="9" t="n"/>
      <c r="J603" s="8">
        <f>IFERROR(INDEX(спр_Материалы!$B$2:$B$9000,MATCH($I603,спр_Материалы!$A$2:$A$9000,0)),"")</f>
        <v/>
      </c>
      <c r="K603">
        <f>IF($I603="","",IF($F603=IFERROR(INDEX(спр_Материалы!$G$2:$G$9000,MATCH($I603,спр_Материалы!$A$2:$A$9000,0)),""),"OK","!! не та группа"))</f>
        <v/>
      </c>
      <c r="L603" s="10">
        <f>IFERROR(INDEX(спр_Работы!$H$2:$H$6000,MATCH($C603,спр_Работы!$A$2:$A$6000,0))*(1-ДисконтТендер),0)</f>
        <v/>
      </c>
      <c r="M603" s="10">
        <f>IF($I603="",0,IFERROR(INDEX(спр_Материалы!$I$2:$I$9000,MATCH($I603,спр_Материалы!$A$2:$A$9000,0))*IF(INDEX(спр_Материалы!$J$2:$J$9000,MATCH($I603,спр_Материалы!$A$2:$A$9000,0))="USD",КурсUSD,IF(INDEX(спр_Материалы!$J$2:$J$9000,MATCH($I603,спр_Материалы!$A$2:$A$9000,0))="EUR",КурсEUR,1))*INDEX(спр_Материалы!$K$2:$K$9000,MATCH($I603,спр_Материалы!$A$2:$A$9000,0))*(1+IFERROR(INDEX(спр_Работы!$I$2:$I$6000,MATCH($C603,спр_Работы!$A$2:$A$6000,0))/100,0))*(1-ДисконтТендер),0))</f>
        <v/>
      </c>
      <c r="N603" s="10">
        <f>IF(AND($R603="да",$H603&lt;&gt;""),ROUND($H603*$L603,2),0)</f>
        <v/>
      </c>
      <c r="O603" s="10">
        <f>IF(AND($R603="да",$H603&lt;&gt;""),ROUND($H603*$M603,2),0)</f>
        <v/>
      </c>
      <c r="P603" s="10">
        <f>$N603+$O603</f>
        <v/>
      </c>
      <c r="Q603">
        <f>IFERROR(INDEX(спр_Работы!$J$2:$J$6000,MATCH($C603,спр_Работы!$A$2:$A$6000,0)),"")</f>
        <v/>
      </c>
      <c r="R603" t="inlineStr">
        <is>
          <t>да</t>
        </is>
      </c>
      <c r="T603">
        <f>IF(AND($P603&gt;0,$R603="да"),MAX($T$1:$T602)+1,"")</f>
        <v/>
      </c>
    </row>
    <row r="604">
      <c r="A604">
        <f>IFERROR(INDEX(спр_Работы!$D$2:$D$6000,MATCH($C604,спр_Работы!$A$2:$A$6000,0)),"")</f>
        <v/>
      </c>
      <c r="B604">
        <f>IFERROR(INDEX(спр_Работы!$F$2:$F$6000,MATCH($C604,спр_Работы!$A$2:$A$6000,0)),"")</f>
        <v/>
      </c>
      <c r="C604">
        <f>IFERROR(INDEX(спр_Работы!$A$2:$A$6000,603),"")</f>
        <v/>
      </c>
      <c r="D604" s="8">
        <f>IFERROR(INDEX(спр_Работы!$B$2:$B$6000,MATCH($C604,спр_Работы!$A$2:$A$6000,0)),"")</f>
        <v/>
      </c>
      <c r="E604">
        <f>IFERROR(INDEX(спр_Работы!$C$2:$C$6000,MATCH($C604,спр_Работы!$A$2:$A$6000,0)),"")</f>
        <v/>
      </c>
      <c r="F604">
        <f>IFERROR(INDEX(спр_Работы!$G$2:$G$6000,MATCH($C604,спр_Работы!$A$2:$A$6000,0)),"")</f>
        <v/>
      </c>
      <c r="G604">
        <f>IFERROR(INDEX(спр_Работы!$K$2:$K$6000,MATCH($C604,спр_Работы!$A$2:$A$6000,0)),"")</f>
        <v/>
      </c>
      <c r="H604" s="9" t="n"/>
      <c r="I604" s="9" t="n"/>
      <c r="J604" s="8">
        <f>IFERROR(INDEX(спр_Материалы!$B$2:$B$9000,MATCH($I604,спр_Материалы!$A$2:$A$9000,0)),"")</f>
        <v/>
      </c>
      <c r="K604">
        <f>IF($I604="","",IF($F604=IFERROR(INDEX(спр_Материалы!$G$2:$G$9000,MATCH($I604,спр_Материалы!$A$2:$A$9000,0)),""),"OK","!! не та группа"))</f>
        <v/>
      </c>
      <c r="L604" s="10">
        <f>IFERROR(INDEX(спр_Работы!$H$2:$H$6000,MATCH($C604,спр_Работы!$A$2:$A$6000,0))*(1-ДисконтТендер),0)</f>
        <v/>
      </c>
      <c r="M604" s="10">
        <f>IF($I604="",0,IFERROR(INDEX(спр_Материалы!$I$2:$I$9000,MATCH($I604,спр_Материалы!$A$2:$A$9000,0))*IF(INDEX(спр_Материалы!$J$2:$J$9000,MATCH($I604,спр_Материалы!$A$2:$A$9000,0))="USD",КурсUSD,IF(INDEX(спр_Материалы!$J$2:$J$9000,MATCH($I604,спр_Материалы!$A$2:$A$9000,0))="EUR",КурсEUR,1))*INDEX(спр_Материалы!$K$2:$K$9000,MATCH($I604,спр_Материалы!$A$2:$A$9000,0))*(1+IFERROR(INDEX(спр_Работы!$I$2:$I$6000,MATCH($C604,спр_Работы!$A$2:$A$6000,0))/100,0))*(1-ДисконтТендер),0))</f>
        <v/>
      </c>
      <c r="N604" s="10">
        <f>IF(AND($R604="да",$H604&lt;&gt;""),ROUND($H604*$L604,2),0)</f>
        <v/>
      </c>
      <c r="O604" s="10">
        <f>IF(AND($R604="да",$H604&lt;&gt;""),ROUND($H604*$M604,2),0)</f>
        <v/>
      </c>
      <c r="P604" s="10">
        <f>$N604+$O604</f>
        <v/>
      </c>
      <c r="Q604">
        <f>IFERROR(INDEX(спр_Работы!$J$2:$J$6000,MATCH($C604,спр_Работы!$A$2:$A$6000,0)),"")</f>
        <v/>
      </c>
      <c r="R604" t="inlineStr">
        <is>
          <t>да</t>
        </is>
      </c>
      <c r="T604">
        <f>IF(AND($P604&gt;0,$R604="да"),MAX($T$1:$T603)+1,"")</f>
        <v/>
      </c>
    </row>
    <row r="605">
      <c r="A605">
        <f>IFERROR(INDEX(спр_Работы!$D$2:$D$6000,MATCH($C605,спр_Работы!$A$2:$A$6000,0)),"")</f>
        <v/>
      </c>
      <c r="B605">
        <f>IFERROR(INDEX(спр_Работы!$F$2:$F$6000,MATCH($C605,спр_Работы!$A$2:$A$6000,0)),"")</f>
        <v/>
      </c>
      <c r="C605">
        <f>IFERROR(INDEX(спр_Работы!$A$2:$A$6000,604),"")</f>
        <v/>
      </c>
      <c r="D605" s="8">
        <f>IFERROR(INDEX(спр_Работы!$B$2:$B$6000,MATCH($C605,спр_Работы!$A$2:$A$6000,0)),"")</f>
        <v/>
      </c>
      <c r="E605">
        <f>IFERROR(INDEX(спр_Работы!$C$2:$C$6000,MATCH($C605,спр_Работы!$A$2:$A$6000,0)),"")</f>
        <v/>
      </c>
      <c r="F605">
        <f>IFERROR(INDEX(спр_Работы!$G$2:$G$6000,MATCH($C605,спр_Работы!$A$2:$A$6000,0)),"")</f>
        <v/>
      </c>
      <c r="G605">
        <f>IFERROR(INDEX(спр_Работы!$K$2:$K$6000,MATCH($C605,спр_Работы!$A$2:$A$6000,0)),"")</f>
        <v/>
      </c>
      <c r="H605" s="9" t="n"/>
      <c r="I605" s="9" t="n"/>
      <c r="J605" s="8">
        <f>IFERROR(INDEX(спр_Материалы!$B$2:$B$9000,MATCH($I605,спр_Материалы!$A$2:$A$9000,0)),"")</f>
        <v/>
      </c>
      <c r="K605">
        <f>IF($I605="","",IF($F605=IFERROR(INDEX(спр_Материалы!$G$2:$G$9000,MATCH($I605,спр_Материалы!$A$2:$A$9000,0)),""),"OK","!! не та группа"))</f>
        <v/>
      </c>
      <c r="L605" s="10">
        <f>IFERROR(INDEX(спр_Работы!$H$2:$H$6000,MATCH($C605,спр_Работы!$A$2:$A$6000,0))*(1-ДисконтТендер),0)</f>
        <v/>
      </c>
      <c r="M605" s="10">
        <f>IF($I605="",0,IFERROR(INDEX(спр_Материалы!$I$2:$I$9000,MATCH($I605,спр_Материалы!$A$2:$A$9000,0))*IF(INDEX(спр_Материалы!$J$2:$J$9000,MATCH($I605,спр_Материалы!$A$2:$A$9000,0))="USD",КурсUSD,IF(INDEX(спр_Материалы!$J$2:$J$9000,MATCH($I605,спр_Материалы!$A$2:$A$9000,0))="EUR",КурсEUR,1))*INDEX(спр_Материалы!$K$2:$K$9000,MATCH($I605,спр_Материалы!$A$2:$A$9000,0))*(1+IFERROR(INDEX(спр_Работы!$I$2:$I$6000,MATCH($C605,спр_Работы!$A$2:$A$6000,0))/100,0))*(1-ДисконтТендер),0))</f>
        <v/>
      </c>
      <c r="N605" s="10">
        <f>IF(AND($R605="да",$H605&lt;&gt;""),ROUND($H605*$L605,2),0)</f>
        <v/>
      </c>
      <c r="O605" s="10">
        <f>IF(AND($R605="да",$H605&lt;&gt;""),ROUND($H605*$M605,2),0)</f>
        <v/>
      </c>
      <c r="P605" s="10">
        <f>$N605+$O605</f>
        <v/>
      </c>
      <c r="Q605">
        <f>IFERROR(INDEX(спр_Работы!$J$2:$J$6000,MATCH($C605,спр_Работы!$A$2:$A$6000,0)),"")</f>
        <v/>
      </c>
      <c r="R605" t="inlineStr">
        <is>
          <t>да</t>
        </is>
      </c>
      <c r="T605">
        <f>IF(AND($P605&gt;0,$R605="да"),MAX($T$1:$T604)+1,"")</f>
        <v/>
      </c>
    </row>
    <row r="606">
      <c r="A606">
        <f>IFERROR(INDEX(спр_Работы!$D$2:$D$6000,MATCH($C606,спр_Работы!$A$2:$A$6000,0)),"")</f>
        <v/>
      </c>
      <c r="B606">
        <f>IFERROR(INDEX(спр_Работы!$F$2:$F$6000,MATCH($C606,спр_Работы!$A$2:$A$6000,0)),"")</f>
        <v/>
      </c>
      <c r="C606">
        <f>IFERROR(INDEX(спр_Работы!$A$2:$A$6000,605),"")</f>
        <v/>
      </c>
      <c r="D606" s="8">
        <f>IFERROR(INDEX(спр_Работы!$B$2:$B$6000,MATCH($C606,спр_Работы!$A$2:$A$6000,0)),"")</f>
        <v/>
      </c>
      <c r="E606">
        <f>IFERROR(INDEX(спр_Работы!$C$2:$C$6000,MATCH($C606,спр_Работы!$A$2:$A$6000,0)),"")</f>
        <v/>
      </c>
      <c r="F606">
        <f>IFERROR(INDEX(спр_Работы!$G$2:$G$6000,MATCH($C606,спр_Работы!$A$2:$A$6000,0)),"")</f>
        <v/>
      </c>
      <c r="G606">
        <f>IFERROR(INDEX(спр_Работы!$K$2:$K$6000,MATCH($C606,спр_Работы!$A$2:$A$6000,0)),"")</f>
        <v/>
      </c>
      <c r="H606" s="9" t="n"/>
      <c r="I606" s="9" t="n"/>
      <c r="J606" s="8">
        <f>IFERROR(INDEX(спр_Материалы!$B$2:$B$9000,MATCH($I606,спр_Материалы!$A$2:$A$9000,0)),"")</f>
        <v/>
      </c>
      <c r="K606">
        <f>IF($I606="","",IF($F606=IFERROR(INDEX(спр_Материалы!$G$2:$G$9000,MATCH($I606,спр_Материалы!$A$2:$A$9000,0)),""),"OK","!! не та группа"))</f>
        <v/>
      </c>
      <c r="L606" s="10">
        <f>IFERROR(INDEX(спр_Работы!$H$2:$H$6000,MATCH($C606,спр_Работы!$A$2:$A$6000,0))*(1-ДисконтТендер),0)</f>
        <v/>
      </c>
      <c r="M606" s="10">
        <f>IF($I606="",0,IFERROR(INDEX(спр_Материалы!$I$2:$I$9000,MATCH($I606,спр_Материалы!$A$2:$A$9000,0))*IF(INDEX(спр_Материалы!$J$2:$J$9000,MATCH($I606,спр_Материалы!$A$2:$A$9000,0))="USD",КурсUSD,IF(INDEX(спр_Материалы!$J$2:$J$9000,MATCH($I606,спр_Материалы!$A$2:$A$9000,0))="EUR",КурсEUR,1))*INDEX(спр_Материалы!$K$2:$K$9000,MATCH($I606,спр_Материалы!$A$2:$A$9000,0))*(1+IFERROR(INDEX(спр_Работы!$I$2:$I$6000,MATCH($C606,спр_Работы!$A$2:$A$6000,0))/100,0))*(1-ДисконтТендер),0))</f>
        <v/>
      </c>
      <c r="N606" s="10">
        <f>IF(AND($R606="да",$H606&lt;&gt;""),ROUND($H606*$L606,2),0)</f>
        <v/>
      </c>
      <c r="O606" s="10">
        <f>IF(AND($R606="да",$H606&lt;&gt;""),ROUND($H606*$M606,2),0)</f>
        <v/>
      </c>
      <c r="P606" s="10">
        <f>$N606+$O606</f>
        <v/>
      </c>
      <c r="Q606">
        <f>IFERROR(INDEX(спр_Работы!$J$2:$J$6000,MATCH($C606,спр_Работы!$A$2:$A$6000,0)),"")</f>
        <v/>
      </c>
      <c r="R606" t="inlineStr">
        <is>
          <t>да</t>
        </is>
      </c>
      <c r="T606">
        <f>IF(AND($P606&gt;0,$R606="да"),MAX($T$1:$T605)+1,"")</f>
        <v/>
      </c>
    </row>
    <row r="607">
      <c r="A607">
        <f>IFERROR(INDEX(спр_Работы!$D$2:$D$6000,MATCH($C607,спр_Работы!$A$2:$A$6000,0)),"")</f>
        <v/>
      </c>
      <c r="B607">
        <f>IFERROR(INDEX(спр_Работы!$F$2:$F$6000,MATCH($C607,спр_Работы!$A$2:$A$6000,0)),"")</f>
        <v/>
      </c>
      <c r="C607">
        <f>IFERROR(INDEX(спр_Работы!$A$2:$A$6000,606),"")</f>
        <v/>
      </c>
      <c r="D607" s="8">
        <f>IFERROR(INDEX(спр_Работы!$B$2:$B$6000,MATCH($C607,спр_Работы!$A$2:$A$6000,0)),"")</f>
        <v/>
      </c>
      <c r="E607">
        <f>IFERROR(INDEX(спр_Работы!$C$2:$C$6000,MATCH($C607,спр_Работы!$A$2:$A$6000,0)),"")</f>
        <v/>
      </c>
      <c r="F607">
        <f>IFERROR(INDEX(спр_Работы!$G$2:$G$6000,MATCH($C607,спр_Работы!$A$2:$A$6000,0)),"")</f>
        <v/>
      </c>
      <c r="G607">
        <f>IFERROR(INDEX(спр_Работы!$K$2:$K$6000,MATCH($C607,спр_Работы!$A$2:$A$6000,0)),"")</f>
        <v/>
      </c>
      <c r="H607" s="9" t="n"/>
      <c r="I607" s="9" t="n"/>
      <c r="J607" s="8">
        <f>IFERROR(INDEX(спр_Материалы!$B$2:$B$9000,MATCH($I607,спр_Материалы!$A$2:$A$9000,0)),"")</f>
        <v/>
      </c>
      <c r="K607">
        <f>IF($I607="","",IF($F607=IFERROR(INDEX(спр_Материалы!$G$2:$G$9000,MATCH($I607,спр_Материалы!$A$2:$A$9000,0)),""),"OK","!! не та группа"))</f>
        <v/>
      </c>
      <c r="L607" s="10">
        <f>IFERROR(INDEX(спр_Работы!$H$2:$H$6000,MATCH($C607,спр_Работы!$A$2:$A$6000,0))*(1-ДисконтТендер),0)</f>
        <v/>
      </c>
      <c r="M607" s="10">
        <f>IF($I607="",0,IFERROR(INDEX(спр_Материалы!$I$2:$I$9000,MATCH($I607,спр_Материалы!$A$2:$A$9000,0))*IF(INDEX(спр_Материалы!$J$2:$J$9000,MATCH($I607,спр_Материалы!$A$2:$A$9000,0))="USD",КурсUSD,IF(INDEX(спр_Материалы!$J$2:$J$9000,MATCH($I607,спр_Материалы!$A$2:$A$9000,0))="EUR",КурсEUR,1))*INDEX(спр_Материалы!$K$2:$K$9000,MATCH($I607,спр_Материалы!$A$2:$A$9000,0))*(1+IFERROR(INDEX(спр_Работы!$I$2:$I$6000,MATCH($C607,спр_Работы!$A$2:$A$6000,0))/100,0))*(1-ДисконтТендер),0))</f>
        <v/>
      </c>
      <c r="N607" s="10">
        <f>IF(AND($R607="да",$H607&lt;&gt;""),ROUND($H607*$L607,2),0)</f>
        <v/>
      </c>
      <c r="O607" s="10">
        <f>IF(AND($R607="да",$H607&lt;&gt;""),ROUND($H607*$M607,2),0)</f>
        <v/>
      </c>
      <c r="P607" s="10">
        <f>$N607+$O607</f>
        <v/>
      </c>
      <c r="Q607">
        <f>IFERROR(INDEX(спр_Работы!$J$2:$J$6000,MATCH($C607,спр_Работы!$A$2:$A$6000,0)),"")</f>
        <v/>
      </c>
      <c r="R607" t="inlineStr">
        <is>
          <t>да</t>
        </is>
      </c>
      <c r="T607">
        <f>IF(AND($P607&gt;0,$R607="да"),MAX($T$1:$T606)+1,"")</f>
        <v/>
      </c>
    </row>
    <row r="608">
      <c r="A608">
        <f>IFERROR(INDEX(спр_Работы!$D$2:$D$6000,MATCH($C608,спр_Работы!$A$2:$A$6000,0)),"")</f>
        <v/>
      </c>
      <c r="B608">
        <f>IFERROR(INDEX(спр_Работы!$F$2:$F$6000,MATCH($C608,спр_Работы!$A$2:$A$6000,0)),"")</f>
        <v/>
      </c>
      <c r="C608">
        <f>IFERROR(INDEX(спр_Работы!$A$2:$A$6000,607),"")</f>
        <v/>
      </c>
      <c r="D608" s="8">
        <f>IFERROR(INDEX(спр_Работы!$B$2:$B$6000,MATCH($C608,спр_Работы!$A$2:$A$6000,0)),"")</f>
        <v/>
      </c>
      <c r="E608">
        <f>IFERROR(INDEX(спр_Работы!$C$2:$C$6000,MATCH($C608,спр_Работы!$A$2:$A$6000,0)),"")</f>
        <v/>
      </c>
      <c r="F608">
        <f>IFERROR(INDEX(спр_Работы!$G$2:$G$6000,MATCH($C608,спр_Работы!$A$2:$A$6000,0)),"")</f>
        <v/>
      </c>
      <c r="G608">
        <f>IFERROR(INDEX(спр_Работы!$K$2:$K$6000,MATCH($C608,спр_Работы!$A$2:$A$6000,0)),"")</f>
        <v/>
      </c>
      <c r="H608" s="9" t="n"/>
      <c r="I608" s="9" t="n"/>
      <c r="J608" s="8">
        <f>IFERROR(INDEX(спр_Материалы!$B$2:$B$9000,MATCH($I608,спр_Материалы!$A$2:$A$9000,0)),"")</f>
        <v/>
      </c>
      <c r="K608">
        <f>IF($I608="","",IF($F608=IFERROR(INDEX(спр_Материалы!$G$2:$G$9000,MATCH($I608,спр_Материалы!$A$2:$A$9000,0)),""),"OK","!! не та группа"))</f>
        <v/>
      </c>
      <c r="L608" s="10">
        <f>IFERROR(INDEX(спр_Работы!$H$2:$H$6000,MATCH($C608,спр_Работы!$A$2:$A$6000,0))*(1-ДисконтТендер),0)</f>
        <v/>
      </c>
      <c r="M608" s="10">
        <f>IF($I608="",0,IFERROR(INDEX(спр_Материалы!$I$2:$I$9000,MATCH($I608,спр_Материалы!$A$2:$A$9000,0))*IF(INDEX(спр_Материалы!$J$2:$J$9000,MATCH($I608,спр_Материалы!$A$2:$A$9000,0))="USD",КурсUSD,IF(INDEX(спр_Материалы!$J$2:$J$9000,MATCH($I608,спр_Материалы!$A$2:$A$9000,0))="EUR",КурсEUR,1))*INDEX(спр_Материалы!$K$2:$K$9000,MATCH($I608,спр_Материалы!$A$2:$A$9000,0))*(1+IFERROR(INDEX(спр_Работы!$I$2:$I$6000,MATCH($C608,спр_Работы!$A$2:$A$6000,0))/100,0))*(1-ДисконтТендер),0))</f>
        <v/>
      </c>
      <c r="N608" s="10">
        <f>IF(AND($R608="да",$H608&lt;&gt;""),ROUND($H608*$L608,2),0)</f>
        <v/>
      </c>
      <c r="O608" s="10">
        <f>IF(AND($R608="да",$H608&lt;&gt;""),ROUND($H608*$M608,2),0)</f>
        <v/>
      </c>
      <c r="P608" s="10">
        <f>$N608+$O608</f>
        <v/>
      </c>
      <c r="Q608">
        <f>IFERROR(INDEX(спр_Работы!$J$2:$J$6000,MATCH($C608,спр_Работы!$A$2:$A$6000,0)),"")</f>
        <v/>
      </c>
      <c r="R608" t="inlineStr">
        <is>
          <t>да</t>
        </is>
      </c>
      <c r="T608">
        <f>IF(AND($P608&gt;0,$R608="да"),MAX($T$1:$T607)+1,"")</f>
        <v/>
      </c>
    </row>
    <row r="609">
      <c r="A609">
        <f>IFERROR(INDEX(спр_Работы!$D$2:$D$6000,MATCH($C609,спр_Работы!$A$2:$A$6000,0)),"")</f>
        <v/>
      </c>
      <c r="B609">
        <f>IFERROR(INDEX(спр_Работы!$F$2:$F$6000,MATCH($C609,спр_Работы!$A$2:$A$6000,0)),"")</f>
        <v/>
      </c>
      <c r="C609">
        <f>IFERROR(INDEX(спр_Работы!$A$2:$A$6000,608),"")</f>
        <v/>
      </c>
      <c r="D609" s="8">
        <f>IFERROR(INDEX(спр_Работы!$B$2:$B$6000,MATCH($C609,спр_Работы!$A$2:$A$6000,0)),"")</f>
        <v/>
      </c>
      <c r="E609">
        <f>IFERROR(INDEX(спр_Работы!$C$2:$C$6000,MATCH($C609,спр_Работы!$A$2:$A$6000,0)),"")</f>
        <v/>
      </c>
      <c r="F609">
        <f>IFERROR(INDEX(спр_Работы!$G$2:$G$6000,MATCH($C609,спр_Работы!$A$2:$A$6000,0)),"")</f>
        <v/>
      </c>
      <c r="G609">
        <f>IFERROR(INDEX(спр_Работы!$K$2:$K$6000,MATCH($C609,спр_Работы!$A$2:$A$6000,0)),"")</f>
        <v/>
      </c>
      <c r="H609" s="9" t="n"/>
      <c r="I609" s="9" t="n"/>
      <c r="J609" s="8">
        <f>IFERROR(INDEX(спр_Материалы!$B$2:$B$9000,MATCH($I609,спр_Материалы!$A$2:$A$9000,0)),"")</f>
        <v/>
      </c>
      <c r="K609">
        <f>IF($I609="","",IF($F609=IFERROR(INDEX(спр_Материалы!$G$2:$G$9000,MATCH($I609,спр_Материалы!$A$2:$A$9000,0)),""),"OK","!! не та группа"))</f>
        <v/>
      </c>
      <c r="L609" s="10">
        <f>IFERROR(INDEX(спр_Работы!$H$2:$H$6000,MATCH($C609,спр_Работы!$A$2:$A$6000,0))*(1-ДисконтТендер),0)</f>
        <v/>
      </c>
      <c r="M609" s="10">
        <f>IF($I609="",0,IFERROR(INDEX(спр_Материалы!$I$2:$I$9000,MATCH($I609,спр_Материалы!$A$2:$A$9000,0))*IF(INDEX(спр_Материалы!$J$2:$J$9000,MATCH($I609,спр_Материалы!$A$2:$A$9000,0))="USD",КурсUSD,IF(INDEX(спр_Материалы!$J$2:$J$9000,MATCH($I609,спр_Материалы!$A$2:$A$9000,0))="EUR",КурсEUR,1))*INDEX(спр_Материалы!$K$2:$K$9000,MATCH($I609,спр_Материалы!$A$2:$A$9000,0))*(1+IFERROR(INDEX(спр_Работы!$I$2:$I$6000,MATCH($C609,спр_Работы!$A$2:$A$6000,0))/100,0))*(1-ДисконтТендер),0))</f>
        <v/>
      </c>
      <c r="N609" s="10">
        <f>IF(AND($R609="да",$H609&lt;&gt;""),ROUND($H609*$L609,2),0)</f>
        <v/>
      </c>
      <c r="O609" s="10">
        <f>IF(AND($R609="да",$H609&lt;&gt;""),ROUND($H609*$M609,2),0)</f>
        <v/>
      </c>
      <c r="P609" s="10">
        <f>$N609+$O609</f>
        <v/>
      </c>
      <c r="Q609">
        <f>IFERROR(INDEX(спр_Работы!$J$2:$J$6000,MATCH($C609,спр_Работы!$A$2:$A$6000,0)),"")</f>
        <v/>
      </c>
      <c r="R609" t="inlineStr">
        <is>
          <t>да</t>
        </is>
      </c>
      <c r="T609">
        <f>IF(AND($P609&gt;0,$R609="да"),MAX($T$1:$T608)+1,"")</f>
        <v/>
      </c>
    </row>
    <row r="610">
      <c r="A610">
        <f>IFERROR(INDEX(спр_Работы!$D$2:$D$6000,MATCH($C610,спр_Работы!$A$2:$A$6000,0)),"")</f>
        <v/>
      </c>
      <c r="B610">
        <f>IFERROR(INDEX(спр_Работы!$F$2:$F$6000,MATCH($C610,спр_Работы!$A$2:$A$6000,0)),"")</f>
        <v/>
      </c>
      <c r="C610">
        <f>IFERROR(INDEX(спр_Работы!$A$2:$A$6000,609),"")</f>
        <v/>
      </c>
      <c r="D610" s="8">
        <f>IFERROR(INDEX(спр_Работы!$B$2:$B$6000,MATCH($C610,спр_Работы!$A$2:$A$6000,0)),"")</f>
        <v/>
      </c>
      <c r="E610">
        <f>IFERROR(INDEX(спр_Работы!$C$2:$C$6000,MATCH($C610,спр_Работы!$A$2:$A$6000,0)),"")</f>
        <v/>
      </c>
      <c r="F610">
        <f>IFERROR(INDEX(спр_Работы!$G$2:$G$6000,MATCH($C610,спр_Работы!$A$2:$A$6000,0)),"")</f>
        <v/>
      </c>
      <c r="G610">
        <f>IFERROR(INDEX(спр_Работы!$K$2:$K$6000,MATCH($C610,спр_Работы!$A$2:$A$6000,0)),"")</f>
        <v/>
      </c>
      <c r="H610" s="9" t="n"/>
      <c r="I610" s="9" t="n"/>
      <c r="J610" s="8">
        <f>IFERROR(INDEX(спр_Материалы!$B$2:$B$9000,MATCH($I610,спр_Материалы!$A$2:$A$9000,0)),"")</f>
        <v/>
      </c>
      <c r="K610">
        <f>IF($I610="","",IF($F610=IFERROR(INDEX(спр_Материалы!$G$2:$G$9000,MATCH($I610,спр_Материалы!$A$2:$A$9000,0)),""),"OK","!! не та группа"))</f>
        <v/>
      </c>
      <c r="L610" s="10">
        <f>IFERROR(INDEX(спр_Работы!$H$2:$H$6000,MATCH($C610,спр_Работы!$A$2:$A$6000,0))*(1-ДисконтТендер),0)</f>
        <v/>
      </c>
      <c r="M610" s="10">
        <f>IF($I610="",0,IFERROR(INDEX(спр_Материалы!$I$2:$I$9000,MATCH($I610,спр_Материалы!$A$2:$A$9000,0))*IF(INDEX(спр_Материалы!$J$2:$J$9000,MATCH($I610,спр_Материалы!$A$2:$A$9000,0))="USD",КурсUSD,IF(INDEX(спр_Материалы!$J$2:$J$9000,MATCH($I610,спр_Материалы!$A$2:$A$9000,0))="EUR",КурсEUR,1))*INDEX(спр_Материалы!$K$2:$K$9000,MATCH($I610,спр_Материалы!$A$2:$A$9000,0))*(1+IFERROR(INDEX(спр_Работы!$I$2:$I$6000,MATCH($C610,спр_Работы!$A$2:$A$6000,0))/100,0))*(1-ДисконтТендер),0))</f>
        <v/>
      </c>
      <c r="N610" s="10">
        <f>IF(AND($R610="да",$H610&lt;&gt;""),ROUND($H610*$L610,2),0)</f>
        <v/>
      </c>
      <c r="O610" s="10">
        <f>IF(AND($R610="да",$H610&lt;&gt;""),ROUND($H610*$M610,2),0)</f>
        <v/>
      </c>
      <c r="P610" s="10">
        <f>$N610+$O610</f>
        <v/>
      </c>
      <c r="Q610">
        <f>IFERROR(INDEX(спр_Работы!$J$2:$J$6000,MATCH($C610,спр_Работы!$A$2:$A$6000,0)),"")</f>
        <v/>
      </c>
      <c r="R610" t="inlineStr">
        <is>
          <t>да</t>
        </is>
      </c>
      <c r="T610">
        <f>IF(AND($P610&gt;0,$R610="да"),MAX($T$1:$T609)+1,"")</f>
        <v/>
      </c>
    </row>
    <row r="611">
      <c r="A611">
        <f>IFERROR(INDEX(спр_Работы!$D$2:$D$6000,MATCH($C611,спр_Работы!$A$2:$A$6000,0)),"")</f>
        <v/>
      </c>
      <c r="B611">
        <f>IFERROR(INDEX(спр_Работы!$F$2:$F$6000,MATCH($C611,спр_Работы!$A$2:$A$6000,0)),"")</f>
        <v/>
      </c>
      <c r="C611">
        <f>IFERROR(INDEX(спр_Работы!$A$2:$A$6000,610),"")</f>
        <v/>
      </c>
      <c r="D611" s="8">
        <f>IFERROR(INDEX(спр_Работы!$B$2:$B$6000,MATCH($C611,спр_Работы!$A$2:$A$6000,0)),"")</f>
        <v/>
      </c>
      <c r="E611">
        <f>IFERROR(INDEX(спр_Работы!$C$2:$C$6000,MATCH($C611,спр_Работы!$A$2:$A$6000,0)),"")</f>
        <v/>
      </c>
      <c r="F611">
        <f>IFERROR(INDEX(спр_Работы!$G$2:$G$6000,MATCH($C611,спр_Работы!$A$2:$A$6000,0)),"")</f>
        <v/>
      </c>
      <c r="G611">
        <f>IFERROR(INDEX(спр_Работы!$K$2:$K$6000,MATCH($C611,спр_Работы!$A$2:$A$6000,0)),"")</f>
        <v/>
      </c>
      <c r="H611" s="9" t="n"/>
      <c r="I611" s="9" t="n"/>
      <c r="J611" s="8">
        <f>IFERROR(INDEX(спр_Материалы!$B$2:$B$9000,MATCH($I611,спр_Материалы!$A$2:$A$9000,0)),"")</f>
        <v/>
      </c>
      <c r="K611">
        <f>IF($I611="","",IF($F611=IFERROR(INDEX(спр_Материалы!$G$2:$G$9000,MATCH($I611,спр_Материалы!$A$2:$A$9000,0)),""),"OK","!! не та группа"))</f>
        <v/>
      </c>
      <c r="L611" s="10">
        <f>IFERROR(INDEX(спр_Работы!$H$2:$H$6000,MATCH($C611,спр_Работы!$A$2:$A$6000,0))*(1-ДисконтТендер),0)</f>
        <v/>
      </c>
      <c r="M611" s="10">
        <f>IF($I611="",0,IFERROR(INDEX(спр_Материалы!$I$2:$I$9000,MATCH($I611,спр_Материалы!$A$2:$A$9000,0))*IF(INDEX(спр_Материалы!$J$2:$J$9000,MATCH($I611,спр_Материалы!$A$2:$A$9000,0))="USD",КурсUSD,IF(INDEX(спр_Материалы!$J$2:$J$9000,MATCH($I611,спр_Материалы!$A$2:$A$9000,0))="EUR",КурсEUR,1))*INDEX(спр_Материалы!$K$2:$K$9000,MATCH($I611,спр_Материалы!$A$2:$A$9000,0))*(1+IFERROR(INDEX(спр_Работы!$I$2:$I$6000,MATCH($C611,спр_Работы!$A$2:$A$6000,0))/100,0))*(1-ДисконтТендер),0))</f>
        <v/>
      </c>
      <c r="N611" s="10">
        <f>IF(AND($R611="да",$H611&lt;&gt;""),ROUND($H611*$L611,2),0)</f>
        <v/>
      </c>
      <c r="O611" s="10">
        <f>IF(AND($R611="да",$H611&lt;&gt;""),ROUND($H611*$M611,2),0)</f>
        <v/>
      </c>
      <c r="P611" s="10">
        <f>$N611+$O611</f>
        <v/>
      </c>
      <c r="Q611">
        <f>IFERROR(INDEX(спр_Работы!$J$2:$J$6000,MATCH($C611,спр_Работы!$A$2:$A$6000,0)),"")</f>
        <v/>
      </c>
      <c r="R611" t="inlineStr">
        <is>
          <t>да</t>
        </is>
      </c>
      <c r="T611">
        <f>IF(AND($P611&gt;0,$R611="да"),MAX($T$1:$T610)+1,"")</f>
        <v/>
      </c>
    </row>
    <row r="612">
      <c r="A612">
        <f>IFERROR(INDEX(спр_Работы!$D$2:$D$6000,MATCH($C612,спр_Работы!$A$2:$A$6000,0)),"")</f>
        <v/>
      </c>
      <c r="B612">
        <f>IFERROR(INDEX(спр_Работы!$F$2:$F$6000,MATCH($C612,спр_Работы!$A$2:$A$6000,0)),"")</f>
        <v/>
      </c>
      <c r="C612">
        <f>IFERROR(INDEX(спр_Работы!$A$2:$A$6000,611),"")</f>
        <v/>
      </c>
      <c r="D612" s="8">
        <f>IFERROR(INDEX(спр_Работы!$B$2:$B$6000,MATCH($C612,спр_Работы!$A$2:$A$6000,0)),"")</f>
        <v/>
      </c>
      <c r="E612">
        <f>IFERROR(INDEX(спр_Работы!$C$2:$C$6000,MATCH($C612,спр_Работы!$A$2:$A$6000,0)),"")</f>
        <v/>
      </c>
      <c r="F612">
        <f>IFERROR(INDEX(спр_Работы!$G$2:$G$6000,MATCH($C612,спр_Работы!$A$2:$A$6000,0)),"")</f>
        <v/>
      </c>
      <c r="G612">
        <f>IFERROR(INDEX(спр_Работы!$K$2:$K$6000,MATCH($C612,спр_Работы!$A$2:$A$6000,0)),"")</f>
        <v/>
      </c>
      <c r="H612" s="9" t="n"/>
      <c r="I612" s="9" t="n"/>
      <c r="J612" s="8">
        <f>IFERROR(INDEX(спр_Материалы!$B$2:$B$9000,MATCH($I612,спр_Материалы!$A$2:$A$9000,0)),"")</f>
        <v/>
      </c>
      <c r="K612">
        <f>IF($I612="","",IF($F612=IFERROR(INDEX(спр_Материалы!$G$2:$G$9000,MATCH($I612,спр_Материалы!$A$2:$A$9000,0)),""),"OK","!! не та группа"))</f>
        <v/>
      </c>
      <c r="L612" s="10">
        <f>IFERROR(INDEX(спр_Работы!$H$2:$H$6000,MATCH($C612,спр_Работы!$A$2:$A$6000,0))*(1-ДисконтТендер),0)</f>
        <v/>
      </c>
      <c r="M612" s="10">
        <f>IF($I612="",0,IFERROR(INDEX(спр_Материалы!$I$2:$I$9000,MATCH($I612,спр_Материалы!$A$2:$A$9000,0))*IF(INDEX(спр_Материалы!$J$2:$J$9000,MATCH($I612,спр_Материалы!$A$2:$A$9000,0))="USD",КурсUSD,IF(INDEX(спр_Материалы!$J$2:$J$9000,MATCH($I612,спр_Материалы!$A$2:$A$9000,0))="EUR",КурсEUR,1))*INDEX(спр_Материалы!$K$2:$K$9000,MATCH($I612,спр_Материалы!$A$2:$A$9000,0))*(1+IFERROR(INDEX(спр_Работы!$I$2:$I$6000,MATCH($C612,спр_Работы!$A$2:$A$6000,0))/100,0))*(1-ДисконтТендер),0))</f>
        <v/>
      </c>
      <c r="N612" s="10">
        <f>IF(AND($R612="да",$H612&lt;&gt;""),ROUND($H612*$L612,2),0)</f>
        <v/>
      </c>
      <c r="O612" s="10">
        <f>IF(AND($R612="да",$H612&lt;&gt;""),ROUND($H612*$M612,2),0)</f>
        <v/>
      </c>
      <c r="P612" s="10">
        <f>$N612+$O612</f>
        <v/>
      </c>
      <c r="Q612">
        <f>IFERROR(INDEX(спр_Работы!$J$2:$J$6000,MATCH($C612,спр_Работы!$A$2:$A$6000,0)),"")</f>
        <v/>
      </c>
      <c r="R612" t="inlineStr">
        <is>
          <t>да</t>
        </is>
      </c>
      <c r="T612">
        <f>IF(AND($P612&gt;0,$R612="да"),MAX($T$1:$T611)+1,"")</f>
        <v/>
      </c>
    </row>
    <row r="613">
      <c r="A613">
        <f>IFERROR(INDEX(спр_Работы!$D$2:$D$6000,MATCH($C613,спр_Работы!$A$2:$A$6000,0)),"")</f>
        <v/>
      </c>
      <c r="B613">
        <f>IFERROR(INDEX(спр_Работы!$F$2:$F$6000,MATCH($C613,спр_Работы!$A$2:$A$6000,0)),"")</f>
        <v/>
      </c>
      <c r="C613">
        <f>IFERROR(INDEX(спр_Работы!$A$2:$A$6000,612),"")</f>
        <v/>
      </c>
      <c r="D613" s="8">
        <f>IFERROR(INDEX(спр_Работы!$B$2:$B$6000,MATCH($C613,спр_Работы!$A$2:$A$6000,0)),"")</f>
        <v/>
      </c>
      <c r="E613">
        <f>IFERROR(INDEX(спр_Работы!$C$2:$C$6000,MATCH($C613,спр_Работы!$A$2:$A$6000,0)),"")</f>
        <v/>
      </c>
      <c r="F613">
        <f>IFERROR(INDEX(спр_Работы!$G$2:$G$6000,MATCH($C613,спр_Работы!$A$2:$A$6000,0)),"")</f>
        <v/>
      </c>
      <c r="G613">
        <f>IFERROR(INDEX(спр_Работы!$K$2:$K$6000,MATCH($C613,спр_Работы!$A$2:$A$6000,0)),"")</f>
        <v/>
      </c>
      <c r="H613" s="9" t="n"/>
      <c r="I613" s="9" t="n"/>
      <c r="J613" s="8">
        <f>IFERROR(INDEX(спр_Материалы!$B$2:$B$9000,MATCH($I613,спр_Материалы!$A$2:$A$9000,0)),"")</f>
        <v/>
      </c>
      <c r="K613">
        <f>IF($I613="","",IF($F613=IFERROR(INDEX(спр_Материалы!$G$2:$G$9000,MATCH($I613,спр_Материалы!$A$2:$A$9000,0)),""),"OK","!! не та группа"))</f>
        <v/>
      </c>
      <c r="L613" s="10">
        <f>IFERROR(INDEX(спр_Работы!$H$2:$H$6000,MATCH($C613,спр_Работы!$A$2:$A$6000,0))*(1-ДисконтТендер),0)</f>
        <v/>
      </c>
      <c r="M613" s="10">
        <f>IF($I613="",0,IFERROR(INDEX(спр_Материалы!$I$2:$I$9000,MATCH($I613,спр_Материалы!$A$2:$A$9000,0))*IF(INDEX(спр_Материалы!$J$2:$J$9000,MATCH($I613,спр_Материалы!$A$2:$A$9000,0))="USD",КурсUSD,IF(INDEX(спр_Материалы!$J$2:$J$9000,MATCH($I613,спр_Материалы!$A$2:$A$9000,0))="EUR",КурсEUR,1))*INDEX(спр_Материалы!$K$2:$K$9000,MATCH($I613,спр_Материалы!$A$2:$A$9000,0))*(1+IFERROR(INDEX(спр_Работы!$I$2:$I$6000,MATCH($C613,спр_Работы!$A$2:$A$6000,0))/100,0))*(1-ДисконтТендер),0))</f>
        <v/>
      </c>
      <c r="N613" s="10">
        <f>IF(AND($R613="да",$H613&lt;&gt;""),ROUND($H613*$L613,2),0)</f>
        <v/>
      </c>
      <c r="O613" s="10">
        <f>IF(AND($R613="да",$H613&lt;&gt;""),ROUND($H613*$M613,2),0)</f>
        <v/>
      </c>
      <c r="P613" s="10">
        <f>$N613+$O613</f>
        <v/>
      </c>
      <c r="Q613">
        <f>IFERROR(INDEX(спр_Работы!$J$2:$J$6000,MATCH($C613,спр_Работы!$A$2:$A$6000,0)),"")</f>
        <v/>
      </c>
      <c r="R613" t="inlineStr">
        <is>
          <t>да</t>
        </is>
      </c>
      <c r="T613">
        <f>IF(AND($P613&gt;0,$R613="да"),MAX($T$1:$T612)+1,"")</f>
        <v/>
      </c>
    </row>
    <row r="614">
      <c r="A614">
        <f>IFERROR(INDEX(спр_Работы!$D$2:$D$6000,MATCH($C614,спр_Работы!$A$2:$A$6000,0)),"")</f>
        <v/>
      </c>
      <c r="B614">
        <f>IFERROR(INDEX(спр_Работы!$F$2:$F$6000,MATCH($C614,спр_Работы!$A$2:$A$6000,0)),"")</f>
        <v/>
      </c>
      <c r="C614">
        <f>IFERROR(INDEX(спр_Работы!$A$2:$A$6000,613),"")</f>
        <v/>
      </c>
      <c r="D614" s="8">
        <f>IFERROR(INDEX(спр_Работы!$B$2:$B$6000,MATCH($C614,спр_Работы!$A$2:$A$6000,0)),"")</f>
        <v/>
      </c>
      <c r="E614">
        <f>IFERROR(INDEX(спр_Работы!$C$2:$C$6000,MATCH($C614,спр_Работы!$A$2:$A$6000,0)),"")</f>
        <v/>
      </c>
      <c r="F614">
        <f>IFERROR(INDEX(спр_Работы!$G$2:$G$6000,MATCH($C614,спр_Работы!$A$2:$A$6000,0)),"")</f>
        <v/>
      </c>
      <c r="G614">
        <f>IFERROR(INDEX(спр_Работы!$K$2:$K$6000,MATCH($C614,спр_Работы!$A$2:$A$6000,0)),"")</f>
        <v/>
      </c>
      <c r="H614" s="9" t="n"/>
      <c r="I614" s="9" t="n"/>
      <c r="J614" s="8">
        <f>IFERROR(INDEX(спр_Материалы!$B$2:$B$9000,MATCH($I614,спр_Материалы!$A$2:$A$9000,0)),"")</f>
        <v/>
      </c>
      <c r="K614">
        <f>IF($I614="","",IF($F614=IFERROR(INDEX(спр_Материалы!$G$2:$G$9000,MATCH($I614,спр_Материалы!$A$2:$A$9000,0)),""),"OK","!! не та группа"))</f>
        <v/>
      </c>
      <c r="L614" s="10">
        <f>IFERROR(INDEX(спр_Работы!$H$2:$H$6000,MATCH($C614,спр_Работы!$A$2:$A$6000,0))*(1-ДисконтТендер),0)</f>
        <v/>
      </c>
      <c r="M614" s="10">
        <f>IF($I614="",0,IFERROR(INDEX(спр_Материалы!$I$2:$I$9000,MATCH($I614,спр_Материалы!$A$2:$A$9000,0))*IF(INDEX(спр_Материалы!$J$2:$J$9000,MATCH($I614,спр_Материалы!$A$2:$A$9000,0))="USD",КурсUSD,IF(INDEX(спр_Материалы!$J$2:$J$9000,MATCH($I614,спр_Материалы!$A$2:$A$9000,0))="EUR",КурсEUR,1))*INDEX(спр_Материалы!$K$2:$K$9000,MATCH($I614,спр_Материалы!$A$2:$A$9000,0))*(1+IFERROR(INDEX(спр_Работы!$I$2:$I$6000,MATCH($C614,спр_Работы!$A$2:$A$6000,0))/100,0))*(1-ДисконтТендер),0))</f>
        <v/>
      </c>
      <c r="N614" s="10">
        <f>IF(AND($R614="да",$H614&lt;&gt;""),ROUND($H614*$L614,2),0)</f>
        <v/>
      </c>
      <c r="O614" s="10">
        <f>IF(AND($R614="да",$H614&lt;&gt;""),ROUND($H614*$M614,2),0)</f>
        <v/>
      </c>
      <c r="P614" s="10">
        <f>$N614+$O614</f>
        <v/>
      </c>
      <c r="Q614">
        <f>IFERROR(INDEX(спр_Работы!$J$2:$J$6000,MATCH($C614,спр_Работы!$A$2:$A$6000,0)),"")</f>
        <v/>
      </c>
      <c r="R614" t="inlineStr">
        <is>
          <t>да</t>
        </is>
      </c>
      <c r="T614">
        <f>IF(AND($P614&gt;0,$R614="да"),MAX($T$1:$T613)+1,"")</f>
        <v/>
      </c>
    </row>
    <row r="615">
      <c r="A615">
        <f>IFERROR(INDEX(спр_Работы!$D$2:$D$6000,MATCH($C615,спр_Работы!$A$2:$A$6000,0)),"")</f>
        <v/>
      </c>
      <c r="B615">
        <f>IFERROR(INDEX(спр_Работы!$F$2:$F$6000,MATCH($C615,спр_Работы!$A$2:$A$6000,0)),"")</f>
        <v/>
      </c>
      <c r="C615">
        <f>IFERROR(INDEX(спр_Работы!$A$2:$A$6000,614),"")</f>
        <v/>
      </c>
      <c r="D615" s="8">
        <f>IFERROR(INDEX(спр_Работы!$B$2:$B$6000,MATCH($C615,спр_Работы!$A$2:$A$6000,0)),"")</f>
        <v/>
      </c>
      <c r="E615">
        <f>IFERROR(INDEX(спр_Работы!$C$2:$C$6000,MATCH($C615,спр_Работы!$A$2:$A$6000,0)),"")</f>
        <v/>
      </c>
      <c r="F615">
        <f>IFERROR(INDEX(спр_Работы!$G$2:$G$6000,MATCH($C615,спр_Работы!$A$2:$A$6000,0)),"")</f>
        <v/>
      </c>
      <c r="G615">
        <f>IFERROR(INDEX(спр_Работы!$K$2:$K$6000,MATCH($C615,спр_Работы!$A$2:$A$6000,0)),"")</f>
        <v/>
      </c>
      <c r="H615" s="9" t="n"/>
      <c r="I615" s="9" t="n"/>
      <c r="J615" s="8">
        <f>IFERROR(INDEX(спр_Материалы!$B$2:$B$9000,MATCH($I615,спр_Материалы!$A$2:$A$9000,0)),"")</f>
        <v/>
      </c>
      <c r="K615">
        <f>IF($I615="","",IF($F615=IFERROR(INDEX(спр_Материалы!$G$2:$G$9000,MATCH($I615,спр_Материалы!$A$2:$A$9000,0)),""),"OK","!! не та группа"))</f>
        <v/>
      </c>
      <c r="L615" s="10">
        <f>IFERROR(INDEX(спр_Работы!$H$2:$H$6000,MATCH($C615,спр_Работы!$A$2:$A$6000,0))*(1-ДисконтТендер),0)</f>
        <v/>
      </c>
      <c r="M615" s="10">
        <f>IF($I615="",0,IFERROR(INDEX(спр_Материалы!$I$2:$I$9000,MATCH($I615,спр_Материалы!$A$2:$A$9000,0))*IF(INDEX(спр_Материалы!$J$2:$J$9000,MATCH($I615,спр_Материалы!$A$2:$A$9000,0))="USD",КурсUSD,IF(INDEX(спр_Материалы!$J$2:$J$9000,MATCH($I615,спр_Материалы!$A$2:$A$9000,0))="EUR",КурсEUR,1))*INDEX(спр_Материалы!$K$2:$K$9000,MATCH($I615,спр_Материалы!$A$2:$A$9000,0))*(1+IFERROR(INDEX(спр_Работы!$I$2:$I$6000,MATCH($C615,спр_Работы!$A$2:$A$6000,0))/100,0))*(1-ДисконтТендер),0))</f>
        <v/>
      </c>
      <c r="N615" s="10">
        <f>IF(AND($R615="да",$H615&lt;&gt;""),ROUND($H615*$L615,2),0)</f>
        <v/>
      </c>
      <c r="O615" s="10">
        <f>IF(AND($R615="да",$H615&lt;&gt;""),ROUND($H615*$M615,2),0)</f>
        <v/>
      </c>
      <c r="P615" s="10">
        <f>$N615+$O615</f>
        <v/>
      </c>
      <c r="Q615">
        <f>IFERROR(INDEX(спр_Работы!$J$2:$J$6000,MATCH($C615,спр_Работы!$A$2:$A$6000,0)),"")</f>
        <v/>
      </c>
      <c r="R615" t="inlineStr">
        <is>
          <t>да</t>
        </is>
      </c>
      <c r="T615">
        <f>IF(AND($P615&gt;0,$R615="да"),MAX($T$1:$T614)+1,"")</f>
        <v/>
      </c>
    </row>
    <row r="616">
      <c r="A616">
        <f>IFERROR(INDEX(спр_Работы!$D$2:$D$6000,MATCH($C616,спр_Работы!$A$2:$A$6000,0)),"")</f>
        <v/>
      </c>
      <c r="B616">
        <f>IFERROR(INDEX(спр_Работы!$F$2:$F$6000,MATCH($C616,спр_Работы!$A$2:$A$6000,0)),"")</f>
        <v/>
      </c>
      <c r="C616">
        <f>IFERROR(INDEX(спр_Работы!$A$2:$A$6000,615),"")</f>
        <v/>
      </c>
      <c r="D616" s="8">
        <f>IFERROR(INDEX(спр_Работы!$B$2:$B$6000,MATCH($C616,спр_Работы!$A$2:$A$6000,0)),"")</f>
        <v/>
      </c>
      <c r="E616">
        <f>IFERROR(INDEX(спр_Работы!$C$2:$C$6000,MATCH($C616,спр_Работы!$A$2:$A$6000,0)),"")</f>
        <v/>
      </c>
      <c r="F616">
        <f>IFERROR(INDEX(спр_Работы!$G$2:$G$6000,MATCH($C616,спр_Работы!$A$2:$A$6000,0)),"")</f>
        <v/>
      </c>
      <c r="G616">
        <f>IFERROR(INDEX(спр_Работы!$K$2:$K$6000,MATCH($C616,спр_Работы!$A$2:$A$6000,0)),"")</f>
        <v/>
      </c>
      <c r="H616" s="9" t="n"/>
      <c r="I616" s="9" t="n"/>
      <c r="J616" s="8">
        <f>IFERROR(INDEX(спр_Материалы!$B$2:$B$9000,MATCH($I616,спр_Материалы!$A$2:$A$9000,0)),"")</f>
        <v/>
      </c>
      <c r="K616">
        <f>IF($I616="","",IF($F616=IFERROR(INDEX(спр_Материалы!$G$2:$G$9000,MATCH($I616,спр_Материалы!$A$2:$A$9000,0)),""),"OK","!! не та группа"))</f>
        <v/>
      </c>
      <c r="L616" s="10">
        <f>IFERROR(INDEX(спр_Работы!$H$2:$H$6000,MATCH($C616,спр_Работы!$A$2:$A$6000,0))*(1-ДисконтТендер),0)</f>
        <v/>
      </c>
      <c r="M616" s="10">
        <f>IF($I616="",0,IFERROR(INDEX(спр_Материалы!$I$2:$I$9000,MATCH($I616,спр_Материалы!$A$2:$A$9000,0))*IF(INDEX(спр_Материалы!$J$2:$J$9000,MATCH($I616,спр_Материалы!$A$2:$A$9000,0))="USD",КурсUSD,IF(INDEX(спр_Материалы!$J$2:$J$9000,MATCH($I616,спр_Материалы!$A$2:$A$9000,0))="EUR",КурсEUR,1))*INDEX(спр_Материалы!$K$2:$K$9000,MATCH($I616,спр_Материалы!$A$2:$A$9000,0))*(1+IFERROR(INDEX(спр_Работы!$I$2:$I$6000,MATCH($C616,спр_Работы!$A$2:$A$6000,0))/100,0))*(1-ДисконтТендер),0))</f>
        <v/>
      </c>
      <c r="N616" s="10">
        <f>IF(AND($R616="да",$H616&lt;&gt;""),ROUND($H616*$L616,2),0)</f>
        <v/>
      </c>
      <c r="O616" s="10">
        <f>IF(AND($R616="да",$H616&lt;&gt;""),ROUND($H616*$M616,2),0)</f>
        <v/>
      </c>
      <c r="P616" s="10">
        <f>$N616+$O616</f>
        <v/>
      </c>
      <c r="Q616">
        <f>IFERROR(INDEX(спр_Работы!$J$2:$J$6000,MATCH($C616,спр_Работы!$A$2:$A$6000,0)),"")</f>
        <v/>
      </c>
      <c r="R616" t="inlineStr">
        <is>
          <t>да</t>
        </is>
      </c>
      <c r="T616">
        <f>IF(AND($P616&gt;0,$R616="да"),MAX($T$1:$T615)+1,"")</f>
        <v/>
      </c>
    </row>
    <row r="617">
      <c r="A617">
        <f>IFERROR(INDEX(спр_Работы!$D$2:$D$6000,MATCH($C617,спр_Работы!$A$2:$A$6000,0)),"")</f>
        <v/>
      </c>
      <c r="B617">
        <f>IFERROR(INDEX(спр_Работы!$F$2:$F$6000,MATCH($C617,спр_Работы!$A$2:$A$6000,0)),"")</f>
        <v/>
      </c>
      <c r="C617">
        <f>IFERROR(INDEX(спр_Работы!$A$2:$A$6000,616),"")</f>
        <v/>
      </c>
      <c r="D617" s="8">
        <f>IFERROR(INDEX(спр_Работы!$B$2:$B$6000,MATCH($C617,спр_Работы!$A$2:$A$6000,0)),"")</f>
        <v/>
      </c>
      <c r="E617">
        <f>IFERROR(INDEX(спр_Работы!$C$2:$C$6000,MATCH($C617,спр_Работы!$A$2:$A$6000,0)),"")</f>
        <v/>
      </c>
      <c r="F617">
        <f>IFERROR(INDEX(спр_Работы!$G$2:$G$6000,MATCH($C617,спр_Работы!$A$2:$A$6000,0)),"")</f>
        <v/>
      </c>
      <c r="G617">
        <f>IFERROR(INDEX(спр_Работы!$K$2:$K$6000,MATCH($C617,спр_Работы!$A$2:$A$6000,0)),"")</f>
        <v/>
      </c>
      <c r="H617" s="9" t="n"/>
      <c r="I617" s="9" t="n"/>
      <c r="J617" s="8">
        <f>IFERROR(INDEX(спр_Материалы!$B$2:$B$9000,MATCH($I617,спр_Материалы!$A$2:$A$9000,0)),"")</f>
        <v/>
      </c>
      <c r="K617">
        <f>IF($I617="","",IF($F617=IFERROR(INDEX(спр_Материалы!$G$2:$G$9000,MATCH($I617,спр_Материалы!$A$2:$A$9000,0)),""),"OK","!! не та группа"))</f>
        <v/>
      </c>
      <c r="L617" s="10">
        <f>IFERROR(INDEX(спр_Работы!$H$2:$H$6000,MATCH($C617,спр_Работы!$A$2:$A$6000,0))*(1-ДисконтТендер),0)</f>
        <v/>
      </c>
      <c r="M617" s="10">
        <f>IF($I617="",0,IFERROR(INDEX(спр_Материалы!$I$2:$I$9000,MATCH($I617,спр_Материалы!$A$2:$A$9000,0))*IF(INDEX(спр_Материалы!$J$2:$J$9000,MATCH($I617,спр_Материалы!$A$2:$A$9000,0))="USD",КурсUSD,IF(INDEX(спр_Материалы!$J$2:$J$9000,MATCH($I617,спр_Материалы!$A$2:$A$9000,0))="EUR",КурсEUR,1))*INDEX(спр_Материалы!$K$2:$K$9000,MATCH($I617,спр_Материалы!$A$2:$A$9000,0))*(1+IFERROR(INDEX(спр_Работы!$I$2:$I$6000,MATCH($C617,спр_Работы!$A$2:$A$6000,0))/100,0))*(1-ДисконтТендер),0))</f>
        <v/>
      </c>
      <c r="N617" s="10">
        <f>IF(AND($R617="да",$H617&lt;&gt;""),ROUND($H617*$L617,2),0)</f>
        <v/>
      </c>
      <c r="O617" s="10">
        <f>IF(AND($R617="да",$H617&lt;&gt;""),ROUND($H617*$M617,2),0)</f>
        <v/>
      </c>
      <c r="P617" s="10">
        <f>$N617+$O617</f>
        <v/>
      </c>
      <c r="Q617">
        <f>IFERROR(INDEX(спр_Работы!$J$2:$J$6000,MATCH($C617,спр_Работы!$A$2:$A$6000,0)),"")</f>
        <v/>
      </c>
      <c r="R617" t="inlineStr">
        <is>
          <t>да</t>
        </is>
      </c>
      <c r="T617">
        <f>IF(AND($P617&gt;0,$R617="да"),MAX($T$1:$T616)+1,"")</f>
        <v/>
      </c>
    </row>
    <row r="618">
      <c r="A618">
        <f>IFERROR(INDEX(спр_Работы!$D$2:$D$6000,MATCH($C618,спр_Работы!$A$2:$A$6000,0)),"")</f>
        <v/>
      </c>
      <c r="B618">
        <f>IFERROR(INDEX(спр_Работы!$F$2:$F$6000,MATCH($C618,спр_Работы!$A$2:$A$6000,0)),"")</f>
        <v/>
      </c>
      <c r="C618">
        <f>IFERROR(INDEX(спр_Работы!$A$2:$A$6000,617),"")</f>
        <v/>
      </c>
      <c r="D618" s="8">
        <f>IFERROR(INDEX(спр_Работы!$B$2:$B$6000,MATCH($C618,спр_Работы!$A$2:$A$6000,0)),"")</f>
        <v/>
      </c>
      <c r="E618">
        <f>IFERROR(INDEX(спр_Работы!$C$2:$C$6000,MATCH($C618,спр_Работы!$A$2:$A$6000,0)),"")</f>
        <v/>
      </c>
      <c r="F618">
        <f>IFERROR(INDEX(спр_Работы!$G$2:$G$6000,MATCH($C618,спр_Работы!$A$2:$A$6000,0)),"")</f>
        <v/>
      </c>
      <c r="G618">
        <f>IFERROR(INDEX(спр_Работы!$K$2:$K$6000,MATCH($C618,спр_Работы!$A$2:$A$6000,0)),"")</f>
        <v/>
      </c>
      <c r="H618" s="9" t="n"/>
      <c r="I618" s="9" t="n"/>
      <c r="J618" s="8">
        <f>IFERROR(INDEX(спр_Материалы!$B$2:$B$9000,MATCH($I618,спр_Материалы!$A$2:$A$9000,0)),"")</f>
        <v/>
      </c>
      <c r="K618">
        <f>IF($I618="","",IF($F618=IFERROR(INDEX(спр_Материалы!$G$2:$G$9000,MATCH($I618,спр_Материалы!$A$2:$A$9000,0)),""),"OK","!! не та группа"))</f>
        <v/>
      </c>
      <c r="L618" s="10">
        <f>IFERROR(INDEX(спр_Работы!$H$2:$H$6000,MATCH($C618,спр_Работы!$A$2:$A$6000,0))*(1-ДисконтТендер),0)</f>
        <v/>
      </c>
      <c r="M618" s="10">
        <f>IF($I618="",0,IFERROR(INDEX(спр_Материалы!$I$2:$I$9000,MATCH($I618,спр_Материалы!$A$2:$A$9000,0))*IF(INDEX(спр_Материалы!$J$2:$J$9000,MATCH($I618,спр_Материалы!$A$2:$A$9000,0))="USD",КурсUSD,IF(INDEX(спр_Материалы!$J$2:$J$9000,MATCH($I618,спр_Материалы!$A$2:$A$9000,0))="EUR",КурсEUR,1))*INDEX(спр_Материалы!$K$2:$K$9000,MATCH($I618,спр_Материалы!$A$2:$A$9000,0))*(1+IFERROR(INDEX(спр_Работы!$I$2:$I$6000,MATCH($C618,спр_Работы!$A$2:$A$6000,0))/100,0))*(1-ДисконтТендер),0))</f>
        <v/>
      </c>
      <c r="N618" s="10">
        <f>IF(AND($R618="да",$H618&lt;&gt;""),ROUND($H618*$L618,2),0)</f>
        <v/>
      </c>
      <c r="O618" s="10">
        <f>IF(AND($R618="да",$H618&lt;&gt;""),ROUND($H618*$M618,2),0)</f>
        <v/>
      </c>
      <c r="P618" s="10">
        <f>$N618+$O618</f>
        <v/>
      </c>
      <c r="Q618">
        <f>IFERROR(INDEX(спр_Работы!$J$2:$J$6000,MATCH($C618,спр_Работы!$A$2:$A$6000,0)),"")</f>
        <v/>
      </c>
      <c r="R618" t="inlineStr">
        <is>
          <t>да</t>
        </is>
      </c>
      <c r="T618">
        <f>IF(AND($P618&gt;0,$R618="да"),MAX($T$1:$T617)+1,"")</f>
        <v/>
      </c>
    </row>
    <row r="619">
      <c r="A619">
        <f>IFERROR(INDEX(спр_Работы!$D$2:$D$6000,MATCH($C619,спр_Работы!$A$2:$A$6000,0)),"")</f>
        <v/>
      </c>
      <c r="B619">
        <f>IFERROR(INDEX(спр_Работы!$F$2:$F$6000,MATCH($C619,спр_Работы!$A$2:$A$6000,0)),"")</f>
        <v/>
      </c>
      <c r="C619">
        <f>IFERROR(INDEX(спр_Работы!$A$2:$A$6000,618),"")</f>
        <v/>
      </c>
      <c r="D619" s="8">
        <f>IFERROR(INDEX(спр_Работы!$B$2:$B$6000,MATCH($C619,спр_Работы!$A$2:$A$6000,0)),"")</f>
        <v/>
      </c>
      <c r="E619">
        <f>IFERROR(INDEX(спр_Работы!$C$2:$C$6000,MATCH($C619,спр_Работы!$A$2:$A$6000,0)),"")</f>
        <v/>
      </c>
      <c r="F619">
        <f>IFERROR(INDEX(спр_Работы!$G$2:$G$6000,MATCH($C619,спр_Работы!$A$2:$A$6000,0)),"")</f>
        <v/>
      </c>
      <c r="G619">
        <f>IFERROR(INDEX(спр_Работы!$K$2:$K$6000,MATCH($C619,спр_Работы!$A$2:$A$6000,0)),"")</f>
        <v/>
      </c>
      <c r="H619" s="9" t="n"/>
      <c r="I619" s="9" t="n"/>
      <c r="J619" s="8">
        <f>IFERROR(INDEX(спр_Материалы!$B$2:$B$9000,MATCH($I619,спр_Материалы!$A$2:$A$9000,0)),"")</f>
        <v/>
      </c>
      <c r="K619">
        <f>IF($I619="","",IF($F619=IFERROR(INDEX(спр_Материалы!$G$2:$G$9000,MATCH($I619,спр_Материалы!$A$2:$A$9000,0)),""),"OK","!! не та группа"))</f>
        <v/>
      </c>
      <c r="L619" s="10">
        <f>IFERROR(INDEX(спр_Работы!$H$2:$H$6000,MATCH($C619,спр_Работы!$A$2:$A$6000,0))*(1-ДисконтТендер),0)</f>
        <v/>
      </c>
      <c r="M619" s="10">
        <f>IF($I619="",0,IFERROR(INDEX(спр_Материалы!$I$2:$I$9000,MATCH($I619,спр_Материалы!$A$2:$A$9000,0))*IF(INDEX(спр_Материалы!$J$2:$J$9000,MATCH($I619,спр_Материалы!$A$2:$A$9000,0))="USD",КурсUSD,IF(INDEX(спр_Материалы!$J$2:$J$9000,MATCH($I619,спр_Материалы!$A$2:$A$9000,0))="EUR",КурсEUR,1))*INDEX(спр_Материалы!$K$2:$K$9000,MATCH($I619,спр_Материалы!$A$2:$A$9000,0))*(1+IFERROR(INDEX(спр_Работы!$I$2:$I$6000,MATCH($C619,спр_Работы!$A$2:$A$6000,0))/100,0))*(1-ДисконтТендер),0))</f>
        <v/>
      </c>
      <c r="N619" s="10">
        <f>IF(AND($R619="да",$H619&lt;&gt;""),ROUND($H619*$L619,2),0)</f>
        <v/>
      </c>
      <c r="O619" s="10">
        <f>IF(AND($R619="да",$H619&lt;&gt;""),ROUND($H619*$M619,2),0)</f>
        <v/>
      </c>
      <c r="P619" s="10">
        <f>$N619+$O619</f>
        <v/>
      </c>
      <c r="Q619">
        <f>IFERROR(INDEX(спр_Работы!$J$2:$J$6000,MATCH($C619,спр_Работы!$A$2:$A$6000,0)),"")</f>
        <v/>
      </c>
      <c r="R619" t="inlineStr">
        <is>
          <t>да</t>
        </is>
      </c>
      <c r="T619">
        <f>IF(AND($P619&gt;0,$R619="да"),MAX($T$1:$T618)+1,"")</f>
        <v/>
      </c>
    </row>
    <row r="620">
      <c r="A620">
        <f>IFERROR(INDEX(спр_Работы!$D$2:$D$6000,MATCH($C620,спр_Работы!$A$2:$A$6000,0)),"")</f>
        <v/>
      </c>
      <c r="B620">
        <f>IFERROR(INDEX(спр_Работы!$F$2:$F$6000,MATCH($C620,спр_Работы!$A$2:$A$6000,0)),"")</f>
        <v/>
      </c>
      <c r="C620">
        <f>IFERROR(INDEX(спр_Работы!$A$2:$A$6000,619),"")</f>
        <v/>
      </c>
      <c r="D620" s="8">
        <f>IFERROR(INDEX(спр_Работы!$B$2:$B$6000,MATCH($C620,спр_Работы!$A$2:$A$6000,0)),"")</f>
        <v/>
      </c>
      <c r="E620">
        <f>IFERROR(INDEX(спр_Работы!$C$2:$C$6000,MATCH($C620,спр_Работы!$A$2:$A$6000,0)),"")</f>
        <v/>
      </c>
      <c r="F620">
        <f>IFERROR(INDEX(спр_Работы!$G$2:$G$6000,MATCH($C620,спр_Работы!$A$2:$A$6000,0)),"")</f>
        <v/>
      </c>
      <c r="G620">
        <f>IFERROR(INDEX(спр_Работы!$K$2:$K$6000,MATCH($C620,спр_Работы!$A$2:$A$6000,0)),"")</f>
        <v/>
      </c>
      <c r="H620" s="9" t="n"/>
      <c r="I620" s="9" t="n"/>
      <c r="J620" s="8">
        <f>IFERROR(INDEX(спр_Материалы!$B$2:$B$9000,MATCH($I620,спр_Материалы!$A$2:$A$9000,0)),"")</f>
        <v/>
      </c>
      <c r="K620">
        <f>IF($I620="","",IF($F620=IFERROR(INDEX(спр_Материалы!$G$2:$G$9000,MATCH($I620,спр_Материалы!$A$2:$A$9000,0)),""),"OK","!! не та группа"))</f>
        <v/>
      </c>
      <c r="L620" s="10">
        <f>IFERROR(INDEX(спр_Работы!$H$2:$H$6000,MATCH($C620,спр_Работы!$A$2:$A$6000,0))*(1-ДисконтТендер),0)</f>
        <v/>
      </c>
      <c r="M620" s="10">
        <f>IF($I620="",0,IFERROR(INDEX(спр_Материалы!$I$2:$I$9000,MATCH($I620,спр_Материалы!$A$2:$A$9000,0))*IF(INDEX(спр_Материалы!$J$2:$J$9000,MATCH($I620,спр_Материалы!$A$2:$A$9000,0))="USD",КурсUSD,IF(INDEX(спр_Материалы!$J$2:$J$9000,MATCH($I620,спр_Материалы!$A$2:$A$9000,0))="EUR",КурсEUR,1))*INDEX(спр_Материалы!$K$2:$K$9000,MATCH($I620,спр_Материалы!$A$2:$A$9000,0))*(1+IFERROR(INDEX(спр_Работы!$I$2:$I$6000,MATCH($C620,спр_Работы!$A$2:$A$6000,0))/100,0))*(1-ДисконтТендер),0))</f>
        <v/>
      </c>
      <c r="N620" s="10">
        <f>IF(AND($R620="да",$H620&lt;&gt;""),ROUND($H620*$L620,2),0)</f>
        <v/>
      </c>
      <c r="O620" s="10">
        <f>IF(AND($R620="да",$H620&lt;&gt;""),ROUND($H620*$M620,2),0)</f>
        <v/>
      </c>
      <c r="P620" s="10">
        <f>$N620+$O620</f>
        <v/>
      </c>
      <c r="Q620">
        <f>IFERROR(INDEX(спр_Работы!$J$2:$J$6000,MATCH($C620,спр_Работы!$A$2:$A$6000,0)),"")</f>
        <v/>
      </c>
      <c r="R620" t="inlineStr">
        <is>
          <t>да</t>
        </is>
      </c>
      <c r="T620">
        <f>IF(AND($P620&gt;0,$R620="да"),MAX($T$1:$T619)+1,"")</f>
        <v/>
      </c>
    </row>
    <row r="621">
      <c r="A621">
        <f>IFERROR(INDEX(спр_Работы!$D$2:$D$6000,MATCH($C621,спр_Работы!$A$2:$A$6000,0)),"")</f>
        <v/>
      </c>
      <c r="B621">
        <f>IFERROR(INDEX(спр_Работы!$F$2:$F$6000,MATCH($C621,спр_Работы!$A$2:$A$6000,0)),"")</f>
        <v/>
      </c>
      <c r="C621">
        <f>IFERROR(INDEX(спр_Работы!$A$2:$A$6000,620),"")</f>
        <v/>
      </c>
      <c r="D621" s="8">
        <f>IFERROR(INDEX(спр_Работы!$B$2:$B$6000,MATCH($C621,спр_Работы!$A$2:$A$6000,0)),"")</f>
        <v/>
      </c>
      <c r="E621">
        <f>IFERROR(INDEX(спр_Работы!$C$2:$C$6000,MATCH($C621,спр_Работы!$A$2:$A$6000,0)),"")</f>
        <v/>
      </c>
      <c r="F621">
        <f>IFERROR(INDEX(спр_Работы!$G$2:$G$6000,MATCH($C621,спр_Работы!$A$2:$A$6000,0)),"")</f>
        <v/>
      </c>
      <c r="G621">
        <f>IFERROR(INDEX(спр_Работы!$K$2:$K$6000,MATCH($C621,спр_Работы!$A$2:$A$6000,0)),"")</f>
        <v/>
      </c>
      <c r="H621" s="9" t="n"/>
      <c r="I621" s="9" t="n"/>
      <c r="J621" s="8">
        <f>IFERROR(INDEX(спр_Материалы!$B$2:$B$9000,MATCH($I621,спр_Материалы!$A$2:$A$9000,0)),"")</f>
        <v/>
      </c>
      <c r="K621">
        <f>IF($I621="","",IF($F621=IFERROR(INDEX(спр_Материалы!$G$2:$G$9000,MATCH($I621,спр_Материалы!$A$2:$A$9000,0)),""),"OK","!! не та группа"))</f>
        <v/>
      </c>
      <c r="L621" s="10">
        <f>IFERROR(INDEX(спр_Работы!$H$2:$H$6000,MATCH($C621,спр_Работы!$A$2:$A$6000,0))*(1-ДисконтТендер),0)</f>
        <v/>
      </c>
      <c r="M621" s="10">
        <f>IF($I621="",0,IFERROR(INDEX(спр_Материалы!$I$2:$I$9000,MATCH($I621,спр_Материалы!$A$2:$A$9000,0))*IF(INDEX(спр_Материалы!$J$2:$J$9000,MATCH($I621,спр_Материалы!$A$2:$A$9000,0))="USD",КурсUSD,IF(INDEX(спр_Материалы!$J$2:$J$9000,MATCH($I621,спр_Материалы!$A$2:$A$9000,0))="EUR",КурсEUR,1))*INDEX(спр_Материалы!$K$2:$K$9000,MATCH($I621,спр_Материалы!$A$2:$A$9000,0))*(1+IFERROR(INDEX(спр_Работы!$I$2:$I$6000,MATCH($C621,спр_Работы!$A$2:$A$6000,0))/100,0))*(1-ДисконтТендер),0))</f>
        <v/>
      </c>
      <c r="N621" s="10">
        <f>IF(AND($R621="да",$H621&lt;&gt;""),ROUND($H621*$L621,2),0)</f>
        <v/>
      </c>
      <c r="O621" s="10">
        <f>IF(AND($R621="да",$H621&lt;&gt;""),ROUND($H621*$M621,2),0)</f>
        <v/>
      </c>
      <c r="P621" s="10">
        <f>$N621+$O621</f>
        <v/>
      </c>
      <c r="Q621">
        <f>IFERROR(INDEX(спр_Работы!$J$2:$J$6000,MATCH($C621,спр_Работы!$A$2:$A$6000,0)),"")</f>
        <v/>
      </c>
      <c r="R621" t="inlineStr">
        <is>
          <t>да</t>
        </is>
      </c>
      <c r="T621">
        <f>IF(AND($P621&gt;0,$R621="да"),MAX($T$1:$T620)+1,"")</f>
        <v/>
      </c>
    </row>
    <row r="622">
      <c r="A622">
        <f>IFERROR(INDEX(спр_Работы!$D$2:$D$6000,MATCH($C622,спр_Работы!$A$2:$A$6000,0)),"")</f>
        <v/>
      </c>
      <c r="B622">
        <f>IFERROR(INDEX(спр_Работы!$F$2:$F$6000,MATCH($C622,спр_Работы!$A$2:$A$6000,0)),"")</f>
        <v/>
      </c>
      <c r="C622">
        <f>IFERROR(INDEX(спр_Работы!$A$2:$A$6000,621),"")</f>
        <v/>
      </c>
      <c r="D622" s="8">
        <f>IFERROR(INDEX(спр_Работы!$B$2:$B$6000,MATCH($C622,спр_Работы!$A$2:$A$6000,0)),"")</f>
        <v/>
      </c>
      <c r="E622">
        <f>IFERROR(INDEX(спр_Работы!$C$2:$C$6000,MATCH($C622,спр_Работы!$A$2:$A$6000,0)),"")</f>
        <v/>
      </c>
      <c r="F622">
        <f>IFERROR(INDEX(спр_Работы!$G$2:$G$6000,MATCH($C622,спр_Работы!$A$2:$A$6000,0)),"")</f>
        <v/>
      </c>
      <c r="G622">
        <f>IFERROR(INDEX(спр_Работы!$K$2:$K$6000,MATCH($C622,спр_Работы!$A$2:$A$6000,0)),"")</f>
        <v/>
      </c>
      <c r="H622" s="9" t="n"/>
      <c r="I622" s="9" t="n"/>
      <c r="J622" s="8">
        <f>IFERROR(INDEX(спр_Материалы!$B$2:$B$9000,MATCH($I622,спр_Материалы!$A$2:$A$9000,0)),"")</f>
        <v/>
      </c>
      <c r="K622">
        <f>IF($I622="","",IF($F622=IFERROR(INDEX(спр_Материалы!$G$2:$G$9000,MATCH($I622,спр_Материалы!$A$2:$A$9000,0)),""),"OK","!! не та группа"))</f>
        <v/>
      </c>
      <c r="L622" s="10">
        <f>IFERROR(INDEX(спр_Работы!$H$2:$H$6000,MATCH($C622,спр_Работы!$A$2:$A$6000,0))*(1-ДисконтТендер),0)</f>
        <v/>
      </c>
      <c r="M622" s="10">
        <f>IF($I622="",0,IFERROR(INDEX(спр_Материалы!$I$2:$I$9000,MATCH($I622,спр_Материалы!$A$2:$A$9000,0))*IF(INDEX(спр_Материалы!$J$2:$J$9000,MATCH($I622,спр_Материалы!$A$2:$A$9000,0))="USD",КурсUSD,IF(INDEX(спр_Материалы!$J$2:$J$9000,MATCH($I622,спр_Материалы!$A$2:$A$9000,0))="EUR",КурсEUR,1))*INDEX(спр_Материалы!$K$2:$K$9000,MATCH($I622,спр_Материалы!$A$2:$A$9000,0))*(1+IFERROR(INDEX(спр_Работы!$I$2:$I$6000,MATCH($C622,спр_Работы!$A$2:$A$6000,0))/100,0))*(1-ДисконтТендер),0))</f>
        <v/>
      </c>
      <c r="N622" s="10">
        <f>IF(AND($R622="да",$H622&lt;&gt;""),ROUND($H622*$L622,2),0)</f>
        <v/>
      </c>
      <c r="O622" s="10">
        <f>IF(AND($R622="да",$H622&lt;&gt;""),ROUND($H622*$M622,2),0)</f>
        <v/>
      </c>
      <c r="P622" s="10">
        <f>$N622+$O622</f>
        <v/>
      </c>
      <c r="Q622">
        <f>IFERROR(INDEX(спр_Работы!$J$2:$J$6000,MATCH($C622,спр_Работы!$A$2:$A$6000,0)),"")</f>
        <v/>
      </c>
      <c r="R622" t="inlineStr">
        <is>
          <t>да</t>
        </is>
      </c>
      <c r="T622">
        <f>IF(AND($P622&gt;0,$R622="да"),MAX($T$1:$T621)+1,"")</f>
        <v/>
      </c>
    </row>
    <row r="623">
      <c r="A623">
        <f>IFERROR(INDEX(спр_Работы!$D$2:$D$6000,MATCH($C623,спр_Работы!$A$2:$A$6000,0)),"")</f>
        <v/>
      </c>
      <c r="B623">
        <f>IFERROR(INDEX(спр_Работы!$F$2:$F$6000,MATCH($C623,спр_Работы!$A$2:$A$6000,0)),"")</f>
        <v/>
      </c>
      <c r="C623">
        <f>IFERROR(INDEX(спр_Работы!$A$2:$A$6000,622),"")</f>
        <v/>
      </c>
      <c r="D623" s="8">
        <f>IFERROR(INDEX(спр_Работы!$B$2:$B$6000,MATCH($C623,спр_Работы!$A$2:$A$6000,0)),"")</f>
        <v/>
      </c>
      <c r="E623">
        <f>IFERROR(INDEX(спр_Работы!$C$2:$C$6000,MATCH($C623,спр_Работы!$A$2:$A$6000,0)),"")</f>
        <v/>
      </c>
      <c r="F623">
        <f>IFERROR(INDEX(спр_Работы!$G$2:$G$6000,MATCH($C623,спр_Работы!$A$2:$A$6000,0)),"")</f>
        <v/>
      </c>
      <c r="G623">
        <f>IFERROR(INDEX(спр_Работы!$K$2:$K$6000,MATCH($C623,спр_Работы!$A$2:$A$6000,0)),"")</f>
        <v/>
      </c>
      <c r="H623" s="9" t="n"/>
      <c r="I623" s="9" t="n"/>
      <c r="J623" s="8">
        <f>IFERROR(INDEX(спр_Материалы!$B$2:$B$9000,MATCH($I623,спр_Материалы!$A$2:$A$9000,0)),"")</f>
        <v/>
      </c>
      <c r="K623">
        <f>IF($I623="","",IF($F623=IFERROR(INDEX(спр_Материалы!$G$2:$G$9000,MATCH($I623,спр_Материалы!$A$2:$A$9000,0)),""),"OK","!! не та группа"))</f>
        <v/>
      </c>
      <c r="L623" s="10">
        <f>IFERROR(INDEX(спр_Работы!$H$2:$H$6000,MATCH($C623,спр_Работы!$A$2:$A$6000,0))*(1-ДисконтТендер),0)</f>
        <v/>
      </c>
      <c r="M623" s="10">
        <f>IF($I623="",0,IFERROR(INDEX(спр_Материалы!$I$2:$I$9000,MATCH($I623,спр_Материалы!$A$2:$A$9000,0))*IF(INDEX(спр_Материалы!$J$2:$J$9000,MATCH($I623,спр_Материалы!$A$2:$A$9000,0))="USD",КурсUSD,IF(INDEX(спр_Материалы!$J$2:$J$9000,MATCH($I623,спр_Материалы!$A$2:$A$9000,0))="EUR",КурсEUR,1))*INDEX(спр_Материалы!$K$2:$K$9000,MATCH($I623,спр_Материалы!$A$2:$A$9000,0))*(1+IFERROR(INDEX(спр_Работы!$I$2:$I$6000,MATCH($C623,спр_Работы!$A$2:$A$6000,0))/100,0))*(1-ДисконтТендер),0))</f>
        <v/>
      </c>
      <c r="N623" s="10">
        <f>IF(AND($R623="да",$H623&lt;&gt;""),ROUND($H623*$L623,2),0)</f>
        <v/>
      </c>
      <c r="O623" s="10">
        <f>IF(AND($R623="да",$H623&lt;&gt;""),ROUND($H623*$M623,2),0)</f>
        <v/>
      </c>
      <c r="P623" s="10">
        <f>$N623+$O623</f>
        <v/>
      </c>
      <c r="Q623">
        <f>IFERROR(INDEX(спр_Работы!$J$2:$J$6000,MATCH($C623,спр_Работы!$A$2:$A$6000,0)),"")</f>
        <v/>
      </c>
      <c r="R623" t="inlineStr">
        <is>
          <t>да</t>
        </is>
      </c>
      <c r="T623">
        <f>IF(AND($P623&gt;0,$R623="да"),MAX($T$1:$T622)+1,"")</f>
        <v/>
      </c>
    </row>
    <row r="624">
      <c r="A624">
        <f>IFERROR(INDEX(спр_Работы!$D$2:$D$6000,MATCH($C624,спр_Работы!$A$2:$A$6000,0)),"")</f>
        <v/>
      </c>
      <c r="B624">
        <f>IFERROR(INDEX(спр_Работы!$F$2:$F$6000,MATCH($C624,спр_Работы!$A$2:$A$6000,0)),"")</f>
        <v/>
      </c>
      <c r="C624">
        <f>IFERROR(INDEX(спр_Работы!$A$2:$A$6000,623),"")</f>
        <v/>
      </c>
      <c r="D624" s="8">
        <f>IFERROR(INDEX(спр_Работы!$B$2:$B$6000,MATCH($C624,спр_Работы!$A$2:$A$6000,0)),"")</f>
        <v/>
      </c>
      <c r="E624">
        <f>IFERROR(INDEX(спр_Работы!$C$2:$C$6000,MATCH($C624,спр_Работы!$A$2:$A$6000,0)),"")</f>
        <v/>
      </c>
      <c r="F624">
        <f>IFERROR(INDEX(спр_Работы!$G$2:$G$6000,MATCH($C624,спр_Работы!$A$2:$A$6000,0)),"")</f>
        <v/>
      </c>
      <c r="G624">
        <f>IFERROR(INDEX(спр_Работы!$K$2:$K$6000,MATCH($C624,спр_Работы!$A$2:$A$6000,0)),"")</f>
        <v/>
      </c>
      <c r="H624" s="9" t="n"/>
      <c r="I624" s="9" t="n"/>
      <c r="J624" s="8">
        <f>IFERROR(INDEX(спр_Материалы!$B$2:$B$9000,MATCH($I624,спр_Материалы!$A$2:$A$9000,0)),"")</f>
        <v/>
      </c>
      <c r="K624">
        <f>IF($I624="","",IF($F624=IFERROR(INDEX(спр_Материалы!$G$2:$G$9000,MATCH($I624,спр_Материалы!$A$2:$A$9000,0)),""),"OK","!! не та группа"))</f>
        <v/>
      </c>
      <c r="L624" s="10">
        <f>IFERROR(INDEX(спр_Работы!$H$2:$H$6000,MATCH($C624,спр_Работы!$A$2:$A$6000,0))*(1-ДисконтТендер),0)</f>
        <v/>
      </c>
      <c r="M624" s="10">
        <f>IF($I624="",0,IFERROR(INDEX(спр_Материалы!$I$2:$I$9000,MATCH($I624,спр_Материалы!$A$2:$A$9000,0))*IF(INDEX(спр_Материалы!$J$2:$J$9000,MATCH($I624,спр_Материалы!$A$2:$A$9000,0))="USD",КурсUSD,IF(INDEX(спр_Материалы!$J$2:$J$9000,MATCH($I624,спр_Материалы!$A$2:$A$9000,0))="EUR",КурсEUR,1))*INDEX(спр_Материалы!$K$2:$K$9000,MATCH($I624,спр_Материалы!$A$2:$A$9000,0))*(1+IFERROR(INDEX(спр_Работы!$I$2:$I$6000,MATCH($C624,спр_Работы!$A$2:$A$6000,0))/100,0))*(1-ДисконтТендер),0))</f>
        <v/>
      </c>
      <c r="N624" s="10">
        <f>IF(AND($R624="да",$H624&lt;&gt;""),ROUND($H624*$L624,2),0)</f>
        <v/>
      </c>
      <c r="O624" s="10">
        <f>IF(AND($R624="да",$H624&lt;&gt;""),ROUND($H624*$M624,2),0)</f>
        <v/>
      </c>
      <c r="P624" s="10">
        <f>$N624+$O624</f>
        <v/>
      </c>
      <c r="Q624">
        <f>IFERROR(INDEX(спр_Работы!$J$2:$J$6000,MATCH($C624,спр_Работы!$A$2:$A$6000,0)),"")</f>
        <v/>
      </c>
      <c r="R624" t="inlineStr">
        <is>
          <t>да</t>
        </is>
      </c>
      <c r="T624">
        <f>IF(AND($P624&gt;0,$R624="да"),MAX($T$1:$T623)+1,"")</f>
        <v/>
      </c>
    </row>
    <row r="625">
      <c r="A625">
        <f>IFERROR(INDEX(спр_Работы!$D$2:$D$6000,MATCH($C625,спр_Работы!$A$2:$A$6000,0)),"")</f>
        <v/>
      </c>
      <c r="B625">
        <f>IFERROR(INDEX(спр_Работы!$F$2:$F$6000,MATCH($C625,спр_Работы!$A$2:$A$6000,0)),"")</f>
        <v/>
      </c>
      <c r="C625">
        <f>IFERROR(INDEX(спр_Работы!$A$2:$A$6000,624),"")</f>
        <v/>
      </c>
      <c r="D625" s="8">
        <f>IFERROR(INDEX(спр_Работы!$B$2:$B$6000,MATCH($C625,спр_Работы!$A$2:$A$6000,0)),"")</f>
        <v/>
      </c>
      <c r="E625">
        <f>IFERROR(INDEX(спр_Работы!$C$2:$C$6000,MATCH($C625,спр_Работы!$A$2:$A$6000,0)),"")</f>
        <v/>
      </c>
      <c r="F625">
        <f>IFERROR(INDEX(спр_Работы!$G$2:$G$6000,MATCH($C625,спр_Работы!$A$2:$A$6000,0)),"")</f>
        <v/>
      </c>
      <c r="G625">
        <f>IFERROR(INDEX(спр_Работы!$K$2:$K$6000,MATCH($C625,спр_Работы!$A$2:$A$6000,0)),"")</f>
        <v/>
      </c>
      <c r="H625" s="9" t="n"/>
      <c r="I625" s="9" t="n"/>
      <c r="J625" s="8">
        <f>IFERROR(INDEX(спр_Материалы!$B$2:$B$9000,MATCH($I625,спр_Материалы!$A$2:$A$9000,0)),"")</f>
        <v/>
      </c>
      <c r="K625">
        <f>IF($I625="","",IF($F625=IFERROR(INDEX(спр_Материалы!$G$2:$G$9000,MATCH($I625,спр_Материалы!$A$2:$A$9000,0)),""),"OK","!! не та группа"))</f>
        <v/>
      </c>
      <c r="L625" s="10">
        <f>IFERROR(INDEX(спр_Работы!$H$2:$H$6000,MATCH($C625,спр_Работы!$A$2:$A$6000,0))*(1-ДисконтТендер),0)</f>
        <v/>
      </c>
      <c r="M625" s="10">
        <f>IF($I625="",0,IFERROR(INDEX(спр_Материалы!$I$2:$I$9000,MATCH($I625,спр_Материалы!$A$2:$A$9000,0))*IF(INDEX(спр_Материалы!$J$2:$J$9000,MATCH($I625,спр_Материалы!$A$2:$A$9000,0))="USD",КурсUSD,IF(INDEX(спр_Материалы!$J$2:$J$9000,MATCH($I625,спр_Материалы!$A$2:$A$9000,0))="EUR",КурсEUR,1))*INDEX(спр_Материалы!$K$2:$K$9000,MATCH($I625,спр_Материалы!$A$2:$A$9000,0))*(1+IFERROR(INDEX(спр_Работы!$I$2:$I$6000,MATCH($C625,спр_Работы!$A$2:$A$6000,0))/100,0))*(1-ДисконтТендер),0))</f>
        <v/>
      </c>
      <c r="N625" s="10">
        <f>IF(AND($R625="да",$H625&lt;&gt;""),ROUND($H625*$L625,2),0)</f>
        <v/>
      </c>
      <c r="O625" s="10">
        <f>IF(AND($R625="да",$H625&lt;&gt;""),ROUND($H625*$M625,2),0)</f>
        <v/>
      </c>
      <c r="P625" s="10">
        <f>$N625+$O625</f>
        <v/>
      </c>
      <c r="Q625">
        <f>IFERROR(INDEX(спр_Работы!$J$2:$J$6000,MATCH($C625,спр_Работы!$A$2:$A$6000,0)),"")</f>
        <v/>
      </c>
      <c r="R625" t="inlineStr">
        <is>
          <t>да</t>
        </is>
      </c>
      <c r="T625">
        <f>IF(AND($P625&gt;0,$R625="да"),MAX($T$1:$T624)+1,"")</f>
        <v/>
      </c>
    </row>
    <row r="626">
      <c r="A626">
        <f>IFERROR(INDEX(спр_Работы!$D$2:$D$6000,MATCH($C626,спр_Работы!$A$2:$A$6000,0)),"")</f>
        <v/>
      </c>
      <c r="B626">
        <f>IFERROR(INDEX(спр_Работы!$F$2:$F$6000,MATCH($C626,спр_Работы!$A$2:$A$6000,0)),"")</f>
        <v/>
      </c>
      <c r="C626">
        <f>IFERROR(INDEX(спр_Работы!$A$2:$A$6000,625),"")</f>
        <v/>
      </c>
      <c r="D626" s="8">
        <f>IFERROR(INDEX(спр_Работы!$B$2:$B$6000,MATCH($C626,спр_Работы!$A$2:$A$6000,0)),"")</f>
        <v/>
      </c>
      <c r="E626">
        <f>IFERROR(INDEX(спр_Работы!$C$2:$C$6000,MATCH($C626,спр_Работы!$A$2:$A$6000,0)),"")</f>
        <v/>
      </c>
      <c r="F626">
        <f>IFERROR(INDEX(спр_Работы!$G$2:$G$6000,MATCH($C626,спр_Работы!$A$2:$A$6000,0)),"")</f>
        <v/>
      </c>
      <c r="G626">
        <f>IFERROR(INDEX(спр_Работы!$K$2:$K$6000,MATCH($C626,спр_Работы!$A$2:$A$6000,0)),"")</f>
        <v/>
      </c>
      <c r="H626" s="9" t="n"/>
      <c r="I626" s="9" t="n"/>
      <c r="J626" s="8">
        <f>IFERROR(INDEX(спр_Материалы!$B$2:$B$9000,MATCH($I626,спр_Материалы!$A$2:$A$9000,0)),"")</f>
        <v/>
      </c>
      <c r="K626">
        <f>IF($I626="","",IF($F626=IFERROR(INDEX(спр_Материалы!$G$2:$G$9000,MATCH($I626,спр_Материалы!$A$2:$A$9000,0)),""),"OK","!! не та группа"))</f>
        <v/>
      </c>
      <c r="L626" s="10">
        <f>IFERROR(INDEX(спр_Работы!$H$2:$H$6000,MATCH($C626,спр_Работы!$A$2:$A$6000,0))*(1-ДисконтТендер),0)</f>
        <v/>
      </c>
      <c r="M626" s="10">
        <f>IF($I626="",0,IFERROR(INDEX(спр_Материалы!$I$2:$I$9000,MATCH($I626,спр_Материалы!$A$2:$A$9000,0))*IF(INDEX(спр_Материалы!$J$2:$J$9000,MATCH($I626,спр_Материалы!$A$2:$A$9000,0))="USD",КурсUSD,IF(INDEX(спр_Материалы!$J$2:$J$9000,MATCH($I626,спр_Материалы!$A$2:$A$9000,0))="EUR",КурсEUR,1))*INDEX(спр_Материалы!$K$2:$K$9000,MATCH($I626,спр_Материалы!$A$2:$A$9000,0))*(1+IFERROR(INDEX(спр_Работы!$I$2:$I$6000,MATCH($C626,спр_Работы!$A$2:$A$6000,0))/100,0))*(1-ДисконтТендер),0))</f>
        <v/>
      </c>
      <c r="N626" s="10">
        <f>IF(AND($R626="да",$H626&lt;&gt;""),ROUND($H626*$L626,2),0)</f>
        <v/>
      </c>
      <c r="O626" s="10">
        <f>IF(AND($R626="да",$H626&lt;&gt;""),ROUND($H626*$M626,2),0)</f>
        <v/>
      </c>
      <c r="P626" s="10">
        <f>$N626+$O626</f>
        <v/>
      </c>
      <c r="Q626">
        <f>IFERROR(INDEX(спр_Работы!$J$2:$J$6000,MATCH($C626,спр_Работы!$A$2:$A$6000,0)),"")</f>
        <v/>
      </c>
      <c r="R626" t="inlineStr">
        <is>
          <t>да</t>
        </is>
      </c>
      <c r="T626">
        <f>IF(AND($P626&gt;0,$R626="да"),MAX($T$1:$T625)+1,"")</f>
        <v/>
      </c>
    </row>
    <row r="627">
      <c r="A627">
        <f>IFERROR(INDEX(спр_Работы!$D$2:$D$6000,MATCH($C627,спр_Работы!$A$2:$A$6000,0)),"")</f>
        <v/>
      </c>
      <c r="B627">
        <f>IFERROR(INDEX(спр_Работы!$F$2:$F$6000,MATCH($C627,спр_Работы!$A$2:$A$6000,0)),"")</f>
        <v/>
      </c>
      <c r="C627">
        <f>IFERROR(INDEX(спр_Работы!$A$2:$A$6000,626),"")</f>
        <v/>
      </c>
      <c r="D627" s="8">
        <f>IFERROR(INDEX(спр_Работы!$B$2:$B$6000,MATCH($C627,спр_Работы!$A$2:$A$6000,0)),"")</f>
        <v/>
      </c>
      <c r="E627">
        <f>IFERROR(INDEX(спр_Работы!$C$2:$C$6000,MATCH($C627,спр_Работы!$A$2:$A$6000,0)),"")</f>
        <v/>
      </c>
      <c r="F627">
        <f>IFERROR(INDEX(спр_Работы!$G$2:$G$6000,MATCH($C627,спр_Работы!$A$2:$A$6000,0)),"")</f>
        <v/>
      </c>
      <c r="G627">
        <f>IFERROR(INDEX(спр_Работы!$K$2:$K$6000,MATCH($C627,спр_Работы!$A$2:$A$6000,0)),"")</f>
        <v/>
      </c>
      <c r="H627" s="9" t="n"/>
      <c r="I627" s="9" t="n"/>
      <c r="J627" s="8">
        <f>IFERROR(INDEX(спр_Материалы!$B$2:$B$9000,MATCH($I627,спр_Материалы!$A$2:$A$9000,0)),"")</f>
        <v/>
      </c>
      <c r="K627">
        <f>IF($I627="","",IF($F627=IFERROR(INDEX(спр_Материалы!$G$2:$G$9000,MATCH($I627,спр_Материалы!$A$2:$A$9000,0)),""),"OK","!! не та группа"))</f>
        <v/>
      </c>
      <c r="L627" s="10">
        <f>IFERROR(INDEX(спр_Работы!$H$2:$H$6000,MATCH($C627,спр_Работы!$A$2:$A$6000,0))*(1-ДисконтТендер),0)</f>
        <v/>
      </c>
      <c r="M627" s="10">
        <f>IF($I627="",0,IFERROR(INDEX(спр_Материалы!$I$2:$I$9000,MATCH($I627,спр_Материалы!$A$2:$A$9000,0))*IF(INDEX(спр_Материалы!$J$2:$J$9000,MATCH($I627,спр_Материалы!$A$2:$A$9000,0))="USD",КурсUSD,IF(INDEX(спр_Материалы!$J$2:$J$9000,MATCH($I627,спр_Материалы!$A$2:$A$9000,0))="EUR",КурсEUR,1))*INDEX(спр_Материалы!$K$2:$K$9000,MATCH($I627,спр_Материалы!$A$2:$A$9000,0))*(1+IFERROR(INDEX(спр_Работы!$I$2:$I$6000,MATCH($C627,спр_Работы!$A$2:$A$6000,0))/100,0))*(1-ДисконтТендер),0))</f>
        <v/>
      </c>
      <c r="N627" s="10">
        <f>IF(AND($R627="да",$H627&lt;&gt;""),ROUND($H627*$L627,2),0)</f>
        <v/>
      </c>
      <c r="O627" s="10">
        <f>IF(AND($R627="да",$H627&lt;&gt;""),ROUND($H627*$M627,2),0)</f>
        <v/>
      </c>
      <c r="P627" s="10">
        <f>$N627+$O627</f>
        <v/>
      </c>
      <c r="Q627">
        <f>IFERROR(INDEX(спр_Работы!$J$2:$J$6000,MATCH($C627,спр_Работы!$A$2:$A$6000,0)),"")</f>
        <v/>
      </c>
      <c r="R627" t="inlineStr">
        <is>
          <t>да</t>
        </is>
      </c>
      <c r="T627">
        <f>IF(AND($P627&gt;0,$R627="да"),MAX($T$1:$T626)+1,"")</f>
        <v/>
      </c>
    </row>
    <row r="628">
      <c r="A628">
        <f>IFERROR(INDEX(спр_Работы!$D$2:$D$6000,MATCH($C628,спр_Работы!$A$2:$A$6000,0)),"")</f>
        <v/>
      </c>
      <c r="B628">
        <f>IFERROR(INDEX(спр_Работы!$F$2:$F$6000,MATCH($C628,спр_Работы!$A$2:$A$6000,0)),"")</f>
        <v/>
      </c>
      <c r="C628">
        <f>IFERROR(INDEX(спр_Работы!$A$2:$A$6000,627),"")</f>
        <v/>
      </c>
      <c r="D628" s="8">
        <f>IFERROR(INDEX(спр_Работы!$B$2:$B$6000,MATCH($C628,спр_Работы!$A$2:$A$6000,0)),"")</f>
        <v/>
      </c>
      <c r="E628">
        <f>IFERROR(INDEX(спр_Работы!$C$2:$C$6000,MATCH($C628,спр_Работы!$A$2:$A$6000,0)),"")</f>
        <v/>
      </c>
      <c r="F628">
        <f>IFERROR(INDEX(спр_Работы!$G$2:$G$6000,MATCH($C628,спр_Работы!$A$2:$A$6000,0)),"")</f>
        <v/>
      </c>
      <c r="G628">
        <f>IFERROR(INDEX(спр_Работы!$K$2:$K$6000,MATCH($C628,спр_Работы!$A$2:$A$6000,0)),"")</f>
        <v/>
      </c>
      <c r="H628" s="9" t="n"/>
      <c r="I628" s="9" t="n"/>
      <c r="J628" s="8">
        <f>IFERROR(INDEX(спр_Материалы!$B$2:$B$9000,MATCH($I628,спр_Материалы!$A$2:$A$9000,0)),"")</f>
        <v/>
      </c>
      <c r="K628">
        <f>IF($I628="","",IF($F628=IFERROR(INDEX(спр_Материалы!$G$2:$G$9000,MATCH($I628,спр_Материалы!$A$2:$A$9000,0)),""),"OK","!! не та группа"))</f>
        <v/>
      </c>
      <c r="L628" s="10">
        <f>IFERROR(INDEX(спр_Работы!$H$2:$H$6000,MATCH($C628,спр_Работы!$A$2:$A$6000,0))*(1-ДисконтТендер),0)</f>
        <v/>
      </c>
      <c r="M628" s="10">
        <f>IF($I628="",0,IFERROR(INDEX(спр_Материалы!$I$2:$I$9000,MATCH($I628,спр_Материалы!$A$2:$A$9000,0))*IF(INDEX(спр_Материалы!$J$2:$J$9000,MATCH($I628,спр_Материалы!$A$2:$A$9000,0))="USD",КурсUSD,IF(INDEX(спр_Материалы!$J$2:$J$9000,MATCH($I628,спр_Материалы!$A$2:$A$9000,0))="EUR",КурсEUR,1))*INDEX(спр_Материалы!$K$2:$K$9000,MATCH($I628,спр_Материалы!$A$2:$A$9000,0))*(1+IFERROR(INDEX(спр_Работы!$I$2:$I$6000,MATCH($C628,спр_Работы!$A$2:$A$6000,0))/100,0))*(1-ДисконтТендер),0))</f>
        <v/>
      </c>
      <c r="N628" s="10">
        <f>IF(AND($R628="да",$H628&lt;&gt;""),ROUND($H628*$L628,2),0)</f>
        <v/>
      </c>
      <c r="O628" s="10">
        <f>IF(AND($R628="да",$H628&lt;&gt;""),ROUND($H628*$M628,2),0)</f>
        <v/>
      </c>
      <c r="P628" s="10">
        <f>$N628+$O628</f>
        <v/>
      </c>
      <c r="Q628">
        <f>IFERROR(INDEX(спр_Работы!$J$2:$J$6000,MATCH($C628,спр_Работы!$A$2:$A$6000,0)),"")</f>
        <v/>
      </c>
      <c r="R628" t="inlineStr">
        <is>
          <t>да</t>
        </is>
      </c>
      <c r="T628">
        <f>IF(AND($P628&gt;0,$R628="да"),MAX($T$1:$T627)+1,"")</f>
        <v/>
      </c>
    </row>
    <row r="629">
      <c r="A629">
        <f>IFERROR(INDEX(спр_Работы!$D$2:$D$6000,MATCH($C629,спр_Работы!$A$2:$A$6000,0)),"")</f>
        <v/>
      </c>
      <c r="B629">
        <f>IFERROR(INDEX(спр_Работы!$F$2:$F$6000,MATCH($C629,спр_Работы!$A$2:$A$6000,0)),"")</f>
        <v/>
      </c>
      <c r="C629">
        <f>IFERROR(INDEX(спр_Работы!$A$2:$A$6000,628),"")</f>
        <v/>
      </c>
      <c r="D629" s="8">
        <f>IFERROR(INDEX(спр_Работы!$B$2:$B$6000,MATCH($C629,спр_Работы!$A$2:$A$6000,0)),"")</f>
        <v/>
      </c>
      <c r="E629">
        <f>IFERROR(INDEX(спр_Работы!$C$2:$C$6000,MATCH($C629,спр_Работы!$A$2:$A$6000,0)),"")</f>
        <v/>
      </c>
      <c r="F629">
        <f>IFERROR(INDEX(спр_Работы!$G$2:$G$6000,MATCH($C629,спр_Работы!$A$2:$A$6000,0)),"")</f>
        <v/>
      </c>
      <c r="G629">
        <f>IFERROR(INDEX(спр_Работы!$K$2:$K$6000,MATCH($C629,спр_Работы!$A$2:$A$6000,0)),"")</f>
        <v/>
      </c>
      <c r="H629" s="9" t="n"/>
      <c r="I629" s="9" t="n"/>
      <c r="J629" s="8">
        <f>IFERROR(INDEX(спр_Материалы!$B$2:$B$9000,MATCH($I629,спр_Материалы!$A$2:$A$9000,0)),"")</f>
        <v/>
      </c>
      <c r="K629">
        <f>IF($I629="","",IF($F629=IFERROR(INDEX(спр_Материалы!$G$2:$G$9000,MATCH($I629,спр_Материалы!$A$2:$A$9000,0)),""),"OK","!! не та группа"))</f>
        <v/>
      </c>
      <c r="L629" s="10">
        <f>IFERROR(INDEX(спр_Работы!$H$2:$H$6000,MATCH($C629,спр_Работы!$A$2:$A$6000,0))*(1-ДисконтТендер),0)</f>
        <v/>
      </c>
      <c r="M629" s="10">
        <f>IF($I629="",0,IFERROR(INDEX(спр_Материалы!$I$2:$I$9000,MATCH($I629,спр_Материалы!$A$2:$A$9000,0))*IF(INDEX(спр_Материалы!$J$2:$J$9000,MATCH($I629,спр_Материалы!$A$2:$A$9000,0))="USD",КурсUSD,IF(INDEX(спр_Материалы!$J$2:$J$9000,MATCH($I629,спр_Материалы!$A$2:$A$9000,0))="EUR",КурсEUR,1))*INDEX(спр_Материалы!$K$2:$K$9000,MATCH($I629,спр_Материалы!$A$2:$A$9000,0))*(1+IFERROR(INDEX(спр_Работы!$I$2:$I$6000,MATCH($C629,спр_Работы!$A$2:$A$6000,0))/100,0))*(1-ДисконтТендер),0))</f>
        <v/>
      </c>
      <c r="N629" s="10">
        <f>IF(AND($R629="да",$H629&lt;&gt;""),ROUND($H629*$L629,2),0)</f>
        <v/>
      </c>
      <c r="O629" s="10">
        <f>IF(AND($R629="да",$H629&lt;&gt;""),ROUND($H629*$M629,2),0)</f>
        <v/>
      </c>
      <c r="P629" s="10">
        <f>$N629+$O629</f>
        <v/>
      </c>
      <c r="Q629">
        <f>IFERROR(INDEX(спр_Работы!$J$2:$J$6000,MATCH($C629,спр_Работы!$A$2:$A$6000,0)),"")</f>
        <v/>
      </c>
      <c r="R629" t="inlineStr">
        <is>
          <t>да</t>
        </is>
      </c>
      <c r="T629">
        <f>IF(AND($P629&gt;0,$R629="да"),MAX($T$1:$T628)+1,"")</f>
        <v/>
      </c>
    </row>
    <row r="630">
      <c r="A630">
        <f>IFERROR(INDEX(спр_Работы!$D$2:$D$6000,MATCH($C630,спр_Работы!$A$2:$A$6000,0)),"")</f>
        <v/>
      </c>
      <c r="B630">
        <f>IFERROR(INDEX(спр_Работы!$F$2:$F$6000,MATCH($C630,спр_Работы!$A$2:$A$6000,0)),"")</f>
        <v/>
      </c>
      <c r="C630">
        <f>IFERROR(INDEX(спр_Работы!$A$2:$A$6000,629),"")</f>
        <v/>
      </c>
      <c r="D630" s="8">
        <f>IFERROR(INDEX(спр_Работы!$B$2:$B$6000,MATCH($C630,спр_Работы!$A$2:$A$6000,0)),"")</f>
        <v/>
      </c>
      <c r="E630">
        <f>IFERROR(INDEX(спр_Работы!$C$2:$C$6000,MATCH($C630,спр_Работы!$A$2:$A$6000,0)),"")</f>
        <v/>
      </c>
      <c r="F630">
        <f>IFERROR(INDEX(спр_Работы!$G$2:$G$6000,MATCH($C630,спр_Работы!$A$2:$A$6000,0)),"")</f>
        <v/>
      </c>
      <c r="G630">
        <f>IFERROR(INDEX(спр_Работы!$K$2:$K$6000,MATCH($C630,спр_Работы!$A$2:$A$6000,0)),"")</f>
        <v/>
      </c>
      <c r="H630" s="9" t="n"/>
      <c r="I630" s="9" t="n"/>
      <c r="J630" s="8">
        <f>IFERROR(INDEX(спр_Материалы!$B$2:$B$9000,MATCH($I630,спр_Материалы!$A$2:$A$9000,0)),"")</f>
        <v/>
      </c>
      <c r="K630">
        <f>IF($I630="","",IF($F630=IFERROR(INDEX(спр_Материалы!$G$2:$G$9000,MATCH($I630,спр_Материалы!$A$2:$A$9000,0)),""),"OK","!! не та группа"))</f>
        <v/>
      </c>
      <c r="L630" s="10">
        <f>IFERROR(INDEX(спр_Работы!$H$2:$H$6000,MATCH($C630,спр_Работы!$A$2:$A$6000,0))*(1-ДисконтТендер),0)</f>
        <v/>
      </c>
      <c r="M630" s="10">
        <f>IF($I630="",0,IFERROR(INDEX(спр_Материалы!$I$2:$I$9000,MATCH($I630,спр_Материалы!$A$2:$A$9000,0))*IF(INDEX(спр_Материалы!$J$2:$J$9000,MATCH($I630,спр_Материалы!$A$2:$A$9000,0))="USD",КурсUSD,IF(INDEX(спр_Материалы!$J$2:$J$9000,MATCH($I630,спр_Материалы!$A$2:$A$9000,0))="EUR",КурсEUR,1))*INDEX(спр_Материалы!$K$2:$K$9000,MATCH($I630,спр_Материалы!$A$2:$A$9000,0))*(1+IFERROR(INDEX(спр_Работы!$I$2:$I$6000,MATCH($C630,спр_Работы!$A$2:$A$6000,0))/100,0))*(1-ДисконтТендер),0))</f>
        <v/>
      </c>
      <c r="N630" s="10">
        <f>IF(AND($R630="да",$H630&lt;&gt;""),ROUND($H630*$L630,2),0)</f>
        <v/>
      </c>
      <c r="O630" s="10">
        <f>IF(AND($R630="да",$H630&lt;&gt;""),ROUND($H630*$M630,2),0)</f>
        <v/>
      </c>
      <c r="P630" s="10">
        <f>$N630+$O630</f>
        <v/>
      </c>
      <c r="Q630">
        <f>IFERROR(INDEX(спр_Работы!$J$2:$J$6000,MATCH($C630,спр_Работы!$A$2:$A$6000,0)),"")</f>
        <v/>
      </c>
      <c r="R630" t="inlineStr">
        <is>
          <t>да</t>
        </is>
      </c>
      <c r="T630">
        <f>IF(AND($P630&gt;0,$R630="да"),MAX($T$1:$T629)+1,"")</f>
        <v/>
      </c>
    </row>
    <row r="631">
      <c r="A631">
        <f>IFERROR(INDEX(спр_Работы!$D$2:$D$6000,MATCH($C631,спр_Работы!$A$2:$A$6000,0)),"")</f>
        <v/>
      </c>
      <c r="B631">
        <f>IFERROR(INDEX(спр_Работы!$F$2:$F$6000,MATCH($C631,спр_Работы!$A$2:$A$6000,0)),"")</f>
        <v/>
      </c>
      <c r="C631">
        <f>IFERROR(INDEX(спр_Работы!$A$2:$A$6000,630),"")</f>
        <v/>
      </c>
      <c r="D631" s="8">
        <f>IFERROR(INDEX(спр_Работы!$B$2:$B$6000,MATCH($C631,спр_Работы!$A$2:$A$6000,0)),"")</f>
        <v/>
      </c>
      <c r="E631">
        <f>IFERROR(INDEX(спр_Работы!$C$2:$C$6000,MATCH($C631,спр_Работы!$A$2:$A$6000,0)),"")</f>
        <v/>
      </c>
      <c r="F631">
        <f>IFERROR(INDEX(спр_Работы!$G$2:$G$6000,MATCH($C631,спр_Работы!$A$2:$A$6000,0)),"")</f>
        <v/>
      </c>
      <c r="G631">
        <f>IFERROR(INDEX(спр_Работы!$K$2:$K$6000,MATCH($C631,спр_Работы!$A$2:$A$6000,0)),"")</f>
        <v/>
      </c>
      <c r="H631" s="9" t="n"/>
      <c r="I631" s="9" t="n"/>
      <c r="J631" s="8">
        <f>IFERROR(INDEX(спр_Материалы!$B$2:$B$9000,MATCH($I631,спр_Материалы!$A$2:$A$9000,0)),"")</f>
        <v/>
      </c>
      <c r="K631">
        <f>IF($I631="","",IF($F631=IFERROR(INDEX(спр_Материалы!$G$2:$G$9000,MATCH($I631,спр_Материалы!$A$2:$A$9000,0)),""),"OK","!! не та группа"))</f>
        <v/>
      </c>
      <c r="L631" s="10">
        <f>IFERROR(INDEX(спр_Работы!$H$2:$H$6000,MATCH($C631,спр_Работы!$A$2:$A$6000,0))*(1-ДисконтТендер),0)</f>
        <v/>
      </c>
      <c r="M631" s="10">
        <f>IF($I631="",0,IFERROR(INDEX(спр_Материалы!$I$2:$I$9000,MATCH($I631,спр_Материалы!$A$2:$A$9000,0))*IF(INDEX(спр_Материалы!$J$2:$J$9000,MATCH($I631,спр_Материалы!$A$2:$A$9000,0))="USD",КурсUSD,IF(INDEX(спр_Материалы!$J$2:$J$9000,MATCH($I631,спр_Материалы!$A$2:$A$9000,0))="EUR",КурсEUR,1))*INDEX(спр_Материалы!$K$2:$K$9000,MATCH($I631,спр_Материалы!$A$2:$A$9000,0))*(1+IFERROR(INDEX(спр_Работы!$I$2:$I$6000,MATCH($C631,спр_Работы!$A$2:$A$6000,0))/100,0))*(1-ДисконтТендер),0))</f>
        <v/>
      </c>
      <c r="N631" s="10">
        <f>IF(AND($R631="да",$H631&lt;&gt;""),ROUND($H631*$L631,2),0)</f>
        <v/>
      </c>
      <c r="O631" s="10">
        <f>IF(AND($R631="да",$H631&lt;&gt;""),ROUND($H631*$M631,2),0)</f>
        <v/>
      </c>
      <c r="P631" s="10">
        <f>$N631+$O631</f>
        <v/>
      </c>
      <c r="Q631">
        <f>IFERROR(INDEX(спр_Работы!$J$2:$J$6000,MATCH($C631,спр_Работы!$A$2:$A$6000,0)),"")</f>
        <v/>
      </c>
      <c r="R631" t="inlineStr">
        <is>
          <t>да</t>
        </is>
      </c>
      <c r="T631">
        <f>IF(AND($P631&gt;0,$R631="да"),MAX($T$1:$T630)+1,"")</f>
        <v/>
      </c>
    </row>
    <row r="632">
      <c r="A632">
        <f>IFERROR(INDEX(спр_Работы!$D$2:$D$6000,MATCH($C632,спр_Работы!$A$2:$A$6000,0)),"")</f>
        <v/>
      </c>
      <c r="B632">
        <f>IFERROR(INDEX(спр_Работы!$F$2:$F$6000,MATCH($C632,спр_Работы!$A$2:$A$6000,0)),"")</f>
        <v/>
      </c>
      <c r="C632">
        <f>IFERROR(INDEX(спр_Работы!$A$2:$A$6000,631),"")</f>
        <v/>
      </c>
      <c r="D632" s="8">
        <f>IFERROR(INDEX(спр_Работы!$B$2:$B$6000,MATCH($C632,спр_Работы!$A$2:$A$6000,0)),"")</f>
        <v/>
      </c>
      <c r="E632">
        <f>IFERROR(INDEX(спр_Работы!$C$2:$C$6000,MATCH($C632,спр_Работы!$A$2:$A$6000,0)),"")</f>
        <v/>
      </c>
      <c r="F632">
        <f>IFERROR(INDEX(спр_Работы!$G$2:$G$6000,MATCH($C632,спр_Работы!$A$2:$A$6000,0)),"")</f>
        <v/>
      </c>
      <c r="G632">
        <f>IFERROR(INDEX(спр_Работы!$K$2:$K$6000,MATCH($C632,спр_Работы!$A$2:$A$6000,0)),"")</f>
        <v/>
      </c>
      <c r="H632" s="9" t="n"/>
      <c r="I632" s="9" t="n"/>
      <c r="J632" s="8">
        <f>IFERROR(INDEX(спр_Материалы!$B$2:$B$9000,MATCH($I632,спр_Материалы!$A$2:$A$9000,0)),"")</f>
        <v/>
      </c>
      <c r="K632">
        <f>IF($I632="","",IF($F632=IFERROR(INDEX(спр_Материалы!$G$2:$G$9000,MATCH($I632,спр_Материалы!$A$2:$A$9000,0)),""),"OK","!! не та группа"))</f>
        <v/>
      </c>
      <c r="L632" s="10">
        <f>IFERROR(INDEX(спр_Работы!$H$2:$H$6000,MATCH($C632,спр_Работы!$A$2:$A$6000,0))*(1-ДисконтТендер),0)</f>
        <v/>
      </c>
      <c r="M632" s="10">
        <f>IF($I632="",0,IFERROR(INDEX(спр_Материалы!$I$2:$I$9000,MATCH($I632,спр_Материалы!$A$2:$A$9000,0))*IF(INDEX(спр_Материалы!$J$2:$J$9000,MATCH($I632,спр_Материалы!$A$2:$A$9000,0))="USD",КурсUSD,IF(INDEX(спр_Материалы!$J$2:$J$9000,MATCH($I632,спр_Материалы!$A$2:$A$9000,0))="EUR",КурсEUR,1))*INDEX(спр_Материалы!$K$2:$K$9000,MATCH($I632,спр_Материалы!$A$2:$A$9000,0))*(1+IFERROR(INDEX(спр_Работы!$I$2:$I$6000,MATCH($C632,спр_Работы!$A$2:$A$6000,0))/100,0))*(1-ДисконтТендер),0))</f>
        <v/>
      </c>
      <c r="N632" s="10">
        <f>IF(AND($R632="да",$H632&lt;&gt;""),ROUND($H632*$L632,2),0)</f>
        <v/>
      </c>
      <c r="O632" s="10">
        <f>IF(AND($R632="да",$H632&lt;&gt;""),ROUND($H632*$M632,2),0)</f>
        <v/>
      </c>
      <c r="P632" s="10">
        <f>$N632+$O632</f>
        <v/>
      </c>
      <c r="Q632">
        <f>IFERROR(INDEX(спр_Работы!$J$2:$J$6000,MATCH($C632,спр_Работы!$A$2:$A$6000,0)),"")</f>
        <v/>
      </c>
      <c r="R632" t="inlineStr">
        <is>
          <t>да</t>
        </is>
      </c>
      <c r="T632">
        <f>IF(AND($P632&gt;0,$R632="да"),MAX($T$1:$T631)+1,"")</f>
        <v/>
      </c>
    </row>
    <row r="633">
      <c r="A633">
        <f>IFERROR(INDEX(спр_Работы!$D$2:$D$6000,MATCH($C633,спр_Работы!$A$2:$A$6000,0)),"")</f>
        <v/>
      </c>
      <c r="B633">
        <f>IFERROR(INDEX(спр_Работы!$F$2:$F$6000,MATCH($C633,спр_Работы!$A$2:$A$6000,0)),"")</f>
        <v/>
      </c>
      <c r="C633">
        <f>IFERROR(INDEX(спр_Работы!$A$2:$A$6000,632),"")</f>
        <v/>
      </c>
      <c r="D633" s="8">
        <f>IFERROR(INDEX(спр_Работы!$B$2:$B$6000,MATCH($C633,спр_Работы!$A$2:$A$6000,0)),"")</f>
        <v/>
      </c>
      <c r="E633">
        <f>IFERROR(INDEX(спр_Работы!$C$2:$C$6000,MATCH($C633,спр_Работы!$A$2:$A$6000,0)),"")</f>
        <v/>
      </c>
      <c r="F633">
        <f>IFERROR(INDEX(спр_Работы!$G$2:$G$6000,MATCH($C633,спр_Работы!$A$2:$A$6000,0)),"")</f>
        <v/>
      </c>
      <c r="G633">
        <f>IFERROR(INDEX(спр_Работы!$K$2:$K$6000,MATCH($C633,спр_Работы!$A$2:$A$6000,0)),"")</f>
        <v/>
      </c>
      <c r="H633" s="9" t="n"/>
      <c r="I633" s="9" t="n"/>
      <c r="J633" s="8">
        <f>IFERROR(INDEX(спр_Материалы!$B$2:$B$9000,MATCH($I633,спр_Материалы!$A$2:$A$9000,0)),"")</f>
        <v/>
      </c>
      <c r="K633">
        <f>IF($I633="","",IF($F633=IFERROR(INDEX(спр_Материалы!$G$2:$G$9000,MATCH($I633,спр_Материалы!$A$2:$A$9000,0)),""),"OK","!! не та группа"))</f>
        <v/>
      </c>
      <c r="L633" s="10">
        <f>IFERROR(INDEX(спр_Работы!$H$2:$H$6000,MATCH($C633,спр_Работы!$A$2:$A$6000,0))*(1-ДисконтТендер),0)</f>
        <v/>
      </c>
      <c r="M633" s="10">
        <f>IF($I633="",0,IFERROR(INDEX(спр_Материалы!$I$2:$I$9000,MATCH($I633,спр_Материалы!$A$2:$A$9000,0))*IF(INDEX(спр_Материалы!$J$2:$J$9000,MATCH($I633,спр_Материалы!$A$2:$A$9000,0))="USD",КурсUSD,IF(INDEX(спр_Материалы!$J$2:$J$9000,MATCH($I633,спр_Материалы!$A$2:$A$9000,0))="EUR",КурсEUR,1))*INDEX(спр_Материалы!$K$2:$K$9000,MATCH($I633,спр_Материалы!$A$2:$A$9000,0))*(1+IFERROR(INDEX(спр_Работы!$I$2:$I$6000,MATCH($C633,спр_Работы!$A$2:$A$6000,0))/100,0))*(1-ДисконтТендер),0))</f>
        <v/>
      </c>
      <c r="N633" s="10">
        <f>IF(AND($R633="да",$H633&lt;&gt;""),ROUND($H633*$L633,2),0)</f>
        <v/>
      </c>
      <c r="O633" s="10">
        <f>IF(AND($R633="да",$H633&lt;&gt;""),ROUND($H633*$M633,2),0)</f>
        <v/>
      </c>
      <c r="P633" s="10">
        <f>$N633+$O633</f>
        <v/>
      </c>
      <c r="Q633">
        <f>IFERROR(INDEX(спр_Работы!$J$2:$J$6000,MATCH($C633,спр_Работы!$A$2:$A$6000,0)),"")</f>
        <v/>
      </c>
      <c r="R633" t="inlineStr">
        <is>
          <t>да</t>
        </is>
      </c>
      <c r="T633">
        <f>IF(AND($P633&gt;0,$R633="да"),MAX($T$1:$T632)+1,"")</f>
        <v/>
      </c>
    </row>
    <row r="634">
      <c r="A634">
        <f>IFERROR(INDEX(спр_Работы!$D$2:$D$6000,MATCH($C634,спр_Работы!$A$2:$A$6000,0)),"")</f>
        <v/>
      </c>
      <c r="B634">
        <f>IFERROR(INDEX(спр_Работы!$F$2:$F$6000,MATCH($C634,спр_Работы!$A$2:$A$6000,0)),"")</f>
        <v/>
      </c>
      <c r="C634">
        <f>IFERROR(INDEX(спр_Работы!$A$2:$A$6000,633),"")</f>
        <v/>
      </c>
      <c r="D634" s="8">
        <f>IFERROR(INDEX(спр_Работы!$B$2:$B$6000,MATCH($C634,спр_Работы!$A$2:$A$6000,0)),"")</f>
        <v/>
      </c>
      <c r="E634">
        <f>IFERROR(INDEX(спр_Работы!$C$2:$C$6000,MATCH($C634,спр_Работы!$A$2:$A$6000,0)),"")</f>
        <v/>
      </c>
      <c r="F634">
        <f>IFERROR(INDEX(спр_Работы!$G$2:$G$6000,MATCH($C634,спр_Работы!$A$2:$A$6000,0)),"")</f>
        <v/>
      </c>
      <c r="G634">
        <f>IFERROR(INDEX(спр_Работы!$K$2:$K$6000,MATCH($C634,спр_Работы!$A$2:$A$6000,0)),"")</f>
        <v/>
      </c>
      <c r="H634" s="9" t="n"/>
      <c r="I634" s="9" t="n"/>
      <c r="J634" s="8">
        <f>IFERROR(INDEX(спр_Материалы!$B$2:$B$9000,MATCH($I634,спр_Материалы!$A$2:$A$9000,0)),"")</f>
        <v/>
      </c>
      <c r="K634">
        <f>IF($I634="","",IF($F634=IFERROR(INDEX(спр_Материалы!$G$2:$G$9000,MATCH($I634,спр_Материалы!$A$2:$A$9000,0)),""),"OK","!! не та группа"))</f>
        <v/>
      </c>
      <c r="L634" s="10">
        <f>IFERROR(INDEX(спр_Работы!$H$2:$H$6000,MATCH($C634,спр_Работы!$A$2:$A$6000,0))*(1-ДисконтТендер),0)</f>
        <v/>
      </c>
      <c r="M634" s="10">
        <f>IF($I634="",0,IFERROR(INDEX(спр_Материалы!$I$2:$I$9000,MATCH($I634,спр_Материалы!$A$2:$A$9000,0))*IF(INDEX(спр_Материалы!$J$2:$J$9000,MATCH($I634,спр_Материалы!$A$2:$A$9000,0))="USD",КурсUSD,IF(INDEX(спр_Материалы!$J$2:$J$9000,MATCH($I634,спр_Материалы!$A$2:$A$9000,0))="EUR",КурсEUR,1))*INDEX(спр_Материалы!$K$2:$K$9000,MATCH($I634,спр_Материалы!$A$2:$A$9000,0))*(1+IFERROR(INDEX(спр_Работы!$I$2:$I$6000,MATCH($C634,спр_Работы!$A$2:$A$6000,0))/100,0))*(1-ДисконтТендер),0))</f>
        <v/>
      </c>
      <c r="N634" s="10">
        <f>IF(AND($R634="да",$H634&lt;&gt;""),ROUND($H634*$L634,2),0)</f>
        <v/>
      </c>
      <c r="O634" s="10">
        <f>IF(AND($R634="да",$H634&lt;&gt;""),ROUND($H634*$M634,2),0)</f>
        <v/>
      </c>
      <c r="P634" s="10">
        <f>$N634+$O634</f>
        <v/>
      </c>
      <c r="Q634">
        <f>IFERROR(INDEX(спр_Работы!$J$2:$J$6000,MATCH($C634,спр_Работы!$A$2:$A$6000,0)),"")</f>
        <v/>
      </c>
      <c r="R634" t="inlineStr">
        <is>
          <t>да</t>
        </is>
      </c>
      <c r="T634">
        <f>IF(AND($P634&gt;0,$R634="да"),MAX($T$1:$T633)+1,"")</f>
        <v/>
      </c>
    </row>
    <row r="635">
      <c r="A635">
        <f>IFERROR(INDEX(спр_Работы!$D$2:$D$6000,MATCH($C635,спр_Работы!$A$2:$A$6000,0)),"")</f>
        <v/>
      </c>
      <c r="B635">
        <f>IFERROR(INDEX(спр_Работы!$F$2:$F$6000,MATCH($C635,спр_Работы!$A$2:$A$6000,0)),"")</f>
        <v/>
      </c>
      <c r="C635">
        <f>IFERROR(INDEX(спр_Работы!$A$2:$A$6000,634),"")</f>
        <v/>
      </c>
      <c r="D635" s="8">
        <f>IFERROR(INDEX(спр_Работы!$B$2:$B$6000,MATCH($C635,спр_Работы!$A$2:$A$6000,0)),"")</f>
        <v/>
      </c>
      <c r="E635">
        <f>IFERROR(INDEX(спр_Работы!$C$2:$C$6000,MATCH($C635,спр_Работы!$A$2:$A$6000,0)),"")</f>
        <v/>
      </c>
      <c r="F635">
        <f>IFERROR(INDEX(спр_Работы!$G$2:$G$6000,MATCH($C635,спр_Работы!$A$2:$A$6000,0)),"")</f>
        <v/>
      </c>
      <c r="G635">
        <f>IFERROR(INDEX(спр_Работы!$K$2:$K$6000,MATCH($C635,спр_Работы!$A$2:$A$6000,0)),"")</f>
        <v/>
      </c>
      <c r="H635" s="9" t="n"/>
      <c r="I635" s="9" t="n"/>
      <c r="J635" s="8">
        <f>IFERROR(INDEX(спр_Материалы!$B$2:$B$9000,MATCH($I635,спр_Материалы!$A$2:$A$9000,0)),"")</f>
        <v/>
      </c>
      <c r="K635">
        <f>IF($I635="","",IF($F635=IFERROR(INDEX(спр_Материалы!$G$2:$G$9000,MATCH($I635,спр_Материалы!$A$2:$A$9000,0)),""),"OK","!! не та группа"))</f>
        <v/>
      </c>
      <c r="L635" s="10">
        <f>IFERROR(INDEX(спр_Работы!$H$2:$H$6000,MATCH($C635,спр_Работы!$A$2:$A$6000,0))*(1-ДисконтТендер),0)</f>
        <v/>
      </c>
      <c r="M635" s="10">
        <f>IF($I635="",0,IFERROR(INDEX(спр_Материалы!$I$2:$I$9000,MATCH($I635,спр_Материалы!$A$2:$A$9000,0))*IF(INDEX(спр_Материалы!$J$2:$J$9000,MATCH($I635,спр_Материалы!$A$2:$A$9000,0))="USD",КурсUSD,IF(INDEX(спр_Материалы!$J$2:$J$9000,MATCH($I635,спр_Материалы!$A$2:$A$9000,0))="EUR",КурсEUR,1))*INDEX(спр_Материалы!$K$2:$K$9000,MATCH($I635,спр_Материалы!$A$2:$A$9000,0))*(1+IFERROR(INDEX(спр_Работы!$I$2:$I$6000,MATCH($C635,спр_Работы!$A$2:$A$6000,0))/100,0))*(1-ДисконтТендер),0))</f>
        <v/>
      </c>
      <c r="N635" s="10">
        <f>IF(AND($R635="да",$H635&lt;&gt;""),ROUND($H635*$L635,2),0)</f>
        <v/>
      </c>
      <c r="O635" s="10">
        <f>IF(AND($R635="да",$H635&lt;&gt;""),ROUND($H635*$M635,2),0)</f>
        <v/>
      </c>
      <c r="P635" s="10">
        <f>$N635+$O635</f>
        <v/>
      </c>
      <c r="Q635">
        <f>IFERROR(INDEX(спр_Работы!$J$2:$J$6000,MATCH($C635,спр_Работы!$A$2:$A$6000,0)),"")</f>
        <v/>
      </c>
      <c r="R635" t="inlineStr">
        <is>
          <t>да</t>
        </is>
      </c>
      <c r="T635">
        <f>IF(AND($P635&gt;0,$R635="да"),MAX($T$1:$T634)+1,"")</f>
        <v/>
      </c>
    </row>
    <row r="636">
      <c r="A636">
        <f>IFERROR(INDEX(спр_Работы!$D$2:$D$6000,MATCH($C636,спр_Работы!$A$2:$A$6000,0)),"")</f>
        <v/>
      </c>
      <c r="B636">
        <f>IFERROR(INDEX(спр_Работы!$F$2:$F$6000,MATCH($C636,спр_Работы!$A$2:$A$6000,0)),"")</f>
        <v/>
      </c>
      <c r="C636">
        <f>IFERROR(INDEX(спр_Работы!$A$2:$A$6000,635),"")</f>
        <v/>
      </c>
      <c r="D636" s="8">
        <f>IFERROR(INDEX(спр_Работы!$B$2:$B$6000,MATCH($C636,спр_Работы!$A$2:$A$6000,0)),"")</f>
        <v/>
      </c>
      <c r="E636">
        <f>IFERROR(INDEX(спр_Работы!$C$2:$C$6000,MATCH($C636,спр_Работы!$A$2:$A$6000,0)),"")</f>
        <v/>
      </c>
      <c r="F636">
        <f>IFERROR(INDEX(спр_Работы!$G$2:$G$6000,MATCH($C636,спр_Работы!$A$2:$A$6000,0)),"")</f>
        <v/>
      </c>
      <c r="G636">
        <f>IFERROR(INDEX(спр_Работы!$K$2:$K$6000,MATCH($C636,спр_Работы!$A$2:$A$6000,0)),"")</f>
        <v/>
      </c>
      <c r="H636" s="9" t="n"/>
      <c r="I636" s="9" t="n"/>
      <c r="J636" s="8">
        <f>IFERROR(INDEX(спр_Материалы!$B$2:$B$9000,MATCH($I636,спр_Материалы!$A$2:$A$9000,0)),"")</f>
        <v/>
      </c>
      <c r="K636">
        <f>IF($I636="","",IF($F636=IFERROR(INDEX(спр_Материалы!$G$2:$G$9000,MATCH($I636,спр_Материалы!$A$2:$A$9000,0)),""),"OK","!! не та группа"))</f>
        <v/>
      </c>
      <c r="L636" s="10">
        <f>IFERROR(INDEX(спр_Работы!$H$2:$H$6000,MATCH($C636,спр_Работы!$A$2:$A$6000,0))*(1-ДисконтТендер),0)</f>
        <v/>
      </c>
      <c r="M636" s="10">
        <f>IF($I636="",0,IFERROR(INDEX(спр_Материалы!$I$2:$I$9000,MATCH($I636,спр_Материалы!$A$2:$A$9000,0))*IF(INDEX(спр_Материалы!$J$2:$J$9000,MATCH($I636,спр_Материалы!$A$2:$A$9000,0))="USD",КурсUSD,IF(INDEX(спр_Материалы!$J$2:$J$9000,MATCH($I636,спр_Материалы!$A$2:$A$9000,0))="EUR",КурсEUR,1))*INDEX(спр_Материалы!$K$2:$K$9000,MATCH($I636,спр_Материалы!$A$2:$A$9000,0))*(1+IFERROR(INDEX(спр_Работы!$I$2:$I$6000,MATCH($C636,спр_Работы!$A$2:$A$6000,0))/100,0))*(1-ДисконтТендер),0))</f>
        <v/>
      </c>
      <c r="N636" s="10">
        <f>IF(AND($R636="да",$H636&lt;&gt;""),ROUND($H636*$L636,2),0)</f>
        <v/>
      </c>
      <c r="O636" s="10">
        <f>IF(AND($R636="да",$H636&lt;&gt;""),ROUND($H636*$M636,2),0)</f>
        <v/>
      </c>
      <c r="P636" s="10">
        <f>$N636+$O636</f>
        <v/>
      </c>
      <c r="Q636">
        <f>IFERROR(INDEX(спр_Работы!$J$2:$J$6000,MATCH($C636,спр_Работы!$A$2:$A$6000,0)),"")</f>
        <v/>
      </c>
      <c r="R636" t="inlineStr">
        <is>
          <t>да</t>
        </is>
      </c>
      <c r="T636">
        <f>IF(AND($P636&gt;0,$R636="да"),MAX($T$1:$T635)+1,"")</f>
        <v/>
      </c>
    </row>
    <row r="637">
      <c r="A637">
        <f>IFERROR(INDEX(спр_Работы!$D$2:$D$6000,MATCH($C637,спр_Работы!$A$2:$A$6000,0)),"")</f>
        <v/>
      </c>
      <c r="B637">
        <f>IFERROR(INDEX(спр_Работы!$F$2:$F$6000,MATCH($C637,спр_Работы!$A$2:$A$6000,0)),"")</f>
        <v/>
      </c>
      <c r="C637">
        <f>IFERROR(INDEX(спр_Работы!$A$2:$A$6000,636),"")</f>
        <v/>
      </c>
      <c r="D637" s="8">
        <f>IFERROR(INDEX(спр_Работы!$B$2:$B$6000,MATCH($C637,спр_Работы!$A$2:$A$6000,0)),"")</f>
        <v/>
      </c>
      <c r="E637">
        <f>IFERROR(INDEX(спр_Работы!$C$2:$C$6000,MATCH($C637,спр_Работы!$A$2:$A$6000,0)),"")</f>
        <v/>
      </c>
      <c r="F637">
        <f>IFERROR(INDEX(спр_Работы!$G$2:$G$6000,MATCH($C637,спр_Работы!$A$2:$A$6000,0)),"")</f>
        <v/>
      </c>
      <c r="G637">
        <f>IFERROR(INDEX(спр_Работы!$K$2:$K$6000,MATCH($C637,спр_Работы!$A$2:$A$6000,0)),"")</f>
        <v/>
      </c>
      <c r="H637" s="9" t="n"/>
      <c r="I637" s="9" t="n"/>
      <c r="J637" s="8">
        <f>IFERROR(INDEX(спр_Материалы!$B$2:$B$9000,MATCH($I637,спр_Материалы!$A$2:$A$9000,0)),"")</f>
        <v/>
      </c>
      <c r="K637">
        <f>IF($I637="","",IF($F637=IFERROR(INDEX(спр_Материалы!$G$2:$G$9000,MATCH($I637,спр_Материалы!$A$2:$A$9000,0)),""),"OK","!! не та группа"))</f>
        <v/>
      </c>
      <c r="L637" s="10">
        <f>IFERROR(INDEX(спр_Работы!$H$2:$H$6000,MATCH($C637,спр_Работы!$A$2:$A$6000,0))*(1-ДисконтТендер),0)</f>
        <v/>
      </c>
      <c r="M637" s="10">
        <f>IF($I637="",0,IFERROR(INDEX(спр_Материалы!$I$2:$I$9000,MATCH($I637,спр_Материалы!$A$2:$A$9000,0))*IF(INDEX(спр_Материалы!$J$2:$J$9000,MATCH($I637,спр_Материалы!$A$2:$A$9000,0))="USD",КурсUSD,IF(INDEX(спр_Материалы!$J$2:$J$9000,MATCH($I637,спр_Материалы!$A$2:$A$9000,0))="EUR",КурсEUR,1))*INDEX(спр_Материалы!$K$2:$K$9000,MATCH($I637,спр_Материалы!$A$2:$A$9000,0))*(1+IFERROR(INDEX(спр_Работы!$I$2:$I$6000,MATCH($C637,спр_Работы!$A$2:$A$6000,0))/100,0))*(1-ДисконтТендер),0))</f>
        <v/>
      </c>
      <c r="N637" s="10">
        <f>IF(AND($R637="да",$H637&lt;&gt;""),ROUND($H637*$L637,2),0)</f>
        <v/>
      </c>
      <c r="O637" s="10">
        <f>IF(AND($R637="да",$H637&lt;&gt;""),ROUND($H637*$M637,2),0)</f>
        <v/>
      </c>
      <c r="P637" s="10">
        <f>$N637+$O637</f>
        <v/>
      </c>
      <c r="Q637">
        <f>IFERROR(INDEX(спр_Работы!$J$2:$J$6000,MATCH($C637,спр_Работы!$A$2:$A$6000,0)),"")</f>
        <v/>
      </c>
      <c r="R637" t="inlineStr">
        <is>
          <t>да</t>
        </is>
      </c>
      <c r="T637">
        <f>IF(AND($P637&gt;0,$R637="да"),MAX($T$1:$T636)+1,"")</f>
        <v/>
      </c>
    </row>
    <row r="638">
      <c r="A638">
        <f>IFERROR(INDEX(спр_Работы!$D$2:$D$6000,MATCH($C638,спр_Работы!$A$2:$A$6000,0)),"")</f>
        <v/>
      </c>
      <c r="B638">
        <f>IFERROR(INDEX(спр_Работы!$F$2:$F$6000,MATCH($C638,спр_Работы!$A$2:$A$6000,0)),"")</f>
        <v/>
      </c>
      <c r="C638">
        <f>IFERROR(INDEX(спр_Работы!$A$2:$A$6000,637),"")</f>
        <v/>
      </c>
      <c r="D638" s="8">
        <f>IFERROR(INDEX(спр_Работы!$B$2:$B$6000,MATCH($C638,спр_Работы!$A$2:$A$6000,0)),"")</f>
        <v/>
      </c>
      <c r="E638">
        <f>IFERROR(INDEX(спр_Работы!$C$2:$C$6000,MATCH($C638,спр_Работы!$A$2:$A$6000,0)),"")</f>
        <v/>
      </c>
      <c r="F638">
        <f>IFERROR(INDEX(спр_Работы!$G$2:$G$6000,MATCH($C638,спр_Работы!$A$2:$A$6000,0)),"")</f>
        <v/>
      </c>
      <c r="G638">
        <f>IFERROR(INDEX(спр_Работы!$K$2:$K$6000,MATCH($C638,спр_Работы!$A$2:$A$6000,0)),"")</f>
        <v/>
      </c>
      <c r="H638" s="9" t="n"/>
      <c r="I638" s="9" t="n"/>
      <c r="J638" s="8">
        <f>IFERROR(INDEX(спр_Материалы!$B$2:$B$9000,MATCH($I638,спр_Материалы!$A$2:$A$9000,0)),"")</f>
        <v/>
      </c>
      <c r="K638">
        <f>IF($I638="","",IF($F638=IFERROR(INDEX(спр_Материалы!$G$2:$G$9000,MATCH($I638,спр_Материалы!$A$2:$A$9000,0)),""),"OK","!! не та группа"))</f>
        <v/>
      </c>
      <c r="L638" s="10">
        <f>IFERROR(INDEX(спр_Работы!$H$2:$H$6000,MATCH($C638,спр_Работы!$A$2:$A$6000,0))*(1-ДисконтТендер),0)</f>
        <v/>
      </c>
      <c r="M638" s="10">
        <f>IF($I638="",0,IFERROR(INDEX(спр_Материалы!$I$2:$I$9000,MATCH($I638,спр_Материалы!$A$2:$A$9000,0))*IF(INDEX(спр_Материалы!$J$2:$J$9000,MATCH($I638,спр_Материалы!$A$2:$A$9000,0))="USD",КурсUSD,IF(INDEX(спр_Материалы!$J$2:$J$9000,MATCH($I638,спр_Материалы!$A$2:$A$9000,0))="EUR",КурсEUR,1))*INDEX(спр_Материалы!$K$2:$K$9000,MATCH($I638,спр_Материалы!$A$2:$A$9000,0))*(1+IFERROR(INDEX(спр_Работы!$I$2:$I$6000,MATCH($C638,спр_Работы!$A$2:$A$6000,0))/100,0))*(1-ДисконтТендер),0))</f>
        <v/>
      </c>
      <c r="N638" s="10">
        <f>IF(AND($R638="да",$H638&lt;&gt;""),ROUND($H638*$L638,2),0)</f>
        <v/>
      </c>
      <c r="O638" s="10">
        <f>IF(AND($R638="да",$H638&lt;&gt;""),ROUND($H638*$M638,2),0)</f>
        <v/>
      </c>
      <c r="P638" s="10">
        <f>$N638+$O638</f>
        <v/>
      </c>
      <c r="Q638">
        <f>IFERROR(INDEX(спр_Работы!$J$2:$J$6000,MATCH($C638,спр_Работы!$A$2:$A$6000,0)),"")</f>
        <v/>
      </c>
      <c r="R638" t="inlineStr">
        <is>
          <t>да</t>
        </is>
      </c>
      <c r="T638">
        <f>IF(AND($P638&gt;0,$R638="да"),MAX($T$1:$T637)+1,"")</f>
        <v/>
      </c>
    </row>
    <row r="639">
      <c r="A639">
        <f>IFERROR(INDEX(спр_Работы!$D$2:$D$6000,MATCH($C639,спр_Работы!$A$2:$A$6000,0)),"")</f>
        <v/>
      </c>
      <c r="B639">
        <f>IFERROR(INDEX(спр_Работы!$F$2:$F$6000,MATCH($C639,спр_Работы!$A$2:$A$6000,0)),"")</f>
        <v/>
      </c>
      <c r="C639">
        <f>IFERROR(INDEX(спр_Работы!$A$2:$A$6000,638),"")</f>
        <v/>
      </c>
      <c r="D639" s="8">
        <f>IFERROR(INDEX(спр_Работы!$B$2:$B$6000,MATCH($C639,спр_Работы!$A$2:$A$6000,0)),"")</f>
        <v/>
      </c>
      <c r="E639">
        <f>IFERROR(INDEX(спр_Работы!$C$2:$C$6000,MATCH($C639,спр_Работы!$A$2:$A$6000,0)),"")</f>
        <v/>
      </c>
      <c r="F639">
        <f>IFERROR(INDEX(спр_Работы!$G$2:$G$6000,MATCH($C639,спр_Работы!$A$2:$A$6000,0)),"")</f>
        <v/>
      </c>
      <c r="G639">
        <f>IFERROR(INDEX(спр_Работы!$K$2:$K$6000,MATCH($C639,спр_Работы!$A$2:$A$6000,0)),"")</f>
        <v/>
      </c>
      <c r="H639" s="9" t="n"/>
      <c r="I639" s="9" t="n"/>
      <c r="J639" s="8">
        <f>IFERROR(INDEX(спр_Материалы!$B$2:$B$9000,MATCH($I639,спр_Материалы!$A$2:$A$9000,0)),"")</f>
        <v/>
      </c>
      <c r="K639">
        <f>IF($I639="","",IF($F639=IFERROR(INDEX(спр_Материалы!$G$2:$G$9000,MATCH($I639,спр_Материалы!$A$2:$A$9000,0)),""),"OK","!! не та группа"))</f>
        <v/>
      </c>
      <c r="L639" s="10">
        <f>IFERROR(INDEX(спр_Работы!$H$2:$H$6000,MATCH($C639,спр_Работы!$A$2:$A$6000,0))*(1-ДисконтТендер),0)</f>
        <v/>
      </c>
      <c r="M639" s="10">
        <f>IF($I639="",0,IFERROR(INDEX(спр_Материалы!$I$2:$I$9000,MATCH($I639,спр_Материалы!$A$2:$A$9000,0))*IF(INDEX(спр_Материалы!$J$2:$J$9000,MATCH($I639,спр_Материалы!$A$2:$A$9000,0))="USD",КурсUSD,IF(INDEX(спр_Материалы!$J$2:$J$9000,MATCH($I639,спр_Материалы!$A$2:$A$9000,0))="EUR",КурсEUR,1))*INDEX(спр_Материалы!$K$2:$K$9000,MATCH($I639,спр_Материалы!$A$2:$A$9000,0))*(1+IFERROR(INDEX(спр_Работы!$I$2:$I$6000,MATCH($C639,спр_Работы!$A$2:$A$6000,0))/100,0))*(1-ДисконтТендер),0))</f>
        <v/>
      </c>
      <c r="N639" s="10">
        <f>IF(AND($R639="да",$H639&lt;&gt;""),ROUND($H639*$L639,2),0)</f>
        <v/>
      </c>
      <c r="O639" s="10">
        <f>IF(AND($R639="да",$H639&lt;&gt;""),ROUND($H639*$M639,2),0)</f>
        <v/>
      </c>
      <c r="P639" s="10">
        <f>$N639+$O639</f>
        <v/>
      </c>
      <c r="Q639">
        <f>IFERROR(INDEX(спр_Работы!$J$2:$J$6000,MATCH($C639,спр_Работы!$A$2:$A$6000,0)),"")</f>
        <v/>
      </c>
      <c r="R639" t="inlineStr">
        <is>
          <t>да</t>
        </is>
      </c>
      <c r="T639">
        <f>IF(AND($P639&gt;0,$R639="да"),MAX($T$1:$T638)+1,"")</f>
        <v/>
      </c>
    </row>
    <row r="640">
      <c r="A640">
        <f>IFERROR(INDEX(спр_Работы!$D$2:$D$6000,MATCH($C640,спр_Работы!$A$2:$A$6000,0)),"")</f>
        <v/>
      </c>
      <c r="B640">
        <f>IFERROR(INDEX(спр_Работы!$F$2:$F$6000,MATCH($C640,спр_Работы!$A$2:$A$6000,0)),"")</f>
        <v/>
      </c>
      <c r="C640">
        <f>IFERROR(INDEX(спр_Работы!$A$2:$A$6000,639),"")</f>
        <v/>
      </c>
      <c r="D640" s="8">
        <f>IFERROR(INDEX(спр_Работы!$B$2:$B$6000,MATCH($C640,спр_Работы!$A$2:$A$6000,0)),"")</f>
        <v/>
      </c>
      <c r="E640">
        <f>IFERROR(INDEX(спр_Работы!$C$2:$C$6000,MATCH($C640,спр_Работы!$A$2:$A$6000,0)),"")</f>
        <v/>
      </c>
      <c r="F640">
        <f>IFERROR(INDEX(спр_Работы!$G$2:$G$6000,MATCH($C640,спр_Работы!$A$2:$A$6000,0)),"")</f>
        <v/>
      </c>
      <c r="G640">
        <f>IFERROR(INDEX(спр_Работы!$K$2:$K$6000,MATCH($C640,спр_Работы!$A$2:$A$6000,0)),"")</f>
        <v/>
      </c>
      <c r="H640" s="9" t="n"/>
      <c r="I640" s="9" t="n"/>
      <c r="J640" s="8">
        <f>IFERROR(INDEX(спр_Материалы!$B$2:$B$9000,MATCH($I640,спр_Материалы!$A$2:$A$9000,0)),"")</f>
        <v/>
      </c>
      <c r="K640">
        <f>IF($I640="","",IF($F640=IFERROR(INDEX(спр_Материалы!$G$2:$G$9000,MATCH($I640,спр_Материалы!$A$2:$A$9000,0)),""),"OK","!! не та группа"))</f>
        <v/>
      </c>
      <c r="L640" s="10">
        <f>IFERROR(INDEX(спр_Работы!$H$2:$H$6000,MATCH($C640,спр_Работы!$A$2:$A$6000,0))*(1-ДисконтТендер),0)</f>
        <v/>
      </c>
      <c r="M640" s="10">
        <f>IF($I640="",0,IFERROR(INDEX(спр_Материалы!$I$2:$I$9000,MATCH($I640,спр_Материалы!$A$2:$A$9000,0))*IF(INDEX(спр_Материалы!$J$2:$J$9000,MATCH($I640,спр_Материалы!$A$2:$A$9000,0))="USD",КурсUSD,IF(INDEX(спр_Материалы!$J$2:$J$9000,MATCH($I640,спр_Материалы!$A$2:$A$9000,0))="EUR",КурсEUR,1))*INDEX(спр_Материалы!$K$2:$K$9000,MATCH($I640,спр_Материалы!$A$2:$A$9000,0))*(1+IFERROR(INDEX(спр_Работы!$I$2:$I$6000,MATCH($C640,спр_Работы!$A$2:$A$6000,0))/100,0))*(1-ДисконтТендер),0))</f>
        <v/>
      </c>
      <c r="N640" s="10">
        <f>IF(AND($R640="да",$H640&lt;&gt;""),ROUND($H640*$L640,2),0)</f>
        <v/>
      </c>
      <c r="O640" s="10">
        <f>IF(AND($R640="да",$H640&lt;&gt;""),ROUND($H640*$M640,2),0)</f>
        <v/>
      </c>
      <c r="P640" s="10">
        <f>$N640+$O640</f>
        <v/>
      </c>
      <c r="Q640">
        <f>IFERROR(INDEX(спр_Работы!$J$2:$J$6000,MATCH($C640,спр_Работы!$A$2:$A$6000,0)),"")</f>
        <v/>
      </c>
      <c r="R640" t="inlineStr">
        <is>
          <t>да</t>
        </is>
      </c>
      <c r="T640">
        <f>IF(AND($P640&gt;0,$R640="да"),MAX($T$1:$T639)+1,"")</f>
        <v/>
      </c>
    </row>
    <row r="641">
      <c r="A641">
        <f>IFERROR(INDEX(спр_Работы!$D$2:$D$6000,MATCH($C641,спр_Работы!$A$2:$A$6000,0)),"")</f>
        <v/>
      </c>
      <c r="B641">
        <f>IFERROR(INDEX(спр_Работы!$F$2:$F$6000,MATCH($C641,спр_Работы!$A$2:$A$6000,0)),"")</f>
        <v/>
      </c>
      <c r="C641">
        <f>IFERROR(INDEX(спр_Работы!$A$2:$A$6000,640),"")</f>
        <v/>
      </c>
      <c r="D641" s="8">
        <f>IFERROR(INDEX(спр_Работы!$B$2:$B$6000,MATCH($C641,спр_Работы!$A$2:$A$6000,0)),"")</f>
        <v/>
      </c>
      <c r="E641">
        <f>IFERROR(INDEX(спр_Работы!$C$2:$C$6000,MATCH($C641,спр_Работы!$A$2:$A$6000,0)),"")</f>
        <v/>
      </c>
      <c r="F641">
        <f>IFERROR(INDEX(спр_Работы!$G$2:$G$6000,MATCH($C641,спр_Работы!$A$2:$A$6000,0)),"")</f>
        <v/>
      </c>
      <c r="G641">
        <f>IFERROR(INDEX(спр_Работы!$K$2:$K$6000,MATCH($C641,спр_Работы!$A$2:$A$6000,0)),"")</f>
        <v/>
      </c>
      <c r="H641" s="9" t="n"/>
      <c r="I641" s="9" t="n"/>
      <c r="J641" s="8">
        <f>IFERROR(INDEX(спр_Материалы!$B$2:$B$9000,MATCH($I641,спр_Материалы!$A$2:$A$9000,0)),"")</f>
        <v/>
      </c>
      <c r="K641">
        <f>IF($I641="","",IF($F641=IFERROR(INDEX(спр_Материалы!$G$2:$G$9000,MATCH($I641,спр_Материалы!$A$2:$A$9000,0)),""),"OK","!! не та группа"))</f>
        <v/>
      </c>
      <c r="L641" s="10">
        <f>IFERROR(INDEX(спр_Работы!$H$2:$H$6000,MATCH($C641,спр_Работы!$A$2:$A$6000,0))*(1-ДисконтТендер),0)</f>
        <v/>
      </c>
      <c r="M641" s="10">
        <f>IF($I641="",0,IFERROR(INDEX(спр_Материалы!$I$2:$I$9000,MATCH($I641,спр_Материалы!$A$2:$A$9000,0))*IF(INDEX(спр_Материалы!$J$2:$J$9000,MATCH($I641,спр_Материалы!$A$2:$A$9000,0))="USD",КурсUSD,IF(INDEX(спр_Материалы!$J$2:$J$9000,MATCH($I641,спр_Материалы!$A$2:$A$9000,0))="EUR",КурсEUR,1))*INDEX(спр_Материалы!$K$2:$K$9000,MATCH($I641,спр_Материалы!$A$2:$A$9000,0))*(1+IFERROR(INDEX(спр_Работы!$I$2:$I$6000,MATCH($C641,спр_Работы!$A$2:$A$6000,0))/100,0))*(1-ДисконтТендер),0))</f>
        <v/>
      </c>
      <c r="N641" s="10">
        <f>IF(AND($R641="да",$H641&lt;&gt;""),ROUND($H641*$L641,2),0)</f>
        <v/>
      </c>
      <c r="O641" s="10">
        <f>IF(AND($R641="да",$H641&lt;&gt;""),ROUND($H641*$M641,2),0)</f>
        <v/>
      </c>
      <c r="P641" s="10">
        <f>$N641+$O641</f>
        <v/>
      </c>
      <c r="Q641">
        <f>IFERROR(INDEX(спр_Работы!$J$2:$J$6000,MATCH($C641,спр_Работы!$A$2:$A$6000,0)),"")</f>
        <v/>
      </c>
      <c r="R641" t="inlineStr">
        <is>
          <t>да</t>
        </is>
      </c>
      <c r="T641">
        <f>IF(AND($P641&gt;0,$R641="да"),MAX($T$1:$T640)+1,"")</f>
        <v/>
      </c>
    </row>
    <row r="642">
      <c r="A642">
        <f>IFERROR(INDEX(спр_Работы!$D$2:$D$6000,MATCH($C642,спр_Работы!$A$2:$A$6000,0)),"")</f>
        <v/>
      </c>
      <c r="B642">
        <f>IFERROR(INDEX(спр_Работы!$F$2:$F$6000,MATCH($C642,спр_Работы!$A$2:$A$6000,0)),"")</f>
        <v/>
      </c>
      <c r="C642">
        <f>IFERROR(INDEX(спр_Работы!$A$2:$A$6000,641),"")</f>
        <v/>
      </c>
      <c r="D642" s="8">
        <f>IFERROR(INDEX(спр_Работы!$B$2:$B$6000,MATCH($C642,спр_Работы!$A$2:$A$6000,0)),"")</f>
        <v/>
      </c>
      <c r="E642">
        <f>IFERROR(INDEX(спр_Работы!$C$2:$C$6000,MATCH($C642,спр_Работы!$A$2:$A$6000,0)),"")</f>
        <v/>
      </c>
      <c r="F642">
        <f>IFERROR(INDEX(спр_Работы!$G$2:$G$6000,MATCH($C642,спр_Работы!$A$2:$A$6000,0)),"")</f>
        <v/>
      </c>
      <c r="G642">
        <f>IFERROR(INDEX(спр_Работы!$K$2:$K$6000,MATCH($C642,спр_Работы!$A$2:$A$6000,0)),"")</f>
        <v/>
      </c>
      <c r="H642" s="9" t="n"/>
      <c r="I642" s="9" t="n"/>
      <c r="J642" s="8">
        <f>IFERROR(INDEX(спр_Материалы!$B$2:$B$9000,MATCH($I642,спр_Материалы!$A$2:$A$9000,0)),"")</f>
        <v/>
      </c>
      <c r="K642">
        <f>IF($I642="","",IF($F642=IFERROR(INDEX(спр_Материалы!$G$2:$G$9000,MATCH($I642,спр_Материалы!$A$2:$A$9000,0)),""),"OK","!! не та группа"))</f>
        <v/>
      </c>
      <c r="L642" s="10">
        <f>IFERROR(INDEX(спр_Работы!$H$2:$H$6000,MATCH($C642,спр_Работы!$A$2:$A$6000,0))*(1-ДисконтТендер),0)</f>
        <v/>
      </c>
      <c r="M642" s="10">
        <f>IF($I642="",0,IFERROR(INDEX(спр_Материалы!$I$2:$I$9000,MATCH($I642,спр_Материалы!$A$2:$A$9000,0))*IF(INDEX(спр_Материалы!$J$2:$J$9000,MATCH($I642,спр_Материалы!$A$2:$A$9000,0))="USD",КурсUSD,IF(INDEX(спр_Материалы!$J$2:$J$9000,MATCH($I642,спр_Материалы!$A$2:$A$9000,0))="EUR",КурсEUR,1))*INDEX(спр_Материалы!$K$2:$K$9000,MATCH($I642,спр_Материалы!$A$2:$A$9000,0))*(1+IFERROR(INDEX(спр_Работы!$I$2:$I$6000,MATCH($C642,спр_Работы!$A$2:$A$6000,0))/100,0))*(1-ДисконтТендер),0))</f>
        <v/>
      </c>
      <c r="N642" s="10">
        <f>IF(AND($R642="да",$H642&lt;&gt;""),ROUND($H642*$L642,2),0)</f>
        <v/>
      </c>
      <c r="O642" s="10">
        <f>IF(AND($R642="да",$H642&lt;&gt;""),ROUND($H642*$M642,2),0)</f>
        <v/>
      </c>
      <c r="P642" s="10">
        <f>$N642+$O642</f>
        <v/>
      </c>
      <c r="Q642">
        <f>IFERROR(INDEX(спр_Работы!$J$2:$J$6000,MATCH($C642,спр_Работы!$A$2:$A$6000,0)),"")</f>
        <v/>
      </c>
      <c r="R642" t="inlineStr">
        <is>
          <t>да</t>
        </is>
      </c>
      <c r="T642">
        <f>IF(AND($P642&gt;0,$R642="да"),MAX($T$1:$T641)+1,"")</f>
        <v/>
      </c>
    </row>
    <row r="643">
      <c r="A643">
        <f>IFERROR(INDEX(спр_Работы!$D$2:$D$6000,MATCH($C643,спр_Работы!$A$2:$A$6000,0)),"")</f>
        <v/>
      </c>
      <c r="B643">
        <f>IFERROR(INDEX(спр_Работы!$F$2:$F$6000,MATCH($C643,спр_Работы!$A$2:$A$6000,0)),"")</f>
        <v/>
      </c>
      <c r="C643">
        <f>IFERROR(INDEX(спр_Работы!$A$2:$A$6000,642),"")</f>
        <v/>
      </c>
      <c r="D643" s="8">
        <f>IFERROR(INDEX(спр_Работы!$B$2:$B$6000,MATCH($C643,спр_Работы!$A$2:$A$6000,0)),"")</f>
        <v/>
      </c>
      <c r="E643">
        <f>IFERROR(INDEX(спр_Работы!$C$2:$C$6000,MATCH($C643,спр_Работы!$A$2:$A$6000,0)),"")</f>
        <v/>
      </c>
      <c r="F643">
        <f>IFERROR(INDEX(спр_Работы!$G$2:$G$6000,MATCH($C643,спр_Работы!$A$2:$A$6000,0)),"")</f>
        <v/>
      </c>
      <c r="G643">
        <f>IFERROR(INDEX(спр_Работы!$K$2:$K$6000,MATCH($C643,спр_Работы!$A$2:$A$6000,0)),"")</f>
        <v/>
      </c>
      <c r="H643" s="9" t="n"/>
      <c r="I643" s="9" t="n"/>
      <c r="J643" s="8">
        <f>IFERROR(INDEX(спр_Материалы!$B$2:$B$9000,MATCH($I643,спр_Материалы!$A$2:$A$9000,0)),"")</f>
        <v/>
      </c>
      <c r="K643">
        <f>IF($I643="","",IF($F643=IFERROR(INDEX(спр_Материалы!$G$2:$G$9000,MATCH($I643,спр_Материалы!$A$2:$A$9000,0)),""),"OK","!! не та группа"))</f>
        <v/>
      </c>
      <c r="L643" s="10">
        <f>IFERROR(INDEX(спр_Работы!$H$2:$H$6000,MATCH($C643,спр_Работы!$A$2:$A$6000,0))*(1-ДисконтТендер),0)</f>
        <v/>
      </c>
      <c r="M643" s="10">
        <f>IF($I643="",0,IFERROR(INDEX(спр_Материалы!$I$2:$I$9000,MATCH($I643,спр_Материалы!$A$2:$A$9000,0))*IF(INDEX(спр_Материалы!$J$2:$J$9000,MATCH($I643,спр_Материалы!$A$2:$A$9000,0))="USD",КурсUSD,IF(INDEX(спр_Материалы!$J$2:$J$9000,MATCH($I643,спр_Материалы!$A$2:$A$9000,0))="EUR",КурсEUR,1))*INDEX(спр_Материалы!$K$2:$K$9000,MATCH($I643,спр_Материалы!$A$2:$A$9000,0))*(1+IFERROR(INDEX(спр_Работы!$I$2:$I$6000,MATCH($C643,спр_Работы!$A$2:$A$6000,0))/100,0))*(1-ДисконтТендер),0))</f>
        <v/>
      </c>
      <c r="N643" s="10">
        <f>IF(AND($R643="да",$H643&lt;&gt;""),ROUND($H643*$L643,2),0)</f>
        <v/>
      </c>
      <c r="O643" s="10">
        <f>IF(AND($R643="да",$H643&lt;&gt;""),ROUND($H643*$M643,2),0)</f>
        <v/>
      </c>
      <c r="P643" s="10">
        <f>$N643+$O643</f>
        <v/>
      </c>
      <c r="Q643">
        <f>IFERROR(INDEX(спр_Работы!$J$2:$J$6000,MATCH($C643,спр_Работы!$A$2:$A$6000,0)),"")</f>
        <v/>
      </c>
      <c r="R643" t="inlineStr">
        <is>
          <t>да</t>
        </is>
      </c>
      <c r="T643">
        <f>IF(AND($P643&gt;0,$R643="да"),MAX($T$1:$T642)+1,"")</f>
        <v/>
      </c>
    </row>
    <row r="644">
      <c r="A644">
        <f>IFERROR(INDEX(спр_Работы!$D$2:$D$6000,MATCH($C644,спр_Работы!$A$2:$A$6000,0)),"")</f>
        <v/>
      </c>
      <c r="B644">
        <f>IFERROR(INDEX(спр_Работы!$F$2:$F$6000,MATCH($C644,спр_Работы!$A$2:$A$6000,0)),"")</f>
        <v/>
      </c>
      <c r="C644">
        <f>IFERROR(INDEX(спр_Работы!$A$2:$A$6000,643),"")</f>
        <v/>
      </c>
      <c r="D644" s="8">
        <f>IFERROR(INDEX(спр_Работы!$B$2:$B$6000,MATCH($C644,спр_Работы!$A$2:$A$6000,0)),"")</f>
        <v/>
      </c>
      <c r="E644">
        <f>IFERROR(INDEX(спр_Работы!$C$2:$C$6000,MATCH($C644,спр_Работы!$A$2:$A$6000,0)),"")</f>
        <v/>
      </c>
      <c r="F644">
        <f>IFERROR(INDEX(спр_Работы!$G$2:$G$6000,MATCH($C644,спр_Работы!$A$2:$A$6000,0)),"")</f>
        <v/>
      </c>
      <c r="G644">
        <f>IFERROR(INDEX(спр_Работы!$K$2:$K$6000,MATCH($C644,спр_Работы!$A$2:$A$6000,0)),"")</f>
        <v/>
      </c>
      <c r="H644" s="9" t="n"/>
      <c r="I644" s="9" t="n"/>
      <c r="J644" s="8">
        <f>IFERROR(INDEX(спр_Материалы!$B$2:$B$9000,MATCH($I644,спр_Материалы!$A$2:$A$9000,0)),"")</f>
        <v/>
      </c>
      <c r="K644">
        <f>IF($I644="","",IF($F644=IFERROR(INDEX(спр_Материалы!$G$2:$G$9000,MATCH($I644,спр_Материалы!$A$2:$A$9000,0)),""),"OK","!! не та группа"))</f>
        <v/>
      </c>
      <c r="L644" s="10">
        <f>IFERROR(INDEX(спр_Работы!$H$2:$H$6000,MATCH($C644,спр_Работы!$A$2:$A$6000,0))*(1-ДисконтТендер),0)</f>
        <v/>
      </c>
      <c r="M644" s="10">
        <f>IF($I644="",0,IFERROR(INDEX(спр_Материалы!$I$2:$I$9000,MATCH($I644,спр_Материалы!$A$2:$A$9000,0))*IF(INDEX(спр_Материалы!$J$2:$J$9000,MATCH($I644,спр_Материалы!$A$2:$A$9000,0))="USD",КурсUSD,IF(INDEX(спр_Материалы!$J$2:$J$9000,MATCH($I644,спр_Материалы!$A$2:$A$9000,0))="EUR",КурсEUR,1))*INDEX(спр_Материалы!$K$2:$K$9000,MATCH($I644,спр_Материалы!$A$2:$A$9000,0))*(1+IFERROR(INDEX(спр_Работы!$I$2:$I$6000,MATCH($C644,спр_Работы!$A$2:$A$6000,0))/100,0))*(1-ДисконтТендер),0))</f>
        <v/>
      </c>
      <c r="N644" s="10">
        <f>IF(AND($R644="да",$H644&lt;&gt;""),ROUND($H644*$L644,2),0)</f>
        <v/>
      </c>
      <c r="O644" s="10">
        <f>IF(AND($R644="да",$H644&lt;&gt;""),ROUND($H644*$M644,2),0)</f>
        <v/>
      </c>
      <c r="P644" s="10">
        <f>$N644+$O644</f>
        <v/>
      </c>
      <c r="Q644">
        <f>IFERROR(INDEX(спр_Работы!$J$2:$J$6000,MATCH($C644,спр_Работы!$A$2:$A$6000,0)),"")</f>
        <v/>
      </c>
      <c r="R644" t="inlineStr">
        <is>
          <t>да</t>
        </is>
      </c>
      <c r="T644">
        <f>IF(AND($P644&gt;0,$R644="да"),MAX($T$1:$T643)+1,"")</f>
        <v/>
      </c>
    </row>
    <row r="645">
      <c r="A645">
        <f>IFERROR(INDEX(спр_Работы!$D$2:$D$6000,MATCH($C645,спр_Работы!$A$2:$A$6000,0)),"")</f>
        <v/>
      </c>
      <c r="B645">
        <f>IFERROR(INDEX(спр_Работы!$F$2:$F$6000,MATCH($C645,спр_Работы!$A$2:$A$6000,0)),"")</f>
        <v/>
      </c>
      <c r="C645">
        <f>IFERROR(INDEX(спр_Работы!$A$2:$A$6000,644),"")</f>
        <v/>
      </c>
      <c r="D645" s="8">
        <f>IFERROR(INDEX(спр_Работы!$B$2:$B$6000,MATCH($C645,спр_Работы!$A$2:$A$6000,0)),"")</f>
        <v/>
      </c>
      <c r="E645">
        <f>IFERROR(INDEX(спр_Работы!$C$2:$C$6000,MATCH($C645,спр_Работы!$A$2:$A$6000,0)),"")</f>
        <v/>
      </c>
      <c r="F645">
        <f>IFERROR(INDEX(спр_Работы!$G$2:$G$6000,MATCH($C645,спр_Работы!$A$2:$A$6000,0)),"")</f>
        <v/>
      </c>
      <c r="G645">
        <f>IFERROR(INDEX(спр_Работы!$K$2:$K$6000,MATCH($C645,спр_Работы!$A$2:$A$6000,0)),"")</f>
        <v/>
      </c>
      <c r="H645" s="9" t="n"/>
      <c r="I645" s="9" t="n"/>
      <c r="J645" s="8">
        <f>IFERROR(INDEX(спр_Материалы!$B$2:$B$9000,MATCH($I645,спр_Материалы!$A$2:$A$9000,0)),"")</f>
        <v/>
      </c>
      <c r="K645">
        <f>IF($I645="","",IF($F645=IFERROR(INDEX(спр_Материалы!$G$2:$G$9000,MATCH($I645,спр_Материалы!$A$2:$A$9000,0)),""),"OK","!! не та группа"))</f>
        <v/>
      </c>
      <c r="L645" s="10">
        <f>IFERROR(INDEX(спр_Работы!$H$2:$H$6000,MATCH($C645,спр_Работы!$A$2:$A$6000,0))*(1-ДисконтТендер),0)</f>
        <v/>
      </c>
      <c r="M645" s="10">
        <f>IF($I645="",0,IFERROR(INDEX(спр_Материалы!$I$2:$I$9000,MATCH($I645,спр_Материалы!$A$2:$A$9000,0))*IF(INDEX(спр_Материалы!$J$2:$J$9000,MATCH($I645,спр_Материалы!$A$2:$A$9000,0))="USD",КурсUSD,IF(INDEX(спр_Материалы!$J$2:$J$9000,MATCH($I645,спр_Материалы!$A$2:$A$9000,0))="EUR",КурсEUR,1))*INDEX(спр_Материалы!$K$2:$K$9000,MATCH($I645,спр_Материалы!$A$2:$A$9000,0))*(1+IFERROR(INDEX(спр_Работы!$I$2:$I$6000,MATCH($C645,спр_Работы!$A$2:$A$6000,0))/100,0))*(1-ДисконтТендер),0))</f>
        <v/>
      </c>
      <c r="N645" s="10">
        <f>IF(AND($R645="да",$H645&lt;&gt;""),ROUND($H645*$L645,2),0)</f>
        <v/>
      </c>
      <c r="O645" s="10">
        <f>IF(AND($R645="да",$H645&lt;&gt;""),ROUND($H645*$M645,2),0)</f>
        <v/>
      </c>
      <c r="P645" s="10">
        <f>$N645+$O645</f>
        <v/>
      </c>
      <c r="Q645">
        <f>IFERROR(INDEX(спр_Работы!$J$2:$J$6000,MATCH($C645,спр_Работы!$A$2:$A$6000,0)),"")</f>
        <v/>
      </c>
      <c r="R645" t="inlineStr">
        <is>
          <t>да</t>
        </is>
      </c>
      <c r="T645">
        <f>IF(AND($P645&gt;0,$R645="да"),MAX($T$1:$T644)+1,"")</f>
        <v/>
      </c>
    </row>
    <row r="646">
      <c r="A646">
        <f>IFERROR(INDEX(спр_Работы!$D$2:$D$6000,MATCH($C646,спр_Работы!$A$2:$A$6000,0)),"")</f>
        <v/>
      </c>
      <c r="B646">
        <f>IFERROR(INDEX(спр_Работы!$F$2:$F$6000,MATCH($C646,спр_Работы!$A$2:$A$6000,0)),"")</f>
        <v/>
      </c>
      <c r="C646">
        <f>IFERROR(INDEX(спр_Работы!$A$2:$A$6000,645),"")</f>
        <v/>
      </c>
      <c r="D646" s="8">
        <f>IFERROR(INDEX(спр_Работы!$B$2:$B$6000,MATCH($C646,спр_Работы!$A$2:$A$6000,0)),"")</f>
        <v/>
      </c>
      <c r="E646">
        <f>IFERROR(INDEX(спр_Работы!$C$2:$C$6000,MATCH($C646,спр_Работы!$A$2:$A$6000,0)),"")</f>
        <v/>
      </c>
      <c r="F646">
        <f>IFERROR(INDEX(спр_Работы!$G$2:$G$6000,MATCH($C646,спр_Работы!$A$2:$A$6000,0)),"")</f>
        <v/>
      </c>
      <c r="G646">
        <f>IFERROR(INDEX(спр_Работы!$K$2:$K$6000,MATCH($C646,спр_Работы!$A$2:$A$6000,0)),"")</f>
        <v/>
      </c>
      <c r="H646" s="9" t="n"/>
      <c r="I646" s="9" t="n"/>
      <c r="J646" s="8">
        <f>IFERROR(INDEX(спр_Материалы!$B$2:$B$9000,MATCH($I646,спр_Материалы!$A$2:$A$9000,0)),"")</f>
        <v/>
      </c>
      <c r="K646">
        <f>IF($I646="","",IF($F646=IFERROR(INDEX(спр_Материалы!$G$2:$G$9000,MATCH($I646,спр_Материалы!$A$2:$A$9000,0)),""),"OK","!! не та группа"))</f>
        <v/>
      </c>
      <c r="L646" s="10">
        <f>IFERROR(INDEX(спр_Работы!$H$2:$H$6000,MATCH($C646,спр_Работы!$A$2:$A$6000,0))*(1-ДисконтТендер),0)</f>
        <v/>
      </c>
      <c r="M646" s="10">
        <f>IF($I646="",0,IFERROR(INDEX(спр_Материалы!$I$2:$I$9000,MATCH($I646,спр_Материалы!$A$2:$A$9000,0))*IF(INDEX(спр_Материалы!$J$2:$J$9000,MATCH($I646,спр_Материалы!$A$2:$A$9000,0))="USD",КурсUSD,IF(INDEX(спр_Материалы!$J$2:$J$9000,MATCH($I646,спр_Материалы!$A$2:$A$9000,0))="EUR",КурсEUR,1))*INDEX(спр_Материалы!$K$2:$K$9000,MATCH($I646,спр_Материалы!$A$2:$A$9000,0))*(1+IFERROR(INDEX(спр_Работы!$I$2:$I$6000,MATCH($C646,спр_Работы!$A$2:$A$6000,0))/100,0))*(1-ДисконтТендер),0))</f>
        <v/>
      </c>
      <c r="N646" s="10">
        <f>IF(AND($R646="да",$H646&lt;&gt;""),ROUND($H646*$L646,2),0)</f>
        <v/>
      </c>
      <c r="O646" s="10">
        <f>IF(AND($R646="да",$H646&lt;&gt;""),ROUND($H646*$M646,2),0)</f>
        <v/>
      </c>
      <c r="P646" s="10">
        <f>$N646+$O646</f>
        <v/>
      </c>
      <c r="Q646">
        <f>IFERROR(INDEX(спр_Работы!$J$2:$J$6000,MATCH($C646,спр_Работы!$A$2:$A$6000,0)),"")</f>
        <v/>
      </c>
      <c r="R646" t="inlineStr">
        <is>
          <t>да</t>
        </is>
      </c>
      <c r="T646">
        <f>IF(AND($P646&gt;0,$R646="да"),MAX($T$1:$T645)+1,"")</f>
        <v/>
      </c>
    </row>
    <row r="647">
      <c r="A647">
        <f>IFERROR(INDEX(спр_Работы!$D$2:$D$6000,MATCH($C647,спр_Работы!$A$2:$A$6000,0)),"")</f>
        <v/>
      </c>
      <c r="B647">
        <f>IFERROR(INDEX(спр_Работы!$F$2:$F$6000,MATCH($C647,спр_Работы!$A$2:$A$6000,0)),"")</f>
        <v/>
      </c>
      <c r="C647">
        <f>IFERROR(INDEX(спр_Работы!$A$2:$A$6000,646),"")</f>
        <v/>
      </c>
      <c r="D647" s="8">
        <f>IFERROR(INDEX(спр_Работы!$B$2:$B$6000,MATCH($C647,спр_Работы!$A$2:$A$6000,0)),"")</f>
        <v/>
      </c>
      <c r="E647">
        <f>IFERROR(INDEX(спр_Работы!$C$2:$C$6000,MATCH($C647,спр_Работы!$A$2:$A$6000,0)),"")</f>
        <v/>
      </c>
      <c r="F647">
        <f>IFERROR(INDEX(спр_Работы!$G$2:$G$6000,MATCH($C647,спр_Работы!$A$2:$A$6000,0)),"")</f>
        <v/>
      </c>
      <c r="G647">
        <f>IFERROR(INDEX(спр_Работы!$K$2:$K$6000,MATCH($C647,спр_Работы!$A$2:$A$6000,0)),"")</f>
        <v/>
      </c>
      <c r="H647" s="9" t="n"/>
      <c r="I647" s="9" t="n"/>
      <c r="J647" s="8">
        <f>IFERROR(INDEX(спр_Материалы!$B$2:$B$9000,MATCH($I647,спр_Материалы!$A$2:$A$9000,0)),"")</f>
        <v/>
      </c>
      <c r="K647">
        <f>IF($I647="","",IF($F647=IFERROR(INDEX(спр_Материалы!$G$2:$G$9000,MATCH($I647,спр_Материалы!$A$2:$A$9000,0)),""),"OK","!! не та группа"))</f>
        <v/>
      </c>
      <c r="L647" s="10">
        <f>IFERROR(INDEX(спр_Работы!$H$2:$H$6000,MATCH($C647,спр_Работы!$A$2:$A$6000,0))*(1-ДисконтТендер),0)</f>
        <v/>
      </c>
      <c r="M647" s="10">
        <f>IF($I647="",0,IFERROR(INDEX(спр_Материалы!$I$2:$I$9000,MATCH($I647,спр_Материалы!$A$2:$A$9000,0))*IF(INDEX(спр_Материалы!$J$2:$J$9000,MATCH($I647,спр_Материалы!$A$2:$A$9000,0))="USD",КурсUSD,IF(INDEX(спр_Материалы!$J$2:$J$9000,MATCH($I647,спр_Материалы!$A$2:$A$9000,0))="EUR",КурсEUR,1))*INDEX(спр_Материалы!$K$2:$K$9000,MATCH($I647,спр_Материалы!$A$2:$A$9000,0))*(1+IFERROR(INDEX(спр_Работы!$I$2:$I$6000,MATCH($C647,спр_Работы!$A$2:$A$6000,0))/100,0))*(1-ДисконтТендер),0))</f>
        <v/>
      </c>
      <c r="N647" s="10">
        <f>IF(AND($R647="да",$H647&lt;&gt;""),ROUND($H647*$L647,2),0)</f>
        <v/>
      </c>
      <c r="O647" s="10">
        <f>IF(AND($R647="да",$H647&lt;&gt;""),ROUND($H647*$M647,2),0)</f>
        <v/>
      </c>
      <c r="P647" s="10">
        <f>$N647+$O647</f>
        <v/>
      </c>
      <c r="Q647">
        <f>IFERROR(INDEX(спр_Работы!$J$2:$J$6000,MATCH($C647,спр_Работы!$A$2:$A$6000,0)),"")</f>
        <v/>
      </c>
      <c r="R647" t="inlineStr">
        <is>
          <t>да</t>
        </is>
      </c>
      <c r="T647">
        <f>IF(AND($P647&gt;0,$R647="да"),MAX($T$1:$T646)+1,"")</f>
        <v/>
      </c>
    </row>
    <row r="648">
      <c r="A648">
        <f>IFERROR(INDEX(спр_Работы!$D$2:$D$6000,MATCH($C648,спр_Работы!$A$2:$A$6000,0)),"")</f>
        <v/>
      </c>
      <c r="B648">
        <f>IFERROR(INDEX(спр_Работы!$F$2:$F$6000,MATCH($C648,спр_Работы!$A$2:$A$6000,0)),"")</f>
        <v/>
      </c>
      <c r="C648">
        <f>IFERROR(INDEX(спр_Работы!$A$2:$A$6000,647),"")</f>
        <v/>
      </c>
      <c r="D648" s="8">
        <f>IFERROR(INDEX(спр_Работы!$B$2:$B$6000,MATCH($C648,спр_Работы!$A$2:$A$6000,0)),"")</f>
        <v/>
      </c>
      <c r="E648">
        <f>IFERROR(INDEX(спр_Работы!$C$2:$C$6000,MATCH($C648,спр_Работы!$A$2:$A$6000,0)),"")</f>
        <v/>
      </c>
      <c r="F648">
        <f>IFERROR(INDEX(спр_Работы!$G$2:$G$6000,MATCH($C648,спр_Работы!$A$2:$A$6000,0)),"")</f>
        <v/>
      </c>
      <c r="G648">
        <f>IFERROR(INDEX(спр_Работы!$K$2:$K$6000,MATCH($C648,спр_Работы!$A$2:$A$6000,0)),"")</f>
        <v/>
      </c>
      <c r="H648" s="9" t="n"/>
      <c r="I648" s="9" t="n"/>
      <c r="J648" s="8">
        <f>IFERROR(INDEX(спр_Материалы!$B$2:$B$9000,MATCH($I648,спр_Материалы!$A$2:$A$9000,0)),"")</f>
        <v/>
      </c>
      <c r="K648">
        <f>IF($I648="","",IF($F648=IFERROR(INDEX(спр_Материалы!$G$2:$G$9000,MATCH($I648,спр_Материалы!$A$2:$A$9000,0)),""),"OK","!! не та группа"))</f>
        <v/>
      </c>
      <c r="L648" s="10">
        <f>IFERROR(INDEX(спр_Работы!$H$2:$H$6000,MATCH($C648,спр_Работы!$A$2:$A$6000,0))*(1-ДисконтТендер),0)</f>
        <v/>
      </c>
      <c r="M648" s="10">
        <f>IF($I648="",0,IFERROR(INDEX(спр_Материалы!$I$2:$I$9000,MATCH($I648,спр_Материалы!$A$2:$A$9000,0))*IF(INDEX(спр_Материалы!$J$2:$J$9000,MATCH($I648,спр_Материалы!$A$2:$A$9000,0))="USD",КурсUSD,IF(INDEX(спр_Материалы!$J$2:$J$9000,MATCH($I648,спр_Материалы!$A$2:$A$9000,0))="EUR",КурсEUR,1))*INDEX(спр_Материалы!$K$2:$K$9000,MATCH($I648,спр_Материалы!$A$2:$A$9000,0))*(1+IFERROR(INDEX(спр_Работы!$I$2:$I$6000,MATCH($C648,спр_Работы!$A$2:$A$6000,0))/100,0))*(1-ДисконтТендер),0))</f>
        <v/>
      </c>
      <c r="N648" s="10">
        <f>IF(AND($R648="да",$H648&lt;&gt;""),ROUND($H648*$L648,2),0)</f>
        <v/>
      </c>
      <c r="O648" s="10">
        <f>IF(AND($R648="да",$H648&lt;&gt;""),ROUND($H648*$M648,2),0)</f>
        <v/>
      </c>
      <c r="P648" s="10">
        <f>$N648+$O648</f>
        <v/>
      </c>
      <c r="Q648">
        <f>IFERROR(INDEX(спр_Работы!$J$2:$J$6000,MATCH($C648,спр_Работы!$A$2:$A$6000,0)),"")</f>
        <v/>
      </c>
      <c r="R648" t="inlineStr">
        <is>
          <t>да</t>
        </is>
      </c>
      <c r="T648">
        <f>IF(AND($P648&gt;0,$R648="да"),MAX($T$1:$T647)+1,"")</f>
        <v/>
      </c>
    </row>
    <row r="649">
      <c r="A649">
        <f>IFERROR(INDEX(спр_Работы!$D$2:$D$6000,MATCH($C649,спр_Работы!$A$2:$A$6000,0)),"")</f>
        <v/>
      </c>
      <c r="B649">
        <f>IFERROR(INDEX(спр_Работы!$F$2:$F$6000,MATCH($C649,спр_Работы!$A$2:$A$6000,0)),"")</f>
        <v/>
      </c>
      <c r="C649">
        <f>IFERROR(INDEX(спр_Работы!$A$2:$A$6000,648),"")</f>
        <v/>
      </c>
      <c r="D649" s="8">
        <f>IFERROR(INDEX(спр_Работы!$B$2:$B$6000,MATCH($C649,спр_Работы!$A$2:$A$6000,0)),"")</f>
        <v/>
      </c>
      <c r="E649">
        <f>IFERROR(INDEX(спр_Работы!$C$2:$C$6000,MATCH($C649,спр_Работы!$A$2:$A$6000,0)),"")</f>
        <v/>
      </c>
      <c r="F649">
        <f>IFERROR(INDEX(спр_Работы!$G$2:$G$6000,MATCH($C649,спр_Работы!$A$2:$A$6000,0)),"")</f>
        <v/>
      </c>
      <c r="G649">
        <f>IFERROR(INDEX(спр_Работы!$K$2:$K$6000,MATCH($C649,спр_Работы!$A$2:$A$6000,0)),"")</f>
        <v/>
      </c>
      <c r="H649" s="9" t="n"/>
      <c r="I649" s="9" t="n"/>
      <c r="J649" s="8">
        <f>IFERROR(INDEX(спр_Материалы!$B$2:$B$9000,MATCH($I649,спр_Материалы!$A$2:$A$9000,0)),"")</f>
        <v/>
      </c>
      <c r="K649">
        <f>IF($I649="","",IF($F649=IFERROR(INDEX(спр_Материалы!$G$2:$G$9000,MATCH($I649,спр_Материалы!$A$2:$A$9000,0)),""),"OK","!! не та группа"))</f>
        <v/>
      </c>
      <c r="L649" s="10">
        <f>IFERROR(INDEX(спр_Работы!$H$2:$H$6000,MATCH($C649,спр_Работы!$A$2:$A$6000,0))*(1-ДисконтТендер),0)</f>
        <v/>
      </c>
      <c r="M649" s="10">
        <f>IF($I649="",0,IFERROR(INDEX(спр_Материалы!$I$2:$I$9000,MATCH($I649,спр_Материалы!$A$2:$A$9000,0))*IF(INDEX(спр_Материалы!$J$2:$J$9000,MATCH($I649,спр_Материалы!$A$2:$A$9000,0))="USD",КурсUSD,IF(INDEX(спр_Материалы!$J$2:$J$9000,MATCH($I649,спр_Материалы!$A$2:$A$9000,0))="EUR",КурсEUR,1))*INDEX(спр_Материалы!$K$2:$K$9000,MATCH($I649,спр_Материалы!$A$2:$A$9000,0))*(1+IFERROR(INDEX(спр_Работы!$I$2:$I$6000,MATCH($C649,спр_Работы!$A$2:$A$6000,0))/100,0))*(1-ДисконтТендер),0))</f>
        <v/>
      </c>
      <c r="N649" s="10">
        <f>IF(AND($R649="да",$H649&lt;&gt;""),ROUND($H649*$L649,2),0)</f>
        <v/>
      </c>
      <c r="O649" s="10">
        <f>IF(AND($R649="да",$H649&lt;&gt;""),ROUND($H649*$M649,2),0)</f>
        <v/>
      </c>
      <c r="P649" s="10">
        <f>$N649+$O649</f>
        <v/>
      </c>
      <c r="Q649">
        <f>IFERROR(INDEX(спр_Работы!$J$2:$J$6000,MATCH($C649,спр_Работы!$A$2:$A$6000,0)),"")</f>
        <v/>
      </c>
      <c r="R649" t="inlineStr">
        <is>
          <t>да</t>
        </is>
      </c>
      <c r="T649">
        <f>IF(AND($P649&gt;0,$R649="да"),MAX($T$1:$T648)+1,"")</f>
        <v/>
      </c>
    </row>
    <row r="650">
      <c r="A650">
        <f>IFERROR(INDEX(спр_Работы!$D$2:$D$6000,MATCH($C650,спр_Работы!$A$2:$A$6000,0)),"")</f>
        <v/>
      </c>
      <c r="B650">
        <f>IFERROR(INDEX(спр_Работы!$F$2:$F$6000,MATCH($C650,спр_Работы!$A$2:$A$6000,0)),"")</f>
        <v/>
      </c>
      <c r="C650">
        <f>IFERROR(INDEX(спр_Работы!$A$2:$A$6000,649),"")</f>
        <v/>
      </c>
      <c r="D650" s="8">
        <f>IFERROR(INDEX(спр_Работы!$B$2:$B$6000,MATCH($C650,спр_Работы!$A$2:$A$6000,0)),"")</f>
        <v/>
      </c>
      <c r="E650">
        <f>IFERROR(INDEX(спр_Работы!$C$2:$C$6000,MATCH($C650,спр_Работы!$A$2:$A$6000,0)),"")</f>
        <v/>
      </c>
      <c r="F650">
        <f>IFERROR(INDEX(спр_Работы!$G$2:$G$6000,MATCH($C650,спр_Работы!$A$2:$A$6000,0)),"")</f>
        <v/>
      </c>
      <c r="G650">
        <f>IFERROR(INDEX(спр_Работы!$K$2:$K$6000,MATCH($C650,спр_Работы!$A$2:$A$6000,0)),"")</f>
        <v/>
      </c>
      <c r="H650" s="9" t="n"/>
      <c r="I650" s="9" t="n"/>
      <c r="J650" s="8">
        <f>IFERROR(INDEX(спр_Материалы!$B$2:$B$9000,MATCH($I650,спр_Материалы!$A$2:$A$9000,0)),"")</f>
        <v/>
      </c>
      <c r="K650">
        <f>IF($I650="","",IF($F650=IFERROR(INDEX(спр_Материалы!$G$2:$G$9000,MATCH($I650,спр_Материалы!$A$2:$A$9000,0)),""),"OK","!! не та группа"))</f>
        <v/>
      </c>
      <c r="L650" s="10">
        <f>IFERROR(INDEX(спр_Работы!$H$2:$H$6000,MATCH($C650,спр_Работы!$A$2:$A$6000,0))*(1-ДисконтТендер),0)</f>
        <v/>
      </c>
      <c r="M650" s="10">
        <f>IF($I650="",0,IFERROR(INDEX(спр_Материалы!$I$2:$I$9000,MATCH($I650,спр_Материалы!$A$2:$A$9000,0))*IF(INDEX(спр_Материалы!$J$2:$J$9000,MATCH($I650,спр_Материалы!$A$2:$A$9000,0))="USD",КурсUSD,IF(INDEX(спр_Материалы!$J$2:$J$9000,MATCH($I650,спр_Материалы!$A$2:$A$9000,0))="EUR",КурсEUR,1))*INDEX(спр_Материалы!$K$2:$K$9000,MATCH($I650,спр_Материалы!$A$2:$A$9000,0))*(1+IFERROR(INDEX(спр_Работы!$I$2:$I$6000,MATCH($C650,спр_Работы!$A$2:$A$6000,0))/100,0))*(1-ДисконтТендер),0))</f>
        <v/>
      </c>
      <c r="N650" s="10">
        <f>IF(AND($R650="да",$H650&lt;&gt;""),ROUND($H650*$L650,2),0)</f>
        <v/>
      </c>
      <c r="O650" s="10">
        <f>IF(AND($R650="да",$H650&lt;&gt;""),ROUND($H650*$M650,2),0)</f>
        <v/>
      </c>
      <c r="P650" s="10">
        <f>$N650+$O650</f>
        <v/>
      </c>
      <c r="Q650">
        <f>IFERROR(INDEX(спр_Работы!$J$2:$J$6000,MATCH($C650,спр_Работы!$A$2:$A$6000,0)),"")</f>
        <v/>
      </c>
      <c r="R650" t="inlineStr">
        <is>
          <t>да</t>
        </is>
      </c>
      <c r="T650">
        <f>IF(AND($P650&gt;0,$R650="да"),MAX($T$1:$T649)+1,"")</f>
        <v/>
      </c>
    </row>
    <row r="651">
      <c r="A651">
        <f>IFERROR(INDEX(спр_Работы!$D$2:$D$6000,MATCH($C651,спр_Работы!$A$2:$A$6000,0)),"")</f>
        <v/>
      </c>
      <c r="B651">
        <f>IFERROR(INDEX(спр_Работы!$F$2:$F$6000,MATCH($C651,спр_Работы!$A$2:$A$6000,0)),"")</f>
        <v/>
      </c>
      <c r="C651">
        <f>IFERROR(INDEX(спр_Работы!$A$2:$A$6000,650),"")</f>
        <v/>
      </c>
      <c r="D651" s="8">
        <f>IFERROR(INDEX(спр_Работы!$B$2:$B$6000,MATCH($C651,спр_Работы!$A$2:$A$6000,0)),"")</f>
        <v/>
      </c>
      <c r="E651">
        <f>IFERROR(INDEX(спр_Работы!$C$2:$C$6000,MATCH($C651,спр_Работы!$A$2:$A$6000,0)),"")</f>
        <v/>
      </c>
      <c r="F651">
        <f>IFERROR(INDEX(спр_Работы!$G$2:$G$6000,MATCH($C651,спр_Работы!$A$2:$A$6000,0)),"")</f>
        <v/>
      </c>
      <c r="G651">
        <f>IFERROR(INDEX(спр_Работы!$K$2:$K$6000,MATCH($C651,спр_Работы!$A$2:$A$6000,0)),"")</f>
        <v/>
      </c>
      <c r="H651" s="9" t="n"/>
      <c r="I651" s="9" t="n"/>
      <c r="J651" s="8">
        <f>IFERROR(INDEX(спр_Материалы!$B$2:$B$9000,MATCH($I651,спр_Материалы!$A$2:$A$9000,0)),"")</f>
        <v/>
      </c>
      <c r="K651">
        <f>IF($I651="","",IF($F651=IFERROR(INDEX(спр_Материалы!$G$2:$G$9000,MATCH($I651,спр_Материалы!$A$2:$A$9000,0)),""),"OK","!! не та группа"))</f>
        <v/>
      </c>
      <c r="L651" s="10">
        <f>IFERROR(INDEX(спр_Работы!$H$2:$H$6000,MATCH($C651,спр_Работы!$A$2:$A$6000,0))*(1-ДисконтТендер),0)</f>
        <v/>
      </c>
      <c r="M651" s="10">
        <f>IF($I651="",0,IFERROR(INDEX(спр_Материалы!$I$2:$I$9000,MATCH($I651,спр_Материалы!$A$2:$A$9000,0))*IF(INDEX(спр_Материалы!$J$2:$J$9000,MATCH($I651,спр_Материалы!$A$2:$A$9000,0))="USD",КурсUSD,IF(INDEX(спр_Материалы!$J$2:$J$9000,MATCH($I651,спр_Материалы!$A$2:$A$9000,0))="EUR",КурсEUR,1))*INDEX(спр_Материалы!$K$2:$K$9000,MATCH($I651,спр_Материалы!$A$2:$A$9000,0))*(1+IFERROR(INDEX(спр_Работы!$I$2:$I$6000,MATCH($C651,спр_Работы!$A$2:$A$6000,0))/100,0))*(1-ДисконтТендер),0))</f>
        <v/>
      </c>
      <c r="N651" s="10">
        <f>IF(AND($R651="да",$H651&lt;&gt;""),ROUND($H651*$L651,2),0)</f>
        <v/>
      </c>
      <c r="O651" s="10">
        <f>IF(AND($R651="да",$H651&lt;&gt;""),ROUND($H651*$M651,2),0)</f>
        <v/>
      </c>
      <c r="P651" s="10">
        <f>$N651+$O651</f>
        <v/>
      </c>
      <c r="Q651">
        <f>IFERROR(INDEX(спр_Работы!$J$2:$J$6000,MATCH($C651,спр_Работы!$A$2:$A$6000,0)),"")</f>
        <v/>
      </c>
      <c r="R651" t="inlineStr">
        <is>
          <t>да</t>
        </is>
      </c>
      <c r="T651">
        <f>IF(AND($P651&gt;0,$R651="да"),MAX($T$1:$T650)+1,"")</f>
        <v/>
      </c>
    </row>
    <row r="652">
      <c r="A652">
        <f>IFERROR(INDEX(спр_Работы!$D$2:$D$6000,MATCH($C652,спр_Работы!$A$2:$A$6000,0)),"")</f>
        <v/>
      </c>
      <c r="B652">
        <f>IFERROR(INDEX(спр_Работы!$F$2:$F$6000,MATCH($C652,спр_Работы!$A$2:$A$6000,0)),"")</f>
        <v/>
      </c>
      <c r="C652">
        <f>IFERROR(INDEX(спр_Работы!$A$2:$A$6000,651),"")</f>
        <v/>
      </c>
      <c r="D652" s="8">
        <f>IFERROR(INDEX(спр_Работы!$B$2:$B$6000,MATCH($C652,спр_Работы!$A$2:$A$6000,0)),"")</f>
        <v/>
      </c>
      <c r="E652">
        <f>IFERROR(INDEX(спр_Работы!$C$2:$C$6000,MATCH($C652,спр_Работы!$A$2:$A$6000,0)),"")</f>
        <v/>
      </c>
      <c r="F652">
        <f>IFERROR(INDEX(спр_Работы!$G$2:$G$6000,MATCH($C652,спр_Работы!$A$2:$A$6000,0)),"")</f>
        <v/>
      </c>
      <c r="G652">
        <f>IFERROR(INDEX(спр_Работы!$K$2:$K$6000,MATCH($C652,спр_Работы!$A$2:$A$6000,0)),"")</f>
        <v/>
      </c>
      <c r="H652" s="9" t="n"/>
      <c r="I652" s="9" t="n"/>
      <c r="J652" s="8">
        <f>IFERROR(INDEX(спр_Материалы!$B$2:$B$9000,MATCH($I652,спр_Материалы!$A$2:$A$9000,0)),"")</f>
        <v/>
      </c>
      <c r="K652">
        <f>IF($I652="","",IF($F652=IFERROR(INDEX(спр_Материалы!$G$2:$G$9000,MATCH($I652,спр_Материалы!$A$2:$A$9000,0)),""),"OK","!! не та группа"))</f>
        <v/>
      </c>
      <c r="L652" s="10">
        <f>IFERROR(INDEX(спр_Работы!$H$2:$H$6000,MATCH($C652,спр_Работы!$A$2:$A$6000,0))*(1-ДисконтТендер),0)</f>
        <v/>
      </c>
      <c r="M652" s="10">
        <f>IF($I652="",0,IFERROR(INDEX(спр_Материалы!$I$2:$I$9000,MATCH($I652,спр_Материалы!$A$2:$A$9000,0))*IF(INDEX(спр_Материалы!$J$2:$J$9000,MATCH($I652,спр_Материалы!$A$2:$A$9000,0))="USD",КурсUSD,IF(INDEX(спр_Материалы!$J$2:$J$9000,MATCH($I652,спр_Материалы!$A$2:$A$9000,0))="EUR",КурсEUR,1))*INDEX(спр_Материалы!$K$2:$K$9000,MATCH($I652,спр_Материалы!$A$2:$A$9000,0))*(1+IFERROR(INDEX(спр_Работы!$I$2:$I$6000,MATCH($C652,спр_Работы!$A$2:$A$6000,0))/100,0))*(1-ДисконтТендер),0))</f>
        <v/>
      </c>
      <c r="N652" s="10">
        <f>IF(AND($R652="да",$H652&lt;&gt;""),ROUND($H652*$L652,2),0)</f>
        <v/>
      </c>
      <c r="O652" s="10">
        <f>IF(AND($R652="да",$H652&lt;&gt;""),ROUND($H652*$M652,2),0)</f>
        <v/>
      </c>
      <c r="P652" s="10">
        <f>$N652+$O652</f>
        <v/>
      </c>
      <c r="Q652">
        <f>IFERROR(INDEX(спр_Работы!$J$2:$J$6000,MATCH($C652,спр_Работы!$A$2:$A$6000,0)),"")</f>
        <v/>
      </c>
      <c r="R652" t="inlineStr">
        <is>
          <t>да</t>
        </is>
      </c>
      <c r="T652">
        <f>IF(AND($P652&gt;0,$R652="да"),MAX($T$1:$T651)+1,"")</f>
        <v/>
      </c>
    </row>
    <row r="653">
      <c r="A653">
        <f>IFERROR(INDEX(спр_Работы!$D$2:$D$6000,MATCH($C653,спр_Работы!$A$2:$A$6000,0)),"")</f>
        <v/>
      </c>
      <c r="B653">
        <f>IFERROR(INDEX(спр_Работы!$F$2:$F$6000,MATCH($C653,спр_Работы!$A$2:$A$6000,0)),"")</f>
        <v/>
      </c>
      <c r="C653">
        <f>IFERROR(INDEX(спр_Работы!$A$2:$A$6000,652),"")</f>
        <v/>
      </c>
      <c r="D653" s="8">
        <f>IFERROR(INDEX(спр_Работы!$B$2:$B$6000,MATCH($C653,спр_Работы!$A$2:$A$6000,0)),"")</f>
        <v/>
      </c>
      <c r="E653">
        <f>IFERROR(INDEX(спр_Работы!$C$2:$C$6000,MATCH($C653,спр_Работы!$A$2:$A$6000,0)),"")</f>
        <v/>
      </c>
      <c r="F653">
        <f>IFERROR(INDEX(спр_Работы!$G$2:$G$6000,MATCH($C653,спр_Работы!$A$2:$A$6000,0)),"")</f>
        <v/>
      </c>
      <c r="G653">
        <f>IFERROR(INDEX(спр_Работы!$K$2:$K$6000,MATCH($C653,спр_Работы!$A$2:$A$6000,0)),"")</f>
        <v/>
      </c>
      <c r="H653" s="9" t="n"/>
      <c r="I653" s="9" t="n"/>
      <c r="J653" s="8">
        <f>IFERROR(INDEX(спр_Материалы!$B$2:$B$9000,MATCH($I653,спр_Материалы!$A$2:$A$9000,0)),"")</f>
        <v/>
      </c>
      <c r="K653">
        <f>IF($I653="","",IF($F653=IFERROR(INDEX(спр_Материалы!$G$2:$G$9000,MATCH($I653,спр_Материалы!$A$2:$A$9000,0)),""),"OK","!! не та группа"))</f>
        <v/>
      </c>
      <c r="L653" s="10">
        <f>IFERROR(INDEX(спр_Работы!$H$2:$H$6000,MATCH($C653,спр_Работы!$A$2:$A$6000,0))*(1-ДисконтТендер),0)</f>
        <v/>
      </c>
      <c r="M653" s="10">
        <f>IF($I653="",0,IFERROR(INDEX(спр_Материалы!$I$2:$I$9000,MATCH($I653,спр_Материалы!$A$2:$A$9000,0))*IF(INDEX(спр_Материалы!$J$2:$J$9000,MATCH($I653,спр_Материалы!$A$2:$A$9000,0))="USD",КурсUSD,IF(INDEX(спр_Материалы!$J$2:$J$9000,MATCH($I653,спр_Материалы!$A$2:$A$9000,0))="EUR",КурсEUR,1))*INDEX(спр_Материалы!$K$2:$K$9000,MATCH($I653,спр_Материалы!$A$2:$A$9000,0))*(1+IFERROR(INDEX(спр_Работы!$I$2:$I$6000,MATCH($C653,спр_Работы!$A$2:$A$6000,0))/100,0))*(1-ДисконтТендер),0))</f>
        <v/>
      </c>
      <c r="N653" s="10">
        <f>IF(AND($R653="да",$H653&lt;&gt;""),ROUND($H653*$L653,2),0)</f>
        <v/>
      </c>
      <c r="O653" s="10">
        <f>IF(AND($R653="да",$H653&lt;&gt;""),ROUND($H653*$M653,2),0)</f>
        <v/>
      </c>
      <c r="P653" s="10">
        <f>$N653+$O653</f>
        <v/>
      </c>
      <c r="Q653">
        <f>IFERROR(INDEX(спр_Работы!$J$2:$J$6000,MATCH($C653,спр_Работы!$A$2:$A$6000,0)),"")</f>
        <v/>
      </c>
      <c r="R653" t="inlineStr">
        <is>
          <t>да</t>
        </is>
      </c>
      <c r="T653">
        <f>IF(AND($P653&gt;0,$R653="да"),MAX($T$1:$T652)+1,"")</f>
        <v/>
      </c>
    </row>
    <row r="654">
      <c r="A654">
        <f>IFERROR(INDEX(спр_Работы!$D$2:$D$6000,MATCH($C654,спр_Работы!$A$2:$A$6000,0)),"")</f>
        <v/>
      </c>
      <c r="B654">
        <f>IFERROR(INDEX(спр_Работы!$F$2:$F$6000,MATCH($C654,спр_Работы!$A$2:$A$6000,0)),"")</f>
        <v/>
      </c>
      <c r="C654">
        <f>IFERROR(INDEX(спр_Работы!$A$2:$A$6000,653),"")</f>
        <v/>
      </c>
      <c r="D654" s="8">
        <f>IFERROR(INDEX(спр_Работы!$B$2:$B$6000,MATCH($C654,спр_Работы!$A$2:$A$6000,0)),"")</f>
        <v/>
      </c>
      <c r="E654">
        <f>IFERROR(INDEX(спр_Работы!$C$2:$C$6000,MATCH($C654,спр_Работы!$A$2:$A$6000,0)),"")</f>
        <v/>
      </c>
      <c r="F654">
        <f>IFERROR(INDEX(спр_Работы!$G$2:$G$6000,MATCH($C654,спр_Работы!$A$2:$A$6000,0)),"")</f>
        <v/>
      </c>
      <c r="G654">
        <f>IFERROR(INDEX(спр_Работы!$K$2:$K$6000,MATCH($C654,спр_Работы!$A$2:$A$6000,0)),"")</f>
        <v/>
      </c>
      <c r="H654" s="9" t="n"/>
      <c r="I654" s="9" t="n"/>
      <c r="J654" s="8">
        <f>IFERROR(INDEX(спр_Материалы!$B$2:$B$9000,MATCH($I654,спр_Материалы!$A$2:$A$9000,0)),"")</f>
        <v/>
      </c>
      <c r="K654">
        <f>IF($I654="","",IF($F654=IFERROR(INDEX(спр_Материалы!$G$2:$G$9000,MATCH($I654,спр_Материалы!$A$2:$A$9000,0)),""),"OK","!! не та группа"))</f>
        <v/>
      </c>
      <c r="L654" s="10">
        <f>IFERROR(INDEX(спр_Работы!$H$2:$H$6000,MATCH($C654,спр_Работы!$A$2:$A$6000,0))*(1-ДисконтТендер),0)</f>
        <v/>
      </c>
      <c r="M654" s="10">
        <f>IF($I654="",0,IFERROR(INDEX(спр_Материалы!$I$2:$I$9000,MATCH($I654,спр_Материалы!$A$2:$A$9000,0))*IF(INDEX(спр_Материалы!$J$2:$J$9000,MATCH($I654,спр_Материалы!$A$2:$A$9000,0))="USD",КурсUSD,IF(INDEX(спр_Материалы!$J$2:$J$9000,MATCH($I654,спр_Материалы!$A$2:$A$9000,0))="EUR",КурсEUR,1))*INDEX(спр_Материалы!$K$2:$K$9000,MATCH($I654,спр_Материалы!$A$2:$A$9000,0))*(1+IFERROR(INDEX(спр_Работы!$I$2:$I$6000,MATCH($C654,спр_Работы!$A$2:$A$6000,0))/100,0))*(1-ДисконтТендер),0))</f>
        <v/>
      </c>
      <c r="N654" s="10">
        <f>IF(AND($R654="да",$H654&lt;&gt;""),ROUND($H654*$L654,2),0)</f>
        <v/>
      </c>
      <c r="O654" s="10">
        <f>IF(AND($R654="да",$H654&lt;&gt;""),ROUND($H654*$M654,2),0)</f>
        <v/>
      </c>
      <c r="P654" s="10">
        <f>$N654+$O654</f>
        <v/>
      </c>
      <c r="Q654">
        <f>IFERROR(INDEX(спр_Работы!$J$2:$J$6000,MATCH($C654,спр_Работы!$A$2:$A$6000,0)),"")</f>
        <v/>
      </c>
      <c r="R654" t="inlineStr">
        <is>
          <t>да</t>
        </is>
      </c>
      <c r="T654">
        <f>IF(AND($P654&gt;0,$R654="да"),MAX($T$1:$T653)+1,"")</f>
        <v/>
      </c>
    </row>
    <row r="655">
      <c r="A655">
        <f>IFERROR(INDEX(спр_Работы!$D$2:$D$6000,MATCH($C655,спр_Работы!$A$2:$A$6000,0)),"")</f>
        <v/>
      </c>
      <c r="B655">
        <f>IFERROR(INDEX(спр_Работы!$F$2:$F$6000,MATCH($C655,спр_Работы!$A$2:$A$6000,0)),"")</f>
        <v/>
      </c>
      <c r="C655">
        <f>IFERROR(INDEX(спр_Работы!$A$2:$A$6000,654),"")</f>
        <v/>
      </c>
      <c r="D655" s="8">
        <f>IFERROR(INDEX(спр_Работы!$B$2:$B$6000,MATCH($C655,спр_Работы!$A$2:$A$6000,0)),"")</f>
        <v/>
      </c>
      <c r="E655">
        <f>IFERROR(INDEX(спр_Работы!$C$2:$C$6000,MATCH($C655,спр_Работы!$A$2:$A$6000,0)),"")</f>
        <v/>
      </c>
      <c r="F655">
        <f>IFERROR(INDEX(спр_Работы!$G$2:$G$6000,MATCH($C655,спр_Работы!$A$2:$A$6000,0)),"")</f>
        <v/>
      </c>
      <c r="G655">
        <f>IFERROR(INDEX(спр_Работы!$K$2:$K$6000,MATCH($C655,спр_Работы!$A$2:$A$6000,0)),"")</f>
        <v/>
      </c>
      <c r="H655" s="9" t="n"/>
      <c r="I655" s="9" t="n"/>
      <c r="J655" s="8">
        <f>IFERROR(INDEX(спр_Материалы!$B$2:$B$9000,MATCH($I655,спр_Материалы!$A$2:$A$9000,0)),"")</f>
        <v/>
      </c>
      <c r="K655">
        <f>IF($I655="","",IF($F655=IFERROR(INDEX(спр_Материалы!$G$2:$G$9000,MATCH($I655,спр_Материалы!$A$2:$A$9000,0)),""),"OK","!! не та группа"))</f>
        <v/>
      </c>
      <c r="L655" s="10">
        <f>IFERROR(INDEX(спр_Работы!$H$2:$H$6000,MATCH($C655,спр_Работы!$A$2:$A$6000,0))*(1-ДисконтТендер),0)</f>
        <v/>
      </c>
      <c r="M655" s="10">
        <f>IF($I655="",0,IFERROR(INDEX(спр_Материалы!$I$2:$I$9000,MATCH($I655,спр_Материалы!$A$2:$A$9000,0))*IF(INDEX(спр_Материалы!$J$2:$J$9000,MATCH($I655,спр_Материалы!$A$2:$A$9000,0))="USD",КурсUSD,IF(INDEX(спр_Материалы!$J$2:$J$9000,MATCH($I655,спр_Материалы!$A$2:$A$9000,0))="EUR",КурсEUR,1))*INDEX(спр_Материалы!$K$2:$K$9000,MATCH($I655,спр_Материалы!$A$2:$A$9000,0))*(1+IFERROR(INDEX(спр_Работы!$I$2:$I$6000,MATCH($C655,спр_Работы!$A$2:$A$6000,0))/100,0))*(1-ДисконтТендер),0))</f>
        <v/>
      </c>
      <c r="N655" s="10">
        <f>IF(AND($R655="да",$H655&lt;&gt;""),ROUND($H655*$L655,2),0)</f>
        <v/>
      </c>
      <c r="O655" s="10">
        <f>IF(AND($R655="да",$H655&lt;&gt;""),ROUND($H655*$M655,2),0)</f>
        <v/>
      </c>
      <c r="P655" s="10">
        <f>$N655+$O655</f>
        <v/>
      </c>
      <c r="Q655">
        <f>IFERROR(INDEX(спр_Работы!$J$2:$J$6000,MATCH($C655,спр_Работы!$A$2:$A$6000,0)),"")</f>
        <v/>
      </c>
      <c r="R655" t="inlineStr">
        <is>
          <t>да</t>
        </is>
      </c>
      <c r="T655">
        <f>IF(AND($P655&gt;0,$R655="да"),MAX($T$1:$T654)+1,"")</f>
        <v/>
      </c>
    </row>
    <row r="656">
      <c r="A656">
        <f>IFERROR(INDEX(спр_Работы!$D$2:$D$6000,MATCH($C656,спр_Работы!$A$2:$A$6000,0)),"")</f>
        <v/>
      </c>
      <c r="B656">
        <f>IFERROR(INDEX(спр_Работы!$F$2:$F$6000,MATCH($C656,спр_Работы!$A$2:$A$6000,0)),"")</f>
        <v/>
      </c>
      <c r="C656">
        <f>IFERROR(INDEX(спр_Работы!$A$2:$A$6000,655),"")</f>
        <v/>
      </c>
      <c r="D656" s="8">
        <f>IFERROR(INDEX(спр_Работы!$B$2:$B$6000,MATCH($C656,спр_Работы!$A$2:$A$6000,0)),"")</f>
        <v/>
      </c>
      <c r="E656">
        <f>IFERROR(INDEX(спр_Работы!$C$2:$C$6000,MATCH($C656,спр_Работы!$A$2:$A$6000,0)),"")</f>
        <v/>
      </c>
      <c r="F656">
        <f>IFERROR(INDEX(спр_Работы!$G$2:$G$6000,MATCH($C656,спр_Работы!$A$2:$A$6000,0)),"")</f>
        <v/>
      </c>
      <c r="G656">
        <f>IFERROR(INDEX(спр_Работы!$K$2:$K$6000,MATCH($C656,спр_Работы!$A$2:$A$6000,0)),"")</f>
        <v/>
      </c>
      <c r="H656" s="9" t="n"/>
      <c r="I656" s="9" t="n"/>
      <c r="J656" s="8">
        <f>IFERROR(INDEX(спр_Материалы!$B$2:$B$9000,MATCH($I656,спр_Материалы!$A$2:$A$9000,0)),"")</f>
        <v/>
      </c>
      <c r="K656">
        <f>IF($I656="","",IF($F656=IFERROR(INDEX(спр_Материалы!$G$2:$G$9000,MATCH($I656,спр_Материалы!$A$2:$A$9000,0)),""),"OK","!! не та группа"))</f>
        <v/>
      </c>
      <c r="L656" s="10">
        <f>IFERROR(INDEX(спр_Работы!$H$2:$H$6000,MATCH($C656,спр_Работы!$A$2:$A$6000,0))*(1-ДисконтТендер),0)</f>
        <v/>
      </c>
      <c r="M656" s="10">
        <f>IF($I656="",0,IFERROR(INDEX(спр_Материалы!$I$2:$I$9000,MATCH($I656,спр_Материалы!$A$2:$A$9000,0))*IF(INDEX(спр_Материалы!$J$2:$J$9000,MATCH($I656,спр_Материалы!$A$2:$A$9000,0))="USD",КурсUSD,IF(INDEX(спр_Материалы!$J$2:$J$9000,MATCH($I656,спр_Материалы!$A$2:$A$9000,0))="EUR",КурсEUR,1))*INDEX(спр_Материалы!$K$2:$K$9000,MATCH($I656,спр_Материалы!$A$2:$A$9000,0))*(1+IFERROR(INDEX(спр_Работы!$I$2:$I$6000,MATCH($C656,спр_Работы!$A$2:$A$6000,0))/100,0))*(1-ДисконтТендер),0))</f>
        <v/>
      </c>
      <c r="N656" s="10">
        <f>IF(AND($R656="да",$H656&lt;&gt;""),ROUND($H656*$L656,2),0)</f>
        <v/>
      </c>
      <c r="O656" s="10">
        <f>IF(AND($R656="да",$H656&lt;&gt;""),ROUND($H656*$M656,2),0)</f>
        <v/>
      </c>
      <c r="P656" s="10">
        <f>$N656+$O656</f>
        <v/>
      </c>
      <c r="Q656">
        <f>IFERROR(INDEX(спр_Работы!$J$2:$J$6000,MATCH($C656,спр_Работы!$A$2:$A$6000,0)),"")</f>
        <v/>
      </c>
      <c r="R656" t="inlineStr">
        <is>
          <t>да</t>
        </is>
      </c>
      <c r="T656">
        <f>IF(AND($P656&gt;0,$R656="да"),MAX($T$1:$T655)+1,"")</f>
        <v/>
      </c>
    </row>
    <row r="657">
      <c r="A657">
        <f>IFERROR(INDEX(спр_Работы!$D$2:$D$6000,MATCH($C657,спр_Работы!$A$2:$A$6000,0)),"")</f>
        <v/>
      </c>
      <c r="B657">
        <f>IFERROR(INDEX(спр_Работы!$F$2:$F$6000,MATCH($C657,спр_Работы!$A$2:$A$6000,0)),"")</f>
        <v/>
      </c>
      <c r="C657">
        <f>IFERROR(INDEX(спр_Работы!$A$2:$A$6000,656),"")</f>
        <v/>
      </c>
      <c r="D657" s="8">
        <f>IFERROR(INDEX(спр_Работы!$B$2:$B$6000,MATCH($C657,спр_Работы!$A$2:$A$6000,0)),"")</f>
        <v/>
      </c>
      <c r="E657">
        <f>IFERROR(INDEX(спр_Работы!$C$2:$C$6000,MATCH($C657,спр_Работы!$A$2:$A$6000,0)),"")</f>
        <v/>
      </c>
      <c r="F657">
        <f>IFERROR(INDEX(спр_Работы!$G$2:$G$6000,MATCH($C657,спр_Работы!$A$2:$A$6000,0)),"")</f>
        <v/>
      </c>
      <c r="G657">
        <f>IFERROR(INDEX(спр_Работы!$K$2:$K$6000,MATCH($C657,спр_Работы!$A$2:$A$6000,0)),"")</f>
        <v/>
      </c>
      <c r="H657" s="9" t="n"/>
      <c r="I657" s="9" t="n"/>
      <c r="J657" s="8">
        <f>IFERROR(INDEX(спр_Материалы!$B$2:$B$9000,MATCH($I657,спр_Материалы!$A$2:$A$9000,0)),"")</f>
        <v/>
      </c>
      <c r="K657">
        <f>IF($I657="","",IF($F657=IFERROR(INDEX(спр_Материалы!$G$2:$G$9000,MATCH($I657,спр_Материалы!$A$2:$A$9000,0)),""),"OK","!! не та группа"))</f>
        <v/>
      </c>
      <c r="L657" s="10">
        <f>IFERROR(INDEX(спр_Работы!$H$2:$H$6000,MATCH($C657,спр_Работы!$A$2:$A$6000,0))*(1-ДисконтТендер),0)</f>
        <v/>
      </c>
      <c r="M657" s="10">
        <f>IF($I657="",0,IFERROR(INDEX(спр_Материалы!$I$2:$I$9000,MATCH($I657,спр_Материалы!$A$2:$A$9000,0))*IF(INDEX(спр_Материалы!$J$2:$J$9000,MATCH($I657,спр_Материалы!$A$2:$A$9000,0))="USD",КурсUSD,IF(INDEX(спр_Материалы!$J$2:$J$9000,MATCH($I657,спр_Материалы!$A$2:$A$9000,0))="EUR",КурсEUR,1))*INDEX(спр_Материалы!$K$2:$K$9000,MATCH($I657,спр_Материалы!$A$2:$A$9000,0))*(1+IFERROR(INDEX(спр_Работы!$I$2:$I$6000,MATCH($C657,спр_Работы!$A$2:$A$6000,0))/100,0))*(1-ДисконтТендер),0))</f>
        <v/>
      </c>
      <c r="N657" s="10">
        <f>IF(AND($R657="да",$H657&lt;&gt;""),ROUND($H657*$L657,2),0)</f>
        <v/>
      </c>
      <c r="O657" s="10">
        <f>IF(AND($R657="да",$H657&lt;&gt;""),ROUND($H657*$M657,2),0)</f>
        <v/>
      </c>
      <c r="P657" s="10">
        <f>$N657+$O657</f>
        <v/>
      </c>
      <c r="Q657">
        <f>IFERROR(INDEX(спр_Работы!$J$2:$J$6000,MATCH($C657,спр_Работы!$A$2:$A$6000,0)),"")</f>
        <v/>
      </c>
      <c r="R657" t="inlineStr">
        <is>
          <t>да</t>
        </is>
      </c>
      <c r="T657">
        <f>IF(AND($P657&gt;0,$R657="да"),MAX($T$1:$T656)+1,"")</f>
        <v/>
      </c>
    </row>
    <row r="658">
      <c r="A658">
        <f>IFERROR(INDEX(спр_Работы!$D$2:$D$6000,MATCH($C658,спр_Работы!$A$2:$A$6000,0)),"")</f>
        <v/>
      </c>
      <c r="B658">
        <f>IFERROR(INDEX(спр_Работы!$F$2:$F$6000,MATCH($C658,спр_Работы!$A$2:$A$6000,0)),"")</f>
        <v/>
      </c>
      <c r="C658">
        <f>IFERROR(INDEX(спр_Работы!$A$2:$A$6000,657),"")</f>
        <v/>
      </c>
      <c r="D658" s="8">
        <f>IFERROR(INDEX(спр_Работы!$B$2:$B$6000,MATCH($C658,спр_Работы!$A$2:$A$6000,0)),"")</f>
        <v/>
      </c>
      <c r="E658">
        <f>IFERROR(INDEX(спр_Работы!$C$2:$C$6000,MATCH($C658,спр_Работы!$A$2:$A$6000,0)),"")</f>
        <v/>
      </c>
      <c r="F658">
        <f>IFERROR(INDEX(спр_Работы!$G$2:$G$6000,MATCH($C658,спр_Работы!$A$2:$A$6000,0)),"")</f>
        <v/>
      </c>
      <c r="G658">
        <f>IFERROR(INDEX(спр_Работы!$K$2:$K$6000,MATCH($C658,спр_Работы!$A$2:$A$6000,0)),"")</f>
        <v/>
      </c>
      <c r="H658" s="9" t="n"/>
      <c r="I658" s="9" t="n"/>
      <c r="J658" s="8">
        <f>IFERROR(INDEX(спр_Материалы!$B$2:$B$9000,MATCH($I658,спр_Материалы!$A$2:$A$9000,0)),"")</f>
        <v/>
      </c>
      <c r="K658">
        <f>IF($I658="","",IF($F658=IFERROR(INDEX(спр_Материалы!$G$2:$G$9000,MATCH($I658,спр_Материалы!$A$2:$A$9000,0)),""),"OK","!! не та группа"))</f>
        <v/>
      </c>
      <c r="L658" s="10">
        <f>IFERROR(INDEX(спр_Работы!$H$2:$H$6000,MATCH($C658,спр_Работы!$A$2:$A$6000,0))*(1-ДисконтТендер),0)</f>
        <v/>
      </c>
      <c r="M658" s="10">
        <f>IF($I658="",0,IFERROR(INDEX(спр_Материалы!$I$2:$I$9000,MATCH($I658,спр_Материалы!$A$2:$A$9000,0))*IF(INDEX(спр_Материалы!$J$2:$J$9000,MATCH($I658,спр_Материалы!$A$2:$A$9000,0))="USD",КурсUSD,IF(INDEX(спр_Материалы!$J$2:$J$9000,MATCH($I658,спр_Материалы!$A$2:$A$9000,0))="EUR",КурсEUR,1))*INDEX(спр_Материалы!$K$2:$K$9000,MATCH($I658,спр_Материалы!$A$2:$A$9000,0))*(1+IFERROR(INDEX(спр_Работы!$I$2:$I$6000,MATCH($C658,спр_Работы!$A$2:$A$6000,0))/100,0))*(1-ДисконтТендер),0))</f>
        <v/>
      </c>
      <c r="N658" s="10">
        <f>IF(AND($R658="да",$H658&lt;&gt;""),ROUND($H658*$L658,2),0)</f>
        <v/>
      </c>
      <c r="O658" s="10">
        <f>IF(AND($R658="да",$H658&lt;&gt;""),ROUND($H658*$M658,2),0)</f>
        <v/>
      </c>
      <c r="P658" s="10">
        <f>$N658+$O658</f>
        <v/>
      </c>
      <c r="Q658">
        <f>IFERROR(INDEX(спр_Работы!$J$2:$J$6000,MATCH($C658,спр_Работы!$A$2:$A$6000,0)),"")</f>
        <v/>
      </c>
      <c r="R658" t="inlineStr">
        <is>
          <t>да</t>
        </is>
      </c>
      <c r="T658">
        <f>IF(AND($P658&gt;0,$R658="да"),MAX($T$1:$T657)+1,"")</f>
        <v/>
      </c>
    </row>
    <row r="659">
      <c r="A659">
        <f>IFERROR(INDEX(спр_Работы!$D$2:$D$6000,MATCH($C659,спр_Работы!$A$2:$A$6000,0)),"")</f>
        <v/>
      </c>
      <c r="B659">
        <f>IFERROR(INDEX(спр_Работы!$F$2:$F$6000,MATCH($C659,спр_Работы!$A$2:$A$6000,0)),"")</f>
        <v/>
      </c>
      <c r="C659">
        <f>IFERROR(INDEX(спр_Работы!$A$2:$A$6000,658),"")</f>
        <v/>
      </c>
      <c r="D659" s="8">
        <f>IFERROR(INDEX(спр_Работы!$B$2:$B$6000,MATCH($C659,спр_Работы!$A$2:$A$6000,0)),"")</f>
        <v/>
      </c>
      <c r="E659">
        <f>IFERROR(INDEX(спр_Работы!$C$2:$C$6000,MATCH($C659,спр_Работы!$A$2:$A$6000,0)),"")</f>
        <v/>
      </c>
      <c r="F659">
        <f>IFERROR(INDEX(спр_Работы!$G$2:$G$6000,MATCH($C659,спр_Работы!$A$2:$A$6000,0)),"")</f>
        <v/>
      </c>
      <c r="G659">
        <f>IFERROR(INDEX(спр_Работы!$K$2:$K$6000,MATCH($C659,спр_Работы!$A$2:$A$6000,0)),"")</f>
        <v/>
      </c>
      <c r="H659" s="9" t="n"/>
      <c r="I659" s="9" t="n"/>
      <c r="J659" s="8">
        <f>IFERROR(INDEX(спр_Материалы!$B$2:$B$9000,MATCH($I659,спр_Материалы!$A$2:$A$9000,0)),"")</f>
        <v/>
      </c>
      <c r="K659">
        <f>IF($I659="","",IF($F659=IFERROR(INDEX(спр_Материалы!$G$2:$G$9000,MATCH($I659,спр_Материалы!$A$2:$A$9000,0)),""),"OK","!! не та группа"))</f>
        <v/>
      </c>
      <c r="L659" s="10">
        <f>IFERROR(INDEX(спр_Работы!$H$2:$H$6000,MATCH($C659,спр_Работы!$A$2:$A$6000,0))*(1-ДисконтТендер),0)</f>
        <v/>
      </c>
      <c r="M659" s="10">
        <f>IF($I659="",0,IFERROR(INDEX(спр_Материалы!$I$2:$I$9000,MATCH($I659,спр_Материалы!$A$2:$A$9000,0))*IF(INDEX(спр_Материалы!$J$2:$J$9000,MATCH($I659,спр_Материалы!$A$2:$A$9000,0))="USD",КурсUSD,IF(INDEX(спр_Материалы!$J$2:$J$9000,MATCH($I659,спр_Материалы!$A$2:$A$9000,0))="EUR",КурсEUR,1))*INDEX(спр_Материалы!$K$2:$K$9000,MATCH($I659,спр_Материалы!$A$2:$A$9000,0))*(1+IFERROR(INDEX(спр_Работы!$I$2:$I$6000,MATCH($C659,спр_Работы!$A$2:$A$6000,0))/100,0))*(1-ДисконтТендер),0))</f>
        <v/>
      </c>
      <c r="N659" s="10">
        <f>IF(AND($R659="да",$H659&lt;&gt;""),ROUND($H659*$L659,2),0)</f>
        <v/>
      </c>
      <c r="O659" s="10">
        <f>IF(AND($R659="да",$H659&lt;&gt;""),ROUND($H659*$M659,2),0)</f>
        <v/>
      </c>
      <c r="P659" s="10">
        <f>$N659+$O659</f>
        <v/>
      </c>
      <c r="Q659">
        <f>IFERROR(INDEX(спр_Работы!$J$2:$J$6000,MATCH($C659,спр_Работы!$A$2:$A$6000,0)),"")</f>
        <v/>
      </c>
      <c r="R659" t="inlineStr">
        <is>
          <t>да</t>
        </is>
      </c>
      <c r="T659">
        <f>IF(AND($P659&gt;0,$R659="да"),MAX($T$1:$T658)+1,"")</f>
        <v/>
      </c>
    </row>
    <row r="660">
      <c r="A660">
        <f>IFERROR(INDEX(спр_Работы!$D$2:$D$6000,MATCH($C660,спр_Работы!$A$2:$A$6000,0)),"")</f>
        <v/>
      </c>
      <c r="B660">
        <f>IFERROR(INDEX(спр_Работы!$F$2:$F$6000,MATCH($C660,спр_Работы!$A$2:$A$6000,0)),"")</f>
        <v/>
      </c>
      <c r="C660">
        <f>IFERROR(INDEX(спр_Работы!$A$2:$A$6000,659),"")</f>
        <v/>
      </c>
      <c r="D660" s="8">
        <f>IFERROR(INDEX(спр_Работы!$B$2:$B$6000,MATCH($C660,спр_Работы!$A$2:$A$6000,0)),"")</f>
        <v/>
      </c>
      <c r="E660">
        <f>IFERROR(INDEX(спр_Работы!$C$2:$C$6000,MATCH($C660,спр_Работы!$A$2:$A$6000,0)),"")</f>
        <v/>
      </c>
      <c r="F660">
        <f>IFERROR(INDEX(спр_Работы!$G$2:$G$6000,MATCH($C660,спр_Работы!$A$2:$A$6000,0)),"")</f>
        <v/>
      </c>
      <c r="G660">
        <f>IFERROR(INDEX(спр_Работы!$K$2:$K$6000,MATCH($C660,спр_Работы!$A$2:$A$6000,0)),"")</f>
        <v/>
      </c>
      <c r="H660" s="9" t="n"/>
      <c r="I660" s="9" t="n"/>
      <c r="J660" s="8">
        <f>IFERROR(INDEX(спр_Материалы!$B$2:$B$9000,MATCH($I660,спр_Материалы!$A$2:$A$9000,0)),"")</f>
        <v/>
      </c>
      <c r="K660">
        <f>IF($I660="","",IF($F660=IFERROR(INDEX(спр_Материалы!$G$2:$G$9000,MATCH($I660,спр_Материалы!$A$2:$A$9000,0)),""),"OK","!! не та группа"))</f>
        <v/>
      </c>
      <c r="L660" s="10">
        <f>IFERROR(INDEX(спр_Работы!$H$2:$H$6000,MATCH($C660,спр_Работы!$A$2:$A$6000,0))*(1-ДисконтТендер),0)</f>
        <v/>
      </c>
      <c r="M660" s="10">
        <f>IF($I660="",0,IFERROR(INDEX(спр_Материалы!$I$2:$I$9000,MATCH($I660,спр_Материалы!$A$2:$A$9000,0))*IF(INDEX(спр_Материалы!$J$2:$J$9000,MATCH($I660,спр_Материалы!$A$2:$A$9000,0))="USD",КурсUSD,IF(INDEX(спр_Материалы!$J$2:$J$9000,MATCH($I660,спр_Материалы!$A$2:$A$9000,0))="EUR",КурсEUR,1))*INDEX(спр_Материалы!$K$2:$K$9000,MATCH($I660,спр_Материалы!$A$2:$A$9000,0))*(1+IFERROR(INDEX(спр_Работы!$I$2:$I$6000,MATCH($C660,спр_Работы!$A$2:$A$6000,0))/100,0))*(1-ДисконтТендер),0))</f>
        <v/>
      </c>
      <c r="N660" s="10">
        <f>IF(AND($R660="да",$H660&lt;&gt;""),ROUND($H660*$L660,2),0)</f>
        <v/>
      </c>
      <c r="O660" s="10">
        <f>IF(AND($R660="да",$H660&lt;&gt;""),ROUND($H660*$M660,2),0)</f>
        <v/>
      </c>
      <c r="P660" s="10">
        <f>$N660+$O660</f>
        <v/>
      </c>
      <c r="Q660">
        <f>IFERROR(INDEX(спр_Работы!$J$2:$J$6000,MATCH($C660,спр_Работы!$A$2:$A$6000,0)),"")</f>
        <v/>
      </c>
      <c r="R660" t="inlineStr">
        <is>
          <t>да</t>
        </is>
      </c>
      <c r="T660">
        <f>IF(AND($P660&gt;0,$R660="да"),MAX($T$1:$T659)+1,"")</f>
        <v/>
      </c>
    </row>
    <row r="661">
      <c r="A661">
        <f>IFERROR(INDEX(спр_Работы!$D$2:$D$6000,MATCH($C661,спр_Работы!$A$2:$A$6000,0)),"")</f>
        <v/>
      </c>
      <c r="B661">
        <f>IFERROR(INDEX(спр_Работы!$F$2:$F$6000,MATCH($C661,спр_Работы!$A$2:$A$6000,0)),"")</f>
        <v/>
      </c>
      <c r="C661">
        <f>IFERROR(INDEX(спр_Работы!$A$2:$A$6000,660),"")</f>
        <v/>
      </c>
      <c r="D661" s="8">
        <f>IFERROR(INDEX(спр_Работы!$B$2:$B$6000,MATCH($C661,спр_Работы!$A$2:$A$6000,0)),"")</f>
        <v/>
      </c>
      <c r="E661">
        <f>IFERROR(INDEX(спр_Работы!$C$2:$C$6000,MATCH($C661,спр_Работы!$A$2:$A$6000,0)),"")</f>
        <v/>
      </c>
      <c r="F661">
        <f>IFERROR(INDEX(спр_Работы!$G$2:$G$6000,MATCH($C661,спр_Работы!$A$2:$A$6000,0)),"")</f>
        <v/>
      </c>
      <c r="G661">
        <f>IFERROR(INDEX(спр_Работы!$K$2:$K$6000,MATCH($C661,спр_Работы!$A$2:$A$6000,0)),"")</f>
        <v/>
      </c>
      <c r="H661" s="9" t="n"/>
      <c r="I661" s="9" t="n"/>
      <c r="J661" s="8">
        <f>IFERROR(INDEX(спр_Материалы!$B$2:$B$9000,MATCH($I661,спр_Материалы!$A$2:$A$9000,0)),"")</f>
        <v/>
      </c>
      <c r="K661">
        <f>IF($I661="","",IF($F661=IFERROR(INDEX(спр_Материалы!$G$2:$G$9000,MATCH($I661,спр_Материалы!$A$2:$A$9000,0)),""),"OK","!! не та группа"))</f>
        <v/>
      </c>
      <c r="L661" s="10">
        <f>IFERROR(INDEX(спр_Работы!$H$2:$H$6000,MATCH($C661,спр_Работы!$A$2:$A$6000,0))*(1-ДисконтТендер),0)</f>
        <v/>
      </c>
      <c r="M661" s="10">
        <f>IF($I661="",0,IFERROR(INDEX(спр_Материалы!$I$2:$I$9000,MATCH($I661,спр_Материалы!$A$2:$A$9000,0))*IF(INDEX(спр_Материалы!$J$2:$J$9000,MATCH($I661,спр_Материалы!$A$2:$A$9000,0))="USD",КурсUSD,IF(INDEX(спр_Материалы!$J$2:$J$9000,MATCH($I661,спр_Материалы!$A$2:$A$9000,0))="EUR",КурсEUR,1))*INDEX(спр_Материалы!$K$2:$K$9000,MATCH($I661,спр_Материалы!$A$2:$A$9000,0))*(1+IFERROR(INDEX(спр_Работы!$I$2:$I$6000,MATCH($C661,спр_Работы!$A$2:$A$6000,0))/100,0))*(1-ДисконтТендер),0))</f>
        <v/>
      </c>
      <c r="N661" s="10">
        <f>IF(AND($R661="да",$H661&lt;&gt;""),ROUND($H661*$L661,2),0)</f>
        <v/>
      </c>
      <c r="O661" s="10">
        <f>IF(AND($R661="да",$H661&lt;&gt;""),ROUND($H661*$M661,2),0)</f>
        <v/>
      </c>
      <c r="P661" s="10">
        <f>$N661+$O661</f>
        <v/>
      </c>
      <c r="Q661">
        <f>IFERROR(INDEX(спр_Работы!$J$2:$J$6000,MATCH($C661,спр_Работы!$A$2:$A$6000,0)),"")</f>
        <v/>
      </c>
      <c r="R661" t="inlineStr">
        <is>
          <t>да</t>
        </is>
      </c>
      <c r="T661">
        <f>IF(AND($P661&gt;0,$R661="да"),MAX($T$1:$T660)+1,"")</f>
        <v/>
      </c>
    </row>
    <row r="662">
      <c r="A662">
        <f>IFERROR(INDEX(спр_Работы!$D$2:$D$6000,MATCH($C662,спр_Работы!$A$2:$A$6000,0)),"")</f>
        <v/>
      </c>
      <c r="B662">
        <f>IFERROR(INDEX(спр_Работы!$F$2:$F$6000,MATCH($C662,спр_Работы!$A$2:$A$6000,0)),"")</f>
        <v/>
      </c>
      <c r="C662">
        <f>IFERROR(INDEX(спр_Работы!$A$2:$A$6000,661),"")</f>
        <v/>
      </c>
      <c r="D662" s="8">
        <f>IFERROR(INDEX(спр_Работы!$B$2:$B$6000,MATCH($C662,спр_Работы!$A$2:$A$6000,0)),"")</f>
        <v/>
      </c>
      <c r="E662">
        <f>IFERROR(INDEX(спр_Работы!$C$2:$C$6000,MATCH($C662,спр_Работы!$A$2:$A$6000,0)),"")</f>
        <v/>
      </c>
      <c r="F662">
        <f>IFERROR(INDEX(спр_Работы!$G$2:$G$6000,MATCH($C662,спр_Работы!$A$2:$A$6000,0)),"")</f>
        <v/>
      </c>
      <c r="G662">
        <f>IFERROR(INDEX(спр_Работы!$K$2:$K$6000,MATCH($C662,спр_Работы!$A$2:$A$6000,0)),"")</f>
        <v/>
      </c>
      <c r="H662" s="9" t="n"/>
      <c r="I662" s="9" t="n"/>
      <c r="J662" s="8">
        <f>IFERROR(INDEX(спр_Материалы!$B$2:$B$9000,MATCH($I662,спр_Материалы!$A$2:$A$9000,0)),"")</f>
        <v/>
      </c>
      <c r="K662">
        <f>IF($I662="","",IF($F662=IFERROR(INDEX(спр_Материалы!$G$2:$G$9000,MATCH($I662,спр_Материалы!$A$2:$A$9000,0)),""),"OK","!! не та группа"))</f>
        <v/>
      </c>
      <c r="L662" s="10">
        <f>IFERROR(INDEX(спр_Работы!$H$2:$H$6000,MATCH($C662,спр_Работы!$A$2:$A$6000,0))*(1-ДисконтТендер),0)</f>
        <v/>
      </c>
      <c r="M662" s="10">
        <f>IF($I662="",0,IFERROR(INDEX(спр_Материалы!$I$2:$I$9000,MATCH($I662,спр_Материалы!$A$2:$A$9000,0))*IF(INDEX(спр_Материалы!$J$2:$J$9000,MATCH($I662,спр_Материалы!$A$2:$A$9000,0))="USD",КурсUSD,IF(INDEX(спр_Материалы!$J$2:$J$9000,MATCH($I662,спр_Материалы!$A$2:$A$9000,0))="EUR",КурсEUR,1))*INDEX(спр_Материалы!$K$2:$K$9000,MATCH($I662,спр_Материалы!$A$2:$A$9000,0))*(1+IFERROR(INDEX(спр_Работы!$I$2:$I$6000,MATCH($C662,спр_Работы!$A$2:$A$6000,0))/100,0))*(1-ДисконтТендер),0))</f>
        <v/>
      </c>
      <c r="N662" s="10">
        <f>IF(AND($R662="да",$H662&lt;&gt;""),ROUND($H662*$L662,2),0)</f>
        <v/>
      </c>
      <c r="O662" s="10">
        <f>IF(AND($R662="да",$H662&lt;&gt;""),ROUND($H662*$M662,2),0)</f>
        <v/>
      </c>
      <c r="P662" s="10">
        <f>$N662+$O662</f>
        <v/>
      </c>
      <c r="Q662">
        <f>IFERROR(INDEX(спр_Работы!$J$2:$J$6000,MATCH($C662,спр_Работы!$A$2:$A$6000,0)),"")</f>
        <v/>
      </c>
      <c r="R662" t="inlineStr">
        <is>
          <t>да</t>
        </is>
      </c>
      <c r="T662">
        <f>IF(AND($P662&gt;0,$R662="да"),MAX($T$1:$T661)+1,"")</f>
        <v/>
      </c>
    </row>
    <row r="663">
      <c r="A663">
        <f>IFERROR(INDEX(спр_Работы!$D$2:$D$6000,MATCH($C663,спр_Работы!$A$2:$A$6000,0)),"")</f>
        <v/>
      </c>
      <c r="B663">
        <f>IFERROR(INDEX(спр_Работы!$F$2:$F$6000,MATCH($C663,спр_Работы!$A$2:$A$6000,0)),"")</f>
        <v/>
      </c>
      <c r="C663">
        <f>IFERROR(INDEX(спр_Работы!$A$2:$A$6000,662),"")</f>
        <v/>
      </c>
      <c r="D663" s="8">
        <f>IFERROR(INDEX(спр_Работы!$B$2:$B$6000,MATCH($C663,спр_Работы!$A$2:$A$6000,0)),"")</f>
        <v/>
      </c>
      <c r="E663">
        <f>IFERROR(INDEX(спр_Работы!$C$2:$C$6000,MATCH($C663,спр_Работы!$A$2:$A$6000,0)),"")</f>
        <v/>
      </c>
      <c r="F663">
        <f>IFERROR(INDEX(спр_Работы!$G$2:$G$6000,MATCH($C663,спр_Работы!$A$2:$A$6000,0)),"")</f>
        <v/>
      </c>
      <c r="G663">
        <f>IFERROR(INDEX(спр_Работы!$K$2:$K$6000,MATCH($C663,спр_Работы!$A$2:$A$6000,0)),"")</f>
        <v/>
      </c>
      <c r="H663" s="9" t="n"/>
      <c r="I663" s="9" t="n"/>
      <c r="J663" s="8">
        <f>IFERROR(INDEX(спр_Материалы!$B$2:$B$9000,MATCH($I663,спр_Материалы!$A$2:$A$9000,0)),"")</f>
        <v/>
      </c>
      <c r="K663">
        <f>IF($I663="","",IF($F663=IFERROR(INDEX(спр_Материалы!$G$2:$G$9000,MATCH($I663,спр_Материалы!$A$2:$A$9000,0)),""),"OK","!! не та группа"))</f>
        <v/>
      </c>
      <c r="L663" s="10">
        <f>IFERROR(INDEX(спр_Работы!$H$2:$H$6000,MATCH($C663,спр_Работы!$A$2:$A$6000,0))*(1-ДисконтТендер),0)</f>
        <v/>
      </c>
      <c r="M663" s="10">
        <f>IF($I663="",0,IFERROR(INDEX(спр_Материалы!$I$2:$I$9000,MATCH($I663,спр_Материалы!$A$2:$A$9000,0))*IF(INDEX(спр_Материалы!$J$2:$J$9000,MATCH($I663,спр_Материалы!$A$2:$A$9000,0))="USD",КурсUSD,IF(INDEX(спр_Материалы!$J$2:$J$9000,MATCH($I663,спр_Материалы!$A$2:$A$9000,0))="EUR",КурсEUR,1))*INDEX(спр_Материалы!$K$2:$K$9000,MATCH($I663,спр_Материалы!$A$2:$A$9000,0))*(1+IFERROR(INDEX(спр_Работы!$I$2:$I$6000,MATCH($C663,спр_Работы!$A$2:$A$6000,0))/100,0))*(1-ДисконтТендер),0))</f>
        <v/>
      </c>
      <c r="N663" s="10">
        <f>IF(AND($R663="да",$H663&lt;&gt;""),ROUND($H663*$L663,2),0)</f>
        <v/>
      </c>
      <c r="O663" s="10">
        <f>IF(AND($R663="да",$H663&lt;&gt;""),ROUND($H663*$M663,2),0)</f>
        <v/>
      </c>
      <c r="P663" s="10">
        <f>$N663+$O663</f>
        <v/>
      </c>
      <c r="Q663">
        <f>IFERROR(INDEX(спр_Работы!$J$2:$J$6000,MATCH($C663,спр_Работы!$A$2:$A$6000,0)),"")</f>
        <v/>
      </c>
      <c r="R663" t="inlineStr">
        <is>
          <t>да</t>
        </is>
      </c>
      <c r="T663">
        <f>IF(AND($P663&gt;0,$R663="да"),MAX($T$1:$T662)+1,"")</f>
        <v/>
      </c>
    </row>
    <row r="664">
      <c r="A664">
        <f>IFERROR(INDEX(спр_Работы!$D$2:$D$6000,MATCH($C664,спр_Работы!$A$2:$A$6000,0)),"")</f>
        <v/>
      </c>
      <c r="B664">
        <f>IFERROR(INDEX(спр_Работы!$F$2:$F$6000,MATCH($C664,спр_Работы!$A$2:$A$6000,0)),"")</f>
        <v/>
      </c>
      <c r="C664">
        <f>IFERROR(INDEX(спр_Работы!$A$2:$A$6000,663),"")</f>
        <v/>
      </c>
      <c r="D664" s="8">
        <f>IFERROR(INDEX(спр_Работы!$B$2:$B$6000,MATCH($C664,спр_Работы!$A$2:$A$6000,0)),"")</f>
        <v/>
      </c>
      <c r="E664">
        <f>IFERROR(INDEX(спр_Работы!$C$2:$C$6000,MATCH($C664,спр_Работы!$A$2:$A$6000,0)),"")</f>
        <v/>
      </c>
      <c r="F664">
        <f>IFERROR(INDEX(спр_Работы!$G$2:$G$6000,MATCH($C664,спр_Работы!$A$2:$A$6000,0)),"")</f>
        <v/>
      </c>
      <c r="G664">
        <f>IFERROR(INDEX(спр_Работы!$K$2:$K$6000,MATCH($C664,спр_Работы!$A$2:$A$6000,0)),"")</f>
        <v/>
      </c>
      <c r="H664" s="9" t="n"/>
      <c r="I664" s="9" t="n"/>
      <c r="J664" s="8">
        <f>IFERROR(INDEX(спр_Материалы!$B$2:$B$9000,MATCH($I664,спр_Материалы!$A$2:$A$9000,0)),"")</f>
        <v/>
      </c>
      <c r="K664">
        <f>IF($I664="","",IF($F664=IFERROR(INDEX(спр_Материалы!$G$2:$G$9000,MATCH($I664,спр_Материалы!$A$2:$A$9000,0)),""),"OK","!! не та группа"))</f>
        <v/>
      </c>
      <c r="L664" s="10">
        <f>IFERROR(INDEX(спр_Работы!$H$2:$H$6000,MATCH($C664,спр_Работы!$A$2:$A$6000,0))*(1-ДисконтТендер),0)</f>
        <v/>
      </c>
      <c r="M664" s="10">
        <f>IF($I664="",0,IFERROR(INDEX(спр_Материалы!$I$2:$I$9000,MATCH($I664,спр_Материалы!$A$2:$A$9000,0))*IF(INDEX(спр_Материалы!$J$2:$J$9000,MATCH($I664,спр_Материалы!$A$2:$A$9000,0))="USD",КурсUSD,IF(INDEX(спр_Материалы!$J$2:$J$9000,MATCH($I664,спр_Материалы!$A$2:$A$9000,0))="EUR",КурсEUR,1))*INDEX(спр_Материалы!$K$2:$K$9000,MATCH($I664,спр_Материалы!$A$2:$A$9000,0))*(1+IFERROR(INDEX(спр_Работы!$I$2:$I$6000,MATCH($C664,спр_Работы!$A$2:$A$6000,0))/100,0))*(1-ДисконтТендер),0))</f>
        <v/>
      </c>
      <c r="N664" s="10">
        <f>IF(AND($R664="да",$H664&lt;&gt;""),ROUND($H664*$L664,2),0)</f>
        <v/>
      </c>
      <c r="O664" s="10">
        <f>IF(AND($R664="да",$H664&lt;&gt;""),ROUND($H664*$M664,2),0)</f>
        <v/>
      </c>
      <c r="P664" s="10">
        <f>$N664+$O664</f>
        <v/>
      </c>
      <c r="Q664">
        <f>IFERROR(INDEX(спр_Работы!$J$2:$J$6000,MATCH($C664,спр_Работы!$A$2:$A$6000,0)),"")</f>
        <v/>
      </c>
      <c r="R664" t="inlineStr">
        <is>
          <t>да</t>
        </is>
      </c>
      <c r="T664">
        <f>IF(AND($P664&gt;0,$R664="да"),MAX($T$1:$T663)+1,"")</f>
        <v/>
      </c>
    </row>
    <row r="665">
      <c r="A665">
        <f>IFERROR(INDEX(спр_Работы!$D$2:$D$6000,MATCH($C665,спр_Работы!$A$2:$A$6000,0)),"")</f>
        <v/>
      </c>
      <c r="B665">
        <f>IFERROR(INDEX(спр_Работы!$F$2:$F$6000,MATCH($C665,спр_Работы!$A$2:$A$6000,0)),"")</f>
        <v/>
      </c>
      <c r="C665">
        <f>IFERROR(INDEX(спр_Работы!$A$2:$A$6000,664),"")</f>
        <v/>
      </c>
      <c r="D665" s="8">
        <f>IFERROR(INDEX(спр_Работы!$B$2:$B$6000,MATCH($C665,спр_Работы!$A$2:$A$6000,0)),"")</f>
        <v/>
      </c>
      <c r="E665">
        <f>IFERROR(INDEX(спр_Работы!$C$2:$C$6000,MATCH($C665,спр_Работы!$A$2:$A$6000,0)),"")</f>
        <v/>
      </c>
      <c r="F665">
        <f>IFERROR(INDEX(спр_Работы!$G$2:$G$6000,MATCH($C665,спр_Работы!$A$2:$A$6000,0)),"")</f>
        <v/>
      </c>
      <c r="G665">
        <f>IFERROR(INDEX(спр_Работы!$K$2:$K$6000,MATCH($C665,спр_Работы!$A$2:$A$6000,0)),"")</f>
        <v/>
      </c>
      <c r="H665" s="9" t="n"/>
      <c r="I665" s="9" t="n"/>
      <c r="J665" s="8">
        <f>IFERROR(INDEX(спр_Материалы!$B$2:$B$9000,MATCH($I665,спр_Материалы!$A$2:$A$9000,0)),"")</f>
        <v/>
      </c>
      <c r="K665">
        <f>IF($I665="","",IF($F665=IFERROR(INDEX(спр_Материалы!$G$2:$G$9000,MATCH($I665,спр_Материалы!$A$2:$A$9000,0)),""),"OK","!! не та группа"))</f>
        <v/>
      </c>
      <c r="L665" s="10">
        <f>IFERROR(INDEX(спр_Работы!$H$2:$H$6000,MATCH($C665,спр_Работы!$A$2:$A$6000,0))*(1-ДисконтТендер),0)</f>
        <v/>
      </c>
      <c r="M665" s="10">
        <f>IF($I665="",0,IFERROR(INDEX(спр_Материалы!$I$2:$I$9000,MATCH($I665,спр_Материалы!$A$2:$A$9000,0))*IF(INDEX(спр_Материалы!$J$2:$J$9000,MATCH($I665,спр_Материалы!$A$2:$A$9000,0))="USD",КурсUSD,IF(INDEX(спр_Материалы!$J$2:$J$9000,MATCH($I665,спр_Материалы!$A$2:$A$9000,0))="EUR",КурсEUR,1))*INDEX(спр_Материалы!$K$2:$K$9000,MATCH($I665,спр_Материалы!$A$2:$A$9000,0))*(1+IFERROR(INDEX(спр_Работы!$I$2:$I$6000,MATCH($C665,спр_Работы!$A$2:$A$6000,0))/100,0))*(1-ДисконтТендер),0))</f>
        <v/>
      </c>
      <c r="N665" s="10">
        <f>IF(AND($R665="да",$H665&lt;&gt;""),ROUND($H665*$L665,2),0)</f>
        <v/>
      </c>
      <c r="O665" s="10">
        <f>IF(AND($R665="да",$H665&lt;&gt;""),ROUND($H665*$M665,2),0)</f>
        <v/>
      </c>
      <c r="P665" s="10">
        <f>$N665+$O665</f>
        <v/>
      </c>
      <c r="Q665">
        <f>IFERROR(INDEX(спр_Работы!$J$2:$J$6000,MATCH($C665,спр_Работы!$A$2:$A$6000,0)),"")</f>
        <v/>
      </c>
      <c r="R665" t="inlineStr">
        <is>
          <t>да</t>
        </is>
      </c>
      <c r="T665">
        <f>IF(AND($P665&gt;0,$R665="да"),MAX($T$1:$T664)+1,"")</f>
        <v/>
      </c>
    </row>
    <row r="666">
      <c r="A666">
        <f>IFERROR(INDEX(спр_Работы!$D$2:$D$6000,MATCH($C666,спр_Работы!$A$2:$A$6000,0)),"")</f>
        <v/>
      </c>
      <c r="B666">
        <f>IFERROR(INDEX(спр_Работы!$F$2:$F$6000,MATCH($C666,спр_Работы!$A$2:$A$6000,0)),"")</f>
        <v/>
      </c>
      <c r="C666">
        <f>IFERROR(INDEX(спр_Работы!$A$2:$A$6000,665),"")</f>
        <v/>
      </c>
      <c r="D666" s="8">
        <f>IFERROR(INDEX(спр_Работы!$B$2:$B$6000,MATCH($C666,спр_Работы!$A$2:$A$6000,0)),"")</f>
        <v/>
      </c>
      <c r="E666">
        <f>IFERROR(INDEX(спр_Работы!$C$2:$C$6000,MATCH($C666,спр_Работы!$A$2:$A$6000,0)),"")</f>
        <v/>
      </c>
      <c r="F666">
        <f>IFERROR(INDEX(спр_Работы!$G$2:$G$6000,MATCH($C666,спр_Работы!$A$2:$A$6000,0)),"")</f>
        <v/>
      </c>
      <c r="G666">
        <f>IFERROR(INDEX(спр_Работы!$K$2:$K$6000,MATCH($C666,спр_Работы!$A$2:$A$6000,0)),"")</f>
        <v/>
      </c>
      <c r="H666" s="9" t="n"/>
      <c r="I666" s="9" t="n"/>
      <c r="J666" s="8">
        <f>IFERROR(INDEX(спр_Материалы!$B$2:$B$9000,MATCH($I666,спр_Материалы!$A$2:$A$9000,0)),"")</f>
        <v/>
      </c>
      <c r="K666">
        <f>IF($I666="","",IF($F666=IFERROR(INDEX(спр_Материалы!$G$2:$G$9000,MATCH($I666,спр_Материалы!$A$2:$A$9000,0)),""),"OK","!! не та группа"))</f>
        <v/>
      </c>
      <c r="L666" s="10">
        <f>IFERROR(INDEX(спр_Работы!$H$2:$H$6000,MATCH($C666,спр_Работы!$A$2:$A$6000,0))*(1-ДисконтТендер),0)</f>
        <v/>
      </c>
      <c r="M666" s="10">
        <f>IF($I666="",0,IFERROR(INDEX(спр_Материалы!$I$2:$I$9000,MATCH($I666,спр_Материалы!$A$2:$A$9000,0))*IF(INDEX(спр_Материалы!$J$2:$J$9000,MATCH($I666,спр_Материалы!$A$2:$A$9000,0))="USD",КурсUSD,IF(INDEX(спр_Материалы!$J$2:$J$9000,MATCH($I666,спр_Материалы!$A$2:$A$9000,0))="EUR",КурсEUR,1))*INDEX(спр_Материалы!$K$2:$K$9000,MATCH($I666,спр_Материалы!$A$2:$A$9000,0))*(1+IFERROR(INDEX(спр_Работы!$I$2:$I$6000,MATCH($C666,спр_Работы!$A$2:$A$6000,0))/100,0))*(1-ДисконтТендер),0))</f>
        <v/>
      </c>
      <c r="N666" s="10">
        <f>IF(AND($R666="да",$H666&lt;&gt;""),ROUND($H666*$L666,2),0)</f>
        <v/>
      </c>
      <c r="O666" s="10">
        <f>IF(AND($R666="да",$H666&lt;&gt;""),ROUND($H666*$M666,2),0)</f>
        <v/>
      </c>
      <c r="P666" s="10">
        <f>$N666+$O666</f>
        <v/>
      </c>
      <c r="Q666">
        <f>IFERROR(INDEX(спр_Работы!$J$2:$J$6000,MATCH($C666,спр_Работы!$A$2:$A$6000,0)),"")</f>
        <v/>
      </c>
      <c r="R666" t="inlineStr">
        <is>
          <t>да</t>
        </is>
      </c>
      <c r="T666">
        <f>IF(AND($P666&gt;0,$R666="да"),MAX($T$1:$T665)+1,"")</f>
        <v/>
      </c>
    </row>
    <row r="667">
      <c r="A667">
        <f>IFERROR(INDEX(спр_Работы!$D$2:$D$6000,MATCH($C667,спр_Работы!$A$2:$A$6000,0)),"")</f>
        <v/>
      </c>
      <c r="B667">
        <f>IFERROR(INDEX(спр_Работы!$F$2:$F$6000,MATCH($C667,спр_Работы!$A$2:$A$6000,0)),"")</f>
        <v/>
      </c>
      <c r="C667">
        <f>IFERROR(INDEX(спр_Работы!$A$2:$A$6000,666),"")</f>
        <v/>
      </c>
      <c r="D667" s="8">
        <f>IFERROR(INDEX(спр_Работы!$B$2:$B$6000,MATCH($C667,спр_Работы!$A$2:$A$6000,0)),"")</f>
        <v/>
      </c>
      <c r="E667">
        <f>IFERROR(INDEX(спр_Работы!$C$2:$C$6000,MATCH($C667,спр_Работы!$A$2:$A$6000,0)),"")</f>
        <v/>
      </c>
      <c r="F667">
        <f>IFERROR(INDEX(спр_Работы!$G$2:$G$6000,MATCH($C667,спр_Работы!$A$2:$A$6000,0)),"")</f>
        <v/>
      </c>
      <c r="G667">
        <f>IFERROR(INDEX(спр_Работы!$K$2:$K$6000,MATCH($C667,спр_Работы!$A$2:$A$6000,0)),"")</f>
        <v/>
      </c>
      <c r="H667" s="9" t="n"/>
      <c r="I667" s="9" t="n"/>
      <c r="J667" s="8">
        <f>IFERROR(INDEX(спр_Материалы!$B$2:$B$9000,MATCH($I667,спр_Материалы!$A$2:$A$9000,0)),"")</f>
        <v/>
      </c>
      <c r="K667">
        <f>IF($I667="","",IF($F667=IFERROR(INDEX(спр_Материалы!$G$2:$G$9000,MATCH($I667,спр_Материалы!$A$2:$A$9000,0)),""),"OK","!! не та группа"))</f>
        <v/>
      </c>
      <c r="L667" s="10">
        <f>IFERROR(INDEX(спр_Работы!$H$2:$H$6000,MATCH($C667,спр_Работы!$A$2:$A$6000,0))*(1-ДисконтТендер),0)</f>
        <v/>
      </c>
      <c r="M667" s="10">
        <f>IF($I667="",0,IFERROR(INDEX(спр_Материалы!$I$2:$I$9000,MATCH($I667,спр_Материалы!$A$2:$A$9000,0))*IF(INDEX(спр_Материалы!$J$2:$J$9000,MATCH($I667,спр_Материалы!$A$2:$A$9000,0))="USD",КурсUSD,IF(INDEX(спр_Материалы!$J$2:$J$9000,MATCH($I667,спр_Материалы!$A$2:$A$9000,0))="EUR",КурсEUR,1))*INDEX(спр_Материалы!$K$2:$K$9000,MATCH($I667,спр_Материалы!$A$2:$A$9000,0))*(1+IFERROR(INDEX(спр_Работы!$I$2:$I$6000,MATCH($C667,спр_Работы!$A$2:$A$6000,0))/100,0))*(1-ДисконтТендер),0))</f>
        <v/>
      </c>
      <c r="N667" s="10">
        <f>IF(AND($R667="да",$H667&lt;&gt;""),ROUND($H667*$L667,2),0)</f>
        <v/>
      </c>
      <c r="O667" s="10">
        <f>IF(AND($R667="да",$H667&lt;&gt;""),ROUND($H667*$M667,2),0)</f>
        <v/>
      </c>
      <c r="P667" s="10">
        <f>$N667+$O667</f>
        <v/>
      </c>
      <c r="Q667">
        <f>IFERROR(INDEX(спр_Работы!$J$2:$J$6000,MATCH($C667,спр_Работы!$A$2:$A$6000,0)),"")</f>
        <v/>
      </c>
      <c r="R667" t="inlineStr">
        <is>
          <t>да</t>
        </is>
      </c>
      <c r="T667">
        <f>IF(AND($P667&gt;0,$R667="да"),MAX($T$1:$T666)+1,"")</f>
        <v/>
      </c>
    </row>
    <row r="668">
      <c r="A668">
        <f>IFERROR(INDEX(спр_Работы!$D$2:$D$6000,MATCH($C668,спр_Работы!$A$2:$A$6000,0)),"")</f>
        <v/>
      </c>
      <c r="B668">
        <f>IFERROR(INDEX(спр_Работы!$F$2:$F$6000,MATCH($C668,спр_Работы!$A$2:$A$6000,0)),"")</f>
        <v/>
      </c>
      <c r="C668">
        <f>IFERROR(INDEX(спр_Работы!$A$2:$A$6000,667),"")</f>
        <v/>
      </c>
      <c r="D668" s="8">
        <f>IFERROR(INDEX(спр_Работы!$B$2:$B$6000,MATCH($C668,спр_Работы!$A$2:$A$6000,0)),"")</f>
        <v/>
      </c>
      <c r="E668">
        <f>IFERROR(INDEX(спр_Работы!$C$2:$C$6000,MATCH($C668,спр_Работы!$A$2:$A$6000,0)),"")</f>
        <v/>
      </c>
      <c r="F668">
        <f>IFERROR(INDEX(спр_Работы!$G$2:$G$6000,MATCH($C668,спр_Работы!$A$2:$A$6000,0)),"")</f>
        <v/>
      </c>
      <c r="G668">
        <f>IFERROR(INDEX(спр_Работы!$K$2:$K$6000,MATCH($C668,спр_Работы!$A$2:$A$6000,0)),"")</f>
        <v/>
      </c>
      <c r="H668" s="9" t="n"/>
      <c r="I668" s="9" t="n"/>
      <c r="J668" s="8">
        <f>IFERROR(INDEX(спр_Материалы!$B$2:$B$9000,MATCH($I668,спр_Материалы!$A$2:$A$9000,0)),"")</f>
        <v/>
      </c>
      <c r="K668">
        <f>IF($I668="","",IF($F668=IFERROR(INDEX(спр_Материалы!$G$2:$G$9000,MATCH($I668,спр_Материалы!$A$2:$A$9000,0)),""),"OK","!! не та группа"))</f>
        <v/>
      </c>
      <c r="L668" s="10">
        <f>IFERROR(INDEX(спр_Работы!$H$2:$H$6000,MATCH($C668,спр_Работы!$A$2:$A$6000,0))*(1-ДисконтТендер),0)</f>
        <v/>
      </c>
      <c r="M668" s="10">
        <f>IF($I668="",0,IFERROR(INDEX(спр_Материалы!$I$2:$I$9000,MATCH($I668,спр_Материалы!$A$2:$A$9000,0))*IF(INDEX(спр_Материалы!$J$2:$J$9000,MATCH($I668,спр_Материалы!$A$2:$A$9000,0))="USD",КурсUSD,IF(INDEX(спр_Материалы!$J$2:$J$9000,MATCH($I668,спр_Материалы!$A$2:$A$9000,0))="EUR",КурсEUR,1))*INDEX(спр_Материалы!$K$2:$K$9000,MATCH($I668,спр_Материалы!$A$2:$A$9000,0))*(1+IFERROR(INDEX(спр_Работы!$I$2:$I$6000,MATCH($C668,спр_Работы!$A$2:$A$6000,0))/100,0))*(1-ДисконтТендер),0))</f>
        <v/>
      </c>
      <c r="N668" s="10">
        <f>IF(AND($R668="да",$H668&lt;&gt;""),ROUND($H668*$L668,2),0)</f>
        <v/>
      </c>
      <c r="O668" s="10">
        <f>IF(AND($R668="да",$H668&lt;&gt;""),ROUND($H668*$M668,2),0)</f>
        <v/>
      </c>
      <c r="P668" s="10">
        <f>$N668+$O668</f>
        <v/>
      </c>
      <c r="Q668">
        <f>IFERROR(INDEX(спр_Работы!$J$2:$J$6000,MATCH($C668,спр_Работы!$A$2:$A$6000,0)),"")</f>
        <v/>
      </c>
      <c r="R668" t="inlineStr">
        <is>
          <t>да</t>
        </is>
      </c>
      <c r="T668">
        <f>IF(AND($P668&gt;0,$R668="да"),MAX($T$1:$T667)+1,"")</f>
        <v/>
      </c>
    </row>
    <row r="669">
      <c r="A669">
        <f>IFERROR(INDEX(спр_Работы!$D$2:$D$6000,MATCH($C669,спр_Работы!$A$2:$A$6000,0)),"")</f>
        <v/>
      </c>
      <c r="B669">
        <f>IFERROR(INDEX(спр_Работы!$F$2:$F$6000,MATCH($C669,спр_Работы!$A$2:$A$6000,0)),"")</f>
        <v/>
      </c>
      <c r="C669">
        <f>IFERROR(INDEX(спр_Работы!$A$2:$A$6000,668),"")</f>
        <v/>
      </c>
      <c r="D669" s="8">
        <f>IFERROR(INDEX(спр_Работы!$B$2:$B$6000,MATCH($C669,спр_Работы!$A$2:$A$6000,0)),"")</f>
        <v/>
      </c>
      <c r="E669">
        <f>IFERROR(INDEX(спр_Работы!$C$2:$C$6000,MATCH($C669,спр_Работы!$A$2:$A$6000,0)),"")</f>
        <v/>
      </c>
      <c r="F669">
        <f>IFERROR(INDEX(спр_Работы!$G$2:$G$6000,MATCH($C669,спр_Работы!$A$2:$A$6000,0)),"")</f>
        <v/>
      </c>
      <c r="G669">
        <f>IFERROR(INDEX(спр_Работы!$K$2:$K$6000,MATCH($C669,спр_Работы!$A$2:$A$6000,0)),"")</f>
        <v/>
      </c>
      <c r="H669" s="9" t="n"/>
      <c r="I669" s="9" t="n"/>
      <c r="J669" s="8">
        <f>IFERROR(INDEX(спр_Материалы!$B$2:$B$9000,MATCH($I669,спр_Материалы!$A$2:$A$9000,0)),"")</f>
        <v/>
      </c>
      <c r="K669">
        <f>IF($I669="","",IF($F669=IFERROR(INDEX(спр_Материалы!$G$2:$G$9000,MATCH($I669,спр_Материалы!$A$2:$A$9000,0)),""),"OK","!! не та группа"))</f>
        <v/>
      </c>
      <c r="L669" s="10">
        <f>IFERROR(INDEX(спр_Работы!$H$2:$H$6000,MATCH($C669,спр_Работы!$A$2:$A$6000,0))*(1-ДисконтТендер),0)</f>
        <v/>
      </c>
      <c r="M669" s="10">
        <f>IF($I669="",0,IFERROR(INDEX(спр_Материалы!$I$2:$I$9000,MATCH($I669,спр_Материалы!$A$2:$A$9000,0))*IF(INDEX(спр_Материалы!$J$2:$J$9000,MATCH($I669,спр_Материалы!$A$2:$A$9000,0))="USD",КурсUSD,IF(INDEX(спр_Материалы!$J$2:$J$9000,MATCH($I669,спр_Материалы!$A$2:$A$9000,0))="EUR",КурсEUR,1))*INDEX(спр_Материалы!$K$2:$K$9000,MATCH($I669,спр_Материалы!$A$2:$A$9000,0))*(1+IFERROR(INDEX(спр_Работы!$I$2:$I$6000,MATCH($C669,спр_Работы!$A$2:$A$6000,0))/100,0))*(1-ДисконтТендер),0))</f>
        <v/>
      </c>
      <c r="N669" s="10">
        <f>IF(AND($R669="да",$H669&lt;&gt;""),ROUND($H669*$L669,2),0)</f>
        <v/>
      </c>
      <c r="O669" s="10">
        <f>IF(AND($R669="да",$H669&lt;&gt;""),ROUND($H669*$M669,2),0)</f>
        <v/>
      </c>
      <c r="P669" s="10">
        <f>$N669+$O669</f>
        <v/>
      </c>
      <c r="Q669">
        <f>IFERROR(INDEX(спр_Работы!$J$2:$J$6000,MATCH($C669,спр_Работы!$A$2:$A$6000,0)),"")</f>
        <v/>
      </c>
      <c r="R669" t="inlineStr">
        <is>
          <t>да</t>
        </is>
      </c>
      <c r="T669">
        <f>IF(AND($P669&gt;0,$R669="да"),MAX($T$1:$T668)+1,"")</f>
        <v/>
      </c>
    </row>
    <row r="670">
      <c r="A670">
        <f>IFERROR(INDEX(спр_Работы!$D$2:$D$6000,MATCH($C670,спр_Работы!$A$2:$A$6000,0)),"")</f>
        <v/>
      </c>
      <c r="B670">
        <f>IFERROR(INDEX(спр_Работы!$F$2:$F$6000,MATCH($C670,спр_Работы!$A$2:$A$6000,0)),"")</f>
        <v/>
      </c>
      <c r="C670">
        <f>IFERROR(INDEX(спр_Работы!$A$2:$A$6000,669),"")</f>
        <v/>
      </c>
      <c r="D670" s="8">
        <f>IFERROR(INDEX(спр_Работы!$B$2:$B$6000,MATCH($C670,спр_Работы!$A$2:$A$6000,0)),"")</f>
        <v/>
      </c>
      <c r="E670">
        <f>IFERROR(INDEX(спр_Работы!$C$2:$C$6000,MATCH($C670,спр_Работы!$A$2:$A$6000,0)),"")</f>
        <v/>
      </c>
      <c r="F670">
        <f>IFERROR(INDEX(спр_Работы!$G$2:$G$6000,MATCH($C670,спр_Работы!$A$2:$A$6000,0)),"")</f>
        <v/>
      </c>
      <c r="G670">
        <f>IFERROR(INDEX(спр_Работы!$K$2:$K$6000,MATCH($C670,спр_Работы!$A$2:$A$6000,0)),"")</f>
        <v/>
      </c>
      <c r="H670" s="9" t="n"/>
      <c r="I670" s="9" t="n"/>
      <c r="J670" s="8">
        <f>IFERROR(INDEX(спр_Материалы!$B$2:$B$9000,MATCH($I670,спр_Материалы!$A$2:$A$9000,0)),"")</f>
        <v/>
      </c>
      <c r="K670">
        <f>IF($I670="","",IF($F670=IFERROR(INDEX(спр_Материалы!$G$2:$G$9000,MATCH($I670,спр_Материалы!$A$2:$A$9000,0)),""),"OK","!! не та группа"))</f>
        <v/>
      </c>
      <c r="L670" s="10">
        <f>IFERROR(INDEX(спр_Работы!$H$2:$H$6000,MATCH($C670,спр_Работы!$A$2:$A$6000,0))*(1-ДисконтТендер),0)</f>
        <v/>
      </c>
      <c r="M670" s="10">
        <f>IF($I670="",0,IFERROR(INDEX(спр_Материалы!$I$2:$I$9000,MATCH($I670,спр_Материалы!$A$2:$A$9000,0))*IF(INDEX(спр_Материалы!$J$2:$J$9000,MATCH($I670,спр_Материалы!$A$2:$A$9000,0))="USD",КурсUSD,IF(INDEX(спр_Материалы!$J$2:$J$9000,MATCH($I670,спр_Материалы!$A$2:$A$9000,0))="EUR",КурсEUR,1))*INDEX(спр_Материалы!$K$2:$K$9000,MATCH($I670,спр_Материалы!$A$2:$A$9000,0))*(1+IFERROR(INDEX(спр_Работы!$I$2:$I$6000,MATCH($C670,спр_Работы!$A$2:$A$6000,0))/100,0))*(1-ДисконтТендер),0))</f>
        <v/>
      </c>
      <c r="N670" s="10">
        <f>IF(AND($R670="да",$H670&lt;&gt;""),ROUND($H670*$L670,2),0)</f>
        <v/>
      </c>
      <c r="O670" s="10">
        <f>IF(AND($R670="да",$H670&lt;&gt;""),ROUND($H670*$M670,2),0)</f>
        <v/>
      </c>
      <c r="P670" s="10">
        <f>$N670+$O670</f>
        <v/>
      </c>
      <c r="Q670">
        <f>IFERROR(INDEX(спр_Работы!$J$2:$J$6000,MATCH($C670,спр_Работы!$A$2:$A$6000,0)),"")</f>
        <v/>
      </c>
      <c r="R670" t="inlineStr">
        <is>
          <t>да</t>
        </is>
      </c>
      <c r="T670">
        <f>IF(AND($P670&gt;0,$R670="да"),MAX($T$1:$T669)+1,"")</f>
        <v/>
      </c>
    </row>
    <row r="671">
      <c r="A671">
        <f>IFERROR(INDEX(спр_Работы!$D$2:$D$6000,MATCH($C671,спр_Работы!$A$2:$A$6000,0)),"")</f>
        <v/>
      </c>
      <c r="B671">
        <f>IFERROR(INDEX(спр_Работы!$F$2:$F$6000,MATCH($C671,спр_Работы!$A$2:$A$6000,0)),"")</f>
        <v/>
      </c>
      <c r="C671">
        <f>IFERROR(INDEX(спр_Работы!$A$2:$A$6000,670),"")</f>
        <v/>
      </c>
      <c r="D671" s="8">
        <f>IFERROR(INDEX(спр_Работы!$B$2:$B$6000,MATCH($C671,спр_Работы!$A$2:$A$6000,0)),"")</f>
        <v/>
      </c>
      <c r="E671">
        <f>IFERROR(INDEX(спр_Работы!$C$2:$C$6000,MATCH($C671,спр_Работы!$A$2:$A$6000,0)),"")</f>
        <v/>
      </c>
      <c r="F671">
        <f>IFERROR(INDEX(спр_Работы!$G$2:$G$6000,MATCH($C671,спр_Работы!$A$2:$A$6000,0)),"")</f>
        <v/>
      </c>
      <c r="G671">
        <f>IFERROR(INDEX(спр_Работы!$K$2:$K$6000,MATCH($C671,спр_Работы!$A$2:$A$6000,0)),"")</f>
        <v/>
      </c>
      <c r="H671" s="9" t="n"/>
      <c r="I671" s="9" t="n"/>
      <c r="J671" s="8">
        <f>IFERROR(INDEX(спр_Материалы!$B$2:$B$9000,MATCH($I671,спр_Материалы!$A$2:$A$9000,0)),"")</f>
        <v/>
      </c>
      <c r="K671">
        <f>IF($I671="","",IF($F671=IFERROR(INDEX(спр_Материалы!$G$2:$G$9000,MATCH($I671,спр_Материалы!$A$2:$A$9000,0)),""),"OK","!! не та группа"))</f>
        <v/>
      </c>
      <c r="L671" s="10">
        <f>IFERROR(INDEX(спр_Работы!$H$2:$H$6000,MATCH($C671,спр_Работы!$A$2:$A$6000,0))*(1-ДисконтТендер),0)</f>
        <v/>
      </c>
      <c r="M671" s="10">
        <f>IF($I671="",0,IFERROR(INDEX(спр_Материалы!$I$2:$I$9000,MATCH($I671,спр_Материалы!$A$2:$A$9000,0))*IF(INDEX(спр_Материалы!$J$2:$J$9000,MATCH($I671,спр_Материалы!$A$2:$A$9000,0))="USD",КурсUSD,IF(INDEX(спр_Материалы!$J$2:$J$9000,MATCH($I671,спр_Материалы!$A$2:$A$9000,0))="EUR",КурсEUR,1))*INDEX(спр_Материалы!$K$2:$K$9000,MATCH($I671,спр_Материалы!$A$2:$A$9000,0))*(1+IFERROR(INDEX(спр_Работы!$I$2:$I$6000,MATCH($C671,спр_Работы!$A$2:$A$6000,0))/100,0))*(1-ДисконтТендер),0))</f>
        <v/>
      </c>
      <c r="N671" s="10">
        <f>IF(AND($R671="да",$H671&lt;&gt;""),ROUND($H671*$L671,2),0)</f>
        <v/>
      </c>
      <c r="O671" s="10">
        <f>IF(AND($R671="да",$H671&lt;&gt;""),ROUND($H671*$M671,2),0)</f>
        <v/>
      </c>
      <c r="P671" s="10">
        <f>$N671+$O671</f>
        <v/>
      </c>
      <c r="Q671">
        <f>IFERROR(INDEX(спр_Работы!$J$2:$J$6000,MATCH($C671,спр_Работы!$A$2:$A$6000,0)),"")</f>
        <v/>
      </c>
      <c r="R671" t="inlineStr">
        <is>
          <t>да</t>
        </is>
      </c>
      <c r="T671">
        <f>IF(AND($P671&gt;0,$R671="да"),MAX($T$1:$T670)+1,"")</f>
        <v/>
      </c>
    </row>
    <row r="672">
      <c r="A672">
        <f>IFERROR(INDEX(спр_Работы!$D$2:$D$6000,MATCH($C672,спр_Работы!$A$2:$A$6000,0)),"")</f>
        <v/>
      </c>
      <c r="B672">
        <f>IFERROR(INDEX(спр_Работы!$F$2:$F$6000,MATCH($C672,спр_Работы!$A$2:$A$6000,0)),"")</f>
        <v/>
      </c>
      <c r="C672">
        <f>IFERROR(INDEX(спр_Работы!$A$2:$A$6000,671),"")</f>
        <v/>
      </c>
      <c r="D672" s="8">
        <f>IFERROR(INDEX(спр_Работы!$B$2:$B$6000,MATCH($C672,спр_Работы!$A$2:$A$6000,0)),"")</f>
        <v/>
      </c>
      <c r="E672">
        <f>IFERROR(INDEX(спр_Работы!$C$2:$C$6000,MATCH($C672,спр_Работы!$A$2:$A$6000,0)),"")</f>
        <v/>
      </c>
      <c r="F672">
        <f>IFERROR(INDEX(спр_Работы!$G$2:$G$6000,MATCH($C672,спр_Работы!$A$2:$A$6000,0)),"")</f>
        <v/>
      </c>
      <c r="G672">
        <f>IFERROR(INDEX(спр_Работы!$K$2:$K$6000,MATCH($C672,спр_Работы!$A$2:$A$6000,0)),"")</f>
        <v/>
      </c>
      <c r="H672" s="9" t="n"/>
      <c r="I672" s="9" t="n"/>
      <c r="J672" s="8">
        <f>IFERROR(INDEX(спр_Материалы!$B$2:$B$9000,MATCH($I672,спр_Материалы!$A$2:$A$9000,0)),"")</f>
        <v/>
      </c>
      <c r="K672">
        <f>IF($I672="","",IF($F672=IFERROR(INDEX(спр_Материалы!$G$2:$G$9000,MATCH($I672,спр_Материалы!$A$2:$A$9000,0)),""),"OK","!! не та группа"))</f>
        <v/>
      </c>
      <c r="L672" s="10">
        <f>IFERROR(INDEX(спр_Работы!$H$2:$H$6000,MATCH($C672,спр_Работы!$A$2:$A$6000,0))*(1-ДисконтТендер),0)</f>
        <v/>
      </c>
      <c r="M672" s="10">
        <f>IF($I672="",0,IFERROR(INDEX(спр_Материалы!$I$2:$I$9000,MATCH($I672,спр_Материалы!$A$2:$A$9000,0))*IF(INDEX(спр_Материалы!$J$2:$J$9000,MATCH($I672,спр_Материалы!$A$2:$A$9000,0))="USD",КурсUSD,IF(INDEX(спр_Материалы!$J$2:$J$9000,MATCH($I672,спр_Материалы!$A$2:$A$9000,0))="EUR",КурсEUR,1))*INDEX(спр_Материалы!$K$2:$K$9000,MATCH($I672,спр_Материалы!$A$2:$A$9000,0))*(1+IFERROR(INDEX(спр_Работы!$I$2:$I$6000,MATCH($C672,спр_Работы!$A$2:$A$6000,0))/100,0))*(1-ДисконтТендер),0))</f>
        <v/>
      </c>
      <c r="N672" s="10">
        <f>IF(AND($R672="да",$H672&lt;&gt;""),ROUND($H672*$L672,2),0)</f>
        <v/>
      </c>
      <c r="O672" s="10">
        <f>IF(AND($R672="да",$H672&lt;&gt;""),ROUND($H672*$M672,2),0)</f>
        <v/>
      </c>
      <c r="P672" s="10">
        <f>$N672+$O672</f>
        <v/>
      </c>
      <c r="Q672">
        <f>IFERROR(INDEX(спр_Работы!$J$2:$J$6000,MATCH($C672,спр_Работы!$A$2:$A$6000,0)),"")</f>
        <v/>
      </c>
      <c r="R672" t="inlineStr">
        <is>
          <t>да</t>
        </is>
      </c>
      <c r="T672">
        <f>IF(AND($P672&gt;0,$R672="да"),MAX($T$1:$T671)+1,"")</f>
        <v/>
      </c>
    </row>
    <row r="673">
      <c r="A673">
        <f>IFERROR(INDEX(спр_Работы!$D$2:$D$6000,MATCH($C673,спр_Работы!$A$2:$A$6000,0)),"")</f>
        <v/>
      </c>
      <c r="B673">
        <f>IFERROR(INDEX(спр_Работы!$F$2:$F$6000,MATCH($C673,спр_Работы!$A$2:$A$6000,0)),"")</f>
        <v/>
      </c>
      <c r="C673">
        <f>IFERROR(INDEX(спр_Работы!$A$2:$A$6000,672),"")</f>
        <v/>
      </c>
      <c r="D673" s="8">
        <f>IFERROR(INDEX(спр_Работы!$B$2:$B$6000,MATCH($C673,спр_Работы!$A$2:$A$6000,0)),"")</f>
        <v/>
      </c>
      <c r="E673">
        <f>IFERROR(INDEX(спр_Работы!$C$2:$C$6000,MATCH($C673,спр_Работы!$A$2:$A$6000,0)),"")</f>
        <v/>
      </c>
      <c r="F673">
        <f>IFERROR(INDEX(спр_Работы!$G$2:$G$6000,MATCH($C673,спр_Работы!$A$2:$A$6000,0)),"")</f>
        <v/>
      </c>
      <c r="G673">
        <f>IFERROR(INDEX(спр_Работы!$K$2:$K$6000,MATCH($C673,спр_Работы!$A$2:$A$6000,0)),"")</f>
        <v/>
      </c>
      <c r="H673" s="9" t="n"/>
      <c r="I673" s="9" t="n"/>
      <c r="J673" s="8">
        <f>IFERROR(INDEX(спр_Материалы!$B$2:$B$9000,MATCH($I673,спр_Материалы!$A$2:$A$9000,0)),"")</f>
        <v/>
      </c>
      <c r="K673">
        <f>IF($I673="","",IF($F673=IFERROR(INDEX(спр_Материалы!$G$2:$G$9000,MATCH($I673,спр_Материалы!$A$2:$A$9000,0)),""),"OK","!! не та группа"))</f>
        <v/>
      </c>
      <c r="L673" s="10">
        <f>IFERROR(INDEX(спр_Работы!$H$2:$H$6000,MATCH($C673,спр_Работы!$A$2:$A$6000,0))*(1-ДисконтТендер),0)</f>
        <v/>
      </c>
      <c r="M673" s="10">
        <f>IF($I673="",0,IFERROR(INDEX(спр_Материалы!$I$2:$I$9000,MATCH($I673,спр_Материалы!$A$2:$A$9000,0))*IF(INDEX(спр_Материалы!$J$2:$J$9000,MATCH($I673,спр_Материалы!$A$2:$A$9000,0))="USD",КурсUSD,IF(INDEX(спр_Материалы!$J$2:$J$9000,MATCH($I673,спр_Материалы!$A$2:$A$9000,0))="EUR",КурсEUR,1))*INDEX(спр_Материалы!$K$2:$K$9000,MATCH($I673,спр_Материалы!$A$2:$A$9000,0))*(1+IFERROR(INDEX(спр_Работы!$I$2:$I$6000,MATCH($C673,спр_Работы!$A$2:$A$6000,0))/100,0))*(1-ДисконтТендер),0))</f>
        <v/>
      </c>
      <c r="N673" s="10">
        <f>IF(AND($R673="да",$H673&lt;&gt;""),ROUND($H673*$L673,2),0)</f>
        <v/>
      </c>
      <c r="O673" s="10">
        <f>IF(AND($R673="да",$H673&lt;&gt;""),ROUND($H673*$M673,2),0)</f>
        <v/>
      </c>
      <c r="P673" s="10">
        <f>$N673+$O673</f>
        <v/>
      </c>
      <c r="Q673">
        <f>IFERROR(INDEX(спр_Работы!$J$2:$J$6000,MATCH($C673,спр_Работы!$A$2:$A$6000,0)),"")</f>
        <v/>
      </c>
      <c r="R673" t="inlineStr">
        <is>
          <t>да</t>
        </is>
      </c>
      <c r="T673">
        <f>IF(AND($P673&gt;0,$R673="да"),MAX($T$1:$T672)+1,"")</f>
        <v/>
      </c>
    </row>
    <row r="674">
      <c r="A674">
        <f>IFERROR(INDEX(спр_Работы!$D$2:$D$6000,MATCH($C674,спр_Работы!$A$2:$A$6000,0)),"")</f>
        <v/>
      </c>
      <c r="B674">
        <f>IFERROR(INDEX(спр_Работы!$F$2:$F$6000,MATCH($C674,спр_Работы!$A$2:$A$6000,0)),"")</f>
        <v/>
      </c>
      <c r="C674">
        <f>IFERROR(INDEX(спр_Работы!$A$2:$A$6000,673),"")</f>
        <v/>
      </c>
      <c r="D674" s="8">
        <f>IFERROR(INDEX(спр_Работы!$B$2:$B$6000,MATCH($C674,спр_Работы!$A$2:$A$6000,0)),"")</f>
        <v/>
      </c>
      <c r="E674">
        <f>IFERROR(INDEX(спр_Работы!$C$2:$C$6000,MATCH($C674,спр_Работы!$A$2:$A$6000,0)),"")</f>
        <v/>
      </c>
      <c r="F674">
        <f>IFERROR(INDEX(спр_Работы!$G$2:$G$6000,MATCH($C674,спр_Работы!$A$2:$A$6000,0)),"")</f>
        <v/>
      </c>
      <c r="G674">
        <f>IFERROR(INDEX(спр_Работы!$K$2:$K$6000,MATCH($C674,спр_Работы!$A$2:$A$6000,0)),"")</f>
        <v/>
      </c>
      <c r="H674" s="9" t="n"/>
      <c r="I674" s="9" t="n"/>
      <c r="J674" s="8">
        <f>IFERROR(INDEX(спр_Материалы!$B$2:$B$9000,MATCH($I674,спр_Материалы!$A$2:$A$9000,0)),"")</f>
        <v/>
      </c>
      <c r="K674">
        <f>IF($I674="","",IF($F674=IFERROR(INDEX(спр_Материалы!$G$2:$G$9000,MATCH($I674,спр_Материалы!$A$2:$A$9000,0)),""),"OK","!! не та группа"))</f>
        <v/>
      </c>
      <c r="L674" s="10">
        <f>IFERROR(INDEX(спр_Работы!$H$2:$H$6000,MATCH($C674,спр_Работы!$A$2:$A$6000,0))*(1-ДисконтТендер),0)</f>
        <v/>
      </c>
      <c r="M674" s="10">
        <f>IF($I674="",0,IFERROR(INDEX(спр_Материалы!$I$2:$I$9000,MATCH($I674,спр_Материалы!$A$2:$A$9000,0))*IF(INDEX(спр_Материалы!$J$2:$J$9000,MATCH($I674,спр_Материалы!$A$2:$A$9000,0))="USD",КурсUSD,IF(INDEX(спр_Материалы!$J$2:$J$9000,MATCH($I674,спр_Материалы!$A$2:$A$9000,0))="EUR",КурсEUR,1))*INDEX(спр_Материалы!$K$2:$K$9000,MATCH($I674,спр_Материалы!$A$2:$A$9000,0))*(1+IFERROR(INDEX(спр_Работы!$I$2:$I$6000,MATCH($C674,спр_Работы!$A$2:$A$6000,0))/100,0))*(1-ДисконтТендер),0))</f>
        <v/>
      </c>
      <c r="N674" s="10">
        <f>IF(AND($R674="да",$H674&lt;&gt;""),ROUND($H674*$L674,2),0)</f>
        <v/>
      </c>
      <c r="O674" s="10">
        <f>IF(AND($R674="да",$H674&lt;&gt;""),ROUND($H674*$M674,2),0)</f>
        <v/>
      </c>
      <c r="P674" s="10">
        <f>$N674+$O674</f>
        <v/>
      </c>
      <c r="Q674">
        <f>IFERROR(INDEX(спр_Работы!$J$2:$J$6000,MATCH($C674,спр_Работы!$A$2:$A$6000,0)),"")</f>
        <v/>
      </c>
      <c r="R674" t="inlineStr">
        <is>
          <t>да</t>
        </is>
      </c>
      <c r="T674">
        <f>IF(AND($P674&gt;0,$R674="да"),MAX($T$1:$T673)+1,"")</f>
        <v/>
      </c>
    </row>
    <row r="675">
      <c r="A675">
        <f>IFERROR(INDEX(спр_Работы!$D$2:$D$6000,MATCH($C675,спр_Работы!$A$2:$A$6000,0)),"")</f>
        <v/>
      </c>
      <c r="B675">
        <f>IFERROR(INDEX(спр_Работы!$F$2:$F$6000,MATCH($C675,спр_Работы!$A$2:$A$6000,0)),"")</f>
        <v/>
      </c>
      <c r="C675">
        <f>IFERROR(INDEX(спр_Работы!$A$2:$A$6000,674),"")</f>
        <v/>
      </c>
      <c r="D675" s="8">
        <f>IFERROR(INDEX(спр_Работы!$B$2:$B$6000,MATCH($C675,спр_Работы!$A$2:$A$6000,0)),"")</f>
        <v/>
      </c>
      <c r="E675">
        <f>IFERROR(INDEX(спр_Работы!$C$2:$C$6000,MATCH($C675,спр_Работы!$A$2:$A$6000,0)),"")</f>
        <v/>
      </c>
      <c r="F675">
        <f>IFERROR(INDEX(спр_Работы!$G$2:$G$6000,MATCH($C675,спр_Работы!$A$2:$A$6000,0)),"")</f>
        <v/>
      </c>
      <c r="G675">
        <f>IFERROR(INDEX(спр_Работы!$K$2:$K$6000,MATCH($C675,спр_Работы!$A$2:$A$6000,0)),"")</f>
        <v/>
      </c>
      <c r="H675" s="9" t="n"/>
      <c r="I675" s="9" t="n"/>
      <c r="J675" s="8">
        <f>IFERROR(INDEX(спр_Материалы!$B$2:$B$9000,MATCH($I675,спр_Материалы!$A$2:$A$9000,0)),"")</f>
        <v/>
      </c>
      <c r="K675">
        <f>IF($I675="","",IF($F675=IFERROR(INDEX(спр_Материалы!$G$2:$G$9000,MATCH($I675,спр_Материалы!$A$2:$A$9000,0)),""),"OK","!! не та группа"))</f>
        <v/>
      </c>
      <c r="L675" s="10">
        <f>IFERROR(INDEX(спр_Работы!$H$2:$H$6000,MATCH($C675,спр_Работы!$A$2:$A$6000,0))*(1-ДисконтТендер),0)</f>
        <v/>
      </c>
      <c r="M675" s="10">
        <f>IF($I675="",0,IFERROR(INDEX(спр_Материалы!$I$2:$I$9000,MATCH($I675,спр_Материалы!$A$2:$A$9000,0))*IF(INDEX(спр_Материалы!$J$2:$J$9000,MATCH($I675,спр_Материалы!$A$2:$A$9000,0))="USD",КурсUSD,IF(INDEX(спр_Материалы!$J$2:$J$9000,MATCH($I675,спр_Материалы!$A$2:$A$9000,0))="EUR",КурсEUR,1))*INDEX(спр_Материалы!$K$2:$K$9000,MATCH($I675,спр_Материалы!$A$2:$A$9000,0))*(1+IFERROR(INDEX(спр_Работы!$I$2:$I$6000,MATCH($C675,спр_Работы!$A$2:$A$6000,0))/100,0))*(1-ДисконтТендер),0))</f>
        <v/>
      </c>
      <c r="N675" s="10">
        <f>IF(AND($R675="да",$H675&lt;&gt;""),ROUND($H675*$L675,2),0)</f>
        <v/>
      </c>
      <c r="O675" s="10">
        <f>IF(AND($R675="да",$H675&lt;&gt;""),ROUND($H675*$M675,2),0)</f>
        <v/>
      </c>
      <c r="P675" s="10">
        <f>$N675+$O675</f>
        <v/>
      </c>
      <c r="Q675">
        <f>IFERROR(INDEX(спр_Работы!$J$2:$J$6000,MATCH($C675,спр_Работы!$A$2:$A$6000,0)),"")</f>
        <v/>
      </c>
      <c r="R675" t="inlineStr">
        <is>
          <t>да</t>
        </is>
      </c>
      <c r="T675">
        <f>IF(AND($P675&gt;0,$R675="да"),MAX($T$1:$T674)+1,"")</f>
        <v/>
      </c>
    </row>
    <row r="676">
      <c r="A676">
        <f>IFERROR(INDEX(спр_Работы!$D$2:$D$6000,MATCH($C676,спр_Работы!$A$2:$A$6000,0)),"")</f>
        <v/>
      </c>
      <c r="B676">
        <f>IFERROR(INDEX(спр_Работы!$F$2:$F$6000,MATCH($C676,спр_Работы!$A$2:$A$6000,0)),"")</f>
        <v/>
      </c>
      <c r="C676">
        <f>IFERROR(INDEX(спр_Работы!$A$2:$A$6000,675),"")</f>
        <v/>
      </c>
      <c r="D676" s="8">
        <f>IFERROR(INDEX(спр_Работы!$B$2:$B$6000,MATCH($C676,спр_Работы!$A$2:$A$6000,0)),"")</f>
        <v/>
      </c>
      <c r="E676">
        <f>IFERROR(INDEX(спр_Работы!$C$2:$C$6000,MATCH($C676,спр_Работы!$A$2:$A$6000,0)),"")</f>
        <v/>
      </c>
      <c r="F676">
        <f>IFERROR(INDEX(спр_Работы!$G$2:$G$6000,MATCH($C676,спр_Работы!$A$2:$A$6000,0)),"")</f>
        <v/>
      </c>
      <c r="G676">
        <f>IFERROR(INDEX(спр_Работы!$K$2:$K$6000,MATCH($C676,спр_Работы!$A$2:$A$6000,0)),"")</f>
        <v/>
      </c>
      <c r="H676" s="9" t="n"/>
      <c r="I676" s="9" t="n"/>
      <c r="J676" s="8">
        <f>IFERROR(INDEX(спр_Материалы!$B$2:$B$9000,MATCH($I676,спр_Материалы!$A$2:$A$9000,0)),"")</f>
        <v/>
      </c>
      <c r="K676">
        <f>IF($I676="","",IF($F676=IFERROR(INDEX(спр_Материалы!$G$2:$G$9000,MATCH($I676,спр_Материалы!$A$2:$A$9000,0)),""),"OK","!! не та группа"))</f>
        <v/>
      </c>
      <c r="L676" s="10">
        <f>IFERROR(INDEX(спр_Работы!$H$2:$H$6000,MATCH($C676,спр_Работы!$A$2:$A$6000,0))*(1-ДисконтТендер),0)</f>
        <v/>
      </c>
      <c r="M676" s="10">
        <f>IF($I676="",0,IFERROR(INDEX(спр_Материалы!$I$2:$I$9000,MATCH($I676,спр_Материалы!$A$2:$A$9000,0))*IF(INDEX(спр_Материалы!$J$2:$J$9000,MATCH($I676,спр_Материалы!$A$2:$A$9000,0))="USD",КурсUSD,IF(INDEX(спр_Материалы!$J$2:$J$9000,MATCH($I676,спр_Материалы!$A$2:$A$9000,0))="EUR",КурсEUR,1))*INDEX(спр_Материалы!$K$2:$K$9000,MATCH($I676,спр_Материалы!$A$2:$A$9000,0))*(1+IFERROR(INDEX(спр_Работы!$I$2:$I$6000,MATCH($C676,спр_Работы!$A$2:$A$6000,0))/100,0))*(1-ДисконтТендер),0))</f>
        <v/>
      </c>
      <c r="N676" s="10">
        <f>IF(AND($R676="да",$H676&lt;&gt;""),ROUND($H676*$L676,2),0)</f>
        <v/>
      </c>
      <c r="O676" s="10">
        <f>IF(AND($R676="да",$H676&lt;&gt;""),ROUND($H676*$M676,2),0)</f>
        <v/>
      </c>
      <c r="P676" s="10">
        <f>$N676+$O676</f>
        <v/>
      </c>
      <c r="Q676">
        <f>IFERROR(INDEX(спр_Работы!$J$2:$J$6000,MATCH($C676,спр_Работы!$A$2:$A$6000,0)),"")</f>
        <v/>
      </c>
      <c r="R676" t="inlineStr">
        <is>
          <t>да</t>
        </is>
      </c>
      <c r="T676">
        <f>IF(AND($P676&gt;0,$R676="да"),MAX($T$1:$T675)+1,"")</f>
        <v/>
      </c>
    </row>
    <row r="677">
      <c r="A677">
        <f>IFERROR(INDEX(спр_Работы!$D$2:$D$6000,MATCH($C677,спр_Работы!$A$2:$A$6000,0)),"")</f>
        <v/>
      </c>
      <c r="B677">
        <f>IFERROR(INDEX(спр_Работы!$F$2:$F$6000,MATCH($C677,спр_Работы!$A$2:$A$6000,0)),"")</f>
        <v/>
      </c>
      <c r="C677">
        <f>IFERROR(INDEX(спр_Работы!$A$2:$A$6000,676),"")</f>
        <v/>
      </c>
      <c r="D677" s="8">
        <f>IFERROR(INDEX(спр_Работы!$B$2:$B$6000,MATCH($C677,спр_Работы!$A$2:$A$6000,0)),"")</f>
        <v/>
      </c>
      <c r="E677">
        <f>IFERROR(INDEX(спр_Работы!$C$2:$C$6000,MATCH($C677,спр_Работы!$A$2:$A$6000,0)),"")</f>
        <v/>
      </c>
      <c r="F677">
        <f>IFERROR(INDEX(спр_Работы!$G$2:$G$6000,MATCH($C677,спр_Работы!$A$2:$A$6000,0)),"")</f>
        <v/>
      </c>
      <c r="G677">
        <f>IFERROR(INDEX(спр_Работы!$K$2:$K$6000,MATCH($C677,спр_Работы!$A$2:$A$6000,0)),"")</f>
        <v/>
      </c>
      <c r="H677" s="9" t="n"/>
      <c r="I677" s="9" t="n"/>
      <c r="J677" s="8">
        <f>IFERROR(INDEX(спр_Материалы!$B$2:$B$9000,MATCH($I677,спр_Материалы!$A$2:$A$9000,0)),"")</f>
        <v/>
      </c>
      <c r="K677">
        <f>IF($I677="","",IF($F677=IFERROR(INDEX(спр_Материалы!$G$2:$G$9000,MATCH($I677,спр_Материалы!$A$2:$A$9000,0)),""),"OK","!! не та группа"))</f>
        <v/>
      </c>
      <c r="L677" s="10">
        <f>IFERROR(INDEX(спр_Работы!$H$2:$H$6000,MATCH($C677,спр_Работы!$A$2:$A$6000,0))*(1-ДисконтТендер),0)</f>
        <v/>
      </c>
      <c r="M677" s="10">
        <f>IF($I677="",0,IFERROR(INDEX(спр_Материалы!$I$2:$I$9000,MATCH($I677,спр_Материалы!$A$2:$A$9000,0))*IF(INDEX(спр_Материалы!$J$2:$J$9000,MATCH($I677,спр_Материалы!$A$2:$A$9000,0))="USD",КурсUSD,IF(INDEX(спр_Материалы!$J$2:$J$9000,MATCH($I677,спр_Материалы!$A$2:$A$9000,0))="EUR",КурсEUR,1))*INDEX(спр_Материалы!$K$2:$K$9000,MATCH($I677,спр_Материалы!$A$2:$A$9000,0))*(1+IFERROR(INDEX(спр_Работы!$I$2:$I$6000,MATCH($C677,спр_Работы!$A$2:$A$6000,0))/100,0))*(1-ДисконтТендер),0))</f>
        <v/>
      </c>
      <c r="N677" s="10">
        <f>IF(AND($R677="да",$H677&lt;&gt;""),ROUND($H677*$L677,2),0)</f>
        <v/>
      </c>
      <c r="O677" s="10">
        <f>IF(AND($R677="да",$H677&lt;&gt;""),ROUND($H677*$M677,2),0)</f>
        <v/>
      </c>
      <c r="P677" s="10">
        <f>$N677+$O677</f>
        <v/>
      </c>
      <c r="Q677">
        <f>IFERROR(INDEX(спр_Работы!$J$2:$J$6000,MATCH($C677,спр_Работы!$A$2:$A$6000,0)),"")</f>
        <v/>
      </c>
      <c r="R677" t="inlineStr">
        <is>
          <t>да</t>
        </is>
      </c>
      <c r="T677">
        <f>IF(AND($P677&gt;0,$R677="да"),MAX($T$1:$T676)+1,"")</f>
        <v/>
      </c>
    </row>
    <row r="678">
      <c r="A678">
        <f>IFERROR(INDEX(спр_Работы!$D$2:$D$6000,MATCH($C678,спр_Работы!$A$2:$A$6000,0)),"")</f>
        <v/>
      </c>
      <c r="B678">
        <f>IFERROR(INDEX(спр_Работы!$F$2:$F$6000,MATCH($C678,спр_Работы!$A$2:$A$6000,0)),"")</f>
        <v/>
      </c>
      <c r="C678">
        <f>IFERROR(INDEX(спр_Работы!$A$2:$A$6000,677),"")</f>
        <v/>
      </c>
      <c r="D678" s="8">
        <f>IFERROR(INDEX(спр_Работы!$B$2:$B$6000,MATCH($C678,спр_Работы!$A$2:$A$6000,0)),"")</f>
        <v/>
      </c>
      <c r="E678">
        <f>IFERROR(INDEX(спр_Работы!$C$2:$C$6000,MATCH($C678,спр_Работы!$A$2:$A$6000,0)),"")</f>
        <v/>
      </c>
      <c r="F678">
        <f>IFERROR(INDEX(спр_Работы!$G$2:$G$6000,MATCH($C678,спр_Работы!$A$2:$A$6000,0)),"")</f>
        <v/>
      </c>
      <c r="G678">
        <f>IFERROR(INDEX(спр_Работы!$K$2:$K$6000,MATCH($C678,спр_Работы!$A$2:$A$6000,0)),"")</f>
        <v/>
      </c>
      <c r="H678" s="9" t="n"/>
      <c r="I678" s="9" t="n"/>
      <c r="J678" s="8">
        <f>IFERROR(INDEX(спр_Материалы!$B$2:$B$9000,MATCH($I678,спр_Материалы!$A$2:$A$9000,0)),"")</f>
        <v/>
      </c>
      <c r="K678">
        <f>IF($I678="","",IF($F678=IFERROR(INDEX(спр_Материалы!$G$2:$G$9000,MATCH($I678,спр_Материалы!$A$2:$A$9000,0)),""),"OK","!! не та группа"))</f>
        <v/>
      </c>
      <c r="L678" s="10">
        <f>IFERROR(INDEX(спр_Работы!$H$2:$H$6000,MATCH($C678,спр_Работы!$A$2:$A$6000,0))*(1-ДисконтТендер),0)</f>
        <v/>
      </c>
      <c r="M678" s="10">
        <f>IF($I678="",0,IFERROR(INDEX(спр_Материалы!$I$2:$I$9000,MATCH($I678,спр_Материалы!$A$2:$A$9000,0))*IF(INDEX(спр_Материалы!$J$2:$J$9000,MATCH($I678,спр_Материалы!$A$2:$A$9000,0))="USD",КурсUSD,IF(INDEX(спр_Материалы!$J$2:$J$9000,MATCH($I678,спр_Материалы!$A$2:$A$9000,0))="EUR",КурсEUR,1))*INDEX(спр_Материалы!$K$2:$K$9000,MATCH($I678,спр_Материалы!$A$2:$A$9000,0))*(1+IFERROR(INDEX(спр_Работы!$I$2:$I$6000,MATCH($C678,спр_Работы!$A$2:$A$6000,0))/100,0))*(1-ДисконтТендер),0))</f>
        <v/>
      </c>
      <c r="N678" s="10">
        <f>IF(AND($R678="да",$H678&lt;&gt;""),ROUND($H678*$L678,2),0)</f>
        <v/>
      </c>
      <c r="O678" s="10">
        <f>IF(AND($R678="да",$H678&lt;&gt;""),ROUND($H678*$M678,2),0)</f>
        <v/>
      </c>
      <c r="P678" s="10">
        <f>$N678+$O678</f>
        <v/>
      </c>
      <c r="Q678">
        <f>IFERROR(INDEX(спр_Работы!$J$2:$J$6000,MATCH($C678,спр_Работы!$A$2:$A$6000,0)),"")</f>
        <v/>
      </c>
      <c r="R678" t="inlineStr">
        <is>
          <t>да</t>
        </is>
      </c>
      <c r="T678">
        <f>IF(AND($P678&gt;0,$R678="да"),MAX($T$1:$T677)+1,"")</f>
        <v/>
      </c>
    </row>
    <row r="679">
      <c r="A679">
        <f>IFERROR(INDEX(спр_Работы!$D$2:$D$6000,MATCH($C679,спр_Работы!$A$2:$A$6000,0)),"")</f>
        <v/>
      </c>
      <c r="B679">
        <f>IFERROR(INDEX(спр_Работы!$F$2:$F$6000,MATCH($C679,спр_Работы!$A$2:$A$6000,0)),"")</f>
        <v/>
      </c>
      <c r="C679">
        <f>IFERROR(INDEX(спр_Работы!$A$2:$A$6000,678),"")</f>
        <v/>
      </c>
      <c r="D679" s="8">
        <f>IFERROR(INDEX(спр_Работы!$B$2:$B$6000,MATCH($C679,спр_Работы!$A$2:$A$6000,0)),"")</f>
        <v/>
      </c>
      <c r="E679">
        <f>IFERROR(INDEX(спр_Работы!$C$2:$C$6000,MATCH($C679,спр_Работы!$A$2:$A$6000,0)),"")</f>
        <v/>
      </c>
      <c r="F679">
        <f>IFERROR(INDEX(спр_Работы!$G$2:$G$6000,MATCH($C679,спр_Работы!$A$2:$A$6000,0)),"")</f>
        <v/>
      </c>
      <c r="G679">
        <f>IFERROR(INDEX(спр_Работы!$K$2:$K$6000,MATCH($C679,спр_Работы!$A$2:$A$6000,0)),"")</f>
        <v/>
      </c>
      <c r="H679" s="9" t="n"/>
      <c r="I679" s="9" t="n"/>
      <c r="J679" s="8">
        <f>IFERROR(INDEX(спр_Материалы!$B$2:$B$9000,MATCH($I679,спр_Материалы!$A$2:$A$9000,0)),"")</f>
        <v/>
      </c>
      <c r="K679">
        <f>IF($I679="","",IF($F679=IFERROR(INDEX(спр_Материалы!$G$2:$G$9000,MATCH($I679,спр_Материалы!$A$2:$A$9000,0)),""),"OK","!! не та группа"))</f>
        <v/>
      </c>
      <c r="L679" s="10">
        <f>IFERROR(INDEX(спр_Работы!$H$2:$H$6000,MATCH($C679,спр_Работы!$A$2:$A$6000,0))*(1-ДисконтТендер),0)</f>
        <v/>
      </c>
      <c r="M679" s="10">
        <f>IF($I679="",0,IFERROR(INDEX(спр_Материалы!$I$2:$I$9000,MATCH($I679,спр_Материалы!$A$2:$A$9000,0))*IF(INDEX(спр_Материалы!$J$2:$J$9000,MATCH($I679,спр_Материалы!$A$2:$A$9000,0))="USD",КурсUSD,IF(INDEX(спр_Материалы!$J$2:$J$9000,MATCH($I679,спр_Материалы!$A$2:$A$9000,0))="EUR",КурсEUR,1))*INDEX(спр_Материалы!$K$2:$K$9000,MATCH($I679,спр_Материалы!$A$2:$A$9000,0))*(1+IFERROR(INDEX(спр_Работы!$I$2:$I$6000,MATCH($C679,спр_Работы!$A$2:$A$6000,0))/100,0))*(1-ДисконтТендер),0))</f>
        <v/>
      </c>
      <c r="N679" s="10">
        <f>IF(AND($R679="да",$H679&lt;&gt;""),ROUND($H679*$L679,2),0)</f>
        <v/>
      </c>
      <c r="O679" s="10">
        <f>IF(AND($R679="да",$H679&lt;&gt;""),ROUND($H679*$M679,2),0)</f>
        <v/>
      </c>
      <c r="P679" s="10">
        <f>$N679+$O679</f>
        <v/>
      </c>
      <c r="Q679">
        <f>IFERROR(INDEX(спр_Работы!$J$2:$J$6000,MATCH($C679,спр_Работы!$A$2:$A$6000,0)),"")</f>
        <v/>
      </c>
      <c r="R679" t="inlineStr">
        <is>
          <t>да</t>
        </is>
      </c>
      <c r="T679">
        <f>IF(AND($P679&gt;0,$R679="да"),MAX($T$1:$T678)+1,"")</f>
        <v/>
      </c>
    </row>
    <row r="680">
      <c r="A680">
        <f>IFERROR(INDEX(спр_Работы!$D$2:$D$6000,MATCH($C680,спр_Работы!$A$2:$A$6000,0)),"")</f>
        <v/>
      </c>
      <c r="B680">
        <f>IFERROR(INDEX(спр_Работы!$F$2:$F$6000,MATCH($C680,спр_Работы!$A$2:$A$6000,0)),"")</f>
        <v/>
      </c>
      <c r="C680">
        <f>IFERROR(INDEX(спр_Работы!$A$2:$A$6000,679),"")</f>
        <v/>
      </c>
      <c r="D680" s="8">
        <f>IFERROR(INDEX(спр_Работы!$B$2:$B$6000,MATCH($C680,спр_Работы!$A$2:$A$6000,0)),"")</f>
        <v/>
      </c>
      <c r="E680">
        <f>IFERROR(INDEX(спр_Работы!$C$2:$C$6000,MATCH($C680,спр_Работы!$A$2:$A$6000,0)),"")</f>
        <v/>
      </c>
      <c r="F680">
        <f>IFERROR(INDEX(спр_Работы!$G$2:$G$6000,MATCH($C680,спр_Работы!$A$2:$A$6000,0)),"")</f>
        <v/>
      </c>
      <c r="G680">
        <f>IFERROR(INDEX(спр_Работы!$K$2:$K$6000,MATCH($C680,спр_Работы!$A$2:$A$6000,0)),"")</f>
        <v/>
      </c>
      <c r="H680" s="9" t="n"/>
      <c r="I680" s="9" t="n"/>
      <c r="J680" s="8">
        <f>IFERROR(INDEX(спр_Материалы!$B$2:$B$9000,MATCH($I680,спр_Материалы!$A$2:$A$9000,0)),"")</f>
        <v/>
      </c>
      <c r="K680">
        <f>IF($I680="","",IF($F680=IFERROR(INDEX(спр_Материалы!$G$2:$G$9000,MATCH($I680,спр_Материалы!$A$2:$A$9000,0)),""),"OK","!! не та группа"))</f>
        <v/>
      </c>
      <c r="L680" s="10">
        <f>IFERROR(INDEX(спр_Работы!$H$2:$H$6000,MATCH($C680,спр_Работы!$A$2:$A$6000,0))*(1-ДисконтТендер),0)</f>
        <v/>
      </c>
      <c r="M680" s="10">
        <f>IF($I680="",0,IFERROR(INDEX(спр_Материалы!$I$2:$I$9000,MATCH($I680,спр_Материалы!$A$2:$A$9000,0))*IF(INDEX(спр_Материалы!$J$2:$J$9000,MATCH($I680,спр_Материалы!$A$2:$A$9000,0))="USD",КурсUSD,IF(INDEX(спр_Материалы!$J$2:$J$9000,MATCH($I680,спр_Материалы!$A$2:$A$9000,0))="EUR",КурсEUR,1))*INDEX(спр_Материалы!$K$2:$K$9000,MATCH($I680,спр_Материалы!$A$2:$A$9000,0))*(1+IFERROR(INDEX(спр_Работы!$I$2:$I$6000,MATCH($C680,спр_Работы!$A$2:$A$6000,0))/100,0))*(1-ДисконтТендер),0))</f>
        <v/>
      </c>
      <c r="N680" s="10">
        <f>IF(AND($R680="да",$H680&lt;&gt;""),ROUND($H680*$L680,2),0)</f>
        <v/>
      </c>
      <c r="O680" s="10">
        <f>IF(AND($R680="да",$H680&lt;&gt;""),ROUND($H680*$M680,2),0)</f>
        <v/>
      </c>
      <c r="P680" s="10">
        <f>$N680+$O680</f>
        <v/>
      </c>
      <c r="Q680">
        <f>IFERROR(INDEX(спр_Работы!$J$2:$J$6000,MATCH($C680,спр_Работы!$A$2:$A$6000,0)),"")</f>
        <v/>
      </c>
      <c r="R680" t="inlineStr">
        <is>
          <t>да</t>
        </is>
      </c>
      <c r="T680">
        <f>IF(AND($P680&gt;0,$R680="да"),MAX($T$1:$T679)+1,"")</f>
        <v/>
      </c>
    </row>
    <row r="681">
      <c r="A681">
        <f>IFERROR(INDEX(спр_Работы!$D$2:$D$6000,MATCH($C681,спр_Работы!$A$2:$A$6000,0)),"")</f>
        <v/>
      </c>
      <c r="B681">
        <f>IFERROR(INDEX(спр_Работы!$F$2:$F$6000,MATCH($C681,спр_Работы!$A$2:$A$6000,0)),"")</f>
        <v/>
      </c>
      <c r="C681">
        <f>IFERROR(INDEX(спр_Работы!$A$2:$A$6000,680),"")</f>
        <v/>
      </c>
      <c r="D681" s="8">
        <f>IFERROR(INDEX(спр_Работы!$B$2:$B$6000,MATCH($C681,спр_Работы!$A$2:$A$6000,0)),"")</f>
        <v/>
      </c>
      <c r="E681">
        <f>IFERROR(INDEX(спр_Работы!$C$2:$C$6000,MATCH($C681,спр_Работы!$A$2:$A$6000,0)),"")</f>
        <v/>
      </c>
      <c r="F681">
        <f>IFERROR(INDEX(спр_Работы!$G$2:$G$6000,MATCH($C681,спр_Работы!$A$2:$A$6000,0)),"")</f>
        <v/>
      </c>
      <c r="G681">
        <f>IFERROR(INDEX(спр_Работы!$K$2:$K$6000,MATCH($C681,спр_Работы!$A$2:$A$6000,0)),"")</f>
        <v/>
      </c>
      <c r="H681" s="9" t="n"/>
      <c r="I681" s="9" t="n"/>
      <c r="J681" s="8">
        <f>IFERROR(INDEX(спр_Материалы!$B$2:$B$9000,MATCH($I681,спр_Материалы!$A$2:$A$9000,0)),"")</f>
        <v/>
      </c>
      <c r="K681">
        <f>IF($I681="","",IF($F681=IFERROR(INDEX(спр_Материалы!$G$2:$G$9000,MATCH($I681,спр_Материалы!$A$2:$A$9000,0)),""),"OK","!! не та группа"))</f>
        <v/>
      </c>
      <c r="L681" s="10">
        <f>IFERROR(INDEX(спр_Работы!$H$2:$H$6000,MATCH($C681,спр_Работы!$A$2:$A$6000,0))*(1-ДисконтТендер),0)</f>
        <v/>
      </c>
      <c r="M681" s="10">
        <f>IF($I681="",0,IFERROR(INDEX(спр_Материалы!$I$2:$I$9000,MATCH($I681,спр_Материалы!$A$2:$A$9000,0))*IF(INDEX(спр_Материалы!$J$2:$J$9000,MATCH($I681,спр_Материалы!$A$2:$A$9000,0))="USD",КурсUSD,IF(INDEX(спр_Материалы!$J$2:$J$9000,MATCH($I681,спр_Материалы!$A$2:$A$9000,0))="EUR",КурсEUR,1))*INDEX(спр_Материалы!$K$2:$K$9000,MATCH($I681,спр_Материалы!$A$2:$A$9000,0))*(1+IFERROR(INDEX(спр_Работы!$I$2:$I$6000,MATCH($C681,спр_Работы!$A$2:$A$6000,0))/100,0))*(1-ДисконтТендер),0))</f>
        <v/>
      </c>
      <c r="N681" s="10">
        <f>IF(AND($R681="да",$H681&lt;&gt;""),ROUND($H681*$L681,2),0)</f>
        <v/>
      </c>
      <c r="O681" s="10">
        <f>IF(AND($R681="да",$H681&lt;&gt;""),ROUND($H681*$M681,2),0)</f>
        <v/>
      </c>
      <c r="P681" s="10">
        <f>$N681+$O681</f>
        <v/>
      </c>
      <c r="Q681">
        <f>IFERROR(INDEX(спр_Работы!$J$2:$J$6000,MATCH($C681,спр_Работы!$A$2:$A$6000,0)),"")</f>
        <v/>
      </c>
      <c r="R681" t="inlineStr">
        <is>
          <t>да</t>
        </is>
      </c>
      <c r="T681">
        <f>IF(AND($P681&gt;0,$R681="да"),MAX($T$1:$T680)+1,"")</f>
        <v/>
      </c>
    </row>
    <row r="682">
      <c r="A682">
        <f>IFERROR(INDEX(спр_Работы!$D$2:$D$6000,MATCH($C682,спр_Работы!$A$2:$A$6000,0)),"")</f>
        <v/>
      </c>
      <c r="B682">
        <f>IFERROR(INDEX(спр_Работы!$F$2:$F$6000,MATCH($C682,спр_Работы!$A$2:$A$6000,0)),"")</f>
        <v/>
      </c>
      <c r="C682">
        <f>IFERROR(INDEX(спр_Работы!$A$2:$A$6000,681),"")</f>
        <v/>
      </c>
      <c r="D682" s="8">
        <f>IFERROR(INDEX(спр_Работы!$B$2:$B$6000,MATCH($C682,спр_Работы!$A$2:$A$6000,0)),"")</f>
        <v/>
      </c>
      <c r="E682">
        <f>IFERROR(INDEX(спр_Работы!$C$2:$C$6000,MATCH($C682,спр_Работы!$A$2:$A$6000,0)),"")</f>
        <v/>
      </c>
      <c r="F682">
        <f>IFERROR(INDEX(спр_Работы!$G$2:$G$6000,MATCH($C682,спр_Работы!$A$2:$A$6000,0)),"")</f>
        <v/>
      </c>
      <c r="G682">
        <f>IFERROR(INDEX(спр_Работы!$K$2:$K$6000,MATCH($C682,спр_Работы!$A$2:$A$6000,0)),"")</f>
        <v/>
      </c>
      <c r="H682" s="9" t="n"/>
      <c r="I682" s="9" t="n"/>
      <c r="J682" s="8">
        <f>IFERROR(INDEX(спр_Материалы!$B$2:$B$9000,MATCH($I682,спр_Материалы!$A$2:$A$9000,0)),"")</f>
        <v/>
      </c>
      <c r="K682">
        <f>IF($I682="","",IF($F682=IFERROR(INDEX(спр_Материалы!$G$2:$G$9000,MATCH($I682,спр_Материалы!$A$2:$A$9000,0)),""),"OK","!! не та группа"))</f>
        <v/>
      </c>
      <c r="L682" s="10">
        <f>IFERROR(INDEX(спр_Работы!$H$2:$H$6000,MATCH($C682,спр_Работы!$A$2:$A$6000,0))*(1-ДисконтТендер),0)</f>
        <v/>
      </c>
      <c r="M682" s="10">
        <f>IF($I682="",0,IFERROR(INDEX(спр_Материалы!$I$2:$I$9000,MATCH($I682,спр_Материалы!$A$2:$A$9000,0))*IF(INDEX(спр_Материалы!$J$2:$J$9000,MATCH($I682,спр_Материалы!$A$2:$A$9000,0))="USD",КурсUSD,IF(INDEX(спр_Материалы!$J$2:$J$9000,MATCH($I682,спр_Материалы!$A$2:$A$9000,0))="EUR",КурсEUR,1))*INDEX(спр_Материалы!$K$2:$K$9000,MATCH($I682,спр_Материалы!$A$2:$A$9000,0))*(1+IFERROR(INDEX(спр_Работы!$I$2:$I$6000,MATCH($C682,спр_Работы!$A$2:$A$6000,0))/100,0))*(1-ДисконтТендер),0))</f>
        <v/>
      </c>
      <c r="N682" s="10">
        <f>IF(AND($R682="да",$H682&lt;&gt;""),ROUND($H682*$L682,2),0)</f>
        <v/>
      </c>
      <c r="O682" s="10">
        <f>IF(AND($R682="да",$H682&lt;&gt;""),ROUND($H682*$M682,2),0)</f>
        <v/>
      </c>
      <c r="P682" s="10">
        <f>$N682+$O682</f>
        <v/>
      </c>
      <c r="Q682">
        <f>IFERROR(INDEX(спр_Работы!$J$2:$J$6000,MATCH($C682,спр_Работы!$A$2:$A$6000,0)),"")</f>
        <v/>
      </c>
      <c r="R682" t="inlineStr">
        <is>
          <t>да</t>
        </is>
      </c>
      <c r="T682">
        <f>IF(AND($P682&gt;0,$R682="да"),MAX($T$1:$T681)+1,"")</f>
        <v/>
      </c>
    </row>
    <row r="683">
      <c r="A683">
        <f>IFERROR(INDEX(спр_Работы!$D$2:$D$6000,MATCH($C683,спр_Работы!$A$2:$A$6000,0)),"")</f>
        <v/>
      </c>
      <c r="B683">
        <f>IFERROR(INDEX(спр_Работы!$F$2:$F$6000,MATCH($C683,спр_Работы!$A$2:$A$6000,0)),"")</f>
        <v/>
      </c>
      <c r="C683">
        <f>IFERROR(INDEX(спр_Работы!$A$2:$A$6000,682),"")</f>
        <v/>
      </c>
      <c r="D683" s="8">
        <f>IFERROR(INDEX(спр_Работы!$B$2:$B$6000,MATCH($C683,спр_Работы!$A$2:$A$6000,0)),"")</f>
        <v/>
      </c>
      <c r="E683">
        <f>IFERROR(INDEX(спр_Работы!$C$2:$C$6000,MATCH($C683,спр_Работы!$A$2:$A$6000,0)),"")</f>
        <v/>
      </c>
      <c r="F683">
        <f>IFERROR(INDEX(спр_Работы!$G$2:$G$6000,MATCH($C683,спр_Работы!$A$2:$A$6000,0)),"")</f>
        <v/>
      </c>
      <c r="G683">
        <f>IFERROR(INDEX(спр_Работы!$K$2:$K$6000,MATCH($C683,спр_Работы!$A$2:$A$6000,0)),"")</f>
        <v/>
      </c>
      <c r="H683" s="9" t="n"/>
      <c r="I683" s="9" t="n"/>
      <c r="J683" s="8">
        <f>IFERROR(INDEX(спр_Материалы!$B$2:$B$9000,MATCH($I683,спр_Материалы!$A$2:$A$9000,0)),"")</f>
        <v/>
      </c>
      <c r="K683">
        <f>IF($I683="","",IF($F683=IFERROR(INDEX(спр_Материалы!$G$2:$G$9000,MATCH($I683,спр_Материалы!$A$2:$A$9000,0)),""),"OK","!! не та группа"))</f>
        <v/>
      </c>
      <c r="L683" s="10">
        <f>IFERROR(INDEX(спр_Работы!$H$2:$H$6000,MATCH($C683,спр_Работы!$A$2:$A$6000,0))*(1-ДисконтТендер),0)</f>
        <v/>
      </c>
      <c r="M683" s="10">
        <f>IF($I683="",0,IFERROR(INDEX(спр_Материалы!$I$2:$I$9000,MATCH($I683,спр_Материалы!$A$2:$A$9000,0))*IF(INDEX(спр_Материалы!$J$2:$J$9000,MATCH($I683,спр_Материалы!$A$2:$A$9000,0))="USD",КурсUSD,IF(INDEX(спр_Материалы!$J$2:$J$9000,MATCH($I683,спр_Материалы!$A$2:$A$9000,0))="EUR",КурсEUR,1))*INDEX(спр_Материалы!$K$2:$K$9000,MATCH($I683,спр_Материалы!$A$2:$A$9000,0))*(1+IFERROR(INDEX(спр_Работы!$I$2:$I$6000,MATCH($C683,спр_Работы!$A$2:$A$6000,0))/100,0))*(1-ДисконтТендер),0))</f>
        <v/>
      </c>
      <c r="N683" s="10">
        <f>IF(AND($R683="да",$H683&lt;&gt;""),ROUND($H683*$L683,2),0)</f>
        <v/>
      </c>
      <c r="O683" s="10">
        <f>IF(AND($R683="да",$H683&lt;&gt;""),ROUND($H683*$M683,2),0)</f>
        <v/>
      </c>
      <c r="P683" s="10">
        <f>$N683+$O683</f>
        <v/>
      </c>
      <c r="Q683">
        <f>IFERROR(INDEX(спр_Работы!$J$2:$J$6000,MATCH($C683,спр_Работы!$A$2:$A$6000,0)),"")</f>
        <v/>
      </c>
      <c r="R683" t="inlineStr">
        <is>
          <t>да</t>
        </is>
      </c>
      <c r="T683">
        <f>IF(AND($P683&gt;0,$R683="да"),MAX($T$1:$T682)+1,"")</f>
        <v/>
      </c>
    </row>
    <row r="684">
      <c r="A684">
        <f>IFERROR(INDEX(спр_Работы!$D$2:$D$6000,MATCH($C684,спр_Работы!$A$2:$A$6000,0)),"")</f>
        <v/>
      </c>
      <c r="B684">
        <f>IFERROR(INDEX(спр_Работы!$F$2:$F$6000,MATCH($C684,спр_Работы!$A$2:$A$6000,0)),"")</f>
        <v/>
      </c>
      <c r="C684">
        <f>IFERROR(INDEX(спр_Работы!$A$2:$A$6000,683),"")</f>
        <v/>
      </c>
      <c r="D684" s="8">
        <f>IFERROR(INDEX(спр_Работы!$B$2:$B$6000,MATCH($C684,спр_Работы!$A$2:$A$6000,0)),"")</f>
        <v/>
      </c>
      <c r="E684">
        <f>IFERROR(INDEX(спр_Работы!$C$2:$C$6000,MATCH($C684,спр_Работы!$A$2:$A$6000,0)),"")</f>
        <v/>
      </c>
      <c r="F684">
        <f>IFERROR(INDEX(спр_Работы!$G$2:$G$6000,MATCH($C684,спр_Работы!$A$2:$A$6000,0)),"")</f>
        <v/>
      </c>
      <c r="G684">
        <f>IFERROR(INDEX(спр_Работы!$K$2:$K$6000,MATCH($C684,спр_Работы!$A$2:$A$6000,0)),"")</f>
        <v/>
      </c>
      <c r="H684" s="9" t="n"/>
      <c r="I684" s="9" t="n"/>
      <c r="J684" s="8">
        <f>IFERROR(INDEX(спр_Материалы!$B$2:$B$9000,MATCH($I684,спр_Материалы!$A$2:$A$9000,0)),"")</f>
        <v/>
      </c>
      <c r="K684">
        <f>IF($I684="","",IF($F684=IFERROR(INDEX(спр_Материалы!$G$2:$G$9000,MATCH($I684,спр_Материалы!$A$2:$A$9000,0)),""),"OK","!! не та группа"))</f>
        <v/>
      </c>
      <c r="L684" s="10">
        <f>IFERROR(INDEX(спр_Работы!$H$2:$H$6000,MATCH($C684,спр_Работы!$A$2:$A$6000,0))*(1-ДисконтТендер),0)</f>
        <v/>
      </c>
      <c r="M684" s="10">
        <f>IF($I684="",0,IFERROR(INDEX(спр_Материалы!$I$2:$I$9000,MATCH($I684,спр_Материалы!$A$2:$A$9000,0))*IF(INDEX(спр_Материалы!$J$2:$J$9000,MATCH($I684,спр_Материалы!$A$2:$A$9000,0))="USD",КурсUSD,IF(INDEX(спр_Материалы!$J$2:$J$9000,MATCH($I684,спр_Материалы!$A$2:$A$9000,0))="EUR",КурсEUR,1))*INDEX(спр_Материалы!$K$2:$K$9000,MATCH($I684,спр_Материалы!$A$2:$A$9000,0))*(1+IFERROR(INDEX(спр_Работы!$I$2:$I$6000,MATCH($C684,спр_Работы!$A$2:$A$6000,0))/100,0))*(1-ДисконтТендер),0))</f>
        <v/>
      </c>
      <c r="N684" s="10">
        <f>IF(AND($R684="да",$H684&lt;&gt;""),ROUND($H684*$L684,2),0)</f>
        <v/>
      </c>
      <c r="O684" s="10">
        <f>IF(AND($R684="да",$H684&lt;&gt;""),ROUND($H684*$M684,2),0)</f>
        <v/>
      </c>
      <c r="P684" s="10">
        <f>$N684+$O684</f>
        <v/>
      </c>
      <c r="Q684">
        <f>IFERROR(INDEX(спр_Работы!$J$2:$J$6000,MATCH($C684,спр_Работы!$A$2:$A$6000,0)),"")</f>
        <v/>
      </c>
      <c r="R684" t="inlineStr">
        <is>
          <t>да</t>
        </is>
      </c>
      <c r="T684">
        <f>IF(AND($P684&gt;0,$R684="да"),MAX($T$1:$T683)+1,"")</f>
        <v/>
      </c>
    </row>
    <row r="685">
      <c r="A685">
        <f>IFERROR(INDEX(спр_Работы!$D$2:$D$6000,MATCH($C685,спр_Работы!$A$2:$A$6000,0)),"")</f>
        <v/>
      </c>
      <c r="B685">
        <f>IFERROR(INDEX(спр_Работы!$F$2:$F$6000,MATCH($C685,спр_Работы!$A$2:$A$6000,0)),"")</f>
        <v/>
      </c>
      <c r="C685">
        <f>IFERROR(INDEX(спр_Работы!$A$2:$A$6000,684),"")</f>
        <v/>
      </c>
      <c r="D685" s="8">
        <f>IFERROR(INDEX(спр_Работы!$B$2:$B$6000,MATCH($C685,спр_Работы!$A$2:$A$6000,0)),"")</f>
        <v/>
      </c>
      <c r="E685">
        <f>IFERROR(INDEX(спр_Работы!$C$2:$C$6000,MATCH($C685,спр_Работы!$A$2:$A$6000,0)),"")</f>
        <v/>
      </c>
      <c r="F685">
        <f>IFERROR(INDEX(спр_Работы!$G$2:$G$6000,MATCH($C685,спр_Работы!$A$2:$A$6000,0)),"")</f>
        <v/>
      </c>
      <c r="G685">
        <f>IFERROR(INDEX(спр_Работы!$K$2:$K$6000,MATCH($C685,спр_Работы!$A$2:$A$6000,0)),"")</f>
        <v/>
      </c>
      <c r="H685" s="9" t="n"/>
      <c r="I685" s="9" t="n"/>
      <c r="J685" s="8">
        <f>IFERROR(INDEX(спр_Материалы!$B$2:$B$9000,MATCH($I685,спр_Материалы!$A$2:$A$9000,0)),"")</f>
        <v/>
      </c>
      <c r="K685">
        <f>IF($I685="","",IF($F685=IFERROR(INDEX(спр_Материалы!$G$2:$G$9000,MATCH($I685,спр_Материалы!$A$2:$A$9000,0)),""),"OK","!! не та группа"))</f>
        <v/>
      </c>
      <c r="L685" s="10">
        <f>IFERROR(INDEX(спр_Работы!$H$2:$H$6000,MATCH($C685,спр_Работы!$A$2:$A$6000,0))*(1-ДисконтТендер),0)</f>
        <v/>
      </c>
      <c r="M685" s="10">
        <f>IF($I685="",0,IFERROR(INDEX(спр_Материалы!$I$2:$I$9000,MATCH($I685,спр_Материалы!$A$2:$A$9000,0))*IF(INDEX(спр_Материалы!$J$2:$J$9000,MATCH($I685,спр_Материалы!$A$2:$A$9000,0))="USD",КурсUSD,IF(INDEX(спр_Материалы!$J$2:$J$9000,MATCH($I685,спр_Материалы!$A$2:$A$9000,0))="EUR",КурсEUR,1))*INDEX(спр_Материалы!$K$2:$K$9000,MATCH($I685,спр_Материалы!$A$2:$A$9000,0))*(1+IFERROR(INDEX(спр_Работы!$I$2:$I$6000,MATCH($C685,спр_Работы!$A$2:$A$6000,0))/100,0))*(1-ДисконтТендер),0))</f>
        <v/>
      </c>
      <c r="N685" s="10">
        <f>IF(AND($R685="да",$H685&lt;&gt;""),ROUND($H685*$L685,2),0)</f>
        <v/>
      </c>
      <c r="O685" s="10">
        <f>IF(AND($R685="да",$H685&lt;&gt;""),ROUND($H685*$M685,2),0)</f>
        <v/>
      </c>
      <c r="P685" s="10">
        <f>$N685+$O685</f>
        <v/>
      </c>
      <c r="Q685">
        <f>IFERROR(INDEX(спр_Работы!$J$2:$J$6000,MATCH($C685,спр_Работы!$A$2:$A$6000,0)),"")</f>
        <v/>
      </c>
      <c r="R685" t="inlineStr">
        <is>
          <t>да</t>
        </is>
      </c>
      <c r="T685">
        <f>IF(AND($P685&gt;0,$R685="да"),MAX($T$1:$T684)+1,"")</f>
        <v/>
      </c>
    </row>
    <row r="686">
      <c r="A686">
        <f>IFERROR(INDEX(спр_Работы!$D$2:$D$6000,MATCH($C686,спр_Работы!$A$2:$A$6000,0)),"")</f>
        <v/>
      </c>
      <c r="B686">
        <f>IFERROR(INDEX(спр_Работы!$F$2:$F$6000,MATCH($C686,спр_Работы!$A$2:$A$6000,0)),"")</f>
        <v/>
      </c>
      <c r="C686">
        <f>IFERROR(INDEX(спр_Работы!$A$2:$A$6000,685),"")</f>
        <v/>
      </c>
      <c r="D686" s="8">
        <f>IFERROR(INDEX(спр_Работы!$B$2:$B$6000,MATCH($C686,спр_Работы!$A$2:$A$6000,0)),"")</f>
        <v/>
      </c>
      <c r="E686">
        <f>IFERROR(INDEX(спр_Работы!$C$2:$C$6000,MATCH($C686,спр_Работы!$A$2:$A$6000,0)),"")</f>
        <v/>
      </c>
      <c r="F686">
        <f>IFERROR(INDEX(спр_Работы!$G$2:$G$6000,MATCH($C686,спр_Работы!$A$2:$A$6000,0)),"")</f>
        <v/>
      </c>
      <c r="G686">
        <f>IFERROR(INDEX(спр_Работы!$K$2:$K$6000,MATCH($C686,спр_Работы!$A$2:$A$6000,0)),"")</f>
        <v/>
      </c>
      <c r="H686" s="9" t="n"/>
      <c r="I686" s="9" t="n"/>
      <c r="J686" s="8">
        <f>IFERROR(INDEX(спр_Материалы!$B$2:$B$9000,MATCH($I686,спр_Материалы!$A$2:$A$9000,0)),"")</f>
        <v/>
      </c>
      <c r="K686">
        <f>IF($I686="","",IF($F686=IFERROR(INDEX(спр_Материалы!$G$2:$G$9000,MATCH($I686,спр_Материалы!$A$2:$A$9000,0)),""),"OK","!! не та группа"))</f>
        <v/>
      </c>
      <c r="L686" s="10">
        <f>IFERROR(INDEX(спр_Работы!$H$2:$H$6000,MATCH($C686,спр_Работы!$A$2:$A$6000,0))*(1-ДисконтТендер),0)</f>
        <v/>
      </c>
      <c r="M686" s="10">
        <f>IF($I686="",0,IFERROR(INDEX(спр_Материалы!$I$2:$I$9000,MATCH($I686,спр_Материалы!$A$2:$A$9000,0))*IF(INDEX(спр_Материалы!$J$2:$J$9000,MATCH($I686,спр_Материалы!$A$2:$A$9000,0))="USD",КурсUSD,IF(INDEX(спр_Материалы!$J$2:$J$9000,MATCH($I686,спр_Материалы!$A$2:$A$9000,0))="EUR",КурсEUR,1))*INDEX(спр_Материалы!$K$2:$K$9000,MATCH($I686,спр_Материалы!$A$2:$A$9000,0))*(1+IFERROR(INDEX(спр_Работы!$I$2:$I$6000,MATCH($C686,спр_Работы!$A$2:$A$6000,0))/100,0))*(1-ДисконтТендер),0))</f>
        <v/>
      </c>
      <c r="N686" s="10">
        <f>IF(AND($R686="да",$H686&lt;&gt;""),ROUND($H686*$L686,2),0)</f>
        <v/>
      </c>
      <c r="O686" s="10">
        <f>IF(AND($R686="да",$H686&lt;&gt;""),ROUND($H686*$M686,2),0)</f>
        <v/>
      </c>
      <c r="P686" s="10">
        <f>$N686+$O686</f>
        <v/>
      </c>
      <c r="Q686">
        <f>IFERROR(INDEX(спр_Работы!$J$2:$J$6000,MATCH($C686,спр_Работы!$A$2:$A$6000,0)),"")</f>
        <v/>
      </c>
      <c r="R686" t="inlineStr">
        <is>
          <t>да</t>
        </is>
      </c>
      <c r="T686">
        <f>IF(AND($P686&gt;0,$R686="да"),MAX($T$1:$T685)+1,"")</f>
        <v/>
      </c>
    </row>
    <row r="687">
      <c r="A687">
        <f>IFERROR(INDEX(спр_Работы!$D$2:$D$6000,MATCH($C687,спр_Работы!$A$2:$A$6000,0)),"")</f>
        <v/>
      </c>
      <c r="B687">
        <f>IFERROR(INDEX(спр_Работы!$F$2:$F$6000,MATCH($C687,спр_Работы!$A$2:$A$6000,0)),"")</f>
        <v/>
      </c>
      <c r="C687">
        <f>IFERROR(INDEX(спр_Работы!$A$2:$A$6000,686),"")</f>
        <v/>
      </c>
      <c r="D687" s="8">
        <f>IFERROR(INDEX(спр_Работы!$B$2:$B$6000,MATCH($C687,спр_Работы!$A$2:$A$6000,0)),"")</f>
        <v/>
      </c>
      <c r="E687">
        <f>IFERROR(INDEX(спр_Работы!$C$2:$C$6000,MATCH($C687,спр_Работы!$A$2:$A$6000,0)),"")</f>
        <v/>
      </c>
      <c r="F687">
        <f>IFERROR(INDEX(спр_Работы!$G$2:$G$6000,MATCH($C687,спр_Работы!$A$2:$A$6000,0)),"")</f>
        <v/>
      </c>
      <c r="G687">
        <f>IFERROR(INDEX(спр_Работы!$K$2:$K$6000,MATCH($C687,спр_Работы!$A$2:$A$6000,0)),"")</f>
        <v/>
      </c>
      <c r="H687" s="9" t="n"/>
      <c r="I687" s="9" t="n"/>
      <c r="J687" s="8">
        <f>IFERROR(INDEX(спр_Материалы!$B$2:$B$9000,MATCH($I687,спр_Материалы!$A$2:$A$9000,0)),"")</f>
        <v/>
      </c>
      <c r="K687">
        <f>IF($I687="","",IF($F687=IFERROR(INDEX(спр_Материалы!$G$2:$G$9000,MATCH($I687,спр_Материалы!$A$2:$A$9000,0)),""),"OK","!! не та группа"))</f>
        <v/>
      </c>
      <c r="L687" s="10">
        <f>IFERROR(INDEX(спр_Работы!$H$2:$H$6000,MATCH($C687,спр_Работы!$A$2:$A$6000,0))*(1-ДисконтТендер),0)</f>
        <v/>
      </c>
      <c r="M687" s="10">
        <f>IF($I687="",0,IFERROR(INDEX(спр_Материалы!$I$2:$I$9000,MATCH($I687,спр_Материалы!$A$2:$A$9000,0))*IF(INDEX(спр_Материалы!$J$2:$J$9000,MATCH($I687,спр_Материалы!$A$2:$A$9000,0))="USD",КурсUSD,IF(INDEX(спр_Материалы!$J$2:$J$9000,MATCH($I687,спр_Материалы!$A$2:$A$9000,0))="EUR",КурсEUR,1))*INDEX(спр_Материалы!$K$2:$K$9000,MATCH($I687,спр_Материалы!$A$2:$A$9000,0))*(1+IFERROR(INDEX(спр_Работы!$I$2:$I$6000,MATCH($C687,спр_Работы!$A$2:$A$6000,0))/100,0))*(1-ДисконтТендер),0))</f>
        <v/>
      </c>
      <c r="N687" s="10">
        <f>IF(AND($R687="да",$H687&lt;&gt;""),ROUND($H687*$L687,2),0)</f>
        <v/>
      </c>
      <c r="O687" s="10">
        <f>IF(AND($R687="да",$H687&lt;&gt;""),ROUND($H687*$M687,2),0)</f>
        <v/>
      </c>
      <c r="P687" s="10">
        <f>$N687+$O687</f>
        <v/>
      </c>
      <c r="Q687">
        <f>IFERROR(INDEX(спр_Работы!$J$2:$J$6000,MATCH($C687,спр_Работы!$A$2:$A$6000,0)),"")</f>
        <v/>
      </c>
      <c r="R687" t="inlineStr">
        <is>
          <t>да</t>
        </is>
      </c>
      <c r="T687">
        <f>IF(AND($P687&gt;0,$R687="да"),MAX($T$1:$T686)+1,"")</f>
        <v/>
      </c>
    </row>
    <row r="688">
      <c r="A688">
        <f>IFERROR(INDEX(спр_Работы!$D$2:$D$6000,MATCH($C688,спр_Работы!$A$2:$A$6000,0)),"")</f>
        <v/>
      </c>
      <c r="B688">
        <f>IFERROR(INDEX(спр_Работы!$F$2:$F$6000,MATCH($C688,спр_Работы!$A$2:$A$6000,0)),"")</f>
        <v/>
      </c>
      <c r="C688">
        <f>IFERROR(INDEX(спр_Работы!$A$2:$A$6000,687),"")</f>
        <v/>
      </c>
      <c r="D688" s="8">
        <f>IFERROR(INDEX(спр_Работы!$B$2:$B$6000,MATCH($C688,спр_Работы!$A$2:$A$6000,0)),"")</f>
        <v/>
      </c>
      <c r="E688">
        <f>IFERROR(INDEX(спр_Работы!$C$2:$C$6000,MATCH($C688,спр_Работы!$A$2:$A$6000,0)),"")</f>
        <v/>
      </c>
      <c r="F688">
        <f>IFERROR(INDEX(спр_Работы!$G$2:$G$6000,MATCH($C688,спр_Работы!$A$2:$A$6000,0)),"")</f>
        <v/>
      </c>
      <c r="G688">
        <f>IFERROR(INDEX(спр_Работы!$K$2:$K$6000,MATCH($C688,спр_Работы!$A$2:$A$6000,0)),"")</f>
        <v/>
      </c>
      <c r="H688" s="9" t="n"/>
      <c r="I688" s="9" t="n"/>
      <c r="J688" s="8">
        <f>IFERROR(INDEX(спр_Материалы!$B$2:$B$9000,MATCH($I688,спр_Материалы!$A$2:$A$9000,0)),"")</f>
        <v/>
      </c>
      <c r="K688">
        <f>IF($I688="","",IF($F688=IFERROR(INDEX(спр_Материалы!$G$2:$G$9000,MATCH($I688,спр_Материалы!$A$2:$A$9000,0)),""),"OK","!! не та группа"))</f>
        <v/>
      </c>
      <c r="L688" s="10">
        <f>IFERROR(INDEX(спр_Работы!$H$2:$H$6000,MATCH($C688,спр_Работы!$A$2:$A$6000,0))*(1-ДисконтТендер),0)</f>
        <v/>
      </c>
      <c r="M688" s="10">
        <f>IF($I688="",0,IFERROR(INDEX(спр_Материалы!$I$2:$I$9000,MATCH($I688,спр_Материалы!$A$2:$A$9000,0))*IF(INDEX(спр_Материалы!$J$2:$J$9000,MATCH($I688,спр_Материалы!$A$2:$A$9000,0))="USD",КурсUSD,IF(INDEX(спр_Материалы!$J$2:$J$9000,MATCH($I688,спр_Материалы!$A$2:$A$9000,0))="EUR",КурсEUR,1))*INDEX(спр_Материалы!$K$2:$K$9000,MATCH($I688,спр_Материалы!$A$2:$A$9000,0))*(1+IFERROR(INDEX(спр_Работы!$I$2:$I$6000,MATCH($C688,спр_Работы!$A$2:$A$6000,0))/100,0))*(1-ДисконтТендер),0))</f>
        <v/>
      </c>
      <c r="N688" s="10">
        <f>IF(AND($R688="да",$H688&lt;&gt;""),ROUND($H688*$L688,2),0)</f>
        <v/>
      </c>
      <c r="O688" s="10">
        <f>IF(AND($R688="да",$H688&lt;&gt;""),ROUND($H688*$M688,2),0)</f>
        <v/>
      </c>
      <c r="P688" s="10">
        <f>$N688+$O688</f>
        <v/>
      </c>
      <c r="Q688">
        <f>IFERROR(INDEX(спр_Работы!$J$2:$J$6000,MATCH($C688,спр_Работы!$A$2:$A$6000,0)),"")</f>
        <v/>
      </c>
      <c r="R688" t="inlineStr">
        <is>
          <t>да</t>
        </is>
      </c>
      <c r="T688">
        <f>IF(AND($P688&gt;0,$R688="да"),MAX($T$1:$T687)+1,"")</f>
        <v/>
      </c>
    </row>
    <row r="689">
      <c r="A689">
        <f>IFERROR(INDEX(спр_Работы!$D$2:$D$6000,MATCH($C689,спр_Работы!$A$2:$A$6000,0)),"")</f>
        <v/>
      </c>
      <c r="B689">
        <f>IFERROR(INDEX(спр_Работы!$F$2:$F$6000,MATCH($C689,спр_Работы!$A$2:$A$6000,0)),"")</f>
        <v/>
      </c>
      <c r="C689">
        <f>IFERROR(INDEX(спр_Работы!$A$2:$A$6000,688),"")</f>
        <v/>
      </c>
      <c r="D689" s="8">
        <f>IFERROR(INDEX(спр_Работы!$B$2:$B$6000,MATCH($C689,спр_Работы!$A$2:$A$6000,0)),"")</f>
        <v/>
      </c>
      <c r="E689">
        <f>IFERROR(INDEX(спр_Работы!$C$2:$C$6000,MATCH($C689,спр_Работы!$A$2:$A$6000,0)),"")</f>
        <v/>
      </c>
      <c r="F689">
        <f>IFERROR(INDEX(спр_Работы!$G$2:$G$6000,MATCH($C689,спр_Работы!$A$2:$A$6000,0)),"")</f>
        <v/>
      </c>
      <c r="G689">
        <f>IFERROR(INDEX(спр_Работы!$K$2:$K$6000,MATCH($C689,спр_Работы!$A$2:$A$6000,0)),"")</f>
        <v/>
      </c>
      <c r="H689" s="9" t="n"/>
      <c r="I689" s="9" t="n"/>
      <c r="J689" s="8">
        <f>IFERROR(INDEX(спр_Материалы!$B$2:$B$9000,MATCH($I689,спр_Материалы!$A$2:$A$9000,0)),"")</f>
        <v/>
      </c>
      <c r="K689">
        <f>IF($I689="","",IF($F689=IFERROR(INDEX(спр_Материалы!$G$2:$G$9000,MATCH($I689,спр_Материалы!$A$2:$A$9000,0)),""),"OK","!! не та группа"))</f>
        <v/>
      </c>
      <c r="L689" s="10">
        <f>IFERROR(INDEX(спр_Работы!$H$2:$H$6000,MATCH($C689,спр_Работы!$A$2:$A$6000,0))*(1-ДисконтТендер),0)</f>
        <v/>
      </c>
      <c r="M689" s="10">
        <f>IF($I689="",0,IFERROR(INDEX(спр_Материалы!$I$2:$I$9000,MATCH($I689,спр_Материалы!$A$2:$A$9000,0))*IF(INDEX(спр_Материалы!$J$2:$J$9000,MATCH($I689,спр_Материалы!$A$2:$A$9000,0))="USD",КурсUSD,IF(INDEX(спр_Материалы!$J$2:$J$9000,MATCH($I689,спр_Материалы!$A$2:$A$9000,0))="EUR",КурсEUR,1))*INDEX(спр_Материалы!$K$2:$K$9000,MATCH($I689,спр_Материалы!$A$2:$A$9000,0))*(1+IFERROR(INDEX(спр_Работы!$I$2:$I$6000,MATCH($C689,спр_Работы!$A$2:$A$6000,0))/100,0))*(1-ДисконтТендер),0))</f>
        <v/>
      </c>
      <c r="N689" s="10">
        <f>IF(AND($R689="да",$H689&lt;&gt;""),ROUND($H689*$L689,2),0)</f>
        <v/>
      </c>
      <c r="O689" s="10">
        <f>IF(AND($R689="да",$H689&lt;&gt;""),ROUND($H689*$M689,2),0)</f>
        <v/>
      </c>
      <c r="P689" s="10">
        <f>$N689+$O689</f>
        <v/>
      </c>
      <c r="Q689">
        <f>IFERROR(INDEX(спр_Работы!$J$2:$J$6000,MATCH($C689,спр_Работы!$A$2:$A$6000,0)),"")</f>
        <v/>
      </c>
      <c r="R689" t="inlineStr">
        <is>
          <t>да</t>
        </is>
      </c>
      <c r="T689">
        <f>IF(AND($P689&gt;0,$R689="да"),MAX($T$1:$T688)+1,"")</f>
        <v/>
      </c>
    </row>
    <row r="690">
      <c r="A690">
        <f>IFERROR(INDEX(спр_Работы!$D$2:$D$6000,MATCH($C690,спр_Работы!$A$2:$A$6000,0)),"")</f>
        <v/>
      </c>
      <c r="B690">
        <f>IFERROR(INDEX(спр_Работы!$F$2:$F$6000,MATCH($C690,спр_Работы!$A$2:$A$6000,0)),"")</f>
        <v/>
      </c>
      <c r="C690">
        <f>IFERROR(INDEX(спр_Работы!$A$2:$A$6000,689),"")</f>
        <v/>
      </c>
      <c r="D690" s="8">
        <f>IFERROR(INDEX(спр_Работы!$B$2:$B$6000,MATCH($C690,спр_Работы!$A$2:$A$6000,0)),"")</f>
        <v/>
      </c>
      <c r="E690">
        <f>IFERROR(INDEX(спр_Работы!$C$2:$C$6000,MATCH($C690,спр_Работы!$A$2:$A$6000,0)),"")</f>
        <v/>
      </c>
      <c r="F690">
        <f>IFERROR(INDEX(спр_Работы!$G$2:$G$6000,MATCH($C690,спр_Работы!$A$2:$A$6000,0)),"")</f>
        <v/>
      </c>
      <c r="G690">
        <f>IFERROR(INDEX(спр_Работы!$K$2:$K$6000,MATCH($C690,спр_Работы!$A$2:$A$6000,0)),"")</f>
        <v/>
      </c>
      <c r="H690" s="9" t="n"/>
      <c r="I690" s="9" t="n"/>
      <c r="J690" s="8">
        <f>IFERROR(INDEX(спр_Материалы!$B$2:$B$9000,MATCH($I690,спр_Материалы!$A$2:$A$9000,0)),"")</f>
        <v/>
      </c>
      <c r="K690">
        <f>IF($I690="","",IF($F690=IFERROR(INDEX(спр_Материалы!$G$2:$G$9000,MATCH($I690,спр_Материалы!$A$2:$A$9000,0)),""),"OK","!! не та группа"))</f>
        <v/>
      </c>
      <c r="L690" s="10">
        <f>IFERROR(INDEX(спр_Работы!$H$2:$H$6000,MATCH($C690,спр_Работы!$A$2:$A$6000,0))*(1-ДисконтТендер),0)</f>
        <v/>
      </c>
      <c r="M690" s="10">
        <f>IF($I690="",0,IFERROR(INDEX(спр_Материалы!$I$2:$I$9000,MATCH($I690,спр_Материалы!$A$2:$A$9000,0))*IF(INDEX(спр_Материалы!$J$2:$J$9000,MATCH($I690,спр_Материалы!$A$2:$A$9000,0))="USD",КурсUSD,IF(INDEX(спр_Материалы!$J$2:$J$9000,MATCH($I690,спр_Материалы!$A$2:$A$9000,0))="EUR",КурсEUR,1))*INDEX(спр_Материалы!$K$2:$K$9000,MATCH($I690,спр_Материалы!$A$2:$A$9000,0))*(1+IFERROR(INDEX(спр_Работы!$I$2:$I$6000,MATCH($C690,спр_Работы!$A$2:$A$6000,0))/100,0))*(1-ДисконтТендер),0))</f>
        <v/>
      </c>
      <c r="N690" s="10">
        <f>IF(AND($R690="да",$H690&lt;&gt;""),ROUND($H690*$L690,2),0)</f>
        <v/>
      </c>
      <c r="O690" s="10">
        <f>IF(AND($R690="да",$H690&lt;&gt;""),ROUND($H690*$M690,2),0)</f>
        <v/>
      </c>
      <c r="P690" s="10">
        <f>$N690+$O690</f>
        <v/>
      </c>
      <c r="Q690">
        <f>IFERROR(INDEX(спр_Работы!$J$2:$J$6000,MATCH($C690,спр_Работы!$A$2:$A$6000,0)),"")</f>
        <v/>
      </c>
      <c r="R690" t="inlineStr">
        <is>
          <t>да</t>
        </is>
      </c>
      <c r="T690">
        <f>IF(AND($P690&gt;0,$R690="да"),MAX($T$1:$T689)+1,"")</f>
        <v/>
      </c>
    </row>
    <row r="691">
      <c r="A691">
        <f>IFERROR(INDEX(спр_Работы!$D$2:$D$6000,MATCH($C691,спр_Работы!$A$2:$A$6000,0)),"")</f>
        <v/>
      </c>
      <c r="B691">
        <f>IFERROR(INDEX(спр_Работы!$F$2:$F$6000,MATCH($C691,спр_Работы!$A$2:$A$6000,0)),"")</f>
        <v/>
      </c>
      <c r="C691">
        <f>IFERROR(INDEX(спр_Работы!$A$2:$A$6000,690),"")</f>
        <v/>
      </c>
      <c r="D691" s="8">
        <f>IFERROR(INDEX(спр_Работы!$B$2:$B$6000,MATCH($C691,спр_Работы!$A$2:$A$6000,0)),"")</f>
        <v/>
      </c>
      <c r="E691">
        <f>IFERROR(INDEX(спр_Работы!$C$2:$C$6000,MATCH($C691,спр_Работы!$A$2:$A$6000,0)),"")</f>
        <v/>
      </c>
      <c r="F691">
        <f>IFERROR(INDEX(спр_Работы!$G$2:$G$6000,MATCH($C691,спр_Работы!$A$2:$A$6000,0)),"")</f>
        <v/>
      </c>
      <c r="G691">
        <f>IFERROR(INDEX(спр_Работы!$K$2:$K$6000,MATCH($C691,спр_Работы!$A$2:$A$6000,0)),"")</f>
        <v/>
      </c>
      <c r="H691" s="9" t="n"/>
      <c r="I691" s="9" t="n"/>
      <c r="J691" s="8">
        <f>IFERROR(INDEX(спр_Материалы!$B$2:$B$9000,MATCH($I691,спр_Материалы!$A$2:$A$9000,0)),"")</f>
        <v/>
      </c>
      <c r="K691">
        <f>IF($I691="","",IF($F691=IFERROR(INDEX(спр_Материалы!$G$2:$G$9000,MATCH($I691,спр_Материалы!$A$2:$A$9000,0)),""),"OK","!! не та группа"))</f>
        <v/>
      </c>
      <c r="L691" s="10">
        <f>IFERROR(INDEX(спр_Работы!$H$2:$H$6000,MATCH($C691,спр_Работы!$A$2:$A$6000,0))*(1-ДисконтТендер),0)</f>
        <v/>
      </c>
      <c r="M691" s="10">
        <f>IF($I691="",0,IFERROR(INDEX(спр_Материалы!$I$2:$I$9000,MATCH($I691,спр_Материалы!$A$2:$A$9000,0))*IF(INDEX(спр_Материалы!$J$2:$J$9000,MATCH($I691,спр_Материалы!$A$2:$A$9000,0))="USD",КурсUSD,IF(INDEX(спр_Материалы!$J$2:$J$9000,MATCH($I691,спр_Материалы!$A$2:$A$9000,0))="EUR",КурсEUR,1))*INDEX(спр_Материалы!$K$2:$K$9000,MATCH($I691,спр_Материалы!$A$2:$A$9000,0))*(1+IFERROR(INDEX(спр_Работы!$I$2:$I$6000,MATCH($C691,спр_Работы!$A$2:$A$6000,0))/100,0))*(1-ДисконтТендер),0))</f>
        <v/>
      </c>
      <c r="N691" s="10">
        <f>IF(AND($R691="да",$H691&lt;&gt;""),ROUND($H691*$L691,2),0)</f>
        <v/>
      </c>
      <c r="O691" s="10">
        <f>IF(AND($R691="да",$H691&lt;&gt;""),ROUND($H691*$M691,2),0)</f>
        <v/>
      </c>
      <c r="P691" s="10">
        <f>$N691+$O691</f>
        <v/>
      </c>
      <c r="Q691">
        <f>IFERROR(INDEX(спр_Работы!$J$2:$J$6000,MATCH($C691,спр_Работы!$A$2:$A$6000,0)),"")</f>
        <v/>
      </c>
      <c r="R691" t="inlineStr">
        <is>
          <t>да</t>
        </is>
      </c>
      <c r="T691">
        <f>IF(AND($P691&gt;0,$R691="да"),MAX($T$1:$T690)+1,"")</f>
        <v/>
      </c>
    </row>
    <row r="692">
      <c r="A692">
        <f>IFERROR(INDEX(спр_Работы!$D$2:$D$6000,MATCH($C692,спр_Работы!$A$2:$A$6000,0)),"")</f>
        <v/>
      </c>
      <c r="B692">
        <f>IFERROR(INDEX(спр_Работы!$F$2:$F$6000,MATCH($C692,спр_Работы!$A$2:$A$6000,0)),"")</f>
        <v/>
      </c>
      <c r="C692">
        <f>IFERROR(INDEX(спр_Работы!$A$2:$A$6000,691),"")</f>
        <v/>
      </c>
      <c r="D692" s="8">
        <f>IFERROR(INDEX(спр_Работы!$B$2:$B$6000,MATCH($C692,спр_Работы!$A$2:$A$6000,0)),"")</f>
        <v/>
      </c>
      <c r="E692">
        <f>IFERROR(INDEX(спр_Работы!$C$2:$C$6000,MATCH($C692,спр_Работы!$A$2:$A$6000,0)),"")</f>
        <v/>
      </c>
      <c r="F692">
        <f>IFERROR(INDEX(спр_Работы!$G$2:$G$6000,MATCH($C692,спр_Работы!$A$2:$A$6000,0)),"")</f>
        <v/>
      </c>
      <c r="G692">
        <f>IFERROR(INDEX(спр_Работы!$K$2:$K$6000,MATCH($C692,спр_Работы!$A$2:$A$6000,0)),"")</f>
        <v/>
      </c>
      <c r="H692" s="9" t="n"/>
      <c r="I692" s="9" t="n"/>
      <c r="J692" s="8">
        <f>IFERROR(INDEX(спр_Материалы!$B$2:$B$9000,MATCH($I692,спр_Материалы!$A$2:$A$9000,0)),"")</f>
        <v/>
      </c>
      <c r="K692">
        <f>IF($I692="","",IF($F692=IFERROR(INDEX(спр_Материалы!$G$2:$G$9000,MATCH($I692,спр_Материалы!$A$2:$A$9000,0)),""),"OK","!! не та группа"))</f>
        <v/>
      </c>
      <c r="L692" s="10">
        <f>IFERROR(INDEX(спр_Работы!$H$2:$H$6000,MATCH($C692,спр_Работы!$A$2:$A$6000,0))*(1-ДисконтТендер),0)</f>
        <v/>
      </c>
      <c r="M692" s="10">
        <f>IF($I692="",0,IFERROR(INDEX(спр_Материалы!$I$2:$I$9000,MATCH($I692,спр_Материалы!$A$2:$A$9000,0))*IF(INDEX(спр_Материалы!$J$2:$J$9000,MATCH($I692,спр_Материалы!$A$2:$A$9000,0))="USD",КурсUSD,IF(INDEX(спр_Материалы!$J$2:$J$9000,MATCH($I692,спр_Материалы!$A$2:$A$9000,0))="EUR",КурсEUR,1))*INDEX(спр_Материалы!$K$2:$K$9000,MATCH($I692,спр_Материалы!$A$2:$A$9000,0))*(1+IFERROR(INDEX(спр_Работы!$I$2:$I$6000,MATCH($C692,спр_Работы!$A$2:$A$6000,0))/100,0))*(1-ДисконтТендер),0))</f>
        <v/>
      </c>
      <c r="N692" s="10">
        <f>IF(AND($R692="да",$H692&lt;&gt;""),ROUND($H692*$L692,2),0)</f>
        <v/>
      </c>
      <c r="O692" s="10">
        <f>IF(AND($R692="да",$H692&lt;&gt;""),ROUND($H692*$M692,2),0)</f>
        <v/>
      </c>
      <c r="P692" s="10">
        <f>$N692+$O692</f>
        <v/>
      </c>
      <c r="Q692">
        <f>IFERROR(INDEX(спр_Работы!$J$2:$J$6000,MATCH($C692,спр_Работы!$A$2:$A$6000,0)),"")</f>
        <v/>
      </c>
      <c r="R692" t="inlineStr">
        <is>
          <t>да</t>
        </is>
      </c>
      <c r="T692">
        <f>IF(AND($P692&gt;0,$R692="да"),MAX($T$1:$T691)+1,"")</f>
        <v/>
      </c>
    </row>
    <row r="693">
      <c r="A693">
        <f>IFERROR(INDEX(спр_Работы!$D$2:$D$6000,MATCH($C693,спр_Работы!$A$2:$A$6000,0)),"")</f>
        <v/>
      </c>
      <c r="B693">
        <f>IFERROR(INDEX(спр_Работы!$F$2:$F$6000,MATCH($C693,спр_Работы!$A$2:$A$6000,0)),"")</f>
        <v/>
      </c>
      <c r="C693">
        <f>IFERROR(INDEX(спр_Работы!$A$2:$A$6000,692),"")</f>
        <v/>
      </c>
      <c r="D693" s="8">
        <f>IFERROR(INDEX(спр_Работы!$B$2:$B$6000,MATCH($C693,спр_Работы!$A$2:$A$6000,0)),"")</f>
        <v/>
      </c>
      <c r="E693">
        <f>IFERROR(INDEX(спр_Работы!$C$2:$C$6000,MATCH($C693,спр_Работы!$A$2:$A$6000,0)),"")</f>
        <v/>
      </c>
      <c r="F693">
        <f>IFERROR(INDEX(спр_Работы!$G$2:$G$6000,MATCH($C693,спр_Работы!$A$2:$A$6000,0)),"")</f>
        <v/>
      </c>
      <c r="G693">
        <f>IFERROR(INDEX(спр_Работы!$K$2:$K$6000,MATCH($C693,спр_Работы!$A$2:$A$6000,0)),"")</f>
        <v/>
      </c>
      <c r="H693" s="9" t="n"/>
      <c r="I693" s="9" t="n"/>
      <c r="J693" s="8">
        <f>IFERROR(INDEX(спр_Материалы!$B$2:$B$9000,MATCH($I693,спр_Материалы!$A$2:$A$9000,0)),"")</f>
        <v/>
      </c>
      <c r="K693">
        <f>IF($I693="","",IF($F693=IFERROR(INDEX(спр_Материалы!$G$2:$G$9000,MATCH($I693,спр_Материалы!$A$2:$A$9000,0)),""),"OK","!! не та группа"))</f>
        <v/>
      </c>
      <c r="L693" s="10">
        <f>IFERROR(INDEX(спр_Работы!$H$2:$H$6000,MATCH($C693,спр_Работы!$A$2:$A$6000,0))*(1-ДисконтТендер),0)</f>
        <v/>
      </c>
      <c r="M693" s="10">
        <f>IF($I693="",0,IFERROR(INDEX(спр_Материалы!$I$2:$I$9000,MATCH($I693,спр_Материалы!$A$2:$A$9000,0))*IF(INDEX(спр_Материалы!$J$2:$J$9000,MATCH($I693,спр_Материалы!$A$2:$A$9000,0))="USD",КурсUSD,IF(INDEX(спр_Материалы!$J$2:$J$9000,MATCH($I693,спр_Материалы!$A$2:$A$9000,0))="EUR",КурсEUR,1))*INDEX(спр_Материалы!$K$2:$K$9000,MATCH($I693,спр_Материалы!$A$2:$A$9000,0))*(1+IFERROR(INDEX(спр_Работы!$I$2:$I$6000,MATCH($C693,спр_Работы!$A$2:$A$6000,0))/100,0))*(1-ДисконтТендер),0))</f>
        <v/>
      </c>
      <c r="N693" s="10">
        <f>IF(AND($R693="да",$H693&lt;&gt;""),ROUND($H693*$L693,2),0)</f>
        <v/>
      </c>
      <c r="O693" s="10">
        <f>IF(AND($R693="да",$H693&lt;&gt;""),ROUND($H693*$M693,2),0)</f>
        <v/>
      </c>
      <c r="P693" s="10">
        <f>$N693+$O693</f>
        <v/>
      </c>
      <c r="Q693">
        <f>IFERROR(INDEX(спр_Работы!$J$2:$J$6000,MATCH($C693,спр_Работы!$A$2:$A$6000,0)),"")</f>
        <v/>
      </c>
      <c r="R693" t="inlineStr">
        <is>
          <t>да</t>
        </is>
      </c>
      <c r="T693">
        <f>IF(AND($P693&gt;0,$R693="да"),MAX($T$1:$T692)+1,"")</f>
        <v/>
      </c>
    </row>
    <row r="694">
      <c r="A694">
        <f>IFERROR(INDEX(спр_Работы!$D$2:$D$6000,MATCH($C694,спр_Работы!$A$2:$A$6000,0)),"")</f>
        <v/>
      </c>
      <c r="B694">
        <f>IFERROR(INDEX(спр_Работы!$F$2:$F$6000,MATCH($C694,спр_Работы!$A$2:$A$6000,0)),"")</f>
        <v/>
      </c>
      <c r="C694">
        <f>IFERROR(INDEX(спр_Работы!$A$2:$A$6000,693),"")</f>
        <v/>
      </c>
      <c r="D694" s="8">
        <f>IFERROR(INDEX(спр_Работы!$B$2:$B$6000,MATCH($C694,спр_Работы!$A$2:$A$6000,0)),"")</f>
        <v/>
      </c>
      <c r="E694">
        <f>IFERROR(INDEX(спр_Работы!$C$2:$C$6000,MATCH($C694,спр_Работы!$A$2:$A$6000,0)),"")</f>
        <v/>
      </c>
      <c r="F694">
        <f>IFERROR(INDEX(спр_Работы!$G$2:$G$6000,MATCH($C694,спр_Работы!$A$2:$A$6000,0)),"")</f>
        <v/>
      </c>
      <c r="G694">
        <f>IFERROR(INDEX(спр_Работы!$K$2:$K$6000,MATCH($C694,спр_Работы!$A$2:$A$6000,0)),"")</f>
        <v/>
      </c>
      <c r="H694" s="9" t="n"/>
      <c r="I694" s="9" t="n"/>
      <c r="J694" s="8">
        <f>IFERROR(INDEX(спр_Материалы!$B$2:$B$9000,MATCH($I694,спр_Материалы!$A$2:$A$9000,0)),"")</f>
        <v/>
      </c>
      <c r="K694">
        <f>IF($I694="","",IF($F694=IFERROR(INDEX(спр_Материалы!$G$2:$G$9000,MATCH($I694,спр_Материалы!$A$2:$A$9000,0)),""),"OK","!! не та группа"))</f>
        <v/>
      </c>
      <c r="L694" s="10">
        <f>IFERROR(INDEX(спр_Работы!$H$2:$H$6000,MATCH($C694,спр_Работы!$A$2:$A$6000,0))*(1-ДисконтТендер),0)</f>
        <v/>
      </c>
      <c r="M694" s="10">
        <f>IF($I694="",0,IFERROR(INDEX(спр_Материалы!$I$2:$I$9000,MATCH($I694,спр_Материалы!$A$2:$A$9000,0))*IF(INDEX(спр_Материалы!$J$2:$J$9000,MATCH($I694,спр_Материалы!$A$2:$A$9000,0))="USD",КурсUSD,IF(INDEX(спр_Материалы!$J$2:$J$9000,MATCH($I694,спр_Материалы!$A$2:$A$9000,0))="EUR",КурсEUR,1))*INDEX(спр_Материалы!$K$2:$K$9000,MATCH($I694,спр_Материалы!$A$2:$A$9000,0))*(1+IFERROR(INDEX(спр_Работы!$I$2:$I$6000,MATCH($C694,спр_Работы!$A$2:$A$6000,0))/100,0))*(1-ДисконтТендер),0))</f>
        <v/>
      </c>
      <c r="N694" s="10">
        <f>IF(AND($R694="да",$H694&lt;&gt;""),ROUND($H694*$L694,2),0)</f>
        <v/>
      </c>
      <c r="O694" s="10">
        <f>IF(AND($R694="да",$H694&lt;&gt;""),ROUND($H694*$M694,2),0)</f>
        <v/>
      </c>
      <c r="P694" s="10">
        <f>$N694+$O694</f>
        <v/>
      </c>
      <c r="Q694">
        <f>IFERROR(INDEX(спр_Работы!$J$2:$J$6000,MATCH($C694,спр_Работы!$A$2:$A$6000,0)),"")</f>
        <v/>
      </c>
      <c r="R694" t="inlineStr">
        <is>
          <t>да</t>
        </is>
      </c>
      <c r="T694">
        <f>IF(AND($P694&gt;0,$R694="да"),MAX($T$1:$T693)+1,"")</f>
        <v/>
      </c>
    </row>
    <row r="695">
      <c r="A695">
        <f>IFERROR(INDEX(спр_Работы!$D$2:$D$6000,MATCH($C695,спр_Работы!$A$2:$A$6000,0)),"")</f>
        <v/>
      </c>
      <c r="B695">
        <f>IFERROR(INDEX(спр_Работы!$F$2:$F$6000,MATCH($C695,спр_Работы!$A$2:$A$6000,0)),"")</f>
        <v/>
      </c>
      <c r="C695">
        <f>IFERROR(INDEX(спр_Работы!$A$2:$A$6000,694),"")</f>
        <v/>
      </c>
      <c r="D695" s="8">
        <f>IFERROR(INDEX(спр_Работы!$B$2:$B$6000,MATCH($C695,спр_Работы!$A$2:$A$6000,0)),"")</f>
        <v/>
      </c>
      <c r="E695">
        <f>IFERROR(INDEX(спр_Работы!$C$2:$C$6000,MATCH($C695,спр_Работы!$A$2:$A$6000,0)),"")</f>
        <v/>
      </c>
      <c r="F695">
        <f>IFERROR(INDEX(спр_Работы!$G$2:$G$6000,MATCH($C695,спр_Работы!$A$2:$A$6000,0)),"")</f>
        <v/>
      </c>
      <c r="G695">
        <f>IFERROR(INDEX(спр_Работы!$K$2:$K$6000,MATCH($C695,спр_Работы!$A$2:$A$6000,0)),"")</f>
        <v/>
      </c>
      <c r="H695" s="9" t="n"/>
      <c r="I695" s="9" t="n"/>
      <c r="J695" s="8">
        <f>IFERROR(INDEX(спр_Материалы!$B$2:$B$9000,MATCH($I695,спр_Материалы!$A$2:$A$9000,0)),"")</f>
        <v/>
      </c>
      <c r="K695">
        <f>IF($I695="","",IF($F695=IFERROR(INDEX(спр_Материалы!$G$2:$G$9000,MATCH($I695,спр_Материалы!$A$2:$A$9000,0)),""),"OK","!! не та группа"))</f>
        <v/>
      </c>
      <c r="L695" s="10">
        <f>IFERROR(INDEX(спр_Работы!$H$2:$H$6000,MATCH($C695,спр_Работы!$A$2:$A$6000,0))*(1-ДисконтТендер),0)</f>
        <v/>
      </c>
      <c r="M695" s="10">
        <f>IF($I695="",0,IFERROR(INDEX(спр_Материалы!$I$2:$I$9000,MATCH($I695,спр_Материалы!$A$2:$A$9000,0))*IF(INDEX(спр_Материалы!$J$2:$J$9000,MATCH($I695,спр_Материалы!$A$2:$A$9000,0))="USD",КурсUSD,IF(INDEX(спр_Материалы!$J$2:$J$9000,MATCH($I695,спр_Материалы!$A$2:$A$9000,0))="EUR",КурсEUR,1))*INDEX(спр_Материалы!$K$2:$K$9000,MATCH($I695,спр_Материалы!$A$2:$A$9000,0))*(1+IFERROR(INDEX(спр_Работы!$I$2:$I$6000,MATCH($C695,спр_Работы!$A$2:$A$6000,0))/100,0))*(1-ДисконтТендер),0))</f>
        <v/>
      </c>
      <c r="N695" s="10">
        <f>IF(AND($R695="да",$H695&lt;&gt;""),ROUND($H695*$L695,2),0)</f>
        <v/>
      </c>
      <c r="O695" s="10">
        <f>IF(AND($R695="да",$H695&lt;&gt;""),ROUND($H695*$M695,2),0)</f>
        <v/>
      </c>
      <c r="P695" s="10">
        <f>$N695+$O695</f>
        <v/>
      </c>
      <c r="Q695">
        <f>IFERROR(INDEX(спр_Работы!$J$2:$J$6000,MATCH($C695,спр_Работы!$A$2:$A$6000,0)),"")</f>
        <v/>
      </c>
      <c r="R695" t="inlineStr">
        <is>
          <t>да</t>
        </is>
      </c>
      <c r="T695">
        <f>IF(AND($P695&gt;0,$R695="да"),MAX($T$1:$T694)+1,"")</f>
        <v/>
      </c>
    </row>
    <row r="696">
      <c r="A696">
        <f>IFERROR(INDEX(спр_Работы!$D$2:$D$6000,MATCH($C696,спр_Работы!$A$2:$A$6000,0)),"")</f>
        <v/>
      </c>
      <c r="B696">
        <f>IFERROR(INDEX(спр_Работы!$F$2:$F$6000,MATCH($C696,спр_Работы!$A$2:$A$6000,0)),"")</f>
        <v/>
      </c>
      <c r="C696">
        <f>IFERROR(INDEX(спр_Работы!$A$2:$A$6000,695),"")</f>
        <v/>
      </c>
      <c r="D696" s="8">
        <f>IFERROR(INDEX(спр_Работы!$B$2:$B$6000,MATCH($C696,спр_Работы!$A$2:$A$6000,0)),"")</f>
        <v/>
      </c>
      <c r="E696">
        <f>IFERROR(INDEX(спр_Работы!$C$2:$C$6000,MATCH($C696,спр_Работы!$A$2:$A$6000,0)),"")</f>
        <v/>
      </c>
      <c r="F696">
        <f>IFERROR(INDEX(спр_Работы!$G$2:$G$6000,MATCH($C696,спр_Работы!$A$2:$A$6000,0)),"")</f>
        <v/>
      </c>
      <c r="G696">
        <f>IFERROR(INDEX(спр_Работы!$K$2:$K$6000,MATCH($C696,спр_Работы!$A$2:$A$6000,0)),"")</f>
        <v/>
      </c>
      <c r="H696" s="9" t="n"/>
      <c r="I696" s="9" t="n"/>
      <c r="J696" s="8">
        <f>IFERROR(INDEX(спр_Материалы!$B$2:$B$9000,MATCH($I696,спр_Материалы!$A$2:$A$9000,0)),"")</f>
        <v/>
      </c>
      <c r="K696">
        <f>IF($I696="","",IF($F696=IFERROR(INDEX(спр_Материалы!$G$2:$G$9000,MATCH($I696,спр_Материалы!$A$2:$A$9000,0)),""),"OK","!! не та группа"))</f>
        <v/>
      </c>
      <c r="L696" s="10">
        <f>IFERROR(INDEX(спр_Работы!$H$2:$H$6000,MATCH($C696,спр_Работы!$A$2:$A$6000,0))*(1-ДисконтТендер),0)</f>
        <v/>
      </c>
      <c r="M696" s="10">
        <f>IF($I696="",0,IFERROR(INDEX(спр_Материалы!$I$2:$I$9000,MATCH($I696,спр_Материалы!$A$2:$A$9000,0))*IF(INDEX(спр_Материалы!$J$2:$J$9000,MATCH($I696,спр_Материалы!$A$2:$A$9000,0))="USD",КурсUSD,IF(INDEX(спр_Материалы!$J$2:$J$9000,MATCH($I696,спр_Материалы!$A$2:$A$9000,0))="EUR",КурсEUR,1))*INDEX(спр_Материалы!$K$2:$K$9000,MATCH($I696,спр_Материалы!$A$2:$A$9000,0))*(1+IFERROR(INDEX(спр_Работы!$I$2:$I$6000,MATCH($C696,спр_Работы!$A$2:$A$6000,0))/100,0))*(1-ДисконтТендер),0))</f>
        <v/>
      </c>
      <c r="N696" s="10">
        <f>IF(AND($R696="да",$H696&lt;&gt;""),ROUND($H696*$L696,2),0)</f>
        <v/>
      </c>
      <c r="O696" s="10">
        <f>IF(AND($R696="да",$H696&lt;&gt;""),ROUND($H696*$M696,2),0)</f>
        <v/>
      </c>
      <c r="P696" s="10">
        <f>$N696+$O696</f>
        <v/>
      </c>
      <c r="Q696">
        <f>IFERROR(INDEX(спр_Работы!$J$2:$J$6000,MATCH($C696,спр_Работы!$A$2:$A$6000,0)),"")</f>
        <v/>
      </c>
      <c r="R696" t="inlineStr">
        <is>
          <t>да</t>
        </is>
      </c>
      <c r="T696">
        <f>IF(AND($P696&gt;0,$R696="да"),MAX($T$1:$T695)+1,"")</f>
        <v/>
      </c>
    </row>
    <row r="697">
      <c r="A697">
        <f>IFERROR(INDEX(спр_Работы!$D$2:$D$6000,MATCH($C697,спр_Работы!$A$2:$A$6000,0)),"")</f>
        <v/>
      </c>
      <c r="B697">
        <f>IFERROR(INDEX(спр_Работы!$F$2:$F$6000,MATCH($C697,спр_Работы!$A$2:$A$6000,0)),"")</f>
        <v/>
      </c>
      <c r="C697">
        <f>IFERROR(INDEX(спр_Работы!$A$2:$A$6000,696),"")</f>
        <v/>
      </c>
      <c r="D697" s="8">
        <f>IFERROR(INDEX(спр_Работы!$B$2:$B$6000,MATCH($C697,спр_Работы!$A$2:$A$6000,0)),"")</f>
        <v/>
      </c>
      <c r="E697">
        <f>IFERROR(INDEX(спр_Работы!$C$2:$C$6000,MATCH($C697,спр_Работы!$A$2:$A$6000,0)),"")</f>
        <v/>
      </c>
      <c r="F697">
        <f>IFERROR(INDEX(спр_Работы!$G$2:$G$6000,MATCH($C697,спр_Работы!$A$2:$A$6000,0)),"")</f>
        <v/>
      </c>
      <c r="G697">
        <f>IFERROR(INDEX(спр_Работы!$K$2:$K$6000,MATCH($C697,спр_Работы!$A$2:$A$6000,0)),"")</f>
        <v/>
      </c>
      <c r="H697" s="9" t="n"/>
      <c r="I697" s="9" t="n"/>
      <c r="J697" s="8">
        <f>IFERROR(INDEX(спр_Материалы!$B$2:$B$9000,MATCH($I697,спр_Материалы!$A$2:$A$9000,0)),"")</f>
        <v/>
      </c>
      <c r="K697">
        <f>IF($I697="","",IF($F697=IFERROR(INDEX(спр_Материалы!$G$2:$G$9000,MATCH($I697,спр_Материалы!$A$2:$A$9000,0)),""),"OK","!! не та группа"))</f>
        <v/>
      </c>
      <c r="L697" s="10">
        <f>IFERROR(INDEX(спр_Работы!$H$2:$H$6000,MATCH($C697,спр_Работы!$A$2:$A$6000,0))*(1-ДисконтТендер),0)</f>
        <v/>
      </c>
      <c r="M697" s="10">
        <f>IF($I697="",0,IFERROR(INDEX(спр_Материалы!$I$2:$I$9000,MATCH($I697,спр_Материалы!$A$2:$A$9000,0))*IF(INDEX(спр_Материалы!$J$2:$J$9000,MATCH($I697,спр_Материалы!$A$2:$A$9000,0))="USD",КурсUSD,IF(INDEX(спр_Материалы!$J$2:$J$9000,MATCH($I697,спр_Материалы!$A$2:$A$9000,0))="EUR",КурсEUR,1))*INDEX(спр_Материалы!$K$2:$K$9000,MATCH($I697,спр_Материалы!$A$2:$A$9000,0))*(1+IFERROR(INDEX(спр_Работы!$I$2:$I$6000,MATCH($C697,спр_Работы!$A$2:$A$6000,0))/100,0))*(1-ДисконтТендер),0))</f>
        <v/>
      </c>
      <c r="N697" s="10">
        <f>IF(AND($R697="да",$H697&lt;&gt;""),ROUND($H697*$L697,2),0)</f>
        <v/>
      </c>
      <c r="O697" s="10">
        <f>IF(AND($R697="да",$H697&lt;&gt;""),ROUND($H697*$M697,2),0)</f>
        <v/>
      </c>
      <c r="P697" s="10">
        <f>$N697+$O697</f>
        <v/>
      </c>
      <c r="Q697">
        <f>IFERROR(INDEX(спр_Работы!$J$2:$J$6000,MATCH($C697,спр_Работы!$A$2:$A$6000,0)),"")</f>
        <v/>
      </c>
      <c r="R697" t="inlineStr">
        <is>
          <t>да</t>
        </is>
      </c>
      <c r="T697">
        <f>IF(AND($P697&gt;0,$R697="да"),MAX($T$1:$T696)+1,"")</f>
        <v/>
      </c>
    </row>
    <row r="698">
      <c r="A698">
        <f>IFERROR(INDEX(спр_Работы!$D$2:$D$6000,MATCH($C698,спр_Работы!$A$2:$A$6000,0)),"")</f>
        <v/>
      </c>
      <c r="B698">
        <f>IFERROR(INDEX(спр_Работы!$F$2:$F$6000,MATCH($C698,спр_Работы!$A$2:$A$6000,0)),"")</f>
        <v/>
      </c>
      <c r="C698">
        <f>IFERROR(INDEX(спр_Работы!$A$2:$A$6000,697),"")</f>
        <v/>
      </c>
      <c r="D698" s="8">
        <f>IFERROR(INDEX(спр_Работы!$B$2:$B$6000,MATCH($C698,спр_Работы!$A$2:$A$6000,0)),"")</f>
        <v/>
      </c>
      <c r="E698">
        <f>IFERROR(INDEX(спр_Работы!$C$2:$C$6000,MATCH($C698,спр_Работы!$A$2:$A$6000,0)),"")</f>
        <v/>
      </c>
      <c r="F698">
        <f>IFERROR(INDEX(спр_Работы!$G$2:$G$6000,MATCH($C698,спр_Работы!$A$2:$A$6000,0)),"")</f>
        <v/>
      </c>
      <c r="G698">
        <f>IFERROR(INDEX(спр_Работы!$K$2:$K$6000,MATCH($C698,спр_Работы!$A$2:$A$6000,0)),"")</f>
        <v/>
      </c>
      <c r="H698" s="9" t="n"/>
      <c r="I698" s="9" t="n"/>
      <c r="J698" s="8">
        <f>IFERROR(INDEX(спр_Материалы!$B$2:$B$9000,MATCH($I698,спр_Материалы!$A$2:$A$9000,0)),"")</f>
        <v/>
      </c>
      <c r="K698">
        <f>IF($I698="","",IF($F698=IFERROR(INDEX(спр_Материалы!$G$2:$G$9000,MATCH($I698,спр_Материалы!$A$2:$A$9000,0)),""),"OK","!! не та группа"))</f>
        <v/>
      </c>
      <c r="L698" s="10">
        <f>IFERROR(INDEX(спр_Работы!$H$2:$H$6000,MATCH($C698,спр_Работы!$A$2:$A$6000,0))*(1-ДисконтТендер),0)</f>
        <v/>
      </c>
      <c r="M698" s="10">
        <f>IF($I698="",0,IFERROR(INDEX(спр_Материалы!$I$2:$I$9000,MATCH($I698,спр_Материалы!$A$2:$A$9000,0))*IF(INDEX(спр_Материалы!$J$2:$J$9000,MATCH($I698,спр_Материалы!$A$2:$A$9000,0))="USD",КурсUSD,IF(INDEX(спр_Материалы!$J$2:$J$9000,MATCH($I698,спр_Материалы!$A$2:$A$9000,0))="EUR",КурсEUR,1))*INDEX(спр_Материалы!$K$2:$K$9000,MATCH($I698,спр_Материалы!$A$2:$A$9000,0))*(1+IFERROR(INDEX(спр_Работы!$I$2:$I$6000,MATCH($C698,спр_Работы!$A$2:$A$6000,0))/100,0))*(1-ДисконтТендер),0))</f>
        <v/>
      </c>
      <c r="N698" s="10">
        <f>IF(AND($R698="да",$H698&lt;&gt;""),ROUND($H698*$L698,2),0)</f>
        <v/>
      </c>
      <c r="O698" s="10">
        <f>IF(AND($R698="да",$H698&lt;&gt;""),ROUND($H698*$M698,2),0)</f>
        <v/>
      </c>
      <c r="P698" s="10">
        <f>$N698+$O698</f>
        <v/>
      </c>
      <c r="Q698">
        <f>IFERROR(INDEX(спр_Работы!$J$2:$J$6000,MATCH($C698,спр_Работы!$A$2:$A$6000,0)),"")</f>
        <v/>
      </c>
      <c r="R698" t="inlineStr">
        <is>
          <t>да</t>
        </is>
      </c>
      <c r="T698">
        <f>IF(AND($P698&gt;0,$R698="да"),MAX($T$1:$T697)+1,"")</f>
        <v/>
      </c>
    </row>
    <row r="699">
      <c r="A699">
        <f>IFERROR(INDEX(спр_Работы!$D$2:$D$6000,MATCH($C699,спр_Работы!$A$2:$A$6000,0)),"")</f>
        <v/>
      </c>
      <c r="B699">
        <f>IFERROR(INDEX(спр_Работы!$F$2:$F$6000,MATCH($C699,спр_Работы!$A$2:$A$6000,0)),"")</f>
        <v/>
      </c>
      <c r="C699">
        <f>IFERROR(INDEX(спр_Работы!$A$2:$A$6000,698),"")</f>
        <v/>
      </c>
      <c r="D699" s="8">
        <f>IFERROR(INDEX(спр_Работы!$B$2:$B$6000,MATCH($C699,спр_Работы!$A$2:$A$6000,0)),"")</f>
        <v/>
      </c>
      <c r="E699">
        <f>IFERROR(INDEX(спр_Работы!$C$2:$C$6000,MATCH($C699,спр_Работы!$A$2:$A$6000,0)),"")</f>
        <v/>
      </c>
      <c r="F699">
        <f>IFERROR(INDEX(спр_Работы!$G$2:$G$6000,MATCH($C699,спр_Работы!$A$2:$A$6000,0)),"")</f>
        <v/>
      </c>
      <c r="G699">
        <f>IFERROR(INDEX(спр_Работы!$K$2:$K$6000,MATCH($C699,спр_Работы!$A$2:$A$6000,0)),"")</f>
        <v/>
      </c>
      <c r="H699" s="9" t="n"/>
      <c r="I699" s="9" t="n"/>
      <c r="J699" s="8">
        <f>IFERROR(INDEX(спр_Материалы!$B$2:$B$9000,MATCH($I699,спр_Материалы!$A$2:$A$9000,0)),"")</f>
        <v/>
      </c>
      <c r="K699">
        <f>IF($I699="","",IF($F699=IFERROR(INDEX(спр_Материалы!$G$2:$G$9000,MATCH($I699,спр_Материалы!$A$2:$A$9000,0)),""),"OK","!! не та группа"))</f>
        <v/>
      </c>
      <c r="L699" s="10">
        <f>IFERROR(INDEX(спр_Работы!$H$2:$H$6000,MATCH($C699,спр_Работы!$A$2:$A$6000,0))*(1-ДисконтТендер),0)</f>
        <v/>
      </c>
      <c r="M699" s="10">
        <f>IF($I699="",0,IFERROR(INDEX(спр_Материалы!$I$2:$I$9000,MATCH($I699,спр_Материалы!$A$2:$A$9000,0))*IF(INDEX(спр_Материалы!$J$2:$J$9000,MATCH($I699,спр_Материалы!$A$2:$A$9000,0))="USD",КурсUSD,IF(INDEX(спр_Материалы!$J$2:$J$9000,MATCH($I699,спр_Материалы!$A$2:$A$9000,0))="EUR",КурсEUR,1))*INDEX(спр_Материалы!$K$2:$K$9000,MATCH($I699,спр_Материалы!$A$2:$A$9000,0))*(1+IFERROR(INDEX(спр_Работы!$I$2:$I$6000,MATCH($C699,спр_Работы!$A$2:$A$6000,0))/100,0))*(1-ДисконтТендер),0))</f>
        <v/>
      </c>
      <c r="N699" s="10">
        <f>IF(AND($R699="да",$H699&lt;&gt;""),ROUND($H699*$L699,2),0)</f>
        <v/>
      </c>
      <c r="O699" s="10">
        <f>IF(AND($R699="да",$H699&lt;&gt;""),ROUND($H699*$M699,2),0)</f>
        <v/>
      </c>
      <c r="P699" s="10">
        <f>$N699+$O699</f>
        <v/>
      </c>
      <c r="Q699">
        <f>IFERROR(INDEX(спр_Работы!$J$2:$J$6000,MATCH($C699,спр_Работы!$A$2:$A$6000,0)),"")</f>
        <v/>
      </c>
      <c r="R699" t="inlineStr">
        <is>
          <t>да</t>
        </is>
      </c>
      <c r="T699">
        <f>IF(AND($P699&gt;0,$R699="да"),MAX($T$1:$T698)+1,"")</f>
        <v/>
      </c>
    </row>
    <row r="700">
      <c r="A700">
        <f>IFERROR(INDEX(спр_Работы!$D$2:$D$6000,MATCH($C700,спр_Работы!$A$2:$A$6000,0)),"")</f>
        <v/>
      </c>
      <c r="B700">
        <f>IFERROR(INDEX(спр_Работы!$F$2:$F$6000,MATCH($C700,спр_Работы!$A$2:$A$6000,0)),"")</f>
        <v/>
      </c>
      <c r="C700">
        <f>IFERROR(INDEX(спр_Работы!$A$2:$A$6000,699),"")</f>
        <v/>
      </c>
      <c r="D700" s="8">
        <f>IFERROR(INDEX(спр_Работы!$B$2:$B$6000,MATCH($C700,спр_Работы!$A$2:$A$6000,0)),"")</f>
        <v/>
      </c>
      <c r="E700">
        <f>IFERROR(INDEX(спр_Работы!$C$2:$C$6000,MATCH($C700,спр_Работы!$A$2:$A$6000,0)),"")</f>
        <v/>
      </c>
      <c r="F700">
        <f>IFERROR(INDEX(спр_Работы!$G$2:$G$6000,MATCH($C700,спр_Работы!$A$2:$A$6000,0)),"")</f>
        <v/>
      </c>
      <c r="G700">
        <f>IFERROR(INDEX(спр_Работы!$K$2:$K$6000,MATCH($C700,спр_Работы!$A$2:$A$6000,0)),"")</f>
        <v/>
      </c>
      <c r="H700" s="9" t="n"/>
      <c r="I700" s="9" t="n"/>
      <c r="J700" s="8">
        <f>IFERROR(INDEX(спр_Материалы!$B$2:$B$9000,MATCH($I700,спр_Материалы!$A$2:$A$9000,0)),"")</f>
        <v/>
      </c>
      <c r="K700">
        <f>IF($I700="","",IF($F700=IFERROR(INDEX(спр_Материалы!$G$2:$G$9000,MATCH($I700,спр_Материалы!$A$2:$A$9000,0)),""),"OK","!! не та группа"))</f>
        <v/>
      </c>
      <c r="L700" s="10">
        <f>IFERROR(INDEX(спр_Работы!$H$2:$H$6000,MATCH($C700,спр_Работы!$A$2:$A$6000,0))*(1-ДисконтТендер),0)</f>
        <v/>
      </c>
      <c r="M700" s="10">
        <f>IF($I700="",0,IFERROR(INDEX(спр_Материалы!$I$2:$I$9000,MATCH($I700,спр_Материалы!$A$2:$A$9000,0))*IF(INDEX(спр_Материалы!$J$2:$J$9000,MATCH($I700,спр_Материалы!$A$2:$A$9000,0))="USD",КурсUSD,IF(INDEX(спр_Материалы!$J$2:$J$9000,MATCH($I700,спр_Материалы!$A$2:$A$9000,0))="EUR",КурсEUR,1))*INDEX(спр_Материалы!$K$2:$K$9000,MATCH($I700,спр_Материалы!$A$2:$A$9000,0))*(1+IFERROR(INDEX(спр_Работы!$I$2:$I$6000,MATCH($C700,спр_Работы!$A$2:$A$6000,0))/100,0))*(1-ДисконтТендер),0))</f>
        <v/>
      </c>
      <c r="N700" s="10">
        <f>IF(AND($R700="да",$H700&lt;&gt;""),ROUND($H700*$L700,2),0)</f>
        <v/>
      </c>
      <c r="O700" s="10">
        <f>IF(AND($R700="да",$H700&lt;&gt;""),ROUND($H700*$M700,2),0)</f>
        <v/>
      </c>
      <c r="P700" s="10">
        <f>$N700+$O700</f>
        <v/>
      </c>
      <c r="Q700">
        <f>IFERROR(INDEX(спр_Работы!$J$2:$J$6000,MATCH($C700,спр_Работы!$A$2:$A$6000,0)),"")</f>
        <v/>
      </c>
      <c r="R700" t="inlineStr">
        <is>
          <t>да</t>
        </is>
      </c>
      <c r="T700">
        <f>IF(AND($P700&gt;0,$R700="да"),MAX($T$1:$T699)+1,"")</f>
        <v/>
      </c>
    </row>
    <row r="701">
      <c r="A701">
        <f>IFERROR(INDEX(спр_Работы!$D$2:$D$6000,MATCH($C701,спр_Работы!$A$2:$A$6000,0)),"")</f>
        <v/>
      </c>
      <c r="B701">
        <f>IFERROR(INDEX(спр_Работы!$F$2:$F$6000,MATCH($C701,спр_Работы!$A$2:$A$6000,0)),"")</f>
        <v/>
      </c>
      <c r="C701">
        <f>IFERROR(INDEX(спр_Работы!$A$2:$A$6000,700),"")</f>
        <v/>
      </c>
      <c r="D701" s="8">
        <f>IFERROR(INDEX(спр_Работы!$B$2:$B$6000,MATCH($C701,спр_Работы!$A$2:$A$6000,0)),"")</f>
        <v/>
      </c>
      <c r="E701">
        <f>IFERROR(INDEX(спр_Работы!$C$2:$C$6000,MATCH($C701,спр_Работы!$A$2:$A$6000,0)),"")</f>
        <v/>
      </c>
      <c r="F701">
        <f>IFERROR(INDEX(спр_Работы!$G$2:$G$6000,MATCH($C701,спр_Работы!$A$2:$A$6000,0)),"")</f>
        <v/>
      </c>
      <c r="G701">
        <f>IFERROR(INDEX(спр_Работы!$K$2:$K$6000,MATCH($C701,спр_Работы!$A$2:$A$6000,0)),"")</f>
        <v/>
      </c>
      <c r="H701" s="9" t="n"/>
      <c r="I701" s="9" t="n"/>
      <c r="J701" s="8">
        <f>IFERROR(INDEX(спр_Материалы!$B$2:$B$9000,MATCH($I701,спр_Материалы!$A$2:$A$9000,0)),"")</f>
        <v/>
      </c>
      <c r="K701">
        <f>IF($I701="","",IF($F701=IFERROR(INDEX(спр_Материалы!$G$2:$G$9000,MATCH($I701,спр_Материалы!$A$2:$A$9000,0)),""),"OK","!! не та группа"))</f>
        <v/>
      </c>
      <c r="L701" s="10">
        <f>IFERROR(INDEX(спр_Работы!$H$2:$H$6000,MATCH($C701,спр_Работы!$A$2:$A$6000,0))*(1-ДисконтТендер),0)</f>
        <v/>
      </c>
      <c r="M701" s="10">
        <f>IF($I701="",0,IFERROR(INDEX(спр_Материалы!$I$2:$I$9000,MATCH($I701,спр_Материалы!$A$2:$A$9000,0))*IF(INDEX(спр_Материалы!$J$2:$J$9000,MATCH($I701,спр_Материалы!$A$2:$A$9000,0))="USD",КурсUSD,IF(INDEX(спр_Материалы!$J$2:$J$9000,MATCH($I701,спр_Материалы!$A$2:$A$9000,0))="EUR",КурсEUR,1))*INDEX(спр_Материалы!$K$2:$K$9000,MATCH($I701,спр_Материалы!$A$2:$A$9000,0))*(1+IFERROR(INDEX(спр_Работы!$I$2:$I$6000,MATCH($C701,спр_Работы!$A$2:$A$6000,0))/100,0))*(1-ДисконтТендер),0))</f>
        <v/>
      </c>
      <c r="N701" s="10">
        <f>IF(AND($R701="да",$H701&lt;&gt;""),ROUND($H701*$L701,2),0)</f>
        <v/>
      </c>
      <c r="O701" s="10">
        <f>IF(AND($R701="да",$H701&lt;&gt;""),ROUND($H701*$M701,2),0)</f>
        <v/>
      </c>
      <c r="P701" s="10">
        <f>$N701+$O701</f>
        <v/>
      </c>
      <c r="Q701">
        <f>IFERROR(INDEX(спр_Работы!$J$2:$J$6000,MATCH($C701,спр_Работы!$A$2:$A$6000,0)),"")</f>
        <v/>
      </c>
      <c r="R701" t="inlineStr">
        <is>
          <t>да</t>
        </is>
      </c>
      <c r="T701">
        <f>IF(AND($P701&gt;0,$R701="да"),MAX($T$1:$T700)+1,"")</f>
        <v/>
      </c>
    </row>
    <row r="702">
      <c r="A702">
        <f>IFERROR(INDEX(спр_Работы!$D$2:$D$6000,MATCH($C702,спр_Работы!$A$2:$A$6000,0)),"")</f>
        <v/>
      </c>
      <c r="B702">
        <f>IFERROR(INDEX(спр_Работы!$F$2:$F$6000,MATCH($C702,спр_Работы!$A$2:$A$6000,0)),"")</f>
        <v/>
      </c>
      <c r="C702">
        <f>IFERROR(INDEX(спр_Работы!$A$2:$A$6000,701),"")</f>
        <v/>
      </c>
      <c r="D702" s="8">
        <f>IFERROR(INDEX(спр_Работы!$B$2:$B$6000,MATCH($C702,спр_Работы!$A$2:$A$6000,0)),"")</f>
        <v/>
      </c>
      <c r="E702">
        <f>IFERROR(INDEX(спр_Работы!$C$2:$C$6000,MATCH($C702,спр_Работы!$A$2:$A$6000,0)),"")</f>
        <v/>
      </c>
      <c r="F702">
        <f>IFERROR(INDEX(спр_Работы!$G$2:$G$6000,MATCH($C702,спр_Работы!$A$2:$A$6000,0)),"")</f>
        <v/>
      </c>
      <c r="G702">
        <f>IFERROR(INDEX(спр_Работы!$K$2:$K$6000,MATCH($C702,спр_Работы!$A$2:$A$6000,0)),"")</f>
        <v/>
      </c>
      <c r="H702" s="9" t="n"/>
      <c r="I702" s="9" t="n"/>
      <c r="J702" s="8">
        <f>IFERROR(INDEX(спр_Материалы!$B$2:$B$9000,MATCH($I702,спр_Материалы!$A$2:$A$9000,0)),"")</f>
        <v/>
      </c>
      <c r="K702">
        <f>IF($I702="","",IF($F702=IFERROR(INDEX(спр_Материалы!$G$2:$G$9000,MATCH($I702,спр_Материалы!$A$2:$A$9000,0)),""),"OK","!! не та группа"))</f>
        <v/>
      </c>
      <c r="L702" s="10">
        <f>IFERROR(INDEX(спр_Работы!$H$2:$H$6000,MATCH($C702,спр_Работы!$A$2:$A$6000,0))*(1-ДисконтТендер),0)</f>
        <v/>
      </c>
      <c r="M702" s="10">
        <f>IF($I702="",0,IFERROR(INDEX(спр_Материалы!$I$2:$I$9000,MATCH($I702,спр_Материалы!$A$2:$A$9000,0))*IF(INDEX(спр_Материалы!$J$2:$J$9000,MATCH($I702,спр_Материалы!$A$2:$A$9000,0))="USD",КурсUSD,IF(INDEX(спр_Материалы!$J$2:$J$9000,MATCH($I702,спр_Материалы!$A$2:$A$9000,0))="EUR",КурсEUR,1))*INDEX(спр_Материалы!$K$2:$K$9000,MATCH($I702,спр_Материалы!$A$2:$A$9000,0))*(1+IFERROR(INDEX(спр_Работы!$I$2:$I$6000,MATCH($C702,спр_Работы!$A$2:$A$6000,0))/100,0))*(1-ДисконтТендер),0))</f>
        <v/>
      </c>
      <c r="N702" s="10">
        <f>IF(AND($R702="да",$H702&lt;&gt;""),ROUND($H702*$L702,2),0)</f>
        <v/>
      </c>
      <c r="O702" s="10">
        <f>IF(AND($R702="да",$H702&lt;&gt;""),ROUND($H702*$M702,2),0)</f>
        <v/>
      </c>
      <c r="P702" s="10">
        <f>$N702+$O702</f>
        <v/>
      </c>
      <c r="Q702">
        <f>IFERROR(INDEX(спр_Работы!$J$2:$J$6000,MATCH($C702,спр_Работы!$A$2:$A$6000,0)),"")</f>
        <v/>
      </c>
      <c r="R702" t="inlineStr">
        <is>
          <t>да</t>
        </is>
      </c>
      <c r="T702">
        <f>IF(AND($P702&gt;0,$R702="да"),MAX($T$1:$T701)+1,"")</f>
        <v/>
      </c>
    </row>
    <row r="703">
      <c r="A703">
        <f>IFERROR(INDEX(спр_Работы!$D$2:$D$6000,MATCH($C703,спр_Работы!$A$2:$A$6000,0)),"")</f>
        <v/>
      </c>
      <c r="B703">
        <f>IFERROR(INDEX(спр_Работы!$F$2:$F$6000,MATCH($C703,спр_Работы!$A$2:$A$6000,0)),"")</f>
        <v/>
      </c>
      <c r="C703">
        <f>IFERROR(INDEX(спр_Работы!$A$2:$A$6000,702),"")</f>
        <v/>
      </c>
      <c r="D703" s="8">
        <f>IFERROR(INDEX(спр_Работы!$B$2:$B$6000,MATCH($C703,спр_Работы!$A$2:$A$6000,0)),"")</f>
        <v/>
      </c>
      <c r="E703">
        <f>IFERROR(INDEX(спр_Работы!$C$2:$C$6000,MATCH($C703,спр_Работы!$A$2:$A$6000,0)),"")</f>
        <v/>
      </c>
      <c r="F703">
        <f>IFERROR(INDEX(спр_Работы!$G$2:$G$6000,MATCH($C703,спр_Работы!$A$2:$A$6000,0)),"")</f>
        <v/>
      </c>
      <c r="G703">
        <f>IFERROR(INDEX(спр_Работы!$K$2:$K$6000,MATCH($C703,спр_Работы!$A$2:$A$6000,0)),"")</f>
        <v/>
      </c>
      <c r="H703" s="9" t="n"/>
      <c r="I703" s="9" t="n"/>
      <c r="J703" s="8">
        <f>IFERROR(INDEX(спр_Материалы!$B$2:$B$9000,MATCH($I703,спр_Материалы!$A$2:$A$9000,0)),"")</f>
        <v/>
      </c>
      <c r="K703">
        <f>IF($I703="","",IF($F703=IFERROR(INDEX(спр_Материалы!$G$2:$G$9000,MATCH($I703,спр_Материалы!$A$2:$A$9000,0)),""),"OK","!! не та группа"))</f>
        <v/>
      </c>
      <c r="L703" s="10">
        <f>IFERROR(INDEX(спр_Работы!$H$2:$H$6000,MATCH($C703,спр_Работы!$A$2:$A$6000,0))*(1-ДисконтТендер),0)</f>
        <v/>
      </c>
      <c r="M703" s="10">
        <f>IF($I703="",0,IFERROR(INDEX(спр_Материалы!$I$2:$I$9000,MATCH($I703,спр_Материалы!$A$2:$A$9000,0))*IF(INDEX(спр_Материалы!$J$2:$J$9000,MATCH($I703,спр_Материалы!$A$2:$A$9000,0))="USD",КурсUSD,IF(INDEX(спр_Материалы!$J$2:$J$9000,MATCH($I703,спр_Материалы!$A$2:$A$9000,0))="EUR",КурсEUR,1))*INDEX(спр_Материалы!$K$2:$K$9000,MATCH($I703,спр_Материалы!$A$2:$A$9000,0))*(1+IFERROR(INDEX(спр_Работы!$I$2:$I$6000,MATCH($C703,спр_Работы!$A$2:$A$6000,0))/100,0))*(1-ДисконтТендер),0))</f>
        <v/>
      </c>
      <c r="N703" s="10">
        <f>IF(AND($R703="да",$H703&lt;&gt;""),ROUND($H703*$L703,2),0)</f>
        <v/>
      </c>
      <c r="O703" s="10">
        <f>IF(AND($R703="да",$H703&lt;&gt;""),ROUND($H703*$M703,2),0)</f>
        <v/>
      </c>
      <c r="P703" s="10">
        <f>$N703+$O703</f>
        <v/>
      </c>
      <c r="Q703">
        <f>IFERROR(INDEX(спр_Работы!$J$2:$J$6000,MATCH($C703,спр_Работы!$A$2:$A$6000,0)),"")</f>
        <v/>
      </c>
      <c r="R703" t="inlineStr">
        <is>
          <t>да</t>
        </is>
      </c>
      <c r="T703">
        <f>IF(AND($P703&gt;0,$R703="да"),MAX($T$1:$T702)+1,"")</f>
        <v/>
      </c>
    </row>
    <row r="704">
      <c r="A704">
        <f>IFERROR(INDEX(спр_Работы!$D$2:$D$6000,MATCH($C704,спр_Работы!$A$2:$A$6000,0)),"")</f>
        <v/>
      </c>
      <c r="B704">
        <f>IFERROR(INDEX(спр_Работы!$F$2:$F$6000,MATCH($C704,спр_Работы!$A$2:$A$6000,0)),"")</f>
        <v/>
      </c>
      <c r="C704">
        <f>IFERROR(INDEX(спр_Работы!$A$2:$A$6000,703),"")</f>
        <v/>
      </c>
      <c r="D704" s="8">
        <f>IFERROR(INDEX(спр_Работы!$B$2:$B$6000,MATCH($C704,спр_Работы!$A$2:$A$6000,0)),"")</f>
        <v/>
      </c>
      <c r="E704">
        <f>IFERROR(INDEX(спр_Работы!$C$2:$C$6000,MATCH($C704,спр_Работы!$A$2:$A$6000,0)),"")</f>
        <v/>
      </c>
      <c r="F704">
        <f>IFERROR(INDEX(спр_Работы!$G$2:$G$6000,MATCH($C704,спр_Работы!$A$2:$A$6000,0)),"")</f>
        <v/>
      </c>
      <c r="G704">
        <f>IFERROR(INDEX(спр_Работы!$K$2:$K$6000,MATCH($C704,спр_Работы!$A$2:$A$6000,0)),"")</f>
        <v/>
      </c>
      <c r="H704" s="9" t="n"/>
      <c r="I704" s="9" t="n"/>
      <c r="J704" s="8">
        <f>IFERROR(INDEX(спр_Материалы!$B$2:$B$9000,MATCH($I704,спр_Материалы!$A$2:$A$9000,0)),"")</f>
        <v/>
      </c>
      <c r="K704">
        <f>IF($I704="","",IF($F704=IFERROR(INDEX(спр_Материалы!$G$2:$G$9000,MATCH($I704,спр_Материалы!$A$2:$A$9000,0)),""),"OK","!! не та группа"))</f>
        <v/>
      </c>
      <c r="L704" s="10">
        <f>IFERROR(INDEX(спр_Работы!$H$2:$H$6000,MATCH($C704,спр_Работы!$A$2:$A$6000,0))*(1-ДисконтТендер),0)</f>
        <v/>
      </c>
      <c r="M704" s="10">
        <f>IF($I704="",0,IFERROR(INDEX(спр_Материалы!$I$2:$I$9000,MATCH($I704,спр_Материалы!$A$2:$A$9000,0))*IF(INDEX(спр_Материалы!$J$2:$J$9000,MATCH($I704,спр_Материалы!$A$2:$A$9000,0))="USD",КурсUSD,IF(INDEX(спр_Материалы!$J$2:$J$9000,MATCH($I704,спр_Материалы!$A$2:$A$9000,0))="EUR",КурсEUR,1))*INDEX(спр_Материалы!$K$2:$K$9000,MATCH($I704,спр_Материалы!$A$2:$A$9000,0))*(1+IFERROR(INDEX(спр_Работы!$I$2:$I$6000,MATCH($C704,спр_Работы!$A$2:$A$6000,0))/100,0))*(1-ДисконтТендер),0))</f>
        <v/>
      </c>
      <c r="N704" s="10">
        <f>IF(AND($R704="да",$H704&lt;&gt;""),ROUND($H704*$L704,2),0)</f>
        <v/>
      </c>
      <c r="O704" s="10">
        <f>IF(AND($R704="да",$H704&lt;&gt;""),ROUND($H704*$M704,2),0)</f>
        <v/>
      </c>
      <c r="P704" s="10">
        <f>$N704+$O704</f>
        <v/>
      </c>
      <c r="Q704">
        <f>IFERROR(INDEX(спр_Работы!$J$2:$J$6000,MATCH($C704,спр_Работы!$A$2:$A$6000,0)),"")</f>
        <v/>
      </c>
      <c r="R704" t="inlineStr">
        <is>
          <t>да</t>
        </is>
      </c>
      <c r="T704">
        <f>IF(AND($P704&gt;0,$R704="да"),MAX($T$1:$T703)+1,"")</f>
        <v/>
      </c>
    </row>
    <row r="705">
      <c r="A705">
        <f>IFERROR(INDEX(спр_Работы!$D$2:$D$6000,MATCH($C705,спр_Работы!$A$2:$A$6000,0)),"")</f>
        <v/>
      </c>
      <c r="B705">
        <f>IFERROR(INDEX(спр_Работы!$F$2:$F$6000,MATCH($C705,спр_Работы!$A$2:$A$6000,0)),"")</f>
        <v/>
      </c>
      <c r="C705">
        <f>IFERROR(INDEX(спр_Работы!$A$2:$A$6000,704),"")</f>
        <v/>
      </c>
      <c r="D705" s="8">
        <f>IFERROR(INDEX(спр_Работы!$B$2:$B$6000,MATCH($C705,спр_Работы!$A$2:$A$6000,0)),"")</f>
        <v/>
      </c>
      <c r="E705">
        <f>IFERROR(INDEX(спр_Работы!$C$2:$C$6000,MATCH($C705,спр_Работы!$A$2:$A$6000,0)),"")</f>
        <v/>
      </c>
      <c r="F705">
        <f>IFERROR(INDEX(спр_Работы!$G$2:$G$6000,MATCH($C705,спр_Работы!$A$2:$A$6000,0)),"")</f>
        <v/>
      </c>
      <c r="G705">
        <f>IFERROR(INDEX(спр_Работы!$K$2:$K$6000,MATCH($C705,спр_Работы!$A$2:$A$6000,0)),"")</f>
        <v/>
      </c>
      <c r="H705" s="9" t="n"/>
      <c r="I705" s="9" t="n"/>
      <c r="J705" s="8">
        <f>IFERROR(INDEX(спр_Материалы!$B$2:$B$9000,MATCH($I705,спр_Материалы!$A$2:$A$9000,0)),"")</f>
        <v/>
      </c>
      <c r="K705">
        <f>IF($I705="","",IF($F705=IFERROR(INDEX(спр_Материалы!$G$2:$G$9000,MATCH($I705,спр_Материалы!$A$2:$A$9000,0)),""),"OK","!! не та группа"))</f>
        <v/>
      </c>
      <c r="L705" s="10">
        <f>IFERROR(INDEX(спр_Работы!$H$2:$H$6000,MATCH($C705,спр_Работы!$A$2:$A$6000,0))*(1-ДисконтТендер),0)</f>
        <v/>
      </c>
      <c r="M705" s="10">
        <f>IF($I705="",0,IFERROR(INDEX(спр_Материалы!$I$2:$I$9000,MATCH($I705,спр_Материалы!$A$2:$A$9000,0))*IF(INDEX(спр_Материалы!$J$2:$J$9000,MATCH($I705,спр_Материалы!$A$2:$A$9000,0))="USD",КурсUSD,IF(INDEX(спр_Материалы!$J$2:$J$9000,MATCH($I705,спр_Материалы!$A$2:$A$9000,0))="EUR",КурсEUR,1))*INDEX(спр_Материалы!$K$2:$K$9000,MATCH($I705,спр_Материалы!$A$2:$A$9000,0))*(1+IFERROR(INDEX(спр_Работы!$I$2:$I$6000,MATCH($C705,спр_Работы!$A$2:$A$6000,0))/100,0))*(1-ДисконтТендер),0))</f>
        <v/>
      </c>
      <c r="N705" s="10">
        <f>IF(AND($R705="да",$H705&lt;&gt;""),ROUND($H705*$L705,2),0)</f>
        <v/>
      </c>
      <c r="O705" s="10">
        <f>IF(AND($R705="да",$H705&lt;&gt;""),ROUND($H705*$M705,2),0)</f>
        <v/>
      </c>
      <c r="P705" s="10">
        <f>$N705+$O705</f>
        <v/>
      </c>
      <c r="Q705">
        <f>IFERROR(INDEX(спр_Работы!$J$2:$J$6000,MATCH($C705,спр_Работы!$A$2:$A$6000,0)),"")</f>
        <v/>
      </c>
      <c r="R705" t="inlineStr">
        <is>
          <t>да</t>
        </is>
      </c>
      <c r="T705">
        <f>IF(AND($P705&gt;0,$R705="да"),MAX($T$1:$T704)+1,"")</f>
        <v/>
      </c>
    </row>
    <row r="706">
      <c r="A706">
        <f>IFERROR(INDEX(спр_Работы!$D$2:$D$6000,MATCH($C706,спр_Работы!$A$2:$A$6000,0)),"")</f>
        <v/>
      </c>
      <c r="B706">
        <f>IFERROR(INDEX(спр_Работы!$F$2:$F$6000,MATCH($C706,спр_Работы!$A$2:$A$6000,0)),"")</f>
        <v/>
      </c>
      <c r="C706">
        <f>IFERROR(INDEX(спр_Работы!$A$2:$A$6000,705),"")</f>
        <v/>
      </c>
      <c r="D706" s="8">
        <f>IFERROR(INDEX(спр_Работы!$B$2:$B$6000,MATCH($C706,спр_Работы!$A$2:$A$6000,0)),"")</f>
        <v/>
      </c>
      <c r="E706">
        <f>IFERROR(INDEX(спр_Работы!$C$2:$C$6000,MATCH($C706,спр_Работы!$A$2:$A$6000,0)),"")</f>
        <v/>
      </c>
      <c r="F706">
        <f>IFERROR(INDEX(спр_Работы!$G$2:$G$6000,MATCH($C706,спр_Работы!$A$2:$A$6000,0)),"")</f>
        <v/>
      </c>
      <c r="G706">
        <f>IFERROR(INDEX(спр_Работы!$K$2:$K$6000,MATCH($C706,спр_Работы!$A$2:$A$6000,0)),"")</f>
        <v/>
      </c>
      <c r="H706" s="9" t="n"/>
      <c r="I706" s="9" t="n"/>
      <c r="J706" s="8">
        <f>IFERROR(INDEX(спр_Материалы!$B$2:$B$9000,MATCH($I706,спр_Материалы!$A$2:$A$9000,0)),"")</f>
        <v/>
      </c>
      <c r="K706">
        <f>IF($I706="","",IF($F706=IFERROR(INDEX(спр_Материалы!$G$2:$G$9000,MATCH($I706,спр_Материалы!$A$2:$A$9000,0)),""),"OK","!! не та группа"))</f>
        <v/>
      </c>
      <c r="L706" s="10">
        <f>IFERROR(INDEX(спр_Работы!$H$2:$H$6000,MATCH($C706,спр_Работы!$A$2:$A$6000,0))*(1-ДисконтТендер),0)</f>
        <v/>
      </c>
      <c r="M706" s="10">
        <f>IF($I706="",0,IFERROR(INDEX(спр_Материалы!$I$2:$I$9000,MATCH($I706,спр_Материалы!$A$2:$A$9000,0))*IF(INDEX(спр_Материалы!$J$2:$J$9000,MATCH($I706,спр_Материалы!$A$2:$A$9000,0))="USD",КурсUSD,IF(INDEX(спр_Материалы!$J$2:$J$9000,MATCH($I706,спр_Материалы!$A$2:$A$9000,0))="EUR",КурсEUR,1))*INDEX(спр_Материалы!$K$2:$K$9000,MATCH($I706,спр_Материалы!$A$2:$A$9000,0))*(1+IFERROR(INDEX(спр_Работы!$I$2:$I$6000,MATCH($C706,спр_Работы!$A$2:$A$6000,0))/100,0))*(1-ДисконтТендер),0))</f>
        <v/>
      </c>
      <c r="N706" s="10">
        <f>IF(AND($R706="да",$H706&lt;&gt;""),ROUND($H706*$L706,2),0)</f>
        <v/>
      </c>
      <c r="O706" s="10">
        <f>IF(AND($R706="да",$H706&lt;&gt;""),ROUND($H706*$M706,2),0)</f>
        <v/>
      </c>
      <c r="P706" s="10">
        <f>$N706+$O706</f>
        <v/>
      </c>
      <c r="Q706">
        <f>IFERROR(INDEX(спр_Работы!$J$2:$J$6000,MATCH($C706,спр_Работы!$A$2:$A$6000,0)),"")</f>
        <v/>
      </c>
      <c r="R706" t="inlineStr">
        <is>
          <t>да</t>
        </is>
      </c>
      <c r="T706">
        <f>IF(AND($P706&gt;0,$R706="да"),MAX($T$1:$T705)+1,"")</f>
        <v/>
      </c>
    </row>
    <row r="707">
      <c r="A707">
        <f>IFERROR(INDEX(спр_Работы!$D$2:$D$6000,MATCH($C707,спр_Работы!$A$2:$A$6000,0)),"")</f>
        <v/>
      </c>
      <c r="B707">
        <f>IFERROR(INDEX(спр_Работы!$F$2:$F$6000,MATCH($C707,спр_Работы!$A$2:$A$6000,0)),"")</f>
        <v/>
      </c>
      <c r="C707">
        <f>IFERROR(INDEX(спр_Работы!$A$2:$A$6000,706),"")</f>
        <v/>
      </c>
      <c r="D707" s="8">
        <f>IFERROR(INDEX(спр_Работы!$B$2:$B$6000,MATCH($C707,спр_Работы!$A$2:$A$6000,0)),"")</f>
        <v/>
      </c>
      <c r="E707">
        <f>IFERROR(INDEX(спр_Работы!$C$2:$C$6000,MATCH($C707,спр_Работы!$A$2:$A$6000,0)),"")</f>
        <v/>
      </c>
      <c r="F707">
        <f>IFERROR(INDEX(спр_Работы!$G$2:$G$6000,MATCH($C707,спр_Работы!$A$2:$A$6000,0)),"")</f>
        <v/>
      </c>
      <c r="G707">
        <f>IFERROR(INDEX(спр_Работы!$K$2:$K$6000,MATCH($C707,спр_Работы!$A$2:$A$6000,0)),"")</f>
        <v/>
      </c>
      <c r="H707" s="9" t="n"/>
      <c r="I707" s="9" t="n"/>
      <c r="J707" s="8">
        <f>IFERROR(INDEX(спр_Материалы!$B$2:$B$9000,MATCH($I707,спр_Материалы!$A$2:$A$9000,0)),"")</f>
        <v/>
      </c>
      <c r="K707">
        <f>IF($I707="","",IF($F707=IFERROR(INDEX(спр_Материалы!$G$2:$G$9000,MATCH($I707,спр_Материалы!$A$2:$A$9000,0)),""),"OK","!! не та группа"))</f>
        <v/>
      </c>
      <c r="L707" s="10">
        <f>IFERROR(INDEX(спр_Работы!$H$2:$H$6000,MATCH($C707,спр_Работы!$A$2:$A$6000,0))*(1-ДисконтТендер),0)</f>
        <v/>
      </c>
      <c r="M707" s="10">
        <f>IF($I707="",0,IFERROR(INDEX(спр_Материалы!$I$2:$I$9000,MATCH($I707,спр_Материалы!$A$2:$A$9000,0))*IF(INDEX(спр_Материалы!$J$2:$J$9000,MATCH($I707,спр_Материалы!$A$2:$A$9000,0))="USD",КурсUSD,IF(INDEX(спр_Материалы!$J$2:$J$9000,MATCH($I707,спр_Материалы!$A$2:$A$9000,0))="EUR",КурсEUR,1))*INDEX(спр_Материалы!$K$2:$K$9000,MATCH($I707,спр_Материалы!$A$2:$A$9000,0))*(1+IFERROR(INDEX(спр_Работы!$I$2:$I$6000,MATCH($C707,спр_Работы!$A$2:$A$6000,0))/100,0))*(1-ДисконтТендер),0))</f>
        <v/>
      </c>
      <c r="N707" s="10">
        <f>IF(AND($R707="да",$H707&lt;&gt;""),ROUND($H707*$L707,2),0)</f>
        <v/>
      </c>
      <c r="O707" s="10">
        <f>IF(AND($R707="да",$H707&lt;&gt;""),ROUND($H707*$M707,2),0)</f>
        <v/>
      </c>
      <c r="P707" s="10">
        <f>$N707+$O707</f>
        <v/>
      </c>
      <c r="Q707">
        <f>IFERROR(INDEX(спр_Работы!$J$2:$J$6000,MATCH($C707,спр_Работы!$A$2:$A$6000,0)),"")</f>
        <v/>
      </c>
      <c r="R707" t="inlineStr">
        <is>
          <t>да</t>
        </is>
      </c>
      <c r="T707">
        <f>IF(AND($P707&gt;0,$R707="да"),MAX($T$1:$T706)+1,"")</f>
        <v/>
      </c>
    </row>
    <row r="708">
      <c r="A708">
        <f>IFERROR(INDEX(спр_Работы!$D$2:$D$6000,MATCH($C708,спр_Работы!$A$2:$A$6000,0)),"")</f>
        <v/>
      </c>
      <c r="B708">
        <f>IFERROR(INDEX(спр_Работы!$F$2:$F$6000,MATCH($C708,спр_Работы!$A$2:$A$6000,0)),"")</f>
        <v/>
      </c>
      <c r="C708">
        <f>IFERROR(INDEX(спр_Работы!$A$2:$A$6000,707),"")</f>
        <v/>
      </c>
      <c r="D708" s="8">
        <f>IFERROR(INDEX(спр_Работы!$B$2:$B$6000,MATCH($C708,спр_Работы!$A$2:$A$6000,0)),"")</f>
        <v/>
      </c>
      <c r="E708">
        <f>IFERROR(INDEX(спр_Работы!$C$2:$C$6000,MATCH($C708,спр_Работы!$A$2:$A$6000,0)),"")</f>
        <v/>
      </c>
      <c r="F708">
        <f>IFERROR(INDEX(спр_Работы!$G$2:$G$6000,MATCH($C708,спр_Работы!$A$2:$A$6000,0)),"")</f>
        <v/>
      </c>
      <c r="G708">
        <f>IFERROR(INDEX(спр_Работы!$K$2:$K$6000,MATCH($C708,спр_Работы!$A$2:$A$6000,0)),"")</f>
        <v/>
      </c>
      <c r="H708" s="9" t="n"/>
      <c r="I708" s="9" t="n"/>
      <c r="J708" s="8">
        <f>IFERROR(INDEX(спр_Материалы!$B$2:$B$9000,MATCH($I708,спр_Материалы!$A$2:$A$9000,0)),"")</f>
        <v/>
      </c>
      <c r="K708">
        <f>IF($I708="","",IF($F708=IFERROR(INDEX(спр_Материалы!$G$2:$G$9000,MATCH($I708,спр_Материалы!$A$2:$A$9000,0)),""),"OK","!! не та группа"))</f>
        <v/>
      </c>
      <c r="L708" s="10">
        <f>IFERROR(INDEX(спр_Работы!$H$2:$H$6000,MATCH($C708,спр_Работы!$A$2:$A$6000,0))*(1-ДисконтТендер),0)</f>
        <v/>
      </c>
      <c r="M708" s="10">
        <f>IF($I708="",0,IFERROR(INDEX(спр_Материалы!$I$2:$I$9000,MATCH($I708,спр_Материалы!$A$2:$A$9000,0))*IF(INDEX(спр_Материалы!$J$2:$J$9000,MATCH($I708,спр_Материалы!$A$2:$A$9000,0))="USD",КурсUSD,IF(INDEX(спр_Материалы!$J$2:$J$9000,MATCH($I708,спр_Материалы!$A$2:$A$9000,0))="EUR",КурсEUR,1))*INDEX(спр_Материалы!$K$2:$K$9000,MATCH($I708,спр_Материалы!$A$2:$A$9000,0))*(1+IFERROR(INDEX(спр_Работы!$I$2:$I$6000,MATCH($C708,спр_Работы!$A$2:$A$6000,0))/100,0))*(1-ДисконтТендер),0))</f>
        <v/>
      </c>
      <c r="N708" s="10">
        <f>IF(AND($R708="да",$H708&lt;&gt;""),ROUND($H708*$L708,2),0)</f>
        <v/>
      </c>
      <c r="O708" s="10">
        <f>IF(AND($R708="да",$H708&lt;&gt;""),ROUND($H708*$M708,2),0)</f>
        <v/>
      </c>
      <c r="P708" s="10">
        <f>$N708+$O708</f>
        <v/>
      </c>
      <c r="Q708">
        <f>IFERROR(INDEX(спр_Работы!$J$2:$J$6000,MATCH($C708,спр_Работы!$A$2:$A$6000,0)),"")</f>
        <v/>
      </c>
      <c r="R708" t="inlineStr">
        <is>
          <t>да</t>
        </is>
      </c>
      <c r="T708">
        <f>IF(AND($P708&gt;0,$R708="да"),MAX($T$1:$T707)+1,"")</f>
        <v/>
      </c>
    </row>
    <row r="709">
      <c r="A709">
        <f>IFERROR(INDEX(спр_Работы!$D$2:$D$6000,MATCH($C709,спр_Работы!$A$2:$A$6000,0)),"")</f>
        <v/>
      </c>
      <c r="B709">
        <f>IFERROR(INDEX(спр_Работы!$F$2:$F$6000,MATCH($C709,спр_Работы!$A$2:$A$6000,0)),"")</f>
        <v/>
      </c>
      <c r="C709">
        <f>IFERROR(INDEX(спр_Работы!$A$2:$A$6000,708),"")</f>
        <v/>
      </c>
      <c r="D709" s="8">
        <f>IFERROR(INDEX(спр_Работы!$B$2:$B$6000,MATCH($C709,спр_Работы!$A$2:$A$6000,0)),"")</f>
        <v/>
      </c>
      <c r="E709">
        <f>IFERROR(INDEX(спр_Работы!$C$2:$C$6000,MATCH($C709,спр_Работы!$A$2:$A$6000,0)),"")</f>
        <v/>
      </c>
      <c r="F709">
        <f>IFERROR(INDEX(спр_Работы!$G$2:$G$6000,MATCH($C709,спр_Работы!$A$2:$A$6000,0)),"")</f>
        <v/>
      </c>
      <c r="G709">
        <f>IFERROR(INDEX(спр_Работы!$K$2:$K$6000,MATCH($C709,спр_Работы!$A$2:$A$6000,0)),"")</f>
        <v/>
      </c>
      <c r="H709" s="9" t="n"/>
      <c r="I709" s="9" t="n"/>
      <c r="J709" s="8">
        <f>IFERROR(INDEX(спр_Материалы!$B$2:$B$9000,MATCH($I709,спр_Материалы!$A$2:$A$9000,0)),"")</f>
        <v/>
      </c>
      <c r="K709">
        <f>IF($I709="","",IF($F709=IFERROR(INDEX(спр_Материалы!$G$2:$G$9000,MATCH($I709,спр_Материалы!$A$2:$A$9000,0)),""),"OK","!! не та группа"))</f>
        <v/>
      </c>
      <c r="L709" s="10">
        <f>IFERROR(INDEX(спр_Работы!$H$2:$H$6000,MATCH($C709,спр_Работы!$A$2:$A$6000,0))*(1-ДисконтТендер),0)</f>
        <v/>
      </c>
      <c r="M709" s="10">
        <f>IF($I709="",0,IFERROR(INDEX(спр_Материалы!$I$2:$I$9000,MATCH($I709,спр_Материалы!$A$2:$A$9000,0))*IF(INDEX(спр_Материалы!$J$2:$J$9000,MATCH($I709,спр_Материалы!$A$2:$A$9000,0))="USD",КурсUSD,IF(INDEX(спр_Материалы!$J$2:$J$9000,MATCH($I709,спр_Материалы!$A$2:$A$9000,0))="EUR",КурсEUR,1))*INDEX(спр_Материалы!$K$2:$K$9000,MATCH($I709,спр_Материалы!$A$2:$A$9000,0))*(1+IFERROR(INDEX(спр_Работы!$I$2:$I$6000,MATCH($C709,спр_Работы!$A$2:$A$6000,0))/100,0))*(1-ДисконтТендер),0))</f>
        <v/>
      </c>
      <c r="N709" s="10">
        <f>IF(AND($R709="да",$H709&lt;&gt;""),ROUND($H709*$L709,2),0)</f>
        <v/>
      </c>
      <c r="O709" s="10">
        <f>IF(AND($R709="да",$H709&lt;&gt;""),ROUND($H709*$M709,2),0)</f>
        <v/>
      </c>
      <c r="P709" s="10">
        <f>$N709+$O709</f>
        <v/>
      </c>
      <c r="Q709">
        <f>IFERROR(INDEX(спр_Работы!$J$2:$J$6000,MATCH($C709,спр_Работы!$A$2:$A$6000,0)),"")</f>
        <v/>
      </c>
      <c r="R709" t="inlineStr">
        <is>
          <t>да</t>
        </is>
      </c>
      <c r="T709">
        <f>IF(AND($P709&gt;0,$R709="да"),MAX($T$1:$T708)+1,"")</f>
        <v/>
      </c>
    </row>
    <row r="710">
      <c r="A710">
        <f>IFERROR(INDEX(спр_Работы!$D$2:$D$6000,MATCH($C710,спр_Работы!$A$2:$A$6000,0)),"")</f>
        <v/>
      </c>
      <c r="B710">
        <f>IFERROR(INDEX(спр_Работы!$F$2:$F$6000,MATCH($C710,спр_Работы!$A$2:$A$6000,0)),"")</f>
        <v/>
      </c>
      <c r="C710">
        <f>IFERROR(INDEX(спр_Работы!$A$2:$A$6000,709),"")</f>
        <v/>
      </c>
      <c r="D710" s="8">
        <f>IFERROR(INDEX(спр_Работы!$B$2:$B$6000,MATCH($C710,спр_Работы!$A$2:$A$6000,0)),"")</f>
        <v/>
      </c>
      <c r="E710">
        <f>IFERROR(INDEX(спр_Работы!$C$2:$C$6000,MATCH($C710,спр_Работы!$A$2:$A$6000,0)),"")</f>
        <v/>
      </c>
      <c r="F710">
        <f>IFERROR(INDEX(спр_Работы!$G$2:$G$6000,MATCH($C710,спр_Работы!$A$2:$A$6000,0)),"")</f>
        <v/>
      </c>
      <c r="G710">
        <f>IFERROR(INDEX(спр_Работы!$K$2:$K$6000,MATCH($C710,спр_Работы!$A$2:$A$6000,0)),"")</f>
        <v/>
      </c>
      <c r="H710" s="9" t="n"/>
      <c r="I710" s="9" t="n"/>
      <c r="J710" s="8">
        <f>IFERROR(INDEX(спр_Материалы!$B$2:$B$9000,MATCH($I710,спр_Материалы!$A$2:$A$9000,0)),"")</f>
        <v/>
      </c>
      <c r="K710">
        <f>IF($I710="","",IF($F710=IFERROR(INDEX(спр_Материалы!$G$2:$G$9000,MATCH($I710,спр_Материалы!$A$2:$A$9000,0)),""),"OK","!! не та группа"))</f>
        <v/>
      </c>
      <c r="L710" s="10">
        <f>IFERROR(INDEX(спр_Работы!$H$2:$H$6000,MATCH($C710,спр_Работы!$A$2:$A$6000,0))*(1-ДисконтТендер),0)</f>
        <v/>
      </c>
      <c r="M710" s="10">
        <f>IF($I710="",0,IFERROR(INDEX(спр_Материалы!$I$2:$I$9000,MATCH($I710,спр_Материалы!$A$2:$A$9000,0))*IF(INDEX(спр_Материалы!$J$2:$J$9000,MATCH($I710,спр_Материалы!$A$2:$A$9000,0))="USD",КурсUSD,IF(INDEX(спр_Материалы!$J$2:$J$9000,MATCH($I710,спр_Материалы!$A$2:$A$9000,0))="EUR",КурсEUR,1))*INDEX(спр_Материалы!$K$2:$K$9000,MATCH($I710,спр_Материалы!$A$2:$A$9000,0))*(1+IFERROR(INDEX(спр_Работы!$I$2:$I$6000,MATCH($C710,спр_Работы!$A$2:$A$6000,0))/100,0))*(1-ДисконтТендер),0))</f>
        <v/>
      </c>
      <c r="N710" s="10">
        <f>IF(AND($R710="да",$H710&lt;&gt;""),ROUND($H710*$L710,2),0)</f>
        <v/>
      </c>
      <c r="O710" s="10">
        <f>IF(AND($R710="да",$H710&lt;&gt;""),ROUND($H710*$M710,2),0)</f>
        <v/>
      </c>
      <c r="P710" s="10">
        <f>$N710+$O710</f>
        <v/>
      </c>
      <c r="Q710">
        <f>IFERROR(INDEX(спр_Работы!$J$2:$J$6000,MATCH($C710,спр_Работы!$A$2:$A$6000,0)),"")</f>
        <v/>
      </c>
      <c r="R710" t="inlineStr">
        <is>
          <t>да</t>
        </is>
      </c>
      <c r="T710">
        <f>IF(AND($P710&gt;0,$R710="да"),MAX($T$1:$T709)+1,"")</f>
        <v/>
      </c>
    </row>
    <row r="711">
      <c r="A711">
        <f>IFERROR(INDEX(спр_Работы!$D$2:$D$6000,MATCH($C711,спр_Работы!$A$2:$A$6000,0)),"")</f>
        <v/>
      </c>
      <c r="B711">
        <f>IFERROR(INDEX(спр_Работы!$F$2:$F$6000,MATCH($C711,спр_Работы!$A$2:$A$6000,0)),"")</f>
        <v/>
      </c>
      <c r="C711">
        <f>IFERROR(INDEX(спр_Работы!$A$2:$A$6000,710),"")</f>
        <v/>
      </c>
      <c r="D711" s="8">
        <f>IFERROR(INDEX(спр_Работы!$B$2:$B$6000,MATCH($C711,спр_Работы!$A$2:$A$6000,0)),"")</f>
        <v/>
      </c>
      <c r="E711">
        <f>IFERROR(INDEX(спр_Работы!$C$2:$C$6000,MATCH($C711,спр_Работы!$A$2:$A$6000,0)),"")</f>
        <v/>
      </c>
      <c r="F711">
        <f>IFERROR(INDEX(спр_Работы!$G$2:$G$6000,MATCH($C711,спр_Работы!$A$2:$A$6000,0)),"")</f>
        <v/>
      </c>
      <c r="G711">
        <f>IFERROR(INDEX(спр_Работы!$K$2:$K$6000,MATCH($C711,спр_Работы!$A$2:$A$6000,0)),"")</f>
        <v/>
      </c>
      <c r="H711" s="9" t="n"/>
      <c r="I711" s="9" t="n"/>
      <c r="J711" s="8">
        <f>IFERROR(INDEX(спр_Материалы!$B$2:$B$9000,MATCH($I711,спр_Материалы!$A$2:$A$9000,0)),"")</f>
        <v/>
      </c>
      <c r="K711">
        <f>IF($I711="","",IF($F711=IFERROR(INDEX(спр_Материалы!$G$2:$G$9000,MATCH($I711,спр_Материалы!$A$2:$A$9000,0)),""),"OK","!! не та группа"))</f>
        <v/>
      </c>
      <c r="L711" s="10">
        <f>IFERROR(INDEX(спр_Работы!$H$2:$H$6000,MATCH($C711,спр_Работы!$A$2:$A$6000,0))*(1-ДисконтТендер),0)</f>
        <v/>
      </c>
      <c r="M711" s="10">
        <f>IF($I711="",0,IFERROR(INDEX(спр_Материалы!$I$2:$I$9000,MATCH($I711,спр_Материалы!$A$2:$A$9000,0))*IF(INDEX(спр_Материалы!$J$2:$J$9000,MATCH($I711,спр_Материалы!$A$2:$A$9000,0))="USD",КурсUSD,IF(INDEX(спр_Материалы!$J$2:$J$9000,MATCH($I711,спр_Материалы!$A$2:$A$9000,0))="EUR",КурсEUR,1))*INDEX(спр_Материалы!$K$2:$K$9000,MATCH($I711,спр_Материалы!$A$2:$A$9000,0))*(1+IFERROR(INDEX(спр_Работы!$I$2:$I$6000,MATCH($C711,спр_Работы!$A$2:$A$6000,0))/100,0))*(1-ДисконтТендер),0))</f>
        <v/>
      </c>
      <c r="N711" s="10">
        <f>IF(AND($R711="да",$H711&lt;&gt;""),ROUND($H711*$L711,2),0)</f>
        <v/>
      </c>
      <c r="O711" s="10">
        <f>IF(AND($R711="да",$H711&lt;&gt;""),ROUND($H711*$M711,2),0)</f>
        <v/>
      </c>
      <c r="P711" s="10">
        <f>$N711+$O711</f>
        <v/>
      </c>
      <c r="Q711">
        <f>IFERROR(INDEX(спр_Работы!$J$2:$J$6000,MATCH($C711,спр_Работы!$A$2:$A$6000,0)),"")</f>
        <v/>
      </c>
      <c r="R711" t="inlineStr">
        <is>
          <t>да</t>
        </is>
      </c>
      <c r="T711">
        <f>IF(AND($P711&gt;0,$R711="да"),MAX($T$1:$T710)+1,"")</f>
        <v/>
      </c>
    </row>
    <row r="712">
      <c r="A712">
        <f>IFERROR(INDEX(спр_Работы!$D$2:$D$6000,MATCH($C712,спр_Работы!$A$2:$A$6000,0)),"")</f>
        <v/>
      </c>
      <c r="B712">
        <f>IFERROR(INDEX(спр_Работы!$F$2:$F$6000,MATCH($C712,спр_Работы!$A$2:$A$6000,0)),"")</f>
        <v/>
      </c>
      <c r="C712">
        <f>IFERROR(INDEX(спр_Работы!$A$2:$A$6000,711),"")</f>
        <v/>
      </c>
      <c r="D712" s="8">
        <f>IFERROR(INDEX(спр_Работы!$B$2:$B$6000,MATCH($C712,спр_Работы!$A$2:$A$6000,0)),"")</f>
        <v/>
      </c>
      <c r="E712">
        <f>IFERROR(INDEX(спр_Работы!$C$2:$C$6000,MATCH($C712,спр_Работы!$A$2:$A$6000,0)),"")</f>
        <v/>
      </c>
      <c r="F712">
        <f>IFERROR(INDEX(спр_Работы!$G$2:$G$6000,MATCH($C712,спр_Работы!$A$2:$A$6000,0)),"")</f>
        <v/>
      </c>
      <c r="G712">
        <f>IFERROR(INDEX(спр_Работы!$K$2:$K$6000,MATCH($C712,спр_Работы!$A$2:$A$6000,0)),"")</f>
        <v/>
      </c>
      <c r="H712" s="9" t="n"/>
      <c r="I712" s="9" t="n"/>
      <c r="J712" s="8">
        <f>IFERROR(INDEX(спр_Материалы!$B$2:$B$9000,MATCH($I712,спр_Материалы!$A$2:$A$9000,0)),"")</f>
        <v/>
      </c>
      <c r="K712">
        <f>IF($I712="","",IF($F712=IFERROR(INDEX(спр_Материалы!$G$2:$G$9000,MATCH($I712,спр_Материалы!$A$2:$A$9000,0)),""),"OK","!! не та группа"))</f>
        <v/>
      </c>
      <c r="L712" s="10">
        <f>IFERROR(INDEX(спр_Работы!$H$2:$H$6000,MATCH($C712,спр_Работы!$A$2:$A$6000,0))*(1-ДисконтТендер),0)</f>
        <v/>
      </c>
      <c r="M712" s="10">
        <f>IF($I712="",0,IFERROR(INDEX(спр_Материалы!$I$2:$I$9000,MATCH($I712,спр_Материалы!$A$2:$A$9000,0))*IF(INDEX(спр_Материалы!$J$2:$J$9000,MATCH($I712,спр_Материалы!$A$2:$A$9000,0))="USD",КурсUSD,IF(INDEX(спр_Материалы!$J$2:$J$9000,MATCH($I712,спр_Материалы!$A$2:$A$9000,0))="EUR",КурсEUR,1))*INDEX(спр_Материалы!$K$2:$K$9000,MATCH($I712,спр_Материалы!$A$2:$A$9000,0))*(1+IFERROR(INDEX(спр_Работы!$I$2:$I$6000,MATCH($C712,спр_Работы!$A$2:$A$6000,0))/100,0))*(1-ДисконтТендер),0))</f>
        <v/>
      </c>
      <c r="N712" s="10">
        <f>IF(AND($R712="да",$H712&lt;&gt;""),ROUND($H712*$L712,2),0)</f>
        <v/>
      </c>
      <c r="O712" s="10">
        <f>IF(AND($R712="да",$H712&lt;&gt;""),ROUND($H712*$M712,2),0)</f>
        <v/>
      </c>
      <c r="P712" s="10">
        <f>$N712+$O712</f>
        <v/>
      </c>
      <c r="Q712">
        <f>IFERROR(INDEX(спр_Работы!$J$2:$J$6000,MATCH($C712,спр_Работы!$A$2:$A$6000,0)),"")</f>
        <v/>
      </c>
      <c r="R712" t="inlineStr">
        <is>
          <t>да</t>
        </is>
      </c>
      <c r="T712">
        <f>IF(AND($P712&gt;0,$R712="да"),MAX($T$1:$T711)+1,"")</f>
        <v/>
      </c>
    </row>
    <row r="713">
      <c r="A713">
        <f>IFERROR(INDEX(спр_Работы!$D$2:$D$6000,MATCH($C713,спр_Работы!$A$2:$A$6000,0)),"")</f>
        <v/>
      </c>
      <c r="B713">
        <f>IFERROR(INDEX(спр_Работы!$F$2:$F$6000,MATCH($C713,спр_Работы!$A$2:$A$6000,0)),"")</f>
        <v/>
      </c>
      <c r="C713">
        <f>IFERROR(INDEX(спр_Работы!$A$2:$A$6000,712),"")</f>
        <v/>
      </c>
      <c r="D713" s="8">
        <f>IFERROR(INDEX(спр_Работы!$B$2:$B$6000,MATCH($C713,спр_Работы!$A$2:$A$6000,0)),"")</f>
        <v/>
      </c>
      <c r="E713">
        <f>IFERROR(INDEX(спр_Работы!$C$2:$C$6000,MATCH($C713,спр_Работы!$A$2:$A$6000,0)),"")</f>
        <v/>
      </c>
      <c r="F713">
        <f>IFERROR(INDEX(спр_Работы!$G$2:$G$6000,MATCH($C713,спр_Работы!$A$2:$A$6000,0)),"")</f>
        <v/>
      </c>
      <c r="G713">
        <f>IFERROR(INDEX(спр_Работы!$K$2:$K$6000,MATCH($C713,спр_Работы!$A$2:$A$6000,0)),"")</f>
        <v/>
      </c>
      <c r="H713" s="9" t="n"/>
      <c r="I713" s="9" t="n"/>
      <c r="J713" s="8">
        <f>IFERROR(INDEX(спр_Материалы!$B$2:$B$9000,MATCH($I713,спр_Материалы!$A$2:$A$9000,0)),"")</f>
        <v/>
      </c>
      <c r="K713">
        <f>IF($I713="","",IF($F713=IFERROR(INDEX(спр_Материалы!$G$2:$G$9000,MATCH($I713,спр_Материалы!$A$2:$A$9000,0)),""),"OK","!! не та группа"))</f>
        <v/>
      </c>
      <c r="L713" s="10">
        <f>IFERROR(INDEX(спр_Работы!$H$2:$H$6000,MATCH($C713,спр_Работы!$A$2:$A$6000,0))*(1-ДисконтТендер),0)</f>
        <v/>
      </c>
      <c r="M713" s="10">
        <f>IF($I713="",0,IFERROR(INDEX(спр_Материалы!$I$2:$I$9000,MATCH($I713,спр_Материалы!$A$2:$A$9000,0))*IF(INDEX(спр_Материалы!$J$2:$J$9000,MATCH($I713,спр_Материалы!$A$2:$A$9000,0))="USD",КурсUSD,IF(INDEX(спр_Материалы!$J$2:$J$9000,MATCH($I713,спр_Материалы!$A$2:$A$9000,0))="EUR",КурсEUR,1))*INDEX(спр_Материалы!$K$2:$K$9000,MATCH($I713,спр_Материалы!$A$2:$A$9000,0))*(1+IFERROR(INDEX(спр_Работы!$I$2:$I$6000,MATCH($C713,спр_Работы!$A$2:$A$6000,0))/100,0))*(1-ДисконтТендер),0))</f>
        <v/>
      </c>
      <c r="N713" s="10">
        <f>IF(AND($R713="да",$H713&lt;&gt;""),ROUND($H713*$L713,2),0)</f>
        <v/>
      </c>
      <c r="O713" s="10">
        <f>IF(AND($R713="да",$H713&lt;&gt;""),ROUND($H713*$M713,2),0)</f>
        <v/>
      </c>
      <c r="P713" s="10">
        <f>$N713+$O713</f>
        <v/>
      </c>
      <c r="Q713">
        <f>IFERROR(INDEX(спр_Работы!$J$2:$J$6000,MATCH($C713,спр_Работы!$A$2:$A$6000,0)),"")</f>
        <v/>
      </c>
      <c r="R713" t="inlineStr">
        <is>
          <t>да</t>
        </is>
      </c>
      <c r="T713">
        <f>IF(AND($P713&gt;0,$R713="да"),MAX($T$1:$T712)+1,"")</f>
        <v/>
      </c>
    </row>
    <row r="714">
      <c r="A714">
        <f>IFERROR(INDEX(спр_Работы!$D$2:$D$6000,MATCH($C714,спр_Работы!$A$2:$A$6000,0)),"")</f>
        <v/>
      </c>
      <c r="B714">
        <f>IFERROR(INDEX(спр_Работы!$F$2:$F$6000,MATCH($C714,спр_Работы!$A$2:$A$6000,0)),"")</f>
        <v/>
      </c>
      <c r="C714">
        <f>IFERROR(INDEX(спр_Работы!$A$2:$A$6000,713),"")</f>
        <v/>
      </c>
      <c r="D714" s="8">
        <f>IFERROR(INDEX(спр_Работы!$B$2:$B$6000,MATCH($C714,спр_Работы!$A$2:$A$6000,0)),"")</f>
        <v/>
      </c>
      <c r="E714">
        <f>IFERROR(INDEX(спр_Работы!$C$2:$C$6000,MATCH($C714,спр_Работы!$A$2:$A$6000,0)),"")</f>
        <v/>
      </c>
      <c r="F714">
        <f>IFERROR(INDEX(спр_Работы!$G$2:$G$6000,MATCH($C714,спр_Работы!$A$2:$A$6000,0)),"")</f>
        <v/>
      </c>
      <c r="G714">
        <f>IFERROR(INDEX(спр_Работы!$K$2:$K$6000,MATCH($C714,спр_Работы!$A$2:$A$6000,0)),"")</f>
        <v/>
      </c>
      <c r="H714" s="9" t="n"/>
      <c r="I714" s="9" t="n"/>
      <c r="J714" s="8">
        <f>IFERROR(INDEX(спр_Материалы!$B$2:$B$9000,MATCH($I714,спр_Материалы!$A$2:$A$9000,0)),"")</f>
        <v/>
      </c>
      <c r="K714">
        <f>IF($I714="","",IF($F714=IFERROR(INDEX(спр_Материалы!$G$2:$G$9000,MATCH($I714,спр_Материалы!$A$2:$A$9000,0)),""),"OK","!! не та группа"))</f>
        <v/>
      </c>
      <c r="L714" s="10">
        <f>IFERROR(INDEX(спр_Работы!$H$2:$H$6000,MATCH($C714,спр_Работы!$A$2:$A$6000,0))*(1-ДисконтТендер),0)</f>
        <v/>
      </c>
      <c r="M714" s="10">
        <f>IF($I714="",0,IFERROR(INDEX(спр_Материалы!$I$2:$I$9000,MATCH($I714,спр_Материалы!$A$2:$A$9000,0))*IF(INDEX(спр_Материалы!$J$2:$J$9000,MATCH($I714,спр_Материалы!$A$2:$A$9000,0))="USD",КурсUSD,IF(INDEX(спр_Материалы!$J$2:$J$9000,MATCH($I714,спр_Материалы!$A$2:$A$9000,0))="EUR",КурсEUR,1))*INDEX(спр_Материалы!$K$2:$K$9000,MATCH($I714,спр_Материалы!$A$2:$A$9000,0))*(1+IFERROR(INDEX(спр_Работы!$I$2:$I$6000,MATCH($C714,спр_Работы!$A$2:$A$6000,0))/100,0))*(1-ДисконтТендер),0))</f>
        <v/>
      </c>
      <c r="N714" s="10">
        <f>IF(AND($R714="да",$H714&lt;&gt;""),ROUND($H714*$L714,2),0)</f>
        <v/>
      </c>
      <c r="O714" s="10">
        <f>IF(AND($R714="да",$H714&lt;&gt;""),ROUND($H714*$M714,2),0)</f>
        <v/>
      </c>
      <c r="P714" s="10">
        <f>$N714+$O714</f>
        <v/>
      </c>
      <c r="Q714">
        <f>IFERROR(INDEX(спр_Работы!$J$2:$J$6000,MATCH($C714,спр_Работы!$A$2:$A$6000,0)),"")</f>
        <v/>
      </c>
      <c r="R714" t="inlineStr">
        <is>
          <t>да</t>
        </is>
      </c>
      <c r="T714">
        <f>IF(AND($P714&gt;0,$R714="да"),MAX($T$1:$T713)+1,"")</f>
        <v/>
      </c>
    </row>
    <row r="715">
      <c r="A715">
        <f>IFERROR(INDEX(спр_Работы!$D$2:$D$6000,MATCH($C715,спр_Работы!$A$2:$A$6000,0)),"")</f>
        <v/>
      </c>
      <c r="B715">
        <f>IFERROR(INDEX(спр_Работы!$F$2:$F$6000,MATCH($C715,спр_Работы!$A$2:$A$6000,0)),"")</f>
        <v/>
      </c>
      <c r="C715">
        <f>IFERROR(INDEX(спр_Работы!$A$2:$A$6000,714),"")</f>
        <v/>
      </c>
      <c r="D715" s="8">
        <f>IFERROR(INDEX(спр_Работы!$B$2:$B$6000,MATCH($C715,спр_Работы!$A$2:$A$6000,0)),"")</f>
        <v/>
      </c>
      <c r="E715">
        <f>IFERROR(INDEX(спр_Работы!$C$2:$C$6000,MATCH($C715,спр_Работы!$A$2:$A$6000,0)),"")</f>
        <v/>
      </c>
      <c r="F715">
        <f>IFERROR(INDEX(спр_Работы!$G$2:$G$6000,MATCH($C715,спр_Работы!$A$2:$A$6000,0)),"")</f>
        <v/>
      </c>
      <c r="G715">
        <f>IFERROR(INDEX(спр_Работы!$K$2:$K$6000,MATCH($C715,спр_Работы!$A$2:$A$6000,0)),"")</f>
        <v/>
      </c>
      <c r="H715" s="9" t="n"/>
      <c r="I715" s="9" t="n"/>
      <c r="J715" s="8">
        <f>IFERROR(INDEX(спр_Материалы!$B$2:$B$9000,MATCH($I715,спр_Материалы!$A$2:$A$9000,0)),"")</f>
        <v/>
      </c>
      <c r="K715">
        <f>IF($I715="","",IF($F715=IFERROR(INDEX(спр_Материалы!$G$2:$G$9000,MATCH($I715,спр_Материалы!$A$2:$A$9000,0)),""),"OK","!! не та группа"))</f>
        <v/>
      </c>
      <c r="L715" s="10">
        <f>IFERROR(INDEX(спр_Работы!$H$2:$H$6000,MATCH($C715,спр_Работы!$A$2:$A$6000,0))*(1-ДисконтТендер),0)</f>
        <v/>
      </c>
      <c r="M715" s="10">
        <f>IF($I715="",0,IFERROR(INDEX(спр_Материалы!$I$2:$I$9000,MATCH($I715,спр_Материалы!$A$2:$A$9000,0))*IF(INDEX(спр_Материалы!$J$2:$J$9000,MATCH($I715,спр_Материалы!$A$2:$A$9000,0))="USD",КурсUSD,IF(INDEX(спр_Материалы!$J$2:$J$9000,MATCH($I715,спр_Материалы!$A$2:$A$9000,0))="EUR",КурсEUR,1))*INDEX(спр_Материалы!$K$2:$K$9000,MATCH($I715,спр_Материалы!$A$2:$A$9000,0))*(1+IFERROR(INDEX(спр_Работы!$I$2:$I$6000,MATCH($C715,спр_Работы!$A$2:$A$6000,0))/100,0))*(1-ДисконтТендер),0))</f>
        <v/>
      </c>
      <c r="N715" s="10">
        <f>IF(AND($R715="да",$H715&lt;&gt;""),ROUND($H715*$L715,2),0)</f>
        <v/>
      </c>
      <c r="O715" s="10">
        <f>IF(AND($R715="да",$H715&lt;&gt;""),ROUND($H715*$M715,2),0)</f>
        <v/>
      </c>
      <c r="P715" s="10">
        <f>$N715+$O715</f>
        <v/>
      </c>
      <c r="Q715">
        <f>IFERROR(INDEX(спр_Работы!$J$2:$J$6000,MATCH($C715,спр_Работы!$A$2:$A$6000,0)),"")</f>
        <v/>
      </c>
      <c r="R715" t="inlineStr">
        <is>
          <t>да</t>
        </is>
      </c>
      <c r="T715">
        <f>IF(AND($P715&gt;0,$R715="да"),MAX($T$1:$T714)+1,"")</f>
        <v/>
      </c>
    </row>
    <row r="716">
      <c r="A716">
        <f>IFERROR(INDEX(спр_Работы!$D$2:$D$6000,MATCH($C716,спр_Работы!$A$2:$A$6000,0)),"")</f>
        <v/>
      </c>
      <c r="B716">
        <f>IFERROR(INDEX(спр_Работы!$F$2:$F$6000,MATCH($C716,спр_Работы!$A$2:$A$6000,0)),"")</f>
        <v/>
      </c>
      <c r="C716">
        <f>IFERROR(INDEX(спр_Работы!$A$2:$A$6000,715),"")</f>
        <v/>
      </c>
      <c r="D716" s="8">
        <f>IFERROR(INDEX(спр_Работы!$B$2:$B$6000,MATCH($C716,спр_Работы!$A$2:$A$6000,0)),"")</f>
        <v/>
      </c>
      <c r="E716">
        <f>IFERROR(INDEX(спр_Работы!$C$2:$C$6000,MATCH($C716,спр_Работы!$A$2:$A$6000,0)),"")</f>
        <v/>
      </c>
      <c r="F716">
        <f>IFERROR(INDEX(спр_Работы!$G$2:$G$6000,MATCH($C716,спр_Работы!$A$2:$A$6000,0)),"")</f>
        <v/>
      </c>
      <c r="G716">
        <f>IFERROR(INDEX(спр_Работы!$K$2:$K$6000,MATCH($C716,спр_Работы!$A$2:$A$6000,0)),"")</f>
        <v/>
      </c>
      <c r="H716" s="9" t="n"/>
      <c r="I716" s="9" t="n"/>
      <c r="J716" s="8">
        <f>IFERROR(INDEX(спр_Материалы!$B$2:$B$9000,MATCH($I716,спр_Материалы!$A$2:$A$9000,0)),"")</f>
        <v/>
      </c>
      <c r="K716">
        <f>IF($I716="","",IF($F716=IFERROR(INDEX(спр_Материалы!$G$2:$G$9000,MATCH($I716,спр_Материалы!$A$2:$A$9000,0)),""),"OK","!! не та группа"))</f>
        <v/>
      </c>
      <c r="L716" s="10">
        <f>IFERROR(INDEX(спр_Работы!$H$2:$H$6000,MATCH($C716,спр_Работы!$A$2:$A$6000,0))*(1-ДисконтТендер),0)</f>
        <v/>
      </c>
      <c r="M716" s="10">
        <f>IF($I716="",0,IFERROR(INDEX(спр_Материалы!$I$2:$I$9000,MATCH($I716,спр_Материалы!$A$2:$A$9000,0))*IF(INDEX(спр_Материалы!$J$2:$J$9000,MATCH($I716,спр_Материалы!$A$2:$A$9000,0))="USD",КурсUSD,IF(INDEX(спр_Материалы!$J$2:$J$9000,MATCH($I716,спр_Материалы!$A$2:$A$9000,0))="EUR",КурсEUR,1))*INDEX(спр_Материалы!$K$2:$K$9000,MATCH($I716,спр_Материалы!$A$2:$A$9000,0))*(1+IFERROR(INDEX(спр_Работы!$I$2:$I$6000,MATCH($C716,спр_Работы!$A$2:$A$6000,0))/100,0))*(1-ДисконтТендер),0))</f>
        <v/>
      </c>
      <c r="N716" s="10">
        <f>IF(AND($R716="да",$H716&lt;&gt;""),ROUND($H716*$L716,2),0)</f>
        <v/>
      </c>
      <c r="O716" s="10">
        <f>IF(AND($R716="да",$H716&lt;&gt;""),ROUND($H716*$M716,2),0)</f>
        <v/>
      </c>
      <c r="P716" s="10">
        <f>$N716+$O716</f>
        <v/>
      </c>
      <c r="Q716">
        <f>IFERROR(INDEX(спр_Работы!$J$2:$J$6000,MATCH($C716,спр_Работы!$A$2:$A$6000,0)),"")</f>
        <v/>
      </c>
      <c r="R716" t="inlineStr">
        <is>
          <t>да</t>
        </is>
      </c>
      <c r="T716">
        <f>IF(AND($P716&gt;0,$R716="да"),MAX($T$1:$T715)+1,"")</f>
        <v/>
      </c>
    </row>
    <row r="717">
      <c r="A717">
        <f>IFERROR(INDEX(спр_Работы!$D$2:$D$6000,MATCH($C717,спр_Работы!$A$2:$A$6000,0)),"")</f>
        <v/>
      </c>
      <c r="B717">
        <f>IFERROR(INDEX(спр_Работы!$F$2:$F$6000,MATCH($C717,спр_Работы!$A$2:$A$6000,0)),"")</f>
        <v/>
      </c>
      <c r="C717">
        <f>IFERROR(INDEX(спр_Работы!$A$2:$A$6000,716),"")</f>
        <v/>
      </c>
      <c r="D717" s="8">
        <f>IFERROR(INDEX(спр_Работы!$B$2:$B$6000,MATCH($C717,спр_Работы!$A$2:$A$6000,0)),"")</f>
        <v/>
      </c>
      <c r="E717">
        <f>IFERROR(INDEX(спр_Работы!$C$2:$C$6000,MATCH($C717,спр_Работы!$A$2:$A$6000,0)),"")</f>
        <v/>
      </c>
      <c r="F717">
        <f>IFERROR(INDEX(спр_Работы!$G$2:$G$6000,MATCH($C717,спр_Работы!$A$2:$A$6000,0)),"")</f>
        <v/>
      </c>
      <c r="G717">
        <f>IFERROR(INDEX(спр_Работы!$K$2:$K$6000,MATCH($C717,спр_Работы!$A$2:$A$6000,0)),"")</f>
        <v/>
      </c>
      <c r="H717" s="9" t="n"/>
      <c r="I717" s="9" t="n"/>
      <c r="J717" s="8">
        <f>IFERROR(INDEX(спр_Материалы!$B$2:$B$9000,MATCH($I717,спр_Материалы!$A$2:$A$9000,0)),"")</f>
        <v/>
      </c>
      <c r="K717">
        <f>IF($I717="","",IF($F717=IFERROR(INDEX(спр_Материалы!$G$2:$G$9000,MATCH($I717,спр_Материалы!$A$2:$A$9000,0)),""),"OK","!! не та группа"))</f>
        <v/>
      </c>
      <c r="L717" s="10">
        <f>IFERROR(INDEX(спр_Работы!$H$2:$H$6000,MATCH($C717,спр_Работы!$A$2:$A$6000,0))*(1-ДисконтТендер),0)</f>
        <v/>
      </c>
      <c r="M717" s="10">
        <f>IF($I717="",0,IFERROR(INDEX(спр_Материалы!$I$2:$I$9000,MATCH($I717,спр_Материалы!$A$2:$A$9000,0))*IF(INDEX(спр_Материалы!$J$2:$J$9000,MATCH($I717,спр_Материалы!$A$2:$A$9000,0))="USD",КурсUSD,IF(INDEX(спр_Материалы!$J$2:$J$9000,MATCH($I717,спр_Материалы!$A$2:$A$9000,0))="EUR",КурсEUR,1))*INDEX(спр_Материалы!$K$2:$K$9000,MATCH($I717,спр_Материалы!$A$2:$A$9000,0))*(1+IFERROR(INDEX(спр_Работы!$I$2:$I$6000,MATCH($C717,спр_Работы!$A$2:$A$6000,0))/100,0))*(1-ДисконтТендер),0))</f>
        <v/>
      </c>
      <c r="N717" s="10">
        <f>IF(AND($R717="да",$H717&lt;&gt;""),ROUND($H717*$L717,2),0)</f>
        <v/>
      </c>
      <c r="O717" s="10">
        <f>IF(AND($R717="да",$H717&lt;&gt;""),ROUND($H717*$M717,2),0)</f>
        <v/>
      </c>
      <c r="P717" s="10">
        <f>$N717+$O717</f>
        <v/>
      </c>
      <c r="Q717">
        <f>IFERROR(INDEX(спр_Работы!$J$2:$J$6000,MATCH($C717,спр_Работы!$A$2:$A$6000,0)),"")</f>
        <v/>
      </c>
      <c r="R717" t="inlineStr">
        <is>
          <t>да</t>
        </is>
      </c>
      <c r="T717">
        <f>IF(AND($P717&gt;0,$R717="да"),MAX($T$1:$T716)+1,"")</f>
        <v/>
      </c>
    </row>
    <row r="718">
      <c r="A718">
        <f>IFERROR(INDEX(спр_Работы!$D$2:$D$6000,MATCH($C718,спр_Работы!$A$2:$A$6000,0)),"")</f>
        <v/>
      </c>
      <c r="B718">
        <f>IFERROR(INDEX(спр_Работы!$F$2:$F$6000,MATCH($C718,спр_Работы!$A$2:$A$6000,0)),"")</f>
        <v/>
      </c>
      <c r="C718">
        <f>IFERROR(INDEX(спр_Работы!$A$2:$A$6000,717),"")</f>
        <v/>
      </c>
      <c r="D718" s="8">
        <f>IFERROR(INDEX(спр_Работы!$B$2:$B$6000,MATCH($C718,спр_Работы!$A$2:$A$6000,0)),"")</f>
        <v/>
      </c>
      <c r="E718">
        <f>IFERROR(INDEX(спр_Работы!$C$2:$C$6000,MATCH($C718,спр_Работы!$A$2:$A$6000,0)),"")</f>
        <v/>
      </c>
      <c r="F718">
        <f>IFERROR(INDEX(спр_Работы!$G$2:$G$6000,MATCH($C718,спр_Работы!$A$2:$A$6000,0)),"")</f>
        <v/>
      </c>
      <c r="G718">
        <f>IFERROR(INDEX(спр_Работы!$K$2:$K$6000,MATCH($C718,спр_Работы!$A$2:$A$6000,0)),"")</f>
        <v/>
      </c>
      <c r="H718" s="9" t="n"/>
      <c r="I718" s="9" t="n"/>
      <c r="J718" s="8">
        <f>IFERROR(INDEX(спр_Материалы!$B$2:$B$9000,MATCH($I718,спр_Материалы!$A$2:$A$9000,0)),"")</f>
        <v/>
      </c>
      <c r="K718">
        <f>IF($I718="","",IF($F718=IFERROR(INDEX(спр_Материалы!$G$2:$G$9000,MATCH($I718,спр_Материалы!$A$2:$A$9000,0)),""),"OK","!! не та группа"))</f>
        <v/>
      </c>
      <c r="L718" s="10">
        <f>IFERROR(INDEX(спр_Работы!$H$2:$H$6000,MATCH($C718,спр_Работы!$A$2:$A$6000,0))*(1-ДисконтТендер),0)</f>
        <v/>
      </c>
      <c r="M718" s="10">
        <f>IF($I718="",0,IFERROR(INDEX(спр_Материалы!$I$2:$I$9000,MATCH($I718,спр_Материалы!$A$2:$A$9000,0))*IF(INDEX(спр_Материалы!$J$2:$J$9000,MATCH($I718,спр_Материалы!$A$2:$A$9000,0))="USD",КурсUSD,IF(INDEX(спр_Материалы!$J$2:$J$9000,MATCH($I718,спр_Материалы!$A$2:$A$9000,0))="EUR",КурсEUR,1))*INDEX(спр_Материалы!$K$2:$K$9000,MATCH($I718,спр_Материалы!$A$2:$A$9000,0))*(1+IFERROR(INDEX(спр_Работы!$I$2:$I$6000,MATCH($C718,спр_Работы!$A$2:$A$6000,0))/100,0))*(1-ДисконтТендер),0))</f>
        <v/>
      </c>
      <c r="N718" s="10">
        <f>IF(AND($R718="да",$H718&lt;&gt;""),ROUND($H718*$L718,2),0)</f>
        <v/>
      </c>
      <c r="O718" s="10">
        <f>IF(AND($R718="да",$H718&lt;&gt;""),ROUND($H718*$M718,2),0)</f>
        <v/>
      </c>
      <c r="P718" s="10">
        <f>$N718+$O718</f>
        <v/>
      </c>
      <c r="Q718">
        <f>IFERROR(INDEX(спр_Работы!$J$2:$J$6000,MATCH($C718,спр_Работы!$A$2:$A$6000,0)),"")</f>
        <v/>
      </c>
      <c r="R718" t="inlineStr">
        <is>
          <t>да</t>
        </is>
      </c>
      <c r="T718">
        <f>IF(AND($P718&gt;0,$R718="да"),MAX($T$1:$T717)+1,"")</f>
        <v/>
      </c>
    </row>
    <row r="719">
      <c r="A719">
        <f>IFERROR(INDEX(спр_Работы!$D$2:$D$6000,MATCH($C719,спр_Работы!$A$2:$A$6000,0)),"")</f>
        <v/>
      </c>
      <c r="B719">
        <f>IFERROR(INDEX(спр_Работы!$F$2:$F$6000,MATCH($C719,спр_Работы!$A$2:$A$6000,0)),"")</f>
        <v/>
      </c>
      <c r="C719">
        <f>IFERROR(INDEX(спр_Работы!$A$2:$A$6000,718),"")</f>
        <v/>
      </c>
      <c r="D719" s="8">
        <f>IFERROR(INDEX(спр_Работы!$B$2:$B$6000,MATCH($C719,спр_Работы!$A$2:$A$6000,0)),"")</f>
        <v/>
      </c>
      <c r="E719">
        <f>IFERROR(INDEX(спр_Работы!$C$2:$C$6000,MATCH($C719,спр_Работы!$A$2:$A$6000,0)),"")</f>
        <v/>
      </c>
      <c r="F719">
        <f>IFERROR(INDEX(спр_Работы!$G$2:$G$6000,MATCH($C719,спр_Работы!$A$2:$A$6000,0)),"")</f>
        <v/>
      </c>
      <c r="G719">
        <f>IFERROR(INDEX(спр_Работы!$K$2:$K$6000,MATCH($C719,спр_Работы!$A$2:$A$6000,0)),"")</f>
        <v/>
      </c>
      <c r="H719" s="9" t="n"/>
      <c r="I719" s="9" t="n"/>
      <c r="J719" s="8">
        <f>IFERROR(INDEX(спр_Материалы!$B$2:$B$9000,MATCH($I719,спр_Материалы!$A$2:$A$9000,0)),"")</f>
        <v/>
      </c>
      <c r="K719">
        <f>IF($I719="","",IF($F719=IFERROR(INDEX(спр_Материалы!$G$2:$G$9000,MATCH($I719,спр_Материалы!$A$2:$A$9000,0)),""),"OK","!! не та группа"))</f>
        <v/>
      </c>
      <c r="L719" s="10">
        <f>IFERROR(INDEX(спр_Работы!$H$2:$H$6000,MATCH($C719,спр_Работы!$A$2:$A$6000,0))*(1-ДисконтТендер),0)</f>
        <v/>
      </c>
      <c r="M719" s="10">
        <f>IF($I719="",0,IFERROR(INDEX(спр_Материалы!$I$2:$I$9000,MATCH($I719,спр_Материалы!$A$2:$A$9000,0))*IF(INDEX(спр_Материалы!$J$2:$J$9000,MATCH($I719,спр_Материалы!$A$2:$A$9000,0))="USD",КурсUSD,IF(INDEX(спр_Материалы!$J$2:$J$9000,MATCH($I719,спр_Материалы!$A$2:$A$9000,0))="EUR",КурсEUR,1))*INDEX(спр_Материалы!$K$2:$K$9000,MATCH($I719,спр_Материалы!$A$2:$A$9000,0))*(1+IFERROR(INDEX(спр_Работы!$I$2:$I$6000,MATCH($C719,спр_Работы!$A$2:$A$6000,0))/100,0))*(1-ДисконтТендер),0))</f>
        <v/>
      </c>
      <c r="N719" s="10">
        <f>IF(AND($R719="да",$H719&lt;&gt;""),ROUND($H719*$L719,2),0)</f>
        <v/>
      </c>
      <c r="O719" s="10">
        <f>IF(AND($R719="да",$H719&lt;&gt;""),ROUND($H719*$M719,2),0)</f>
        <v/>
      </c>
      <c r="P719" s="10">
        <f>$N719+$O719</f>
        <v/>
      </c>
      <c r="Q719">
        <f>IFERROR(INDEX(спр_Работы!$J$2:$J$6000,MATCH($C719,спр_Работы!$A$2:$A$6000,0)),"")</f>
        <v/>
      </c>
      <c r="R719" t="inlineStr">
        <is>
          <t>да</t>
        </is>
      </c>
      <c r="T719">
        <f>IF(AND($P719&gt;0,$R719="да"),MAX($T$1:$T718)+1,"")</f>
        <v/>
      </c>
    </row>
    <row r="720">
      <c r="A720">
        <f>IFERROR(INDEX(спр_Работы!$D$2:$D$6000,MATCH($C720,спр_Работы!$A$2:$A$6000,0)),"")</f>
        <v/>
      </c>
      <c r="B720">
        <f>IFERROR(INDEX(спр_Работы!$F$2:$F$6000,MATCH($C720,спр_Работы!$A$2:$A$6000,0)),"")</f>
        <v/>
      </c>
      <c r="C720">
        <f>IFERROR(INDEX(спр_Работы!$A$2:$A$6000,719),"")</f>
        <v/>
      </c>
      <c r="D720" s="8">
        <f>IFERROR(INDEX(спр_Работы!$B$2:$B$6000,MATCH($C720,спр_Работы!$A$2:$A$6000,0)),"")</f>
        <v/>
      </c>
      <c r="E720">
        <f>IFERROR(INDEX(спр_Работы!$C$2:$C$6000,MATCH($C720,спр_Работы!$A$2:$A$6000,0)),"")</f>
        <v/>
      </c>
      <c r="F720">
        <f>IFERROR(INDEX(спр_Работы!$G$2:$G$6000,MATCH($C720,спр_Работы!$A$2:$A$6000,0)),"")</f>
        <v/>
      </c>
      <c r="G720">
        <f>IFERROR(INDEX(спр_Работы!$K$2:$K$6000,MATCH($C720,спр_Работы!$A$2:$A$6000,0)),"")</f>
        <v/>
      </c>
      <c r="H720" s="9" t="n"/>
      <c r="I720" s="9" t="n"/>
      <c r="J720" s="8">
        <f>IFERROR(INDEX(спр_Материалы!$B$2:$B$9000,MATCH($I720,спр_Материалы!$A$2:$A$9000,0)),"")</f>
        <v/>
      </c>
      <c r="K720">
        <f>IF($I720="","",IF($F720=IFERROR(INDEX(спр_Материалы!$G$2:$G$9000,MATCH($I720,спр_Материалы!$A$2:$A$9000,0)),""),"OK","!! не та группа"))</f>
        <v/>
      </c>
      <c r="L720" s="10">
        <f>IFERROR(INDEX(спр_Работы!$H$2:$H$6000,MATCH($C720,спр_Работы!$A$2:$A$6000,0))*(1-ДисконтТендер),0)</f>
        <v/>
      </c>
      <c r="M720" s="10">
        <f>IF($I720="",0,IFERROR(INDEX(спр_Материалы!$I$2:$I$9000,MATCH($I720,спр_Материалы!$A$2:$A$9000,0))*IF(INDEX(спр_Материалы!$J$2:$J$9000,MATCH($I720,спр_Материалы!$A$2:$A$9000,0))="USD",КурсUSD,IF(INDEX(спр_Материалы!$J$2:$J$9000,MATCH($I720,спр_Материалы!$A$2:$A$9000,0))="EUR",КурсEUR,1))*INDEX(спр_Материалы!$K$2:$K$9000,MATCH($I720,спр_Материалы!$A$2:$A$9000,0))*(1+IFERROR(INDEX(спр_Работы!$I$2:$I$6000,MATCH($C720,спр_Работы!$A$2:$A$6000,0))/100,0))*(1-ДисконтТендер),0))</f>
        <v/>
      </c>
      <c r="N720" s="10">
        <f>IF(AND($R720="да",$H720&lt;&gt;""),ROUND($H720*$L720,2),0)</f>
        <v/>
      </c>
      <c r="O720" s="10">
        <f>IF(AND($R720="да",$H720&lt;&gt;""),ROUND($H720*$M720,2),0)</f>
        <v/>
      </c>
      <c r="P720" s="10">
        <f>$N720+$O720</f>
        <v/>
      </c>
      <c r="Q720">
        <f>IFERROR(INDEX(спр_Работы!$J$2:$J$6000,MATCH($C720,спр_Работы!$A$2:$A$6000,0)),"")</f>
        <v/>
      </c>
      <c r="R720" t="inlineStr">
        <is>
          <t>да</t>
        </is>
      </c>
      <c r="T720">
        <f>IF(AND($P720&gt;0,$R720="да"),MAX($T$1:$T719)+1,"")</f>
        <v/>
      </c>
    </row>
    <row r="721">
      <c r="A721">
        <f>IFERROR(INDEX(спр_Работы!$D$2:$D$6000,MATCH($C721,спр_Работы!$A$2:$A$6000,0)),"")</f>
        <v/>
      </c>
      <c r="B721">
        <f>IFERROR(INDEX(спр_Работы!$F$2:$F$6000,MATCH($C721,спр_Работы!$A$2:$A$6000,0)),"")</f>
        <v/>
      </c>
      <c r="C721">
        <f>IFERROR(INDEX(спр_Работы!$A$2:$A$6000,720),"")</f>
        <v/>
      </c>
      <c r="D721" s="8">
        <f>IFERROR(INDEX(спр_Работы!$B$2:$B$6000,MATCH($C721,спр_Работы!$A$2:$A$6000,0)),"")</f>
        <v/>
      </c>
      <c r="E721">
        <f>IFERROR(INDEX(спр_Работы!$C$2:$C$6000,MATCH($C721,спр_Работы!$A$2:$A$6000,0)),"")</f>
        <v/>
      </c>
      <c r="F721">
        <f>IFERROR(INDEX(спр_Работы!$G$2:$G$6000,MATCH($C721,спр_Работы!$A$2:$A$6000,0)),"")</f>
        <v/>
      </c>
      <c r="G721">
        <f>IFERROR(INDEX(спр_Работы!$K$2:$K$6000,MATCH($C721,спр_Работы!$A$2:$A$6000,0)),"")</f>
        <v/>
      </c>
      <c r="H721" s="9" t="n"/>
      <c r="I721" s="9" t="n"/>
      <c r="J721" s="8">
        <f>IFERROR(INDEX(спр_Материалы!$B$2:$B$9000,MATCH($I721,спр_Материалы!$A$2:$A$9000,0)),"")</f>
        <v/>
      </c>
      <c r="K721">
        <f>IF($I721="","",IF($F721=IFERROR(INDEX(спр_Материалы!$G$2:$G$9000,MATCH($I721,спр_Материалы!$A$2:$A$9000,0)),""),"OK","!! не та группа"))</f>
        <v/>
      </c>
      <c r="L721" s="10">
        <f>IFERROR(INDEX(спр_Работы!$H$2:$H$6000,MATCH($C721,спр_Работы!$A$2:$A$6000,0))*(1-ДисконтТендер),0)</f>
        <v/>
      </c>
      <c r="M721" s="10">
        <f>IF($I721="",0,IFERROR(INDEX(спр_Материалы!$I$2:$I$9000,MATCH($I721,спр_Материалы!$A$2:$A$9000,0))*IF(INDEX(спр_Материалы!$J$2:$J$9000,MATCH($I721,спр_Материалы!$A$2:$A$9000,0))="USD",КурсUSD,IF(INDEX(спр_Материалы!$J$2:$J$9000,MATCH($I721,спр_Материалы!$A$2:$A$9000,0))="EUR",КурсEUR,1))*INDEX(спр_Материалы!$K$2:$K$9000,MATCH($I721,спр_Материалы!$A$2:$A$9000,0))*(1+IFERROR(INDEX(спр_Работы!$I$2:$I$6000,MATCH($C721,спр_Работы!$A$2:$A$6000,0))/100,0))*(1-ДисконтТендер),0))</f>
        <v/>
      </c>
      <c r="N721" s="10">
        <f>IF(AND($R721="да",$H721&lt;&gt;""),ROUND($H721*$L721,2),0)</f>
        <v/>
      </c>
      <c r="O721" s="10">
        <f>IF(AND($R721="да",$H721&lt;&gt;""),ROUND($H721*$M721,2),0)</f>
        <v/>
      </c>
      <c r="P721" s="10">
        <f>$N721+$O721</f>
        <v/>
      </c>
      <c r="Q721">
        <f>IFERROR(INDEX(спр_Работы!$J$2:$J$6000,MATCH($C721,спр_Работы!$A$2:$A$6000,0)),"")</f>
        <v/>
      </c>
      <c r="R721" t="inlineStr">
        <is>
          <t>да</t>
        </is>
      </c>
      <c r="T721">
        <f>IF(AND($P721&gt;0,$R721="да"),MAX($T$1:$T720)+1,"")</f>
        <v/>
      </c>
    </row>
    <row r="722">
      <c r="A722">
        <f>IFERROR(INDEX(спр_Работы!$D$2:$D$6000,MATCH($C722,спр_Работы!$A$2:$A$6000,0)),"")</f>
        <v/>
      </c>
      <c r="B722">
        <f>IFERROR(INDEX(спр_Работы!$F$2:$F$6000,MATCH($C722,спр_Работы!$A$2:$A$6000,0)),"")</f>
        <v/>
      </c>
      <c r="C722">
        <f>IFERROR(INDEX(спр_Работы!$A$2:$A$6000,721),"")</f>
        <v/>
      </c>
      <c r="D722" s="8">
        <f>IFERROR(INDEX(спр_Работы!$B$2:$B$6000,MATCH($C722,спр_Работы!$A$2:$A$6000,0)),"")</f>
        <v/>
      </c>
      <c r="E722">
        <f>IFERROR(INDEX(спр_Работы!$C$2:$C$6000,MATCH($C722,спр_Работы!$A$2:$A$6000,0)),"")</f>
        <v/>
      </c>
      <c r="F722">
        <f>IFERROR(INDEX(спр_Работы!$G$2:$G$6000,MATCH($C722,спр_Работы!$A$2:$A$6000,0)),"")</f>
        <v/>
      </c>
      <c r="G722">
        <f>IFERROR(INDEX(спр_Работы!$K$2:$K$6000,MATCH($C722,спр_Работы!$A$2:$A$6000,0)),"")</f>
        <v/>
      </c>
      <c r="H722" s="9" t="n"/>
      <c r="I722" s="9" t="n"/>
      <c r="J722" s="8">
        <f>IFERROR(INDEX(спр_Материалы!$B$2:$B$9000,MATCH($I722,спр_Материалы!$A$2:$A$9000,0)),"")</f>
        <v/>
      </c>
      <c r="K722">
        <f>IF($I722="","",IF($F722=IFERROR(INDEX(спр_Материалы!$G$2:$G$9000,MATCH($I722,спр_Материалы!$A$2:$A$9000,0)),""),"OK","!! не та группа"))</f>
        <v/>
      </c>
      <c r="L722" s="10">
        <f>IFERROR(INDEX(спр_Работы!$H$2:$H$6000,MATCH($C722,спр_Работы!$A$2:$A$6000,0))*(1-ДисконтТендер),0)</f>
        <v/>
      </c>
      <c r="M722" s="10">
        <f>IF($I722="",0,IFERROR(INDEX(спр_Материалы!$I$2:$I$9000,MATCH($I722,спр_Материалы!$A$2:$A$9000,0))*IF(INDEX(спр_Материалы!$J$2:$J$9000,MATCH($I722,спр_Материалы!$A$2:$A$9000,0))="USD",КурсUSD,IF(INDEX(спр_Материалы!$J$2:$J$9000,MATCH($I722,спр_Материалы!$A$2:$A$9000,0))="EUR",КурсEUR,1))*INDEX(спр_Материалы!$K$2:$K$9000,MATCH($I722,спр_Материалы!$A$2:$A$9000,0))*(1+IFERROR(INDEX(спр_Работы!$I$2:$I$6000,MATCH($C722,спр_Работы!$A$2:$A$6000,0))/100,0))*(1-ДисконтТендер),0))</f>
        <v/>
      </c>
      <c r="N722" s="10">
        <f>IF(AND($R722="да",$H722&lt;&gt;""),ROUND($H722*$L722,2),0)</f>
        <v/>
      </c>
      <c r="O722" s="10">
        <f>IF(AND($R722="да",$H722&lt;&gt;""),ROUND($H722*$M722,2),0)</f>
        <v/>
      </c>
      <c r="P722" s="10">
        <f>$N722+$O722</f>
        <v/>
      </c>
      <c r="Q722">
        <f>IFERROR(INDEX(спр_Работы!$J$2:$J$6000,MATCH($C722,спр_Работы!$A$2:$A$6000,0)),"")</f>
        <v/>
      </c>
      <c r="R722" t="inlineStr">
        <is>
          <t>да</t>
        </is>
      </c>
      <c r="T722">
        <f>IF(AND($P722&gt;0,$R722="да"),MAX($T$1:$T721)+1,"")</f>
        <v/>
      </c>
    </row>
    <row r="723">
      <c r="A723">
        <f>IFERROR(INDEX(спр_Работы!$D$2:$D$6000,MATCH($C723,спр_Работы!$A$2:$A$6000,0)),"")</f>
        <v/>
      </c>
      <c r="B723">
        <f>IFERROR(INDEX(спр_Работы!$F$2:$F$6000,MATCH($C723,спр_Работы!$A$2:$A$6000,0)),"")</f>
        <v/>
      </c>
      <c r="C723">
        <f>IFERROR(INDEX(спр_Работы!$A$2:$A$6000,722),"")</f>
        <v/>
      </c>
      <c r="D723" s="8">
        <f>IFERROR(INDEX(спр_Работы!$B$2:$B$6000,MATCH($C723,спр_Работы!$A$2:$A$6000,0)),"")</f>
        <v/>
      </c>
      <c r="E723">
        <f>IFERROR(INDEX(спр_Работы!$C$2:$C$6000,MATCH($C723,спр_Работы!$A$2:$A$6000,0)),"")</f>
        <v/>
      </c>
      <c r="F723">
        <f>IFERROR(INDEX(спр_Работы!$G$2:$G$6000,MATCH($C723,спр_Работы!$A$2:$A$6000,0)),"")</f>
        <v/>
      </c>
      <c r="G723">
        <f>IFERROR(INDEX(спр_Работы!$K$2:$K$6000,MATCH($C723,спр_Работы!$A$2:$A$6000,0)),"")</f>
        <v/>
      </c>
      <c r="H723" s="9" t="n"/>
      <c r="I723" s="9" t="n"/>
      <c r="J723" s="8">
        <f>IFERROR(INDEX(спр_Материалы!$B$2:$B$9000,MATCH($I723,спр_Материалы!$A$2:$A$9000,0)),"")</f>
        <v/>
      </c>
      <c r="K723">
        <f>IF($I723="","",IF($F723=IFERROR(INDEX(спр_Материалы!$G$2:$G$9000,MATCH($I723,спр_Материалы!$A$2:$A$9000,0)),""),"OK","!! не та группа"))</f>
        <v/>
      </c>
      <c r="L723" s="10">
        <f>IFERROR(INDEX(спр_Работы!$H$2:$H$6000,MATCH($C723,спр_Работы!$A$2:$A$6000,0))*(1-ДисконтТендер),0)</f>
        <v/>
      </c>
      <c r="M723" s="10">
        <f>IF($I723="",0,IFERROR(INDEX(спр_Материалы!$I$2:$I$9000,MATCH($I723,спр_Материалы!$A$2:$A$9000,0))*IF(INDEX(спр_Материалы!$J$2:$J$9000,MATCH($I723,спр_Материалы!$A$2:$A$9000,0))="USD",КурсUSD,IF(INDEX(спр_Материалы!$J$2:$J$9000,MATCH($I723,спр_Материалы!$A$2:$A$9000,0))="EUR",КурсEUR,1))*INDEX(спр_Материалы!$K$2:$K$9000,MATCH($I723,спр_Материалы!$A$2:$A$9000,0))*(1+IFERROR(INDEX(спр_Работы!$I$2:$I$6000,MATCH($C723,спр_Работы!$A$2:$A$6000,0))/100,0))*(1-ДисконтТендер),0))</f>
        <v/>
      </c>
      <c r="N723" s="10">
        <f>IF(AND($R723="да",$H723&lt;&gt;""),ROUND($H723*$L723,2),0)</f>
        <v/>
      </c>
      <c r="O723" s="10">
        <f>IF(AND($R723="да",$H723&lt;&gt;""),ROUND($H723*$M723,2),0)</f>
        <v/>
      </c>
      <c r="P723" s="10">
        <f>$N723+$O723</f>
        <v/>
      </c>
      <c r="Q723">
        <f>IFERROR(INDEX(спр_Работы!$J$2:$J$6000,MATCH($C723,спр_Работы!$A$2:$A$6000,0)),"")</f>
        <v/>
      </c>
      <c r="R723" t="inlineStr">
        <is>
          <t>да</t>
        </is>
      </c>
      <c r="T723">
        <f>IF(AND($P723&gt;0,$R723="да"),MAX($T$1:$T722)+1,"")</f>
        <v/>
      </c>
    </row>
    <row r="724">
      <c r="A724">
        <f>IFERROR(INDEX(спр_Работы!$D$2:$D$6000,MATCH($C724,спр_Работы!$A$2:$A$6000,0)),"")</f>
        <v/>
      </c>
      <c r="B724">
        <f>IFERROR(INDEX(спр_Работы!$F$2:$F$6000,MATCH($C724,спр_Работы!$A$2:$A$6000,0)),"")</f>
        <v/>
      </c>
      <c r="C724">
        <f>IFERROR(INDEX(спр_Работы!$A$2:$A$6000,723),"")</f>
        <v/>
      </c>
      <c r="D724" s="8">
        <f>IFERROR(INDEX(спр_Работы!$B$2:$B$6000,MATCH($C724,спр_Работы!$A$2:$A$6000,0)),"")</f>
        <v/>
      </c>
      <c r="E724">
        <f>IFERROR(INDEX(спр_Работы!$C$2:$C$6000,MATCH($C724,спр_Работы!$A$2:$A$6000,0)),"")</f>
        <v/>
      </c>
      <c r="F724">
        <f>IFERROR(INDEX(спр_Работы!$G$2:$G$6000,MATCH($C724,спр_Работы!$A$2:$A$6000,0)),"")</f>
        <v/>
      </c>
      <c r="G724">
        <f>IFERROR(INDEX(спр_Работы!$K$2:$K$6000,MATCH($C724,спр_Работы!$A$2:$A$6000,0)),"")</f>
        <v/>
      </c>
      <c r="H724" s="9" t="n"/>
      <c r="I724" s="9" t="n"/>
      <c r="J724" s="8">
        <f>IFERROR(INDEX(спр_Материалы!$B$2:$B$9000,MATCH($I724,спр_Материалы!$A$2:$A$9000,0)),"")</f>
        <v/>
      </c>
      <c r="K724">
        <f>IF($I724="","",IF($F724=IFERROR(INDEX(спр_Материалы!$G$2:$G$9000,MATCH($I724,спр_Материалы!$A$2:$A$9000,0)),""),"OK","!! не та группа"))</f>
        <v/>
      </c>
      <c r="L724" s="10">
        <f>IFERROR(INDEX(спр_Работы!$H$2:$H$6000,MATCH($C724,спр_Работы!$A$2:$A$6000,0))*(1-ДисконтТендер),0)</f>
        <v/>
      </c>
      <c r="M724" s="10">
        <f>IF($I724="",0,IFERROR(INDEX(спр_Материалы!$I$2:$I$9000,MATCH($I724,спр_Материалы!$A$2:$A$9000,0))*IF(INDEX(спр_Материалы!$J$2:$J$9000,MATCH($I724,спр_Материалы!$A$2:$A$9000,0))="USD",КурсUSD,IF(INDEX(спр_Материалы!$J$2:$J$9000,MATCH($I724,спр_Материалы!$A$2:$A$9000,0))="EUR",КурсEUR,1))*INDEX(спр_Материалы!$K$2:$K$9000,MATCH($I724,спр_Материалы!$A$2:$A$9000,0))*(1+IFERROR(INDEX(спр_Работы!$I$2:$I$6000,MATCH($C724,спр_Работы!$A$2:$A$6000,0))/100,0))*(1-ДисконтТендер),0))</f>
        <v/>
      </c>
      <c r="N724" s="10">
        <f>IF(AND($R724="да",$H724&lt;&gt;""),ROUND($H724*$L724,2),0)</f>
        <v/>
      </c>
      <c r="O724" s="10">
        <f>IF(AND($R724="да",$H724&lt;&gt;""),ROUND($H724*$M724,2),0)</f>
        <v/>
      </c>
      <c r="P724" s="10">
        <f>$N724+$O724</f>
        <v/>
      </c>
      <c r="Q724">
        <f>IFERROR(INDEX(спр_Работы!$J$2:$J$6000,MATCH($C724,спр_Работы!$A$2:$A$6000,0)),"")</f>
        <v/>
      </c>
      <c r="R724" t="inlineStr">
        <is>
          <t>да</t>
        </is>
      </c>
      <c r="T724">
        <f>IF(AND($P724&gt;0,$R724="да"),MAX($T$1:$T723)+1,"")</f>
        <v/>
      </c>
    </row>
    <row r="725">
      <c r="A725">
        <f>IFERROR(INDEX(спр_Работы!$D$2:$D$6000,MATCH($C725,спр_Работы!$A$2:$A$6000,0)),"")</f>
        <v/>
      </c>
      <c r="B725">
        <f>IFERROR(INDEX(спр_Работы!$F$2:$F$6000,MATCH($C725,спр_Работы!$A$2:$A$6000,0)),"")</f>
        <v/>
      </c>
      <c r="C725">
        <f>IFERROR(INDEX(спр_Работы!$A$2:$A$6000,724),"")</f>
        <v/>
      </c>
      <c r="D725" s="8">
        <f>IFERROR(INDEX(спр_Работы!$B$2:$B$6000,MATCH($C725,спр_Работы!$A$2:$A$6000,0)),"")</f>
        <v/>
      </c>
      <c r="E725">
        <f>IFERROR(INDEX(спр_Работы!$C$2:$C$6000,MATCH($C725,спр_Работы!$A$2:$A$6000,0)),"")</f>
        <v/>
      </c>
      <c r="F725">
        <f>IFERROR(INDEX(спр_Работы!$G$2:$G$6000,MATCH($C725,спр_Работы!$A$2:$A$6000,0)),"")</f>
        <v/>
      </c>
      <c r="G725">
        <f>IFERROR(INDEX(спр_Работы!$K$2:$K$6000,MATCH($C725,спр_Работы!$A$2:$A$6000,0)),"")</f>
        <v/>
      </c>
      <c r="H725" s="9" t="n"/>
      <c r="I725" s="9" t="n"/>
      <c r="J725" s="8">
        <f>IFERROR(INDEX(спр_Материалы!$B$2:$B$9000,MATCH($I725,спр_Материалы!$A$2:$A$9000,0)),"")</f>
        <v/>
      </c>
      <c r="K725">
        <f>IF($I725="","",IF($F725=IFERROR(INDEX(спр_Материалы!$G$2:$G$9000,MATCH($I725,спр_Материалы!$A$2:$A$9000,0)),""),"OK","!! не та группа"))</f>
        <v/>
      </c>
      <c r="L725" s="10">
        <f>IFERROR(INDEX(спр_Работы!$H$2:$H$6000,MATCH($C725,спр_Работы!$A$2:$A$6000,0))*(1-ДисконтТендер),0)</f>
        <v/>
      </c>
      <c r="M725" s="10">
        <f>IF($I725="",0,IFERROR(INDEX(спр_Материалы!$I$2:$I$9000,MATCH($I725,спр_Материалы!$A$2:$A$9000,0))*IF(INDEX(спр_Материалы!$J$2:$J$9000,MATCH($I725,спр_Материалы!$A$2:$A$9000,0))="USD",КурсUSD,IF(INDEX(спр_Материалы!$J$2:$J$9000,MATCH($I725,спр_Материалы!$A$2:$A$9000,0))="EUR",КурсEUR,1))*INDEX(спр_Материалы!$K$2:$K$9000,MATCH($I725,спр_Материалы!$A$2:$A$9000,0))*(1+IFERROR(INDEX(спр_Работы!$I$2:$I$6000,MATCH($C725,спр_Работы!$A$2:$A$6000,0))/100,0))*(1-ДисконтТендер),0))</f>
        <v/>
      </c>
      <c r="N725" s="10">
        <f>IF(AND($R725="да",$H725&lt;&gt;""),ROUND($H725*$L725,2),0)</f>
        <v/>
      </c>
      <c r="O725" s="10">
        <f>IF(AND($R725="да",$H725&lt;&gt;""),ROUND($H725*$M725,2),0)</f>
        <v/>
      </c>
      <c r="P725" s="10">
        <f>$N725+$O725</f>
        <v/>
      </c>
      <c r="Q725">
        <f>IFERROR(INDEX(спр_Работы!$J$2:$J$6000,MATCH($C725,спр_Работы!$A$2:$A$6000,0)),"")</f>
        <v/>
      </c>
      <c r="R725" t="inlineStr">
        <is>
          <t>да</t>
        </is>
      </c>
      <c r="T725">
        <f>IF(AND($P725&gt;0,$R725="да"),MAX($T$1:$T724)+1,"")</f>
        <v/>
      </c>
    </row>
    <row r="726">
      <c r="A726">
        <f>IFERROR(INDEX(спр_Работы!$D$2:$D$6000,MATCH($C726,спр_Работы!$A$2:$A$6000,0)),"")</f>
        <v/>
      </c>
      <c r="B726">
        <f>IFERROR(INDEX(спр_Работы!$F$2:$F$6000,MATCH($C726,спр_Работы!$A$2:$A$6000,0)),"")</f>
        <v/>
      </c>
      <c r="C726">
        <f>IFERROR(INDEX(спр_Работы!$A$2:$A$6000,725),"")</f>
        <v/>
      </c>
      <c r="D726" s="8">
        <f>IFERROR(INDEX(спр_Работы!$B$2:$B$6000,MATCH($C726,спр_Работы!$A$2:$A$6000,0)),"")</f>
        <v/>
      </c>
      <c r="E726">
        <f>IFERROR(INDEX(спр_Работы!$C$2:$C$6000,MATCH($C726,спр_Работы!$A$2:$A$6000,0)),"")</f>
        <v/>
      </c>
      <c r="F726">
        <f>IFERROR(INDEX(спр_Работы!$G$2:$G$6000,MATCH($C726,спр_Работы!$A$2:$A$6000,0)),"")</f>
        <v/>
      </c>
      <c r="G726">
        <f>IFERROR(INDEX(спр_Работы!$K$2:$K$6000,MATCH($C726,спр_Работы!$A$2:$A$6000,0)),"")</f>
        <v/>
      </c>
      <c r="H726" s="9" t="n"/>
      <c r="I726" s="9" t="n"/>
      <c r="J726" s="8">
        <f>IFERROR(INDEX(спр_Материалы!$B$2:$B$9000,MATCH($I726,спр_Материалы!$A$2:$A$9000,0)),"")</f>
        <v/>
      </c>
      <c r="K726">
        <f>IF($I726="","",IF($F726=IFERROR(INDEX(спр_Материалы!$G$2:$G$9000,MATCH($I726,спр_Материалы!$A$2:$A$9000,0)),""),"OK","!! не та группа"))</f>
        <v/>
      </c>
      <c r="L726" s="10">
        <f>IFERROR(INDEX(спр_Работы!$H$2:$H$6000,MATCH($C726,спр_Работы!$A$2:$A$6000,0))*(1-ДисконтТендер),0)</f>
        <v/>
      </c>
      <c r="M726" s="10">
        <f>IF($I726="",0,IFERROR(INDEX(спр_Материалы!$I$2:$I$9000,MATCH($I726,спр_Материалы!$A$2:$A$9000,0))*IF(INDEX(спр_Материалы!$J$2:$J$9000,MATCH($I726,спр_Материалы!$A$2:$A$9000,0))="USD",КурсUSD,IF(INDEX(спр_Материалы!$J$2:$J$9000,MATCH($I726,спр_Материалы!$A$2:$A$9000,0))="EUR",КурсEUR,1))*INDEX(спр_Материалы!$K$2:$K$9000,MATCH($I726,спр_Материалы!$A$2:$A$9000,0))*(1+IFERROR(INDEX(спр_Работы!$I$2:$I$6000,MATCH($C726,спр_Работы!$A$2:$A$6000,0))/100,0))*(1-ДисконтТендер),0))</f>
        <v/>
      </c>
      <c r="N726" s="10">
        <f>IF(AND($R726="да",$H726&lt;&gt;""),ROUND($H726*$L726,2),0)</f>
        <v/>
      </c>
      <c r="O726" s="10">
        <f>IF(AND($R726="да",$H726&lt;&gt;""),ROUND($H726*$M726,2),0)</f>
        <v/>
      </c>
      <c r="P726" s="10">
        <f>$N726+$O726</f>
        <v/>
      </c>
      <c r="Q726">
        <f>IFERROR(INDEX(спр_Работы!$J$2:$J$6000,MATCH($C726,спр_Работы!$A$2:$A$6000,0)),"")</f>
        <v/>
      </c>
      <c r="R726" t="inlineStr">
        <is>
          <t>да</t>
        </is>
      </c>
      <c r="T726">
        <f>IF(AND($P726&gt;0,$R726="да"),MAX($T$1:$T725)+1,"")</f>
        <v/>
      </c>
    </row>
    <row r="727">
      <c r="A727">
        <f>IFERROR(INDEX(спр_Работы!$D$2:$D$6000,MATCH($C727,спр_Работы!$A$2:$A$6000,0)),"")</f>
        <v/>
      </c>
      <c r="B727">
        <f>IFERROR(INDEX(спр_Работы!$F$2:$F$6000,MATCH($C727,спр_Работы!$A$2:$A$6000,0)),"")</f>
        <v/>
      </c>
      <c r="C727">
        <f>IFERROR(INDEX(спр_Работы!$A$2:$A$6000,726),"")</f>
        <v/>
      </c>
      <c r="D727" s="8">
        <f>IFERROR(INDEX(спр_Работы!$B$2:$B$6000,MATCH($C727,спр_Работы!$A$2:$A$6000,0)),"")</f>
        <v/>
      </c>
      <c r="E727">
        <f>IFERROR(INDEX(спр_Работы!$C$2:$C$6000,MATCH($C727,спр_Работы!$A$2:$A$6000,0)),"")</f>
        <v/>
      </c>
      <c r="F727">
        <f>IFERROR(INDEX(спр_Работы!$G$2:$G$6000,MATCH($C727,спр_Работы!$A$2:$A$6000,0)),"")</f>
        <v/>
      </c>
      <c r="G727">
        <f>IFERROR(INDEX(спр_Работы!$K$2:$K$6000,MATCH($C727,спр_Работы!$A$2:$A$6000,0)),"")</f>
        <v/>
      </c>
      <c r="H727" s="9" t="n"/>
      <c r="I727" s="9" t="n"/>
      <c r="J727" s="8">
        <f>IFERROR(INDEX(спр_Материалы!$B$2:$B$9000,MATCH($I727,спр_Материалы!$A$2:$A$9000,0)),"")</f>
        <v/>
      </c>
      <c r="K727">
        <f>IF($I727="","",IF($F727=IFERROR(INDEX(спр_Материалы!$G$2:$G$9000,MATCH($I727,спр_Материалы!$A$2:$A$9000,0)),""),"OK","!! не та группа"))</f>
        <v/>
      </c>
      <c r="L727" s="10">
        <f>IFERROR(INDEX(спр_Работы!$H$2:$H$6000,MATCH($C727,спр_Работы!$A$2:$A$6000,0))*(1-ДисконтТендер),0)</f>
        <v/>
      </c>
      <c r="M727" s="10">
        <f>IF($I727="",0,IFERROR(INDEX(спр_Материалы!$I$2:$I$9000,MATCH($I727,спр_Материалы!$A$2:$A$9000,0))*IF(INDEX(спр_Материалы!$J$2:$J$9000,MATCH($I727,спр_Материалы!$A$2:$A$9000,0))="USD",КурсUSD,IF(INDEX(спр_Материалы!$J$2:$J$9000,MATCH($I727,спр_Материалы!$A$2:$A$9000,0))="EUR",КурсEUR,1))*INDEX(спр_Материалы!$K$2:$K$9000,MATCH($I727,спр_Материалы!$A$2:$A$9000,0))*(1+IFERROR(INDEX(спр_Работы!$I$2:$I$6000,MATCH($C727,спр_Работы!$A$2:$A$6000,0))/100,0))*(1-ДисконтТендер),0))</f>
        <v/>
      </c>
      <c r="N727" s="10">
        <f>IF(AND($R727="да",$H727&lt;&gt;""),ROUND($H727*$L727,2),0)</f>
        <v/>
      </c>
      <c r="O727" s="10">
        <f>IF(AND($R727="да",$H727&lt;&gt;""),ROUND($H727*$M727,2),0)</f>
        <v/>
      </c>
      <c r="P727" s="10">
        <f>$N727+$O727</f>
        <v/>
      </c>
      <c r="Q727">
        <f>IFERROR(INDEX(спр_Работы!$J$2:$J$6000,MATCH($C727,спр_Работы!$A$2:$A$6000,0)),"")</f>
        <v/>
      </c>
      <c r="R727" t="inlineStr">
        <is>
          <t>да</t>
        </is>
      </c>
      <c r="T727">
        <f>IF(AND($P727&gt;0,$R727="да"),MAX($T$1:$T726)+1,"")</f>
        <v/>
      </c>
    </row>
    <row r="728">
      <c r="A728">
        <f>IFERROR(INDEX(спр_Работы!$D$2:$D$6000,MATCH($C728,спр_Работы!$A$2:$A$6000,0)),"")</f>
        <v/>
      </c>
      <c r="B728">
        <f>IFERROR(INDEX(спр_Работы!$F$2:$F$6000,MATCH($C728,спр_Работы!$A$2:$A$6000,0)),"")</f>
        <v/>
      </c>
      <c r="C728">
        <f>IFERROR(INDEX(спр_Работы!$A$2:$A$6000,727),"")</f>
        <v/>
      </c>
      <c r="D728" s="8">
        <f>IFERROR(INDEX(спр_Работы!$B$2:$B$6000,MATCH($C728,спр_Работы!$A$2:$A$6000,0)),"")</f>
        <v/>
      </c>
      <c r="E728">
        <f>IFERROR(INDEX(спр_Работы!$C$2:$C$6000,MATCH($C728,спр_Работы!$A$2:$A$6000,0)),"")</f>
        <v/>
      </c>
      <c r="F728">
        <f>IFERROR(INDEX(спр_Работы!$G$2:$G$6000,MATCH($C728,спр_Работы!$A$2:$A$6000,0)),"")</f>
        <v/>
      </c>
      <c r="G728">
        <f>IFERROR(INDEX(спр_Работы!$K$2:$K$6000,MATCH($C728,спр_Работы!$A$2:$A$6000,0)),"")</f>
        <v/>
      </c>
      <c r="H728" s="9" t="n"/>
      <c r="I728" s="9" t="n"/>
      <c r="J728" s="8">
        <f>IFERROR(INDEX(спр_Материалы!$B$2:$B$9000,MATCH($I728,спр_Материалы!$A$2:$A$9000,0)),"")</f>
        <v/>
      </c>
      <c r="K728">
        <f>IF($I728="","",IF($F728=IFERROR(INDEX(спр_Материалы!$G$2:$G$9000,MATCH($I728,спр_Материалы!$A$2:$A$9000,0)),""),"OK","!! не та группа"))</f>
        <v/>
      </c>
      <c r="L728" s="10">
        <f>IFERROR(INDEX(спр_Работы!$H$2:$H$6000,MATCH($C728,спр_Работы!$A$2:$A$6000,0))*(1-ДисконтТендер),0)</f>
        <v/>
      </c>
      <c r="M728" s="10">
        <f>IF($I728="",0,IFERROR(INDEX(спр_Материалы!$I$2:$I$9000,MATCH($I728,спр_Материалы!$A$2:$A$9000,0))*IF(INDEX(спр_Материалы!$J$2:$J$9000,MATCH($I728,спр_Материалы!$A$2:$A$9000,0))="USD",КурсUSD,IF(INDEX(спр_Материалы!$J$2:$J$9000,MATCH($I728,спр_Материалы!$A$2:$A$9000,0))="EUR",КурсEUR,1))*INDEX(спр_Материалы!$K$2:$K$9000,MATCH($I728,спр_Материалы!$A$2:$A$9000,0))*(1+IFERROR(INDEX(спр_Работы!$I$2:$I$6000,MATCH($C728,спр_Работы!$A$2:$A$6000,0))/100,0))*(1-ДисконтТендер),0))</f>
        <v/>
      </c>
      <c r="N728" s="10">
        <f>IF(AND($R728="да",$H728&lt;&gt;""),ROUND($H728*$L728,2),0)</f>
        <v/>
      </c>
      <c r="O728" s="10">
        <f>IF(AND($R728="да",$H728&lt;&gt;""),ROUND($H728*$M728,2),0)</f>
        <v/>
      </c>
      <c r="P728" s="10">
        <f>$N728+$O728</f>
        <v/>
      </c>
      <c r="Q728">
        <f>IFERROR(INDEX(спр_Работы!$J$2:$J$6000,MATCH($C728,спр_Работы!$A$2:$A$6000,0)),"")</f>
        <v/>
      </c>
      <c r="R728" t="inlineStr">
        <is>
          <t>да</t>
        </is>
      </c>
      <c r="T728">
        <f>IF(AND($P728&gt;0,$R728="да"),MAX($T$1:$T727)+1,"")</f>
        <v/>
      </c>
    </row>
    <row r="729">
      <c r="A729">
        <f>IFERROR(INDEX(спр_Работы!$D$2:$D$6000,MATCH($C729,спр_Работы!$A$2:$A$6000,0)),"")</f>
        <v/>
      </c>
      <c r="B729">
        <f>IFERROR(INDEX(спр_Работы!$F$2:$F$6000,MATCH($C729,спр_Работы!$A$2:$A$6000,0)),"")</f>
        <v/>
      </c>
      <c r="C729">
        <f>IFERROR(INDEX(спр_Работы!$A$2:$A$6000,728),"")</f>
        <v/>
      </c>
      <c r="D729" s="8">
        <f>IFERROR(INDEX(спр_Работы!$B$2:$B$6000,MATCH($C729,спр_Работы!$A$2:$A$6000,0)),"")</f>
        <v/>
      </c>
      <c r="E729">
        <f>IFERROR(INDEX(спр_Работы!$C$2:$C$6000,MATCH($C729,спр_Работы!$A$2:$A$6000,0)),"")</f>
        <v/>
      </c>
      <c r="F729">
        <f>IFERROR(INDEX(спр_Работы!$G$2:$G$6000,MATCH($C729,спр_Работы!$A$2:$A$6000,0)),"")</f>
        <v/>
      </c>
      <c r="G729">
        <f>IFERROR(INDEX(спр_Работы!$K$2:$K$6000,MATCH($C729,спр_Работы!$A$2:$A$6000,0)),"")</f>
        <v/>
      </c>
      <c r="H729" s="9" t="n"/>
      <c r="I729" s="9" t="n"/>
      <c r="J729" s="8">
        <f>IFERROR(INDEX(спр_Материалы!$B$2:$B$9000,MATCH($I729,спр_Материалы!$A$2:$A$9000,0)),"")</f>
        <v/>
      </c>
      <c r="K729">
        <f>IF($I729="","",IF($F729=IFERROR(INDEX(спр_Материалы!$G$2:$G$9000,MATCH($I729,спр_Материалы!$A$2:$A$9000,0)),""),"OK","!! не та группа"))</f>
        <v/>
      </c>
      <c r="L729" s="10">
        <f>IFERROR(INDEX(спр_Работы!$H$2:$H$6000,MATCH($C729,спр_Работы!$A$2:$A$6000,0))*(1-ДисконтТендер),0)</f>
        <v/>
      </c>
      <c r="M729" s="10">
        <f>IF($I729="",0,IFERROR(INDEX(спр_Материалы!$I$2:$I$9000,MATCH($I729,спр_Материалы!$A$2:$A$9000,0))*IF(INDEX(спр_Материалы!$J$2:$J$9000,MATCH($I729,спр_Материалы!$A$2:$A$9000,0))="USD",КурсUSD,IF(INDEX(спр_Материалы!$J$2:$J$9000,MATCH($I729,спр_Материалы!$A$2:$A$9000,0))="EUR",КурсEUR,1))*INDEX(спр_Материалы!$K$2:$K$9000,MATCH($I729,спр_Материалы!$A$2:$A$9000,0))*(1+IFERROR(INDEX(спр_Работы!$I$2:$I$6000,MATCH($C729,спр_Работы!$A$2:$A$6000,0))/100,0))*(1-ДисконтТендер),0))</f>
        <v/>
      </c>
      <c r="N729" s="10">
        <f>IF(AND($R729="да",$H729&lt;&gt;""),ROUND($H729*$L729,2),0)</f>
        <v/>
      </c>
      <c r="O729" s="10">
        <f>IF(AND($R729="да",$H729&lt;&gt;""),ROUND($H729*$M729,2),0)</f>
        <v/>
      </c>
      <c r="P729" s="10">
        <f>$N729+$O729</f>
        <v/>
      </c>
      <c r="Q729">
        <f>IFERROR(INDEX(спр_Работы!$J$2:$J$6000,MATCH($C729,спр_Работы!$A$2:$A$6000,0)),"")</f>
        <v/>
      </c>
      <c r="R729" t="inlineStr">
        <is>
          <t>да</t>
        </is>
      </c>
      <c r="T729">
        <f>IF(AND($P729&gt;0,$R729="да"),MAX($T$1:$T728)+1,"")</f>
        <v/>
      </c>
    </row>
    <row r="730">
      <c r="A730">
        <f>IFERROR(INDEX(спр_Работы!$D$2:$D$6000,MATCH($C730,спр_Работы!$A$2:$A$6000,0)),"")</f>
        <v/>
      </c>
      <c r="B730">
        <f>IFERROR(INDEX(спр_Работы!$F$2:$F$6000,MATCH($C730,спр_Работы!$A$2:$A$6000,0)),"")</f>
        <v/>
      </c>
      <c r="C730">
        <f>IFERROR(INDEX(спр_Работы!$A$2:$A$6000,729),"")</f>
        <v/>
      </c>
      <c r="D730" s="8">
        <f>IFERROR(INDEX(спр_Работы!$B$2:$B$6000,MATCH($C730,спр_Работы!$A$2:$A$6000,0)),"")</f>
        <v/>
      </c>
      <c r="E730">
        <f>IFERROR(INDEX(спр_Работы!$C$2:$C$6000,MATCH($C730,спр_Работы!$A$2:$A$6000,0)),"")</f>
        <v/>
      </c>
      <c r="F730">
        <f>IFERROR(INDEX(спр_Работы!$G$2:$G$6000,MATCH($C730,спр_Работы!$A$2:$A$6000,0)),"")</f>
        <v/>
      </c>
      <c r="G730">
        <f>IFERROR(INDEX(спр_Работы!$K$2:$K$6000,MATCH($C730,спр_Работы!$A$2:$A$6000,0)),"")</f>
        <v/>
      </c>
      <c r="H730" s="9" t="n"/>
      <c r="I730" s="9" t="n"/>
      <c r="J730" s="8">
        <f>IFERROR(INDEX(спр_Материалы!$B$2:$B$9000,MATCH($I730,спр_Материалы!$A$2:$A$9000,0)),"")</f>
        <v/>
      </c>
      <c r="K730">
        <f>IF($I730="","",IF($F730=IFERROR(INDEX(спр_Материалы!$G$2:$G$9000,MATCH($I730,спр_Материалы!$A$2:$A$9000,0)),""),"OK","!! не та группа"))</f>
        <v/>
      </c>
      <c r="L730" s="10">
        <f>IFERROR(INDEX(спр_Работы!$H$2:$H$6000,MATCH($C730,спр_Работы!$A$2:$A$6000,0))*(1-ДисконтТендер),0)</f>
        <v/>
      </c>
      <c r="M730" s="10">
        <f>IF($I730="",0,IFERROR(INDEX(спр_Материалы!$I$2:$I$9000,MATCH($I730,спр_Материалы!$A$2:$A$9000,0))*IF(INDEX(спр_Материалы!$J$2:$J$9000,MATCH($I730,спр_Материалы!$A$2:$A$9000,0))="USD",КурсUSD,IF(INDEX(спр_Материалы!$J$2:$J$9000,MATCH($I730,спр_Материалы!$A$2:$A$9000,0))="EUR",КурсEUR,1))*INDEX(спр_Материалы!$K$2:$K$9000,MATCH($I730,спр_Материалы!$A$2:$A$9000,0))*(1+IFERROR(INDEX(спр_Работы!$I$2:$I$6000,MATCH($C730,спр_Работы!$A$2:$A$6000,0))/100,0))*(1-ДисконтТендер),0))</f>
        <v/>
      </c>
      <c r="N730" s="10">
        <f>IF(AND($R730="да",$H730&lt;&gt;""),ROUND($H730*$L730,2),0)</f>
        <v/>
      </c>
      <c r="O730" s="10">
        <f>IF(AND($R730="да",$H730&lt;&gt;""),ROUND($H730*$M730,2),0)</f>
        <v/>
      </c>
      <c r="P730" s="10">
        <f>$N730+$O730</f>
        <v/>
      </c>
      <c r="Q730">
        <f>IFERROR(INDEX(спр_Работы!$J$2:$J$6000,MATCH($C730,спр_Работы!$A$2:$A$6000,0)),"")</f>
        <v/>
      </c>
      <c r="R730" t="inlineStr">
        <is>
          <t>да</t>
        </is>
      </c>
      <c r="T730">
        <f>IF(AND($P730&gt;0,$R730="да"),MAX($T$1:$T729)+1,"")</f>
        <v/>
      </c>
    </row>
    <row r="731">
      <c r="A731">
        <f>IFERROR(INDEX(спр_Работы!$D$2:$D$6000,MATCH($C731,спр_Работы!$A$2:$A$6000,0)),"")</f>
        <v/>
      </c>
      <c r="B731">
        <f>IFERROR(INDEX(спр_Работы!$F$2:$F$6000,MATCH($C731,спр_Работы!$A$2:$A$6000,0)),"")</f>
        <v/>
      </c>
      <c r="C731">
        <f>IFERROR(INDEX(спр_Работы!$A$2:$A$6000,730),"")</f>
        <v/>
      </c>
      <c r="D731" s="8">
        <f>IFERROR(INDEX(спр_Работы!$B$2:$B$6000,MATCH($C731,спр_Работы!$A$2:$A$6000,0)),"")</f>
        <v/>
      </c>
      <c r="E731">
        <f>IFERROR(INDEX(спр_Работы!$C$2:$C$6000,MATCH($C731,спр_Работы!$A$2:$A$6000,0)),"")</f>
        <v/>
      </c>
      <c r="F731">
        <f>IFERROR(INDEX(спр_Работы!$G$2:$G$6000,MATCH($C731,спр_Работы!$A$2:$A$6000,0)),"")</f>
        <v/>
      </c>
      <c r="G731">
        <f>IFERROR(INDEX(спр_Работы!$K$2:$K$6000,MATCH($C731,спр_Работы!$A$2:$A$6000,0)),"")</f>
        <v/>
      </c>
      <c r="H731" s="9" t="n"/>
      <c r="I731" s="9" t="n"/>
      <c r="J731" s="8">
        <f>IFERROR(INDEX(спр_Материалы!$B$2:$B$9000,MATCH($I731,спр_Материалы!$A$2:$A$9000,0)),"")</f>
        <v/>
      </c>
      <c r="K731">
        <f>IF($I731="","",IF($F731=IFERROR(INDEX(спр_Материалы!$G$2:$G$9000,MATCH($I731,спр_Материалы!$A$2:$A$9000,0)),""),"OK","!! не та группа"))</f>
        <v/>
      </c>
      <c r="L731" s="10">
        <f>IFERROR(INDEX(спр_Работы!$H$2:$H$6000,MATCH($C731,спр_Работы!$A$2:$A$6000,0))*(1-ДисконтТендер),0)</f>
        <v/>
      </c>
      <c r="M731" s="10">
        <f>IF($I731="",0,IFERROR(INDEX(спр_Материалы!$I$2:$I$9000,MATCH($I731,спр_Материалы!$A$2:$A$9000,0))*IF(INDEX(спр_Материалы!$J$2:$J$9000,MATCH($I731,спр_Материалы!$A$2:$A$9000,0))="USD",КурсUSD,IF(INDEX(спр_Материалы!$J$2:$J$9000,MATCH($I731,спр_Материалы!$A$2:$A$9000,0))="EUR",КурсEUR,1))*INDEX(спр_Материалы!$K$2:$K$9000,MATCH($I731,спр_Материалы!$A$2:$A$9000,0))*(1+IFERROR(INDEX(спр_Работы!$I$2:$I$6000,MATCH($C731,спр_Работы!$A$2:$A$6000,0))/100,0))*(1-ДисконтТендер),0))</f>
        <v/>
      </c>
      <c r="N731" s="10">
        <f>IF(AND($R731="да",$H731&lt;&gt;""),ROUND($H731*$L731,2),0)</f>
        <v/>
      </c>
      <c r="O731" s="10">
        <f>IF(AND($R731="да",$H731&lt;&gt;""),ROUND($H731*$M731,2),0)</f>
        <v/>
      </c>
      <c r="P731" s="10">
        <f>$N731+$O731</f>
        <v/>
      </c>
      <c r="Q731">
        <f>IFERROR(INDEX(спр_Работы!$J$2:$J$6000,MATCH($C731,спр_Работы!$A$2:$A$6000,0)),"")</f>
        <v/>
      </c>
      <c r="R731" t="inlineStr">
        <is>
          <t>да</t>
        </is>
      </c>
      <c r="T731">
        <f>IF(AND($P731&gt;0,$R731="да"),MAX($T$1:$T730)+1,"")</f>
        <v/>
      </c>
    </row>
    <row r="732">
      <c r="A732">
        <f>IFERROR(INDEX(спр_Работы!$D$2:$D$6000,MATCH($C732,спр_Работы!$A$2:$A$6000,0)),"")</f>
        <v/>
      </c>
      <c r="B732">
        <f>IFERROR(INDEX(спр_Работы!$F$2:$F$6000,MATCH($C732,спр_Работы!$A$2:$A$6000,0)),"")</f>
        <v/>
      </c>
      <c r="C732">
        <f>IFERROR(INDEX(спр_Работы!$A$2:$A$6000,731),"")</f>
        <v/>
      </c>
      <c r="D732" s="8">
        <f>IFERROR(INDEX(спр_Работы!$B$2:$B$6000,MATCH($C732,спр_Работы!$A$2:$A$6000,0)),"")</f>
        <v/>
      </c>
      <c r="E732">
        <f>IFERROR(INDEX(спр_Работы!$C$2:$C$6000,MATCH($C732,спр_Работы!$A$2:$A$6000,0)),"")</f>
        <v/>
      </c>
      <c r="F732">
        <f>IFERROR(INDEX(спр_Работы!$G$2:$G$6000,MATCH($C732,спр_Работы!$A$2:$A$6000,0)),"")</f>
        <v/>
      </c>
      <c r="G732">
        <f>IFERROR(INDEX(спр_Работы!$K$2:$K$6000,MATCH($C732,спр_Работы!$A$2:$A$6000,0)),"")</f>
        <v/>
      </c>
      <c r="H732" s="9" t="n"/>
      <c r="I732" s="9" t="n"/>
      <c r="J732" s="8">
        <f>IFERROR(INDEX(спр_Материалы!$B$2:$B$9000,MATCH($I732,спр_Материалы!$A$2:$A$9000,0)),"")</f>
        <v/>
      </c>
      <c r="K732">
        <f>IF($I732="","",IF($F732=IFERROR(INDEX(спр_Материалы!$G$2:$G$9000,MATCH($I732,спр_Материалы!$A$2:$A$9000,0)),""),"OK","!! не та группа"))</f>
        <v/>
      </c>
      <c r="L732" s="10">
        <f>IFERROR(INDEX(спр_Работы!$H$2:$H$6000,MATCH($C732,спр_Работы!$A$2:$A$6000,0))*(1-ДисконтТендер),0)</f>
        <v/>
      </c>
      <c r="M732" s="10">
        <f>IF($I732="",0,IFERROR(INDEX(спр_Материалы!$I$2:$I$9000,MATCH($I732,спр_Материалы!$A$2:$A$9000,0))*IF(INDEX(спр_Материалы!$J$2:$J$9000,MATCH($I732,спр_Материалы!$A$2:$A$9000,0))="USD",КурсUSD,IF(INDEX(спр_Материалы!$J$2:$J$9000,MATCH($I732,спр_Материалы!$A$2:$A$9000,0))="EUR",КурсEUR,1))*INDEX(спр_Материалы!$K$2:$K$9000,MATCH($I732,спр_Материалы!$A$2:$A$9000,0))*(1+IFERROR(INDEX(спр_Работы!$I$2:$I$6000,MATCH($C732,спр_Работы!$A$2:$A$6000,0))/100,0))*(1-ДисконтТендер),0))</f>
        <v/>
      </c>
      <c r="N732" s="10">
        <f>IF(AND($R732="да",$H732&lt;&gt;""),ROUND($H732*$L732,2),0)</f>
        <v/>
      </c>
      <c r="O732" s="10">
        <f>IF(AND($R732="да",$H732&lt;&gt;""),ROUND($H732*$M732,2),0)</f>
        <v/>
      </c>
      <c r="P732" s="10">
        <f>$N732+$O732</f>
        <v/>
      </c>
      <c r="Q732">
        <f>IFERROR(INDEX(спр_Работы!$J$2:$J$6000,MATCH($C732,спр_Работы!$A$2:$A$6000,0)),"")</f>
        <v/>
      </c>
      <c r="R732" t="inlineStr">
        <is>
          <t>да</t>
        </is>
      </c>
      <c r="T732">
        <f>IF(AND($P732&gt;0,$R732="да"),MAX($T$1:$T731)+1,"")</f>
        <v/>
      </c>
    </row>
    <row r="733">
      <c r="A733">
        <f>IFERROR(INDEX(спр_Работы!$D$2:$D$6000,MATCH($C733,спр_Работы!$A$2:$A$6000,0)),"")</f>
        <v/>
      </c>
      <c r="B733">
        <f>IFERROR(INDEX(спр_Работы!$F$2:$F$6000,MATCH($C733,спр_Работы!$A$2:$A$6000,0)),"")</f>
        <v/>
      </c>
      <c r="C733">
        <f>IFERROR(INDEX(спр_Работы!$A$2:$A$6000,732),"")</f>
        <v/>
      </c>
      <c r="D733" s="8">
        <f>IFERROR(INDEX(спр_Работы!$B$2:$B$6000,MATCH($C733,спр_Работы!$A$2:$A$6000,0)),"")</f>
        <v/>
      </c>
      <c r="E733">
        <f>IFERROR(INDEX(спр_Работы!$C$2:$C$6000,MATCH($C733,спр_Работы!$A$2:$A$6000,0)),"")</f>
        <v/>
      </c>
      <c r="F733">
        <f>IFERROR(INDEX(спр_Работы!$G$2:$G$6000,MATCH($C733,спр_Работы!$A$2:$A$6000,0)),"")</f>
        <v/>
      </c>
      <c r="G733">
        <f>IFERROR(INDEX(спр_Работы!$K$2:$K$6000,MATCH($C733,спр_Работы!$A$2:$A$6000,0)),"")</f>
        <v/>
      </c>
      <c r="H733" s="9" t="n"/>
      <c r="I733" s="9" t="n"/>
      <c r="J733" s="8">
        <f>IFERROR(INDEX(спр_Материалы!$B$2:$B$9000,MATCH($I733,спр_Материалы!$A$2:$A$9000,0)),"")</f>
        <v/>
      </c>
      <c r="K733">
        <f>IF($I733="","",IF($F733=IFERROR(INDEX(спр_Материалы!$G$2:$G$9000,MATCH($I733,спр_Материалы!$A$2:$A$9000,0)),""),"OK","!! не та группа"))</f>
        <v/>
      </c>
      <c r="L733" s="10">
        <f>IFERROR(INDEX(спр_Работы!$H$2:$H$6000,MATCH($C733,спр_Работы!$A$2:$A$6000,0))*(1-ДисконтТендер),0)</f>
        <v/>
      </c>
      <c r="M733" s="10">
        <f>IF($I733="",0,IFERROR(INDEX(спр_Материалы!$I$2:$I$9000,MATCH($I733,спр_Материалы!$A$2:$A$9000,0))*IF(INDEX(спр_Материалы!$J$2:$J$9000,MATCH($I733,спр_Материалы!$A$2:$A$9000,0))="USD",КурсUSD,IF(INDEX(спр_Материалы!$J$2:$J$9000,MATCH($I733,спр_Материалы!$A$2:$A$9000,0))="EUR",КурсEUR,1))*INDEX(спр_Материалы!$K$2:$K$9000,MATCH($I733,спр_Материалы!$A$2:$A$9000,0))*(1+IFERROR(INDEX(спр_Работы!$I$2:$I$6000,MATCH($C733,спр_Работы!$A$2:$A$6000,0))/100,0))*(1-ДисконтТендер),0))</f>
        <v/>
      </c>
      <c r="N733" s="10">
        <f>IF(AND($R733="да",$H733&lt;&gt;""),ROUND($H733*$L733,2),0)</f>
        <v/>
      </c>
      <c r="O733" s="10">
        <f>IF(AND($R733="да",$H733&lt;&gt;""),ROUND($H733*$M733,2),0)</f>
        <v/>
      </c>
      <c r="P733" s="10">
        <f>$N733+$O733</f>
        <v/>
      </c>
      <c r="Q733">
        <f>IFERROR(INDEX(спр_Работы!$J$2:$J$6000,MATCH($C733,спр_Работы!$A$2:$A$6000,0)),"")</f>
        <v/>
      </c>
      <c r="R733" t="inlineStr">
        <is>
          <t>да</t>
        </is>
      </c>
      <c r="T733">
        <f>IF(AND($P733&gt;0,$R733="да"),MAX($T$1:$T732)+1,"")</f>
        <v/>
      </c>
    </row>
    <row r="734">
      <c r="A734">
        <f>IFERROR(INDEX(спр_Работы!$D$2:$D$6000,MATCH($C734,спр_Работы!$A$2:$A$6000,0)),"")</f>
        <v/>
      </c>
      <c r="B734">
        <f>IFERROR(INDEX(спр_Работы!$F$2:$F$6000,MATCH($C734,спр_Работы!$A$2:$A$6000,0)),"")</f>
        <v/>
      </c>
      <c r="C734">
        <f>IFERROR(INDEX(спр_Работы!$A$2:$A$6000,733),"")</f>
        <v/>
      </c>
      <c r="D734" s="8">
        <f>IFERROR(INDEX(спр_Работы!$B$2:$B$6000,MATCH($C734,спр_Работы!$A$2:$A$6000,0)),"")</f>
        <v/>
      </c>
      <c r="E734">
        <f>IFERROR(INDEX(спр_Работы!$C$2:$C$6000,MATCH($C734,спр_Работы!$A$2:$A$6000,0)),"")</f>
        <v/>
      </c>
      <c r="F734">
        <f>IFERROR(INDEX(спр_Работы!$G$2:$G$6000,MATCH($C734,спр_Работы!$A$2:$A$6000,0)),"")</f>
        <v/>
      </c>
      <c r="G734">
        <f>IFERROR(INDEX(спр_Работы!$K$2:$K$6000,MATCH($C734,спр_Работы!$A$2:$A$6000,0)),"")</f>
        <v/>
      </c>
      <c r="H734" s="9" t="n"/>
      <c r="I734" s="9" t="n"/>
      <c r="J734" s="8">
        <f>IFERROR(INDEX(спр_Материалы!$B$2:$B$9000,MATCH($I734,спр_Материалы!$A$2:$A$9000,0)),"")</f>
        <v/>
      </c>
      <c r="K734">
        <f>IF($I734="","",IF($F734=IFERROR(INDEX(спр_Материалы!$G$2:$G$9000,MATCH($I734,спр_Материалы!$A$2:$A$9000,0)),""),"OK","!! не та группа"))</f>
        <v/>
      </c>
      <c r="L734" s="10">
        <f>IFERROR(INDEX(спр_Работы!$H$2:$H$6000,MATCH($C734,спр_Работы!$A$2:$A$6000,0))*(1-ДисконтТендер),0)</f>
        <v/>
      </c>
      <c r="M734" s="10">
        <f>IF($I734="",0,IFERROR(INDEX(спр_Материалы!$I$2:$I$9000,MATCH($I734,спр_Материалы!$A$2:$A$9000,0))*IF(INDEX(спр_Материалы!$J$2:$J$9000,MATCH($I734,спр_Материалы!$A$2:$A$9000,0))="USD",КурсUSD,IF(INDEX(спр_Материалы!$J$2:$J$9000,MATCH($I734,спр_Материалы!$A$2:$A$9000,0))="EUR",КурсEUR,1))*INDEX(спр_Материалы!$K$2:$K$9000,MATCH($I734,спр_Материалы!$A$2:$A$9000,0))*(1+IFERROR(INDEX(спр_Работы!$I$2:$I$6000,MATCH($C734,спр_Работы!$A$2:$A$6000,0))/100,0))*(1-ДисконтТендер),0))</f>
        <v/>
      </c>
      <c r="N734" s="10">
        <f>IF(AND($R734="да",$H734&lt;&gt;""),ROUND($H734*$L734,2),0)</f>
        <v/>
      </c>
      <c r="O734" s="10">
        <f>IF(AND($R734="да",$H734&lt;&gt;""),ROUND($H734*$M734,2),0)</f>
        <v/>
      </c>
      <c r="P734" s="10">
        <f>$N734+$O734</f>
        <v/>
      </c>
      <c r="Q734">
        <f>IFERROR(INDEX(спр_Работы!$J$2:$J$6000,MATCH($C734,спр_Работы!$A$2:$A$6000,0)),"")</f>
        <v/>
      </c>
      <c r="R734" t="inlineStr">
        <is>
          <t>да</t>
        </is>
      </c>
      <c r="T734">
        <f>IF(AND($P734&gt;0,$R734="да"),MAX($T$1:$T733)+1,"")</f>
        <v/>
      </c>
    </row>
    <row r="735">
      <c r="A735">
        <f>IFERROR(INDEX(спр_Работы!$D$2:$D$6000,MATCH($C735,спр_Работы!$A$2:$A$6000,0)),"")</f>
        <v/>
      </c>
      <c r="B735">
        <f>IFERROR(INDEX(спр_Работы!$F$2:$F$6000,MATCH($C735,спр_Работы!$A$2:$A$6000,0)),"")</f>
        <v/>
      </c>
      <c r="C735">
        <f>IFERROR(INDEX(спр_Работы!$A$2:$A$6000,734),"")</f>
        <v/>
      </c>
      <c r="D735" s="8">
        <f>IFERROR(INDEX(спр_Работы!$B$2:$B$6000,MATCH($C735,спр_Работы!$A$2:$A$6000,0)),"")</f>
        <v/>
      </c>
      <c r="E735">
        <f>IFERROR(INDEX(спр_Работы!$C$2:$C$6000,MATCH($C735,спр_Работы!$A$2:$A$6000,0)),"")</f>
        <v/>
      </c>
      <c r="F735">
        <f>IFERROR(INDEX(спр_Работы!$G$2:$G$6000,MATCH($C735,спр_Работы!$A$2:$A$6000,0)),"")</f>
        <v/>
      </c>
      <c r="G735">
        <f>IFERROR(INDEX(спр_Работы!$K$2:$K$6000,MATCH($C735,спр_Работы!$A$2:$A$6000,0)),"")</f>
        <v/>
      </c>
      <c r="H735" s="9" t="n"/>
      <c r="I735" s="9" t="n"/>
      <c r="J735" s="8">
        <f>IFERROR(INDEX(спр_Материалы!$B$2:$B$9000,MATCH($I735,спр_Материалы!$A$2:$A$9000,0)),"")</f>
        <v/>
      </c>
      <c r="K735">
        <f>IF($I735="","",IF($F735=IFERROR(INDEX(спр_Материалы!$G$2:$G$9000,MATCH($I735,спр_Материалы!$A$2:$A$9000,0)),""),"OK","!! не та группа"))</f>
        <v/>
      </c>
      <c r="L735" s="10">
        <f>IFERROR(INDEX(спр_Работы!$H$2:$H$6000,MATCH($C735,спр_Работы!$A$2:$A$6000,0))*(1-ДисконтТендер),0)</f>
        <v/>
      </c>
      <c r="M735" s="10">
        <f>IF($I735="",0,IFERROR(INDEX(спр_Материалы!$I$2:$I$9000,MATCH($I735,спр_Материалы!$A$2:$A$9000,0))*IF(INDEX(спр_Материалы!$J$2:$J$9000,MATCH($I735,спр_Материалы!$A$2:$A$9000,0))="USD",КурсUSD,IF(INDEX(спр_Материалы!$J$2:$J$9000,MATCH($I735,спр_Материалы!$A$2:$A$9000,0))="EUR",КурсEUR,1))*INDEX(спр_Материалы!$K$2:$K$9000,MATCH($I735,спр_Материалы!$A$2:$A$9000,0))*(1+IFERROR(INDEX(спр_Работы!$I$2:$I$6000,MATCH($C735,спр_Работы!$A$2:$A$6000,0))/100,0))*(1-ДисконтТендер),0))</f>
        <v/>
      </c>
      <c r="N735" s="10">
        <f>IF(AND($R735="да",$H735&lt;&gt;""),ROUND($H735*$L735,2),0)</f>
        <v/>
      </c>
      <c r="O735" s="10">
        <f>IF(AND($R735="да",$H735&lt;&gt;""),ROUND($H735*$M735,2),0)</f>
        <v/>
      </c>
      <c r="P735" s="10">
        <f>$N735+$O735</f>
        <v/>
      </c>
      <c r="Q735">
        <f>IFERROR(INDEX(спр_Работы!$J$2:$J$6000,MATCH($C735,спр_Работы!$A$2:$A$6000,0)),"")</f>
        <v/>
      </c>
      <c r="R735" t="inlineStr">
        <is>
          <t>да</t>
        </is>
      </c>
      <c r="T735">
        <f>IF(AND($P735&gt;0,$R735="да"),MAX($T$1:$T734)+1,"")</f>
        <v/>
      </c>
    </row>
    <row r="736">
      <c r="A736">
        <f>IFERROR(INDEX(спр_Работы!$D$2:$D$6000,MATCH($C736,спр_Работы!$A$2:$A$6000,0)),"")</f>
        <v/>
      </c>
      <c r="B736">
        <f>IFERROR(INDEX(спр_Работы!$F$2:$F$6000,MATCH($C736,спр_Работы!$A$2:$A$6000,0)),"")</f>
        <v/>
      </c>
      <c r="C736">
        <f>IFERROR(INDEX(спр_Работы!$A$2:$A$6000,735),"")</f>
        <v/>
      </c>
      <c r="D736" s="8">
        <f>IFERROR(INDEX(спр_Работы!$B$2:$B$6000,MATCH($C736,спр_Работы!$A$2:$A$6000,0)),"")</f>
        <v/>
      </c>
      <c r="E736">
        <f>IFERROR(INDEX(спр_Работы!$C$2:$C$6000,MATCH($C736,спр_Работы!$A$2:$A$6000,0)),"")</f>
        <v/>
      </c>
      <c r="F736">
        <f>IFERROR(INDEX(спр_Работы!$G$2:$G$6000,MATCH($C736,спр_Работы!$A$2:$A$6000,0)),"")</f>
        <v/>
      </c>
      <c r="G736">
        <f>IFERROR(INDEX(спр_Работы!$K$2:$K$6000,MATCH($C736,спр_Работы!$A$2:$A$6000,0)),"")</f>
        <v/>
      </c>
      <c r="H736" s="9" t="n"/>
      <c r="I736" s="9" t="n"/>
      <c r="J736" s="8">
        <f>IFERROR(INDEX(спр_Материалы!$B$2:$B$9000,MATCH($I736,спр_Материалы!$A$2:$A$9000,0)),"")</f>
        <v/>
      </c>
      <c r="K736">
        <f>IF($I736="","",IF($F736=IFERROR(INDEX(спр_Материалы!$G$2:$G$9000,MATCH($I736,спр_Материалы!$A$2:$A$9000,0)),""),"OK","!! не та группа"))</f>
        <v/>
      </c>
      <c r="L736" s="10">
        <f>IFERROR(INDEX(спр_Работы!$H$2:$H$6000,MATCH($C736,спр_Работы!$A$2:$A$6000,0))*(1-ДисконтТендер),0)</f>
        <v/>
      </c>
      <c r="M736" s="10">
        <f>IF($I736="",0,IFERROR(INDEX(спр_Материалы!$I$2:$I$9000,MATCH($I736,спр_Материалы!$A$2:$A$9000,0))*IF(INDEX(спр_Материалы!$J$2:$J$9000,MATCH($I736,спр_Материалы!$A$2:$A$9000,0))="USD",КурсUSD,IF(INDEX(спр_Материалы!$J$2:$J$9000,MATCH($I736,спр_Материалы!$A$2:$A$9000,0))="EUR",КурсEUR,1))*INDEX(спр_Материалы!$K$2:$K$9000,MATCH($I736,спр_Материалы!$A$2:$A$9000,0))*(1+IFERROR(INDEX(спр_Работы!$I$2:$I$6000,MATCH($C736,спр_Работы!$A$2:$A$6000,0))/100,0))*(1-ДисконтТендер),0))</f>
        <v/>
      </c>
      <c r="N736" s="10">
        <f>IF(AND($R736="да",$H736&lt;&gt;""),ROUND($H736*$L736,2),0)</f>
        <v/>
      </c>
      <c r="O736" s="10">
        <f>IF(AND($R736="да",$H736&lt;&gt;""),ROUND($H736*$M736,2),0)</f>
        <v/>
      </c>
      <c r="P736" s="10">
        <f>$N736+$O736</f>
        <v/>
      </c>
      <c r="Q736">
        <f>IFERROR(INDEX(спр_Работы!$J$2:$J$6000,MATCH($C736,спр_Работы!$A$2:$A$6000,0)),"")</f>
        <v/>
      </c>
      <c r="R736" t="inlineStr">
        <is>
          <t>да</t>
        </is>
      </c>
      <c r="T736">
        <f>IF(AND($P736&gt;0,$R736="да"),MAX($T$1:$T735)+1,"")</f>
        <v/>
      </c>
    </row>
    <row r="737">
      <c r="A737">
        <f>IFERROR(INDEX(спр_Работы!$D$2:$D$6000,MATCH($C737,спр_Работы!$A$2:$A$6000,0)),"")</f>
        <v/>
      </c>
      <c r="B737">
        <f>IFERROR(INDEX(спр_Работы!$F$2:$F$6000,MATCH($C737,спр_Работы!$A$2:$A$6000,0)),"")</f>
        <v/>
      </c>
      <c r="C737">
        <f>IFERROR(INDEX(спр_Работы!$A$2:$A$6000,736),"")</f>
        <v/>
      </c>
      <c r="D737" s="8">
        <f>IFERROR(INDEX(спр_Работы!$B$2:$B$6000,MATCH($C737,спр_Работы!$A$2:$A$6000,0)),"")</f>
        <v/>
      </c>
      <c r="E737">
        <f>IFERROR(INDEX(спр_Работы!$C$2:$C$6000,MATCH($C737,спр_Работы!$A$2:$A$6000,0)),"")</f>
        <v/>
      </c>
      <c r="F737">
        <f>IFERROR(INDEX(спр_Работы!$G$2:$G$6000,MATCH($C737,спр_Работы!$A$2:$A$6000,0)),"")</f>
        <v/>
      </c>
      <c r="G737">
        <f>IFERROR(INDEX(спр_Работы!$K$2:$K$6000,MATCH($C737,спр_Работы!$A$2:$A$6000,0)),"")</f>
        <v/>
      </c>
      <c r="H737" s="9" t="n"/>
      <c r="I737" s="9" t="n"/>
      <c r="J737" s="8">
        <f>IFERROR(INDEX(спр_Материалы!$B$2:$B$9000,MATCH($I737,спр_Материалы!$A$2:$A$9000,0)),"")</f>
        <v/>
      </c>
      <c r="K737">
        <f>IF($I737="","",IF($F737=IFERROR(INDEX(спр_Материалы!$G$2:$G$9000,MATCH($I737,спр_Материалы!$A$2:$A$9000,0)),""),"OK","!! не та группа"))</f>
        <v/>
      </c>
      <c r="L737" s="10">
        <f>IFERROR(INDEX(спр_Работы!$H$2:$H$6000,MATCH($C737,спр_Работы!$A$2:$A$6000,0))*(1-ДисконтТендер),0)</f>
        <v/>
      </c>
      <c r="M737" s="10">
        <f>IF($I737="",0,IFERROR(INDEX(спр_Материалы!$I$2:$I$9000,MATCH($I737,спр_Материалы!$A$2:$A$9000,0))*IF(INDEX(спр_Материалы!$J$2:$J$9000,MATCH($I737,спр_Материалы!$A$2:$A$9000,0))="USD",КурсUSD,IF(INDEX(спр_Материалы!$J$2:$J$9000,MATCH($I737,спр_Материалы!$A$2:$A$9000,0))="EUR",КурсEUR,1))*INDEX(спр_Материалы!$K$2:$K$9000,MATCH($I737,спр_Материалы!$A$2:$A$9000,0))*(1+IFERROR(INDEX(спр_Работы!$I$2:$I$6000,MATCH($C737,спр_Работы!$A$2:$A$6000,0))/100,0))*(1-ДисконтТендер),0))</f>
        <v/>
      </c>
      <c r="N737" s="10">
        <f>IF(AND($R737="да",$H737&lt;&gt;""),ROUND($H737*$L737,2),0)</f>
        <v/>
      </c>
      <c r="O737" s="10">
        <f>IF(AND($R737="да",$H737&lt;&gt;""),ROUND($H737*$M737,2),0)</f>
        <v/>
      </c>
      <c r="P737" s="10">
        <f>$N737+$O737</f>
        <v/>
      </c>
      <c r="Q737">
        <f>IFERROR(INDEX(спр_Работы!$J$2:$J$6000,MATCH($C737,спр_Работы!$A$2:$A$6000,0)),"")</f>
        <v/>
      </c>
      <c r="R737" t="inlineStr">
        <is>
          <t>да</t>
        </is>
      </c>
      <c r="T737">
        <f>IF(AND($P737&gt;0,$R737="да"),MAX($T$1:$T736)+1,"")</f>
        <v/>
      </c>
    </row>
    <row r="738">
      <c r="A738">
        <f>IFERROR(INDEX(спр_Работы!$D$2:$D$6000,MATCH($C738,спр_Работы!$A$2:$A$6000,0)),"")</f>
        <v/>
      </c>
      <c r="B738">
        <f>IFERROR(INDEX(спр_Работы!$F$2:$F$6000,MATCH($C738,спр_Работы!$A$2:$A$6000,0)),"")</f>
        <v/>
      </c>
      <c r="C738">
        <f>IFERROR(INDEX(спр_Работы!$A$2:$A$6000,737),"")</f>
        <v/>
      </c>
      <c r="D738" s="8">
        <f>IFERROR(INDEX(спр_Работы!$B$2:$B$6000,MATCH($C738,спр_Работы!$A$2:$A$6000,0)),"")</f>
        <v/>
      </c>
      <c r="E738">
        <f>IFERROR(INDEX(спр_Работы!$C$2:$C$6000,MATCH($C738,спр_Работы!$A$2:$A$6000,0)),"")</f>
        <v/>
      </c>
      <c r="F738">
        <f>IFERROR(INDEX(спр_Работы!$G$2:$G$6000,MATCH($C738,спр_Работы!$A$2:$A$6000,0)),"")</f>
        <v/>
      </c>
      <c r="G738">
        <f>IFERROR(INDEX(спр_Работы!$K$2:$K$6000,MATCH($C738,спр_Работы!$A$2:$A$6000,0)),"")</f>
        <v/>
      </c>
      <c r="H738" s="9" t="n"/>
      <c r="I738" s="9" t="n"/>
      <c r="J738" s="8">
        <f>IFERROR(INDEX(спр_Материалы!$B$2:$B$9000,MATCH($I738,спр_Материалы!$A$2:$A$9000,0)),"")</f>
        <v/>
      </c>
      <c r="K738">
        <f>IF($I738="","",IF($F738=IFERROR(INDEX(спр_Материалы!$G$2:$G$9000,MATCH($I738,спр_Материалы!$A$2:$A$9000,0)),""),"OK","!! не та группа"))</f>
        <v/>
      </c>
      <c r="L738" s="10">
        <f>IFERROR(INDEX(спр_Работы!$H$2:$H$6000,MATCH($C738,спр_Работы!$A$2:$A$6000,0))*(1-ДисконтТендер),0)</f>
        <v/>
      </c>
      <c r="M738" s="10">
        <f>IF($I738="",0,IFERROR(INDEX(спр_Материалы!$I$2:$I$9000,MATCH($I738,спр_Материалы!$A$2:$A$9000,0))*IF(INDEX(спр_Материалы!$J$2:$J$9000,MATCH($I738,спр_Материалы!$A$2:$A$9000,0))="USD",КурсUSD,IF(INDEX(спр_Материалы!$J$2:$J$9000,MATCH($I738,спр_Материалы!$A$2:$A$9000,0))="EUR",КурсEUR,1))*INDEX(спр_Материалы!$K$2:$K$9000,MATCH($I738,спр_Материалы!$A$2:$A$9000,0))*(1+IFERROR(INDEX(спр_Работы!$I$2:$I$6000,MATCH($C738,спр_Работы!$A$2:$A$6000,0))/100,0))*(1-ДисконтТендер),0))</f>
        <v/>
      </c>
      <c r="N738" s="10">
        <f>IF(AND($R738="да",$H738&lt;&gt;""),ROUND($H738*$L738,2),0)</f>
        <v/>
      </c>
      <c r="O738" s="10">
        <f>IF(AND($R738="да",$H738&lt;&gt;""),ROUND($H738*$M738,2),0)</f>
        <v/>
      </c>
      <c r="P738" s="10">
        <f>$N738+$O738</f>
        <v/>
      </c>
      <c r="Q738">
        <f>IFERROR(INDEX(спр_Работы!$J$2:$J$6000,MATCH($C738,спр_Работы!$A$2:$A$6000,0)),"")</f>
        <v/>
      </c>
      <c r="R738" t="inlineStr">
        <is>
          <t>да</t>
        </is>
      </c>
      <c r="T738">
        <f>IF(AND($P738&gt;0,$R738="да"),MAX($T$1:$T737)+1,"")</f>
        <v/>
      </c>
    </row>
    <row r="739">
      <c r="A739">
        <f>IFERROR(INDEX(спр_Работы!$D$2:$D$6000,MATCH($C739,спр_Работы!$A$2:$A$6000,0)),"")</f>
        <v/>
      </c>
      <c r="B739">
        <f>IFERROR(INDEX(спр_Работы!$F$2:$F$6000,MATCH($C739,спр_Работы!$A$2:$A$6000,0)),"")</f>
        <v/>
      </c>
      <c r="C739">
        <f>IFERROR(INDEX(спр_Работы!$A$2:$A$6000,738),"")</f>
        <v/>
      </c>
      <c r="D739" s="8">
        <f>IFERROR(INDEX(спр_Работы!$B$2:$B$6000,MATCH($C739,спр_Работы!$A$2:$A$6000,0)),"")</f>
        <v/>
      </c>
      <c r="E739">
        <f>IFERROR(INDEX(спр_Работы!$C$2:$C$6000,MATCH($C739,спр_Работы!$A$2:$A$6000,0)),"")</f>
        <v/>
      </c>
      <c r="F739">
        <f>IFERROR(INDEX(спр_Работы!$G$2:$G$6000,MATCH($C739,спр_Работы!$A$2:$A$6000,0)),"")</f>
        <v/>
      </c>
      <c r="G739">
        <f>IFERROR(INDEX(спр_Работы!$K$2:$K$6000,MATCH($C739,спр_Работы!$A$2:$A$6000,0)),"")</f>
        <v/>
      </c>
      <c r="H739" s="9" t="n"/>
      <c r="I739" s="9" t="n"/>
      <c r="J739" s="8">
        <f>IFERROR(INDEX(спр_Материалы!$B$2:$B$9000,MATCH($I739,спр_Материалы!$A$2:$A$9000,0)),"")</f>
        <v/>
      </c>
      <c r="K739">
        <f>IF($I739="","",IF($F739=IFERROR(INDEX(спр_Материалы!$G$2:$G$9000,MATCH($I739,спр_Материалы!$A$2:$A$9000,0)),""),"OK","!! не та группа"))</f>
        <v/>
      </c>
      <c r="L739" s="10">
        <f>IFERROR(INDEX(спр_Работы!$H$2:$H$6000,MATCH($C739,спр_Работы!$A$2:$A$6000,0))*(1-ДисконтТендер),0)</f>
        <v/>
      </c>
      <c r="M739" s="10">
        <f>IF($I739="",0,IFERROR(INDEX(спр_Материалы!$I$2:$I$9000,MATCH($I739,спр_Материалы!$A$2:$A$9000,0))*IF(INDEX(спр_Материалы!$J$2:$J$9000,MATCH($I739,спр_Материалы!$A$2:$A$9000,0))="USD",КурсUSD,IF(INDEX(спр_Материалы!$J$2:$J$9000,MATCH($I739,спр_Материалы!$A$2:$A$9000,0))="EUR",КурсEUR,1))*INDEX(спр_Материалы!$K$2:$K$9000,MATCH($I739,спр_Материалы!$A$2:$A$9000,0))*(1+IFERROR(INDEX(спр_Работы!$I$2:$I$6000,MATCH($C739,спр_Работы!$A$2:$A$6000,0))/100,0))*(1-ДисконтТендер),0))</f>
        <v/>
      </c>
      <c r="N739" s="10">
        <f>IF(AND($R739="да",$H739&lt;&gt;""),ROUND($H739*$L739,2),0)</f>
        <v/>
      </c>
      <c r="O739" s="10">
        <f>IF(AND($R739="да",$H739&lt;&gt;""),ROUND($H739*$M739,2),0)</f>
        <v/>
      </c>
      <c r="P739" s="10">
        <f>$N739+$O739</f>
        <v/>
      </c>
      <c r="Q739">
        <f>IFERROR(INDEX(спр_Работы!$J$2:$J$6000,MATCH($C739,спр_Работы!$A$2:$A$6000,0)),"")</f>
        <v/>
      </c>
      <c r="R739" t="inlineStr">
        <is>
          <t>да</t>
        </is>
      </c>
      <c r="T739">
        <f>IF(AND($P739&gt;0,$R739="да"),MAX($T$1:$T738)+1,"")</f>
        <v/>
      </c>
    </row>
    <row r="740">
      <c r="A740">
        <f>IFERROR(INDEX(спр_Работы!$D$2:$D$6000,MATCH($C740,спр_Работы!$A$2:$A$6000,0)),"")</f>
        <v/>
      </c>
      <c r="B740">
        <f>IFERROR(INDEX(спр_Работы!$F$2:$F$6000,MATCH($C740,спр_Работы!$A$2:$A$6000,0)),"")</f>
        <v/>
      </c>
      <c r="C740">
        <f>IFERROR(INDEX(спр_Работы!$A$2:$A$6000,739),"")</f>
        <v/>
      </c>
      <c r="D740" s="8">
        <f>IFERROR(INDEX(спр_Работы!$B$2:$B$6000,MATCH($C740,спр_Работы!$A$2:$A$6000,0)),"")</f>
        <v/>
      </c>
      <c r="E740">
        <f>IFERROR(INDEX(спр_Работы!$C$2:$C$6000,MATCH($C740,спр_Работы!$A$2:$A$6000,0)),"")</f>
        <v/>
      </c>
      <c r="F740">
        <f>IFERROR(INDEX(спр_Работы!$G$2:$G$6000,MATCH($C740,спр_Работы!$A$2:$A$6000,0)),"")</f>
        <v/>
      </c>
      <c r="G740">
        <f>IFERROR(INDEX(спр_Работы!$K$2:$K$6000,MATCH($C740,спр_Работы!$A$2:$A$6000,0)),"")</f>
        <v/>
      </c>
      <c r="H740" s="9" t="n"/>
      <c r="I740" s="9" t="n"/>
      <c r="J740" s="8">
        <f>IFERROR(INDEX(спр_Материалы!$B$2:$B$9000,MATCH($I740,спр_Материалы!$A$2:$A$9000,0)),"")</f>
        <v/>
      </c>
      <c r="K740">
        <f>IF($I740="","",IF($F740=IFERROR(INDEX(спр_Материалы!$G$2:$G$9000,MATCH($I740,спр_Материалы!$A$2:$A$9000,0)),""),"OK","!! не та группа"))</f>
        <v/>
      </c>
      <c r="L740" s="10">
        <f>IFERROR(INDEX(спр_Работы!$H$2:$H$6000,MATCH($C740,спр_Работы!$A$2:$A$6000,0))*(1-ДисконтТендер),0)</f>
        <v/>
      </c>
      <c r="M740" s="10">
        <f>IF($I740="",0,IFERROR(INDEX(спр_Материалы!$I$2:$I$9000,MATCH($I740,спр_Материалы!$A$2:$A$9000,0))*IF(INDEX(спр_Материалы!$J$2:$J$9000,MATCH($I740,спр_Материалы!$A$2:$A$9000,0))="USD",КурсUSD,IF(INDEX(спр_Материалы!$J$2:$J$9000,MATCH($I740,спр_Материалы!$A$2:$A$9000,0))="EUR",КурсEUR,1))*INDEX(спр_Материалы!$K$2:$K$9000,MATCH($I740,спр_Материалы!$A$2:$A$9000,0))*(1+IFERROR(INDEX(спр_Работы!$I$2:$I$6000,MATCH($C740,спр_Работы!$A$2:$A$6000,0))/100,0))*(1-ДисконтТендер),0))</f>
        <v/>
      </c>
      <c r="N740" s="10">
        <f>IF(AND($R740="да",$H740&lt;&gt;""),ROUND($H740*$L740,2),0)</f>
        <v/>
      </c>
      <c r="O740" s="10">
        <f>IF(AND($R740="да",$H740&lt;&gt;""),ROUND($H740*$M740,2),0)</f>
        <v/>
      </c>
      <c r="P740" s="10">
        <f>$N740+$O740</f>
        <v/>
      </c>
      <c r="Q740">
        <f>IFERROR(INDEX(спр_Работы!$J$2:$J$6000,MATCH($C740,спр_Работы!$A$2:$A$6000,0)),"")</f>
        <v/>
      </c>
      <c r="R740" t="inlineStr">
        <is>
          <t>да</t>
        </is>
      </c>
      <c r="T740">
        <f>IF(AND($P740&gt;0,$R740="да"),MAX($T$1:$T739)+1,"")</f>
        <v/>
      </c>
    </row>
    <row r="741">
      <c r="A741">
        <f>IFERROR(INDEX(спр_Работы!$D$2:$D$6000,MATCH($C741,спр_Работы!$A$2:$A$6000,0)),"")</f>
        <v/>
      </c>
      <c r="B741">
        <f>IFERROR(INDEX(спр_Работы!$F$2:$F$6000,MATCH($C741,спр_Работы!$A$2:$A$6000,0)),"")</f>
        <v/>
      </c>
      <c r="C741">
        <f>IFERROR(INDEX(спр_Работы!$A$2:$A$6000,740),"")</f>
        <v/>
      </c>
      <c r="D741" s="8">
        <f>IFERROR(INDEX(спр_Работы!$B$2:$B$6000,MATCH($C741,спр_Работы!$A$2:$A$6000,0)),"")</f>
        <v/>
      </c>
      <c r="E741">
        <f>IFERROR(INDEX(спр_Работы!$C$2:$C$6000,MATCH($C741,спр_Работы!$A$2:$A$6000,0)),"")</f>
        <v/>
      </c>
      <c r="F741">
        <f>IFERROR(INDEX(спр_Работы!$G$2:$G$6000,MATCH($C741,спр_Работы!$A$2:$A$6000,0)),"")</f>
        <v/>
      </c>
      <c r="G741">
        <f>IFERROR(INDEX(спр_Работы!$K$2:$K$6000,MATCH($C741,спр_Работы!$A$2:$A$6000,0)),"")</f>
        <v/>
      </c>
      <c r="H741" s="9" t="n"/>
      <c r="I741" s="9" t="n"/>
      <c r="J741" s="8">
        <f>IFERROR(INDEX(спр_Материалы!$B$2:$B$9000,MATCH($I741,спр_Материалы!$A$2:$A$9000,0)),"")</f>
        <v/>
      </c>
      <c r="K741">
        <f>IF($I741="","",IF($F741=IFERROR(INDEX(спр_Материалы!$G$2:$G$9000,MATCH($I741,спр_Материалы!$A$2:$A$9000,0)),""),"OK","!! не та группа"))</f>
        <v/>
      </c>
      <c r="L741" s="10">
        <f>IFERROR(INDEX(спр_Работы!$H$2:$H$6000,MATCH($C741,спр_Работы!$A$2:$A$6000,0))*(1-ДисконтТендер),0)</f>
        <v/>
      </c>
      <c r="M741" s="10">
        <f>IF($I741="",0,IFERROR(INDEX(спр_Материалы!$I$2:$I$9000,MATCH($I741,спр_Материалы!$A$2:$A$9000,0))*IF(INDEX(спр_Материалы!$J$2:$J$9000,MATCH($I741,спр_Материалы!$A$2:$A$9000,0))="USD",КурсUSD,IF(INDEX(спр_Материалы!$J$2:$J$9000,MATCH($I741,спр_Материалы!$A$2:$A$9000,0))="EUR",КурсEUR,1))*INDEX(спр_Материалы!$K$2:$K$9000,MATCH($I741,спр_Материалы!$A$2:$A$9000,0))*(1+IFERROR(INDEX(спр_Работы!$I$2:$I$6000,MATCH($C741,спр_Работы!$A$2:$A$6000,0))/100,0))*(1-ДисконтТендер),0))</f>
        <v/>
      </c>
      <c r="N741" s="10">
        <f>IF(AND($R741="да",$H741&lt;&gt;""),ROUND($H741*$L741,2),0)</f>
        <v/>
      </c>
      <c r="O741" s="10">
        <f>IF(AND($R741="да",$H741&lt;&gt;""),ROUND($H741*$M741,2),0)</f>
        <v/>
      </c>
      <c r="P741" s="10">
        <f>$N741+$O741</f>
        <v/>
      </c>
      <c r="Q741">
        <f>IFERROR(INDEX(спр_Работы!$J$2:$J$6000,MATCH($C741,спр_Работы!$A$2:$A$6000,0)),"")</f>
        <v/>
      </c>
      <c r="R741" t="inlineStr">
        <is>
          <t>да</t>
        </is>
      </c>
      <c r="T741">
        <f>IF(AND($P741&gt;0,$R741="да"),MAX($T$1:$T740)+1,"")</f>
        <v/>
      </c>
    </row>
    <row r="742">
      <c r="A742">
        <f>IFERROR(INDEX(спр_Работы!$D$2:$D$6000,MATCH($C742,спр_Работы!$A$2:$A$6000,0)),"")</f>
        <v/>
      </c>
      <c r="B742">
        <f>IFERROR(INDEX(спр_Работы!$F$2:$F$6000,MATCH($C742,спр_Работы!$A$2:$A$6000,0)),"")</f>
        <v/>
      </c>
      <c r="C742">
        <f>IFERROR(INDEX(спр_Работы!$A$2:$A$6000,741),"")</f>
        <v/>
      </c>
      <c r="D742" s="8">
        <f>IFERROR(INDEX(спр_Работы!$B$2:$B$6000,MATCH($C742,спр_Работы!$A$2:$A$6000,0)),"")</f>
        <v/>
      </c>
      <c r="E742">
        <f>IFERROR(INDEX(спр_Работы!$C$2:$C$6000,MATCH($C742,спр_Работы!$A$2:$A$6000,0)),"")</f>
        <v/>
      </c>
      <c r="F742">
        <f>IFERROR(INDEX(спр_Работы!$G$2:$G$6000,MATCH($C742,спр_Работы!$A$2:$A$6000,0)),"")</f>
        <v/>
      </c>
      <c r="G742">
        <f>IFERROR(INDEX(спр_Работы!$K$2:$K$6000,MATCH($C742,спр_Работы!$A$2:$A$6000,0)),"")</f>
        <v/>
      </c>
      <c r="H742" s="9" t="n"/>
      <c r="I742" s="9" t="n"/>
      <c r="J742" s="8">
        <f>IFERROR(INDEX(спр_Материалы!$B$2:$B$9000,MATCH($I742,спр_Материалы!$A$2:$A$9000,0)),"")</f>
        <v/>
      </c>
      <c r="K742">
        <f>IF($I742="","",IF($F742=IFERROR(INDEX(спр_Материалы!$G$2:$G$9000,MATCH($I742,спр_Материалы!$A$2:$A$9000,0)),""),"OK","!! не та группа"))</f>
        <v/>
      </c>
      <c r="L742" s="10">
        <f>IFERROR(INDEX(спр_Работы!$H$2:$H$6000,MATCH($C742,спр_Работы!$A$2:$A$6000,0))*(1-ДисконтТендер),0)</f>
        <v/>
      </c>
      <c r="M742" s="10">
        <f>IF($I742="",0,IFERROR(INDEX(спр_Материалы!$I$2:$I$9000,MATCH($I742,спр_Материалы!$A$2:$A$9000,0))*IF(INDEX(спр_Материалы!$J$2:$J$9000,MATCH($I742,спр_Материалы!$A$2:$A$9000,0))="USD",КурсUSD,IF(INDEX(спр_Материалы!$J$2:$J$9000,MATCH($I742,спр_Материалы!$A$2:$A$9000,0))="EUR",КурсEUR,1))*INDEX(спр_Материалы!$K$2:$K$9000,MATCH($I742,спр_Материалы!$A$2:$A$9000,0))*(1+IFERROR(INDEX(спр_Работы!$I$2:$I$6000,MATCH($C742,спр_Работы!$A$2:$A$6000,0))/100,0))*(1-ДисконтТендер),0))</f>
        <v/>
      </c>
      <c r="N742" s="10">
        <f>IF(AND($R742="да",$H742&lt;&gt;""),ROUND($H742*$L742,2),0)</f>
        <v/>
      </c>
      <c r="O742" s="10">
        <f>IF(AND($R742="да",$H742&lt;&gt;""),ROUND($H742*$M742,2),0)</f>
        <v/>
      </c>
      <c r="P742" s="10">
        <f>$N742+$O742</f>
        <v/>
      </c>
      <c r="Q742">
        <f>IFERROR(INDEX(спр_Работы!$J$2:$J$6000,MATCH($C742,спр_Работы!$A$2:$A$6000,0)),"")</f>
        <v/>
      </c>
      <c r="R742" t="inlineStr">
        <is>
          <t>да</t>
        </is>
      </c>
      <c r="T742">
        <f>IF(AND($P742&gt;0,$R742="да"),MAX($T$1:$T741)+1,"")</f>
        <v/>
      </c>
    </row>
    <row r="743">
      <c r="A743">
        <f>IFERROR(INDEX(спр_Работы!$D$2:$D$6000,MATCH($C743,спр_Работы!$A$2:$A$6000,0)),"")</f>
        <v/>
      </c>
      <c r="B743">
        <f>IFERROR(INDEX(спр_Работы!$F$2:$F$6000,MATCH($C743,спр_Работы!$A$2:$A$6000,0)),"")</f>
        <v/>
      </c>
      <c r="C743">
        <f>IFERROR(INDEX(спр_Работы!$A$2:$A$6000,742),"")</f>
        <v/>
      </c>
      <c r="D743" s="8">
        <f>IFERROR(INDEX(спр_Работы!$B$2:$B$6000,MATCH($C743,спр_Работы!$A$2:$A$6000,0)),"")</f>
        <v/>
      </c>
      <c r="E743">
        <f>IFERROR(INDEX(спр_Работы!$C$2:$C$6000,MATCH($C743,спр_Работы!$A$2:$A$6000,0)),"")</f>
        <v/>
      </c>
      <c r="F743">
        <f>IFERROR(INDEX(спр_Работы!$G$2:$G$6000,MATCH($C743,спр_Работы!$A$2:$A$6000,0)),"")</f>
        <v/>
      </c>
      <c r="G743">
        <f>IFERROR(INDEX(спр_Работы!$K$2:$K$6000,MATCH($C743,спр_Работы!$A$2:$A$6000,0)),"")</f>
        <v/>
      </c>
      <c r="H743" s="9" t="n"/>
      <c r="I743" s="9" t="n"/>
      <c r="J743" s="8">
        <f>IFERROR(INDEX(спр_Материалы!$B$2:$B$9000,MATCH($I743,спр_Материалы!$A$2:$A$9000,0)),"")</f>
        <v/>
      </c>
      <c r="K743">
        <f>IF($I743="","",IF($F743=IFERROR(INDEX(спр_Материалы!$G$2:$G$9000,MATCH($I743,спр_Материалы!$A$2:$A$9000,0)),""),"OK","!! не та группа"))</f>
        <v/>
      </c>
      <c r="L743" s="10">
        <f>IFERROR(INDEX(спр_Работы!$H$2:$H$6000,MATCH($C743,спр_Работы!$A$2:$A$6000,0))*(1-ДисконтТендер),0)</f>
        <v/>
      </c>
      <c r="M743" s="10">
        <f>IF($I743="",0,IFERROR(INDEX(спр_Материалы!$I$2:$I$9000,MATCH($I743,спр_Материалы!$A$2:$A$9000,0))*IF(INDEX(спр_Материалы!$J$2:$J$9000,MATCH($I743,спр_Материалы!$A$2:$A$9000,0))="USD",КурсUSD,IF(INDEX(спр_Материалы!$J$2:$J$9000,MATCH($I743,спр_Материалы!$A$2:$A$9000,0))="EUR",КурсEUR,1))*INDEX(спр_Материалы!$K$2:$K$9000,MATCH($I743,спр_Материалы!$A$2:$A$9000,0))*(1+IFERROR(INDEX(спр_Работы!$I$2:$I$6000,MATCH($C743,спр_Работы!$A$2:$A$6000,0))/100,0))*(1-ДисконтТендер),0))</f>
        <v/>
      </c>
      <c r="N743" s="10">
        <f>IF(AND($R743="да",$H743&lt;&gt;""),ROUND($H743*$L743,2),0)</f>
        <v/>
      </c>
      <c r="O743" s="10">
        <f>IF(AND($R743="да",$H743&lt;&gt;""),ROUND($H743*$M743,2),0)</f>
        <v/>
      </c>
      <c r="P743" s="10">
        <f>$N743+$O743</f>
        <v/>
      </c>
      <c r="Q743">
        <f>IFERROR(INDEX(спр_Работы!$J$2:$J$6000,MATCH($C743,спр_Работы!$A$2:$A$6000,0)),"")</f>
        <v/>
      </c>
      <c r="R743" t="inlineStr">
        <is>
          <t>да</t>
        </is>
      </c>
      <c r="T743">
        <f>IF(AND($P743&gt;0,$R743="да"),MAX($T$1:$T742)+1,"")</f>
        <v/>
      </c>
    </row>
    <row r="744">
      <c r="A744">
        <f>IFERROR(INDEX(спр_Работы!$D$2:$D$6000,MATCH($C744,спр_Работы!$A$2:$A$6000,0)),"")</f>
        <v/>
      </c>
      <c r="B744">
        <f>IFERROR(INDEX(спр_Работы!$F$2:$F$6000,MATCH($C744,спр_Работы!$A$2:$A$6000,0)),"")</f>
        <v/>
      </c>
      <c r="C744">
        <f>IFERROR(INDEX(спр_Работы!$A$2:$A$6000,743),"")</f>
        <v/>
      </c>
      <c r="D744" s="8">
        <f>IFERROR(INDEX(спр_Работы!$B$2:$B$6000,MATCH($C744,спр_Работы!$A$2:$A$6000,0)),"")</f>
        <v/>
      </c>
      <c r="E744">
        <f>IFERROR(INDEX(спр_Работы!$C$2:$C$6000,MATCH($C744,спр_Работы!$A$2:$A$6000,0)),"")</f>
        <v/>
      </c>
      <c r="F744">
        <f>IFERROR(INDEX(спр_Работы!$G$2:$G$6000,MATCH($C744,спр_Работы!$A$2:$A$6000,0)),"")</f>
        <v/>
      </c>
      <c r="G744">
        <f>IFERROR(INDEX(спр_Работы!$K$2:$K$6000,MATCH($C744,спр_Работы!$A$2:$A$6000,0)),"")</f>
        <v/>
      </c>
      <c r="H744" s="9" t="n"/>
      <c r="I744" s="9" t="n"/>
      <c r="J744" s="8">
        <f>IFERROR(INDEX(спр_Материалы!$B$2:$B$9000,MATCH($I744,спр_Материалы!$A$2:$A$9000,0)),"")</f>
        <v/>
      </c>
      <c r="K744">
        <f>IF($I744="","",IF($F744=IFERROR(INDEX(спр_Материалы!$G$2:$G$9000,MATCH($I744,спр_Материалы!$A$2:$A$9000,0)),""),"OK","!! не та группа"))</f>
        <v/>
      </c>
      <c r="L744" s="10">
        <f>IFERROR(INDEX(спр_Работы!$H$2:$H$6000,MATCH($C744,спр_Работы!$A$2:$A$6000,0))*(1-ДисконтТендер),0)</f>
        <v/>
      </c>
      <c r="M744" s="10">
        <f>IF($I744="",0,IFERROR(INDEX(спр_Материалы!$I$2:$I$9000,MATCH($I744,спр_Материалы!$A$2:$A$9000,0))*IF(INDEX(спр_Материалы!$J$2:$J$9000,MATCH($I744,спр_Материалы!$A$2:$A$9000,0))="USD",КурсUSD,IF(INDEX(спр_Материалы!$J$2:$J$9000,MATCH($I744,спр_Материалы!$A$2:$A$9000,0))="EUR",КурсEUR,1))*INDEX(спр_Материалы!$K$2:$K$9000,MATCH($I744,спр_Материалы!$A$2:$A$9000,0))*(1+IFERROR(INDEX(спр_Работы!$I$2:$I$6000,MATCH($C744,спр_Работы!$A$2:$A$6000,0))/100,0))*(1-ДисконтТендер),0))</f>
        <v/>
      </c>
      <c r="N744" s="10">
        <f>IF(AND($R744="да",$H744&lt;&gt;""),ROUND($H744*$L744,2),0)</f>
        <v/>
      </c>
      <c r="O744" s="10">
        <f>IF(AND($R744="да",$H744&lt;&gt;""),ROUND($H744*$M744,2),0)</f>
        <v/>
      </c>
      <c r="P744" s="10">
        <f>$N744+$O744</f>
        <v/>
      </c>
      <c r="Q744">
        <f>IFERROR(INDEX(спр_Работы!$J$2:$J$6000,MATCH($C744,спр_Работы!$A$2:$A$6000,0)),"")</f>
        <v/>
      </c>
      <c r="R744" t="inlineStr">
        <is>
          <t>да</t>
        </is>
      </c>
      <c r="T744">
        <f>IF(AND($P744&gt;0,$R744="да"),MAX($T$1:$T743)+1,"")</f>
        <v/>
      </c>
    </row>
    <row r="745">
      <c r="A745">
        <f>IFERROR(INDEX(спр_Работы!$D$2:$D$6000,MATCH($C745,спр_Работы!$A$2:$A$6000,0)),"")</f>
        <v/>
      </c>
      <c r="B745">
        <f>IFERROR(INDEX(спр_Работы!$F$2:$F$6000,MATCH($C745,спр_Работы!$A$2:$A$6000,0)),"")</f>
        <v/>
      </c>
      <c r="C745">
        <f>IFERROR(INDEX(спр_Работы!$A$2:$A$6000,744),"")</f>
        <v/>
      </c>
      <c r="D745" s="8">
        <f>IFERROR(INDEX(спр_Работы!$B$2:$B$6000,MATCH($C745,спр_Работы!$A$2:$A$6000,0)),"")</f>
        <v/>
      </c>
      <c r="E745">
        <f>IFERROR(INDEX(спр_Работы!$C$2:$C$6000,MATCH($C745,спр_Работы!$A$2:$A$6000,0)),"")</f>
        <v/>
      </c>
      <c r="F745">
        <f>IFERROR(INDEX(спр_Работы!$G$2:$G$6000,MATCH($C745,спр_Работы!$A$2:$A$6000,0)),"")</f>
        <v/>
      </c>
      <c r="G745">
        <f>IFERROR(INDEX(спр_Работы!$K$2:$K$6000,MATCH($C745,спр_Работы!$A$2:$A$6000,0)),"")</f>
        <v/>
      </c>
      <c r="H745" s="9" t="n"/>
      <c r="I745" s="9" t="n"/>
      <c r="J745" s="8">
        <f>IFERROR(INDEX(спр_Материалы!$B$2:$B$9000,MATCH($I745,спр_Материалы!$A$2:$A$9000,0)),"")</f>
        <v/>
      </c>
      <c r="K745">
        <f>IF($I745="","",IF($F745=IFERROR(INDEX(спр_Материалы!$G$2:$G$9000,MATCH($I745,спр_Материалы!$A$2:$A$9000,0)),""),"OK","!! не та группа"))</f>
        <v/>
      </c>
      <c r="L745" s="10">
        <f>IFERROR(INDEX(спр_Работы!$H$2:$H$6000,MATCH($C745,спр_Работы!$A$2:$A$6000,0))*(1-ДисконтТендер),0)</f>
        <v/>
      </c>
      <c r="M745" s="10">
        <f>IF($I745="",0,IFERROR(INDEX(спр_Материалы!$I$2:$I$9000,MATCH($I745,спр_Материалы!$A$2:$A$9000,0))*IF(INDEX(спр_Материалы!$J$2:$J$9000,MATCH($I745,спр_Материалы!$A$2:$A$9000,0))="USD",КурсUSD,IF(INDEX(спр_Материалы!$J$2:$J$9000,MATCH($I745,спр_Материалы!$A$2:$A$9000,0))="EUR",КурсEUR,1))*INDEX(спр_Материалы!$K$2:$K$9000,MATCH($I745,спр_Материалы!$A$2:$A$9000,0))*(1+IFERROR(INDEX(спр_Работы!$I$2:$I$6000,MATCH($C745,спр_Работы!$A$2:$A$6000,0))/100,0))*(1-ДисконтТендер),0))</f>
        <v/>
      </c>
      <c r="N745" s="10">
        <f>IF(AND($R745="да",$H745&lt;&gt;""),ROUND($H745*$L745,2),0)</f>
        <v/>
      </c>
      <c r="O745" s="10">
        <f>IF(AND($R745="да",$H745&lt;&gt;""),ROUND($H745*$M745,2),0)</f>
        <v/>
      </c>
      <c r="P745" s="10">
        <f>$N745+$O745</f>
        <v/>
      </c>
      <c r="Q745">
        <f>IFERROR(INDEX(спр_Работы!$J$2:$J$6000,MATCH($C745,спр_Работы!$A$2:$A$6000,0)),"")</f>
        <v/>
      </c>
      <c r="R745" t="inlineStr">
        <is>
          <t>да</t>
        </is>
      </c>
      <c r="T745">
        <f>IF(AND($P745&gt;0,$R745="да"),MAX($T$1:$T744)+1,"")</f>
        <v/>
      </c>
    </row>
    <row r="746">
      <c r="A746">
        <f>IFERROR(INDEX(спр_Работы!$D$2:$D$6000,MATCH($C746,спр_Работы!$A$2:$A$6000,0)),"")</f>
        <v/>
      </c>
      <c r="B746">
        <f>IFERROR(INDEX(спр_Работы!$F$2:$F$6000,MATCH($C746,спр_Работы!$A$2:$A$6000,0)),"")</f>
        <v/>
      </c>
      <c r="C746">
        <f>IFERROR(INDEX(спр_Работы!$A$2:$A$6000,745),"")</f>
        <v/>
      </c>
      <c r="D746" s="8">
        <f>IFERROR(INDEX(спр_Работы!$B$2:$B$6000,MATCH($C746,спр_Работы!$A$2:$A$6000,0)),"")</f>
        <v/>
      </c>
      <c r="E746">
        <f>IFERROR(INDEX(спр_Работы!$C$2:$C$6000,MATCH($C746,спр_Работы!$A$2:$A$6000,0)),"")</f>
        <v/>
      </c>
      <c r="F746">
        <f>IFERROR(INDEX(спр_Работы!$G$2:$G$6000,MATCH($C746,спр_Работы!$A$2:$A$6000,0)),"")</f>
        <v/>
      </c>
      <c r="G746">
        <f>IFERROR(INDEX(спр_Работы!$K$2:$K$6000,MATCH($C746,спр_Работы!$A$2:$A$6000,0)),"")</f>
        <v/>
      </c>
      <c r="H746" s="9" t="n"/>
      <c r="I746" s="9" t="n"/>
      <c r="J746" s="8">
        <f>IFERROR(INDEX(спр_Материалы!$B$2:$B$9000,MATCH($I746,спр_Материалы!$A$2:$A$9000,0)),"")</f>
        <v/>
      </c>
      <c r="K746">
        <f>IF($I746="","",IF($F746=IFERROR(INDEX(спр_Материалы!$G$2:$G$9000,MATCH($I746,спр_Материалы!$A$2:$A$9000,0)),""),"OK","!! не та группа"))</f>
        <v/>
      </c>
      <c r="L746" s="10">
        <f>IFERROR(INDEX(спр_Работы!$H$2:$H$6000,MATCH($C746,спр_Работы!$A$2:$A$6000,0))*(1-ДисконтТендер),0)</f>
        <v/>
      </c>
      <c r="M746" s="10">
        <f>IF($I746="",0,IFERROR(INDEX(спр_Материалы!$I$2:$I$9000,MATCH($I746,спр_Материалы!$A$2:$A$9000,0))*IF(INDEX(спр_Материалы!$J$2:$J$9000,MATCH($I746,спр_Материалы!$A$2:$A$9000,0))="USD",КурсUSD,IF(INDEX(спр_Материалы!$J$2:$J$9000,MATCH($I746,спр_Материалы!$A$2:$A$9000,0))="EUR",КурсEUR,1))*INDEX(спр_Материалы!$K$2:$K$9000,MATCH($I746,спр_Материалы!$A$2:$A$9000,0))*(1+IFERROR(INDEX(спр_Работы!$I$2:$I$6000,MATCH($C746,спр_Работы!$A$2:$A$6000,0))/100,0))*(1-ДисконтТендер),0))</f>
        <v/>
      </c>
      <c r="N746" s="10">
        <f>IF(AND($R746="да",$H746&lt;&gt;""),ROUND($H746*$L746,2),0)</f>
        <v/>
      </c>
      <c r="O746" s="10">
        <f>IF(AND($R746="да",$H746&lt;&gt;""),ROUND($H746*$M746,2),0)</f>
        <v/>
      </c>
      <c r="P746" s="10">
        <f>$N746+$O746</f>
        <v/>
      </c>
      <c r="Q746">
        <f>IFERROR(INDEX(спр_Работы!$J$2:$J$6000,MATCH($C746,спр_Работы!$A$2:$A$6000,0)),"")</f>
        <v/>
      </c>
      <c r="R746" t="inlineStr">
        <is>
          <t>да</t>
        </is>
      </c>
      <c r="T746">
        <f>IF(AND($P746&gt;0,$R746="да"),MAX($T$1:$T745)+1,"")</f>
        <v/>
      </c>
    </row>
    <row r="747">
      <c r="A747">
        <f>IFERROR(INDEX(спр_Работы!$D$2:$D$6000,MATCH($C747,спр_Работы!$A$2:$A$6000,0)),"")</f>
        <v/>
      </c>
      <c r="B747">
        <f>IFERROR(INDEX(спр_Работы!$F$2:$F$6000,MATCH($C747,спр_Работы!$A$2:$A$6000,0)),"")</f>
        <v/>
      </c>
      <c r="C747">
        <f>IFERROR(INDEX(спр_Работы!$A$2:$A$6000,746),"")</f>
        <v/>
      </c>
      <c r="D747" s="8">
        <f>IFERROR(INDEX(спр_Работы!$B$2:$B$6000,MATCH($C747,спр_Работы!$A$2:$A$6000,0)),"")</f>
        <v/>
      </c>
      <c r="E747">
        <f>IFERROR(INDEX(спр_Работы!$C$2:$C$6000,MATCH($C747,спр_Работы!$A$2:$A$6000,0)),"")</f>
        <v/>
      </c>
      <c r="F747">
        <f>IFERROR(INDEX(спр_Работы!$G$2:$G$6000,MATCH($C747,спр_Работы!$A$2:$A$6000,0)),"")</f>
        <v/>
      </c>
      <c r="G747">
        <f>IFERROR(INDEX(спр_Работы!$K$2:$K$6000,MATCH($C747,спр_Работы!$A$2:$A$6000,0)),"")</f>
        <v/>
      </c>
      <c r="H747" s="9" t="n"/>
      <c r="I747" s="9" t="n"/>
      <c r="J747" s="8">
        <f>IFERROR(INDEX(спр_Материалы!$B$2:$B$9000,MATCH($I747,спр_Материалы!$A$2:$A$9000,0)),"")</f>
        <v/>
      </c>
      <c r="K747">
        <f>IF($I747="","",IF($F747=IFERROR(INDEX(спр_Материалы!$G$2:$G$9000,MATCH($I747,спр_Материалы!$A$2:$A$9000,0)),""),"OK","!! не та группа"))</f>
        <v/>
      </c>
      <c r="L747" s="10">
        <f>IFERROR(INDEX(спр_Работы!$H$2:$H$6000,MATCH($C747,спр_Работы!$A$2:$A$6000,0))*(1-ДисконтТендер),0)</f>
        <v/>
      </c>
      <c r="M747" s="10">
        <f>IF($I747="",0,IFERROR(INDEX(спр_Материалы!$I$2:$I$9000,MATCH($I747,спр_Материалы!$A$2:$A$9000,0))*IF(INDEX(спр_Материалы!$J$2:$J$9000,MATCH($I747,спр_Материалы!$A$2:$A$9000,0))="USD",КурсUSD,IF(INDEX(спр_Материалы!$J$2:$J$9000,MATCH($I747,спр_Материалы!$A$2:$A$9000,0))="EUR",КурсEUR,1))*INDEX(спр_Материалы!$K$2:$K$9000,MATCH($I747,спр_Материалы!$A$2:$A$9000,0))*(1+IFERROR(INDEX(спр_Работы!$I$2:$I$6000,MATCH($C747,спр_Работы!$A$2:$A$6000,0))/100,0))*(1-ДисконтТендер),0))</f>
        <v/>
      </c>
      <c r="N747" s="10">
        <f>IF(AND($R747="да",$H747&lt;&gt;""),ROUND($H747*$L747,2),0)</f>
        <v/>
      </c>
      <c r="O747" s="10">
        <f>IF(AND($R747="да",$H747&lt;&gt;""),ROUND($H747*$M747,2),0)</f>
        <v/>
      </c>
      <c r="P747" s="10">
        <f>$N747+$O747</f>
        <v/>
      </c>
      <c r="Q747">
        <f>IFERROR(INDEX(спр_Работы!$J$2:$J$6000,MATCH($C747,спр_Работы!$A$2:$A$6000,0)),"")</f>
        <v/>
      </c>
      <c r="R747" t="inlineStr">
        <is>
          <t>да</t>
        </is>
      </c>
      <c r="T747">
        <f>IF(AND($P747&gt;0,$R747="да"),MAX($T$1:$T746)+1,"")</f>
        <v/>
      </c>
    </row>
    <row r="748">
      <c r="A748">
        <f>IFERROR(INDEX(спр_Работы!$D$2:$D$6000,MATCH($C748,спр_Работы!$A$2:$A$6000,0)),"")</f>
        <v/>
      </c>
      <c r="B748">
        <f>IFERROR(INDEX(спр_Работы!$F$2:$F$6000,MATCH($C748,спр_Работы!$A$2:$A$6000,0)),"")</f>
        <v/>
      </c>
      <c r="C748">
        <f>IFERROR(INDEX(спр_Работы!$A$2:$A$6000,747),"")</f>
        <v/>
      </c>
      <c r="D748" s="8">
        <f>IFERROR(INDEX(спр_Работы!$B$2:$B$6000,MATCH($C748,спр_Работы!$A$2:$A$6000,0)),"")</f>
        <v/>
      </c>
      <c r="E748">
        <f>IFERROR(INDEX(спр_Работы!$C$2:$C$6000,MATCH($C748,спр_Работы!$A$2:$A$6000,0)),"")</f>
        <v/>
      </c>
      <c r="F748">
        <f>IFERROR(INDEX(спр_Работы!$G$2:$G$6000,MATCH($C748,спр_Работы!$A$2:$A$6000,0)),"")</f>
        <v/>
      </c>
      <c r="G748">
        <f>IFERROR(INDEX(спр_Работы!$K$2:$K$6000,MATCH($C748,спр_Работы!$A$2:$A$6000,0)),"")</f>
        <v/>
      </c>
      <c r="H748" s="9" t="n"/>
      <c r="I748" s="9" t="n"/>
      <c r="J748" s="8">
        <f>IFERROR(INDEX(спр_Материалы!$B$2:$B$9000,MATCH($I748,спр_Материалы!$A$2:$A$9000,0)),"")</f>
        <v/>
      </c>
      <c r="K748">
        <f>IF($I748="","",IF($F748=IFERROR(INDEX(спр_Материалы!$G$2:$G$9000,MATCH($I748,спр_Материалы!$A$2:$A$9000,0)),""),"OK","!! не та группа"))</f>
        <v/>
      </c>
      <c r="L748" s="10">
        <f>IFERROR(INDEX(спр_Работы!$H$2:$H$6000,MATCH($C748,спр_Работы!$A$2:$A$6000,0))*(1-ДисконтТендер),0)</f>
        <v/>
      </c>
      <c r="M748" s="10">
        <f>IF($I748="",0,IFERROR(INDEX(спр_Материалы!$I$2:$I$9000,MATCH($I748,спр_Материалы!$A$2:$A$9000,0))*IF(INDEX(спр_Материалы!$J$2:$J$9000,MATCH($I748,спр_Материалы!$A$2:$A$9000,0))="USD",КурсUSD,IF(INDEX(спр_Материалы!$J$2:$J$9000,MATCH($I748,спр_Материалы!$A$2:$A$9000,0))="EUR",КурсEUR,1))*INDEX(спр_Материалы!$K$2:$K$9000,MATCH($I748,спр_Материалы!$A$2:$A$9000,0))*(1+IFERROR(INDEX(спр_Работы!$I$2:$I$6000,MATCH($C748,спр_Работы!$A$2:$A$6000,0))/100,0))*(1-ДисконтТендер),0))</f>
        <v/>
      </c>
      <c r="N748" s="10">
        <f>IF(AND($R748="да",$H748&lt;&gt;""),ROUND($H748*$L748,2),0)</f>
        <v/>
      </c>
      <c r="O748" s="10">
        <f>IF(AND($R748="да",$H748&lt;&gt;""),ROUND($H748*$M748,2),0)</f>
        <v/>
      </c>
      <c r="P748" s="10">
        <f>$N748+$O748</f>
        <v/>
      </c>
      <c r="Q748">
        <f>IFERROR(INDEX(спр_Работы!$J$2:$J$6000,MATCH($C748,спр_Работы!$A$2:$A$6000,0)),"")</f>
        <v/>
      </c>
      <c r="R748" t="inlineStr">
        <is>
          <t>да</t>
        </is>
      </c>
      <c r="T748">
        <f>IF(AND($P748&gt;0,$R748="да"),MAX($T$1:$T747)+1,"")</f>
        <v/>
      </c>
    </row>
    <row r="749">
      <c r="A749">
        <f>IFERROR(INDEX(спр_Работы!$D$2:$D$6000,MATCH($C749,спр_Работы!$A$2:$A$6000,0)),"")</f>
        <v/>
      </c>
      <c r="B749">
        <f>IFERROR(INDEX(спр_Работы!$F$2:$F$6000,MATCH($C749,спр_Работы!$A$2:$A$6000,0)),"")</f>
        <v/>
      </c>
      <c r="C749">
        <f>IFERROR(INDEX(спр_Работы!$A$2:$A$6000,748),"")</f>
        <v/>
      </c>
      <c r="D749" s="8">
        <f>IFERROR(INDEX(спр_Работы!$B$2:$B$6000,MATCH($C749,спр_Работы!$A$2:$A$6000,0)),"")</f>
        <v/>
      </c>
      <c r="E749">
        <f>IFERROR(INDEX(спр_Работы!$C$2:$C$6000,MATCH($C749,спр_Работы!$A$2:$A$6000,0)),"")</f>
        <v/>
      </c>
      <c r="F749">
        <f>IFERROR(INDEX(спр_Работы!$G$2:$G$6000,MATCH($C749,спр_Работы!$A$2:$A$6000,0)),"")</f>
        <v/>
      </c>
      <c r="G749">
        <f>IFERROR(INDEX(спр_Работы!$K$2:$K$6000,MATCH($C749,спр_Работы!$A$2:$A$6000,0)),"")</f>
        <v/>
      </c>
      <c r="H749" s="9" t="n"/>
      <c r="I749" s="9" t="n"/>
      <c r="J749" s="8">
        <f>IFERROR(INDEX(спр_Материалы!$B$2:$B$9000,MATCH($I749,спр_Материалы!$A$2:$A$9000,0)),"")</f>
        <v/>
      </c>
      <c r="K749">
        <f>IF($I749="","",IF($F749=IFERROR(INDEX(спр_Материалы!$G$2:$G$9000,MATCH($I749,спр_Материалы!$A$2:$A$9000,0)),""),"OK","!! не та группа"))</f>
        <v/>
      </c>
      <c r="L749" s="10">
        <f>IFERROR(INDEX(спр_Работы!$H$2:$H$6000,MATCH($C749,спр_Работы!$A$2:$A$6000,0))*(1-ДисконтТендер),0)</f>
        <v/>
      </c>
      <c r="M749" s="10">
        <f>IF($I749="",0,IFERROR(INDEX(спр_Материалы!$I$2:$I$9000,MATCH($I749,спр_Материалы!$A$2:$A$9000,0))*IF(INDEX(спр_Материалы!$J$2:$J$9000,MATCH($I749,спр_Материалы!$A$2:$A$9000,0))="USD",КурсUSD,IF(INDEX(спр_Материалы!$J$2:$J$9000,MATCH($I749,спр_Материалы!$A$2:$A$9000,0))="EUR",КурсEUR,1))*INDEX(спр_Материалы!$K$2:$K$9000,MATCH($I749,спр_Материалы!$A$2:$A$9000,0))*(1+IFERROR(INDEX(спр_Работы!$I$2:$I$6000,MATCH($C749,спр_Работы!$A$2:$A$6000,0))/100,0))*(1-ДисконтТендер),0))</f>
        <v/>
      </c>
      <c r="N749" s="10">
        <f>IF(AND($R749="да",$H749&lt;&gt;""),ROUND($H749*$L749,2),0)</f>
        <v/>
      </c>
      <c r="O749" s="10">
        <f>IF(AND($R749="да",$H749&lt;&gt;""),ROUND($H749*$M749,2),0)</f>
        <v/>
      </c>
      <c r="P749" s="10">
        <f>$N749+$O749</f>
        <v/>
      </c>
      <c r="Q749">
        <f>IFERROR(INDEX(спр_Работы!$J$2:$J$6000,MATCH($C749,спр_Работы!$A$2:$A$6000,0)),"")</f>
        <v/>
      </c>
      <c r="R749" t="inlineStr">
        <is>
          <t>да</t>
        </is>
      </c>
      <c r="T749">
        <f>IF(AND($P749&gt;0,$R749="да"),MAX($T$1:$T748)+1,"")</f>
        <v/>
      </c>
    </row>
    <row r="750">
      <c r="A750">
        <f>IFERROR(INDEX(спр_Работы!$D$2:$D$6000,MATCH($C750,спр_Работы!$A$2:$A$6000,0)),"")</f>
        <v/>
      </c>
      <c r="B750">
        <f>IFERROR(INDEX(спр_Работы!$F$2:$F$6000,MATCH($C750,спр_Работы!$A$2:$A$6000,0)),"")</f>
        <v/>
      </c>
      <c r="C750">
        <f>IFERROR(INDEX(спр_Работы!$A$2:$A$6000,749),"")</f>
        <v/>
      </c>
      <c r="D750" s="8">
        <f>IFERROR(INDEX(спр_Работы!$B$2:$B$6000,MATCH($C750,спр_Работы!$A$2:$A$6000,0)),"")</f>
        <v/>
      </c>
      <c r="E750">
        <f>IFERROR(INDEX(спр_Работы!$C$2:$C$6000,MATCH($C750,спр_Работы!$A$2:$A$6000,0)),"")</f>
        <v/>
      </c>
      <c r="F750">
        <f>IFERROR(INDEX(спр_Работы!$G$2:$G$6000,MATCH($C750,спр_Работы!$A$2:$A$6000,0)),"")</f>
        <v/>
      </c>
      <c r="G750">
        <f>IFERROR(INDEX(спр_Работы!$K$2:$K$6000,MATCH($C750,спр_Работы!$A$2:$A$6000,0)),"")</f>
        <v/>
      </c>
      <c r="H750" s="9" t="n"/>
      <c r="I750" s="9" t="n"/>
      <c r="J750" s="8">
        <f>IFERROR(INDEX(спр_Материалы!$B$2:$B$9000,MATCH($I750,спр_Материалы!$A$2:$A$9000,0)),"")</f>
        <v/>
      </c>
      <c r="K750">
        <f>IF($I750="","",IF($F750=IFERROR(INDEX(спр_Материалы!$G$2:$G$9000,MATCH($I750,спр_Материалы!$A$2:$A$9000,0)),""),"OK","!! не та группа"))</f>
        <v/>
      </c>
      <c r="L750" s="10">
        <f>IFERROR(INDEX(спр_Работы!$H$2:$H$6000,MATCH($C750,спр_Работы!$A$2:$A$6000,0))*(1-ДисконтТендер),0)</f>
        <v/>
      </c>
      <c r="M750" s="10">
        <f>IF($I750="",0,IFERROR(INDEX(спр_Материалы!$I$2:$I$9000,MATCH($I750,спр_Материалы!$A$2:$A$9000,0))*IF(INDEX(спр_Материалы!$J$2:$J$9000,MATCH($I750,спр_Материалы!$A$2:$A$9000,0))="USD",КурсUSD,IF(INDEX(спр_Материалы!$J$2:$J$9000,MATCH($I750,спр_Материалы!$A$2:$A$9000,0))="EUR",КурсEUR,1))*INDEX(спр_Материалы!$K$2:$K$9000,MATCH($I750,спр_Материалы!$A$2:$A$9000,0))*(1+IFERROR(INDEX(спр_Работы!$I$2:$I$6000,MATCH($C750,спр_Работы!$A$2:$A$6000,0))/100,0))*(1-ДисконтТендер),0))</f>
        <v/>
      </c>
      <c r="N750" s="10">
        <f>IF(AND($R750="да",$H750&lt;&gt;""),ROUND($H750*$L750,2),0)</f>
        <v/>
      </c>
      <c r="O750" s="10">
        <f>IF(AND($R750="да",$H750&lt;&gt;""),ROUND($H750*$M750,2),0)</f>
        <v/>
      </c>
      <c r="P750" s="10">
        <f>$N750+$O750</f>
        <v/>
      </c>
      <c r="Q750">
        <f>IFERROR(INDEX(спр_Работы!$J$2:$J$6000,MATCH($C750,спр_Работы!$A$2:$A$6000,0)),"")</f>
        <v/>
      </c>
      <c r="R750" t="inlineStr">
        <is>
          <t>да</t>
        </is>
      </c>
      <c r="T750">
        <f>IF(AND($P750&gt;0,$R750="да"),MAX($T$1:$T749)+1,"")</f>
        <v/>
      </c>
    </row>
    <row r="751">
      <c r="A751">
        <f>IFERROR(INDEX(спр_Работы!$D$2:$D$6000,MATCH($C751,спр_Работы!$A$2:$A$6000,0)),"")</f>
        <v/>
      </c>
      <c r="B751">
        <f>IFERROR(INDEX(спр_Работы!$F$2:$F$6000,MATCH($C751,спр_Работы!$A$2:$A$6000,0)),"")</f>
        <v/>
      </c>
      <c r="C751">
        <f>IFERROR(INDEX(спр_Работы!$A$2:$A$6000,750),"")</f>
        <v/>
      </c>
      <c r="D751" s="8">
        <f>IFERROR(INDEX(спр_Работы!$B$2:$B$6000,MATCH($C751,спр_Работы!$A$2:$A$6000,0)),"")</f>
        <v/>
      </c>
      <c r="E751">
        <f>IFERROR(INDEX(спр_Работы!$C$2:$C$6000,MATCH($C751,спр_Работы!$A$2:$A$6000,0)),"")</f>
        <v/>
      </c>
      <c r="F751">
        <f>IFERROR(INDEX(спр_Работы!$G$2:$G$6000,MATCH($C751,спр_Работы!$A$2:$A$6000,0)),"")</f>
        <v/>
      </c>
      <c r="G751">
        <f>IFERROR(INDEX(спр_Работы!$K$2:$K$6000,MATCH($C751,спр_Работы!$A$2:$A$6000,0)),"")</f>
        <v/>
      </c>
      <c r="H751" s="9" t="n"/>
      <c r="I751" s="9" t="n"/>
      <c r="J751" s="8">
        <f>IFERROR(INDEX(спр_Материалы!$B$2:$B$9000,MATCH($I751,спр_Материалы!$A$2:$A$9000,0)),"")</f>
        <v/>
      </c>
      <c r="K751">
        <f>IF($I751="","",IF($F751=IFERROR(INDEX(спр_Материалы!$G$2:$G$9000,MATCH($I751,спр_Материалы!$A$2:$A$9000,0)),""),"OK","!! не та группа"))</f>
        <v/>
      </c>
      <c r="L751" s="10">
        <f>IFERROR(INDEX(спр_Работы!$H$2:$H$6000,MATCH($C751,спр_Работы!$A$2:$A$6000,0))*(1-ДисконтТендер),0)</f>
        <v/>
      </c>
      <c r="M751" s="10">
        <f>IF($I751="",0,IFERROR(INDEX(спр_Материалы!$I$2:$I$9000,MATCH($I751,спр_Материалы!$A$2:$A$9000,0))*IF(INDEX(спр_Материалы!$J$2:$J$9000,MATCH($I751,спр_Материалы!$A$2:$A$9000,0))="USD",КурсUSD,IF(INDEX(спр_Материалы!$J$2:$J$9000,MATCH($I751,спр_Материалы!$A$2:$A$9000,0))="EUR",КурсEUR,1))*INDEX(спр_Материалы!$K$2:$K$9000,MATCH($I751,спр_Материалы!$A$2:$A$9000,0))*(1+IFERROR(INDEX(спр_Работы!$I$2:$I$6000,MATCH($C751,спр_Работы!$A$2:$A$6000,0))/100,0))*(1-ДисконтТендер),0))</f>
        <v/>
      </c>
      <c r="N751" s="10">
        <f>IF(AND($R751="да",$H751&lt;&gt;""),ROUND($H751*$L751,2),0)</f>
        <v/>
      </c>
      <c r="O751" s="10">
        <f>IF(AND($R751="да",$H751&lt;&gt;""),ROUND($H751*$M751,2),0)</f>
        <v/>
      </c>
      <c r="P751" s="10">
        <f>$N751+$O751</f>
        <v/>
      </c>
      <c r="Q751">
        <f>IFERROR(INDEX(спр_Работы!$J$2:$J$6000,MATCH($C751,спр_Работы!$A$2:$A$6000,0)),"")</f>
        <v/>
      </c>
      <c r="R751" t="inlineStr">
        <is>
          <t>да</t>
        </is>
      </c>
      <c r="T751">
        <f>IF(AND($P751&gt;0,$R751="да"),MAX($T$1:$T750)+1,"")</f>
        <v/>
      </c>
    </row>
    <row r="752">
      <c r="A752">
        <f>IFERROR(INDEX(спр_Работы!$D$2:$D$6000,MATCH($C752,спр_Работы!$A$2:$A$6000,0)),"")</f>
        <v/>
      </c>
      <c r="B752">
        <f>IFERROR(INDEX(спр_Работы!$F$2:$F$6000,MATCH($C752,спр_Работы!$A$2:$A$6000,0)),"")</f>
        <v/>
      </c>
      <c r="C752">
        <f>IFERROR(INDEX(спр_Работы!$A$2:$A$6000,751),"")</f>
        <v/>
      </c>
      <c r="D752" s="8">
        <f>IFERROR(INDEX(спр_Работы!$B$2:$B$6000,MATCH($C752,спр_Работы!$A$2:$A$6000,0)),"")</f>
        <v/>
      </c>
      <c r="E752">
        <f>IFERROR(INDEX(спр_Работы!$C$2:$C$6000,MATCH($C752,спр_Работы!$A$2:$A$6000,0)),"")</f>
        <v/>
      </c>
      <c r="F752">
        <f>IFERROR(INDEX(спр_Работы!$G$2:$G$6000,MATCH($C752,спр_Работы!$A$2:$A$6000,0)),"")</f>
        <v/>
      </c>
      <c r="G752">
        <f>IFERROR(INDEX(спр_Работы!$K$2:$K$6000,MATCH($C752,спр_Работы!$A$2:$A$6000,0)),"")</f>
        <v/>
      </c>
      <c r="H752" s="9" t="n"/>
      <c r="I752" s="9" t="n"/>
      <c r="J752" s="8">
        <f>IFERROR(INDEX(спр_Материалы!$B$2:$B$9000,MATCH($I752,спр_Материалы!$A$2:$A$9000,0)),"")</f>
        <v/>
      </c>
      <c r="K752">
        <f>IF($I752="","",IF($F752=IFERROR(INDEX(спр_Материалы!$G$2:$G$9000,MATCH($I752,спр_Материалы!$A$2:$A$9000,0)),""),"OK","!! не та группа"))</f>
        <v/>
      </c>
      <c r="L752" s="10">
        <f>IFERROR(INDEX(спр_Работы!$H$2:$H$6000,MATCH($C752,спр_Работы!$A$2:$A$6000,0))*(1-ДисконтТендер),0)</f>
        <v/>
      </c>
      <c r="M752" s="10">
        <f>IF($I752="",0,IFERROR(INDEX(спр_Материалы!$I$2:$I$9000,MATCH($I752,спр_Материалы!$A$2:$A$9000,0))*IF(INDEX(спр_Материалы!$J$2:$J$9000,MATCH($I752,спр_Материалы!$A$2:$A$9000,0))="USD",КурсUSD,IF(INDEX(спр_Материалы!$J$2:$J$9000,MATCH($I752,спр_Материалы!$A$2:$A$9000,0))="EUR",КурсEUR,1))*INDEX(спр_Материалы!$K$2:$K$9000,MATCH($I752,спр_Материалы!$A$2:$A$9000,0))*(1+IFERROR(INDEX(спр_Работы!$I$2:$I$6000,MATCH($C752,спр_Работы!$A$2:$A$6000,0))/100,0))*(1-ДисконтТендер),0))</f>
        <v/>
      </c>
      <c r="N752" s="10">
        <f>IF(AND($R752="да",$H752&lt;&gt;""),ROUND($H752*$L752,2),0)</f>
        <v/>
      </c>
      <c r="O752" s="10">
        <f>IF(AND($R752="да",$H752&lt;&gt;""),ROUND($H752*$M752,2),0)</f>
        <v/>
      </c>
      <c r="P752" s="10">
        <f>$N752+$O752</f>
        <v/>
      </c>
      <c r="Q752">
        <f>IFERROR(INDEX(спр_Работы!$J$2:$J$6000,MATCH($C752,спр_Работы!$A$2:$A$6000,0)),"")</f>
        <v/>
      </c>
      <c r="R752" t="inlineStr">
        <is>
          <t>да</t>
        </is>
      </c>
      <c r="T752">
        <f>IF(AND($P752&gt;0,$R752="да"),MAX($T$1:$T751)+1,"")</f>
        <v/>
      </c>
    </row>
    <row r="753">
      <c r="A753">
        <f>IFERROR(INDEX(спр_Работы!$D$2:$D$6000,MATCH($C753,спр_Работы!$A$2:$A$6000,0)),"")</f>
        <v/>
      </c>
      <c r="B753">
        <f>IFERROR(INDEX(спр_Работы!$F$2:$F$6000,MATCH($C753,спр_Работы!$A$2:$A$6000,0)),"")</f>
        <v/>
      </c>
      <c r="C753">
        <f>IFERROR(INDEX(спр_Работы!$A$2:$A$6000,752),"")</f>
        <v/>
      </c>
      <c r="D753" s="8">
        <f>IFERROR(INDEX(спр_Работы!$B$2:$B$6000,MATCH($C753,спр_Работы!$A$2:$A$6000,0)),"")</f>
        <v/>
      </c>
      <c r="E753">
        <f>IFERROR(INDEX(спр_Работы!$C$2:$C$6000,MATCH($C753,спр_Работы!$A$2:$A$6000,0)),"")</f>
        <v/>
      </c>
      <c r="F753">
        <f>IFERROR(INDEX(спр_Работы!$G$2:$G$6000,MATCH($C753,спр_Работы!$A$2:$A$6000,0)),"")</f>
        <v/>
      </c>
      <c r="G753">
        <f>IFERROR(INDEX(спр_Работы!$K$2:$K$6000,MATCH($C753,спр_Работы!$A$2:$A$6000,0)),"")</f>
        <v/>
      </c>
      <c r="H753" s="9" t="n"/>
      <c r="I753" s="9" t="n"/>
      <c r="J753" s="8">
        <f>IFERROR(INDEX(спр_Материалы!$B$2:$B$9000,MATCH($I753,спр_Материалы!$A$2:$A$9000,0)),"")</f>
        <v/>
      </c>
      <c r="K753">
        <f>IF($I753="","",IF($F753=IFERROR(INDEX(спр_Материалы!$G$2:$G$9000,MATCH($I753,спр_Материалы!$A$2:$A$9000,0)),""),"OK","!! не та группа"))</f>
        <v/>
      </c>
      <c r="L753" s="10">
        <f>IFERROR(INDEX(спр_Работы!$H$2:$H$6000,MATCH($C753,спр_Работы!$A$2:$A$6000,0))*(1-ДисконтТендер),0)</f>
        <v/>
      </c>
      <c r="M753" s="10">
        <f>IF($I753="",0,IFERROR(INDEX(спр_Материалы!$I$2:$I$9000,MATCH($I753,спр_Материалы!$A$2:$A$9000,0))*IF(INDEX(спр_Материалы!$J$2:$J$9000,MATCH($I753,спр_Материалы!$A$2:$A$9000,0))="USD",КурсUSD,IF(INDEX(спр_Материалы!$J$2:$J$9000,MATCH($I753,спр_Материалы!$A$2:$A$9000,0))="EUR",КурсEUR,1))*INDEX(спр_Материалы!$K$2:$K$9000,MATCH($I753,спр_Материалы!$A$2:$A$9000,0))*(1+IFERROR(INDEX(спр_Работы!$I$2:$I$6000,MATCH($C753,спр_Работы!$A$2:$A$6000,0))/100,0))*(1-ДисконтТендер),0))</f>
        <v/>
      </c>
      <c r="N753" s="10">
        <f>IF(AND($R753="да",$H753&lt;&gt;""),ROUND($H753*$L753,2),0)</f>
        <v/>
      </c>
      <c r="O753" s="10">
        <f>IF(AND($R753="да",$H753&lt;&gt;""),ROUND($H753*$M753,2),0)</f>
        <v/>
      </c>
      <c r="P753" s="10">
        <f>$N753+$O753</f>
        <v/>
      </c>
      <c r="Q753">
        <f>IFERROR(INDEX(спр_Работы!$J$2:$J$6000,MATCH($C753,спр_Работы!$A$2:$A$6000,0)),"")</f>
        <v/>
      </c>
      <c r="R753" t="inlineStr">
        <is>
          <t>да</t>
        </is>
      </c>
      <c r="T753">
        <f>IF(AND($P753&gt;0,$R753="да"),MAX($T$1:$T752)+1,"")</f>
        <v/>
      </c>
    </row>
    <row r="754">
      <c r="A754">
        <f>IFERROR(INDEX(спр_Работы!$D$2:$D$6000,MATCH($C754,спр_Работы!$A$2:$A$6000,0)),"")</f>
        <v/>
      </c>
      <c r="B754">
        <f>IFERROR(INDEX(спр_Работы!$F$2:$F$6000,MATCH($C754,спр_Работы!$A$2:$A$6000,0)),"")</f>
        <v/>
      </c>
      <c r="C754">
        <f>IFERROR(INDEX(спр_Работы!$A$2:$A$6000,753),"")</f>
        <v/>
      </c>
      <c r="D754" s="8">
        <f>IFERROR(INDEX(спр_Работы!$B$2:$B$6000,MATCH($C754,спр_Работы!$A$2:$A$6000,0)),"")</f>
        <v/>
      </c>
      <c r="E754">
        <f>IFERROR(INDEX(спр_Работы!$C$2:$C$6000,MATCH($C754,спр_Работы!$A$2:$A$6000,0)),"")</f>
        <v/>
      </c>
      <c r="F754">
        <f>IFERROR(INDEX(спр_Работы!$G$2:$G$6000,MATCH($C754,спр_Работы!$A$2:$A$6000,0)),"")</f>
        <v/>
      </c>
      <c r="G754">
        <f>IFERROR(INDEX(спр_Работы!$K$2:$K$6000,MATCH($C754,спр_Работы!$A$2:$A$6000,0)),"")</f>
        <v/>
      </c>
      <c r="H754" s="9" t="n"/>
      <c r="I754" s="9" t="n"/>
      <c r="J754" s="8">
        <f>IFERROR(INDEX(спр_Материалы!$B$2:$B$9000,MATCH($I754,спр_Материалы!$A$2:$A$9000,0)),"")</f>
        <v/>
      </c>
      <c r="K754">
        <f>IF($I754="","",IF($F754=IFERROR(INDEX(спр_Материалы!$G$2:$G$9000,MATCH($I754,спр_Материалы!$A$2:$A$9000,0)),""),"OK","!! не та группа"))</f>
        <v/>
      </c>
      <c r="L754" s="10">
        <f>IFERROR(INDEX(спр_Работы!$H$2:$H$6000,MATCH($C754,спр_Работы!$A$2:$A$6000,0))*(1-ДисконтТендер),0)</f>
        <v/>
      </c>
      <c r="M754" s="10">
        <f>IF($I754="",0,IFERROR(INDEX(спр_Материалы!$I$2:$I$9000,MATCH($I754,спр_Материалы!$A$2:$A$9000,0))*IF(INDEX(спр_Материалы!$J$2:$J$9000,MATCH($I754,спр_Материалы!$A$2:$A$9000,0))="USD",КурсUSD,IF(INDEX(спр_Материалы!$J$2:$J$9000,MATCH($I754,спр_Материалы!$A$2:$A$9000,0))="EUR",КурсEUR,1))*INDEX(спр_Материалы!$K$2:$K$9000,MATCH($I754,спр_Материалы!$A$2:$A$9000,0))*(1+IFERROR(INDEX(спр_Работы!$I$2:$I$6000,MATCH($C754,спр_Работы!$A$2:$A$6000,0))/100,0))*(1-ДисконтТендер),0))</f>
        <v/>
      </c>
      <c r="N754" s="10">
        <f>IF(AND($R754="да",$H754&lt;&gt;""),ROUND($H754*$L754,2),0)</f>
        <v/>
      </c>
      <c r="O754" s="10">
        <f>IF(AND($R754="да",$H754&lt;&gt;""),ROUND($H754*$M754,2),0)</f>
        <v/>
      </c>
      <c r="P754" s="10">
        <f>$N754+$O754</f>
        <v/>
      </c>
      <c r="Q754">
        <f>IFERROR(INDEX(спр_Работы!$J$2:$J$6000,MATCH($C754,спр_Работы!$A$2:$A$6000,0)),"")</f>
        <v/>
      </c>
      <c r="R754" t="inlineStr">
        <is>
          <t>да</t>
        </is>
      </c>
      <c r="T754">
        <f>IF(AND($P754&gt;0,$R754="да"),MAX($T$1:$T753)+1,"")</f>
        <v/>
      </c>
    </row>
    <row r="755">
      <c r="A755">
        <f>IFERROR(INDEX(спр_Работы!$D$2:$D$6000,MATCH($C755,спр_Работы!$A$2:$A$6000,0)),"")</f>
        <v/>
      </c>
      <c r="B755">
        <f>IFERROR(INDEX(спр_Работы!$F$2:$F$6000,MATCH($C755,спр_Работы!$A$2:$A$6000,0)),"")</f>
        <v/>
      </c>
      <c r="C755">
        <f>IFERROR(INDEX(спр_Работы!$A$2:$A$6000,754),"")</f>
        <v/>
      </c>
      <c r="D755" s="8">
        <f>IFERROR(INDEX(спр_Работы!$B$2:$B$6000,MATCH($C755,спр_Работы!$A$2:$A$6000,0)),"")</f>
        <v/>
      </c>
      <c r="E755">
        <f>IFERROR(INDEX(спр_Работы!$C$2:$C$6000,MATCH($C755,спр_Работы!$A$2:$A$6000,0)),"")</f>
        <v/>
      </c>
      <c r="F755">
        <f>IFERROR(INDEX(спр_Работы!$G$2:$G$6000,MATCH($C755,спр_Работы!$A$2:$A$6000,0)),"")</f>
        <v/>
      </c>
      <c r="G755">
        <f>IFERROR(INDEX(спр_Работы!$K$2:$K$6000,MATCH($C755,спр_Работы!$A$2:$A$6000,0)),"")</f>
        <v/>
      </c>
      <c r="H755" s="9" t="n"/>
      <c r="I755" s="9" t="n"/>
      <c r="J755" s="8">
        <f>IFERROR(INDEX(спр_Материалы!$B$2:$B$9000,MATCH($I755,спр_Материалы!$A$2:$A$9000,0)),"")</f>
        <v/>
      </c>
      <c r="K755">
        <f>IF($I755="","",IF($F755=IFERROR(INDEX(спр_Материалы!$G$2:$G$9000,MATCH($I755,спр_Материалы!$A$2:$A$9000,0)),""),"OK","!! не та группа"))</f>
        <v/>
      </c>
      <c r="L755" s="10">
        <f>IFERROR(INDEX(спр_Работы!$H$2:$H$6000,MATCH($C755,спр_Работы!$A$2:$A$6000,0))*(1-ДисконтТендер),0)</f>
        <v/>
      </c>
      <c r="M755" s="10">
        <f>IF($I755="",0,IFERROR(INDEX(спр_Материалы!$I$2:$I$9000,MATCH($I755,спр_Материалы!$A$2:$A$9000,0))*IF(INDEX(спр_Материалы!$J$2:$J$9000,MATCH($I755,спр_Материалы!$A$2:$A$9000,0))="USD",КурсUSD,IF(INDEX(спр_Материалы!$J$2:$J$9000,MATCH($I755,спр_Материалы!$A$2:$A$9000,0))="EUR",КурсEUR,1))*INDEX(спр_Материалы!$K$2:$K$9000,MATCH($I755,спр_Материалы!$A$2:$A$9000,0))*(1+IFERROR(INDEX(спр_Работы!$I$2:$I$6000,MATCH($C755,спр_Работы!$A$2:$A$6000,0))/100,0))*(1-ДисконтТендер),0))</f>
        <v/>
      </c>
      <c r="N755" s="10">
        <f>IF(AND($R755="да",$H755&lt;&gt;""),ROUND($H755*$L755,2),0)</f>
        <v/>
      </c>
      <c r="O755" s="10">
        <f>IF(AND($R755="да",$H755&lt;&gt;""),ROUND($H755*$M755,2),0)</f>
        <v/>
      </c>
      <c r="P755" s="10">
        <f>$N755+$O755</f>
        <v/>
      </c>
      <c r="Q755">
        <f>IFERROR(INDEX(спр_Работы!$J$2:$J$6000,MATCH($C755,спр_Работы!$A$2:$A$6000,0)),"")</f>
        <v/>
      </c>
      <c r="R755" t="inlineStr">
        <is>
          <t>да</t>
        </is>
      </c>
      <c r="T755">
        <f>IF(AND($P755&gt;0,$R755="да"),MAX($T$1:$T754)+1,"")</f>
        <v/>
      </c>
    </row>
    <row r="756">
      <c r="A756">
        <f>IFERROR(INDEX(спр_Работы!$D$2:$D$6000,MATCH($C756,спр_Работы!$A$2:$A$6000,0)),"")</f>
        <v/>
      </c>
      <c r="B756">
        <f>IFERROR(INDEX(спр_Работы!$F$2:$F$6000,MATCH($C756,спр_Работы!$A$2:$A$6000,0)),"")</f>
        <v/>
      </c>
      <c r="C756">
        <f>IFERROR(INDEX(спр_Работы!$A$2:$A$6000,755),"")</f>
        <v/>
      </c>
      <c r="D756" s="8">
        <f>IFERROR(INDEX(спр_Работы!$B$2:$B$6000,MATCH($C756,спр_Работы!$A$2:$A$6000,0)),"")</f>
        <v/>
      </c>
      <c r="E756">
        <f>IFERROR(INDEX(спр_Работы!$C$2:$C$6000,MATCH($C756,спр_Работы!$A$2:$A$6000,0)),"")</f>
        <v/>
      </c>
      <c r="F756">
        <f>IFERROR(INDEX(спр_Работы!$G$2:$G$6000,MATCH($C756,спр_Работы!$A$2:$A$6000,0)),"")</f>
        <v/>
      </c>
      <c r="G756">
        <f>IFERROR(INDEX(спр_Работы!$K$2:$K$6000,MATCH($C756,спр_Работы!$A$2:$A$6000,0)),"")</f>
        <v/>
      </c>
      <c r="H756" s="9" t="n"/>
      <c r="I756" s="9" t="n"/>
      <c r="J756" s="8">
        <f>IFERROR(INDEX(спр_Материалы!$B$2:$B$9000,MATCH($I756,спр_Материалы!$A$2:$A$9000,0)),"")</f>
        <v/>
      </c>
      <c r="K756">
        <f>IF($I756="","",IF($F756=IFERROR(INDEX(спр_Материалы!$G$2:$G$9000,MATCH($I756,спр_Материалы!$A$2:$A$9000,0)),""),"OK","!! не та группа"))</f>
        <v/>
      </c>
      <c r="L756" s="10">
        <f>IFERROR(INDEX(спр_Работы!$H$2:$H$6000,MATCH($C756,спр_Работы!$A$2:$A$6000,0))*(1-ДисконтТендер),0)</f>
        <v/>
      </c>
      <c r="M756" s="10">
        <f>IF($I756="",0,IFERROR(INDEX(спр_Материалы!$I$2:$I$9000,MATCH($I756,спр_Материалы!$A$2:$A$9000,0))*IF(INDEX(спр_Материалы!$J$2:$J$9000,MATCH($I756,спр_Материалы!$A$2:$A$9000,0))="USD",КурсUSD,IF(INDEX(спр_Материалы!$J$2:$J$9000,MATCH($I756,спр_Материалы!$A$2:$A$9000,0))="EUR",КурсEUR,1))*INDEX(спр_Материалы!$K$2:$K$9000,MATCH($I756,спр_Материалы!$A$2:$A$9000,0))*(1+IFERROR(INDEX(спр_Работы!$I$2:$I$6000,MATCH($C756,спр_Работы!$A$2:$A$6000,0))/100,0))*(1-ДисконтТендер),0))</f>
        <v/>
      </c>
      <c r="N756" s="10">
        <f>IF(AND($R756="да",$H756&lt;&gt;""),ROUND($H756*$L756,2),0)</f>
        <v/>
      </c>
      <c r="O756" s="10">
        <f>IF(AND($R756="да",$H756&lt;&gt;""),ROUND($H756*$M756,2),0)</f>
        <v/>
      </c>
      <c r="P756" s="10">
        <f>$N756+$O756</f>
        <v/>
      </c>
      <c r="Q756">
        <f>IFERROR(INDEX(спр_Работы!$J$2:$J$6000,MATCH($C756,спр_Работы!$A$2:$A$6000,0)),"")</f>
        <v/>
      </c>
      <c r="R756" t="inlineStr">
        <is>
          <t>да</t>
        </is>
      </c>
      <c r="T756">
        <f>IF(AND($P756&gt;0,$R756="да"),MAX($T$1:$T755)+1,"")</f>
        <v/>
      </c>
    </row>
    <row r="757">
      <c r="A757">
        <f>IFERROR(INDEX(спр_Работы!$D$2:$D$6000,MATCH($C757,спр_Работы!$A$2:$A$6000,0)),"")</f>
        <v/>
      </c>
      <c r="B757">
        <f>IFERROR(INDEX(спр_Работы!$F$2:$F$6000,MATCH($C757,спр_Работы!$A$2:$A$6000,0)),"")</f>
        <v/>
      </c>
      <c r="C757">
        <f>IFERROR(INDEX(спр_Работы!$A$2:$A$6000,756),"")</f>
        <v/>
      </c>
      <c r="D757" s="8">
        <f>IFERROR(INDEX(спр_Работы!$B$2:$B$6000,MATCH($C757,спр_Работы!$A$2:$A$6000,0)),"")</f>
        <v/>
      </c>
      <c r="E757">
        <f>IFERROR(INDEX(спр_Работы!$C$2:$C$6000,MATCH($C757,спр_Работы!$A$2:$A$6000,0)),"")</f>
        <v/>
      </c>
      <c r="F757">
        <f>IFERROR(INDEX(спр_Работы!$G$2:$G$6000,MATCH($C757,спр_Работы!$A$2:$A$6000,0)),"")</f>
        <v/>
      </c>
      <c r="G757">
        <f>IFERROR(INDEX(спр_Работы!$K$2:$K$6000,MATCH($C757,спр_Работы!$A$2:$A$6000,0)),"")</f>
        <v/>
      </c>
      <c r="H757" s="9" t="n"/>
      <c r="I757" s="9" t="n"/>
      <c r="J757" s="8">
        <f>IFERROR(INDEX(спр_Материалы!$B$2:$B$9000,MATCH($I757,спр_Материалы!$A$2:$A$9000,0)),"")</f>
        <v/>
      </c>
      <c r="K757">
        <f>IF($I757="","",IF($F757=IFERROR(INDEX(спр_Материалы!$G$2:$G$9000,MATCH($I757,спр_Материалы!$A$2:$A$9000,0)),""),"OK","!! не та группа"))</f>
        <v/>
      </c>
      <c r="L757" s="10">
        <f>IFERROR(INDEX(спр_Работы!$H$2:$H$6000,MATCH($C757,спр_Работы!$A$2:$A$6000,0))*(1-ДисконтТендер),0)</f>
        <v/>
      </c>
      <c r="M757" s="10">
        <f>IF($I757="",0,IFERROR(INDEX(спр_Материалы!$I$2:$I$9000,MATCH($I757,спр_Материалы!$A$2:$A$9000,0))*IF(INDEX(спр_Материалы!$J$2:$J$9000,MATCH($I757,спр_Материалы!$A$2:$A$9000,0))="USD",КурсUSD,IF(INDEX(спр_Материалы!$J$2:$J$9000,MATCH($I757,спр_Материалы!$A$2:$A$9000,0))="EUR",КурсEUR,1))*INDEX(спр_Материалы!$K$2:$K$9000,MATCH($I757,спр_Материалы!$A$2:$A$9000,0))*(1+IFERROR(INDEX(спр_Работы!$I$2:$I$6000,MATCH($C757,спр_Работы!$A$2:$A$6000,0))/100,0))*(1-ДисконтТендер),0))</f>
        <v/>
      </c>
      <c r="N757" s="10">
        <f>IF(AND($R757="да",$H757&lt;&gt;""),ROUND($H757*$L757,2),0)</f>
        <v/>
      </c>
      <c r="O757" s="10">
        <f>IF(AND($R757="да",$H757&lt;&gt;""),ROUND($H757*$M757,2),0)</f>
        <v/>
      </c>
      <c r="P757" s="10">
        <f>$N757+$O757</f>
        <v/>
      </c>
      <c r="Q757">
        <f>IFERROR(INDEX(спр_Работы!$J$2:$J$6000,MATCH($C757,спр_Работы!$A$2:$A$6000,0)),"")</f>
        <v/>
      </c>
      <c r="R757" t="inlineStr">
        <is>
          <t>да</t>
        </is>
      </c>
      <c r="T757">
        <f>IF(AND($P757&gt;0,$R757="да"),MAX($T$1:$T756)+1,"")</f>
        <v/>
      </c>
    </row>
    <row r="758">
      <c r="A758">
        <f>IFERROR(INDEX(спр_Работы!$D$2:$D$6000,MATCH($C758,спр_Работы!$A$2:$A$6000,0)),"")</f>
        <v/>
      </c>
      <c r="B758">
        <f>IFERROR(INDEX(спр_Работы!$F$2:$F$6000,MATCH($C758,спр_Работы!$A$2:$A$6000,0)),"")</f>
        <v/>
      </c>
      <c r="C758">
        <f>IFERROR(INDEX(спр_Работы!$A$2:$A$6000,757),"")</f>
        <v/>
      </c>
      <c r="D758" s="8">
        <f>IFERROR(INDEX(спр_Работы!$B$2:$B$6000,MATCH($C758,спр_Работы!$A$2:$A$6000,0)),"")</f>
        <v/>
      </c>
      <c r="E758">
        <f>IFERROR(INDEX(спр_Работы!$C$2:$C$6000,MATCH($C758,спр_Работы!$A$2:$A$6000,0)),"")</f>
        <v/>
      </c>
      <c r="F758">
        <f>IFERROR(INDEX(спр_Работы!$G$2:$G$6000,MATCH($C758,спр_Работы!$A$2:$A$6000,0)),"")</f>
        <v/>
      </c>
      <c r="G758">
        <f>IFERROR(INDEX(спр_Работы!$K$2:$K$6000,MATCH($C758,спр_Работы!$A$2:$A$6000,0)),"")</f>
        <v/>
      </c>
      <c r="H758" s="9" t="n"/>
      <c r="I758" s="9" t="n"/>
      <c r="J758" s="8">
        <f>IFERROR(INDEX(спр_Материалы!$B$2:$B$9000,MATCH($I758,спр_Материалы!$A$2:$A$9000,0)),"")</f>
        <v/>
      </c>
      <c r="K758">
        <f>IF($I758="","",IF($F758=IFERROR(INDEX(спр_Материалы!$G$2:$G$9000,MATCH($I758,спр_Материалы!$A$2:$A$9000,0)),""),"OK","!! не та группа"))</f>
        <v/>
      </c>
      <c r="L758" s="10">
        <f>IFERROR(INDEX(спр_Работы!$H$2:$H$6000,MATCH($C758,спр_Работы!$A$2:$A$6000,0))*(1-ДисконтТендер),0)</f>
        <v/>
      </c>
      <c r="M758" s="10">
        <f>IF($I758="",0,IFERROR(INDEX(спр_Материалы!$I$2:$I$9000,MATCH($I758,спр_Материалы!$A$2:$A$9000,0))*IF(INDEX(спр_Материалы!$J$2:$J$9000,MATCH($I758,спр_Материалы!$A$2:$A$9000,0))="USD",КурсUSD,IF(INDEX(спр_Материалы!$J$2:$J$9000,MATCH($I758,спр_Материалы!$A$2:$A$9000,0))="EUR",КурсEUR,1))*INDEX(спр_Материалы!$K$2:$K$9000,MATCH($I758,спр_Материалы!$A$2:$A$9000,0))*(1+IFERROR(INDEX(спр_Работы!$I$2:$I$6000,MATCH($C758,спр_Работы!$A$2:$A$6000,0))/100,0))*(1-ДисконтТендер),0))</f>
        <v/>
      </c>
      <c r="N758" s="10">
        <f>IF(AND($R758="да",$H758&lt;&gt;""),ROUND($H758*$L758,2),0)</f>
        <v/>
      </c>
      <c r="O758" s="10">
        <f>IF(AND($R758="да",$H758&lt;&gt;""),ROUND($H758*$M758,2),0)</f>
        <v/>
      </c>
      <c r="P758" s="10">
        <f>$N758+$O758</f>
        <v/>
      </c>
      <c r="Q758">
        <f>IFERROR(INDEX(спр_Работы!$J$2:$J$6000,MATCH($C758,спр_Работы!$A$2:$A$6000,0)),"")</f>
        <v/>
      </c>
      <c r="R758" t="inlineStr">
        <is>
          <t>да</t>
        </is>
      </c>
      <c r="T758">
        <f>IF(AND($P758&gt;0,$R758="да"),MAX($T$1:$T757)+1,"")</f>
        <v/>
      </c>
    </row>
    <row r="759">
      <c r="A759">
        <f>IFERROR(INDEX(спр_Работы!$D$2:$D$6000,MATCH($C759,спр_Работы!$A$2:$A$6000,0)),"")</f>
        <v/>
      </c>
      <c r="B759">
        <f>IFERROR(INDEX(спр_Работы!$F$2:$F$6000,MATCH($C759,спр_Работы!$A$2:$A$6000,0)),"")</f>
        <v/>
      </c>
      <c r="C759">
        <f>IFERROR(INDEX(спр_Работы!$A$2:$A$6000,758),"")</f>
        <v/>
      </c>
      <c r="D759" s="8">
        <f>IFERROR(INDEX(спр_Работы!$B$2:$B$6000,MATCH($C759,спр_Работы!$A$2:$A$6000,0)),"")</f>
        <v/>
      </c>
      <c r="E759">
        <f>IFERROR(INDEX(спр_Работы!$C$2:$C$6000,MATCH($C759,спр_Работы!$A$2:$A$6000,0)),"")</f>
        <v/>
      </c>
      <c r="F759">
        <f>IFERROR(INDEX(спр_Работы!$G$2:$G$6000,MATCH($C759,спр_Работы!$A$2:$A$6000,0)),"")</f>
        <v/>
      </c>
      <c r="G759">
        <f>IFERROR(INDEX(спр_Работы!$K$2:$K$6000,MATCH($C759,спр_Работы!$A$2:$A$6000,0)),"")</f>
        <v/>
      </c>
      <c r="H759" s="9" t="n"/>
      <c r="I759" s="9" t="n"/>
      <c r="J759" s="8">
        <f>IFERROR(INDEX(спр_Материалы!$B$2:$B$9000,MATCH($I759,спр_Материалы!$A$2:$A$9000,0)),"")</f>
        <v/>
      </c>
      <c r="K759">
        <f>IF($I759="","",IF($F759=IFERROR(INDEX(спр_Материалы!$G$2:$G$9000,MATCH($I759,спр_Материалы!$A$2:$A$9000,0)),""),"OK","!! не та группа"))</f>
        <v/>
      </c>
      <c r="L759" s="10">
        <f>IFERROR(INDEX(спр_Работы!$H$2:$H$6000,MATCH($C759,спр_Работы!$A$2:$A$6000,0))*(1-ДисконтТендер),0)</f>
        <v/>
      </c>
      <c r="M759" s="10">
        <f>IF($I759="",0,IFERROR(INDEX(спр_Материалы!$I$2:$I$9000,MATCH($I759,спр_Материалы!$A$2:$A$9000,0))*IF(INDEX(спр_Материалы!$J$2:$J$9000,MATCH($I759,спр_Материалы!$A$2:$A$9000,0))="USD",КурсUSD,IF(INDEX(спр_Материалы!$J$2:$J$9000,MATCH($I759,спр_Материалы!$A$2:$A$9000,0))="EUR",КурсEUR,1))*INDEX(спр_Материалы!$K$2:$K$9000,MATCH($I759,спр_Материалы!$A$2:$A$9000,0))*(1+IFERROR(INDEX(спр_Работы!$I$2:$I$6000,MATCH($C759,спр_Работы!$A$2:$A$6000,0))/100,0))*(1-ДисконтТендер),0))</f>
        <v/>
      </c>
      <c r="N759" s="10">
        <f>IF(AND($R759="да",$H759&lt;&gt;""),ROUND($H759*$L759,2),0)</f>
        <v/>
      </c>
      <c r="O759" s="10">
        <f>IF(AND($R759="да",$H759&lt;&gt;""),ROUND($H759*$M759,2),0)</f>
        <v/>
      </c>
      <c r="P759" s="10">
        <f>$N759+$O759</f>
        <v/>
      </c>
      <c r="Q759">
        <f>IFERROR(INDEX(спр_Работы!$J$2:$J$6000,MATCH($C759,спр_Работы!$A$2:$A$6000,0)),"")</f>
        <v/>
      </c>
      <c r="R759" t="inlineStr">
        <is>
          <t>да</t>
        </is>
      </c>
      <c r="T759">
        <f>IF(AND($P759&gt;0,$R759="да"),MAX($T$1:$T758)+1,"")</f>
        <v/>
      </c>
    </row>
    <row r="760">
      <c r="A760">
        <f>IFERROR(INDEX(спр_Работы!$D$2:$D$6000,MATCH($C760,спр_Работы!$A$2:$A$6000,0)),"")</f>
        <v/>
      </c>
      <c r="B760">
        <f>IFERROR(INDEX(спр_Работы!$F$2:$F$6000,MATCH($C760,спр_Работы!$A$2:$A$6000,0)),"")</f>
        <v/>
      </c>
      <c r="C760">
        <f>IFERROR(INDEX(спр_Работы!$A$2:$A$6000,759),"")</f>
        <v/>
      </c>
      <c r="D760" s="8">
        <f>IFERROR(INDEX(спр_Работы!$B$2:$B$6000,MATCH($C760,спр_Работы!$A$2:$A$6000,0)),"")</f>
        <v/>
      </c>
      <c r="E760">
        <f>IFERROR(INDEX(спр_Работы!$C$2:$C$6000,MATCH($C760,спр_Работы!$A$2:$A$6000,0)),"")</f>
        <v/>
      </c>
      <c r="F760">
        <f>IFERROR(INDEX(спр_Работы!$G$2:$G$6000,MATCH($C760,спр_Работы!$A$2:$A$6000,0)),"")</f>
        <v/>
      </c>
      <c r="G760">
        <f>IFERROR(INDEX(спр_Работы!$K$2:$K$6000,MATCH($C760,спр_Работы!$A$2:$A$6000,0)),"")</f>
        <v/>
      </c>
      <c r="H760" s="9" t="n"/>
      <c r="I760" s="9" t="n"/>
      <c r="J760" s="8">
        <f>IFERROR(INDEX(спр_Материалы!$B$2:$B$9000,MATCH($I760,спр_Материалы!$A$2:$A$9000,0)),"")</f>
        <v/>
      </c>
      <c r="K760">
        <f>IF($I760="","",IF($F760=IFERROR(INDEX(спр_Материалы!$G$2:$G$9000,MATCH($I760,спр_Материалы!$A$2:$A$9000,0)),""),"OK","!! не та группа"))</f>
        <v/>
      </c>
      <c r="L760" s="10">
        <f>IFERROR(INDEX(спр_Работы!$H$2:$H$6000,MATCH($C760,спр_Работы!$A$2:$A$6000,0))*(1-ДисконтТендер),0)</f>
        <v/>
      </c>
      <c r="M760" s="10">
        <f>IF($I760="",0,IFERROR(INDEX(спр_Материалы!$I$2:$I$9000,MATCH($I760,спр_Материалы!$A$2:$A$9000,0))*IF(INDEX(спр_Материалы!$J$2:$J$9000,MATCH($I760,спр_Материалы!$A$2:$A$9000,0))="USD",КурсUSD,IF(INDEX(спр_Материалы!$J$2:$J$9000,MATCH($I760,спр_Материалы!$A$2:$A$9000,0))="EUR",КурсEUR,1))*INDEX(спр_Материалы!$K$2:$K$9000,MATCH($I760,спр_Материалы!$A$2:$A$9000,0))*(1+IFERROR(INDEX(спр_Работы!$I$2:$I$6000,MATCH($C760,спр_Работы!$A$2:$A$6000,0))/100,0))*(1-ДисконтТендер),0))</f>
        <v/>
      </c>
      <c r="N760" s="10">
        <f>IF(AND($R760="да",$H760&lt;&gt;""),ROUND($H760*$L760,2),0)</f>
        <v/>
      </c>
      <c r="O760" s="10">
        <f>IF(AND($R760="да",$H760&lt;&gt;""),ROUND($H760*$M760,2),0)</f>
        <v/>
      </c>
      <c r="P760" s="10">
        <f>$N760+$O760</f>
        <v/>
      </c>
      <c r="Q760">
        <f>IFERROR(INDEX(спр_Работы!$J$2:$J$6000,MATCH($C760,спр_Работы!$A$2:$A$6000,0)),"")</f>
        <v/>
      </c>
      <c r="R760" t="inlineStr">
        <is>
          <t>да</t>
        </is>
      </c>
      <c r="T760">
        <f>IF(AND($P760&gt;0,$R760="да"),MAX($T$1:$T759)+1,"")</f>
        <v/>
      </c>
    </row>
    <row r="761">
      <c r="A761">
        <f>IFERROR(INDEX(спр_Работы!$D$2:$D$6000,MATCH($C761,спр_Работы!$A$2:$A$6000,0)),"")</f>
        <v/>
      </c>
      <c r="B761">
        <f>IFERROR(INDEX(спр_Работы!$F$2:$F$6000,MATCH($C761,спр_Работы!$A$2:$A$6000,0)),"")</f>
        <v/>
      </c>
      <c r="C761">
        <f>IFERROR(INDEX(спр_Работы!$A$2:$A$6000,760),"")</f>
        <v/>
      </c>
      <c r="D761" s="8">
        <f>IFERROR(INDEX(спр_Работы!$B$2:$B$6000,MATCH($C761,спр_Работы!$A$2:$A$6000,0)),"")</f>
        <v/>
      </c>
      <c r="E761">
        <f>IFERROR(INDEX(спр_Работы!$C$2:$C$6000,MATCH($C761,спр_Работы!$A$2:$A$6000,0)),"")</f>
        <v/>
      </c>
      <c r="F761">
        <f>IFERROR(INDEX(спр_Работы!$G$2:$G$6000,MATCH($C761,спр_Работы!$A$2:$A$6000,0)),"")</f>
        <v/>
      </c>
      <c r="G761">
        <f>IFERROR(INDEX(спр_Работы!$K$2:$K$6000,MATCH($C761,спр_Работы!$A$2:$A$6000,0)),"")</f>
        <v/>
      </c>
      <c r="H761" s="9" t="n"/>
      <c r="I761" s="9" t="n"/>
      <c r="J761" s="8">
        <f>IFERROR(INDEX(спр_Материалы!$B$2:$B$9000,MATCH($I761,спр_Материалы!$A$2:$A$9000,0)),"")</f>
        <v/>
      </c>
      <c r="K761">
        <f>IF($I761="","",IF($F761=IFERROR(INDEX(спр_Материалы!$G$2:$G$9000,MATCH($I761,спр_Материалы!$A$2:$A$9000,0)),""),"OK","!! не та группа"))</f>
        <v/>
      </c>
      <c r="L761" s="10">
        <f>IFERROR(INDEX(спр_Работы!$H$2:$H$6000,MATCH($C761,спр_Работы!$A$2:$A$6000,0))*(1-ДисконтТендер),0)</f>
        <v/>
      </c>
      <c r="M761" s="10">
        <f>IF($I761="",0,IFERROR(INDEX(спр_Материалы!$I$2:$I$9000,MATCH($I761,спр_Материалы!$A$2:$A$9000,0))*IF(INDEX(спр_Материалы!$J$2:$J$9000,MATCH($I761,спр_Материалы!$A$2:$A$9000,0))="USD",КурсUSD,IF(INDEX(спр_Материалы!$J$2:$J$9000,MATCH($I761,спр_Материалы!$A$2:$A$9000,0))="EUR",КурсEUR,1))*INDEX(спр_Материалы!$K$2:$K$9000,MATCH($I761,спр_Материалы!$A$2:$A$9000,0))*(1+IFERROR(INDEX(спр_Работы!$I$2:$I$6000,MATCH($C761,спр_Работы!$A$2:$A$6000,0))/100,0))*(1-ДисконтТендер),0))</f>
        <v/>
      </c>
      <c r="N761" s="10">
        <f>IF(AND($R761="да",$H761&lt;&gt;""),ROUND($H761*$L761,2),0)</f>
        <v/>
      </c>
      <c r="O761" s="10">
        <f>IF(AND($R761="да",$H761&lt;&gt;""),ROUND($H761*$M761,2),0)</f>
        <v/>
      </c>
      <c r="P761" s="10">
        <f>$N761+$O761</f>
        <v/>
      </c>
      <c r="Q761">
        <f>IFERROR(INDEX(спр_Работы!$J$2:$J$6000,MATCH($C761,спр_Работы!$A$2:$A$6000,0)),"")</f>
        <v/>
      </c>
      <c r="R761" t="inlineStr">
        <is>
          <t>да</t>
        </is>
      </c>
      <c r="T761">
        <f>IF(AND($P761&gt;0,$R761="да"),MAX($T$1:$T760)+1,"")</f>
        <v/>
      </c>
    </row>
    <row r="762">
      <c r="A762">
        <f>IFERROR(INDEX(спр_Работы!$D$2:$D$6000,MATCH($C762,спр_Работы!$A$2:$A$6000,0)),"")</f>
        <v/>
      </c>
      <c r="B762">
        <f>IFERROR(INDEX(спр_Работы!$F$2:$F$6000,MATCH($C762,спр_Работы!$A$2:$A$6000,0)),"")</f>
        <v/>
      </c>
      <c r="C762">
        <f>IFERROR(INDEX(спр_Работы!$A$2:$A$6000,761),"")</f>
        <v/>
      </c>
      <c r="D762" s="8">
        <f>IFERROR(INDEX(спр_Работы!$B$2:$B$6000,MATCH($C762,спр_Работы!$A$2:$A$6000,0)),"")</f>
        <v/>
      </c>
      <c r="E762">
        <f>IFERROR(INDEX(спр_Работы!$C$2:$C$6000,MATCH($C762,спр_Работы!$A$2:$A$6000,0)),"")</f>
        <v/>
      </c>
      <c r="F762">
        <f>IFERROR(INDEX(спр_Работы!$G$2:$G$6000,MATCH($C762,спр_Работы!$A$2:$A$6000,0)),"")</f>
        <v/>
      </c>
      <c r="G762">
        <f>IFERROR(INDEX(спр_Работы!$K$2:$K$6000,MATCH($C762,спр_Работы!$A$2:$A$6000,0)),"")</f>
        <v/>
      </c>
      <c r="H762" s="9" t="n"/>
      <c r="I762" s="9" t="n"/>
      <c r="J762" s="8">
        <f>IFERROR(INDEX(спр_Материалы!$B$2:$B$9000,MATCH($I762,спр_Материалы!$A$2:$A$9000,0)),"")</f>
        <v/>
      </c>
      <c r="K762">
        <f>IF($I762="","",IF($F762=IFERROR(INDEX(спр_Материалы!$G$2:$G$9000,MATCH($I762,спр_Материалы!$A$2:$A$9000,0)),""),"OK","!! не та группа"))</f>
        <v/>
      </c>
      <c r="L762" s="10">
        <f>IFERROR(INDEX(спр_Работы!$H$2:$H$6000,MATCH($C762,спр_Работы!$A$2:$A$6000,0))*(1-ДисконтТендер),0)</f>
        <v/>
      </c>
      <c r="M762" s="10">
        <f>IF($I762="",0,IFERROR(INDEX(спр_Материалы!$I$2:$I$9000,MATCH($I762,спр_Материалы!$A$2:$A$9000,0))*IF(INDEX(спр_Материалы!$J$2:$J$9000,MATCH($I762,спр_Материалы!$A$2:$A$9000,0))="USD",КурсUSD,IF(INDEX(спр_Материалы!$J$2:$J$9000,MATCH($I762,спр_Материалы!$A$2:$A$9000,0))="EUR",КурсEUR,1))*INDEX(спр_Материалы!$K$2:$K$9000,MATCH($I762,спр_Материалы!$A$2:$A$9000,0))*(1+IFERROR(INDEX(спр_Работы!$I$2:$I$6000,MATCH($C762,спр_Работы!$A$2:$A$6000,0))/100,0))*(1-ДисконтТендер),0))</f>
        <v/>
      </c>
      <c r="N762" s="10">
        <f>IF(AND($R762="да",$H762&lt;&gt;""),ROUND($H762*$L762,2),0)</f>
        <v/>
      </c>
      <c r="O762" s="10">
        <f>IF(AND($R762="да",$H762&lt;&gt;""),ROUND($H762*$M762,2),0)</f>
        <v/>
      </c>
      <c r="P762" s="10">
        <f>$N762+$O762</f>
        <v/>
      </c>
      <c r="Q762">
        <f>IFERROR(INDEX(спр_Работы!$J$2:$J$6000,MATCH($C762,спр_Работы!$A$2:$A$6000,0)),"")</f>
        <v/>
      </c>
      <c r="R762" t="inlineStr">
        <is>
          <t>да</t>
        </is>
      </c>
      <c r="T762">
        <f>IF(AND($P762&gt;0,$R762="да"),MAX($T$1:$T761)+1,"")</f>
        <v/>
      </c>
    </row>
    <row r="763">
      <c r="A763">
        <f>IFERROR(INDEX(спр_Работы!$D$2:$D$6000,MATCH($C763,спр_Работы!$A$2:$A$6000,0)),"")</f>
        <v/>
      </c>
      <c r="B763">
        <f>IFERROR(INDEX(спр_Работы!$F$2:$F$6000,MATCH($C763,спр_Работы!$A$2:$A$6000,0)),"")</f>
        <v/>
      </c>
      <c r="C763">
        <f>IFERROR(INDEX(спр_Работы!$A$2:$A$6000,762),"")</f>
        <v/>
      </c>
      <c r="D763" s="8">
        <f>IFERROR(INDEX(спр_Работы!$B$2:$B$6000,MATCH($C763,спр_Работы!$A$2:$A$6000,0)),"")</f>
        <v/>
      </c>
      <c r="E763">
        <f>IFERROR(INDEX(спр_Работы!$C$2:$C$6000,MATCH($C763,спр_Работы!$A$2:$A$6000,0)),"")</f>
        <v/>
      </c>
      <c r="F763">
        <f>IFERROR(INDEX(спр_Работы!$G$2:$G$6000,MATCH($C763,спр_Работы!$A$2:$A$6000,0)),"")</f>
        <v/>
      </c>
      <c r="G763">
        <f>IFERROR(INDEX(спр_Работы!$K$2:$K$6000,MATCH($C763,спр_Работы!$A$2:$A$6000,0)),"")</f>
        <v/>
      </c>
      <c r="H763" s="9" t="n"/>
      <c r="I763" s="9" t="n"/>
      <c r="J763" s="8">
        <f>IFERROR(INDEX(спр_Материалы!$B$2:$B$9000,MATCH($I763,спр_Материалы!$A$2:$A$9000,0)),"")</f>
        <v/>
      </c>
      <c r="K763">
        <f>IF($I763="","",IF($F763=IFERROR(INDEX(спр_Материалы!$G$2:$G$9000,MATCH($I763,спр_Материалы!$A$2:$A$9000,0)),""),"OK","!! не та группа"))</f>
        <v/>
      </c>
      <c r="L763" s="10">
        <f>IFERROR(INDEX(спр_Работы!$H$2:$H$6000,MATCH($C763,спр_Работы!$A$2:$A$6000,0))*(1-ДисконтТендер),0)</f>
        <v/>
      </c>
      <c r="M763" s="10">
        <f>IF($I763="",0,IFERROR(INDEX(спр_Материалы!$I$2:$I$9000,MATCH($I763,спр_Материалы!$A$2:$A$9000,0))*IF(INDEX(спр_Материалы!$J$2:$J$9000,MATCH($I763,спр_Материалы!$A$2:$A$9000,0))="USD",КурсUSD,IF(INDEX(спр_Материалы!$J$2:$J$9000,MATCH($I763,спр_Материалы!$A$2:$A$9000,0))="EUR",КурсEUR,1))*INDEX(спр_Материалы!$K$2:$K$9000,MATCH($I763,спр_Материалы!$A$2:$A$9000,0))*(1+IFERROR(INDEX(спр_Работы!$I$2:$I$6000,MATCH($C763,спр_Работы!$A$2:$A$6000,0))/100,0))*(1-ДисконтТендер),0))</f>
        <v/>
      </c>
      <c r="N763" s="10">
        <f>IF(AND($R763="да",$H763&lt;&gt;""),ROUND($H763*$L763,2),0)</f>
        <v/>
      </c>
      <c r="O763" s="10">
        <f>IF(AND($R763="да",$H763&lt;&gt;""),ROUND($H763*$M763,2),0)</f>
        <v/>
      </c>
      <c r="P763" s="10">
        <f>$N763+$O763</f>
        <v/>
      </c>
      <c r="Q763">
        <f>IFERROR(INDEX(спр_Работы!$J$2:$J$6000,MATCH($C763,спр_Работы!$A$2:$A$6000,0)),"")</f>
        <v/>
      </c>
      <c r="R763" t="inlineStr">
        <is>
          <t>да</t>
        </is>
      </c>
      <c r="T763">
        <f>IF(AND($P763&gt;0,$R763="да"),MAX($T$1:$T762)+1,"")</f>
        <v/>
      </c>
    </row>
    <row r="764">
      <c r="A764">
        <f>IFERROR(INDEX(спр_Работы!$D$2:$D$6000,MATCH($C764,спр_Работы!$A$2:$A$6000,0)),"")</f>
        <v/>
      </c>
      <c r="B764">
        <f>IFERROR(INDEX(спр_Работы!$F$2:$F$6000,MATCH($C764,спр_Работы!$A$2:$A$6000,0)),"")</f>
        <v/>
      </c>
      <c r="C764">
        <f>IFERROR(INDEX(спр_Работы!$A$2:$A$6000,763),"")</f>
        <v/>
      </c>
      <c r="D764" s="8">
        <f>IFERROR(INDEX(спр_Работы!$B$2:$B$6000,MATCH($C764,спр_Работы!$A$2:$A$6000,0)),"")</f>
        <v/>
      </c>
      <c r="E764">
        <f>IFERROR(INDEX(спр_Работы!$C$2:$C$6000,MATCH($C764,спр_Работы!$A$2:$A$6000,0)),"")</f>
        <v/>
      </c>
      <c r="F764">
        <f>IFERROR(INDEX(спр_Работы!$G$2:$G$6000,MATCH($C764,спр_Работы!$A$2:$A$6000,0)),"")</f>
        <v/>
      </c>
      <c r="G764">
        <f>IFERROR(INDEX(спр_Работы!$K$2:$K$6000,MATCH($C764,спр_Работы!$A$2:$A$6000,0)),"")</f>
        <v/>
      </c>
      <c r="H764" s="9" t="n"/>
      <c r="I764" s="9" t="n"/>
      <c r="J764" s="8">
        <f>IFERROR(INDEX(спр_Материалы!$B$2:$B$9000,MATCH($I764,спр_Материалы!$A$2:$A$9000,0)),"")</f>
        <v/>
      </c>
      <c r="K764">
        <f>IF($I764="","",IF($F764=IFERROR(INDEX(спр_Материалы!$G$2:$G$9000,MATCH($I764,спр_Материалы!$A$2:$A$9000,0)),""),"OK","!! не та группа"))</f>
        <v/>
      </c>
      <c r="L764" s="10">
        <f>IFERROR(INDEX(спр_Работы!$H$2:$H$6000,MATCH($C764,спр_Работы!$A$2:$A$6000,0))*(1-ДисконтТендер),0)</f>
        <v/>
      </c>
      <c r="M764" s="10">
        <f>IF($I764="",0,IFERROR(INDEX(спр_Материалы!$I$2:$I$9000,MATCH($I764,спр_Материалы!$A$2:$A$9000,0))*IF(INDEX(спр_Материалы!$J$2:$J$9000,MATCH($I764,спр_Материалы!$A$2:$A$9000,0))="USD",КурсUSD,IF(INDEX(спр_Материалы!$J$2:$J$9000,MATCH($I764,спр_Материалы!$A$2:$A$9000,0))="EUR",КурсEUR,1))*INDEX(спр_Материалы!$K$2:$K$9000,MATCH($I764,спр_Материалы!$A$2:$A$9000,0))*(1+IFERROR(INDEX(спр_Работы!$I$2:$I$6000,MATCH($C764,спр_Работы!$A$2:$A$6000,0))/100,0))*(1-ДисконтТендер),0))</f>
        <v/>
      </c>
      <c r="N764" s="10">
        <f>IF(AND($R764="да",$H764&lt;&gt;""),ROUND($H764*$L764,2),0)</f>
        <v/>
      </c>
      <c r="O764" s="10">
        <f>IF(AND($R764="да",$H764&lt;&gt;""),ROUND($H764*$M764,2),0)</f>
        <v/>
      </c>
      <c r="P764" s="10">
        <f>$N764+$O764</f>
        <v/>
      </c>
      <c r="Q764">
        <f>IFERROR(INDEX(спр_Работы!$J$2:$J$6000,MATCH($C764,спр_Работы!$A$2:$A$6000,0)),"")</f>
        <v/>
      </c>
      <c r="R764" t="inlineStr">
        <is>
          <t>да</t>
        </is>
      </c>
      <c r="T764">
        <f>IF(AND($P764&gt;0,$R764="да"),MAX($T$1:$T763)+1,"")</f>
        <v/>
      </c>
    </row>
    <row r="765">
      <c r="A765">
        <f>IFERROR(INDEX(спр_Работы!$D$2:$D$6000,MATCH($C765,спр_Работы!$A$2:$A$6000,0)),"")</f>
        <v/>
      </c>
      <c r="B765">
        <f>IFERROR(INDEX(спр_Работы!$F$2:$F$6000,MATCH($C765,спр_Работы!$A$2:$A$6000,0)),"")</f>
        <v/>
      </c>
      <c r="C765">
        <f>IFERROR(INDEX(спр_Работы!$A$2:$A$6000,764),"")</f>
        <v/>
      </c>
      <c r="D765" s="8">
        <f>IFERROR(INDEX(спр_Работы!$B$2:$B$6000,MATCH($C765,спр_Работы!$A$2:$A$6000,0)),"")</f>
        <v/>
      </c>
      <c r="E765">
        <f>IFERROR(INDEX(спр_Работы!$C$2:$C$6000,MATCH($C765,спр_Работы!$A$2:$A$6000,0)),"")</f>
        <v/>
      </c>
      <c r="F765">
        <f>IFERROR(INDEX(спр_Работы!$G$2:$G$6000,MATCH($C765,спр_Работы!$A$2:$A$6000,0)),"")</f>
        <v/>
      </c>
      <c r="G765">
        <f>IFERROR(INDEX(спр_Работы!$K$2:$K$6000,MATCH($C765,спр_Работы!$A$2:$A$6000,0)),"")</f>
        <v/>
      </c>
      <c r="H765" s="9" t="n"/>
      <c r="I765" s="9" t="n"/>
      <c r="J765" s="8">
        <f>IFERROR(INDEX(спр_Материалы!$B$2:$B$9000,MATCH($I765,спр_Материалы!$A$2:$A$9000,0)),"")</f>
        <v/>
      </c>
      <c r="K765">
        <f>IF($I765="","",IF($F765=IFERROR(INDEX(спр_Материалы!$G$2:$G$9000,MATCH($I765,спр_Материалы!$A$2:$A$9000,0)),""),"OK","!! не та группа"))</f>
        <v/>
      </c>
      <c r="L765" s="10">
        <f>IFERROR(INDEX(спр_Работы!$H$2:$H$6000,MATCH($C765,спр_Работы!$A$2:$A$6000,0))*(1-ДисконтТендер),0)</f>
        <v/>
      </c>
      <c r="M765" s="10">
        <f>IF($I765="",0,IFERROR(INDEX(спр_Материалы!$I$2:$I$9000,MATCH($I765,спр_Материалы!$A$2:$A$9000,0))*IF(INDEX(спр_Материалы!$J$2:$J$9000,MATCH($I765,спр_Материалы!$A$2:$A$9000,0))="USD",КурсUSD,IF(INDEX(спр_Материалы!$J$2:$J$9000,MATCH($I765,спр_Материалы!$A$2:$A$9000,0))="EUR",КурсEUR,1))*INDEX(спр_Материалы!$K$2:$K$9000,MATCH($I765,спр_Материалы!$A$2:$A$9000,0))*(1+IFERROR(INDEX(спр_Работы!$I$2:$I$6000,MATCH($C765,спр_Работы!$A$2:$A$6000,0))/100,0))*(1-ДисконтТендер),0))</f>
        <v/>
      </c>
      <c r="N765" s="10">
        <f>IF(AND($R765="да",$H765&lt;&gt;""),ROUND($H765*$L765,2),0)</f>
        <v/>
      </c>
      <c r="O765" s="10">
        <f>IF(AND($R765="да",$H765&lt;&gt;""),ROUND($H765*$M765,2),0)</f>
        <v/>
      </c>
      <c r="P765" s="10">
        <f>$N765+$O765</f>
        <v/>
      </c>
      <c r="Q765">
        <f>IFERROR(INDEX(спр_Работы!$J$2:$J$6000,MATCH($C765,спр_Работы!$A$2:$A$6000,0)),"")</f>
        <v/>
      </c>
      <c r="R765" t="inlineStr">
        <is>
          <t>да</t>
        </is>
      </c>
      <c r="T765">
        <f>IF(AND($P765&gt;0,$R765="да"),MAX($T$1:$T764)+1,"")</f>
        <v/>
      </c>
    </row>
    <row r="766">
      <c r="A766">
        <f>IFERROR(INDEX(спр_Работы!$D$2:$D$6000,MATCH($C766,спр_Работы!$A$2:$A$6000,0)),"")</f>
        <v/>
      </c>
      <c r="B766">
        <f>IFERROR(INDEX(спр_Работы!$F$2:$F$6000,MATCH($C766,спр_Работы!$A$2:$A$6000,0)),"")</f>
        <v/>
      </c>
      <c r="C766">
        <f>IFERROR(INDEX(спр_Работы!$A$2:$A$6000,765),"")</f>
        <v/>
      </c>
      <c r="D766" s="8">
        <f>IFERROR(INDEX(спр_Работы!$B$2:$B$6000,MATCH($C766,спр_Работы!$A$2:$A$6000,0)),"")</f>
        <v/>
      </c>
      <c r="E766">
        <f>IFERROR(INDEX(спр_Работы!$C$2:$C$6000,MATCH($C766,спр_Работы!$A$2:$A$6000,0)),"")</f>
        <v/>
      </c>
      <c r="F766">
        <f>IFERROR(INDEX(спр_Работы!$G$2:$G$6000,MATCH($C766,спр_Работы!$A$2:$A$6000,0)),"")</f>
        <v/>
      </c>
      <c r="G766">
        <f>IFERROR(INDEX(спр_Работы!$K$2:$K$6000,MATCH($C766,спр_Работы!$A$2:$A$6000,0)),"")</f>
        <v/>
      </c>
      <c r="H766" s="9" t="n"/>
      <c r="I766" s="9" t="n"/>
      <c r="J766" s="8">
        <f>IFERROR(INDEX(спр_Материалы!$B$2:$B$9000,MATCH($I766,спр_Материалы!$A$2:$A$9000,0)),"")</f>
        <v/>
      </c>
      <c r="K766">
        <f>IF($I766="","",IF($F766=IFERROR(INDEX(спр_Материалы!$G$2:$G$9000,MATCH($I766,спр_Материалы!$A$2:$A$9000,0)),""),"OK","!! не та группа"))</f>
        <v/>
      </c>
      <c r="L766" s="10">
        <f>IFERROR(INDEX(спр_Работы!$H$2:$H$6000,MATCH($C766,спр_Работы!$A$2:$A$6000,0))*(1-ДисконтТендер),0)</f>
        <v/>
      </c>
      <c r="M766" s="10">
        <f>IF($I766="",0,IFERROR(INDEX(спр_Материалы!$I$2:$I$9000,MATCH($I766,спр_Материалы!$A$2:$A$9000,0))*IF(INDEX(спр_Материалы!$J$2:$J$9000,MATCH($I766,спр_Материалы!$A$2:$A$9000,0))="USD",КурсUSD,IF(INDEX(спр_Материалы!$J$2:$J$9000,MATCH($I766,спр_Материалы!$A$2:$A$9000,0))="EUR",КурсEUR,1))*INDEX(спр_Материалы!$K$2:$K$9000,MATCH($I766,спр_Материалы!$A$2:$A$9000,0))*(1+IFERROR(INDEX(спр_Работы!$I$2:$I$6000,MATCH($C766,спр_Работы!$A$2:$A$6000,0))/100,0))*(1-ДисконтТендер),0))</f>
        <v/>
      </c>
      <c r="N766" s="10">
        <f>IF(AND($R766="да",$H766&lt;&gt;""),ROUND($H766*$L766,2),0)</f>
        <v/>
      </c>
      <c r="O766" s="10">
        <f>IF(AND($R766="да",$H766&lt;&gt;""),ROUND($H766*$M766,2),0)</f>
        <v/>
      </c>
      <c r="P766" s="10">
        <f>$N766+$O766</f>
        <v/>
      </c>
      <c r="Q766">
        <f>IFERROR(INDEX(спр_Работы!$J$2:$J$6000,MATCH($C766,спр_Работы!$A$2:$A$6000,0)),"")</f>
        <v/>
      </c>
      <c r="R766" t="inlineStr">
        <is>
          <t>да</t>
        </is>
      </c>
      <c r="T766">
        <f>IF(AND($P766&gt;0,$R766="да"),MAX($T$1:$T765)+1,"")</f>
        <v/>
      </c>
    </row>
    <row r="767">
      <c r="A767">
        <f>IFERROR(INDEX(спр_Работы!$D$2:$D$6000,MATCH($C767,спр_Работы!$A$2:$A$6000,0)),"")</f>
        <v/>
      </c>
      <c r="B767">
        <f>IFERROR(INDEX(спр_Работы!$F$2:$F$6000,MATCH($C767,спр_Работы!$A$2:$A$6000,0)),"")</f>
        <v/>
      </c>
      <c r="C767">
        <f>IFERROR(INDEX(спр_Работы!$A$2:$A$6000,766),"")</f>
        <v/>
      </c>
      <c r="D767" s="8">
        <f>IFERROR(INDEX(спр_Работы!$B$2:$B$6000,MATCH($C767,спр_Работы!$A$2:$A$6000,0)),"")</f>
        <v/>
      </c>
      <c r="E767">
        <f>IFERROR(INDEX(спр_Работы!$C$2:$C$6000,MATCH($C767,спр_Работы!$A$2:$A$6000,0)),"")</f>
        <v/>
      </c>
      <c r="F767">
        <f>IFERROR(INDEX(спр_Работы!$G$2:$G$6000,MATCH($C767,спр_Работы!$A$2:$A$6000,0)),"")</f>
        <v/>
      </c>
      <c r="G767">
        <f>IFERROR(INDEX(спр_Работы!$K$2:$K$6000,MATCH($C767,спр_Работы!$A$2:$A$6000,0)),"")</f>
        <v/>
      </c>
      <c r="H767" s="9" t="n"/>
      <c r="I767" s="9" t="n"/>
      <c r="J767" s="8">
        <f>IFERROR(INDEX(спр_Материалы!$B$2:$B$9000,MATCH($I767,спр_Материалы!$A$2:$A$9000,0)),"")</f>
        <v/>
      </c>
      <c r="K767">
        <f>IF($I767="","",IF($F767=IFERROR(INDEX(спр_Материалы!$G$2:$G$9000,MATCH($I767,спр_Материалы!$A$2:$A$9000,0)),""),"OK","!! не та группа"))</f>
        <v/>
      </c>
      <c r="L767" s="10">
        <f>IFERROR(INDEX(спр_Работы!$H$2:$H$6000,MATCH($C767,спр_Работы!$A$2:$A$6000,0))*(1-ДисконтТендер),0)</f>
        <v/>
      </c>
      <c r="M767" s="10">
        <f>IF($I767="",0,IFERROR(INDEX(спр_Материалы!$I$2:$I$9000,MATCH($I767,спр_Материалы!$A$2:$A$9000,0))*IF(INDEX(спр_Материалы!$J$2:$J$9000,MATCH($I767,спр_Материалы!$A$2:$A$9000,0))="USD",КурсUSD,IF(INDEX(спр_Материалы!$J$2:$J$9000,MATCH($I767,спр_Материалы!$A$2:$A$9000,0))="EUR",КурсEUR,1))*INDEX(спр_Материалы!$K$2:$K$9000,MATCH($I767,спр_Материалы!$A$2:$A$9000,0))*(1+IFERROR(INDEX(спр_Работы!$I$2:$I$6000,MATCH($C767,спр_Работы!$A$2:$A$6000,0))/100,0))*(1-ДисконтТендер),0))</f>
        <v/>
      </c>
      <c r="N767" s="10">
        <f>IF(AND($R767="да",$H767&lt;&gt;""),ROUND($H767*$L767,2),0)</f>
        <v/>
      </c>
      <c r="O767" s="10">
        <f>IF(AND($R767="да",$H767&lt;&gt;""),ROUND($H767*$M767,2),0)</f>
        <v/>
      </c>
      <c r="P767" s="10">
        <f>$N767+$O767</f>
        <v/>
      </c>
      <c r="Q767">
        <f>IFERROR(INDEX(спр_Работы!$J$2:$J$6000,MATCH($C767,спр_Работы!$A$2:$A$6000,0)),"")</f>
        <v/>
      </c>
      <c r="R767" t="inlineStr">
        <is>
          <t>да</t>
        </is>
      </c>
      <c r="T767">
        <f>IF(AND($P767&gt;0,$R767="да"),MAX($T$1:$T766)+1,"")</f>
        <v/>
      </c>
    </row>
    <row r="768">
      <c r="A768">
        <f>IFERROR(INDEX(спр_Работы!$D$2:$D$6000,MATCH($C768,спр_Работы!$A$2:$A$6000,0)),"")</f>
        <v/>
      </c>
      <c r="B768">
        <f>IFERROR(INDEX(спр_Работы!$F$2:$F$6000,MATCH($C768,спр_Работы!$A$2:$A$6000,0)),"")</f>
        <v/>
      </c>
      <c r="C768">
        <f>IFERROR(INDEX(спр_Работы!$A$2:$A$6000,767),"")</f>
        <v/>
      </c>
      <c r="D768" s="8">
        <f>IFERROR(INDEX(спр_Работы!$B$2:$B$6000,MATCH($C768,спр_Работы!$A$2:$A$6000,0)),"")</f>
        <v/>
      </c>
      <c r="E768">
        <f>IFERROR(INDEX(спр_Работы!$C$2:$C$6000,MATCH($C768,спр_Работы!$A$2:$A$6000,0)),"")</f>
        <v/>
      </c>
      <c r="F768">
        <f>IFERROR(INDEX(спр_Работы!$G$2:$G$6000,MATCH($C768,спр_Работы!$A$2:$A$6000,0)),"")</f>
        <v/>
      </c>
      <c r="G768">
        <f>IFERROR(INDEX(спр_Работы!$K$2:$K$6000,MATCH($C768,спр_Работы!$A$2:$A$6000,0)),"")</f>
        <v/>
      </c>
      <c r="H768" s="9" t="n"/>
      <c r="I768" s="9" t="n"/>
      <c r="J768" s="8">
        <f>IFERROR(INDEX(спр_Материалы!$B$2:$B$9000,MATCH($I768,спр_Материалы!$A$2:$A$9000,0)),"")</f>
        <v/>
      </c>
      <c r="K768">
        <f>IF($I768="","",IF($F768=IFERROR(INDEX(спр_Материалы!$G$2:$G$9000,MATCH($I768,спр_Материалы!$A$2:$A$9000,0)),""),"OK","!! не та группа"))</f>
        <v/>
      </c>
      <c r="L768" s="10">
        <f>IFERROR(INDEX(спр_Работы!$H$2:$H$6000,MATCH($C768,спр_Работы!$A$2:$A$6000,0))*(1-ДисконтТендер),0)</f>
        <v/>
      </c>
      <c r="M768" s="10">
        <f>IF($I768="",0,IFERROR(INDEX(спр_Материалы!$I$2:$I$9000,MATCH($I768,спр_Материалы!$A$2:$A$9000,0))*IF(INDEX(спр_Материалы!$J$2:$J$9000,MATCH($I768,спр_Материалы!$A$2:$A$9000,0))="USD",КурсUSD,IF(INDEX(спр_Материалы!$J$2:$J$9000,MATCH($I768,спр_Материалы!$A$2:$A$9000,0))="EUR",КурсEUR,1))*INDEX(спр_Материалы!$K$2:$K$9000,MATCH($I768,спр_Материалы!$A$2:$A$9000,0))*(1+IFERROR(INDEX(спр_Работы!$I$2:$I$6000,MATCH($C768,спр_Работы!$A$2:$A$6000,0))/100,0))*(1-ДисконтТендер),0))</f>
        <v/>
      </c>
      <c r="N768" s="10">
        <f>IF(AND($R768="да",$H768&lt;&gt;""),ROUND($H768*$L768,2),0)</f>
        <v/>
      </c>
      <c r="O768" s="10">
        <f>IF(AND($R768="да",$H768&lt;&gt;""),ROUND($H768*$M768,2),0)</f>
        <v/>
      </c>
      <c r="P768" s="10">
        <f>$N768+$O768</f>
        <v/>
      </c>
      <c r="Q768">
        <f>IFERROR(INDEX(спр_Работы!$J$2:$J$6000,MATCH($C768,спр_Работы!$A$2:$A$6000,0)),"")</f>
        <v/>
      </c>
      <c r="R768" t="inlineStr">
        <is>
          <t>да</t>
        </is>
      </c>
      <c r="T768">
        <f>IF(AND($P768&gt;0,$R768="да"),MAX($T$1:$T767)+1,"")</f>
        <v/>
      </c>
    </row>
    <row r="769">
      <c r="A769">
        <f>IFERROR(INDEX(спр_Работы!$D$2:$D$6000,MATCH($C769,спр_Работы!$A$2:$A$6000,0)),"")</f>
        <v/>
      </c>
      <c r="B769">
        <f>IFERROR(INDEX(спр_Работы!$F$2:$F$6000,MATCH($C769,спр_Работы!$A$2:$A$6000,0)),"")</f>
        <v/>
      </c>
      <c r="C769">
        <f>IFERROR(INDEX(спр_Работы!$A$2:$A$6000,768),"")</f>
        <v/>
      </c>
      <c r="D769" s="8">
        <f>IFERROR(INDEX(спр_Работы!$B$2:$B$6000,MATCH($C769,спр_Работы!$A$2:$A$6000,0)),"")</f>
        <v/>
      </c>
      <c r="E769">
        <f>IFERROR(INDEX(спр_Работы!$C$2:$C$6000,MATCH($C769,спр_Работы!$A$2:$A$6000,0)),"")</f>
        <v/>
      </c>
      <c r="F769">
        <f>IFERROR(INDEX(спр_Работы!$G$2:$G$6000,MATCH($C769,спр_Работы!$A$2:$A$6000,0)),"")</f>
        <v/>
      </c>
      <c r="G769">
        <f>IFERROR(INDEX(спр_Работы!$K$2:$K$6000,MATCH($C769,спр_Работы!$A$2:$A$6000,0)),"")</f>
        <v/>
      </c>
      <c r="H769" s="9" t="n"/>
      <c r="I769" s="9" t="n"/>
      <c r="J769" s="8">
        <f>IFERROR(INDEX(спр_Материалы!$B$2:$B$9000,MATCH($I769,спр_Материалы!$A$2:$A$9000,0)),"")</f>
        <v/>
      </c>
      <c r="K769">
        <f>IF($I769="","",IF($F769=IFERROR(INDEX(спр_Материалы!$G$2:$G$9000,MATCH($I769,спр_Материалы!$A$2:$A$9000,0)),""),"OK","!! не та группа"))</f>
        <v/>
      </c>
      <c r="L769" s="10">
        <f>IFERROR(INDEX(спр_Работы!$H$2:$H$6000,MATCH($C769,спр_Работы!$A$2:$A$6000,0))*(1-ДисконтТендер),0)</f>
        <v/>
      </c>
      <c r="M769" s="10">
        <f>IF($I769="",0,IFERROR(INDEX(спр_Материалы!$I$2:$I$9000,MATCH($I769,спр_Материалы!$A$2:$A$9000,0))*IF(INDEX(спр_Материалы!$J$2:$J$9000,MATCH($I769,спр_Материалы!$A$2:$A$9000,0))="USD",КурсUSD,IF(INDEX(спр_Материалы!$J$2:$J$9000,MATCH($I769,спр_Материалы!$A$2:$A$9000,0))="EUR",КурсEUR,1))*INDEX(спр_Материалы!$K$2:$K$9000,MATCH($I769,спр_Материалы!$A$2:$A$9000,0))*(1+IFERROR(INDEX(спр_Работы!$I$2:$I$6000,MATCH($C769,спр_Работы!$A$2:$A$6000,0))/100,0))*(1-ДисконтТендер),0))</f>
        <v/>
      </c>
      <c r="N769" s="10">
        <f>IF(AND($R769="да",$H769&lt;&gt;""),ROUND($H769*$L769,2),0)</f>
        <v/>
      </c>
      <c r="O769" s="10">
        <f>IF(AND($R769="да",$H769&lt;&gt;""),ROUND($H769*$M769,2),0)</f>
        <v/>
      </c>
      <c r="P769" s="10">
        <f>$N769+$O769</f>
        <v/>
      </c>
      <c r="Q769">
        <f>IFERROR(INDEX(спр_Работы!$J$2:$J$6000,MATCH($C769,спр_Работы!$A$2:$A$6000,0)),"")</f>
        <v/>
      </c>
      <c r="R769" t="inlineStr">
        <is>
          <t>да</t>
        </is>
      </c>
      <c r="T769">
        <f>IF(AND($P769&gt;0,$R769="да"),MAX($T$1:$T768)+1,"")</f>
        <v/>
      </c>
    </row>
    <row r="770">
      <c r="A770">
        <f>IFERROR(INDEX(спр_Работы!$D$2:$D$6000,MATCH($C770,спр_Работы!$A$2:$A$6000,0)),"")</f>
        <v/>
      </c>
      <c r="B770">
        <f>IFERROR(INDEX(спр_Работы!$F$2:$F$6000,MATCH($C770,спр_Работы!$A$2:$A$6000,0)),"")</f>
        <v/>
      </c>
      <c r="C770">
        <f>IFERROR(INDEX(спр_Работы!$A$2:$A$6000,769),"")</f>
        <v/>
      </c>
      <c r="D770" s="8">
        <f>IFERROR(INDEX(спр_Работы!$B$2:$B$6000,MATCH($C770,спр_Работы!$A$2:$A$6000,0)),"")</f>
        <v/>
      </c>
      <c r="E770">
        <f>IFERROR(INDEX(спр_Работы!$C$2:$C$6000,MATCH($C770,спр_Работы!$A$2:$A$6000,0)),"")</f>
        <v/>
      </c>
      <c r="F770">
        <f>IFERROR(INDEX(спр_Работы!$G$2:$G$6000,MATCH($C770,спр_Работы!$A$2:$A$6000,0)),"")</f>
        <v/>
      </c>
      <c r="G770">
        <f>IFERROR(INDEX(спр_Работы!$K$2:$K$6000,MATCH($C770,спр_Работы!$A$2:$A$6000,0)),"")</f>
        <v/>
      </c>
      <c r="H770" s="9" t="n"/>
      <c r="I770" s="9" t="n"/>
      <c r="J770" s="8">
        <f>IFERROR(INDEX(спр_Материалы!$B$2:$B$9000,MATCH($I770,спр_Материалы!$A$2:$A$9000,0)),"")</f>
        <v/>
      </c>
      <c r="K770">
        <f>IF($I770="","",IF($F770=IFERROR(INDEX(спр_Материалы!$G$2:$G$9000,MATCH($I770,спр_Материалы!$A$2:$A$9000,0)),""),"OK","!! не та группа"))</f>
        <v/>
      </c>
      <c r="L770" s="10">
        <f>IFERROR(INDEX(спр_Работы!$H$2:$H$6000,MATCH($C770,спр_Работы!$A$2:$A$6000,0))*(1-ДисконтТендер),0)</f>
        <v/>
      </c>
      <c r="M770" s="10">
        <f>IF($I770="",0,IFERROR(INDEX(спр_Материалы!$I$2:$I$9000,MATCH($I770,спр_Материалы!$A$2:$A$9000,0))*IF(INDEX(спр_Материалы!$J$2:$J$9000,MATCH($I770,спр_Материалы!$A$2:$A$9000,0))="USD",КурсUSD,IF(INDEX(спр_Материалы!$J$2:$J$9000,MATCH($I770,спр_Материалы!$A$2:$A$9000,0))="EUR",КурсEUR,1))*INDEX(спр_Материалы!$K$2:$K$9000,MATCH($I770,спр_Материалы!$A$2:$A$9000,0))*(1+IFERROR(INDEX(спр_Работы!$I$2:$I$6000,MATCH($C770,спр_Работы!$A$2:$A$6000,0))/100,0))*(1-ДисконтТендер),0))</f>
        <v/>
      </c>
      <c r="N770" s="10">
        <f>IF(AND($R770="да",$H770&lt;&gt;""),ROUND($H770*$L770,2),0)</f>
        <v/>
      </c>
      <c r="O770" s="10">
        <f>IF(AND($R770="да",$H770&lt;&gt;""),ROUND($H770*$M770,2),0)</f>
        <v/>
      </c>
      <c r="P770" s="10">
        <f>$N770+$O770</f>
        <v/>
      </c>
      <c r="Q770">
        <f>IFERROR(INDEX(спр_Работы!$J$2:$J$6000,MATCH($C770,спр_Работы!$A$2:$A$6000,0)),"")</f>
        <v/>
      </c>
      <c r="R770" t="inlineStr">
        <is>
          <t>да</t>
        </is>
      </c>
      <c r="T770">
        <f>IF(AND($P770&gt;0,$R770="да"),MAX($T$1:$T769)+1,"")</f>
        <v/>
      </c>
    </row>
    <row r="771">
      <c r="A771">
        <f>IFERROR(INDEX(спр_Работы!$D$2:$D$6000,MATCH($C771,спр_Работы!$A$2:$A$6000,0)),"")</f>
        <v/>
      </c>
      <c r="B771">
        <f>IFERROR(INDEX(спр_Работы!$F$2:$F$6000,MATCH($C771,спр_Работы!$A$2:$A$6000,0)),"")</f>
        <v/>
      </c>
      <c r="C771">
        <f>IFERROR(INDEX(спр_Работы!$A$2:$A$6000,770),"")</f>
        <v/>
      </c>
      <c r="D771" s="8">
        <f>IFERROR(INDEX(спр_Работы!$B$2:$B$6000,MATCH($C771,спр_Работы!$A$2:$A$6000,0)),"")</f>
        <v/>
      </c>
      <c r="E771">
        <f>IFERROR(INDEX(спр_Работы!$C$2:$C$6000,MATCH($C771,спр_Работы!$A$2:$A$6000,0)),"")</f>
        <v/>
      </c>
      <c r="F771">
        <f>IFERROR(INDEX(спр_Работы!$G$2:$G$6000,MATCH($C771,спр_Работы!$A$2:$A$6000,0)),"")</f>
        <v/>
      </c>
      <c r="G771">
        <f>IFERROR(INDEX(спр_Работы!$K$2:$K$6000,MATCH($C771,спр_Работы!$A$2:$A$6000,0)),"")</f>
        <v/>
      </c>
      <c r="H771" s="9" t="n"/>
      <c r="I771" s="9" t="n"/>
      <c r="J771" s="8">
        <f>IFERROR(INDEX(спр_Материалы!$B$2:$B$9000,MATCH($I771,спр_Материалы!$A$2:$A$9000,0)),"")</f>
        <v/>
      </c>
      <c r="K771">
        <f>IF($I771="","",IF($F771=IFERROR(INDEX(спр_Материалы!$G$2:$G$9000,MATCH($I771,спр_Материалы!$A$2:$A$9000,0)),""),"OK","!! не та группа"))</f>
        <v/>
      </c>
      <c r="L771" s="10">
        <f>IFERROR(INDEX(спр_Работы!$H$2:$H$6000,MATCH($C771,спр_Работы!$A$2:$A$6000,0))*(1-ДисконтТендер),0)</f>
        <v/>
      </c>
      <c r="M771" s="10">
        <f>IF($I771="",0,IFERROR(INDEX(спр_Материалы!$I$2:$I$9000,MATCH($I771,спр_Материалы!$A$2:$A$9000,0))*IF(INDEX(спр_Материалы!$J$2:$J$9000,MATCH($I771,спр_Материалы!$A$2:$A$9000,0))="USD",КурсUSD,IF(INDEX(спр_Материалы!$J$2:$J$9000,MATCH($I771,спр_Материалы!$A$2:$A$9000,0))="EUR",КурсEUR,1))*INDEX(спр_Материалы!$K$2:$K$9000,MATCH($I771,спр_Материалы!$A$2:$A$9000,0))*(1+IFERROR(INDEX(спр_Работы!$I$2:$I$6000,MATCH($C771,спр_Работы!$A$2:$A$6000,0))/100,0))*(1-ДисконтТендер),0))</f>
        <v/>
      </c>
      <c r="N771" s="10">
        <f>IF(AND($R771="да",$H771&lt;&gt;""),ROUND($H771*$L771,2),0)</f>
        <v/>
      </c>
      <c r="O771" s="10">
        <f>IF(AND($R771="да",$H771&lt;&gt;""),ROUND($H771*$M771,2),0)</f>
        <v/>
      </c>
      <c r="P771" s="10">
        <f>$N771+$O771</f>
        <v/>
      </c>
      <c r="Q771">
        <f>IFERROR(INDEX(спр_Работы!$J$2:$J$6000,MATCH($C771,спр_Работы!$A$2:$A$6000,0)),"")</f>
        <v/>
      </c>
      <c r="R771" t="inlineStr">
        <is>
          <t>да</t>
        </is>
      </c>
      <c r="T771">
        <f>IF(AND($P771&gt;0,$R771="да"),MAX($T$1:$T770)+1,"")</f>
        <v/>
      </c>
    </row>
    <row r="772">
      <c r="A772">
        <f>IFERROR(INDEX(спр_Работы!$D$2:$D$6000,MATCH($C772,спр_Работы!$A$2:$A$6000,0)),"")</f>
        <v/>
      </c>
      <c r="B772">
        <f>IFERROR(INDEX(спр_Работы!$F$2:$F$6000,MATCH($C772,спр_Работы!$A$2:$A$6000,0)),"")</f>
        <v/>
      </c>
      <c r="C772">
        <f>IFERROR(INDEX(спр_Работы!$A$2:$A$6000,771),"")</f>
        <v/>
      </c>
      <c r="D772" s="8">
        <f>IFERROR(INDEX(спр_Работы!$B$2:$B$6000,MATCH($C772,спр_Работы!$A$2:$A$6000,0)),"")</f>
        <v/>
      </c>
      <c r="E772">
        <f>IFERROR(INDEX(спр_Работы!$C$2:$C$6000,MATCH($C772,спр_Работы!$A$2:$A$6000,0)),"")</f>
        <v/>
      </c>
      <c r="F772">
        <f>IFERROR(INDEX(спр_Работы!$G$2:$G$6000,MATCH($C772,спр_Работы!$A$2:$A$6000,0)),"")</f>
        <v/>
      </c>
      <c r="G772">
        <f>IFERROR(INDEX(спр_Работы!$K$2:$K$6000,MATCH($C772,спр_Работы!$A$2:$A$6000,0)),"")</f>
        <v/>
      </c>
      <c r="H772" s="9" t="n"/>
      <c r="I772" s="9" t="n"/>
      <c r="J772" s="8">
        <f>IFERROR(INDEX(спр_Материалы!$B$2:$B$9000,MATCH($I772,спр_Материалы!$A$2:$A$9000,0)),"")</f>
        <v/>
      </c>
      <c r="K772">
        <f>IF($I772="","",IF($F772=IFERROR(INDEX(спр_Материалы!$G$2:$G$9000,MATCH($I772,спр_Материалы!$A$2:$A$9000,0)),""),"OK","!! не та группа"))</f>
        <v/>
      </c>
      <c r="L772" s="10">
        <f>IFERROR(INDEX(спр_Работы!$H$2:$H$6000,MATCH($C772,спр_Работы!$A$2:$A$6000,0))*(1-ДисконтТендер),0)</f>
        <v/>
      </c>
      <c r="M772" s="10">
        <f>IF($I772="",0,IFERROR(INDEX(спр_Материалы!$I$2:$I$9000,MATCH($I772,спр_Материалы!$A$2:$A$9000,0))*IF(INDEX(спр_Материалы!$J$2:$J$9000,MATCH($I772,спр_Материалы!$A$2:$A$9000,0))="USD",КурсUSD,IF(INDEX(спр_Материалы!$J$2:$J$9000,MATCH($I772,спр_Материалы!$A$2:$A$9000,0))="EUR",КурсEUR,1))*INDEX(спр_Материалы!$K$2:$K$9000,MATCH($I772,спр_Материалы!$A$2:$A$9000,0))*(1+IFERROR(INDEX(спр_Работы!$I$2:$I$6000,MATCH($C772,спр_Работы!$A$2:$A$6000,0))/100,0))*(1-ДисконтТендер),0))</f>
        <v/>
      </c>
      <c r="N772" s="10">
        <f>IF(AND($R772="да",$H772&lt;&gt;""),ROUND($H772*$L772,2),0)</f>
        <v/>
      </c>
      <c r="O772" s="10">
        <f>IF(AND($R772="да",$H772&lt;&gt;""),ROUND($H772*$M772,2),0)</f>
        <v/>
      </c>
      <c r="P772" s="10">
        <f>$N772+$O772</f>
        <v/>
      </c>
      <c r="Q772">
        <f>IFERROR(INDEX(спр_Работы!$J$2:$J$6000,MATCH($C772,спр_Работы!$A$2:$A$6000,0)),"")</f>
        <v/>
      </c>
      <c r="R772" t="inlineStr">
        <is>
          <t>да</t>
        </is>
      </c>
      <c r="T772">
        <f>IF(AND($P772&gt;0,$R772="да"),MAX($T$1:$T771)+1,"")</f>
        <v/>
      </c>
    </row>
    <row r="773">
      <c r="A773">
        <f>IFERROR(INDEX(спр_Работы!$D$2:$D$6000,MATCH($C773,спр_Работы!$A$2:$A$6000,0)),"")</f>
        <v/>
      </c>
      <c r="B773">
        <f>IFERROR(INDEX(спр_Работы!$F$2:$F$6000,MATCH($C773,спр_Работы!$A$2:$A$6000,0)),"")</f>
        <v/>
      </c>
      <c r="C773">
        <f>IFERROR(INDEX(спр_Работы!$A$2:$A$6000,772),"")</f>
        <v/>
      </c>
      <c r="D773" s="8">
        <f>IFERROR(INDEX(спр_Работы!$B$2:$B$6000,MATCH($C773,спр_Работы!$A$2:$A$6000,0)),"")</f>
        <v/>
      </c>
      <c r="E773">
        <f>IFERROR(INDEX(спр_Работы!$C$2:$C$6000,MATCH($C773,спр_Работы!$A$2:$A$6000,0)),"")</f>
        <v/>
      </c>
      <c r="F773">
        <f>IFERROR(INDEX(спр_Работы!$G$2:$G$6000,MATCH($C773,спр_Работы!$A$2:$A$6000,0)),"")</f>
        <v/>
      </c>
      <c r="G773">
        <f>IFERROR(INDEX(спр_Работы!$K$2:$K$6000,MATCH($C773,спр_Работы!$A$2:$A$6000,0)),"")</f>
        <v/>
      </c>
      <c r="H773" s="9" t="n"/>
      <c r="I773" s="9" t="n"/>
      <c r="J773" s="8">
        <f>IFERROR(INDEX(спр_Материалы!$B$2:$B$9000,MATCH($I773,спр_Материалы!$A$2:$A$9000,0)),"")</f>
        <v/>
      </c>
      <c r="K773">
        <f>IF($I773="","",IF($F773=IFERROR(INDEX(спр_Материалы!$G$2:$G$9000,MATCH($I773,спр_Материалы!$A$2:$A$9000,0)),""),"OK","!! не та группа"))</f>
        <v/>
      </c>
      <c r="L773" s="10">
        <f>IFERROR(INDEX(спр_Работы!$H$2:$H$6000,MATCH($C773,спр_Работы!$A$2:$A$6000,0))*(1-ДисконтТендер),0)</f>
        <v/>
      </c>
      <c r="M773" s="10">
        <f>IF($I773="",0,IFERROR(INDEX(спр_Материалы!$I$2:$I$9000,MATCH($I773,спр_Материалы!$A$2:$A$9000,0))*IF(INDEX(спр_Материалы!$J$2:$J$9000,MATCH($I773,спр_Материалы!$A$2:$A$9000,0))="USD",КурсUSD,IF(INDEX(спр_Материалы!$J$2:$J$9000,MATCH($I773,спр_Материалы!$A$2:$A$9000,0))="EUR",КурсEUR,1))*INDEX(спр_Материалы!$K$2:$K$9000,MATCH($I773,спр_Материалы!$A$2:$A$9000,0))*(1+IFERROR(INDEX(спр_Работы!$I$2:$I$6000,MATCH($C773,спр_Работы!$A$2:$A$6000,0))/100,0))*(1-ДисконтТендер),0))</f>
        <v/>
      </c>
      <c r="N773" s="10">
        <f>IF(AND($R773="да",$H773&lt;&gt;""),ROUND($H773*$L773,2),0)</f>
        <v/>
      </c>
      <c r="O773" s="10">
        <f>IF(AND($R773="да",$H773&lt;&gt;""),ROUND($H773*$M773,2),0)</f>
        <v/>
      </c>
      <c r="P773" s="10">
        <f>$N773+$O773</f>
        <v/>
      </c>
      <c r="Q773">
        <f>IFERROR(INDEX(спр_Работы!$J$2:$J$6000,MATCH($C773,спр_Работы!$A$2:$A$6000,0)),"")</f>
        <v/>
      </c>
      <c r="R773" t="inlineStr">
        <is>
          <t>да</t>
        </is>
      </c>
      <c r="T773">
        <f>IF(AND($P773&gt;0,$R773="да"),MAX($T$1:$T772)+1,"")</f>
        <v/>
      </c>
    </row>
    <row r="774">
      <c r="A774">
        <f>IFERROR(INDEX(спр_Работы!$D$2:$D$6000,MATCH($C774,спр_Работы!$A$2:$A$6000,0)),"")</f>
        <v/>
      </c>
      <c r="B774">
        <f>IFERROR(INDEX(спр_Работы!$F$2:$F$6000,MATCH($C774,спр_Работы!$A$2:$A$6000,0)),"")</f>
        <v/>
      </c>
      <c r="C774">
        <f>IFERROR(INDEX(спр_Работы!$A$2:$A$6000,773),"")</f>
        <v/>
      </c>
      <c r="D774" s="8">
        <f>IFERROR(INDEX(спр_Работы!$B$2:$B$6000,MATCH($C774,спр_Работы!$A$2:$A$6000,0)),"")</f>
        <v/>
      </c>
      <c r="E774">
        <f>IFERROR(INDEX(спр_Работы!$C$2:$C$6000,MATCH($C774,спр_Работы!$A$2:$A$6000,0)),"")</f>
        <v/>
      </c>
      <c r="F774">
        <f>IFERROR(INDEX(спр_Работы!$G$2:$G$6000,MATCH($C774,спр_Работы!$A$2:$A$6000,0)),"")</f>
        <v/>
      </c>
      <c r="G774">
        <f>IFERROR(INDEX(спр_Работы!$K$2:$K$6000,MATCH($C774,спр_Работы!$A$2:$A$6000,0)),"")</f>
        <v/>
      </c>
      <c r="H774" s="9" t="n"/>
      <c r="I774" s="9" t="n"/>
      <c r="J774" s="8">
        <f>IFERROR(INDEX(спр_Материалы!$B$2:$B$9000,MATCH($I774,спр_Материалы!$A$2:$A$9000,0)),"")</f>
        <v/>
      </c>
      <c r="K774">
        <f>IF($I774="","",IF($F774=IFERROR(INDEX(спр_Материалы!$G$2:$G$9000,MATCH($I774,спр_Материалы!$A$2:$A$9000,0)),""),"OK","!! не та группа"))</f>
        <v/>
      </c>
      <c r="L774" s="10">
        <f>IFERROR(INDEX(спр_Работы!$H$2:$H$6000,MATCH($C774,спр_Работы!$A$2:$A$6000,0))*(1-ДисконтТендер),0)</f>
        <v/>
      </c>
      <c r="M774" s="10">
        <f>IF($I774="",0,IFERROR(INDEX(спр_Материалы!$I$2:$I$9000,MATCH($I774,спр_Материалы!$A$2:$A$9000,0))*IF(INDEX(спр_Материалы!$J$2:$J$9000,MATCH($I774,спр_Материалы!$A$2:$A$9000,0))="USD",КурсUSD,IF(INDEX(спр_Материалы!$J$2:$J$9000,MATCH($I774,спр_Материалы!$A$2:$A$9000,0))="EUR",КурсEUR,1))*INDEX(спр_Материалы!$K$2:$K$9000,MATCH($I774,спр_Материалы!$A$2:$A$9000,0))*(1+IFERROR(INDEX(спр_Работы!$I$2:$I$6000,MATCH($C774,спр_Работы!$A$2:$A$6000,0))/100,0))*(1-ДисконтТендер),0))</f>
        <v/>
      </c>
      <c r="N774" s="10">
        <f>IF(AND($R774="да",$H774&lt;&gt;""),ROUND($H774*$L774,2),0)</f>
        <v/>
      </c>
      <c r="O774" s="10">
        <f>IF(AND($R774="да",$H774&lt;&gt;""),ROUND($H774*$M774,2),0)</f>
        <v/>
      </c>
      <c r="P774" s="10">
        <f>$N774+$O774</f>
        <v/>
      </c>
      <c r="Q774">
        <f>IFERROR(INDEX(спр_Работы!$J$2:$J$6000,MATCH($C774,спр_Работы!$A$2:$A$6000,0)),"")</f>
        <v/>
      </c>
      <c r="R774" t="inlineStr">
        <is>
          <t>да</t>
        </is>
      </c>
      <c r="T774">
        <f>IF(AND($P774&gt;0,$R774="да"),MAX($T$1:$T773)+1,"")</f>
        <v/>
      </c>
    </row>
    <row r="775">
      <c r="A775">
        <f>IFERROR(INDEX(спр_Работы!$D$2:$D$6000,MATCH($C775,спр_Работы!$A$2:$A$6000,0)),"")</f>
        <v/>
      </c>
      <c r="B775">
        <f>IFERROR(INDEX(спр_Работы!$F$2:$F$6000,MATCH($C775,спр_Работы!$A$2:$A$6000,0)),"")</f>
        <v/>
      </c>
      <c r="C775">
        <f>IFERROR(INDEX(спр_Работы!$A$2:$A$6000,774),"")</f>
        <v/>
      </c>
      <c r="D775" s="8">
        <f>IFERROR(INDEX(спр_Работы!$B$2:$B$6000,MATCH($C775,спр_Работы!$A$2:$A$6000,0)),"")</f>
        <v/>
      </c>
      <c r="E775">
        <f>IFERROR(INDEX(спр_Работы!$C$2:$C$6000,MATCH($C775,спр_Работы!$A$2:$A$6000,0)),"")</f>
        <v/>
      </c>
      <c r="F775">
        <f>IFERROR(INDEX(спр_Работы!$G$2:$G$6000,MATCH($C775,спр_Работы!$A$2:$A$6000,0)),"")</f>
        <v/>
      </c>
      <c r="G775">
        <f>IFERROR(INDEX(спр_Работы!$K$2:$K$6000,MATCH($C775,спр_Работы!$A$2:$A$6000,0)),"")</f>
        <v/>
      </c>
      <c r="H775" s="9" t="n"/>
      <c r="I775" s="9" t="n"/>
      <c r="J775" s="8">
        <f>IFERROR(INDEX(спр_Материалы!$B$2:$B$9000,MATCH($I775,спр_Материалы!$A$2:$A$9000,0)),"")</f>
        <v/>
      </c>
      <c r="K775">
        <f>IF($I775="","",IF($F775=IFERROR(INDEX(спр_Материалы!$G$2:$G$9000,MATCH($I775,спр_Материалы!$A$2:$A$9000,0)),""),"OK","!! не та группа"))</f>
        <v/>
      </c>
      <c r="L775" s="10">
        <f>IFERROR(INDEX(спр_Работы!$H$2:$H$6000,MATCH($C775,спр_Работы!$A$2:$A$6000,0))*(1-ДисконтТендер),0)</f>
        <v/>
      </c>
      <c r="M775" s="10">
        <f>IF($I775="",0,IFERROR(INDEX(спр_Материалы!$I$2:$I$9000,MATCH($I775,спр_Материалы!$A$2:$A$9000,0))*IF(INDEX(спр_Материалы!$J$2:$J$9000,MATCH($I775,спр_Материалы!$A$2:$A$9000,0))="USD",КурсUSD,IF(INDEX(спр_Материалы!$J$2:$J$9000,MATCH($I775,спр_Материалы!$A$2:$A$9000,0))="EUR",КурсEUR,1))*INDEX(спр_Материалы!$K$2:$K$9000,MATCH($I775,спр_Материалы!$A$2:$A$9000,0))*(1+IFERROR(INDEX(спр_Работы!$I$2:$I$6000,MATCH($C775,спр_Работы!$A$2:$A$6000,0))/100,0))*(1-ДисконтТендер),0))</f>
        <v/>
      </c>
      <c r="N775" s="10">
        <f>IF(AND($R775="да",$H775&lt;&gt;""),ROUND($H775*$L775,2),0)</f>
        <v/>
      </c>
      <c r="O775" s="10">
        <f>IF(AND($R775="да",$H775&lt;&gt;""),ROUND($H775*$M775,2),0)</f>
        <v/>
      </c>
      <c r="P775" s="10">
        <f>$N775+$O775</f>
        <v/>
      </c>
      <c r="Q775">
        <f>IFERROR(INDEX(спр_Работы!$J$2:$J$6000,MATCH($C775,спр_Работы!$A$2:$A$6000,0)),"")</f>
        <v/>
      </c>
      <c r="R775" t="inlineStr">
        <is>
          <t>да</t>
        </is>
      </c>
      <c r="T775">
        <f>IF(AND($P775&gt;0,$R775="да"),MAX($T$1:$T774)+1,"")</f>
        <v/>
      </c>
    </row>
    <row r="776">
      <c r="A776">
        <f>IFERROR(INDEX(спр_Работы!$D$2:$D$6000,MATCH($C776,спр_Работы!$A$2:$A$6000,0)),"")</f>
        <v/>
      </c>
      <c r="B776">
        <f>IFERROR(INDEX(спр_Работы!$F$2:$F$6000,MATCH($C776,спр_Работы!$A$2:$A$6000,0)),"")</f>
        <v/>
      </c>
      <c r="C776">
        <f>IFERROR(INDEX(спр_Работы!$A$2:$A$6000,775),"")</f>
        <v/>
      </c>
      <c r="D776" s="8">
        <f>IFERROR(INDEX(спр_Работы!$B$2:$B$6000,MATCH($C776,спр_Работы!$A$2:$A$6000,0)),"")</f>
        <v/>
      </c>
      <c r="E776">
        <f>IFERROR(INDEX(спр_Работы!$C$2:$C$6000,MATCH($C776,спр_Работы!$A$2:$A$6000,0)),"")</f>
        <v/>
      </c>
      <c r="F776">
        <f>IFERROR(INDEX(спр_Работы!$G$2:$G$6000,MATCH($C776,спр_Работы!$A$2:$A$6000,0)),"")</f>
        <v/>
      </c>
      <c r="G776">
        <f>IFERROR(INDEX(спр_Работы!$K$2:$K$6000,MATCH($C776,спр_Работы!$A$2:$A$6000,0)),"")</f>
        <v/>
      </c>
      <c r="H776" s="9" t="n"/>
      <c r="I776" s="9" t="n"/>
      <c r="J776" s="8">
        <f>IFERROR(INDEX(спр_Материалы!$B$2:$B$9000,MATCH($I776,спр_Материалы!$A$2:$A$9000,0)),"")</f>
        <v/>
      </c>
      <c r="K776">
        <f>IF($I776="","",IF($F776=IFERROR(INDEX(спр_Материалы!$G$2:$G$9000,MATCH($I776,спр_Материалы!$A$2:$A$9000,0)),""),"OK","!! не та группа"))</f>
        <v/>
      </c>
      <c r="L776" s="10">
        <f>IFERROR(INDEX(спр_Работы!$H$2:$H$6000,MATCH($C776,спр_Работы!$A$2:$A$6000,0))*(1-ДисконтТендер),0)</f>
        <v/>
      </c>
      <c r="M776" s="10">
        <f>IF($I776="",0,IFERROR(INDEX(спр_Материалы!$I$2:$I$9000,MATCH($I776,спр_Материалы!$A$2:$A$9000,0))*IF(INDEX(спр_Материалы!$J$2:$J$9000,MATCH($I776,спр_Материалы!$A$2:$A$9000,0))="USD",КурсUSD,IF(INDEX(спр_Материалы!$J$2:$J$9000,MATCH($I776,спр_Материалы!$A$2:$A$9000,0))="EUR",КурсEUR,1))*INDEX(спр_Материалы!$K$2:$K$9000,MATCH($I776,спр_Материалы!$A$2:$A$9000,0))*(1+IFERROR(INDEX(спр_Работы!$I$2:$I$6000,MATCH($C776,спр_Работы!$A$2:$A$6000,0))/100,0))*(1-ДисконтТендер),0))</f>
        <v/>
      </c>
      <c r="N776" s="10">
        <f>IF(AND($R776="да",$H776&lt;&gt;""),ROUND($H776*$L776,2),0)</f>
        <v/>
      </c>
      <c r="O776" s="10">
        <f>IF(AND($R776="да",$H776&lt;&gt;""),ROUND($H776*$M776,2),0)</f>
        <v/>
      </c>
      <c r="P776" s="10">
        <f>$N776+$O776</f>
        <v/>
      </c>
      <c r="Q776">
        <f>IFERROR(INDEX(спр_Работы!$J$2:$J$6000,MATCH($C776,спр_Работы!$A$2:$A$6000,0)),"")</f>
        <v/>
      </c>
      <c r="R776" t="inlineStr">
        <is>
          <t>да</t>
        </is>
      </c>
      <c r="T776">
        <f>IF(AND($P776&gt;0,$R776="да"),MAX($T$1:$T775)+1,"")</f>
        <v/>
      </c>
    </row>
    <row r="777">
      <c r="A777">
        <f>IFERROR(INDEX(спр_Работы!$D$2:$D$6000,MATCH($C777,спр_Работы!$A$2:$A$6000,0)),"")</f>
        <v/>
      </c>
      <c r="B777">
        <f>IFERROR(INDEX(спр_Работы!$F$2:$F$6000,MATCH($C777,спр_Работы!$A$2:$A$6000,0)),"")</f>
        <v/>
      </c>
      <c r="C777">
        <f>IFERROR(INDEX(спр_Работы!$A$2:$A$6000,776),"")</f>
        <v/>
      </c>
      <c r="D777" s="8">
        <f>IFERROR(INDEX(спр_Работы!$B$2:$B$6000,MATCH($C777,спр_Работы!$A$2:$A$6000,0)),"")</f>
        <v/>
      </c>
      <c r="E777">
        <f>IFERROR(INDEX(спр_Работы!$C$2:$C$6000,MATCH($C777,спр_Работы!$A$2:$A$6000,0)),"")</f>
        <v/>
      </c>
      <c r="F777">
        <f>IFERROR(INDEX(спр_Работы!$G$2:$G$6000,MATCH($C777,спр_Работы!$A$2:$A$6000,0)),"")</f>
        <v/>
      </c>
      <c r="G777">
        <f>IFERROR(INDEX(спр_Работы!$K$2:$K$6000,MATCH($C777,спр_Работы!$A$2:$A$6000,0)),"")</f>
        <v/>
      </c>
      <c r="H777" s="9" t="n"/>
      <c r="I777" s="9" t="n"/>
      <c r="J777" s="8">
        <f>IFERROR(INDEX(спр_Материалы!$B$2:$B$9000,MATCH($I777,спр_Материалы!$A$2:$A$9000,0)),"")</f>
        <v/>
      </c>
      <c r="K777">
        <f>IF($I777="","",IF($F777=IFERROR(INDEX(спр_Материалы!$G$2:$G$9000,MATCH($I777,спр_Материалы!$A$2:$A$9000,0)),""),"OK","!! не та группа"))</f>
        <v/>
      </c>
      <c r="L777" s="10">
        <f>IFERROR(INDEX(спр_Работы!$H$2:$H$6000,MATCH($C777,спр_Работы!$A$2:$A$6000,0))*(1-ДисконтТендер),0)</f>
        <v/>
      </c>
      <c r="M777" s="10">
        <f>IF($I777="",0,IFERROR(INDEX(спр_Материалы!$I$2:$I$9000,MATCH($I777,спр_Материалы!$A$2:$A$9000,0))*IF(INDEX(спр_Материалы!$J$2:$J$9000,MATCH($I777,спр_Материалы!$A$2:$A$9000,0))="USD",КурсUSD,IF(INDEX(спр_Материалы!$J$2:$J$9000,MATCH($I777,спр_Материалы!$A$2:$A$9000,0))="EUR",КурсEUR,1))*INDEX(спр_Материалы!$K$2:$K$9000,MATCH($I777,спр_Материалы!$A$2:$A$9000,0))*(1+IFERROR(INDEX(спр_Работы!$I$2:$I$6000,MATCH($C777,спр_Работы!$A$2:$A$6000,0))/100,0))*(1-ДисконтТендер),0))</f>
        <v/>
      </c>
      <c r="N777" s="10">
        <f>IF(AND($R777="да",$H777&lt;&gt;""),ROUND($H777*$L777,2),0)</f>
        <v/>
      </c>
      <c r="O777" s="10">
        <f>IF(AND($R777="да",$H777&lt;&gt;""),ROUND($H777*$M777,2),0)</f>
        <v/>
      </c>
      <c r="P777" s="10">
        <f>$N777+$O777</f>
        <v/>
      </c>
      <c r="Q777">
        <f>IFERROR(INDEX(спр_Работы!$J$2:$J$6000,MATCH($C777,спр_Работы!$A$2:$A$6000,0)),"")</f>
        <v/>
      </c>
      <c r="R777" t="inlineStr">
        <is>
          <t>да</t>
        </is>
      </c>
      <c r="T777">
        <f>IF(AND($P777&gt;0,$R777="да"),MAX($T$1:$T776)+1,"")</f>
        <v/>
      </c>
    </row>
    <row r="778">
      <c r="A778">
        <f>IFERROR(INDEX(спр_Работы!$D$2:$D$6000,MATCH($C778,спр_Работы!$A$2:$A$6000,0)),"")</f>
        <v/>
      </c>
      <c r="B778">
        <f>IFERROR(INDEX(спр_Работы!$F$2:$F$6000,MATCH($C778,спр_Работы!$A$2:$A$6000,0)),"")</f>
        <v/>
      </c>
      <c r="C778">
        <f>IFERROR(INDEX(спр_Работы!$A$2:$A$6000,777),"")</f>
        <v/>
      </c>
      <c r="D778" s="8">
        <f>IFERROR(INDEX(спр_Работы!$B$2:$B$6000,MATCH($C778,спр_Работы!$A$2:$A$6000,0)),"")</f>
        <v/>
      </c>
      <c r="E778">
        <f>IFERROR(INDEX(спр_Работы!$C$2:$C$6000,MATCH($C778,спр_Работы!$A$2:$A$6000,0)),"")</f>
        <v/>
      </c>
      <c r="F778">
        <f>IFERROR(INDEX(спр_Работы!$G$2:$G$6000,MATCH($C778,спр_Работы!$A$2:$A$6000,0)),"")</f>
        <v/>
      </c>
      <c r="G778">
        <f>IFERROR(INDEX(спр_Работы!$K$2:$K$6000,MATCH($C778,спр_Работы!$A$2:$A$6000,0)),"")</f>
        <v/>
      </c>
      <c r="H778" s="9" t="n"/>
      <c r="I778" s="9" t="n"/>
      <c r="J778" s="8">
        <f>IFERROR(INDEX(спр_Материалы!$B$2:$B$9000,MATCH($I778,спр_Материалы!$A$2:$A$9000,0)),"")</f>
        <v/>
      </c>
      <c r="K778">
        <f>IF($I778="","",IF($F778=IFERROR(INDEX(спр_Материалы!$G$2:$G$9000,MATCH($I778,спр_Материалы!$A$2:$A$9000,0)),""),"OK","!! не та группа"))</f>
        <v/>
      </c>
      <c r="L778" s="10">
        <f>IFERROR(INDEX(спр_Работы!$H$2:$H$6000,MATCH($C778,спр_Работы!$A$2:$A$6000,0))*(1-ДисконтТендер),0)</f>
        <v/>
      </c>
      <c r="M778" s="10">
        <f>IF($I778="",0,IFERROR(INDEX(спр_Материалы!$I$2:$I$9000,MATCH($I778,спр_Материалы!$A$2:$A$9000,0))*IF(INDEX(спр_Материалы!$J$2:$J$9000,MATCH($I778,спр_Материалы!$A$2:$A$9000,0))="USD",КурсUSD,IF(INDEX(спр_Материалы!$J$2:$J$9000,MATCH($I778,спр_Материалы!$A$2:$A$9000,0))="EUR",КурсEUR,1))*INDEX(спр_Материалы!$K$2:$K$9000,MATCH($I778,спр_Материалы!$A$2:$A$9000,0))*(1+IFERROR(INDEX(спр_Работы!$I$2:$I$6000,MATCH($C778,спр_Работы!$A$2:$A$6000,0))/100,0))*(1-ДисконтТендер),0))</f>
        <v/>
      </c>
      <c r="N778" s="10">
        <f>IF(AND($R778="да",$H778&lt;&gt;""),ROUND($H778*$L778,2),0)</f>
        <v/>
      </c>
      <c r="O778" s="10">
        <f>IF(AND($R778="да",$H778&lt;&gt;""),ROUND($H778*$M778,2),0)</f>
        <v/>
      </c>
      <c r="P778" s="10">
        <f>$N778+$O778</f>
        <v/>
      </c>
      <c r="Q778">
        <f>IFERROR(INDEX(спр_Работы!$J$2:$J$6000,MATCH($C778,спр_Работы!$A$2:$A$6000,0)),"")</f>
        <v/>
      </c>
      <c r="R778" t="inlineStr">
        <is>
          <t>да</t>
        </is>
      </c>
      <c r="T778">
        <f>IF(AND($P778&gt;0,$R778="да"),MAX($T$1:$T777)+1,"")</f>
        <v/>
      </c>
    </row>
    <row r="779">
      <c r="A779">
        <f>IFERROR(INDEX(спр_Работы!$D$2:$D$6000,MATCH($C779,спр_Работы!$A$2:$A$6000,0)),"")</f>
        <v/>
      </c>
      <c r="B779">
        <f>IFERROR(INDEX(спр_Работы!$F$2:$F$6000,MATCH($C779,спр_Работы!$A$2:$A$6000,0)),"")</f>
        <v/>
      </c>
      <c r="C779">
        <f>IFERROR(INDEX(спр_Работы!$A$2:$A$6000,778),"")</f>
        <v/>
      </c>
      <c r="D779" s="8">
        <f>IFERROR(INDEX(спр_Работы!$B$2:$B$6000,MATCH($C779,спр_Работы!$A$2:$A$6000,0)),"")</f>
        <v/>
      </c>
      <c r="E779">
        <f>IFERROR(INDEX(спр_Работы!$C$2:$C$6000,MATCH($C779,спр_Работы!$A$2:$A$6000,0)),"")</f>
        <v/>
      </c>
      <c r="F779">
        <f>IFERROR(INDEX(спр_Работы!$G$2:$G$6000,MATCH($C779,спр_Работы!$A$2:$A$6000,0)),"")</f>
        <v/>
      </c>
      <c r="G779">
        <f>IFERROR(INDEX(спр_Работы!$K$2:$K$6000,MATCH($C779,спр_Работы!$A$2:$A$6000,0)),"")</f>
        <v/>
      </c>
      <c r="H779" s="9" t="n"/>
      <c r="I779" s="9" t="n"/>
      <c r="J779" s="8">
        <f>IFERROR(INDEX(спр_Материалы!$B$2:$B$9000,MATCH($I779,спр_Материалы!$A$2:$A$9000,0)),"")</f>
        <v/>
      </c>
      <c r="K779">
        <f>IF($I779="","",IF($F779=IFERROR(INDEX(спр_Материалы!$G$2:$G$9000,MATCH($I779,спр_Материалы!$A$2:$A$9000,0)),""),"OK","!! не та группа"))</f>
        <v/>
      </c>
      <c r="L779" s="10">
        <f>IFERROR(INDEX(спр_Работы!$H$2:$H$6000,MATCH($C779,спр_Работы!$A$2:$A$6000,0))*(1-ДисконтТендер),0)</f>
        <v/>
      </c>
      <c r="M779" s="10">
        <f>IF($I779="",0,IFERROR(INDEX(спр_Материалы!$I$2:$I$9000,MATCH($I779,спр_Материалы!$A$2:$A$9000,0))*IF(INDEX(спр_Материалы!$J$2:$J$9000,MATCH($I779,спр_Материалы!$A$2:$A$9000,0))="USD",КурсUSD,IF(INDEX(спр_Материалы!$J$2:$J$9000,MATCH($I779,спр_Материалы!$A$2:$A$9000,0))="EUR",КурсEUR,1))*INDEX(спр_Материалы!$K$2:$K$9000,MATCH($I779,спр_Материалы!$A$2:$A$9000,0))*(1+IFERROR(INDEX(спр_Работы!$I$2:$I$6000,MATCH($C779,спр_Работы!$A$2:$A$6000,0))/100,0))*(1-ДисконтТендер),0))</f>
        <v/>
      </c>
      <c r="N779" s="10">
        <f>IF(AND($R779="да",$H779&lt;&gt;""),ROUND($H779*$L779,2),0)</f>
        <v/>
      </c>
      <c r="O779" s="10">
        <f>IF(AND($R779="да",$H779&lt;&gt;""),ROUND($H779*$M779,2),0)</f>
        <v/>
      </c>
      <c r="P779" s="10">
        <f>$N779+$O779</f>
        <v/>
      </c>
      <c r="Q779">
        <f>IFERROR(INDEX(спр_Работы!$J$2:$J$6000,MATCH($C779,спр_Работы!$A$2:$A$6000,0)),"")</f>
        <v/>
      </c>
      <c r="R779" t="inlineStr">
        <is>
          <t>да</t>
        </is>
      </c>
      <c r="T779">
        <f>IF(AND($P779&gt;0,$R779="да"),MAX($T$1:$T778)+1,"")</f>
        <v/>
      </c>
    </row>
    <row r="780">
      <c r="A780">
        <f>IFERROR(INDEX(спр_Работы!$D$2:$D$6000,MATCH($C780,спр_Работы!$A$2:$A$6000,0)),"")</f>
        <v/>
      </c>
      <c r="B780">
        <f>IFERROR(INDEX(спр_Работы!$F$2:$F$6000,MATCH($C780,спр_Работы!$A$2:$A$6000,0)),"")</f>
        <v/>
      </c>
      <c r="C780">
        <f>IFERROR(INDEX(спр_Работы!$A$2:$A$6000,779),"")</f>
        <v/>
      </c>
      <c r="D780" s="8">
        <f>IFERROR(INDEX(спр_Работы!$B$2:$B$6000,MATCH($C780,спр_Работы!$A$2:$A$6000,0)),"")</f>
        <v/>
      </c>
      <c r="E780">
        <f>IFERROR(INDEX(спр_Работы!$C$2:$C$6000,MATCH($C780,спр_Работы!$A$2:$A$6000,0)),"")</f>
        <v/>
      </c>
      <c r="F780">
        <f>IFERROR(INDEX(спр_Работы!$G$2:$G$6000,MATCH($C780,спр_Работы!$A$2:$A$6000,0)),"")</f>
        <v/>
      </c>
      <c r="G780">
        <f>IFERROR(INDEX(спр_Работы!$K$2:$K$6000,MATCH($C780,спр_Работы!$A$2:$A$6000,0)),"")</f>
        <v/>
      </c>
      <c r="H780" s="9" t="n"/>
      <c r="I780" s="9" t="n"/>
      <c r="J780" s="8">
        <f>IFERROR(INDEX(спр_Материалы!$B$2:$B$9000,MATCH($I780,спр_Материалы!$A$2:$A$9000,0)),"")</f>
        <v/>
      </c>
      <c r="K780">
        <f>IF($I780="","",IF($F780=IFERROR(INDEX(спр_Материалы!$G$2:$G$9000,MATCH($I780,спр_Материалы!$A$2:$A$9000,0)),""),"OK","!! не та группа"))</f>
        <v/>
      </c>
      <c r="L780" s="10">
        <f>IFERROR(INDEX(спр_Работы!$H$2:$H$6000,MATCH($C780,спр_Работы!$A$2:$A$6000,0))*(1-ДисконтТендер),0)</f>
        <v/>
      </c>
      <c r="M780" s="10">
        <f>IF($I780="",0,IFERROR(INDEX(спр_Материалы!$I$2:$I$9000,MATCH($I780,спр_Материалы!$A$2:$A$9000,0))*IF(INDEX(спр_Материалы!$J$2:$J$9000,MATCH($I780,спр_Материалы!$A$2:$A$9000,0))="USD",КурсUSD,IF(INDEX(спр_Материалы!$J$2:$J$9000,MATCH($I780,спр_Материалы!$A$2:$A$9000,0))="EUR",КурсEUR,1))*INDEX(спр_Материалы!$K$2:$K$9000,MATCH($I780,спр_Материалы!$A$2:$A$9000,0))*(1+IFERROR(INDEX(спр_Работы!$I$2:$I$6000,MATCH($C780,спр_Работы!$A$2:$A$6000,0))/100,0))*(1-ДисконтТендер),0))</f>
        <v/>
      </c>
      <c r="N780" s="10">
        <f>IF(AND($R780="да",$H780&lt;&gt;""),ROUND($H780*$L780,2),0)</f>
        <v/>
      </c>
      <c r="O780" s="10">
        <f>IF(AND($R780="да",$H780&lt;&gt;""),ROUND($H780*$M780,2),0)</f>
        <v/>
      </c>
      <c r="P780" s="10">
        <f>$N780+$O780</f>
        <v/>
      </c>
      <c r="Q780">
        <f>IFERROR(INDEX(спр_Работы!$J$2:$J$6000,MATCH($C780,спр_Работы!$A$2:$A$6000,0)),"")</f>
        <v/>
      </c>
      <c r="R780" t="inlineStr">
        <is>
          <t>да</t>
        </is>
      </c>
      <c r="T780">
        <f>IF(AND($P780&gt;0,$R780="да"),MAX($T$1:$T779)+1,"")</f>
        <v/>
      </c>
    </row>
    <row r="781">
      <c r="A781">
        <f>IFERROR(INDEX(спр_Работы!$D$2:$D$6000,MATCH($C781,спр_Работы!$A$2:$A$6000,0)),"")</f>
        <v/>
      </c>
      <c r="B781">
        <f>IFERROR(INDEX(спр_Работы!$F$2:$F$6000,MATCH($C781,спр_Работы!$A$2:$A$6000,0)),"")</f>
        <v/>
      </c>
      <c r="C781">
        <f>IFERROR(INDEX(спр_Работы!$A$2:$A$6000,780),"")</f>
        <v/>
      </c>
      <c r="D781" s="8">
        <f>IFERROR(INDEX(спр_Работы!$B$2:$B$6000,MATCH($C781,спр_Работы!$A$2:$A$6000,0)),"")</f>
        <v/>
      </c>
      <c r="E781">
        <f>IFERROR(INDEX(спр_Работы!$C$2:$C$6000,MATCH($C781,спр_Работы!$A$2:$A$6000,0)),"")</f>
        <v/>
      </c>
      <c r="F781">
        <f>IFERROR(INDEX(спр_Работы!$G$2:$G$6000,MATCH($C781,спр_Работы!$A$2:$A$6000,0)),"")</f>
        <v/>
      </c>
      <c r="G781">
        <f>IFERROR(INDEX(спр_Работы!$K$2:$K$6000,MATCH($C781,спр_Работы!$A$2:$A$6000,0)),"")</f>
        <v/>
      </c>
      <c r="H781" s="9" t="n"/>
      <c r="I781" s="9" t="n"/>
      <c r="J781" s="8">
        <f>IFERROR(INDEX(спр_Материалы!$B$2:$B$9000,MATCH($I781,спр_Материалы!$A$2:$A$9000,0)),"")</f>
        <v/>
      </c>
      <c r="K781">
        <f>IF($I781="","",IF($F781=IFERROR(INDEX(спр_Материалы!$G$2:$G$9000,MATCH($I781,спр_Материалы!$A$2:$A$9000,0)),""),"OK","!! не та группа"))</f>
        <v/>
      </c>
      <c r="L781" s="10">
        <f>IFERROR(INDEX(спр_Работы!$H$2:$H$6000,MATCH($C781,спр_Работы!$A$2:$A$6000,0))*(1-ДисконтТендер),0)</f>
        <v/>
      </c>
      <c r="M781" s="10">
        <f>IF($I781="",0,IFERROR(INDEX(спр_Материалы!$I$2:$I$9000,MATCH($I781,спр_Материалы!$A$2:$A$9000,0))*IF(INDEX(спр_Материалы!$J$2:$J$9000,MATCH($I781,спр_Материалы!$A$2:$A$9000,0))="USD",КурсUSD,IF(INDEX(спр_Материалы!$J$2:$J$9000,MATCH($I781,спр_Материалы!$A$2:$A$9000,0))="EUR",КурсEUR,1))*INDEX(спр_Материалы!$K$2:$K$9000,MATCH($I781,спр_Материалы!$A$2:$A$9000,0))*(1+IFERROR(INDEX(спр_Работы!$I$2:$I$6000,MATCH($C781,спр_Работы!$A$2:$A$6000,0))/100,0))*(1-ДисконтТендер),0))</f>
        <v/>
      </c>
      <c r="N781" s="10">
        <f>IF(AND($R781="да",$H781&lt;&gt;""),ROUND($H781*$L781,2),0)</f>
        <v/>
      </c>
      <c r="O781" s="10">
        <f>IF(AND($R781="да",$H781&lt;&gt;""),ROUND($H781*$M781,2),0)</f>
        <v/>
      </c>
      <c r="P781" s="10">
        <f>$N781+$O781</f>
        <v/>
      </c>
      <c r="Q781">
        <f>IFERROR(INDEX(спр_Работы!$J$2:$J$6000,MATCH($C781,спр_Работы!$A$2:$A$6000,0)),"")</f>
        <v/>
      </c>
      <c r="R781" t="inlineStr">
        <is>
          <t>да</t>
        </is>
      </c>
      <c r="T781">
        <f>IF(AND($P781&gt;0,$R781="да"),MAX($T$1:$T780)+1,"")</f>
        <v/>
      </c>
    </row>
    <row r="782">
      <c r="A782">
        <f>IFERROR(INDEX(спр_Работы!$D$2:$D$6000,MATCH($C782,спр_Работы!$A$2:$A$6000,0)),"")</f>
        <v/>
      </c>
      <c r="B782">
        <f>IFERROR(INDEX(спр_Работы!$F$2:$F$6000,MATCH($C782,спр_Работы!$A$2:$A$6000,0)),"")</f>
        <v/>
      </c>
      <c r="C782">
        <f>IFERROR(INDEX(спр_Работы!$A$2:$A$6000,781),"")</f>
        <v/>
      </c>
      <c r="D782" s="8">
        <f>IFERROR(INDEX(спр_Работы!$B$2:$B$6000,MATCH($C782,спр_Работы!$A$2:$A$6000,0)),"")</f>
        <v/>
      </c>
      <c r="E782">
        <f>IFERROR(INDEX(спр_Работы!$C$2:$C$6000,MATCH($C782,спр_Работы!$A$2:$A$6000,0)),"")</f>
        <v/>
      </c>
      <c r="F782">
        <f>IFERROR(INDEX(спр_Работы!$G$2:$G$6000,MATCH($C782,спр_Работы!$A$2:$A$6000,0)),"")</f>
        <v/>
      </c>
      <c r="G782">
        <f>IFERROR(INDEX(спр_Работы!$K$2:$K$6000,MATCH($C782,спр_Работы!$A$2:$A$6000,0)),"")</f>
        <v/>
      </c>
      <c r="H782" s="9" t="n"/>
      <c r="I782" s="9" t="n"/>
      <c r="J782" s="8">
        <f>IFERROR(INDEX(спр_Материалы!$B$2:$B$9000,MATCH($I782,спр_Материалы!$A$2:$A$9000,0)),"")</f>
        <v/>
      </c>
      <c r="K782">
        <f>IF($I782="","",IF($F782=IFERROR(INDEX(спр_Материалы!$G$2:$G$9000,MATCH($I782,спр_Материалы!$A$2:$A$9000,0)),""),"OK","!! не та группа"))</f>
        <v/>
      </c>
      <c r="L782" s="10">
        <f>IFERROR(INDEX(спр_Работы!$H$2:$H$6000,MATCH($C782,спр_Работы!$A$2:$A$6000,0))*(1-ДисконтТендер),0)</f>
        <v/>
      </c>
      <c r="M782" s="10">
        <f>IF($I782="",0,IFERROR(INDEX(спр_Материалы!$I$2:$I$9000,MATCH($I782,спр_Материалы!$A$2:$A$9000,0))*IF(INDEX(спр_Материалы!$J$2:$J$9000,MATCH($I782,спр_Материалы!$A$2:$A$9000,0))="USD",КурсUSD,IF(INDEX(спр_Материалы!$J$2:$J$9000,MATCH($I782,спр_Материалы!$A$2:$A$9000,0))="EUR",КурсEUR,1))*INDEX(спр_Материалы!$K$2:$K$9000,MATCH($I782,спр_Материалы!$A$2:$A$9000,0))*(1+IFERROR(INDEX(спр_Работы!$I$2:$I$6000,MATCH($C782,спр_Работы!$A$2:$A$6000,0))/100,0))*(1-ДисконтТендер),0))</f>
        <v/>
      </c>
      <c r="N782" s="10">
        <f>IF(AND($R782="да",$H782&lt;&gt;""),ROUND($H782*$L782,2),0)</f>
        <v/>
      </c>
      <c r="O782" s="10">
        <f>IF(AND($R782="да",$H782&lt;&gt;""),ROUND($H782*$M782,2),0)</f>
        <v/>
      </c>
      <c r="P782" s="10">
        <f>$N782+$O782</f>
        <v/>
      </c>
      <c r="Q782">
        <f>IFERROR(INDEX(спр_Работы!$J$2:$J$6000,MATCH($C782,спр_Работы!$A$2:$A$6000,0)),"")</f>
        <v/>
      </c>
      <c r="R782" t="inlineStr">
        <is>
          <t>да</t>
        </is>
      </c>
      <c r="T782">
        <f>IF(AND($P782&gt;0,$R782="да"),MAX($T$1:$T781)+1,"")</f>
        <v/>
      </c>
    </row>
    <row r="783">
      <c r="A783">
        <f>IFERROR(INDEX(спр_Работы!$D$2:$D$6000,MATCH($C783,спр_Работы!$A$2:$A$6000,0)),"")</f>
        <v/>
      </c>
      <c r="B783">
        <f>IFERROR(INDEX(спр_Работы!$F$2:$F$6000,MATCH($C783,спр_Работы!$A$2:$A$6000,0)),"")</f>
        <v/>
      </c>
      <c r="C783">
        <f>IFERROR(INDEX(спр_Работы!$A$2:$A$6000,782),"")</f>
        <v/>
      </c>
      <c r="D783" s="8">
        <f>IFERROR(INDEX(спр_Работы!$B$2:$B$6000,MATCH($C783,спр_Работы!$A$2:$A$6000,0)),"")</f>
        <v/>
      </c>
      <c r="E783">
        <f>IFERROR(INDEX(спр_Работы!$C$2:$C$6000,MATCH($C783,спр_Работы!$A$2:$A$6000,0)),"")</f>
        <v/>
      </c>
      <c r="F783">
        <f>IFERROR(INDEX(спр_Работы!$G$2:$G$6000,MATCH($C783,спр_Работы!$A$2:$A$6000,0)),"")</f>
        <v/>
      </c>
      <c r="G783">
        <f>IFERROR(INDEX(спр_Работы!$K$2:$K$6000,MATCH($C783,спр_Работы!$A$2:$A$6000,0)),"")</f>
        <v/>
      </c>
      <c r="H783" s="9" t="n"/>
      <c r="I783" s="9" t="n"/>
      <c r="J783" s="8">
        <f>IFERROR(INDEX(спр_Материалы!$B$2:$B$9000,MATCH($I783,спр_Материалы!$A$2:$A$9000,0)),"")</f>
        <v/>
      </c>
      <c r="K783">
        <f>IF($I783="","",IF($F783=IFERROR(INDEX(спр_Материалы!$G$2:$G$9000,MATCH($I783,спр_Материалы!$A$2:$A$9000,0)),""),"OK","!! не та группа"))</f>
        <v/>
      </c>
      <c r="L783" s="10">
        <f>IFERROR(INDEX(спр_Работы!$H$2:$H$6000,MATCH($C783,спр_Работы!$A$2:$A$6000,0))*(1-ДисконтТендер),0)</f>
        <v/>
      </c>
      <c r="M783" s="10">
        <f>IF($I783="",0,IFERROR(INDEX(спр_Материалы!$I$2:$I$9000,MATCH($I783,спр_Материалы!$A$2:$A$9000,0))*IF(INDEX(спр_Материалы!$J$2:$J$9000,MATCH($I783,спр_Материалы!$A$2:$A$9000,0))="USD",КурсUSD,IF(INDEX(спр_Материалы!$J$2:$J$9000,MATCH($I783,спр_Материалы!$A$2:$A$9000,0))="EUR",КурсEUR,1))*INDEX(спр_Материалы!$K$2:$K$9000,MATCH($I783,спр_Материалы!$A$2:$A$9000,0))*(1+IFERROR(INDEX(спр_Работы!$I$2:$I$6000,MATCH($C783,спр_Работы!$A$2:$A$6000,0))/100,0))*(1-ДисконтТендер),0))</f>
        <v/>
      </c>
      <c r="N783" s="10">
        <f>IF(AND($R783="да",$H783&lt;&gt;""),ROUND($H783*$L783,2),0)</f>
        <v/>
      </c>
      <c r="O783" s="10">
        <f>IF(AND($R783="да",$H783&lt;&gt;""),ROUND($H783*$M783,2),0)</f>
        <v/>
      </c>
      <c r="P783" s="10">
        <f>$N783+$O783</f>
        <v/>
      </c>
      <c r="Q783">
        <f>IFERROR(INDEX(спр_Работы!$J$2:$J$6000,MATCH($C783,спр_Работы!$A$2:$A$6000,0)),"")</f>
        <v/>
      </c>
      <c r="R783" t="inlineStr">
        <is>
          <t>да</t>
        </is>
      </c>
      <c r="T783">
        <f>IF(AND($P783&gt;0,$R783="да"),MAX($T$1:$T782)+1,"")</f>
        <v/>
      </c>
    </row>
    <row r="784">
      <c r="A784">
        <f>IFERROR(INDEX(спр_Работы!$D$2:$D$6000,MATCH($C784,спр_Работы!$A$2:$A$6000,0)),"")</f>
        <v/>
      </c>
      <c r="B784">
        <f>IFERROR(INDEX(спр_Работы!$F$2:$F$6000,MATCH($C784,спр_Работы!$A$2:$A$6000,0)),"")</f>
        <v/>
      </c>
      <c r="C784">
        <f>IFERROR(INDEX(спр_Работы!$A$2:$A$6000,783),"")</f>
        <v/>
      </c>
      <c r="D784" s="8">
        <f>IFERROR(INDEX(спр_Работы!$B$2:$B$6000,MATCH($C784,спр_Работы!$A$2:$A$6000,0)),"")</f>
        <v/>
      </c>
      <c r="E784">
        <f>IFERROR(INDEX(спр_Работы!$C$2:$C$6000,MATCH($C784,спр_Работы!$A$2:$A$6000,0)),"")</f>
        <v/>
      </c>
      <c r="F784">
        <f>IFERROR(INDEX(спр_Работы!$G$2:$G$6000,MATCH($C784,спр_Работы!$A$2:$A$6000,0)),"")</f>
        <v/>
      </c>
      <c r="G784">
        <f>IFERROR(INDEX(спр_Работы!$K$2:$K$6000,MATCH($C784,спр_Работы!$A$2:$A$6000,0)),"")</f>
        <v/>
      </c>
      <c r="H784" s="9" t="n"/>
      <c r="I784" s="9" t="n"/>
      <c r="J784" s="8">
        <f>IFERROR(INDEX(спр_Материалы!$B$2:$B$9000,MATCH($I784,спр_Материалы!$A$2:$A$9000,0)),"")</f>
        <v/>
      </c>
      <c r="K784">
        <f>IF($I784="","",IF($F784=IFERROR(INDEX(спр_Материалы!$G$2:$G$9000,MATCH($I784,спр_Материалы!$A$2:$A$9000,0)),""),"OK","!! не та группа"))</f>
        <v/>
      </c>
      <c r="L784" s="10">
        <f>IFERROR(INDEX(спр_Работы!$H$2:$H$6000,MATCH($C784,спр_Работы!$A$2:$A$6000,0))*(1-ДисконтТендер),0)</f>
        <v/>
      </c>
      <c r="M784" s="10">
        <f>IF($I784="",0,IFERROR(INDEX(спр_Материалы!$I$2:$I$9000,MATCH($I784,спр_Материалы!$A$2:$A$9000,0))*IF(INDEX(спр_Материалы!$J$2:$J$9000,MATCH($I784,спр_Материалы!$A$2:$A$9000,0))="USD",КурсUSD,IF(INDEX(спр_Материалы!$J$2:$J$9000,MATCH($I784,спр_Материалы!$A$2:$A$9000,0))="EUR",КурсEUR,1))*INDEX(спр_Материалы!$K$2:$K$9000,MATCH($I784,спр_Материалы!$A$2:$A$9000,0))*(1+IFERROR(INDEX(спр_Работы!$I$2:$I$6000,MATCH($C784,спр_Работы!$A$2:$A$6000,0))/100,0))*(1-ДисконтТендер),0))</f>
        <v/>
      </c>
      <c r="N784" s="10">
        <f>IF(AND($R784="да",$H784&lt;&gt;""),ROUND($H784*$L784,2),0)</f>
        <v/>
      </c>
      <c r="O784" s="10">
        <f>IF(AND($R784="да",$H784&lt;&gt;""),ROUND($H784*$M784,2),0)</f>
        <v/>
      </c>
      <c r="P784" s="10">
        <f>$N784+$O784</f>
        <v/>
      </c>
      <c r="Q784">
        <f>IFERROR(INDEX(спр_Работы!$J$2:$J$6000,MATCH($C784,спр_Работы!$A$2:$A$6000,0)),"")</f>
        <v/>
      </c>
      <c r="R784" t="inlineStr">
        <is>
          <t>да</t>
        </is>
      </c>
      <c r="T784">
        <f>IF(AND($P784&gt;0,$R784="да"),MAX($T$1:$T783)+1,"")</f>
        <v/>
      </c>
    </row>
    <row r="785">
      <c r="A785">
        <f>IFERROR(INDEX(спр_Работы!$D$2:$D$6000,MATCH($C785,спр_Работы!$A$2:$A$6000,0)),"")</f>
        <v/>
      </c>
      <c r="B785">
        <f>IFERROR(INDEX(спр_Работы!$F$2:$F$6000,MATCH($C785,спр_Работы!$A$2:$A$6000,0)),"")</f>
        <v/>
      </c>
      <c r="C785">
        <f>IFERROR(INDEX(спр_Работы!$A$2:$A$6000,784),"")</f>
        <v/>
      </c>
      <c r="D785" s="8">
        <f>IFERROR(INDEX(спр_Работы!$B$2:$B$6000,MATCH($C785,спр_Работы!$A$2:$A$6000,0)),"")</f>
        <v/>
      </c>
      <c r="E785">
        <f>IFERROR(INDEX(спр_Работы!$C$2:$C$6000,MATCH($C785,спр_Работы!$A$2:$A$6000,0)),"")</f>
        <v/>
      </c>
      <c r="F785">
        <f>IFERROR(INDEX(спр_Работы!$G$2:$G$6000,MATCH($C785,спр_Работы!$A$2:$A$6000,0)),"")</f>
        <v/>
      </c>
      <c r="G785">
        <f>IFERROR(INDEX(спр_Работы!$K$2:$K$6000,MATCH($C785,спр_Работы!$A$2:$A$6000,0)),"")</f>
        <v/>
      </c>
      <c r="H785" s="9" t="n"/>
      <c r="I785" s="9" t="n"/>
      <c r="J785" s="8">
        <f>IFERROR(INDEX(спр_Материалы!$B$2:$B$9000,MATCH($I785,спр_Материалы!$A$2:$A$9000,0)),"")</f>
        <v/>
      </c>
      <c r="K785">
        <f>IF($I785="","",IF($F785=IFERROR(INDEX(спр_Материалы!$G$2:$G$9000,MATCH($I785,спр_Материалы!$A$2:$A$9000,0)),""),"OK","!! не та группа"))</f>
        <v/>
      </c>
      <c r="L785" s="10">
        <f>IFERROR(INDEX(спр_Работы!$H$2:$H$6000,MATCH($C785,спр_Работы!$A$2:$A$6000,0))*(1-ДисконтТендер),0)</f>
        <v/>
      </c>
      <c r="M785" s="10">
        <f>IF($I785="",0,IFERROR(INDEX(спр_Материалы!$I$2:$I$9000,MATCH($I785,спр_Материалы!$A$2:$A$9000,0))*IF(INDEX(спр_Материалы!$J$2:$J$9000,MATCH($I785,спр_Материалы!$A$2:$A$9000,0))="USD",КурсUSD,IF(INDEX(спр_Материалы!$J$2:$J$9000,MATCH($I785,спр_Материалы!$A$2:$A$9000,0))="EUR",КурсEUR,1))*INDEX(спр_Материалы!$K$2:$K$9000,MATCH($I785,спр_Материалы!$A$2:$A$9000,0))*(1+IFERROR(INDEX(спр_Работы!$I$2:$I$6000,MATCH($C785,спр_Работы!$A$2:$A$6000,0))/100,0))*(1-ДисконтТендер),0))</f>
        <v/>
      </c>
      <c r="N785" s="10">
        <f>IF(AND($R785="да",$H785&lt;&gt;""),ROUND($H785*$L785,2),0)</f>
        <v/>
      </c>
      <c r="O785" s="10">
        <f>IF(AND($R785="да",$H785&lt;&gt;""),ROUND($H785*$M785,2),0)</f>
        <v/>
      </c>
      <c r="P785" s="10">
        <f>$N785+$O785</f>
        <v/>
      </c>
      <c r="Q785">
        <f>IFERROR(INDEX(спр_Работы!$J$2:$J$6000,MATCH($C785,спр_Работы!$A$2:$A$6000,0)),"")</f>
        <v/>
      </c>
      <c r="R785" t="inlineStr">
        <is>
          <t>да</t>
        </is>
      </c>
      <c r="T785">
        <f>IF(AND($P785&gt;0,$R785="да"),MAX($T$1:$T784)+1,"")</f>
        <v/>
      </c>
    </row>
    <row r="786">
      <c r="A786">
        <f>IFERROR(INDEX(спр_Работы!$D$2:$D$6000,MATCH($C786,спр_Работы!$A$2:$A$6000,0)),"")</f>
        <v/>
      </c>
      <c r="B786">
        <f>IFERROR(INDEX(спр_Работы!$F$2:$F$6000,MATCH($C786,спр_Работы!$A$2:$A$6000,0)),"")</f>
        <v/>
      </c>
      <c r="C786">
        <f>IFERROR(INDEX(спр_Работы!$A$2:$A$6000,785),"")</f>
        <v/>
      </c>
      <c r="D786" s="8">
        <f>IFERROR(INDEX(спр_Работы!$B$2:$B$6000,MATCH($C786,спр_Работы!$A$2:$A$6000,0)),"")</f>
        <v/>
      </c>
      <c r="E786">
        <f>IFERROR(INDEX(спр_Работы!$C$2:$C$6000,MATCH($C786,спр_Работы!$A$2:$A$6000,0)),"")</f>
        <v/>
      </c>
      <c r="F786">
        <f>IFERROR(INDEX(спр_Работы!$G$2:$G$6000,MATCH($C786,спр_Работы!$A$2:$A$6000,0)),"")</f>
        <v/>
      </c>
      <c r="G786">
        <f>IFERROR(INDEX(спр_Работы!$K$2:$K$6000,MATCH($C786,спр_Работы!$A$2:$A$6000,0)),"")</f>
        <v/>
      </c>
      <c r="H786" s="9" t="n"/>
      <c r="I786" s="9" t="n"/>
      <c r="J786" s="8">
        <f>IFERROR(INDEX(спр_Материалы!$B$2:$B$9000,MATCH($I786,спр_Материалы!$A$2:$A$9000,0)),"")</f>
        <v/>
      </c>
      <c r="K786">
        <f>IF($I786="","",IF($F786=IFERROR(INDEX(спр_Материалы!$G$2:$G$9000,MATCH($I786,спр_Материалы!$A$2:$A$9000,0)),""),"OK","!! не та группа"))</f>
        <v/>
      </c>
      <c r="L786" s="10">
        <f>IFERROR(INDEX(спр_Работы!$H$2:$H$6000,MATCH($C786,спр_Работы!$A$2:$A$6000,0))*(1-ДисконтТендер),0)</f>
        <v/>
      </c>
      <c r="M786" s="10">
        <f>IF($I786="",0,IFERROR(INDEX(спр_Материалы!$I$2:$I$9000,MATCH($I786,спр_Материалы!$A$2:$A$9000,0))*IF(INDEX(спр_Материалы!$J$2:$J$9000,MATCH($I786,спр_Материалы!$A$2:$A$9000,0))="USD",КурсUSD,IF(INDEX(спр_Материалы!$J$2:$J$9000,MATCH($I786,спр_Материалы!$A$2:$A$9000,0))="EUR",КурсEUR,1))*INDEX(спр_Материалы!$K$2:$K$9000,MATCH($I786,спр_Материалы!$A$2:$A$9000,0))*(1+IFERROR(INDEX(спр_Работы!$I$2:$I$6000,MATCH($C786,спр_Работы!$A$2:$A$6000,0))/100,0))*(1-ДисконтТендер),0))</f>
        <v/>
      </c>
      <c r="N786" s="10">
        <f>IF(AND($R786="да",$H786&lt;&gt;""),ROUND($H786*$L786,2),0)</f>
        <v/>
      </c>
      <c r="O786" s="10">
        <f>IF(AND($R786="да",$H786&lt;&gt;""),ROUND($H786*$M786,2),0)</f>
        <v/>
      </c>
      <c r="P786" s="10">
        <f>$N786+$O786</f>
        <v/>
      </c>
      <c r="Q786">
        <f>IFERROR(INDEX(спр_Работы!$J$2:$J$6000,MATCH($C786,спр_Работы!$A$2:$A$6000,0)),"")</f>
        <v/>
      </c>
      <c r="R786" t="inlineStr">
        <is>
          <t>да</t>
        </is>
      </c>
      <c r="T786">
        <f>IF(AND($P786&gt;0,$R786="да"),MAX($T$1:$T785)+1,"")</f>
        <v/>
      </c>
    </row>
    <row r="787">
      <c r="A787">
        <f>IFERROR(INDEX(спр_Работы!$D$2:$D$6000,MATCH($C787,спр_Работы!$A$2:$A$6000,0)),"")</f>
        <v/>
      </c>
      <c r="B787">
        <f>IFERROR(INDEX(спр_Работы!$F$2:$F$6000,MATCH($C787,спр_Работы!$A$2:$A$6000,0)),"")</f>
        <v/>
      </c>
      <c r="C787">
        <f>IFERROR(INDEX(спр_Работы!$A$2:$A$6000,786),"")</f>
        <v/>
      </c>
      <c r="D787" s="8">
        <f>IFERROR(INDEX(спр_Работы!$B$2:$B$6000,MATCH($C787,спр_Работы!$A$2:$A$6000,0)),"")</f>
        <v/>
      </c>
      <c r="E787">
        <f>IFERROR(INDEX(спр_Работы!$C$2:$C$6000,MATCH($C787,спр_Работы!$A$2:$A$6000,0)),"")</f>
        <v/>
      </c>
      <c r="F787">
        <f>IFERROR(INDEX(спр_Работы!$G$2:$G$6000,MATCH($C787,спр_Работы!$A$2:$A$6000,0)),"")</f>
        <v/>
      </c>
      <c r="G787">
        <f>IFERROR(INDEX(спр_Работы!$K$2:$K$6000,MATCH($C787,спр_Работы!$A$2:$A$6000,0)),"")</f>
        <v/>
      </c>
      <c r="H787" s="9" t="n"/>
      <c r="I787" s="9" t="n"/>
      <c r="J787" s="8">
        <f>IFERROR(INDEX(спр_Материалы!$B$2:$B$9000,MATCH($I787,спр_Материалы!$A$2:$A$9000,0)),"")</f>
        <v/>
      </c>
      <c r="K787">
        <f>IF($I787="","",IF($F787=IFERROR(INDEX(спр_Материалы!$G$2:$G$9000,MATCH($I787,спр_Материалы!$A$2:$A$9000,0)),""),"OK","!! не та группа"))</f>
        <v/>
      </c>
      <c r="L787" s="10">
        <f>IFERROR(INDEX(спр_Работы!$H$2:$H$6000,MATCH($C787,спр_Работы!$A$2:$A$6000,0))*(1-ДисконтТендер),0)</f>
        <v/>
      </c>
      <c r="M787" s="10">
        <f>IF($I787="",0,IFERROR(INDEX(спр_Материалы!$I$2:$I$9000,MATCH($I787,спр_Материалы!$A$2:$A$9000,0))*IF(INDEX(спр_Материалы!$J$2:$J$9000,MATCH($I787,спр_Материалы!$A$2:$A$9000,0))="USD",КурсUSD,IF(INDEX(спр_Материалы!$J$2:$J$9000,MATCH($I787,спр_Материалы!$A$2:$A$9000,0))="EUR",КурсEUR,1))*INDEX(спр_Материалы!$K$2:$K$9000,MATCH($I787,спр_Материалы!$A$2:$A$9000,0))*(1+IFERROR(INDEX(спр_Работы!$I$2:$I$6000,MATCH($C787,спр_Работы!$A$2:$A$6000,0))/100,0))*(1-ДисконтТендер),0))</f>
        <v/>
      </c>
      <c r="N787" s="10">
        <f>IF(AND($R787="да",$H787&lt;&gt;""),ROUND($H787*$L787,2),0)</f>
        <v/>
      </c>
      <c r="O787" s="10">
        <f>IF(AND($R787="да",$H787&lt;&gt;""),ROUND($H787*$M787,2),0)</f>
        <v/>
      </c>
      <c r="P787" s="10">
        <f>$N787+$O787</f>
        <v/>
      </c>
      <c r="Q787">
        <f>IFERROR(INDEX(спр_Работы!$J$2:$J$6000,MATCH($C787,спр_Работы!$A$2:$A$6000,0)),"")</f>
        <v/>
      </c>
      <c r="R787" t="inlineStr">
        <is>
          <t>да</t>
        </is>
      </c>
      <c r="T787">
        <f>IF(AND($P787&gt;0,$R787="да"),MAX($T$1:$T786)+1,"")</f>
        <v/>
      </c>
    </row>
    <row r="788">
      <c r="A788">
        <f>IFERROR(INDEX(спр_Работы!$D$2:$D$6000,MATCH($C788,спр_Работы!$A$2:$A$6000,0)),"")</f>
        <v/>
      </c>
      <c r="B788">
        <f>IFERROR(INDEX(спр_Работы!$F$2:$F$6000,MATCH($C788,спр_Работы!$A$2:$A$6000,0)),"")</f>
        <v/>
      </c>
      <c r="C788">
        <f>IFERROR(INDEX(спр_Работы!$A$2:$A$6000,787),"")</f>
        <v/>
      </c>
      <c r="D788" s="8">
        <f>IFERROR(INDEX(спр_Работы!$B$2:$B$6000,MATCH($C788,спр_Работы!$A$2:$A$6000,0)),"")</f>
        <v/>
      </c>
      <c r="E788">
        <f>IFERROR(INDEX(спр_Работы!$C$2:$C$6000,MATCH($C788,спр_Работы!$A$2:$A$6000,0)),"")</f>
        <v/>
      </c>
      <c r="F788">
        <f>IFERROR(INDEX(спр_Работы!$G$2:$G$6000,MATCH($C788,спр_Работы!$A$2:$A$6000,0)),"")</f>
        <v/>
      </c>
      <c r="G788">
        <f>IFERROR(INDEX(спр_Работы!$K$2:$K$6000,MATCH($C788,спр_Работы!$A$2:$A$6000,0)),"")</f>
        <v/>
      </c>
      <c r="H788" s="9" t="n"/>
      <c r="I788" s="9" t="n"/>
      <c r="J788" s="8">
        <f>IFERROR(INDEX(спр_Материалы!$B$2:$B$9000,MATCH($I788,спр_Материалы!$A$2:$A$9000,0)),"")</f>
        <v/>
      </c>
      <c r="K788">
        <f>IF($I788="","",IF($F788=IFERROR(INDEX(спр_Материалы!$G$2:$G$9000,MATCH($I788,спр_Материалы!$A$2:$A$9000,0)),""),"OK","!! не та группа"))</f>
        <v/>
      </c>
      <c r="L788" s="10">
        <f>IFERROR(INDEX(спр_Работы!$H$2:$H$6000,MATCH($C788,спр_Работы!$A$2:$A$6000,0))*(1-ДисконтТендер),0)</f>
        <v/>
      </c>
      <c r="M788" s="10">
        <f>IF($I788="",0,IFERROR(INDEX(спр_Материалы!$I$2:$I$9000,MATCH($I788,спр_Материалы!$A$2:$A$9000,0))*IF(INDEX(спр_Материалы!$J$2:$J$9000,MATCH($I788,спр_Материалы!$A$2:$A$9000,0))="USD",КурсUSD,IF(INDEX(спр_Материалы!$J$2:$J$9000,MATCH($I788,спр_Материалы!$A$2:$A$9000,0))="EUR",КурсEUR,1))*INDEX(спр_Материалы!$K$2:$K$9000,MATCH($I788,спр_Материалы!$A$2:$A$9000,0))*(1+IFERROR(INDEX(спр_Работы!$I$2:$I$6000,MATCH($C788,спр_Работы!$A$2:$A$6000,0))/100,0))*(1-ДисконтТендер),0))</f>
        <v/>
      </c>
      <c r="N788" s="10">
        <f>IF(AND($R788="да",$H788&lt;&gt;""),ROUND($H788*$L788,2),0)</f>
        <v/>
      </c>
      <c r="O788" s="10">
        <f>IF(AND($R788="да",$H788&lt;&gt;""),ROUND($H788*$M788,2),0)</f>
        <v/>
      </c>
      <c r="P788" s="10">
        <f>$N788+$O788</f>
        <v/>
      </c>
      <c r="Q788">
        <f>IFERROR(INDEX(спр_Работы!$J$2:$J$6000,MATCH($C788,спр_Работы!$A$2:$A$6000,0)),"")</f>
        <v/>
      </c>
      <c r="R788" t="inlineStr">
        <is>
          <t>да</t>
        </is>
      </c>
      <c r="T788">
        <f>IF(AND($P788&gt;0,$R788="да"),MAX($T$1:$T787)+1,"")</f>
        <v/>
      </c>
    </row>
    <row r="789">
      <c r="A789">
        <f>IFERROR(INDEX(спр_Работы!$D$2:$D$6000,MATCH($C789,спр_Работы!$A$2:$A$6000,0)),"")</f>
        <v/>
      </c>
      <c r="B789">
        <f>IFERROR(INDEX(спр_Работы!$F$2:$F$6000,MATCH($C789,спр_Работы!$A$2:$A$6000,0)),"")</f>
        <v/>
      </c>
      <c r="C789">
        <f>IFERROR(INDEX(спр_Работы!$A$2:$A$6000,788),"")</f>
        <v/>
      </c>
      <c r="D789" s="8">
        <f>IFERROR(INDEX(спр_Работы!$B$2:$B$6000,MATCH($C789,спр_Работы!$A$2:$A$6000,0)),"")</f>
        <v/>
      </c>
      <c r="E789">
        <f>IFERROR(INDEX(спр_Работы!$C$2:$C$6000,MATCH($C789,спр_Работы!$A$2:$A$6000,0)),"")</f>
        <v/>
      </c>
      <c r="F789">
        <f>IFERROR(INDEX(спр_Работы!$G$2:$G$6000,MATCH($C789,спр_Работы!$A$2:$A$6000,0)),"")</f>
        <v/>
      </c>
      <c r="G789">
        <f>IFERROR(INDEX(спр_Работы!$K$2:$K$6000,MATCH($C789,спр_Работы!$A$2:$A$6000,0)),"")</f>
        <v/>
      </c>
      <c r="H789" s="9" t="n"/>
      <c r="I789" s="9" t="n"/>
      <c r="J789" s="8">
        <f>IFERROR(INDEX(спр_Материалы!$B$2:$B$9000,MATCH($I789,спр_Материалы!$A$2:$A$9000,0)),"")</f>
        <v/>
      </c>
      <c r="K789">
        <f>IF($I789="","",IF($F789=IFERROR(INDEX(спр_Материалы!$G$2:$G$9000,MATCH($I789,спр_Материалы!$A$2:$A$9000,0)),""),"OK","!! не та группа"))</f>
        <v/>
      </c>
      <c r="L789" s="10">
        <f>IFERROR(INDEX(спр_Работы!$H$2:$H$6000,MATCH($C789,спр_Работы!$A$2:$A$6000,0))*(1-ДисконтТендер),0)</f>
        <v/>
      </c>
      <c r="M789" s="10">
        <f>IF($I789="",0,IFERROR(INDEX(спр_Материалы!$I$2:$I$9000,MATCH($I789,спр_Материалы!$A$2:$A$9000,0))*IF(INDEX(спр_Материалы!$J$2:$J$9000,MATCH($I789,спр_Материалы!$A$2:$A$9000,0))="USD",КурсUSD,IF(INDEX(спр_Материалы!$J$2:$J$9000,MATCH($I789,спр_Материалы!$A$2:$A$9000,0))="EUR",КурсEUR,1))*INDEX(спр_Материалы!$K$2:$K$9000,MATCH($I789,спр_Материалы!$A$2:$A$9000,0))*(1+IFERROR(INDEX(спр_Работы!$I$2:$I$6000,MATCH($C789,спр_Работы!$A$2:$A$6000,0))/100,0))*(1-ДисконтТендер),0))</f>
        <v/>
      </c>
      <c r="N789" s="10">
        <f>IF(AND($R789="да",$H789&lt;&gt;""),ROUND($H789*$L789,2),0)</f>
        <v/>
      </c>
      <c r="O789" s="10">
        <f>IF(AND($R789="да",$H789&lt;&gt;""),ROUND($H789*$M789,2),0)</f>
        <v/>
      </c>
      <c r="P789" s="10">
        <f>$N789+$O789</f>
        <v/>
      </c>
      <c r="Q789">
        <f>IFERROR(INDEX(спр_Работы!$J$2:$J$6000,MATCH($C789,спр_Работы!$A$2:$A$6000,0)),"")</f>
        <v/>
      </c>
      <c r="R789" t="inlineStr">
        <is>
          <t>да</t>
        </is>
      </c>
      <c r="T789">
        <f>IF(AND($P789&gt;0,$R789="да"),MAX($T$1:$T788)+1,"")</f>
        <v/>
      </c>
    </row>
    <row r="790">
      <c r="A790">
        <f>IFERROR(INDEX(спр_Работы!$D$2:$D$6000,MATCH($C790,спр_Работы!$A$2:$A$6000,0)),"")</f>
        <v/>
      </c>
      <c r="B790">
        <f>IFERROR(INDEX(спр_Работы!$F$2:$F$6000,MATCH($C790,спр_Работы!$A$2:$A$6000,0)),"")</f>
        <v/>
      </c>
      <c r="C790">
        <f>IFERROR(INDEX(спр_Работы!$A$2:$A$6000,789),"")</f>
        <v/>
      </c>
      <c r="D790" s="8">
        <f>IFERROR(INDEX(спр_Работы!$B$2:$B$6000,MATCH($C790,спр_Работы!$A$2:$A$6000,0)),"")</f>
        <v/>
      </c>
      <c r="E790">
        <f>IFERROR(INDEX(спр_Работы!$C$2:$C$6000,MATCH($C790,спр_Работы!$A$2:$A$6000,0)),"")</f>
        <v/>
      </c>
      <c r="F790">
        <f>IFERROR(INDEX(спр_Работы!$G$2:$G$6000,MATCH($C790,спр_Работы!$A$2:$A$6000,0)),"")</f>
        <v/>
      </c>
      <c r="G790">
        <f>IFERROR(INDEX(спр_Работы!$K$2:$K$6000,MATCH($C790,спр_Работы!$A$2:$A$6000,0)),"")</f>
        <v/>
      </c>
      <c r="H790" s="9" t="n"/>
      <c r="I790" s="9" t="n"/>
      <c r="J790" s="8">
        <f>IFERROR(INDEX(спр_Материалы!$B$2:$B$9000,MATCH($I790,спр_Материалы!$A$2:$A$9000,0)),"")</f>
        <v/>
      </c>
      <c r="K790">
        <f>IF($I790="","",IF($F790=IFERROR(INDEX(спр_Материалы!$G$2:$G$9000,MATCH($I790,спр_Материалы!$A$2:$A$9000,0)),""),"OK","!! не та группа"))</f>
        <v/>
      </c>
      <c r="L790" s="10">
        <f>IFERROR(INDEX(спр_Работы!$H$2:$H$6000,MATCH($C790,спр_Работы!$A$2:$A$6000,0))*(1-ДисконтТендер),0)</f>
        <v/>
      </c>
      <c r="M790" s="10">
        <f>IF($I790="",0,IFERROR(INDEX(спр_Материалы!$I$2:$I$9000,MATCH($I790,спр_Материалы!$A$2:$A$9000,0))*IF(INDEX(спр_Материалы!$J$2:$J$9000,MATCH($I790,спр_Материалы!$A$2:$A$9000,0))="USD",КурсUSD,IF(INDEX(спр_Материалы!$J$2:$J$9000,MATCH($I790,спр_Материалы!$A$2:$A$9000,0))="EUR",КурсEUR,1))*INDEX(спр_Материалы!$K$2:$K$9000,MATCH($I790,спр_Материалы!$A$2:$A$9000,0))*(1+IFERROR(INDEX(спр_Работы!$I$2:$I$6000,MATCH($C790,спр_Работы!$A$2:$A$6000,0))/100,0))*(1-ДисконтТендер),0))</f>
        <v/>
      </c>
      <c r="N790" s="10">
        <f>IF(AND($R790="да",$H790&lt;&gt;""),ROUND($H790*$L790,2),0)</f>
        <v/>
      </c>
      <c r="O790" s="10">
        <f>IF(AND($R790="да",$H790&lt;&gt;""),ROUND($H790*$M790,2),0)</f>
        <v/>
      </c>
      <c r="P790" s="10">
        <f>$N790+$O790</f>
        <v/>
      </c>
      <c r="Q790">
        <f>IFERROR(INDEX(спр_Работы!$J$2:$J$6000,MATCH($C790,спр_Работы!$A$2:$A$6000,0)),"")</f>
        <v/>
      </c>
      <c r="R790" t="inlineStr">
        <is>
          <t>да</t>
        </is>
      </c>
      <c r="T790">
        <f>IF(AND($P790&gt;0,$R790="да"),MAX($T$1:$T789)+1,"")</f>
        <v/>
      </c>
    </row>
    <row r="791">
      <c r="A791">
        <f>IFERROR(INDEX(спр_Работы!$D$2:$D$6000,MATCH($C791,спр_Работы!$A$2:$A$6000,0)),"")</f>
        <v/>
      </c>
      <c r="B791">
        <f>IFERROR(INDEX(спр_Работы!$F$2:$F$6000,MATCH($C791,спр_Работы!$A$2:$A$6000,0)),"")</f>
        <v/>
      </c>
      <c r="C791">
        <f>IFERROR(INDEX(спр_Работы!$A$2:$A$6000,790),"")</f>
        <v/>
      </c>
      <c r="D791" s="8">
        <f>IFERROR(INDEX(спр_Работы!$B$2:$B$6000,MATCH($C791,спр_Работы!$A$2:$A$6000,0)),"")</f>
        <v/>
      </c>
      <c r="E791">
        <f>IFERROR(INDEX(спр_Работы!$C$2:$C$6000,MATCH($C791,спр_Работы!$A$2:$A$6000,0)),"")</f>
        <v/>
      </c>
      <c r="F791">
        <f>IFERROR(INDEX(спр_Работы!$G$2:$G$6000,MATCH($C791,спр_Работы!$A$2:$A$6000,0)),"")</f>
        <v/>
      </c>
      <c r="G791">
        <f>IFERROR(INDEX(спр_Работы!$K$2:$K$6000,MATCH($C791,спр_Работы!$A$2:$A$6000,0)),"")</f>
        <v/>
      </c>
      <c r="H791" s="9" t="n"/>
      <c r="I791" s="9" t="n"/>
      <c r="J791" s="8">
        <f>IFERROR(INDEX(спр_Материалы!$B$2:$B$9000,MATCH($I791,спр_Материалы!$A$2:$A$9000,0)),"")</f>
        <v/>
      </c>
      <c r="K791">
        <f>IF($I791="","",IF($F791=IFERROR(INDEX(спр_Материалы!$G$2:$G$9000,MATCH($I791,спр_Материалы!$A$2:$A$9000,0)),""),"OK","!! не та группа"))</f>
        <v/>
      </c>
      <c r="L791" s="10">
        <f>IFERROR(INDEX(спр_Работы!$H$2:$H$6000,MATCH($C791,спр_Работы!$A$2:$A$6000,0))*(1-ДисконтТендер),0)</f>
        <v/>
      </c>
      <c r="M791" s="10">
        <f>IF($I791="",0,IFERROR(INDEX(спр_Материалы!$I$2:$I$9000,MATCH($I791,спр_Материалы!$A$2:$A$9000,0))*IF(INDEX(спр_Материалы!$J$2:$J$9000,MATCH($I791,спр_Материалы!$A$2:$A$9000,0))="USD",КурсUSD,IF(INDEX(спр_Материалы!$J$2:$J$9000,MATCH($I791,спр_Материалы!$A$2:$A$9000,0))="EUR",КурсEUR,1))*INDEX(спр_Материалы!$K$2:$K$9000,MATCH($I791,спр_Материалы!$A$2:$A$9000,0))*(1+IFERROR(INDEX(спр_Работы!$I$2:$I$6000,MATCH($C791,спр_Работы!$A$2:$A$6000,0))/100,0))*(1-ДисконтТендер),0))</f>
        <v/>
      </c>
      <c r="N791" s="10">
        <f>IF(AND($R791="да",$H791&lt;&gt;""),ROUND($H791*$L791,2),0)</f>
        <v/>
      </c>
      <c r="O791" s="10">
        <f>IF(AND($R791="да",$H791&lt;&gt;""),ROUND($H791*$M791,2),0)</f>
        <v/>
      </c>
      <c r="P791" s="10">
        <f>$N791+$O791</f>
        <v/>
      </c>
      <c r="Q791">
        <f>IFERROR(INDEX(спр_Работы!$J$2:$J$6000,MATCH($C791,спр_Работы!$A$2:$A$6000,0)),"")</f>
        <v/>
      </c>
      <c r="R791" t="inlineStr">
        <is>
          <t>да</t>
        </is>
      </c>
      <c r="T791">
        <f>IF(AND($P791&gt;0,$R791="да"),MAX($T$1:$T790)+1,"")</f>
        <v/>
      </c>
    </row>
    <row r="792">
      <c r="A792">
        <f>IFERROR(INDEX(спр_Работы!$D$2:$D$6000,MATCH($C792,спр_Работы!$A$2:$A$6000,0)),"")</f>
        <v/>
      </c>
      <c r="B792">
        <f>IFERROR(INDEX(спр_Работы!$F$2:$F$6000,MATCH($C792,спр_Работы!$A$2:$A$6000,0)),"")</f>
        <v/>
      </c>
      <c r="C792">
        <f>IFERROR(INDEX(спр_Работы!$A$2:$A$6000,791),"")</f>
        <v/>
      </c>
      <c r="D792" s="8">
        <f>IFERROR(INDEX(спр_Работы!$B$2:$B$6000,MATCH($C792,спр_Работы!$A$2:$A$6000,0)),"")</f>
        <v/>
      </c>
      <c r="E792">
        <f>IFERROR(INDEX(спр_Работы!$C$2:$C$6000,MATCH($C792,спр_Работы!$A$2:$A$6000,0)),"")</f>
        <v/>
      </c>
      <c r="F792">
        <f>IFERROR(INDEX(спр_Работы!$G$2:$G$6000,MATCH($C792,спр_Работы!$A$2:$A$6000,0)),"")</f>
        <v/>
      </c>
      <c r="G792">
        <f>IFERROR(INDEX(спр_Работы!$K$2:$K$6000,MATCH($C792,спр_Работы!$A$2:$A$6000,0)),"")</f>
        <v/>
      </c>
      <c r="H792" s="9" t="n"/>
      <c r="I792" s="9" t="n"/>
      <c r="J792" s="8">
        <f>IFERROR(INDEX(спр_Материалы!$B$2:$B$9000,MATCH($I792,спр_Материалы!$A$2:$A$9000,0)),"")</f>
        <v/>
      </c>
      <c r="K792">
        <f>IF($I792="","",IF($F792=IFERROR(INDEX(спр_Материалы!$G$2:$G$9000,MATCH($I792,спр_Материалы!$A$2:$A$9000,0)),""),"OK","!! не та группа"))</f>
        <v/>
      </c>
      <c r="L792" s="10">
        <f>IFERROR(INDEX(спр_Работы!$H$2:$H$6000,MATCH($C792,спр_Работы!$A$2:$A$6000,0))*(1-ДисконтТендер),0)</f>
        <v/>
      </c>
      <c r="M792" s="10">
        <f>IF($I792="",0,IFERROR(INDEX(спр_Материалы!$I$2:$I$9000,MATCH($I792,спр_Материалы!$A$2:$A$9000,0))*IF(INDEX(спр_Материалы!$J$2:$J$9000,MATCH($I792,спр_Материалы!$A$2:$A$9000,0))="USD",КурсUSD,IF(INDEX(спр_Материалы!$J$2:$J$9000,MATCH($I792,спр_Материалы!$A$2:$A$9000,0))="EUR",КурсEUR,1))*INDEX(спр_Материалы!$K$2:$K$9000,MATCH($I792,спр_Материалы!$A$2:$A$9000,0))*(1+IFERROR(INDEX(спр_Работы!$I$2:$I$6000,MATCH($C792,спр_Работы!$A$2:$A$6000,0))/100,0))*(1-ДисконтТендер),0))</f>
        <v/>
      </c>
      <c r="N792" s="10">
        <f>IF(AND($R792="да",$H792&lt;&gt;""),ROUND($H792*$L792,2),0)</f>
        <v/>
      </c>
      <c r="O792" s="10">
        <f>IF(AND($R792="да",$H792&lt;&gt;""),ROUND($H792*$M792,2),0)</f>
        <v/>
      </c>
      <c r="P792" s="10">
        <f>$N792+$O792</f>
        <v/>
      </c>
      <c r="Q792">
        <f>IFERROR(INDEX(спр_Работы!$J$2:$J$6000,MATCH($C792,спр_Работы!$A$2:$A$6000,0)),"")</f>
        <v/>
      </c>
      <c r="R792" t="inlineStr">
        <is>
          <t>да</t>
        </is>
      </c>
      <c r="T792">
        <f>IF(AND($P792&gt;0,$R792="да"),MAX($T$1:$T791)+1,"")</f>
        <v/>
      </c>
    </row>
    <row r="793">
      <c r="A793">
        <f>IFERROR(INDEX(спр_Работы!$D$2:$D$6000,MATCH($C793,спр_Работы!$A$2:$A$6000,0)),"")</f>
        <v/>
      </c>
      <c r="B793">
        <f>IFERROR(INDEX(спр_Работы!$F$2:$F$6000,MATCH($C793,спр_Работы!$A$2:$A$6000,0)),"")</f>
        <v/>
      </c>
      <c r="C793">
        <f>IFERROR(INDEX(спр_Работы!$A$2:$A$6000,792),"")</f>
        <v/>
      </c>
      <c r="D793" s="8">
        <f>IFERROR(INDEX(спр_Работы!$B$2:$B$6000,MATCH($C793,спр_Работы!$A$2:$A$6000,0)),"")</f>
        <v/>
      </c>
      <c r="E793">
        <f>IFERROR(INDEX(спр_Работы!$C$2:$C$6000,MATCH($C793,спр_Работы!$A$2:$A$6000,0)),"")</f>
        <v/>
      </c>
      <c r="F793">
        <f>IFERROR(INDEX(спр_Работы!$G$2:$G$6000,MATCH($C793,спр_Работы!$A$2:$A$6000,0)),"")</f>
        <v/>
      </c>
      <c r="G793">
        <f>IFERROR(INDEX(спр_Работы!$K$2:$K$6000,MATCH($C793,спр_Работы!$A$2:$A$6000,0)),"")</f>
        <v/>
      </c>
      <c r="H793" s="9" t="n"/>
      <c r="I793" s="9" t="n"/>
      <c r="J793" s="8">
        <f>IFERROR(INDEX(спр_Материалы!$B$2:$B$9000,MATCH($I793,спр_Материалы!$A$2:$A$9000,0)),"")</f>
        <v/>
      </c>
      <c r="K793">
        <f>IF($I793="","",IF($F793=IFERROR(INDEX(спр_Материалы!$G$2:$G$9000,MATCH($I793,спр_Материалы!$A$2:$A$9000,0)),""),"OK","!! не та группа"))</f>
        <v/>
      </c>
      <c r="L793" s="10">
        <f>IFERROR(INDEX(спр_Работы!$H$2:$H$6000,MATCH($C793,спр_Работы!$A$2:$A$6000,0))*(1-ДисконтТендер),0)</f>
        <v/>
      </c>
      <c r="M793" s="10">
        <f>IF($I793="",0,IFERROR(INDEX(спр_Материалы!$I$2:$I$9000,MATCH($I793,спр_Материалы!$A$2:$A$9000,0))*IF(INDEX(спр_Материалы!$J$2:$J$9000,MATCH($I793,спр_Материалы!$A$2:$A$9000,0))="USD",КурсUSD,IF(INDEX(спр_Материалы!$J$2:$J$9000,MATCH($I793,спр_Материалы!$A$2:$A$9000,0))="EUR",КурсEUR,1))*INDEX(спр_Материалы!$K$2:$K$9000,MATCH($I793,спр_Материалы!$A$2:$A$9000,0))*(1+IFERROR(INDEX(спр_Работы!$I$2:$I$6000,MATCH($C793,спр_Работы!$A$2:$A$6000,0))/100,0))*(1-ДисконтТендер),0))</f>
        <v/>
      </c>
      <c r="N793" s="10">
        <f>IF(AND($R793="да",$H793&lt;&gt;""),ROUND($H793*$L793,2),0)</f>
        <v/>
      </c>
      <c r="O793" s="10">
        <f>IF(AND($R793="да",$H793&lt;&gt;""),ROUND($H793*$M793,2),0)</f>
        <v/>
      </c>
      <c r="P793" s="10">
        <f>$N793+$O793</f>
        <v/>
      </c>
      <c r="Q793">
        <f>IFERROR(INDEX(спр_Работы!$J$2:$J$6000,MATCH($C793,спр_Работы!$A$2:$A$6000,0)),"")</f>
        <v/>
      </c>
      <c r="R793" t="inlineStr">
        <is>
          <t>да</t>
        </is>
      </c>
      <c r="T793">
        <f>IF(AND($P793&gt;0,$R793="да"),MAX($T$1:$T792)+1,"")</f>
        <v/>
      </c>
    </row>
    <row r="794">
      <c r="A794">
        <f>IFERROR(INDEX(спр_Работы!$D$2:$D$6000,MATCH($C794,спр_Работы!$A$2:$A$6000,0)),"")</f>
        <v/>
      </c>
      <c r="B794">
        <f>IFERROR(INDEX(спр_Работы!$F$2:$F$6000,MATCH($C794,спр_Работы!$A$2:$A$6000,0)),"")</f>
        <v/>
      </c>
      <c r="C794">
        <f>IFERROR(INDEX(спр_Работы!$A$2:$A$6000,793),"")</f>
        <v/>
      </c>
      <c r="D794" s="8">
        <f>IFERROR(INDEX(спр_Работы!$B$2:$B$6000,MATCH($C794,спр_Работы!$A$2:$A$6000,0)),"")</f>
        <v/>
      </c>
      <c r="E794">
        <f>IFERROR(INDEX(спр_Работы!$C$2:$C$6000,MATCH($C794,спр_Работы!$A$2:$A$6000,0)),"")</f>
        <v/>
      </c>
      <c r="F794">
        <f>IFERROR(INDEX(спр_Работы!$G$2:$G$6000,MATCH($C794,спр_Работы!$A$2:$A$6000,0)),"")</f>
        <v/>
      </c>
      <c r="G794">
        <f>IFERROR(INDEX(спр_Работы!$K$2:$K$6000,MATCH($C794,спр_Работы!$A$2:$A$6000,0)),"")</f>
        <v/>
      </c>
      <c r="H794" s="9" t="n"/>
      <c r="I794" s="9" t="n"/>
      <c r="J794" s="8">
        <f>IFERROR(INDEX(спр_Материалы!$B$2:$B$9000,MATCH($I794,спр_Материалы!$A$2:$A$9000,0)),"")</f>
        <v/>
      </c>
      <c r="K794">
        <f>IF($I794="","",IF($F794=IFERROR(INDEX(спр_Материалы!$G$2:$G$9000,MATCH($I794,спр_Материалы!$A$2:$A$9000,0)),""),"OK","!! не та группа"))</f>
        <v/>
      </c>
      <c r="L794" s="10">
        <f>IFERROR(INDEX(спр_Работы!$H$2:$H$6000,MATCH($C794,спр_Работы!$A$2:$A$6000,0))*(1-ДисконтТендер),0)</f>
        <v/>
      </c>
      <c r="M794" s="10">
        <f>IF($I794="",0,IFERROR(INDEX(спр_Материалы!$I$2:$I$9000,MATCH($I794,спр_Материалы!$A$2:$A$9000,0))*IF(INDEX(спр_Материалы!$J$2:$J$9000,MATCH($I794,спр_Материалы!$A$2:$A$9000,0))="USD",КурсUSD,IF(INDEX(спр_Материалы!$J$2:$J$9000,MATCH($I794,спр_Материалы!$A$2:$A$9000,0))="EUR",КурсEUR,1))*INDEX(спр_Материалы!$K$2:$K$9000,MATCH($I794,спр_Материалы!$A$2:$A$9000,0))*(1+IFERROR(INDEX(спр_Работы!$I$2:$I$6000,MATCH($C794,спр_Работы!$A$2:$A$6000,0))/100,0))*(1-ДисконтТендер),0))</f>
        <v/>
      </c>
      <c r="N794" s="10">
        <f>IF(AND($R794="да",$H794&lt;&gt;""),ROUND($H794*$L794,2),0)</f>
        <v/>
      </c>
      <c r="O794" s="10">
        <f>IF(AND($R794="да",$H794&lt;&gt;""),ROUND($H794*$M794,2),0)</f>
        <v/>
      </c>
      <c r="P794" s="10">
        <f>$N794+$O794</f>
        <v/>
      </c>
      <c r="Q794">
        <f>IFERROR(INDEX(спр_Работы!$J$2:$J$6000,MATCH($C794,спр_Работы!$A$2:$A$6000,0)),"")</f>
        <v/>
      </c>
      <c r="R794" t="inlineStr">
        <is>
          <t>да</t>
        </is>
      </c>
      <c r="T794">
        <f>IF(AND($P794&gt;0,$R794="да"),MAX($T$1:$T793)+1,"")</f>
        <v/>
      </c>
    </row>
    <row r="795">
      <c r="A795">
        <f>IFERROR(INDEX(спр_Работы!$D$2:$D$6000,MATCH($C795,спр_Работы!$A$2:$A$6000,0)),"")</f>
        <v/>
      </c>
      <c r="B795">
        <f>IFERROR(INDEX(спр_Работы!$F$2:$F$6000,MATCH($C795,спр_Работы!$A$2:$A$6000,0)),"")</f>
        <v/>
      </c>
      <c r="C795">
        <f>IFERROR(INDEX(спр_Работы!$A$2:$A$6000,794),"")</f>
        <v/>
      </c>
      <c r="D795" s="8">
        <f>IFERROR(INDEX(спр_Работы!$B$2:$B$6000,MATCH($C795,спр_Работы!$A$2:$A$6000,0)),"")</f>
        <v/>
      </c>
      <c r="E795">
        <f>IFERROR(INDEX(спр_Работы!$C$2:$C$6000,MATCH($C795,спр_Работы!$A$2:$A$6000,0)),"")</f>
        <v/>
      </c>
      <c r="F795">
        <f>IFERROR(INDEX(спр_Работы!$G$2:$G$6000,MATCH($C795,спр_Работы!$A$2:$A$6000,0)),"")</f>
        <v/>
      </c>
      <c r="G795">
        <f>IFERROR(INDEX(спр_Работы!$K$2:$K$6000,MATCH($C795,спр_Работы!$A$2:$A$6000,0)),"")</f>
        <v/>
      </c>
      <c r="H795" s="9" t="n"/>
      <c r="I795" s="9" t="n"/>
      <c r="J795" s="8">
        <f>IFERROR(INDEX(спр_Материалы!$B$2:$B$9000,MATCH($I795,спр_Материалы!$A$2:$A$9000,0)),"")</f>
        <v/>
      </c>
      <c r="K795">
        <f>IF($I795="","",IF($F795=IFERROR(INDEX(спр_Материалы!$G$2:$G$9000,MATCH($I795,спр_Материалы!$A$2:$A$9000,0)),""),"OK","!! не та группа"))</f>
        <v/>
      </c>
      <c r="L795" s="10">
        <f>IFERROR(INDEX(спр_Работы!$H$2:$H$6000,MATCH($C795,спр_Работы!$A$2:$A$6000,0))*(1-ДисконтТендер),0)</f>
        <v/>
      </c>
      <c r="M795" s="10">
        <f>IF($I795="",0,IFERROR(INDEX(спр_Материалы!$I$2:$I$9000,MATCH($I795,спр_Материалы!$A$2:$A$9000,0))*IF(INDEX(спр_Материалы!$J$2:$J$9000,MATCH($I795,спр_Материалы!$A$2:$A$9000,0))="USD",КурсUSD,IF(INDEX(спр_Материалы!$J$2:$J$9000,MATCH($I795,спр_Материалы!$A$2:$A$9000,0))="EUR",КурсEUR,1))*INDEX(спр_Материалы!$K$2:$K$9000,MATCH($I795,спр_Материалы!$A$2:$A$9000,0))*(1+IFERROR(INDEX(спр_Работы!$I$2:$I$6000,MATCH($C795,спр_Работы!$A$2:$A$6000,0))/100,0))*(1-ДисконтТендер),0))</f>
        <v/>
      </c>
      <c r="N795" s="10">
        <f>IF(AND($R795="да",$H795&lt;&gt;""),ROUND($H795*$L795,2),0)</f>
        <v/>
      </c>
      <c r="O795" s="10">
        <f>IF(AND($R795="да",$H795&lt;&gt;""),ROUND($H795*$M795,2),0)</f>
        <v/>
      </c>
      <c r="P795" s="10">
        <f>$N795+$O795</f>
        <v/>
      </c>
      <c r="Q795">
        <f>IFERROR(INDEX(спр_Работы!$J$2:$J$6000,MATCH($C795,спр_Работы!$A$2:$A$6000,0)),"")</f>
        <v/>
      </c>
      <c r="R795" t="inlineStr">
        <is>
          <t>да</t>
        </is>
      </c>
      <c r="T795">
        <f>IF(AND($P795&gt;0,$R795="да"),MAX($T$1:$T794)+1,"")</f>
        <v/>
      </c>
    </row>
    <row r="796">
      <c r="A796">
        <f>IFERROR(INDEX(спр_Работы!$D$2:$D$6000,MATCH($C796,спр_Работы!$A$2:$A$6000,0)),"")</f>
        <v/>
      </c>
      <c r="B796">
        <f>IFERROR(INDEX(спр_Работы!$F$2:$F$6000,MATCH($C796,спр_Работы!$A$2:$A$6000,0)),"")</f>
        <v/>
      </c>
      <c r="C796">
        <f>IFERROR(INDEX(спр_Работы!$A$2:$A$6000,795),"")</f>
        <v/>
      </c>
      <c r="D796" s="8">
        <f>IFERROR(INDEX(спр_Работы!$B$2:$B$6000,MATCH($C796,спр_Работы!$A$2:$A$6000,0)),"")</f>
        <v/>
      </c>
      <c r="E796">
        <f>IFERROR(INDEX(спр_Работы!$C$2:$C$6000,MATCH($C796,спр_Работы!$A$2:$A$6000,0)),"")</f>
        <v/>
      </c>
      <c r="F796">
        <f>IFERROR(INDEX(спр_Работы!$G$2:$G$6000,MATCH($C796,спр_Работы!$A$2:$A$6000,0)),"")</f>
        <v/>
      </c>
      <c r="G796">
        <f>IFERROR(INDEX(спр_Работы!$K$2:$K$6000,MATCH($C796,спр_Работы!$A$2:$A$6000,0)),"")</f>
        <v/>
      </c>
      <c r="H796" s="9" t="n"/>
      <c r="I796" s="9" t="n"/>
      <c r="J796" s="8">
        <f>IFERROR(INDEX(спр_Материалы!$B$2:$B$9000,MATCH($I796,спр_Материалы!$A$2:$A$9000,0)),"")</f>
        <v/>
      </c>
      <c r="K796">
        <f>IF($I796="","",IF($F796=IFERROR(INDEX(спр_Материалы!$G$2:$G$9000,MATCH($I796,спр_Материалы!$A$2:$A$9000,0)),""),"OK","!! не та группа"))</f>
        <v/>
      </c>
      <c r="L796" s="10">
        <f>IFERROR(INDEX(спр_Работы!$H$2:$H$6000,MATCH($C796,спр_Работы!$A$2:$A$6000,0))*(1-ДисконтТендер),0)</f>
        <v/>
      </c>
      <c r="M796" s="10">
        <f>IF($I796="",0,IFERROR(INDEX(спр_Материалы!$I$2:$I$9000,MATCH($I796,спр_Материалы!$A$2:$A$9000,0))*IF(INDEX(спр_Материалы!$J$2:$J$9000,MATCH($I796,спр_Материалы!$A$2:$A$9000,0))="USD",КурсUSD,IF(INDEX(спр_Материалы!$J$2:$J$9000,MATCH($I796,спр_Материалы!$A$2:$A$9000,0))="EUR",КурсEUR,1))*INDEX(спр_Материалы!$K$2:$K$9000,MATCH($I796,спр_Материалы!$A$2:$A$9000,0))*(1+IFERROR(INDEX(спр_Работы!$I$2:$I$6000,MATCH($C796,спр_Работы!$A$2:$A$6000,0))/100,0))*(1-ДисконтТендер),0))</f>
        <v/>
      </c>
      <c r="N796" s="10">
        <f>IF(AND($R796="да",$H796&lt;&gt;""),ROUND($H796*$L796,2),0)</f>
        <v/>
      </c>
      <c r="O796" s="10">
        <f>IF(AND($R796="да",$H796&lt;&gt;""),ROUND($H796*$M796,2),0)</f>
        <v/>
      </c>
      <c r="P796" s="10">
        <f>$N796+$O796</f>
        <v/>
      </c>
      <c r="Q796">
        <f>IFERROR(INDEX(спр_Работы!$J$2:$J$6000,MATCH($C796,спр_Работы!$A$2:$A$6000,0)),"")</f>
        <v/>
      </c>
      <c r="R796" t="inlineStr">
        <is>
          <t>да</t>
        </is>
      </c>
      <c r="T796">
        <f>IF(AND($P796&gt;0,$R796="да"),MAX($T$1:$T795)+1,"")</f>
        <v/>
      </c>
    </row>
    <row r="797">
      <c r="A797">
        <f>IFERROR(INDEX(спр_Работы!$D$2:$D$6000,MATCH($C797,спр_Работы!$A$2:$A$6000,0)),"")</f>
        <v/>
      </c>
      <c r="B797">
        <f>IFERROR(INDEX(спр_Работы!$F$2:$F$6000,MATCH($C797,спр_Работы!$A$2:$A$6000,0)),"")</f>
        <v/>
      </c>
      <c r="C797">
        <f>IFERROR(INDEX(спр_Работы!$A$2:$A$6000,796),"")</f>
        <v/>
      </c>
      <c r="D797" s="8">
        <f>IFERROR(INDEX(спр_Работы!$B$2:$B$6000,MATCH($C797,спр_Работы!$A$2:$A$6000,0)),"")</f>
        <v/>
      </c>
      <c r="E797">
        <f>IFERROR(INDEX(спр_Работы!$C$2:$C$6000,MATCH($C797,спр_Работы!$A$2:$A$6000,0)),"")</f>
        <v/>
      </c>
      <c r="F797">
        <f>IFERROR(INDEX(спр_Работы!$G$2:$G$6000,MATCH($C797,спр_Работы!$A$2:$A$6000,0)),"")</f>
        <v/>
      </c>
      <c r="G797">
        <f>IFERROR(INDEX(спр_Работы!$K$2:$K$6000,MATCH($C797,спр_Работы!$A$2:$A$6000,0)),"")</f>
        <v/>
      </c>
      <c r="H797" s="9" t="n"/>
      <c r="I797" s="9" t="n"/>
      <c r="J797" s="8">
        <f>IFERROR(INDEX(спр_Материалы!$B$2:$B$9000,MATCH($I797,спр_Материалы!$A$2:$A$9000,0)),"")</f>
        <v/>
      </c>
      <c r="K797">
        <f>IF($I797="","",IF($F797=IFERROR(INDEX(спр_Материалы!$G$2:$G$9000,MATCH($I797,спр_Материалы!$A$2:$A$9000,0)),""),"OK","!! не та группа"))</f>
        <v/>
      </c>
      <c r="L797" s="10">
        <f>IFERROR(INDEX(спр_Работы!$H$2:$H$6000,MATCH($C797,спр_Работы!$A$2:$A$6000,0))*(1-ДисконтТендер),0)</f>
        <v/>
      </c>
      <c r="M797" s="10">
        <f>IF($I797="",0,IFERROR(INDEX(спр_Материалы!$I$2:$I$9000,MATCH($I797,спр_Материалы!$A$2:$A$9000,0))*IF(INDEX(спр_Материалы!$J$2:$J$9000,MATCH($I797,спр_Материалы!$A$2:$A$9000,0))="USD",КурсUSD,IF(INDEX(спр_Материалы!$J$2:$J$9000,MATCH($I797,спр_Материалы!$A$2:$A$9000,0))="EUR",КурсEUR,1))*INDEX(спр_Материалы!$K$2:$K$9000,MATCH($I797,спр_Материалы!$A$2:$A$9000,0))*(1+IFERROR(INDEX(спр_Работы!$I$2:$I$6000,MATCH($C797,спр_Работы!$A$2:$A$6000,0))/100,0))*(1-ДисконтТендер),0))</f>
        <v/>
      </c>
      <c r="N797" s="10">
        <f>IF(AND($R797="да",$H797&lt;&gt;""),ROUND($H797*$L797,2),0)</f>
        <v/>
      </c>
      <c r="O797" s="10">
        <f>IF(AND($R797="да",$H797&lt;&gt;""),ROUND($H797*$M797,2),0)</f>
        <v/>
      </c>
      <c r="P797" s="10">
        <f>$N797+$O797</f>
        <v/>
      </c>
      <c r="Q797">
        <f>IFERROR(INDEX(спр_Работы!$J$2:$J$6000,MATCH($C797,спр_Работы!$A$2:$A$6000,0)),"")</f>
        <v/>
      </c>
      <c r="R797" t="inlineStr">
        <is>
          <t>да</t>
        </is>
      </c>
      <c r="T797">
        <f>IF(AND($P797&gt;0,$R797="да"),MAX($T$1:$T796)+1,"")</f>
        <v/>
      </c>
    </row>
    <row r="798">
      <c r="A798">
        <f>IFERROR(INDEX(спр_Работы!$D$2:$D$6000,MATCH($C798,спр_Работы!$A$2:$A$6000,0)),"")</f>
        <v/>
      </c>
      <c r="B798">
        <f>IFERROR(INDEX(спр_Работы!$F$2:$F$6000,MATCH($C798,спр_Работы!$A$2:$A$6000,0)),"")</f>
        <v/>
      </c>
      <c r="C798">
        <f>IFERROR(INDEX(спр_Работы!$A$2:$A$6000,797),"")</f>
        <v/>
      </c>
      <c r="D798" s="8">
        <f>IFERROR(INDEX(спр_Работы!$B$2:$B$6000,MATCH($C798,спр_Работы!$A$2:$A$6000,0)),"")</f>
        <v/>
      </c>
      <c r="E798">
        <f>IFERROR(INDEX(спр_Работы!$C$2:$C$6000,MATCH($C798,спр_Работы!$A$2:$A$6000,0)),"")</f>
        <v/>
      </c>
      <c r="F798">
        <f>IFERROR(INDEX(спр_Работы!$G$2:$G$6000,MATCH($C798,спр_Работы!$A$2:$A$6000,0)),"")</f>
        <v/>
      </c>
      <c r="G798">
        <f>IFERROR(INDEX(спр_Работы!$K$2:$K$6000,MATCH($C798,спр_Работы!$A$2:$A$6000,0)),"")</f>
        <v/>
      </c>
      <c r="H798" s="9" t="n"/>
      <c r="I798" s="9" t="n"/>
      <c r="J798" s="8">
        <f>IFERROR(INDEX(спр_Материалы!$B$2:$B$9000,MATCH($I798,спр_Материалы!$A$2:$A$9000,0)),"")</f>
        <v/>
      </c>
      <c r="K798">
        <f>IF($I798="","",IF($F798=IFERROR(INDEX(спр_Материалы!$G$2:$G$9000,MATCH($I798,спр_Материалы!$A$2:$A$9000,0)),""),"OK","!! не та группа"))</f>
        <v/>
      </c>
      <c r="L798" s="10">
        <f>IFERROR(INDEX(спр_Работы!$H$2:$H$6000,MATCH($C798,спр_Работы!$A$2:$A$6000,0))*(1-ДисконтТендер),0)</f>
        <v/>
      </c>
      <c r="M798" s="10">
        <f>IF($I798="",0,IFERROR(INDEX(спр_Материалы!$I$2:$I$9000,MATCH($I798,спр_Материалы!$A$2:$A$9000,0))*IF(INDEX(спр_Материалы!$J$2:$J$9000,MATCH($I798,спр_Материалы!$A$2:$A$9000,0))="USD",КурсUSD,IF(INDEX(спр_Материалы!$J$2:$J$9000,MATCH($I798,спр_Материалы!$A$2:$A$9000,0))="EUR",КурсEUR,1))*INDEX(спр_Материалы!$K$2:$K$9000,MATCH($I798,спр_Материалы!$A$2:$A$9000,0))*(1+IFERROR(INDEX(спр_Работы!$I$2:$I$6000,MATCH($C798,спр_Работы!$A$2:$A$6000,0))/100,0))*(1-ДисконтТендер),0))</f>
        <v/>
      </c>
      <c r="N798" s="10">
        <f>IF(AND($R798="да",$H798&lt;&gt;""),ROUND($H798*$L798,2),0)</f>
        <v/>
      </c>
      <c r="O798" s="10">
        <f>IF(AND($R798="да",$H798&lt;&gt;""),ROUND($H798*$M798,2),0)</f>
        <v/>
      </c>
      <c r="P798" s="10">
        <f>$N798+$O798</f>
        <v/>
      </c>
      <c r="Q798">
        <f>IFERROR(INDEX(спр_Работы!$J$2:$J$6000,MATCH($C798,спр_Работы!$A$2:$A$6000,0)),"")</f>
        <v/>
      </c>
      <c r="R798" t="inlineStr">
        <is>
          <t>да</t>
        </is>
      </c>
      <c r="T798">
        <f>IF(AND($P798&gt;0,$R798="да"),MAX($T$1:$T797)+1,"")</f>
        <v/>
      </c>
    </row>
    <row r="799">
      <c r="A799">
        <f>IFERROR(INDEX(спр_Работы!$D$2:$D$6000,MATCH($C799,спр_Работы!$A$2:$A$6000,0)),"")</f>
        <v/>
      </c>
      <c r="B799">
        <f>IFERROR(INDEX(спр_Работы!$F$2:$F$6000,MATCH($C799,спр_Работы!$A$2:$A$6000,0)),"")</f>
        <v/>
      </c>
      <c r="C799">
        <f>IFERROR(INDEX(спр_Работы!$A$2:$A$6000,798),"")</f>
        <v/>
      </c>
      <c r="D799" s="8">
        <f>IFERROR(INDEX(спр_Работы!$B$2:$B$6000,MATCH($C799,спр_Работы!$A$2:$A$6000,0)),"")</f>
        <v/>
      </c>
      <c r="E799">
        <f>IFERROR(INDEX(спр_Работы!$C$2:$C$6000,MATCH($C799,спр_Работы!$A$2:$A$6000,0)),"")</f>
        <v/>
      </c>
      <c r="F799">
        <f>IFERROR(INDEX(спр_Работы!$G$2:$G$6000,MATCH($C799,спр_Работы!$A$2:$A$6000,0)),"")</f>
        <v/>
      </c>
      <c r="G799">
        <f>IFERROR(INDEX(спр_Работы!$K$2:$K$6000,MATCH($C799,спр_Работы!$A$2:$A$6000,0)),"")</f>
        <v/>
      </c>
      <c r="H799" s="9" t="n"/>
      <c r="I799" s="9" t="n"/>
      <c r="J799" s="8">
        <f>IFERROR(INDEX(спр_Материалы!$B$2:$B$9000,MATCH($I799,спр_Материалы!$A$2:$A$9000,0)),"")</f>
        <v/>
      </c>
      <c r="K799">
        <f>IF($I799="","",IF($F799=IFERROR(INDEX(спр_Материалы!$G$2:$G$9000,MATCH($I799,спр_Материалы!$A$2:$A$9000,0)),""),"OK","!! не та группа"))</f>
        <v/>
      </c>
      <c r="L799" s="10">
        <f>IFERROR(INDEX(спр_Работы!$H$2:$H$6000,MATCH($C799,спр_Работы!$A$2:$A$6000,0))*(1-ДисконтТендер),0)</f>
        <v/>
      </c>
      <c r="M799" s="10">
        <f>IF($I799="",0,IFERROR(INDEX(спр_Материалы!$I$2:$I$9000,MATCH($I799,спр_Материалы!$A$2:$A$9000,0))*IF(INDEX(спр_Материалы!$J$2:$J$9000,MATCH($I799,спр_Материалы!$A$2:$A$9000,0))="USD",КурсUSD,IF(INDEX(спр_Материалы!$J$2:$J$9000,MATCH($I799,спр_Материалы!$A$2:$A$9000,0))="EUR",КурсEUR,1))*INDEX(спр_Материалы!$K$2:$K$9000,MATCH($I799,спр_Материалы!$A$2:$A$9000,0))*(1+IFERROR(INDEX(спр_Работы!$I$2:$I$6000,MATCH($C799,спр_Работы!$A$2:$A$6000,0))/100,0))*(1-ДисконтТендер),0))</f>
        <v/>
      </c>
      <c r="N799" s="10">
        <f>IF(AND($R799="да",$H799&lt;&gt;""),ROUND($H799*$L799,2),0)</f>
        <v/>
      </c>
      <c r="O799" s="10">
        <f>IF(AND($R799="да",$H799&lt;&gt;""),ROUND($H799*$M799,2),0)</f>
        <v/>
      </c>
      <c r="P799" s="10">
        <f>$N799+$O799</f>
        <v/>
      </c>
      <c r="Q799">
        <f>IFERROR(INDEX(спр_Работы!$J$2:$J$6000,MATCH($C799,спр_Работы!$A$2:$A$6000,0)),"")</f>
        <v/>
      </c>
      <c r="R799" t="inlineStr">
        <is>
          <t>да</t>
        </is>
      </c>
      <c r="T799">
        <f>IF(AND($P799&gt;0,$R799="да"),MAX($T$1:$T798)+1,"")</f>
        <v/>
      </c>
    </row>
    <row r="800">
      <c r="A800">
        <f>IFERROR(INDEX(спр_Работы!$D$2:$D$6000,MATCH($C800,спр_Работы!$A$2:$A$6000,0)),"")</f>
        <v/>
      </c>
      <c r="B800">
        <f>IFERROR(INDEX(спр_Работы!$F$2:$F$6000,MATCH($C800,спр_Работы!$A$2:$A$6000,0)),"")</f>
        <v/>
      </c>
      <c r="C800">
        <f>IFERROR(INDEX(спр_Работы!$A$2:$A$6000,799),"")</f>
        <v/>
      </c>
      <c r="D800" s="8">
        <f>IFERROR(INDEX(спр_Работы!$B$2:$B$6000,MATCH($C800,спр_Работы!$A$2:$A$6000,0)),"")</f>
        <v/>
      </c>
      <c r="E800">
        <f>IFERROR(INDEX(спр_Работы!$C$2:$C$6000,MATCH($C800,спр_Работы!$A$2:$A$6000,0)),"")</f>
        <v/>
      </c>
      <c r="F800">
        <f>IFERROR(INDEX(спр_Работы!$G$2:$G$6000,MATCH($C800,спр_Работы!$A$2:$A$6000,0)),"")</f>
        <v/>
      </c>
      <c r="G800">
        <f>IFERROR(INDEX(спр_Работы!$K$2:$K$6000,MATCH($C800,спр_Работы!$A$2:$A$6000,0)),"")</f>
        <v/>
      </c>
      <c r="H800" s="9" t="n"/>
      <c r="I800" s="9" t="n"/>
      <c r="J800" s="8">
        <f>IFERROR(INDEX(спр_Материалы!$B$2:$B$9000,MATCH($I800,спр_Материалы!$A$2:$A$9000,0)),"")</f>
        <v/>
      </c>
      <c r="K800">
        <f>IF($I800="","",IF($F800=IFERROR(INDEX(спр_Материалы!$G$2:$G$9000,MATCH($I800,спр_Материалы!$A$2:$A$9000,0)),""),"OK","!! не та группа"))</f>
        <v/>
      </c>
      <c r="L800" s="10">
        <f>IFERROR(INDEX(спр_Работы!$H$2:$H$6000,MATCH($C800,спр_Работы!$A$2:$A$6000,0))*(1-ДисконтТендер),0)</f>
        <v/>
      </c>
      <c r="M800" s="10">
        <f>IF($I800="",0,IFERROR(INDEX(спр_Материалы!$I$2:$I$9000,MATCH($I800,спр_Материалы!$A$2:$A$9000,0))*IF(INDEX(спр_Материалы!$J$2:$J$9000,MATCH($I800,спр_Материалы!$A$2:$A$9000,0))="USD",КурсUSD,IF(INDEX(спр_Материалы!$J$2:$J$9000,MATCH($I800,спр_Материалы!$A$2:$A$9000,0))="EUR",КурсEUR,1))*INDEX(спр_Материалы!$K$2:$K$9000,MATCH($I800,спр_Материалы!$A$2:$A$9000,0))*(1+IFERROR(INDEX(спр_Работы!$I$2:$I$6000,MATCH($C800,спр_Работы!$A$2:$A$6000,0))/100,0))*(1-ДисконтТендер),0))</f>
        <v/>
      </c>
      <c r="N800" s="10">
        <f>IF(AND($R800="да",$H800&lt;&gt;""),ROUND($H800*$L800,2),0)</f>
        <v/>
      </c>
      <c r="O800" s="10">
        <f>IF(AND($R800="да",$H800&lt;&gt;""),ROUND($H800*$M800,2),0)</f>
        <v/>
      </c>
      <c r="P800" s="10">
        <f>$N800+$O800</f>
        <v/>
      </c>
      <c r="Q800">
        <f>IFERROR(INDEX(спр_Работы!$J$2:$J$6000,MATCH($C800,спр_Работы!$A$2:$A$6000,0)),"")</f>
        <v/>
      </c>
      <c r="R800" t="inlineStr">
        <is>
          <t>да</t>
        </is>
      </c>
      <c r="T800">
        <f>IF(AND($P800&gt;0,$R800="да"),MAX($T$1:$T799)+1,"")</f>
        <v/>
      </c>
    </row>
    <row r="801">
      <c r="A801">
        <f>IFERROR(INDEX(спр_Работы!$D$2:$D$6000,MATCH($C801,спр_Работы!$A$2:$A$6000,0)),"")</f>
        <v/>
      </c>
      <c r="B801">
        <f>IFERROR(INDEX(спр_Работы!$F$2:$F$6000,MATCH($C801,спр_Работы!$A$2:$A$6000,0)),"")</f>
        <v/>
      </c>
      <c r="C801">
        <f>IFERROR(INDEX(спр_Работы!$A$2:$A$6000,800),"")</f>
        <v/>
      </c>
      <c r="D801" s="8">
        <f>IFERROR(INDEX(спр_Работы!$B$2:$B$6000,MATCH($C801,спр_Работы!$A$2:$A$6000,0)),"")</f>
        <v/>
      </c>
      <c r="E801">
        <f>IFERROR(INDEX(спр_Работы!$C$2:$C$6000,MATCH($C801,спр_Работы!$A$2:$A$6000,0)),"")</f>
        <v/>
      </c>
      <c r="F801">
        <f>IFERROR(INDEX(спр_Работы!$G$2:$G$6000,MATCH($C801,спр_Работы!$A$2:$A$6000,0)),"")</f>
        <v/>
      </c>
      <c r="G801">
        <f>IFERROR(INDEX(спр_Работы!$K$2:$K$6000,MATCH($C801,спр_Работы!$A$2:$A$6000,0)),"")</f>
        <v/>
      </c>
      <c r="H801" s="9" t="n"/>
      <c r="I801" s="9" t="n"/>
      <c r="J801" s="8">
        <f>IFERROR(INDEX(спр_Материалы!$B$2:$B$9000,MATCH($I801,спр_Материалы!$A$2:$A$9000,0)),"")</f>
        <v/>
      </c>
      <c r="K801">
        <f>IF($I801="","",IF($F801=IFERROR(INDEX(спр_Материалы!$G$2:$G$9000,MATCH($I801,спр_Материалы!$A$2:$A$9000,0)),""),"OK","!! не та группа"))</f>
        <v/>
      </c>
      <c r="L801" s="10">
        <f>IFERROR(INDEX(спр_Работы!$H$2:$H$6000,MATCH($C801,спр_Работы!$A$2:$A$6000,0))*(1-ДисконтТендер),0)</f>
        <v/>
      </c>
      <c r="M801" s="10">
        <f>IF($I801="",0,IFERROR(INDEX(спр_Материалы!$I$2:$I$9000,MATCH($I801,спр_Материалы!$A$2:$A$9000,0))*IF(INDEX(спр_Материалы!$J$2:$J$9000,MATCH($I801,спр_Материалы!$A$2:$A$9000,0))="USD",КурсUSD,IF(INDEX(спр_Материалы!$J$2:$J$9000,MATCH($I801,спр_Материалы!$A$2:$A$9000,0))="EUR",КурсEUR,1))*INDEX(спр_Материалы!$K$2:$K$9000,MATCH($I801,спр_Материалы!$A$2:$A$9000,0))*(1+IFERROR(INDEX(спр_Работы!$I$2:$I$6000,MATCH($C801,спр_Работы!$A$2:$A$6000,0))/100,0))*(1-ДисконтТендер),0))</f>
        <v/>
      </c>
      <c r="N801" s="10">
        <f>IF(AND($R801="да",$H801&lt;&gt;""),ROUND($H801*$L801,2),0)</f>
        <v/>
      </c>
      <c r="O801" s="10">
        <f>IF(AND($R801="да",$H801&lt;&gt;""),ROUND($H801*$M801,2),0)</f>
        <v/>
      </c>
      <c r="P801" s="10">
        <f>$N801+$O801</f>
        <v/>
      </c>
      <c r="Q801">
        <f>IFERROR(INDEX(спр_Работы!$J$2:$J$6000,MATCH($C801,спр_Работы!$A$2:$A$6000,0)),"")</f>
        <v/>
      </c>
      <c r="R801" t="inlineStr">
        <is>
          <t>да</t>
        </is>
      </c>
      <c r="T801">
        <f>IF(AND($P801&gt;0,$R801="да"),MAX($T$1:$T800)+1,"")</f>
        <v/>
      </c>
    </row>
    <row r="802">
      <c r="A802">
        <f>IFERROR(INDEX(спр_Работы!$D$2:$D$6000,MATCH($C802,спр_Работы!$A$2:$A$6000,0)),"")</f>
        <v/>
      </c>
      <c r="B802">
        <f>IFERROR(INDEX(спр_Работы!$F$2:$F$6000,MATCH($C802,спр_Работы!$A$2:$A$6000,0)),"")</f>
        <v/>
      </c>
      <c r="C802">
        <f>IFERROR(INDEX(спр_Работы!$A$2:$A$6000,801),"")</f>
        <v/>
      </c>
      <c r="D802" s="8">
        <f>IFERROR(INDEX(спр_Работы!$B$2:$B$6000,MATCH($C802,спр_Работы!$A$2:$A$6000,0)),"")</f>
        <v/>
      </c>
      <c r="E802">
        <f>IFERROR(INDEX(спр_Работы!$C$2:$C$6000,MATCH($C802,спр_Работы!$A$2:$A$6000,0)),"")</f>
        <v/>
      </c>
      <c r="F802">
        <f>IFERROR(INDEX(спр_Работы!$G$2:$G$6000,MATCH($C802,спр_Работы!$A$2:$A$6000,0)),"")</f>
        <v/>
      </c>
      <c r="G802">
        <f>IFERROR(INDEX(спр_Работы!$K$2:$K$6000,MATCH($C802,спр_Работы!$A$2:$A$6000,0)),"")</f>
        <v/>
      </c>
      <c r="H802" s="9" t="n"/>
      <c r="I802" s="9" t="n"/>
      <c r="J802" s="8">
        <f>IFERROR(INDEX(спр_Материалы!$B$2:$B$9000,MATCH($I802,спр_Материалы!$A$2:$A$9000,0)),"")</f>
        <v/>
      </c>
      <c r="K802">
        <f>IF($I802="","",IF($F802=IFERROR(INDEX(спр_Материалы!$G$2:$G$9000,MATCH($I802,спр_Материалы!$A$2:$A$9000,0)),""),"OK","!! не та группа"))</f>
        <v/>
      </c>
      <c r="L802" s="10">
        <f>IFERROR(INDEX(спр_Работы!$H$2:$H$6000,MATCH($C802,спр_Работы!$A$2:$A$6000,0))*(1-ДисконтТендер),0)</f>
        <v/>
      </c>
      <c r="M802" s="10">
        <f>IF($I802="",0,IFERROR(INDEX(спр_Материалы!$I$2:$I$9000,MATCH($I802,спр_Материалы!$A$2:$A$9000,0))*IF(INDEX(спр_Материалы!$J$2:$J$9000,MATCH($I802,спр_Материалы!$A$2:$A$9000,0))="USD",КурсUSD,IF(INDEX(спр_Материалы!$J$2:$J$9000,MATCH($I802,спр_Материалы!$A$2:$A$9000,0))="EUR",КурсEUR,1))*INDEX(спр_Материалы!$K$2:$K$9000,MATCH($I802,спр_Материалы!$A$2:$A$9000,0))*(1+IFERROR(INDEX(спр_Работы!$I$2:$I$6000,MATCH($C802,спр_Работы!$A$2:$A$6000,0))/100,0))*(1-ДисконтТендер),0))</f>
        <v/>
      </c>
      <c r="N802" s="10">
        <f>IF(AND($R802="да",$H802&lt;&gt;""),ROUND($H802*$L802,2),0)</f>
        <v/>
      </c>
      <c r="O802" s="10">
        <f>IF(AND($R802="да",$H802&lt;&gt;""),ROUND($H802*$M802,2),0)</f>
        <v/>
      </c>
      <c r="P802" s="10">
        <f>$N802+$O802</f>
        <v/>
      </c>
      <c r="Q802">
        <f>IFERROR(INDEX(спр_Работы!$J$2:$J$6000,MATCH($C802,спр_Работы!$A$2:$A$6000,0)),"")</f>
        <v/>
      </c>
      <c r="R802" t="inlineStr">
        <is>
          <t>да</t>
        </is>
      </c>
      <c r="T802">
        <f>IF(AND($P802&gt;0,$R802="да"),MAX($T$1:$T801)+1,"")</f>
        <v/>
      </c>
    </row>
    <row r="803">
      <c r="A803">
        <f>IFERROR(INDEX(спр_Работы!$D$2:$D$6000,MATCH($C803,спр_Работы!$A$2:$A$6000,0)),"")</f>
        <v/>
      </c>
      <c r="B803">
        <f>IFERROR(INDEX(спр_Работы!$F$2:$F$6000,MATCH($C803,спр_Работы!$A$2:$A$6000,0)),"")</f>
        <v/>
      </c>
      <c r="C803">
        <f>IFERROR(INDEX(спр_Работы!$A$2:$A$6000,802),"")</f>
        <v/>
      </c>
      <c r="D803" s="8">
        <f>IFERROR(INDEX(спр_Работы!$B$2:$B$6000,MATCH($C803,спр_Работы!$A$2:$A$6000,0)),"")</f>
        <v/>
      </c>
      <c r="E803">
        <f>IFERROR(INDEX(спр_Работы!$C$2:$C$6000,MATCH($C803,спр_Работы!$A$2:$A$6000,0)),"")</f>
        <v/>
      </c>
      <c r="F803">
        <f>IFERROR(INDEX(спр_Работы!$G$2:$G$6000,MATCH($C803,спр_Работы!$A$2:$A$6000,0)),"")</f>
        <v/>
      </c>
      <c r="G803">
        <f>IFERROR(INDEX(спр_Работы!$K$2:$K$6000,MATCH($C803,спр_Работы!$A$2:$A$6000,0)),"")</f>
        <v/>
      </c>
      <c r="H803" s="9" t="n"/>
      <c r="I803" s="9" t="n"/>
      <c r="J803" s="8">
        <f>IFERROR(INDEX(спр_Материалы!$B$2:$B$9000,MATCH($I803,спр_Материалы!$A$2:$A$9000,0)),"")</f>
        <v/>
      </c>
      <c r="K803">
        <f>IF($I803="","",IF($F803=IFERROR(INDEX(спр_Материалы!$G$2:$G$9000,MATCH($I803,спр_Материалы!$A$2:$A$9000,0)),""),"OK","!! не та группа"))</f>
        <v/>
      </c>
      <c r="L803" s="10">
        <f>IFERROR(INDEX(спр_Работы!$H$2:$H$6000,MATCH($C803,спр_Работы!$A$2:$A$6000,0))*(1-ДисконтТендер),0)</f>
        <v/>
      </c>
      <c r="M803" s="10">
        <f>IF($I803="",0,IFERROR(INDEX(спр_Материалы!$I$2:$I$9000,MATCH($I803,спр_Материалы!$A$2:$A$9000,0))*IF(INDEX(спр_Материалы!$J$2:$J$9000,MATCH($I803,спр_Материалы!$A$2:$A$9000,0))="USD",КурсUSD,IF(INDEX(спр_Материалы!$J$2:$J$9000,MATCH($I803,спр_Материалы!$A$2:$A$9000,0))="EUR",КурсEUR,1))*INDEX(спр_Материалы!$K$2:$K$9000,MATCH($I803,спр_Материалы!$A$2:$A$9000,0))*(1+IFERROR(INDEX(спр_Работы!$I$2:$I$6000,MATCH($C803,спр_Работы!$A$2:$A$6000,0))/100,0))*(1-ДисконтТендер),0))</f>
        <v/>
      </c>
      <c r="N803" s="10">
        <f>IF(AND($R803="да",$H803&lt;&gt;""),ROUND($H803*$L803,2),0)</f>
        <v/>
      </c>
      <c r="O803" s="10">
        <f>IF(AND($R803="да",$H803&lt;&gt;""),ROUND($H803*$M803,2),0)</f>
        <v/>
      </c>
      <c r="P803" s="10">
        <f>$N803+$O803</f>
        <v/>
      </c>
      <c r="Q803">
        <f>IFERROR(INDEX(спр_Работы!$J$2:$J$6000,MATCH($C803,спр_Работы!$A$2:$A$6000,0)),"")</f>
        <v/>
      </c>
      <c r="R803" t="inlineStr">
        <is>
          <t>да</t>
        </is>
      </c>
      <c r="T803">
        <f>IF(AND($P803&gt;0,$R803="да"),MAX($T$1:$T802)+1,"")</f>
        <v/>
      </c>
    </row>
    <row r="804">
      <c r="A804">
        <f>IFERROR(INDEX(спр_Работы!$D$2:$D$6000,MATCH($C804,спр_Работы!$A$2:$A$6000,0)),"")</f>
        <v/>
      </c>
      <c r="B804">
        <f>IFERROR(INDEX(спр_Работы!$F$2:$F$6000,MATCH($C804,спр_Работы!$A$2:$A$6000,0)),"")</f>
        <v/>
      </c>
      <c r="C804">
        <f>IFERROR(INDEX(спр_Работы!$A$2:$A$6000,803),"")</f>
        <v/>
      </c>
      <c r="D804" s="8">
        <f>IFERROR(INDEX(спр_Работы!$B$2:$B$6000,MATCH($C804,спр_Работы!$A$2:$A$6000,0)),"")</f>
        <v/>
      </c>
      <c r="E804">
        <f>IFERROR(INDEX(спр_Работы!$C$2:$C$6000,MATCH($C804,спр_Работы!$A$2:$A$6000,0)),"")</f>
        <v/>
      </c>
      <c r="F804">
        <f>IFERROR(INDEX(спр_Работы!$G$2:$G$6000,MATCH($C804,спр_Работы!$A$2:$A$6000,0)),"")</f>
        <v/>
      </c>
      <c r="G804">
        <f>IFERROR(INDEX(спр_Работы!$K$2:$K$6000,MATCH($C804,спр_Работы!$A$2:$A$6000,0)),"")</f>
        <v/>
      </c>
      <c r="H804" s="9" t="n"/>
      <c r="I804" s="9" t="n"/>
      <c r="J804" s="8">
        <f>IFERROR(INDEX(спр_Материалы!$B$2:$B$9000,MATCH($I804,спр_Материалы!$A$2:$A$9000,0)),"")</f>
        <v/>
      </c>
      <c r="K804">
        <f>IF($I804="","",IF($F804=IFERROR(INDEX(спр_Материалы!$G$2:$G$9000,MATCH($I804,спр_Материалы!$A$2:$A$9000,0)),""),"OK","!! не та группа"))</f>
        <v/>
      </c>
      <c r="L804" s="10">
        <f>IFERROR(INDEX(спр_Работы!$H$2:$H$6000,MATCH($C804,спр_Работы!$A$2:$A$6000,0))*(1-ДисконтТендер),0)</f>
        <v/>
      </c>
      <c r="M804" s="10">
        <f>IF($I804="",0,IFERROR(INDEX(спр_Материалы!$I$2:$I$9000,MATCH($I804,спр_Материалы!$A$2:$A$9000,0))*IF(INDEX(спр_Материалы!$J$2:$J$9000,MATCH($I804,спр_Материалы!$A$2:$A$9000,0))="USD",КурсUSD,IF(INDEX(спр_Материалы!$J$2:$J$9000,MATCH($I804,спр_Материалы!$A$2:$A$9000,0))="EUR",КурсEUR,1))*INDEX(спр_Материалы!$K$2:$K$9000,MATCH($I804,спр_Материалы!$A$2:$A$9000,0))*(1+IFERROR(INDEX(спр_Работы!$I$2:$I$6000,MATCH($C804,спр_Работы!$A$2:$A$6000,0))/100,0))*(1-ДисконтТендер),0))</f>
        <v/>
      </c>
      <c r="N804" s="10">
        <f>IF(AND($R804="да",$H804&lt;&gt;""),ROUND($H804*$L804,2),0)</f>
        <v/>
      </c>
      <c r="O804" s="10">
        <f>IF(AND($R804="да",$H804&lt;&gt;""),ROUND($H804*$M804,2),0)</f>
        <v/>
      </c>
      <c r="P804" s="10">
        <f>$N804+$O804</f>
        <v/>
      </c>
      <c r="Q804">
        <f>IFERROR(INDEX(спр_Работы!$J$2:$J$6000,MATCH($C804,спр_Работы!$A$2:$A$6000,0)),"")</f>
        <v/>
      </c>
      <c r="R804" t="inlineStr">
        <is>
          <t>да</t>
        </is>
      </c>
      <c r="T804">
        <f>IF(AND($P804&gt;0,$R804="да"),MAX($T$1:$T803)+1,"")</f>
        <v/>
      </c>
    </row>
    <row r="805">
      <c r="A805">
        <f>IFERROR(INDEX(спр_Работы!$D$2:$D$6000,MATCH($C805,спр_Работы!$A$2:$A$6000,0)),"")</f>
        <v/>
      </c>
      <c r="B805">
        <f>IFERROR(INDEX(спр_Работы!$F$2:$F$6000,MATCH($C805,спр_Работы!$A$2:$A$6000,0)),"")</f>
        <v/>
      </c>
      <c r="C805">
        <f>IFERROR(INDEX(спр_Работы!$A$2:$A$6000,804),"")</f>
        <v/>
      </c>
      <c r="D805" s="8">
        <f>IFERROR(INDEX(спр_Работы!$B$2:$B$6000,MATCH($C805,спр_Работы!$A$2:$A$6000,0)),"")</f>
        <v/>
      </c>
      <c r="E805">
        <f>IFERROR(INDEX(спр_Работы!$C$2:$C$6000,MATCH($C805,спр_Работы!$A$2:$A$6000,0)),"")</f>
        <v/>
      </c>
      <c r="F805">
        <f>IFERROR(INDEX(спр_Работы!$G$2:$G$6000,MATCH($C805,спр_Работы!$A$2:$A$6000,0)),"")</f>
        <v/>
      </c>
      <c r="G805">
        <f>IFERROR(INDEX(спр_Работы!$K$2:$K$6000,MATCH($C805,спр_Работы!$A$2:$A$6000,0)),"")</f>
        <v/>
      </c>
      <c r="H805" s="9" t="n"/>
      <c r="I805" s="9" t="n"/>
      <c r="J805" s="8">
        <f>IFERROR(INDEX(спр_Материалы!$B$2:$B$9000,MATCH($I805,спр_Материалы!$A$2:$A$9000,0)),"")</f>
        <v/>
      </c>
      <c r="K805">
        <f>IF($I805="","",IF($F805=IFERROR(INDEX(спр_Материалы!$G$2:$G$9000,MATCH($I805,спр_Материалы!$A$2:$A$9000,0)),""),"OK","!! не та группа"))</f>
        <v/>
      </c>
      <c r="L805" s="10">
        <f>IFERROR(INDEX(спр_Работы!$H$2:$H$6000,MATCH($C805,спр_Работы!$A$2:$A$6000,0))*(1-ДисконтТендер),0)</f>
        <v/>
      </c>
      <c r="M805" s="10">
        <f>IF($I805="",0,IFERROR(INDEX(спр_Материалы!$I$2:$I$9000,MATCH($I805,спр_Материалы!$A$2:$A$9000,0))*IF(INDEX(спр_Материалы!$J$2:$J$9000,MATCH($I805,спр_Материалы!$A$2:$A$9000,0))="USD",КурсUSD,IF(INDEX(спр_Материалы!$J$2:$J$9000,MATCH($I805,спр_Материалы!$A$2:$A$9000,0))="EUR",КурсEUR,1))*INDEX(спр_Материалы!$K$2:$K$9000,MATCH($I805,спр_Материалы!$A$2:$A$9000,0))*(1+IFERROR(INDEX(спр_Работы!$I$2:$I$6000,MATCH($C805,спр_Работы!$A$2:$A$6000,0))/100,0))*(1-ДисконтТендер),0))</f>
        <v/>
      </c>
      <c r="N805" s="10">
        <f>IF(AND($R805="да",$H805&lt;&gt;""),ROUND($H805*$L805,2),0)</f>
        <v/>
      </c>
      <c r="O805" s="10">
        <f>IF(AND($R805="да",$H805&lt;&gt;""),ROUND($H805*$M805,2),0)</f>
        <v/>
      </c>
      <c r="P805" s="10">
        <f>$N805+$O805</f>
        <v/>
      </c>
      <c r="Q805">
        <f>IFERROR(INDEX(спр_Работы!$J$2:$J$6000,MATCH($C805,спр_Работы!$A$2:$A$6000,0)),"")</f>
        <v/>
      </c>
      <c r="R805" t="inlineStr">
        <is>
          <t>да</t>
        </is>
      </c>
      <c r="T805">
        <f>IF(AND($P805&gt;0,$R805="да"),MAX($T$1:$T804)+1,"")</f>
        <v/>
      </c>
    </row>
    <row r="806">
      <c r="A806">
        <f>IFERROR(INDEX(спр_Работы!$D$2:$D$6000,MATCH($C806,спр_Работы!$A$2:$A$6000,0)),"")</f>
        <v/>
      </c>
      <c r="B806">
        <f>IFERROR(INDEX(спр_Работы!$F$2:$F$6000,MATCH($C806,спр_Работы!$A$2:$A$6000,0)),"")</f>
        <v/>
      </c>
      <c r="C806">
        <f>IFERROR(INDEX(спр_Работы!$A$2:$A$6000,805),"")</f>
        <v/>
      </c>
      <c r="D806" s="8">
        <f>IFERROR(INDEX(спр_Работы!$B$2:$B$6000,MATCH($C806,спр_Работы!$A$2:$A$6000,0)),"")</f>
        <v/>
      </c>
      <c r="E806">
        <f>IFERROR(INDEX(спр_Работы!$C$2:$C$6000,MATCH($C806,спр_Работы!$A$2:$A$6000,0)),"")</f>
        <v/>
      </c>
      <c r="F806">
        <f>IFERROR(INDEX(спр_Работы!$G$2:$G$6000,MATCH($C806,спр_Работы!$A$2:$A$6000,0)),"")</f>
        <v/>
      </c>
      <c r="G806">
        <f>IFERROR(INDEX(спр_Работы!$K$2:$K$6000,MATCH($C806,спр_Работы!$A$2:$A$6000,0)),"")</f>
        <v/>
      </c>
      <c r="H806" s="9" t="n"/>
      <c r="I806" s="9" t="n"/>
      <c r="J806" s="8">
        <f>IFERROR(INDEX(спр_Материалы!$B$2:$B$9000,MATCH($I806,спр_Материалы!$A$2:$A$9000,0)),"")</f>
        <v/>
      </c>
      <c r="K806">
        <f>IF($I806="","",IF($F806=IFERROR(INDEX(спр_Материалы!$G$2:$G$9000,MATCH($I806,спр_Материалы!$A$2:$A$9000,0)),""),"OK","!! не та группа"))</f>
        <v/>
      </c>
      <c r="L806" s="10">
        <f>IFERROR(INDEX(спр_Работы!$H$2:$H$6000,MATCH($C806,спр_Работы!$A$2:$A$6000,0))*(1-ДисконтТендер),0)</f>
        <v/>
      </c>
      <c r="M806" s="10">
        <f>IF($I806="",0,IFERROR(INDEX(спр_Материалы!$I$2:$I$9000,MATCH($I806,спр_Материалы!$A$2:$A$9000,0))*IF(INDEX(спр_Материалы!$J$2:$J$9000,MATCH($I806,спр_Материалы!$A$2:$A$9000,0))="USD",КурсUSD,IF(INDEX(спр_Материалы!$J$2:$J$9000,MATCH($I806,спр_Материалы!$A$2:$A$9000,0))="EUR",КурсEUR,1))*INDEX(спр_Материалы!$K$2:$K$9000,MATCH($I806,спр_Материалы!$A$2:$A$9000,0))*(1+IFERROR(INDEX(спр_Работы!$I$2:$I$6000,MATCH($C806,спр_Работы!$A$2:$A$6000,0))/100,0))*(1-ДисконтТендер),0))</f>
        <v/>
      </c>
      <c r="N806" s="10">
        <f>IF(AND($R806="да",$H806&lt;&gt;""),ROUND($H806*$L806,2),0)</f>
        <v/>
      </c>
      <c r="O806" s="10">
        <f>IF(AND($R806="да",$H806&lt;&gt;""),ROUND($H806*$M806,2),0)</f>
        <v/>
      </c>
      <c r="P806" s="10">
        <f>$N806+$O806</f>
        <v/>
      </c>
      <c r="Q806">
        <f>IFERROR(INDEX(спр_Работы!$J$2:$J$6000,MATCH($C806,спр_Работы!$A$2:$A$6000,0)),"")</f>
        <v/>
      </c>
      <c r="R806" t="inlineStr">
        <is>
          <t>да</t>
        </is>
      </c>
      <c r="T806">
        <f>IF(AND($P806&gt;0,$R806="да"),MAX($T$1:$T805)+1,"")</f>
        <v/>
      </c>
    </row>
    <row r="807">
      <c r="A807">
        <f>IFERROR(INDEX(спр_Работы!$D$2:$D$6000,MATCH($C807,спр_Работы!$A$2:$A$6000,0)),"")</f>
        <v/>
      </c>
      <c r="B807">
        <f>IFERROR(INDEX(спр_Работы!$F$2:$F$6000,MATCH($C807,спр_Работы!$A$2:$A$6000,0)),"")</f>
        <v/>
      </c>
      <c r="C807">
        <f>IFERROR(INDEX(спр_Работы!$A$2:$A$6000,806),"")</f>
        <v/>
      </c>
      <c r="D807" s="8">
        <f>IFERROR(INDEX(спр_Работы!$B$2:$B$6000,MATCH($C807,спр_Работы!$A$2:$A$6000,0)),"")</f>
        <v/>
      </c>
      <c r="E807">
        <f>IFERROR(INDEX(спр_Работы!$C$2:$C$6000,MATCH($C807,спр_Работы!$A$2:$A$6000,0)),"")</f>
        <v/>
      </c>
      <c r="F807">
        <f>IFERROR(INDEX(спр_Работы!$G$2:$G$6000,MATCH($C807,спр_Работы!$A$2:$A$6000,0)),"")</f>
        <v/>
      </c>
      <c r="G807">
        <f>IFERROR(INDEX(спр_Работы!$K$2:$K$6000,MATCH($C807,спр_Работы!$A$2:$A$6000,0)),"")</f>
        <v/>
      </c>
      <c r="H807" s="9" t="n"/>
      <c r="I807" s="9" t="n"/>
      <c r="J807" s="8">
        <f>IFERROR(INDEX(спр_Материалы!$B$2:$B$9000,MATCH($I807,спр_Материалы!$A$2:$A$9000,0)),"")</f>
        <v/>
      </c>
      <c r="K807">
        <f>IF($I807="","",IF($F807=IFERROR(INDEX(спр_Материалы!$G$2:$G$9000,MATCH($I807,спр_Материалы!$A$2:$A$9000,0)),""),"OK","!! не та группа"))</f>
        <v/>
      </c>
      <c r="L807" s="10">
        <f>IFERROR(INDEX(спр_Работы!$H$2:$H$6000,MATCH($C807,спр_Работы!$A$2:$A$6000,0))*(1-ДисконтТендер),0)</f>
        <v/>
      </c>
      <c r="M807" s="10">
        <f>IF($I807="",0,IFERROR(INDEX(спр_Материалы!$I$2:$I$9000,MATCH($I807,спр_Материалы!$A$2:$A$9000,0))*IF(INDEX(спр_Материалы!$J$2:$J$9000,MATCH($I807,спр_Материалы!$A$2:$A$9000,0))="USD",КурсUSD,IF(INDEX(спр_Материалы!$J$2:$J$9000,MATCH($I807,спр_Материалы!$A$2:$A$9000,0))="EUR",КурсEUR,1))*INDEX(спр_Материалы!$K$2:$K$9000,MATCH($I807,спр_Материалы!$A$2:$A$9000,0))*(1+IFERROR(INDEX(спр_Работы!$I$2:$I$6000,MATCH($C807,спр_Работы!$A$2:$A$6000,0))/100,0))*(1-ДисконтТендер),0))</f>
        <v/>
      </c>
      <c r="N807" s="10">
        <f>IF(AND($R807="да",$H807&lt;&gt;""),ROUND($H807*$L807,2),0)</f>
        <v/>
      </c>
      <c r="O807" s="10">
        <f>IF(AND($R807="да",$H807&lt;&gt;""),ROUND($H807*$M807,2),0)</f>
        <v/>
      </c>
      <c r="P807" s="10">
        <f>$N807+$O807</f>
        <v/>
      </c>
      <c r="Q807">
        <f>IFERROR(INDEX(спр_Работы!$J$2:$J$6000,MATCH($C807,спр_Работы!$A$2:$A$6000,0)),"")</f>
        <v/>
      </c>
      <c r="R807" t="inlineStr">
        <is>
          <t>да</t>
        </is>
      </c>
      <c r="T807">
        <f>IF(AND($P807&gt;0,$R807="да"),MAX($T$1:$T806)+1,"")</f>
        <v/>
      </c>
    </row>
    <row r="808">
      <c r="A808">
        <f>IFERROR(INDEX(спр_Работы!$D$2:$D$6000,MATCH($C808,спр_Работы!$A$2:$A$6000,0)),"")</f>
        <v/>
      </c>
      <c r="B808">
        <f>IFERROR(INDEX(спр_Работы!$F$2:$F$6000,MATCH($C808,спр_Работы!$A$2:$A$6000,0)),"")</f>
        <v/>
      </c>
      <c r="C808">
        <f>IFERROR(INDEX(спр_Работы!$A$2:$A$6000,807),"")</f>
        <v/>
      </c>
      <c r="D808" s="8">
        <f>IFERROR(INDEX(спр_Работы!$B$2:$B$6000,MATCH($C808,спр_Работы!$A$2:$A$6000,0)),"")</f>
        <v/>
      </c>
      <c r="E808">
        <f>IFERROR(INDEX(спр_Работы!$C$2:$C$6000,MATCH($C808,спр_Работы!$A$2:$A$6000,0)),"")</f>
        <v/>
      </c>
      <c r="F808">
        <f>IFERROR(INDEX(спр_Работы!$G$2:$G$6000,MATCH($C808,спр_Работы!$A$2:$A$6000,0)),"")</f>
        <v/>
      </c>
      <c r="G808">
        <f>IFERROR(INDEX(спр_Работы!$K$2:$K$6000,MATCH($C808,спр_Работы!$A$2:$A$6000,0)),"")</f>
        <v/>
      </c>
      <c r="H808" s="9" t="n"/>
      <c r="I808" s="9" t="n"/>
      <c r="J808" s="8">
        <f>IFERROR(INDEX(спр_Материалы!$B$2:$B$9000,MATCH($I808,спр_Материалы!$A$2:$A$9000,0)),"")</f>
        <v/>
      </c>
      <c r="K808">
        <f>IF($I808="","",IF($F808=IFERROR(INDEX(спр_Материалы!$G$2:$G$9000,MATCH($I808,спр_Материалы!$A$2:$A$9000,0)),""),"OK","!! не та группа"))</f>
        <v/>
      </c>
      <c r="L808" s="10">
        <f>IFERROR(INDEX(спр_Работы!$H$2:$H$6000,MATCH($C808,спр_Работы!$A$2:$A$6000,0))*(1-ДисконтТендер),0)</f>
        <v/>
      </c>
      <c r="M808" s="10">
        <f>IF($I808="",0,IFERROR(INDEX(спр_Материалы!$I$2:$I$9000,MATCH($I808,спр_Материалы!$A$2:$A$9000,0))*IF(INDEX(спр_Материалы!$J$2:$J$9000,MATCH($I808,спр_Материалы!$A$2:$A$9000,0))="USD",КурсUSD,IF(INDEX(спр_Материалы!$J$2:$J$9000,MATCH($I808,спр_Материалы!$A$2:$A$9000,0))="EUR",КурсEUR,1))*INDEX(спр_Материалы!$K$2:$K$9000,MATCH($I808,спр_Материалы!$A$2:$A$9000,0))*(1+IFERROR(INDEX(спр_Работы!$I$2:$I$6000,MATCH($C808,спр_Работы!$A$2:$A$6000,0))/100,0))*(1-ДисконтТендер),0))</f>
        <v/>
      </c>
      <c r="N808" s="10">
        <f>IF(AND($R808="да",$H808&lt;&gt;""),ROUND($H808*$L808,2),0)</f>
        <v/>
      </c>
      <c r="O808" s="10">
        <f>IF(AND($R808="да",$H808&lt;&gt;""),ROUND($H808*$M808,2),0)</f>
        <v/>
      </c>
      <c r="P808" s="10">
        <f>$N808+$O808</f>
        <v/>
      </c>
      <c r="Q808">
        <f>IFERROR(INDEX(спр_Работы!$J$2:$J$6000,MATCH($C808,спр_Работы!$A$2:$A$6000,0)),"")</f>
        <v/>
      </c>
      <c r="R808" t="inlineStr">
        <is>
          <t>да</t>
        </is>
      </c>
      <c r="T808">
        <f>IF(AND($P808&gt;0,$R808="да"),MAX($T$1:$T807)+1,"")</f>
        <v/>
      </c>
    </row>
    <row r="809">
      <c r="A809">
        <f>IFERROR(INDEX(спр_Работы!$D$2:$D$6000,MATCH($C809,спр_Работы!$A$2:$A$6000,0)),"")</f>
        <v/>
      </c>
      <c r="B809">
        <f>IFERROR(INDEX(спр_Работы!$F$2:$F$6000,MATCH($C809,спр_Работы!$A$2:$A$6000,0)),"")</f>
        <v/>
      </c>
      <c r="C809">
        <f>IFERROR(INDEX(спр_Работы!$A$2:$A$6000,808),"")</f>
        <v/>
      </c>
      <c r="D809" s="8">
        <f>IFERROR(INDEX(спр_Работы!$B$2:$B$6000,MATCH($C809,спр_Работы!$A$2:$A$6000,0)),"")</f>
        <v/>
      </c>
      <c r="E809">
        <f>IFERROR(INDEX(спр_Работы!$C$2:$C$6000,MATCH($C809,спр_Работы!$A$2:$A$6000,0)),"")</f>
        <v/>
      </c>
      <c r="F809">
        <f>IFERROR(INDEX(спр_Работы!$G$2:$G$6000,MATCH($C809,спр_Работы!$A$2:$A$6000,0)),"")</f>
        <v/>
      </c>
      <c r="G809">
        <f>IFERROR(INDEX(спр_Работы!$K$2:$K$6000,MATCH($C809,спр_Работы!$A$2:$A$6000,0)),"")</f>
        <v/>
      </c>
      <c r="H809" s="9" t="n"/>
      <c r="I809" s="9" t="n"/>
      <c r="J809" s="8">
        <f>IFERROR(INDEX(спр_Материалы!$B$2:$B$9000,MATCH($I809,спр_Материалы!$A$2:$A$9000,0)),"")</f>
        <v/>
      </c>
      <c r="K809">
        <f>IF($I809="","",IF($F809=IFERROR(INDEX(спр_Материалы!$G$2:$G$9000,MATCH($I809,спр_Материалы!$A$2:$A$9000,0)),""),"OK","!! не та группа"))</f>
        <v/>
      </c>
      <c r="L809" s="10">
        <f>IFERROR(INDEX(спр_Работы!$H$2:$H$6000,MATCH($C809,спр_Работы!$A$2:$A$6000,0))*(1-ДисконтТендер),0)</f>
        <v/>
      </c>
      <c r="M809" s="10">
        <f>IF($I809="",0,IFERROR(INDEX(спр_Материалы!$I$2:$I$9000,MATCH($I809,спр_Материалы!$A$2:$A$9000,0))*IF(INDEX(спр_Материалы!$J$2:$J$9000,MATCH($I809,спр_Материалы!$A$2:$A$9000,0))="USD",КурсUSD,IF(INDEX(спр_Материалы!$J$2:$J$9000,MATCH($I809,спр_Материалы!$A$2:$A$9000,0))="EUR",КурсEUR,1))*INDEX(спр_Материалы!$K$2:$K$9000,MATCH($I809,спр_Материалы!$A$2:$A$9000,0))*(1+IFERROR(INDEX(спр_Работы!$I$2:$I$6000,MATCH($C809,спр_Работы!$A$2:$A$6000,0))/100,0))*(1-ДисконтТендер),0))</f>
        <v/>
      </c>
      <c r="N809" s="10">
        <f>IF(AND($R809="да",$H809&lt;&gt;""),ROUND($H809*$L809,2),0)</f>
        <v/>
      </c>
      <c r="O809" s="10">
        <f>IF(AND($R809="да",$H809&lt;&gt;""),ROUND($H809*$M809,2),0)</f>
        <v/>
      </c>
      <c r="P809" s="10">
        <f>$N809+$O809</f>
        <v/>
      </c>
      <c r="Q809">
        <f>IFERROR(INDEX(спр_Работы!$J$2:$J$6000,MATCH($C809,спр_Работы!$A$2:$A$6000,0)),"")</f>
        <v/>
      </c>
      <c r="R809" t="inlineStr">
        <is>
          <t>да</t>
        </is>
      </c>
      <c r="T809">
        <f>IF(AND($P809&gt;0,$R809="да"),MAX($T$1:$T808)+1,"")</f>
        <v/>
      </c>
    </row>
    <row r="810">
      <c r="A810">
        <f>IFERROR(INDEX(спр_Работы!$D$2:$D$6000,MATCH($C810,спр_Работы!$A$2:$A$6000,0)),"")</f>
        <v/>
      </c>
      <c r="B810">
        <f>IFERROR(INDEX(спр_Работы!$F$2:$F$6000,MATCH($C810,спр_Работы!$A$2:$A$6000,0)),"")</f>
        <v/>
      </c>
      <c r="C810">
        <f>IFERROR(INDEX(спр_Работы!$A$2:$A$6000,809),"")</f>
        <v/>
      </c>
      <c r="D810" s="8">
        <f>IFERROR(INDEX(спр_Работы!$B$2:$B$6000,MATCH($C810,спр_Работы!$A$2:$A$6000,0)),"")</f>
        <v/>
      </c>
      <c r="E810">
        <f>IFERROR(INDEX(спр_Работы!$C$2:$C$6000,MATCH($C810,спр_Работы!$A$2:$A$6000,0)),"")</f>
        <v/>
      </c>
      <c r="F810">
        <f>IFERROR(INDEX(спр_Работы!$G$2:$G$6000,MATCH($C810,спр_Работы!$A$2:$A$6000,0)),"")</f>
        <v/>
      </c>
      <c r="G810">
        <f>IFERROR(INDEX(спр_Работы!$K$2:$K$6000,MATCH($C810,спр_Работы!$A$2:$A$6000,0)),"")</f>
        <v/>
      </c>
      <c r="H810" s="9" t="n"/>
      <c r="I810" s="9" t="n"/>
      <c r="J810" s="8">
        <f>IFERROR(INDEX(спр_Материалы!$B$2:$B$9000,MATCH($I810,спр_Материалы!$A$2:$A$9000,0)),"")</f>
        <v/>
      </c>
      <c r="K810">
        <f>IF($I810="","",IF($F810=IFERROR(INDEX(спр_Материалы!$G$2:$G$9000,MATCH($I810,спр_Материалы!$A$2:$A$9000,0)),""),"OK","!! не та группа"))</f>
        <v/>
      </c>
      <c r="L810" s="10">
        <f>IFERROR(INDEX(спр_Работы!$H$2:$H$6000,MATCH($C810,спр_Работы!$A$2:$A$6000,0))*(1-ДисконтТендер),0)</f>
        <v/>
      </c>
      <c r="M810" s="10">
        <f>IF($I810="",0,IFERROR(INDEX(спр_Материалы!$I$2:$I$9000,MATCH($I810,спр_Материалы!$A$2:$A$9000,0))*IF(INDEX(спр_Материалы!$J$2:$J$9000,MATCH($I810,спр_Материалы!$A$2:$A$9000,0))="USD",КурсUSD,IF(INDEX(спр_Материалы!$J$2:$J$9000,MATCH($I810,спр_Материалы!$A$2:$A$9000,0))="EUR",КурсEUR,1))*INDEX(спр_Материалы!$K$2:$K$9000,MATCH($I810,спр_Материалы!$A$2:$A$9000,0))*(1+IFERROR(INDEX(спр_Работы!$I$2:$I$6000,MATCH($C810,спр_Работы!$A$2:$A$6000,0))/100,0))*(1-ДисконтТендер),0))</f>
        <v/>
      </c>
      <c r="N810" s="10">
        <f>IF(AND($R810="да",$H810&lt;&gt;""),ROUND($H810*$L810,2),0)</f>
        <v/>
      </c>
      <c r="O810" s="10">
        <f>IF(AND($R810="да",$H810&lt;&gt;""),ROUND($H810*$M810,2),0)</f>
        <v/>
      </c>
      <c r="P810" s="10">
        <f>$N810+$O810</f>
        <v/>
      </c>
      <c r="Q810">
        <f>IFERROR(INDEX(спр_Работы!$J$2:$J$6000,MATCH($C810,спр_Работы!$A$2:$A$6000,0)),"")</f>
        <v/>
      </c>
      <c r="R810" t="inlineStr">
        <is>
          <t>да</t>
        </is>
      </c>
      <c r="T810">
        <f>IF(AND($P810&gt;0,$R810="да"),MAX($T$1:$T809)+1,"")</f>
        <v/>
      </c>
    </row>
    <row r="811">
      <c r="A811">
        <f>IFERROR(INDEX(спр_Работы!$D$2:$D$6000,MATCH($C811,спр_Работы!$A$2:$A$6000,0)),"")</f>
        <v/>
      </c>
      <c r="B811">
        <f>IFERROR(INDEX(спр_Работы!$F$2:$F$6000,MATCH($C811,спр_Работы!$A$2:$A$6000,0)),"")</f>
        <v/>
      </c>
      <c r="C811">
        <f>IFERROR(INDEX(спр_Работы!$A$2:$A$6000,810),"")</f>
        <v/>
      </c>
      <c r="D811" s="8">
        <f>IFERROR(INDEX(спр_Работы!$B$2:$B$6000,MATCH($C811,спр_Работы!$A$2:$A$6000,0)),"")</f>
        <v/>
      </c>
      <c r="E811">
        <f>IFERROR(INDEX(спр_Работы!$C$2:$C$6000,MATCH($C811,спр_Работы!$A$2:$A$6000,0)),"")</f>
        <v/>
      </c>
      <c r="F811">
        <f>IFERROR(INDEX(спр_Работы!$G$2:$G$6000,MATCH($C811,спр_Работы!$A$2:$A$6000,0)),"")</f>
        <v/>
      </c>
      <c r="G811">
        <f>IFERROR(INDEX(спр_Работы!$K$2:$K$6000,MATCH($C811,спр_Работы!$A$2:$A$6000,0)),"")</f>
        <v/>
      </c>
      <c r="H811" s="9" t="n"/>
      <c r="I811" s="9" t="n"/>
      <c r="J811" s="8">
        <f>IFERROR(INDEX(спр_Материалы!$B$2:$B$9000,MATCH($I811,спр_Материалы!$A$2:$A$9000,0)),"")</f>
        <v/>
      </c>
      <c r="K811">
        <f>IF($I811="","",IF($F811=IFERROR(INDEX(спр_Материалы!$G$2:$G$9000,MATCH($I811,спр_Материалы!$A$2:$A$9000,0)),""),"OK","!! не та группа"))</f>
        <v/>
      </c>
      <c r="L811" s="10">
        <f>IFERROR(INDEX(спр_Работы!$H$2:$H$6000,MATCH($C811,спр_Работы!$A$2:$A$6000,0))*(1-ДисконтТендер),0)</f>
        <v/>
      </c>
      <c r="M811" s="10">
        <f>IF($I811="",0,IFERROR(INDEX(спр_Материалы!$I$2:$I$9000,MATCH($I811,спр_Материалы!$A$2:$A$9000,0))*IF(INDEX(спр_Материалы!$J$2:$J$9000,MATCH($I811,спр_Материалы!$A$2:$A$9000,0))="USD",КурсUSD,IF(INDEX(спр_Материалы!$J$2:$J$9000,MATCH($I811,спр_Материалы!$A$2:$A$9000,0))="EUR",КурсEUR,1))*INDEX(спр_Материалы!$K$2:$K$9000,MATCH($I811,спр_Материалы!$A$2:$A$9000,0))*(1+IFERROR(INDEX(спр_Работы!$I$2:$I$6000,MATCH($C811,спр_Работы!$A$2:$A$6000,0))/100,0))*(1-ДисконтТендер),0))</f>
        <v/>
      </c>
      <c r="N811" s="10">
        <f>IF(AND($R811="да",$H811&lt;&gt;""),ROUND($H811*$L811,2),0)</f>
        <v/>
      </c>
      <c r="O811" s="10">
        <f>IF(AND($R811="да",$H811&lt;&gt;""),ROUND($H811*$M811,2),0)</f>
        <v/>
      </c>
      <c r="P811" s="10">
        <f>$N811+$O811</f>
        <v/>
      </c>
      <c r="Q811">
        <f>IFERROR(INDEX(спр_Работы!$J$2:$J$6000,MATCH($C811,спр_Работы!$A$2:$A$6000,0)),"")</f>
        <v/>
      </c>
      <c r="R811" t="inlineStr">
        <is>
          <t>да</t>
        </is>
      </c>
      <c r="T811">
        <f>IF(AND($P811&gt;0,$R811="да"),MAX($T$1:$T810)+1,"")</f>
        <v/>
      </c>
    </row>
    <row r="812">
      <c r="A812">
        <f>IFERROR(INDEX(спр_Работы!$D$2:$D$6000,MATCH($C812,спр_Работы!$A$2:$A$6000,0)),"")</f>
        <v/>
      </c>
      <c r="B812">
        <f>IFERROR(INDEX(спр_Работы!$F$2:$F$6000,MATCH($C812,спр_Работы!$A$2:$A$6000,0)),"")</f>
        <v/>
      </c>
      <c r="C812">
        <f>IFERROR(INDEX(спр_Работы!$A$2:$A$6000,811),"")</f>
        <v/>
      </c>
      <c r="D812" s="8">
        <f>IFERROR(INDEX(спр_Работы!$B$2:$B$6000,MATCH($C812,спр_Работы!$A$2:$A$6000,0)),"")</f>
        <v/>
      </c>
      <c r="E812">
        <f>IFERROR(INDEX(спр_Работы!$C$2:$C$6000,MATCH($C812,спр_Работы!$A$2:$A$6000,0)),"")</f>
        <v/>
      </c>
      <c r="F812">
        <f>IFERROR(INDEX(спр_Работы!$G$2:$G$6000,MATCH($C812,спр_Работы!$A$2:$A$6000,0)),"")</f>
        <v/>
      </c>
      <c r="G812">
        <f>IFERROR(INDEX(спр_Работы!$K$2:$K$6000,MATCH($C812,спр_Работы!$A$2:$A$6000,0)),"")</f>
        <v/>
      </c>
      <c r="H812" s="9" t="n"/>
      <c r="I812" s="9" t="n"/>
      <c r="J812" s="8">
        <f>IFERROR(INDEX(спр_Материалы!$B$2:$B$9000,MATCH($I812,спр_Материалы!$A$2:$A$9000,0)),"")</f>
        <v/>
      </c>
      <c r="K812">
        <f>IF($I812="","",IF($F812=IFERROR(INDEX(спр_Материалы!$G$2:$G$9000,MATCH($I812,спр_Материалы!$A$2:$A$9000,0)),""),"OK","!! не та группа"))</f>
        <v/>
      </c>
      <c r="L812" s="10">
        <f>IFERROR(INDEX(спр_Работы!$H$2:$H$6000,MATCH($C812,спр_Работы!$A$2:$A$6000,0))*(1-ДисконтТендер),0)</f>
        <v/>
      </c>
      <c r="M812" s="10">
        <f>IF($I812="",0,IFERROR(INDEX(спр_Материалы!$I$2:$I$9000,MATCH($I812,спр_Материалы!$A$2:$A$9000,0))*IF(INDEX(спр_Материалы!$J$2:$J$9000,MATCH($I812,спр_Материалы!$A$2:$A$9000,0))="USD",КурсUSD,IF(INDEX(спр_Материалы!$J$2:$J$9000,MATCH($I812,спр_Материалы!$A$2:$A$9000,0))="EUR",КурсEUR,1))*INDEX(спр_Материалы!$K$2:$K$9000,MATCH($I812,спр_Материалы!$A$2:$A$9000,0))*(1+IFERROR(INDEX(спр_Работы!$I$2:$I$6000,MATCH($C812,спр_Работы!$A$2:$A$6000,0))/100,0))*(1-ДисконтТендер),0))</f>
        <v/>
      </c>
      <c r="N812" s="10">
        <f>IF(AND($R812="да",$H812&lt;&gt;""),ROUND($H812*$L812,2),0)</f>
        <v/>
      </c>
      <c r="O812" s="10">
        <f>IF(AND($R812="да",$H812&lt;&gt;""),ROUND($H812*$M812,2),0)</f>
        <v/>
      </c>
      <c r="P812" s="10">
        <f>$N812+$O812</f>
        <v/>
      </c>
      <c r="Q812">
        <f>IFERROR(INDEX(спр_Работы!$J$2:$J$6000,MATCH($C812,спр_Работы!$A$2:$A$6000,0)),"")</f>
        <v/>
      </c>
      <c r="R812" t="inlineStr">
        <is>
          <t>да</t>
        </is>
      </c>
      <c r="T812">
        <f>IF(AND($P812&gt;0,$R812="да"),MAX($T$1:$T811)+1,"")</f>
        <v/>
      </c>
    </row>
    <row r="813">
      <c r="A813">
        <f>IFERROR(INDEX(спр_Работы!$D$2:$D$6000,MATCH($C813,спр_Работы!$A$2:$A$6000,0)),"")</f>
        <v/>
      </c>
      <c r="B813">
        <f>IFERROR(INDEX(спр_Работы!$F$2:$F$6000,MATCH($C813,спр_Работы!$A$2:$A$6000,0)),"")</f>
        <v/>
      </c>
      <c r="C813">
        <f>IFERROR(INDEX(спр_Работы!$A$2:$A$6000,812),"")</f>
        <v/>
      </c>
      <c r="D813" s="8">
        <f>IFERROR(INDEX(спр_Работы!$B$2:$B$6000,MATCH($C813,спр_Работы!$A$2:$A$6000,0)),"")</f>
        <v/>
      </c>
      <c r="E813">
        <f>IFERROR(INDEX(спр_Работы!$C$2:$C$6000,MATCH($C813,спр_Работы!$A$2:$A$6000,0)),"")</f>
        <v/>
      </c>
      <c r="F813">
        <f>IFERROR(INDEX(спр_Работы!$G$2:$G$6000,MATCH($C813,спр_Работы!$A$2:$A$6000,0)),"")</f>
        <v/>
      </c>
      <c r="G813">
        <f>IFERROR(INDEX(спр_Работы!$K$2:$K$6000,MATCH($C813,спр_Работы!$A$2:$A$6000,0)),"")</f>
        <v/>
      </c>
      <c r="H813" s="9" t="n"/>
      <c r="I813" s="9" t="n"/>
      <c r="J813" s="8">
        <f>IFERROR(INDEX(спр_Материалы!$B$2:$B$9000,MATCH($I813,спр_Материалы!$A$2:$A$9000,0)),"")</f>
        <v/>
      </c>
      <c r="K813">
        <f>IF($I813="","",IF($F813=IFERROR(INDEX(спр_Материалы!$G$2:$G$9000,MATCH($I813,спр_Материалы!$A$2:$A$9000,0)),""),"OK","!! не та группа"))</f>
        <v/>
      </c>
      <c r="L813" s="10">
        <f>IFERROR(INDEX(спр_Работы!$H$2:$H$6000,MATCH($C813,спр_Работы!$A$2:$A$6000,0))*(1-ДисконтТендер),0)</f>
        <v/>
      </c>
      <c r="M813" s="10">
        <f>IF($I813="",0,IFERROR(INDEX(спр_Материалы!$I$2:$I$9000,MATCH($I813,спр_Материалы!$A$2:$A$9000,0))*IF(INDEX(спр_Материалы!$J$2:$J$9000,MATCH($I813,спр_Материалы!$A$2:$A$9000,0))="USD",КурсUSD,IF(INDEX(спр_Материалы!$J$2:$J$9000,MATCH($I813,спр_Материалы!$A$2:$A$9000,0))="EUR",КурсEUR,1))*INDEX(спр_Материалы!$K$2:$K$9000,MATCH($I813,спр_Материалы!$A$2:$A$9000,0))*(1+IFERROR(INDEX(спр_Работы!$I$2:$I$6000,MATCH($C813,спр_Работы!$A$2:$A$6000,0))/100,0))*(1-ДисконтТендер),0))</f>
        <v/>
      </c>
      <c r="N813" s="10">
        <f>IF(AND($R813="да",$H813&lt;&gt;""),ROUND($H813*$L813,2),0)</f>
        <v/>
      </c>
      <c r="O813" s="10">
        <f>IF(AND($R813="да",$H813&lt;&gt;""),ROUND($H813*$M813,2),0)</f>
        <v/>
      </c>
      <c r="P813" s="10">
        <f>$N813+$O813</f>
        <v/>
      </c>
      <c r="Q813">
        <f>IFERROR(INDEX(спр_Работы!$J$2:$J$6000,MATCH($C813,спр_Работы!$A$2:$A$6000,0)),"")</f>
        <v/>
      </c>
      <c r="R813" t="inlineStr">
        <is>
          <t>да</t>
        </is>
      </c>
      <c r="T813">
        <f>IF(AND($P813&gt;0,$R813="да"),MAX($T$1:$T812)+1,"")</f>
        <v/>
      </c>
    </row>
    <row r="814">
      <c r="A814">
        <f>IFERROR(INDEX(спр_Работы!$D$2:$D$6000,MATCH($C814,спр_Работы!$A$2:$A$6000,0)),"")</f>
        <v/>
      </c>
      <c r="B814">
        <f>IFERROR(INDEX(спр_Работы!$F$2:$F$6000,MATCH($C814,спр_Работы!$A$2:$A$6000,0)),"")</f>
        <v/>
      </c>
      <c r="C814">
        <f>IFERROR(INDEX(спр_Работы!$A$2:$A$6000,813),"")</f>
        <v/>
      </c>
      <c r="D814" s="8">
        <f>IFERROR(INDEX(спр_Работы!$B$2:$B$6000,MATCH($C814,спр_Работы!$A$2:$A$6000,0)),"")</f>
        <v/>
      </c>
      <c r="E814">
        <f>IFERROR(INDEX(спр_Работы!$C$2:$C$6000,MATCH($C814,спр_Работы!$A$2:$A$6000,0)),"")</f>
        <v/>
      </c>
      <c r="F814">
        <f>IFERROR(INDEX(спр_Работы!$G$2:$G$6000,MATCH($C814,спр_Работы!$A$2:$A$6000,0)),"")</f>
        <v/>
      </c>
      <c r="G814">
        <f>IFERROR(INDEX(спр_Работы!$K$2:$K$6000,MATCH($C814,спр_Работы!$A$2:$A$6000,0)),"")</f>
        <v/>
      </c>
      <c r="H814" s="9" t="n"/>
      <c r="I814" s="9" t="n"/>
      <c r="J814" s="8">
        <f>IFERROR(INDEX(спр_Материалы!$B$2:$B$9000,MATCH($I814,спр_Материалы!$A$2:$A$9000,0)),"")</f>
        <v/>
      </c>
      <c r="K814">
        <f>IF($I814="","",IF($F814=IFERROR(INDEX(спр_Материалы!$G$2:$G$9000,MATCH($I814,спр_Материалы!$A$2:$A$9000,0)),""),"OK","!! не та группа"))</f>
        <v/>
      </c>
      <c r="L814" s="10">
        <f>IFERROR(INDEX(спр_Работы!$H$2:$H$6000,MATCH($C814,спр_Работы!$A$2:$A$6000,0))*(1-ДисконтТендер),0)</f>
        <v/>
      </c>
      <c r="M814" s="10">
        <f>IF($I814="",0,IFERROR(INDEX(спр_Материалы!$I$2:$I$9000,MATCH($I814,спр_Материалы!$A$2:$A$9000,0))*IF(INDEX(спр_Материалы!$J$2:$J$9000,MATCH($I814,спр_Материалы!$A$2:$A$9000,0))="USD",КурсUSD,IF(INDEX(спр_Материалы!$J$2:$J$9000,MATCH($I814,спр_Материалы!$A$2:$A$9000,0))="EUR",КурсEUR,1))*INDEX(спр_Материалы!$K$2:$K$9000,MATCH($I814,спр_Материалы!$A$2:$A$9000,0))*(1+IFERROR(INDEX(спр_Работы!$I$2:$I$6000,MATCH($C814,спр_Работы!$A$2:$A$6000,0))/100,0))*(1-ДисконтТендер),0))</f>
        <v/>
      </c>
      <c r="N814" s="10">
        <f>IF(AND($R814="да",$H814&lt;&gt;""),ROUND($H814*$L814,2),0)</f>
        <v/>
      </c>
      <c r="O814" s="10">
        <f>IF(AND($R814="да",$H814&lt;&gt;""),ROUND($H814*$M814,2),0)</f>
        <v/>
      </c>
      <c r="P814" s="10">
        <f>$N814+$O814</f>
        <v/>
      </c>
      <c r="Q814">
        <f>IFERROR(INDEX(спр_Работы!$J$2:$J$6000,MATCH($C814,спр_Работы!$A$2:$A$6000,0)),"")</f>
        <v/>
      </c>
      <c r="R814" t="inlineStr">
        <is>
          <t>да</t>
        </is>
      </c>
      <c r="T814">
        <f>IF(AND($P814&gt;0,$R814="да"),MAX($T$1:$T813)+1,"")</f>
        <v/>
      </c>
    </row>
    <row r="815">
      <c r="A815">
        <f>IFERROR(INDEX(спр_Работы!$D$2:$D$6000,MATCH($C815,спр_Работы!$A$2:$A$6000,0)),"")</f>
        <v/>
      </c>
      <c r="B815">
        <f>IFERROR(INDEX(спр_Работы!$F$2:$F$6000,MATCH($C815,спр_Работы!$A$2:$A$6000,0)),"")</f>
        <v/>
      </c>
      <c r="C815">
        <f>IFERROR(INDEX(спр_Работы!$A$2:$A$6000,814),"")</f>
        <v/>
      </c>
      <c r="D815" s="8">
        <f>IFERROR(INDEX(спр_Работы!$B$2:$B$6000,MATCH($C815,спр_Работы!$A$2:$A$6000,0)),"")</f>
        <v/>
      </c>
      <c r="E815">
        <f>IFERROR(INDEX(спр_Работы!$C$2:$C$6000,MATCH($C815,спр_Работы!$A$2:$A$6000,0)),"")</f>
        <v/>
      </c>
      <c r="F815">
        <f>IFERROR(INDEX(спр_Работы!$G$2:$G$6000,MATCH($C815,спр_Работы!$A$2:$A$6000,0)),"")</f>
        <v/>
      </c>
      <c r="G815">
        <f>IFERROR(INDEX(спр_Работы!$K$2:$K$6000,MATCH($C815,спр_Работы!$A$2:$A$6000,0)),"")</f>
        <v/>
      </c>
      <c r="H815" s="9" t="n"/>
      <c r="I815" s="9" t="n"/>
      <c r="J815" s="8">
        <f>IFERROR(INDEX(спр_Материалы!$B$2:$B$9000,MATCH($I815,спр_Материалы!$A$2:$A$9000,0)),"")</f>
        <v/>
      </c>
      <c r="K815">
        <f>IF($I815="","",IF($F815=IFERROR(INDEX(спр_Материалы!$G$2:$G$9000,MATCH($I815,спр_Материалы!$A$2:$A$9000,0)),""),"OK","!! не та группа"))</f>
        <v/>
      </c>
      <c r="L815" s="10">
        <f>IFERROR(INDEX(спр_Работы!$H$2:$H$6000,MATCH($C815,спр_Работы!$A$2:$A$6000,0))*(1-ДисконтТендер),0)</f>
        <v/>
      </c>
      <c r="M815" s="10">
        <f>IF($I815="",0,IFERROR(INDEX(спр_Материалы!$I$2:$I$9000,MATCH($I815,спр_Материалы!$A$2:$A$9000,0))*IF(INDEX(спр_Материалы!$J$2:$J$9000,MATCH($I815,спр_Материалы!$A$2:$A$9000,0))="USD",КурсUSD,IF(INDEX(спр_Материалы!$J$2:$J$9000,MATCH($I815,спр_Материалы!$A$2:$A$9000,0))="EUR",КурсEUR,1))*INDEX(спр_Материалы!$K$2:$K$9000,MATCH($I815,спр_Материалы!$A$2:$A$9000,0))*(1+IFERROR(INDEX(спр_Работы!$I$2:$I$6000,MATCH($C815,спр_Работы!$A$2:$A$6000,0))/100,0))*(1-ДисконтТендер),0))</f>
        <v/>
      </c>
      <c r="N815" s="10">
        <f>IF(AND($R815="да",$H815&lt;&gt;""),ROUND($H815*$L815,2),0)</f>
        <v/>
      </c>
      <c r="O815" s="10">
        <f>IF(AND($R815="да",$H815&lt;&gt;""),ROUND($H815*$M815,2),0)</f>
        <v/>
      </c>
      <c r="P815" s="10">
        <f>$N815+$O815</f>
        <v/>
      </c>
      <c r="Q815">
        <f>IFERROR(INDEX(спр_Работы!$J$2:$J$6000,MATCH($C815,спр_Работы!$A$2:$A$6000,0)),"")</f>
        <v/>
      </c>
      <c r="R815" t="inlineStr">
        <is>
          <t>да</t>
        </is>
      </c>
      <c r="T815">
        <f>IF(AND($P815&gt;0,$R815="да"),MAX($T$1:$T814)+1,"")</f>
        <v/>
      </c>
    </row>
    <row r="816">
      <c r="A816">
        <f>IFERROR(INDEX(спр_Работы!$D$2:$D$6000,MATCH($C816,спр_Работы!$A$2:$A$6000,0)),"")</f>
        <v/>
      </c>
      <c r="B816">
        <f>IFERROR(INDEX(спр_Работы!$F$2:$F$6000,MATCH($C816,спр_Работы!$A$2:$A$6000,0)),"")</f>
        <v/>
      </c>
      <c r="C816">
        <f>IFERROR(INDEX(спр_Работы!$A$2:$A$6000,815),"")</f>
        <v/>
      </c>
      <c r="D816" s="8">
        <f>IFERROR(INDEX(спр_Работы!$B$2:$B$6000,MATCH($C816,спр_Работы!$A$2:$A$6000,0)),"")</f>
        <v/>
      </c>
      <c r="E816">
        <f>IFERROR(INDEX(спр_Работы!$C$2:$C$6000,MATCH($C816,спр_Работы!$A$2:$A$6000,0)),"")</f>
        <v/>
      </c>
      <c r="F816">
        <f>IFERROR(INDEX(спр_Работы!$G$2:$G$6000,MATCH($C816,спр_Работы!$A$2:$A$6000,0)),"")</f>
        <v/>
      </c>
      <c r="G816">
        <f>IFERROR(INDEX(спр_Работы!$K$2:$K$6000,MATCH($C816,спр_Работы!$A$2:$A$6000,0)),"")</f>
        <v/>
      </c>
      <c r="H816" s="9" t="n"/>
      <c r="I816" s="9" t="n"/>
      <c r="J816" s="8">
        <f>IFERROR(INDEX(спр_Материалы!$B$2:$B$9000,MATCH($I816,спр_Материалы!$A$2:$A$9000,0)),"")</f>
        <v/>
      </c>
      <c r="K816">
        <f>IF($I816="","",IF($F816=IFERROR(INDEX(спр_Материалы!$G$2:$G$9000,MATCH($I816,спр_Материалы!$A$2:$A$9000,0)),""),"OK","!! не та группа"))</f>
        <v/>
      </c>
      <c r="L816" s="10">
        <f>IFERROR(INDEX(спр_Работы!$H$2:$H$6000,MATCH($C816,спр_Работы!$A$2:$A$6000,0))*(1-ДисконтТендер),0)</f>
        <v/>
      </c>
      <c r="M816" s="10">
        <f>IF($I816="",0,IFERROR(INDEX(спр_Материалы!$I$2:$I$9000,MATCH($I816,спр_Материалы!$A$2:$A$9000,0))*IF(INDEX(спр_Материалы!$J$2:$J$9000,MATCH($I816,спр_Материалы!$A$2:$A$9000,0))="USD",КурсUSD,IF(INDEX(спр_Материалы!$J$2:$J$9000,MATCH($I816,спр_Материалы!$A$2:$A$9000,0))="EUR",КурсEUR,1))*INDEX(спр_Материалы!$K$2:$K$9000,MATCH($I816,спр_Материалы!$A$2:$A$9000,0))*(1+IFERROR(INDEX(спр_Работы!$I$2:$I$6000,MATCH($C816,спр_Работы!$A$2:$A$6000,0))/100,0))*(1-ДисконтТендер),0))</f>
        <v/>
      </c>
      <c r="N816" s="10">
        <f>IF(AND($R816="да",$H816&lt;&gt;""),ROUND($H816*$L816,2),0)</f>
        <v/>
      </c>
      <c r="O816" s="10">
        <f>IF(AND($R816="да",$H816&lt;&gt;""),ROUND($H816*$M816,2),0)</f>
        <v/>
      </c>
      <c r="P816" s="10">
        <f>$N816+$O816</f>
        <v/>
      </c>
      <c r="Q816">
        <f>IFERROR(INDEX(спр_Работы!$J$2:$J$6000,MATCH($C816,спр_Работы!$A$2:$A$6000,0)),"")</f>
        <v/>
      </c>
      <c r="R816" t="inlineStr">
        <is>
          <t>да</t>
        </is>
      </c>
      <c r="T816">
        <f>IF(AND($P816&gt;0,$R816="да"),MAX($T$1:$T815)+1,"")</f>
        <v/>
      </c>
    </row>
    <row r="817">
      <c r="A817">
        <f>IFERROR(INDEX(спр_Работы!$D$2:$D$6000,MATCH($C817,спр_Работы!$A$2:$A$6000,0)),"")</f>
        <v/>
      </c>
      <c r="B817">
        <f>IFERROR(INDEX(спр_Работы!$F$2:$F$6000,MATCH($C817,спр_Работы!$A$2:$A$6000,0)),"")</f>
        <v/>
      </c>
      <c r="C817">
        <f>IFERROR(INDEX(спр_Работы!$A$2:$A$6000,816),"")</f>
        <v/>
      </c>
      <c r="D817" s="8">
        <f>IFERROR(INDEX(спр_Работы!$B$2:$B$6000,MATCH($C817,спр_Работы!$A$2:$A$6000,0)),"")</f>
        <v/>
      </c>
      <c r="E817">
        <f>IFERROR(INDEX(спр_Работы!$C$2:$C$6000,MATCH($C817,спр_Работы!$A$2:$A$6000,0)),"")</f>
        <v/>
      </c>
      <c r="F817">
        <f>IFERROR(INDEX(спр_Работы!$G$2:$G$6000,MATCH($C817,спр_Работы!$A$2:$A$6000,0)),"")</f>
        <v/>
      </c>
      <c r="G817">
        <f>IFERROR(INDEX(спр_Работы!$K$2:$K$6000,MATCH($C817,спр_Работы!$A$2:$A$6000,0)),"")</f>
        <v/>
      </c>
      <c r="H817" s="9" t="n"/>
      <c r="I817" s="9" t="n"/>
      <c r="J817" s="8">
        <f>IFERROR(INDEX(спр_Материалы!$B$2:$B$9000,MATCH($I817,спр_Материалы!$A$2:$A$9000,0)),"")</f>
        <v/>
      </c>
      <c r="K817">
        <f>IF($I817="","",IF($F817=IFERROR(INDEX(спр_Материалы!$G$2:$G$9000,MATCH($I817,спр_Материалы!$A$2:$A$9000,0)),""),"OK","!! не та группа"))</f>
        <v/>
      </c>
      <c r="L817" s="10">
        <f>IFERROR(INDEX(спр_Работы!$H$2:$H$6000,MATCH($C817,спр_Работы!$A$2:$A$6000,0))*(1-ДисконтТендер),0)</f>
        <v/>
      </c>
      <c r="M817" s="10">
        <f>IF($I817="",0,IFERROR(INDEX(спр_Материалы!$I$2:$I$9000,MATCH($I817,спр_Материалы!$A$2:$A$9000,0))*IF(INDEX(спр_Материалы!$J$2:$J$9000,MATCH($I817,спр_Материалы!$A$2:$A$9000,0))="USD",КурсUSD,IF(INDEX(спр_Материалы!$J$2:$J$9000,MATCH($I817,спр_Материалы!$A$2:$A$9000,0))="EUR",КурсEUR,1))*INDEX(спр_Материалы!$K$2:$K$9000,MATCH($I817,спр_Материалы!$A$2:$A$9000,0))*(1+IFERROR(INDEX(спр_Работы!$I$2:$I$6000,MATCH($C817,спр_Работы!$A$2:$A$6000,0))/100,0))*(1-ДисконтТендер),0))</f>
        <v/>
      </c>
      <c r="N817" s="10">
        <f>IF(AND($R817="да",$H817&lt;&gt;""),ROUND($H817*$L817,2),0)</f>
        <v/>
      </c>
      <c r="O817" s="10">
        <f>IF(AND($R817="да",$H817&lt;&gt;""),ROUND($H817*$M817,2),0)</f>
        <v/>
      </c>
      <c r="P817" s="10">
        <f>$N817+$O817</f>
        <v/>
      </c>
      <c r="Q817">
        <f>IFERROR(INDEX(спр_Работы!$J$2:$J$6000,MATCH($C817,спр_Работы!$A$2:$A$6000,0)),"")</f>
        <v/>
      </c>
      <c r="R817" t="inlineStr">
        <is>
          <t>да</t>
        </is>
      </c>
      <c r="T817">
        <f>IF(AND($P817&gt;0,$R817="да"),MAX($T$1:$T816)+1,"")</f>
        <v/>
      </c>
    </row>
    <row r="818">
      <c r="A818">
        <f>IFERROR(INDEX(спр_Работы!$D$2:$D$6000,MATCH($C818,спр_Работы!$A$2:$A$6000,0)),"")</f>
        <v/>
      </c>
      <c r="B818">
        <f>IFERROR(INDEX(спр_Работы!$F$2:$F$6000,MATCH($C818,спр_Работы!$A$2:$A$6000,0)),"")</f>
        <v/>
      </c>
      <c r="C818">
        <f>IFERROR(INDEX(спр_Работы!$A$2:$A$6000,817),"")</f>
        <v/>
      </c>
      <c r="D818" s="8">
        <f>IFERROR(INDEX(спр_Работы!$B$2:$B$6000,MATCH($C818,спр_Работы!$A$2:$A$6000,0)),"")</f>
        <v/>
      </c>
      <c r="E818">
        <f>IFERROR(INDEX(спр_Работы!$C$2:$C$6000,MATCH($C818,спр_Работы!$A$2:$A$6000,0)),"")</f>
        <v/>
      </c>
      <c r="F818">
        <f>IFERROR(INDEX(спр_Работы!$G$2:$G$6000,MATCH($C818,спр_Работы!$A$2:$A$6000,0)),"")</f>
        <v/>
      </c>
      <c r="G818">
        <f>IFERROR(INDEX(спр_Работы!$K$2:$K$6000,MATCH($C818,спр_Работы!$A$2:$A$6000,0)),"")</f>
        <v/>
      </c>
      <c r="H818" s="9" t="n"/>
      <c r="I818" s="9" t="n"/>
      <c r="J818" s="8">
        <f>IFERROR(INDEX(спр_Материалы!$B$2:$B$9000,MATCH($I818,спр_Материалы!$A$2:$A$9000,0)),"")</f>
        <v/>
      </c>
      <c r="K818">
        <f>IF($I818="","",IF($F818=IFERROR(INDEX(спр_Материалы!$G$2:$G$9000,MATCH($I818,спр_Материалы!$A$2:$A$9000,0)),""),"OK","!! не та группа"))</f>
        <v/>
      </c>
      <c r="L818" s="10">
        <f>IFERROR(INDEX(спр_Работы!$H$2:$H$6000,MATCH($C818,спр_Работы!$A$2:$A$6000,0))*(1-ДисконтТендер),0)</f>
        <v/>
      </c>
      <c r="M818" s="10">
        <f>IF($I818="",0,IFERROR(INDEX(спр_Материалы!$I$2:$I$9000,MATCH($I818,спр_Материалы!$A$2:$A$9000,0))*IF(INDEX(спр_Материалы!$J$2:$J$9000,MATCH($I818,спр_Материалы!$A$2:$A$9000,0))="USD",КурсUSD,IF(INDEX(спр_Материалы!$J$2:$J$9000,MATCH($I818,спр_Материалы!$A$2:$A$9000,0))="EUR",КурсEUR,1))*INDEX(спр_Материалы!$K$2:$K$9000,MATCH($I818,спр_Материалы!$A$2:$A$9000,0))*(1+IFERROR(INDEX(спр_Работы!$I$2:$I$6000,MATCH($C818,спр_Работы!$A$2:$A$6000,0))/100,0))*(1-ДисконтТендер),0))</f>
        <v/>
      </c>
      <c r="N818" s="10">
        <f>IF(AND($R818="да",$H818&lt;&gt;""),ROUND($H818*$L818,2),0)</f>
        <v/>
      </c>
      <c r="O818" s="10">
        <f>IF(AND($R818="да",$H818&lt;&gt;""),ROUND($H818*$M818,2),0)</f>
        <v/>
      </c>
      <c r="P818" s="10">
        <f>$N818+$O818</f>
        <v/>
      </c>
      <c r="Q818">
        <f>IFERROR(INDEX(спр_Работы!$J$2:$J$6000,MATCH($C818,спр_Работы!$A$2:$A$6000,0)),"")</f>
        <v/>
      </c>
      <c r="R818" t="inlineStr">
        <is>
          <t>да</t>
        </is>
      </c>
      <c r="T818">
        <f>IF(AND($P818&gt;0,$R818="да"),MAX($T$1:$T817)+1,"")</f>
        <v/>
      </c>
    </row>
    <row r="819">
      <c r="A819">
        <f>IFERROR(INDEX(спр_Работы!$D$2:$D$6000,MATCH($C819,спр_Работы!$A$2:$A$6000,0)),"")</f>
        <v/>
      </c>
      <c r="B819">
        <f>IFERROR(INDEX(спр_Работы!$F$2:$F$6000,MATCH($C819,спр_Работы!$A$2:$A$6000,0)),"")</f>
        <v/>
      </c>
      <c r="C819">
        <f>IFERROR(INDEX(спр_Работы!$A$2:$A$6000,818),"")</f>
        <v/>
      </c>
      <c r="D819" s="8">
        <f>IFERROR(INDEX(спр_Работы!$B$2:$B$6000,MATCH($C819,спр_Работы!$A$2:$A$6000,0)),"")</f>
        <v/>
      </c>
      <c r="E819">
        <f>IFERROR(INDEX(спр_Работы!$C$2:$C$6000,MATCH($C819,спр_Работы!$A$2:$A$6000,0)),"")</f>
        <v/>
      </c>
      <c r="F819">
        <f>IFERROR(INDEX(спр_Работы!$G$2:$G$6000,MATCH($C819,спр_Работы!$A$2:$A$6000,0)),"")</f>
        <v/>
      </c>
      <c r="G819">
        <f>IFERROR(INDEX(спр_Работы!$K$2:$K$6000,MATCH($C819,спр_Работы!$A$2:$A$6000,0)),"")</f>
        <v/>
      </c>
      <c r="H819" s="9" t="n"/>
      <c r="I819" s="9" t="n"/>
      <c r="J819" s="8">
        <f>IFERROR(INDEX(спр_Материалы!$B$2:$B$9000,MATCH($I819,спр_Материалы!$A$2:$A$9000,0)),"")</f>
        <v/>
      </c>
      <c r="K819">
        <f>IF($I819="","",IF($F819=IFERROR(INDEX(спр_Материалы!$G$2:$G$9000,MATCH($I819,спр_Материалы!$A$2:$A$9000,0)),""),"OK","!! не та группа"))</f>
        <v/>
      </c>
      <c r="L819" s="10">
        <f>IFERROR(INDEX(спр_Работы!$H$2:$H$6000,MATCH($C819,спр_Работы!$A$2:$A$6000,0))*(1-ДисконтТендер),0)</f>
        <v/>
      </c>
      <c r="M819" s="10">
        <f>IF($I819="",0,IFERROR(INDEX(спр_Материалы!$I$2:$I$9000,MATCH($I819,спр_Материалы!$A$2:$A$9000,0))*IF(INDEX(спр_Материалы!$J$2:$J$9000,MATCH($I819,спр_Материалы!$A$2:$A$9000,0))="USD",КурсUSD,IF(INDEX(спр_Материалы!$J$2:$J$9000,MATCH($I819,спр_Материалы!$A$2:$A$9000,0))="EUR",КурсEUR,1))*INDEX(спр_Материалы!$K$2:$K$9000,MATCH($I819,спр_Материалы!$A$2:$A$9000,0))*(1+IFERROR(INDEX(спр_Работы!$I$2:$I$6000,MATCH($C819,спр_Работы!$A$2:$A$6000,0))/100,0))*(1-ДисконтТендер),0))</f>
        <v/>
      </c>
      <c r="N819" s="10">
        <f>IF(AND($R819="да",$H819&lt;&gt;""),ROUND($H819*$L819,2),0)</f>
        <v/>
      </c>
      <c r="O819" s="10">
        <f>IF(AND($R819="да",$H819&lt;&gt;""),ROUND($H819*$M819,2),0)</f>
        <v/>
      </c>
      <c r="P819" s="10">
        <f>$N819+$O819</f>
        <v/>
      </c>
      <c r="Q819">
        <f>IFERROR(INDEX(спр_Работы!$J$2:$J$6000,MATCH($C819,спр_Работы!$A$2:$A$6000,0)),"")</f>
        <v/>
      </c>
      <c r="R819" t="inlineStr">
        <is>
          <t>да</t>
        </is>
      </c>
      <c r="T819">
        <f>IF(AND($P819&gt;0,$R819="да"),MAX($T$1:$T818)+1,"")</f>
        <v/>
      </c>
    </row>
    <row r="820">
      <c r="A820">
        <f>IFERROR(INDEX(спр_Работы!$D$2:$D$6000,MATCH($C820,спр_Работы!$A$2:$A$6000,0)),"")</f>
        <v/>
      </c>
      <c r="B820">
        <f>IFERROR(INDEX(спр_Работы!$F$2:$F$6000,MATCH($C820,спр_Работы!$A$2:$A$6000,0)),"")</f>
        <v/>
      </c>
      <c r="C820">
        <f>IFERROR(INDEX(спр_Работы!$A$2:$A$6000,819),"")</f>
        <v/>
      </c>
      <c r="D820" s="8">
        <f>IFERROR(INDEX(спр_Работы!$B$2:$B$6000,MATCH($C820,спр_Работы!$A$2:$A$6000,0)),"")</f>
        <v/>
      </c>
      <c r="E820">
        <f>IFERROR(INDEX(спр_Работы!$C$2:$C$6000,MATCH($C820,спр_Работы!$A$2:$A$6000,0)),"")</f>
        <v/>
      </c>
      <c r="F820">
        <f>IFERROR(INDEX(спр_Работы!$G$2:$G$6000,MATCH($C820,спр_Работы!$A$2:$A$6000,0)),"")</f>
        <v/>
      </c>
      <c r="G820">
        <f>IFERROR(INDEX(спр_Работы!$K$2:$K$6000,MATCH($C820,спр_Работы!$A$2:$A$6000,0)),"")</f>
        <v/>
      </c>
      <c r="H820" s="9" t="n"/>
      <c r="I820" s="9" t="n"/>
      <c r="J820" s="8">
        <f>IFERROR(INDEX(спр_Материалы!$B$2:$B$9000,MATCH($I820,спр_Материалы!$A$2:$A$9000,0)),"")</f>
        <v/>
      </c>
      <c r="K820">
        <f>IF($I820="","",IF($F820=IFERROR(INDEX(спр_Материалы!$G$2:$G$9000,MATCH($I820,спр_Материалы!$A$2:$A$9000,0)),""),"OK","!! не та группа"))</f>
        <v/>
      </c>
      <c r="L820" s="10">
        <f>IFERROR(INDEX(спр_Работы!$H$2:$H$6000,MATCH($C820,спр_Работы!$A$2:$A$6000,0))*(1-ДисконтТендер),0)</f>
        <v/>
      </c>
      <c r="M820" s="10">
        <f>IF($I820="",0,IFERROR(INDEX(спр_Материалы!$I$2:$I$9000,MATCH($I820,спр_Материалы!$A$2:$A$9000,0))*IF(INDEX(спр_Материалы!$J$2:$J$9000,MATCH($I820,спр_Материалы!$A$2:$A$9000,0))="USD",КурсUSD,IF(INDEX(спр_Материалы!$J$2:$J$9000,MATCH($I820,спр_Материалы!$A$2:$A$9000,0))="EUR",КурсEUR,1))*INDEX(спр_Материалы!$K$2:$K$9000,MATCH($I820,спр_Материалы!$A$2:$A$9000,0))*(1+IFERROR(INDEX(спр_Работы!$I$2:$I$6000,MATCH($C820,спр_Работы!$A$2:$A$6000,0))/100,0))*(1-ДисконтТендер),0))</f>
        <v/>
      </c>
      <c r="N820" s="10">
        <f>IF(AND($R820="да",$H820&lt;&gt;""),ROUND($H820*$L820,2),0)</f>
        <v/>
      </c>
      <c r="O820" s="10">
        <f>IF(AND($R820="да",$H820&lt;&gt;""),ROUND($H820*$M820,2),0)</f>
        <v/>
      </c>
      <c r="P820" s="10">
        <f>$N820+$O820</f>
        <v/>
      </c>
      <c r="Q820">
        <f>IFERROR(INDEX(спр_Работы!$J$2:$J$6000,MATCH($C820,спр_Работы!$A$2:$A$6000,0)),"")</f>
        <v/>
      </c>
      <c r="R820" t="inlineStr">
        <is>
          <t>да</t>
        </is>
      </c>
      <c r="T820">
        <f>IF(AND($P820&gt;0,$R820="да"),MAX($T$1:$T819)+1,"")</f>
        <v/>
      </c>
    </row>
    <row r="821">
      <c r="A821">
        <f>IFERROR(INDEX(спр_Работы!$D$2:$D$6000,MATCH($C821,спр_Работы!$A$2:$A$6000,0)),"")</f>
        <v/>
      </c>
      <c r="B821">
        <f>IFERROR(INDEX(спр_Работы!$F$2:$F$6000,MATCH($C821,спр_Работы!$A$2:$A$6000,0)),"")</f>
        <v/>
      </c>
      <c r="C821">
        <f>IFERROR(INDEX(спр_Работы!$A$2:$A$6000,820),"")</f>
        <v/>
      </c>
      <c r="D821" s="8">
        <f>IFERROR(INDEX(спр_Работы!$B$2:$B$6000,MATCH($C821,спр_Работы!$A$2:$A$6000,0)),"")</f>
        <v/>
      </c>
      <c r="E821">
        <f>IFERROR(INDEX(спр_Работы!$C$2:$C$6000,MATCH($C821,спр_Работы!$A$2:$A$6000,0)),"")</f>
        <v/>
      </c>
      <c r="F821">
        <f>IFERROR(INDEX(спр_Работы!$G$2:$G$6000,MATCH($C821,спр_Работы!$A$2:$A$6000,0)),"")</f>
        <v/>
      </c>
      <c r="G821">
        <f>IFERROR(INDEX(спр_Работы!$K$2:$K$6000,MATCH($C821,спр_Работы!$A$2:$A$6000,0)),"")</f>
        <v/>
      </c>
      <c r="H821" s="9" t="n"/>
      <c r="I821" s="9" t="n"/>
      <c r="J821" s="8">
        <f>IFERROR(INDEX(спр_Материалы!$B$2:$B$9000,MATCH($I821,спр_Материалы!$A$2:$A$9000,0)),"")</f>
        <v/>
      </c>
      <c r="K821">
        <f>IF($I821="","",IF($F821=IFERROR(INDEX(спр_Материалы!$G$2:$G$9000,MATCH($I821,спр_Материалы!$A$2:$A$9000,0)),""),"OK","!! не та группа"))</f>
        <v/>
      </c>
      <c r="L821" s="10">
        <f>IFERROR(INDEX(спр_Работы!$H$2:$H$6000,MATCH($C821,спр_Работы!$A$2:$A$6000,0))*(1-ДисконтТендер),0)</f>
        <v/>
      </c>
      <c r="M821" s="10">
        <f>IF($I821="",0,IFERROR(INDEX(спр_Материалы!$I$2:$I$9000,MATCH($I821,спр_Материалы!$A$2:$A$9000,0))*IF(INDEX(спр_Материалы!$J$2:$J$9000,MATCH($I821,спр_Материалы!$A$2:$A$9000,0))="USD",КурсUSD,IF(INDEX(спр_Материалы!$J$2:$J$9000,MATCH($I821,спр_Материалы!$A$2:$A$9000,0))="EUR",КурсEUR,1))*INDEX(спр_Материалы!$K$2:$K$9000,MATCH($I821,спр_Материалы!$A$2:$A$9000,0))*(1+IFERROR(INDEX(спр_Работы!$I$2:$I$6000,MATCH($C821,спр_Работы!$A$2:$A$6000,0))/100,0))*(1-ДисконтТендер),0))</f>
        <v/>
      </c>
      <c r="N821" s="10">
        <f>IF(AND($R821="да",$H821&lt;&gt;""),ROUND($H821*$L821,2),0)</f>
        <v/>
      </c>
      <c r="O821" s="10">
        <f>IF(AND($R821="да",$H821&lt;&gt;""),ROUND($H821*$M821,2),0)</f>
        <v/>
      </c>
      <c r="P821" s="10">
        <f>$N821+$O821</f>
        <v/>
      </c>
      <c r="Q821">
        <f>IFERROR(INDEX(спр_Работы!$J$2:$J$6000,MATCH($C821,спр_Работы!$A$2:$A$6000,0)),"")</f>
        <v/>
      </c>
      <c r="R821" t="inlineStr">
        <is>
          <t>да</t>
        </is>
      </c>
      <c r="T821">
        <f>IF(AND($P821&gt;0,$R821="да"),MAX($T$1:$T820)+1,"")</f>
        <v/>
      </c>
    </row>
    <row r="822">
      <c r="A822">
        <f>IFERROR(INDEX(спр_Работы!$D$2:$D$6000,MATCH($C822,спр_Работы!$A$2:$A$6000,0)),"")</f>
        <v/>
      </c>
      <c r="B822">
        <f>IFERROR(INDEX(спр_Работы!$F$2:$F$6000,MATCH($C822,спр_Работы!$A$2:$A$6000,0)),"")</f>
        <v/>
      </c>
      <c r="C822">
        <f>IFERROR(INDEX(спр_Работы!$A$2:$A$6000,821),"")</f>
        <v/>
      </c>
      <c r="D822" s="8">
        <f>IFERROR(INDEX(спр_Работы!$B$2:$B$6000,MATCH($C822,спр_Работы!$A$2:$A$6000,0)),"")</f>
        <v/>
      </c>
      <c r="E822">
        <f>IFERROR(INDEX(спр_Работы!$C$2:$C$6000,MATCH($C822,спр_Работы!$A$2:$A$6000,0)),"")</f>
        <v/>
      </c>
      <c r="F822">
        <f>IFERROR(INDEX(спр_Работы!$G$2:$G$6000,MATCH($C822,спр_Работы!$A$2:$A$6000,0)),"")</f>
        <v/>
      </c>
      <c r="G822">
        <f>IFERROR(INDEX(спр_Работы!$K$2:$K$6000,MATCH($C822,спр_Работы!$A$2:$A$6000,0)),"")</f>
        <v/>
      </c>
      <c r="H822" s="9" t="n"/>
      <c r="I822" s="9" t="n"/>
      <c r="J822" s="8">
        <f>IFERROR(INDEX(спр_Материалы!$B$2:$B$9000,MATCH($I822,спр_Материалы!$A$2:$A$9000,0)),"")</f>
        <v/>
      </c>
      <c r="K822">
        <f>IF($I822="","",IF($F822=IFERROR(INDEX(спр_Материалы!$G$2:$G$9000,MATCH($I822,спр_Материалы!$A$2:$A$9000,0)),""),"OK","!! не та группа"))</f>
        <v/>
      </c>
      <c r="L822" s="10">
        <f>IFERROR(INDEX(спр_Работы!$H$2:$H$6000,MATCH($C822,спр_Работы!$A$2:$A$6000,0))*(1-ДисконтТендер),0)</f>
        <v/>
      </c>
      <c r="M822" s="10">
        <f>IF($I822="",0,IFERROR(INDEX(спр_Материалы!$I$2:$I$9000,MATCH($I822,спр_Материалы!$A$2:$A$9000,0))*IF(INDEX(спр_Материалы!$J$2:$J$9000,MATCH($I822,спр_Материалы!$A$2:$A$9000,0))="USD",КурсUSD,IF(INDEX(спр_Материалы!$J$2:$J$9000,MATCH($I822,спр_Материалы!$A$2:$A$9000,0))="EUR",КурсEUR,1))*INDEX(спр_Материалы!$K$2:$K$9000,MATCH($I822,спр_Материалы!$A$2:$A$9000,0))*(1+IFERROR(INDEX(спр_Работы!$I$2:$I$6000,MATCH($C822,спр_Работы!$A$2:$A$6000,0))/100,0))*(1-ДисконтТендер),0))</f>
        <v/>
      </c>
      <c r="N822" s="10">
        <f>IF(AND($R822="да",$H822&lt;&gt;""),ROUND($H822*$L822,2),0)</f>
        <v/>
      </c>
      <c r="O822" s="10">
        <f>IF(AND($R822="да",$H822&lt;&gt;""),ROUND($H822*$M822,2),0)</f>
        <v/>
      </c>
      <c r="P822" s="10">
        <f>$N822+$O822</f>
        <v/>
      </c>
      <c r="Q822">
        <f>IFERROR(INDEX(спр_Работы!$J$2:$J$6000,MATCH($C822,спр_Работы!$A$2:$A$6000,0)),"")</f>
        <v/>
      </c>
      <c r="R822" t="inlineStr">
        <is>
          <t>да</t>
        </is>
      </c>
      <c r="T822">
        <f>IF(AND($P822&gt;0,$R822="да"),MAX($T$1:$T821)+1,"")</f>
        <v/>
      </c>
    </row>
    <row r="823">
      <c r="A823">
        <f>IFERROR(INDEX(спр_Работы!$D$2:$D$6000,MATCH($C823,спр_Работы!$A$2:$A$6000,0)),"")</f>
        <v/>
      </c>
      <c r="B823">
        <f>IFERROR(INDEX(спр_Работы!$F$2:$F$6000,MATCH($C823,спр_Работы!$A$2:$A$6000,0)),"")</f>
        <v/>
      </c>
      <c r="C823">
        <f>IFERROR(INDEX(спр_Работы!$A$2:$A$6000,822),"")</f>
        <v/>
      </c>
      <c r="D823" s="8">
        <f>IFERROR(INDEX(спр_Работы!$B$2:$B$6000,MATCH($C823,спр_Работы!$A$2:$A$6000,0)),"")</f>
        <v/>
      </c>
      <c r="E823">
        <f>IFERROR(INDEX(спр_Работы!$C$2:$C$6000,MATCH($C823,спр_Работы!$A$2:$A$6000,0)),"")</f>
        <v/>
      </c>
      <c r="F823">
        <f>IFERROR(INDEX(спр_Работы!$G$2:$G$6000,MATCH($C823,спр_Работы!$A$2:$A$6000,0)),"")</f>
        <v/>
      </c>
      <c r="G823">
        <f>IFERROR(INDEX(спр_Работы!$K$2:$K$6000,MATCH($C823,спр_Работы!$A$2:$A$6000,0)),"")</f>
        <v/>
      </c>
      <c r="H823" s="9" t="n"/>
      <c r="I823" s="9" t="n"/>
      <c r="J823" s="8">
        <f>IFERROR(INDEX(спр_Материалы!$B$2:$B$9000,MATCH($I823,спр_Материалы!$A$2:$A$9000,0)),"")</f>
        <v/>
      </c>
      <c r="K823">
        <f>IF($I823="","",IF($F823=IFERROR(INDEX(спр_Материалы!$G$2:$G$9000,MATCH($I823,спр_Материалы!$A$2:$A$9000,0)),""),"OK","!! не та группа"))</f>
        <v/>
      </c>
      <c r="L823" s="10">
        <f>IFERROR(INDEX(спр_Работы!$H$2:$H$6000,MATCH($C823,спр_Работы!$A$2:$A$6000,0))*(1-ДисконтТендер),0)</f>
        <v/>
      </c>
      <c r="M823" s="10">
        <f>IF($I823="",0,IFERROR(INDEX(спр_Материалы!$I$2:$I$9000,MATCH($I823,спр_Материалы!$A$2:$A$9000,0))*IF(INDEX(спр_Материалы!$J$2:$J$9000,MATCH($I823,спр_Материалы!$A$2:$A$9000,0))="USD",КурсUSD,IF(INDEX(спр_Материалы!$J$2:$J$9000,MATCH($I823,спр_Материалы!$A$2:$A$9000,0))="EUR",КурсEUR,1))*INDEX(спр_Материалы!$K$2:$K$9000,MATCH($I823,спр_Материалы!$A$2:$A$9000,0))*(1+IFERROR(INDEX(спр_Работы!$I$2:$I$6000,MATCH($C823,спр_Работы!$A$2:$A$6000,0))/100,0))*(1-ДисконтТендер),0))</f>
        <v/>
      </c>
      <c r="N823" s="10">
        <f>IF(AND($R823="да",$H823&lt;&gt;""),ROUND($H823*$L823,2),0)</f>
        <v/>
      </c>
      <c r="O823" s="10">
        <f>IF(AND($R823="да",$H823&lt;&gt;""),ROUND($H823*$M823,2),0)</f>
        <v/>
      </c>
      <c r="P823" s="10">
        <f>$N823+$O823</f>
        <v/>
      </c>
      <c r="Q823">
        <f>IFERROR(INDEX(спр_Работы!$J$2:$J$6000,MATCH($C823,спр_Работы!$A$2:$A$6000,0)),"")</f>
        <v/>
      </c>
      <c r="R823" t="inlineStr">
        <is>
          <t>да</t>
        </is>
      </c>
      <c r="T823">
        <f>IF(AND($P823&gt;0,$R823="да"),MAX($T$1:$T822)+1,"")</f>
        <v/>
      </c>
    </row>
    <row r="824">
      <c r="A824">
        <f>IFERROR(INDEX(спр_Работы!$D$2:$D$6000,MATCH($C824,спр_Работы!$A$2:$A$6000,0)),"")</f>
        <v/>
      </c>
      <c r="B824">
        <f>IFERROR(INDEX(спр_Работы!$F$2:$F$6000,MATCH($C824,спр_Работы!$A$2:$A$6000,0)),"")</f>
        <v/>
      </c>
      <c r="C824">
        <f>IFERROR(INDEX(спр_Работы!$A$2:$A$6000,823),"")</f>
        <v/>
      </c>
      <c r="D824" s="8">
        <f>IFERROR(INDEX(спр_Работы!$B$2:$B$6000,MATCH($C824,спр_Работы!$A$2:$A$6000,0)),"")</f>
        <v/>
      </c>
      <c r="E824">
        <f>IFERROR(INDEX(спр_Работы!$C$2:$C$6000,MATCH($C824,спр_Работы!$A$2:$A$6000,0)),"")</f>
        <v/>
      </c>
      <c r="F824">
        <f>IFERROR(INDEX(спр_Работы!$G$2:$G$6000,MATCH($C824,спр_Работы!$A$2:$A$6000,0)),"")</f>
        <v/>
      </c>
      <c r="G824">
        <f>IFERROR(INDEX(спр_Работы!$K$2:$K$6000,MATCH($C824,спр_Работы!$A$2:$A$6000,0)),"")</f>
        <v/>
      </c>
      <c r="H824" s="9" t="n"/>
      <c r="I824" s="9" t="n"/>
      <c r="J824" s="8">
        <f>IFERROR(INDEX(спр_Материалы!$B$2:$B$9000,MATCH($I824,спр_Материалы!$A$2:$A$9000,0)),"")</f>
        <v/>
      </c>
      <c r="K824">
        <f>IF($I824="","",IF($F824=IFERROR(INDEX(спр_Материалы!$G$2:$G$9000,MATCH($I824,спр_Материалы!$A$2:$A$9000,0)),""),"OK","!! не та группа"))</f>
        <v/>
      </c>
      <c r="L824" s="10">
        <f>IFERROR(INDEX(спр_Работы!$H$2:$H$6000,MATCH($C824,спр_Работы!$A$2:$A$6000,0))*(1-ДисконтТендер),0)</f>
        <v/>
      </c>
      <c r="M824" s="10">
        <f>IF($I824="",0,IFERROR(INDEX(спр_Материалы!$I$2:$I$9000,MATCH($I824,спр_Материалы!$A$2:$A$9000,0))*IF(INDEX(спр_Материалы!$J$2:$J$9000,MATCH($I824,спр_Материалы!$A$2:$A$9000,0))="USD",КурсUSD,IF(INDEX(спр_Материалы!$J$2:$J$9000,MATCH($I824,спр_Материалы!$A$2:$A$9000,0))="EUR",КурсEUR,1))*INDEX(спр_Материалы!$K$2:$K$9000,MATCH($I824,спр_Материалы!$A$2:$A$9000,0))*(1+IFERROR(INDEX(спр_Работы!$I$2:$I$6000,MATCH($C824,спр_Работы!$A$2:$A$6000,0))/100,0))*(1-ДисконтТендер),0))</f>
        <v/>
      </c>
      <c r="N824" s="10">
        <f>IF(AND($R824="да",$H824&lt;&gt;""),ROUND($H824*$L824,2),0)</f>
        <v/>
      </c>
      <c r="O824" s="10">
        <f>IF(AND($R824="да",$H824&lt;&gt;""),ROUND($H824*$M824,2),0)</f>
        <v/>
      </c>
      <c r="P824" s="10">
        <f>$N824+$O824</f>
        <v/>
      </c>
      <c r="Q824">
        <f>IFERROR(INDEX(спр_Работы!$J$2:$J$6000,MATCH($C824,спр_Работы!$A$2:$A$6000,0)),"")</f>
        <v/>
      </c>
      <c r="R824" t="inlineStr">
        <is>
          <t>да</t>
        </is>
      </c>
      <c r="T824">
        <f>IF(AND($P824&gt;0,$R824="да"),MAX($T$1:$T823)+1,"")</f>
        <v/>
      </c>
    </row>
    <row r="825">
      <c r="A825">
        <f>IFERROR(INDEX(спр_Работы!$D$2:$D$6000,MATCH($C825,спр_Работы!$A$2:$A$6000,0)),"")</f>
        <v/>
      </c>
      <c r="B825">
        <f>IFERROR(INDEX(спр_Работы!$F$2:$F$6000,MATCH($C825,спр_Работы!$A$2:$A$6000,0)),"")</f>
        <v/>
      </c>
      <c r="C825">
        <f>IFERROR(INDEX(спр_Работы!$A$2:$A$6000,824),"")</f>
        <v/>
      </c>
      <c r="D825" s="8">
        <f>IFERROR(INDEX(спр_Работы!$B$2:$B$6000,MATCH($C825,спр_Работы!$A$2:$A$6000,0)),"")</f>
        <v/>
      </c>
      <c r="E825">
        <f>IFERROR(INDEX(спр_Работы!$C$2:$C$6000,MATCH($C825,спр_Работы!$A$2:$A$6000,0)),"")</f>
        <v/>
      </c>
      <c r="F825">
        <f>IFERROR(INDEX(спр_Работы!$G$2:$G$6000,MATCH($C825,спр_Работы!$A$2:$A$6000,0)),"")</f>
        <v/>
      </c>
      <c r="G825">
        <f>IFERROR(INDEX(спр_Работы!$K$2:$K$6000,MATCH($C825,спр_Работы!$A$2:$A$6000,0)),"")</f>
        <v/>
      </c>
      <c r="H825" s="9" t="n"/>
      <c r="I825" s="9" t="n"/>
      <c r="J825" s="8">
        <f>IFERROR(INDEX(спр_Материалы!$B$2:$B$9000,MATCH($I825,спр_Материалы!$A$2:$A$9000,0)),"")</f>
        <v/>
      </c>
      <c r="K825">
        <f>IF($I825="","",IF($F825=IFERROR(INDEX(спр_Материалы!$G$2:$G$9000,MATCH($I825,спр_Материалы!$A$2:$A$9000,0)),""),"OK","!! не та группа"))</f>
        <v/>
      </c>
      <c r="L825" s="10">
        <f>IFERROR(INDEX(спр_Работы!$H$2:$H$6000,MATCH($C825,спр_Работы!$A$2:$A$6000,0))*(1-ДисконтТендер),0)</f>
        <v/>
      </c>
      <c r="M825" s="10">
        <f>IF($I825="",0,IFERROR(INDEX(спр_Материалы!$I$2:$I$9000,MATCH($I825,спр_Материалы!$A$2:$A$9000,0))*IF(INDEX(спр_Материалы!$J$2:$J$9000,MATCH($I825,спр_Материалы!$A$2:$A$9000,0))="USD",КурсUSD,IF(INDEX(спр_Материалы!$J$2:$J$9000,MATCH($I825,спр_Материалы!$A$2:$A$9000,0))="EUR",КурсEUR,1))*INDEX(спр_Материалы!$K$2:$K$9000,MATCH($I825,спр_Материалы!$A$2:$A$9000,0))*(1+IFERROR(INDEX(спр_Работы!$I$2:$I$6000,MATCH($C825,спр_Работы!$A$2:$A$6000,0))/100,0))*(1-ДисконтТендер),0))</f>
        <v/>
      </c>
      <c r="N825" s="10">
        <f>IF(AND($R825="да",$H825&lt;&gt;""),ROUND($H825*$L825,2),0)</f>
        <v/>
      </c>
      <c r="O825" s="10">
        <f>IF(AND($R825="да",$H825&lt;&gt;""),ROUND($H825*$M825,2),0)</f>
        <v/>
      </c>
      <c r="P825" s="10">
        <f>$N825+$O825</f>
        <v/>
      </c>
      <c r="Q825">
        <f>IFERROR(INDEX(спр_Работы!$J$2:$J$6000,MATCH($C825,спр_Работы!$A$2:$A$6000,0)),"")</f>
        <v/>
      </c>
      <c r="R825" t="inlineStr">
        <is>
          <t>да</t>
        </is>
      </c>
      <c r="T825">
        <f>IF(AND($P825&gt;0,$R825="да"),MAX($T$1:$T824)+1,"")</f>
        <v/>
      </c>
    </row>
    <row r="826">
      <c r="A826">
        <f>IFERROR(INDEX(спр_Работы!$D$2:$D$6000,MATCH($C826,спр_Работы!$A$2:$A$6000,0)),"")</f>
        <v/>
      </c>
      <c r="B826">
        <f>IFERROR(INDEX(спр_Работы!$F$2:$F$6000,MATCH($C826,спр_Работы!$A$2:$A$6000,0)),"")</f>
        <v/>
      </c>
      <c r="C826">
        <f>IFERROR(INDEX(спр_Работы!$A$2:$A$6000,825),"")</f>
        <v/>
      </c>
      <c r="D826" s="8">
        <f>IFERROR(INDEX(спр_Работы!$B$2:$B$6000,MATCH($C826,спр_Работы!$A$2:$A$6000,0)),"")</f>
        <v/>
      </c>
      <c r="E826">
        <f>IFERROR(INDEX(спр_Работы!$C$2:$C$6000,MATCH($C826,спр_Работы!$A$2:$A$6000,0)),"")</f>
        <v/>
      </c>
      <c r="F826">
        <f>IFERROR(INDEX(спр_Работы!$G$2:$G$6000,MATCH($C826,спр_Работы!$A$2:$A$6000,0)),"")</f>
        <v/>
      </c>
      <c r="G826">
        <f>IFERROR(INDEX(спр_Работы!$K$2:$K$6000,MATCH($C826,спр_Работы!$A$2:$A$6000,0)),"")</f>
        <v/>
      </c>
      <c r="H826" s="9" t="n"/>
      <c r="I826" s="9" t="n"/>
      <c r="J826" s="8">
        <f>IFERROR(INDEX(спр_Материалы!$B$2:$B$9000,MATCH($I826,спр_Материалы!$A$2:$A$9000,0)),"")</f>
        <v/>
      </c>
      <c r="K826">
        <f>IF($I826="","",IF($F826=IFERROR(INDEX(спр_Материалы!$G$2:$G$9000,MATCH($I826,спр_Материалы!$A$2:$A$9000,0)),""),"OK","!! не та группа"))</f>
        <v/>
      </c>
      <c r="L826" s="10">
        <f>IFERROR(INDEX(спр_Работы!$H$2:$H$6000,MATCH($C826,спр_Работы!$A$2:$A$6000,0))*(1-ДисконтТендер),0)</f>
        <v/>
      </c>
      <c r="M826" s="10">
        <f>IF($I826="",0,IFERROR(INDEX(спр_Материалы!$I$2:$I$9000,MATCH($I826,спр_Материалы!$A$2:$A$9000,0))*IF(INDEX(спр_Материалы!$J$2:$J$9000,MATCH($I826,спр_Материалы!$A$2:$A$9000,0))="USD",КурсUSD,IF(INDEX(спр_Материалы!$J$2:$J$9000,MATCH($I826,спр_Материалы!$A$2:$A$9000,0))="EUR",КурсEUR,1))*INDEX(спр_Материалы!$K$2:$K$9000,MATCH($I826,спр_Материалы!$A$2:$A$9000,0))*(1+IFERROR(INDEX(спр_Работы!$I$2:$I$6000,MATCH($C826,спр_Работы!$A$2:$A$6000,0))/100,0))*(1-ДисконтТендер),0))</f>
        <v/>
      </c>
      <c r="N826" s="10">
        <f>IF(AND($R826="да",$H826&lt;&gt;""),ROUND($H826*$L826,2),0)</f>
        <v/>
      </c>
      <c r="O826" s="10">
        <f>IF(AND($R826="да",$H826&lt;&gt;""),ROUND($H826*$M826,2),0)</f>
        <v/>
      </c>
      <c r="P826" s="10">
        <f>$N826+$O826</f>
        <v/>
      </c>
      <c r="Q826">
        <f>IFERROR(INDEX(спр_Работы!$J$2:$J$6000,MATCH($C826,спр_Работы!$A$2:$A$6000,0)),"")</f>
        <v/>
      </c>
      <c r="R826" t="inlineStr">
        <is>
          <t>да</t>
        </is>
      </c>
      <c r="T826">
        <f>IF(AND($P826&gt;0,$R826="да"),MAX($T$1:$T825)+1,"")</f>
        <v/>
      </c>
    </row>
    <row r="827">
      <c r="A827">
        <f>IFERROR(INDEX(спр_Работы!$D$2:$D$6000,MATCH($C827,спр_Работы!$A$2:$A$6000,0)),"")</f>
        <v/>
      </c>
      <c r="B827">
        <f>IFERROR(INDEX(спр_Работы!$F$2:$F$6000,MATCH($C827,спр_Работы!$A$2:$A$6000,0)),"")</f>
        <v/>
      </c>
      <c r="C827">
        <f>IFERROR(INDEX(спр_Работы!$A$2:$A$6000,826),"")</f>
        <v/>
      </c>
      <c r="D827" s="8">
        <f>IFERROR(INDEX(спр_Работы!$B$2:$B$6000,MATCH($C827,спр_Работы!$A$2:$A$6000,0)),"")</f>
        <v/>
      </c>
      <c r="E827">
        <f>IFERROR(INDEX(спр_Работы!$C$2:$C$6000,MATCH($C827,спр_Работы!$A$2:$A$6000,0)),"")</f>
        <v/>
      </c>
      <c r="F827">
        <f>IFERROR(INDEX(спр_Работы!$G$2:$G$6000,MATCH($C827,спр_Работы!$A$2:$A$6000,0)),"")</f>
        <v/>
      </c>
      <c r="G827">
        <f>IFERROR(INDEX(спр_Работы!$K$2:$K$6000,MATCH($C827,спр_Работы!$A$2:$A$6000,0)),"")</f>
        <v/>
      </c>
      <c r="H827" s="9" t="n"/>
      <c r="I827" s="9" t="n"/>
      <c r="J827" s="8">
        <f>IFERROR(INDEX(спр_Материалы!$B$2:$B$9000,MATCH($I827,спр_Материалы!$A$2:$A$9000,0)),"")</f>
        <v/>
      </c>
      <c r="K827">
        <f>IF($I827="","",IF($F827=IFERROR(INDEX(спр_Материалы!$G$2:$G$9000,MATCH($I827,спр_Материалы!$A$2:$A$9000,0)),""),"OK","!! не та группа"))</f>
        <v/>
      </c>
      <c r="L827" s="10">
        <f>IFERROR(INDEX(спр_Работы!$H$2:$H$6000,MATCH($C827,спр_Работы!$A$2:$A$6000,0))*(1-ДисконтТендер),0)</f>
        <v/>
      </c>
      <c r="M827" s="10">
        <f>IF($I827="",0,IFERROR(INDEX(спр_Материалы!$I$2:$I$9000,MATCH($I827,спр_Материалы!$A$2:$A$9000,0))*IF(INDEX(спр_Материалы!$J$2:$J$9000,MATCH($I827,спр_Материалы!$A$2:$A$9000,0))="USD",КурсUSD,IF(INDEX(спр_Материалы!$J$2:$J$9000,MATCH($I827,спр_Материалы!$A$2:$A$9000,0))="EUR",КурсEUR,1))*INDEX(спр_Материалы!$K$2:$K$9000,MATCH($I827,спр_Материалы!$A$2:$A$9000,0))*(1+IFERROR(INDEX(спр_Работы!$I$2:$I$6000,MATCH($C827,спр_Работы!$A$2:$A$6000,0))/100,0))*(1-ДисконтТендер),0))</f>
        <v/>
      </c>
      <c r="N827" s="10">
        <f>IF(AND($R827="да",$H827&lt;&gt;""),ROUND($H827*$L827,2),0)</f>
        <v/>
      </c>
      <c r="O827" s="10">
        <f>IF(AND($R827="да",$H827&lt;&gt;""),ROUND($H827*$M827,2),0)</f>
        <v/>
      </c>
      <c r="P827" s="10">
        <f>$N827+$O827</f>
        <v/>
      </c>
      <c r="Q827">
        <f>IFERROR(INDEX(спр_Работы!$J$2:$J$6000,MATCH($C827,спр_Работы!$A$2:$A$6000,0)),"")</f>
        <v/>
      </c>
      <c r="R827" t="inlineStr">
        <is>
          <t>да</t>
        </is>
      </c>
      <c r="T827">
        <f>IF(AND($P827&gt;0,$R827="да"),MAX($T$1:$T826)+1,"")</f>
        <v/>
      </c>
    </row>
    <row r="828">
      <c r="A828">
        <f>IFERROR(INDEX(спр_Работы!$D$2:$D$6000,MATCH($C828,спр_Работы!$A$2:$A$6000,0)),"")</f>
        <v/>
      </c>
      <c r="B828">
        <f>IFERROR(INDEX(спр_Работы!$F$2:$F$6000,MATCH($C828,спр_Работы!$A$2:$A$6000,0)),"")</f>
        <v/>
      </c>
      <c r="C828">
        <f>IFERROR(INDEX(спр_Работы!$A$2:$A$6000,827),"")</f>
        <v/>
      </c>
      <c r="D828" s="8">
        <f>IFERROR(INDEX(спр_Работы!$B$2:$B$6000,MATCH($C828,спр_Работы!$A$2:$A$6000,0)),"")</f>
        <v/>
      </c>
      <c r="E828">
        <f>IFERROR(INDEX(спр_Работы!$C$2:$C$6000,MATCH($C828,спр_Работы!$A$2:$A$6000,0)),"")</f>
        <v/>
      </c>
      <c r="F828">
        <f>IFERROR(INDEX(спр_Работы!$G$2:$G$6000,MATCH($C828,спр_Работы!$A$2:$A$6000,0)),"")</f>
        <v/>
      </c>
      <c r="G828">
        <f>IFERROR(INDEX(спр_Работы!$K$2:$K$6000,MATCH($C828,спр_Работы!$A$2:$A$6000,0)),"")</f>
        <v/>
      </c>
      <c r="H828" s="9" t="n"/>
      <c r="I828" s="9" t="n"/>
      <c r="J828" s="8">
        <f>IFERROR(INDEX(спр_Материалы!$B$2:$B$9000,MATCH($I828,спр_Материалы!$A$2:$A$9000,0)),"")</f>
        <v/>
      </c>
      <c r="K828">
        <f>IF($I828="","",IF($F828=IFERROR(INDEX(спр_Материалы!$G$2:$G$9000,MATCH($I828,спр_Материалы!$A$2:$A$9000,0)),""),"OK","!! не та группа"))</f>
        <v/>
      </c>
      <c r="L828" s="10">
        <f>IFERROR(INDEX(спр_Работы!$H$2:$H$6000,MATCH($C828,спр_Работы!$A$2:$A$6000,0))*(1-ДисконтТендер),0)</f>
        <v/>
      </c>
      <c r="M828" s="10">
        <f>IF($I828="",0,IFERROR(INDEX(спр_Материалы!$I$2:$I$9000,MATCH($I828,спр_Материалы!$A$2:$A$9000,0))*IF(INDEX(спр_Материалы!$J$2:$J$9000,MATCH($I828,спр_Материалы!$A$2:$A$9000,0))="USD",КурсUSD,IF(INDEX(спр_Материалы!$J$2:$J$9000,MATCH($I828,спр_Материалы!$A$2:$A$9000,0))="EUR",КурсEUR,1))*INDEX(спр_Материалы!$K$2:$K$9000,MATCH($I828,спр_Материалы!$A$2:$A$9000,0))*(1+IFERROR(INDEX(спр_Работы!$I$2:$I$6000,MATCH($C828,спр_Работы!$A$2:$A$6000,0))/100,0))*(1-ДисконтТендер),0))</f>
        <v/>
      </c>
      <c r="N828" s="10">
        <f>IF(AND($R828="да",$H828&lt;&gt;""),ROUND($H828*$L828,2),0)</f>
        <v/>
      </c>
      <c r="O828" s="10">
        <f>IF(AND($R828="да",$H828&lt;&gt;""),ROUND($H828*$M828,2),0)</f>
        <v/>
      </c>
      <c r="P828" s="10">
        <f>$N828+$O828</f>
        <v/>
      </c>
      <c r="Q828">
        <f>IFERROR(INDEX(спр_Работы!$J$2:$J$6000,MATCH($C828,спр_Работы!$A$2:$A$6000,0)),"")</f>
        <v/>
      </c>
      <c r="R828" t="inlineStr">
        <is>
          <t>да</t>
        </is>
      </c>
      <c r="T828">
        <f>IF(AND($P828&gt;0,$R828="да"),MAX($T$1:$T827)+1,"")</f>
        <v/>
      </c>
    </row>
    <row r="829">
      <c r="A829">
        <f>IFERROR(INDEX(спр_Работы!$D$2:$D$6000,MATCH($C829,спр_Работы!$A$2:$A$6000,0)),"")</f>
        <v/>
      </c>
      <c r="B829">
        <f>IFERROR(INDEX(спр_Работы!$F$2:$F$6000,MATCH($C829,спр_Работы!$A$2:$A$6000,0)),"")</f>
        <v/>
      </c>
      <c r="C829">
        <f>IFERROR(INDEX(спр_Работы!$A$2:$A$6000,828),"")</f>
        <v/>
      </c>
      <c r="D829" s="8">
        <f>IFERROR(INDEX(спр_Работы!$B$2:$B$6000,MATCH($C829,спр_Работы!$A$2:$A$6000,0)),"")</f>
        <v/>
      </c>
      <c r="E829">
        <f>IFERROR(INDEX(спр_Работы!$C$2:$C$6000,MATCH($C829,спр_Работы!$A$2:$A$6000,0)),"")</f>
        <v/>
      </c>
      <c r="F829">
        <f>IFERROR(INDEX(спр_Работы!$G$2:$G$6000,MATCH($C829,спр_Работы!$A$2:$A$6000,0)),"")</f>
        <v/>
      </c>
      <c r="G829">
        <f>IFERROR(INDEX(спр_Работы!$K$2:$K$6000,MATCH($C829,спр_Работы!$A$2:$A$6000,0)),"")</f>
        <v/>
      </c>
      <c r="H829" s="9" t="n"/>
      <c r="I829" s="9" t="n"/>
      <c r="J829" s="8">
        <f>IFERROR(INDEX(спр_Материалы!$B$2:$B$9000,MATCH($I829,спр_Материалы!$A$2:$A$9000,0)),"")</f>
        <v/>
      </c>
      <c r="K829">
        <f>IF($I829="","",IF($F829=IFERROR(INDEX(спр_Материалы!$G$2:$G$9000,MATCH($I829,спр_Материалы!$A$2:$A$9000,0)),""),"OK","!! не та группа"))</f>
        <v/>
      </c>
      <c r="L829" s="10">
        <f>IFERROR(INDEX(спр_Работы!$H$2:$H$6000,MATCH($C829,спр_Работы!$A$2:$A$6000,0))*(1-ДисконтТендер),0)</f>
        <v/>
      </c>
      <c r="M829" s="10">
        <f>IF($I829="",0,IFERROR(INDEX(спр_Материалы!$I$2:$I$9000,MATCH($I829,спр_Материалы!$A$2:$A$9000,0))*IF(INDEX(спр_Материалы!$J$2:$J$9000,MATCH($I829,спр_Материалы!$A$2:$A$9000,0))="USD",КурсUSD,IF(INDEX(спр_Материалы!$J$2:$J$9000,MATCH($I829,спр_Материалы!$A$2:$A$9000,0))="EUR",КурсEUR,1))*INDEX(спр_Материалы!$K$2:$K$9000,MATCH($I829,спр_Материалы!$A$2:$A$9000,0))*(1+IFERROR(INDEX(спр_Работы!$I$2:$I$6000,MATCH($C829,спр_Работы!$A$2:$A$6000,0))/100,0))*(1-ДисконтТендер),0))</f>
        <v/>
      </c>
      <c r="N829" s="10">
        <f>IF(AND($R829="да",$H829&lt;&gt;""),ROUND($H829*$L829,2),0)</f>
        <v/>
      </c>
      <c r="O829" s="10">
        <f>IF(AND($R829="да",$H829&lt;&gt;""),ROUND($H829*$M829,2),0)</f>
        <v/>
      </c>
      <c r="P829" s="10">
        <f>$N829+$O829</f>
        <v/>
      </c>
      <c r="Q829">
        <f>IFERROR(INDEX(спр_Работы!$J$2:$J$6000,MATCH($C829,спр_Работы!$A$2:$A$6000,0)),"")</f>
        <v/>
      </c>
      <c r="R829" t="inlineStr">
        <is>
          <t>да</t>
        </is>
      </c>
      <c r="T829">
        <f>IF(AND($P829&gt;0,$R829="да"),MAX($T$1:$T828)+1,"")</f>
        <v/>
      </c>
    </row>
    <row r="830">
      <c r="A830">
        <f>IFERROR(INDEX(спр_Работы!$D$2:$D$6000,MATCH($C830,спр_Работы!$A$2:$A$6000,0)),"")</f>
        <v/>
      </c>
      <c r="B830">
        <f>IFERROR(INDEX(спр_Работы!$F$2:$F$6000,MATCH($C830,спр_Работы!$A$2:$A$6000,0)),"")</f>
        <v/>
      </c>
      <c r="C830">
        <f>IFERROR(INDEX(спр_Работы!$A$2:$A$6000,829),"")</f>
        <v/>
      </c>
      <c r="D830" s="8">
        <f>IFERROR(INDEX(спр_Работы!$B$2:$B$6000,MATCH($C830,спр_Работы!$A$2:$A$6000,0)),"")</f>
        <v/>
      </c>
      <c r="E830">
        <f>IFERROR(INDEX(спр_Работы!$C$2:$C$6000,MATCH($C830,спр_Работы!$A$2:$A$6000,0)),"")</f>
        <v/>
      </c>
      <c r="F830">
        <f>IFERROR(INDEX(спр_Работы!$G$2:$G$6000,MATCH($C830,спр_Работы!$A$2:$A$6000,0)),"")</f>
        <v/>
      </c>
      <c r="G830">
        <f>IFERROR(INDEX(спр_Работы!$K$2:$K$6000,MATCH($C830,спр_Работы!$A$2:$A$6000,0)),"")</f>
        <v/>
      </c>
      <c r="H830" s="9" t="n"/>
      <c r="I830" s="9" t="n"/>
      <c r="J830" s="8">
        <f>IFERROR(INDEX(спр_Материалы!$B$2:$B$9000,MATCH($I830,спр_Материалы!$A$2:$A$9000,0)),"")</f>
        <v/>
      </c>
      <c r="K830">
        <f>IF($I830="","",IF($F830=IFERROR(INDEX(спр_Материалы!$G$2:$G$9000,MATCH($I830,спр_Материалы!$A$2:$A$9000,0)),""),"OK","!! не та группа"))</f>
        <v/>
      </c>
      <c r="L830" s="10">
        <f>IFERROR(INDEX(спр_Работы!$H$2:$H$6000,MATCH($C830,спр_Работы!$A$2:$A$6000,0))*(1-ДисконтТендер),0)</f>
        <v/>
      </c>
      <c r="M830" s="10">
        <f>IF($I830="",0,IFERROR(INDEX(спр_Материалы!$I$2:$I$9000,MATCH($I830,спр_Материалы!$A$2:$A$9000,0))*IF(INDEX(спр_Материалы!$J$2:$J$9000,MATCH($I830,спр_Материалы!$A$2:$A$9000,0))="USD",КурсUSD,IF(INDEX(спр_Материалы!$J$2:$J$9000,MATCH($I830,спр_Материалы!$A$2:$A$9000,0))="EUR",КурсEUR,1))*INDEX(спр_Материалы!$K$2:$K$9000,MATCH($I830,спр_Материалы!$A$2:$A$9000,0))*(1+IFERROR(INDEX(спр_Работы!$I$2:$I$6000,MATCH($C830,спр_Работы!$A$2:$A$6000,0))/100,0))*(1-ДисконтТендер),0))</f>
        <v/>
      </c>
      <c r="N830" s="10">
        <f>IF(AND($R830="да",$H830&lt;&gt;""),ROUND($H830*$L830,2),0)</f>
        <v/>
      </c>
      <c r="O830" s="10">
        <f>IF(AND($R830="да",$H830&lt;&gt;""),ROUND($H830*$M830,2),0)</f>
        <v/>
      </c>
      <c r="P830" s="10">
        <f>$N830+$O830</f>
        <v/>
      </c>
      <c r="Q830">
        <f>IFERROR(INDEX(спр_Работы!$J$2:$J$6000,MATCH($C830,спр_Работы!$A$2:$A$6000,0)),"")</f>
        <v/>
      </c>
      <c r="R830" t="inlineStr">
        <is>
          <t>да</t>
        </is>
      </c>
      <c r="T830">
        <f>IF(AND($P830&gt;0,$R830="да"),MAX($T$1:$T829)+1,"")</f>
        <v/>
      </c>
    </row>
    <row r="831">
      <c r="A831">
        <f>IFERROR(INDEX(спр_Работы!$D$2:$D$6000,MATCH($C831,спр_Работы!$A$2:$A$6000,0)),"")</f>
        <v/>
      </c>
      <c r="B831">
        <f>IFERROR(INDEX(спр_Работы!$F$2:$F$6000,MATCH($C831,спр_Работы!$A$2:$A$6000,0)),"")</f>
        <v/>
      </c>
      <c r="C831">
        <f>IFERROR(INDEX(спр_Работы!$A$2:$A$6000,830),"")</f>
        <v/>
      </c>
      <c r="D831" s="8">
        <f>IFERROR(INDEX(спр_Работы!$B$2:$B$6000,MATCH($C831,спр_Работы!$A$2:$A$6000,0)),"")</f>
        <v/>
      </c>
      <c r="E831">
        <f>IFERROR(INDEX(спр_Работы!$C$2:$C$6000,MATCH($C831,спр_Работы!$A$2:$A$6000,0)),"")</f>
        <v/>
      </c>
      <c r="F831">
        <f>IFERROR(INDEX(спр_Работы!$G$2:$G$6000,MATCH($C831,спр_Работы!$A$2:$A$6000,0)),"")</f>
        <v/>
      </c>
      <c r="G831">
        <f>IFERROR(INDEX(спр_Работы!$K$2:$K$6000,MATCH($C831,спр_Работы!$A$2:$A$6000,0)),"")</f>
        <v/>
      </c>
      <c r="H831" s="9" t="n"/>
      <c r="I831" s="9" t="n"/>
      <c r="J831" s="8">
        <f>IFERROR(INDEX(спр_Материалы!$B$2:$B$9000,MATCH($I831,спр_Материалы!$A$2:$A$9000,0)),"")</f>
        <v/>
      </c>
      <c r="K831">
        <f>IF($I831="","",IF($F831=IFERROR(INDEX(спр_Материалы!$G$2:$G$9000,MATCH($I831,спр_Материалы!$A$2:$A$9000,0)),""),"OK","!! не та группа"))</f>
        <v/>
      </c>
      <c r="L831" s="10">
        <f>IFERROR(INDEX(спр_Работы!$H$2:$H$6000,MATCH($C831,спр_Работы!$A$2:$A$6000,0))*(1-ДисконтТендер),0)</f>
        <v/>
      </c>
      <c r="M831" s="10">
        <f>IF($I831="",0,IFERROR(INDEX(спр_Материалы!$I$2:$I$9000,MATCH($I831,спр_Материалы!$A$2:$A$9000,0))*IF(INDEX(спр_Материалы!$J$2:$J$9000,MATCH($I831,спр_Материалы!$A$2:$A$9000,0))="USD",КурсUSD,IF(INDEX(спр_Материалы!$J$2:$J$9000,MATCH($I831,спр_Материалы!$A$2:$A$9000,0))="EUR",КурсEUR,1))*INDEX(спр_Материалы!$K$2:$K$9000,MATCH($I831,спр_Материалы!$A$2:$A$9000,0))*(1+IFERROR(INDEX(спр_Работы!$I$2:$I$6000,MATCH($C831,спр_Работы!$A$2:$A$6000,0))/100,0))*(1-ДисконтТендер),0))</f>
        <v/>
      </c>
      <c r="N831" s="10">
        <f>IF(AND($R831="да",$H831&lt;&gt;""),ROUND($H831*$L831,2),0)</f>
        <v/>
      </c>
      <c r="O831" s="10">
        <f>IF(AND($R831="да",$H831&lt;&gt;""),ROUND($H831*$M831,2),0)</f>
        <v/>
      </c>
      <c r="P831" s="10">
        <f>$N831+$O831</f>
        <v/>
      </c>
      <c r="Q831">
        <f>IFERROR(INDEX(спр_Работы!$J$2:$J$6000,MATCH($C831,спр_Работы!$A$2:$A$6000,0)),"")</f>
        <v/>
      </c>
      <c r="R831" t="inlineStr">
        <is>
          <t>да</t>
        </is>
      </c>
      <c r="T831">
        <f>IF(AND($P831&gt;0,$R831="да"),MAX($T$1:$T830)+1,"")</f>
        <v/>
      </c>
    </row>
    <row r="832">
      <c r="A832">
        <f>IFERROR(INDEX(спр_Работы!$D$2:$D$6000,MATCH($C832,спр_Работы!$A$2:$A$6000,0)),"")</f>
        <v/>
      </c>
      <c r="B832">
        <f>IFERROR(INDEX(спр_Работы!$F$2:$F$6000,MATCH($C832,спр_Работы!$A$2:$A$6000,0)),"")</f>
        <v/>
      </c>
      <c r="C832">
        <f>IFERROR(INDEX(спр_Работы!$A$2:$A$6000,831),"")</f>
        <v/>
      </c>
      <c r="D832" s="8">
        <f>IFERROR(INDEX(спр_Работы!$B$2:$B$6000,MATCH($C832,спр_Работы!$A$2:$A$6000,0)),"")</f>
        <v/>
      </c>
      <c r="E832">
        <f>IFERROR(INDEX(спр_Работы!$C$2:$C$6000,MATCH($C832,спр_Работы!$A$2:$A$6000,0)),"")</f>
        <v/>
      </c>
      <c r="F832">
        <f>IFERROR(INDEX(спр_Работы!$G$2:$G$6000,MATCH($C832,спр_Работы!$A$2:$A$6000,0)),"")</f>
        <v/>
      </c>
      <c r="G832">
        <f>IFERROR(INDEX(спр_Работы!$K$2:$K$6000,MATCH($C832,спр_Работы!$A$2:$A$6000,0)),"")</f>
        <v/>
      </c>
      <c r="H832" s="9" t="n"/>
      <c r="I832" s="9" t="n"/>
      <c r="J832" s="8">
        <f>IFERROR(INDEX(спр_Материалы!$B$2:$B$9000,MATCH($I832,спр_Материалы!$A$2:$A$9000,0)),"")</f>
        <v/>
      </c>
      <c r="K832">
        <f>IF($I832="","",IF($F832=IFERROR(INDEX(спр_Материалы!$G$2:$G$9000,MATCH($I832,спр_Материалы!$A$2:$A$9000,0)),""),"OK","!! не та группа"))</f>
        <v/>
      </c>
      <c r="L832" s="10">
        <f>IFERROR(INDEX(спр_Работы!$H$2:$H$6000,MATCH($C832,спр_Работы!$A$2:$A$6000,0))*(1-ДисконтТендер),0)</f>
        <v/>
      </c>
      <c r="M832" s="10">
        <f>IF($I832="",0,IFERROR(INDEX(спр_Материалы!$I$2:$I$9000,MATCH($I832,спр_Материалы!$A$2:$A$9000,0))*IF(INDEX(спр_Материалы!$J$2:$J$9000,MATCH($I832,спр_Материалы!$A$2:$A$9000,0))="USD",КурсUSD,IF(INDEX(спр_Материалы!$J$2:$J$9000,MATCH($I832,спр_Материалы!$A$2:$A$9000,0))="EUR",КурсEUR,1))*INDEX(спр_Материалы!$K$2:$K$9000,MATCH($I832,спр_Материалы!$A$2:$A$9000,0))*(1+IFERROR(INDEX(спр_Работы!$I$2:$I$6000,MATCH($C832,спр_Работы!$A$2:$A$6000,0))/100,0))*(1-ДисконтТендер),0))</f>
        <v/>
      </c>
      <c r="N832" s="10">
        <f>IF(AND($R832="да",$H832&lt;&gt;""),ROUND($H832*$L832,2),0)</f>
        <v/>
      </c>
      <c r="O832" s="10">
        <f>IF(AND($R832="да",$H832&lt;&gt;""),ROUND($H832*$M832,2),0)</f>
        <v/>
      </c>
      <c r="P832" s="10">
        <f>$N832+$O832</f>
        <v/>
      </c>
      <c r="Q832">
        <f>IFERROR(INDEX(спр_Работы!$J$2:$J$6000,MATCH($C832,спр_Работы!$A$2:$A$6000,0)),"")</f>
        <v/>
      </c>
      <c r="R832" t="inlineStr">
        <is>
          <t>да</t>
        </is>
      </c>
      <c r="T832">
        <f>IF(AND($P832&gt;0,$R832="да"),MAX($T$1:$T831)+1,"")</f>
        <v/>
      </c>
    </row>
    <row r="833">
      <c r="A833">
        <f>IFERROR(INDEX(спр_Работы!$D$2:$D$6000,MATCH($C833,спр_Работы!$A$2:$A$6000,0)),"")</f>
        <v/>
      </c>
      <c r="B833">
        <f>IFERROR(INDEX(спр_Работы!$F$2:$F$6000,MATCH($C833,спр_Работы!$A$2:$A$6000,0)),"")</f>
        <v/>
      </c>
      <c r="C833">
        <f>IFERROR(INDEX(спр_Работы!$A$2:$A$6000,832),"")</f>
        <v/>
      </c>
      <c r="D833" s="8">
        <f>IFERROR(INDEX(спр_Работы!$B$2:$B$6000,MATCH($C833,спр_Работы!$A$2:$A$6000,0)),"")</f>
        <v/>
      </c>
      <c r="E833">
        <f>IFERROR(INDEX(спр_Работы!$C$2:$C$6000,MATCH($C833,спр_Работы!$A$2:$A$6000,0)),"")</f>
        <v/>
      </c>
      <c r="F833">
        <f>IFERROR(INDEX(спр_Работы!$G$2:$G$6000,MATCH($C833,спр_Работы!$A$2:$A$6000,0)),"")</f>
        <v/>
      </c>
      <c r="G833">
        <f>IFERROR(INDEX(спр_Работы!$K$2:$K$6000,MATCH($C833,спр_Работы!$A$2:$A$6000,0)),"")</f>
        <v/>
      </c>
      <c r="H833" s="9" t="n"/>
      <c r="I833" s="9" t="n"/>
      <c r="J833" s="8">
        <f>IFERROR(INDEX(спр_Материалы!$B$2:$B$9000,MATCH($I833,спр_Материалы!$A$2:$A$9000,0)),"")</f>
        <v/>
      </c>
      <c r="K833">
        <f>IF($I833="","",IF($F833=IFERROR(INDEX(спр_Материалы!$G$2:$G$9000,MATCH($I833,спр_Материалы!$A$2:$A$9000,0)),""),"OK","!! не та группа"))</f>
        <v/>
      </c>
      <c r="L833" s="10">
        <f>IFERROR(INDEX(спр_Работы!$H$2:$H$6000,MATCH($C833,спр_Работы!$A$2:$A$6000,0))*(1-ДисконтТендер),0)</f>
        <v/>
      </c>
      <c r="M833" s="10">
        <f>IF($I833="",0,IFERROR(INDEX(спр_Материалы!$I$2:$I$9000,MATCH($I833,спр_Материалы!$A$2:$A$9000,0))*IF(INDEX(спр_Материалы!$J$2:$J$9000,MATCH($I833,спр_Материалы!$A$2:$A$9000,0))="USD",КурсUSD,IF(INDEX(спр_Материалы!$J$2:$J$9000,MATCH($I833,спр_Материалы!$A$2:$A$9000,0))="EUR",КурсEUR,1))*INDEX(спр_Материалы!$K$2:$K$9000,MATCH($I833,спр_Материалы!$A$2:$A$9000,0))*(1+IFERROR(INDEX(спр_Работы!$I$2:$I$6000,MATCH($C833,спр_Работы!$A$2:$A$6000,0))/100,0))*(1-ДисконтТендер),0))</f>
        <v/>
      </c>
      <c r="N833" s="10">
        <f>IF(AND($R833="да",$H833&lt;&gt;""),ROUND($H833*$L833,2),0)</f>
        <v/>
      </c>
      <c r="O833" s="10">
        <f>IF(AND($R833="да",$H833&lt;&gt;""),ROUND($H833*$M833,2),0)</f>
        <v/>
      </c>
      <c r="P833" s="10">
        <f>$N833+$O833</f>
        <v/>
      </c>
      <c r="Q833">
        <f>IFERROR(INDEX(спр_Работы!$J$2:$J$6000,MATCH($C833,спр_Работы!$A$2:$A$6000,0)),"")</f>
        <v/>
      </c>
      <c r="R833" t="inlineStr">
        <is>
          <t>да</t>
        </is>
      </c>
      <c r="T833">
        <f>IF(AND($P833&gt;0,$R833="да"),MAX($T$1:$T832)+1,"")</f>
        <v/>
      </c>
    </row>
    <row r="834">
      <c r="A834">
        <f>IFERROR(INDEX(спр_Работы!$D$2:$D$6000,MATCH($C834,спр_Работы!$A$2:$A$6000,0)),"")</f>
        <v/>
      </c>
      <c r="B834">
        <f>IFERROR(INDEX(спр_Работы!$F$2:$F$6000,MATCH($C834,спр_Работы!$A$2:$A$6000,0)),"")</f>
        <v/>
      </c>
      <c r="C834">
        <f>IFERROR(INDEX(спр_Работы!$A$2:$A$6000,833),"")</f>
        <v/>
      </c>
      <c r="D834" s="8">
        <f>IFERROR(INDEX(спр_Работы!$B$2:$B$6000,MATCH($C834,спр_Работы!$A$2:$A$6000,0)),"")</f>
        <v/>
      </c>
      <c r="E834">
        <f>IFERROR(INDEX(спр_Работы!$C$2:$C$6000,MATCH($C834,спр_Работы!$A$2:$A$6000,0)),"")</f>
        <v/>
      </c>
      <c r="F834">
        <f>IFERROR(INDEX(спр_Работы!$G$2:$G$6000,MATCH($C834,спр_Работы!$A$2:$A$6000,0)),"")</f>
        <v/>
      </c>
      <c r="G834">
        <f>IFERROR(INDEX(спр_Работы!$K$2:$K$6000,MATCH($C834,спр_Работы!$A$2:$A$6000,0)),"")</f>
        <v/>
      </c>
      <c r="H834" s="9" t="n"/>
      <c r="I834" s="9" t="n"/>
      <c r="J834" s="8">
        <f>IFERROR(INDEX(спр_Материалы!$B$2:$B$9000,MATCH($I834,спр_Материалы!$A$2:$A$9000,0)),"")</f>
        <v/>
      </c>
      <c r="K834">
        <f>IF($I834="","",IF($F834=IFERROR(INDEX(спр_Материалы!$G$2:$G$9000,MATCH($I834,спр_Материалы!$A$2:$A$9000,0)),""),"OK","!! не та группа"))</f>
        <v/>
      </c>
      <c r="L834" s="10">
        <f>IFERROR(INDEX(спр_Работы!$H$2:$H$6000,MATCH($C834,спр_Работы!$A$2:$A$6000,0))*(1-ДисконтТендер),0)</f>
        <v/>
      </c>
      <c r="M834" s="10">
        <f>IF($I834="",0,IFERROR(INDEX(спр_Материалы!$I$2:$I$9000,MATCH($I834,спр_Материалы!$A$2:$A$9000,0))*IF(INDEX(спр_Материалы!$J$2:$J$9000,MATCH($I834,спр_Материалы!$A$2:$A$9000,0))="USD",КурсUSD,IF(INDEX(спр_Материалы!$J$2:$J$9000,MATCH($I834,спр_Материалы!$A$2:$A$9000,0))="EUR",КурсEUR,1))*INDEX(спр_Материалы!$K$2:$K$9000,MATCH($I834,спр_Материалы!$A$2:$A$9000,0))*(1+IFERROR(INDEX(спр_Работы!$I$2:$I$6000,MATCH($C834,спр_Работы!$A$2:$A$6000,0))/100,0))*(1-ДисконтТендер),0))</f>
        <v/>
      </c>
      <c r="N834" s="10">
        <f>IF(AND($R834="да",$H834&lt;&gt;""),ROUND($H834*$L834,2),0)</f>
        <v/>
      </c>
      <c r="O834" s="10">
        <f>IF(AND($R834="да",$H834&lt;&gt;""),ROUND($H834*$M834,2),0)</f>
        <v/>
      </c>
      <c r="P834" s="10">
        <f>$N834+$O834</f>
        <v/>
      </c>
      <c r="Q834">
        <f>IFERROR(INDEX(спр_Работы!$J$2:$J$6000,MATCH($C834,спр_Работы!$A$2:$A$6000,0)),"")</f>
        <v/>
      </c>
      <c r="R834" t="inlineStr">
        <is>
          <t>да</t>
        </is>
      </c>
      <c r="T834">
        <f>IF(AND($P834&gt;0,$R834="да"),MAX($T$1:$T833)+1,"")</f>
        <v/>
      </c>
    </row>
    <row r="835">
      <c r="A835">
        <f>IFERROR(INDEX(спр_Работы!$D$2:$D$6000,MATCH($C835,спр_Работы!$A$2:$A$6000,0)),"")</f>
        <v/>
      </c>
      <c r="B835">
        <f>IFERROR(INDEX(спр_Работы!$F$2:$F$6000,MATCH($C835,спр_Работы!$A$2:$A$6000,0)),"")</f>
        <v/>
      </c>
      <c r="C835">
        <f>IFERROR(INDEX(спр_Работы!$A$2:$A$6000,834),"")</f>
        <v/>
      </c>
      <c r="D835" s="8">
        <f>IFERROR(INDEX(спр_Работы!$B$2:$B$6000,MATCH($C835,спр_Работы!$A$2:$A$6000,0)),"")</f>
        <v/>
      </c>
      <c r="E835">
        <f>IFERROR(INDEX(спр_Работы!$C$2:$C$6000,MATCH($C835,спр_Работы!$A$2:$A$6000,0)),"")</f>
        <v/>
      </c>
      <c r="F835">
        <f>IFERROR(INDEX(спр_Работы!$G$2:$G$6000,MATCH($C835,спр_Работы!$A$2:$A$6000,0)),"")</f>
        <v/>
      </c>
      <c r="G835">
        <f>IFERROR(INDEX(спр_Работы!$K$2:$K$6000,MATCH($C835,спр_Работы!$A$2:$A$6000,0)),"")</f>
        <v/>
      </c>
      <c r="H835" s="9" t="n"/>
      <c r="I835" s="9" t="n"/>
      <c r="J835" s="8">
        <f>IFERROR(INDEX(спр_Материалы!$B$2:$B$9000,MATCH($I835,спр_Материалы!$A$2:$A$9000,0)),"")</f>
        <v/>
      </c>
      <c r="K835">
        <f>IF($I835="","",IF($F835=IFERROR(INDEX(спр_Материалы!$G$2:$G$9000,MATCH($I835,спр_Материалы!$A$2:$A$9000,0)),""),"OK","!! не та группа"))</f>
        <v/>
      </c>
      <c r="L835" s="10">
        <f>IFERROR(INDEX(спр_Работы!$H$2:$H$6000,MATCH($C835,спр_Работы!$A$2:$A$6000,0))*(1-ДисконтТендер),0)</f>
        <v/>
      </c>
      <c r="M835" s="10">
        <f>IF($I835="",0,IFERROR(INDEX(спр_Материалы!$I$2:$I$9000,MATCH($I835,спр_Материалы!$A$2:$A$9000,0))*IF(INDEX(спр_Материалы!$J$2:$J$9000,MATCH($I835,спр_Материалы!$A$2:$A$9000,0))="USD",КурсUSD,IF(INDEX(спр_Материалы!$J$2:$J$9000,MATCH($I835,спр_Материалы!$A$2:$A$9000,0))="EUR",КурсEUR,1))*INDEX(спр_Материалы!$K$2:$K$9000,MATCH($I835,спр_Материалы!$A$2:$A$9000,0))*(1+IFERROR(INDEX(спр_Работы!$I$2:$I$6000,MATCH($C835,спр_Работы!$A$2:$A$6000,0))/100,0))*(1-ДисконтТендер),0))</f>
        <v/>
      </c>
      <c r="N835" s="10">
        <f>IF(AND($R835="да",$H835&lt;&gt;""),ROUND($H835*$L835,2),0)</f>
        <v/>
      </c>
      <c r="O835" s="10">
        <f>IF(AND($R835="да",$H835&lt;&gt;""),ROUND($H835*$M835,2),0)</f>
        <v/>
      </c>
      <c r="P835" s="10">
        <f>$N835+$O835</f>
        <v/>
      </c>
      <c r="Q835">
        <f>IFERROR(INDEX(спр_Работы!$J$2:$J$6000,MATCH($C835,спр_Работы!$A$2:$A$6000,0)),"")</f>
        <v/>
      </c>
      <c r="R835" t="inlineStr">
        <is>
          <t>да</t>
        </is>
      </c>
      <c r="T835">
        <f>IF(AND($P835&gt;0,$R835="да"),MAX($T$1:$T834)+1,"")</f>
        <v/>
      </c>
    </row>
    <row r="836">
      <c r="A836">
        <f>IFERROR(INDEX(спр_Работы!$D$2:$D$6000,MATCH($C836,спр_Работы!$A$2:$A$6000,0)),"")</f>
        <v/>
      </c>
      <c r="B836">
        <f>IFERROR(INDEX(спр_Работы!$F$2:$F$6000,MATCH($C836,спр_Работы!$A$2:$A$6000,0)),"")</f>
        <v/>
      </c>
      <c r="C836">
        <f>IFERROR(INDEX(спр_Работы!$A$2:$A$6000,835),"")</f>
        <v/>
      </c>
      <c r="D836" s="8">
        <f>IFERROR(INDEX(спр_Работы!$B$2:$B$6000,MATCH($C836,спр_Работы!$A$2:$A$6000,0)),"")</f>
        <v/>
      </c>
      <c r="E836">
        <f>IFERROR(INDEX(спр_Работы!$C$2:$C$6000,MATCH($C836,спр_Работы!$A$2:$A$6000,0)),"")</f>
        <v/>
      </c>
      <c r="F836">
        <f>IFERROR(INDEX(спр_Работы!$G$2:$G$6000,MATCH($C836,спр_Работы!$A$2:$A$6000,0)),"")</f>
        <v/>
      </c>
      <c r="G836">
        <f>IFERROR(INDEX(спр_Работы!$K$2:$K$6000,MATCH($C836,спр_Работы!$A$2:$A$6000,0)),"")</f>
        <v/>
      </c>
      <c r="H836" s="9" t="n"/>
      <c r="I836" s="9" t="n"/>
      <c r="J836" s="8">
        <f>IFERROR(INDEX(спр_Материалы!$B$2:$B$9000,MATCH($I836,спр_Материалы!$A$2:$A$9000,0)),"")</f>
        <v/>
      </c>
      <c r="K836">
        <f>IF($I836="","",IF($F836=IFERROR(INDEX(спр_Материалы!$G$2:$G$9000,MATCH($I836,спр_Материалы!$A$2:$A$9000,0)),""),"OK","!! не та группа"))</f>
        <v/>
      </c>
      <c r="L836" s="10">
        <f>IFERROR(INDEX(спр_Работы!$H$2:$H$6000,MATCH($C836,спр_Работы!$A$2:$A$6000,0))*(1-ДисконтТендер),0)</f>
        <v/>
      </c>
      <c r="M836" s="10">
        <f>IF($I836="",0,IFERROR(INDEX(спр_Материалы!$I$2:$I$9000,MATCH($I836,спр_Материалы!$A$2:$A$9000,0))*IF(INDEX(спр_Материалы!$J$2:$J$9000,MATCH($I836,спр_Материалы!$A$2:$A$9000,0))="USD",КурсUSD,IF(INDEX(спр_Материалы!$J$2:$J$9000,MATCH($I836,спр_Материалы!$A$2:$A$9000,0))="EUR",КурсEUR,1))*INDEX(спр_Материалы!$K$2:$K$9000,MATCH($I836,спр_Материалы!$A$2:$A$9000,0))*(1+IFERROR(INDEX(спр_Работы!$I$2:$I$6000,MATCH($C836,спр_Работы!$A$2:$A$6000,0))/100,0))*(1-ДисконтТендер),0))</f>
        <v/>
      </c>
      <c r="N836" s="10">
        <f>IF(AND($R836="да",$H836&lt;&gt;""),ROUND($H836*$L836,2),0)</f>
        <v/>
      </c>
      <c r="O836" s="10">
        <f>IF(AND($R836="да",$H836&lt;&gt;""),ROUND($H836*$M836,2),0)</f>
        <v/>
      </c>
      <c r="P836" s="10">
        <f>$N836+$O836</f>
        <v/>
      </c>
      <c r="Q836">
        <f>IFERROR(INDEX(спр_Работы!$J$2:$J$6000,MATCH($C836,спр_Работы!$A$2:$A$6000,0)),"")</f>
        <v/>
      </c>
      <c r="R836" t="inlineStr">
        <is>
          <t>да</t>
        </is>
      </c>
      <c r="T836">
        <f>IF(AND($P836&gt;0,$R836="да"),MAX($T$1:$T835)+1,"")</f>
        <v/>
      </c>
    </row>
    <row r="837">
      <c r="A837">
        <f>IFERROR(INDEX(спр_Работы!$D$2:$D$6000,MATCH($C837,спр_Работы!$A$2:$A$6000,0)),"")</f>
        <v/>
      </c>
      <c r="B837">
        <f>IFERROR(INDEX(спр_Работы!$F$2:$F$6000,MATCH($C837,спр_Работы!$A$2:$A$6000,0)),"")</f>
        <v/>
      </c>
      <c r="C837">
        <f>IFERROR(INDEX(спр_Работы!$A$2:$A$6000,836),"")</f>
        <v/>
      </c>
      <c r="D837" s="8">
        <f>IFERROR(INDEX(спр_Работы!$B$2:$B$6000,MATCH($C837,спр_Работы!$A$2:$A$6000,0)),"")</f>
        <v/>
      </c>
      <c r="E837">
        <f>IFERROR(INDEX(спр_Работы!$C$2:$C$6000,MATCH($C837,спр_Работы!$A$2:$A$6000,0)),"")</f>
        <v/>
      </c>
      <c r="F837">
        <f>IFERROR(INDEX(спр_Работы!$G$2:$G$6000,MATCH($C837,спр_Работы!$A$2:$A$6000,0)),"")</f>
        <v/>
      </c>
      <c r="G837">
        <f>IFERROR(INDEX(спр_Работы!$K$2:$K$6000,MATCH($C837,спр_Работы!$A$2:$A$6000,0)),"")</f>
        <v/>
      </c>
      <c r="H837" s="9" t="n"/>
      <c r="I837" s="9" t="n"/>
      <c r="J837" s="8">
        <f>IFERROR(INDEX(спр_Материалы!$B$2:$B$9000,MATCH($I837,спр_Материалы!$A$2:$A$9000,0)),"")</f>
        <v/>
      </c>
      <c r="K837">
        <f>IF($I837="","",IF($F837=IFERROR(INDEX(спр_Материалы!$G$2:$G$9000,MATCH($I837,спр_Материалы!$A$2:$A$9000,0)),""),"OK","!! не та группа"))</f>
        <v/>
      </c>
      <c r="L837" s="10">
        <f>IFERROR(INDEX(спр_Работы!$H$2:$H$6000,MATCH($C837,спр_Работы!$A$2:$A$6000,0))*(1-ДисконтТендер),0)</f>
        <v/>
      </c>
      <c r="M837" s="10">
        <f>IF($I837="",0,IFERROR(INDEX(спр_Материалы!$I$2:$I$9000,MATCH($I837,спр_Материалы!$A$2:$A$9000,0))*IF(INDEX(спр_Материалы!$J$2:$J$9000,MATCH($I837,спр_Материалы!$A$2:$A$9000,0))="USD",КурсUSD,IF(INDEX(спр_Материалы!$J$2:$J$9000,MATCH($I837,спр_Материалы!$A$2:$A$9000,0))="EUR",КурсEUR,1))*INDEX(спр_Материалы!$K$2:$K$9000,MATCH($I837,спр_Материалы!$A$2:$A$9000,0))*(1+IFERROR(INDEX(спр_Работы!$I$2:$I$6000,MATCH($C837,спр_Работы!$A$2:$A$6000,0))/100,0))*(1-ДисконтТендер),0))</f>
        <v/>
      </c>
      <c r="N837" s="10">
        <f>IF(AND($R837="да",$H837&lt;&gt;""),ROUND($H837*$L837,2),0)</f>
        <v/>
      </c>
      <c r="O837" s="10">
        <f>IF(AND($R837="да",$H837&lt;&gt;""),ROUND($H837*$M837,2),0)</f>
        <v/>
      </c>
      <c r="P837" s="10">
        <f>$N837+$O837</f>
        <v/>
      </c>
      <c r="Q837">
        <f>IFERROR(INDEX(спр_Работы!$J$2:$J$6000,MATCH($C837,спр_Работы!$A$2:$A$6000,0)),"")</f>
        <v/>
      </c>
      <c r="R837" t="inlineStr">
        <is>
          <t>да</t>
        </is>
      </c>
      <c r="T837">
        <f>IF(AND($P837&gt;0,$R837="да"),MAX($T$1:$T836)+1,"")</f>
        <v/>
      </c>
    </row>
    <row r="838">
      <c r="A838">
        <f>IFERROR(INDEX(спр_Работы!$D$2:$D$6000,MATCH($C838,спр_Работы!$A$2:$A$6000,0)),"")</f>
        <v/>
      </c>
      <c r="B838">
        <f>IFERROR(INDEX(спр_Работы!$F$2:$F$6000,MATCH($C838,спр_Работы!$A$2:$A$6000,0)),"")</f>
        <v/>
      </c>
      <c r="C838">
        <f>IFERROR(INDEX(спр_Работы!$A$2:$A$6000,837),"")</f>
        <v/>
      </c>
      <c r="D838" s="8">
        <f>IFERROR(INDEX(спр_Работы!$B$2:$B$6000,MATCH($C838,спр_Работы!$A$2:$A$6000,0)),"")</f>
        <v/>
      </c>
      <c r="E838">
        <f>IFERROR(INDEX(спр_Работы!$C$2:$C$6000,MATCH($C838,спр_Работы!$A$2:$A$6000,0)),"")</f>
        <v/>
      </c>
      <c r="F838">
        <f>IFERROR(INDEX(спр_Работы!$G$2:$G$6000,MATCH($C838,спр_Работы!$A$2:$A$6000,0)),"")</f>
        <v/>
      </c>
      <c r="G838">
        <f>IFERROR(INDEX(спр_Работы!$K$2:$K$6000,MATCH($C838,спр_Работы!$A$2:$A$6000,0)),"")</f>
        <v/>
      </c>
      <c r="H838" s="9" t="n"/>
      <c r="I838" s="9" t="n"/>
      <c r="J838" s="8">
        <f>IFERROR(INDEX(спр_Материалы!$B$2:$B$9000,MATCH($I838,спр_Материалы!$A$2:$A$9000,0)),"")</f>
        <v/>
      </c>
      <c r="K838">
        <f>IF($I838="","",IF($F838=IFERROR(INDEX(спр_Материалы!$G$2:$G$9000,MATCH($I838,спр_Материалы!$A$2:$A$9000,0)),""),"OK","!! не та группа"))</f>
        <v/>
      </c>
      <c r="L838" s="10">
        <f>IFERROR(INDEX(спр_Работы!$H$2:$H$6000,MATCH($C838,спр_Работы!$A$2:$A$6000,0))*(1-ДисконтТендер),0)</f>
        <v/>
      </c>
      <c r="M838" s="10">
        <f>IF($I838="",0,IFERROR(INDEX(спр_Материалы!$I$2:$I$9000,MATCH($I838,спр_Материалы!$A$2:$A$9000,0))*IF(INDEX(спр_Материалы!$J$2:$J$9000,MATCH($I838,спр_Материалы!$A$2:$A$9000,0))="USD",КурсUSD,IF(INDEX(спр_Материалы!$J$2:$J$9000,MATCH($I838,спр_Материалы!$A$2:$A$9000,0))="EUR",КурсEUR,1))*INDEX(спр_Материалы!$K$2:$K$9000,MATCH($I838,спр_Материалы!$A$2:$A$9000,0))*(1+IFERROR(INDEX(спр_Работы!$I$2:$I$6000,MATCH($C838,спр_Работы!$A$2:$A$6000,0))/100,0))*(1-ДисконтТендер),0))</f>
        <v/>
      </c>
      <c r="N838" s="10">
        <f>IF(AND($R838="да",$H838&lt;&gt;""),ROUND($H838*$L838,2),0)</f>
        <v/>
      </c>
      <c r="O838" s="10">
        <f>IF(AND($R838="да",$H838&lt;&gt;""),ROUND($H838*$M838,2),0)</f>
        <v/>
      </c>
      <c r="P838" s="10">
        <f>$N838+$O838</f>
        <v/>
      </c>
      <c r="Q838">
        <f>IFERROR(INDEX(спр_Работы!$J$2:$J$6000,MATCH($C838,спр_Работы!$A$2:$A$6000,0)),"")</f>
        <v/>
      </c>
      <c r="R838" t="inlineStr">
        <is>
          <t>да</t>
        </is>
      </c>
      <c r="T838">
        <f>IF(AND($P838&gt;0,$R838="да"),MAX($T$1:$T837)+1,"")</f>
        <v/>
      </c>
    </row>
    <row r="839">
      <c r="A839">
        <f>IFERROR(INDEX(спр_Работы!$D$2:$D$6000,MATCH($C839,спр_Работы!$A$2:$A$6000,0)),"")</f>
        <v/>
      </c>
      <c r="B839">
        <f>IFERROR(INDEX(спр_Работы!$F$2:$F$6000,MATCH($C839,спр_Работы!$A$2:$A$6000,0)),"")</f>
        <v/>
      </c>
      <c r="C839">
        <f>IFERROR(INDEX(спр_Работы!$A$2:$A$6000,838),"")</f>
        <v/>
      </c>
      <c r="D839" s="8">
        <f>IFERROR(INDEX(спр_Работы!$B$2:$B$6000,MATCH($C839,спр_Работы!$A$2:$A$6000,0)),"")</f>
        <v/>
      </c>
      <c r="E839">
        <f>IFERROR(INDEX(спр_Работы!$C$2:$C$6000,MATCH($C839,спр_Работы!$A$2:$A$6000,0)),"")</f>
        <v/>
      </c>
      <c r="F839">
        <f>IFERROR(INDEX(спр_Работы!$G$2:$G$6000,MATCH($C839,спр_Работы!$A$2:$A$6000,0)),"")</f>
        <v/>
      </c>
      <c r="G839">
        <f>IFERROR(INDEX(спр_Работы!$K$2:$K$6000,MATCH($C839,спр_Работы!$A$2:$A$6000,0)),"")</f>
        <v/>
      </c>
      <c r="H839" s="9" t="n"/>
      <c r="I839" s="9" t="n"/>
      <c r="J839" s="8">
        <f>IFERROR(INDEX(спр_Материалы!$B$2:$B$9000,MATCH($I839,спр_Материалы!$A$2:$A$9000,0)),"")</f>
        <v/>
      </c>
      <c r="K839">
        <f>IF($I839="","",IF($F839=IFERROR(INDEX(спр_Материалы!$G$2:$G$9000,MATCH($I839,спр_Материалы!$A$2:$A$9000,0)),""),"OK","!! не та группа"))</f>
        <v/>
      </c>
      <c r="L839" s="10">
        <f>IFERROR(INDEX(спр_Работы!$H$2:$H$6000,MATCH($C839,спр_Работы!$A$2:$A$6000,0))*(1-ДисконтТендер),0)</f>
        <v/>
      </c>
      <c r="M839" s="10">
        <f>IF($I839="",0,IFERROR(INDEX(спр_Материалы!$I$2:$I$9000,MATCH($I839,спр_Материалы!$A$2:$A$9000,0))*IF(INDEX(спр_Материалы!$J$2:$J$9000,MATCH($I839,спр_Материалы!$A$2:$A$9000,0))="USD",КурсUSD,IF(INDEX(спр_Материалы!$J$2:$J$9000,MATCH($I839,спр_Материалы!$A$2:$A$9000,0))="EUR",КурсEUR,1))*INDEX(спр_Материалы!$K$2:$K$9000,MATCH($I839,спр_Материалы!$A$2:$A$9000,0))*(1+IFERROR(INDEX(спр_Работы!$I$2:$I$6000,MATCH($C839,спр_Работы!$A$2:$A$6000,0))/100,0))*(1-ДисконтТендер),0))</f>
        <v/>
      </c>
      <c r="N839" s="10">
        <f>IF(AND($R839="да",$H839&lt;&gt;""),ROUND($H839*$L839,2),0)</f>
        <v/>
      </c>
      <c r="O839" s="10">
        <f>IF(AND($R839="да",$H839&lt;&gt;""),ROUND($H839*$M839,2),0)</f>
        <v/>
      </c>
      <c r="P839" s="10">
        <f>$N839+$O839</f>
        <v/>
      </c>
      <c r="Q839">
        <f>IFERROR(INDEX(спр_Работы!$J$2:$J$6000,MATCH($C839,спр_Работы!$A$2:$A$6000,0)),"")</f>
        <v/>
      </c>
      <c r="R839" t="inlineStr">
        <is>
          <t>да</t>
        </is>
      </c>
      <c r="T839">
        <f>IF(AND($P839&gt;0,$R839="да"),MAX($T$1:$T838)+1,"")</f>
        <v/>
      </c>
    </row>
    <row r="840">
      <c r="A840">
        <f>IFERROR(INDEX(спр_Работы!$D$2:$D$6000,MATCH($C840,спр_Работы!$A$2:$A$6000,0)),"")</f>
        <v/>
      </c>
      <c r="B840">
        <f>IFERROR(INDEX(спр_Работы!$F$2:$F$6000,MATCH($C840,спр_Работы!$A$2:$A$6000,0)),"")</f>
        <v/>
      </c>
      <c r="C840">
        <f>IFERROR(INDEX(спр_Работы!$A$2:$A$6000,839),"")</f>
        <v/>
      </c>
      <c r="D840" s="8">
        <f>IFERROR(INDEX(спр_Работы!$B$2:$B$6000,MATCH($C840,спр_Работы!$A$2:$A$6000,0)),"")</f>
        <v/>
      </c>
      <c r="E840">
        <f>IFERROR(INDEX(спр_Работы!$C$2:$C$6000,MATCH($C840,спр_Работы!$A$2:$A$6000,0)),"")</f>
        <v/>
      </c>
      <c r="F840">
        <f>IFERROR(INDEX(спр_Работы!$G$2:$G$6000,MATCH($C840,спр_Работы!$A$2:$A$6000,0)),"")</f>
        <v/>
      </c>
      <c r="G840">
        <f>IFERROR(INDEX(спр_Работы!$K$2:$K$6000,MATCH($C840,спр_Работы!$A$2:$A$6000,0)),"")</f>
        <v/>
      </c>
      <c r="H840" s="9" t="n"/>
      <c r="I840" s="9" t="n"/>
      <c r="J840" s="8">
        <f>IFERROR(INDEX(спр_Материалы!$B$2:$B$9000,MATCH($I840,спр_Материалы!$A$2:$A$9000,0)),"")</f>
        <v/>
      </c>
      <c r="K840">
        <f>IF($I840="","",IF($F840=IFERROR(INDEX(спр_Материалы!$G$2:$G$9000,MATCH($I840,спр_Материалы!$A$2:$A$9000,0)),""),"OK","!! не та группа"))</f>
        <v/>
      </c>
      <c r="L840" s="10">
        <f>IFERROR(INDEX(спр_Работы!$H$2:$H$6000,MATCH($C840,спр_Работы!$A$2:$A$6000,0))*(1-ДисконтТендер),0)</f>
        <v/>
      </c>
      <c r="M840" s="10">
        <f>IF($I840="",0,IFERROR(INDEX(спр_Материалы!$I$2:$I$9000,MATCH($I840,спр_Материалы!$A$2:$A$9000,0))*IF(INDEX(спр_Материалы!$J$2:$J$9000,MATCH($I840,спр_Материалы!$A$2:$A$9000,0))="USD",КурсUSD,IF(INDEX(спр_Материалы!$J$2:$J$9000,MATCH($I840,спр_Материалы!$A$2:$A$9000,0))="EUR",КурсEUR,1))*INDEX(спр_Материалы!$K$2:$K$9000,MATCH($I840,спр_Материалы!$A$2:$A$9000,0))*(1+IFERROR(INDEX(спр_Работы!$I$2:$I$6000,MATCH($C840,спр_Работы!$A$2:$A$6000,0))/100,0))*(1-ДисконтТендер),0))</f>
        <v/>
      </c>
      <c r="N840" s="10">
        <f>IF(AND($R840="да",$H840&lt;&gt;""),ROUND($H840*$L840,2),0)</f>
        <v/>
      </c>
      <c r="O840" s="10">
        <f>IF(AND($R840="да",$H840&lt;&gt;""),ROUND($H840*$M840,2),0)</f>
        <v/>
      </c>
      <c r="P840" s="10">
        <f>$N840+$O840</f>
        <v/>
      </c>
      <c r="Q840">
        <f>IFERROR(INDEX(спр_Работы!$J$2:$J$6000,MATCH($C840,спр_Работы!$A$2:$A$6000,0)),"")</f>
        <v/>
      </c>
      <c r="R840" t="inlineStr">
        <is>
          <t>да</t>
        </is>
      </c>
      <c r="T840">
        <f>IF(AND($P840&gt;0,$R840="да"),MAX($T$1:$T839)+1,"")</f>
        <v/>
      </c>
    </row>
    <row r="841">
      <c r="A841">
        <f>IFERROR(INDEX(спр_Работы!$D$2:$D$6000,MATCH($C841,спр_Работы!$A$2:$A$6000,0)),"")</f>
        <v/>
      </c>
      <c r="B841">
        <f>IFERROR(INDEX(спр_Работы!$F$2:$F$6000,MATCH($C841,спр_Работы!$A$2:$A$6000,0)),"")</f>
        <v/>
      </c>
      <c r="C841">
        <f>IFERROR(INDEX(спр_Работы!$A$2:$A$6000,840),"")</f>
        <v/>
      </c>
      <c r="D841" s="8">
        <f>IFERROR(INDEX(спр_Работы!$B$2:$B$6000,MATCH($C841,спр_Работы!$A$2:$A$6000,0)),"")</f>
        <v/>
      </c>
      <c r="E841">
        <f>IFERROR(INDEX(спр_Работы!$C$2:$C$6000,MATCH($C841,спр_Работы!$A$2:$A$6000,0)),"")</f>
        <v/>
      </c>
      <c r="F841">
        <f>IFERROR(INDEX(спр_Работы!$G$2:$G$6000,MATCH($C841,спр_Работы!$A$2:$A$6000,0)),"")</f>
        <v/>
      </c>
      <c r="G841">
        <f>IFERROR(INDEX(спр_Работы!$K$2:$K$6000,MATCH($C841,спр_Работы!$A$2:$A$6000,0)),"")</f>
        <v/>
      </c>
      <c r="H841" s="9" t="n"/>
      <c r="I841" s="9" t="n"/>
      <c r="J841" s="8">
        <f>IFERROR(INDEX(спр_Материалы!$B$2:$B$9000,MATCH($I841,спр_Материалы!$A$2:$A$9000,0)),"")</f>
        <v/>
      </c>
      <c r="K841">
        <f>IF($I841="","",IF($F841=IFERROR(INDEX(спр_Материалы!$G$2:$G$9000,MATCH($I841,спр_Материалы!$A$2:$A$9000,0)),""),"OK","!! не та группа"))</f>
        <v/>
      </c>
      <c r="L841" s="10">
        <f>IFERROR(INDEX(спр_Работы!$H$2:$H$6000,MATCH($C841,спр_Работы!$A$2:$A$6000,0))*(1-ДисконтТендер),0)</f>
        <v/>
      </c>
      <c r="M841" s="10">
        <f>IF($I841="",0,IFERROR(INDEX(спр_Материалы!$I$2:$I$9000,MATCH($I841,спр_Материалы!$A$2:$A$9000,0))*IF(INDEX(спр_Материалы!$J$2:$J$9000,MATCH($I841,спр_Материалы!$A$2:$A$9000,0))="USD",КурсUSD,IF(INDEX(спр_Материалы!$J$2:$J$9000,MATCH($I841,спр_Материалы!$A$2:$A$9000,0))="EUR",КурсEUR,1))*INDEX(спр_Материалы!$K$2:$K$9000,MATCH($I841,спр_Материалы!$A$2:$A$9000,0))*(1+IFERROR(INDEX(спр_Работы!$I$2:$I$6000,MATCH($C841,спр_Работы!$A$2:$A$6000,0))/100,0))*(1-ДисконтТендер),0))</f>
        <v/>
      </c>
      <c r="N841" s="10">
        <f>IF(AND($R841="да",$H841&lt;&gt;""),ROUND($H841*$L841,2),0)</f>
        <v/>
      </c>
      <c r="O841" s="10">
        <f>IF(AND($R841="да",$H841&lt;&gt;""),ROUND($H841*$M841,2),0)</f>
        <v/>
      </c>
      <c r="P841" s="10">
        <f>$N841+$O841</f>
        <v/>
      </c>
      <c r="Q841">
        <f>IFERROR(INDEX(спр_Работы!$J$2:$J$6000,MATCH($C841,спр_Работы!$A$2:$A$6000,0)),"")</f>
        <v/>
      </c>
      <c r="R841" t="inlineStr">
        <is>
          <t>да</t>
        </is>
      </c>
      <c r="T841">
        <f>IF(AND($P841&gt;0,$R841="да"),MAX($T$1:$T840)+1,"")</f>
        <v/>
      </c>
    </row>
    <row r="842">
      <c r="A842">
        <f>IFERROR(INDEX(спр_Работы!$D$2:$D$6000,MATCH($C842,спр_Работы!$A$2:$A$6000,0)),"")</f>
        <v/>
      </c>
      <c r="B842">
        <f>IFERROR(INDEX(спр_Работы!$F$2:$F$6000,MATCH($C842,спр_Работы!$A$2:$A$6000,0)),"")</f>
        <v/>
      </c>
      <c r="C842">
        <f>IFERROR(INDEX(спр_Работы!$A$2:$A$6000,841),"")</f>
        <v/>
      </c>
      <c r="D842" s="8">
        <f>IFERROR(INDEX(спр_Работы!$B$2:$B$6000,MATCH($C842,спр_Работы!$A$2:$A$6000,0)),"")</f>
        <v/>
      </c>
      <c r="E842">
        <f>IFERROR(INDEX(спр_Работы!$C$2:$C$6000,MATCH($C842,спр_Работы!$A$2:$A$6000,0)),"")</f>
        <v/>
      </c>
      <c r="F842">
        <f>IFERROR(INDEX(спр_Работы!$G$2:$G$6000,MATCH($C842,спр_Работы!$A$2:$A$6000,0)),"")</f>
        <v/>
      </c>
      <c r="G842">
        <f>IFERROR(INDEX(спр_Работы!$K$2:$K$6000,MATCH($C842,спр_Работы!$A$2:$A$6000,0)),"")</f>
        <v/>
      </c>
      <c r="H842" s="9" t="n"/>
      <c r="I842" s="9" t="n"/>
      <c r="J842" s="8">
        <f>IFERROR(INDEX(спр_Материалы!$B$2:$B$9000,MATCH($I842,спр_Материалы!$A$2:$A$9000,0)),"")</f>
        <v/>
      </c>
      <c r="K842">
        <f>IF($I842="","",IF($F842=IFERROR(INDEX(спр_Материалы!$G$2:$G$9000,MATCH($I842,спр_Материалы!$A$2:$A$9000,0)),""),"OK","!! не та группа"))</f>
        <v/>
      </c>
      <c r="L842" s="10">
        <f>IFERROR(INDEX(спр_Работы!$H$2:$H$6000,MATCH($C842,спр_Работы!$A$2:$A$6000,0))*(1-ДисконтТендер),0)</f>
        <v/>
      </c>
      <c r="M842" s="10">
        <f>IF($I842="",0,IFERROR(INDEX(спр_Материалы!$I$2:$I$9000,MATCH($I842,спр_Материалы!$A$2:$A$9000,0))*IF(INDEX(спр_Материалы!$J$2:$J$9000,MATCH($I842,спр_Материалы!$A$2:$A$9000,0))="USD",КурсUSD,IF(INDEX(спр_Материалы!$J$2:$J$9000,MATCH($I842,спр_Материалы!$A$2:$A$9000,0))="EUR",КурсEUR,1))*INDEX(спр_Материалы!$K$2:$K$9000,MATCH($I842,спр_Материалы!$A$2:$A$9000,0))*(1+IFERROR(INDEX(спр_Работы!$I$2:$I$6000,MATCH($C842,спр_Работы!$A$2:$A$6000,0))/100,0))*(1-ДисконтТендер),0))</f>
        <v/>
      </c>
      <c r="N842" s="10">
        <f>IF(AND($R842="да",$H842&lt;&gt;""),ROUND($H842*$L842,2),0)</f>
        <v/>
      </c>
      <c r="O842" s="10">
        <f>IF(AND($R842="да",$H842&lt;&gt;""),ROUND($H842*$M842,2),0)</f>
        <v/>
      </c>
      <c r="P842" s="10">
        <f>$N842+$O842</f>
        <v/>
      </c>
      <c r="Q842">
        <f>IFERROR(INDEX(спр_Работы!$J$2:$J$6000,MATCH($C842,спр_Работы!$A$2:$A$6000,0)),"")</f>
        <v/>
      </c>
      <c r="R842" t="inlineStr">
        <is>
          <t>да</t>
        </is>
      </c>
      <c r="T842">
        <f>IF(AND($P842&gt;0,$R842="да"),MAX($T$1:$T841)+1,"")</f>
        <v/>
      </c>
    </row>
    <row r="843">
      <c r="A843">
        <f>IFERROR(INDEX(спр_Работы!$D$2:$D$6000,MATCH($C843,спр_Работы!$A$2:$A$6000,0)),"")</f>
        <v/>
      </c>
      <c r="B843">
        <f>IFERROR(INDEX(спр_Работы!$F$2:$F$6000,MATCH($C843,спр_Работы!$A$2:$A$6000,0)),"")</f>
        <v/>
      </c>
      <c r="C843">
        <f>IFERROR(INDEX(спр_Работы!$A$2:$A$6000,842),"")</f>
        <v/>
      </c>
      <c r="D843" s="8">
        <f>IFERROR(INDEX(спр_Работы!$B$2:$B$6000,MATCH($C843,спр_Работы!$A$2:$A$6000,0)),"")</f>
        <v/>
      </c>
      <c r="E843">
        <f>IFERROR(INDEX(спр_Работы!$C$2:$C$6000,MATCH($C843,спр_Работы!$A$2:$A$6000,0)),"")</f>
        <v/>
      </c>
      <c r="F843">
        <f>IFERROR(INDEX(спр_Работы!$G$2:$G$6000,MATCH($C843,спр_Работы!$A$2:$A$6000,0)),"")</f>
        <v/>
      </c>
      <c r="G843">
        <f>IFERROR(INDEX(спр_Работы!$K$2:$K$6000,MATCH($C843,спр_Работы!$A$2:$A$6000,0)),"")</f>
        <v/>
      </c>
      <c r="H843" s="9" t="n"/>
      <c r="I843" s="9" t="n"/>
      <c r="J843" s="8">
        <f>IFERROR(INDEX(спр_Материалы!$B$2:$B$9000,MATCH($I843,спр_Материалы!$A$2:$A$9000,0)),"")</f>
        <v/>
      </c>
      <c r="K843">
        <f>IF($I843="","",IF($F843=IFERROR(INDEX(спр_Материалы!$G$2:$G$9000,MATCH($I843,спр_Материалы!$A$2:$A$9000,0)),""),"OK","!! не та группа"))</f>
        <v/>
      </c>
      <c r="L843" s="10">
        <f>IFERROR(INDEX(спр_Работы!$H$2:$H$6000,MATCH($C843,спр_Работы!$A$2:$A$6000,0))*(1-ДисконтТендер),0)</f>
        <v/>
      </c>
      <c r="M843" s="10">
        <f>IF($I843="",0,IFERROR(INDEX(спр_Материалы!$I$2:$I$9000,MATCH($I843,спр_Материалы!$A$2:$A$9000,0))*IF(INDEX(спр_Материалы!$J$2:$J$9000,MATCH($I843,спр_Материалы!$A$2:$A$9000,0))="USD",КурсUSD,IF(INDEX(спр_Материалы!$J$2:$J$9000,MATCH($I843,спр_Материалы!$A$2:$A$9000,0))="EUR",КурсEUR,1))*INDEX(спр_Материалы!$K$2:$K$9000,MATCH($I843,спр_Материалы!$A$2:$A$9000,0))*(1+IFERROR(INDEX(спр_Работы!$I$2:$I$6000,MATCH($C843,спр_Работы!$A$2:$A$6000,0))/100,0))*(1-ДисконтТендер),0))</f>
        <v/>
      </c>
      <c r="N843" s="10">
        <f>IF(AND($R843="да",$H843&lt;&gt;""),ROUND($H843*$L843,2),0)</f>
        <v/>
      </c>
      <c r="O843" s="10">
        <f>IF(AND($R843="да",$H843&lt;&gt;""),ROUND($H843*$M843,2),0)</f>
        <v/>
      </c>
      <c r="P843" s="10">
        <f>$N843+$O843</f>
        <v/>
      </c>
      <c r="Q843">
        <f>IFERROR(INDEX(спр_Работы!$J$2:$J$6000,MATCH($C843,спр_Работы!$A$2:$A$6000,0)),"")</f>
        <v/>
      </c>
      <c r="R843" t="inlineStr">
        <is>
          <t>да</t>
        </is>
      </c>
      <c r="T843">
        <f>IF(AND($P843&gt;0,$R843="да"),MAX($T$1:$T842)+1,"")</f>
        <v/>
      </c>
    </row>
    <row r="844">
      <c r="A844">
        <f>IFERROR(INDEX(спр_Работы!$D$2:$D$6000,MATCH($C844,спр_Работы!$A$2:$A$6000,0)),"")</f>
        <v/>
      </c>
      <c r="B844">
        <f>IFERROR(INDEX(спр_Работы!$F$2:$F$6000,MATCH($C844,спр_Работы!$A$2:$A$6000,0)),"")</f>
        <v/>
      </c>
      <c r="C844">
        <f>IFERROR(INDEX(спр_Работы!$A$2:$A$6000,843),"")</f>
        <v/>
      </c>
      <c r="D844" s="8">
        <f>IFERROR(INDEX(спр_Работы!$B$2:$B$6000,MATCH($C844,спр_Работы!$A$2:$A$6000,0)),"")</f>
        <v/>
      </c>
      <c r="E844">
        <f>IFERROR(INDEX(спр_Работы!$C$2:$C$6000,MATCH($C844,спр_Работы!$A$2:$A$6000,0)),"")</f>
        <v/>
      </c>
      <c r="F844">
        <f>IFERROR(INDEX(спр_Работы!$G$2:$G$6000,MATCH($C844,спр_Работы!$A$2:$A$6000,0)),"")</f>
        <v/>
      </c>
      <c r="G844">
        <f>IFERROR(INDEX(спр_Работы!$K$2:$K$6000,MATCH($C844,спр_Работы!$A$2:$A$6000,0)),"")</f>
        <v/>
      </c>
      <c r="H844" s="9" t="n"/>
      <c r="I844" s="9" t="n"/>
      <c r="J844" s="8">
        <f>IFERROR(INDEX(спр_Материалы!$B$2:$B$9000,MATCH($I844,спр_Материалы!$A$2:$A$9000,0)),"")</f>
        <v/>
      </c>
      <c r="K844">
        <f>IF($I844="","",IF($F844=IFERROR(INDEX(спр_Материалы!$G$2:$G$9000,MATCH($I844,спр_Материалы!$A$2:$A$9000,0)),""),"OK","!! не та группа"))</f>
        <v/>
      </c>
      <c r="L844" s="10">
        <f>IFERROR(INDEX(спр_Работы!$H$2:$H$6000,MATCH($C844,спр_Работы!$A$2:$A$6000,0))*(1-ДисконтТендер),0)</f>
        <v/>
      </c>
      <c r="M844" s="10">
        <f>IF($I844="",0,IFERROR(INDEX(спр_Материалы!$I$2:$I$9000,MATCH($I844,спр_Материалы!$A$2:$A$9000,0))*IF(INDEX(спр_Материалы!$J$2:$J$9000,MATCH($I844,спр_Материалы!$A$2:$A$9000,0))="USD",КурсUSD,IF(INDEX(спр_Материалы!$J$2:$J$9000,MATCH($I844,спр_Материалы!$A$2:$A$9000,0))="EUR",КурсEUR,1))*INDEX(спр_Материалы!$K$2:$K$9000,MATCH($I844,спр_Материалы!$A$2:$A$9000,0))*(1+IFERROR(INDEX(спр_Работы!$I$2:$I$6000,MATCH($C844,спр_Работы!$A$2:$A$6000,0))/100,0))*(1-ДисконтТендер),0))</f>
        <v/>
      </c>
      <c r="N844" s="10">
        <f>IF(AND($R844="да",$H844&lt;&gt;""),ROUND($H844*$L844,2),0)</f>
        <v/>
      </c>
      <c r="O844" s="10">
        <f>IF(AND($R844="да",$H844&lt;&gt;""),ROUND($H844*$M844,2),0)</f>
        <v/>
      </c>
      <c r="P844" s="10">
        <f>$N844+$O844</f>
        <v/>
      </c>
      <c r="Q844">
        <f>IFERROR(INDEX(спр_Работы!$J$2:$J$6000,MATCH($C844,спр_Работы!$A$2:$A$6000,0)),"")</f>
        <v/>
      </c>
      <c r="R844" t="inlineStr">
        <is>
          <t>да</t>
        </is>
      </c>
      <c r="T844">
        <f>IF(AND($P844&gt;0,$R844="да"),MAX($T$1:$T843)+1,"")</f>
        <v/>
      </c>
    </row>
    <row r="845">
      <c r="A845">
        <f>IFERROR(INDEX(спр_Работы!$D$2:$D$6000,MATCH($C845,спр_Работы!$A$2:$A$6000,0)),"")</f>
        <v/>
      </c>
      <c r="B845">
        <f>IFERROR(INDEX(спр_Работы!$F$2:$F$6000,MATCH($C845,спр_Работы!$A$2:$A$6000,0)),"")</f>
        <v/>
      </c>
      <c r="C845">
        <f>IFERROR(INDEX(спр_Работы!$A$2:$A$6000,844),"")</f>
        <v/>
      </c>
      <c r="D845" s="8">
        <f>IFERROR(INDEX(спр_Работы!$B$2:$B$6000,MATCH($C845,спр_Работы!$A$2:$A$6000,0)),"")</f>
        <v/>
      </c>
      <c r="E845">
        <f>IFERROR(INDEX(спр_Работы!$C$2:$C$6000,MATCH($C845,спр_Работы!$A$2:$A$6000,0)),"")</f>
        <v/>
      </c>
      <c r="F845">
        <f>IFERROR(INDEX(спр_Работы!$G$2:$G$6000,MATCH($C845,спр_Работы!$A$2:$A$6000,0)),"")</f>
        <v/>
      </c>
      <c r="G845">
        <f>IFERROR(INDEX(спр_Работы!$K$2:$K$6000,MATCH($C845,спр_Работы!$A$2:$A$6000,0)),"")</f>
        <v/>
      </c>
      <c r="H845" s="9" t="n"/>
      <c r="I845" s="9" t="n"/>
      <c r="J845" s="8">
        <f>IFERROR(INDEX(спр_Материалы!$B$2:$B$9000,MATCH($I845,спр_Материалы!$A$2:$A$9000,0)),"")</f>
        <v/>
      </c>
      <c r="K845">
        <f>IF($I845="","",IF($F845=IFERROR(INDEX(спр_Материалы!$G$2:$G$9000,MATCH($I845,спр_Материалы!$A$2:$A$9000,0)),""),"OK","!! не та группа"))</f>
        <v/>
      </c>
      <c r="L845" s="10">
        <f>IFERROR(INDEX(спр_Работы!$H$2:$H$6000,MATCH($C845,спр_Работы!$A$2:$A$6000,0))*(1-ДисконтТендер),0)</f>
        <v/>
      </c>
      <c r="M845" s="10">
        <f>IF($I845="",0,IFERROR(INDEX(спр_Материалы!$I$2:$I$9000,MATCH($I845,спр_Материалы!$A$2:$A$9000,0))*IF(INDEX(спр_Материалы!$J$2:$J$9000,MATCH($I845,спр_Материалы!$A$2:$A$9000,0))="USD",КурсUSD,IF(INDEX(спр_Материалы!$J$2:$J$9000,MATCH($I845,спр_Материалы!$A$2:$A$9000,0))="EUR",КурсEUR,1))*INDEX(спр_Материалы!$K$2:$K$9000,MATCH($I845,спр_Материалы!$A$2:$A$9000,0))*(1+IFERROR(INDEX(спр_Работы!$I$2:$I$6000,MATCH($C845,спр_Работы!$A$2:$A$6000,0))/100,0))*(1-ДисконтТендер),0))</f>
        <v/>
      </c>
      <c r="N845" s="10">
        <f>IF(AND($R845="да",$H845&lt;&gt;""),ROUND($H845*$L845,2),0)</f>
        <v/>
      </c>
      <c r="O845" s="10">
        <f>IF(AND($R845="да",$H845&lt;&gt;""),ROUND($H845*$M845,2),0)</f>
        <v/>
      </c>
      <c r="P845" s="10">
        <f>$N845+$O845</f>
        <v/>
      </c>
      <c r="Q845">
        <f>IFERROR(INDEX(спр_Работы!$J$2:$J$6000,MATCH($C845,спр_Работы!$A$2:$A$6000,0)),"")</f>
        <v/>
      </c>
      <c r="R845" t="inlineStr">
        <is>
          <t>да</t>
        </is>
      </c>
      <c r="T845">
        <f>IF(AND($P845&gt;0,$R845="да"),MAX($T$1:$T844)+1,"")</f>
        <v/>
      </c>
    </row>
    <row r="846">
      <c r="A846">
        <f>IFERROR(INDEX(спр_Работы!$D$2:$D$6000,MATCH($C846,спр_Работы!$A$2:$A$6000,0)),"")</f>
        <v/>
      </c>
      <c r="B846">
        <f>IFERROR(INDEX(спр_Работы!$F$2:$F$6000,MATCH($C846,спр_Работы!$A$2:$A$6000,0)),"")</f>
        <v/>
      </c>
      <c r="C846">
        <f>IFERROR(INDEX(спр_Работы!$A$2:$A$6000,845),"")</f>
        <v/>
      </c>
      <c r="D846" s="8">
        <f>IFERROR(INDEX(спр_Работы!$B$2:$B$6000,MATCH($C846,спр_Работы!$A$2:$A$6000,0)),"")</f>
        <v/>
      </c>
      <c r="E846">
        <f>IFERROR(INDEX(спр_Работы!$C$2:$C$6000,MATCH($C846,спр_Работы!$A$2:$A$6000,0)),"")</f>
        <v/>
      </c>
      <c r="F846">
        <f>IFERROR(INDEX(спр_Работы!$G$2:$G$6000,MATCH($C846,спр_Работы!$A$2:$A$6000,0)),"")</f>
        <v/>
      </c>
      <c r="G846">
        <f>IFERROR(INDEX(спр_Работы!$K$2:$K$6000,MATCH($C846,спр_Работы!$A$2:$A$6000,0)),"")</f>
        <v/>
      </c>
      <c r="H846" s="9" t="n"/>
      <c r="I846" s="9" t="n"/>
      <c r="J846" s="8">
        <f>IFERROR(INDEX(спр_Материалы!$B$2:$B$9000,MATCH($I846,спр_Материалы!$A$2:$A$9000,0)),"")</f>
        <v/>
      </c>
      <c r="K846">
        <f>IF($I846="","",IF($F846=IFERROR(INDEX(спр_Материалы!$G$2:$G$9000,MATCH($I846,спр_Материалы!$A$2:$A$9000,0)),""),"OK","!! не та группа"))</f>
        <v/>
      </c>
      <c r="L846" s="10">
        <f>IFERROR(INDEX(спр_Работы!$H$2:$H$6000,MATCH($C846,спр_Работы!$A$2:$A$6000,0))*(1-ДисконтТендер),0)</f>
        <v/>
      </c>
      <c r="M846" s="10">
        <f>IF($I846="",0,IFERROR(INDEX(спр_Материалы!$I$2:$I$9000,MATCH($I846,спр_Материалы!$A$2:$A$9000,0))*IF(INDEX(спр_Материалы!$J$2:$J$9000,MATCH($I846,спр_Материалы!$A$2:$A$9000,0))="USD",КурсUSD,IF(INDEX(спр_Материалы!$J$2:$J$9000,MATCH($I846,спр_Материалы!$A$2:$A$9000,0))="EUR",КурсEUR,1))*INDEX(спр_Материалы!$K$2:$K$9000,MATCH($I846,спр_Материалы!$A$2:$A$9000,0))*(1+IFERROR(INDEX(спр_Работы!$I$2:$I$6000,MATCH($C846,спр_Работы!$A$2:$A$6000,0))/100,0))*(1-ДисконтТендер),0))</f>
        <v/>
      </c>
      <c r="N846" s="10">
        <f>IF(AND($R846="да",$H846&lt;&gt;""),ROUND($H846*$L846,2),0)</f>
        <v/>
      </c>
      <c r="O846" s="10">
        <f>IF(AND($R846="да",$H846&lt;&gt;""),ROUND($H846*$M846,2),0)</f>
        <v/>
      </c>
      <c r="P846" s="10">
        <f>$N846+$O846</f>
        <v/>
      </c>
      <c r="Q846">
        <f>IFERROR(INDEX(спр_Работы!$J$2:$J$6000,MATCH($C846,спр_Работы!$A$2:$A$6000,0)),"")</f>
        <v/>
      </c>
      <c r="R846" t="inlineStr">
        <is>
          <t>да</t>
        </is>
      </c>
      <c r="T846">
        <f>IF(AND($P846&gt;0,$R846="да"),MAX($T$1:$T845)+1,"")</f>
        <v/>
      </c>
    </row>
    <row r="847">
      <c r="A847">
        <f>IFERROR(INDEX(спр_Работы!$D$2:$D$6000,MATCH($C847,спр_Работы!$A$2:$A$6000,0)),"")</f>
        <v/>
      </c>
      <c r="B847">
        <f>IFERROR(INDEX(спр_Работы!$F$2:$F$6000,MATCH($C847,спр_Работы!$A$2:$A$6000,0)),"")</f>
        <v/>
      </c>
      <c r="C847">
        <f>IFERROR(INDEX(спр_Работы!$A$2:$A$6000,846),"")</f>
        <v/>
      </c>
      <c r="D847" s="8">
        <f>IFERROR(INDEX(спр_Работы!$B$2:$B$6000,MATCH($C847,спр_Работы!$A$2:$A$6000,0)),"")</f>
        <v/>
      </c>
      <c r="E847">
        <f>IFERROR(INDEX(спр_Работы!$C$2:$C$6000,MATCH($C847,спр_Работы!$A$2:$A$6000,0)),"")</f>
        <v/>
      </c>
      <c r="F847">
        <f>IFERROR(INDEX(спр_Работы!$G$2:$G$6000,MATCH($C847,спр_Работы!$A$2:$A$6000,0)),"")</f>
        <v/>
      </c>
      <c r="G847">
        <f>IFERROR(INDEX(спр_Работы!$K$2:$K$6000,MATCH($C847,спр_Работы!$A$2:$A$6000,0)),"")</f>
        <v/>
      </c>
      <c r="H847" s="9" t="n"/>
      <c r="I847" s="9" t="n"/>
      <c r="J847" s="8">
        <f>IFERROR(INDEX(спр_Материалы!$B$2:$B$9000,MATCH($I847,спр_Материалы!$A$2:$A$9000,0)),"")</f>
        <v/>
      </c>
      <c r="K847">
        <f>IF($I847="","",IF($F847=IFERROR(INDEX(спр_Материалы!$G$2:$G$9000,MATCH($I847,спр_Материалы!$A$2:$A$9000,0)),""),"OK","!! не та группа"))</f>
        <v/>
      </c>
      <c r="L847" s="10">
        <f>IFERROR(INDEX(спр_Работы!$H$2:$H$6000,MATCH($C847,спр_Работы!$A$2:$A$6000,0))*(1-ДисконтТендер),0)</f>
        <v/>
      </c>
      <c r="M847" s="10">
        <f>IF($I847="",0,IFERROR(INDEX(спр_Материалы!$I$2:$I$9000,MATCH($I847,спр_Материалы!$A$2:$A$9000,0))*IF(INDEX(спр_Материалы!$J$2:$J$9000,MATCH($I847,спр_Материалы!$A$2:$A$9000,0))="USD",КурсUSD,IF(INDEX(спр_Материалы!$J$2:$J$9000,MATCH($I847,спр_Материалы!$A$2:$A$9000,0))="EUR",КурсEUR,1))*INDEX(спр_Материалы!$K$2:$K$9000,MATCH($I847,спр_Материалы!$A$2:$A$9000,0))*(1+IFERROR(INDEX(спр_Работы!$I$2:$I$6000,MATCH($C847,спр_Работы!$A$2:$A$6000,0))/100,0))*(1-ДисконтТендер),0))</f>
        <v/>
      </c>
      <c r="N847" s="10">
        <f>IF(AND($R847="да",$H847&lt;&gt;""),ROUND($H847*$L847,2),0)</f>
        <v/>
      </c>
      <c r="O847" s="10">
        <f>IF(AND($R847="да",$H847&lt;&gt;""),ROUND($H847*$M847,2),0)</f>
        <v/>
      </c>
      <c r="P847" s="10">
        <f>$N847+$O847</f>
        <v/>
      </c>
      <c r="Q847">
        <f>IFERROR(INDEX(спр_Работы!$J$2:$J$6000,MATCH($C847,спр_Работы!$A$2:$A$6000,0)),"")</f>
        <v/>
      </c>
      <c r="R847" t="inlineStr">
        <is>
          <t>да</t>
        </is>
      </c>
      <c r="T847">
        <f>IF(AND($P847&gt;0,$R847="да"),MAX($T$1:$T846)+1,"")</f>
        <v/>
      </c>
    </row>
    <row r="848">
      <c r="A848">
        <f>IFERROR(INDEX(спр_Работы!$D$2:$D$6000,MATCH($C848,спр_Работы!$A$2:$A$6000,0)),"")</f>
        <v/>
      </c>
      <c r="B848">
        <f>IFERROR(INDEX(спр_Работы!$F$2:$F$6000,MATCH($C848,спр_Работы!$A$2:$A$6000,0)),"")</f>
        <v/>
      </c>
      <c r="C848">
        <f>IFERROR(INDEX(спр_Работы!$A$2:$A$6000,847),"")</f>
        <v/>
      </c>
      <c r="D848" s="8">
        <f>IFERROR(INDEX(спр_Работы!$B$2:$B$6000,MATCH($C848,спр_Работы!$A$2:$A$6000,0)),"")</f>
        <v/>
      </c>
      <c r="E848">
        <f>IFERROR(INDEX(спр_Работы!$C$2:$C$6000,MATCH($C848,спр_Работы!$A$2:$A$6000,0)),"")</f>
        <v/>
      </c>
      <c r="F848">
        <f>IFERROR(INDEX(спр_Работы!$G$2:$G$6000,MATCH($C848,спр_Работы!$A$2:$A$6000,0)),"")</f>
        <v/>
      </c>
      <c r="G848">
        <f>IFERROR(INDEX(спр_Работы!$K$2:$K$6000,MATCH($C848,спр_Работы!$A$2:$A$6000,0)),"")</f>
        <v/>
      </c>
      <c r="H848" s="9" t="n"/>
      <c r="I848" s="9" t="n"/>
      <c r="J848" s="8">
        <f>IFERROR(INDEX(спр_Материалы!$B$2:$B$9000,MATCH($I848,спр_Материалы!$A$2:$A$9000,0)),"")</f>
        <v/>
      </c>
      <c r="K848">
        <f>IF($I848="","",IF($F848=IFERROR(INDEX(спр_Материалы!$G$2:$G$9000,MATCH($I848,спр_Материалы!$A$2:$A$9000,0)),""),"OK","!! не та группа"))</f>
        <v/>
      </c>
      <c r="L848" s="10">
        <f>IFERROR(INDEX(спр_Работы!$H$2:$H$6000,MATCH($C848,спр_Работы!$A$2:$A$6000,0))*(1-ДисконтТендер),0)</f>
        <v/>
      </c>
      <c r="M848" s="10">
        <f>IF($I848="",0,IFERROR(INDEX(спр_Материалы!$I$2:$I$9000,MATCH($I848,спр_Материалы!$A$2:$A$9000,0))*IF(INDEX(спр_Материалы!$J$2:$J$9000,MATCH($I848,спр_Материалы!$A$2:$A$9000,0))="USD",КурсUSD,IF(INDEX(спр_Материалы!$J$2:$J$9000,MATCH($I848,спр_Материалы!$A$2:$A$9000,0))="EUR",КурсEUR,1))*INDEX(спр_Материалы!$K$2:$K$9000,MATCH($I848,спр_Материалы!$A$2:$A$9000,0))*(1+IFERROR(INDEX(спр_Работы!$I$2:$I$6000,MATCH($C848,спр_Работы!$A$2:$A$6000,0))/100,0))*(1-ДисконтТендер),0))</f>
        <v/>
      </c>
      <c r="N848" s="10">
        <f>IF(AND($R848="да",$H848&lt;&gt;""),ROUND($H848*$L848,2),0)</f>
        <v/>
      </c>
      <c r="O848" s="10">
        <f>IF(AND($R848="да",$H848&lt;&gt;""),ROUND($H848*$M848,2),0)</f>
        <v/>
      </c>
      <c r="P848" s="10">
        <f>$N848+$O848</f>
        <v/>
      </c>
      <c r="Q848">
        <f>IFERROR(INDEX(спр_Работы!$J$2:$J$6000,MATCH($C848,спр_Работы!$A$2:$A$6000,0)),"")</f>
        <v/>
      </c>
      <c r="R848" t="inlineStr">
        <is>
          <t>да</t>
        </is>
      </c>
      <c r="T848">
        <f>IF(AND($P848&gt;0,$R848="да"),MAX($T$1:$T847)+1,"")</f>
        <v/>
      </c>
    </row>
    <row r="849">
      <c r="A849">
        <f>IFERROR(INDEX(спр_Работы!$D$2:$D$6000,MATCH($C849,спр_Работы!$A$2:$A$6000,0)),"")</f>
        <v/>
      </c>
      <c r="B849">
        <f>IFERROR(INDEX(спр_Работы!$F$2:$F$6000,MATCH($C849,спр_Работы!$A$2:$A$6000,0)),"")</f>
        <v/>
      </c>
      <c r="C849">
        <f>IFERROR(INDEX(спр_Работы!$A$2:$A$6000,848),"")</f>
        <v/>
      </c>
      <c r="D849" s="8">
        <f>IFERROR(INDEX(спр_Работы!$B$2:$B$6000,MATCH($C849,спр_Работы!$A$2:$A$6000,0)),"")</f>
        <v/>
      </c>
      <c r="E849">
        <f>IFERROR(INDEX(спр_Работы!$C$2:$C$6000,MATCH($C849,спр_Работы!$A$2:$A$6000,0)),"")</f>
        <v/>
      </c>
      <c r="F849">
        <f>IFERROR(INDEX(спр_Работы!$G$2:$G$6000,MATCH($C849,спр_Работы!$A$2:$A$6000,0)),"")</f>
        <v/>
      </c>
      <c r="G849">
        <f>IFERROR(INDEX(спр_Работы!$K$2:$K$6000,MATCH($C849,спр_Работы!$A$2:$A$6000,0)),"")</f>
        <v/>
      </c>
      <c r="H849" s="9" t="n"/>
      <c r="I849" s="9" t="n"/>
      <c r="J849" s="8">
        <f>IFERROR(INDEX(спр_Материалы!$B$2:$B$9000,MATCH($I849,спр_Материалы!$A$2:$A$9000,0)),"")</f>
        <v/>
      </c>
      <c r="K849">
        <f>IF($I849="","",IF($F849=IFERROR(INDEX(спр_Материалы!$G$2:$G$9000,MATCH($I849,спр_Материалы!$A$2:$A$9000,0)),""),"OK","!! не та группа"))</f>
        <v/>
      </c>
      <c r="L849" s="10">
        <f>IFERROR(INDEX(спр_Работы!$H$2:$H$6000,MATCH($C849,спр_Работы!$A$2:$A$6000,0))*(1-ДисконтТендер),0)</f>
        <v/>
      </c>
      <c r="M849" s="10">
        <f>IF($I849="",0,IFERROR(INDEX(спр_Материалы!$I$2:$I$9000,MATCH($I849,спр_Материалы!$A$2:$A$9000,0))*IF(INDEX(спр_Материалы!$J$2:$J$9000,MATCH($I849,спр_Материалы!$A$2:$A$9000,0))="USD",КурсUSD,IF(INDEX(спр_Материалы!$J$2:$J$9000,MATCH($I849,спр_Материалы!$A$2:$A$9000,0))="EUR",КурсEUR,1))*INDEX(спр_Материалы!$K$2:$K$9000,MATCH($I849,спр_Материалы!$A$2:$A$9000,0))*(1+IFERROR(INDEX(спр_Работы!$I$2:$I$6000,MATCH($C849,спр_Работы!$A$2:$A$6000,0))/100,0))*(1-ДисконтТендер),0))</f>
        <v/>
      </c>
      <c r="N849" s="10">
        <f>IF(AND($R849="да",$H849&lt;&gt;""),ROUND($H849*$L849,2),0)</f>
        <v/>
      </c>
      <c r="O849" s="10">
        <f>IF(AND($R849="да",$H849&lt;&gt;""),ROUND($H849*$M849,2),0)</f>
        <v/>
      </c>
      <c r="P849" s="10">
        <f>$N849+$O849</f>
        <v/>
      </c>
      <c r="Q849">
        <f>IFERROR(INDEX(спр_Работы!$J$2:$J$6000,MATCH($C849,спр_Работы!$A$2:$A$6000,0)),"")</f>
        <v/>
      </c>
      <c r="R849" t="inlineStr">
        <is>
          <t>да</t>
        </is>
      </c>
      <c r="T849">
        <f>IF(AND($P849&gt;0,$R849="да"),MAX($T$1:$T848)+1,"")</f>
        <v/>
      </c>
    </row>
    <row r="850">
      <c r="A850">
        <f>IFERROR(INDEX(спр_Работы!$D$2:$D$6000,MATCH($C850,спр_Работы!$A$2:$A$6000,0)),"")</f>
        <v/>
      </c>
      <c r="B850">
        <f>IFERROR(INDEX(спр_Работы!$F$2:$F$6000,MATCH($C850,спр_Работы!$A$2:$A$6000,0)),"")</f>
        <v/>
      </c>
      <c r="C850">
        <f>IFERROR(INDEX(спр_Работы!$A$2:$A$6000,849),"")</f>
        <v/>
      </c>
      <c r="D850" s="8">
        <f>IFERROR(INDEX(спр_Работы!$B$2:$B$6000,MATCH($C850,спр_Работы!$A$2:$A$6000,0)),"")</f>
        <v/>
      </c>
      <c r="E850">
        <f>IFERROR(INDEX(спр_Работы!$C$2:$C$6000,MATCH($C850,спр_Работы!$A$2:$A$6000,0)),"")</f>
        <v/>
      </c>
      <c r="F850">
        <f>IFERROR(INDEX(спр_Работы!$G$2:$G$6000,MATCH($C850,спр_Работы!$A$2:$A$6000,0)),"")</f>
        <v/>
      </c>
      <c r="G850">
        <f>IFERROR(INDEX(спр_Работы!$K$2:$K$6000,MATCH($C850,спр_Работы!$A$2:$A$6000,0)),"")</f>
        <v/>
      </c>
      <c r="H850" s="9" t="n"/>
      <c r="I850" s="9" t="n"/>
      <c r="J850" s="8">
        <f>IFERROR(INDEX(спр_Материалы!$B$2:$B$9000,MATCH($I850,спр_Материалы!$A$2:$A$9000,0)),"")</f>
        <v/>
      </c>
      <c r="K850">
        <f>IF($I850="","",IF($F850=IFERROR(INDEX(спр_Материалы!$G$2:$G$9000,MATCH($I850,спр_Материалы!$A$2:$A$9000,0)),""),"OK","!! не та группа"))</f>
        <v/>
      </c>
      <c r="L850" s="10">
        <f>IFERROR(INDEX(спр_Работы!$H$2:$H$6000,MATCH($C850,спр_Работы!$A$2:$A$6000,0))*(1-ДисконтТендер),0)</f>
        <v/>
      </c>
      <c r="M850" s="10">
        <f>IF($I850="",0,IFERROR(INDEX(спр_Материалы!$I$2:$I$9000,MATCH($I850,спр_Материалы!$A$2:$A$9000,0))*IF(INDEX(спр_Материалы!$J$2:$J$9000,MATCH($I850,спр_Материалы!$A$2:$A$9000,0))="USD",КурсUSD,IF(INDEX(спр_Материалы!$J$2:$J$9000,MATCH($I850,спр_Материалы!$A$2:$A$9000,0))="EUR",КурсEUR,1))*INDEX(спр_Материалы!$K$2:$K$9000,MATCH($I850,спр_Материалы!$A$2:$A$9000,0))*(1+IFERROR(INDEX(спр_Работы!$I$2:$I$6000,MATCH($C850,спр_Работы!$A$2:$A$6000,0))/100,0))*(1-ДисконтТендер),0))</f>
        <v/>
      </c>
      <c r="N850" s="10">
        <f>IF(AND($R850="да",$H850&lt;&gt;""),ROUND($H850*$L850,2),0)</f>
        <v/>
      </c>
      <c r="O850" s="10">
        <f>IF(AND($R850="да",$H850&lt;&gt;""),ROUND($H850*$M850,2),0)</f>
        <v/>
      </c>
      <c r="P850" s="10">
        <f>$N850+$O850</f>
        <v/>
      </c>
      <c r="Q850">
        <f>IFERROR(INDEX(спр_Работы!$J$2:$J$6000,MATCH($C850,спр_Работы!$A$2:$A$6000,0)),"")</f>
        <v/>
      </c>
      <c r="R850" t="inlineStr">
        <is>
          <t>да</t>
        </is>
      </c>
      <c r="T850">
        <f>IF(AND($P850&gt;0,$R850="да"),MAX($T$1:$T849)+1,"")</f>
        <v/>
      </c>
    </row>
    <row r="851">
      <c r="A851">
        <f>IFERROR(INDEX(спр_Работы!$D$2:$D$6000,MATCH($C851,спр_Работы!$A$2:$A$6000,0)),"")</f>
        <v/>
      </c>
      <c r="B851">
        <f>IFERROR(INDEX(спр_Работы!$F$2:$F$6000,MATCH($C851,спр_Работы!$A$2:$A$6000,0)),"")</f>
        <v/>
      </c>
      <c r="C851">
        <f>IFERROR(INDEX(спр_Работы!$A$2:$A$6000,850),"")</f>
        <v/>
      </c>
      <c r="D851" s="8">
        <f>IFERROR(INDEX(спр_Работы!$B$2:$B$6000,MATCH($C851,спр_Работы!$A$2:$A$6000,0)),"")</f>
        <v/>
      </c>
      <c r="E851">
        <f>IFERROR(INDEX(спр_Работы!$C$2:$C$6000,MATCH($C851,спр_Работы!$A$2:$A$6000,0)),"")</f>
        <v/>
      </c>
      <c r="F851">
        <f>IFERROR(INDEX(спр_Работы!$G$2:$G$6000,MATCH($C851,спр_Работы!$A$2:$A$6000,0)),"")</f>
        <v/>
      </c>
      <c r="G851">
        <f>IFERROR(INDEX(спр_Работы!$K$2:$K$6000,MATCH($C851,спр_Работы!$A$2:$A$6000,0)),"")</f>
        <v/>
      </c>
      <c r="H851" s="9" t="n"/>
      <c r="I851" s="9" t="n"/>
      <c r="J851" s="8">
        <f>IFERROR(INDEX(спр_Материалы!$B$2:$B$9000,MATCH($I851,спр_Материалы!$A$2:$A$9000,0)),"")</f>
        <v/>
      </c>
      <c r="K851">
        <f>IF($I851="","",IF($F851=IFERROR(INDEX(спр_Материалы!$G$2:$G$9000,MATCH($I851,спр_Материалы!$A$2:$A$9000,0)),""),"OK","!! не та группа"))</f>
        <v/>
      </c>
      <c r="L851" s="10">
        <f>IFERROR(INDEX(спр_Работы!$H$2:$H$6000,MATCH($C851,спр_Работы!$A$2:$A$6000,0))*(1-ДисконтТендер),0)</f>
        <v/>
      </c>
      <c r="M851" s="10">
        <f>IF($I851="",0,IFERROR(INDEX(спр_Материалы!$I$2:$I$9000,MATCH($I851,спр_Материалы!$A$2:$A$9000,0))*IF(INDEX(спр_Материалы!$J$2:$J$9000,MATCH($I851,спр_Материалы!$A$2:$A$9000,0))="USD",КурсUSD,IF(INDEX(спр_Материалы!$J$2:$J$9000,MATCH($I851,спр_Материалы!$A$2:$A$9000,0))="EUR",КурсEUR,1))*INDEX(спр_Материалы!$K$2:$K$9000,MATCH($I851,спр_Материалы!$A$2:$A$9000,0))*(1+IFERROR(INDEX(спр_Работы!$I$2:$I$6000,MATCH($C851,спр_Работы!$A$2:$A$6000,0))/100,0))*(1-ДисконтТендер),0))</f>
        <v/>
      </c>
      <c r="N851" s="10">
        <f>IF(AND($R851="да",$H851&lt;&gt;""),ROUND($H851*$L851,2),0)</f>
        <v/>
      </c>
      <c r="O851" s="10">
        <f>IF(AND($R851="да",$H851&lt;&gt;""),ROUND($H851*$M851,2),0)</f>
        <v/>
      </c>
      <c r="P851" s="10">
        <f>$N851+$O851</f>
        <v/>
      </c>
      <c r="Q851">
        <f>IFERROR(INDEX(спр_Работы!$J$2:$J$6000,MATCH($C851,спр_Работы!$A$2:$A$6000,0)),"")</f>
        <v/>
      </c>
      <c r="R851" t="inlineStr">
        <is>
          <t>да</t>
        </is>
      </c>
      <c r="T851">
        <f>IF(AND($P851&gt;0,$R851="да"),MAX($T$1:$T850)+1,"")</f>
        <v/>
      </c>
    </row>
    <row r="852">
      <c r="A852">
        <f>IFERROR(INDEX(спр_Работы!$D$2:$D$6000,MATCH($C852,спр_Работы!$A$2:$A$6000,0)),"")</f>
        <v/>
      </c>
      <c r="B852">
        <f>IFERROR(INDEX(спр_Работы!$F$2:$F$6000,MATCH($C852,спр_Работы!$A$2:$A$6000,0)),"")</f>
        <v/>
      </c>
      <c r="C852">
        <f>IFERROR(INDEX(спр_Работы!$A$2:$A$6000,851),"")</f>
        <v/>
      </c>
      <c r="D852" s="8">
        <f>IFERROR(INDEX(спр_Работы!$B$2:$B$6000,MATCH($C852,спр_Работы!$A$2:$A$6000,0)),"")</f>
        <v/>
      </c>
      <c r="E852">
        <f>IFERROR(INDEX(спр_Работы!$C$2:$C$6000,MATCH($C852,спр_Работы!$A$2:$A$6000,0)),"")</f>
        <v/>
      </c>
      <c r="F852">
        <f>IFERROR(INDEX(спр_Работы!$G$2:$G$6000,MATCH($C852,спр_Работы!$A$2:$A$6000,0)),"")</f>
        <v/>
      </c>
      <c r="G852">
        <f>IFERROR(INDEX(спр_Работы!$K$2:$K$6000,MATCH($C852,спр_Работы!$A$2:$A$6000,0)),"")</f>
        <v/>
      </c>
      <c r="H852" s="9" t="n"/>
      <c r="I852" s="9" t="n"/>
      <c r="J852" s="8">
        <f>IFERROR(INDEX(спр_Материалы!$B$2:$B$9000,MATCH($I852,спр_Материалы!$A$2:$A$9000,0)),"")</f>
        <v/>
      </c>
      <c r="K852">
        <f>IF($I852="","",IF($F852=IFERROR(INDEX(спр_Материалы!$G$2:$G$9000,MATCH($I852,спр_Материалы!$A$2:$A$9000,0)),""),"OK","!! не та группа"))</f>
        <v/>
      </c>
      <c r="L852" s="10">
        <f>IFERROR(INDEX(спр_Работы!$H$2:$H$6000,MATCH($C852,спр_Работы!$A$2:$A$6000,0))*(1-ДисконтТендер),0)</f>
        <v/>
      </c>
      <c r="M852" s="10">
        <f>IF($I852="",0,IFERROR(INDEX(спр_Материалы!$I$2:$I$9000,MATCH($I852,спр_Материалы!$A$2:$A$9000,0))*IF(INDEX(спр_Материалы!$J$2:$J$9000,MATCH($I852,спр_Материалы!$A$2:$A$9000,0))="USD",КурсUSD,IF(INDEX(спр_Материалы!$J$2:$J$9000,MATCH($I852,спр_Материалы!$A$2:$A$9000,0))="EUR",КурсEUR,1))*INDEX(спр_Материалы!$K$2:$K$9000,MATCH($I852,спр_Материалы!$A$2:$A$9000,0))*(1+IFERROR(INDEX(спр_Работы!$I$2:$I$6000,MATCH($C852,спр_Работы!$A$2:$A$6000,0))/100,0))*(1-ДисконтТендер),0))</f>
        <v/>
      </c>
      <c r="N852" s="10">
        <f>IF(AND($R852="да",$H852&lt;&gt;""),ROUND($H852*$L852,2),0)</f>
        <v/>
      </c>
      <c r="O852" s="10">
        <f>IF(AND($R852="да",$H852&lt;&gt;""),ROUND($H852*$M852,2),0)</f>
        <v/>
      </c>
      <c r="P852" s="10">
        <f>$N852+$O852</f>
        <v/>
      </c>
      <c r="Q852">
        <f>IFERROR(INDEX(спр_Работы!$J$2:$J$6000,MATCH($C852,спр_Работы!$A$2:$A$6000,0)),"")</f>
        <v/>
      </c>
      <c r="R852" t="inlineStr">
        <is>
          <t>да</t>
        </is>
      </c>
      <c r="T852">
        <f>IF(AND($P852&gt;0,$R852="да"),MAX($T$1:$T851)+1,"")</f>
        <v/>
      </c>
    </row>
    <row r="853">
      <c r="A853">
        <f>IFERROR(INDEX(спр_Работы!$D$2:$D$6000,MATCH($C853,спр_Работы!$A$2:$A$6000,0)),"")</f>
        <v/>
      </c>
      <c r="B853">
        <f>IFERROR(INDEX(спр_Работы!$F$2:$F$6000,MATCH($C853,спр_Работы!$A$2:$A$6000,0)),"")</f>
        <v/>
      </c>
      <c r="C853">
        <f>IFERROR(INDEX(спр_Работы!$A$2:$A$6000,852),"")</f>
        <v/>
      </c>
      <c r="D853" s="8">
        <f>IFERROR(INDEX(спр_Работы!$B$2:$B$6000,MATCH($C853,спр_Работы!$A$2:$A$6000,0)),"")</f>
        <v/>
      </c>
      <c r="E853">
        <f>IFERROR(INDEX(спр_Работы!$C$2:$C$6000,MATCH($C853,спр_Работы!$A$2:$A$6000,0)),"")</f>
        <v/>
      </c>
      <c r="F853">
        <f>IFERROR(INDEX(спр_Работы!$G$2:$G$6000,MATCH($C853,спр_Работы!$A$2:$A$6000,0)),"")</f>
        <v/>
      </c>
      <c r="G853">
        <f>IFERROR(INDEX(спр_Работы!$K$2:$K$6000,MATCH($C853,спр_Работы!$A$2:$A$6000,0)),"")</f>
        <v/>
      </c>
      <c r="H853" s="9" t="n"/>
      <c r="I853" s="9" t="n"/>
      <c r="J853" s="8">
        <f>IFERROR(INDEX(спр_Материалы!$B$2:$B$9000,MATCH($I853,спр_Материалы!$A$2:$A$9000,0)),"")</f>
        <v/>
      </c>
      <c r="K853">
        <f>IF($I853="","",IF($F853=IFERROR(INDEX(спр_Материалы!$G$2:$G$9000,MATCH($I853,спр_Материалы!$A$2:$A$9000,0)),""),"OK","!! не та группа"))</f>
        <v/>
      </c>
      <c r="L853" s="10">
        <f>IFERROR(INDEX(спр_Работы!$H$2:$H$6000,MATCH($C853,спр_Работы!$A$2:$A$6000,0))*(1-ДисконтТендер),0)</f>
        <v/>
      </c>
      <c r="M853" s="10">
        <f>IF($I853="",0,IFERROR(INDEX(спр_Материалы!$I$2:$I$9000,MATCH($I853,спр_Материалы!$A$2:$A$9000,0))*IF(INDEX(спр_Материалы!$J$2:$J$9000,MATCH($I853,спр_Материалы!$A$2:$A$9000,0))="USD",КурсUSD,IF(INDEX(спр_Материалы!$J$2:$J$9000,MATCH($I853,спр_Материалы!$A$2:$A$9000,0))="EUR",КурсEUR,1))*INDEX(спр_Материалы!$K$2:$K$9000,MATCH($I853,спр_Материалы!$A$2:$A$9000,0))*(1+IFERROR(INDEX(спр_Работы!$I$2:$I$6000,MATCH($C853,спр_Работы!$A$2:$A$6000,0))/100,0))*(1-ДисконтТендер),0))</f>
        <v/>
      </c>
      <c r="N853" s="10">
        <f>IF(AND($R853="да",$H853&lt;&gt;""),ROUND($H853*$L853,2),0)</f>
        <v/>
      </c>
      <c r="O853" s="10">
        <f>IF(AND($R853="да",$H853&lt;&gt;""),ROUND($H853*$M853,2),0)</f>
        <v/>
      </c>
      <c r="P853" s="10">
        <f>$N853+$O853</f>
        <v/>
      </c>
      <c r="Q853">
        <f>IFERROR(INDEX(спр_Работы!$J$2:$J$6000,MATCH($C853,спр_Работы!$A$2:$A$6000,0)),"")</f>
        <v/>
      </c>
      <c r="R853" t="inlineStr">
        <is>
          <t>да</t>
        </is>
      </c>
      <c r="T853">
        <f>IF(AND($P853&gt;0,$R853="да"),MAX($T$1:$T852)+1,"")</f>
        <v/>
      </c>
    </row>
    <row r="854">
      <c r="A854">
        <f>IFERROR(INDEX(спр_Работы!$D$2:$D$6000,MATCH($C854,спр_Работы!$A$2:$A$6000,0)),"")</f>
        <v/>
      </c>
      <c r="B854">
        <f>IFERROR(INDEX(спр_Работы!$F$2:$F$6000,MATCH($C854,спр_Работы!$A$2:$A$6000,0)),"")</f>
        <v/>
      </c>
      <c r="C854">
        <f>IFERROR(INDEX(спр_Работы!$A$2:$A$6000,853),"")</f>
        <v/>
      </c>
      <c r="D854" s="8">
        <f>IFERROR(INDEX(спр_Работы!$B$2:$B$6000,MATCH($C854,спр_Работы!$A$2:$A$6000,0)),"")</f>
        <v/>
      </c>
      <c r="E854">
        <f>IFERROR(INDEX(спр_Работы!$C$2:$C$6000,MATCH($C854,спр_Работы!$A$2:$A$6000,0)),"")</f>
        <v/>
      </c>
      <c r="F854">
        <f>IFERROR(INDEX(спр_Работы!$G$2:$G$6000,MATCH($C854,спр_Работы!$A$2:$A$6000,0)),"")</f>
        <v/>
      </c>
      <c r="G854">
        <f>IFERROR(INDEX(спр_Работы!$K$2:$K$6000,MATCH($C854,спр_Работы!$A$2:$A$6000,0)),"")</f>
        <v/>
      </c>
      <c r="H854" s="9" t="n"/>
      <c r="I854" s="9" t="n"/>
      <c r="J854" s="8">
        <f>IFERROR(INDEX(спр_Материалы!$B$2:$B$9000,MATCH($I854,спр_Материалы!$A$2:$A$9000,0)),"")</f>
        <v/>
      </c>
      <c r="K854">
        <f>IF($I854="","",IF($F854=IFERROR(INDEX(спр_Материалы!$G$2:$G$9000,MATCH($I854,спр_Материалы!$A$2:$A$9000,0)),""),"OK","!! не та группа"))</f>
        <v/>
      </c>
      <c r="L854" s="10">
        <f>IFERROR(INDEX(спр_Работы!$H$2:$H$6000,MATCH($C854,спр_Работы!$A$2:$A$6000,0))*(1-ДисконтТендер),0)</f>
        <v/>
      </c>
      <c r="M854" s="10">
        <f>IF($I854="",0,IFERROR(INDEX(спр_Материалы!$I$2:$I$9000,MATCH($I854,спр_Материалы!$A$2:$A$9000,0))*IF(INDEX(спр_Материалы!$J$2:$J$9000,MATCH($I854,спр_Материалы!$A$2:$A$9000,0))="USD",КурсUSD,IF(INDEX(спр_Материалы!$J$2:$J$9000,MATCH($I854,спр_Материалы!$A$2:$A$9000,0))="EUR",КурсEUR,1))*INDEX(спр_Материалы!$K$2:$K$9000,MATCH($I854,спр_Материалы!$A$2:$A$9000,0))*(1+IFERROR(INDEX(спр_Работы!$I$2:$I$6000,MATCH($C854,спр_Работы!$A$2:$A$6000,0))/100,0))*(1-ДисконтТендер),0))</f>
        <v/>
      </c>
      <c r="N854" s="10">
        <f>IF(AND($R854="да",$H854&lt;&gt;""),ROUND($H854*$L854,2),0)</f>
        <v/>
      </c>
      <c r="O854" s="10">
        <f>IF(AND($R854="да",$H854&lt;&gt;""),ROUND($H854*$M854,2),0)</f>
        <v/>
      </c>
      <c r="P854" s="10">
        <f>$N854+$O854</f>
        <v/>
      </c>
      <c r="Q854">
        <f>IFERROR(INDEX(спр_Работы!$J$2:$J$6000,MATCH($C854,спр_Работы!$A$2:$A$6000,0)),"")</f>
        <v/>
      </c>
      <c r="R854" t="inlineStr">
        <is>
          <t>да</t>
        </is>
      </c>
      <c r="T854">
        <f>IF(AND($P854&gt;0,$R854="да"),MAX($T$1:$T853)+1,"")</f>
        <v/>
      </c>
    </row>
    <row r="855">
      <c r="A855">
        <f>IFERROR(INDEX(спр_Работы!$D$2:$D$6000,MATCH($C855,спр_Работы!$A$2:$A$6000,0)),"")</f>
        <v/>
      </c>
      <c r="B855">
        <f>IFERROR(INDEX(спр_Работы!$F$2:$F$6000,MATCH($C855,спр_Работы!$A$2:$A$6000,0)),"")</f>
        <v/>
      </c>
      <c r="C855">
        <f>IFERROR(INDEX(спр_Работы!$A$2:$A$6000,854),"")</f>
        <v/>
      </c>
      <c r="D855" s="8">
        <f>IFERROR(INDEX(спр_Работы!$B$2:$B$6000,MATCH($C855,спр_Работы!$A$2:$A$6000,0)),"")</f>
        <v/>
      </c>
      <c r="E855">
        <f>IFERROR(INDEX(спр_Работы!$C$2:$C$6000,MATCH($C855,спр_Работы!$A$2:$A$6000,0)),"")</f>
        <v/>
      </c>
      <c r="F855">
        <f>IFERROR(INDEX(спр_Работы!$G$2:$G$6000,MATCH($C855,спр_Работы!$A$2:$A$6000,0)),"")</f>
        <v/>
      </c>
      <c r="G855">
        <f>IFERROR(INDEX(спр_Работы!$K$2:$K$6000,MATCH($C855,спр_Работы!$A$2:$A$6000,0)),"")</f>
        <v/>
      </c>
      <c r="H855" s="9" t="n"/>
      <c r="I855" s="9" t="n"/>
      <c r="J855" s="8">
        <f>IFERROR(INDEX(спр_Материалы!$B$2:$B$9000,MATCH($I855,спр_Материалы!$A$2:$A$9000,0)),"")</f>
        <v/>
      </c>
      <c r="K855">
        <f>IF($I855="","",IF($F855=IFERROR(INDEX(спр_Материалы!$G$2:$G$9000,MATCH($I855,спр_Материалы!$A$2:$A$9000,0)),""),"OK","!! не та группа"))</f>
        <v/>
      </c>
      <c r="L855" s="10">
        <f>IFERROR(INDEX(спр_Работы!$H$2:$H$6000,MATCH($C855,спр_Работы!$A$2:$A$6000,0))*(1-ДисконтТендер),0)</f>
        <v/>
      </c>
      <c r="M855" s="10">
        <f>IF($I855="",0,IFERROR(INDEX(спр_Материалы!$I$2:$I$9000,MATCH($I855,спр_Материалы!$A$2:$A$9000,0))*IF(INDEX(спр_Материалы!$J$2:$J$9000,MATCH($I855,спр_Материалы!$A$2:$A$9000,0))="USD",КурсUSD,IF(INDEX(спр_Материалы!$J$2:$J$9000,MATCH($I855,спр_Материалы!$A$2:$A$9000,0))="EUR",КурсEUR,1))*INDEX(спр_Материалы!$K$2:$K$9000,MATCH($I855,спр_Материалы!$A$2:$A$9000,0))*(1+IFERROR(INDEX(спр_Работы!$I$2:$I$6000,MATCH($C855,спр_Работы!$A$2:$A$6000,0))/100,0))*(1-ДисконтТендер),0))</f>
        <v/>
      </c>
      <c r="N855" s="10">
        <f>IF(AND($R855="да",$H855&lt;&gt;""),ROUND($H855*$L855,2),0)</f>
        <v/>
      </c>
      <c r="O855" s="10">
        <f>IF(AND($R855="да",$H855&lt;&gt;""),ROUND($H855*$M855,2),0)</f>
        <v/>
      </c>
      <c r="P855" s="10">
        <f>$N855+$O855</f>
        <v/>
      </c>
      <c r="Q855">
        <f>IFERROR(INDEX(спр_Работы!$J$2:$J$6000,MATCH($C855,спр_Работы!$A$2:$A$6000,0)),"")</f>
        <v/>
      </c>
      <c r="R855" t="inlineStr">
        <is>
          <t>да</t>
        </is>
      </c>
      <c r="T855">
        <f>IF(AND($P855&gt;0,$R855="да"),MAX($T$1:$T854)+1,"")</f>
        <v/>
      </c>
    </row>
    <row r="856">
      <c r="A856">
        <f>IFERROR(INDEX(спр_Работы!$D$2:$D$6000,MATCH($C856,спр_Работы!$A$2:$A$6000,0)),"")</f>
        <v/>
      </c>
      <c r="B856">
        <f>IFERROR(INDEX(спр_Работы!$F$2:$F$6000,MATCH($C856,спр_Работы!$A$2:$A$6000,0)),"")</f>
        <v/>
      </c>
      <c r="C856">
        <f>IFERROR(INDEX(спр_Работы!$A$2:$A$6000,855),"")</f>
        <v/>
      </c>
      <c r="D856" s="8">
        <f>IFERROR(INDEX(спр_Работы!$B$2:$B$6000,MATCH($C856,спр_Работы!$A$2:$A$6000,0)),"")</f>
        <v/>
      </c>
      <c r="E856">
        <f>IFERROR(INDEX(спр_Работы!$C$2:$C$6000,MATCH($C856,спр_Работы!$A$2:$A$6000,0)),"")</f>
        <v/>
      </c>
      <c r="F856">
        <f>IFERROR(INDEX(спр_Работы!$G$2:$G$6000,MATCH($C856,спр_Работы!$A$2:$A$6000,0)),"")</f>
        <v/>
      </c>
      <c r="G856">
        <f>IFERROR(INDEX(спр_Работы!$K$2:$K$6000,MATCH($C856,спр_Работы!$A$2:$A$6000,0)),"")</f>
        <v/>
      </c>
      <c r="H856" s="9" t="n"/>
      <c r="I856" s="9" t="n"/>
      <c r="J856" s="8">
        <f>IFERROR(INDEX(спр_Материалы!$B$2:$B$9000,MATCH($I856,спр_Материалы!$A$2:$A$9000,0)),"")</f>
        <v/>
      </c>
      <c r="K856">
        <f>IF($I856="","",IF($F856=IFERROR(INDEX(спр_Материалы!$G$2:$G$9000,MATCH($I856,спр_Материалы!$A$2:$A$9000,0)),""),"OK","!! не та группа"))</f>
        <v/>
      </c>
      <c r="L856" s="10">
        <f>IFERROR(INDEX(спр_Работы!$H$2:$H$6000,MATCH($C856,спр_Работы!$A$2:$A$6000,0))*(1-ДисконтТендер),0)</f>
        <v/>
      </c>
      <c r="M856" s="10">
        <f>IF($I856="",0,IFERROR(INDEX(спр_Материалы!$I$2:$I$9000,MATCH($I856,спр_Материалы!$A$2:$A$9000,0))*IF(INDEX(спр_Материалы!$J$2:$J$9000,MATCH($I856,спр_Материалы!$A$2:$A$9000,0))="USD",КурсUSD,IF(INDEX(спр_Материалы!$J$2:$J$9000,MATCH($I856,спр_Материалы!$A$2:$A$9000,0))="EUR",КурсEUR,1))*INDEX(спр_Материалы!$K$2:$K$9000,MATCH($I856,спр_Материалы!$A$2:$A$9000,0))*(1+IFERROR(INDEX(спр_Работы!$I$2:$I$6000,MATCH($C856,спр_Работы!$A$2:$A$6000,0))/100,0))*(1-ДисконтТендер),0))</f>
        <v/>
      </c>
      <c r="N856" s="10">
        <f>IF(AND($R856="да",$H856&lt;&gt;""),ROUND($H856*$L856,2),0)</f>
        <v/>
      </c>
      <c r="O856" s="10">
        <f>IF(AND($R856="да",$H856&lt;&gt;""),ROUND($H856*$M856,2),0)</f>
        <v/>
      </c>
      <c r="P856" s="10">
        <f>$N856+$O856</f>
        <v/>
      </c>
      <c r="Q856">
        <f>IFERROR(INDEX(спр_Работы!$J$2:$J$6000,MATCH($C856,спр_Работы!$A$2:$A$6000,0)),"")</f>
        <v/>
      </c>
      <c r="R856" t="inlineStr">
        <is>
          <t>да</t>
        </is>
      </c>
      <c r="T856">
        <f>IF(AND($P856&gt;0,$R856="да"),MAX($T$1:$T855)+1,"")</f>
        <v/>
      </c>
    </row>
    <row r="857">
      <c r="A857">
        <f>IFERROR(INDEX(спр_Работы!$D$2:$D$6000,MATCH($C857,спр_Работы!$A$2:$A$6000,0)),"")</f>
        <v/>
      </c>
      <c r="B857">
        <f>IFERROR(INDEX(спр_Работы!$F$2:$F$6000,MATCH($C857,спр_Работы!$A$2:$A$6000,0)),"")</f>
        <v/>
      </c>
      <c r="C857">
        <f>IFERROR(INDEX(спр_Работы!$A$2:$A$6000,856),"")</f>
        <v/>
      </c>
      <c r="D857" s="8">
        <f>IFERROR(INDEX(спр_Работы!$B$2:$B$6000,MATCH($C857,спр_Работы!$A$2:$A$6000,0)),"")</f>
        <v/>
      </c>
      <c r="E857">
        <f>IFERROR(INDEX(спр_Работы!$C$2:$C$6000,MATCH($C857,спр_Работы!$A$2:$A$6000,0)),"")</f>
        <v/>
      </c>
      <c r="F857">
        <f>IFERROR(INDEX(спр_Работы!$G$2:$G$6000,MATCH($C857,спр_Работы!$A$2:$A$6000,0)),"")</f>
        <v/>
      </c>
      <c r="G857">
        <f>IFERROR(INDEX(спр_Работы!$K$2:$K$6000,MATCH($C857,спр_Работы!$A$2:$A$6000,0)),"")</f>
        <v/>
      </c>
      <c r="H857" s="9" t="n"/>
      <c r="I857" s="9" t="n"/>
      <c r="J857" s="8">
        <f>IFERROR(INDEX(спр_Материалы!$B$2:$B$9000,MATCH($I857,спр_Материалы!$A$2:$A$9000,0)),"")</f>
        <v/>
      </c>
      <c r="K857">
        <f>IF($I857="","",IF($F857=IFERROR(INDEX(спр_Материалы!$G$2:$G$9000,MATCH($I857,спр_Материалы!$A$2:$A$9000,0)),""),"OK","!! не та группа"))</f>
        <v/>
      </c>
      <c r="L857" s="10">
        <f>IFERROR(INDEX(спр_Работы!$H$2:$H$6000,MATCH($C857,спр_Работы!$A$2:$A$6000,0))*(1-ДисконтТендер),0)</f>
        <v/>
      </c>
      <c r="M857" s="10">
        <f>IF($I857="",0,IFERROR(INDEX(спр_Материалы!$I$2:$I$9000,MATCH($I857,спр_Материалы!$A$2:$A$9000,0))*IF(INDEX(спр_Материалы!$J$2:$J$9000,MATCH($I857,спр_Материалы!$A$2:$A$9000,0))="USD",КурсUSD,IF(INDEX(спр_Материалы!$J$2:$J$9000,MATCH($I857,спр_Материалы!$A$2:$A$9000,0))="EUR",КурсEUR,1))*INDEX(спр_Материалы!$K$2:$K$9000,MATCH($I857,спр_Материалы!$A$2:$A$9000,0))*(1+IFERROR(INDEX(спр_Работы!$I$2:$I$6000,MATCH($C857,спр_Работы!$A$2:$A$6000,0))/100,0))*(1-ДисконтТендер),0))</f>
        <v/>
      </c>
      <c r="N857" s="10">
        <f>IF(AND($R857="да",$H857&lt;&gt;""),ROUND($H857*$L857,2),0)</f>
        <v/>
      </c>
      <c r="O857" s="10">
        <f>IF(AND($R857="да",$H857&lt;&gt;""),ROUND($H857*$M857,2),0)</f>
        <v/>
      </c>
      <c r="P857" s="10">
        <f>$N857+$O857</f>
        <v/>
      </c>
      <c r="Q857">
        <f>IFERROR(INDEX(спр_Работы!$J$2:$J$6000,MATCH($C857,спр_Работы!$A$2:$A$6000,0)),"")</f>
        <v/>
      </c>
      <c r="R857" t="inlineStr">
        <is>
          <t>да</t>
        </is>
      </c>
      <c r="T857">
        <f>IF(AND($P857&gt;0,$R857="да"),MAX($T$1:$T856)+1,"")</f>
        <v/>
      </c>
    </row>
    <row r="858">
      <c r="A858">
        <f>IFERROR(INDEX(спр_Работы!$D$2:$D$6000,MATCH($C858,спр_Работы!$A$2:$A$6000,0)),"")</f>
        <v/>
      </c>
      <c r="B858">
        <f>IFERROR(INDEX(спр_Работы!$F$2:$F$6000,MATCH($C858,спр_Работы!$A$2:$A$6000,0)),"")</f>
        <v/>
      </c>
      <c r="C858">
        <f>IFERROR(INDEX(спр_Работы!$A$2:$A$6000,857),"")</f>
        <v/>
      </c>
      <c r="D858" s="8">
        <f>IFERROR(INDEX(спр_Работы!$B$2:$B$6000,MATCH($C858,спр_Работы!$A$2:$A$6000,0)),"")</f>
        <v/>
      </c>
      <c r="E858">
        <f>IFERROR(INDEX(спр_Работы!$C$2:$C$6000,MATCH($C858,спр_Работы!$A$2:$A$6000,0)),"")</f>
        <v/>
      </c>
      <c r="F858">
        <f>IFERROR(INDEX(спр_Работы!$G$2:$G$6000,MATCH($C858,спр_Работы!$A$2:$A$6000,0)),"")</f>
        <v/>
      </c>
      <c r="G858">
        <f>IFERROR(INDEX(спр_Работы!$K$2:$K$6000,MATCH($C858,спр_Работы!$A$2:$A$6000,0)),"")</f>
        <v/>
      </c>
      <c r="H858" s="9" t="n"/>
      <c r="I858" s="9" t="n"/>
      <c r="J858" s="8">
        <f>IFERROR(INDEX(спр_Материалы!$B$2:$B$9000,MATCH($I858,спр_Материалы!$A$2:$A$9000,0)),"")</f>
        <v/>
      </c>
      <c r="K858">
        <f>IF($I858="","",IF($F858=IFERROR(INDEX(спр_Материалы!$G$2:$G$9000,MATCH($I858,спр_Материалы!$A$2:$A$9000,0)),""),"OK","!! не та группа"))</f>
        <v/>
      </c>
      <c r="L858" s="10">
        <f>IFERROR(INDEX(спр_Работы!$H$2:$H$6000,MATCH($C858,спр_Работы!$A$2:$A$6000,0))*(1-ДисконтТендер),0)</f>
        <v/>
      </c>
      <c r="M858" s="10">
        <f>IF($I858="",0,IFERROR(INDEX(спр_Материалы!$I$2:$I$9000,MATCH($I858,спр_Материалы!$A$2:$A$9000,0))*IF(INDEX(спр_Материалы!$J$2:$J$9000,MATCH($I858,спр_Материалы!$A$2:$A$9000,0))="USD",КурсUSD,IF(INDEX(спр_Материалы!$J$2:$J$9000,MATCH($I858,спр_Материалы!$A$2:$A$9000,0))="EUR",КурсEUR,1))*INDEX(спр_Материалы!$K$2:$K$9000,MATCH($I858,спр_Материалы!$A$2:$A$9000,0))*(1+IFERROR(INDEX(спр_Работы!$I$2:$I$6000,MATCH($C858,спр_Работы!$A$2:$A$6000,0))/100,0))*(1-ДисконтТендер),0))</f>
        <v/>
      </c>
      <c r="N858" s="10">
        <f>IF(AND($R858="да",$H858&lt;&gt;""),ROUND($H858*$L858,2),0)</f>
        <v/>
      </c>
      <c r="O858" s="10">
        <f>IF(AND($R858="да",$H858&lt;&gt;""),ROUND($H858*$M858,2),0)</f>
        <v/>
      </c>
      <c r="P858" s="10">
        <f>$N858+$O858</f>
        <v/>
      </c>
      <c r="Q858">
        <f>IFERROR(INDEX(спр_Работы!$J$2:$J$6000,MATCH($C858,спр_Работы!$A$2:$A$6000,0)),"")</f>
        <v/>
      </c>
      <c r="R858" t="inlineStr">
        <is>
          <t>да</t>
        </is>
      </c>
      <c r="T858">
        <f>IF(AND($P858&gt;0,$R858="да"),MAX($T$1:$T857)+1,"")</f>
        <v/>
      </c>
    </row>
    <row r="859">
      <c r="A859">
        <f>IFERROR(INDEX(спр_Работы!$D$2:$D$6000,MATCH($C859,спр_Работы!$A$2:$A$6000,0)),"")</f>
        <v/>
      </c>
      <c r="B859">
        <f>IFERROR(INDEX(спр_Работы!$F$2:$F$6000,MATCH($C859,спр_Работы!$A$2:$A$6000,0)),"")</f>
        <v/>
      </c>
      <c r="C859">
        <f>IFERROR(INDEX(спр_Работы!$A$2:$A$6000,858),"")</f>
        <v/>
      </c>
      <c r="D859" s="8">
        <f>IFERROR(INDEX(спр_Работы!$B$2:$B$6000,MATCH($C859,спр_Работы!$A$2:$A$6000,0)),"")</f>
        <v/>
      </c>
      <c r="E859">
        <f>IFERROR(INDEX(спр_Работы!$C$2:$C$6000,MATCH($C859,спр_Работы!$A$2:$A$6000,0)),"")</f>
        <v/>
      </c>
      <c r="F859">
        <f>IFERROR(INDEX(спр_Работы!$G$2:$G$6000,MATCH($C859,спр_Работы!$A$2:$A$6000,0)),"")</f>
        <v/>
      </c>
      <c r="G859">
        <f>IFERROR(INDEX(спр_Работы!$K$2:$K$6000,MATCH($C859,спр_Работы!$A$2:$A$6000,0)),"")</f>
        <v/>
      </c>
      <c r="H859" s="9" t="n"/>
      <c r="I859" s="9" t="n"/>
      <c r="J859" s="8">
        <f>IFERROR(INDEX(спр_Материалы!$B$2:$B$9000,MATCH($I859,спр_Материалы!$A$2:$A$9000,0)),"")</f>
        <v/>
      </c>
      <c r="K859">
        <f>IF($I859="","",IF($F859=IFERROR(INDEX(спр_Материалы!$G$2:$G$9000,MATCH($I859,спр_Материалы!$A$2:$A$9000,0)),""),"OK","!! не та группа"))</f>
        <v/>
      </c>
      <c r="L859" s="10">
        <f>IFERROR(INDEX(спр_Работы!$H$2:$H$6000,MATCH($C859,спр_Работы!$A$2:$A$6000,0))*(1-ДисконтТендер),0)</f>
        <v/>
      </c>
      <c r="M859" s="10">
        <f>IF($I859="",0,IFERROR(INDEX(спр_Материалы!$I$2:$I$9000,MATCH($I859,спр_Материалы!$A$2:$A$9000,0))*IF(INDEX(спр_Материалы!$J$2:$J$9000,MATCH($I859,спр_Материалы!$A$2:$A$9000,0))="USD",КурсUSD,IF(INDEX(спр_Материалы!$J$2:$J$9000,MATCH($I859,спр_Материалы!$A$2:$A$9000,0))="EUR",КурсEUR,1))*INDEX(спр_Материалы!$K$2:$K$9000,MATCH($I859,спр_Материалы!$A$2:$A$9000,0))*(1+IFERROR(INDEX(спр_Работы!$I$2:$I$6000,MATCH($C859,спр_Работы!$A$2:$A$6000,0))/100,0))*(1-ДисконтТендер),0))</f>
        <v/>
      </c>
      <c r="N859" s="10">
        <f>IF(AND($R859="да",$H859&lt;&gt;""),ROUND($H859*$L859,2),0)</f>
        <v/>
      </c>
      <c r="O859" s="10">
        <f>IF(AND($R859="да",$H859&lt;&gt;""),ROUND($H859*$M859,2),0)</f>
        <v/>
      </c>
      <c r="P859" s="10">
        <f>$N859+$O859</f>
        <v/>
      </c>
      <c r="Q859">
        <f>IFERROR(INDEX(спр_Работы!$J$2:$J$6000,MATCH($C859,спр_Работы!$A$2:$A$6000,0)),"")</f>
        <v/>
      </c>
      <c r="R859" t="inlineStr">
        <is>
          <t>да</t>
        </is>
      </c>
      <c r="T859">
        <f>IF(AND($P859&gt;0,$R859="да"),MAX($T$1:$T858)+1,"")</f>
        <v/>
      </c>
    </row>
    <row r="860">
      <c r="A860">
        <f>IFERROR(INDEX(спр_Работы!$D$2:$D$6000,MATCH($C860,спр_Работы!$A$2:$A$6000,0)),"")</f>
        <v/>
      </c>
      <c r="B860">
        <f>IFERROR(INDEX(спр_Работы!$F$2:$F$6000,MATCH($C860,спр_Работы!$A$2:$A$6000,0)),"")</f>
        <v/>
      </c>
      <c r="C860">
        <f>IFERROR(INDEX(спр_Работы!$A$2:$A$6000,859),"")</f>
        <v/>
      </c>
      <c r="D860" s="8">
        <f>IFERROR(INDEX(спр_Работы!$B$2:$B$6000,MATCH($C860,спр_Работы!$A$2:$A$6000,0)),"")</f>
        <v/>
      </c>
      <c r="E860">
        <f>IFERROR(INDEX(спр_Работы!$C$2:$C$6000,MATCH($C860,спр_Работы!$A$2:$A$6000,0)),"")</f>
        <v/>
      </c>
      <c r="F860">
        <f>IFERROR(INDEX(спр_Работы!$G$2:$G$6000,MATCH($C860,спр_Работы!$A$2:$A$6000,0)),"")</f>
        <v/>
      </c>
      <c r="G860">
        <f>IFERROR(INDEX(спр_Работы!$K$2:$K$6000,MATCH($C860,спр_Работы!$A$2:$A$6000,0)),"")</f>
        <v/>
      </c>
      <c r="H860" s="9" t="n"/>
      <c r="I860" s="9" t="n"/>
      <c r="J860" s="8">
        <f>IFERROR(INDEX(спр_Материалы!$B$2:$B$9000,MATCH($I860,спр_Материалы!$A$2:$A$9000,0)),"")</f>
        <v/>
      </c>
      <c r="K860">
        <f>IF($I860="","",IF($F860=IFERROR(INDEX(спр_Материалы!$G$2:$G$9000,MATCH($I860,спр_Материалы!$A$2:$A$9000,0)),""),"OK","!! не та группа"))</f>
        <v/>
      </c>
      <c r="L860" s="10">
        <f>IFERROR(INDEX(спр_Работы!$H$2:$H$6000,MATCH($C860,спр_Работы!$A$2:$A$6000,0))*(1-ДисконтТендер),0)</f>
        <v/>
      </c>
      <c r="M860" s="10">
        <f>IF($I860="",0,IFERROR(INDEX(спр_Материалы!$I$2:$I$9000,MATCH($I860,спр_Материалы!$A$2:$A$9000,0))*IF(INDEX(спр_Материалы!$J$2:$J$9000,MATCH($I860,спр_Материалы!$A$2:$A$9000,0))="USD",КурсUSD,IF(INDEX(спр_Материалы!$J$2:$J$9000,MATCH($I860,спр_Материалы!$A$2:$A$9000,0))="EUR",КурсEUR,1))*INDEX(спр_Материалы!$K$2:$K$9000,MATCH($I860,спр_Материалы!$A$2:$A$9000,0))*(1+IFERROR(INDEX(спр_Работы!$I$2:$I$6000,MATCH($C860,спр_Работы!$A$2:$A$6000,0))/100,0))*(1-ДисконтТендер),0))</f>
        <v/>
      </c>
      <c r="N860" s="10">
        <f>IF(AND($R860="да",$H860&lt;&gt;""),ROUND($H860*$L860,2),0)</f>
        <v/>
      </c>
      <c r="O860" s="10">
        <f>IF(AND($R860="да",$H860&lt;&gt;""),ROUND($H860*$M860,2),0)</f>
        <v/>
      </c>
      <c r="P860" s="10">
        <f>$N860+$O860</f>
        <v/>
      </c>
      <c r="Q860">
        <f>IFERROR(INDEX(спр_Работы!$J$2:$J$6000,MATCH($C860,спр_Работы!$A$2:$A$6000,0)),"")</f>
        <v/>
      </c>
      <c r="R860" t="inlineStr">
        <is>
          <t>да</t>
        </is>
      </c>
      <c r="T860">
        <f>IF(AND($P860&gt;0,$R860="да"),MAX($T$1:$T859)+1,"")</f>
        <v/>
      </c>
    </row>
    <row r="861">
      <c r="A861">
        <f>IFERROR(INDEX(спр_Работы!$D$2:$D$6000,MATCH($C861,спр_Работы!$A$2:$A$6000,0)),"")</f>
        <v/>
      </c>
      <c r="B861">
        <f>IFERROR(INDEX(спр_Работы!$F$2:$F$6000,MATCH($C861,спр_Работы!$A$2:$A$6000,0)),"")</f>
        <v/>
      </c>
      <c r="C861">
        <f>IFERROR(INDEX(спр_Работы!$A$2:$A$6000,860),"")</f>
        <v/>
      </c>
      <c r="D861" s="8">
        <f>IFERROR(INDEX(спр_Работы!$B$2:$B$6000,MATCH($C861,спр_Работы!$A$2:$A$6000,0)),"")</f>
        <v/>
      </c>
      <c r="E861">
        <f>IFERROR(INDEX(спр_Работы!$C$2:$C$6000,MATCH($C861,спр_Работы!$A$2:$A$6000,0)),"")</f>
        <v/>
      </c>
      <c r="F861">
        <f>IFERROR(INDEX(спр_Работы!$G$2:$G$6000,MATCH($C861,спр_Работы!$A$2:$A$6000,0)),"")</f>
        <v/>
      </c>
      <c r="G861">
        <f>IFERROR(INDEX(спр_Работы!$K$2:$K$6000,MATCH($C861,спр_Работы!$A$2:$A$6000,0)),"")</f>
        <v/>
      </c>
      <c r="H861" s="9" t="n"/>
      <c r="I861" s="9" t="n"/>
      <c r="J861" s="8">
        <f>IFERROR(INDEX(спр_Материалы!$B$2:$B$9000,MATCH($I861,спр_Материалы!$A$2:$A$9000,0)),"")</f>
        <v/>
      </c>
      <c r="K861">
        <f>IF($I861="","",IF($F861=IFERROR(INDEX(спр_Материалы!$G$2:$G$9000,MATCH($I861,спр_Материалы!$A$2:$A$9000,0)),""),"OK","!! не та группа"))</f>
        <v/>
      </c>
      <c r="L861" s="10">
        <f>IFERROR(INDEX(спр_Работы!$H$2:$H$6000,MATCH($C861,спр_Работы!$A$2:$A$6000,0))*(1-ДисконтТендер),0)</f>
        <v/>
      </c>
      <c r="M861" s="10">
        <f>IF($I861="",0,IFERROR(INDEX(спр_Материалы!$I$2:$I$9000,MATCH($I861,спр_Материалы!$A$2:$A$9000,0))*IF(INDEX(спр_Материалы!$J$2:$J$9000,MATCH($I861,спр_Материалы!$A$2:$A$9000,0))="USD",КурсUSD,IF(INDEX(спр_Материалы!$J$2:$J$9000,MATCH($I861,спр_Материалы!$A$2:$A$9000,0))="EUR",КурсEUR,1))*INDEX(спр_Материалы!$K$2:$K$9000,MATCH($I861,спр_Материалы!$A$2:$A$9000,0))*(1+IFERROR(INDEX(спр_Работы!$I$2:$I$6000,MATCH($C861,спр_Работы!$A$2:$A$6000,0))/100,0))*(1-ДисконтТендер),0))</f>
        <v/>
      </c>
      <c r="N861" s="10">
        <f>IF(AND($R861="да",$H861&lt;&gt;""),ROUND($H861*$L861,2),0)</f>
        <v/>
      </c>
      <c r="O861" s="10">
        <f>IF(AND($R861="да",$H861&lt;&gt;""),ROUND($H861*$M861,2),0)</f>
        <v/>
      </c>
      <c r="P861" s="10">
        <f>$N861+$O861</f>
        <v/>
      </c>
      <c r="Q861">
        <f>IFERROR(INDEX(спр_Работы!$J$2:$J$6000,MATCH($C861,спр_Работы!$A$2:$A$6000,0)),"")</f>
        <v/>
      </c>
      <c r="R861" t="inlineStr">
        <is>
          <t>да</t>
        </is>
      </c>
      <c r="T861">
        <f>IF(AND($P861&gt;0,$R861="да"),MAX($T$1:$T860)+1,"")</f>
        <v/>
      </c>
    </row>
    <row r="862">
      <c r="A862">
        <f>IFERROR(INDEX(спр_Работы!$D$2:$D$6000,MATCH($C862,спр_Работы!$A$2:$A$6000,0)),"")</f>
        <v/>
      </c>
      <c r="B862">
        <f>IFERROR(INDEX(спр_Работы!$F$2:$F$6000,MATCH($C862,спр_Работы!$A$2:$A$6000,0)),"")</f>
        <v/>
      </c>
      <c r="C862">
        <f>IFERROR(INDEX(спр_Работы!$A$2:$A$6000,861),"")</f>
        <v/>
      </c>
      <c r="D862" s="8">
        <f>IFERROR(INDEX(спр_Работы!$B$2:$B$6000,MATCH($C862,спр_Работы!$A$2:$A$6000,0)),"")</f>
        <v/>
      </c>
      <c r="E862">
        <f>IFERROR(INDEX(спр_Работы!$C$2:$C$6000,MATCH($C862,спр_Работы!$A$2:$A$6000,0)),"")</f>
        <v/>
      </c>
      <c r="F862">
        <f>IFERROR(INDEX(спр_Работы!$G$2:$G$6000,MATCH($C862,спр_Работы!$A$2:$A$6000,0)),"")</f>
        <v/>
      </c>
      <c r="G862">
        <f>IFERROR(INDEX(спр_Работы!$K$2:$K$6000,MATCH($C862,спр_Работы!$A$2:$A$6000,0)),"")</f>
        <v/>
      </c>
      <c r="H862" s="9" t="n"/>
      <c r="I862" s="9" t="n"/>
      <c r="J862" s="8">
        <f>IFERROR(INDEX(спр_Материалы!$B$2:$B$9000,MATCH($I862,спр_Материалы!$A$2:$A$9000,0)),"")</f>
        <v/>
      </c>
      <c r="K862">
        <f>IF($I862="","",IF($F862=IFERROR(INDEX(спр_Материалы!$G$2:$G$9000,MATCH($I862,спр_Материалы!$A$2:$A$9000,0)),""),"OK","!! не та группа"))</f>
        <v/>
      </c>
      <c r="L862" s="10">
        <f>IFERROR(INDEX(спр_Работы!$H$2:$H$6000,MATCH($C862,спр_Работы!$A$2:$A$6000,0))*(1-ДисконтТендер),0)</f>
        <v/>
      </c>
      <c r="M862" s="10">
        <f>IF($I862="",0,IFERROR(INDEX(спр_Материалы!$I$2:$I$9000,MATCH($I862,спр_Материалы!$A$2:$A$9000,0))*IF(INDEX(спр_Материалы!$J$2:$J$9000,MATCH($I862,спр_Материалы!$A$2:$A$9000,0))="USD",КурсUSD,IF(INDEX(спр_Материалы!$J$2:$J$9000,MATCH($I862,спр_Материалы!$A$2:$A$9000,0))="EUR",КурсEUR,1))*INDEX(спр_Материалы!$K$2:$K$9000,MATCH($I862,спр_Материалы!$A$2:$A$9000,0))*(1+IFERROR(INDEX(спр_Работы!$I$2:$I$6000,MATCH($C862,спр_Работы!$A$2:$A$6000,0))/100,0))*(1-ДисконтТендер),0))</f>
        <v/>
      </c>
      <c r="N862" s="10">
        <f>IF(AND($R862="да",$H862&lt;&gt;""),ROUND($H862*$L862,2),0)</f>
        <v/>
      </c>
      <c r="O862" s="10">
        <f>IF(AND($R862="да",$H862&lt;&gt;""),ROUND($H862*$M862,2),0)</f>
        <v/>
      </c>
      <c r="P862" s="10">
        <f>$N862+$O862</f>
        <v/>
      </c>
      <c r="Q862">
        <f>IFERROR(INDEX(спр_Работы!$J$2:$J$6000,MATCH($C862,спр_Работы!$A$2:$A$6000,0)),"")</f>
        <v/>
      </c>
      <c r="R862" t="inlineStr">
        <is>
          <t>да</t>
        </is>
      </c>
      <c r="T862">
        <f>IF(AND($P862&gt;0,$R862="да"),MAX($T$1:$T861)+1,"")</f>
        <v/>
      </c>
    </row>
    <row r="863">
      <c r="A863">
        <f>IFERROR(INDEX(спр_Работы!$D$2:$D$6000,MATCH($C863,спр_Работы!$A$2:$A$6000,0)),"")</f>
        <v/>
      </c>
      <c r="B863">
        <f>IFERROR(INDEX(спр_Работы!$F$2:$F$6000,MATCH($C863,спр_Работы!$A$2:$A$6000,0)),"")</f>
        <v/>
      </c>
      <c r="C863">
        <f>IFERROR(INDEX(спр_Работы!$A$2:$A$6000,862),"")</f>
        <v/>
      </c>
      <c r="D863" s="8">
        <f>IFERROR(INDEX(спр_Работы!$B$2:$B$6000,MATCH($C863,спр_Работы!$A$2:$A$6000,0)),"")</f>
        <v/>
      </c>
      <c r="E863">
        <f>IFERROR(INDEX(спр_Работы!$C$2:$C$6000,MATCH($C863,спр_Работы!$A$2:$A$6000,0)),"")</f>
        <v/>
      </c>
      <c r="F863">
        <f>IFERROR(INDEX(спр_Работы!$G$2:$G$6000,MATCH($C863,спр_Работы!$A$2:$A$6000,0)),"")</f>
        <v/>
      </c>
      <c r="G863">
        <f>IFERROR(INDEX(спр_Работы!$K$2:$K$6000,MATCH($C863,спр_Работы!$A$2:$A$6000,0)),"")</f>
        <v/>
      </c>
      <c r="H863" s="9" t="n"/>
      <c r="I863" s="9" t="n"/>
      <c r="J863" s="8">
        <f>IFERROR(INDEX(спр_Материалы!$B$2:$B$9000,MATCH($I863,спр_Материалы!$A$2:$A$9000,0)),"")</f>
        <v/>
      </c>
      <c r="K863">
        <f>IF($I863="","",IF($F863=IFERROR(INDEX(спр_Материалы!$G$2:$G$9000,MATCH($I863,спр_Материалы!$A$2:$A$9000,0)),""),"OK","!! не та группа"))</f>
        <v/>
      </c>
      <c r="L863" s="10">
        <f>IFERROR(INDEX(спр_Работы!$H$2:$H$6000,MATCH($C863,спр_Работы!$A$2:$A$6000,0))*(1-ДисконтТендер),0)</f>
        <v/>
      </c>
      <c r="M863" s="10">
        <f>IF($I863="",0,IFERROR(INDEX(спр_Материалы!$I$2:$I$9000,MATCH($I863,спр_Материалы!$A$2:$A$9000,0))*IF(INDEX(спр_Материалы!$J$2:$J$9000,MATCH($I863,спр_Материалы!$A$2:$A$9000,0))="USD",КурсUSD,IF(INDEX(спр_Материалы!$J$2:$J$9000,MATCH($I863,спр_Материалы!$A$2:$A$9000,0))="EUR",КурсEUR,1))*INDEX(спр_Материалы!$K$2:$K$9000,MATCH($I863,спр_Материалы!$A$2:$A$9000,0))*(1+IFERROR(INDEX(спр_Работы!$I$2:$I$6000,MATCH($C863,спр_Работы!$A$2:$A$6000,0))/100,0))*(1-ДисконтТендер),0))</f>
        <v/>
      </c>
      <c r="N863" s="10">
        <f>IF(AND($R863="да",$H863&lt;&gt;""),ROUND($H863*$L863,2),0)</f>
        <v/>
      </c>
      <c r="O863" s="10">
        <f>IF(AND($R863="да",$H863&lt;&gt;""),ROUND($H863*$M863,2),0)</f>
        <v/>
      </c>
      <c r="P863" s="10">
        <f>$N863+$O863</f>
        <v/>
      </c>
      <c r="Q863">
        <f>IFERROR(INDEX(спр_Работы!$J$2:$J$6000,MATCH($C863,спр_Работы!$A$2:$A$6000,0)),"")</f>
        <v/>
      </c>
      <c r="R863" t="inlineStr">
        <is>
          <t>да</t>
        </is>
      </c>
      <c r="T863">
        <f>IF(AND($P863&gt;0,$R863="да"),MAX($T$1:$T862)+1,"")</f>
        <v/>
      </c>
    </row>
    <row r="864">
      <c r="A864">
        <f>IFERROR(INDEX(спр_Работы!$D$2:$D$6000,MATCH($C864,спр_Работы!$A$2:$A$6000,0)),"")</f>
        <v/>
      </c>
      <c r="B864">
        <f>IFERROR(INDEX(спр_Работы!$F$2:$F$6000,MATCH($C864,спр_Работы!$A$2:$A$6000,0)),"")</f>
        <v/>
      </c>
      <c r="C864">
        <f>IFERROR(INDEX(спр_Работы!$A$2:$A$6000,863),"")</f>
        <v/>
      </c>
      <c r="D864" s="8">
        <f>IFERROR(INDEX(спр_Работы!$B$2:$B$6000,MATCH($C864,спр_Работы!$A$2:$A$6000,0)),"")</f>
        <v/>
      </c>
      <c r="E864">
        <f>IFERROR(INDEX(спр_Работы!$C$2:$C$6000,MATCH($C864,спр_Работы!$A$2:$A$6000,0)),"")</f>
        <v/>
      </c>
      <c r="F864">
        <f>IFERROR(INDEX(спр_Работы!$G$2:$G$6000,MATCH($C864,спр_Работы!$A$2:$A$6000,0)),"")</f>
        <v/>
      </c>
      <c r="G864">
        <f>IFERROR(INDEX(спр_Работы!$K$2:$K$6000,MATCH($C864,спр_Работы!$A$2:$A$6000,0)),"")</f>
        <v/>
      </c>
      <c r="H864" s="9" t="n"/>
      <c r="I864" s="9" t="n"/>
      <c r="J864" s="8">
        <f>IFERROR(INDEX(спр_Материалы!$B$2:$B$9000,MATCH($I864,спр_Материалы!$A$2:$A$9000,0)),"")</f>
        <v/>
      </c>
      <c r="K864">
        <f>IF($I864="","",IF($F864=IFERROR(INDEX(спр_Материалы!$G$2:$G$9000,MATCH($I864,спр_Материалы!$A$2:$A$9000,0)),""),"OK","!! не та группа"))</f>
        <v/>
      </c>
      <c r="L864" s="10">
        <f>IFERROR(INDEX(спр_Работы!$H$2:$H$6000,MATCH($C864,спр_Работы!$A$2:$A$6000,0))*(1-ДисконтТендер),0)</f>
        <v/>
      </c>
      <c r="M864" s="10">
        <f>IF($I864="",0,IFERROR(INDEX(спр_Материалы!$I$2:$I$9000,MATCH($I864,спр_Материалы!$A$2:$A$9000,0))*IF(INDEX(спр_Материалы!$J$2:$J$9000,MATCH($I864,спр_Материалы!$A$2:$A$9000,0))="USD",КурсUSD,IF(INDEX(спр_Материалы!$J$2:$J$9000,MATCH($I864,спр_Материалы!$A$2:$A$9000,0))="EUR",КурсEUR,1))*INDEX(спр_Материалы!$K$2:$K$9000,MATCH($I864,спр_Материалы!$A$2:$A$9000,0))*(1+IFERROR(INDEX(спр_Работы!$I$2:$I$6000,MATCH($C864,спр_Работы!$A$2:$A$6000,0))/100,0))*(1-ДисконтТендер),0))</f>
        <v/>
      </c>
      <c r="N864" s="10">
        <f>IF(AND($R864="да",$H864&lt;&gt;""),ROUND($H864*$L864,2),0)</f>
        <v/>
      </c>
      <c r="O864" s="10">
        <f>IF(AND($R864="да",$H864&lt;&gt;""),ROUND($H864*$M864,2),0)</f>
        <v/>
      </c>
      <c r="P864" s="10">
        <f>$N864+$O864</f>
        <v/>
      </c>
      <c r="Q864">
        <f>IFERROR(INDEX(спр_Работы!$J$2:$J$6000,MATCH($C864,спр_Работы!$A$2:$A$6000,0)),"")</f>
        <v/>
      </c>
      <c r="R864" t="inlineStr">
        <is>
          <t>да</t>
        </is>
      </c>
      <c r="T864">
        <f>IF(AND($P864&gt;0,$R864="да"),MAX($T$1:$T863)+1,"")</f>
        <v/>
      </c>
    </row>
    <row r="865">
      <c r="A865">
        <f>IFERROR(INDEX(спр_Работы!$D$2:$D$6000,MATCH($C865,спр_Работы!$A$2:$A$6000,0)),"")</f>
        <v/>
      </c>
      <c r="B865">
        <f>IFERROR(INDEX(спр_Работы!$F$2:$F$6000,MATCH($C865,спр_Работы!$A$2:$A$6000,0)),"")</f>
        <v/>
      </c>
      <c r="C865">
        <f>IFERROR(INDEX(спр_Работы!$A$2:$A$6000,864),"")</f>
        <v/>
      </c>
      <c r="D865" s="8">
        <f>IFERROR(INDEX(спр_Работы!$B$2:$B$6000,MATCH($C865,спр_Работы!$A$2:$A$6000,0)),"")</f>
        <v/>
      </c>
      <c r="E865">
        <f>IFERROR(INDEX(спр_Работы!$C$2:$C$6000,MATCH($C865,спр_Работы!$A$2:$A$6000,0)),"")</f>
        <v/>
      </c>
      <c r="F865">
        <f>IFERROR(INDEX(спр_Работы!$G$2:$G$6000,MATCH($C865,спр_Работы!$A$2:$A$6000,0)),"")</f>
        <v/>
      </c>
      <c r="G865">
        <f>IFERROR(INDEX(спр_Работы!$K$2:$K$6000,MATCH($C865,спр_Работы!$A$2:$A$6000,0)),"")</f>
        <v/>
      </c>
      <c r="H865" s="9" t="n"/>
      <c r="I865" s="9" t="n"/>
      <c r="J865" s="8">
        <f>IFERROR(INDEX(спр_Материалы!$B$2:$B$9000,MATCH($I865,спр_Материалы!$A$2:$A$9000,0)),"")</f>
        <v/>
      </c>
      <c r="K865">
        <f>IF($I865="","",IF($F865=IFERROR(INDEX(спр_Материалы!$G$2:$G$9000,MATCH($I865,спр_Материалы!$A$2:$A$9000,0)),""),"OK","!! не та группа"))</f>
        <v/>
      </c>
      <c r="L865" s="10">
        <f>IFERROR(INDEX(спр_Работы!$H$2:$H$6000,MATCH($C865,спр_Работы!$A$2:$A$6000,0))*(1-ДисконтТендер),0)</f>
        <v/>
      </c>
      <c r="M865" s="10">
        <f>IF($I865="",0,IFERROR(INDEX(спр_Материалы!$I$2:$I$9000,MATCH($I865,спр_Материалы!$A$2:$A$9000,0))*IF(INDEX(спр_Материалы!$J$2:$J$9000,MATCH($I865,спр_Материалы!$A$2:$A$9000,0))="USD",КурсUSD,IF(INDEX(спр_Материалы!$J$2:$J$9000,MATCH($I865,спр_Материалы!$A$2:$A$9000,0))="EUR",КурсEUR,1))*INDEX(спр_Материалы!$K$2:$K$9000,MATCH($I865,спр_Материалы!$A$2:$A$9000,0))*(1+IFERROR(INDEX(спр_Работы!$I$2:$I$6000,MATCH($C865,спр_Работы!$A$2:$A$6000,0))/100,0))*(1-ДисконтТендер),0))</f>
        <v/>
      </c>
      <c r="N865" s="10">
        <f>IF(AND($R865="да",$H865&lt;&gt;""),ROUND($H865*$L865,2),0)</f>
        <v/>
      </c>
      <c r="O865" s="10">
        <f>IF(AND($R865="да",$H865&lt;&gt;""),ROUND($H865*$M865,2),0)</f>
        <v/>
      </c>
      <c r="P865" s="10">
        <f>$N865+$O865</f>
        <v/>
      </c>
      <c r="Q865">
        <f>IFERROR(INDEX(спр_Работы!$J$2:$J$6000,MATCH($C865,спр_Работы!$A$2:$A$6000,0)),"")</f>
        <v/>
      </c>
      <c r="R865" t="inlineStr">
        <is>
          <t>да</t>
        </is>
      </c>
      <c r="T865">
        <f>IF(AND($P865&gt;0,$R865="да"),MAX($T$1:$T864)+1,"")</f>
        <v/>
      </c>
    </row>
    <row r="866">
      <c r="A866">
        <f>IFERROR(INDEX(спр_Работы!$D$2:$D$6000,MATCH($C866,спр_Работы!$A$2:$A$6000,0)),"")</f>
        <v/>
      </c>
      <c r="B866">
        <f>IFERROR(INDEX(спр_Работы!$F$2:$F$6000,MATCH($C866,спр_Работы!$A$2:$A$6000,0)),"")</f>
        <v/>
      </c>
      <c r="C866">
        <f>IFERROR(INDEX(спр_Работы!$A$2:$A$6000,865),"")</f>
        <v/>
      </c>
      <c r="D866" s="8">
        <f>IFERROR(INDEX(спр_Работы!$B$2:$B$6000,MATCH($C866,спр_Работы!$A$2:$A$6000,0)),"")</f>
        <v/>
      </c>
      <c r="E866">
        <f>IFERROR(INDEX(спр_Работы!$C$2:$C$6000,MATCH($C866,спр_Работы!$A$2:$A$6000,0)),"")</f>
        <v/>
      </c>
      <c r="F866">
        <f>IFERROR(INDEX(спр_Работы!$G$2:$G$6000,MATCH($C866,спр_Работы!$A$2:$A$6000,0)),"")</f>
        <v/>
      </c>
      <c r="G866">
        <f>IFERROR(INDEX(спр_Работы!$K$2:$K$6000,MATCH($C866,спр_Работы!$A$2:$A$6000,0)),"")</f>
        <v/>
      </c>
      <c r="H866" s="9" t="n"/>
      <c r="I866" s="9" t="n"/>
      <c r="J866" s="8">
        <f>IFERROR(INDEX(спр_Материалы!$B$2:$B$9000,MATCH($I866,спр_Материалы!$A$2:$A$9000,0)),"")</f>
        <v/>
      </c>
      <c r="K866">
        <f>IF($I866="","",IF($F866=IFERROR(INDEX(спр_Материалы!$G$2:$G$9000,MATCH($I866,спр_Материалы!$A$2:$A$9000,0)),""),"OK","!! не та группа"))</f>
        <v/>
      </c>
      <c r="L866" s="10">
        <f>IFERROR(INDEX(спр_Работы!$H$2:$H$6000,MATCH($C866,спр_Работы!$A$2:$A$6000,0))*(1-ДисконтТендер),0)</f>
        <v/>
      </c>
      <c r="M866" s="10">
        <f>IF($I866="",0,IFERROR(INDEX(спр_Материалы!$I$2:$I$9000,MATCH($I866,спр_Материалы!$A$2:$A$9000,0))*IF(INDEX(спр_Материалы!$J$2:$J$9000,MATCH($I866,спр_Материалы!$A$2:$A$9000,0))="USD",КурсUSD,IF(INDEX(спр_Материалы!$J$2:$J$9000,MATCH($I866,спр_Материалы!$A$2:$A$9000,0))="EUR",КурсEUR,1))*INDEX(спр_Материалы!$K$2:$K$9000,MATCH($I866,спр_Материалы!$A$2:$A$9000,0))*(1+IFERROR(INDEX(спр_Работы!$I$2:$I$6000,MATCH($C866,спр_Работы!$A$2:$A$6000,0))/100,0))*(1-ДисконтТендер),0))</f>
        <v/>
      </c>
      <c r="N866" s="10">
        <f>IF(AND($R866="да",$H866&lt;&gt;""),ROUND($H866*$L866,2),0)</f>
        <v/>
      </c>
      <c r="O866" s="10">
        <f>IF(AND($R866="да",$H866&lt;&gt;""),ROUND($H866*$M866,2),0)</f>
        <v/>
      </c>
      <c r="P866" s="10">
        <f>$N866+$O866</f>
        <v/>
      </c>
      <c r="Q866">
        <f>IFERROR(INDEX(спр_Работы!$J$2:$J$6000,MATCH($C866,спр_Работы!$A$2:$A$6000,0)),"")</f>
        <v/>
      </c>
      <c r="R866" t="inlineStr">
        <is>
          <t>да</t>
        </is>
      </c>
      <c r="T866">
        <f>IF(AND($P866&gt;0,$R866="да"),MAX($T$1:$T865)+1,"")</f>
        <v/>
      </c>
    </row>
    <row r="867">
      <c r="A867">
        <f>IFERROR(INDEX(спр_Работы!$D$2:$D$6000,MATCH($C867,спр_Работы!$A$2:$A$6000,0)),"")</f>
        <v/>
      </c>
      <c r="B867">
        <f>IFERROR(INDEX(спр_Работы!$F$2:$F$6000,MATCH($C867,спр_Работы!$A$2:$A$6000,0)),"")</f>
        <v/>
      </c>
      <c r="C867">
        <f>IFERROR(INDEX(спр_Работы!$A$2:$A$6000,866),"")</f>
        <v/>
      </c>
      <c r="D867" s="8">
        <f>IFERROR(INDEX(спр_Работы!$B$2:$B$6000,MATCH($C867,спр_Работы!$A$2:$A$6000,0)),"")</f>
        <v/>
      </c>
      <c r="E867">
        <f>IFERROR(INDEX(спр_Работы!$C$2:$C$6000,MATCH($C867,спр_Работы!$A$2:$A$6000,0)),"")</f>
        <v/>
      </c>
      <c r="F867">
        <f>IFERROR(INDEX(спр_Работы!$G$2:$G$6000,MATCH($C867,спр_Работы!$A$2:$A$6000,0)),"")</f>
        <v/>
      </c>
      <c r="G867">
        <f>IFERROR(INDEX(спр_Работы!$K$2:$K$6000,MATCH($C867,спр_Работы!$A$2:$A$6000,0)),"")</f>
        <v/>
      </c>
      <c r="H867" s="9" t="n"/>
      <c r="I867" s="9" t="n"/>
      <c r="J867" s="8">
        <f>IFERROR(INDEX(спр_Материалы!$B$2:$B$9000,MATCH($I867,спр_Материалы!$A$2:$A$9000,0)),"")</f>
        <v/>
      </c>
      <c r="K867">
        <f>IF($I867="","",IF($F867=IFERROR(INDEX(спр_Материалы!$G$2:$G$9000,MATCH($I867,спр_Материалы!$A$2:$A$9000,0)),""),"OK","!! не та группа"))</f>
        <v/>
      </c>
      <c r="L867" s="10">
        <f>IFERROR(INDEX(спр_Работы!$H$2:$H$6000,MATCH($C867,спр_Работы!$A$2:$A$6000,0))*(1-ДисконтТендер),0)</f>
        <v/>
      </c>
      <c r="M867" s="10">
        <f>IF($I867="",0,IFERROR(INDEX(спр_Материалы!$I$2:$I$9000,MATCH($I867,спр_Материалы!$A$2:$A$9000,0))*IF(INDEX(спр_Материалы!$J$2:$J$9000,MATCH($I867,спр_Материалы!$A$2:$A$9000,0))="USD",КурсUSD,IF(INDEX(спр_Материалы!$J$2:$J$9000,MATCH($I867,спр_Материалы!$A$2:$A$9000,0))="EUR",КурсEUR,1))*INDEX(спр_Материалы!$K$2:$K$9000,MATCH($I867,спр_Материалы!$A$2:$A$9000,0))*(1+IFERROR(INDEX(спр_Работы!$I$2:$I$6000,MATCH($C867,спр_Работы!$A$2:$A$6000,0))/100,0))*(1-ДисконтТендер),0))</f>
        <v/>
      </c>
      <c r="N867" s="10">
        <f>IF(AND($R867="да",$H867&lt;&gt;""),ROUND($H867*$L867,2),0)</f>
        <v/>
      </c>
      <c r="O867" s="10">
        <f>IF(AND($R867="да",$H867&lt;&gt;""),ROUND($H867*$M867,2),0)</f>
        <v/>
      </c>
      <c r="P867" s="10">
        <f>$N867+$O867</f>
        <v/>
      </c>
      <c r="Q867">
        <f>IFERROR(INDEX(спр_Работы!$J$2:$J$6000,MATCH($C867,спр_Работы!$A$2:$A$6000,0)),"")</f>
        <v/>
      </c>
      <c r="R867" t="inlineStr">
        <is>
          <t>да</t>
        </is>
      </c>
      <c r="T867">
        <f>IF(AND($P867&gt;0,$R867="да"),MAX($T$1:$T866)+1,"")</f>
        <v/>
      </c>
    </row>
    <row r="868">
      <c r="A868">
        <f>IFERROR(INDEX(спр_Работы!$D$2:$D$6000,MATCH($C868,спр_Работы!$A$2:$A$6000,0)),"")</f>
        <v/>
      </c>
      <c r="B868">
        <f>IFERROR(INDEX(спр_Работы!$F$2:$F$6000,MATCH($C868,спр_Работы!$A$2:$A$6000,0)),"")</f>
        <v/>
      </c>
      <c r="C868">
        <f>IFERROR(INDEX(спр_Работы!$A$2:$A$6000,867),"")</f>
        <v/>
      </c>
      <c r="D868" s="8">
        <f>IFERROR(INDEX(спр_Работы!$B$2:$B$6000,MATCH($C868,спр_Работы!$A$2:$A$6000,0)),"")</f>
        <v/>
      </c>
      <c r="E868">
        <f>IFERROR(INDEX(спр_Работы!$C$2:$C$6000,MATCH($C868,спр_Работы!$A$2:$A$6000,0)),"")</f>
        <v/>
      </c>
      <c r="F868">
        <f>IFERROR(INDEX(спр_Работы!$G$2:$G$6000,MATCH($C868,спр_Работы!$A$2:$A$6000,0)),"")</f>
        <v/>
      </c>
      <c r="G868">
        <f>IFERROR(INDEX(спр_Работы!$K$2:$K$6000,MATCH($C868,спр_Работы!$A$2:$A$6000,0)),"")</f>
        <v/>
      </c>
      <c r="H868" s="9" t="n"/>
      <c r="I868" s="9" t="n"/>
      <c r="J868" s="8">
        <f>IFERROR(INDEX(спр_Материалы!$B$2:$B$9000,MATCH($I868,спр_Материалы!$A$2:$A$9000,0)),"")</f>
        <v/>
      </c>
      <c r="K868">
        <f>IF($I868="","",IF($F868=IFERROR(INDEX(спр_Материалы!$G$2:$G$9000,MATCH($I868,спр_Материалы!$A$2:$A$9000,0)),""),"OK","!! не та группа"))</f>
        <v/>
      </c>
      <c r="L868" s="10">
        <f>IFERROR(INDEX(спр_Работы!$H$2:$H$6000,MATCH($C868,спр_Работы!$A$2:$A$6000,0))*(1-ДисконтТендер),0)</f>
        <v/>
      </c>
      <c r="M868" s="10">
        <f>IF($I868="",0,IFERROR(INDEX(спр_Материалы!$I$2:$I$9000,MATCH($I868,спр_Материалы!$A$2:$A$9000,0))*IF(INDEX(спр_Материалы!$J$2:$J$9000,MATCH($I868,спр_Материалы!$A$2:$A$9000,0))="USD",КурсUSD,IF(INDEX(спр_Материалы!$J$2:$J$9000,MATCH($I868,спр_Материалы!$A$2:$A$9000,0))="EUR",КурсEUR,1))*INDEX(спр_Материалы!$K$2:$K$9000,MATCH($I868,спр_Материалы!$A$2:$A$9000,0))*(1+IFERROR(INDEX(спр_Работы!$I$2:$I$6000,MATCH($C868,спр_Работы!$A$2:$A$6000,0))/100,0))*(1-ДисконтТендер),0))</f>
        <v/>
      </c>
      <c r="N868" s="10">
        <f>IF(AND($R868="да",$H868&lt;&gt;""),ROUND($H868*$L868,2),0)</f>
        <v/>
      </c>
      <c r="O868" s="10">
        <f>IF(AND($R868="да",$H868&lt;&gt;""),ROUND($H868*$M868,2),0)</f>
        <v/>
      </c>
      <c r="P868" s="10">
        <f>$N868+$O868</f>
        <v/>
      </c>
      <c r="Q868">
        <f>IFERROR(INDEX(спр_Работы!$J$2:$J$6000,MATCH($C868,спр_Работы!$A$2:$A$6000,0)),"")</f>
        <v/>
      </c>
      <c r="R868" t="inlineStr">
        <is>
          <t>да</t>
        </is>
      </c>
      <c r="T868">
        <f>IF(AND($P868&gt;0,$R868="да"),MAX($T$1:$T867)+1,"")</f>
        <v/>
      </c>
    </row>
    <row r="869">
      <c r="A869">
        <f>IFERROR(INDEX(спр_Работы!$D$2:$D$6000,MATCH($C869,спр_Работы!$A$2:$A$6000,0)),"")</f>
        <v/>
      </c>
      <c r="B869">
        <f>IFERROR(INDEX(спр_Работы!$F$2:$F$6000,MATCH($C869,спр_Работы!$A$2:$A$6000,0)),"")</f>
        <v/>
      </c>
      <c r="C869">
        <f>IFERROR(INDEX(спр_Работы!$A$2:$A$6000,868),"")</f>
        <v/>
      </c>
      <c r="D869" s="8">
        <f>IFERROR(INDEX(спр_Работы!$B$2:$B$6000,MATCH($C869,спр_Работы!$A$2:$A$6000,0)),"")</f>
        <v/>
      </c>
      <c r="E869">
        <f>IFERROR(INDEX(спр_Работы!$C$2:$C$6000,MATCH($C869,спр_Работы!$A$2:$A$6000,0)),"")</f>
        <v/>
      </c>
      <c r="F869">
        <f>IFERROR(INDEX(спр_Работы!$G$2:$G$6000,MATCH($C869,спр_Работы!$A$2:$A$6000,0)),"")</f>
        <v/>
      </c>
      <c r="G869">
        <f>IFERROR(INDEX(спр_Работы!$K$2:$K$6000,MATCH($C869,спр_Работы!$A$2:$A$6000,0)),"")</f>
        <v/>
      </c>
      <c r="H869" s="9" t="n"/>
      <c r="I869" s="9" t="n"/>
      <c r="J869" s="8">
        <f>IFERROR(INDEX(спр_Материалы!$B$2:$B$9000,MATCH($I869,спр_Материалы!$A$2:$A$9000,0)),"")</f>
        <v/>
      </c>
      <c r="K869">
        <f>IF($I869="","",IF($F869=IFERROR(INDEX(спр_Материалы!$G$2:$G$9000,MATCH($I869,спр_Материалы!$A$2:$A$9000,0)),""),"OK","!! не та группа"))</f>
        <v/>
      </c>
      <c r="L869" s="10">
        <f>IFERROR(INDEX(спр_Работы!$H$2:$H$6000,MATCH($C869,спр_Работы!$A$2:$A$6000,0))*(1-ДисконтТендер),0)</f>
        <v/>
      </c>
      <c r="M869" s="10">
        <f>IF($I869="",0,IFERROR(INDEX(спр_Материалы!$I$2:$I$9000,MATCH($I869,спр_Материалы!$A$2:$A$9000,0))*IF(INDEX(спр_Материалы!$J$2:$J$9000,MATCH($I869,спр_Материалы!$A$2:$A$9000,0))="USD",КурсUSD,IF(INDEX(спр_Материалы!$J$2:$J$9000,MATCH($I869,спр_Материалы!$A$2:$A$9000,0))="EUR",КурсEUR,1))*INDEX(спр_Материалы!$K$2:$K$9000,MATCH($I869,спр_Материалы!$A$2:$A$9000,0))*(1+IFERROR(INDEX(спр_Работы!$I$2:$I$6000,MATCH($C869,спр_Работы!$A$2:$A$6000,0))/100,0))*(1-ДисконтТендер),0))</f>
        <v/>
      </c>
      <c r="N869" s="10">
        <f>IF(AND($R869="да",$H869&lt;&gt;""),ROUND($H869*$L869,2),0)</f>
        <v/>
      </c>
      <c r="O869" s="10">
        <f>IF(AND($R869="да",$H869&lt;&gt;""),ROUND($H869*$M869,2),0)</f>
        <v/>
      </c>
      <c r="P869" s="10">
        <f>$N869+$O869</f>
        <v/>
      </c>
      <c r="Q869">
        <f>IFERROR(INDEX(спр_Работы!$J$2:$J$6000,MATCH($C869,спр_Работы!$A$2:$A$6000,0)),"")</f>
        <v/>
      </c>
      <c r="R869" t="inlineStr">
        <is>
          <t>да</t>
        </is>
      </c>
      <c r="T869">
        <f>IF(AND($P869&gt;0,$R869="да"),MAX($T$1:$T868)+1,"")</f>
        <v/>
      </c>
    </row>
    <row r="870">
      <c r="A870">
        <f>IFERROR(INDEX(спр_Работы!$D$2:$D$6000,MATCH($C870,спр_Работы!$A$2:$A$6000,0)),"")</f>
        <v/>
      </c>
      <c r="B870">
        <f>IFERROR(INDEX(спр_Работы!$F$2:$F$6000,MATCH($C870,спр_Работы!$A$2:$A$6000,0)),"")</f>
        <v/>
      </c>
      <c r="C870">
        <f>IFERROR(INDEX(спр_Работы!$A$2:$A$6000,869),"")</f>
        <v/>
      </c>
      <c r="D870" s="8">
        <f>IFERROR(INDEX(спр_Работы!$B$2:$B$6000,MATCH($C870,спр_Работы!$A$2:$A$6000,0)),"")</f>
        <v/>
      </c>
      <c r="E870">
        <f>IFERROR(INDEX(спр_Работы!$C$2:$C$6000,MATCH($C870,спр_Работы!$A$2:$A$6000,0)),"")</f>
        <v/>
      </c>
      <c r="F870">
        <f>IFERROR(INDEX(спр_Работы!$G$2:$G$6000,MATCH($C870,спр_Работы!$A$2:$A$6000,0)),"")</f>
        <v/>
      </c>
      <c r="G870">
        <f>IFERROR(INDEX(спр_Работы!$K$2:$K$6000,MATCH($C870,спр_Работы!$A$2:$A$6000,0)),"")</f>
        <v/>
      </c>
      <c r="H870" s="9" t="n"/>
      <c r="I870" s="9" t="n"/>
      <c r="J870" s="8">
        <f>IFERROR(INDEX(спр_Материалы!$B$2:$B$9000,MATCH($I870,спр_Материалы!$A$2:$A$9000,0)),"")</f>
        <v/>
      </c>
      <c r="K870">
        <f>IF($I870="","",IF($F870=IFERROR(INDEX(спр_Материалы!$G$2:$G$9000,MATCH($I870,спр_Материалы!$A$2:$A$9000,0)),""),"OK","!! не та группа"))</f>
        <v/>
      </c>
      <c r="L870" s="10">
        <f>IFERROR(INDEX(спр_Работы!$H$2:$H$6000,MATCH($C870,спр_Работы!$A$2:$A$6000,0))*(1-ДисконтТендер),0)</f>
        <v/>
      </c>
      <c r="M870" s="10">
        <f>IF($I870="",0,IFERROR(INDEX(спр_Материалы!$I$2:$I$9000,MATCH($I870,спр_Материалы!$A$2:$A$9000,0))*IF(INDEX(спр_Материалы!$J$2:$J$9000,MATCH($I870,спр_Материалы!$A$2:$A$9000,0))="USD",КурсUSD,IF(INDEX(спр_Материалы!$J$2:$J$9000,MATCH($I870,спр_Материалы!$A$2:$A$9000,0))="EUR",КурсEUR,1))*INDEX(спр_Материалы!$K$2:$K$9000,MATCH($I870,спр_Материалы!$A$2:$A$9000,0))*(1+IFERROR(INDEX(спр_Работы!$I$2:$I$6000,MATCH($C870,спр_Работы!$A$2:$A$6000,0))/100,0))*(1-ДисконтТендер),0))</f>
        <v/>
      </c>
      <c r="N870" s="10">
        <f>IF(AND($R870="да",$H870&lt;&gt;""),ROUND($H870*$L870,2),0)</f>
        <v/>
      </c>
      <c r="O870" s="10">
        <f>IF(AND($R870="да",$H870&lt;&gt;""),ROUND($H870*$M870,2),0)</f>
        <v/>
      </c>
      <c r="P870" s="10">
        <f>$N870+$O870</f>
        <v/>
      </c>
      <c r="Q870">
        <f>IFERROR(INDEX(спр_Работы!$J$2:$J$6000,MATCH($C870,спр_Работы!$A$2:$A$6000,0)),"")</f>
        <v/>
      </c>
      <c r="R870" t="inlineStr">
        <is>
          <t>да</t>
        </is>
      </c>
      <c r="T870">
        <f>IF(AND($P870&gt;0,$R870="да"),MAX($T$1:$T869)+1,"")</f>
        <v/>
      </c>
    </row>
    <row r="871">
      <c r="A871">
        <f>IFERROR(INDEX(спр_Работы!$D$2:$D$6000,MATCH($C871,спр_Работы!$A$2:$A$6000,0)),"")</f>
        <v/>
      </c>
      <c r="B871">
        <f>IFERROR(INDEX(спр_Работы!$F$2:$F$6000,MATCH($C871,спр_Работы!$A$2:$A$6000,0)),"")</f>
        <v/>
      </c>
      <c r="C871">
        <f>IFERROR(INDEX(спр_Работы!$A$2:$A$6000,870),"")</f>
        <v/>
      </c>
      <c r="D871" s="8">
        <f>IFERROR(INDEX(спр_Работы!$B$2:$B$6000,MATCH($C871,спр_Работы!$A$2:$A$6000,0)),"")</f>
        <v/>
      </c>
      <c r="E871">
        <f>IFERROR(INDEX(спр_Работы!$C$2:$C$6000,MATCH($C871,спр_Работы!$A$2:$A$6000,0)),"")</f>
        <v/>
      </c>
      <c r="F871">
        <f>IFERROR(INDEX(спр_Работы!$G$2:$G$6000,MATCH($C871,спр_Работы!$A$2:$A$6000,0)),"")</f>
        <v/>
      </c>
      <c r="G871">
        <f>IFERROR(INDEX(спр_Работы!$K$2:$K$6000,MATCH($C871,спр_Работы!$A$2:$A$6000,0)),"")</f>
        <v/>
      </c>
      <c r="H871" s="9" t="n"/>
      <c r="I871" s="9" t="n"/>
      <c r="J871" s="8">
        <f>IFERROR(INDEX(спр_Материалы!$B$2:$B$9000,MATCH($I871,спр_Материалы!$A$2:$A$9000,0)),"")</f>
        <v/>
      </c>
      <c r="K871">
        <f>IF($I871="","",IF($F871=IFERROR(INDEX(спр_Материалы!$G$2:$G$9000,MATCH($I871,спр_Материалы!$A$2:$A$9000,0)),""),"OK","!! не та группа"))</f>
        <v/>
      </c>
      <c r="L871" s="10">
        <f>IFERROR(INDEX(спр_Работы!$H$2:$H$6000,MATCH($C871,спр_Работы!$A$2:$A$6000,0))*(1-ДисконтТендер),0)</f>
        <v/>
      </c>
      <c r="M871" s="10">
        <f>IF($I871="",0,IFERROR(INDEX(спр_Материалы!$I$2:$I$9000,MATCH($I871,спр_Материалы!$A$2:$A$9000,0))*IF(INDEX(спр_Материалы!$J$2:$J$9000,MATCH($I871,спр_Материалы!$A$2:$A$9000,0))="USD",КурсUSD,IF(INDEX(спр_Материалы!$J$2:$J$9000,MATCH($I871,спр_Материалы!$A$2:$A$9000,0))="EUR",КурсEUR,1))*INDEX(спр_Материалы!$K$2:$K$9000,MATCH($I871,спр_Материалы!$A$2:$A$9000,0))*(1+IFERROR(INDEX(спр_Работы!$I$2:$I$6000,MATCH($C871,спр_Работы!$A$2:$A$6000,0))/100,0))*(1-ДисконтТендер),0))</f>
        <v/>
      </c>
      <c r="N871" s="10">
        <f>IF(AND($R871="да",$H871&lt;&gt;""),ROUND($H871*$L871,2),0)</f>
        <v/>
      </c>
      <c r="O871" s="10">
        <f>IF(AND($R871="да",$H871&lt;&gt;""),ROUND($H871*$M871,2),0)</f>
        <v/>
      </c>
      <c r="P871" s="10">
        <f>$N871+$O871</f>
        <v/>
      </c>
      <c r="Q871">
        <f>IFERROR(INDEX(спр_Работы!$J$2:$J$6000,MATCH($C871,спр_Работы!$A$2:$A$6000,0)),"")</f>
        <v/>
      </c>
      <c r="R871" t="inlineStr">
        <is>
          <t>да</t>
        </is>
      </c>
      <c r="T871">
        <f>IF(AND($P871&gt;0,$R871="да"),MAX($T$1:$T870)+1,"")</f>
        <v/>
      </c>
    </row>
    <row r="872">
      <c r="A872">
        <f>IFERROR(INDEX(спр_Работы!$D$2:$D$6000,MATCH($C872,спр_Работы!$A$2:$A$6000,0)),"")</f>
        <v/>
      </c>
      <c r="B872">
        <f>IFERROR(INDEX(спр_Работы!$F$2:$F$6000,MATCH($C872,спр_Работы!$A$2:$A$6000,0)),"")</f>
        <v/>
      </c>
      <c r="C872">
        <f>IFERROR(INDEX(спр_Работы!$A$2:$A$6000,871),"")</f>
        <v/>
      </c>
      <c r="D872" s="8">
        <f>IFERROR(INDEX(спр_Работы!$B$2:$B$6000,MATCH($C872,спр_Работы!$A$2:$A$6000,0)),"")</f>
        <v/>
      </c>
      <c r="E872">
        <f>IFERROR(INDEX(спр_Работы!$C$2:$C$6000,MATCH($C872,спр_Работы!$A$2:$A$6000,0)),"")</f>
        <v/>
      </c>
      <c r="F872">
        <f>IFERROR(INDEX(спр_Работы!$G$2:$G$6000,MATCH($C872,спр_Работы!$A$2:$A$6000,0)),"")</f>
        <v/>
      </c>
      <c r="G872">
        <f>IFERROR(INDEX(спр_Работы!$K$2:$K$6000,MATCH($C872,спр_Работы!$A$2:$A$6000,0)),"")</f>
        <v/>
      </c>
      <c r="H872" s="9" t="n"/>
      <c r="I872" s="9" t="n"/>
      <c r="J872" s="8">
        <f>IFERROR(INDEX(спр_Материалы!$B$2:$B$9000,MATCH($I872,спр_Материалы!$A$2:$A$9000,0)),"")</f>
        <v/>
      </c>
      <c r="K872">
        <f>IF($I872="","",IF($F872=IFERROR(INDEX(спр_Материалы!$G$2:$G$9000,MATCH($I872,спр_Материалы!$A$2:$A$9000,0)),""),"OK","!! не та группа"))</f>
        <v/>
      </c>
      <c r="L872" s="10">
        <f>IFERROR(INDEX(спр_Работы!$H$2:$H$6000,MATCH($C872,спр_Работы!$A$2:$A$6000,0))*(1-ДисконтТендер),0)</f>
        <v/>
      </c>
      <c r="M872" s="10">
        <f>IF($I872="",0,IFERROR(INDEX(спр_Материалы!$I$2:$I$9000,MATCH($I872,спр_Материалы!$A$2:$A$9000,0))*IF(INDEX(спр_Материалы!$J$2:$J$9000,MATCH($I872,спр_Материалы!$A$2:$A$9000,0))="USD",КурсUSD,IF(INDEX(спр_Материалы!$J$2:$J$9000,MATCH($I872,спр_Материалы!$A$2:$A$9000,0))="EUR",КурсEUR,1))*INDEX(спр_Материалы!$K$2:$K$9000,MATCH($I872,спр_Материалы!$A$2:$A$9000,0))*(1+IFERROR(INDEX(спр_Работы!$I$2:$I$6000,MATCH($C872,спр_Работы!$A$2:$A$6000,0))/100,0))*(1-ДисконтТендер),0))</f>
        <v/>
      </c>
      <c r="N872" s="10">
        <f>IF(AND($R872="да",$H872&lt;&gt;""),ROUND($H872*$L872,2),0)</f>
        <v/>
      </c>
      <c r="O872" s="10">
        <f>IF(AND($R872="да",$H872&lt;&gt;""),ROUND($H872*$M872,2),0)</f>
        <v/>
      </c>
      <c r="P872" s="10">
        <f>$N872+$O872</f>
        <v/>
      </c>
      <c r="Q872">
        <f>IFERROR(INDEX(спр_Работы!$J$2:$J$6000,MATCH($C872,спр_Работы!$A$2:$A$6000,0)),"")</f>
        <v/>
      </c>
      <c r="R872" t="inlineStr">
        <is>
          <t>да</t>
        </is>
      </c>
      <c r="T872">
        <f>IF(AND($P872&gt;0,$R872="да"),MAX($T$1:$T871)+1,"")</f>
        <v/>
      </c>
    </row>
    <row r="873">
      <c r="A873">
        <f>IFERROR(INDEX(спр_Работы!$D$2:$D$6000,MATCH($C873,спр_Работы!$A$2:$A$6000,0)),"")</f>
        <v/>
      </c>
      <c r="B873">
        <f>IFERROR(INDEX(спр_Работы!$F$2:$F$6000,MATCH($C873,спр_Работы!$A$2:$A$6000,0)),"")</f>
        <v/>
      </c>
      <c r="C873">
        <f>IFERROR(INDEX(спр_Работы!$A$2:$A$6000,872),"")</f>
        <v/>
      </c>
      <c r="D873" s="8">
        <f>IFERROR(INDEX(спр_Работы!$B$2:$B$6000,MATCH($C873,спр_Работы!$A$2:$A$6000,0)),"")</f>
        <v/>
      </c>
      <c r="E873">
        <f>IFERROR(INDEX(спр_Работы!$C$2:$C$6000,MATCH($C873,спр_Работы!$A$2:$A$6000,0)),"")</f>
        <v/>
      </c>
      <c r="F873">
        <f>IFERROR(INDEX(спр_Работы!$G$2:$G$6000,MATCH($C873,спр_Работы!$A$2:$A$6000,0)),"")</f>
        <v/>
      </c>
      <c r="G873">
        <f>IFERROR(INDEX(спр_Работы!$K$2:$K$6000,MATCH($C873,спр_Работы!$A$2:$A$6000,0)),"")</f>
        <v/>
      </c>
      <c r="H873" s="9" t="n"/>
      <c r="I873" s="9" t="n"/>
      <c r="J873" s="8">
        <f>IFERROR(INDEX(спр_Материалы!$B$2:$B$9000,MATCH($I873,спр_Материалы!$A$2:$A$9000,0)),"")</f>
        <v/>
      </c>
      <c r="K873">
        <f>IF($I873="","",IF($F873=IFERROR(INDEX(спр_Материалы!$G$2:$G$9000,MATCH($I873,спр_Материалы!$A$2:$A$9000,0)),""),"OK","!! не та группа"))</f>
        <v/>
      </c>
      <c r="L873" s="10">
        <f>IFERROR(INDEX(спр_Работы!$H$2:$H$6000,MATCH($C873,спр_Работы!$A$2:$A$6000,0))*(1-ДисконтТендер),0)</f>
        <v/>
      </c>
      <c r="M873" s="10">
        <f>IF($I873="",0,IFERROR(INDEX(спр_Материалы!$I$2:$I$9000,MATCH($I873,спр_Материалы!$A$2:$A$9000,0))*IF(INDEX(спр_Материалы!$J$2:$J$9000,MATCH($I873,спр_Материалы!$A$2:$A$9000,0))="USD",КурсUSD,IF(INDEX(спр_Материалы!$J$2:$J$9000,MATCH($I873,спр_Материалы!$A$2:$A$9000,0))="EUR",КурсEUR,1))*INDEX(спр_Материалы!$K$2:$K$9000,MATCH($I873,спр_Материалы!$A$2:$A$9000,0))*(1+IFERROR(INDEX(спр_Работы!$I$2:$I$6000,MATCH($C873,спр_Работы!$A$2:$A$6000,0))/100,0))*(1-ДисконтТендер),0))</f>
        <v/>
      </c>
      <c r="N873" s="10">
        <f>IF(AND($R873="да",$H873&lt;&gt;""),ROUND($H873*$L873,2),0)</f>
        <v/>
      </c>
      <c r="O873" s="10">
        <f>IF(AND($R873="да",$H873&lt;&gt;""),ROUND($H873*$M873,2),0)</f>
        <v/>
      </c>
      <c r="P873" s="10">
        <f>$N873+$O873</f>
        <v/>
      </c>
      <c r="Q873">
        <f>IFERROR(INDEX(спр_Работы!$J$2:$J$6000,MATCH($C873,спр_Работы!$A$2:$A$6000,0)),"")</f>
        <v/>
      </c>
      <c r="R873" t="inlineStr">
        <is>
          <t>да</t>
        </is>
      </c>
      <c r="T873">
        <f>IF(AND($P873&gt;0,$R873="да"),MAX($T$1:$T872)+1,"")</f>
        <v/>
      </c>
    </row>
    <row r="874">
      <c r="A874">
        <f>IFERROR(INDEX(спр_Работы!$D$2:$D$6000,MATCH($C874,спр_Работы!$A$2:$A$6000,0)),"")</f>
        <v/>
      </c>
      <c r="B874">
        <f>IFERROR(INDEX(спр_Работы!$F$2:$F$6000,MATCH($C874,спр_Работы!$A$2:$A$6000,0)),"")</f>
        <v/>
      </c>
      <c r="C874">
        <f>IFERROR(INDEX(спр_Работы!$A$2:$A$6000,873),"")</f>
        <v/>
      </c>
      <c r="D874" s="8">
        <f>IFERROR(INDEX(спр_Работы!$B$2:$B$6000,MATCH($C874,спр_Работы!$A$2:$A$6000,0)),"")</f>
        <v/>
      </c>
      <c r="E874">
        <f>IFERROR(INDEX(спр_Работы!$C$2:$C$6000,MATCH($C874,спр_Работы!$A$2:$A$6000,0)),"")</f>
        <v/>
      </c>
      <c r="F874">
        <f>IFERROR(INDEX(спр_Работы!$G$2:$G$6000,MATCH($C874,спр_Работы!$A$2:$A$6000,0)),"")</f>
        <v/>
      </c>
      <c r="G874">
        <f>IFERROR(INDEX(спр_Работы!$K$2:$K$6000,MATCH($C874,спр_Работы!$A$2:$A$6000,0)),"")</f>
        <v/>
      </c>
      <c r="H874" s="9" t="n"/>
      <c r="I874" s="9" t="n"/>
      <c r="J874" s="8">
        <f>IFERROR(INDEX(спр_Материалы!$B$2:$B$9000,MATCH($I874,спр_Материалы!$A$2:$A$9000,0)),"")</f>
        <v/>
      </c>
      <c r="K874">
        <f>IF($I874="","",IF($F874=IFERROR(INDEX(спр_Материалы!$G$2:$G$9000,MATCH($I874,спр_Материалы!$A$2:$A$9000,0)),""),"OK","!! не та группа"))</f>
        <v/>
      </c>
      <c r="L874" s="10">
        <f>IFERROR(INDEX(спр_Работы!$H$2:$H$6000,MATCH($C874,спр_Работы!$A$2:$A$6000,0))*(1-ДисконтТендер),0)</f>
        <v/>
      </c>
      <c r="M874" s="10">
        <f>IF($I874="",0,IFERROR(INDEX(спр_Материалы!$I$2:$I$9000,MATCH($I874,спр_Материалы!$A$2:$A$9000,0))*IF(INDEX(спр_Материалы!$J$2:$J$9000,MATCH($I874,спр_Материалы!$A$2:$A$9000,0))="USD",КурсUSD,IF(INDEX(спр_Материалы!$J$2:$J$9000,MATCH($I874,спр_Материалы!$A$2:$A$9000,0))="EUR",КурсEUR,1))*INDEX(спр_Материалы!$K$2:$K$9000,MATCH($I874,спр_Материалы!$A$2:$A$9000,0))*(1+IFERROR(INDEX(спр_Работы!$I$2:$I$6000,MATCH($C874,спр_Работы!$A$2:$A$6000,0))/100,0))*(1-ДисконтТендер),0))</f>
        <v/>
      </c>
      <c r="N874" s="10">
        <f>IF(AND($R874="да",$H874&lt;&gt;""),ROUND($H874*$L874,2),0)</f>
        <v/>
      </c>
      <c r="O874" s="10">
        <f>IF(AND($R874="да",$H874&lt;&gt;""),ROUND($H874*$M874,2),0)</f>
        <v/>
      </c>
      <c r="P874" s="10">
        <f>$N874+$O874</f>
        <v/>
      </c>
      <c r="Q874">
        <f>IFERROR(INDEX(спр_Работы!$J$2:$J$6000,MATCH($C874,спр_Работы!$A$2:$A$6000,0)),"")</f>
        <v/>
      </c>
      <c r="R874" t="inlineStr">
        <is>
          <t>да</t>
        </is>
      </c>
      <c r="T874">
        <f>IF(AND($P874&gt;0,$R874="да"),MAX($T$1:$T873)+1,"")</f>
        <v/>
      </c>
    </row>
    <row r="875">
      <c r="A875">
        <f>IFERROR(INDEX(спр_Работы!$D$2:$D$6000,MATCH($C875,спр_Работы!$A$2:$A$6000,0)),"")</f>
        <v/>
      </c>
      <c r="B875">
        <f>IFERROR(INDEX(спр_Работы!$F$2:$F$6000,MATCH($C875,спр_Работы!$A$2:$A$6000,0)),"")</f>
        <v/>
      </c>
      <c r="C875">
        <f>IFERROR(INDEX(спр_Работы!$A$2:$A$6000,874),"")</f>
        <v/>
      </c>
      <c r="D875" s="8">
        <f>IFERROR(INDEX(спр_Работы!$B$2:$B$6000,MATCH($C875,спр_Работы!$A$2:$A$6000,0)),"")</f>
        <v/>
      </c>
      <c r="E875">
        <f>IFERROR(INDEX(спр_Работы!$C$2:$C$6000,MATCH($C875,спр_Работы!$A$2:$A$6000,0)),"")</f>
        <v/>
      </c>
      <c r="F875">
        <f>IFERROR(INDEX(спр_Работы!$G$2:$G$6000,MATCH($C875,спр_Работы!$A$2:$A$6000,0)),"")</f>
        <v/>
      </c>
      <c r="G875">
        <f>IFERROR(INDEX(спр_Работы!$K$2:$K$6000,MATCH($C875,спр_Работы!$A$2:$A$6000,0)),"")</f>
        <v/>
      </c>
      <c r="H875" s="9" t="n"/>
      <c r="I875" s="9" t="n"/>
      <c r="J875" s="8">
        <f>IFERROR(INDEX(спр_Материалы!$B$2:$B$9000,MATCH($I875,спр_Материалы!$A$2:$A$9000,0)),"")</f>
        <v/>
      </c>
      <c r="K875">
        <f>IF($I875="","",IF($F875=IFERROR(INDEX(спр_Материалы!$G$2:$G$9000,MATCH($I875,спр_Материалы!$A$2:$A$9000,0)),""),"OK","!! не та группа"))</f>
        <v/>
      </c>
      <c r="L875" s="10">
        <f>IFERROR(INDEX(спр_Работы!$H$2:$H$6000,MATCH($C875,спр_Работы!$A$2:$A$6000,0))*(1-ДисконтТендер),0)</f>
        <v/>
      </c>
      <c r="M875" s="10">
        <f>IF($I875="",0,IFERROR(INDEX(спр_Материалы!$I$2:$I$9000,MATCH($I875,спр_Материалы!$A$2:$A$9000,0))*IF(INDEX(спр_Материалы!$J$2:$J$9000,MATCH($I875,спр_Материалы!$A$2:$A$9000,0))="USD",КурсUSD,IF(INDEX(спр_Материалы!$J$2:$J$9000,MATCH($I875,спр_Материалы!$A$2:$A$9000,0))="EUR",КурсEUR,1))*INDEX(спр_Материалы!$K$2:$K$9000,MATCH($I875,спр_Материалы!$A$2:$A$9000,0))*(1+IFERROR(INDEX(спр_Работы!$I$2:$I$6000,MATCH($C875,спр_Работы!$A$2:$A$6000,0))/100,0))*(1-ДисконтТендер),0))</f>
        <v/>
      </c>
      <c r="N875" s="10">
        <f>IF(AND($R875="да",$H875&lt;&gt;""),ROUND($H875*$L875,2),0)</f>
        <v/>
      </c>
      <c r="O875" s="10">
        <f>IF(AND($R875="да",$H875&lt;&gt;""),ROUND($H875*$M875,2),0)</f>
        <v/>
      </c>
      <c r="P875" s="10">
        <f>$N875+$O875</f>
        <v/>
      </c>
      <c r="Q875">
        <f>IFERROR(INDEX(спр_Работы!$J$2:$J$6000,MATCH($C875,спр_Работы!$A$2:$A$6000,0)),"")</f>
        <v/>
      </c>
      <c r="R875" t="inlineStr">
        <is>
          <t>да</t>
        </is>
      </c>
      <c r="T875">
        <f>IF(AND($P875&gt;0,$R875="да"),MAX($T$1:$T874)+1,"")</f>
        <v/>
      </c>
    </row>
    <row r="876">
      <c r="A876">
        <f>IFERROR(INDEX(спр_Работы!$D$2:$D$6000,MATCH($C876,спр_Работы!$A$2:$A$6000,0)),"")</f>
        <v/>
      </c>
      <c r="B876">
        <f>IFERROR(INDEX(спр_Работы!$F$2:$F$6000,MATCH($C876,спр_Работы!$A$2:$A$6000,0)),"")</f>
        <v/>
      </c>
      <c r="C876">
        <f>IFERROR(INDEX(спр_Работы!$A$2:$A$6000,875),"")</f>
        <v/>
      </c>
      <c r="D876" s="8">
        <f>IFERROR(INDEX(спр_Работы!$B$2:$B$6000,MATCH($C876,спр_Работы!$A$2:$A$6000,0)),"")</f>
        <v/>
      </c>
      <c r="E876">
        <f>IFERROR(INDEX(спр_Работы!$C$2:$C$6000,MATCH($C876,спр_Работы!$A$2:$A$6000,0)),"")</f>
        <v/>
      </c>
      <c r="F876">
        <f>IFERROR(INDEX(спр_Работы!$G$2:$G$6000,MATCH($C876,спр_Работы!$A$2:$A$6000,0)),"")</f>
        <v/>
      </c>
      <c r="G876">
        <f>IFERROR(INDEX(спр_Работы!$K$2:$K$6000,MATCH($C876,спр_Работы!$A$2:$A$6000,0)),"")</f>
        <v/>
      </c>
      <c r="H876" s="9" t="n"/>
      <c r="I876" s="9" t="n"/>
      <c r="J876" s="8">
        <f>IFERROR(INDEX(спр_Материалы!$B$2:$B$9000,MATCH($I876,спр_Материалы!$A$2:$A$9000,0)),"")</f>
        <v/>
      </c>
      <c r="K876">
        <f>IF($I876="","",IF($F876=IFERROR(INDEX(спр_Материалы!$G$2:$G$9000,MATCH($I876,спр_Материалы!$A$2:$A$9000,0)),""),"OK","!! не та группа"))</f>
        <v/>
      </c>
      <c r="L876" s="10">
        <f>IFERROR(INDEX(спр_Работы!$H$2:$H$6000,MATCH($C876,спр_Работы!$A$2:$A$6000,0))*(1-ДисконтТендер),0)</f>
        <v/>
      </c>
      <c r="M876" s="10">
        <f>IF($I876="",0,IFERROR(INDEX(спр_Материалы!$I$2:$I$9000,MATCH($I876,спр_Материалы!$A$2:$A$9000,0))*IF(INDEX(спр_Материалы!$J$2:$J$9000,MATCH($I876,спр_Материалы!$A$2:$A$9000,0))="USD",КурсUSD,IF(INDEX(спр_Материалы!$J$2:$J$9000,MATCH($I876,спр_Материалы!$A$2:$A$9000,0))="EUR",КурсEUR,1))*INDEX(спр_Материалы!$K$2:$K$9000,MATCH($I876,спр_Материалы!$A$2:$A$9000,0))*(1+IFERROR(INDEX(спр_Работы!$I$2:$I$6000,MATCH($C876,спр_Работы!$A$2:$A$6000,0))/100,0))*(1-ДисконтТендер),0))</f>
        <v/>
      </c>
      <c r="N876" s="10">
        <f>IF(AND($R876="да",$H876&lt;&gt;""),ROUND($H876*$L876,2),0)</f>
        <v/>
      </c>
      <c r="O876" s="10">
        <f>IF(AND($R876="да",$H876&lt;&gt;""),ROUND($H876*$M876,2),0)</f>
        <v/>
      </c>
      <c r="P876" s="10">
        <f>$N876+$O876</f>
        <v/>
      </c>
      <c r="Q876">
        <f>IFERROR(INDEX(спр_Работы!$J$2:$J$6000,MATCH($C876,спр_Работы!$A$2:$A$6000,0)),"")</f>
        <v/>
      </c>
      <c r="R876" t="inlineStr">
        <is>
          <t>да</t>
        </is>
      </c>
      <c r="T876">
        <f>IF(AND($P876&gt;0,$R876="да"),MAX($T$1:$T875)+1,"")</f>
        <v/>
      </c>
    </row>
    <row r="877">
      <c r="A877">
        <f>IFERROR(INDEX(спр_Работы!$D$2:$D$6000,MATCH($C877,спр_Работы!$A$2:$A$6000,0)),"")</f>
        <v/>
      </c>
      <c r="B877">
        <f>IFERROR(INDEX(спр_Работы!$F$2:$F$6000,MATCH($C877,спр_Работы!$A$2:$A$6000,0)),"")</f>
        <v/>
      </c>
      <c r="C877">
        <f>IFERROR(INDEX(спр_Работы!$A$2:$A$6000,876),"")</f>
        <v/>
      </c>
      <c r="D877" s="8">
        <f>IFERROR(INDEX(спр_Работы!$B$2:$B$6000,MATCH($C877,спр_Работы!$A$2:$A$6000,0)),"")</f>
        <v/>
      </c>
      <c r="E877">
        <f>IFERROR(INDEX(спр_Работы!$C$2:$C$6000,MATCH($C877,спр_Работы!$A$2:$A$6000,0)),"")</f>
        <v/>
      </c>
      <c r="F877">
        <f>IFERROR(INDEX(спр_Работы!$G$2:$G$6000,MATCH($C877,спр_Работы!$A$2:$A$6000,0)),"")</f>
        <v/>
      </c>
      <c r="G877">
        <f>IFERROR(INDEX(спр_Работы!$K$2:$K$6000,MATCH($C877,спр_Работы!$A$2:$A$6000,0)),"")</f>
        <v/>
      </c>
      <c r="H877" s="9" t="n"/>
      <c r="I877" s="9" t="n"/>
      <c r="J877" s="8">
        <f>IFERROR(INDEX(спр_Материалы!$B$2:$B$9000,MATCH($I877,спр_Материалы!$A$2:$A$9000,0)),"")</f>
        <v/>
      </c>
      <c r="K877">
        <f>IF($I877="","",IF($F877=IFERROR(INDEX(спр_Материалы!$G$2:$G$9000,MATCH($I877,спр_Материалы!$A$2:$A$9000,0)),""),"OK","!! не та группа"))</f>
        <v/>
      </c>
      <c r="L877" s="10">
        <f>IFERROR(INDEX(спр_Работы!$H$2:$H$6000,MATCH($C877,спр_Работы!$A$2:$A$6000,0))*(1-ДисконтТендер),0)</f>
        <v/>
      </c>
      <c r="M877" s="10">
        <f>IF($I877="",0,IFERROR(INDEX(спр_Материалы!$I$2:$I$9000,MATCH($I877,спр_Материалы!$A$2:$A$9000,0))*IF(INDEX(спр_Материалы!$J$2:$J$9000,MATCH($I877,спр_Материалы!$A$2:$A$9000,0))="USD",КурсUSD,IF(INDEX(спр_Материалы!$J$2:$J$9000,MATCH($I877,спр_Материалы!$A$2:$A$9000,0))="EUR",КурсEUR,1))*INDEX(спр_Материалы!$K$2:$K$9000,MATCH($I877,спр_Материалы!$A$2:$A$9000,0))*(1+IFERROR(INDEX(спр_Работы!$I$2:$I$6000,MATCH($C877,спр_Работы!$A$2:$A$6000,0))/100,0))*(1-ДисконтТендер),0))</f>
        <v/>
      </c>
      <c r="N877" s="10">
        <f>IF(AND($R877="да",$H877&lt;&gt;""),ROUND($H877*$L877,2),0)</f>
        <v/>
      </c>
      <c r="O877" s="10">
        <f>IF(AND($R877="да",$H877&lt;&gt;""),ROUND($H877*$M877,2),0)</f>
        <v/>
      </c>
      <c r="P877" s="10">
        <f>$N877+$O877</f>
        <v/>
      </c>
      <c r="Q877">
        <f>IFERROR(INDEX(спр_Работы!$J$2:$J$6000,MATCH($C877,спр_Работы!$A$2:$A$6000,0)),"")</f>
        <v/>
      </c>
      <c r="R877" t="inlineStr">
        <is>
          <t>да</t>
        </is>
      </c>
      <c r="T877">
        <f>IF(AND($P877&gt;0,$R877="да"),MAX($T$1:$T876)+1,"")</f>
        <v/>
      </c>
    </row>
    <row r="878">
      <c r="A878">
        <f>IFERROR(INDEX(спр_Работы!$D$2:$D$6000,MATCH($C878,спр_Работы!$A$2:$A$6000,0)),"")</f>
        <v/>
      </c>
      <c r="B878">
        <f>IFERROR(INDEX(спр_Работы!$F$2:$F$6000,MATCH($C878,спр_Работы!$A$2:$A$6000,0)),"")</f>
        <v/>
      </c>
      <c r="C878">
        <f>IFERROR(INDEX(спр_Работы!$A$2:$A$6000,877),"")</f>
        <v/>
      </c>
      <c r="D878" s="8">
        <f>IFERROR(INDEX(спр_Работы!$B$2:$B$6000,MATCH($C878,спр_Работы!$A$2:$A$6000,0)),"")</f>
        <v/>
      </c>
      <c r="E878">
        <f>IFERROR(INDEX(спр_Работы!$C$2:$C$6000,MATCH($C878,спр_Работы!$A$2:$A$6000,0)),"")</f>
        <v/>
      </c>
      <c r="F878">
        <f>IFERROR(INDEX(спр_Работы!$G$2:$G$6000,MATCH($C878,спр_Работы!$A$2:$A$6000,0)),"")</f>
        <v/>
      </c>
      <c r="G878">
        <f>IFERROR(INDEX(спр_Работы!$K$2:$K$6000,MATCH($C878,спр_Работы!$A$2:$A$6000,0)),"")</f>
        <v/>
      </c>
      <c r="H878" s="9" t="n"/>
      <c r="I878" s="9" t="n"/>
      <c r="J878" s="8">
        <f>IFERROR(INDEX(спр_Материалы!$B$2:$B$9000,MATCH($I878,спр_Материалы!$A$2:$A$9000,0)),"")</f>
        <v/>
      </c>
      <c r="K878">
        <f>IF($I878="","",IF($F878=IFERROR(INDEX(спр_Материалы!$G$2:$G$9000,MATCH($I878,спр_Материалы!$A$2:$A$9000,0)),""),"OK","!! не та группа"))</f>
        <v/>
      </c>
      <c r="L878" s="10">
        <f>IFERROR(INDEX(спр_Работы!$H$2:$H$6000,MATCH($C878,спр_Работы!$A$2:$A$6000,0))*(1-ДисконтТендер),0)</f>
        <v/>
      </c>
      <c r="M878" s="10">
        <f>IF($I878="",0,IFERROR(INDEX(спр_Материалы!$I$2:$I$9000,MATCH($I878,спр_Материалы!$A$2:$A$9000,0))*IF(INDEX(спр_Материалы!$J$2:$J$9000,MATCH($I878,спр_Материалы!$A$2:$A$9000,0))="USD",КурсUSD,IF(INDEX(спр_Материалы!$J$2:$J$9000,MATCH($I878,спр_Материалы!$A$2:$A$9000,0))="EUR",КурсEUR,1))*INDEX(спр_Материалы!$K$2:$K$9000,MATCH($I878,спр_Материалы!$A$2:$A$9000,0))*(1+IFERROR(INDEX(спр_Работы!$I$2:$I$6000,MATCH($C878,спр_Работы!$A$2:$A$6000,0))/100,0))*(1-ДисконтТендер),0))</f>
        <v/>
      </c>
      <c r="N878" s="10">
        <f>IF(AND($R878="да",$H878&lt;&gt;""),ROUND($H878*$L878,2),0)</f>
        <v/>
      </c>
      <c r="O878" s="10">
        <f>IF(AND($R878="да",$H878&lt;&gt;""),ROUND($H878*$M878,2),0)</f>
        <v/>
      </c>
      <c r="P878" s="10">
        <f>$N878+$O878</f>
        <v/>
      </c>
      <c r="Q878">
        <f>IFERROR(INDEX(спр_Работы!$J$2:$J$6000,MATCH($C878,спр_Работы!$A$2:$A$6000,0)),"")</f>
        <v/>
      </c>
      <c r="R878" t="inlineStr">
        <is>
          <t>да</t>
        </is>
      </c>
      <c r="T878">
        <f>IF(AND($P878&gt;0,$R878="да"),MAX($T$1:$T877)+1,"")</f>
        <v/>
      </c>
    </row>
    <row r="879">
      <c r="A879">
        <f>IFERROR(INDEX(спр_Работы!$D$2:$D$6000,MATCH($C879,спр_Работы!$A$2:$A$6000,0)),"")</f>
        <v/>
      </c>
      <c r="B879">
        <f>IFERROR(INDEX(спр_Работы!$F$2:$F$6000,MATCH($C879,спр_Работы!$A$2:$A$6000,0)),"")</f>
        <v/>
      </c>
      <c r="C879">
        <f>IFERROR(INDEX(спр_Работы!$A$2:$A$6000,878),"")</f>
        <v/>
      </c>
      <c r="D879" s="8">
        <f>IFERROR(INDEX(спр_Работы!$B$2:$B$6000,MATCH($C879,спр_Работы!$A$2:$A$6000,0)),"")</f>
        <v/>
      </c>
      <c r="E879">
        <f>IFERROR(INDEX(спр_Работы!$C$2:$C$6000,MATCH($C879,спр_Работы!$A$2:$A$6000,0)),"")</f>
        <v/>
      </c>
      <c r="F879">
        <f>IFERROR(INDEX(спр_Работы!$G$2:$G$6000,MATCH($C879,спр_Работы!$A$2:$A$6000,0)),"")</f>
        <v/>
      </c>
      <c r="G879">
        <f>IFERROR(INDEX(спр_Работы!$K$2:$K$6000,MATCH($C879,спр_Работы!$A$2:$A$6000,0)),"")</f>
        <v/>
      </c>
      <c r="H879" s="9" t="n"/>
      <c r="I879" s="9" t="n"/>
      <c r="J879" s="8">
        <f>IFERROR(INDEX(спр_Материалы!$B$2:$B$9000,MATCH($I879,спр_Материалы!$A$2:$A$9000,0)),"")</f>
        <v/>
      </c>
      <c r="K879">
        <f>IF($I879="","",IF($F879=IFERROR(INDEX(спр_Материалы!$G$2:$G$9000,MATCH($I879,спр_Материалы!$A$2:$A$9000,0)),""),"OK","!! не та группа"))</f>
        <v/>
      </c>
      <c r="L879" s="10">
        <f>IFERROR(INDEX(спр_Работы!$H$2:$H$6000,MATCH($C879,спр_Работы!$A$2:$A$6000,0))*(1-ДисконтТендер),0)</f>
        <v/>
      </c>
      <c r="M879" s="10">
        <f>IF($I879="",0,IFERROR(INDEX(спр_Материалы!$I$2:$I$9000,MATCH($I879,спр_Материалы!$A$2:$A$9000,0))*IF(INDEX(спр_Материалы!$J$2:$J$9000,MATCH($I879,спр_Материалы!$A$2:$A$9000,0))="USD",КурсUSD,IF(INDEX(спр_Материалы!$J$2:$J$9000,MATCH($I879,спр_Материалы!$A$2:$A$9000,0))="EUR",КурсEUR,1))*INDEX(спр_Материалы!$K$2:$K$9000,MATCH($I879,спр_Материалы!$A$2:$A$9000,0))*(1+IFERROR(INDEX(спр_Работы!$I$2:$I$6000,MATCH($C879,спр_Работы!$A$2:$A$6000,0))/100,0))*(1-ДисконтТендер),0))</f>
        <v/>
      </c>
      <c r="N879" s="10">
        <f>IF(AND($R879="да",$H879&lt;&gt;""),ROUND($H879*$L879,2),0)</f>
        <v/>
      </c>
      <c r="O879" s="10">
        <f>IF(AND($R879="да",$H879&lt;&gt;""),ROUND($H879*$M879,2),0)</f>
        <v/>
      </c>
      <c r="P879" s="10">
        <f>$N879+$O879</f>
        <v/>
      </c>
      <c r="Q879">
        <f>IFERROR(INDEX(спр_Работы!$J$2:$J$6000,MATCH($C879,спр_Работы!$A$2:$A$6000,0)),"")</f>
        <v/>
      </c>
      <c r="R879" t="inlineStr">
        <is>
          <t>да</t>
        </is>
      </c>
      <c r="T879">
        <f>IF(AND($P879&gt;0,$R879="да"),MAX($T$1:$T878)+1,"")</f>
        <v/>
      </c>
    </row>
    <row r="880">
      <c r="A880">
        <f>IFERROR(INDEX(спр_Работы!$D$2:$D$6000,MATCH($C880,спр_Работы!$A$2:$A$6000,0)),"")</f>
        <v/>
      </c>
      <c r="B880">
        <f>IFERROR(INDEX(спр_Работы!$F$2:$F$6000,MATCH($C880,спр_Работы!$A$2:$A$6000,0)),"")</f>
        <v/>
      </c>
      <c r="C880">
        <f>IFERROR(INDEX(спр_Работы!$A$2:$A$6000,879),"")</f>
        <v/>
      </c>
      <c r="D880" s="8">
        <f>IFERROR(INDEX(спр_Работы!$B$2:$B$6000,MATCH($C880,спр_Работы!$A$2:$A$6000,0)),"")</f>
        <v/>
      </c>
      <c r="E880">
        <f>IFERROR(INDEX(спр_Работы!$C$2:$C$6000,MATCH($C880,спр_Работы!$A$2:$A$6000,0)),"")</f>
        <v/>
      </c>
      <c r="F880">
        <f>IFERROR(INDEX(спр_Работы!$G$2:$G$6000,MATCH($C880,спр_Работы!$A$2:$A$6000,0)),"")</f>
        <v/>
      </c>
      <c r="G880">
        <f>IFERROR(INDEX(спр_Работы!$K$2:$K$6000,MATCH($C880,спр_Работы!$A$2:$A$6000,0)),"")</f>
        <v/>
      </c>
      <c r="H880" s="9" t="n"/>
      <c r="I880" s="9" t="n"/>
      <c r="J880" s="8">
        <f>IFERROR(INDEX(спр_Материалы!$B$2:$B$9000,MATCH($I880,спр_Материалы!$A$2:$A$9000,0)),"")</f>
        <v/>
      </c>
      <c r="K880">
        <f>IF($I880="","",IF($F880=IFERROR(INDEX(спр_Материалы!$G$2:$G$9000,MATCH($I880,спр_Материалы!$A$2:$A$9000,0)),""),"OK","!! не та группа"))</f>
        <v/>
      </c>
      <c r="L880" s="10">
        <f>IFERROR(INDEX(спр_Работы!$H$2:$H$6000,MATCH($C880,спр_Работы!$A$2:$A$6000,0))*(1-ДисконтТендер),0)</f>
        <v/>
      </c>
      <c r="M880" s="10">
        <f>IF($I880="",0,IFERROR(INDEX(спр_Материалы!$I$2:$I$9000,MATCH($I880,спр_Материалы!$A$2:$A$9000,0))*IF(INDEX(спр_Материалы!$J$2:$J$9000,MATCH($I880,спр_Материалы!$A$2:$A$9000,0))="USD",КурсUSD,IF(INDEX(спр_Материалы!$J$2:$J$9000,MATCH($I880,спр_Материалы!$A$2:$A$9000,0))="EUR",КурсEUR,1))*INDEX(спр_Материалы!$K$2:$K$9000,MATCH($I880,спр_Материалы!$A$2:$A$9000,0))*(1+IFERROR(INDEX(спр_Работы!$I$2:$I$6000,MATCH($C880,спр_Работы!$A$2:$A$6000,0))/100,0))*(1-ДисконтТендер),0))</f>
        <v/>
      </c>
      <c r="N880" s="10">
        <f>IF(AND($R880="да",$H880&lt;&gt;""),ROUND($H880*$L880,2),0)</f>
        <v/>
      </c>
      <c r="O880" s="10">
        <f>IF(AND($R880="да",$H880&lt;&gt;""),ROUND($H880*$M880,2),0)</f>
        <v/>
      </c>
      <c r="P880" s="10">
        <f>$N880+$O880</f>
        <v/>
      </c>
      <c r="Q880">
        <f>IFERROR(INDEX(спр_Работы!$J$2:$J$6000,MATCH($C880,спр_Работы!$A$2:$A$6000,0)),"")</f>
        <v/>
      </c>
      <c r="R880" t="inlineStr">
        <is>
          <t>да</t>
        </is>
      </c>
      <c r="T880">
        <f>IF(AND($P880&gt;0,$R880="да"),MAX($T$1:$T879)+1,"")</f>
        <v/>
      </c>
    </row>
    <row r="881">
      <c r="A881">
        <f>IFERROR(INDEX(спр_Работы!$D$2:$D$6000,MATCH($C881,спр_Работы!$A$2:$A$6000,0)),"")</f>
        <v/>
      </c>
      <c r="B881">
        <f>IFERROR(INDEX(спр_Работы!$F$2:$F$6000,MATCH($C881,спр_Работы!$A$2:$A$6000,0)),"")</f>
        <v/>
      </c>
      <c r="C881">
        <f>IFERROR(INDEX(спр_Работы!$A$2:$A$6000,880),"")</f>
        <v/>
      </c>
      <c r="D881" s="8">
        <f>IFERROR(INDEX(спр_Работы!$B$2:$B$6000,MATCH($C881,спр_Работы!$A$2:$A$6000,0)),"")</f>
        <v/>
      </c>
      <c r="E881">
        <f>IFERROR(INDEX(спр_Работы!$C$2:$C$6000,MATCH($C881,спр_Работы!$A$2:$A$6000,0)),"")</f>
        <v/>
      </c>
      <c r="F881">
        <f>IFERROR(INDEX(спр_Работы!$G$2:$G$6000,MATCH($C881,спр_Работы!$A$2:$A$6000,0)),"")</f>
        <v/>
      </c>
      <c r="G881">
        <f>IFERROR(INDEX(спр_Работы!$K$2:$K$6000,MATCH($C881,спр_Работы!$A$2:$A$6000,0)),"")</f>
        <v/>
      </c>
      <c r="H881" s="9" t="n"/>
      <c r="I881" s="9" t="n"/>
      <c r="J881" s="8">
        <f>IFERROR(INDEX(спр_Материалы!$B$2:$B$9000,MATCH($I881,спр_Материалы!$A$2:$A$9000,0)),"")</f>
        <v/>
      </c>
      <c r="K881">
        <f>IF($I881="","",IF($F881=IFERROR(INDEX(спр_Материалы!$G$2:$G$9000,MATCH($I881,спр_Материалы!$A$2:$A$9000,0)),""),"OK","!! не та группа"))</f>
        <v/>
      </c>
      <c r="L881" s="10">
        <f>IFERROR(INDEX(спр_Работы!$H$2:$H$6000,MATCH($C881,спр_Работы!$A$2:$A$6000,0))*(1-ДисконтТендер),0)</f>
        <v/>
      </c>
      <c r="M881" s="10">
        <f>IF($I881="",0,IFERROR(INDEX(спр_Материалы!$I$2:$I$9000,MATCH($I881,спр_Материалы!$A$2:$A$9000,0))*IF(INDEX(спр_Материалы!$J$2:$J$9000,MATCH($I881,спр_Материалы!$A$2:$A$9000,0))="USD",КурсUSD,IF(INDEX(спр_Материалы!$J$2:$J$9000,MATCH($I881,спр_Материалы!$A$2:$A$9000,0))="EUR",КурсEUR,1))*INDEX(спр_Материалы!$K$2:$K$9000,MATCH($I881,спр_Материалы!$A$2:$A$9000,0))*(1+IFERROR(INDEX(спр_Работы!$I$2:$I$6000,MATCH($C881,спр_Работы!$A$2:$A$6000,0))/100,0))*(1-ДисконтТендер),0))</f>
        <v/>
      </c>
      <c r="N881" s="10">
        <f>IF(AND($R881="да",$H881&lt;&gt;""),ROUND($H881*$L881,2),0)</f>
        <v/>
      </c>
      <c r="O881" s="10">
        <f>IF(AND($R881="да",$H881&lt;&gt;""),ROUND($H881*$M881,2),0)</f>
        <v/>
      </c>
      <c r="P881" s="10">
        <f>$N881+$O881</f>
        <v/>
      </c>
      <c r="Q881">
        <f>IFERROR(INDEX(спр_Работы!$J$2:$J$6000,MATCH($C881,спр_Работы!$A$2:$A$6000,0)),"")</f>
        <v/>
      </c>
      <c r="R881" t="inlineStr">
        <is>
          <t>да</t>
        </is>
      </c>
      <c r="T881">
        <f>IF(AND($P881&gt;0,$R881="да"),MAX($T$1:$T880)+1,"")</f>
        <v/>
      </c>
    </row>
    <row r="882">
      <c r="A882">
        <f>IFERROR(INDEX(спр_Работы!$D$2:$D$6000,MATCH($C882,спр_Работы!$A$2:$A$6000,0)),"")</f>
        <v/>
      </c>
      <c r="B882">
        <f>IFERROR(INDEX(спр_Работы!$F$2:$F$6000,MATCH($C882,спр_Работы!$A$2:$A$6000,0)),"")</f>
        <v/>
      </c>
      <c r="C882">
        <f>IFERROR(INDEX(спр_Работы!$A$2:$A$6000,881),"")</f>
        <v/>
      </c>
      <c r="D882" s="8">
        <f>IFERROR(INDEX(спр_Работы!$B$2:$B$6000,MATCH($C882,спр_Работы!$A$2:$A$6000,0)),"")</f>
        <v/>
      </c>
      <c r="E882">
        <f>IFERROR(INDEX(спр_Работы!$C$2:$C$6000,MATCH($C882,спр_Работы!$A$2:$A$6000,0)),"")</f>
        <v/>
      </c>
      <c r="F882">
        <f>IFERROR(INDEX(спр_Работы!$G$2:$G$6000,MATCH($C882,спр_Работы!$A$2:$A$6000,0)),"")</f>
        <v/>
      </c>
      <c r="G882">
        <f>IFERROR(INDEX(спр_Работы!$K$2:$K$6000,MATCH($C882,спр_Работы!$A$2:$A$6000,0)),"")</f>
        <v/>
      </c>
      <c r="H882" s="9" t="n"/>
      <c r="I882" s="9" t="n"/>
      <c r="J882" s="8">
        <f>IFERROR(INDEX(спр_Материалы!$B$2:$B$9000,MATCH($I882,спр_Материалы!$A$2:$A$9000,0)),"")</f>
        <v/>
      </c>
      <c r="K882">
        <f>IF($I882="","",IF($F882=IFERROR(INDEX(спр_Материалы!$G$2:$G$9000,MATCH($I882,спр_Материалы!$A$2:$A$9000,0)),""),"OK","!! не та группа"))</f>
        <v/>
      </c>
      <c r="L882" s="10">
        <f>IFERROR(INDEX(спр_Работы!$H$2:$H$6000,MATCH($C882,спр_Работы!$A$2:$A$6000,0))*(1-ДисконтТендер),0)</f>
        <v/>
      </c>
      <c r="M882" s="10">
        <f>IF($I882="",0,IFERROR(INDEX(спр_Материалы!$I$2:$I$9000,MATCH($I882,спр_Материалы!$A$2:$A$9000,0))*IF(INDEX(спр_Материалы!$J$2:$J$9000,MATCH($I882,спр_Материалы!$A$2:$A$9000,0))="USD",КурсUSD,IF(INDEX(спр_Материалы!$J$2:$J$9000,MATCH($I882,спр_Материалы!$A$2:$A$9000,0))="EUR",КурсEUR,1))*INDEX(спр_Материалы!$K$2:$K$9000,MATCH($I882,спр_Материалы!$A$2:$A$9000,0))*(1+IFERROR(INDEX(спр_Работы!$I$2:$I$6000,MATCH($C882,спр_Работы!$A$2:$A$6000,0))/100,0))*(1-ДисконтТендер),0))</f>
        <v/>
      </c>
      <c r="N882" s="10">
        <f>IF(AND($R882="да",$H882&lt;&gt;""),ROUND($H882*$L882,2),0)</f>
        <v/>
      </c>
      <c r="O882" s="10">
        <f>IF(AND($R882="да",$H882&lt;&gt;""),ROUND($H882*$M882,2),0)</f>
        <v/>
      </c>
      <c r="P882" s="10">
        <f>$N882+$O882</f>
        <v/>
      </c>
      <c r="Q882">
        <f>IFERROR(INDEX(спр_Работы!$J$2:$J$6000,MATCH($C882,спр_Работы!$A$2:$A$6000,0)),"")</f>
        <v/>
      </c>
      <c r="R882" t="inlineStr">
        <is>
          <t>да</t>
        </is>
      </c>
      <c r="T882">
        <f>IF(AND($P882&gt;0,$R882="да"),MAX($T$1:$T881)+1,"")</f>
        <v/>
      </c>
    </row>
    <row r="883">
      <c r="A883">
        <f>IFERROR(INDEX(спр_Работы!$D$2:$D$6000,MATCH($C883,спр_Работы!$A$2:$A$6000,0)),"")</f>
        <v/>
      </c>
      <c r="B883">
        <f>IFERROR(INDEX(спр_Работы!$F$2:$F$6000,MATCH($C883,спр_Работы!$A$2:$A$6000,0)),"")</f>
        <v/>
      </c>
      <c r="C883">
        <f>IFERROR(INDEX(спр_Работы!$A$2:$A$6000,882),"")</f>
        <v/>
      </c>
      <c r="D883" s="8">
        <f>IFERROR(INDEX(спр_Работы!$B$2:$B$6000,MATCH($C883,спр_Работы!$A$2:$A$6000,0)),"")</f>
        <v/>
      </c>
      <c r="E883">
        <f>IFERROR(INDEX(спр_Работы!$C$2:$C$6000,MATCH($C883,спр_Работы!$A$2:$A$6000,0)),"")</f>
        <v/>
      </c>
      <c r="F883">
        <f>IFERROR(INDEX(спр_Работы!$G$2:$G$6000,MATCH($C883,спр_Работы!$A$2:$A$6000,0)),"")</f>
        <v/>
      </c>
      <c r="G883">
        <f>IFERROR(INDEX(спр_Работы!$K$2:$K$6000,MATCH($C883,спр_Работы!$A$2:$A$6000,0)),"")</f>
        <v/>
      </c>
      <c r="H883" s="9" t="n"/>
      <c r="I883" s="9" t="n"/>
      <c r="J883" s="8">
        <f>IFERROR(INDEX(спр_Материалы!$B$2:$B$9000,MATCH($I883,спр_Материалы!$A$2:$A$9000,0)),"")</f>
        <v/>
      </c>
      <c r="K883">
        <f>IF($I883="","",IF($F883=IFERROR(INDEX(спр_Материалы!$G$2:$G$9000,MATCH($I883,спр_Материалы!$A$2:$A$9000,0)),""),"OK","!! не та группа"))</f>
        <v/>
      </c>
      <c r="L883" s="10">
        <f>IFERROR(INDEX(спр_Работы!$H$2:$H$6000,MATCH($C883,спр_Работы!$A$2:$A$6000,0))*(1-ДисконтТендер),0)</f>
        <v/>
      </c>
      <c r="M883" s="10">
        <f>IF($I883="",0,IFERROR(INDEX(спр_Материалы!$I$2:$I$9000,MATCH($I883,спр_Материалы!$A$2:$A$9000,0))*IF(INDEX(спр_Материалы!$J$2:$J$9000,MATCH($I883,спр_Материалы!$A$2:$A$9000,0))="USD",КурсUSD,IF(INDEX(спр_Материалы!$J$2:$J$9000,MATCH($I883,спр_Материалы!$A$2:$A$9000,0))="EUR",КурсEUR,1))*INDEX(спр_Материалы!$K$2:$K$9000,MATCH($I883,спр_Материалы!$A$2:$A$9000,0))*(1+IFERROR(INDEX(спр_Работы!$I$2:$I$6000,MATCH($C883,спр_Работы!$A$2:$A$6000,0))/100,0))*(1-ДисконтТендер),0))</f>
        <v/>
      </c>
      <c r="N883" s="10">
        <f>IF(AND($R883="да",$H883&lt;&gt;""),ROUND($H883*$L883,2),0)</f>
        <v/>
      </c>
      <c r="O883" s="10">
        <f>IF(AND($R883="да",$H883&lt;&gt;""),ROUND($H883*$M883,2),0)</f>
        <v/>
      </c>
      <c r="P883" s="10">
        <f>$N883+$O883</f>
        <v/>
      </c>
      <c r="Q883">
        <f>IFERROR(INDEX(спр_Работы!$J$2:$J$6000,MATCH($C883,спр_Работы!$A$2:$A$6000,0)),"")</f>
        <v/>
      </c>
      <c r="R883" t="inlineStr">
        <is>
          <t>да</t>
        </is>
      </c>
      <c r="T883">
        <f>IF(AND($P883&gt;0,$R883="да"),MAX($T$1:$T882)+1,"")</f>
        <v/>
      </c>
    </row>
    <row r="884">
      <c r="A884">
        <f>IFERROR(INDEX(спр_Работы!$D$2:$D$6000,MATCH($C884,спр_Работы!$A$2:$A$6000,0)),"")</f>
        <v/>
      </c>
      <c r="B884">
        <f>IFERROR(INDEX(спр_Работы!$F$2:$F$6000,MATCH($C884,спр_Работы!$A$2:$A$6000,0)),"")</f>
        <v/>
      </c>
      <c r="C884">
        <f>IFERROR(INDEX(спр_Работы!$A$2:$A$6000,883),"")</f>
        <v/>
      </c>
      <c r="D884" s="8">
        <f>IFERROR(INDEX(спр_Работы!$B$2:$B$6000,MATCH($C884,спр_Работы!$A$2:$A$6000,0)),"")</f>
        <v/>
      </c>
      <c r="E884">
        <f>IFERROR(INDEX(спр_Работы!$C$2:$C$6000,MATCH($C884,спр_Работы!$A$2:$A$6000,0)),"")</f>
        <v/>
      </c>
      <c r="F884">
        <f>IFERROR(INDEX(спр_Работы!$G$2:$G$6000,MATCH($C884,спр_Работы!$A$2:$A$6000,0)),"")</f>
        <v/>
      </c>
      <c r="G884">
        <f>IFERROR(INDEX(спр_Работы!$K$2:$K$6000,MATCH($C884,спр_Работы!$A$2:$A$6000,0)),"")</f>
        <v/>
      </c>
      <c r="H884" s="9" t="n"/>
      <c r="I884" s="9" t="n"/>
      <c r="J884" s="8">
        <f>IFERROR(INDEX(спр_Материалы!$B$2:$B$9000,MATCH($I884,спр_Материалы!$A$2:$A$9000,0)),"")</f>
        <v/>
      </c>
      <c r="K884">
        <f>IF($I884="","",IF($F884=IFERROR(INDEX(спр_Материалы!$G$2:$G$9000,MATCH($I884,спр_Материалы!$A$2:$A$9000,0)),""),"OK","!! не та группа"))</f>
        <v/>
      </c>
      <c r="L884" s="10">
        <f>IFERROR(INDEX(спр_Работы!$H$2:$H$6000,MATCH($C884,спр_Работы!$A$2:$A$6000,0))*(1-ДисконтТендер),0)</f>
        <v/>
      </c>
      <c r="M884" s="10">
        <f>IF($I884="",0,IFERROR(INDEX(спр_Материалы!$I$2:$I$9000,MATCH($I884,спр_Материалы!$A$2:$A$9000,0))*IF(INDEX(спр_Материалы!$J$2:$J$9000,MATCH($I884,спр_Материалы!$A$2:$A$9000,0))="USD",КурсUSD,IF(INDEX(спр_Материалы!$J$2:$J$9000,MATCH($I884,спр_Материалы!$A$2:$A$9000,0))="EUR",КурсEUR,1))*INDEX(спр_Материалы!$K$2:$K$9000,MATCH($I884,спр_Материалы!$A$2:$A$9000,0))*(1+IFERROR(INDEX(спр_Работы!$I$2:$I$6000,MATCH($C884,спр_Работы!$A$2:$A$6000,0))/100,0))*(1-ДисконтТендер),0))</f>
        <v/>
      </c>
      <c r="N884" s="10">
        <f>IF(AND($R884="да",$H884&lt;&gt;""),ROUND($H884*$L884,2),0)</f>
        <v/>
      </c>
      <c r="O884" s="10">
        <f>IF(AND($R884="да",$H884&lt;&gt;""),ROUND($H884*$M884,2),0)</f>
        <v/>
      </c>
      <c r="P884" s="10">
        <f>$N884+$O884</f>
        <v/>
      </c>
      <c r="Q884">
        <f>IFERROR(INDEX(спр_Работы!$J$2:$J$6000,MATCH($C884,спр_Работы!$A$2:$A$6000,0)),"")</f>
        <v/>
      </c>
      <c r="R884" t="inlineStr">
        <is>
          <t>да</t>
        </is>
      </c>
      <c r="T884">
        <f>IF(AND($P884&gt;0,$R884="да"),MAX($T$1:$T883)+1,"")</f>
        <v/>
      </c>
    </row>
    <row r="885">
      <c r="A885">
        <f>IFERROR(INDEX(спр_Работы!$D$2:$D$6000,MATCH($C885,спр_Работы!$A$2:$A$6000,0)),"")</f>
        <v/>
      </c>
      <c r="B885">
        <f>IFERROR(INDEX(спр_Работы!$F$2:$F$6000,MATCH($C885,спр_Работы!$A$2:$A$6000,0)),"")</f>
        <v/>
      </c>
      <c r="C885">
        <f>IFERROR(INDEX(спр_Работы!$A$2:$A$6000,884),"")</f>
        <v/>
      </c>
      <c r="D885" s="8">
        <f>IFERROR(INDEX(спр_Работы!$B$2:$B$6000,MATCH($C885,спр_Работы!$A$2:$A$6000,0)),"")</f>
        <v/>
      </c>
      <c r="E885">
        <f>IFERROR(INDEX(спр_Работы!$C$2:$C$6000,MATCH($C885,спр_Работы!$A$2:$A$6000,0)),"")</f>
        <v/>
      </c>
      <c r="F885">
        <f>IFERROR(INDEX(спр_Работы!$G$2:$G$6000,MATCH($C885,спр_Работы!$A$2:$A$6000,0)),"")</f>
        <v/>
      </c>
      <c r="G885">
        <f>IFERROR(INDEX(спр_Работы!$K$2:$K$6000,MATCH($C885,спр_Работы!$A$2:$A$6000,0)),"")</f>
        <v/>
      </c>
      <c r="H885" s="9" t="n"/>
      <c r="I885" s="9" t="n"/>
      <c r="J885" s="8">
        <f>IFERROR(INDEX(спр_Материалы!$B$2:$B$9000,MATCH($I885,спр_Материалы!$A$2:$A$9000,0)),"")</f>
        <v/>
      </c>
      <c r="K885">
        <f>IF($I885="","",IF($F885=IFERROR(INDEX(спр_Материалы!$G$2:$G$9000,MATCH($I885,спр_Материалы!$A$2:$A$9000,0)),""),"OK","!! не та группа"))</f>
        <v/>
      </c>
      <c r="L885" s="10">
        <f>IFERROR(INDEX(спр_Работы!$H$2:$H$6000,MATCH($C885,спр_Работы!$A$2:$A$6000,0))*(1-ДисконтТендер),0)</f>
        <v/>
      </c>
      <c r="M885" s="10">
        <f>IF($I885="",0,IFERROR(INDEX(спр_Материалы!$I$2:$I$9000,MATCH($I885,спр_Материалы!$A$2:$A$9000,0))*IF(INDEX(спр_Материалы!$J$2:$J$9000,MATCH($I885,спр_Материалы!$A$2:$A$9000,0))="USD",КурсUSD,IF(INDEX(спр_Материалы!$J$2:$J$9000,MATCH($I885,спр_Материалы!$A$2:$A$9000,0))="EUR",КурсEUR,1))*INDEX(спр_Материалы!$K$2:$K$9000,MATCH($I885,спр_Материалы!$A$2:$A$9000,0))*(1+IFERROR(INDEX(спр_Работы!$I$2:$I$6000,MATCH($C885,спр_Работы!$A$2:$A$6000,0))/100,0))*(1-ДисконтТендер),0))</f>
        <v/>
      </c>
      <c r="N885" s="10">
        <f>IF(AND($R885="да",$H885&lt;&gt;""),ROUND($H885*$L885,2),0)</f>
        <v/>
      </c>
      <c r="O885" s="10">
        <f>IF(AND($R885="да",$H885&lt;&gt;""),ROUND($H885*$M885,2),0)</f>
        <v/>
      </c>
      <c r="P885" s="10">
        <f>$N885+$O885</f>
        <v/>
      </c>
      <c r="Q885">
        <f>IFERROR(INDEX(спр_Работы!$J$2:$J$6000,MATCH($C885,спр_Работы!$A$2:$A$6000,0)),"")</f>
        <v/>
      </c>
      <c r="R885" t="inlineStr">
        <is>
          <t>да</t>
        </is>
      </c>
      <c r="T885">
        <f>IF(AND($P885&gt;0,$R885="да"),MAX($T$1:$T884)+1,"")</f>
        <v/>
      </c>
    </row>
    <row r="886">
      <c r="A886">
        <f>IFERROR(INDEX(спр_Работы!$D$2:$D$6000,MATCH($C886,спр_Работы!$A$2:$A$6000,0)),"")</f>
        <v/>
      </c>
      <c r="B886">
        <f>IFERROR(INDEX(спр_Работы!$F$2:$F$6000,MATCH($C886,спр_Работы!$A$2:$A$6000,0)),"")</f>
        <v/>
      </c>
      <c r="C886">
        <f>IFERROR(INDEX(спр_Работы!$A$2:$A$6000,885),"")</f>
        <v/>
      </c>
      <c r="D886" s="8">
        <f>IFERROR(INDEX(спр_Работы!$B$2:$B$6000,MATCH($C886,спр_Работы!$A$2:$A$6000,0)),"")</f>
        <v/>
      </c>
      <c r="E886">
        <f>IFERROR(INDEX(спр_Работы!$C$2:$C$6000,MATCH($C886,спр_Работы!$A$2:$A$6000,0)),"")</f>
        <v/>
      </c>
      <c r="F886">
        <f>IFERROR(INDEX(спр_Работы!$G$2:$G$6000,MATCH($C886,спр_Работы!$A$2:$A$6000,0)),"")</f>
        <v/>
      </c>
      <c r="G886">
        <f>IFERROR(INDEX(спр_Работы!$K$2:$K$6000,MATCH($C886,спр_Работы!$A$2:$A$6000,0)),"")</f>
        <v/>
      </c>
      <c r="H886" s="9" t="n"/>
      <c r="I886" s="9" t="n"/>
      <c r="J886" s="8">
        <f>IFERROR(INDEX(спр_Материалы!$B$2:$B$9000,MATCH($I886,спр_Материалы!$A$2:$A$9000,0)),"")</f>
        <v/>
      </c>
      <c r="K886">
        <f>IF($I886="","",IF($F886=IFERROR(INDEX(спр_Материалы!$G$2:$G$9000,MATCH($I886,спр_Материалы!$A$2:$A$9000,0)),""),"OK","!! не та группа"))</f>
        <v/>
      </c>
      <c r="L886" s="10">
        <f>IFERROR(INDEX(спр_Работы!$H$2:$H$6000,MATCH($C886,спр_Работы!$A$2:$A$6000,0))*(1-ДисконтТендер),0)</f>
        <v/>
      </c>
      <c r="M886" s="10">
        <f>IF($I886="",0,IFERROR(INDEX(спр_Материалы!$I$2:$I$9000,MATCH($I886,спр_Материалы!$A$2:$A$9000,0))*IF(INDEX(спр_Материалы!$J$2:$J$9000,MATCH($I886,спр_Материалы!$A$2:$A$9000,0))="USD",КурсUSD,IF(INDEX(спр_Материалы!$J$2:$J$9000,MATCH($I886,спр_Материалы!$A$2:$A$9000,0))="EUR",КурсEUR,1))*INDEX(спр_Материалы!$K$2:$K$9000,MATCH($I886,спр_Материалы!$A$2:$A$9000,0))*(1+IFERROR(INDEX(спр_Работы!$I$2:$I$6000,MATCH($C886,спр_Работы!$A$2:$A$6000,0))/100,0))*(1-ДисконтТендер),0))</f>
        <v/>
      </c>
      <c r="N886" s="10">
        <f>IF(AND($R886="да",$H886&lt;&gt;""),ROUND($H886*$L886,2),0)</f>
        <v/>
      </c>
      <c r="O886" s="10">
        <f>IF(AND($R886="да",$H886&lt;&gt;""),ROUND($H886*$M886,2),0)</f>
        <v/>
      </c>
      <c r="P886" s="10">
        <f>$N886+$O886</f>
        <v/>
      </c>
      <c r="Q886">
        <f>IFERROR(INDEX(спр_Работы!$J$2:$J$6000,MATCH($C886,спр_Работы!$A$2:$A$6000,0)),"")</f>
        <v/>
      </c>
      <c r="R886" t="inlineStr">
        <is>
          <t>да</t>
        </is>
      </c>
      <c r="T886">
        <f>IF(AND($P886&gt;0,$R886="да"),MAX($T$1:$T885)+1,"")</f>
        <v/>
      </c>
    </row>
    <row r="887">
      <c r="A887">
        <f>IFERROR(INDEX(спр_Работы!$D$2:$D$6000,MATCH($C887,спр_Работы!$A$2:$A$6000,0)),"")</f>
        <v/>
      </c>
      <c r="B887">
        <f>IFERROR(INDEX(спр_Работы!$F$2:$F$6000,MATCH($C887,спр_Работы!$A$2:$A$6000,0)),"")</f>
        <v/>
      </c>
      <c r="C887">
        <f>IFERROR(INDEX(спр_Работы!$A$2:$A$6000,886),"")</f>
        <v/>
      </c>
      <c r="D887" s="8">
        <f>IFERROR(INDEX(спр_Работы!$B$2:$B$6000,MATCH($C887,спр_Работы!$A$2:$A$6000,0)),"")</f>
        <v/>
      </c>
      <c r="E887">
        <f>IFERROR(INDEX(спр_Работы!$C$2:$C$6000,MATCH($C887,спр_Работы!$A$2:$A$6000,0)),"")</f>
        <v/>
      </c>
      <c r="F887">
        <f>IFERROR(INDEX(спр_Работы!$G$2:$G$6000,MATCH($C887,спр_Работы!$A$2:$A$6000,0)),"")</f>
        <v/>
      </c>
      <c r="G887">
        <f>IFERROR(INDEX(спр_Работы!$K$2:$K$6000,MATCH($C887,спр_Работы!$A$2:$A$6000,0)),"")</f>
        <v/>
      </c>
      <c r="H887" s="9" t="n"/>
      <c r="I887" s="9" t="n"/>
      <c r="J887" s="8">
        <f>IFERROR(INDEX(спр_Материалы!$B$2:$B$9000,MATCH($I887,спр_Материалы!$A$2:$A$9000,0)),"")</f>
        <v/>
      </c>
      <c r="K887">
        <f>IF($I887="","",IF($F887=IFERROR(INDEX(спр_Материалы!$G$2:$G$9000,MATCH($I887,спр_Материалы!$A$2:$A$9000,0)),""),"OK","!! не та группа"))</f>
        <v/>
      </c>
      <c r="L887" s="10">
        <f>IFERROR(INDEX(спр_Работы!$H$2:$H$6000,MATCH($C887,спр_Работы!$A$2:$A$6000,0))*(1-ДисконтТендер),0)</f>
        <v/>
      </c>
      <c r="M887" s="10">
        <f>IF($I887="",0,IFERROR(INDEX(спр_Материалы!$I$2:$I$9000,MATCH($I887,спр_Материалы!$A$2:$A$9000,0))*IF(INDEX(спр_Материалы!$J$2:$J$9000,MATCH($I887,спр_Материалы!$A$2:$A$9000,0))="USD",КурсUSD,IF(INDEX(спр_Материалы!$J$2:$J$9000,MATCH($I887,спр_Материалы!$A$2:$A$9000,0))="EUR",КурсEUR,1))*INDEX(спр_Материалы!$K$2:$K$9000,MATCH($I887,спр_Материалы!$A$2:$A$9000,0))*(1+IFERROR(INDEX(спр_Работы!$I$2:$I$6000,MATCH($C887,спр_Работы!$A$2:$A$6000,0))/100,0))*(1-ДисконтТендер),0))</f>
        <v/>
      </c>
      <c r="N887" s="10">
        <f>IF(AND($R887="да",$H887&lt;&gt;""),ROUND($H887*$L887,2),0)</f>
        <v/>
      </c>
      <c r="O887" s="10">
        <f>IF(AND($R887="да",$H887&lt;&gt;""),ROUND($H887*$M887,2),0)</f>
        <v/>
      </c>
      <c r="P887" s="10">
        <f>$N887+$O887</f>
        <v/>
      </c>
      <c r="Q887">
        <f>IFERROR(INDEX(спр_Работы!$J$2:$J$6000,MATCH($C887,спр_Работы!$A$2:$A$6000,0)),"")</f>
        <v/>
      </c>
      <c r="R887" t="inlineStr">
        <is>
          <t>да</t>
        </is>
      </c>
      <c r="T887">
        <f>IF(AND($P887&gt;0,$R887="да"),MAX($T$1:$T886)+1,"")</f>
        <v/>
      </c>
    </row>
    <row r="888">
      <c r="A888">
        <f>IFERROR(INDEX(спр_Работы!$D$2:$D$6000,MATCH($C888,спр_Работы!$A$2:$A$6000,0)),"")</f>
        <v/>
      </c>
      <c r="B888">
        <f>IFERROR(INDEX(спр_Работы!$F$2:$F$6000,MATCH($C888,спр_Работы!$A$2:$A$6000,0)),"")</f>
        <v/>
      </c>
      <c r="C888">
        <f>IFERROR(INDEX(спр_Работы!$A$2:$A$6000,887),"")</f>
        <v/>
      </c>
      <c r="D888" s="8">
        <f>IFERROR(INDEX(спр_Работы!$B$2:$B$6000,MATCH($C888,спр_Работы!$A$2:$A$6000,0)),"")</f>
        <v/>
      </c>
      <c r="E888">
        <f>IFERROR(INDEX(спр_Работы!$C$2:$C$6000,MATCH($C888,спр_Работы!$A$2:$A$6000,0)),"")</f>
        <v/>
      </c>
      <c r="F888">
        <f>IFERROR(INDEX(спр_Работы!$G$2:$G$6000,MATCH($C888,спр_Работы!$A$2:$A$6000,0)),"")</f>
        <v/>
      </c>
      <c r="G888">
        <f>IFERROR(INDEX(спр_Работы!$K$2:$K$6000,MATCH($C888,спр_Работы!$A$2:$A$6000,0)),"")</f>
        <v/>
      </c>
      <c r="H888" s="9" t="n"/>
      <c r="I888" s="9" t="n"/>
      <c r="J888" s="8">
        <f>IFERROR(INDEX(спр_Материалы!$B$2:$B$9000,MATCH($I888,спр_Материалы!$A$2:$A$9000,0)),"")</f>
        <v/>
      </c>
      <c r="K888">
        <f>IF($I888="","",IF($F888=IFERROR(INDEX(спр_Материалы!$G$2:$G$9000,MATCH($I888,спр_Материалы!$A$2:$A$9000,0)),""),"OK","!! не та группа"))</f>
        <v/>
      </c>
      <c r="L888" s="10">
        <f>IFERROR(INDEX(спр_Работы!$H$2:$H$6000,MATCH($C888,спр_Работы!$A$2:$A$6000,0))*(1-ДисконтТендер),0)</f>
        <v/>
      </c>
      <c r="M888" s="10">
        <f>IF($I888="",0,IFERROR(INDEX(спр_Материалы!$I$2:$I$9000,MATCH($I888,спр_Материалы!$A$2:$A$9000,0))*IF(INDEX(спр_Материалы!$J$2:$J$9000,MATCH($I888,спр_Материалы!$A$2:$A$9000,0))="USD",КурсUSD,IF(INDEX(спр_Материалы!$J$2:$J$9000,MATCH($I888,спр_Материалы!$A$2:$A$9000,0))="EUR",КурсEUR,1))*INDEX(спр_Материалы!$K$2:$K$9000,MATCH($I888,спр_Материалы!$A$2:$A$9000,0))*(1+IFERROR(INDEX(спр_Работы!$I$2:$I$6000,MATCH($C888,спр_Работы!$A$2:$A$6000,0))/100,0))*(1-ДисконтТендер),0))</f>
        <v/>
      </c>
      <c r="N888" s="10">
        <f>IF(AND($R888="да",$H888&lt;&gt;""),ROUND($H888*$L888,2),0)</f>
        <v/>
      </c>
      <c r="O888" s="10">
        <f>IF(AND($R888="да",$H888&lt;&gt;""),ROUND($H888*$M888,2),0)</f>
        <v/>
      </c>
      <c r="P888" s="10">
        <f>$N888+$O888</f>
        <v/>
      </c>
      <c r="Q888">
        <f>IFERROR(INDEX(спр_Работы!$J$2:$J$6000,MATCH($C888,спр_Работы!$A$2:$A$6000,0)),"")</f>
        <v/>
      </c>
      <c r="R888" t="inlineStr">
        <is>
          <t>да</t>
        </is>
      </c>
      <c r="T888">
        <f>IF(AND($P888&gt;0,$R888="да"),MAX($T$1:$T887)+1,"")</f>
        <v/>
      </c>
    </row>
    <row r="889">
      <c r="A889">
        <f>IFERROR(INDEX(спр_Работы!$D$2:$D$6000,MATCH($C889,спр_Работы!$A$2:$A$6000,0)),"")</f>
        <v/>
      </c>
      <c r="B889">
        <f>IFERROR(INDEX(спр_Работы!$F$2:$F$6000,MATCH($C889,спр_Работы!$A$2:$A$6000,0)),"")</f>
        <v/>
      </c>
      <c r="C889">
        <f>IFERROR(INDEX(спр_Работы!$A$2:$A$6000,888),"")</f>
        <v/>
      </c>
      <c r="D889" s="8">
        <f>IFERROR(INDEX(спр_Работы!$B$2:$B$6000,MATCH($C889,спр_Работы!$A$2:$A$6000,0)),"")</f>
        <v/>
      </c>
      <c r="E889">
        <f>IFERROR(INDEX(спр_Работы!$C$2:$C$6000,MATCH($C889,спр_Работы!$A$2:$A$6000,0)),"")</f>
        <v/>
      </c>
      <c r="F889">
        <f>IFERROR(INDEX(спр_Работы!$G$2:$G$6000,MATCH($C889,спр_Работы!$A$2:$A$6000,0)),"")</f>
        <v/>
      </c>
      <c r="G889">
        <f>IFERROR(INDEX(спр_Работы!$K$2:$K$6000,MATCH($C889,спр_Работы!$A$2:$A$6000,0)),"")</f>
        <v/>
      </c>
      <c r="H889" s="9" t="n"/>
      <c r="I889" s="9" t="n"/>
      <c r="J889" s="8">
        <f>IFERROR(INDEX(спр_Материалы!$B$2:$B$9000,MATCH($I889,спр_Материалы!$A$2:$A$9000,0)),"")</f>
        <v/>
      </c>
      <c r="K889">
        <f>IF($I889="","",IF($F889=IFERROR(INDEX(спр_Материалы!$G$2:$G$9000,MATCH($I889,спр_Материалы!$A$2:$A$9000,0)),""),"OK","!! не та группа"))</f>
        <v/>
      </c>
      <c r="L889" s="10">
        <f>IFERROR(INDEX(спр_Работы!$H$2:$H$6000,MATCH($C889,спр_Работы!$A$2:$A$6000,0))*(1-ДисконтТендер),0)</f>
        <v/>
      </c>
      <c r="M889" s="10">
        <f>IF($I889="",0,IFERROR(INDEX(спр_Материалы!$I$2:$I$9000,MATCH($I889,спр_Материалы!$A$2:$A$9000,0))*IF(INDEX(спр_Материалы!$J$2:$J$9000,MATCH($I889,спр_Материалы!$A$2:$A$9000,0))="USD",КурсUSD,IF(INDEX(спр_Материалы!$J$2:$J$9000,MATCH($I889,спр_Материалы!$A$2:$A$9000,0))="EUR",КурсEUR,1))*INDEX(спр_Материалы!$K$2:$K$9000,MATCH($I889,спр_Материалы!$A$2:$A$9000,0))*(1+IFERROR(INDEX(спр_Работы!$I$2:$I$6000,MATCH($C889,спр_Работы!$A$2:$A$6000,0))/100,0))*(1-ДисконтТендер),0))</f>
        <v/>
      </c>
      <c r="N889" s="10">
        <f>IF(AND($R889="да",$H889&lt;&gt;""),ROUND($H889*$L889,2),0)</f>
        <v/>
      </c>
      <c r="O889" s="10">
        <f>IF(AND($R889="да",$H889&lt;&gt;""),ROUND($H889*$M889,2),0)</f>
        <v/>
      </c>
      <c r="P889" s="10">
        <f>$N889+$O889</f>
        <v/>
      </c>
      <c r="Q889">
        <f>IFERROR(INDEX(спр_Работы!$J$2:$J$6000,MATCH($C889,спр_Работы!$A$2:$A$6000,0)),"")</f>
        <v/>
      </c>
      <c r="R889" t="inlineStr">
        <is>
          <t>да</t>
        </is>
      </c>
      <c r="T889">
        <f>IF(AND($P889&gt;0,$R889="да"),MAX($T$1:$T888)+1,"")</f>
        <v/>
      </c>
    </row>
    <row r="890">
      <c r="A890">
        <f>IFERROR(INDEX(спр_Работы!$D$2:$D$6000,MATCH($C890,спр_Работы!$A$2:$A$6000,0)),"")</f>
        <v/>
      </c>
      <c r="B890">
        <f>IFERROR(INDEX(спр_Работы!$F$2:$F$6000,MATCH($C890,спр_Работы!$A$2:$A$6000,0)),"")</f>
        <v/>
      </c>
      <c r="C890">
        <f>IFERROR(INDEX(спр_Работы!$A$2:$A$6000,889),"")</f>
        <v/>
      </c>
      <c r="D890" s="8">
        <f>IFERROR(INDEX(спр_Работы!$B$2:$B$6000,MATCH($C890,спр_Работы!$A$2:$A$6000,0)),"")</f>
        <v/>
      </c>
      <c r="E890">
        <f>IFERROR(INDEX(спр_Работы!$C$2:$C$6000,MATCH($C890,спр_Работы!$A$2:$A$6000,0)),"")</f>
        <v/>
      </c>
      <c r="F890">
        <f>IFERROR(INDEX(спр_Работы!$G$2:$G$6000,MATCH($C890,спр_Работы!$A$2:$A$6000,0)),"")</f>
        <v/>
      </c>
      <c r="G890">
        <f>IFERROR(INDEX(спр_Работы!$K$2:$K$6000,MATCH($C890,спр_Работы!$A$2:$A$6000,0)),"")</f>
        <v/>
      </c>
      <c r="H890" s="9" t="n"/>
      <c r="I890" s="9" t="n"/>
      <c r="J890" s="8">
        <f>IFERROR(INDEX(спр_Материалы!$B$2:$B$9000,MATCH($I890,спр_Материалы!$A$2:$A$9000,0)),"")</f>
        <v/>
      </c>
      <c r="K890">
        <f>IF($I890="","",IF($F890=IFERROR(INDEX(спр_Материалы!$G$2:$G$9000,MATCH($I890,спр_Материалы!$A$2:$A$9000,0)),""),"OK","!! не та группа"))</f>
        <v/>
      </c>
      <c r="L890" s="10">
        <f>IFERROR(INDEX(спр_Работы!$H$2:$H$6000,MATCH($C890,спр_Работы!$A$2:$A$6000,0))*(1-ДисконтТендер),0)</f>
        <v/>
      </c>
      <c r="M890" s="10">
        <f>IF($I890="",0,IFERROR(INDEX(спр_Материалы!$I$2:$I$9000,MATCH($I890,спр_Материалы!$A$2:$A$9000,0))*IF(INDEX(спр_Материалы!$J$2:$J$9000,MATCH($I890,спр_Материалы!$A$2:$A$9000,0))="USD",КурсUSD,IF(INDEX(спр_Материалы!$J$2:$J$9000,MATCH($I890,спр_Материалы!$A$2:$A$9000,0))="EUR",КурсEUR,1))*INDEX(спр_Материалы!$K$2:$K$9000,MATCH($I890,спр_Материалы!$A$2:$A$9000,0))*(1+IFERROR(INDEX(спр_Работы!$I$2:$I$6000,MATCH($C890,спр_Работы!$A$2:$A$6000,0))/100,0))*(1-ДисконтТендер),0))</f>
        <v/>
      </c>
      <c r="N890" s="10">
        <f>IF(AND($R890="да",$H890&lt;&gt;""),ROUND($H890*$L890,2),0)</f>
        <v/>
      </c>
      <c r="O890" s="10">
        <f>IF(AND($R890="да",$H890&lt;&gt;""),ROUND($H890*$M890,2),0)</f>
        <v/>
      </c>
      <c r="P890" s="10">
        <f>$N890+$O890</f>
        <v/>
      </c>
      <c r="Q890">
        <f>IFERROR(INDEX(спр_Работы!$J$2:$J$6000,MATCH($C890,спр_Работы!$A$2:$A$6000,0)),"")</f>
        <v/>
      </c>
      <c r="R890" t="inlineStr">
        <is>
          <t>да</t>
        </is>
      </c>
      <c r="T890">
        <f>IF(AND($P890&gt;0,$R890="да"),MAX($T$1:$T889)+1,"")</f>
        <v/>
      </c>
    </row>
    <row r="891">
      <c r="A891">
        <f>IFERROR(INDEX(спр_Работы!$D$2:$D$6000,MATCH($C891,спр_Работы!$A$2:$A$6000,0)),"")</f>
        <v/>
      </c>
      <c r="B891">
        <f>IFERROR(INDEX(спр_Работы!$F$2:$F$6000,MATCH($C891,спр_Работы!$A$2:$A$6000,0)),"")</f>
        <v/>
      </c>
      <c r="C891">
        <f>IFERROR(INDEX(спр_Работы!$A$2:$A$6000,890),"")</f>
        <v/>
      </c>
      <c r="D891" s="8">
        <f>IFERROR(INDEX(спр_Работы!$B$2:$B$6000,MATCH($C891,спр_Работы!$A$2:$A$6000,0)),"")</f>
        <v/>
      </c>
      <c r="E891">
        <f>IFERROR(INDEX(спр_Работы!$C$2:$C$6000,MATCH($C891,спр_Работы!$A$2:$A$6000,0)),"")</f>
        <v/>
      </c>
      <c r="F891">
        <f>IFERROR(INDEX(спр_Работы!$G$2:$G$6000,MATCH($C891,спр_Работы!$A$2:$A$6000,0)),"")</f>
        <v/>
      </c>
      <c r="G891">
        <f>IFERROR(INDEX(спр_Работы!$K$2:$K$6000,MATCH($C891,спр_Работы!$A$2:$A$6000,0)),"")</f>
        <v/>
      </c>
      <c r="H891" s="9" t="n"/>
      <c r="I891" s="9" t="n"/>
      <c r="J891" s="8">
        <f>IFERROR(INDEX(спр_Материалы!$B$2:$B$9000,MATCH($I891,спр_Материалы!$A$2:$A$9000,0)),"")</f>
        <v/>
      </c>
      <c r="K891">
        <f>IF($I891="","",IF($F891=IFERROR(INDEX(спр_Материалы!$G$2:$G$9000,MATCH($I891,спр_Материалы!$A$2:$A$9000,0)),""),"OK","!! не та группа"))</f>
        <v/>
      </c>
      <c r="L891" s="10">
        <f>IFERROR(INDEX(спр_Работы!$H$2:$H$6000,MATCH($C891,спр_Работы!$A$2:$A$6000,0))*(1-ДисконтТендер),0)</f>
        <v/>
      </c>
      <c r="M891" s="10">
        <f>IF($I891="",0,IFERROR(INDEX(спр_Материалы!$I$2:$I$9000,MATCH($I891,спр_Материалы!$A$2:$A$9000,0))*IF(INDEX(спр_Материалы!$J$2:$J$9000,MATCH($I891,спр_Материалы!$A$2:$A$9000,0))="USD",КурсUSD,IF(INDEX(спр_Материалы!$J$2:$J$9000,MATCH($I891,спр_Материалы!$A$2:$A$9000,0))="EUR",КурсEUR,1))*INDEX(спр_Материалы!$K$2:$K$9000,MATCH($I891,спр_Материалы!$A$2:$A$9000,0))*(1+IFERROR(INDEX(спр_Работы!$I$2:$I$6000,MATCH($C891,спр_Работы!$A$2:$A$6000,0))/100,0))*(1-ДисконтТендер),0))</f>
        <v/>
      </c>
      <c r="N891" s="10">
        <f>IF(AND($R891="да",$H891&lt;&gt;""),ROUND($H891*$L891,2),0)</f>
        <v/>
      </c>
      <c r="O891" s="10">
        <f>IF(AND($R891="да",$H891&lt;&gt;""),ROUND($H891*$M891,2),0)</f>
        <v/>
      </c>
      <c r="P891" s="10">
        <f>$N891+$O891</f>
        <v/>
      </c>
      <c r="Q891">
        <f>IFERROR(INDEX(спр_Работы!$J$2:$J$6000,MATCH($C891,спр_Работы!$A$2:$A$6000,0)),"")</f>
        <v/>
      </c>
      <c r="R891" t="inlineStr">
        <is>
          <t>да</t>
        </is>
      </c>
      <c r="T891">
        <f>IF(AND($P891&gt;0,$R891="да"),MAX($T$1:$T890)+1,"")</f>
        <v/>
      </c>
    </row>
    <row r="892">
      <c r="A892">
        <f>IFERROR(INDEX(спр_Работы!$D$2:$D$6000,MATCH($C892,спр_Работы!$A$2:$A$6000,0)),"")</f>
        <v/>
      </c>
      <c r="B892">
        <f>IFERROR(INDEX(спр_Работы!$F$2:$F$6000,MATCH($C892,спр_Работы!$A$2:$A$6000,0)),"")</f>
        <v/>
      </c>
      <c r="C892">
        <f>IFERROR(INDEX(спр_Работы!$A$2:$A$6000,891),"")</f>
        <v/>
      </c>
      <c r="D892" s="8">
        <f>IFERROR(INDEX(спр_Работы!$B$2:$B$6000,MATCH($C892,спр_Работы!$A$2:$A$6000,0)),"")</f>
        <v/>
      </c>
      <c r="E892">
        <f>IFERROR(INDEX(спр_Работы!$C$2:$C$6000,MATCH($C892,спр_Работы!$A$2:$A$6000,0)),"")</f>
        <v/>
      </c>
      <c r="F892">
        <f>IFERROR(INDEX(спр_Работы!$G$2:$G$6000,MATCH($C892,спр_Работы!$A$2:$A$6000,0)),"")</f>
        <v/>
      </c>
      <c r="G892">
        <f>IFERROR(INDEX(спр_Работы!$K$2:$K$6000,MATCH($C892,спр_Работы!$A$2:$A$6000,0)),"")</f>
        <v/>
      </c>
      <c r="H892" s="9" t="n"/>
      <c r="I892" s="9" t="n"/>
      <c r="J892" s="8">
        <f>IFERROR(INDEX(спр_Материалы!$B$2:$B$9000,MATCH($I892,спр_Материалы!$A$2:$A$9000,0)),"")</f>
        <v/>
      </c>
      <c r="K892">
        <f>IF($I892="","",IF($F892=IFERROR(INDEX(спр_Материалы!$G$2:$G$9000,MATCH($I892,спр_Материалы!$A$2:$A$9000,0)),""),"OK","!! не та группа"))</f>
        <v/>
      </c>
      <c r="L892" s="10">
        <f>IFERROR(INDEX(спр_Работы!$H$2:$H$6000,MATCH($C892,спр_Работы!$A$2:$A$6000,0))*(1-ДисконтТендер),0)</f>
        <v/>
      </c>
      <c r="M892" s="10">
        <f>IF($I892="",0,IFERROR(INDEX(спр_Материалы!$I$2:$I$9000,MATCH($I892,спр_Материалы!$A$2:$A$9000,0))*IF(INDEX(спр_Материалы!$J$2:$J$9000,MATCH($I892,спр_Материалы!$A$2:$A$9000,0))="USD",КурсUSD,IF(INDEX(спр_Материалы!$J$2:$J$9000,MATCH($I892,спр_Материалы!$A$2:$A$9000,0))="EUR",КурсEUR,1))*INDEX(спр_Материалы!$K$2:$K$9000,MATCH($I892,спр_Материалы!$A$2:$A$9000,0))*(1+IFERROR(INDEX(спр_Работы!$I$2:$I$6000,MATCH($C892,спр_Работы!$A$2:$A$6000,0))/100,0))*(1-ДисконтТендер),0))</f>
        <v/>
      </c>
      <c r="N892" s="10">
        <f>IF(AND($R892="да",$H892&lt;&gt;""),ROUND($H892*$L892,2),0)</f>
        <v/>
      </c>
      <c r="O892" s="10">
        <f>IF(AND($R892="да",$H892&lt;&gt;""),ROUND($H892*$M892,2),0)</f>
        <v/>
      </c>
      <c r="P892" s="10">
        <f>$N892+$O892</f>
        <v/>
      </c>
      <c r="Q892">
        <f>IFERROR(INDEX(спр_Работы!$J$2:$J$6000,MATCH($C892,спр_Работы!$A$2:$A$6000,0)),"")</f>
        <v/>
      </c>
      <c r="R892" t="inlineStr">
        <is>
          <t>да</t>
        </is>
      </c>
      <c r="T892">
        <f>IF(AND($P892&gt;0,$R892="да"),MAX($T$1:$T891)+1,"")</f>
        <v/>
      </c>
    </row>
    <row r="893">
      <c r="A893">
        <f>IFERROR(INDEX(спр_Работы!$D$2:$D$6000,MATCH($C893,спр_Работы!$A$2:$A$6000,0)),"")</f>
        <v/>
      </c>
      <c r="B893">
        <f>IFERROR(INDEX(спр_Работы!$F$2:$F$6000,MATCH($C893,спр_Работы!$A$2:$A$6000,0)),"")</f>
        <v/>
      </c>
      <c r="C893">
        <f>IFERROR(INDEX(спр_Работы!$A$2:$A$6000,892),"")</f>
        <v/>
      </c>
      <c r="D893" s="8">
        <f>IFERROR(INDEX(спр_Работы!$B$2:$B$6000,MATCH($C893,спр_Работы!$A$2:$A$6000,0)),"")</f>
        <v/>
      </c>
      <c r="E893">
        <f>IFERROR(INDEX(спр_Работы!$C$2:$C$6000,MATCH($C893,спр_Работы!$A$2:$A$6000,0)),"")</f>
        <v/>
      </c>
      <c r="F893">
        <f>IFERROR(INDEX(спр_Работы!$G$2:$G$6000,MATCH($C893,спр_Работы!$A$2:$A$6000,0)),"")</f>
        <v/>
      </c>
      <c r="G893">
        <f>IFERROR(INDEX(спр_Работы!$K$2:$K$6000,MATCH($C893,спр_Работы!$A$2:$A$6000,0)),"")</f>
        <v/>
      </c>
      <c r="H893" s="9" t="n"/>
      <c r="I893" s="9" t="n"/>
      <c r="J893" s="8">
        <f>IFERROR(INDEX(спр_Материалы!$B$2:$B$9000,MATCH($I893,спр_Материалы!$A$2:$A$9000,0)),"")</f>
        <v/>
      </c>
      <c r="K893">
        <f>IF($I893="","",IF($F893=IFERROR(INDEX(спр_Материалы!$G$2:$G$9000,MATCH($I893,спр_Материалы!$A$2:$A$9000,0)),""),"OK","!! не та группа"))</f>
        <v/>
      </c>
      <c r="L893" s="10">
        <f>IFERROR(INDEX(спр_Работы!$H$2:$H$6000,MATCH($C893,спр_Работы!$A$2:$A$6000,0))*(1-ДисконтТендер),0)</f>
        <v/>
      </c>
      <c r="M893" s="10">
        <f>IF($I893="",0,IFERROR(INDEX(спр_Материалы!$I$2:$I$9000,MATCH($I893,спр_Материалы!$A$2:$A$9000,0))*IF(INDEX(спр_Материалы!$J$2:$J$9000,MATCH($I893,спр_Материалы!$A$2:$A$9000,0))="USD",КурсUSD,IF(INDEX(спр_Материалы!$J$2:$J$9000,MATCH($I893,спр_Материалы!$A$2:$A$9000,0))="EUR",КурсEUR,1))*INDEX(спр_Материалы!$K$2:$K$9000,MATCH($I893,спр_Материалы!$A$2:$A$9000,0))*(1+IFERROR(INDEX(спр_Работы!$I$2:$I$6000,MATCH($C893,спр_Работы!$A$2:$A$6000,0))/100,0))*(1-ДисконтТендер),0))</f>
        <v/>
      </c>
      <c r="N893" s="10">
        <f>IF(AND($R893="да",$H893&lt;&gt;""),ROUND($H893*$L893,2),0)</f>
        <v/>
      </c>
      <c r="O893" s="10">
        <f>IF(AND($R893="да",$H893&lt;&gt;""),ROUND($H893*$M893,2),0)</f>
        <v/>
      </c>
      <c r="P893" s="10">
        <f>$N893+$O893</f>
        <v/>
      </c>
      <c r="Q893">
        <f>IFERROR(INDEX(спр_Работы!$J$2:$J$6000,MATCH($C893,спр_Работы!$A$2:$A$6000,0)),"")</f>
        <v/>
      </c>
      <c r="R893" t="inlineStr">
        <is>
          <t>да</t>
        </is>
      </c>
      <c r="T893">
        <f>IF(AND($P893&gt;0,$R893="да"),MAX($T$1:$T892)+1,"")</f>
        <v/>
      </c>
    </row>
    <row r="894">
      <c r="A894">
        <f>IFERROR(INDEX(спр_Работы!$D$2:$D$6000,MATCH($C894,спр_Работы!$A$2:$A$6000,0)),"")</f>
        <v/>
      </c>
      <c r="B894">
        <f>IFERROR(INDEX(спр_Работы!$F$2:$F$6000,MATCH($C894,спр_Работы!$A$2:$A$6000,0)),"")</f>
        <v/>
      </c>
      <c r="C894">
        <f>IFERROR(INDEX(спр_Работы!$A$2:$A$6000,893),"")</f>
        <v/>
      </c>
      <c r="D894" s="8">
        <f>IFERROR(INDEX(спр_Работы!$B$2:$B$6000,MATCH($C894,спр_Работы!$A$2:$A$6000,0)),"")</f>
        <v/>
      </c>
      <c r="E894">
        <f>IFERROR(INDEX(спр_Работы!$C$2:$C$6000,MATCH($C894,спр_Работы!$A$2:$A$6000,0)),"")</f>
        <v/>
      </c>
      <c r="F894">
        <f>IFERROR(INDEX(спр_Работы!$G$2:$G$6000,MATCH($C894,спр_Работы!$A$2:$A$6000,0)),"")</f>
        <v/>
      </c>
      <c r="G894">
        <f>IFERROR(INDEX(спр_Работы!$K$2:$K$6000,MATCH($C894,спр_Работы!$A$2:$A$6000,0)),"")</f>
        <v/>
      </c>
      <c r="H894" s="9" t="n"/>
      <c r="I894" s="9" t="n"/>
      <c r="J894" s="8">
        <f>IFERROR(INDEX(спр_Материалы!$B$2:$B$9000,MATCH($I894,спр_Материалы!$A$2:$A$9000,0)),"")</f>
        <v/>
      </c>
      <c r="K894">
        <f>IF($I894="","",IF($F894=IFERROR(INDEX(спр_Материалы!$G$2:$G$9000,MATCH($I894,спр_Материалы!$A$2:$A$9000,0)),""),"OK","!! не та группа"))</f>
        <v/>
      </c>
      <c r="L894" s="10">
        <f>IFERROR(INDEX(спр_Работы!$H$2:$H$6000,MATCH($C894,спр_Работы!$A$2:$A$6000,0))*(1-ДисконтТендер),0)</f>
        <v/>
      </c>
      <c r="M894" s="10">
        <f>IF($I894="",0,IFERROR(INDEX(спр_Материалы!$I$2:$I$9000,MATCH($I894,спр_Материалы!$A$2:$A$9000,0))*IF(INDEX(спр_Материалы!$J$2:$J$9000,MATCH($I894,спр_Материалы!$A$2:$A$9000,0))="USD",КурсUSD,IF(INDEX(спр_Материалы!$J$2:$J$9000,MATCH($I894,спр_Материалы!$A$2:$A$9000,0))="EUR",КурсEUR,1))*INDEX(спр_Материалы!$K$2:$K$9000,MATCH($I894,спр_Материалы!$A$2:$A$9000,0))*(1+IFERROR(INDEX(спр_Работы!$I$2:$I$6000,MATCH($C894,спр_Работы!$A$2:$A$6000,0))/100,0))*(1-ДисконтТендер),0))</f>
        <v/>
      </c>
      <c r="N894" s="10">
        <f>IF(AND($R894="да",$H894&lt;&gt;""),ROUND($H894*$L894,2),0)</f>
        <v/>
      </c>
      <c r="O894" s="10">
        <f>IF(AND($R894="да",$H894&lt;&gt;""),ROUND($H894*$M894,2),0)</f>
        <v/>
      </c>
      <c r="P894" s="10">
        <f>$N894+$O894</f>
        <v/>
      </c>
      <c r="Q894">
        <f>IFERROR(INDEX(спр_Работы!$J$2:$J$6000,MATCH($C894,спр_Работы!$A$2:$A$6000,0)),"")</f>
        <v/>
      </c>
      <c r="R894" t="inlineStr">
        <is>
          <t>да</t>
        </is>
      </c>
      <c r="T894">
        <f>IF(AND($P894&gt;0,$R894="да"),MAX($T$1:$T893)+1,"")</f>
        <v/>
      </c>
    </row>
    <row r="895">
      <c r="A895">
        <f>IFERROR(INDEX(спр_Работы!$D$2:$D$6000,MATCH($C895,спр_Работы!$A$2:$A$6000,0)),"")</f>
        <v/>
      </c>
      <c r="B895">
        <f>IFERROR(INDEX(спр_Работы!$F$2:$F$6000,MATCH($C895,спр_Работы!$A$2:$A$6000,0)),"")</f>
        <v/>
      </c>
      <c r="C895">
        <f>IFERROR(INDEX(спр_Работы!$A$2:$A$6000,894),"")</f>
        <v/>
      </c>
      <c r="D895" s="8">
        <f>IFERROR(INDEX(спр_Работы!$B$2:$B$6000,MATCH($C895,спр_Работы!$A$2:$A$6000,0)),"")</f>
        <v/>
      </c>
      <c r="E895">
        <f>IFERROR(INDEX(спр_Работы!$C$2:$C$6000,MATCH($C895,спр_Работы!$A$2:$A$6000,0)),"")</f>
        <v/>
      </c>
      <c r="F895">
        <f>IFERROR(INDEX(спр_Работы!$G$2:$G$6000,MATCH($C895,спр_Работы!$A$2:$A$6000,0)),"")</f>
        <v/>
      </c>
      <c r="G895">
        <f>IFERROR(INDEX(спр_Работы!$K$2:$K$6000,MATCH($C895,спр_Работы!$A$2:$A$6000,0)),"")</f>
        <v/>
      </c>
      <c r="H895" s="9" t="n"/>
      <c r="I895" s="9" t="n"/>
      <c r="J895" s="8">
        <f>IFERROR(INDEX(спр_Материалы!$B$2:$B$9000,MATCH($I895,спр_Материалы!$A$2:$A$9000,0)),"")</f>
        <v/>
      </c>
      <c r="K895">
        <f>IF($I895="","",IF($F895=IFERROR(INDEX(спр_Материалы!$G$2:$G$9000,MATCH($I895,спр_Материалы!$A$2:$A$9000,0)),""),"OK","!! не та группа"))</f>
        <v/>
      </c>
      <c r="L895" s="10">
        <f>IFERROR(INDEX(спр_Работы!$H$2:$H$6000,MATCH($C895,спр_Работы!$A$2:$A$6000,0))*(1-ДисконтТендер),0)</f>
        <v/>
      </c>
      <c r="M895" s="10">
        <f>IF($I895="",0,IFERROR(INDEX(спр_Материалы!$I$2:$I$9000,MATCH($I895,спр_Материалы!$A$2:$A$9000,0))*IF(INDEX(спр_Материалы!$J$2:$J$9000,MATCH($I895,спр_Материалы!$A$2:$A$9000,0))="USD",КурсUSD,IF(INDEX(спр_Материалы!$J$2:$J$9000,MATCH($I895,спр_Материалы!$A$2:$A$9000,0))="EUR",КурсEUR,1))*INDEX(спр_Материалы!$K$2:$K$9000,MATCH($I895,спр_Материалы!$A$2:$A$9000,0))*(1+IFERROR(INDEX(спр_Работы!$I$2:$I$6000,MATCH($C895,спр_Работы!$A$2:$A$6000,0))/100,0))*(1-ДисконтТендер),0))</f>
        <v/>
      </c>
      <c r="N895" s="10">
        <f>IF(AND($R895="да",$H895&lt;&gt;""),ROUND($H895*$L895,2),0)</f>
        <v/>
      </c>
      <c r="O895" s="10">
        <f>IF(AND($R895="да",$H895&lt;&gt;""),ROUND($H895*$M895,2),0)</f>
        <v/>
      </c>
      <c r="P895" s="10">
        <f>$N895+$O895</f>
        <v/>
      </c>
      <c r="Q895">
        <f>IFERROR(INDEX(спр_Работы!$J$2:$J$6000,MATCH($C895,спр_Работы!$A$2:$A$6000,0)),"")</f>
        <v/>
      </c>
      <c r="R895" t="inlineStr">
        <is>
          <t>да</t>
        </is>
      </c>
      <c r="T895">
        <f>IF(AND($P895&gt;0,$R895="да"),MAX($T$1:$T894)+1,"")</f>
        <v/>
      </c>
    </row>
    <row r="896">
      <c r="A896">
        <f>IFERROR(INDEX(спр_Работы!$D$2:$D$6000,MATCH($C896,спр_Работы!$A$2:$A$6000,0)),"")</f>
        <v/>
      </c>
      <c r="B896">
        <f>IFERROR(INDEX(спр_Работы!$F$2:$F$6000,MATCH($C896,спр_Работы!$A$2:$A$6000,0)),"")</f>
        <v/>
      </c>
      <c r="C896">
        <f>IFERROR(INDEX(спр_Работы!$A$2:$A$6000,895),"")</f>
        <v/>
      </c>
      <c r="D896" s="8">
        <f>IFERROR(INDEX(спр_Работы!$B$2:$B$6000,MATCH($C896,спр_Работы!$A$2:$A$6000,0)),"")</f>
        <v/>
      </c>
      <c r="E896">
        <f>IFERROR(INDEX(спр_Работы!$C$2:$C$6000,MATCH($C896,спр_Работы!$A$2:$A$6000,0)),"")</f>
        <v/>
      </c>
      <c r="F896">
        <f>IFERROR(INDEX(спр_Работы!$G$2:$G$6000,MATCH($C896,спр_Работы!$A$2:$A$6000,0)),"")</f>
        <v/>
      </c>
      <c r="G896">
        <f>IFERROR(INDEX(спр_Работы!$K$2:$K$6000,MATCH($C896,спр_Работы!$A$2:$A$6000,0)),"")</f>
        <v/>
      </c>
      <c r="H896" s="9" t="n"/>
      <c r="I896" s="9" t="n"/>
      <c r="J896" s="8">
        <f>IFERROR(INDEX(спр_Материалы!$B$2:$B$9000,MATCH($I896,спр_Материалы!$A$2:$A$9000,0)),"")</f>
        <v/>
      </c>
      <c r="K896">
        <f>IF($I896="","",IF($F896=IFERROR(INDEX(спр_Материалы!$G$2:$G$9000,MATCH($I896,спр_Материалы!$A$2:$A$9000,0)),""),"OK","!! не та группа"))</f>
        <v/>
      </c>
      <c r="L896" s="10">
        <f>IFERROR(INDEX(спр_Работы!$H$2:$H$6000,MATCH($C896,спр_Работы!$A$2:$A$6000,0))*(1-ДисконтТендер),0)</f>
        <v/>
      </c>
      <c r="M896" s="10">
        <f>IF($I896="",0,IFERROR(INDEX(спр_Материалы!$I$2:$I$9000,MATCH($I896,спр_Материалы!$A$2:$A$9000,0))*IF(INDEX(спр_Материалы!$J$2:$J$9000,MATCH($I896,спр_Материалы!$A$2:$A$9000,0))="USD",КурсUSD,IF(INDEX(спр_Материалы!$J$2:$J$9000,MATCH($I896,спр_Материалы!$A$2:$A$9000,0))="EUR",КурсEUR,1))*INDEX(спр_Материалы!$K$2:$K$9000,MATCH($I896,спр_Материалы!$A$2:$A$9000,0))*(1+IFERROR(INDEX(спр_Работы!$I$2:$I$6000,MATCH($C896,спр_Работы!$A$2:$A$6000,0))/100,0))*(1-ДисконтТендер),0))</f>
        <v/>
      </c>
      <c r="N896" s="10">
        <f>IF(AND($R896="да",$H896&lt;&gt;""),ROUND($H896*$L896,2),0)</f>
        <v/>
      </c>
      <c r="O896" s="10">
        <f>IF(AND($R896="да",$H896&lt;&gt;""),ROUND($H896*$M896,2),0)</f>
        <v/>
      </c>
      <c r="P896" s="10">
        <f>$N896+$O896</f>
        <v/>
      </c>
      <c r="Q896">
        <f>IFERROR(INDEX(спр_Работы!$J$2:$J$6000,MATCH($C896,спр_Работы!$A$2:$A$6000,0)),"")</f>
        <v/>
      </c>
      <c r="R896" t="inlineStr">
        <is>
          <t>да</t>
        </is>
      </c>
      <c r="T896">
        <f>IF(AND($P896&gt;0,$R896="да"),MAX($T$1:$T895)+1,"")</f>
        <v/>
      </c>
    </row>
    <row r="897">
      <c r="A897">
        <f>IFERROR(INDEX(спр_Работы!$D$2:$D$6000,MATCH($C897,спр_Работы!$A$2:$A$6000,0)),"")</f>
        <v/>
      </c>
      <c r="B897">
        <f>IFERROR(INDEX(спр_Работы!$F$2:$F$6000,MATCH($C897,спр_Работы!$A$2:$A$6000,0)),"")</f>
        <v/>
      </c>
      <c r="C897">
        <f>IFERROR(INDEX(спр_Работы!$A$2:$A$6000,896),"")</f>
        <v/>
      </c>
      <c r="D897" s="8">
        <f>IFERROR(INDEX(спр_Работы!$B$2:$B$6000,MATCH($C897,спр_Работы!$A$2:$A$6000,0)),"")</f>
        <v/>
      </c>
      <c r="E897">
        <f>IFERROR(INDEX(спр_Работы!$C$2:$C$6000,MATCH($C897,спр_Работы!$A$2:$A$6000,0)),"")</f>
        <v/>
      </c>
      <c r="F897">
        <f>IFERROR(INDEX(спр_Работы!$G$2:$G$6000,MATCH($C897,спр_Работы!$A$2:$A$6000,0)),"")</f>
        <v/>
      </c>
      <c r="G897">
        <f>IFERROR(INDEX(спр_Работы!$K$2:$K$6000,MATCH($C897,спр_Работы!$A$2:$A$6000,0)),"")</f>
        <v/>
      </c>
      <c r="H897" s="9" t="n"/>
      <c r="I897" s="9" t="n"/>
      <c r="J897" s="8">
        <f>IFERROR(INDEX(спр_Материалы!$B$2:$B$9000,MATCH($I897,спр_Материалы!$A$2:$A$9000,0)),"")</f>
        <v/>
      </c>
      <c r="K897">
        <f>IF($I897="","",IF($F897=IFERROR(INDEX(спр_Материалы!$G$2:$G$9000,MATCH($I897,спр_Материалы!$A$2:$A$9000,0)),""),"OK","!! не та группа"))</f>
        <v/>
      </c>
      <c r="L897" s="10">
        <f>IFERROR(INDEX(спр_Работы!$H$2:$H$6000,MATCH($C897,спр_Работы!$A$2:$A$6000,0))*(1-ДисконтТендер),0)</f>
        <v/>
      </c>
      <c r="M897" s="10">
        <f>IF($I897="",0,IFERROR(INDEX(спр_Материалы!$I$2:$I$9000,MATCH($I897,спр_Материалы!$A$2:$A$9000,0))*IF(INDEX(спр_Материалы!$J$2:$J$9000,MATCH($I897,спр_Материалы!$A$2:$A$9000,0))="USD",КурсUSD,IF(INDEX(спр_Материалы!$J$2:$J$9000,MATCH($I897,спр_Материалы!$A$2:$A$9000,0))="EUR",КурсEUR,1))*INDEX(спр_Материалы!$K$2:$K$9000,MATCH($I897,спр_Материалы!$A$2:$A$9000,0))*(1+IFERROR(INDEX(спр_Работы!$I$2:$I$6000,MATCH($C897,спр_Работы!$A$2:$A$6000,0))/100,0))*(1-ДисконтТендер),0))</f>
        <v/>
      </c>
      <c r="N897" s="10">
        <f>IF(AND($R897="да",$H897&lt;&gt;""),ROUND($H897*$L897,2),0)</f>
        <v/>
      </c>
      <c r="O897" s="10">
        <f>IF(AND($R897="да",$H897&lt;&gt;""),ROUND($H897*$M897,2),0)</f>
        <v/>
      </c>
      <c r="P897" s="10">
        <f>$N897+$O897</f>
        <v/>
      </c>
      <c r="Q897">
        <f>IFERROR(INDEX(спр_Работы!$J$2:$J$6000,MATCH($C897,спр_Работы!$A$2:$A$6000,0)),"")</f>
        <v/>
      </c>
      <c r="R897" t="inlineStr">
        <is>
          <t>да</t>
        </is>
      </c>
      <c r="T897">
        <f>IF(AND($P897&gt;0,$R897="да"),MAX($T$1:$T896)+1,"")</f>
        <v/>
      </c>
    </row>
    <row r="898">
      <c r="A898">
        <f>IFERROR(INDEX(спр_Работы!$D$2:$D$6000,MATCH($C898,спр_Работы!$A$2:$A$6000,0)),"")</f>
        <v/>
      </c>
      <c r="B898">
        <f>IFERROR(INDEX(спр_Работы!$F$2:$F$6000,MATCH($C898,спр_Работы!$A$2:$A$6000,0)),"")</f>
        <v/>
      </c>
      <c r="C898">
        <f>IFERROR(INDEX(спр_Работы!$A$2:$A$6000,897),"")</f>
        <v/>
      </c>
      <c r="D898" s="8">
        <f>IFERROR(INDEX(спр_Работы!$B$2:$B$6000,MATCH($C898,спр_Работы!$A$2:$A$6000,0)),"")</f>
        <v/>
      </c>
      <c r="E898">
        <f>IFERROR(INDEX(спр_Работы!$C$2:$C$6000,MATCH($C898,спр_Работы!$A$2:$A$6000,0)),"")</f>
        <v/>
      </c>
      <c r="F898">
        <f>IFERROR(INDEX(спр_Работы!$G$2:$G$6000,MATCH($C898,спр_Работы!$A$2:$A$6000,0)),"")</f>
        <v/>
      </c>
      <c r="G898">
        <f>IFERROR(INDEX(спр_Работы!$K$2:$K$6000,MATCH($C898,спр_Работы!$A$2:$A$6000,0)),"")</f>
        <v/>
      </c>
      <c r="H898" s="9" t="n"/>
      <c r="I898" s="9" t="n"/>
      <c r="J898" s="8">
        <f>IFERROR(INDEX(спр_Материалы!$B$2:$B$9000,MATCH($I898,спр_Материалы!$A$2:$A$9000,0)),"")</f>
        <v/>
      </c>
      <c r="K898">
        <f>IF($I898="","",IF($F898=IFERROR(INDEX(спр_Материалы!$G$2:$G$9000,MATCH($I898,спр_Материалы!$A$2:$A$9000,0)),""),"OK","!! не та группа"))</f>
        <v/>
      </c>
      <c r="L898" s="10">
        <f>IFERROR(INDEX(спр_Работы!$H$2:$H$6000,MATCH($C898,спр_Работы!$A$2:$A$6000,0))*(1-ДисконтТендер),0)</f>
        <v/>
      </c>
      <c r="M898" s="10">
        <f>IF($I898="",0,IFERROR(INDEX(спр_Материалы!$I$2:$I$9000,MATCH($I898,спр_Материалы!$A$2:$A$9000,0))*IF(INDEX(спр_Материалы!$J$2:$J$9000,MATCH($I898,спр_Материалы!$A$2:$A$9000,0))="USD",КурсUSD,IF(INDEX(спр_Материалы!$J$2:$J$9000,MATCH($I898,спр_Материалы!$A$2:$A$9000,0))="EUR",КурсEUR,1))*INDEX(спр_Материалы!$K$2:$K$9000,MATCH($I898,спр_Материалы!$A$2:$A$9000,0))*(1+IFERROR(INDEX(спр_Работы!$I$2:$I$6000,MATCH($C898,спр_Работы!$A$2:$A$6000,0))/100,0))*(1-ДисконтТендер),0))</f>
        <v/>
      </c>
      <c r="N898" s="10">
        <f>IF(AND($R898="да",$H898&lt;&gt;""),ROUND($H898*$L898,2),0)</f>
        <v/>
      </c>
      <c r="O898" s="10">
        <f>IF(AND($R898="да",$H898&lt;&gt;""),ROUND($H898*$M898,2),0)</f>
        <v/>
      </c>
      <c r="P898" s="10">
        <f>$N898+$O898</f>
        <v/>
      </c>
      <c r="Q898">
        <f>IFERROR(INDEX(спр_Работы!$J$2:$J$6000,MATCH($C898,спр_Работы!$A$2:$A$6000,0)),"")</f>
        <v/>
      </c>
      <c r="R898" t="inlineStr">
        <is>
          <t>да</t>
        </is>
      </c>
      <c r="T898">
        <f>IF(AND($P898&gt;0,$R898="да"),MAX($T$1:$T897)+1,"")</f>
        <v/>
      </c>
    </row>
    <row r="899">
      <c r="A899">
        <f>IFERROR(INDEX(спр_Работы!$D$2:$D$6000,MATCH($C899,спр_Работы!$A$2:$A$6000,0)),"")</f>
        <v/>
      </c>
      <c r="B899">
        <f>IFERROR(INDEX(спр_Работы!$F$2:$F$6000,MATCH($C899,спр_Работы!$A$2:$A$6000,0)),"")</f>
        <v/>
      </c>
      <c r="C899">
        <f>IFERROR(INDEX(спр_Работы!$A$2:$A$6000,898),"")</f>
        <v/>
      </c>
      <c r="D899" s="8">
        <f>IFERROR(INDEX(спр_Работы!$B$2:$B$6000,MATCH($C899,спр_Работы!$A$2:$A$6000,0)),"")</f>
        <v/>
      </c>
      <c r="E899">
        <f>IFERROR(INDEX(спр_Работы!$C$2:$C$6000,MATCH($C899,спр_Работы!$A$2:$A$6000,0)),"")</f>
        <v/>
      </c>
      <c r="F899">
        <f>IFERROR(INDEX(спр_Работы!$G$2:$G$6000,MATCH($C899,спр_Работы!$A$2:$A$6000,0)),"")</f>
        <v/>
      </c>
      <c r="G899">
        <f>IFERROR(INDEX(спр_Работы!$K$2:$K$6000,MATCH($C899,спр_Работы!$A$2:$A$6000,0)),"")</f>
        <v/>
      </c>
      <c r="H899" s="9" t="n"/>
      <c r="I899" s="9" t="n"/>
      <c r="J899" s="8">
        <f>IFERROR(INDEX(спр_Материалы!$B$2:$B$9000,MATCH($I899,спр_Материалы!$A$2:$A$9000,0)),"")</f>
        <v/>
      </c>
      <c r="K899">
        <f>IF($I899="","",IF($F899=IFERROR(INDEX(спр_Материалы!$G$2:$G$9000,MATCH($I899,спр_Материалы!$A$2:$A$9000,0)),""),"OK","!! не та группа"))</f>
        <v/>
      </c>
      <c r="L899" s="10">
        <f>IFERROR(INDEX(спр_Работы!$H$2:$H$6000,MATCH($C899,спр_Работы!$A$2:$A$6000,0))*(1-ДисконтТендер),0)</f>
        <v/>
      </c>
      <c r="M899" s="10">
        <f>IF($I899="",0,IFERROR(INDEX(спр_Материалы!$I$2:$I$9000,MATCH($I899,спр_Материалы!$A$2:$A$9000,0))*IF(INDEX(спр_Материалы!$J$2:$J$9000,MATCH($I899,спр_Материалы!$A$2:$A$9000,0))="USD",КурсUSD,IF(INDEX(спр_Материалы!$J$2:$J$9000,MATCH($I899,спр_Материалы!$A$2:$A$9000,0))="EUR",КурсEUR,1))*INDEX(спр_Материалы!$K$2:$K$9000,MATCH($I899,спр_Материалы!$A$2:$A$9000,0))*(1+IFERROR(INDEX(спр_Работы!$I$2:$I$6000,MATCH($C899,спр_Работы!$A$2:$A$6000,0))/100,0))*(1-ДисконтТендер),0))</f>
        <v/>
      </c>
      <c r="N899" s="10">
        <f>IF(AND($R899="да",$H899&lt;&gt;""),ROUND($H899*$L899,2),0)</f>
        <v/>
      </c>
      <c r="O899" s="10">
        <f>IF(AND($R899="да",$H899&lt;&gt;""),ROUND($H899*$M899,2),0)</f>
        <v/>
      </c>
      <c r="P899" s="10">
        <f>$N899+$O899</f>
        <v/>
      </c>
      <c r="Q899">
        <f>IFERROR(INDEX(спр_Работы!$J$2:$J$6000,MATCH($C899,спр_Работы!$A$2:$A$6000,0)),"")</f>
        <v/>
      </c>
      <c r="R899" t="inlineStr">
        <is>
          <t>да</t>
        </is>
      </c>
      <c r="T899">
        <f>IF(AND($P899&gt;0,$R899="да"),MAX($T$1:$T898)+1,"")</f>
        <v/>
      </c>
    </row>
    <row r="900">
      <c r="A900">
        <f>IFERROR(INDEX(спр_Работы!$D$2:$D$6000,MATCH($C900,спр_Работы!$A$2:$A$6000,0)),"")</f>
        <v/>
      </c>
      <c r="B900">
        <f>IFERROR(INDEX(спр_Работы!$F$2:$F$6000,MATCH($C900,спр_Работы!$A$2:$A$6000,0)),"")</f>
        <v/>
      </c>
      <c r="C900">
        <f>IFERROR(INDEX(спр_Работы!$A$2:$A$6000,899),"")</f>
        <v/>
      </c>
      <c r="D900" s="8">
        <f>IFERROR(INDEX(спр_Работы!$B$2:$B$6000,MATCH($C900,спр_Работы!$A$2:$A$6000,0)),"")</f>
        <v/>
      </c>
      <c r="E900">
        <f>IFERROR(INDEX(спр_Работы!$C$2:$C$6000,MATCH($C900,спр_Работы!$A$2:$A$6000,0)),"")</f>
        <v/>
      </c>
      <c r="F900">
        <f>IFERROR(INDEX(спр_Работы!$G$2:$G$6000,MATCH($C900,спр_Работы!$A$2:$A$6000,0)),"")</f>
        <v/>
      </c>
      <c r="G900">
        <f>IFERROR(INDEX(спр_Работы!$K$2:$K$6000,MATCH($C900,спр_Работы!$A$2:$A$6000,0)),"")</f>
        <v/>
      </c>
      <c r="H900" s="9" t="n"/>
      <c r="I900" s="9" t="n"/>
      <c r="J900" s="8">
        <f>IFERROR(INDEX(спр_Материалы!$B$2:$B$9000,MATCH($I900,спр_Материалы!$A$2:$A$9000,0)),"")</f>
        <v/>
      </c>
      <c r="K900">
        <f>IF($I900="","",IF($F900=IFERROR(INDEX(спр_Материалы!$G$2:$G$9000,MATCH($I900,спр_Материалы!$A$2:$A$9000,0)),""),"OK","!! не та группа"))</f>
        <v/>
      </c>
      <c r="L900" s="10">
        <f>IFERROR(INDEX(спр_Работы!$H$2:$H$6000,MATCH($C900,спр_Работы!$A$2:$A$6000,0))*(1-ДисконтТендер),0)</f>
        <v/>
      </c>
      <c r="M900" s="10">
        <f>IF($I900="",0,IFERROR(INDEX(спр_Материалы!$I$2:$I$9000,MATCH($I900,спр_Материалы!$A$2:$A$9000,0))*IF(INDEX(спр_Материалы!$J$2:$J$9000,MATCH($I900,спр_Материалы!$A$2:$A$9000,0))="USD",КурсUSD,IF(INDEX(спр_Материалы!$J$2:$J$9000,MATCH($I900,спр_Материалы!$A$2:$A$9000,0))="EUR",КурсEUR,1))*INDEX(спр_Материалы!$K$2:$K$9000,MATCH($I900,спр_Материалы!$A$2:$A$9000,0))*(1+IFERROR(INDEX(спр_Работы!$I$2:$I$6000,MATCH($C900,спр_Работы!$A$2:$A$6000,0))/100,0))*(1-ДисконтТендер),0))</f>
        <v/>
      </c>
      <c r="N900" s="10">
        <f>IF(AND($R900="да",$H900&lt;&gt;""),ROUND($H900*$L900,2),0)</f>
        <v/>
      </c>
      <c r="O900" s="10">
        <f>IF(AND($R900="да",$H900&lt;&gt;""),ROUND($H900*$M900,2),0)</f>
        <v/>
      </c>
      <c r="P900" s="10">
        <f>$N900+$O900</f>
        <v/>
      </c>
      <c r="Q900">
        <f>IFERROR(INDEX(спр_Работы!$J$2:$J$6000,MATCH($C900,спр_Работы!$A$2:$A$6000,0)),"")</f>
        <v/>
      </c>
      <c r="R900" t="inlineStr">
        <is>
          <t>да</t>
        </is>
      </c>
      <c r="T900">
        <f>IF(AND($P900&gt;0,$R900="да"),MAX($T$1:$T899)+1,"")</f>
        <v/>
      </c>
    </row>
    <row r="901">
      <c r="A901">
        <f>IFERROR(INDEX(спр_Работы!$D$2:$D$6000,MATCH($C901,спр_Работы!$A$2:$A$6000,0)),"")</f>
        <v/>
      </c>
      <c r="B901">
        <f>IFERROR(INDEX(спр_Работы!$F$2:$F$6000,MATCH($C901,спр_Работы!$A$2:$A$6000,0)),"")</f>
        <v/>
      </c>
      <c r="C901">
        <f>IFERROR(INDEX(спр_Работы!$A$2:$A$6000,900),"")</f>
        <v/>
      </c>
      <c r="D901" s="8">
        <f>IFERROR(INDEX(спр_Работы!$B$2:$B$6000,MATCH($C901,спр_Работы!$A$2:$A$6000,0)),"")</f>
        <v/>
      </c>
      <c r="E901">
        <f>IFERROR(INDEX(спр_Работы!$C$2:$C$6000,MATCH($C901,спр_Работы!$A$2:$A$6000,0)),"")</f>
        <v/>
      </c>
      <c r="F901">
        <f>IFERROR(INDEX(спр_Работы!$G$2:$G$6000,MATCH($C901,спр_Работы!$A$2:$A$6000,0)),"")</f>
        <v/>
      </c>
      <c r="G901">
        <f>IFERROR(INDEX(спр_Работы!$K$2:$K$6000,MATCH($C901,спр_Работы!$A$2:$A$6000,0)),"")</f>
        <v/>
      </c>
      <c r="H901" s="9" t="n"/>
      <c r="I901" s="9" t="n"/>
      <c r="J901" s="8">
        <f>IFERROR(INDEX(спр_Материалы!$B$2:$B$9000,MATCH($I901,спр_Материалы!$A$2:$A$9000,0)),"")</f>
        <v/>
      </c>
      <c r="K901">
        <f>IF($I901="","",IF($F901=IFERROR(INDEX(спр_Материалы!$G$2:$G$9000,MATCH($I901,спр_Материалы!$A$2:$A$9000,0)),""),"OK","!! не та группа"))</f>
        <v/>
      </c>
      <c r="L901" s="10">
        <f>IFERROR(INDEX(спр_Работы!$H$2:$H$6000,MATCH($C901,спр_Работы!$A$2:$A$6000,0))*(1-ДисконтТендер),0)</f>
        <v/>
      </c>
      <c r="M901" s="10">
        <f>IF($I901="",0,IFERROR(INDEX(спр_Материалы!$I$2:$I$9000,MATCH($I901,спр_Материалы!$A$2:$A$9000,0))*IF(INDEX(спр_Материалы!$J$2:$J$9000,MATCH($I901,спр_Материалы!$A$2:$A$9000,0))="USD",КурсUSD,IF(INDEX(спр_Материалы!$J$2:$J$9000,MATCH($I901,спр_Материалы!$A$2:$A$9000,0))="EUR",КурсEUR,1))*INDEX(спр_Материалы!$K$2:$K$9000,MATCH($I901,спр_Материалы!$A$2:$A$9000,0))*(1+IFERROR(INDEX(спр_Работы!$I$2:$I$6000,MATCH($C901,спр_Работы!$A$2:$A$6000,0))/100,0))*(1-ДисконтТендер),0))</f>
        <v/>
      </c>
      <c r="N901" s="10">
        <f>IF(AND($R901="да",$H901&lt;&gt;""),ROUND($H901*$L901,2),0)</f>
        <v/>
      </c>
      <c r="O901" s="10">
        <f>IF(AND($R901="да",$H901&lt;&gt;""),ROUND($H901*$M901,2),0)</f>
        <v/>
      </c>
      <c r="P901" s="10">
        <f>$N901+$O901</f>
        <v/>
      </c>
      <c r="Q901">
        <f>IFERROR(INDEX(спр_Работы!$J$2:$J$6000,MATCH($C901,спр_Работы!$A$2:$A$6000,0)),"")</f>
        <v/>
      </c>
      <c r="R901" t="inlineStr">
        <is>
          <t>да</t>
        </is>
      </c>
      <c r="T901">
        <f>IF(AND($P901&gt;0,$R901="да"),MAX($T$1:$T900)+1,"")</f>
        <v/>
      </c>
    </row>
    <row r="902">
      <c r="A902">
        <f>IFERROR(INDEX(спр_Работы!$D$2:$D$6000,MATCH($C902,спр_Работы!$A$2:$A$6000,0)),"")</f>
        <v/>
      </c>
      <c r="B902">
        <f>IFERROR(INDEX(спр_Работы!$F$2:$F$6000,MATCH($C902,спр_Работы!$A$2:$A$6000,0)),"")</f>
        <v/>
      </c>
      <c r="C902">
        <f>IFERROR(INDEX(спр_Работы!$A$2:$A$6000,901),"")</f>
        <v/>
      </c>
      <c r="D902" s="8">
        <f>IFERROR(INDEX(спр_Работы!$B$2:$B$6000,MATCH($C902,спр_Работы!$A$2:$A$6000,0)),"")</f>
        <v/>
      </c>
      <c r="E902">
        <f>IFERROR(INDEX(спр_Работы!$C$2:$C$6000,MATCH($C902,спр_Работы!$A$2:$A$6000,0)),"")</f>
        <v/>
      </c>
      <c r="F902">
        <f>IFERROR(INDEX(спр_Работы!$G$2:$G$6000,MATCH($C902,спр_Работы!$A$2:$A$6000,0)),"")</f>
        <v/>
      </c>
      <c r="G902">
        <f>IFERROR(INDEX(спр_Работы!$K$2:$K$6000,MATCH($C902,спр_Работы!$A$2:$A$6000,0)),"")</f>
        <v/>
      </c>
      <c r="H902" s="9" t="n"/>
      <c r="I902" s="9" t="n"/>
      <c r="J902" s="8">
        <f>IFERROR(INDEX(спр_Материалы!$B$2:$B$9000,MATCH($I902,спр_Материалы!$A$2:$A$9000,0)),"")</f>
        <v/>
      </c>
      <c r="K902">
        <f>IF($I902="","",IF($F902=IFERROR(INDEX(спр_Материалы!$G$2:$G$9000,MATCH($I902,спр_Материалы!$A$2:$A$9000,0)),""),"OK","!! не та группа"))</f>
        <v/>
      </c>
      <c r="L902" s="10">
        <f>IFERROR(INDEX(спр_Работы!$H$2:$H$6000,MATCH($C902,спр_Работы!$A$2:$A$6000,0))*(1-ДисконтТендер),0)</f>
        <v/>
      </c>
      <c r="M902" s="10">
        <f>IF($I902="",0,IFERROR(INDEX(спр_Материалы!$I$2:$I$9000,MATCH($I902,спр_Материалы!$A$2:$A$9000,0))*IF(INDEX(спр_Материалы!$J$2:$J$9000,MATCH($I902,спр_Материалы!$A$2:$A$9000,0))="USD",КурсUSD,IF(INDEX(спр_Материалы!$J$2:$J$9000,MATCH($I902,спр_Материалы!$A$2:$A$9000,0))="EUR",КурсEUR,1))*INDEX(спр_Материалы!$K$2:$K$9000,MATCH($I902,спр_Материалы!$A$2:$A$9000,0))*(1+IFERROR(INDEX(спр_Работы!$I$2:$I$6000,MATCH($C902,спр_Работы!$A$2:$A$6000,0))/100,0))*(1-ДисконтТендер),0))</f>
        <v/>
      </c>
      <c r="N902" s="10">
        <f>IF(AND($R902="да",$H902&lt;&gt;""),ROUND($H902*$L902,2),0)</f>
        <v/>
      </c>
      <c r="O902" s="10">
        <f>IF(AND($R902="да",$H902&lt;&gt;""),ROUND($H902*$M902,2),0)</f>
        <v/>
      </c>
      <c r="P902" s="10">
        <f>$N902+$O902</f>
        <v/>
      </c>
      <c r="Q902">
        <f>IFERROR(INDEX(спр_Работы!$J$2:$J$6000,MATCH($C902,спр_Работы!$A$2:$A$6000,0)),"")</f>
        <v/>
      </c>
      <c r="R902" t="inlineStr">
        <is>
          <t>да</t>
        </is>
      </c>
      <c r="T902">
        <f>IF(AND($P902&gt;0,$R902="да"),MAX($T$1:$T901)+1,"")</f>
        <v/>
      </c>
    </row>
    <row r="903">
      <c r="A903">
        <f>IFERROR(INDEX(спр_Работы!$D$2:$D$6000,MATCH($C903,спр_Работы!$A$2:$A$6000,0)),"")</f>
        <v/>
      </c>
      <c r="B903">
        <f>IFERROR(INDEX(спр_Работы!$F$2:$F$6000,MATCH($C903,спр_Работы!$A$2:$A$6000,0)),"")</f>
        <v/>
      </c>
      <c r="C903">
        <f>IFERROR(INDEX(спр_Работы!$A$2:$A$6000,902),"")</f>
        <v/>
      </c>
      <c r="D903" s="8">
        <f>IFERROR(INDEX(спр_Работы!$B$2:$B$6000,MATCH($C903,спр_Работы!$A$2:$A$6000,0)),"")</f>
        <v/>
      </c>
      <c r="E903">
        <f>IFERROR(INDEX(спр_Работы!$C$2:$C$6000,MATCH($C903,спр_Работы!$A$2:$A$6000,0)),"")</f>
        <v/>
      </c>
      <c r="F903">
        <f>IFERROR(INDEX(спр_Работы!$G$2:$G$6000,MATCH($C903,спр_Работы!$A$2:$A$6000,0)),"")</f>
        <v/>
      </c>
      <c r="G903">
        <f>IFERROR(INDEX(спр_Работы!$K$2:$K$6000,MATCH($C903,спр_Работы!$A$2:$A$6000,0)),"")</f>
        <v/>
      </c>
      <c r="H903" s="9" t="n"/>
      <c r="I903" s="9" t="n"/>
      <c r="J903" s="8">
        <f>IFERROR(INDEX(спр_Материалы!$B$2:$B$9000,MATCH($I903,спр_Материалы!$A$2:$A$9000,0)),"")</f>
        <v/>
      </c>
      <c r="K903">
        <f>IF($I903="","",IF($F903=IFERROR(INDEX(спр_Материалы!$G$2:$G$9000,MATCH($I903,спр_Материалы!$A$2:$A$9000,0)),""),"OK","!! не та группа"))</f>
        <v/>
      </c>
      <c r="L903" s="10">
        <f>IFERROR(INDEX(спр_Работы!$H$2:$H$6000,MATCH($C903,спр_Работы!$A$2:$A$6000,0))*(1-ДисконтТендер),0)</f>
        <v/>
      </c>
      <c r="M903" s="10">
        <f>IF($I903="",0,IFERROR(INDEX(спр_Материалы!$I$2:$I$9000,MATCH($I903,спр_Материалы!$A$2:$A$9000,0))*IF(INDEX(спр_Материалы!$J$2:$J$9000,MATCH($I903,спр_Материалы!$A$2:$A$9000,0))="USD",КурсUSD,IF(INDEX(спр_Материалы!$J$2:$J$9000,MATCH($I903,спр_Материалы!$A$2:$A$9000,0))="EUR",КурсEUR,1))*INDEX(спр_Материалы!$K$2:$K$9000,MATCH($I903,спр_Материалы!$A$2:$A$9000,0))*(1+IFERROR(INDEX(спр_Работы!$I$2:$I$6000,MATCH($C903,спр_Работы!$A$2:$A$6000,0))/100,0))*(1-ДисконтТендер),0))</f>
        <v/>
      </c>
      <c r="N903" s="10">
        <f>IF(AND($R903="да",$H903&lt;&gt;""),ROUND($H903*$L903,2),0)</f>
        <v/>
      </c>
      <c r="O903" s="10">
        <f>IF(AND($R903="да",$H903&lt;&gt;""),ROUND($H903*$M903,2),0)</f>
        <v/>
      </c>
      <c r="P903" s="10">
        <f>$N903+$O903</f>
        <v/>
      </c>
      <c r="Q903">
        <f>IFERROR(INDEX(спр_Работы!$J$2:$J$6000,MATCH($C903,спр_Работы!$A$2:$A$6000,0)),"")</f>
        <v/>
      </c>
      <c r="R903" t="inlineStr">
        <is>
          <t>да</t>
        </is>
      </c>
      <c r="T903">
        <f>IF(AND($P903&gt;0,$R903="да"),MAX($T$1:$T902)+1,"")</f>
        <v/>
      </c>
    </row>
    <row r="904">
      <c r="A904">
        <f>IFERROR(INDEX(спр_Работы!$D$2:$D$6000,MATCH($C904,спр_Работы!$A$2:$A$6000,0)),"")</f>
        <v/>
      </c>
      <c r="B904">
        <f>IFERROR(INDEX(спр_Работы!$F$2:$F$6000,MATCH($C904,спр_Работы!$A$2:$A$6000,0)),"")</f>
        <v/>
      </c>
      <c r="C904">
        <f>IFERROR(INDEX(спр_Работы!$A$2:$A$6000,903),"")</f>
        <v/>
      </c>
      <c r="D904" s="8">
        <f>IFERROR(INDEX(спр_Работы!$B$2:$B$6000,MATCH($C904,спр_Работы!$A$2:$A$6000,0)),"")</f>
        <v/>
      </c>
      <c r="E904">
        <f>IFERROR(INDEX(спр_Работы!$C$2:$C$6000,MATCH($C904,спр_Работы!$A$2:$A$6000,0)),"")</f>
        <v/>
      </c>
      <c r="F904">
        <f>IFERROR(INDEX(спр_Работы!$G$2:$G$6000,MATCH($C904,спр_Работы!$A$2:$A$6000,0)),"")</f>
        <v/>
      </c>
      <c r="G904">
        <f>IFERROR(INDEX(спр_Работы!$K$2:$K$6000,MATCH($C904,спр_Работы!$A$2:$A$6000,0)),"")</f>
        <v/>
      </c>
      <c r="H904" s="9" t="n"/>
      <c r="I904" s="9" t="n"/>
      <c r="J904" s="8">
        <f>IFERROR(INDEX(спр_Материалы!$B$2:$B$9000,MATCH($I904,спр_Материалы!$A$2:$A$9000,0)),"")</f>
        <v/>
      </c>
      <c r="K904">
        <f>IF($I904="","",IF($F904=IFERROR(INDEX(спр_Материалы!$G$2:$G$9000,MATCH($I904,спр_Материалы!$A$2:$A$9000,0)),""),"OK","!! не та группа"))</f>
        <v/>
      </c>
      <c r="L904" s="10">
        <f>IFERROR(INDEX(спр_Работы!$H$2:$H$6000,MATCH($C904,спр_Работы!$A$2:$A$6000,0))*(1-ДисконтТендер),0)</f>
        <v/>
      </c>
      <c r="M904" s="10">
        <f>IF($I904="",0,IFERROR(INDEX(спр_Материалы!$I$2:$I$9000,MATCH($I904,спр_Материалы!$A$2:$A$9000,0))*IF(INDEX(спр_Материалы!$J$2:$J$9000,MATCH($I904,спр_Материалы!$A$2:$A$9000,0))="USD",КурсUSD,IF(INDEX(спр_Материалы!$J$2:$J$9000,MATCH($I904,спр_Материалы!$A$2:$A$9000,0))="EUR",КурсEUR,1))*INDEX(спр_Материалы!$K$2:$K$9000,MATCH($I904,спр_Материалы!$A$2:$A$9000,0))*(1+IFERROR(INDEX(спр_Работы!$I$2:$I$6000,MATCH($C904,спр_Работы!$A$2:$A$6000,0))/100,0))*(1-ДисконтТендер),0))</f>
        <v/>
      </c>
      <c r="N904" s="10">
        <f>IF(AND($R904="да",$H904&lt;&gt;""),ROUND($H904*$L904,2),0)</f>
        <v/>
      </c>
      <c r="O904" s="10">
        <f>IF(AND($R904="да",$H904&lt;&gt;""),ROUND($H904*$M904,2),0)</f>
        <v/>
      </c>
      <c r="P904" s="10">
        <f>$N904+$O904</f>
        <v/>
      </c>
      <c r="Q904">
        <f>IFERROR(INDEX(спр_Работы!$J$2:$J$6000,MATCH($C904,спр_Работы!$A$2:$A$6000,0)),"")</f>
        <v/>
      </c>
      <c r="R904" t="inlineStr">
        <is>
          <t>да</t>
        </is>
      </c>
      <c r="T904">
        <f>IF(AND($P904&gt;0,$R904="да"),MAX($T$1:$T903)+1,"")</f>
        <v/>
      </c>
    </row>
    <row r="905">
      <c r="A905">
        <f>IFERROR(INDEX(спр_Работы!$D$2:$D$6000,MATCH($C905,спр_Работы!$A$2:$A$6000,0)),"")</f>
        <v/>
      </c>
      <c r="B905">
        <f>IFERROR(INDEX(спр_Работы!$F$2:$F$6000,MATCH($C905,спр_Работы!$A$2:$A$6000,0)),"")</f>
        <v/>
      </c>
      <c r="C905">
        <f>IFERROR(INDEX(спр_Работы!$A$2:$A$6000,904),"")</f>
        <v/>
      </c>
      <c r="D905" s="8">
        <f>IFERROR(INDEX(спр_Работы!$B$2:$B$6000,MATCH($C905,спр_Работы!$A$2:$A$6000,0)),"")</f>
        <v/>
      </c>
      <c r="E905">
        <f>IFERROR(INDEX(спр_Работы!$C$2:$C$6000,MATCH($C905,спр_Работы!$A$2:$A$6000,0)),"")</f>
        <v/>
      </c>
      <c r="F905">
        <f>IFERROR(INDEX(спр_Работы!$G$2:$G$6000,MATCH($C905,спр_Работы!$A$2:$A$6000,0)),"")</f>
        <v/>
      </c>
      <c r="G905">
        <f>IFERROR(INDEX(спр_Работы!$K$2:$K$6000,MATCH($C905,спр_Работы!$A$2:$A$6000,0)),"")</f>
        <v/>
      </c>
      <c r="H905" s="9" t="n"/>
      <c r="I905" s="9" t="n"/>
      <c r="J905" s="8">
        <f>IFERROR(INDEX(спр_Материалы!$B$2:$B$9000,MATCH($I905,спр_Материалы!$A$2:$A$9000,0)),"")</f>
        <v/>
      </c>
      <c r="K905">
        <f>IF($I905="","",IF($F905=IFERROR(INDEX(спр_Материалы!$G$2:$G$9000,MATCH($I905,спр_Материалы!$A$2:$A$9000,0)),""),"OK","!! не та группа"))</f>
        <v/>
      </c>
      <c r="L905" s="10">
        <f>IFERROR(INDEX(спр_Работы!$H$2:$H$6000,MATCH($C905,спр_Работы!$A$2:$A$6000,0))*(1-ДисконтТендер),0)</f>
        <v/>
      </c>
      <c r="M905" s="10">
        <f>IF($I905="",0,IFERROR(INDEX(спр_Материалы!$I$2:$I$9000,MATCH($I905,спр_Материалы!$A$2:$A$9000,0))*IF(INDEX(спр_Материалы!$J$2:$J$9000,MATCH($I905,спр_Материалы!$A$2:$A$9000,0))="USD",КурсUSD,IF(INDEX(спр_Материалы!$J$2:$J$9000,MATCH($I905,спр_Материалы!$A$2:$A$9000,0))="EUR",КурсEUR,1))*INDEX(спр_Материалы!$K$2:$K$9000,MATCH($I905,спр_Материалы!$A$2:$A$9000,0))*(1+IFERROR(INDEX(спр_Работы!$I$2:$I$6000,MATCH($C905,спр_Работы!$A$2:$A$6000,0))/100,0))*(1-ДисконтТендер),0))</f>
        <v/>
      </c>
      <c r="N905" s="10">
        <f>IF(AND($R905="да",$H905&lt;&gt;""),ROUND($H905*$L905,2),0)</f>
        <v/>
      </c>
      <c r="O905" s="10">
        <f>IF(AND($R905="да",$H905&lt;&gt;""),ROUND($H905*$M905,2),0)</f>
        <v/>
      </c>
      <c r="P905" s="10">
        <f>$N905+$O905</f>
        <v/>
      </c>
      <c r="Q905">
        <f>IFERROR(INDEX(спр_Работы!$J$2:$J$6000,MATCH($C905,спр_Работы!$A$2:$A$6000,0)),"")</f>
        <v/>
      </c>
      <c r="R905" t="inlineStr">
        <is>
          <t>да</t>
        </is>
      </c>
      <c r="T905">
        <f>IF(AND($P905&gt;0,$R905="да"),MAX($T$1:$T904)+1,"")</f>
        <v/>
      </c>
    </row>
    <row r="906">
      <c r="A906">
        <f>IFERROR(INDEX(спр_Работы!$D$2:$D$6000,MATCH($C906,спр_Работы!$A$2:$A$6000,0)),"")</f>
        <v/>
      </c>
      <c r="B906">
        <f>IFERROR(INDEX(спр_Работы!$F$2:$F$6000,MATCH($C906,спр_Работы!$A$2:$A$6000,0)),"")</f>
        <v/>
      </c>
      <c r="C906">
        <f>IFERROR(INDEX(спр_Работы!$A$2:$A$6000,905),"")</f>
        <v/>
      </c>
      <c r="D906" s="8">
        <f>IFERROR(INDEX(спр_Работы!$B$2:$B$6000,MATCH($C906,спр_Работы!$A$2:$A$6000,0)),"")</f>
        <v/>
      </c>
      <c r="E906">
        <f>IFERROR(INDEX(спр_Работы!$C$2:$C$6000,MATCH($C906,спр_Работы!$A$2:$A$6000,0)),"")</f>
        <v/>
      </c>
      <c r="F906">
        <f>IFERROR(INDEX(спр_Работы!$G$2:$G$6000,MATCH($C906,спр_Работы!$A$2:$A$6000,0)),"")</f>
        <v/>
      </c>
      <c r="G906">
        <f>IFERROR(INDEX(спр_Работы!$K$2:$K$6000,MATCH($C906,спр_Работы!$A$2:$A$6000,0)),"")</f>
        <v/>
      </c>
      <c r="H906" s="9" t="n"/>
      <c r="I906" s="9" t="n"/>
      <c r="J906" s="8">
        <f>IFERROR(INDEX(спр_Материалы!$B$2:$B$9000,MATCH($I906,спр_Материалы!$A$2:$A$9000,0)),"")</f>
        <v/>
      </c>
      <c r="K906">
        <f>IF($I906="","",IF($F906=IFERROR(INDEX(спр_Материалы!$G$2:$G$9000,MATCH($I906,спр_Материалы!$A$2:$A$9000,0)),""),"OK","!! не та группа"))</f>
        <v/>
      </c>
      <c r="L906" s="10">
        <f>IFERROR(INDEX(спр_Работы!$H$2:$H$6000,MATCH($C906,спр_Работы!$A$2:$A$6000,0))*(1-ДисконтТендер),0)</f>
        <v/>
      </c>
      <c r="M906" s="10">
        <f>IF($I906="",0,IFERROR(INDEX(спр_Материалы!$I$2:$I$9000,MATCH($I906,спр_Материалы!$A$2:$A$9000,0))*IF(INDEX(спр_Материалы!$J$2:$J$9000,MATCH($I906,спр_Материалы!$A$2:$A$9000,0))="USD",КурсUSD,IF(INDEX(спр_Материалы!$J$2:$J$9000,MATCH($I906,спр_Материалы!$A$2:$A$9000,0))="EUR",КурсEUR,1))*INDEX(спр_Материалы!$K$2:$K$9000,MATCH($I906,спр_Материалы!$A$2:$A$9000,0))*(1+IFERROR(INDEX(спр_Работы!$I$2:$I$6000,MATCH($C906,спр_Работы!$A$2:$A$6000,0))/100,0))*(1-ДисконтТендер),0))</f>
        <v/>
      </c>
      <c r="N906" s="10">
        <f>IF(AND($R906="да",$H906&lt;&gt;""),ROUND($H906*$L906,2),0)</f>
        <v/>
      </c>
      <c r="O906" s="10">
        <f>IF(AND($R906="да",$H906&lt;&gt;""),ROUND($H906*$M906,2),0)</f>
        <v/>
      </c>
      <c r="P906" s="10">
        <f>$N906+$O906</f>
        <v/>
      </c>
      <c r="Q906">
        <f>IFERROR(INDEX(спр_Работы!$J$2:$J$6000,MATCH($C906,спр_Работы!$A$2:$A$6000,0)),"")</f>
        <v/>
      </c>
      <c r="R906" t="inlineStr">
        <is>
          <t>да</t>
        </is>
      </c>
      <c r="T906">
        <f>IF(AND($P906&gt;0,$R906="да"),MAX($T$1:$T905)+1,"")</f>
        <v/>
      </c>
    </row>
    <row r="907">
      <c r="A907">
        <f>IFERROR(INDEX(спр_Работы!$D$2:$D$6000,MATCH($C907,спр_Работы!$A$2:$A$6000,0)),"")</f>
        <v/>
      </c>
      <c r="B907">
        <f>IFERROR(INDEX(спр_Работы!$F$2:$F$6000,MATCH($C907,спр_Работы!$A$2:$A$6000,0)),"")</f>
        <v/>
      </c>
      <c r="C907">
        <f>IFERROR(INDEX(спр_Работы!$A$2:$A$6000,906),"")</f>
        <v/>
      </c>
      <c r="D907" s="8">
        <f>IFERROR(INDEX(спр_Работы!$B$2:$B$6000,MATCH($C907,спр_Работы!$A$2:$A$6000,0)),"")</f>
        <v/>
      </c>
      <c r="E907">
        <f>IFERROR(INDEX(спр_Работы!$C$2:$C$6000,MATCH($C907,спр_Работы!$A$2:$A$6000,0)),"")</f>
        <v/>
      </c>
      <c r="F907">
        <f>IFERROR(INDEX(спр_Работы!$G$2:$G$6000,MATCH($C907,спр_Работы!$A$2:$A$6000,0)),"")</f>
        <v/>
      </c>
      <c r="G907">
        <f>IFERROR(INDEX(спр_Работы!$K$2:$K$6000,MATCH($C907,спр_Работы!$A$2:$A$6000,0)),"")</f>
        <v/>
      </c>
      <c r="H907" s="9" t="n"/>
      <c r="I907" s="9" t="n"/>
      <c r="J907" s="8">
        <f>IFERROR(INDEX(спр_Материалы!$B$2:$B$9000,MATCH($I907,спр_Материалы!$A$2:$A$9000,0)),"")</f>
        <v/>
      </c>
      <c r="K907">
        <f>IF($I907="","",IF($F907=IFERROR(INDEX(спр_Материалы!$G$2:$G$9000,MATCH($I907,спр_Материалы!$A$2:$A$9000,0)),""),"OK","!! не та группа"))</f>
        <v/>
      </c>
      <c r="L907" s="10">
        <f>IFERROR(INDEX(спр_Работы!$H$2:$H$6000,MATCH($C907,спр_Работы!$A$2:$A$6000,0))*(1-ДисконтТендер),0)</f>
        <v/>
      </c>
      <c r="M907" s="10">
        <f>IF($I907="",0,IFERROR(INDEX(спр_Материалы!$I$2:$I$9000,MATCH($I907,спр_Материалы!$A$2:$A$9000,0))*IF(INDEX(спр_Материалы!$J$2:$J$9000,MATCH($I907,спр_Материалы!$A$2:$A$9000,0))="USD",КурсUSD,IF(INDEX(спр_Материалы!$J$2:$J$9000,MATCH($I907,спр_Материалы!$A$2:$A$9000,0))="EUR",КурсEUR,1))*INDEX(спр_Материалы!$K$2:$K$9000,MATCH($I907,спр_Материалы!$A$2:$A$9000,0))*(1+IFERROR(INDEX(спр_Работы!$I$2:$I$6000,MATCH($C907,спр_Работы!$A$2:$A$6000,0))/100,0))*(1-ДисконтТендер),0))</f>
        <v/>
      </c>
      <c r="N907" s="10">
        <f>IF(AND($R907="да",$H907&lt;&gt;""),ROUND($H907*$L907,2),0)</f>
        <v/>
      </c>
      <c r="O907" s="10">
        <f>IF(AND($R907="да",$H907&lt;&gt;""),ROUND($H907*$M907,2),0)</f>
        <v/>
      </c>
      <c r="P907" s="10">
        <f>$N907+$O907</f>
        <v/>
      </c>
      <c r="Q907">
        <f>IFERROR(INDEX(спр_Работы!$J$2:$J$6000,MATCH($C907,спр_Работы!$A$2:$A$6000,0)),"")</f>
        <v/>
      </c>
      <c r="R907" t="inlineStr">
        <is>
          <t>да</t>
        </is>
      </c>
      <c r="T907">
        <f>IF(AND($P907&gt;0,$R907="да"),MAX($T$1:$T906)+1,"")</f>
        <v/>
      </c>
    </row>
    <row r="908">
      <c r="A908">
        <f>IFERROR(INDEX(спр_Работы!$D$2:$D$6000,MATCH($C908,спр_Работы!$A$2:$A$6000,0)),"")</f>
        <v/>
      </c>
      <c r="B908">
        <f>IFERROR(INDEX(спр_Работы!$F$2:$F$6000,MATCH($C908,спр_Работы!$A$2:$A$6000,0)),"")</f>
        <v/>
      </c>
      <c r="C908">
        <f>IFERROR(INDEX(спр_Работы!$A$2:$A$6000,907),"")</f>
        <v/>
      </c>
      <c r="D908" s="8">
        <f>IFERROR(INDEX(спр_Работы!$B$2:$B$6000,MATCH($C908,спр_Работы!$A$2:$A$6000,0)),"")</f>
        <v/>
      </c>
      <c r="E908">
        <f>IFERROR(INDEX(спр_Работы!$C$2:$C$6000,MATCH($C908,спр_Работы!$A$2:$A$6000,0)),"")</f>
        <v/>
      </c>
      <c r="F908">
        <f>IFERROR(INDEX(спр_Работы!$G$2:$G$6000,MATCH($C908,спр_Работы!$A$2:$A$6000,0)),"")</f>
        <v/>
      </c>
      <c r="G908">
        <f>IFERROR(INDEX(спр_Работы!$K$2:$K$6000,MATCH($C908,спр_Работы!$A$2:$A$6000,0)),"")</f>
        <v/>
      </c>
      <c r="H908" s="9" t="n"/>
      <c r="I908" s="9" t="n"/>
      <c r="J908" s="8">
        <f>IFERROR(INDEX(спр_Материалы!$B$2:$B$9000,MATCH($I908,спр_Материалы!$A$2:$A$9000,0)),"")</f>
        <v/>
      </c>
      <c r="K908">
        <f>IF($I908="","",IF($F908=IFERROR(INDEX(спр_Материалы!$G$2:$G$9000,MATCH($I908,спр_Материалы!$A$2:$A$9000,0)),""),"OK","!! не та группа"))</f>
        <v/>
      </c>
      <c r="L908" s="10">
        <f>IFERROR(INDEX(спр_Работы!$H$2:$H$6000,MATCH($C908,спр_Работы!$A$2:$A$6000,0))*(1-ДисконтТендер),0)</f>
        <v/>
      </c>
      <c r="M908" s="10">
        <f>IF($I908="",0,IFERROR(INDEX(спр_Материалы!$I$2:$I$9000,MATCH($I908,спр_Материалы!$A$2:$A$9000,0))*IF(INDEX(спр_Материалы!$J$2:$J$9000,MATCH($I908,спр_Материалы!$A$2:$A$9000,0))="USD",КурсUSD,IF(INDEX(спр_Материалы!$J$2:$J$9000,MATCH($I908,спр_Материалы!$A$2:$A$9000,0))="EUR",КурсEUR,1))*INDEX(спр_Материалы!$K$2:$K$9000,MATCH($I908,спр_Материалы!$A$2:$A$9000,0))*(1+IFERROR(INDEX(спр_Работы!$I$2:$I$6000,MATCH($C908,спр_Работы!$A$2:$A$6000,0))/100,0))*(1-ДисконтТендер),0))</f>
        <v/>
      </c>
      <c r="N908" s="10">
        <f>IF(AND($R908="да",$H908&lt;&gt;""),ROUND($H908*$L908,2),0)</f>
        <v/>
      </c>
      <c r="O908" s="10">
        <f>IF(AND($R908="да",$H908&lt;&gt;""),ROUND($H908*$M908,2),0)</f>
        <v/>
      </c>
      <c r="P908" s="10">
        <f>$N908+$O908</f>
        <v/>
      </c>
      <c r="Q908">
        <f>IFERROR(INDEX(спр_Работы!$J$2:$J$6000,MATCH($C908,спр_Работы!$A$2:$A$6000,0)),"")</f>
        <v/>
      </c>
      <c r="R908" t="inlineStr">
        <is>
          <t>да</t>
        </is>
      </c>
      <c r="T908">
        <f>IF(AND($P908&gt;0,$R908="да"),MAX($T$1:$T907)+1,"")</f>
        <v/>
      </c>
    </row>
    <row r="909">
      <c r="A909">
        <f>IFERROR(INDEX(спр_Работы!$D$2:$D$6000,MATCH($C909,спр_Работы!$A$2:$A$6000,0)),"")</f>
        <v/>
      </c>
      <c r="B909">
        <f>IFERROR(INDEX(спр_Работы!$F$2:$F$6000,MATCH($C909,спр_Работы!$A$2:$A$6000,0)),"")</f>
        <v/>
      </c>
      <c r="C909">
        <f>IFERROR(INDEX(спр_Работы!$A$2:$A$6000,908),"")</f>
        <v/>
      </c>
      <c r="D909" s="8">
        <f>IFERROR(INDEX(спр_Работы!$B$2:$B$6000,MATCH($C909,спр_Работы!$A$2:$A$6000,0)),"")</f>
        <v/>
      </c>
      <c r="E909">
        <f>IFERROR(INDEX(спр_Работы!$C$2:$C$6000,MATCH($C909,спр_Работы!$A$2:$A$6000,0)),"")</f>
        <v/>
      </c>
      <c r="F909">
        <f>IFERROR(INDEX(спр_Работы!$G$2:$G$6000,MATCH($C909,спр_Работы!$A$2:$A$6000,0)),"")</f>
        <v/>
      </c>
      <c r="G909">
        <f>IFERROR(INDEX(спр_Работы!$K$2:$K$6000,MATCH($C909,спр_Работы!$A$2:$A$6000,0)),"")</f>
        <v/>
      </c>
      <c r="H909" s="9" t="n"/>
      <c r="I909" s="9" t="n"/>
      <c r="J909" s="8">
        <f>IFERROR(INDEX(спр_Материалы!$B$2:$B$9000,MATCH($I909,спр_Материалы!$A$2:$A$9000,0)),"")</f>
        <v/>
      </c>
      <c r="K909">
        <f>IF($I909="","",IF($F909=IFERROR(INDEX(спр_Материалы!$G$2:$G$9000,MATCH($I909,спр_Материалы!$A$2:$A$9000,0)),""),"OK","!! не та группа"))</f>
        <v/>
      </c>
      <c r="L909" s="10">
        <f>IFERROR(INDEX(спр_Работы!$H$2:$H$6000,MATCH($C909,спр_Работы!$A$2:$A$6000,0))*(1-ДисконтТендер),0)</f>
        <v/>
      </c>
      <c r="M909" s="10">
        <f>IF($I909="",0,IFERROR(INDEX(спр_Материалы!$I$2:$I$9000,MATCH($I909,спр_Материалы!$A$2:$A$9000,0))*IF(INDEX(спр_Материалы!$J$2:$J$9000,MATCH($I909,спр_Материалы!$A$2:$A$9000,0))="USD",КурсUSD,IF(INDEX(спр_Материалы!$J$2:$J$9000,MATCH($I909,спр_Материалы!$A$2:$A$9000,0))="EUR",КурсEUR,1))*INDEX(спр_Материалы!$K$2:$K$9000,MATCH($I909,спр_Материалы!$A$2:$A$9000,0))*(1+IFERROR(INDEX(спр_Работы!$I$2:$I$6000,MATCH($C909,спр_Работы!$A$2:$A$6000,0))/100,0))*(1-ДисконтТендер),0))</f>
        <v/>
      </c>
      <c r="N909" s="10">
        <f>IF(AND($R909="да",$H909&lt;&gt;""),ROUND($H909*$L909,2),0)</f>
        <v/>
      </c>
      <c r="O909" s="10">
        <f>IF(AND($R909="да",$H909&lt;&gt;""),ROUND($H909*$M909,2),0)</f>
        <v/>
      </c>
      <c r="P909" s="10">
        <f>$N909+$O909</f>
        <v/>
      </c>
      <c r="Q909">
        <f>IFERROR(INDEX(спр_Работы!$J$2:$J$6000,MATCH($C909,спр_Работы!$A$2:$A$6000,0)),"")</f>
        <v/>
      </c>
      <c r="R909" t="inlineStr">
        <is>
          <t>да</t>
        </is>
      </c>
      <c r="T909">
        <f>IF(AND($P909&gt;0,$R909="да"),MAX($T$1:$T908)+1,"")</f>
        <v/>
      </c>
    </row>
    <row r="910">
      <c r="A910">
        <f>IFERROR(INDEX(спр_Работы!$D$2:$D$6000,MATCH($C910,спр_Работы!$A$2:$A$6000,0)),"")</f>
        <v/>
      </c>
      <c r="B910">
        <f>IFERROR(INDEX(спр_Работы!$F$2:$F$6000,MATCH($C910,спр_Работы!$A$2:$A$6000,0)),"")</f>
        <v/>
      </c>
      <c r="C910">
        <f>IFERROR(INDEX(спр_Работы!$A$2:$A$6000,909),"")</f>
        <v/>
      </c>
      <c r="D910" s="8">
        <f>IFERROR(INDEX(спр_Работы!$B$2:$B$6000,MATCH($C910,спр_Работы!$A$2:$A$6000,0)),"")</f>
        <v/>
      </c>
      <c r="E910">
        <f>IFERROR(INDEX(спр_Работы!$C$2:$C$6000,MATCH($C910,спр_Работы!$A$2:$A$6000,0)),"")</f>
        <v/>
      </c>
      <c r="F910">
        <f>IFERROR(INDEX(спр_Работы!$G$2:$G$6000,MATCH($C910,спр_Работы!$A$2:$A$6000,0)),"")</f>
        <v/>
      </c>
      <c r="G910">
        <f>IFERROR(INDEX(спр_Работы!$K$2:$K$6000,MATCH($C910,спр_Работы!$A$2:$A$6000,0)),"")</f>
        <v/>
      </c>
      <c r="H910" s="9" t="n"/>
      <c r="I910" s="9" t="n"/>
      <c r="J910" s="8">
        <f>IFERROR(INDEX(спр_Материалы!$B$2:$B$9000,MATCH($I910,спр_Материалы!$A$2:$A$9000,0)),"")</f>
        <v/>
      </c>
      <c r="K910">
        <f>IF($I910="","",IF($F910=IFERROR(INDEX(спр_Материалы!$G$2:$G$9000,MATCH($I910,спр_Материалы!$A$2:$A$9000,0)),""),"OK","!! не та группа"))</f>
        <v/>
      </c>
      <c r="L910" s="10">
        <f>IFERROR(INDEX(спр_Работы!$H$2:$H$6000,MATCH($C910,спр_Работы!$A$2:$A$6000,0))*(1-ДисконтТендер),0)</f>
        <v/>
      </c>
      <c r="M910" s="10">
        <f>IF($I910="",0,IFERROR(INDEX(спр_Материалы!$I$2:$I$9000,MATCH($I910,спр_Материалы!$A$2:$A$9000,0))*IF(INDEX(спр_Материалы!$J$2:$J$9000,MATCH($I910,спр_Материалы!$A$2:$A$9000,0))="USD",КурсUSD,IF(INDEX(спр_Материалы!$J$2:$J$9000,MATCH($I910,спр_Материалы!$A$2:$A$9000,0))="EUR",КурсEUR,1))*INDEX(спр_Материалы!$K$2:$K$9000,MATCH($I910,спр_Материалы!$A$2:$A$9000,0))*(1+IFERROR(INDEX(спр_Работы!$I$2:$I$6000,MATCH($C910,спр_Работы!$A$2:$A$6000,0))/100,0))*(1-ДисконтТендер),0))</f>
        <v/>
      </c>
      <c r="N910" s="10">
        <f>IF(AND($R910="да",$H910&lt;&gt;""),ROUND($H910*$L910,2),0)</f>
        <v/>
      </c>
      <c r="O910" s="10">
        <f>IF(AND($R910="да",$H910&lt;&gt;""),ROUND($H910*$M910,2),0)</f>
        <v/>
      </c>
      <c r="P910" s="10">
        <f>$N910+$O910</f>
        <v/>
      </c>
      <c r="Q910">
        <f>IFERROR(INDEX(спр_Работы!$J$2:$J$6000,MATCH($C910,спр_Работы!$A$2:$A$6000,0)),"")</f>
        <v/>
      </c>
      <c r="R910" t="inlineStr">
        <is>
          <t>да</t>
        </is>
      </c>
      <c r="T910">
        <f>IF(AND($P910&gt;0,$R910="да"),MAX($T$1:$T909)+1,"")</f>
        <v/>
      </c>
    </row>
    <row r="911">
      <c r="A911">
        <f>IFERROR(INDEX(спр_Работы!$D$2:$D$6000,MATCH($C911,спр_Работы!$A$2:$A$6000,0)),"")</f>
        <v/>
      </c>
      <c r="B911">
        <f>IFERROR(INDEX(спр_Работы!$F$2:$F$6000,MATCH($C911,спр_Работы!$A$2:$A$6000,0)),"")</f>
        <v/>
      </c>
      <c r="C911">
        <f>IFERROR(INDEX(спр_Работы!$A$2:$A$6000,910),"")</f>
        <v/>
      </c>
      <c r="D911" s="8">
        <f>IFERROR(INDEX(спр_Работы!$B$2:$B$6000,MATCH($C911,спр_Работы!$A$2:$A$6000,0)),"")</f>
        <v/>
      </c>
      <c r="E911">
        <f>IFERROR(INDEX(спр_Работы!$C$2:$C$6000,MATCH($C911,спр_Работы!$A$2:$A$6000,0)),"")</f>
        <v/>
      </c>
      <c r="F911">
        <f>IFERROR(INDEX(спр_Работы!$G$2:$G$6000,MATCH($C911,спр_Работы!$A$2:$A$6000,0)),"")</f>
        <v/>
      </c>
      <c r="G911">
        <f>IFERROR(INDEX(спр_Работы!$K$2:$K$6000,MATCH($C911,спр_Работы!$A$2:$A$6000,0)),"")</f>
        <v/>
      </c>
      <c r="H911" s="9" t="n"/>
      <c r="I911" s="9" t="n"/>
      <c r="J911" s="8">
        <f>IFERROR(INDEX(спр_Материалы!$B$2:$B$9000,MATCH($I911,спр_Материалы!$A$2:$A$9000,0)),"")</f>
        <v/>
      </c>
      <c r="K911">
        <f>IF($I911="","",IF($F911=IFERROR(INDEX(спр_Материалы!$G$2:$G$9000,MATCH($I911,спр_Материалы!$A$2:$A$9000,0)),""),"OK","!! не та группа"))</f>
        <v/>
      </c>
      <c r="L911" s="10">
        <f>IFERROR(INDEX(спр_Работы!$H$2:$H$6000,MATCH($C911,спр_Работы!$A$2:$A$6000,0))*(1-ДисконтТендер),0)</f>
        <v/>
      </c>
      <c r="M911" s="10">
        <f>IF($I911="",0,IFERROR(INDEX(спр_Материалы!$I$2:$I$9000,MATCH($I911,спр_Материалы!$A$2:$A$9000,0))*IF(INDEX(спр_Материалы!$J$2:$J$9000,MATCH($I911,спр_Материалы!$A$2:$A$9000,0))="USD",КурсUSD,IF(INDEX(спр_Материалы!$J$2:$J$9000,MATCH($I911,спр_Материалы!$A$2:$A$9000,0))="EUR",КурсEUR,1))*INDEX(спр_Материалы!$K$2:$K$9000,MATCH($I911,спр_Материалы!$A$2:$A$9000,0))*(1+IFERROR(INDEX(спр_Работы!$I$2:$I$6000,MATCH($C911,спр_Работы!$A$2:$A$6000,0))/100,0))*(1-ДисконтТендер),0))</f>
        <v/>
      </c>
      <c r="N911" s="10">
        <f>IF(AND($R911="да",$H911&lt;&gt;""),ROUND($H911*$L911,2),0)</f>
        <v/>
      </c>
      <c r="O911" s="10">
        <f>IF(AND($R911="да",$H911&lt;&gt;""),ROUND($H911*$M911,2),0)</f>
        <v/>
      </c>
      <c r="P911" s="10">
        <f>$N911+$O911</f>
        <v/>
      </c>
      <c r="Q911">
        <f>IFERROR(INDEX(спр_Работы!$J$2:$J$6000,MATCH($C911,спр_Работы!$A$2:$A$6000,0)),"")</f>
        <v/>
      </c>
      <c r="R911" t="inlineStr">
        <is>
          <t>да</t>
        </is>
      </c>
      <c r="T911">
        <f>IF(AND($P911&gt;0,$R911="да"),MAX($T$1:$T910)+1,"")</f>
        <v/>
      </c>
    </row>
    <row r="912">
      <c r="A912">
        <f>IFERROR(INDEX(спр_Работы!$D$2:$D$6000,MATCH($C912,спр_Работы!$A$2:$A$6000,0)),"")</f>
        <v/>
      </c>
      <c r="B912">
        <f>IFERROR(INDEX(спр_Работы!$F$2:$F$6000,MATCH($C912,спр_Работы!$A$2:$A$6000,0)),"")</f>
        <v/>
      </c>
      <c r="C912">
        <f>IFERROR(INDEX(спр_Работы!$A$2:$A$6000,911),"")</f>
        <v/>
      </c>
      <c r="D912" s="8">
        <f>IFERROR(INDEX(спр_Работы!$B$2:$B$6000,MATCH($C912,спр_Работы!$A$2:$A$6000,0)),"")</f>
        <v/>
      </c>
      <c r="E912">
        <f>IFERROR(INDEX(спр_Работы!$C$2:$C$6000,MATCH($C912,спр_Работы!$A$2:$A$6000,0)),"")</f>
        <v/>
      </c>
      <c r="F912">
        <f>IFERROR(INDEX(спр_Работы!$G$2:$G$6000,MATCH($C912,спр_Работы!$A$2:$A$6000,0)),"")</f>
        <v/>
      </c>
      <c r="G912">
        <f>IFERROR(INDEX(спр_Работы!$K$2:$K$6000,MATCH($C912,спр_Работы!$A$2:$A$6000,0)),"")</f>
        <v/>
      </c>
      <c r="H912" s="9" t="n"/>
      <c r="I912" s="9" t="n"/>
      <c r="J912" s="8">
        <f>IFERROR(INDEX(спр_Материалы!$B$2:$B$9000,MATCH($I912,спр_Материалы!$A$2:$A$9000,0)),"")</f>
        <v/>
      </c>
      <c r="K912">
        <f>IF($I912="","",IF($F912=IFERROR(INDEX(спр_Материалы!$G$2:$G$9000,MATCH($I912,спр_Материалы!$A$2:$A$9000,0)),""),"OK","!! не та группа"))</f>
        <v/>
      </c>
      <c r="L912" s="10">
        <f>IFERROR(INDEX(спр_Работы!$H$2:$H$6000,MATCH($C912,спр_Работы!$A$2:$A$6000,0))*(1-ДисконтТендер),0)</f>
        <v/>
      </c>
      <c r="M912" s="10">
        <f>IF($I912="",0,IFERROR(INDEX(спр_Материалы!$I$2:$I$9000,MATCH($I912,спр_Материалы!$A$2:$A$9000,0))*IF(INDEX(спр_Материалы!$J$2:$J$9000,MATCH($I912,спр_Материалы!$A$2:$A$9000,0))="USD",КурсUSD,IF(INDEX(спр_Материалы!$J$2:$J$9000,MATCH($I912,спр_Материалы!$A$2:$A$9000,0))="EUR",КурсEUR,1))*INDEX(спр_Материалы!$K$2:$K$9000,MATCH($I912,спр_Материалы!$A$2:$A$9000,0))*(1+IFERROR(INDEX(спр_Работы!$I$2:$I$6000,MATCH($C912,спр_Работы!$A$2:$A$6000,0))/100,0))*(1-ДисконтТендер),0))</f>
        <v/>
      </c>
      <c r="N912" s="10">
        <f>IF(AND($R912="да",$H912&lt;&gt;""),ROUND($H912*$L912,2),0)</f>
        <v/>
      </c>
      <c r="O912" s="10">
        <f>IF(AND($R912="да",$H912&lt;&gt;""),ROUND($H912*$M912,2),0)</f>
        <v/>
      </c>
      <c r="P912" s="10">
        <f>$N912+$O912</f>
        <v/>
      </c>
      <c r="Q912">
        <f>IFERROR(INDEX(спр_Работы!$J$2:$J$6000,MATCH($C912,спр_Работы!$A$2:$A$6000,0)),"")</f>
        <v/>
      </c>
      <c r="R912" t="inlineStr">
        <is>
          <t>да</t>
        </is>
      </c>
      <c r="T912">
        <f>IF(AND($P912&gt;0,$R912="да"),MAX($T$1:$T911)+1,"")</f>
        <v/>
      </c>
    </row>
    <row r="913">
      <c r="A913" s="11">
        <f>IFERROR(INDEX(спр_Работы!$D$2:$D$6000,MATCH($C913,спр_Работы!$A$2:$A$6000,0)),"")</f>
        <v/>
      </c>
      <c r="B913">
        <f>IFERROR(INDEX(спр_Работы!$F$2:$F$6000,MATCH($C913,спр_Работы!$A$2:$A$6000,0)),"")</f>
        <v/>
      </c>
      <c r="C913">
        <f>IFERROR(INDEX(спр_Работы!$A$2:$A$6000,912),"")</f>
        <v/>
      </c>
      <c r="D913" s="8">
        <f>IFERROR(INDEX(спр_Работы!$B$2:$B$6000,MATCH($C913,спр_Работы!$A$2:$A$6000,0)),"")</f>
        <v/>
      </c>
      <c r="E913">
        <f>IFERROR(INDEX(спр_Работы!$C$2:$C$6000,MATCH($C913,спр_Работы!$A$2:$A$6000,0)),"")</f>
        <v/>
      </c>
      <c r="F913">
        <f>IFERROR(INDEX(спр_Работы!$G$2:$G$6000,MATCH($C913,спр_Работы!$A$2:$A$6000,0)),"")</f>
        <v/>
      </c>
      <c r="G913">
        <f>IFERROR(INDEX(спр_Работы!$K$2:$K$6000,MATCH($C913,спр_Работы!$A$2:$A$6000,0)),"")</f>
        <v/>
      </c>
      <c r="H913" s="9" t="n"/>
      <c r="I913" s="9" t="n"/>
      <c r="J913" s="8">
        <f>IFERROR(INDEX(спр_Материалы!$B$2:$B$9000,MATCH($I913,спр_Материалы!$A$2:$A$9000,0)),"")</f>
        <v/>
      </c>
      <c r="K913">
        <f>IF($I913="","",IF($F913=IFERROR(INDEX(спр_Материалы!$G$2:$G$9000,MATCH($I913,спр_Материалы!$A$2:$A$9000,0)),""),"OK","!! не та группа"))</f>
        <v/>
      </c>
      <c r="L913" s="10">
        <f>IFERROR(INDEX(спр_Работы!$H$2:$H$6000,MATCH($C913,спр_Работы!$A$2:$A$6000,0))*(1-ДисконтТендер),0)</f>
        <v/>
      </c>
      <c r="M913" s="10">
        <f>IF($I913="",0,IFERROR(INDEX(спр_Материалы!$I$2:$I$9000,MATCH($I913,спр_Материалы!$A$2:$A$9000,0))*IF(INDEX(спр_Материалы!$J$2:$J$9000,MATCH($I913,спр_Материалы!$A$2:$A$9000,0))="USD",КурсUSD,IF(INDEX(спр_Материалы!$J$2:$J$9000,MATCH($I913,спр_Материалы!$A$2:$A$9000,0))="EUR",КурсEUR,1))*INDEX(спр_Материалы!$K$2:$K$9000,MATCH($I913,спр_Материалы!$A$2:$A$9000,0))*(1+IFERROR(INDEX(спр_Работы!$I$2:$I$6000,MATCH($C913,спр_Работы!$A$2:$A$6000,0))/100,0))*(1-ДисконтТендер),0))</f>
        <v/>
      </c>
      <c r="N913" s="10">
        <f>IF(AND($R913="да",$H913&lt;&gt;""),ROUND($H913*$L913,2),0)</f>
        <v/>
      </c>
      <c r="O913" s="10">
        <f>IF(AND($R913="да",$H913&lt;&gt;""),ROUND($H913*$M913,2),0)</f>
        <v/>
      </c>
      <c r="P913" s="10">
        <f>$N913+$O913</f>
        <v/>
      </c>
      <c r="Q913">
        <f>IFERROR(INDEX(спр_Работы!$J$2:$J$6000,MATCH($C913,спр_Работы!$A$2:$A$6000,0)),"")</f>
        <v/>
      </c>
      <c r="R913" t="inlineStr">
        <is>
          <t>да</t>
        </is>
      </c>
      <c r="T913">
        <f>IF(AND($P913&gt;0,$R913="да"),MAX($T$1:$T912)+1,"")</f>
        <v/>
      </c>
    </row>
    <row r="914">
      <c r="A914" s="11">
        <f>IFERROR(INDEX(спр_Работы!$D$2:$D$6000,MATCH($C914,спр_Работы!$A$2:$A$6000,0)),"")</f>
        <v/>
      </c>
      <c r="B914">
        <f>IFERROR(INDEX(спр_Работы!$F$2:$F$6000,MATCH($C914,спр_Работы!$A$2:$A$6000,0)),"")</f>
        <v/>
      </c>
      <c r="C914">
        <f>IFERROR(INDEX(спр_Работы!$A$2:$A$6000,913),"")</f>
        <v/>
      </c>
      <c r="D914" s="8">
        <f>IFERROR(INDEX(спр_Работы!$B$2:$B$6000,MATCH($C914,спр_Работы!$A$2:$A$6000,0)),"")</f>
        <v/>
      </c>
      <c r="E914">
        <f>IFERROR(INDEX(спр_Работы!$C$2:$C$6000,MATCH($C914,спр_Работы!$A$2:$A$6000,0)),"")</f>
        <v/>
      </c>
      <c r="F914">
        <f>IFERROR(INDEX(спр_Работы!$G$2:$G$6000,MATCH($C914,спр_Работы!$A$2:$A$6000,0)),"")</f>
        <v/>
      </c>
      <c r="G914">
        <f>IFERROR(INDEX(спр_Работы!$K$2:$K$6000,MATCH($C914,спр_Работы!$A$2:$A$6000,0)),"")</f>
        <v/>
      </c>
      <c r="H914" s="9" t="n"/>
      <c r="I914" s="9" t="n"/>
      <c r="J914" s="8">
        <f>IFERROR(INDEX(спр_Материалы!$B$2:$B$9000,MATCH($I914,спр_Материалы!$A$2:$A$9000,0)),"")</f>
        <v/>
      </c>
      <c r="K914">
        <f>IF($I914="","",IF($F914=IFERROR(INDEX(спр_Материалы!$G$2:$G$9000,MATCH($I914,спр_Материалы!$A$2:$A$9000,0)),""),"OK","!! не та группа"))</f>
        <v/>
      </c>
      <c r="L914" s="10">
        <f>IFERROR(INDEX(спр_Работы!$H$2:$H$6000,MATCH($C914,спр_Работы!$A$2:$A$6000,0))*(1-ДисконтТендер),0)</f>
        <v/>
      </c>
      <c r="M914" s="10">
        <f>IF($I914="",0,IFERROR(INDEX(спр_Материалы!$I$2:$I$9000,MATCH($I914,спр_Материалы!$A$2:$A$9000,0))*IF(INDEX(спр_Материалы!$J$2:$J$9000,MATCH($I914,спр_Материалы!$A$2:$A$9000,0))="USD",КурсUSD,IF(INDEX(спр_Материалы!$J$2:$J$9000,MATCH($I914,спр_Материалы!$A$2:$A$9000,0))="EUR",КурсEUR,1))*INDEX(спр_Материалы!$K$2:$K$9000,MATCH($I914,спр_Материалы!$A$2:$A$9000,0))*(1+IFERROR(INDEX(спр_Работы!$I$2:$I$6000,MATCH($C914,спр_Работы!$A$2:$A$6000,0))/100,0))*(1-ДисконтТендер),0))</f>
        <v/>
      </c>
      <c r="N914" s="10">
        <f>IF(AND($R914="да",$H914&lt;&gt;""),ROUND($H914*$L914,2),0)</f>
        <v/>
      </c>
      <c r="O914" s="10">
        <f>IF(AND($R914="да",$H914&lt;&gt;""),ROUND($H914*$M914,2),0)</f>
        <v/>
      </c>
      <c r="P914" s="10">
        <f>$N914+$O914</f>
        <v/>
      </c>
      <c r="Q914">
        <f>IFERROR(INDEX(спр_Работы!$J$2:$J$6000,MATCH($C914,спр_Работы!$A$2:$A$6000,0)),"")</f>
        <v/>
      </c>
      <c r="R914" t="inlineStr">
        <is>
          <t>да</t>
        </is>
      </c>
      <c r="T914">
        <f>IF(AND($P914&gt;0,$R914="да"),MAX($T$1:$T913)+1,"")</f>
        <v/>
      </c>
    </row>
    <row r="915">
      <c r="A915" s="11">
        <f>IFERROR(INDEX(спр_Работы!$D$2:$D$6000,MATCH($C915,спр_Работы!$A$2:$A$6000,0)),"")</f>
        <v/>
      </c>
      <c r="B915">
        <f>IFERROR(INDEX(спр_Работы!$F$2:$F$6000,MATCH($C915,спр_Работы!$A$2:$A$6000,0)),"")</f>
        <v/>
      </c>
      <c r="C915">
        <f>IFERROR(INDEX(спр_Работы!$A$2:$A$6000,914),"")</f>
        <v/>
      </c>
      <c r="D915" s="8">
        <f>IFERROR(INDEX(спр_Работы!$B$2:$B$6000,MATCH($C915,спр_Работы!$A$2:$A$6000,0)),"")</f>
        <v/>
      </c>
      <c r="E915">
        <f>IFERROR(INDEX(спр_Работы!$C$2:$C$6000,MATCH($C915,спр_Работы!$A$2:$A$6000,0)),"")</f>
        <v/>
      </c>
      <c r="F915">
        <f>IFERROR(INDEX(спр_Работы!$G$2:$G$6000,MATCH($C915,спр_Работы!$A$2:$A$6000,0)),"")</f>
        <v/>
      </c>
      <c r="G915">
        <f>IFERROR(INDEX(спр_Работы!$K$2:$K$6000,MATCH($C915,спр_Работы!$A$2:$A$6000,0)),"")</f>
        <v/>
      </c>
      <c r="H915" s="9" t="n"/>
      <c r="I915" s="9" t="n"/>
      <c r="J915" s="8">
        <f>IFERROR(INDEX(спр_Материалы!$B$2:$B$9000,MATCH($I915,спр_Материалы!$A$2:$A$9000,0)),"")</f>
        <v/>
      </c>
      <c r="K915">
        <f>IF($I915="","",IF($F915=IFERROR(INDEX(спр_Материалы!$G$2:$G$9000,MATCH($I915,спр_Материалы!$A$2:$A$9000,0)),""),"OK","!! не та группа"))</f>
        <v/>
      </c>
      <c r="L915" s="10">
        <f>IFERROR(INDEX(спр_Работы!$H$2:$H$6000,MATCH($C915,спр_Работы!$A$2:$A$6000,0))*(1-ДисконтТендер),0)</f>
        <v/>
      </c>
      <c r="M915" s="10">
        <f>IF($I915="",0,IFERROR(INDEX(спр_Материалы!$I$2:$I$9000,MATCH($I915,спр_Материалы!$A$2:$A$9000,0))*IF(INDEX(спр_Материалы!$J$2:$J$9000,MATCH($I915,спр_Материалы!$A$2:$A$9000,0))="USD",КурсUSD,IF(INDEX(спр_Материалы!$J$2:$J$9000,MATCH($I915,спр_Материалы!$A$2:$A$9000,0))="EUR",КурсEUR,1))*INDEX(спр_Материалы!$K$2:$K$9000,MATCH($I915,спр_Материалы!$A$2:$A$9000,0))*(1+IFERROR(INDEX(спр_Работы!$I$2:$I$6000,MATCH($C915,спр_Работы!$A$2:$A$6000,0))/100,0))*(1-ДисконтТендер),0))</f>
        <v/>
      </c>
      <c r="N915" s="10">
        <f>IF(AND($R915="да",$H915&lt;&gt;""),ROUND($H915*$L915,2),0)</f>
        <v/>
      </c>
      <c r="O915" s="10">
        <f>IF(AND($R915="да",$H915&lt;&gt;""),ROUND($H915*$M915,2),0)</f>
        <v/>
      </c>
      <c r="P915" s="10">
        <f>$N915+$O915</f>
        <v/>
      </c>
      <c r="Q915">
        <f>IFERROR(INDEX(спр_Работы!$J$2:$J$6000,MATCH($C915,спр_Работы!$A$2:$A$6000,0)),"")</f>
        <v/>
      </c>
      <c r="R915" t="inlineStr">
        <is>
          <t>да</t>
        </is>
      </c>
      <c r="T915">
        <f>IF(AND($P915&gt;0,$R915="да"),MAX($T$1:$T914)+1,"")</f>
        <v/>
      </c>
    </row>
    <row r="916">
      <c r="A916" s="11">
        <f>IFERROR(INDEX(спр_Работы!$D$2:$D$6000,MATCH($C916,спр_Работы!$A$2:$A$6000,0)),"")</f>
        <v/>
      </c>
      <c r="B916">
        <f>IFERROR(INDEX(спр_Работы!$F$2:$F$6000,MATCH($C916,спр_Работы!$A$2:$A$6000,0)),"")</f>
        <v/>
      </c>
      <c r="C916">
        <f>IFERROR(INDEX(спр_Работы!$A$2:$A$6000,915),"")</f>
        <v/>
      </c>
      <c r="D916" s="8">
        <f>IFERROR(INDEX(спр_Работы!$B$2:$B$6000,MATCH($C916,спр_Работы!$A$2:$A$6000,0)),"")</f>
        <v/>
      </c>
      <c r="E916">
        <f>IFERROR(INDEX(спр_Работы!$C$2:$C$6000,MATCH($C916,спр_Работы!$A$2:$A$6000,0)),"")</f>
        <v/>
      </c>
      <c r="F916">
        <f>IFERROR(INDEX(спр_Работы!$G$2:$G$6000,MATCH($C916,спр_Работы!$A$2:$A$6000,0)),"")</f>
        <v/>
      </c>
      <c r="G916">
        <f>IFERROR(INDEX(спр_Работы!$K$2:$K$6000,MATCH($C916,спр_Работы!$A$2:$A$6000,0)),"")</f>
        <v/>
      </c>
      <c r="H916" s="9" t="n"/>
      <c r="I916" s="9" t="n"/>
      <c r="J916" s="8">
        <f>IFERROR(INDEX(спр_Материалы!$B$2:$B$9000,MATCH($I916,спр_Материалы!$A$2:$A$9000,0)),"")</f>
        <v/>
      </c>
      <c r="K916">
        <f>IF($I916="","",IF($F916=IFERROR(INDEX(спр_Материалы!$G$2:$G$9000,MATCH($I916,спр_Материалы!$A$2:$A$9000,0)),""),"OK","!! не та группа"))</f>
        <v/>
      </c>
      <c r="L916" s="10">
        <f>IFERROR(INDEX(спр_Работы!$H$2:$H$6000,MATCH($C916,спр_Работы!$A$2:$A$6000,0))*(1-ДисконтТендер),0)</f>
        <v/>
      </c>
      <c r="M916" s="10">
        <f>IF($I916="",0,IFERROR(INDEX(спр_Материалы!$I$2:$I$9000,MATCH($I916,спр_Материалы!$A$2:$A$9000,0))*IF(INDEX(спр_Материалы!$J$2:$J$9000,MATCH($I916,спр_Материалы!$A$2:$A$9000,0))="USD",КурсUSD,IF(INDEX(спр_Материалы!$J$2:$J$9000,MATCH($I916,спр_Материалы!$A$2:$A$9000,0))="EUR",КурсEUR,1))*INDEX(спр_Материалы!$K$2:$K$9000,MATCH($I916,спр_Материалы!$A$2:$A$9000,0))*(1+IFERROR(INDEX(спр_Работы!$I$2:$I$6000,MATCH($C916,спр_Работы!$A$2:$A$6000,0))/100,0))*(1-ДисконтТендер),0))</f>
        <v/>
      </c>
      <c r="N916" s="10">
        <f>IF(AND($R916="да",$H916&lt;&gt;""),ROUND($H916*$L916,2),0)</f>
        <v/>
      </c>
      <c r="O916" s="10">
        <f>IF(AND($R916="да",$H916&lt;&gt;""),ROUND($H916*$M916,2),0)</f>
        <v/>
      </c>
      <c r="P916" s="10">
        <f>$N916+$O916</f>
        <v/>
      </c>
      <c r="Q916">
        <f>IFERROR(INDEX(спр_Работы!$J$2:$J$6000,MATCH($C916,спр_Работы!$A$2:$A$6000,0)),"")</f>
        <v/>
      </c>
      <c r="R916" t="inlineStr">
        <is>
          <t>да</t>
        </is>
      </c>
      <c r="T916">
        <f>IF(AND($P916&gt;0,$R916="да"),MAX($T$1:$T915)+1,"")</f>
        <v/>
      </c>
    </row>
    <row r="917">
      <c r="A917" s="11">
        <f>IFERROR(INDEX(спр_Работы!$D$2:$D$6000,MATCH($C917,спр_Работы!$A$2:$A$6000,0)),"")</f>
        <v/>
      </c>
      <c r="B917">
        <f>IFERROR(INDEX(спр_Работы!$F$2:$F$6000,MATCH($C917,спр_Работы!$A$2:$A$6000,0)),"")</f>
        <v/>
      </c>
      <c r="C917">
        <f>IFERROR(INDEX(спр_Работы!$A$2:$A$6000,916),"")</f>
        <v/>
      </c>
      <c r="D917" s="8">
        <f>IFERROR(INDEX(спр_Работы!$B$2:$B$6000,MATCH($C917,спр_Работы!$A$2:$A$6000,0)),"")</f>
        <v/>
      </c>
      <c r="E917">
        <f>IFERROR(INDEX(спр_Работы!$C$2:$C$6000,MATCH($C917,спр_Работы!$A$2:$A$6000,0)),"")</f>
        <v/>
      </c>
      <c r="F917">
        <f>IFERROR(INDEX(спр_Работы!$G$2:$G$6000,MATCH($C917,спр_Работы!$A$2:$A$6000,0)),"")</f>
        <v/>
      </c>
      <c r="G917">
        <f>IFERROR(INDEX(спр_Работы!$K$2:$K$6000,MATCH($C917,спр_Работы!$A$2:$A$6000,0)),"")</f>
        <v/>
      </c>
      <c r="H917" s="9" t="n"/>
      <c r="I917" s="9" t="n"/>
      <c r="J917" s="8">
        <f>IFERROR(INDEX(спр_Материалы!$B$2:$B$9000,MATCH($I917,спр_Материалы!$A$2:$A$9000,0)),"")</f>
        <v/>
      </c>
      <c r="K917">
        <f>IF($I917="","",IF($F917=IFERROR(INDEX(спр_Материалы!$G$2:$G$9000,MATCH($I917,спр_Материалы!$A$2:$A$9000,0)),""),"OK","!! не та группа"))</f>
        <v/>
      </c>
      <c r="L917" s="10">
        <f>IFERROR(INDEX(спр_Работы!$H$2:$H$6000,MATCH($C917,спр_Работы!$A$2:$A$6000,0))*(1-ДисконтТендер),0)</f>
        <v/>
      </c>
      <c r="M917" s="10">
        <f>IF($I917="",0,IFERROR(INDEX(спр_Материалы!$I$2:$I$9000,MATCH($I917,спр_Материалы!$A$2:$A$9000,0))*IF(INDEX(спр_Материалы!$J$2:$J$9000,MATCH($I917,спр_Материалы!$A$2:$A$9000,0))="USD",КурсUSD,IF(INDEX(спр_Материалы!$J$2:$J$9000,MATCH($I917,спр_Материалы!$A$2:$A$9000,0))="EUR",КурсEUR,1))*INDEX(спр_Материалы!$K$2:$K$9000,MATCH($I917,спр_Материалы!$A$2:$A$9000,0))*(1+IFERROR(INDEX(спр_Работы!$I$2:$I$6000,MATCH($C917,спр_Работы!$A$2:$A$6000,0))/100,0))*(1-ДисконтТендер),0))</f>
        <v/>
      </c>
      <c r="N917" s="10">
        <f>IF(AND($R917="да",$H917&lt;&gt;""),ROUND($H917*$L917,2),0)</f>
        <v/>
      </c>
      <c r="O917" s="10">
        <f>IF(AND($R917="да",$H917&lt;&gt;""),ROUND($H917*$M917,2),0)</f>
        <v/>
      </c>
      <c r="P917" s="10">
        <f>$N917+$O917</f>
        <v/>
      </c>
      <c r="Q917">
        <f>IFERROR(INDEX(спр_Работы!$J$2:$J$6000,MATCH($C917,спр_Работы!$A$2:$A$6000,0)),"")</f>
        <v/>
      </c>
      <c r="R917" t="inlineStr">
        <is>
          <t>да</t>
        </is>
      </c>
      <c r="T917">
        <f>IF(AND($P917&gt;0,$R917="да"),MAX($T$1:$T916)+1,"")</f>
        <v/>
      </c>
    </row>
    <row r="918">
      <c r="A918" s="11">
        <f>IFERROR(INDEX(спр_Работы!$D$2:$D$6000,MATCH($C918,спр_Работы!$A$2:$A$6000,0)),"")</f>
        <v/>
      </c>
      <c r="B918">
        <f>IFERROR(INDEX(спр_Работы!$F$2:$F$6000,MATCH($C918,спр_Работы!$A$2:$A$6000,0)),"")</f>
        <v/>
      </c>
      <c r="C918">
        <f>IFERROR(INDEX(спр_Работы!$A$2:$A$6000,917),"")</f>
        <v/>
      </c>
      <c r="D918" s="8">
        <f>IFERROR(INDEX(спр_Работы!$B$2:$B$6000,MATCH($C918,спр_Работы!$A$2:$A$6000,0)),"")</f>
        <v/>
      </c>
      <c r="E918">
        <f>IFERROR(INDEX(спр_Работы!$C$2:$C$6000,MATCH($C918,спр_Работы!$A$2:$A$6000,0)),"")</f>
        <v/>
      </c>
      <c r="F918">
        <f>IFERROR(INDEX(спр_Работы!$G$2:$G$6000,MATCH($C918,спр_Работы!$A$2:$A$6000,0)),"")</f>
        <v/>
      </c>
      <c r="G918">
        <f>IFERROR(INDEX(спр_Работы!$K$2:$K$6000,MATCH($C918,спр_Работы!$A$2:$A$6000,0)),"")</f>
        <v/>
      </c>
      <c r="H918" s="9" t="n"/>
      <c r="I918" s="9" t="n"/>
      <c r="J918" s="8">
        <f>IFERROR(INDEX(спр_Материалы!$B$2:$B$9000,MATCH($I918,спр_Материалы!$A$2:$A$9000,0)),"")</f>
        <v/>
      </c>
      <c r="K918">
        <f>IF($I918="","",IF($F918=IFERROR(INDEX(спр_Материалы!$G$2:$G$9000,MATCH($I918,спр_Материалы!$A$2:$A$9000,0)),""),"OK","!! не та группа"))</f>
        <v/>
      </c>
      <c r="L918" s="10">
        <f>IFERROR(INDEX(спр_Работы!$H$2:$H$6000,MATCH($C918,спр_Работы!$A$2:$A$6000,0))*(1-ДисконтТендер),0)</f>
        <v/>
      </c>
      <c r="M918" s="10">
        <f>IF($I918="",0,IFERROR(INDEX(спр_Материалы!$I$2:$I$9000,MATCH($I918,спр_Материалы!$A$2:$A$9000,0))*IF(INDEX(спр_Материалы!$J$2:$J$9000,MATCH($I918,спр_Материалы!$A$2:$A$9000,0))="USD",КурсUSD,IF(INDEX(спр_Материалы!$J$2:$J$9000,MATCH($I918,спр_Материалы!$A$2:$A$9000,0))="EUR",КурсEUR,1))*INDEX(спр_Материалы!$K$2:$K$9000,MATCH($I918,спр_Материалы!$A$2:$A$9000,0))*(1+IFERROR(INDEX(спр_Работы!$I$2:$I$6000,MATCH($C918,спр_Работы!$A$2:$A$6000,0))/100,0))*(1-ДисконтТендер),0))</f>
        <v/>
      </c>
      <c r="N918" s="10">
        <f>IF(AND($R918="да",$H918&lt;&gt;""),ROUND($H918*$L918,2),0)</f>
        <v/>
      </c>
      <c r="O918" s="10">
        <f>IF(AND($R918="да",$H918&lt;&gt;""),ROUND($H918*$M918,2),0)</f>
        <v/>
      </c>
      <c r="P918" s="10">
        <f>$N918+$O918</f>
        <v/>
      </c>
      <c r="Q918">
        <f>IFERROR(INDEX(спр_Работы!$J$2:$J$6000,MATCH($C918,спр_Работы!$A$2:$A$6000,0)),"")</f>
        <v/>
      </c>
      <c r="R918" t="inlineStr">
        <is>
          <t>да</t>
        </is>
      </c>
      <c r="T918">
        <f>IF(AND($P918&gt;0,$R918="да"),MAX($T$1:$T917)+1,"")</f>
        <v/>
      </c>
    </row>
    <row r="919">
      <c r="A919" s="11">
        <f>IFERROR(INDEX(спр_Работы!$D$2:$D$6000,MATCH($C919,спр_Работы!$A$2:$A$6000,0)),"")</f>
        <v/>
      </c>
      <c r="B919">
        <f>IFERROR(INDEX(спр_Работы!$F$2:$F$6000,MATCH($C919,спр_Работы!$A$2:$A$6000,0)),"")</f>
        <v/>
      </c>
      <c r="C919">
        <f>IFERROR(INDEX(спр_Работы!$A$2:$A$6000,918),"")</f>
        <v/>
      </c>
      <c r="D919" s="8">
        <f>IFERROR(INDEX(спр_Работы!$B$2:$B$6000,MATCH($C919,спр_Работы!$A$2:$A$6000,0)),"")</f>
        <v/>
      </c>
      <c r="E919">
        <f>IFERROR(INDEX(спр_Работы!$C$2:$C$6000,MATCH($C919,спр_Работы!$A$2:$A$6000,0)),"")</f>
        <v/>
      </c>
      <c r="F919">
        <f>IFERROR(INDEX(спр_Работы!$G$2:$G$6000,MATCH($C919,спр_Работы!$A$2:$A$6000,0)),"")</f>
        <v/>
      </c>
      <c r="G919">
        <f>IFERROR(INDEX(спр_Работы!$K$2:$K$6000,MATCH($C919,спр_Работы!$A$2:$A$6000,0)),"")</f>
        <v/>
      </c>
      <c r="H919" s="9" t="n"/>
      <c r="I919" s="9" t="n"/>
      <c r="J919" s="8">
        <f>IFERROR(INDEX(спр_Материалы!$B$2:$B$9000,MATCH($I919,спр_Материалы!$A$2:$A$9000,0)),"")</f>
        <v/>
      </c>
      <c r="K919">
        <f>IF($I919="","",IF($F919=IFERROR(INDEX(спр_Материалы!$G$2:$G$9000,MATCH($I919,спр_Материалы!$A$2:$A$9000,0)),""),"OK","!! не та группа"))</f>
        <v/>
      </c>
      <c r="L919" s="10">
        <f>IFERROR(INDEX(спр_Работы!$H$2:$H$6000,MATCH($C919,спр_Работы!$A$2:$A$6000,0))*(1-ДисконтТендер),0)</f>
        <v/>
      </c>
      <c r="M919" s="10">
        <f>IF($I919="",0,IFERROR(INDEX(спр_Материалы!$I$2:$I$9000,MATCH($I919,спр_Материалы!$A$2:$A$9000,0))*IF(INDEX(спр_Материалы!$J$2:$J$9000,MATCH($I919,спр_Материалы!$A$2:$A$9000,0))="USD",КурсUSD,IF(INDEX(спр_Материалы!$J$2:$J$9000,MATCH($I919,спр_Материалы!$A$2:$A$9000,0))="EUR",КурсEUR,1))*INDEX(спр_Материалы!$K$2:$K$9000,MATCH($I919,спр_Материалы!$A$2:$A$9000,0))*(1+IFERROR(INDEX(спр_Работы!$I$2:$I$6000,MATCH($C919,спр_Работы!$A$2:$A$6000,0))/100,0))*(1-ДисконтТендер),0))</f>
        <v/>
      </c>
      <c r="N919" s="10">
        <f>IF(AND($R919="да",$H919&lt;&gt;""),ROUND($H919*$L919,2),0)</f>
        <v/>
      </c>
      <c r="O919" s="10">
        <f>IF(AND($R919="да",$H919&lt;&gt;""),ROUND($H919*$M919,2),0)</f>
        <v/>
      </c>
      <c r="P919" s="10">
        <f>$N919+$O919</f>
        <v/>
      </c>
      <c r="Q919">
        <f>IFERROR(INDEX(спр_Работы!$J$2:$J$6000,MATCH($C919,спр_Работы!$A$2:$A$6000,0)),"")</f>
        <v/>
      </c>
      <c r="R919" t="inlineStr">
        <is>
          <t>да</t>
        </is>
      </c>
      <c r="T919">
        <f>IF(AND($P919&gt;0,$R919="да"),MAX($T$1:$T918)+1,"")</f>
        <v/>
      </c>
    </row>
    <row r="920">
      <c r="A920" s="11">
        <f>IFERROR(INDEX(спр_Работы!$D$2:$D$6000,MATCH($C920,спр_Работы!$A$2:$A$6000,0)),"")</f>
        <v/>
      </c>
      <c r="B920">
        <f>IFERROR(INDEX(спр_Работы!$F$2:$F$6000,MATCH($C920,спр_Работы!$A$2:$A$6000,0)),"")</f>
        <v/>
      </c>
      <c r="C920">
        <f>IFERROR(INDEX(спр_Работы!$A$2:$A$6000,919),"")</f>
        <v/>
      </c>
      <c r="D920" s="8">
        <f>IFERROR(INDEX(спр_Работы!$B$2:$B$6000,MATCH($C920,спр_Работы!$A$2:$A$6000,0)),"")</f>
        <v/>
      </c>
      <c r="E920">
        <f>IFERROR(INDEX(спр_Работы!$C$2:$C$6000,MATCH($C920,спр_Работы!$A$2:$A$6000,0)),"")</f>
        <v/>
      </c>
      <c r="F920">
        <f>IFERROR(INDEX(спр_Работы!$G$2:$G$6000,MATCH($C920,спр_Работы!$A$2:$A$6000,0)),"")</f>
        <v/>
      </c>
      <c r="G920">
        <f>IFERROR(INDEX(спр_Работы!$K$2:$K$6000,MATCH($C920,спр_Работы!$A$2:$A$6000,0)),"")</f>
        <v/>
      </c>
      <c r="H920" s="9" t="n"/>
      <c r="I920" s="9" t="n"/>
      <c r="J920" s="8">
        <f>IFERROR(INDEX(спр_Материалы!$B$2:$B$9000,MATCH($I920,спр_Материалы!$A$2:$A$9000,0)),"")</f>
        <v/>
      </c>
      <c r="K920">
        <f>IF($I920="","",IF($F920=IFERROR(INDEX(спр_Материалы!$G$2:$G$9000,MATCH($I920,спр_Материалы!$A$2:$A$9000,0)),""),"OK","!! не та группа"))</f>
        <v/>
      </c>
      <c r="L920" s="10">
        <f>IFERROR(INDEX(спр_Работы!$H$2:$H$6000,MATCH($C920,спр_Работы!$A$2:$A$6000,0))*(1-ДисконтТендер),0)</f>
        <v/>
      </c>
      <c r="M920" s="10">
        <f>IF($I920="",0,IFERROR(INDEX(спр_Материалы!$I$2:$I$9000,MATCH($I920,спр_Материалы!$A$2:$A$9000,0))*IF(INDEX(спр_Материалы!$J$2:$J$9000,MATCH($I920,спр_Материалы!$A$2:$A$9000,0))="USD",КурсUSD,IF(INDEX(спр_Материалы!$J$2:$J$9000,MATCH($I920,спр_Материалы!$A$2:$A$9000,0))="EUR",КурсEUR,1))*INDEX(спр_Материалы!$K$2:$K$9000,MATCH($I920,спр_Материалы!$A$2:$A$9000,0))*(1+IFERROR(INDEX(спр_Работы!$I$2:$I$6000,MATCH($C920,спр_Работы!$A$2:$A$6000,0))/100,0))*(1-ДисконтТендер),0))</f>
        <v/>
      </c>
      <c r="N920" s="10">
        <f>IF(AND($R920="да",$H920&lt;&gt;""),ROUND($H920*$L920,2),0)</f>
        <v/>
      </c>
      <c r="O920" s="10">
        <f>IF(AND($R920="да",$H920&lt;&gt;""),ROUND($H920*$M920,2),0)</f>
        <v/>
      </c>
      <c r="P920" s="10">
        <f>$N920+$O920</f>
        <v/>
      </c>
      <c r="Q920">
        <f>IFERROR(INDEX(спр_Работы!$J$2:$J$6000,MATCH($C920,спр_Работы!$A$2:$A$6000,0)),"")</f>
        <v/>
      </c>
      <c r="R920" t="inlineStr">
        <is>
          <t>да</t>
        </is>
      </c>
      <c r="T920">
        <f>IF(AND($P920&gt;0,$R920="да"),MAX($T$1:$T919)+1,"")</f>
        <v/>
      </c>
    </row>
    <row r="921">
      <c r="A921" s="11">
        <f>IFERROR(INDEX(спр_Работы!$D$2:$D$6000,MATCH($C921,спр_Работы!$A$2:$A$6000,0)),"")</f>
        <v/>
      </c>
      <c r="B921">
        <f>IFERROR(INDEX(спр_Работы!$F$2:$F$6000,MATCH($C921,спр_Работы!$A$2:$A$6000,0)),"")</f>
        <v/>
      </c>
      <c r="C921">
        <f>IFERROR(INDEX(спр_Работы!$A$2:$A$6000,920),"")</f>
        <v/>
      </c>
      <c r="D921" s="8">
        <f>IFERROR(INDEX(спр_Работы!$B$2:$B$6000,MATCH($C921,спр_Работы!$A$2:$A$6000,0)),"")</f>
        <v/>
      </c>
      <c r="E921">
        <f>IFERROR(INDEX(спр_Работы!$C$2:$C$6000,MATCH($C921,спр_Работы!$A$2:$A$6000,0)),"")</f>
        <v/>
      </c>
      <c r="F921">
        <f>IFERROR(INDEX(спр_Работы!$G$2:$G$6000,MATCH($C921,спр_Работы!$A$2:$A$6000,0)),"")</f>
        <v/>
      </c>
      <c r="G921">
        <f>IFERROR(INDEX(спр_Работы!$K$2:$K$6000,MATCH($C921,спр_Работы!$A$2:$A$6000,0)),"")</f>
        <v/>
      </c>
      <c r="H921" s="9" t="n"/>
      <c r="I921" s="9" t="n"/>
      <c r="J921" s="8">
        <f>IFERROR(INDEX(спр_Материалы!$B$2:$B$9000,MATCH($I921,спр_Материалы!$A$2:$A$9000,0)),"")</f>
        <v/>
      </c>
      <c r="K921">
        <f>IF($I921="","",IF($F921=IFERROR(INDEX(спр_Материалы!$G$2:$G$9000,MATCH($I921,спр_Материалы!$A$2:$A$9000,0)),""),"OK","!! не та группа"))</f>
        <v/>
      </c>
      <c r="L921" s="10">
        <f>IFERROR(INDEX(спр_Работы!$H$2:$H$6000,MATCH($C921,спр_Работы!$A$2:$A$6000,0))*(1-ДисконтТендер),0)</f>
        <v/>
      </c>
      <c r="M921" s="10">
        <f>IF($I921="",0,IFERROR(INDEX(спр_Материалы!$I$2:$I$9000,MATCH($I921,спр_Материалы!$A$2:$A$9000,0))*IF(INDEX(спр_Материалы!$J$2:$J$9000,MATCH($I921,спр_Материалы!$A$2:$A$9000,0))="USD",КурсUSD,IF(INDEX(спр_Материалы!$J$2:$J$9000,MATCH($I921,спр_Материалы!$A$2:$A$9000,0))="EUR",КурсEUR,1))*INDEX(спр_Материалы!$K$2:$K$9000,MATCH($I921,спр_Материалы!$A$2:$A$9000,0))*(1+IFERROR(INDEX(спр_Работы!$I$2:$I$6000,MATCH($C921,спр_Работы!$A$2:$A$6000,0))/100,0))*(1-ДисконтТендер),0))</f>
        <v/>
      </c>
      <c r="N921" s="10">
        <f>IF(AND($R921="да",$H921&lt;&gt;""),ROUND($H921*$L921,2),0)</f>
        <v/>
      </c>
      <c r="O921" s="10">
        <f>IF(AND($R921="да",$H921&lt;&gt;""),ROUND($H921*$M921,2),0)</f>
        <v/>
      </c>
      <c r="P921" s="10">
        <f>$N921+$O921</f>
        <v/>
      </c>
      <c r="Q921">
        <f>IFERROR(INDEX(спр_Работы!$J$2:$J$6000,MATCH($C921,спр_Работы!$A$2:$A$6000,0)),"")</f>
        <v/>
      </c>
      <c r="R921" t="inlineStr">
        <is>
          <t>да</t>
        </is>
      </c>
      <c r="T921">
        <f>IF(AND($P921&gt;0,$R921="да"),MAX($T$1:$T920)+1,"")</f>
        <v/>
      </c>
    </row>
    <row r="922">
      <c r="A922" s="11">
        <f>IFERROR(INDEX(спр_Работы!$D$2:$D$6000,MATCH($C922,спр_Работы!$A$2:$A$6000,0)),"")</f>
        <v/>
      </c>
      <c r="B922">
        <f>IFERROR(INDEX(спр_Работы!$F$2:$F$6000,MATCH($C922,спр_Работы!$A$2:$A$6000,0)),"")</f>
        <v/>
      </c>
      <c r="C922">
        <f>IFERROR(INDEX(спр_Работы!$A$2:$A$6000,921),"")</f>
        <v/>
      </c>
      <c r="D922" s="8">
        <f>IFERROR(INDEX(спр_Работы!$B$2:$B$6000,MATCH($C922,спр_Работы!$A$2:$A$6000,0)),"")</f>
        <v/>
      </c>
      <c r="E922">
        <f>IFERROR(INDEX(спр_Работы!$C$2:$C$6000,MATCH($C922,спр_Работы!$A$2:$A$6000,0)),"")</f>
        <v/>
      </c>
      <c r="F922">
        <f>IFERROR(INDEX(спр_Работы!$G$2:$G$6000,MATCH($C922,спр_Работы!$A$2:$A$6000,0)),"")</f>
        <v/>
      </c>
      <c r="G922">
        <f>IFERROR(INDEX(спр_Работы!$K$2:$K$6000,MATCH($C922,спр_Работы!$A$2:$A$6000,0)),"")</f>
        <v/>
      </c>
      <c r="H922" s="9" t="n"/>
      <c r="I922" s="9" t="n"/>
      <c r="J922" s="8">
        <f>IFERROR(INDEX(спр_Материалы!$B$2:$B$9000,MATCH($I922,спр_Материалы!$A$2:$A$9000,0)),"")</f>
        <v/>
      </c>
      <c r="K922">
        <f>IF($I922="","",IF($F922=IFERROR(INDEX(спр_Материалы!$G$2:$G$9000,MATCH($I922,спр_Материалы!$A$2:$A$9000,0)),""),"OK","!! не та группа"))</f>
        <v/>
      </c>
      <c r="L922" s="10">
        <f>IFERROR(INDEX(спр_Работы!$H$2:$H$6000,MATCH($C922,спр_Работы!$A$2:$A$6000,0))*(1-ДисконтТендер),0)</f>
        <v/>
      </c>
      <c r="M922" s="10">
        <f>IF($I922="",0,IFERROR(INDEX(спр_Материалы!$I$2:$I$9000,MATCH($I922,спр_Материалы!$A$2:$A$9000,0))*IF(INDEX(спр_Материалы!$J$2:$J$9000,MATCH($I922,спр_Материалы!$A$2:$A$9000,0))="USD",КурсUSD,IF(INDEX(спр_Материалы!$J$2:$J$9000,MATCH($I922,спр_Материалы!$A$2:$A$9000,0))="EUR",КурсEUR,1))*INDEX(спр_Материалы!$K$2:$K$9000,MATCH($I922,спр_Материалы!$A$2:$A$9000,0))*(1+IFERROR(INDEX(спр_Работы!$I$2:$I$6000,MATCH($C922,спр_Работы!$A$2:$A$6000,0))/100,0))*(1-ДисконтТендер),0))</f>
        <v/>
      </c>
      <c r="N922" s="10">
        <f>IF(AND($R922="да",$H922&lt;&gt;""),ROUND($H922*$L922,2),0)</f>
        <v/>
      </c>
      <c r="O922" s="10">
        <f>IF(AND($R922="да",$H922&lt;&gt;""),ROUND($H922*$M922,2),0)</f>
        <v/>
      </c>
      <c r="P922" s="10">
        <f>$N922+$O922</f>
        <v/>
      </c>
      <c r="Q922">
        <f>IFERROR(INDEX(спр_Работы!$J$2:$J$6000,MATCH($C922,спр_Работы!$A$2:$A$6000,0)),"")</f>
        <v/>
      </c>
      <c r="R922" t="inlineStr">
        <is>
          <t>да</t>
        </is>
      </c>
      <c r="T922">
        <f>IF(AND($P922&gt;0,$R922="да"),MAX($T$1:$T921)+1,"")</f>
        <v/>
      </c>
    </row>
    <row r="923">
      <c r="A923" s="11">
        <f>IFERROR(INDEX(спр_Работы!$D$2:$D$6000,MATCH($C923,спр_Работы!$A$2:$A$6000,0)),"")</f>
        <v/>
      </c>
      <c r="B923">
        <f>IFERROR(INDEX(спр_Работы!$F$2:$F$6000,MATCH($C923,спр_Работы!$A$2:$A$6000,0)),"")</f>
        <v/>
      </c>
      <c r="C923">
        <f>IFERROR(INDEX(спр_Работы!$A$2:$A$6000,922),"")</f>
        <v/>
      </c>
      <c r="D923" s="8">
        <f>IFERROR(INDEX(спр_Работы!$B$2:$B$6000,MATCH($C923,спр_Работы!$A$2:$A$6000,0)),"")</f>
        <v/>
      </c>
      <c r="E923">
        <f>IFERROR(INDEX(спр_Работы!$C$2:$C$6000,MATCH($C923,спр_Работы!$A$2:$A$6000,0)),"")</f>
        <v/>
      </c>
      <c r="F923">
        <f>IFERROR(INDEX(спр_Работы!$G$2:$G$6000,MATCH($C923,спр_Работы!$A$2:$A$6000,0)),"")</f>
        <v/>
      </c>
      <c r="G923">
        <f>IFERROR(INDEX(спр_Работы!$K$2:$K$6000,MATCH($C923,спр_Работы!$A$2:$A$6000,0)),"")</f>
        <v/>
      </c>
      <c r="H923" s="9" t="n"/>
      <c r="I923" s="9" t="n"/>
      <c r="J923" s="8">
        <f>IFERROR(INDEX(спр_Материалы!$B$2:$B$9000,MATCH($I923,спр_Материалы!$A$2:$A$9000,0)),"")</f>
        <v/>
      </c>
      <c r="K923">
        <f>IF($I923="","",IF($F923=IFERROR(INDEX(спр_Материалы!$G$2:$G$9000,MATCH($I923,спр_Материалы!$A$2:$A$9000,0)),""),"OK","!! не та группа"))</f>
        <v/>
      </c>
      <c r="L923" s="10">
        <f>IFERROR(INDEX(спр_Работы!$H$2:$H$6000,MATCH($C923,спр_Работы!$A$2:$A$6000,0))*(1-ДисконтТендер),0)</f>
        <v/>
      </c>
      <c r="M923" s="10">
        <f>IF($I923="",0,IFERROR(INDEX(спр_Материалы!$I$2:$I$9000,MATCH($I923,спр_Материалы!$A$2:$A$9000,0))*IF(INDEX(спр_Материалы!$J$2:$J$9000,MATCH($I923,спр_Материалы!$A$2:$A$9000,0))="USD",КурсUSD,IF(INDEX(спр_Материалы!$J$2:$J$9000,MATCH($I923,спр_Материалы!$A$2:$A$9000,0))="EUR",КурсEUR,1))*INDEX(спр_Материалы!$K$2:$K$9000,MATCH($I923,спр_Материалы!$A$2:$A$9000,0))*(1+IFERROR(INDEX(спр_Работы!$I$2:$I$6000,MATCH($C923,спр_Работы!$A$2:$A$6000,0))/100,0))*(1-ДисконтТендер),0))</f>
        <v/>
      </c>
      <c r="N923" s="10">
        <f>IF(AND($R923="да",$H923&lt;&gt;""),ROUND($H923*$L923,2),0)</f>
        <v/>
      </c>
      <c r="O923" s="10">
        <f>IF(AND($R923="да",$H923&lt;&gt;""),ROUND($H923*$M923,2),0)</f>
        <v/>
      </c>
      <c r="P923" s="10">
        <f>$N923+$O923</f>
        <v/>
      </c>
      <c r="Q923">
        <f>IFERROR(INDEX(спр_Работы!$J$2:$J$6000,MATCH($C923,спр_Работы!$A$2:$A$6000,0)),"")</f>
        <v/>
      </c>
      <c r="R923" t="inlineStr">
        <is>
          <t>да</t>
        </is>
      </c>
      <c r="T923">
        <f>IF(AND($P923&gt;0,$R923="да"),MAX($T$1:$T922)+1,"")</f>
        <v/>
      </c>
    </row>
    <row r="924">
      <c r="A924" s="11">
        <f>IFERROR(INDEX(спр_Работы!$D$2:$D$6000,MATCH($C924,спр_Работы!$A$2:$A$6000,0)),"")</f>
        <v/>
      </c>
      <c r="B924">
        <f>IFERROR(INDEX(спр_Работы!$F$2:$F$6000,MATCH($C924,спр_Работы!$A$2:$A$6000,0)),"")</f>
        <v/>
      </c>
      <c r="C924">
        <f>IFERROR(INDEX(спр_Работы!$A$2:$A$6000,923),"")</f>
        <v/>
      </c>
      <c r="D924" s="8">
        <f>IFERROR(INDEX(спр_Работы!$B$2:$B$6000,MATCH($C924,спр_Работы!$A$2:$A$6000,0)),"")</f>
        <v/>
      </c>
      <c r="E924">
        <f>IFERROR(INDEX(спр_Работы!$C$2:$C$6000,MATCH($C924,спр_Работы!$A$2:$A$6000,0)),"")</f>
        <v/>
      </c>
      <c r="F924">
        <f>IFERROR(INDEX(спр_Работы!$G$2:$G$6000,MATCH($C924,спр_Работы!$A$2:$A$6000,0)),"")</f>
        <v/>
      </c>
      <c r="G924">
        <f>IFERROR(INDEX(спр_Работы!$K$2:$K$6000,MATCH($C924,спр_Работы!$A$2:$A$6000,0)),"")</f>
        <v/>
      </c>
      <c r="H924" s="9" t="n"/>
      <c r="I924" s="9" t="n"/>
      <c r="J924" s="8">
        <f>IFERROR(INDEX(спр_Материалы!$B$2:$B$9000,MATCH($I924,спр_Материалы!$A$2:$A$9000,0)),"")</f>
        <v/>
      </c>
      <c r="K924">
        <f>IF($I924="","",IF($F924=IFERROR(INDEX(спр_Материалы!$G$2:$G$9000,MATCH($I924,спр_Материалы!$A$2:$A$9000,0)),""),"OK","!! не та группа"))</f>
        <v/>
      </c>
      <c r="L924" s="10">
        <f>IFERROR(INDEX(спр_Работы!$H$2:$H$6000,MATCH($C924,спр_Работы!$A$2:$A$6000,0))*(1-ДисконтТендер),0)</f>
        <v/>
      </c>
      <c r="M924" s="10">
        <f>IF($I924="",0,IFERROR(INDEX(спр_Материалы!$I$2:$I$9000,MATCH($I924,спр_Материалы!$A$2:$A$9000,0))*IF(INDEX(спр_Материалы!$J$2:$J$9000,MATCH($I924,спр_Материалы!$A$2:$A$9000,0))="USD",КурсUSD,IF(INDEX(спр_Материалы!$J$2:$J$9000,MATCH($I924,спр_Материалы!$A$2:$A$9000,0))="EUR",КурсEUR,1))*INDEX(спр_Материалы!$K$2:$K$9000,MATCH($I924,спр_Материалы!$A$2:$A$9000,0))*(1+IFERROR(INDEX(спр_Работы!$I$2:$I$6000,MATCH($C924,спр_Работы!$A$2:$A$6000,0))/100,0))*(1-ДисконтТендер),0))</f>
        <v/>
      </c>
      <c r="N924" s="10">
        <f>IF(AND($R924="да",$H924&lt;&gt;""),ROUND($H924*$L924,2),0)</f>
        <v/>
      </c>
      <c r="O924" s="10">
        <f>IF(AND($R924="да",$H924&lt;&gt;""),ROUND($H924*$M924,2),0)</f>
        <v/>
      </c>
      <c r="P924" s="10">
        <f>$N924+$O924</f>
        <v/>
      </c>
      <c r="Q924">
        <f>IFERROR(INDEX(спр_Работы!$J$2:$J$6000,MATCH($C924,спр_Работы!$A$2:$A$6000,0)),"")</f>
        <v/>
      </c>
      <c r="R924" t="inlineStr">
        <is>
          <t>да</t>
        </is>
      </c>
      <c r="T924">
        <f>IF(AND($P924&gt;0,$R924="да"),MAX($T$1:$T923)+1,"")</f>
        <v/>
      </c>
    </row>
    <row r="925">
      <c r="A925" s="11">
        <f>IFERROR(INDEX(спр_Работы!$D$2:$D$6000,MATCH($C925,спр_Работы!$A$2:$A$6000,0)),"")</f>
        <v/>
      </c>
      <c r="B925">
        <f>IFERROR(INDEX(спр_Работы!$F$2:$F$6000,MATCH($C925,спр_Работы!$A$2:$A$6000,0)),"")</f>
        <v/>
      </c>
      <c r="C925">
        <f>IFERROR(INDEX(спр_Работы!$A$2:$A$6000,924),"")</f>
        <v/>
      </c>
      <c r="D925" s="8">
        <f>IFERROR(INDEX(спр_Работы!$B$2:$B$6000,MATCH($C925,спр_Работы!$A$2:$A$6000,0)),"")</f>
        <v/>
      </c>
      <c r="E925">
        <f>IFERROR(INDEX(спр_Работы!$C$2:$C$6000,MATCH($C925,спр_Работы!$A$2:$A$6000,0)),"")</f>
        <v/>
      </c>
      <c r="F925">
        <f>IFERROR(INDEX(спр_Работы!$G$2:$G$6000,MATCH($C925,спр_Работы!$A$2:$A$6000,0)),"")</f>
        <v/>
      </c>
      <c r="G925">
        <f>IFERROR(INDEX(спр_Работы!$K$2:$K$6000,MATCH($C925,спр_Работы!$A$2:$A$6000,0)),"")</f>
        <v/>
      </c>
      <c r="H925" s="9" t="n"/>
      <c r="I925" s="9" t="n"/>
      <c r="J925" s="8">
        <f>IFERROR(INDEX(спр_Материалы!$B$2:$B$9000,MATCH($I925,спр_Материалы!$A$2:$A$9000,0)),"")</f>
        <v/>
      </c>
      <c r="K925">
        <f>IF($I925="","",IF($F925=IFERROR(INDEX(спр_Материалы!$G$2:$G$9000,MATCH($I925,спр_Материалы!$A$2:$A$9000,0)),""),"OK","!! не та группа"))</f>
        <v/>
      </c>
      <c r="L925" s="10">
        <f>IFERROR(INDEX(спр_Работы!$H$2:$H$6000,MATCH($C925,спр_Работы!$A$2:$A$6000,0))*(1-ДисконтТендер),0)</f>
        <v/>
      </c>
      <c r="M925" s="10">
        <f>IF($I925="",0,IFERROR(INDEX(спр_Материалы!$I$2:$I$9000,MATCH($I925,спр_Материалы!$A$2:$A$9000,0))*IF(INDEX(спр_Материалы!$J$2:$J$9000,MATCH($I925,спр_Материалы!$A$2:$A$9000,0))="USD",КурсUSD,IF(INDEX(спр_Материалы!$J$2:$J$9000,MATCH($I925,спр_Материалы!$A$2:$A$9000,0))="EUR",КурсEUR,1))*INDEX(спр_Материалы!$K$2:$K$9000,MATCH($I925,спр_Материалы!$A$2:$A$9000,0))*(1+IFERROR(INDEX(спр_Работы!$I$2:$I$6000,MATCH($C925,спр_Работы!$A$2:$A$6000,0))/100,0))*(1-ДисконтТендер),0))</f>
        <v/>
      </c>
      <c r="N925" s="10">
        <f>IF(AND($R925="да",$H925&lt;&gt;""),ROUND($H925*$L925,2),0)</f>
        <v/>
      </c>
      <c r="O925" s="10">
        <f>IF(AND($R925="да",$H925&lt;&gt;""),ROUND($H925*$M925,2),0)</f>
        <v/>
      </c>
      <c r="P925" s="10">
        <f>$N925+$O925</f>
        <v/>
      </c>
      <c r="Q925">
        <f>IFERROR(INDEX(спр_Работы!$J$2:$J$6000,MATCH($C925,спр_Работы!$A$2:$A$6000,0)),"")</f>
        <v/>
      </c>
      <c r="R925" t="inlineStr">
        <is>
          <t>да</t>
        </is>
      </c>
      <c r="T925">
        <f>IF(AND($P925&gt;0,$R925="да"),MAX($T$1:$T924)+1,"")</f>
        <v/>
      </c>
    </row>
    <row r="926">
      <c r="A926" s="11">
        <f>IFERROR(INDEX(спр_Работы!$D$2:$D$6000,MATCH($C926,спр_Работы!$A$2:$A$6000,0)),"")</f>
        <v/>
      </c>
      <c r="B926">
        <f>IFERROR(INDEX(спр_Работы!$F$2:$F$6000,MATCH($C926,спр_Работы!$A$2:$A$6000,0)),"")</f>
        <v/>
      </c>
      <c r="C926">
        <f>IFERROR(INDEX(спр_Работы!$A$2:$A$6000,925),"")</f>
        <v/>
      </c>
      <c r="D926" s="8">
        <f>IFERROR(INDEX(спр_Работы!$B$2:$B$6000,MATCH($C926,спр_Работы!$A$2:$A$6000,0)),"")</f>
        <v/>
      </c>
      <c r="E926">
        <f>IFERROR(INDEX(спр_Работы!$C$2:$C$6000,MATCH($C926,спр_Работы!$A$2:$A$6000,0)),"")</f>
        <v/>
      </c>
      <c r="F926">
        <f>IFERROR(INDEX(спр_Работы!$G$2:$G$6000,MATCH($C926,спр_Работы!$A$2:$A$6000,0)),"")</f>
        <v/>
      </c>
      <c r="G926">
        <f>IFERROR(INDEX(спр_Работы!$K$2:$K$6000,MATCH($C926,спр_Работы!$A$2:$A$6000,0)),"")</f>
        <v/>
      </c>
      <c r="H926" s="9" t="n"/>
      <c r="I926" s="9" t="n"/>
      <c r="J926" s="8">
        <f>IFERROR(INDEX(спр_Материалы!$B$2:$B$9000,MATCH($I926,спр_Материалы!$A$2:$A$9000,0)),"")</f>
        <v/>
      </c>
      <c r="K926">
        <f>IF($I926="","",IF($F926=IFERROR(INDEX(спр_Материалы!$G$2:$G$9000,MATCH($I926,спр_Материалы!$A$2:$A$9000,0)),""),"OK","!! не та группа"))</f>
        <v/>
      </c>
      <c r="L926" s="10">
        <f>IFERROR(INDEX(спр_Работы!$H$2:$H$6000,MATCH($C926,спр_Работы!$A$2:$A$6000,0))*(1-ДисконтТендер),0)</f>
        <v/>
      </c>
      <c r="M926" s="10">
        <f>IF($I926="",0,IFERROR(INDEX(спр_Материалы!$I$2:$I$9000,MATCH($I926,спр_Материалы!$A$2:$A$9000,0))*IF(INDEX(спр_Материалы!$J$2:$J$9000,MATCH($I926,спр_Материалы!$A$2:$A$9000,0))="USD",КурсUSD,IF(INDEX(спр_Материалы!$J$2:$J$9000,MATCH($I926,спр_Материалы!$A$2:$A$9000,0))="EUR",КурсEUR,1))*INDEX(спр_Материалы!$K$2:$K$9000,MATCH($I926,спр_Материалы!$A$2:$A$9000,0))*(1+IFERROR(INDEX(спр_Работы!$I$2:$I$6000,MATCH($C926,спр_Работы!$A$2:$A$6000,0))/100,0))*(1-ДисконтТендер),0))</f>
        <v/>
      </c>
      <c r="N926" s="10">
        <f>IF(AND($R926="да",$H926&lt;&gt;""),ROUND($H926*$L926,2),0)</f>
        <v/>
      </c>
      <c r="O926" s="10">
        <f>IF(AND($R926="да",$H926&lt;&gt;""),ROUND($H926*$M926,2),0)</f>
        <v/>
      </c>
      <c r="P926" s="10">
        <f>$N926+$O926</f>
        <v/>
      </c>
      <c r="Q926">
        <f>IFERROR(INDEX(спр_Работы!$J$2:$J$6000,MATCH($C926,спр_Работы!$A$2:$A$6000,0)),"")</f>
        <v/>
      </c>
      <c r="R926" t="inlineStr">
        <is>
          <t>да</t>
        </is>
      </c>
      <c r="T926">
        <f>IF(AND($P926&gt;0,$R926="да"),MAX($T$1:$T925)+1,"")</f>
        <v/>
      </c>
    </row>
    <row r="927">
      <c r="A927" s="11">
        <f>IFERROR(INDEX(спр_Работы!$D$2:$D$6000,MATCH($C927,спр_Работы!$A$2:$A$6000,0)),"")</f>
        <v/>
      </c>
      <c r="B927">
        <f>IFERROR(INDEX(спр_Работы!$F$2:$F$6000,MATCH($C927,спр_Работы!$A$2:$A$6000,0)),"")</f>
        <v/>
      </c>
      <c r="C927">
        <f>IFERROR(INDEX(спр_Работы!$A$2:$A$6000,926),"")</f>
        <v/>
      </c>
      <c r="D927" s="8">
        <f>IFERROR(INDEX(спр_Работы!$B$2:$B$6000,MATCH($C927,спр_Работы!$A$2:$A$6000,0)),"")</f>
        <v/>
      </c>
      <c r="E927">
        <f>IFERROR(INDEX(спр_Работы!$C$2:$C$6000,MATCH($C927,спр_Работы!$A$2:$A$6000,0)),"")</f>
        <v/>
      </c>
      <c r="F927">
        <f>IFERROR(INDEX(спр_Работы!$G$2:$G$6000,MATCH($C927,спр_Работы!$A$2:$A$6000,0)),"")</f>
        <v/>
      </c>
      <c r="G927">
        <f>IFERROR(INDEX(спр_Работы!$K$2:$K$6000,MATCH($C927,спр_Работы!$A$2:$A$6000,0)),"")</f>
        <v/>
      </c>
      <c r="H927" s="9" t="n"/>
      <c r="I927" s="9" t="n"/>
      <c r="J927" s="8">
        <f>IFERROR(INDEX(спр_Материалы!$B$2:$B$9000,MATCH($I927,спр_Материалы!$A$2:$A$9000,0)),"")</f>
        <v/>
      </c>
      <c r="K927">
        <f>IF($I927="","",IF($F927=IFERROR(INDEX(спр_Материалы!$G$2:$G$9000,MATCH($I927,спр_Материалы!$A$2:$A$9000,0)),""),"OK","!! не та группа"))</f>
        <v/>
      </c>
      <c r="L927" s="10">
        <f>IFERROR(INDEX(спр_Работы!$H$2:$H$6000,MATCH($C927,спр_Работы!$A$2:$A$6000,0))*(1-ДисконтТендер),0)</f>
        <v/>
      </c>
      <c r="M927" s="10">
        <f>IF($I927="",0,IFERROR(INDEX(спр_Материалы!$I$2:$I$9000,MATCH($I927,спр_Материалы!$A$2:$A$9000,0))*IF(INDEX(спр_Материалы!$J$2:$J$9000,MATCH($I927,спр_Материалы!$A$2:$A$9000,0))="USD",КурсUSD,IF(INDEX(спр_Материалы!$J$2:$J$9000,MATCH($I927,спр_Материалы!$A$2:$A$9000,0))="EUR",КурсEUR,1))*INDEX(спр_Материалы!$K$2:$K$9000,MATCH($I927,спр_Материалы!$A$2:$A$9000,0))*(1+IFERROR(INDEX(спр_Работы!$I$2:$I$6000,MATCH($C927,спр_Работы!$A$2:$A$6000,0))/100,0))*(1-ДисконтТендер),0))</f>
        <v/>
      </c>
      <c r="N927" s="10">
        <f>IF(AND($R927="да",$H927&lt;&gt;""),ROUND($H927*$L927,2),0)</f>
        <v/>
      </c>
      <c r="O927" s="10">
        <f>IF(AND($R927="да",$H927&lt;&gt;""),ROUND($H927*$M927,2),0)</f>
        <v/>
      </c>
      <c r="P927" s="10">
        <f>$N927+$O927</f>
        <v/>
      </c>
      <c r="Q927">
        <f>IFERROR(INDEX(спр_Работы!$J$2:$J$6000,MATCH($C927,спр_Работы!$A$2:$A$6000,0)),"")</f>
        <v/>
      </c>
      <c r="R927" t="inlineStr">
        <is>
          <t>да</t>
        </is>
      </c>
      <c r="T927">
        <f>IF(AND($P927&gt;0,$R927="да"),MAX($T$1:$T926)+1,"")</f>
        <v/>
      </c>
    </row>
    <row r="928">
      <c r="A928" s="11">
        <f>IFERROR(INDEX(спр_Работы!$D$2:$D$6000,MATCH($C928,спр_Работы!$A$2:$A$6000,0)),"")</f>
        <v/>
      </c>
      <c r="B928">
        <f>IFERROR(INDEX(спр_Работы!$F$2:$F$6000,MATCH($C928,спр_Работы!$A$2:$A$6000,0)),"")</f>
        <v/>
      </c>
      <c r="C928">
        <f>IFERROR(INDEX(спр_Работы!$A$2:$A$6000,927),"")</f>
        <v/>
      </c>
      <c r="D928" s="8">
        <f>IFERROR(INDEX(спр_Работы!$B$2:$B$6000,MATCH($C928,спр_Работы!$A$2:$A$6000,0)),"")</f>
        <v/>
      </c>
      <c r="E928">
        <f>IFERROR(INDEX(спр_Работы!$C$2:$C$6000,MATCH($C928,спр_Работы!$A$2:$A$6000,0)),"")</f>
        <v/>
      </c>
      <c r="F928">
        <f>IFERROR(INDEX(спр_Работы!$G$2:$G$6000,MATCH($C928,спр_Работы!$A$2:$A$6000,0)),"")</f>
        <v/>
      </c>
      <c r="G928">
        <f>IFERROR(INDEX(спр_Работы!$K$2:$K$6000,MATCH($C928,спр_Работы!$A$2:$A$6000,0)),"")</f>
        <v/>
      </c>
      <c r="H928" s="9" t="n"/>
      <c r="I928" s="9" t="n"/>
      <c r="J928" s="8">
        <f>IFERROR(INDEX(спр_Материалы!$B$2:$B$9000,MATCH($I928,спр_Материалы!$A$2:$A$9000,0)),"")</f>
        <v/>
      </c>
      <c r="K928">
        <f>IF($I928="","",IF($F928=IFERROR(INDEX(спр_Материалы!$G$2:$G$9000,MATCH($I928,спр_Материалы!$A$2:$A$9000,0)),""),"OK","!! не та группа"))</f>
        <v/>
      </c>
      <c r="L928" s="10">
        <f>IFERROR(INDEX(спр_Работы!$H$2:$H$6000,MATCH($C928,спр_Работы!$A$2:$A$6000,0))*(1-ДисконтТендер),0)</f>
        <v/>
      </c>
      <c r="M928" s="10">
        <f>IF($I928="",0,IFERROR(INDEX(спр_Материалы!$I$2:$I$9000,MATCH($I928,спр_Материалы!$A$2:$A$9000,0))*IF(INDEX(спр_Материалы!$J$2:$J$9000,MATCH($I928,спр_Материалы!$A$2:$A$9000,0))="USD",КурсUSD,IF(INDEX(спр_Материалы!$J$2:$J$9000,MATCH($I928,спр_Материалы!$A$2:$A$9000,0))="EUR",КурсEUR,1))*INDEX(спр_Материалы!$K$2:$K$9000,MATCH($I928,спр_Материалы!$A$2:$A$9000,0))*(1+IFERROR(INDEX(спр_Работы!$I$2:$I$6000,MATCH($C928,спр_Работы!$A$2:$A$6000,0))/100,0))*(1-ДисконтТендер),0))</f>
        <v/>
      </c>
      <c r="N928" s="10">
        <f>IF(AND($R928="да",$H928&lt;&gt;""),ROUND($H928*$L928,2),0)</f>
        <v/>
      </c>
      <c r="O928" s="10">
        <f>IF(AND($R928="да",$H928&lt;&gt;""),ROUND($H928*$M928,2),0)</f>
        <v/>
      </c>
      <c r="P928" s="10">
        <f>$N928+$O928</f>
        <v/>
      </c>
      <c r="Q928">
        <f>IFERROR(INDEX(спр_Работы!$J$2:$J$6000,MATCH($C928,спр_Работы!$A$2:$A$6000,0)),"")</f>
        <v/>
      </c>
      <c r="R928" t="inlineStr">
        <is>
          <t>да</t>
        </is>
      </c>
      <c r="T928">
        <f>IF(AND($P928&gt;0,$R928="да"),MAX($T$1:$T927)+1,"")</f>
        <v/>
      </c>
    </row>
    <row r="929">
      <c r="A929" s="11">
        <f>IFERROR(INDEX(спр_Работы!$D$2:$D$6000,MATCH($C929,спр_Работы!$A$2:$A$6000,0)),"")</f>
        <v/>
      </c>
      <c r="B929">
        <f>IFERROR(INDEX(спр_Работы!$F$2:$F$6000,MATCH($C929,спр_Работы!$A$2:$A$6000,0)),"")</f>
        <v/>
      </c>
      <c r="C929">
        <f>IFERROR(INDEX(спр_Работы!$A$2:$A$6000,928),"")</f>
        <v/>
      </c>
      <c r="D929" s="8">
        <f>IFERROR(INDEX(спр_Работы!$B$2:$B$6000,MATCH($C929,спр_Работы!$A$2:$A$6000,0)),"")</f>
        <v/>
      </c>
      <c r="E929">
        <f>IFERROR(INDEX(спр_Работы!$C$2:$C$6000,MATCH($C929,спр_Работы!$A$2:$A$6000,0)),"")</f>
        <v/>
      </c>
      <c r="F929">
        <f>IFERROR(INDEX(спр_Работы!$G$2:$G$6000,MATCH($C929,спр_Работы!$A$2:$A$6000,0)),"")</f>
        <v/>
      </c>
      <c r="G929">
        <f>IFERROR(INDEX(спр_Работы!$K$2:$K$6000,MATCH($C929,спр_Работы!$A$2:$A$6000,0)),"")</f>
        <v/>
      </c>
      <c r="H929" s="9" t="n"/>
      <c r="I929" s="9" t="n"/>
      <c r="J929" s="8">
        <f>IFERROR(INDEX(спр_Материалы!$B$2:$B$9000,MATCH($I929,спр_Материалы!$A$2:$A$9000,0)),"")</f>
        <v/>
      </c>
      <c r="K929">
        <f>IF($I929="","",IF($F929=IFERROR(INDEX(спр_Материалы!$G$2:$G$9000,MATCH($I929,спр_Материалы!$A$2:$A$9000,0)),""),"OK","!! не та группа"))</f>
        <v/>
      </c>
      <c r="L929" s="10">
        <f>IFERROR(INDEX(спр_Работы!$H$2:$H$6000,MATCH($C929,спр_Работы!$A$2:$A$6000,0))*(1-ДисконтТендер),0)</f>
        <v/>
      </c>
      <c r="M929" s="10">
        <f>IF($I929="",0,IFERROR(INDEX(спр_Материалы!$I$2:$I$9000,MATCH($I929,спр_Материалы!$A$2:$A$9000,0))*IF(INDEX(спр_Материалы!$J$2:$J$9000,MATCH($I929,спр_Материалы!$A$2:$A$9000,0))="USD",КурсUSD,IF(INDEX(спр_Материалы!$J$2:$J$9000,MATCH($I929,спр_Материалы!$A$2:$A$9000,0))="EUR",КурсEUR,1))*INDEX(спр_Материалы!$K$2:$K$9000,MATCH($I929,спр_Материалы!$A$2:$A$9000,0))*(1+IFERROR(INDEX(спр_Работы!$I$2:$I$6000,MATCH($C929,спр_Работы!$A$2:$A$6000,0))/100,0))*(1-ДисконтТендер),0))</f>
        <v/>
      </c>
      <c r="N929" s="10">
        <f>IF(AND($R929="да",$H929&lt;&gt;""),ROUND($H929*$L929,2),0)</f>
        <v/>
      </c>
      <c r="O929" s="10">
        <f>IF(AND($R929="да",$H929&lt;&gt;""),ROUND($H929*$M929,2),0)</f>
        <v/>
      </c>
      <c r="P929" s="10">
        <f>$N929+$O929</f>
        <v/>
      </c>
      <c r="Q929">
        <f>IFERROR(INDEX(спр_Работы!$J$2:$J$6000,MATCH($C929,спр_Работы!$A$2:$A$6000,0)),"")</f>
        <v/>
      </c>
      <c r="R929" t="inlineStr">
        <is>
          <t>да</t>
        </is>
      </c>
      <c r="T929">
        <f>IF(AND($P929&gt;0,$R929="да"),MAX($T$1:$T928)+1,"")</f>
        <v/>
      </c>
    </row>
    <row r="930">
      <c r="A930" s="11">
        <f>IFERROR(INDEX(спр_Работы!$D$2:$D$6000,MATCH($C930,спр_Работы!$A$2:$A$6000,0)),"")</f>
        <v/>
      </c>
      <c r="B930">
        <f>IFERROR(INDEX(спр_Работы!$F$2:$F$6000,MATCH($C930,спр_Работы!$A$2:$A$6000,0)),"")</f>
        <v/>
      </c>
      <c r="C930">
        <f>IFERROR(INDEX(спр_Работы!$A$2:$A$6000,929),"")</f>
        <v/>
      </c>
      <c r="D930" s="8">
        <f>IFERROR(INDEX(спр_Работы!$B$2:$B$6000,MATCH($C930,спр_Работы!$A$2:$A$6000,0)),"")</f>
        <v/>
      </c>
      <c r="E930">
        <f>IFERROR(INDEX(спр_Работы!$C$2:$C$6000,MATCH($C930,спр_Работы!$A$2:$A$6000,0)),"")</f>
        <v/>
      </c>
      <c r="F930">
        <f>IFERROR(INDEX(спр_Работы!$G$2:$G$6000,MATCH($C930,спр_Работы!$A$2:$A$6000,0)),"")</f>
        <v/>
      </c>
      <c r="G930">
        <f>IFERROR(INDEX(спр_Работы!$K$2:$K$6000,MATCH($C930,спр_Работы!$A$2:$A$6000,0)),"")</f>
        <v/>
      </c>
      <c r="H930" s="9" t="n"/>
      <c r="I930" s="9" t="n"/>
      <c r="J930" s="8">
        <f>IFERROR(INDEX(спр_Материалы!$B$2:$B$9000,MATCH($I930,спр_Материалы!$A$2:$A$9000,0)),"")</f>
        <v/>
      </c>
      <c r="K930">
        <f>IF($I930="","",IF($F930=IFERROR(INDEX(спр_Материалы!$G$2:$G$9000,MATCH($I930,спр_Материалы!$A$2:$A$9000,0)),""),"OK","!! не та группа"))</f>
        <v/>
      </c>
      <c r="L930" s="10">
        <f>IFERROR(INDEX(спр_Работы!$H$2:$H$6000,MATCH($C930,спр_Работы!$A$2:$A$6000,0))*(1-ДисконтТендер),0)</f>
        <v/>
      </c>
      <c r="M930" s="10">
        <f>IF($I930="",0,IFERROR(INDEX(спр_Материалы!$I$2:$I$9000,MATCH($I930,спр_Материалы!$A$2:$A$9000,0))*IF(INDEX(спр_Материалы!$J$2:$J$9000,MATCH($I930,спр_Материалы!$A$2:$A$9000,0))="USD",КурсUSD,IF(INDEX(спр_Материалы!$J$2:$J$9000,MATCH($I930,спр_Материалы!$A$2:$A$9000,0))="EUR",КурсEUR,1))*INDEX(спр_Материалы!$K$2:$K$9000,MATCH($I930,спр_Материалы!$A$2:$A$9000,0))*(1+IFERROR(INDEX(спр_Работы!$I$2:$I$6000,MATCH($C930,спр_Работы!$A$2:$A$6000,0))/100,0))*(1-ДисконтТендер),0))</f>
        <v/>
      </c>
      <c r="N930" s="10">
        <f>IF(AND($R930="да",$H930&lt;&gt;""),ROUND($H930*$L930,2),0)</f>
        <v/>
      </c>
      <c r="O930" s="10">
        <f>IF(AND($R930="да",$H930&lt;&gt;""),ROUND($H930*$M930,2),0)</f>
        <v/>
      </c>
      <c r="P930" s="10">
        <f>$N930+$O930</f>
        <v/>
      </c>
      <c r="Q930">
        <f>IFERROR(INDEX(спр_Работы!$J$2:$J$6000,MATCH($C930,спр_Работы!$A$2:$A$6000,0)),"")</f>
        <v/>
      </c>
      <c r="R930" t="inlineStr">
        <is>
          <t>да</t>
        </is>
      </c>
      <c r="T930">
        <f>IF(AND($P930&gt;0,$R930="да"),MAX($T$1:$T929)+1,"")</f>
        <v/>
      </c>
    </row>
    <row r="931">
      <c r="A931" s="11">
        <f>IFERROR(INDEX(спр_Работы!$D$2:$D$6000,MATCH($C931,спр_Работы!$A$2:$A$6000,0)),"")</f>
        <v/>
      </c>
      <c r="B931">
        <f>IFERROR(INDEX(спр_Работы!$F$2:$F$6000,MATCH($C931,спр_Работы!$A$2:$A$6000,0)),"")</f>
        <v/>
      </c>
      <c r="C931">
        <f>IFERROR(INDEX(спр_Работы!$A$2:$A$6000,930),"")</f>
        <v/>
      </c>
      <c r="D931" s="8">
        <f>IFERROR(INDEX(спр_Работы!$B$2:$B$6000,MATCH($C931,спр_Работы!$A$2:$A$6000,0)),"")</f>
        <v/>
      </c>
      <c r="E931">
        <f>IFERROR(INDEX(спр_Работы!$C$2:$C$6000,MATCH($C931,спр_Работы!$A$2:$A$6000,0)),"")</f>
        <v/>
      </c>
      <c r="F931">
        <f>IFERROR(INDEX(спр_Работы!$G$2:$G$6000,MATCH($C931,спр_Работы!$A$2:$A$6000,0)),"")</f>
        <v/>
      </c>
      <c r="G931">
        <f>IFERROR(INDEX(спр_Работы!$K$2:$K$6000,MATCH($C931,спр_Работы!$A$2:$A$6000,0)),"")</f>
        <v/>
      </c>
      <c r="H931" s="9" t="n"/>
      <c r="I931" s="9" t="n"/>
      <c r="J931" s="8">
        <f>IFERROR(INDEX(спр_Материалы!$B$2:$B$9000,MATCH($I931,спр_Материалы!$A$2:$A$9000,0)),"")</f>
        <v/>
      </c>
      <c r="K931">
        <f>IF($I931="","",IF($F931=IFERROR(INDEX(спр_Материалы!$G$2:$G$9000,MATCH($I931,спр_Материалы!$A$2:$A$9000,0)),""),"OK","!! не та группа"))</f>
        <v/>
      </c>
      <c r="L931" s="10">
        <f>IFERROR(INDEX(спр_Работы!$H$2:$H$6000,MATCH($C931,спр_Работы!$A$2:$A$6000,0))*(1-ДисконтТендер),0)</f>
        <v/>
      </c>
      <c r="M931" s="10">
        <f>IF($I931="",0,IFERROR(INDEX(спр_Материалы!$I$2:$I$9000,MATCH($I931,спр_Материалы!$A$2:$A$9000,0))*IF(INDEX(спр_Материалы!$J$2:$J$9000,MATCH($I931,спр_Материалы!$A$2:$A$9000,0))="USD",КурсUSD,IF(INDEX(спр_Материалы!$J$2:$J$9000,MATCH($I931,спр_Материалы!$A$2:$A$9000,0))="EUR",КурсEUR,1))*INDEX(спр_Материалы!$K$2:$K$9000,MATCH($I931,спр_Материалы!$A$2:$A$9000,0))*(1+IFERROR(INDEX(спр_Работы!$I$2:$I$6000,MATCH($C931,спр_Работы!$A$2:$A$6000,0))/100,0))*(1-ДисконтТендер),0))</f>
        <v/>
      </c>
      <c r="N931" s="10">
        <f>IF(AND($R931="да",$H931&lt;&gt;""),ROUND($H931*$L931,2),0)</f>
        <v/>
      </c>
      <c r="O931" s="10">
        <f>IF(AND($R931="да",$H931&lt;&gt;""),ROUND($H931*$M931,2),0)</f>
        <v/>
      </c>
      <c r="P931" s="10">
        <f>$N931+$O931</f>
        <v/>
      </c>
      <c r="Q931">
        <f>IFERROR(INDEX(спр_Работы!$J$2:$J$6000,MATCH($C931,спр_Работы!$A$2:$A$6000,0)),"")</f>
        <v/>
      </c>
      <c r="R931" t="inlineStr">
        <is>
          <t>да</t>
        </is>
      </c>
      <c r="T931">
        <f>IF(AND($P931&gt;0,$R931="да"),MAX($T$1:$T930)+1,"")</f>
        <v/>
      </c>
    </row>
    <row r="932">
      <c r="A932" s="11">
        <f>IFERROR(INDEX(спр_Работы!$D$2:$D$6000,MATCH($C932,спр_Работы!$A$2:$A$6000,0)),"")</f>
        <v/>
      </c>
      <c r="B932">
        <f>IFERROR(INDEX(спр_Работы!$F$2:$F$6000,MATCH($C932,спр_Работы!$A$2:$A$6000,0)),"")</f>
        <v/>
      </c>
      <c r="C932">
        <f>IFERROR(INDEX(спр_Работы!$A$2:$A$6000,931),"")</f>
        <v/>
      </c>
      <c r="D932" s="8">
        <f>IFERROR(INDEX(спр_Работы!$B$2:$B$6000,MATCH($C932,спр_Работы!$A$2:$A$6000,0)),"")</f>
        <v/>
      </c>
      <c r="E932">
        <f>IFERROR(INDEX(спр_Работы!$C$2:$C$6000,MATCH($C932,спр_Работы!$A$2:$A$6000,0)),"")</f>
        <v/>
      </c>
      <c r="F932">
        <f>IFERROR(INDEX(спр_Работы!$G$2:$G$6000,MATCH($C932,спр_Работы!$A$2:$A$6000,0)),"")</f>
        <v/>
      </c>
      <c r="G932">
        <f>IFERROR(INDEX(спр_Работы!$K$2:$K$6000,MATCH($C932,спр_Работы!$A$2:$A$6000,0)),"")</f>
        <v/>
      </c>
      <c r="H932" s="9" t="n"/>
      <c r="I932" s="9" t="n"/>
      <c r="J932" s="8">
        <f>IFERROR(INDEX(спр_Материалы!$B$2:$B$9000,MATCH($I932,спр_Материалы!$A$2:$A$9000,0)),"")</f>
        <v/>
      </c>
      <c r="K932">
        <f>IF($I932="","",IF($F932=IFERROR(INDEX(спр_Материалы!$G$2:$G$9000,MATCH($I932,спр_Материалы!$A$2:$A$9000,0)),""),"OK","!! не та группа"))</f>
        <v/>
      </c>
      <c r="L932" s="10">
        <f>IFERROR(INDEX(спр_Работы!$H$2:$H$6000,MATCH($C932,спр_Работы!$A$2:$A$6000,0))*(1-ДисконтТендер),0)</f>
        <v/>
      </c>
      <c r="M932" s="10">
        <f>IF($I932="",0,IFERROR(INDEX(спр_Материалы!$I$2:$I$9000,MATCH($I932,спр_Материалы!$A$2:$A$9000,0))*IF(INDEX(спр_Материалы!$J$2:$J$9000,MATCH($I932,спр_Материалы!$A$2:$A$9000,0))="USD",КурсUSD,IF(INDEX(спр_Материалы!$J$2:$J$9000,MATCH($I932,спр_Материалы!$A$2:$A$9000,0))="EUR",КурсEUR,1))*INDEX(спр_Материалы!$K$2:$K$9000,MATCH($I932,спр_Материалы!$A$2:$A$9000,0))*(1+IFERROR(INDEX(спр_Работы!$I$2:$I$6000,MATCH($C932,спр_Работы!$A$2:$A$6000,0))/100,0))*(1-ДисконтТендер),0))</f>
        <v/>
      </c>
      <c r="N932" s="10">
        <f>IF(AND($R932="да",$H932&lt;&gt;""),ROUND($H932*$L932,2),0)</f>
        <v/>
      </c>
      <c r="O932" s="10">
        <f>IF(AND($R932="да",$H932&lt;&gt;""),ROUND($H932*$M932,2),0)</f>
        <v/>
      </c>
      <c r="P932" s="10">
        <f>$N932+$O932</f>
        <v/>
      </c>
      <c r="Q932">
        <f>IFERROR(INDEX(спр_Работы!$J$2:$J$6000,MATCH($C932,спр_Работы!$A$2:$A$6000,0)),"")</f>
        <v/>
      </c>
      <c r="R932" t="inlineStr">
        <is>
          <t>да</t>
        </is>
      </c>
      <c r="T932">
        <f>IF(AND($P932&gt;0,$R932="да"),MAX($T$1:$T931)+1,"")</f>
        <v/>
      </c>
    </row>
    <row r="933">
      <c r="A933" s="11">
        <f>IFERROR(INDEX(спр_Работы!$D$2:$D$6000,MATCH($C933,спр_Работы!$A$2:$A$6000,0)),"")</f>
        <v/>
      </c>
      <c r="B933">
        <f>IFERROR(INDEX(спр_Работы!$F$2:$F$6000,MATCH($C933,спр_Работы!$A$2:$A$6000,0)),"")</f>
        <v/>
      </c>
      <c r="C933">
        <f>IFERROR(INDEX(спр_Работы!$A$2:$A$6000,932),"")</f>
        <v/>
      </c>
      <c r="D933" s="8">
        <f>IFERROR(INDEX(спр_Работы!$B$2:$B$6000,MATCH($C933,спр_Работы!$A$2:$A$6000,0)),"")</f>
        <v/>
      </c>
      <c r="E933">
        <f>IFERROR(INDEX(спр_Работы!$C$2:$C$6000,MATCH($C933,спр_Работы!$A$2:$A$6000,0)),"")</f>
        <v/>
      </c>
      <c r="F933">
        <f>IFERROR(INDEX(спр_Работы!$G$2:$G$6000,MATCH($C933,спр_Работы!$A$2:$A$6000,0)),"")</f>
        <v/>
      </c>
      <c r="G933">
        <f>IFERROR(INDEX(спр_Работы!$K$2:$K$6000,MATCH($C933,спр_Работы!$A$2:$A$6000,0)),"")</f>
        <v/>
      </c>
      <c r="H933" s="9" t="n"/>
      <c r="I933" s="9" t="n"/>
      <c r="J933" s="8">
        <f>IFERROR(INDEX(спр_Материалы!$B$2:$B$9000,MATCH($I933,спр_Материалы!$A$2:$A$9000,0)),"")</f>
        <v/>
      </c>
      <c r="K933">
        <f>IF($I933="","",IF($F933=IFERROR(INDEX(спр_Материалы!$G$2:$G$9000,MATCH($I933,спр_Материалы!$A$2:$A$9000,0)),""),"OK","!! не та группа"))</f>
        <v/>
      </c>
      <c r="L933" s="10">
        <f>IFERROR(INDEX(спр_Работы!$H$2:$H$6000,MATCH($C933,спр_Работы!$A$2:$A$6000,0))*(1-ДисконтТендер),0)</f>
        <v/>
      </c>
      <c r="M933" s="10">
        <f>IF($I933="",0,IFERROR(INDEX(спр_Материалы!$I$2:$I$9000,MATCH($I933,спр_Материалы!$A$2:$A$9000,0))*IF(INDEX(спр_Материалы!$J$2:$J$9000,MATCH($I933,спр_Материалы!$A$2:$A$9000,0))="USD",КурсUSD,IF(INDEX(спр_Материалы!$J$2:$J$9000,MATCH($I933,спр_Материалы!$A$2:$A$9000,0))="EUR",КурсEUR,1))*INDEX(спр_Материалы!$K$2:$K$9000,MATCH($I933,спр_Материалы!$A$2:$A$9000,0))*(1+IFERROR(INDEX(спр_Работы!$I$2:$I$6000,MATCH($C933,спр_Работы!$A$2:$A$6000,0))/100,0))*(1-ДисконтТендер),0))</f>
        <v/>
      </c>
      <c r="N933" s="10">
        <f>IF(AND($R933="да",$H933&lt;&gt;""),ROUND($H933*$L933,2),0)</f>
        <v/>
      </c>
      <c r="O933" s="10">
        <f>IF(AND($R933="да",$H933&lt;&gt;""),ROUND($H933*$M933,2),0)</f>
        <v/>
      </c>
      <c r="P933" s="10">
        <f>$N933+$O933</f>
        <v/>
      </c>
      <c r="Q933">
        <f>IFERROR(INDEX(спр_Работы!$J$2:$J$6000,MATCH($C933,спр_Работы!$A$2:$A$6000,0)),"")</f>
        <v/>
      </c>
      <c r="R933" t="inlineStr">
        <is>
          <t>да</t>
        </is>
      </c>
      <c r="T933">
        <f>IF(AND($P933&gt;0,$R933="да"),MAX($T$1:$T932)+1,"")</f>
        <v/>
      </c>
    </row>
    <row r="934">
      <c r="A934" s="11">
        <f>IFERROR(INDEX(спр_Работы!$D$2:$D$6000,MATCH($C934,спр_Работы!$A$2:$A$6000,0)),"")</f>
        <v/>
      </c>
      <c r="B934">
        <f>IFERROR(INDEX(спр_Работы!$F$2:$F$6000,MATCH($C934,спр_Работы!$A$2:$A$6000,0)),"")</f>
        <v/>
      </c>
      <c r="C934">
        <f>IFERROR(INDEX(спр_Работы!$A$2:$A$6000,933),"")</f>
        <v/>
      </c>
      <c r="D934" s="8">
        <f>IFERROR(INDEX(спр_Работы!$B$2:$B$6000,MATCH($C934,спр_Работы!$A$2:$A$6000,0)),"")</f>
        <v/>
      </c>
      <c r="E934">
        <f>IFERROR(INDEX(спр_Работы!$C$2:$C$6000,MATCH($C934,спр_Работы!$A$2:$A$6000,0)),"")</f>
        <v/>
      </c>
      <c r="F934">
        <f>IFERROR(INDEX(спр_Работы!$G$2:$G$6000,MATCH($C934,спр_Работы!$A$2:$A$6000,0)),"")</f>
        <v/>
      </c>
      <c r="G934">
        <f>IFERROR(INDEX(спр_Работы!$K$2:$K$6000,MATCH($C934,спр_Работы!$A$2:$A$6000,0)),"")</f>
        <v/>
      </c>
      <c r="H934" s="9" t="n"/>
      <c r="I934" s="9" t="n"/>
      <c r="J934" s="8">
        <f>IFERROR(INDEX(спр_Материалы!$B$2:$B$9000,MATCH($I934,спр_Материалы!$A$2:$A$9000,0)),"")</f>
        <v/>
      </c>
      <c r="K934">
        <f>IF($I934="","",IF($F934=IFERROR(INDEX(спр_Материалы!$G$2:$G$9000,MATCH($I934,спр_Материалы!$A$2:$A$9000,0)),""),"OK","!! не та группа"))</f>
        <v/>
      </c>
      <c r="L934" s="10">
        <f>IFERROR(INDEX(спр_Работы!$H$2:$H$6000,MATCH($C934,спр_Работы!$A$2:$A$6000,0))*(1-ДисконтТендер),0)</f>
        <v/>
      </c>
      <c r="M934" s="10">
        <f>IF($I934="",0,IFERROR(INDEX(спр_Материалы!$I$2:$I$9000,MATCH($I934,спр_Материалы!$A$2:$A$9000,0))*IF(INDEX(спр_Материалы!$J$2:$J$9000,MATCH($I934,спр_Материалы!$A$2:$A$9000,0))="USD",КурсUSD,IF(INDEX(спр_Материалы!$J$2:$J$9000,MATCH($I934,спр_Материалы!$A$2:$A$9000,0))="EUR",КурсEUR,1))*INDEX(спр_Материалы!$K$2:$K$9000,MATCH($I934,спр_Материалы!$A$2:$A$9000,0))*(1+IFERROR(INDEX(спр_Работы!$I$2:$I$6000,MATCH($C934,спр_Работы!$A$2:$A$6000,0))/100,0))*(1-ДисконтТендер),0))</f>
        <v/>
      </c>
      <c r="N934" s="10">
        <f>IF(AND($R934="да",$H934&lt;&gt;""),ROUND($H934*$L934,2),0)</f>
        <v/>
      </c>
      <c r="O934" s="10">
        <f>IF(AND($R934="да",$H934&lt;&gt;""),ROUND($H934*$M934,2),0)</f>
        <v/>
      </c>
      <c r="P934" s="10">
        <f>$N934+$O934</f>
        <v/>
      </c>
      <c r="Q934">
        <f>IFERROR(INDEX(спр_Работы!$J$2:$J$6000,MATCH($C934,спр_Работы!$A$2:$A$6000,0)),"")</f>
        <v/>
      </c>
      <c r="R934" t="inlineStr">
        <is>
          <t>да</t>
        </is>
      </c>
      <c r="T934">
        <f>IF(AND($P934&gt;0,$R934="да"),MAX($T$1:$T933)+1,"")</f>
        <v/>
      </c>
    </row>
    <row r="935">
      <c r="A935" s="11">
        <f>IFERROR(INDEX(спр_Работы!$D$2:$D$6000,MATCH($C935,спр_Работы!$A$2:$A$6000,0)),"")</f>
        <v/>
      </c>
      <c r="B935">
        <f>IFERROR(INDEX(спр_Работы!$F$2:$F$6000,MATCH($C935,спр_Работы!$A$2:$A$6000,0)),"")</f>
        <v/>
      </c>
      <c r="C935">
        <f>IFERROR(INDEX(спр_Работы!$A$2:$A$6000,934),"")</f>
        <v/>
      </c>
      <c r="D935" s="8">
        <f>IFERROR(INDEX(спр_Работы!$B$2:$B$6000,MATCH($C935,спр_Работы!$A$2:$A$6000,0)),"")</f>
        <v/>
      </c>
      <c r="E935">
        <f>IFERROR(INDEX(спр_Работы!$C$2:$C$6000,MATCH($C935,спр_Работы!$A$2:$A$6000,0)),"")</f>
        <v/>
      </c>
      <c r="F935">
        <f>IFERROR(INDEX(спр_Работы!$G$2:$G$6000,MATCH($C935,спр_Работы!$A$2:$A$6000,0)),"")</f>
        <v/>
      </c>
      <c r="G935">
        <f>IFERROR(INDEX(спр_Работы!$K$2:$K$6000,MATCH($C935,спр_Работы!$A$2:$A$6000,0)),"")</f>
        <v/>
      </c>
      <c r="H935" s="9" t="n"/>
      <c r="I935" s="9" t="n"/>
      <c r="J935" s="8">
        <f>IFERROR(INDEX(спр_Материалы!$B$2:$B$9000,MATCH($I935,спр_Материалы!$A$2:$A$9000,0)),"")</f>
        <v/>
      </c>
      <c r="K935">
        <f>IF($I935="","",IF($F935=IFERROR(INDEX(спр_Материалы!$G$2:$G$9000,MATCH($I935,спр_Материалы!$A$2:$A$9000,0)),""),"OK","!! не та группа"))</f>
        <v/>
      </c>
      <c r="L935" s="10">
        <f>IFERROR(INDEX(спр_Работы!$H$2:$H$6000,MATCH($C935,спр_Работы!$A$2:$A$6000,0))*(1-ДисконтТендер),0)</f>
        <v/>
      </c>
      <c r="M935" s="10">
        <f>IF($I935="",0,IFERROR(INDEX(спр_Материалы!$I$2:$I$9000,MATCH($I935,спр_Материалы!$A$2:$A$9000,0))*IF(INDEX(спр_Материалы!$J$2:$J$9000,MATCH($I935,спр_Материалы!$A$2:$A$9000,0))="USD",КурсUSD,IF(INDEX(спр_Материалы!$J$2:$J$9000,MATCH($I935,спр_Материалы!$A$2:$A$9000,0))="EUR",КурсEUR,1))*INDEX(спр_Материалы!$K$2:$K$9000,MATCH($I935,спр_Материалы!$A$2:$A$9000,0))*(1+IFERROR(INDEX(спр_Работы!$I$2:$I$6000,MATCH($C935,спр_Работы!$A$2:$A$6000,0))/100,0))*(1-ДисконтТендер),0))</f>
        <v/>
      </c>
      <c r="N935" s="10">
        <f>IF(AND($R935="да",$H935&lt;&gt;""),ROUND($H935*$L935,2),0)</f>
        <v/>
      </c>
      <c r="O935" s="10">
        <f>IF(AND($R935="да",$H935&lt;&gt;""),ROUND($H935*$M935,2),0)</f>
        <v/>
      </c>
      <c r="P935" s="10">
        <f>$N935+$O935</f>
        <v/>
      </c>
      <c r="Q935">
        <f>IFERROR(INDEX(спр_Работы!$J$2:$J$6000,MATCH($C935,спр_Работы!$A$2:$A$6000,0)),"")</f>
        <v/>
      </c>
      <c r="R935" t="inlineStr">
        <is>
          <t>да</t>
        </is>
      </c>
      <c r="T935">
        <f>IF(AND($P935&gt;0,$R935="да"),MAX($T$1:$T934)+1,"")</f>
        <v/>
      </c>
    </row>
    <row r="936">
      <c r="A936" s="11">
        <f>IFERROR(INDEX(спр_Работы!$D$2:$D$6000,MATCH($C936,спр_Работы!$A$2:$A$6000,0)),"")</f>
        <v/>
      </c>
      <c r="B936">
        <f>IFERROR(INDEX(спр_Работы!$F$2:$F$6000,MATCH($C936,спр_Работы!$A$2:$A$6000,0)),"")</f>
        <v/>
      </c>
      <c r="C936">
        <f>IFERROR(INDEX(спр_Работы!$A$2:$A$6000,935),"")</f>
        <v/>
      </c>
      <c r="D936" s="8">
        <f>IFERROR(INDEX(спр_Работы!$B$2:$B$6000,MATCH($C936,спр_Работы!$A$2:$A$6000,0)),"")</f>
        <v/>
      </c>
      <c r="E936">
        <f>IFERROR(INDEX(спр_Работы!$C$2:$C$6000,MATCH($C936,спр_Работы!$A$2:$A$6000,0)),"")</f>
        <v/>
      </c>
      <c r="F936">
        <f>IFERROR(INDEX(спр_Работы!$G$2:$G$6000,MATCH($C936,спр_Работы!$A$2:$A$6000,0)),"")</f>
        <v/>
      </c>
      <c r="G936">
        <f>IFERROR(INDEX(спр_Работы!$K$2:$K$6000,MATCH($C936,спр_Работы!$A$2:$A$6000,0)),"")</f>
        <v/>
      </c>
      <c r="H936" s="9" t="n"/>
      <c r="I936" s="9" t="n"/>
      <c r="J936" s="8">
        <f>IFERROR(INDEX(спр_Материалы!$B$2:$B$9000,MATCH($I936,спр_Материалы!$A$2:$A$9000,0)),"")</f>
        <v/>
      </c>
      <c r="K936">
        <f>IF($I936="","",IF($F936=IFERROR(INDEX(спр_Материалы!$G$2:$G$9000,MATCH($I936,спр_Материалы!$A$2:$A$9000,0)),""),"OK","!! не та группа"))</f>
        <v/>
      </c>
      <c r="L936" s="10">
        <f>IFERROR(INDEX(спр_Работы!$H$2:$H$6000,MATCH($C936,спр_Работы!$A$2:$A$6000,0))*(1-ДисконтТендер),0)</f>
        <v/>
      </c>
      <c r="M936" s="10">
        <f>IF($I936="",0,IFERROR(INDEX(спр_Материалы!$I$2:$I$9000,MATCH($I936,спр_Материалы!$A$2:$A$9000,0))*IF(INDEX(спр_Материалы!$J$2:$J$9000,MATCH($I936,спр_Материалы!$A$2:$A$9000,0))="USD",КурсUSD,IF(INDEX(спр_Материалы!$J$2:$J$9000,MATCH($I936,спр_Материалы!$A$2:$A$9000,0))="EUR",КурсEUR,1))*INDEX(спр_Материалы!$K$2:$K$9000,MATCH($I936,спр_Материалы!$A$2:$A$9000,0))*(1+IFERROR(INDEX(спр_Работы!$I$2:$I$6000,MATCH($C936,спр_Работы!$A$2:$A$6000,0))/100,0))*(1-ДисконтТендер),0))</f>
        <v/>
      </c>
      <c r="N936" s="10">
        <f>IF(AND($R936="да",$H936&lt;&gt;""),ROUND($H936*$L936,2),0)</f>
        <v/>
      </c>
      <c r="O936" s="10">
        <f>IF(AND($R936="да",$H936&lt;&gt;""),ROUND($H936*$M936,2),0)</f>
        <v/>
      </c>
      <c r="P936" s="10">
        <f>$N936+$O936</f>
        <v/>
      </c>
      <c r="Q936">
        <f>IFERROR(INDEX(спр_Работы!$J$2:$J$6000,MATCH($C936,спр_Работы!$A$2:$A$6000,0)),"")</f>
        <v/>
      </c>
      <c r="R936" t="inlineStr">
        <is>
          <t>да</t>
        </is>
      </c>
      <c r="T936">
        <f>IF(AND($P936&gt;0,$R936="да"),MAX($T$1:$T935)+1,"")</f>
        <v/>
      </c>
    </row>
    <row r="937">
      <c r="A937" s="11">
        <f>IFERROR(INDEX(спр_Работы!$D$2:$D$6000,MATCH($C937,спр_Работы!$A$2:$A$6000,0)),"")</f>
        <v/>
      </c>
      <c r="B937">
        <f>IFERROR(INDEX(спр_Работы!$F$2:$F$6000,MATCH($C937,спр_Работы!$A$2:$A$6000,0)),"")</f>
        <v/>
      </c>
      <c r="C937">
        <f>IFERROR(INDEX(спр_Работы!$A$2:$A$6000,936),"")</f>
        <v/>
      </c>
      <c r="D937" s="8">
        <f>IFERROR(INDEX(спр_Работы!$B$2:$B$6000,MATCH($C937,спр_Работы!$A$2:$A$6000,0)),"")</f>
        <v/>
      </c>
      <c r="E937">
        <f>IFERROR(INDEX(спр_Работы!$C$2:$C$6000,MATCH($C937,спр_Работы!$A$2:$A$6000,0)),"")</f>
        <v/>
      </c>
      <c r="F937">
        <f>IFERROR(INDEX(спр_Работы!$G$2:$G$6000,MATCH($C937,спр_Работы!$A$2:$A$6000,0)),"")</f>
        <v/>
      </c>
      <c r="G937">
        <f>IFERROR(INDEX(спр_Работы!$K$2:$K$6000,MATCH($C937,спр_Работы!$A$2:$A$6000,0)),"")</f>
        <v/>
      </c>
      <c r="H937" s="9" t="n"/>
      <c r="I937" s="9" t="n"/>
      <c r="J937" s="8">
        <f>IFERROR(INDEX(спр_Материалы!$B$2:$B$9000,MATCH($I937,спр_Материалы!$A$2:$A$9000,0)),"")</f>
        <v/>
      </c>
      <c r="K937">
        <f>IF($I937="","",IF($F937=IFERROR(INDEX(спр_Материалы!$G$2:$G$9000,MATCH($I937,спр_Материалы!$A$2:$A$9000,0)),""),"OK","!! не та группа"))</f>
        <v/>
      </c>
      <c r="L937" s="10">
        <f>IFERROR(INDEX(спр_Работы!$H$2:$H$6000,MATCH($C937,спр_Работы!$A$2:$A$6000,0))*(1-ДисконтТендер),0)</f>
        <v/>
      </c>
      <c r="M937" s="10">
        <f>IF($I937="",0,IFERROR(INDEX(спр_Материалы!$I$2:$I$9000,MATCH($I937,спр_Материалы!$A$2:$A$9000,0))*IF(INDEX(спр_Материалы!$J$2:$J$9000,MATCH($I937,спр_Материалы!$A$2:$A$9000,0))="USD",КурсUSD,IF(INDEX(спр_Материалы!$J$2:$J$9000,MATCH($I937,спр_Материалы!$A$2:$A$9000,0))="EUR",КурсEUR,1))*INDEX(спр_Материалы!$K$2:$K$9000,MATCH($I937,спр_Материалы!$A$2:$A$9000,0))*(1+IFERROR(INDEX(спр_Работы!$I$2:$I$6000,MATCH($C937,спр_Работы!$A$2:$A$6000,0))/100,0))*(1-ДисконтТендер),0))</f>
        <v/>
      </c>
      <c r="N937" s="10">
        <f>IF(AND($R937="да",$H937&lt;&gt;""),ROUND($H937*$L937,2),0)</f>
        <v/>
      </c>
      <c r="O937" s="10">
        <f>IF(AND($R937="да",$H937&lt;&gt;""),ROUND($H937*$M937,2),0)</f>
        <v/>
      </c>
      <c r="P937" s="10">
        <f>$N937+$O937</f>
        <v/>
      </c>
      <c r="Q937">
        <f>IFERROR(INDEX(спр_Работы!$J$2:$J$6000,MATCH($C937,спр_Работы!$A$2:$A$6000,0)),"")</f>
        <v/>
      </c>
      <c r="R937" t="inlineStr">
        <is>
          <t>да</t>
        </is>
      </c>
      <c r="T937">
        <f>IF(AND($P937&gt;0,$R937="да"),MAX($T$1:$T936)+1,"")</f>
        <v/>
      </c>
    </row>
    <row r="938">
      <c r="A938" s="11">
        <f>IFERROR(INDEX(спр_Работы!$D$2:$D$6000,MATCH($C938,спр_Работы!$A$2:$A$6000,0)),"")</f>
        <v/>
      </c>
      <c r="B938">
        <f>IFERROR(INDEX(спр_Работы!$F$2:$F$6000,MATCH($C938,спр_Работы!$A$2:$A$6000,0)),"")</f>
        <v/>
      </c>
      <c r="C938">
        <f>IFERROR(INDEX(спр_Работы!$A$2:$A$6000,937),"")</f>
        <v/>
      </c>
      <c r="D938" s="8">
        <f>IFERROR(INDEX(спр_Работы!$B$2:$B$6000,MATCH($C938,спр_Работы!$A$2:$A$6000,0)),"")</f>
        <v/>
      </c>
      <c r="E938">
        <f>IFERROR(INDEX(спр_Работы!$C$2:$C$6000,MATCH($C938,спр_Работы!$A$2:$A$6000,0)),"")</f>
        <v/>
      </c>
      <c r="F938">
        <f>IFERROR(INDEX(спр_Работы!$G$2:$G$6000,MATCH($C938,спр_Работы!$A$2:$A$6000,0)),"")</f>
        <v/>
      </c>
      <c r="G938">
        <f>IFERROR(INDEX(спр_Работы!$K$2:$K$6000,MATCH($C938,спр_Работы!$A$2:$A$6000,0)),"")</f>
        <v/>
      </c>
      <c r="H938" s="9" t="n"/>
      <c r="I938" s="9" t="n"/>
      <c r="J938" s="8">
        <f>IFERROR(INDEX(спр_Материалы!$B$2:$B$9000,MATCH($I938,спр_Материалы!$A$2:$A$9000,0)),"")</f>
        <v/>
      </c>
      <c r="K938">
        <f>IF($I938="","",IF($F938=IFERROR(INDEX(спр_Материалы!$G$2:$G$9000,MATCH($I938,спр_Материалы!$A$2:$A$9000,0)),""),"OK","!! не та группа"))</f>
        <v/>
      </c>
      <c r="L938" s="10">
        <f>IFERROR(INDEX(спр_Работы!$H$2:$H$6000,MATCH($C938,спр_Работы!$A$2:$A$6000,0))*(1-ДисконтТендер),0)</f>
        <v/>
      </c>
      <c r="M938" s="10">
        <f>IF($I938="",0,IFERROR(INDEX(спр_Материалы!$I$2:$I$9000,MATCH($I938,спр_Материалы!$A$2:$A$9000,0))*IF(INDEX(спр_Материалы!$J$2:$J$9000,MATCH($I938,спр_Материалы!$A$2:$A$9000,0))="USD",КурсUSD,IF(INDEX(спр_Материалы!$J$2:$J$9000,MATCH($I938,спр_Материалы!$A$2:$A$9000,0))="EUR",КурсEUR,1))*INDEX(спр_Материалы!$K$2:$K$9000,MATCH($I938,спр_Материалы!$A$2:$A$9000,0))*(1+IFERROR(INDEX(спр_Работы!$I$2:$I$6000,MATCH($C938,спр_Работы!$A$2:$A$6000,0))/100,0))*(1-ДисконтТендер),0))</f>
        <v/>
      </c>
      <c r="N938" s="10">
        <f>IF(AND($R938="да",$H938&lt;&gt;""),ROUND($H938*$L938,2),0)</f>
        <v/>
      </c>
      <c r="O938" s="10">
        <f>IF(AND($R938="да",$H938&lt;&gt;""),ROUND($H938*$M938,2),0)</f>
        <v/>
      </c>
      <c r="P938" s="10">
        <f>$N938+$O938</f>
        <v/>
      </c>
      <c r="Q938">
        <f>IFERROR(INDEX(спр_Работы!$J$2:$J$6000,MATCH($C938,спр_Работы!$A$2:$A$6000,0)),"")</f>
        <v/>
      </c>
      <c r="R938" t="inlineStr">
        <is>
          <t>да</t>
        </is>
      </c>
      <c r="T938">
        <f>IF(AND($P938&gt;0,$R938="да"),MAX($T$1:$T937)+1,"")</f>
        <v/>
      </c>
    </row>
    <row r="939">
      <c r="A939" s="11">
        <f>IFERROR(INDEX(спр_Работы!$D$2:$D$6000,MATCH($C939,спр_Работы!$A$2:$A$6000,0)),"")</f>
        <v/>
      </c>
      <c r="B939">
        <f>IFERROR(INDEX(спр_Работы!$F$2:$F$6000,MATCH($C939,спр_Работы!$A$2:$A$6000,0)),"")</f>
        <v/>
      </c>
      <c r="C939">
        <f>IFERROR(INDEX(спр_Работы!$A$2:$A$6000,938),"")</f>
        <v/>
      </c>
      <c r="D939" s="8">
        <f>IFERROR(INDEX(спр_Работы!$B$2:$B$6000,MATCH($C939,спр_Работы!$A$2:$A$6000,0)),"")</f>
        <v/>
      </c>
      <c r="E939">
        <f>IFERROR(INDEX(спр_Работы!$C$2:$C$6000,MATCH($C939,спр_Работы!$A$2:$A$6000,0)),"")</f>
        <v/>
      </c>
      <c r="F939">
        <f>IFERROR(INDEX(спр_Работы!$G$2:$G$6000,MATCH($C939,спр_Работы!$A$2:$A$6000,0)),"")</f>
        <v/>
      </c>
      <c r="G939">
        <f>IFERROR(INDEX(спр_Работы!$K$2:$K$6000,MATCH($C939,спр_Работы!$A$2:$A$6000,0)),"")</f>
        <v/>
      </c>
      <c r="H939" s="9" t="n"/>
      <c r="I939" s="9" t="n"/>
      <c r="J939" s="8">
        <f>IFERROR(INDEX(спр_Материалы!$B$2:$B$9000,MATCH($I939,спр_Материалы!$A$2:$A$9000,0)),"")</f>
        <v/>
      </c>
      <c r="K939">
        <f>IF($I939="","",IF($F939=IFERROR(INDEX(спр_Материалы!$G$2:$G$9000,MATCH($I939,спр_Материалы!$A$2:$A$9000,0)),""),"OK","!! не та группа"))</f>
        <v/>
      </c>
      <c r="L939" s="10">
        <f>IFERROR(INDEX(спр_Работы!$H$2:$H$6000,MATCH($C939,спр_Работы!$A$2:$A$6000,0))*(1-ДисконтТендер),0)</f>
        <v/>
      </c>
      <c r="M939" s="10">
        <f>IF($I939="",0,IFERROR(INDEX(спр_Материалы!$I$2:$I$9000,MATCH($I939,спр_Материалы!$A$2:$A$9000,0))*IF(INDEX(спр_Материалы!$J$2:$J$9000,MATCH($I939,спр_Материалы!$A$2:$A$9000,0))="USD",КурсUSD,IF(INDEX(спр_Материалы!$J$2:$J$9000,MATCH($I939,спр_Материалы!$A$2:$A$9000,0))="EUR",КурсEUR,1))*INDEX(спр_Материалы!$K$2:$K$9000,MATCH($I939,спр_Материалы!$A$2:$A$9000,0))*(1+IFERROR(INDEX(спр_Работы!$I$2:$I$6000,MATCH($C939,спр_Работы!$A$2:$A$6000,0))/100,0))*(1-ДисконтТендер),0))</f>
        <v/>
      </c>
      <c r="N939" s="10">
        <f>IF(AND($R939="да",$H939&lt;&gt;""),ROUND($H939*$L939,2),0)</f>
        <v/>
      </c>
      <c r="O939" s="10">
        <f>IF(AND($R939="да",$H939&lt;&gt;""),ROUND($H939*$M939,2),0)</f>
        <v/>
      </c>
      <c r="P939" s="10">
        <f>$N939+$O939</f>
        <v/>
      </c>
      <c r="Q939">
        <f>IFERROR(INDEX(спр_Работы!$J$2:$J$6000,MATCH($C939,спр_Работы!$A$2:$A$6000,0)),"")</f>
        <v/>
      </c>
      <c r="R939" t="inlineStr">
        <is>
          <t>да</t>
        </is>
      </c>
      <c r="T939">
        <f>IF(AND($P939&gt;0,$R939="да"),MAX($T$1:$T938)+1,"")</f>
        <v/>
      </c>
    </row>
    <row r="940">
      <c r="A940" s="11">
        <f>IFERROR(INDEX(спр_Работы!$D$2:$D$6000,MATCH($C940,спр_Работы!$A$2:$A$6000,0)),"")</f>
        <v/>
      </c>
      <c r="B940">
        <f>IFERROR(INDEX(спр_Работы!$F$2:$F$6000,MATCH($C940,спр_Работы!$A$2:$A$6000,0)),"")</f>
        <v/>
      </c>
      <c r="C940">
        <f>IFERROR(INDEX(спр_Работы!$A$2:$A$6000,939),"")</f>
        <v/>
      </c>
      <c r="D940" s="8">
        <f>IFERROR(INDEX(спр_Работы!$B$2:$B$6000,MATCH($C940,спр_Работы!$A$2:$A$6000,0)),"")</f>
        <v/>
      </c>
      <c r="E940">
        <f>IFERROR(INDEX(спр_Работы!$C$2:$C$6000,MATCH($C940,спр_Работы!$A$2:$A$6000,0)),"")</f>
        <v/>
      </c>
      <c r="F940">
        <f>IFERROR(INDEX(спр_Работы!$G$2:$G$6000,MATCH($C940,спр_Работы!$A$2:$A$6000,0)),"")</f>
        <v/>
      </c>
      <c r="G940">
        <f>IFERROR(INDEX(спр_Работы!$K$2:$K$6000,MATCH($C940,спр_Работы!$A$2:$A$6000,0)),"")</f>
        <v/>
      </c>
      <c r="H940" s="9" t="n"/>
      <c r="I940" s="9" t="n"/>
      <c r="J940" s="8">
        <f>IFERROR(INDEX(спр_Материалы!$B$2:$B$9000,MATCH($I940,спр_Материалы!$A$2:$A$9000,0)),"")</f>
        <v/>
      </c>
      <c r="K940">
        <f>IF($I940="","",IF($F940=IFERROR(INDEX(спр_Материалы!$G$2:$G$9000,MATCH($I940,спр_Материалы!$A$2:$A$9000,0)),""),"OK","!! не та группа"))</f>
        <v/>
      </c>
      <c r="L940" s="10">
        <f>IFERROR(INDEX(спр_Работы!$H$2:$H$6000,MATCH($C940,спр_Работы!$A$2:$A$6000,0))*(1-ДисконтТендер),0)</f>
        <v/>
      </c>
      <c r="M940" s="10">
        <f>IF($I940="",0,IFERROR(INDEX(спр_Материалы!$I$2:$I$9000,MATCH($I940,спр_Материалы!$A$2:$A$9000,0))*IF(INDEX(спр_Материалы!$J$2:$J$9000,MATCH($I940,спр_Материалы!$A$2:$A$9000,0))="USD",КурсUSD,IF(INDEX(спр_Материалы!$J$2:$J$9000,MATCH($I940,спр_Материалы!$A$2:$A$9000,0))="EUR",КурсEUR,1))*INDEX(спр_Материалы!$K$2:$K$9000,MATCH($I940,спр_Материалы!$A$2:$A$9000,0))*(1+IFERROR(INDEX(спр_Работы!$I$2:$I$6000,MATCH($C940,спр_Работы!$A$2:$A$6000,0))/100,0))*(1-ДисконтТендер),0))</f>
        <v/>
      </c>
      <c r="N940" s="10">
        <f>IF(AND($R940="да",$H940&lt;&gt;""),ROUND($H940*$L940,2),0)</f>
        <v/>
      </c>
      <c r="O940" s="10">
        <f>IF(AND($R940="да",$H940&lt;&gt;""),ROUND($H940*$M940,2),0)</f>
        <v/>
      </c>
      <c r="P940" s="10">
        <f>$N940+$O940</f>
        <v/>
      </c>
      <c r="Q940">
        <f>IFERROR(INDEX(спр_Работы!$J$2:$J$6000,MATCH($C940,спр_Работы!$A$2:$A$6000,0)),"")</f>
        <v/>
      </c>
      <c r="R940" t="inlineStr">
        <is>
          <t>да</t>
        </is>
      </c>
      <c r="T940">
        <f>IF(AND($P940&gt;0,$R940="да"),MAX($T$1:$T939)+1,"")</f>
        <v/>
      </c>
    </row>
    <row r="941">
      <c r="A941" s="11">
        <f>IFERROR(INDEX(спр_Работы!$D$2:$D$6000,MATCH($C941,спр_Работы!$A$2:$A$6000,0)),"")</f>
        <v/>
      </c>
      <c r="B941">
        <f>IFERROR(INDEX(спр_Работы!$F$2:$F$6000,MATCH($C941,спр_Работы!$A$2:$A$6000,0)),"")</f>
        <v/>
      </c>
      <c r="C941">
        <f>IFERROR(INDEX(спр_Работы!$A$2:$A$6000,940),"")</f>
        <v/>
      </c>
      <c r="D941" s="8">
        <f>IFERROR(INDEX(спр_Работы!$B$2:$B$6000,MATCH($C941,спр_Работы!$A$2:$A$6000,0)),"")</f>
        <v/>
      </c>
      <c r="E941">
        <f>IFERROR(INDEX(спр_Работы!$C$2:$C$6000,MATCH($C941,спр_Работы!$A$2:$A$6000,0)),"")</f>
        <v/>
      </c>
      <c r="F941">
        <f>IFERROR(INDEX(спр_Работы!$G$2:$G$6000,MATCH($C941,спр_Работы!$A$2:$A$6000,0)),"")</f>
        <v/>
      </c>
      <c r="G941">
        <f>IFERROR(INDEX(спр_Работы!$K$2:$K$6000,MATCH($C941,спр_Работы!$A$2:$A$6000,0)),"")</f>
        <v/>
      </c>
      <c r="H941" s="9" t="n"/>
      <c r="I941" s="9" t="n"/>
      <c r="J941" s="8">
        <f>IFERROR(INDEX(спр_Материалы!$B$2:$B$9000,MATCH($I941,спр_Материалы!$A$2:$A$9000,0)),"")</f>
        <v/>
      </c>
      <c r="K941">
        <f>IF($I941="","",IF($F941=IFERROR(INDEX(спр_Материалы!$G$2:$G$9000,MATCH($I941,спр_Материалы!$A$2:$A$9000,0)),""),"OK","!! не та группа"))</f>
        <v/>
      </c>
      <c r="L941" s="10">
        <f>IFERROR(INDEX(спр_Работы!$H$2:$H$6000,MATCH($C941,спр_Работы!$A$2:$A$6000,0))*(1-ДисконтТендер),0)</f>
        <v/>
      </c>
      <c r="M941" s="10">
        <f>IF($I941="",0,IFERROR(INDEX(спр_Материалы!$I$2:$I$9000,MATCH($I941,спр_Материалы!$A$2:$A$9000,0))*IF(INDEX(спр_Материалы!$J$2:$J$9000,MATCH($I941,спр_Материалы!$A$2:$A$9000,0))="USD",КурсUSD,IF(INDEX(спр_Материалы!$J$2:$J$9000,MATCH($I941,спр_Материалы!$A$2:$A$9000,0))="EUR",КурсEUR,1))*INDEX(спр_Материалы!$K$2:$K$9000,MATCH($I941,спр_Материалы!$A$2:$A$9000,0))*(1+IFERROR(INDEX(спр_Работы!$I$2:$I$6000,MATCH($C941,спр_Работы!$A$2:$A$6000,0))/100,0))*(1-ДисконтТендер),0))</f>
        <v/>
      </c>
      <c r="N941" s="10">
        <f>IF(AND($R941="да",$H941&lt;&gt;""),ROUND($H941*$L941,2),0)</f>
        <v/>
      </c>
      <c r="O941" s="10">
        <f>IF(AND($R941="да",$H941&lt;&gt;""),ROUND($H941*$M941,2),0)</f>
        <v/>
      </c>
      <c r="P941" s="10">
        <f>$N941+$O941</f>
        <v/>
      </c>
      <c r="Q941">
        <f>IFERROR(INDEX(спр_Работы!$J$2:$J$6000,MATCH($C941,спр_Работы!$A$2:$A$6000,0)),"")</f>
        <v/>
      </c>
      <c r="R941" t="inlineStr">
        <is>
          <t>да</t>
        </is>
      </c>
      <c r="T941">
        <f>IF(AND($P941&gt;0,$R941="да"),MAX($T$1:$T940)+1,"")</f>
        <v/>
      </c>
    </row>
    <row r="942">
      <c r="A942" s="11">
        <f>IFERROR(INDEX(спр_Работы!$D$2:$D$6000,MATCH($C942,спр_Работы!$A$2:$A$6000,0)),"")</f>
        <v/>
      </c>
      <c r="B942">
        <f>IFERROR(INDEX(спр_Работы!$F$2:$F$6000,MATCH($C942,спр_Работы!$A$2:$A$6000,0)),"")</f>
        <v/>
      </c>
      <c r="C942">
        <f>IFERROR(INDEX(спр_Работы!$A$2:$A$6000,941),"")</f>
        <v/>
      </c>
      <c r="D942" s="8">
        <f>IFERROR(INDEX(спр_Работы!$B$2:$B$6000,MATCH($C942,спр_Работы!$A$2:$A$6000,0)),"")</f>
        <v/>
      </c>
      <c r="E942">
        <f>IFERROR(INDEX(спр_Работы!$C$2:$C$6000,MATCH($C942,спр_Работы!$A$2:$A$6000,0)),"")</f>
        <v/>
      </c>
      <c r="F942">
        <f>IFERROR(INDEX(спр_Работы!$G$2:$G$6000,MATCH($C942,спр_Работы!$A$2:$A$6000,0)),"")</f>
        <v/>
      </c>
      <c r="G942">
        <f>IFERROR(INDEX(спр_Работы!$K$2:$K$6000,MATCH($C942,спр_Работы!$A$2:$A$6000,0)),"")</f>
        <v/>
      </c>
      <c r="H942" s="9" t="n"/>
      <c r="I942" s="9" t="n"/>
      <c r="J942" s="8">
        <f>IFERROR(INDEX(спр_Материалы!$B$2:$B$9000,MATCH($I942,спр_Материалы!$A$2:$A$9000,0)),"")</f>
        <v/>
      </c>
      <c r="K942">
        <f>IF($I942="","",IF($F942=IFERROR(INDEX(спр_Материалы!$G$2:$G$9000,MATCH($I942,спр_Материалы!$A$2:$A$9000,0)),""),"OK","!! не та группа"))</f>
        <v/>
      </c>
      <c r="L942" s="10">
        <f>IFERROR(INDEX(спр_Работы!$H$2:$H$6000,MATCH($C942,спр_Работы!$A$2:$A$6000,0))*(1-ДисконтТендер),0)</f>
        <v/>
      </c>
      <c r="M942" s="10">
        <f>IF($I942="",0,IFERROR(INDEX(спр_Материалы!$I$2:$I$9000,MATCH($I942,спр_Материалы!$A$2:$A$9000,0))*IF(INDEX(спр_Материалы!$J$2:$J$9000,MATCH($I942,спр_Материалы!$A$2:$A$9000,0))="USD",КурсUSD,IF(INDEX(спр_Материалы!$J$2:$J$9000,MATCH($I942,спр_Материалы!$A$2:$A$9000,0))="EUR",КурсEUR,1))*INDEX(спр_Материалы!$K$2:$K$9000,MATCH($I942,спр_Материалы!$A$2:$A$9000,0))*(1+IFERROR(INDEX(спр_Работы!$I$2:$I$6000,MATCH($C942,спр_Работы!$A$2:$A$6000,0))/100,0))*(1-ДисконтТендер),0))</f>
        <v/>
      </c>
      <c r="N942" s="10">
        <f>IF(AND($R942="да",$H942&lt;&gt;""),ROUND($H942*$L942,2),0)</f>
        <v/>
      </c>
      <c r="O942" s="10">
        <f>IF(AND($R942="да",$H942&lt;&gt;""),ROUND($H942*$M942,2),0)</f>
        <v/>
      </c>
      <c r="P942" s="10">
        <f>$N942+$O942</f>
        <v/>
      </c>
      <c r="Q942">
        <f>IFERROR(INDEX(спр_Работы!$J$2:$J$6000,MATCH($C942,спр_Работы!$A$2:$A$6000,0)),"")</f>
        <v/>
      </c>
      <c r="R942" t="inlineStr">
        <is>
          <t>да</t>
        </is>
      </c>
      <c r="T942">
        <f>IF(AND($P942&gt;0,$R942="да"),MAX($T$1:$T941)+1,"")</f>
        <v/>
      </c>
    </row>
    <row r="943">
      <c r="A943" s="11">
        <f>IFERROR(INDEX(спр_Работы!$D$2:$D$6000,MATCH($C943,спр_Работы!$A$2:$A$6000,0)),"")</f>
        <v/>
      </c>
      <c r="B943">
        <f>IFERROR(INDEX(спр_Работы!$F$2:$F$6000,MATCH($C943,спр_Работы!$A$2:$A$6000,0)),"")</f>
        <v/>
      </c>
      <c r="C943">
        <f>IFERROR(INDEX(спр_Работы!$A$2:$A$6000,942),"")</f>
        <v/>
      </c>
      <c r="D943" s="8">
        <f>IFERROR(INDEX(спр_Работы!$B$2:$B$6000,MATCH($C943,спр_Работы!$A$2:$A$6000,0)),"")</f>
        <v/>
      </c>
      <c r="E943">
        <f>IFERROR(INDEX(спр_Работы!$C$2:$C$6000,MATCH($C943,спр_Работы!$A$2:$A$6000,0)),"")</f>
        <v/>
      </c>
      <c r="F943">
        <f>IFERROR(INDEX(спр_Работы!$G$2:$G$6000,MATCH($C943,спр_Работы!$A$2:$A$6000,0)),"")</f>
        <v/>
      </c>
      <c r="G943">
        <f>IFERROR(INDEX(спр_Работы!$K$2:$K$6000,MATCH($C943,спр_Работы!$A$2:$A$6000,0)),"")</f>
        <v/>
      </c>
      <c r="H943" s="9" t="n"/>
      <c r="I943" s="9" t="n"/>
      <c r="J943" s="8">
        <f>IFERROR(INDEX(спр_Материалы!$B$2:$B$9000,MATCH($I943,спр_Материалы!$A$2:$A$9000,0)),"")</f>
        <v/>
      </c>
      <c r="K943">
        <f>IF($I943="","",IF($F943=IFERROR(INDEX(спр_Материалы!$G$2:$G$9000,MATCH($I943,спр_Материалы!$A$2:$A$9000,0)),""),"OK","!! не та группа"))</f>
        <v/>
      </c>
      <c r="L943" s="10">
        <f>IFERROR(INDEX(спр_Работы!$H$2:$H$6000,MATCH($C943,спр_Работы!$A$2:$A$6000,0))*(1-ДисконтТендер),0)</f>
        <v/>
      </c>
      <c r="M943" s="10">
        <f>IF($I943="",0,IFERROR(INDEX(спр_Материалы!$I$2:$I$9000,MATCH($I943,спр_Материалы!$A$2:$A$9000,0))*IF(INDEX(спр_Материалы!$J$2:$J$9000,MATCH($I943,спр_Материалы!$A$2:$A$9000,0))="USD",КурсUSD,IF(INDEX(спр_Материалы!$J$2:$J$9000,MATCH($I943,спр_Материалы!$A$2:$A$9000,0))="EUR",КурсEUR,1))*INDEX(спр_Материалы!$K$2:$K$9000,MATCH($I943,спр_Материалы!$A$2:$A$9000,0))*(1+IFERROR(INDEX(спр_Работы!$I$2:$I$6000,MATCH($C943,спр_Работы!$A$2:$A$6000,0))/100,0))*(1-ДисконтТендер),0))</f>
        <v/>
      </c>
      <c r="N943" s="10">
        <f>IF(AND($R943="да",$H943&lt;&gt;""),ROUND($H943*$L943,2),0)</f>
        <v/>
      </c>
      <c r="O943" s="10">
        <f>IF(AND($R943="да",$H943&lt;&gt;""),ROUND($H943*$M943,2),0)</f>
        <v/>
      </c>
      <c r="P943" s="10">
        <f>$N943+$O943</f>
        <v/>
      </c>
      <c r="Q943">
        <f>IFERROR(INDEX(спр_Работы!$J$2:$J$6000,MATCH($C943,спр_Работы!$A$2:$A$6000,0)),"")</f>
        <v/>
      </c>
      <c r="R943" t="inlineStr">
        <is>
          <t>да</t>
        </is>
      </c>
      <c r="T943">
        <f>IF(AND($P943&gt;0,$R943="да"),MAX($T$1:$T942)+1,"")</f>
        <v/>
      </c>
    </row>
    <row r="944">
      <c r="A944" s="11">
        <f>IFERROR(INDEX(спр_Работы!$D$2:$D$6000,MATCH($C944,спр_Работы!$A$2:$A$6000,0)),"")</f>
        <v/>
      </c>
      <c r="B944">
        <f>IFERROR(INDEX(спр_Работы!$F$2:$F$6000,MATCH($C944,спр_Работы!$A$2:$A$6000,0)),"")</f>
        <v/>
      </c>
      <c r="C944">
        <f>IFERROR(INDEX(спр_Работы!$A$2:$A$6000,943),"")</f>
        <v/>
      </c>
      <c r="D944" s="8">
        <f>IFERROR(INDEX(спр_Работы!$B$2:$B$6000,MATCH($C944,спр_Работы!$A$2:$A$6000,0)),"")</f>
        <v/>
      </c>
      <c r="E944">
        <f>IFERROR(INDEX(спр_Работы!$C$2:$C$6000,MATCH($C944,спр_Работы!$A$2:$A$6000,0)),"")</f>
        <v/>
      </c>
      <c r="F944">
        <f>IFERROR(INDEX(спр_Работы!$G$2:$G$6000,MATCH($C944,спр_Работы!$A$2:$A$6000,0)),"")</f>
        <v/>
      </c>
      <c r="G944">
        <f>IFERROR(INDEX(спр_Работы!$K$2:$K$6000,MATCH($C944,спр_Работы!$A$2:$A$6000,0)),"")</f>
        <v/>
      </c>
      <c r="H944" s="9" t="n"/>
      <c r="I944" s="9" t="n"/>
      <c r="J944" s="8">
        <f>IFERROR(INDEX(спр_Материалы!$B$2:$B$9000,MATCH($I944,спр_Материалы!$A$2:$A$9000,0)),"")</f>
        <v/>
      </c>
      <c r="K944">
        <f>IF($I944="","",IF($F944=IFERROR(INDEX(спр_Материалы!$G$2:$G$9000,MATCH($I944,спр_Материалы!$A$2:$A$9000,0)),""),"OK","!! не та группа"))</f>
        <v/>
      </c>
      <c r="L944" s="10">
        <f>IFERROR(INDEX(спр_Работы!$H$2:$H$6000,MATCH($C944,спр_Работы!$A$2:$A$6000,0))*(1-ДисконтТендер),0)</f>
        <v/>
      </c>
      <c r="M944" s="10">
        <f>IF($I944="",0,IFERROR(INDEX(спр_Материалы!$I$2:$I$9000,MATCH($I944,спр_Материалы!$A$2:$A$9000,0))*IF(INDEX(спр_Материалы!$J$2:$J$9000,MATCH($I944,спр_Материалы!$A$2:$A$9000,0))="USD",КурсUSD,IF(INDEX(спр_Материалы!$J$2:$J$9000,MATCH($I944,спр_Материалы!$A$2:$A$9000,0))="EUR",КурсEUR,1))*INDEX(спр_Материалы!$K$2:$K$9000,MATCH($I944,спр_Материалы!$A$2:$A$9000,0))*(1+IFERROR(INDEX(спр_Работы!$I$2:$I$6000,MATCH($C944,спр_Работы!$A$2:$A$6000,0))/100,0))*(1-ДисконтТендер),0))</f>
        <v/>
      </c>
      <c r="N944" s="10">
        <f>IF(AND($R944="да",$H944&lt;&gt;""),ROUND($H944*$L944,2),0)</f>
        <v/>
      </c>
      <c r="O944" s="10">
        <f>IF(AND($R944="да",$H944&lt;&gt;""),ROUND($H944*$M944,2),0)</f>
        <v/>
      </c>
      <c r="P944" s="10">
        <f>$N944+$O944</f>
        <v/>
      </c>
      <c r="Q944">
        <f>IFERROR(INDEX(спр_Работы!$J$2:$J$6000,MATCH($C944,спр_Работы!$A$2:$A$6000,0)),"")</f>
        <v/>
      </c>
      <c r="R944" t="inlineStr">
        <is>
          <t>да</t>
        </is>
      </c>
      <c r="T944">
        <f>IF(AND($P944&gt;0,$R944="да"),MAX($T$1:$T943)+1,"")</f>
        <v/>
      </c>
    </row>
    <row r="945">
      <c r="A945" s="11">
        <f>IFERROR(INDEX(спр_Работы!$D$2:$D$6000,MATCH($C945,спр_Работы!$A$2:$A$6000,0)),"")</f>
        <v/>
      </c>
      <c r="B945">
        <f>IFERROR(INDEX(спр_Работы!$F$2:$F$6000,MATCH($C945,спр_Работы!$A$2:$A$6000,0)),"")</f>
        <v/>
      </c>
      <c r="C945">
        <f>IFERROR(INDEX(спр_Работы!$A$2:$A$6000,944),"")</f>
        <v/>
      </c>
      <c r="D945" s="8">
        <f>IFERROR(INDEX(спр_Работы!$B$2:$B$6000,MATCH($C945,спр_Работы!$A$2:$A$6000,0)),"")</f>
        <v/>
      </c>
      <c r="E945">
        <f>IFERROR(INDEX(спр_Работы!$C$2:$C$6000,MATCH($C945,спр_Работы!$A$2:$A$6000,0)),"")</f>
        <v/>
      </c>
      <c r="F945">
        <f>IFERROR(INDEX(спр_Работы!$G$2:$G$6000,MATCH($C945,спр_Работы!$A$2:$A$6000,0)),"")</f>
        <v/>
      </c>
      <c r="G945">
        <f>IFERROR(INDEX(спр_Работы!$K$2:$K$6000,MATCH($C945,спр_Работы!$A$2:$A$6000,0)),"")</f>
        <v/>
      </c>
      <c r="H945" s="9" t="n"/>
      <c r="I945" s="9" t="n"/>
      <c r="J945" s="8">
        <f>IFERROR(INDEX(спр_Материалы!$B$2:$B$9000,MATCH($I945,спр_Материалы!$A$2:$A$9000,0)),"")</f>
        <v/>
      </c>
      <c r="K945">
        <f>IF($I945="","",IF($F945=IFERROR(INDEX(спр_Материалы!$G$2:$G$9000,MATCH($I945,спр_Материалы!$A$2:$A$9000,0)),""),"OK","!! не та группа"))</f>
        <v/>
      </c>
      <c r="L945" s="10">
        <f>IFERROR(INDEX(спр_Работы!$H$2:$H$6000,MATCH($C945,спр_Работы!$A$2:$A$6000,0))*(1-ДисконтТендер),0)</f>
        <v/>
      </c>
      <c r="M945" s="10">
        <f>IF($I945="",0,IFERROR(INDEX(спр_Материалы!$I$2:$I$9000,MATCH($I945,спр_Материалы!$A$2:$A$9000,0))*IF(INDEX(спр_Материалы!$J$2:$J$9000,MATCH($I945,спр_Материалы!$A$2:$A$9000,0))="USD",КурсUSD,IF(INDEX(спр_Материалы!$J$2:$J$9000,MATCH($I945,спр_Материалы!$A$2:$A$9000,0))="EUR",КурсEUR,1))*INDEX(спр_Материалы!$K$2:$K$9000,MATCH($I945,спр_Материалы!$A$2:$A$9000,0))*(1+IFERROR(INDEX(спр_Работы!$I$2:$I$6000,MATCH($C945,спр_Работы!$A$2:$A$6000,0))/100,0))*(1-ДисконтТендер),0))</f>
        <v/>
      </c>
      <c r="N945" s="10">
        <f>IF(AND($R945="да",$H945&lt;&gt;""),ROUND($H945*$L945,2),0)</f>
        <v/>
      </c>
      <c r="O945" s="10">
        <f>IF(AND($R945="да",$H945&lt;&gt;""),ROUND($H945*$M945,2),0)</f>
        <v/>
      </c>
      <c r="P945" s="10">
        <f>$N945+$O945</f>
        <v/>
      </c>
      <c r="Q945">
        <f>IFERROR(INDEX(спр_Работы!$J$2:$J$6000,MATCH($C945,спр_Работы!$A$2:$A$6000,0)),"")</f>
        <v/>
      </c>
      <c r="R945" t="inlineStr">
        <is>
          <t>да</t>
        </is>
      </c>
      <c r="T945">
        <f>IF(AND($P945&gt;0,$R945="да"),MAX($T$1:$T944)+1,"")</f>
        <v/>
      </c>
    </row>
    <row r="946">
      <c r="A946" s="11">
        <f>IFERROR(INDEX(спр_Работы!$D$2:$D$6000,MATCH($C946,спр_Работы!$A$2:$A$6000,0)),"")</f>
        <v/>
      </c>
      <c r="B946">
        <f>IFERROR(INDEX(спр_Работы!$F$2:$F$6000,MATCH($C946,спр_Работы!$A$2:$A$6000,0)),"")</f>
        <v/>
      </c>
      <c r="C946">
        <f>IFERROR(INDEX(спр_Работы!$A$2:$A$6000,945),"")</f>
        <v/>
      </c>
      <c r="D946" s="8">
        <f>IFERROR(INDEX(спр_Работы!$B$2:$B$6000,MATCH($C946,спр_Работы!$A$2:$A$6000,0)),"")</f>
        <v/>
      </c>
      <c r="E946">
        <f>IFERROR(INDEX(спр_Работы!$C$2:$C$6000,MATCH($C946,спр_Работы!$A$2:$A$6000,0)),"")</f>
        <v/>
      </c>
      <c r="F946">
        <f>IFERROR(INDEX(спр_Работы!$G$2:$G$6000,MATCH($C946,спр_Работы!$A$2:$A$6000,0)),"")</f>
        <v/>
      </c>
      <c r="G946">
        <f>IFERROR(INDEX(спр_Работы!$K$2:$K$6000,MATCH($C946,спр_Работы!$A$2:$A$6000,0)),"")</f>
        <v/>
      </c>
      <c r="H946" s="9" t="n"/>
      <c r="I946" s="9" t="n"/>
      <c r="J946" s="8">
        <f>IFERROR(INDEX(спр_Материалы!$B$2:$B$9000,MATCH($I946,спр_Материалы!$A$2:$A$9000,0)),"")</f>
        <v/>
      </c>
      <c r="K946">
        <f>IF($I946="","",IF($F946=IFERROR(INDEX(спр_Материалы!$G$2:$G$9000,MATCH($I946,спр_Материалы!$A$2:$A$9000,0)),""),"OK","!! не та группа"))</f>
        <v/>
      </c>
      <c r="L946" s="10">
        <f>IFERROR(INDEX(спр_Работы!$H$2:$H$6000,MATCH($C946,спр_Работы!$A$2:$A$6000,0))*(1-ДисконтТендер),0)</f>
        <v/>
      </c>
      <c r="M946" s="10">
        <f>IF($I946="",0,IFERROR(INDEX(спр_Материалы!$I$2:$I$9000,MATCH($I946,спр_Материалы!$A$2:$A$9000,0))*IF(INDEX(спр_Материалы!$J$2:$J$9000,MATCH($I946,спр_Материалы!$A$2:$A$9000,0))="USD",КурсUSD,IF(INDEX(спр_Материалы!$J$2:$J$9000,MATCH($I946,спр_Материалы!$A$2:$A$9000,0))="EUR",КурсEUR,1))*INDEX(спр_Материалы!$K$2:$K$9000,MATCH($I946,спр_Материалы!$A$2:$A$9000,0))*(1+IFERROR(INDEX(спр_Работы!$I$2:$I$6000,MATCH($C946,спр_Работы!$A$2:$A$6000,0))/100,0))*(1-ДисконтТендер),0))</f>
        <v/>
      </c>
      <c r="N946" s="10">
        <f>IF(AND($R946="да",$H946&lt;&gt;""),ROUND($H946*$L946,2),0)</f>
        <v/>
      </c>
      <c r="O946" s="10">
        <f>IF(AND($R946="да",$H946&lt;&gt;""),ROUND($H946*$M946,2),0)</f>
        <v/>
      </c>
      <c r="P946" s="10">
        <f>$N946+$O946</f>
        <v/>
      </c>
      <c r="Q946">
        <f>IFERROR(INDEX(спр_Работы!$J$2:$J$6000,MATCH($C946,спр_Работы!$A$2:$A$6000,0)),"")</f>
        <v/>
      </c>
      <c r="R946" t="inlineStr">
        <is>
          <t>да</t>
        </is>
      </c>
      <c r="T946">
        <f>IF(AND($P946&gt;0,$R946="да"),MAX($T$1:$T945)+1,"")</f>
        <v/>
      </c>
    </row>
    <row r="947">
      <c r="A947" s="11">
        <f>IFERROR(INDEX(спр_Работы!$D$2:$D$6000,MATCH($C947,спр_Работы!$A$2:$A$6000,0)),"")</f>
        <v/>
      </c>
      <c r="B947">
        <f>IFERROR(INDEX(спр_Работы!$F$2:$F$6000,MATCH($C947,спр_Работы!$A$2:$A$6000,0)),"")</f>
        <v/>
      </c>
      <c r="C947">
        <f>IFERROR(INDEX(спр_Работы!$A$2:$A$6000,946),"")</f>
        <v/>
      </c>
      <c r="D947" s="8">
        <f>IFERROR(INDEX(спр_Работы!$B$2:$B$6000,MATCH($C947,спр_Работы!$A$2:$A$6000,0)),"")</f>
        <v/>
      </c>
      <c r="E947">
        <f>IFERROR(INDEX(спр_Работы!$C$2:$C$6000,MATCH($C947,спр_Работы!$A$2:$A$6000,0)),"")</f>
        <v/>
      </c>
      <c r="F947">
        <f>IFERROR(INDEX(спр_Работы!$G$2:$G$6000,MATCH($C947,спр_Работы!$A$2:$A$6000,0)),"")</f>
        <v/>
      </c>
      <c r="G947">
        <f>IFERROR(INDEX(спр_Работы!$K$2:$K$6000,MATCH($C947,спр_Работы!$A$2:$A$6000,0)),"")</f>
        <v/>
      </c>
      <c r="H947" s="9" t="n"/>
      <c r="I947" s="9" t="n"/>
      <c r="J947" s="8">
        <f>IFERROR(INDEX(спр_Материалы!$B$2:$B$9000,MATCH($I947,спр_Материалы!$A$2:$A$9000,0)),"")</f>
        <v/>
      </c>
      <c r="K947">
        <f>IF($I947="","",IF($F947=IFERROR(INDEX(спр_Материалы!$G$2:$G$9000,MATCH($I947,спр_Материалы!$A$2:$A$9000,0)),""),"OK","!! не та группа"))</f>
        <v/>
      </c>
      <c r="L947" s="10">
        <f>IFERROR(INDEX(спр_Работы!$H$2:$H$6000,MATCH($C947,спр_Работы!$A$2:$A$6000,0))*(1-ДисконтТендер),0)</f>
        <v/>
      </c>
      <c r="M947" s="10">
        <f>IF($I947="",0,IFERROR(INDEX(спр_Материалы!$I$2:$I$9000,MATCH($I947,спр_Материалы!$A$2:$A$9000,0))*IF(INDEX(спр_Материалы!$J$2:$J$9000,MATCH($I947,спр_Материалы!$A$2:$A$9000,0))="USD",КурсUSD,IF(INDEX(спр_Материалы!$J$2:$J$9000,MATCH($I947,спр_Материалы!$A$2:$A$9000,0))="EUR",КурсEUR,1))*INDEX(спр_Материалы!$K$2:$K$9000,MATCH($I947,спр_Материалы!$A$2:$A$9000,0))*(1+IFERROR(INDEX(спр_Работы!$I$2:$I$6000,MATCH($C947,спр_Работы!$A$2:$A$6000,0))/100,0))*(1-ДисконтТендер),0))</f>
        <v/>
      </c>
      <c r="N947" s="10">
        <f>IF(AND($R947="да",$H947&lt;&gt;""),ROUND($H947*$L947,2),0)</f>
        <v/>
      </c>
      <c r="O947" s="10">
        <f>IF(AND($R947="да",$H947&lt;&gt;""),ROUND($H947*$M947,2),0)</f>
        <v/>
      </c>
      <c r="P947" s="10">
        <f>$N947+$O947</f>
        <v/>
      </c>
      <c r="Q947">
        <f>IFERROR(INDEX(спр_Работы!$J$2:$J$6000,MATCH($C947,спр_Работы!$A$2:$A$6000,0)),"")</f>
        <v/>
      </c>
      <c r="R947" t="inlineStr">
        <is>
          <t>да</t>
        </is>
      </c>
      <c r="T947">
        <f>IF(AND($P947&gt;0,$R947="да"),MAX($T$1:$T946)+1,"")</f>
        <v/>
      </c>
    </row>
    <row r="948">
      <c r="A948" s="11">
        <f>IFERROR(INDEX(спр_Работы!$D$2:$D$6000,MATCH($C948,спр_Работы!$A$2:$A$6000,0)),"")</f>
        <v/>
      </c>
      <c r="B948">
        <f>IFERROR(INDEX(спр_Работы!$F$2:$F$6000,MATCH($C948,спр_Работы!$A$2:$A$6000,0)),"")</f>
        <v/>
      </c>
      <c r="C948">
        <f>IFERROR(INDEX(спр_Работы!$A$2:$A$6000,947),"")</f>
        <v/>
      </c>
      <c r="D948" s="8">
        <f>IFERROR(INDEX(спр_Работы!$B$2:$B$6000,MATCH($C948,спр_Работы!$A$2:$A$6000,0)),"")</f>
        <v/>
      </c>
      <c r="E948">
        <f>IFERROR(INDEX(спр_Работы!$C$2:$C$6000,MATCH($C948,спр_Работы!$A$2:$A$6000,0)),"")</f>
        <v/>
      </c>
      <c r="F948">
        <f>IFERROR(INDEX(спр_Работы!$G$2:$G$6000,MATCH($C948,спр_Работы!$A$2:$A$6000,0)),"")</f>
        <v/>
      </c>
      <c r="G948">
        <f>IFERROR(INDEX(спр_Работы!$K$2:$K$6000,MATCH($C948,спр_Работы!$A$2:$A$6000,0)),"")</f>
        <v/>
      </c>
      <c r="H948" s="9" t="n"/>
      <c r="I948" s="9" t="n"/>
      <c r="J948" s="8">
        <f>IFERROR(INDEX(спр_Материалы!$B$2:$B$9000,MATCH($I948,спр_Материалы!$A$2:$A$9000,0)),"")</f>
        <v/>
      </c>
      <c r="K948">
        <f>IF($I948="","",IF($F948=IFERROR(INDEX(спр_Материалы!$G$2:$G$9000,MATCH($I948,спр_Материалы!$A$2:$A$9000,0)),""),"OK","!! не та группа"))</f>
        <v/>
      </c>
      <c r="L948" s="10">
        <f>IFERROR(INDEX(спр_Работы!$H$2:$H$6000,MATCH($C948,спр_Работы!$A$2:$A$6000,0))*(1-ДисконтТендер),0)</f>
        <v/>
      </c>
      <c r="M948" s="10">
        <f>IF($I948="",0,IFERROR(INDEX(спр_Материалы!$I$2:$I$9000,MATCH($I948,спр_Материалы!$A$2:$A$9000,0))*IF(INDEX(спр_Материалы!$J$2:$J$9000,MATCH($I948,спр_Материалы!$A$2:$A$9000,0))="USD",КурсUSD,IF(INDEX(спр_Материалы!$J$2:$J$9000,MATCH($I948,спр_Материалы!$A$2:$A$9000,0))="EUR",КурсEUR,1))*INDEX(спр_Материалы!$K$2:$K$9000,MATCH($I948,спр_Материалы!$A$2:$A$9000,0))*(1+IFERROR(INDEX(спр_Работы!$I$2:$I$6000,MATCH($C948,спр_Работы!$A$2:$A$6000,0))/100,0))*(1-ДисконтТендер),0))</f>
        <v/>
      </c>
      <c r="N948" s="10">
        <f>IF(AND($R948="да",$H948&lt;&gt;""),ROUND($H948*$L948,2),0)</f>
        <v/>
      </c>
      <c r="O948" s="10">
        <f>IF(AND($R948="да",$H948&lt;&gt;""),ROUND($H948*$M948,2),0)</f>
        <v/>
      </c>
      <c r="P948" s="10">
        <f>$N948+$O948</f>
        <v/>
      </c>
      <c r="Q948">
        <f>IFERROR(INDEX(спр_Работы!$J$2:$J$6000,MATCH($C948,спр_Работы!$A$2:$A$6000,0)),"")</f>
        <v/>
      </c>
      <c r="R948" t="inlineStr">
        <is>
          <t>да</t>
        </is>
      </c>
      <c r="T948">
        <f>IF(AND($P948&gt;0,$R948="да"),MAX($T$1:$T947)+1,"")</f>
        <v/>
      </c>
    </row>
    <row r="949">
      <c r="A949" s="11">
        <f>IFERROR(INDEX(спр_Работы!$D$2:$D$6000,MATCH($C949,спр_Работы!$A$2:$A$6000,0)),"")</f>
        <v/>
      </c>
      <c r="B949">
        <f>IFERROR(INDEX(спр_Работы!$F$2:$F$6000,MATCH($C949,спр_Работы!$A$2:$A$6000,0)),"")</f>
        <v/>
      </c>
      <c r="C949">
        <f>IFERROR(INDEX(спр_Работы!$A$2:$A$6000,948),"")</f>
        <v/>
      </c>
      <c r="D949" s="8">
        <f>IFERROR(INDEX(спр_Работы!$B$2:$B$6000,MATCH($C949,спр_Работы!$A$2:$A$6000,0)),"")</f>
        <v/>
      </c>
      <c r="E949">
        <f>IFERROR(INDEX(спр_Работы!$C$2:$C$6000,MATCH($C949,спр_Работы!$A$2:$A$6000,0)),"")</f>
        <v/>
      </c>
      <c r="F949">
        <f>IFERROR(INDEX(спр_Работы!$G$2:$G$6000,MATCH($C949,спр_Работы!$A$2:$A$6000,0)),"")</f>
        <v/>
      </c>
      <c r="G949">
        <f>IFERROR(INDEX(спр_Работы!$K$2:$K$6000,MATCH($C949,спр_Работы!$A$2:$A$6000,0)),"")</f>
        <v/>
      </c>
      <c r="H949" s="9" t="n"/>
      <c r="I949" s="9" t="n"/>
      <c r="J949" s="8">
        <f>IFERROR(INDEX(спр_Материалы!$B$2:$B$9000,MATCH($I949,спр_Материалы!$A$2:$A$9000,0)),"")</f>
        <v/>
      </c>
      <c r="K949">
        <f>IF($I949="","",IF($F949=IFERROR(INDEX(спр_Материалы!$G$2:$G$9000,MATCH($I949,спр_Материалы!$A$2:$A$9000,0)),""),"OK","!! не та группа"))</f>
        <v/>
      </c>
      <c r="L949" s="10">
        <f>IFERROR(INDEX(спр_Работы!$H$2:$H$6000,MATCH($C949,спр_Работы!$A$2:$A$6000,0))*(1-ДисконтТендер),0)</f>
        <v/>
      </c>
      <c r="M949" s="10">
        <f>IF($I949="",0,IFERROR(INDEX(спр_Материалы!$I$2:$I$9000,MATCH($I949,спр_Материалы!$A$2:$A$9000,0))*IF(INDEX(спр_Материалы!$J$2:$J$9000,MATCH($I949,спр_Материалы!$A$2:$A$9000,0))="USD",КурсUSD,IF(INDEX(спр_Материалы!$J$2:$J$9000,MATCH($I949,спр_Материалы!$A$2:$A$9000,0))="EUR",КурсEUR,1))*INDEX(спр_Материалы!$K$2:$K$9000,MATCH($I949,спр_Материалы!$A$2:$A$9000,0))*(1+IFERROR(INDEX(спр_Работы!$I$2:$I$6000,MATCH($C949,спр_Работы!$A$2:$A$6000,0))/100,0))*(1-ДисконтТендер),0))</f>
        <v/>
      </c>
      <c r="N949" s="10">
        <f>IF(AND($R949="да",$H949&lt;&gt;""),ROUND($H949*$L949,2),0)</f>
        <v/>
      </c>
      <c r="O949" s="10">
        <f>IF(AND($R949="да",$H949&lt;&gt;""),ROUND($H949*$M949,2),0)</f>
        <v/>
      </c>
      <c r="P949" s="10">
        <f>$N949+$O949</f>
        <v/>
      </c>
      <c r="Q949">
        <f>IFERROR(INDEX(спр_Работы!$J$2:$J$6000,MATCH($C949,спр_Работы!$A$2:$A$6000,0)),"")</f>
        <v/>
      </c>
      <c r="R949" t="inlineStr">
        <is>
          <t>да</t>
        </is>
      </c>
      <c r="T949">
        <f>IF(AND($P949&gt;0,$R949="да"),MAX($T$1:$T948)+1,"")</f>
        <v/>
      </c>
    </row>
    <row r="950">
      <c r="A950" s="11">
        <f>IFERROR(INDEX(спр_Работы!$D$2:$D$6000,MATCH($C950,спр_Работы!$A$2:$A$6000,0)),"")</f>
        <v/>
      </c>
      <c r="B950">
        <f>IFERROR(INDEX(спр_Работы!$F$2:$F$6000,MATCH($C950,спр_Работы!$A$2:$A$6000,0)),"")</f>
        <v/>
      </c>
      <c r="C950">
        <f>IFERROR(INDEX(спр_Работы!$A$2:$A$6000,949),"")</f>
        <v/>
      </c>
      <c r="D950" s="8">
        <f>IFERROR(INDEX(спр_Работы!$B$2:$B$6000,MATCH($C950,спр_Работы!$A$2:$A$6000,0)),"")</f>
        <v/>
      </c>
      <c r="E950">
        <f>IFERROR(INDEX(спр_Работы!$C$2:$C$6000,MATCH($C950,спр_Работы!$A$2:$A$6000,0)),"")</f>
        <v/>
      </c>
      <c r="F950">
        <f>IFERROR(INDEX(спр_Работы!$G$2:$G$6000,MATCH($C950,спр_Работы!$A$2:$A$6000,0)),"")</f>
        <v/>
      </c>
      <c r="G950">
        <f>IFERROR(INDEX(спр_Работы!$K$2:$K$6000,MATCH($C950,спр_Работы!$A$2:$A$6000,0)),"")</f>
        <v/>
      </c>
      <c r="H950" s="9" t="n"/>
      <c r="I950" s="9" t="n"/>
      <c r="J950" s="8">
        <f>IFERROR(INDEX(спр_Материалы!$B$2:$B$9000,MATCH($I950,спр_Материалы!$A$2:$A$9000,0)),"")</f>
        <v/>
      </c>
      <c r="K950">
        <f>IF($I950="","",IF($F950=IFERROR(INDEX(спр_Материалы!$G$2:$G$9000,MATCH($I950,спр_Материалы!$A$2:$A$9000,0)),""),"OK","!! не та группа"))</f>
        <v/>
      </c>
      <c r="L950" s="10">
        <f>IFERROR(INDEX(спр_Работы!$H$2:$H$6000,MATCH($C950,спр_Работы!$A$2:$A$6000,0))*(1-ДисконтТендер),0)</f>
        <v/>
      </c>
      <c r="M950" s="10">
        <f>IF($I950="",0,IFERROR(INDEX(спр_Материалы!$I$2:$I$9000,MATCH($I950,спр_Материалы!$A$2:$A$9000,0))*IF(INDEX(спр_Материалы!$J$2:$J$9000,MATCH($I950,спр_Материалы!$A$2:$A$9000,0))="USD",КурсUSD,IF(INDEX(спр_Материалы!$J$2:$J$9000,MATCH($I950,спр_Материалы!$A$2:$A$9000,0))="EUR",КурсEUR,1))*INDEX(спр_Материалы!$K$2:$K$9000,MATCH($I950,спр_Материалы!$A$2:$A$9000,0))*(1+IFERROR(INDEX(спр_Работы!$I$2:$I$6000,MATCH($C950,спр_Работы!$A$2:$A$6000,0))/100,0))*(1-ДисконтТендер),0))</f>
        <v/>
      </c>
      <c r="N950" s="10">
        <f>IF(AND($R950="да",$H950&lt;&gt;""),ROUND($H950*$L950,2),0)</f>
        <v/>
      </c>
      <c r="O950" s="10">
        <f>IF(AND($R950="да",$H950&lt;&gt;""),ROUND($H950*$M950,2),0)</f>
        <v/>
      </c>
      <c r="P950" s="10">
        <f>$N950+$O950</f>
        <v/>
      </c>
      <c r="Q950">
        <f>IFERROR(INDEX(спр_Работы!$J$2:$J$6000,MATCH($C950,спр_Работы!$A$2:$A$6000,0)),"")</f>
        <v/>
      </c>
      <c r="R950" t="inlineStr">
        <is>
          <t>да</t>
        </is>
      </c>
      <c r="T950">
        <f>IF(AND($P950&gt;0,$R950="да"),MAX($T$1:$T949)+1,"")</f>
        <v/>
      </c>
    </row>
    <row r="951">
      <c r="A951" s="11">
        <f>IFERROR(INDEX(спр_Работы!$D$2:$D$6000,MATCH($C951,спр_Работы!$A$2:$A$6000,0)),"")</f>
        <v/>
      </c>
      <c r="B951">
        <f>IFERROR(INDEX(спр_Работы!$F$2:$F$6000,MATCH($C951,спр_Работы!$A$2:$A$6000,0)),"")</f>
        <v/>
      </c>
      <c r="C951">
        <f>IFERROR(INDEX(спр_Работы!$A$2:$A$6000,950),"")</f>
        <v/>
      </c>
      <c r="D951" s="8">
        <f>IFERROR(INDEX(спр_Работы!$B$2:$B$6000,MATCH($C951,спр_Работы!$A$2:$A$6000,0)),"")</f>
        <v/>
      </c>
      <c r="E951">
        <f>IFERROR(INDEX(спр_Работы!$C$2:$C$6000,MATCH($C951,спр_Работы!$A$2:$A$6000,0)),"")</f>
        <v/>
      </c>
      <c r="F951">
        <f>IFERROR(INDEX(спр_Работы!$G$2:$G$6000,MATCH($C951,спр_Работы!$A$2:$A$6000,0)),"")</f>
        <v/>
      </c>
      <c r="G951">
        <f>IFERROR(INDEX(спр_Работы!$K$2:$K$6000,MATCH($C951,спр_Работы!$A$2:$A$6000,0)),"")</f>
        <v/>
      </c>
      <c r="H951" s="9" t="n"/>
      <c r="I951" s="9" t="n"/>
      <c r="J951" s="8">
        <f>IFERROR(INDEX(спр_Материалы!$B$2:$B$9000,MATCH($I951,спр_Материалы!$A$2:$A$9000,0)),"")</f>
        <v/>
      </c>
      <c r="K951">
        <f>IF($I951="","",IF($F951=IFERROR(INDEX(спр_Материалы!$G$2:$G$9000,MATCH($I951,спр_Материалы!$A$2:$A$9000,0)),""),"OK","!! не та группа"))</f>
        <v/>
      </c>
      <c r="L951" s="10">
        <f>IFERROR(INDEX(спр_Работы!$H$2:$H$6000,MATCH($C951,спр_Работы!$A$2:$A$6000,0))*(1-ДисконтТендер),0)</f>
        <v/>
      </c>
      <c r="M951" s="10">
        <f>IF($I951="",0,IFERROR(INDEX(спр_Материалы!$I$2:$I$9000,MATCH($I951,спр_Материалы!$A$2:$A$9000,0))*IF(INDEX(спр_Материалы!$J$2:$J$9000,MATCH($I951,спр_Материалы!$A$2:$A$9000,0))="USD",КурсUSD,IF(INDEX(спр_Материалы!$J$2:$J$9000,MATCH($I951,спр_Материалы!$A$2:$A$9000,0))="EUR",КурсEUR,1))*INDEX(спр_Материалы!$K$2:$K$9000,MATCH($I951,спр_Материалы!$A$2:$A$9000,0))*(1+IFERROR(INDEX(спр_Работы!$I$2:$I$6000,MATCH($C951,спр_Работы!$A$2:$A$6000,0))/100,0))*(1-ДисконтТендер),0))</f>
        <v/>
      </c>
      <c r="N951" s="10">
        <f>IF(AND($R951="да",$H951&lt;&gt;""),ROUND($H951*$L951,2),0)</f>
        <v/>
      </c>
      <c r="O951" s="10">
        <f>IF(AND($R951="да",$H951&lt;&gt;""),ROUND($H951*$M951,2),0)</f>
        <v/>
      </c>
      <c r="P951" s="10">
        <f>$N951+$O951</f>
        <v/>
      </c>
      <c r="Q951">
        <f>IFERROR(INDEX(спр_Работы!$J$2:$J$6000,MATCH($C951,спр_Работы!$A$2:$A$6000,0)),"")</f>
        <v/>
      </c>
      <c r="R951" t="inlineStr">
        <is>
          <t>да</t>
        </is>
      </c>
      <c r="T951">
        <f>IF(AND($P951&gt;0,$R951="да"),MAX($T$1:$T950)+1,"")</f>
        <v/>
      </c>
    </row>
    <row r="952">
      <c r="A952" s="11">
        <f>IFERROR(INDEX(спр_Работы!$D$2:$D$6000,MATCH($C952,спр_Работы!$A$2:$A$6000,0)),"")</f>
        <v/>
      </c>
      <c r="B952">
        <f>IFERROR(INDEX(спр_Работы!$F$2:$F$6000,MATCH($C952,спр_Работы!$A$2:$A$6000,0)),"")</f>
        <v/>
      </c>
      <c r="C952">
        <f>IFERROR(INDEX(спр_Работы!$A$2:$A$6000,951),"")</f>
        <v/>
      </c>
      <c r="D952" s="8">
        <f>IFERROR(INDEX(спр_Работы!$B$2:$B$6000,MATCH($C952,спр_Работы!$A$2:$A$6000,0)),"")</f>
        <v/>
      </c>
      <c r="E952">
        <f>IFERROR(INDEX(спр_Работы!$C$2:$C$6000,MATCH($C952,спр_Работы!$A$2:$A$6000,0)),"")</f>
        <v/>
      </c>
      <c r="F952">
        <f>IFERROR(INDEX(спр_Работы!$G$2:$G$6000,MATCH($C952,спр_Работы!$A$2:$A$6000,0)),"")</f>
        <v/>
      </c>
      <c r="G952">
        <f>IFERROR(INDEX(спр_Работы!$K$2:$K$6000,MATCH($C952,спр_Работы!$A$2:$A$6000,0)),"")</f>
        <v/>
      </c>
      <c r="H952" s="9" t="n"/>
      <c r="I952" s="9" t="n"/>
      <c r="J952" s="8">
        <f>IFERROR(INDEX(спр_Материалы!$B$2:$B$9000,MATCH($I952,спр_Материалы!$A$2:$A$9000,0)),"")</f>
        <v/>
      </c>
      <c r="K952">
        <f>IF($I952="","",IF($F952=IFERROR(INDEX(спр_Материалы!$G$2:$G$9000,MATCH($I952,спр_Материалы!$A$2:$A$9000,0)),""),"OK","!! не та группа"))</f>
        <v/>
      </c>
      <c r="L952" s="10">
        <f>IFERROR(INDEX(спр_Работы!$H$2:$H$6000,MATCH($C952,спр_Работы!$A$2:$A$6000,0))*(1-ДисконтТендер),0)</f>
        <v/>
      </c>
      <c r="M952" s="10">
        <f>IF($I952="",0,IFERROR(INDEX(спр_Материалы!$I$2:$I$9000,MATCH($I952,спр_Материалы!$A$2:$A$9000,0))*IF(INDEX(спр_Материалы!$J$2:$J$9000,MATCH($I952,спр_Материалы!$A$2:$A$9000,0))="USD",КурсUSD,IF(INDEX(спр_Материалы!$J$2:$J$9000,MATCH($I952,спр_Материалы!$A$2:$A$9000,0))="EUR",КурсEUR,1))*INDEX(спр_Материалы!$K$2:$K$9000,MATCH($I952,спр_Материалы!$A$2:$A$9000,0))*(1+IFERROR(INDEX(спр_Работы!$I$2:$I$6000,MATCH($C952,спр_Работы!$A$2:$A$6000,0))/100,0))*(1-ДисконтТендер),0))</f>
        <v/>
      </c>
      <c r="N952" s="10">
        <f>IF(AND($R952="да",$H952&lt;&gt;""),ROUND($H952*$L952,2),0)</f>
        <v/>
      </c>
      <c r="O952" s="10">
        <f>IF(AND($R952="да",$H952&lt;&gt;""),ROUND($H952*$M952,2),0)</f>
        <v/>
      </c>
      <c r="P952" s="10">
        <f>$N952+$O952</f>
        <v/>
      </c>
      <c r="Q952">
        <f>IFERROR(INDEX(спр_Работы!$J$2:$J$6000,MATCH($C952,спр_Работы!$A$2:$A$6000,0)),"")</f>
        <v/>
      </c>
      <c r="R952" t="inlineStr">
        <is>
          <t>да</t>
        </is>
      </c>
      <c r="T952">
        <f>IF(AND($P952&gt;0,$R952="да"),MAX($T$1:$T951)+1,"")</f>
        <v/>
      </c>
    </row>
    <row r="953">
      <c r="A953" s="11">
        <f>IFERROR(INDEX(спр_Работы!$D$2:$D$6000,MATCH($C953,спр_Работы!$A$2:$A$6000,0)),"")</f>
        <v/>
      </c>
      <c r="B953">
        <f>IFERROR(INDEX(спр_Работы!$F$2:$F$6000,MATCH($C953,спр_Работы!$A$2:$A$6000,0)),"")</f>
        <v/>
      </c>
      <c r="C953">
        <f>IFERROR(INDEX(спр_Работы!$A$2:$A$6000,952),"")</f>
        <v/>
      </c>
      <c r="D953" s="8">
        <f>IFERROR(INDEX(спр_Работы!$B$2:$B$6000,MATCH($C953,спр_Работы!$A$2:$A$6000,0)),"")</f>
        <v/>
      </c>
      <c r="E953">
        <f>IFERROR(INDEX(спр_Работы!$C$2:$C$6000,MATCH($C953,спр_Работы!$A$2:$A$6000,0)),"")</f>
        <v/>
      </c>
      <c r="F953">
        <f>IFERROR(INDEX(спр_Работы!$G$2:$G$6000,MATCH($C953,спр_Работы!$A$2:$A$6000,0)),"")</f>
        <v/>
      </c>
      <c r="G953">
        <f>IFERROR(INDEX(спр_Работы!$K$2:$K$6000,MATCH($C953,спр_Работы!$A$2:$A$6000,0)),"")</f>
        <v/>
      </c>
      <c r="H953" s="9" t="n"/>
      <c r="I953" s="9" t="n"/>
      <c r="J953" s="8">
        <f>IFERROR(INDEX(спр_Материалы!$B$2:$B$9000,MATCH($I953,спр_Материалы!$A$2:$A$9000,0)),"")</f>
        <v/>
      </c>
      <c r="K953">
        <f>IF($I953="","",IF($F953=IFERROR(INDEX(спр_Материалы!$G$2:$G$9000,MATCH($I953,спр_Материалы!$A$2:$A$9000,0)),""),"OK","!! не та группа"))</f>
        <v/>
      </c>
      <c r="L953" s="10">
        <f>IFERROR(INDEX(спр_Работы!$H$2:$H$6000,MATCH($C953,спр_Работы!$A$2:$A$6000,0))*(1-ДисконтТендер),0)</f>
        <v/>
      </c>
      <c r="M953" s="10">
        <f>IF($I953="",0,IFERROR(INDEX(спр_Материалы!$I$2:$I$9000,MATCH($I953,спр_Материалы!$A$2:$A$9000,0))*IF(INDEX(спр_Материалы!$J$2:$J$9000,MATCH($I953,спр_Материалы!$A$2:$A$9000,0))="USD",КурсUSD,IF(INDEX(спр_Материалы!$J$2:$J$9000,MATCH($I953,спр_Материалы!$A$2:$A$9000,0))="EUR",КурсEUR,1))*INDEX(спр_Материалы!$K$2:$K$9000,MATCH($I953,спр_Материалы!$A$2:$A$9000,0))*(1+IFERROR(INDEX(спр_Работы!$I$2:$I$6000,MATCH($C953,спр_Работы!$A$2:$A$6000,0))/100,0))*(1-ДисконтТендер),0))</f>
        <v/>
      </c>
      <c r="N953" s="10">
        <f>IF(AND($R953="да",$H953&lt;&gt;""),ROUND($H953*$L953,2),0)</f>
        <v/>
      </c>
      <c r="O953" s="10">
        <f>IF(AND($R953="да",$H953&lt;&gt;""),ROUND($H953*$M953,2),0)</f>
        <v/>
      </c>
      <c r="P953" s="10">
        <f>$N953+$O953</f>
        <v/>
      </c>
      <c r="Q953">
        <f>IFERROR(INDEX(спр_Работы!$J$2:$J$6000,MATCH($C953,спр_Работы!$A$2:$A$6000,0)),"")</f>
        <v/>
      </c>
      <c r="R953" t="inlineStr">
        <is>
          <t>да</t>
        </is>
      </c>
      <c r="T953">
        <f>IF(AND($P953&gt;0,$R953="да"),MAX($T$1:$T952)+1,"")</f>
        <v/>
      </c>
    </row>
    <row r="954">
      <c r="A954" s="11">
        <f>IFERROR(INDEX(спр_Работы!$D$2:$D$6000,MATCH($C954,спр_Работы!$A$2:$A$6000,0)),"")</f>
        <v/>
      </c>
      <c r="B954">
        <f>IFERROR(INDEX(спр_Работы!$F$2:$F$6000,MATCH($C954,спр_Работы!$A$2:$A$6000,0)),"")</f>
        <v/>
      </c>
      <c r="C954">
        <f>IFERROR(INDEX(спр_Работы!$A$2:$A$6000,953),"")</f>
        <v/>
      </c>
      <c r="D954" s="8">
        <f>IFERROR(INDEX(спр_Работы!$B$2:$B$6000,MATCH($C954,спр_Работы!$A$2:$A$6000,0)),"")</f>
        <v/>
      </c>
      <c r="E954">
        <f>IFERROR(INDEX(спр_Работы!$C$2:$C$6000,MATCH($C954,спр_Работы!$A$2:$A$6000,0)),"")</f>
        <v/>
      </c>
      <c r="F954">
        <f>IFERROR(INDEX(спр_Работы!$G$2:$G$6000,MATCH($C954,спр_Работы!$A$2:$A$6000,0)),"")</f>
        <v/>
      </c>
      <c r="G954">
        <f>IFERROR(INDEX(спр_Работы!$K$2:$K$6000,MATCH($C954,спр_Работы!$A$2:$A$6000,0)),"")</f>
        <v/>
      </c>
      <c r="H954" s="9" t="n"/>
      <c r="I954" s="9" t="n"/>
      <c r="J954" s="8">
        <f>IFERROR(INDEX(спр_Материалы!$B$2:$B$9000,MATCH($I954,спр_Материалы!$A$2:$A$9000,0)),"")</f>
        <v/>
      </c>
      <c r="K954">
        <f>IF($I954="","",IF($F954=IFERROR(INDEX(спр_Материалы!$G$2:$G$9000,MATCH($I954,спр_Материалы!$A$2:$A$9000,0)),""),"OK","!! не та группа"))</f>
        <v/>
      </c>
      <c r="L954" s="10">
        <f>IFERROR(INDEX(спр_Работы!$H$2:$H$6000,MATCH($C954,спр_Работы!$A$2:$A$6000,0))*(1-ДисконтТендер),0)</f>
        <v/>
      </c>
      <c r="M954" s="10">
        <f>IF($I954="",0,IFERROR(INDEX(спр_Материалы!$I$2:$I$9000,MATCH($I954,спр_Материалы!$A$2:$A$9000,0))*IF(INDEX(спр_Материалы!$J$2:$J$9000,MATCH($I954,спр_Материалы!$A$2:$A$9000,0))="USD",КурсUSD,IF(INDEX(спр_Материалы!$J$2:$J$9000,MATCH($I954,спр_Материалы!$A$2:$A$9000,0))="EUR",КурсEUR,1))*INDEX(спр_Материалы!$K$2:$K$9000,MATCH($I954,спр_Материалы!$A$2:$A$9000,0))*(1+IFERROR(INDEX(спр_Работы!$I$2:$I$6000,MATCH($C954,спр_Работы!$A$2:$A$6000,0))/100,0))*(1-ДисконтТендер),0))</f>
        <v/>
      </c>
      <c r="N954" s="10">
        <f>IF(AND($R954="да",$H954&lt;&gt;""),ROUND($H954*$L954,2),0)</f>
        <v/>
      </c>
      <c r="O954" s="10">
        <f>IF(AND($R954="да",$H954&lt;&gt;""),ROUND($H954*$M954,2),0)</f>
        <v/>
      </c>
      <c r="P954" s="10">
        <f>$N954+$O954</f>
        <v/>
      </c>
      <c r="Q954">
        <f>IFERROR(INDEX(спр_Работы!$J$2:$J$6000,MATCH($C954,спр_Работы!$A$2:$A$6000,0)),"")</f>
        <v/>
      </c>
      <c r="R954" t="inlineStr">
        <is>
          <t>да</t>
        </is>
      </c>
      <c r="T954">
        <f>IF(AND($P954&gt;0,$R954="да"),MAX($T$1:$T953)+1,"")</f>
        <v/>
      </c>
    </row>
    <row r="955">
      <c r="A955" s="11">
        <f>IFERROR(INDEX(спр_Работы!$D$2:$D$6000,MATCH($C955,спр_Работы!$A$2:$A$6000,0)),"")</f>
        <v/>
      </c>
      <c r="B955">
        <f>IFERROR(INDEX(спр_Работы!$F$2:$F$6000,MATCH($C955,спр_Работы!$A$2:$A$6000,0)),"")</f>
        <v/>
      </c>
      <c r="C955">
        <f>IFERROR(INDEX(спр_Работы!$A$2:$A$6000,954),"")</f>
        <v/>
      </c>
      <c r="D955" s="8">
        <f>IFERROR(INDEX(спр_Работы!$B$2:$B$6000,MATCH($C955,спр_Работы!$A$2:$A$6000,0)),"")</f>
        <v/>
      </c>
      <c r="E955">
        <f>IFERROR(INDEX(спр_Работы!$C$2:$C$6000,MATCH($C955,спр_Работы!$A$2:$A$6000,0)),"")</f>
        <v/>
      </c>
      <c r="F955">
        <f>IFERROR(INDEX(спр_Работы!$G$2:$G$6000,MATCH($C955,спр_Работы!$A$2:$A$6000,0)),"")</f>
        <v/>
      </c>
      <c r="G955">
        <f>IFERROR(INDEX(спр_Работы!$K$2:$K$6000,MATCH($C955,спр_Работы!$A$2:$A$6000,0)),"")</f>
        <v/>
      </c>
      <c r="H955" s="9" t="n"/>
      <c r="I955" s="9" t="n"/>
      <c r="J955" s="8">
        <f>IFERROR(INDEX(спр_Материалы!$B$2:$B$9000,MATCH($I955,спр_Материалы!$A$2:$A$9000,0)),"")</f>
        <v/>
      </c>
      <c r="K955">
        <f>IF($I955="","",IF($F955=IFERROR(INDEX(спр_Материалы!$G$2:$G$9000,MATCH($I955,спр_Материалы!$A$2:$A$9000,0)),""),"OK","!! не та группа"))</f>
        <v/>
      </c>
      <c r="L955" s="10">
        <f>IFERROR(INDEX(спр_Работы!$H$2:$H$6000,MATCH($C955,спр_Работы!$A$2:$A$6000,0))*(1-ДисконтТендер),0)</f>
        <v/>
      </c>
      <c r="M955" s="10">
        <f>IF($I955="",0,IFERROR(INDEX(спр_Материалы!$I$2:$I$9000,MATCH($I955,спр_Материалы!$A$2:$A$9000,0))*IF(INDEX(спр_Материалы!$J$2:$J$9000,MATCH($I955,спр_Материалы!$A$2:$A$9000,0))="USD",КурсUSD,IF(INDEX(спр_Материалы!$J$2:$J$9000,MATCH($I955,спр_Материалы!$A$2:$A$9000,0))="EUR",КурсEUR,1))*INDEX(спр_Материалы!$K$2:$K$9000,MATCH($I955,спр_Материалы!$A$2:$A$9000,0))*(1+IFERROR(INDEX(спр_Работы!$I$2:$I$6000,MATCH($C955,спр_Работы!$A$2:$A$6000,0))/100,0))*(1-ДисконтТендер),0))</f>
        <v/>
      </c>
      <c r="N955" s="10">
        <f>IF(AND($R955="да",$H955&lt;&gt;""),ROUND($H955*$L955,2),0)</f>
        <v/>
      </c>
      <c r="O955" s="10">
        <f>IF(AND($R955="да",$H955&lt;&gt;""),ROUND($H955*$M955,2),0)</f>
        <v/>
      </c>
      <c r="P955" s="10">
        <f>$N955+$O955</f>
        <v/>
      </c>
      <c r="Q955">
        <f>IFERROR(INDEX(спр_Работы!$J$2:$J$6000,MATCH($C955,спр_Работы!$A$2:$A$6000,0)),"")</f>
        <v/>
      </c>
      <c r="R955" t="inlineStr">
        <is>
          <t>да</t>
        </is>
      </c>
      <c r="T955">
        <f>IF(AND($P955&gt;0,$R955="да"),MAX($T$1:$T954)+1,"")</f>
        <v/>
      </c>
    </row>
    <row r="956">
      <c r="A956" s="11">
        <f>IFERROR(INDEX(спр_Работы!$D$2:$D$6000,MATCH($C956,спр_Работы!$A$2:$A$6000,0)),"")</f>
        <v/>
      </c>
      <c r="B956">
        <f>IFERROR(INDEX(спр_Работы!$F$2:$F$6000,MATCH($C956,спр_Работы!$A$2:$A$6000,0)),"")</f>
        <v/>
      </c>
      <c r="C956">
        <f>IFERROR(INDEX(спр_Работы!$A$2:$A$6000,955),"")</f>
        <v/>
      </c>
      <c r="D956" s="8">
        <f>IFERROR(INDEX(спр_Работы!$B$2:$B$6000,MATCH($C956,спр_Работы!$A$2:$A$6000,0)),"")</f>
        <v/>
      </c>
      <c r="E956">
        <f>IFERROR(INDEX(спр_Работы!$C$2:$C$6000,MATCH($C956,спр_Работы!$A$2:$A$6000,0)),"")</f>
        <v/>
      </c>
      <c r="F956">
        <f>IFERROR(INDEX(спр_Работы!$G$2:$G$6000,MATCH($C956,спр_Работы!$A$2:$A$6000,0)),"")</f>
        <v/>
      </c>
      <c r="G956">
        <f>IFERROR(INDEX(спр_Работы!$K$2:$K$6000,MATCH($C956,спр_Работы!$A$2:$A$6000,0)),"")</f>
        <v/>
      </c>
      <c r="H956" s="9" t="n"/>
      <c r="I956" s="9" t="n"/>
      <c r="J956" s="8">
        <f>IFERROR(INDEX(спр_Материалы!$B$2:$B$9000,MATCH($I956,спр_Материалы!$A$2:$A$9000,0)),"")</f>
        <v/>
      </c>
      <c r="K956">
        <f>IF($I956="","",IF($F956=IFERROR(INDEX(спр_Материалы!$G$2:$G$9000,MATCH($I956,спр_Материалы!$A$2:$A$9000,0)),""),"OK","!! не та группа"))</f>
        <v/>
      </c>
      <c r="L956" s="10">
        <f>IFERROR(INDEX(спр_Работы!$H$2:$H$6000,MATCH($C956,спр_Работы!$A$2:$A$6000,0))*(1-ДисконтТендер),0)</f>
        <v/>
      </c>
      <c r="M956" s="10">
        <f>IF($I956="",0,IFERROR(INDEX(спр_Материалы!$I$2:$I$9000,MATCH($I956,спр_Материалы!$A$2:$A$9000,0))*IF(INDEX(спр_Материалы!$J$2:$J$9000,MATCH($I956,спр_Материалы!$A$2:$A$9000,0))="USD",КурсUSD,IF(INDEX(спр_Материалы!$J$2:$J$9000,MATCH($I956,спр_Материалы!$A$2:$A$9000,0))="EUR",КурсEUR,1))*INDEX(спр_Материалы!$K$2:$K$9000,MATCH($I956,спр_Материалы!$A$2:$A$9000,0))*(1+IFERROR(INDEX(спр_Работы!$I$2:$I$6000,MATCH($C956,спр_Работы!$A$2:$A$6000,0))/100,0))*(1-ДисконтТендер),0))</f>
        <v/>
      </c>
      <c r="N956" s="10">
        <f>IF(AND($R956="да",$H956&lt;&gt;""),ROUND($H956*$L956,2),0)</f>
        <v/>
      </c>
      <c r="O956" s="10">
        <f>IF(AND($R956="да",$H956&lt;&gt;""),ROUND($H956*$M956,2),0)</f>
        <v/>
      </c>
      <c r="P956" s="10">
        <f>$N956+$O956</f>
        <v/>
      </c>
      <c r="Q956">
        <f>IFERROR(INDEX(спр_Работы!$J$2:$J$6000,MATCH($C956,спр_Работы!$A$2:$A$6000,0)),"")</f>
        <v/>
      </c>
      <c r="R956" t="inlineStr">
        <is>
          <t>да</t>
        </is>
      </c>
      <c r="T956">
        <f>IF(AND($P956&gt;0,$R956="да"),MAX($T$1:$T955)+1,"")</f>
        <v/>
      </c>
    </row>
    <row r="957">
      <c r="A957" s="11">
        <f>IFERROR(INDEX(спр_Работы!$D$2:$D$6000,MATCH($C957,спр_Работы!$A$2:$A$6000,0)),"")</f>
        <v/>
      </c>
      <c r="B957">
        <f>IFERROR(INDEX(спр_Работы!$F$2:$F$6000,MATCH($C957,спр_Работы!$A$2:$A$6000,0)),"")</f>
        <v/>
      </c>
      <c r="C957">
        <f>IFERROR(INDEX(спр_Работы!$A$2:$A$6000,956),"")</f>
        <v/>
      </c>
      <c r="D957" s="8">
        <f>IFERROR(INDEX(спр_Работы!$B$2:$B$6000,MATCH($C957,спр_Работы!$A$2:$A$6000,0)),"")</f>
        <v/>
      </c>
      <c r="E957">
        <f>IFERROR(INDEX(спр_Работы!$C$2:$C$6000,MATCH($C957,спр_Работы!$A$2:$A$6000,0)),"")</f>
        <v/>
      </c>
      <c r="F957">
        <f>IFERROR(INDEX(спр_Работы!$G$2:$G$6000,MATCH($C957,спр_Работы!$A$2:$A$6000,0)),"")</f>
        <v/>
      </c>
      <c r="G957">
        <f>IFERROR(INDEX(спр_Работы!$K$2:$K$6000,MATCH($C957,спр_Работы!$A$2:$A$6000,0)),"")</f>
        <v/>
      </c>
      <c r="H957" s="9" t="n"/>
      <c r="I957" s="9" t="n"/>
      <c r="J957" s="8">
        <f>IFERROR(INDEX(спр_Материалы!$B$2:$B$9000,MATCH($I957,спр_Материалы!$A$2:$A$9000,0)),"")</f>
        <v/>
      </c>
      <c r="K957">
        <f>IF($I957="","",IF($F957=IFERROR(INDEX(спр_Материалы!$G$2:$G$9000,MATCH($I957,спр_Материалы!$A$2:$A$9000,0)),""),"OK","!! не та группа"))</f>
        <v/>
      </c>
      <c r="L957" s="10">
        <f>IFERROR(INDEX(спр_Работы!$H$2:$H$6000,MATCH($C957,спр_Работы!$A$2:$A$6000,0))*(1-ДисконтТендер),0)</f>
        <v/>
      </c>
      <c r="M957" s="10">
        <f>IF($I957="",0,IFERROR(INDEX(спр_Материалы!$I$2:$I$9000,MATCH($I957,спр_Материалы!$A$2:$A$9000,0))*IF(INDEX(спр_Материалы!$J$2:$J$9000,MATCH($I957,спр_Материалы!$A$2:$A$9000,0))="USD",КурсUSD,IF(INDEX(спр_Материалы!$J$2:$J$9000,MATCH($I957,спр_Материалы!$A$2:$A$9000,0))="EUR",КурсEUR,1))*INDEX(спр_Материалы!$K$2:$K$9000,MATCH($I957,спр_Материалы!$A$2:$A$9000,0))*(1+IFERROR(INDEX(спр_Работы!$I$2:$I$6000,MATCH($C957,спр_Работы!$A$2:$A$6000,0))/100,0))*(1-ДисконтТендер),0))</f>
        <v/>
      </c>
      <c r="N957" s="10">
        <f>IF(AND($R957="да",$H957&lt;&gt;""),ROUND($H957*$L957,2),0)</f>
        <v/>
      </c>
      <c r="O957" s="10">
        <f>IF(AND($R957="да",$H957&lt;&gt;""),ROUND($H957*$M957,2),0)</f>
        <v/>
      </c>
      <c r="P957" s="10">
        <f>$N957+$O957</f>
        <v/>
      </c>
      <c r="Q957">
        <f>IFERROR(INDEX(спр_Работы!$J$2:$J$6000,MATCH($C957,спр_Работы!$A$2:$A$6000,0)),"")</f>
        <v/>
      </c>
      <c r="R957" t="inlineStr">
        <is>
          <t>да</t>
        </is>
      </c>
      <c r="T957">
        <f>IF(AND($P957&gt;0,$R957="да"),MAX($T$1:$T956)+1,"")</f>
        <v/>
      </c>
    </row>
    <row r="958">
      <c r="A958" s="11">
        <f>IFERROR(INDEX(спр_Работы!$D$2:$D$6000,MATCH($C958,спр_Работы!$A$2:$A$6000,0)),"")</f>
        <v/>
      </c>
      <c r="B958">
        <f>IFERROR(INDEX(спр_Работы!$F$2:$F$6000,MATCH($C958,спр_Работы!$A$2:$A$6000,0)),"")</f>
        <v/>
      </c>
      <c r="C958">
        <f>IFERROR(INDEX(спр_Работы!$A$2:$A$6000,957),"")</f>
        <v/>
      </c>
      <c r="D958" s="8">
        <f>IFERROR(INDEX(спр_Работы!$B$2:$B$6000,MATCH($C958,спр_Работы!$A$2:$A$6000,0)),"")</f>
        <v/>
      </c>
      <c r="E958">
        <f>IFERROR(INDEX(спр_Работы!$C$2:$C$6000,MATCH($C958,спр_Работы!$A$2:$A$6000,0)),"")</f>
        <v/>
      </c>
      <c r="F958">
        <f>IFERROR(INDEX(спр_Работы!$G$2:$G$6000,MATCH($C958,спр_Работы!$A$2:$A$6000,0)),"")</f>
        <v/>
      </c>
      <c r="G958">
        <f>IFERROR(INDEX(спр_Работы!$K$2:$K$6000,MATCH($C958,спр_Работы!$A$2:$A$6000,0)),"")</f>
        <v/>
      </c>
      <c r="H958" s="9" t="n"/>
      <c r="I958" s="9" t="n"/>
      <c r="J958" s="8">
        <f>IFERROR(INDEX(спр_Материалы!$B$2:$B$9000,MATCH($I958,спр_Материалы!$A$2:$A$9000,0)),"")</f>
        <v/>
      </c>
      <c r="K958">
        <f>IF($I958="","",IF($F958=IFERROR(INDEX(спр_Материалы!$G$2:$G$9000,MATCH($I958,спр_Материалы!$A$2:$A$9000,0)),""),"OK","!! не та группа"))</f>
        <v/>
      </c>
      <c r="L958" s="10">
        <f>IFERROR(INDEX(спр_Работы!$H$2:$H$6000,MATCH($C958,спр_Работы!$A$2:$A$6000,0))*(1-ДисконтТендер),0)</f>
        <v/>
      </c>
      <c r="M958" s="10">
        <f>IF($I958="",0,IFERROR(INDEX(спр_Материалы!$I$2:$I$9000,MATCH($I958,спр_Материалы!$A$2:$A$9000,0))*IF(INDEX(спр_Материалы!$J$2:$J$9000,MATCH($I958,спр_Материалы!$A$2:$A$9000,0))="USD",КурсUSD,IF(INDEX(спр_Материалы!$J$2:$J$9000,MATCH($I958,спр_Материалы!$A$2:$A$9000,0))="EUR",КурсEUR,1))*INDEX(спр_Материалы!$K$2:$K$9000,MATCH($I958,спр_Материалы!$A$2:$A$9000,0))*(1+IFERROR(INDEX(спр_Работы!$I$2:$I$6000,MATCH($C958,спр_Работы!$A$2:$A$6000,0))/100,0))*(1-ДисконтТендер),0))</f>
        <v/>
      </c>
      <c r="N958" s="10">
        <f>IF(AND($R958="да",$H958&lt;&gt;""),ROUND($H958*$L958,2),0)</f>
        <v/>
      </c>
      <c r="O958" s="10">
        <f>IF(AND($R958="да",$H958&lt;&gt;""),ROUND($H958*$M958,2),0)</f>
        <v/>
      </c>
      <c r="P958" s="10">
        <f>$N958+$O958</f>
        <v/>
      </c>
      <c r="Q958">
        <f>IFERROR(INDEX(спр_Работы!$J$2:$J$6000,MATCH($C958,спр_Работы!$A$2:$A$6000,0)),"")</f>
        <v/>
      </c>
      <c r="R958" t="inlineStr">
        <is>
          <t>да</t>
        </is>
      </c>
      <c r="T958">
        <f>IF(AND($P958&gt;0,$R958="да"),MAX($T$1:$T957)+1,"")</f>
        <v/>
      </c>
    </row>
    <row r="959">
      <c r="A959" s="11">
        <f>IFERROR(INDEX(спр_Работы!$D$2:$D$6000,MATCH($C959,спр_Работы!$A$2:$A$6000,0)),"")</f>
        <v/>
      </c>
      <c r="B959">
        <f>IFERROR(INDEX(спр_Работы!$F$2:$F$6000,MATCH($C959,спр_Работы!$A$2:$A$6000,0)),"")</f>
        <v/>
      </c>
      <c r="C959">
        <f>IFERROR(INDEX(спр_Работы!$A$2:$A$6000,958),"")</f>
        <v/>
      </c>
      <c r="D959" s="8">
        <f>IFERROR(INDEX(спр_Работы!$B$2:$B$6000,MATCH($C959,спр_Работы!$A$2:$A$6000,0)),"")</f>
        <v/>
      </c>
      <c r="E959">
        <f>IFERROR(INDEX(спр_Работы!$C$2:$C$6000,MATCH($C959,спр_Работы!$A$2:$A$6000,0)),"")</f>
        <v/>
      </c>
      <c r="F959">
        <f>IFERROR(INDEX(спр_Работы!$G$2:$G$6000,MATCH($C959,спр_Работы!$A$2:$A$6000,0)),"")</f>
        <v/>
      </c>
      <c r="G959">
        <f>IFERROR(INDEX(спр_Работы!$K$2:$K$6000,MATCH($C959,спр_Работы!$A$2:$A$6000,0)),"")</f>
        <v/>
      </c>
      <c r="H959" s="9" t="n"/>
      <c r="I959" s="9" t="n"/>
      <c r="J959" s="8">
        <f>IFERROR(INDEX(спр_Материалы!$B$2:$B$9000,MATCH($I959,спр_Материалы!$A$2:$A$9000,0)),"")</f>
        <v/>
      </c>
      <c r="K959">
        <f>IF($I959="","",IF($F959=IFERROR(INDEX(спр_Материалы!$G$2:$G$9000,MATCH($I959,спр_Материалы!$A$2:$A$9000,0)),""),"OK","!! не та группа"))</f>
        <v/>
      </c>
      <c r="L959" s="10">
        <f>IFERROR(INDEX(спр_Работы!$H$2:$H$6000,MATCH($C959,спр_Работы!$A$2:$A$6000,0))*(1-ДисконтТендер),0)</f>
        <v/>
      </c>
      <c r="M959" s="10">
        <f>IF($I959="",0,IFERROR(INDEX(спр_Материалы!$I$2:$I$9000,MATCH($I959,спр_Материалы!$A$2:$A$9000,0))*IF(INDEX(спр_Материалы!$J$2:$J$9000,MATCH($I959,спр_Материалы!$A$2:$A$9000,0))="USD",КурсUSD,IF(INDEX(спр_Материалы!$J$2:$J$9000,MATCH($I959,спр_Материалы!$A$2:$A$9000,0))="EUR",КурсEUR,1))*INDEX(спр_Материалы!$K$2:$K$9000,MATCH($I959,спр_Материалы!$A$2:$A$9000,0))*(1+IFERROR(INDEX(спр_Работы!$I$2:$I$6000,MATCH($C959,спр_Работы!$A$2:$A$6000,0))/100,0))*(1-ДисконтТендер),0))</f>
        <v/>
      </c>
      <c r="N959" s="10">
        <f>IF(AND($R959="да",$H959&lt;&gt;""),ROUND($H959*$L959,2),0)</f>
        <v/>
      </c>
      <c r="O959" s="10">
        <f>IF(AND($R959="да",$H959&lt;&gt;""),ROUND($H959*$M959,2),0)</f>
        <v/>
      </c>
      <c r="P959" s="10">
        <f>$N959+$O959</f>
        <v/>
      </c>
      <c r="Q959">
        <f>IFERROR(INDEX(спр_Работы!$J$2:$J$6000,MATCH($C959,спр_Работы!$A$2:$A$6000,0)),"")</f>
        <v/>
      </c>
      <c r="R959" t="inlineStr">
        <is>
          <t>да</t>
        </is>
      </c>
      <c r="T959">
        <f>IF(AND($P959&gt;0,$R959="да"),MAX($T$1:$T958)+1,"")</f>
        <v/>
      </c>
    </row>
    <row r="960">
      <c r="A960" s="11">
        <f>IFERROR(INDEX(спр_Работы!$D$2:$D$6000,MATCH($C960,спр_Работы!$A$2:$A$6000,0)),"")</f>
        <v/>
      </c>
      <c r="B960">
        <f>IFERROR(INDEX(спр_Работы!$F$2:$F$6000,MATCH($C960,спр_Работы!$A$2:$A$6000,0)),"")</f>
        <v/>
      </c>
      <c r="C960">
        <f>IFERROR(INDEX(спр_Работы!$A$2:$A$6000,959),"")</f>
        <v/>
      </c>
      <c r="D960" s="8">
        <f>IFERROR(INDEX(спр_Работы!$B$2:$B$6000,MATCH($C960,спр_Работы!$A$2:$A$6000,0)),"")</f>
        <v/>
      </c>
      <c r="E960">
        <f>IFERROR(INDEX(спр_Работы!$C$2:$C$6000,MATCH($C960,спр_Работы!$A$2:$A$6000,0)),"")</f>
        <v/>
      </c>
      <c r="F960">
        <f>IFERROR(INDEX(спр_Работы!$G$2:$G$6000,MATCH($C960,спр_Работы!$A$2:$A$6000,0)),"")</f>
        <v/>
      </c>
      <c r="G960">
        <f>IFERROR(INDEX(спр_Работы!$K$2:$K$6000,MATCH($C960,спр_Работы!$A$2:$A$6000,0)),"")</f>
        <v/>
      </c>
      <c r="H960" s="9" t="n"/>
      <c r="I960" s="9" t="n"/>
      <c r="J960" s="8">
        <f>IFERROR(INDEX(спр_Материалы!$B$2:$B$9000,MATCH($I960,спр_Материалы!$A$2:$A$9000,0)),"")</f>
        <v/>
      </c>
      <c r="K960">
        <f>IF($I960="","",IF($F960=IFERROR(INDEX(спр_Материалы!$G$2:$G$9000,MATCH($I960,спр_Материалы!$A$2:$A$9000,0)),""),"OK","!! не та группа"))</f>
        <v/>
      </c>
      <c r="L960" s="10">
        <f>IFERROR(INDEX(спр_Работы!$H$2:$H$6000,MATCH($C960,спр_Работы!$A$2:$A$6000,0))*(1-ДисконтТендер),0)</f>
        <v/>
      </c>
      <c r="M960" s="10">
        <f>IF($I960="",0,IFERROR(INDEX(спр_Материалы!$I$2:$I$9000,MATCH($I960,спр_Материалы!$A$2:$A$9000,0))*IF(INDEX(спр_Материалы!$J$2:$J$9000,MATCH($I960,спр_Материалы!$A$2:$A$9000,0))="USD",КурсUSD,IF(INDEX(спр_Материалы!$J$2:$J$9000,MATCH($I960,спр_Материалы!$A$2:$A$9000,0))="EUR",КурсEUR,1))*INDEX(спр_Материалы!$K$2:$K$9000,MATCH($I960,спр_Материалы!$A$2:$A$9000,0))*(1+IFERROR(INDEX(спр_Работы!$I$2:$I$6000,MATCH($C960,спр_Работы!$A$2:$A$6000,0))/100,0))*(1-ДисконтТендер),0))</f>
        <v/>
      </c>
      <c r="N960" s="10">
        <f>IF(AND($R960="да",$H960&lt;&gt;""),ROUND($H960*$L960,2),0)</f>
        <v/>
      </c>
      <c r="O960" s="10">
        <f>IF(AND($R960="да",$H960&lt;&gt;""),ROUND($H960*$M960,2),0)</f>
        <v/>
      </c>
      <c r="P960" s="10">
        <f>$N960+$O960</f>
        <v/>
      </c>
      <c r="Q960">
        <f>IFERROR(INDEX(спр_Работы!$J$2:$J$6000,MATCH($C960,спр_Работы!$A$2:$A$6000,0)),"")</f>
        <v/>
      </c>
      <c r="R960" t="inlineStr">
        <is>
          <t>да</t>
        </is>
      </c>
      <c r="T960">
        <f>IF(AND($P960&gt;0,$R960="да"),MAX($T$1:$T959)+1,"")</f>
        <v/>
      </c>
    </row>
    <row r="961">
      <c r="A961" s="11">
        <f>IFERROR(INDEX(спр_Работы!$D$2:$D$6000,MATCH($C961,спр_Работы!$A$2:$A$6000,0)),"")</f>
        <v/>
      </c>
      <c r="B961">
        <f>IFERROR(INDEX(спр_Работы!$F$2:$F$6000,MATCH($C961,спр_Работы!$A$2:$A$6000,0)),"")</f>
        <v/>
      </c>
      <c r="C961">
        <f>IFERROR(INDEX(спр_Работы!$A$2:$A$6000,960),"")</f>
        <v/>
      </c>
      <c r="D961" s="8">
        <f>IFERROR(INDEX(спр_Работы!$B$2:$B$6000,MATCH($C961,спр_Работы!$A$2:$A$6000,0)),"")</f>
        <v/>
      </c>
      <c r="E961">
        <f>IFERROR(INDEX(спр_Работы!$C$2:$C$6000,MATCH($C961,спр_Работы!$A$2:$A$6000,0)),"")</f>
        <v/>
      </c>
      <c r="F961">
        <f>IFERROR(INDEX(спр_Работы!$G$2:$G$6000,MATCH($C961,спр_Работы!$A$2:$A$6000,0)),"")</f>
        <v/>
      </c>
      <c r="G961">
        <f>IFERROR(INDEX(спр_Работы!$K$2:$K$6000,MATCH($C961,спр_Работы!$A$2:$A$6000,0)),"")</f>
        <v/>
      </c>
      <c r="H961" s="9" t="n"/>
      <c r="I961" s="9" t="n"/>
      <c r="J961" s="8">
        <f>IFERROR(INDEX(спр_Материалы!$B$2:$B$9000,MATCH($I961,спр_Материалы!$A$2:$A$9000,0)),"")</f>
        <v/>
      </c>
      <c r="K961">
        <f>IF($I961="","",IF($F961=IFERROR(INDEX(спр_Материалы!$G$2:$G$9000,MATCH($I961,спр_Материалы!$A$2:$A$9000,0)),""),"OK","!! не та группа"))</f>
        <v/>
      </c>
      <c r="L961" s="10">
        <f>IFERROR(INDEX(спр_Работы!$H$2:$H$6000,MATCH($C961,спр_Работы!$A$2:$A$6000,0))*(1-ДисконтТендер),0)</f>
        <v/>
      </c>
      <c r="M961" s="10">
        <f>IF($I961="",0,IFERROR(INDEX(спр_Материалы!$I$2:$I$9000,MATCH($I961,спр_Материалы!$A$2:$A$9000,0))*IF(INDEX(спр_Материалы!$J$2:$J$9000,MATCH($I961,спр_Материалы!$A$2:$A$9000,0))="USD",КурсUSD,IF(INDEX(спр_Материалы!$J$2:$J$9000,MATCH($I961,спр_Материалы!$A$2:$A$9000,0))="EUR",КурсEUR,1))*INDEX(спр_Материалы!$K$2:$K$9000,MATCH($I961,спр_Материалы!$A$2:$A$9000,0))*(1+IFERROR(INDEX(спр_Работы!$I$2:$I$6000,MATCH($C961,спр_Работы!$A$2:$A$6000,0))/100,0))*(1-ДисконтТендер),0))</f>
        <v/>
      </c>
      <c r="N961" s="10">
        <f>IF(AND($R961="да",$H961&lt;&gt;""),ROUND($H961*$L961,2),0)</f>
        <v/>
      </c>
      <c r="O961" s="10">
        <f>IF(AND($R961="да",$H961&lt;&gt;""),ROUND($H961*$M961,2),0)</f>
        <v/>
      </c>
      <c r="P961" s="10">
        <f>$N961+$O961</f>
        <v/>
      </c>
      <c r="Q961">
        <f>IFERROR(INDEX(спр_Работы!$J$2:$J$6000,MATCH($C961,спр_Работы!$A$2:$A$6000,0)),"")</f>
        <v/>
      </c>
      <c r="R961" t="inlineStr">
        <is>
          <t>да</t>
        </is>
      </c>
      <c r="T961">
        <f>IF(AND($P961&gt;0,$R961="да"),MAX($T$1:$T960)+1,"")</f>
        <v/>
      </c>
    </row>
    <row r="962">
      <c r="A962" s="11">
        <f>IFERROR(INDEX(спр_Работы!$D$2:$D$6000,MATCH($C962,спр_Работы!$A$2:$A$6000,0)),"")</f>
        <v/>
      </c>
      <c r="B962">
        <f>IFERROR(INDEX(спр_Работы!$F$2:$F$6000,MATCH($C962,спр_Работы!$A$2:$A$6000,0)),"")</f>
        <v/>
      </c>
      <c r="C962">
        <f>IFERROR(INDEX(спр_Работы!$A$2:$A$6000,961),"")</f>
        <v/>
      </c>
      <c r="D962" s="8">
        <f>IFERROR(INDEX(спр_Работы!$B$2:$B$6000,MATCH($C962,спр_Работы!$A$2:$A$6000,0)),"")</f>
        <v/>
      </c>
      <c r="E962">
        <f>IFERROR(INDEX(спр_Работы!$C$2:$C$6000,MATCH($C962,спр_Работы!$A$2:$A$6000,0)),"")</f>
        <v/>
      </c>
      <c r="F962">
        <f>IFERROR(INDEX(спр_Работы!$G$2:$G$6000,MATCH($C962,спр_Работы!$A$2:$A$6000,0)),"")</f>
        <v/>
      </c>
      <c r="G962">
        <f>IFERROR(INDEX(спр_Работы!$K$2:$K$6000,MATCH($C962,спр_Работы!$A$2:$A$6000,0)),"")</f>
        <v/>
      </c>
      <c r="H962" s="9" t="n"/>
      <c r="I962" s="9" t="n"/>
      <c r="J962" s="8">
        <f>IFERROR(INDEX(спр_Материалы!$B$2:$B$9000,MATCH($I962,спр_Материалы!$A$2:$A$9000,0)),"")</f>
        <v/>
      </c>
      <c r="K962">
        <f>IF($I962="","",IF($F962=IFERROR(INDEX(спр_Материалы!$G$2:$G$9000,MATCH($I962,спр_Материалы!$A$2:$A$9000,0)),""),"OK","!! не та группа"))</f>
        <v/>
      </c>
      <c r="L962" s="10">
        <f>IFERROR(INDEX(спр_Работы!$H$2:$H$6000,MATCH($C962,спр_Работы!$A$2:$A$6000,0))*(1-ДисконтТендер),0)</f>
        <v/>
      </c>
      <c r="M962" s="10">
        <f>IF($I962="",0,IFERROR(INDEX(спр_Материалы!$I$2:$I$9000,MATCH($I962,спр_Материалы!$A$2:$A$9000,0))*IF(INDEX(спр_Материалы!$J$2:$J$9000,MATCH($I962,спр_Материалы!$A$2:$A$9000,0))="USD",КурсUSD,IF(INDEX(спр_Материалы!$J$2:$J$9000,MATCH($I962,спр_Материалы!$A$2:$A$9000,0))="EUR",КурсEUR,1))*INDEX(спр_Материалы!$K$2:$K$9000,MATCH($I962,спр_Материалы!$A$2:$A$9000,0))*(1+IFERROR(INDEX(спр_Работы!$I$2:$I$6000,MATCH($C962,спр_Работы!$A$2:$A$6000,0))/100,0))*(1-ДисконтТендер),0))</f>
        <v/>
      </c>
      <c r="N962" s="10">
        <f>IF(AND($R962="да",$H962&lt;&gt;""),ROUND($H962*$L962,2),0)</f>
        <v/>
      </c>
      <c r="O962" s="10">
        <f>IF(AND($R962="да",$H962&lt;&gt;""),ROUND($H962*$M962,2),0)</f>
        <v/>
      </c>
      <c r="P962" s="10">
        <f>$N962+$O962</f>
        <v/>
      </c>
      <c r="Q962">
        <f>IFERROR(INDEX(спр_Работы!$J$2:$J$6000,MATCH($C962,спр_Работы!$A$2:$A$6000,0)),"")</f>
        <v/>
      </c>
      <c r="R962" t="inlineStr">
        <is>
          <t>да</t>
        </is>
      </c>
      <c r="T962">
        <f>IF(AND($P962&gt;0,$R962="да"),MAX($T$1:$T961)+1,"")</f>
        <v/>
      </c>
    </row>
    <row r="963">
      <c r="A963" s="11">
        <f>IFERROR(INDEX(спр_Работы!$D$2:$D$6000,MATCH($C963,спр_Работы!$A$2:$A$6000,0)),"")</f>
        <v/>
      </c>
      <c r="B963">
        <f>IFERROR(INDEX(спр_Работы!$F$2:$F$6000,MATCH($C963,спр_Работы!$A$2:$A$6000,0)),"")</f>
        <v/>
      </c>
      <c r="C963">
        <f>IFERROR(INDEX(спр_Работы!$A$2:$A$6000,962),"")</f>
        <v/>
      </c>
      <c r="D963" s="8">
        <f>IFERROR(INDEX(спр_Работы!$B$2:$B$6000,MATCH($C963,спр_Работы!$A$2:$A$6000,0)),"")</f>
        <v/>
      </c>
      <c r="E963">
        <f>IFERROR(INDEX(спр_Работы!$C$2:$C$6000,MATCH($C963,спр_Работы!$A$2:$A$6000,0)),"")</f>
        <v/>
      </c>
      <c r="F963">
        <f>IFERROR(INDEX(спр_Работы!$G$2:$G$6000,MATCH($C963,спр_Работы!$A$2:$A$6000,0)),"")</f>
        <v/>
      </c>
      <c r="G963">
        <f>IFERROR(INDEX(спр_Работы!$K$2:$K$6000,MATCH($C963,спр_Работы!$A$2:$A$6000,0)),"")</f>
        <v/>
      </c>
      <c r="H963" s="9" t="n"/>
      <c r="I963" s="9" t="n"/>
      <c r="J963" s="8">
        <f>IFERROR(INDEX(спр_Материалы!$B$2:$B$9000,MATCH($I963,спр_Материалы!$A$2:$A$9000,0)),"")</f>
        <v/>
      </c>
      <c r="K963">
        <f>IF($I963="","",IF($F963=IFERROR(INDEX(спр_Материалы!$G$2:$G$9000,MATCH($I963,спр_Материалы!$A$2:$A$9000,0)),""),"OK","!! не та группа"))</f>
        <v/>
      </c>
      <c r="L963" s="10">
        <f>IFERROR(INDEX(спр_Работы!$H$2:$H$6000,MATCH($C963,спр_Работы!$A$2:$A$6000,0))*(1-ДисконтТендер),0)</f>
        <v/>
      </c>
      <c r="M963" s="10">
        <f>IF($I963="",0,IFERROR(INDEX(спр_Материалы!$I$2:$I$9000,MATCH($I963,спр_Материалы!$A$2:$A$9000,0))*IF(INDEX(спр_Материалы!$J$2:$J$9000,MATCH($I963,спр_Материалы!$A$2:$A$9000,0))="USD",КурсUSD,IF(INDEX(спр_Материалы!$J$2:$J$9000,MATCH($I963,спр_Материалы!$A$2:$A$9000,0))="EUR",КурсEUR,1))*INDEX(спр_Материалы!$K$2:$K$9000,MATCH($I963,спр_Материалы!$A$2:$A$9000,0))*(1+IFERROR(INDEX(спр_Работы!$I$2:$I$6000,MATCH($C963,спр_Работы!$A$2:$A$6000,0))/100,0))*(1-ДисконтТендер),0))</f>
        <v/>
      </c>
      <c r="N963" s="10">
        <f>IF(AND($R963="да",$H963&lt;&gt;""),ROUND($H963*$L963,2),0)</f>
        <v/>
      </c>
      <c r="O963" s="10">
        <f>IF(AND($R963="да",$H963&lt;&gt;""),ROUND($H963*$M963,2),0)</f>
        <v/>
      </c>
      <c r="P963" s="10">
        <f>$N963+$O963</f>
        <v/>
      </c>
      <c r="Q963">
        <f>IFERROR(INDEX(спр_Работы!$J$2:$J$6000,MATCH($C963,спр_Работы!$A$2:$A$6000,0)),"")</f>
        <v/>
      </c>
      <c r="R963" t="inlineStr">
        <is>
          <t>да</t>
        </is>
      </c>
      <c r="T963">
        <f>IF(AND($P963&gt;0,$R963="да"),MAX($T$1:$T962)+1,"")</f>
        <v/>
      </c>
    </row>
    <row r="964">
      <c r="A964" s="11">
        <f>IFERROR(INDEX(спр_Работы!$D$2:$D$6000,MATCH($C964,спр_Работы!$A$2:$A$6000,0)),"")</f>
        <v/>
      </c>
      <c r="B964">
        <f>IFERROR(INDEX(спр_Работы!$F$2:$F$6000,MATCH($C964,спр_Работы!$A$2:$A$6000,0)),"")</f>
        <v/>
      </c>
      <c r="C964">
        <f>IFERROR(INDEX(спр_Работы!$A$2:$A$6000,963),"")</f>
        <v/>
      </c>
      <c r="D964" s="8">
        <f>IFERROR(INDEX(спр_Работы!$B$2:$B$6000,MATCH($C964,спр_Работы!$A$2:$A$6000,0)),"")</f>
        <v/>
      </c>
      <c r="E964">
        <f>IFERROR(INDEX(спр_Работы!$C$2:$C$6000,MATCH($C964,спр_Работы!$A$2:$A$6000,0)),"")</f>
        <v/>
      </c>
      <c r="F964">
        <f>IFERROR(INDEX(спр_Работы!$G$2:$G$6000,MATCH($C964,спр_Работы!$A$2:$A$6000,0)),"")</f>
        <v/>
      </c>
      <c r="G964">
        <f>IFERROR(INDEX(спр_Работы!$K$2:$K$6000,MATCH($C964,спр_Работы!$A$2:$A$6000,0)),"")</f>
        <v/>
      </c>
      <c r="H964" s="9" t="n"/>
      <c r="I964" s="9" t="n"/>
      <c r="J964" s="8">
        <f>IFERROR(INDEX(спр_Материалы!$B$2:$B$9000,MATCH($I964,спр_Материалы!$A$2:$A$9000,0)),"")</f>
        <v/>
      </c>
      <c r="K964">
        <f>IF($I964="","",IF($F964=IFERROR(INDEX(спр_Материалы!$G$2:$G$9000,MATCH($I964,спр_Материалы!$A$2:$A$9000,0)),""),"OK","!! не та группа"))</f>
        <v/>
      </c>
      <c r="L964" s="10">
        <f>IFERROR(INDEX(спр_Работы!$H$2:$H$6000,MATCH($C964,спр_Работы!$A$2:$A$6000,0))*(1-ДисконтТендер),0)</f>
        <v/>
      </c>
      <c r="M964" s="10">
        <f>IF($I964="",0,IFERROR(INDEX(спр_Материалы!$I$2:$I$9000,MATCH($I964,спр_Материалы!$A$2:$A$9000,0))*IF(INDEX(спр_Материалы!$J$2:$J$9000,MATCH($I964,спр_Материалы!$A$2:$A$9000,0))="USD",КурсUSD,IF(INDEX(спр_Материалы!$J$2:$J$9000,MATCH($I964,спр_Материалы!$A$2:$A$9000,0))="EUR",КурсEUR,1))*INDEX(спр_Материалы!$K$2:$K$9000,MATCH($I964,спр_Материалы!$A$2:$A$9000,0))*(1+IFERROR(INDEX(спр_Работы!$I$2:$I$6000,MATCH($C964,спр_Работы!$A$2:$A$6000,0))/100,0))*(1-ДисконтТендер),0))</f>
        <v/>
      </c>
      <c r="N964" s="10">
        <f>IF(AND($R964="да",$H964&lt;&gt;""),ROUND($H964*$L964,2),0)</f>
        <v/>
      </c>
      <c r="O964" s="10">
        <f>IF(AND($R964="да",$H964&lt;&gt;""),ROUND($H964*$M964,2),0)</f>
        <v/>
      </c>
      <c r="P964" s="10">
        <f>$N964+$O964</f>
        <v/>
      </c>
      <c r="Q964">
        <f>IFERROR(INDEX(спр_Работы!$J$2:$J$6000,MATCH($C964,спр_Работы!$A$2:$A$6000,0)),"")</f>
        <v/>
      </c>
      <c r="R964" t="inlineStr">
        <is>
          <t>да</t>
        </is>
      </c>
      <c r="T964">
        <f>IF(AND($P964&gt;0,$R964="да"),MAX($T$1:$T963)+1,"")</f>
        <v/>
      </c>
    </row>
    <row r="965">
      <c r="A965" s="11">
        <f>IFERROR(INDEX(спр_Работы!$D$2:$D$6000,MATCH($C965,спр_Работы!$A$2:$A$6000,0)),"")</f>
        <v/>
      </c>
      <c r="B965">
        <f>IFERROR(INDEX(спр_Работы!$F$2:$F$6000,MATCH($C965,спр_Работы!$A$2:$A$6000,0)),"")</f>
        <v/>
      </c>
      <c r="C965">
        <f>IFERROR(INDEX(спр_Работы!$A$2:$A$6000,964),"")</f>
        <v/>
      </c>
      <c r="D965" s="8">
        <f>IFERROR(INDEX(спр_Работы!$B$2:$B$6000,MATCH($C965,спр_Работы!$A$2:$A$6000,0)),"")</f>
        <v/>
      </c>
      <c r="E965">
        <f>IFERROR(INDEX(спр_Работы!$C$2:$C$6000,MATCH($C965,спр_Работы!$A$2:$A$6000,0)),"")</f>
        <v/>
      </c>
      <c r="F965">
        <f>IFERROR(INDEX(спр_Работы!$G$2:$G$6000,MATCH($C965,спр_Работы!$A$2:$A$6000,0)),"")</f>
        <v/>
      </c>
      <c r="G965">
        <f>IFERROR(INDEX(спр_Работы!$K$2:$K$6000,MATCH($C965,спр_Работы!$A$2:$A$6000,0)),"")</f>
        <v/>
      </c>
      <c r="H965" s="9" t="n"/>
      <c r="I965" s="9" t="n"/>
      <c r="J965" s="8">
        <f>IFERROR(INDEX(спр_Материалы!$B$2:$B$9000,MATCH($I965,спр_Материалы!$A$2:$A$9000,0)),"")</f>
        <v/>
      </c>
      <c r="K965">
        <f>IF($I965="","",IF($F965=IFERROR(INDEX(спр_Материалы!$G$2:$G$9000,MATCH($I965,спр_Материалы!$A$2:$A$9000,0)),""),"OK","!! не та группа"))</f>
        <v/>
      </c>
      <c r="L965" s="10">
        <f>IFERROR(INDEX(спр_Работы!$H$2:$H$6000,MATCH($C965,спр_Работы!$A$2:$A$6000,0))*(1-ДисконтТендер),0)</f>
        <v/>
      </c>
      <c r="M965" s="10">
        <f>IF($I965="",0,IFERROR(INDEX(спр_Материалы!$I$2:$I$9000,MATCH($I965,спр_Материалы!$A$2:$A$9000,0))*IF(INDEX(спр_Материалы!$J$2:$J$9000,MATCH($I965,спр_Материалы!$A$2:$A$9000,0))="USD",КурсUSD,IF(INDEX(спр_Материалы!$J$2:$J$9000,MATCH($I965,спр_Материалы!$A$2:$A$9000,0))="EUR",КурсEUR,1))*INDEX(спр_Материалы!$K$2:$K$9000,MATCH($I965,спр_Материалы!$A$2:$A$9000,0))*(1+IFERROR(INDEX(спр_Работы!$I$2:$I$6000,MATCH($C965,спр_Работы!$A$2:$A$6000,0))/100,0))*(1-ДисконтТендер),0))</f>
        <v/>
      </c>
      <c r="N965" s="10">
        <f>IF(AND($R965="да",$H965&lt;&gt;""),ROUND($H965*$L965,2),0)</f>
        <v/>
      </c>
      <c r="O965" s="10">
        <f>IF(AND($R965="да",$H965&lt;&gt;""),ROUND($H965*$M965,2),0)</f>
        <v/>
      </c>
      <c r="P965" s="10">
        <f>$N965+$O965</f>
        <v/>
      </c>
      <c r="Q965">
        <f>IFERROR(INDEX(спр_Работы!$J$2:$J$6000,MATCH($C965,спр_Работы!$A$2:$A$6000,0)),"")</f>
        <v/>
      </c>
      <c r="R965" t="inlineStr">
        <is>
          <t>да</t>
        </is>
      </c>
      <c r="T965">
        <f>IF(AND($P965&gt;0,$R965="да"),MAX($T$1:$T964)+1,"")</f>
        <v/>
      </c>
    </row>
    <row r="966">
      <c r="A966" s="11">
        <f>IFERROR(INDEX(спр_Работы!$D$2:$D$6000,MATCH($C966,спр_Работы!$A$2:$A$6000,0)),"")</f>
        <v/>
      </c>
      <c r="B966">
        <f>IFERROR(INDEX(спр_Работы!$F$2:$F$6000,MATCH($C966,спр_Работы!$A$2:$A$6000,0)),"")</f>
        <v/>
      </c>
      <c r="C966">
        <f>IFERROR(INDEX(спр_Работы!$A$2:$A$6000,965),"")</f>
        <v/>
      </c>
      <c r="D966" s="8">
        <f>IFERROR(INDEX(спр_Работы!$B$2:$B$6000,MATCH($C966,спр_Работы!$A$2:$A$6000,0)),"")</f>
        <v/>
      </c>
      <c r="E966">
        <f>IFERROR(INDEX(спр_Работы!$C$2:$C$6000,MATCH($C966,спр_Работы!$A$2:$A$6000,0)),"")</f>
        <v/>
      </c>
      <c r="F966">
        <f>IFERROR(INDEX(спр_Работы!$G$2:$G$6000,MATCH($C966,спр_Работы!$A$2:$A$6000,0)),"")</f>
        <v/>
      </c>
      <c r="G966">
        <f>IFERROR(INDEX(спр_Работы!$K$2:$K$6000,MATCH($C966,спр_Работы!$A$2:$A$6000,0)),"")</f>
        <v/>
      </c>
      <c r="H966" s="9" t="n"/>
      <c r="I966" s="9" t="n"/>
      <c r="J966" s="8">
        <f>IFERROR(INDEX(спр_Материалы!$B$2:$B$9000,MATCH($I966,спр_Материалы!$A$2:$A$9000,0)),"")</f>
        <v/>
      </c>
      <c r="K966">
        <f>IF($I966="","",IF($F966=IFERROR(INDEX(спр_Материалы!$G$2:$G$9000,MATCH($I966,спр_Материалы!$A$2:$A$9000,0)),""),"OK","!! не та группа"))</f>
        <v/>
      </c>
      <c r="L966" s="10">
        <f>IFERROR(INDEX(спр_Работы!$H$2:$H$6000,MATCH($C966,спр_Работы!$A$2:$A$6000,0))*(1-ДисконтТендер),0)</f>
        <v/>
      </c>
      <c r="M966" s="10">
        <f>IF($I966="",0,IFERROR(INDEX(спр_Материалы!$I$2:$I$9000,MATCH($I966,спр_Материалы!$A$2:$A$9000,0))*IF(INDEX(спр_Материалы!$J$2:$J$9000,MATCH($I966,спр_Материалы!$A$2:$A$9000,0))="USD",КурсUSD,IF(INDEX(спр_Материалы!$J$2:$J$9000,MATCH($I966,спр_Материалы!$A$2:$A$9000,0))="EUR",КурсEUR,1))*INDEX(спр_Материалы!$K$2:$K$9000,MATCH($I966,спр_Материалы!$A$2:$A$9000,0))*(1+IFERROR(INDEX(спр_Работы!$I$2:$I$6000,MATCH($C966,спр_Работы!$A$2:$A$6000,0))/100,0))*(1-ДисконтТендер),0))</f>
        <v/>
      </c>
      <c r="N966" s="10">
        <f>IF(AND($R966="да",$H966&lt;&gt;""),ROUND($H966*$L966,2),0)</f>
        <v/>
      </c>
      <c r="O966" s="10">
        <f>IF(AND($R966="да",$H966&lt;&gt;""),ROUND($H966*$M966,2),0)</f>
        <v/>
      </c>
      <c r="P966" s="10">
        <f>$N966+$O966</f>
        <v/>
      </c>
      <c r="Q966">
        <f>IFERROR(INDEX(спр_Работы!$J$2:$J$6000,MATCH($C966,спр_Работы!$A$2:$A$6000,0)),"")</f>
        <v/>
      </c>
      <c r="R966" t="inlineStr">
        <is>
          <t>да</t>
        </is>
      </c>
      <c r="T966">
        <f>IF(AND($P966&gt;0,$R966="да"),MAX($T$1:$T965)+1,"")</f>
        <v/>
      </c>
    </row>
    <row r="967">
      <c r="A967" s="11">
        <f>IFERROR(INDEX(спр_Работы!$D$2:$D$6000,MATCH($C967,спр_Работы!$A$2:$A$6000,0)),"")</f>
        <v/>
      </c>
      <c r="B967">
        <f>IFERROR(INDEX(спр_Работы!$F$2:$F$6000,MATCH($C967,спр_Работы!$A$2:$A$6000,0)),"")</f>
        <v/>
      </c>
      <c r="C967">
        <f>IFERROR(INDEX(спр_Работы!$A$2:$A$6000,966),"")</f>
        <v/>
      </c>
      <c r="D967" s="8">
        <f>IFERROR(INDEX(спр_Работы!$B$2:$B$6000,MATCH($C967,спр_Работы!$A$2:$A$6000,0)),"")</f>
        <v/>
      </c>
      <c r="E967">
        <f>IFERROR(INDEX(спр_Работы!$C$2:$C$6000,MATCH($C967,спр_Работы!$A$2:$A$6000,0)),"")</f>
        <v/>
      </c>
      <c r="F967">
        <f>IFERROR(INDEX(спр_Работы!$G$2:$G$6000,MATCH($C967,спр_Работы!$A$2:$A$6000,0)),"")</f>
        <v/>
      </c>
      <c r="G967">
        <f>IFERROR(INDEX(спр_Работы!$K$2:$K$6000,MATCH($C967,спр_Работы!$A$2:$A$6000,0)),"")</f>
        <v/>
      </c>
      <c r="H967" s="9" t="n"/>
      <c r="I967" s="9" t="n"/>
      <c r="J967" s="8">
        <f>IFERROR(INDEX(спр_Материалы!$B$2:$B$9000,MATCH($I967,спр_Материалы!$A$2:$A$9000,0)),"")</f>
        <v/>
      </c>
      <c r="K967">
        <f>IF($I967="","",IF($F967=IFERROR(INDEX(спр_Материалы!$G$2:$G$9000,MATCH($I967,спр_Материалы!$A$2:$A$9000,0)),""),"OK","!! не та группа"))</f>
        <v/>
      </c>
      <c r="L967" s="10">
        <f>IFERROR(INDEX(спр_Работы!$H$2:$H$6000,MATCH($C967,спр_Работы!$A$2:$A$6000,0))*(1-ДисконтТендер),0)</f>
        <v/>
      </c>
      <c r="M967" s="10">
        <f>IF($I967="",0,IFERROR(INDEX(спр_Материалы!$I$2:$I$9000,MATCH($I967,спр_Материалы!$A$2:$A$9000,0))*IF(INDEX(спр_Материалы!$J$2:$J$9000,MATCH($I967,спр_Материалы!$A$2:$A$9000,0))="USD",КурсUSD,IF(INDEX(спр_Материалы!$J$2:$J$9000,MATCH($I967,спр_Материалы!$A$2:$A$9000,0))="EUR",КурсEUR,1))*INDEX(спр_Материалы!$K$2:$K$9000,MATCH($I967,спр_Материалы!$A$2:$A$9000,0))*(1+IFERROR(INDEX(спр_Работы!$I$2:$I$6000,MATCH($C967,спр_Работы!$A$2:$A$6000,0))/100,0))*(1-ДисконтТендер),0))</f>
        <v/>
      </c>
      <c r="N967" s="10">
        <f>IF(AND($R967="да",$H967&lt;&gt;""),ROUND($H967*$L967,2),0)</f>
        <v/>
      </c>
      <c r="O967" s="10">
        <f>IF(AND($R967="да",$H967&lt;&gt;""),ROUND($H967*$M967,2),0)</f>
        <v/>
      </c>
      <c r="P967" s="10">
        <f>$N967+$O967</f>
        <v/>
      </c>
      <c r="Q967">
        <f>IFERROR(INDEX(спр_Работы!$J$2:$J$6000,MATCH($C967,спр_Работы!$A$2:$A$6000,0)),"")</f>
        <v/>
      </c>
      <c r="R967" t="inlineStr">
        <is>
          <t>да</t>
        </is>
      </c>
      <c r="T967">
        <f>IF(AND($P967&gt;0,$R967="да"),MAX($T$1:$T966)+1,"")</f>
        <v/>
      </c>
    </row>
    <row r="968">
      <c r="A968" s="11">
        <f>IFERROR(INDEX(спр_Работы!$D$2:$D$6000,MATCH($C968,спр_Работы!$A$2:$A$6000,0)),"")</f>
        <v/>
      </c>
      <c r="B968">
        <f>IFERROR(INDEX(спр_Работы!$F$2:$F$6000,MATCH($C968,спр_Работы!$A$2:$A$6000,0)),"")</f>
        <v/>
      </c>
      <c r="C968">
        <f>IFERROR(INDEX(спр_Работы!$A$2:$A$6000,967),"")</f>
        <v/>
      </c>
      <c r="D968" s="8">
        <f>IFERROR(INDEX(спр_Работы!$B$2:$B$6000,MATCH($C968,спр_Работы!$A$2:$A$6000,0)),"")</f>
        <v/>
      </c>
      <c r="E968">
        <f>IFERROR(INDEX(спр_Работы!$C$2:$C$6000,MATCH($C968,спр_Работы!$A$2:$A$6000,0)),"")</f>
        <v/>
      </c>
      <c r="F968">
        <f>IFERROR(INDEX(спр_Работы!$G$2:$G$6000,MATCH($C968,спр_Работы!$A$2:$A$6000,0)),"")</f>
        <v/>
      </c>
      <c r="G968">
        <f>IFERROR(INDEX(спр_Работы!$K$2:$K$6000,MATCH($C968,спр_Работы!$A$2:$A$6000,0)),"")</f>
        <v/>
      </c>
      <c r="H968" s="9" t="n"/>
      <c r="I968" s="9" t="n"/>
      <c r="J968" s="8">
        <f>IFERROR(INDEX(спр_Материалы!$B$2:$B$9000,MATCH($I968,спр_Материалы!$A$2:$A$9000,0)),"")</f>
        <v/>
      </c>
      <c r="K968">
        <f>IF($I968="","",IF($F968=IFERROR(INDEX(спр_Материалы!$G$2:$G$9000,MATCH($I968,спр_Материалы!$A$2:$A$9000,0)),""),"OK","!! не та группа"))</f>
        <v/>
      </c>
      <c r="L968" s="10">
        <f>IFERROR(INDEX(спр_Работы!$H$2:$H$6000,MATCH($C968,спр_Работы!$A$2:$A$6000,0))*(1-ДисконтТендер),0)</f>
        <v/>
      </c>
      <c r="M968" s="10">
        <f>IF($I968="",0,IFERROR(INDEX(спр_Материалы!$I$2:$I$9000,MATCH($I968,спр_Материалы!$A$2:$A$9000,0))*IF(INDEX(спр_Материалы!$J$2:$J$9000,MATCH($I968,спр_Материалы!$A$2:$A$9000,0))="USD",КурсUSD,IF(INDEX(спр_Материалы!$J$2:$J$9000,MATCH($I968,спр_Материалы!$A$2:$A$9000,0))="EUR",КурсEUR,1))*INDEX(спр_Материалы!$K$2:$K$9000,MATCH($I968,спр_Материалы!$A$2:$A$9000,0))*(1+IFERROR(INDEX(спр_Работы!$I$2:$I$6000,MATCH($C968,спр_Работы!$A$2:$A$6000,0))/100,0))*(1-ДисконтТендер),0))</f>
        <v/>
      </c>
      <c r="N968" s="10">
        <f>IF(AND($R968="да",$H968&lt;&gt;""),ROUND($H968*$L968,2),0)</f>
        <v/>
      </c>
      <c r="O968" s="10">
        <f>IF(AND($R968="да",$H968&lt;&gt;""),ROUND($H968*$M968,2),0)</f>
        <v/>
      </c>
      <c r="P968" s="10">
        <f>$N968+$O968</f>
        <v/>
      </c>
      <c r="Q968">
        <f>IFERROR(INDEX(спр_Работы!$J$2:$J$6000,MATCH($C968,спр_Работы!$A$2:$A$6000,0)),"")</f>
        <v/>
      </c>
      <c r="R968" t="inlineStr">
        <is>
          <t>да</t>
        </is>
      </c>
      <c r="T968">
        <f>IF(AND($P968&gt;0,$R968="да"),MAX($T$1:$T967)+1,"")</f>
        <v/>
      </c>
    </row>
    <row r="969">
      <c r="A969" s="11">
        <f>IFERROR(INDEX(спр_Работы!$D$2:$D$6000,MATCH($C969,спр_Работы!$A$2:$A$6000,0)),"")</f>
        <v/>
      </c>
      <c r="B969">
        <f>IFERROR(INDEX(спр_Работы!$F$2:$F$6000,MATCH($C969,спр_Работы!$A$2:$A$6000,0)),"")</f>
        <v/>
      </c>
      <c r="C969">
        <f>IFERROR(INDEX(спр_Работы!$A$2:$A$6000,968),"")</f>
        <v/>
      </c>
      <c r="D969" s="8">
        <f>IFERROR(INDEX(спр_Работы!$B$2:$B$6000,MATCH($C969,спр_Работы!$A$2:$A$6000,0)),"")</f>
        <v/>
      </c>
      <c r="E969">
        <f>IFERROR(INDEX(спр_Работы!$C$2:$C$6000,MATCH($C969,спр_Работы!$A$2:$A$6000,0)),"")</f>
        <v/>
      </c>
      <c r="F969">
        <f>IFERROR(INDEX(спр_Работы!$G$2:$G$6000,MATCH($C969,спр_Работы!$A$2:$A$6000,0)),"")</f>
        <v/>
      </c>
      <c r="G969">
        <f>IFERROR(INDEX(спр_Работы!$K$2:$K$6000,MATCH($C969,спр_Работы!$A$2:$A$6000,0)),"")</f>
        <v/>
      </c>
      <c r="H969" s="9" t="n"/>
      <c r="I969" s="9" t="n"/>
      <c r="J969" s="8">
        <f>IFERROR(INDEX(спр_Материалы!$B$2:$B$9000,MATCH($I969,спр_Материалы!$A$2:$A$9000,0)),"")</f>
        <v/>
      </c>
      <c r="K969">
        <f>IF($I969="","",IF($F969=IFERROR(INDEX(спр_Материалы!$G$2:$G$9000,MATCH($I969,спр_Материалы!$A$2:$A$9000,0)),""),"OK","!! не та группа"))</f>
        <v/>
      </c>
      <c r="L969" s="10">
        <f>IFERROR(INDEX(спр_Работы!$H$2:$H$6000,MATCH($C969,спр_Работы!$A$2:$A$6000,0))*(1-ДисконтТендер),0)</f>
        <v/>
      </c>
      <c r="M969" s="10">
        <f>IF($I969="",0,IFERROR(INDEX(спр_Материалы!$I$2:$I$9000,MATCH($I969,спр_Материалы!$A$2:$A$9000,0))*IF(INDEX(спр_Материалы!$J$2:$J$9000,MATCH($I969,спр_Материалы!$A$2:$A$9000,0))="USD",КурсUSD,IF(INDEX(спр_Материалы!$J$2:$J$9000,MATCH($I969,спр_Материалы!$A$2:$A$9000,0))="EUR",КурсEUR,1))*INDEX(спр_Материалы!$K$2:$K$9000,MATCH($I969,спр_Материалы!$A$2:$A$9000,0))*(1+IFERROR(INDEX(спр_Работы!$I$2:$I$6000,MATCH($C969,спр_Работы!$A$2:$A$6000,0))/100,0))*(1-ДисконтТендер),0))</f>
        <v/>
      </c>
      <c r="N969" s="10">
        <f>IF(AND($R969="да",$H969&lt;&gt;""),ROUND($H969*$L969,2),0)</f>
        <v/>
      </c>
      <c r="O969" s="10">
        <f>IF(AND($R969="да",$H969&lt;&gt;""),ROUND($H969*$M969,2),0)</f>
        <v/>
      </c>
      <c r="P969" s="10">
        <f>$N969+$O969</f>
        <v/>
      </c>
      <c r="Q969">
        <f>IFERROR(INDEX(спр_Работы!$J$2:$J$6000,MATCH($C969,спр_Работы!$A$2:$A$6000,0)),"")</f>
        <v/>
      </c>
      <c r="R969" t="inlineStr">
        <is>
          <t>да</t>
        </is>
      </c>
      <c r="T969">
        <f>IF(AND($P969&gt;0,$R969="да"),MAX($T$1:$T968)+1,"")</f>
        <v/>
      </c>
    </row>
    <row r="970">
      <c r="A970" s="11">
        <f>IFERROR(INDEX(спр_Работы!$D$2:$D$6000,MATCH($C970,спр_Работы!$A$2:$A$6000,0)),"")</f>
        <v/>
      </c>
      <c r="B970">
        <f>IFERROR(INDEX(спр_Работы!$F$2:$F$6000,MATCH($C970,спр_Работы!$A$2:$A$6000,0)),"")</f>
        <v/>
      </c>
      <c r="C970">
        <f>IFERROR(INDEX(спр_Работы!$A$2:$A$6000,969),"")</f>
        <v/>
      </c>
      <c r="D970" s="8">
        <f>IFERROR(INDEX(спр_Работы!$B$2:$B$6000,MATCH($C970,спр_Работы!$A$2:$A$6000,0)),"")</f>
        <v/>
      </c>
      <c r="E970">
        <f>IFERROR(INDEX(спр_Работы!$C$2:$C$6000,MATCH($C970,спр_Работы!$A$2:$A$6000,0)),"")</f>
        <v/>
      </c>
      <c r="F970">
        <f>IFERROR(INDEX(спр_Работы!$G$2:$G$6000,MATCH($C970,спр_Работы!$A$2:$A$6000,0)),"")</f>
        <v/>
      </c>
      <c r="G970">
        <f>IFERROR(INDEX(спр_Работы!$K$2:$K$6000,MATCH($C970,спр_Работы!$A$2:$A$6000,0)),"")</f>
        <v/>
      </c>
      <c r="H970" s="9" t="n"/>
      <c r="I970" s="9" t="n"/>
      <c r="J970" s="8">
        <f>IFERROR(INDEX(спр_Материалы!$B$2:$B$9000,MATCH($I970,спр_Материалы!$A$2:$A$9000,0)),"")</f>
        <v/>
      </c>
      <c r="K970">
        <f>IF($I970="","",IF($F970=IFERROR(INDEX(спр_Материалы!$G$2:$G$9000,MATCH($I970,спр_Материалы!$A$2:$A$9000,0)),""),"OK","!! не та группа"))</f>
        <v/>
      </c>
      <c r="L970" s="10">
        <f>IFERROR(INDEX(спр_Работы!$H$2:$H$6000,MATCH($C970,спр_Работы!$A$2:$A$6000,0))*(1-ДисконтТендер),0)</f>
        <v/>
      </c>
      <c r="M970" s="10">
        <f>IF($I970="",0,IFERROR(INDEX(спр_Материалы!$I$2:$I$9000,MATCH($I970,спр_Материалы!$A$2:$A$9000,0))*IF(INDEX(спр_Материалы!$J$2:$J$9000,MATCH($I970,спр_Материалы!$A$2:$A$9000,0))="USD",КурсUSD,IF(INDEX(спр_Материалы!$J$2:$J$9000,MATCH($I970,спр_Материалы!$A$2:$A$9000,0))="EUR",КурсEUR,1))*INDEX(спр_Материалы!$K$2:$K$9000,MATCH($I970,спр_Материалы!$A$2:$A$9000,0))*(1+IFERROR(INDEX(спр_Работы!$I$2:$I$6000,MATCH($C970,спр_Работы!$A$2:$A$6000,0))/100,0))*(1-ДисконтТендер),0))</f>
        <v/>
      </c>
      <c r="N970" s="10">
        <f>IF(AND($R970="да",$H970&lt;&gt;""),ROUND($H970*$L970,2),0)</f>
        <v/>
      </c>
      <c r="O970" s="10">
        <f>IF(AND($R970="да",$H970&lt;&gt;""),ROUND($H970*$M970,2),0)</f>
        <v/>
      </c>
      <c r="P970" s="10">
        <f>$N970+$O970</f>
        <v/>
      </c>
      <c r="Q970">
        <f>IFERROR(INDEX(спр_Работы!$J$2:$J$6000,MATCH($C970,спр_Работы!$A$2:$A$6000,0)),"")</f>
        <v/>
      </c>
      <c r="R970" t="inlineStr">
        <is>
          <t>да</t>
        </is>
      </c>
      <c r="T970">
        <f>IF(AND($P970&gt;0,$R970="да"),MAX($T$1:$T969)+1,"")</f>
        <v/>
      </c>
    </row>
    <row r="971">
      <c r="A971" s="11">
        <f>IFERROR(INDEX(спр_Работы!$D$2:$D$6000,MATCH($C971,спр_Работы!$A$2:$A$6000,0)),"")</f>
        <v/>
      </c>
      <c r="B971">
        <f>IFERROR(INDEX(спр_Работы!$F$2:$F$6000,MATCH($C971,спр_Работы!$A$2:$A$6000,0)),"")</f>
        <v/>
      </c>
      <c r="C971">
        <f>IFERROR(INDEX(спр_Работы!$A$2:$A$6000,970),"")</f>
        <v/>
      </c>
      <c r="D971" s="8">
        <f>IFERROR(INDEX(спр_Работы!$B$2:$B$6000,MATCH($C971,спр_Работы!$A$2:$A$6000,0)),"")</f>
        <v/>
      </c>
      <c r="E971">
        <f>IFERROR(INDEX(спр_Работы!$C$2:$C$6000,MATCH($C971,спр_Работы!$A$2:$A$6000,0)),"")</f>
        <v/>
      </c>
      <c r="F971">
        <f>IFERROR(INDEX(спр_Работы!$G$2:$G$6000,MATCH($C971,спр_Работы!$A$2:$A$6000,0)),"")</f>
        <v/>
      </c>
      <c r="G971">
        <f>IFERROR(INDEX(спр_Работы!$K$2:$K$6000,MATCH($C971,спр_Работы!$A$2:$A$6000,0)),"")</f>
        <v/>
      </c>
      <c r="H971" s="9" t="n"/>
      <c r="I971" s="9" t="n"/>
      <c r="J971" s="8">
        <f>IFERROR(INDEX(спр_Материалы!$B$2:$B$9000,MATCH($I971,спр_Материалы!$A$2:$A$9000,0)),"")</f>
        <v/>
      </c>
      <c r="K971">
        <f>IF($I971="","",IF($F971=IFERROR(INDEX(спр_Материалы!$G$2:$G$9000,MATCH($I971,спр_Материалы!$A$2:$A$9000,0)),""),"OK","!! не та группа"))</f>
        <v/>
      </c>
      <c r="L971" s="10">
        <f>IFERROR(INDEX(спр_Работы!$H$2:$H$6000,MATCH($C971,спр_Работы!$A$2:$A$6000,0))*(1-ДисконтТендер),0)</f>
        <v/>
      </c>
      <c r="M971" s="10">
        <f>IF($I971="",0,IFERROR(INDEX(спр_Материалы!$I$2:$I$9000,MATCH($I971,спр_Материалы!$A$2:$A$9000,0))*IF(INDEX(спр_Материалы!$J$2:$J$9000,MATCH($I971,спр_Материалы!$A$2:$A$9000,0))="USD",КурсUSD,IF(INDEX(спр_Материалы!$J$2:$J$9000,MATCH($I971,спр_Материалы!$A$2:$A$9000,0))="EUR",КурсEUR,1))*INDEX(спр_Материалы!$K$2:$K$9000,MATCH($I971,спр_Материалы!$A$2:$A$9000,0))*(1+IFERROR(INDEX(спр_Работы!$I$2:$I$6000,MATCH($C971,спр_Работы!$A$2:$A$6000,0))/100,0))*(1-ДисконтТендер),0))</f>
        <v/>
      </c>
      <c r="N971" s="10">
        <f>IF(AND($R971="да",$H971&lt;&gt;""),ROUND($H971*$L971,2),0)</f>
        <v/>
      </c>
      <c r="O971" s="10">
        <f>IF(AND($R971="да",$H971&lt;&gt;""),ROUND($H971*$M971,2),0)</f>
        <v/>
      </c>
      <c r="P971" s="10">
        <f>$N971+$O971</f>
        <v/>
      </c>
      <c r="Q971">
        <f>IFERROR(INDEX(спр_Работы!$J$2:$J$6000,MATCH($C971,спр_Работы!$A$2:$A$6000,0)),"")</f>
        <v/>
      </c>
      <c r="R971" t="inlineStr">
        <is>
          <t>да</t>
        </is>
      </c>
      <c r="T971">
        <f>IF(AND($P971&gt;0,$R971="да"),MAX($T$1:$T970)+1,"")</f>
        <v/>
      </c>
    </row>
    <row r="972">
      <c r="A972" s="11">
        <f>IFERROR(INDEX(спр_Работы!$D$2:$D$6000,MATCH($C972,спр_Работы!$A$2:$A$6000,0)),"")</f>
        <v/>
      </c>
      <c r="B972">
        <f>IFERROR(INDEX(спр_Работы!$F$2:$F$6000,MATCH($C972,спр_Работы!$A$2:$A$6000,0)),"")</f>
        <v/>
      </c>
      <c r="C972">
        <f>IFERROR(INDEX(спр_Работы!$A$2:$A$6000,971),"")</f>
        <v/>
      </c>
      <c r="D972" s="8">
        <f>IFERROR(INDEX(спр_Работы!$B$2:$B$6000,MATCH($C972,спр_Работы!$A$2:$A$6000,0)),"")</f>
        <v/>
      </c>
      <c r="E972">
        <f>IFERROR(INDEX(спр_Работы!$C$2:$C$6000,MATCH($C972,спр_Работы!$A$2:$A$6000,0)),"")</f>
        <v/>
      </c>
      <c r="F972">
        <f>IFERROR(INDEX(спр_Работы!$G$2:$G$6000,MATCH($C972,спр_Работы!$A$2:$A$6000,0)),"")</f>
        <v/>
      </c>
      <c r="G972">
        <f>IFERROR(INDEX(спр_Работы!$K$2:$K$6000,MATCH($C972,спр_Работы!$A$2:$A$6000,0)),"")</f>
        <v/>
      </c>
      <c r="H972" s="9" t="n"/>
      <c r="I972" s="9" t="n"/>
      <c r="J972" s="8">
        <f>IFERROR(INDEX(спр_Материалы!$B$2:$B$9000,MATCH($I972,спр_Материалы!$A$2:$A$9000,0)),"")</f>
        <v/>
      </c>
      <c r="K972">
        <f>IF($I972="","",IF($F972=IFERROR(INDEX(спр_Материалы!$G$2:$G$9000,MATCH($I972,спр_Материалы!$A$2:$A$9000,0)),""),"OK","!! не та группа"))</f>
        <v/>
      </c>
      <c r="L972" s="10">
        <f>IFERROR(INDEX(спр_Работы!$H$2:$H$6000,MATCH($C972,спр_Работы!$A$2:$A$6000,0))*(1-ДисконтТендер),0)</f>
        <v/>
      </c>
      <c r="M972" s="10">
        <f>IF($I972="",0,IFERROR(INDEX(спр_Материалы!$I$2:$I$9000,MATCH($I972,спр_Материалы!$A$2:$A$9000,0))*IF(INDEX(спр_Материалы!$J$2:$J$9000,MATCH($I972,спр_Материалы!$A$2:$A$9000,0))="USD",КурсUSD,IF(INDEX(спр_Материалы!$J$2:$J$9000,MATCH($I972,спр_Материалы!$A$2:$A$9000,0))="EUR",КурсEUR,1))*INDEX(спр_Материалы!$K$2:$K$9000,MATCH($I972,спр_Материалы!$A$2:$A$9000,0))*(1+IFERROR(INDEX(спр_Работы!$I$2:$I$6000,MATCH($C972,спр_Работы!$A$2:$A$6000,0))/100,0))*(1-ДисконтТендер),0))</f>
        <v/>
      </c>
      <c r="N972" s="10">
        <f>IF(AND($R972="да",$H972&lt;&gt;""),ROUND($H972*$L972,2),0)</f>
        <v/>
      </c>
      <c r="O972" s="10">
        <f>IF(AND($R972="да",$H972&lt;&gt;""),ROUND($H972*$M972,2),0)</f>
        <v/>
      </c>
      <c r="P972" s="10">
        <f>$N972+$O972</f>
        <v/>
      </c>
      <c r="Q972">
        <f>IFERROR(INDEX(спр_Работы!$J$2:$J$6000,MATCH($C972,спр_Работы!$A$2:$A$6000,0)),"")</f>
        <v/>
      </c>
      <c r="R972" t="inlineStr">
        <is>
          <t>да</t>
        </is>
      </c>
      <c r="T972">
        <f>IF(AND($P972&gt;0,$R972="да"),MAX($T$1:$T971)+1,"")</f>
        <v/>
      </c>
    </row>
    <row r="973">
      <c r="A973" s="11">
        <f>IFERROR(INDEX(спр_Работы!$D$2:$D$6000,MATCH($C973,спр_Работы!$A$2:$A$6000,0)),"")</f>
        <v/>
      </c>
      <c r="B973">
        <f>IFERROR(INDEX(спр_Работы!$F$2:$F$6000,MATCH($C973,спр_Работы!$A$2:$A$6000,0)),"")</f>
        <v/>
      </c>
      <c r="C973">
        <f>IFERROR(INDEX(спр_Работы!$A$2:$A$6000,972),"")</f>
        <v/>
      </c>
      <c r="D973" s="8">
        <f>IFERROR(INDEX(спр_Работы!$B$2:$B$6000,MATCH($C973,спр_Работы!$A$2:$A$6000,0)),"")</f>
        <v/>
      </c>
      <c r="E973">
        <f>IFERROR(INDEX(спр_Работы!$C$2:$C$6000,MATCH($C973,спр_Работы!$A$2:$A$6000,0)),"")</f>
        <v/>
      </c>
      <c r="F973">
        <f>IFERROR(INDEX(спр_Работы!$G$2:$G$6000,MATCH($C973,спр_Работы!$A$2:$A$6000,0)),"")</f>
        <v/>
      </c>
      <c r="G973">
        <f>IFERROR(INDEX(спр_Работы!$K$2:$K$6000,MATCH($C973,спр_Работы!$A$2:$A$6000,0)),"")</f>
        <v/>
      </c>
      <c r="H973" s="9" t="n"/>
      <c r="I973" s="9" t="n"/>
      <c r="J973" s="8">
        <f>IFERROR(INDEX(спр_Материалы!$B$2:$B$9000,MATCH($I973,спр_Материалы!$A$2:$A$9000,0)),"")</f>
        <v/>
      </c>
      <c r="K973">
        <f>IF($I973="","",IF($F973=IFERROR(INDEX(спр_Материалы!$G$2:$G$9000,MATCH($I973,спр_Материалы!$A$2:$A$9000,0)),""),"OK","!! не та группа"))</f>
        <v/>
      </c>
      <c r="L973" s="10">
        <f>IFERROR(INDEX(спр_Работы!$H$2:$H$6000,MATCH($C973,спр_Работы!$A$2:$A$6000,0))*(1-ДисконтТендер),0)</f>
        <v/>
      </c>
      <c r="M973" s="10">
        <f>IF($I973="",0,IFERROR(INDEX(спр_Материалы!$I$2:$I$9000,MATCH($I973,спр_Материалы!$A$2:$A$9000,0))*IF(INDEX(спр_Материалы!$J$2:$J$9000,MATCH($I973,спр_Материалы!$A$2:$A$9000,0))="USD",КурсUSD,IF(INDEX(спр_Материалы!$J$2:$J$9000,MATCH($I973,спр_Материалы!$A$2:$A$9000,0))="EUR",КурсEUR,1))*INDEX(спр_Материалы!$K$2:$K$9000,MATCH($I973,спр_Материалы!$A$2:$A$9000,0))*(1+IFERROR(INDEX(спр_Работы!$I$2:$I$6000,MATCH($C973,спр_Работы!$A$2:$A$6000,0))/100,0))*(1-ДисконтТендер),0))</f>
        <v/>
      </c>
      <c r="N973" s="10">
        <f>IF(AND($R973="да",$H973&lt;&gt;""),ROUND($H973*$L973,2),0)</f>
        <v/>
      </c>
      <c r="O973" s="10">
        <f>IF(AND($R973="да",$H973&lt;&gt;""),ROUND($H973*$M973,2),0)</f>
        <v/>
      </c>
      <c r="P973" s="10">
        <f>$N973+$O973</f>
        <v/>
      </c>
      <c r="Q973">
        <f>IFERROR(INDEX(спр_Работы!$J$2:$J$6000,MATCH($C973,спр_Работы!$A$2:$A$6000,0)),"")</f>
        <v/>
      </c>
      <c r="R973" t="inlineStr">
        <is>
          <t>да</t>
        </is>
      </c>
      <c r="T973">
        <f>IF(AND($P973&gt;0,$R973="да"),MAX($T$1:$T972)+1,"")</f>
        <v/>
      </c>
    </row>
    <row r="974">
      <c r="A974" s="11">
        <f>IFERROR(INDEX(спр_Работы!$D$2:$D$6000,MATCH($C974,спр_Работы!$A$2:$A$6000,0)),"")</f>
        <v/>
      </c>
      <c r="B974">
        <f>IFERROR(INDEX(спр_Работы!$F$2:$F$6000,MATCH($C974,спр_Работы!$A$2:$A$6000,0)),"")</f>
        <v/>
      </c>
      <c r="C974">
        <f>IFERROR(INDEX(спр_Работы!$A$2:$A$6000,973),"")</f>
        <v/>
      </c>
      <c r="D974" s="8">
        <f>IFERROR(INDEX(спр_Работы!$B$2:$B$6000,MATCH($C974,спр_Работы!$A$2:$A$6000,0)),"")</f>
        <v/>
      </c>
      <c r="E974">
        <f>IFERROR(INDEX(спр_Работы!$C$2:$C$6000,MATCH($C974,спр_Работы!$A$2:$A$6000,0)),"")</f>
        <v/>
      </c>
      <c r="F974">
        <f>IFERROR(INDEX(спр_Работы!$G$2:$G$6000,MATCH($C974,спр_Работы!$A$2:$A$6000,0)),"")</f>
        <v/>
      </c>
      <c r="G974">
        <f>IFERROR(INDEX(спр_Работы!$K$2:$K$6000,MATCH($C974,спр_Работы!$A$2:$A$6000,0)),"")</f>
        <v/>
      </c>
      <c r="H974" s="9" t="n"/>
      <c r="I974" s="9" t="n"/>
      <c r="J974" s="8">
        <f>IFERROR(INDEX(спр_Материалы!$B$2:$B$9000,MATCH($I974,спр_Материалы!$A$2:$A$9000,0)),"")</f>
        <v/>
      </c>
      <c r="K974">
        <f>IF($I974="","",IF($F974=IFERROR(INDEX(спр_Материалы!$G$2:$G$9000,MATCH($I974,спр_Материалы!$A$2:$A$9000,0)),""),"OK","!! не та группа"))</f>
        <v/>
      </c>
      <c r="L974" s="10">
        <f>IFERROR(INDEX(спр_Работы!$H$2:$H$6000,MATCH($C974,спр_Работы!$A$2:$A$6000,0))*(1-ДисконтТендер),0)</f>
        <v/>
      </c>
      <c r="M974" s="10">
        <f>IF($I974="",0,IFERROR(INDEX(спр_Материалы!$I$2:$I$9000,MATCH($I974,спр_Материалы!$A$2:$A$9000,0))*IF(INDEX(спр_Материалы!$J$2:$J$9000,MATCH($I974,спр_Материалы!$A$2:$A$9000,0))="USD",КурсUSD,IF(INDEX(спр_Материалы!$J$2:$J$9000,MATCH($I974,спр_Материалы!$A$2:$A$9000,0))="EUR",КурсEUR,1))*INDEX(спр_Материалы!$K$2:$K$9000,MATCH($I974,спр_Материалы!$A$2:$A$9000,0))*(1+IFERROR(INDEX(спр_Работы!$I$2:$I$6000,MATCH($C974,спр_Работы!$A$2:$A$6000,0))/100,0))*(1-ДисконтТендер),0))</f>
        <v/>
      </c>
      <c r="N974" s="10">
        <f>IF(AND($R974="да",$H974&lt;&gt;""),ROUND($H974*$L974,2),0)</f>
        <v/>
      </c>
      <c r="O974" s="10">
        <f>IF(AND($R974="да",$H974&lt;&gt;""),ROUND($H974*$M974,2),0)</f>
        <v/>
      </c>
      <c r="P974" s="10">
        <f>$N974+$O974</f>
        <v/>
      </c>
      <c r="Q974">
        <f>IFERROR(INDEX(спр_Работы!$J$2:$J$6000,MATCH($C974,спр_Работы!$A$2:$A$6000,0)),"")</f>
        <v/>
      </c>
      <c r="R974" t="inlineStr">
        <is>
          <t>да</t>
        </is>
      </c>
      <c r="T974">
        <f>IF(AND($P974&gt;0,$R974="да"),MAX($T$1:$T973)+1,"")</f>
        <v/>
      </c>
    </row>
    <row r="975">
      <c r="A975" s="11">
        <f>IFERROR(INDEX(спр_Работы!$D$2:$D$6000,MATCH($C975,спр_Работы!$A$2:$A$6000,0)),"")</f>
        <v/>
      </c>
      <c r="B975">
        <f>IFERROR(INDEX(спр_Работы!$F$2:$F$6000,MATCH($C975,спр_Работы!$A$2:$A$6000,0)),"")</f>
        <v/>
      </c>
      <c r="C975">
        <f>IFERROR(INDEX(спр_Работы!$A$2:$A$6000,974),"")</f>
        <v/>
      </c>
      <c r="D975" s="8">
        <f>IFERROR(INDEX(спр_Работы!$B$2:$B$6000,MATCH($C975,спр_Работы!$A$2:$A$6000,0)),"")</f>
        <v/>
      </c>
      <c r="E975">
        <f>IFERROR(INDEX(спр_Работы!$C$2:$C$6000,MATCH($C975,спр_Работы!$A$2:$A$6000,0)),"")</f>
        <v/>
      </c>
      <c r="F975">
        <f>IFERROR(INDEX(спр_Работы!$G$2:$G$6000,MATCH($C975,спр_Работы!$A$2:$A$6000,0)),"")</f>
        <v/>
      </c>
      <c r="G975">
        <f>IFERROR(INDEX(спр_Работы!$K$2:$K$6000,MATCH($C975,спр_Работы!$A$2:$A$6000,0)),"")</f>
        <v/>
      </c>
      <c r="H975" s="9" t="n"/>
      <c r="I975" s="9" t="n"/>
      <c r="J975" s="8">
        <f>IFERROR(INDEX(спр_Материалы!$B$2:$B$9000,MATCH($I975,спр_Материалы!$A$2:$A$9000,0)),"")</f>
        <v/>
      </c>
      <c r="K975">
        <f>IF($I975="","",IF($F975=IFERROR(INDEX(спр_Материалы!$G$2:$G$9000,MATCH($I975,спр_Материалы!$A$2:$A$9000,0)),""),"OK","!! не та группа"))</f>
        <v/>
      </c>
      <c r="L975" s="10">
        <f>IFERROR(INDEX(спр_Работы!$H$2:$H$6000,MATCH($C975,спр_Работы!$A$2:$A$6000,0))*(1-ДисконтТендер),0)</f>
        <v/>
      </c>
      <c r="M975" s="10">
        <f>IF($I975="",0,IFERROR(INDEX(спр_Материалы!$I$2:$I$9000,MATCH($I975,спр_Материалы!$A$2:$A$9000,0))*IF(INDEX(спр_Материалы!$J$2:$J$9000,MATCH($I975,спр_Материалы!$A$2:$A$9000,0))="USD",КурсUSD,IF(INDEX(спр_Материалы!$J$2:$J$9000,MATCH($I975,спр_Материалы!$A$2:$A$9000,0))="EUR",КурсEUR,1))*INDEX(спр_Материалы!$K$2:$K$9000,MATCH($I975,спр_Материалы!$A$2:$A$9000,0))*(1+IFERROR(INDEX(спр_Работы!$I$2:$I$6000,MATCH($C975,спр_Работы!$A$2:$A$6000,0))/100,0))*(1-ДисконтТендер),0))</f>
        <v/>
      </c>
      <c r="N975" s="10">
        <f>IF(AND($R975="да",$H975&lt;&gt;""),ROUND($H975*$L975,2),0)</f>
        <v/>
      </c>
      <c r="O975" s="10">
        <f>IF(AND($R975="да",$H975&lt;&gt;""),ROUND($H975*$M975,2),0)</f>
        <v/>
      </c>
      <c r="P975" s="10">
        <f>$N975+$O975</f>
        <v/>
      </c>
      <c r="Q975">
        <f>IFERROR(INDEX(спр_Работы!$J$2:$J$6000,MATCH($C975,спр_Работы!$A$2:$A$6000,0)),"")</f>
        <v/>
      </c>
      <c r="R975" t="inlineStr">
        <is>
          <t>да</t>
        </is>
      </c>
      <c r="T975">
        <f>IF(AND($P975&gt;0,$R975="да"),MAX($T$1:$T974)+1,"")</f>
        <v/>
      </c>
    </row>
    <row r="976">
      <c r="A976" s="11">
        <f>IFERROR(INDEX(спр_Работы!$D$2:$D$6000,MATCH($C976,спр_Работы!$A$2:$A$6000,0)),"")</f>
        <v/>
      </c>
      <c r="B976">
        <f>IFERROR(INDEX(спр_Работы!$F$2:$F$6000,MATCH($C976,спр_Работы!$A$2:$A$6000,0)),"")</f>
        <v/>
      </c>
      <c r="C976">
        <f>IFERROR(INDEX(спр_Работы!$A$2:$A$6000,975),"")</f>
        <v/>
      </c>
      <c r="D976" s="8">
        <f>IFERROR(INDEX(спр_Работы!$B$2:$B$6000,MATCH($C976,спр_Работы!$A$2:$A$6000,0)),"")</f>
        <v/>
      </c>
      <c r="E976">
        <f>IFERROR(INDEX(спр_Работы!$C$2:$C$6000,MATCH($C976,спр_Работы!$A$2:$A$6000,0)),"")</f>
        <v/>
      </c>
      <c r="F976">
        <f>IFERROR(INDEX(спр_Работы!$G$2:$G$6000,MATCH($C976,спр_Работы!$A$2:$A$6000,0)),"")</f>
        <v/>
      </c>
      <c r="G976">
        <f>IFERROR(INDEX(спр_Работы!$K$2:$K$6000,MATCH($C976,спр_Работы!$A$2:$A$6000,0)),"")</f>
        <v/>
      </c>
      <c r="H976" s="9" t="n"/>
      <c r="I976" s="9" t="n"/>
      <c r="J976" s="8">
        <f>IFERROR(INDEX(спр_Материалы!$B$2:$B$9000,MATCH($I976,спр_Материалы!$A$2:$A$9000,0)),"")</f>
        <v/>
      </c>
      <c r="K976">
        <f>IF($I976="","",IF($F976=IFERROR(INDEX(спр_Материалы!$G$2:$G$9000,MATCH($I976,спр_Материалы!$A$2:$A$9000,0)),""),"OK","!! не та группа"))</f>
        <v/>
      </c>
      <c r="L976" s="10">
        <f>IFERROR(INDEX(спр_Работы!$H$2:$H$6000,MATCH($C976,спр_Работы!$A$2:$A$6000,0))*(1-ДисконтТендер),0)</f>
        <v/>
      </c>
      <c r="M976" s="10">
        <f>IF($I976="",0,IFERROR(INDEX(спр_Материалы!$I$2:$I$9000,MATCH($I976,спр_Материалы!$A$2:$A$9000,0))*IF(INDEX(спр_Материалы!$J$2:$J$9000,MATCH($I976,спр_Материалы!$A$2:$A$9000,0))="USD",КурсUSD,IF(INDEX(спр_Материалы!$J$2:$J$9000,MATCH($I976,спр_Материалы!$A$2:$A$9000,0))="EUR",КурсEUR,1))*INDEX(спр_Материалы!$K$2:$K$9000,MATCH($I976,спр_Материалы!$A$2:$A$9000,0))*(1+IFERROR(INDEX(спр_Работы!$I$2:$I$6000,MATCH($C976,спр_Работы!$A$2:$A$6000,0))/100,0))*(1-ДисконтТендер),0))</f>
        <v/>
      </c>
      <c r="N976" s="10">
        <f>IF(AND($R976="да",$H976&lt;&gt;""),ROUND($H976*$L976,2),0)</f>
        <v/>
      </c>
      <c r="O976" s="10">
        <f>IF(AND($R976="да",$H976&lt;&gt;""),ROUND($H976*$M976,2),0)</f>
        <v/>
      </c>
      <c r="P976" s="10">
        <f>$N976+$O976</f>
        <v/>
      </c>
      <c r="Q976">
        <f>IFERROR(INDEX(спр_Работы!$J$2:$J$6000,MATCH($C976,спр_Работы!$A$2:$A$6000,0)),"")</f>
        <v/>
      </c>
      <c r="R976" t="inlineStr">
        <is>
          <t>да</t>
        </is>
      </c>
      <c r="T976">
        <f>IF(AND($P976&gt;0,$R976="да"),MAX($T$1:$T975)+1,"")</f>
        <v/>
      </c>
    </row>
    <row r="977">
      <c r="A977" s="11">
        <f>IFERROR(INDEX(спр_Работы!$D$2:$D$6000,MATCH($C977,спр_Работы!$A$2:$A$6000,0)),"")</f>
        <v/>
      </c>
      <c r="B977">
        <f>IFERROR(INDEX(спр_Работы!$F$2:$F$6000,MATCH($C977,спр_Работы!$A$2:$A$6000,0)),"")</f>
        <v/>
      </c>
      <c r="C977">
        <f>IFERROR(INDEX(спр_Работы!$A$2:$A$6000,976),"")</f>
        <v/>
      </c>
      <c r="D977" s="8">
        <f>IFERROR(INDEX(спр_Работы!$B$2:$B$6000,MATCH($C977,спр_Работы!$A$2:$A$6000,0)),"")</f>
        <v/>
      </c>
      <c r="E977">
        <f>IFERROR(INDEX(спр_Работы!$C$2:$C$6000,MATCH($C977,спр_Работы!$A$2:$A$6000,0)),"")</f>
        <v/>
      </c>
      <c r="F977">
        <f>IFERROR(INDEX(спр_Работы!$G$2:$G$6000,MATCH($C977,спр_Работы!$A$2:$A$6000,0)),"")</f>
        <v/>
      </c>
      <c r="G977">
        <f>IFERROR(INDEX(спр_Работы!$K$2:$K$6000,MATCH($C977,спр_Работы!$A$2:$A$6000,0)),"")</f>
        <v/>
      </c>
      <c r="H977" s="9" t="n"/>
      <c r="I977" s="9" t="n"/>
      <c r="J977" s="8">
        <f>IFERROR(INDEX(спр_Материалы!$B$2:$B$9000,MATCH($I977,спр_Материалы!$A$2:$A$9000,0)),"")</f>
        <v/>
      </c>
      <c r="K977">
        <f>IF($I977="","",IF($F977=IFERROR(INDEX(спр_Материалы!$G$2:$G$9000,MATCH($I977,спр_Материалы!$A$2:$A$9000,0)),""),"OK","!! не та группа"))</f>
        <v/>
      </c>
      <c r="L977" s="10">
        <f>IFERROR(INDEX(спр_Работы!$H$2:$H$6000,MATCH($C977,спр_Работы!$A$2:$A$6000,0))*(1-ДисконтТендер),0)</f>
        <v/>
      </c>
      <c r="M977" s="10">
        <f>IF($I977="",0,IFERROR(INDEX(спр_Материалы!$I$2:$I$9000,MATCH($I977,спр_Материалы!$A$2:$A$9000,0))*IF(INDEX(спр_Материалы!$J$2:$J$9000,MATCH($I977,спр_Материалы!$A$2:$A$9000,0))="USD",КурсUSD,IF(INDEX(спр_Материалы!$J$2:$J$9000,MATCH($I977,спр_Материалы!$A$2:$A$9000,0))="EUR",КурсEUR,1))*INDEX(спр_Материалы!$K$2:$K$9000,MATCH($I977,спр_Материалы!$A$2:$A$9000,0))*(1+IFERROR(INDEX(спр_Работы!$I$2:$I$6000,MATCH($C977,спр_Работы!$A$2:$A$6000,0))/100,0))*(1-ДисконтТендер),0))</f>
        <v/>
      </c>
      <c r="N977" s="10">
        <f>IF(AND($R977="да",$H977&lt;&gt;""),ROUND($H977*$L977,2),0)</f>
        <v/>
      </c>
      <c r="O977" s="10">
        <f>IF(AND($R977="да",$H977&lt;&gt;""),ROUND($H977*$M977,2),0)</f>
        <v/>
      </c>
      <c r="P977" s="10">
        <f>$N977+$O977</f>
        <v/>
      </c>
      <c r="Q977">
        <f>IFERROR(INDEX(спр_Работы!$J$2:$J$6000,MATCH($C977,спр_Работы!$A$2:$A$6000,0)),"")</f>
        <v/>
      </c>
      <c r="R977" t="inlineStr">
        <is>
          <t>да</t>
        </is>
      </c>
      <c r="T977">
        <f>IF(AND($P977&gt;0,$R977="да"),MAX($T$1:$T976)+1,"")</f>
        <v/>
      </c>
    </row>
    <row r="978">
      <c r="A978" s="11">
        <f>IFERROR(INDEX(спр_Работы!$D$2:$D$6000,MATCH($C978,спр_Работы!$A$2:$A$6000,0)),"")</f>
        <v/>
      </c>
      <c r="B978">
        <f>IFERROR(INDEX(спр_Работы!$F$2:$F$6000,MATCH($C978,спр_Работы!$A$2:$A$6000,0)),"")</f>
        <v/>
      </c>
      <c r="C978">
        <f>IFERROR(INDEX(спр_Работы!$A$2:$A$6000,977),"")</f>
        <v/>
      </c>
      <c r="D978" s="8">
        <f>IFERROR(INDEX(спр_Работы!$B$2:$B$6000,MATCH($C978,спр_Работы!$A$2:$A$6000,0)),"")</f>
        <v/>
      </c>
      <c r="E978">
        <f>IFERROR(INDEX(спр_Работы!$C$2:$C$6000,MATCH($C978,спр_Работы!$A$2:$A$6000,0)),"")</f>
        <v/>
      </c>
      <c r="F978">
        <f>IFERROR(INDEX(спр_Работы!$G$2:$G$6000,MATCH($C978,спр_Работы!$A$2:$A$6000,0)),"")</f>
        <v/>
      </c>
      <c r="G978">
        <f>IFERROR(INDEX(спр_Работы!$K$2:$K$6000,MATCH($C978,спр_Работы!$A$2:$A$6000,0)),"")</f>
        <v/>
      </c>
      <c r="H978" s="9" t="n"/>
      <c r="I978" s="9" t="n"/>
      <c r="J978" s="8">
        <f>IFERROR(INDEX(спр_Материалы!$B$2:$B$9000,MATCH($I978,спр_Материалы!$A$2:$A$9000,0)),"")</f>
        <v/>
      </c>
      <c r="K978">
        <f>IF($I978="","",IF($F978=IFERROR(INDEX(спр_Материалы!$G$2:$G$9000,MATCH($I978,спр_Материалы!$A$2:$A$9000,0)),""),"OK","!! не та группа"))</f>
        <v/>
      </c>
      <c r="L978" s="10">
        <f>IFERROR(INDEX(спр_Работы!$H$2:$H$6000,MATCH($C978,спр_Работы!$A$2:$A$6000,0))*(1-ДисконтТендер),0)</f>
        <v/>
      </c>
      <c r="M978" s="10">
        <f>IF($I978="",0,IFERROR(INDEX(спр_Материалы!$I$2:$I$9000,MATCH($I978,спр_Материалы!$A$2:$A$9000,0))*IF(INDEX(спр_Материалы!$J$2:$J$9000,MATCH($I978,спр_Материалы!$A$2:$A$9000,0))="USD",КурсUSD,IF(INDEX(спр_Материалы!$J$2:$J$9000,MATCH($I978,спр_Материалы!$A$2:$A$9000,0))="EUR",КурсEUR,1))*INDEX(спр_Материалы!$K$2:$K$9000,MATCH($I978,спр_Материалы!$A$2:$A$9000,0))*(1+IFERROR(INDEX(спр_Работы!$I$2:$I$6000,MATCH($C978,спр_Работы!$A$2:$A$6000,0))/100,0))*(1-ДисконтТендер),0))</f>
        <v/>
      </c>
      <c r="N978" s="10">
        <f>IF(AND($R978="да",$H978&lt;&gt;""),ROUND($H978*$L978,2),0)</f>
        <v/>
      </c>
      <c r="O978" s="10">
        <f>IF(AND($R978="да",$H978&lt;&gt;""),ROUND($H978*$M978,2),0)</f>
        <v/>
      </c>
      <c r="P978" s="10">
        <f>$N978+$O978</f>
        <v/>
      </c>
      <c r="Q978">
        <f>IFERROR(INDEX(спр_Работы!$J$2:$J$6000,MATCH($C978,спр_Работы!$A$2:$A$6000,0)),"")</f>
        <v/>
      </c>
      <c r="R978" t="inlineStr">
        <is>
          <t>да</t>
        </is>
      </c>
      <c r="T978">
        <f>IF(AND($P978&gt;0,$R978="да"),MAX($T$1:$T977)+1,"")</f>
        <v/>
      </c>
    </row>
    <row r="979">
      <c r="A979" s="11">
        <f>IFERROR(INDEX(спр_Работы!$D$2:$D$6000,MATCH($C979,спр_Работы!$A$2:$A$6000,0)),"")</f>
        <v/>
      </c>
      <c r="B979">
        <f>IFERROR(INDEX(спр_Работы!$F$2:$F$6000,MATCH($C979,спр_Работы!$A$2:$A$6000,0)),"")</f>
        <v/>
      </c>
      <c r="C979">
        <f>IFERROR(INDEX(спр_Работы!$A$2:$A$6000,978),"")</f>
        <v/>
      </c>
      <c r="D979" s="8">
        <f>IFERROR(INDEX(спр_Работы!$B$2:$B$6000,MATCH($C979,спр_Работы!$A$2:$A$6000,0)),"")</f>
        <v/>
      </c>
      <c r="E979">
        <f>IFERROR(INDEX(спр_Работы!$C$2:$C$6000,MATCH($C979,спр_Работы!$A$2:$A$6000,0)),"")</f>
        <v/>
      </c>
      <c r="F979">
        <f>IFERROR(INDEX(спр_Работы!$G$2:$G$6000,MATCH($C979,спр_Работы!$A$2:$A$6000,0)),"")</f>
        <v/>
      </c>
      <c r="G979">
        <f>IFERROR(INDEX(спр_Работы!$K$2:$K$6000,MATCH($C979,спр_Работы!$A$2:$A$6000,0)),"")</f>
        <v/>
      </c>
      <c r="H979" s="9" t="n"/>
      <c r="I979" s="9" t="n"/>
      <c r="J979" s="8">
        <f>IFERROR(INDEX(спр_Материалы!$B$2:$B$9000,MATCH($I979,спр_Материалы!$A$2:$A$9000,0)),"")</f>
        <v/>
      </c>
      <c r="K979">
        <f>IF($I979="","",IF($F979=IFERROR(INDEX(спр_Материалы!$G$2:$G$9000,MATCH($I979,спр_Материалы!$A$2:$A$9000,0)),""),"OK","!! не та группа"))</f>
        <v/>
      </c>
      <c r="L979" s="10">
        <f>IFERROR(INDEX(спр_Работы!$H$2:$H$6000,MATCH($C979,спр_Работы!$A$2:$A$6000,0))*(1-ДисконтТендер),0)</f>
        <v/>
      </c>
      <c r="M979" s="10">
        <f>IF($I979="",0,IFERROR(INDEX(спр_Материалы!$I$2:$I$9000,MATCH($I979,спр_Материалы!$A$2:$A$9000,0))*IF(INDEX(спр_Материалы!$J$2:$J$9000,MATCH($I979,спр_Материалы!$A$2:$A$9000,0))="USD",КурсUSD,IF(INDEX(спр_Материалы!$J$2:$J$9000,MATCH($I979,спр_Материалы!$A$2:$A$9000,0))="EUR",КурсEUR,1))*INDEX(спр_Материалы!$K$2:$K$9000,MATCH($I979,спр_Материалы!$A$2:$A$9000,0))*(1+IFERROR(INDEX(спр_Работы!$I$2:$I$6000,MATCH($C979,спр_Работы!$A$2:$A$6000,0))/100,0))*(1-ДисконтТендер),0))</f>
        <v/>
      </c>
      <c r="N979" s="10">
        <f>IF(AND($R979="да",$H979&lt;&gt;""),ROUND($H979*$L979,2),0)</f>
        <v/>
      </c>
      <c r="O979" s="10">
        <f>IF(AND($R979="да",$H979&lt;&gt;""),ROUND($H979*$M979,2),0)</f>
        <v/>
      </c>
      <c r="P979" s="10">
        <f>$N979+$O979</f>
        <v/>
      </c>
      <c r="Q979">
        <f>IFERROR(INDEX(спр_Работы!$J$2:$J$6000,MATCH($C979,спр_Работы!$A$2:$A$6000,0)),"")</f>
        <v/>
      </c>
      <c r="R979" t="inlineStr">
        <is>
          <t>да</t>
        </is>
      </c>
      <c r="T979">
        <f>IF(AND($P979&gt;0,$R979="да"),MAX($T$1:$T978)+1,"")</f>
        <v/>
      </c>
    </row>
    <row r="980">
      <c r="A980" s="11">
        <f>IFERROR(INDEX(спр_Работы!$D$2:$D$6000,MATCH($C980,спр_Работы!$A$2:$A$6000,0)),"")</f>
        <v/>
      </c>
      <c r="B980">
        <f>IFERROR(INDEX(спр_Работы!$F$2:$F$6000,MATCH($C980,спр_Работы!$A$2:$A$6000,0)),"")</f>
        <v/>
      </c>
      <c r="C980">
        <f>IFERROR(INDEX(спр_Работы!$A$2:$A$6000,979),"")</f>
        <v/>
      </c>
      <c r="D980" s="8">
        <f>IFERROR(INDEX(спр_Работы!$B$2:$B$6000,MATCH($C980,спр_Работы!$A$2:$A$6000,0)),"")</f>
        <v/>
      </c>
      <c r="E980">
        <f>IFERROR(INDEX(спр_Работы!$C$2:$C$6000,MATCH($C980,спр_Работы!$A$2:$A$6000,0)),"")</f>
        <v/>
      </c>
      <c r="F980">
        <f>IFERROR(INDEX(спр_Работы!$G$2:$G$6000,MATCH($C980,спр_Работы!$A$2:$A$6000,0)),"")</f>
        <v/>
      </c>
      <c r="G980">
        <f>IFERROR(INDEX(спр_Работы!$K$2:$K$6000,MATCH($C980,спр_Работы!$A$2:$A$6000,0)),"")</f>
        <v/>
      </c>
      <c r="H980" s="9" t="n"/>
      <c r="I980" s="9" t="n"/>
      <c r="J980" s="8">
        <f>IFERROR(INDEX(спр_Материалы!$B$2:$B$9000,MATCH($I980,спр_Материалы!$A$2:$A$9000,0)),"")</f>
        <v/>
      </c>
      <c r="K980">
        <f>IF($I980="","",IF($F980=IFERROR(INDEX(спр_Материалы!$G$2:$G$9000,MATCH($I980,спр_Материалы!$A$2:$A$9000,0)),""),"OK","!! не та группа"))</f>
        <v/>
      </c>
      <c r="L980" s="10">
        <f>IFERROR(INDEX(спр_Работы!$H$2:$H$6000,MATCH($C980,спр_Работы!$A$2:$A$6000,0))*(1-ДисконтТендер),0)</f>
        <v/>
      </c>
      <c r="M980" s="10">
        <f>IF($I980="",0,IFERROR(INDEX(спр_Материалы!$I$2:$I$9000,MATCH($I980,спр_Материалы!$A$2:$A$9000,0))*IF(INDEX(спр_Материалы!$J$2:$J$9000,MATCH($I980,спр_Материалы!$A$2:$A$9000,0))="USD",КурсUSD,IF(INDEX(спр_Материалы!$J$2:$J$9000,MATCH($I980,спр_Материалы!$A$2:$A$9000,0))="EUR",КурсEUR,1))*INDEX(спр_Материалы!$K$2:$K$9000,MATCH($I980,спр_Материалы!$A$2:$A$9000,0))*(1+IFERROR(INDEX(спр_Работы!$I$2:$I$6000,MATCH($C980,спр_Работы!$A$2:$A$6000,0))/100,0))*(1-ДисконтТендер),0))</f>
        <v/>
      </c>
      <c r="N980" s="10">
        <f>IF(AND($R980="да",$H980&lt;&gt;""),ROUND($H980*$L980,2),0)</f>
        <v/>
      </c>
      <c r="O980" s="10">
        <f>IF(AND($R980="да",$H980&lt;&gt;""),ROUND($H980*$M980,2),0)</f>
        <v/>
      </c>
      <c r="P980" s="10">
        <f>$N980+$O980</f>
        <v/>
      </c>
      <c r="Q980">
        <f>IFERROR(INDEX(спр_Работы!$J$2:$J$6000,MATCH($C980,спр_Работы!$A$2:$A$6000,0)),"")</f>
        <v/>
      </c>
      <c r="R980" t="inlineStr">
        <is>
          <t>да</t>
        </is>
      </c>
      <c r="T980">
        <f>IF(AND($P980&gt;0,$R980="да"),MAX($T$1:$T979)+1,"")</f>
        <v/>
      </c>
    </row>
    <row r="981">
      <c r="A981" s="11">
        <f>IFERROR(INDEX(спр_Работы!$D$2:$D$6000,MATCH($C981,спр_Работы!$A$2:$A$6000,0)),"")</f>
        <v/>
      </c>
      <c r="B981">
        <f>IFERROR(INDEX(спр_Работы!$F$2:$F$6000,MATCH($C981,спр_Работы!$A$2:$A$6000,0)),"")</f>
        <v/>
      </c>
      <c r="C981">
        <f>IFERROR(INDEX(спр_Работы!$A$2:$A$6000,980),"")</f>
        <v/>
      </c>
      <c r="D981" s="8">
        <f>IFERROR(INDEX(спр_Работы!$B$2:$B$6000,MATCH($C981,спр_Работы!$A$2:$A$6000,0)),"")</f>
        <v/>
      </c>
      <c r="E981">
        <f>IFERROR(INDEX(спр_Работы!$C$2:$C$6000,MATCH($C981,спр_Работы!$A$2:$A$6000,0)),"")</f>
        <v/>
      </c>
      <c r="F981">
        <f>IFERROR(INDEX(спр_Работы!$G$2:$G$6000,MATCH($C981,спр_Работы!$A$2:$A$6000,0)),"")</f>
        <v/>
      </c>
      <c r="G981">
        <f>IFERROR(INDEX(спр_Работы!$K$2:$K$6000,MATCH($C981,спр_Работы!$A$2:$A$6000,0)),"")</f>
        <v/>
      </c>
      <c r="H981" s="9" t="n"/>
      <c r="I981" s="9" t="n"/>
      <c r="J981" s="8">
        <f>IFERROR(INDEX(спр_Материалы!$B$2:$B$9000,MATCH($I981,спр_Материалы!$A$2:$A$9000,0)),"")</f>
        <v/>
      </c>
      <c r="K981">
        <f>IF($I981="","",IF($F981=IFERROR(INDEX(спр_Материалы!$G$2:$G$9000,MATCH($I981,спр_Материалы!$A$2:$A$9000,0)),""),"OK","!! не та группа"))</f>
        <v/>
      </c>
      <c r="L981" s="10">
        <f>IFERROR(INDEX(спр_Работы!$H$2:$H$6000,MATCH($C981,спр_Работы!$A$2:$A$6000,0))*(1-ДисконтТендер),0)</f>
        <v/>
      </c>
      <c r="M981" s="10">
        <f>IF($I981="",0,IFERROR(INDEX(спр_Материалы!$I$2:$I$9000,MATCH($I981,спр_Материалы!$A$2:$A$9000,0))*IF(INDEX(спр_Материалы!$J$2:$J$9000,MATCH($I981,спр_Материалы!$A$2:$A$9000,0))="USD",КурсUSD,IF(INDEX(спр_Материалы!$J$2:$J$9000,MATCH($I981,спр_Материалы!$A$2:$A$9000,0))="EUR",КурсEUR,1))*INDEX(спр_Материалы!$K$2:$K$9000,MATCH($I981,спр_Материалы!$A$2:$A$9000,0))*(1+IFERROR(INDEX(спр_Работы!$I$2:$I$6000,MATCH($C981,спр_Работы!$A$2:$A$6000,0))/100,0))*(1-ДисконтТендер),0))</f>
        <v/>
      </c>
      <c r="N981" s="10">
        <f>IF(AND($R981="да",$H981&lt;&gt;""),ROUND($H981*$L981,2),0)</f>
        <v/>
      </c>
      <c r="O981" s="10">
        <f>IF(AND($R981="да",$H981&lt;&gt;""),ROUND($H981*$M981,2),0)</f>
        <v/>
      </c>
      <c r="P981" s="10">
        <f>$N981+$O981</f>
        <v/>
      </c>
      <c r="Q981">
        <f>IFERROR(INDEX(спр_Работы!$J$2:$J$6000,MATCH($C981,спр_Работы!$A$2:$A$6000,0)),"")</f>
        <v/>
      </c>
      <c r="R981" t="inlineStr">
        <is>
          <t>да</t>
        </is>
      </c>
      <c r="T981">
        <f>IF(AND($P981&gt;0,$R981="да"),MAX($T$1:$T980)+1,"")</f>
        <v/>
      </c>
    </row>
    <row r="982">
      <c r="A982" s="11">
        <f>IFERROR(INDEX(спр_Работы!$D$2:$D$6000,MATCH($C982,спр_Работы!$A$2:$A$6000,0)),"")</f>
        <v/>
      </c>
      <c r="B982">
        <f>IFERROR(INDEX(спр_Работы!$F$2:$F$6000,MATCH($C982,спр_Работы!$A$2:$A$6000,0)),"")</f>
        <v/>
      </c>
      <c r="C982">
        <f>IFERROR(INDEX(спр_Работы!$A$2:$A$6000,981),"")</f>
        <v/>
      </c>
      <c r="D982" s="8">
        <f>IFERROR(INDEX(спр_Работы!$B$2:$B$6000,MATCH($C982,спр_Работы!$A$2:$A$6000,0)),"")</f>
        <v/>
      </c>
      <c r="E982">
        <f>IFERROR(INDEX(спр_Работы!$C$2:$C$6000,MATCH($C982,спр_Работы!$A$2:$A$6000,0)),"")</f>
        <v/>
      </c>
      <c r="F982">
        <f>IFERROR(INDEX(спр_Работы!$G$2:$G$6000,MATCH($C982,спр_Работы!$A$2:$A$6000,0)),"")</f>
        <v/>
      </c>
      <c r="G982">
        <f>IFERROR(INDEX(спр_Работы!$K$2:$K$6000,MATCH($C982,спр_Работы!$A$2:$A$6000,0)),"")</f>
        <v/>
      </c>
      <c r="H982" s="9" t="n"/>
      <c r="I982" s="9" t="n"/>
      <c r="J982" s="8">
        <f>IFERROR(INDEX(спр_Материалы!$B$2:$B$9000,MATCH($I982,спр_Материалы!$A$2:$A$9000,0)),"")</f>
        <v/>
      </c>
      <c r="K982">
        <f>IF($I982="","",IF($F982=IFERROR(INDEX(спр_Материалы!$G$2:$G$9000,MATCH($I982,спр_Материалы!$A$2:$A$9000,0)),""),"OK","!! не та группа"))</f>
        <v/>
      </c>
      <c r="L982" s="10">
        <f>IFERROR(INDEX(спр_Работы!$H$2:$H$6000,MATCH($C982,спр_Работы!$A$2:$A$6000,0))*(1-ДисконтТендер),0)</f>
        <v/>
      </c>
      <c r="M982" s="10">
        <f>IF($I982="",0,IFERROR(INDEX(спр_Материалы!$I$2:$I$9000,MATCH($I982,спр_Материалы!$A$2:$A$9000,0))*IF(INDEX(спр_Материалы!$J$2:$J$9000,MATCH($I982,спр_Материалы!$A$2:$A$9000,0))="USD",КурсUSD,IF(INDEX(спр_Материалы!$J$2:$J$9000,MATCH($I982,спр_Материалы!$A$2:$A$9000,0))="EUR",КурсEUR,1))*INDEX(спр_Материалы!$K$2:$K$9000,MATCH($I982,спр_Материалы!$A$2:$A$9000,0))*(1+IFERROR(INDEX(спр_Работы!$I$2:$I$6000,MATCH($C982,спр_Работы!$A$2:$A$6000,0))/100,0))*(1-ДисконтТендер),0))</f>
        <v/>
      </c>
      <c r="N982" s="10">
        <f>IF(AND($R982="да",$H982&lt;&gt;""),ROUND($H982*$L982,2),0)</f>
        <v/>
      </c>
      <c r="O982" s="10">
        <f>IF(AND($R982="да",$H982&lt;&gt;""),ROUND($H982*$M982,2),0)</f>
        <v/>
      </c>
      <c r="P982" s="10">
        <f>$N982+$O982</f>
        <v/>
      </c>
      <c r="Q982">
        <f>IFERROR(INDEX(спр_Работы!$J$2:$J$6000,MATCH($C982,спр_Работы!$A$2:$A$6000,0)),"")</f>
        <v/>
      </c>
      <c r="R982" t="inlineStr">
        <is>
          <t>да</t>
        </is>
      </c>
      <c r="T982">
        <f>IF(AND($P982&gt;0,$R982="да"),MAX($T$1:$T981)+1,"")</f>
        <v/>
      </c>
    </row>
    <row r="983">
      <c r="A983" s="11">
        <f>IFERROR(INDEX(спр_Работы!$D$2:$D$6000,MATCH($C983,спр_Работы!$A$2:$A$6000,0)),"")</f>
        <v/>
      </c>
      <c r="B983">
        <f>IFERROR(INDEX(спр_Работы!$F$2:$F$6000,MATCH($C983,спр_Работы!$A$2:$A$6000,0)),"")</f>
        <v/>
      </c>
      <c r="C983">
        <f>IFERROR(INDEX(спр_Работы!$A$2:$A$6000,982),"")</f>
        <v/>
      </c>
      <c r="D983" s="8">
        <f>IFERROR(INDEX(спр_Работы!$B$2:$B$6000,MATCH($C983,спр_Работы!$A$2:$A$6000,0)),"")</f>
        <v/>
      </c>
      <c r="E983">
        <f>IFERROR(INDEX(спр_Работы!$C$2:$C$6000,MATCH($C983,спр_Работы!$A$2:$A$6000,0)),"")</f>
        <v/>
      </c>
      <c r="F983">
        <f>IFERROR(INDEX(спр_Работы!$G$2:$G$6000,MATCH($C983,спр_Работы!$A$2:$A$6000,0)),"")</f>
        <v/>
      </c>
      <c r="G983">
        <f>IFERROR(INDEX(спр_Работы!$K$2:$K$6000,MATCH($C983,спр_Работы!$A$2:$A$6000,0)),"")</f>
        <v/>
      </c>
      <c r="H983" s="9" t="n"/>
      <c r="I983" s="9" t="n"/>
      <c r="J983" s="8">
        <f>IFERROR(INDEX(спр_Материалы!$B$2:$B$9000,MATCH($I983,спр_Материалы!$A$2:$A$9000,0)),"")</f>
        <v/>
      </c>
      <c r="K983">
        <f>IF($I983="","",IF($F983=IFERROR(INDEX(спр_Материалы!$G$2:$G$9000,MATCH($I983,спр_Материалы!$A$2:$A$9000,0)),""),"OK","!! не та группа"))</f>
        <v/>
      </c>
      <c r="L983" s="10">
        <f>IFERROR(INDEX(спр_Работы!$H$2:$H$6000,MATCH($C983,спр_Работы!$A$2:$A$6000,0))*(1-ДисконтТендер),0)</f>
        <v/>
      </c>
      <c r="M983" s="10">
        <f>IF($I983="",0,IFERROR(INDEX(спр_Материалы!$I$2:$I$9000,MATCH($I983,спр_Материалы!$A$2:$A$9000,0))*IF(INDEX(спр_Материалы!$J$2:$J$9000,MATCH($I983,спр_Материалы!$A$2:$A$9000,0))="USD",КурсUSD,IF(INDEX(спр_Материалы!$J$2:$J$9000,MATCH($I983,спр_Материалы!$A$2:$A$9000,0))="EUR",КурсEUR,1))*INDEX(спр_Материалы!$K$2:$K$9000,MATCH($I983,спр_Материалы!$A$2:$A$9000,0))*(1+IFERROR(INDEX(спр_Работы!$I$2:$I$6000,MATCH($C983,спр_Работы!$A$2:$A$6000,0))/100,0))*(1-ДисконтТендер),0))</f>
        <v/>
      </c>
      <c r="N983" s="10">
        <f>IF(AND($R983="да",$H983&lt;&gt;""),ROUND($H983*$L983,2),0)</f>
        <v/>
      </c>
      <c r="O983" s="10">
        <f>IF(AND($R983="да",$H983&lt;&gt;""),ROUND($H983*$M983,2),0)</f>
        <v/>
      </c>
      <c r="P983" s="10">
        <f>$N983+$O983</f>
        <v/>
      </c>
      <c r="Q983">
        <f>IFERROR(INDEX(спр_Работы!$J$2:$J$6000,MATCH($C983,спр_Работы!$A$2:$A$6000,0)),"")</f>
        <v/>
      </c>
      <c r="R983" t="inlineStr">
        <is>
          <t>да</t>
        </is>
      </c>
      <c r="T983">
        <f>IF(AND($P983&gt;0,$R983="да"),MAX($T$1:$T982)+1,"")</f>
        <v/>
      </c>
    </row>
    <row r="984">
      <c r="A984" s="11">
        <f>IFERROR(INDEX(спр_Работы!$D$2:$D$6000,MATCH($C984,спр_Работы!$A$2:$A$6000,0)),"")</f>
        <v/>
      </c>
      <c r="B984">
        <f>IFERROR(INDEX(спр_Работы!$F$2:$F$6000,MATCH($C984,спр_Работы!$A$2:$A$6000,0)),"")</f>
        <v/>
      </c>
      <c r="C984">
        <f>IFERROR(INDEX(спр_Работы!$A$2:$A$6000,983),"")</f>
        <v/>
      </c>
      <c r="D984" s="8">
        <f>IFERROR(INDEX(спр_Работы!$B$2:$B$6000,MATCH($C984,спр_Работы!$A$2:$A$6000,0)),"")</f>
        <v/>
      </c>
      <c r="E984">
        <f>IFERROR(INDEX(спр_Работы!$C$2:$C$6000,MATCH($C984,спр_Работы!$A$2:$A$6000,0)),"")</f>
        <v/>
      </c>
      <c r="F984">
        <f>IFERROR(INDEX(спр_Работы!$G$2:$G$6000,MATCH($C984,спр_Работы!$A$2:$A$6000,0)),"")</f>
        <v/>
      </c>
      <c r="G984">
        <f>IFERROR(INDEX(спр_Работы!$K$2:$K$6000,MATCH($C984,спр_Работы!$A$2:$A$6000,0)),"")</f>
        <v/>
      </c>
      <c r="H984" s="9" t="n"/>
      <c r="I984" s="9" t="n"/>
      <c r="J984" s="8">
        <f>IFERROR(INDEX(спр_Материалы!$B$2:$B$9000,MATCH($I984,спр_Материалы!$A$2:$A$9000,0)),"")</f>
        <v/>
      </c>
      <c r="K984">
        <f>IF($I984="","",IF($F984=IFERROR(INDEX(спр_Материалы!$G$2:$G$9000,MATCH($I984,спр_Материалы!$A$2:$A$9000,0)),""),"OK","!! не та группа"))</f>
        <v/>
      </c>
      <c r="L984" s="10">
        <f>IFERROR(INDEX(спр_Работы!$H$2:$H$6000,MATCH($C984,спр_Работы!$A$2:$A$6000,0))*(1-ДисконтТендер),0)</f>
        <v/>
      </c>
      <c r="M984" s="10">
        <f>IF($I984="",0,IFERROR(INDEX(спр_Материалы!$I$2:$I$9000,MATCH($I984,спр_Материалы!$A$2:$A$9000,0))*IF(INDEX(спр_Материалы!$J$2:$J$9000,MATCH($I984,спр_Материалы!$A$2:$A$9000,0))="USD",КурсUSD,IF(INDEX(спр_Материалы!$J$2:$J$9000,MATCH($I984,спр_Материалы!$A$2:$A$9000,0))="EUR",КурсEUR,1))*INDEX(спр_Материалы!$K$2:$K$9000,MATCH($I984,спр_Материалы!$A$2:$A$9000,0))*(1+IFERROR(INDEX(спр_Работы!$I$2:$I$6000,MATCH($C984,спр_Работы!$A$2:$A$6000,0))/100,0))*(1-ДисконтТендер),0))</f>
        <v/>
      </c>
      <c r="N984" s="10">
        <f>IF(AND($R984="да",$H984&lt;&gt;""),ROUND($H984*$L984,2),0)</f>
        <v/>
      </c>
      <c r="O984" s="10">
        <f>IF(AND($R984="да",$H984&lt;&gt;""),ROUND($H984*$M984,2),0)</f>
        <v/>
      </c>
      <c r="P984" s="10">
        <f>$N984+$O984</f>
        <v/>
      </c>
      <c r="Q984">
        <f>IFERROR(INDEX(спр_Работы!$J$2:$J$6000,MATCH($C984,спр_Работы!$A$2:$A$6000,0)),"")</f>
        <v/>
      </c>
      <c r="R984" t="inlineStr">
        <is>
          <t>да</t>
        </is>
      </c>
      <c r="T984">
        <f>IF(AND($P984&gt;0,$R984="да"),MAX($T$1:$T983)+1,"")</f>
        <v/>
      </c>
    </row>
    <row r="985">
      <c r="A985" s="11">
        <f>IFERROR(INDEX(спр_Работы!$D$2:$D$6000,MATCH($C985,спр_Работы!$A$2:$A$6000,0)),"")</f>
        <v/>
      </c>
      <c r="B985">
        <f>IFERROR(INDEX(спр_Работы!$F$2:$F$6000,MATCH($C985,спр_Работы!$A$2:$A$6000,0)),"")</f>
        <v/>
      </c>
      <c r="C985">
        <f>IFERROR(INDEX(спр_Работы!$A$2:$A$6000,984),"")</f>
        <v/>
      </c>
      <c r="D985" s="8">
        <f>IFERROR(INDEX(спр_Работы!$B$2:$B$6000,MATCH($C985,спр_Работы!$A$2:$A$6000,0)),"")</f>
        <v/>
      </c>
      <c r="E985">
        <f>IFERROR(INDEX(спр_Работы!$C$2:$C$6000,MATCH($C985,спр_Работы!$A$2:$A$6000,0)),"")</f>
        <v/>
      </c>
      <c r="F985">
        <f>IFERROR(INDEX(спр_Работы!$G$2:$G$6000,MATCH($C985,спр_Работы!$A$2:$A$6000,0)),"")</f>
        <v/>
      </c>
      <c r="G985">
        <f>IFERROR(INDEX(спр_Работы!$K$2:$K$6000,MATCH($C985,спр_Работы!$A$2:$A$6000,0)),"")</f>
        <v/>
      </c>
      <c r="H985" s="9" t="n"/>
      <c r="I985" s="9" t="n"/>
      <c r="J985" s="8">
        <f>IFERROR(INDEX(спр_Материалы!$B$2:$B$9000,MATCH($I985,спр_Материалы!$A$2:$A$9000,0)),"")</f>
        <v/>
      </c>
      <c r="K985">
        <f>IF($I985="","",IF($F985=IFERROR(INDEX(спр_Материалы!$G$2:$G$9000,MATCH($I985,спр_Материалы!$A$2:$A$9000,0)),""),"OK","!! не та группа"))</f>
        <v/>
      </c>
      <c r="L985" s="10">
        <f>IFERROR(INDEX(спр_Работы!$H$2:$H$6000,MATCH($C985,спр_Работы!$A$2:$A$6000,0))*(1-ДисконтТендер),0)</f>
        <v/>
      </c>
      <c r="M985" s="10">
        <f>IF($I985="",0,IFERROR(INDEX(спр_Материалы!$I$2:$I$9000,MATCH($I985,спр_Материалы!$A$2:$A$9000,0))*IF(INDEX(спр_Материалы!$J$2:$J$9000,MATCH($I985,спр_Материалы!$A$2:$A$9000,0))="USD",КурсUSD,IF(INDEX(спр_Материалы!$J$2:$J$9000,MATCH($I985,спр_Материалы!$A$2:$A$9000,0))="EUR",КурсEUR,1))*INDEX(спр_Материалы!$K$2:$K$9000,MATCH($I985,спр_Материалы!$A$2:$A$9000,0))*(1+IFERROR(INDEX(спр_Работы!$I$2:$I$6000,MATCH($C985,спр_Работы!$A$2:$A$6000,0))/100,0))*(1-ДисконтТендер),0))</f>
        <v/>
      </c>
      <c r="N985" s="10">
        <f>IF(AND($R985="да",$H985&lt;&gt;""),ROUND($H985*$L985,2),0)</f>
        <v/>
      </c>
      <c r="O985" s="10">
        <f>IF(AND($R985="да",$H985&lt;&gt;""),ROUND($H985*$M985,2),0)</f>
        <v/>
      </c>
      <c r="P985" s="10">
        <f>$N985+$O985</f>
        <v/>
      </c>
      <c r="Q985">
        <f>IFERROR(INDEX(спр_Работы!$J$2:$J$6000,MATCH($C985,спр_Работы!$A$2:$A$6000,0)),"")</f>
        <v/>
      </c>
      <c r="R985" t="inlineStr">
        <is>
          <t>да</t>
        </is>
      </c>
      <c r="T985">
        <f>IF(AND($P985&gt;0,$R985="да"),MAX($T$1:$T984)+1,"")</f>
        <v/>
      </c>
    </row>
    <row r="986">
      <c r="A986" s="11">
        <f>IFERROR(INDEX(спр_Работы!$D$2:$D$6000,MATCH($C986,спр_Работы!$A$2:$A$6000,0)),"")</f>
        <v/>
      </c>
      <c r="B986">
        <f>IFERROR(INDEX(спр_Работы!$F$2:$F$6000,MATCH($C986,спр_Работы!$A$2:$A$6000,0)),"")</f>
        <v/>
      </c>
      <c r="C986">
        <f>IFERROR(INDEX(спр_Работы!$A$2:$A$6000,985),"")</f>
        <v/>
      </c>
      <c r="D986" s="8">
        <f>IFERROR(INDEX(спр_Работы!$B$2:$B$6000,MATCH($C986,спр_Работы!$A$2:$A$6000,0)),"")</f>
        <v/>
      </c>
      <c r="E986">
        <f>IFERROR(INDEX(спр_Работы!$C$2:$C$6000,MATCH($C986,спр_Работы!$A$2:$A$6000,0)),"")</f>
        <v/>
      </c>
      <c r="F986">
        <f>IFERROR(INDEX(спр_Работы!$G$2:$G$6000,MATCH($C986,спр_Работы!$A$2:$A$6000,0)),"")</f>
        <v/>
      </c>
      <c r="G986">
        <f>IFERROR(INDEX(спр_Работы!$K$2:$K$6000,MATCH($C986,спр_Работы!$A$2:$A$6000,0)),"")</f>
        <v/>
      </c>
      <c r="H986" s="9" t="n"/>
      <c r="I986" s="9" t="n"/>
      <c r="J986" s="8">
        <f>IFERROR(INDEX(спр_Материалы!$B$2:$B$9000,MATCH($I986,спр_Материалы!$A$2:$A$9000,0)),"")</f>
        <v/>
      </c>
      <c r="K986">
        <f>IF($I986="","",IF($F986=IFERROR(INDEX(спр_Материалы!$G$2:$G$9000,MATCH($I986,спр_Материалы!$A$2:$A$9000,0)),""),"OK","!! не та группа"))</f>
        <v/>
      </c>
      <c r="L986" s="10">
        <f>IFERROR(INDEX(спр_Работы!$H$2:$H$6000,MATCH($C986,спр_Работы!$A$2:$A$6000,0))*(1-ДисконтТендер),0)</f>
        <v/>
      </c>
      <c r="M986" s="10">
        <f>IF($I986="",0,IFERROR(INDEX(спр_Материалы!$I$2:$I$9000,MATCH($I986,спр_Материалы!$A$2:$A$9000,0))*IF(INDEX(спр_Материалы!$J$2:$J$9000,MATCH($I986,спр_Материалы!$A$2:$A$9000,0))="USD",КурсUSD,IF(INDEX(спр_Материалы!$J$2:$J$9000,MATCH($I986,спр_Материалы!$A$2:$A$9000,0))="EUR",КурсEUR,1))*INDEX(спр_Материалы!$K$2:$K$9000,MATCH($I986,спр_Материалы!$A$2:$A$9000,0))*(1+IFERROR(INDEX(спр_Работы!$I$2:$I$6000,MATCH($C986,спр_Работы!$A$2:$A$6000,0))/100,0))*(1-ДисконтТендер),0))</f>
        <v/>
      </c>
      <c r="N986" s="10">
        <f>IF(AND($R986="да",$H986&lt;&gt;""),ROUND($H986*$L986,2),0)</f>
        <v/>
      </c>
      <c r="O986" s="10">
        <f>IF(AND($R986="да",$H986&lt;&gt;""),ROUND($H986*$M986,2),0)</f>
        <v/>
      </c>
      <c r="P986" s="10">
        <f>$N986+$O986</f>
        <v/>
      </c>
      <c r="Q986">
        <f>IFERROR(INDEX(спр_Работы!$J$2:$J$6000,MATCH($C986,спр_Работы!$A$2:$A$6000,0)),"")</f>
        <v/>
      </c>
      <c r="R986" t="inlineStr">
        <is>
          <t>да</t>
        </is>
      </c>
      <c r="T986">
        <f>IF(AND($P986&gt;0,$R986="да"),MAX($T$1:$T985)+1,"")</f>
        <v/>
      </c>
    </row>
    <row r="987">
      <c r="A987" s="11">
        <f>IFERROR(INDEX(спр_Работы!$D$2:$D$6000,MATCH($C987,спр_Работы!$A$2:$A$6000,0)),"")</f>
        <v/>
      </c>
      <c r="B987">
        <f>IFERROR(INDEX(спр_Работы!$F$2:$F$6000,MATCH($C987,спр_Работы!$A$2:$A$6000,0)),"")</f>
        <v/>
      </c>
      <c r="C987">
        <f>IFERROR(INDEX(спр_Работы!$A$2:$A$6000,986),"")</f>
        <v/>
      </c>
      <c r="D987" s="8">
        <f>IFERROR(INDEX(спр_Работы!$B$2:$B$6000,MATCH($C987,спр_Работы!$A$2:$A$6000,0)),"")</f>
        <v/>
      </c>
      <c r="E987">
        <f>IFERROR(INDEX(спр_Работы!$C$2:$C$6000,MATCH($C987,спр_Работы!$A$2:$A$6000,0)),"")</f>
        <v/>
      </c>
      <c r="F987">
        <f>IFERROR(INDEX(спр_Работы!$G$2:$G$6000,MATCH($C987,спр_Работы!$A$2:$A$6000,0)),"")</f>
        <v/>
      </c>
      <c r="G987">
        <f>IFERROR(INDEX(спр_Работы!$K$2:$K$6000,MATCH($C987,спр_Работы!$A$2:$A$6000,0)),"")</f>
        <v/>
      </c>
      <c r="H987" s="9" t="n"/>
      <c r="I987" s="9" t="n"/>
      <c r="J987" s="8">
        <f>IFERROR(INDEX(спр_Материалы!$B$2:$B$9000,MATCH($I987,спр_Материалы!$A$2:$A$9000,0)),"")</f>
        <v/>
      </c>
      <c r="K987">
        <f>IF($I987="","",IF($F987=IFERROR(INDEX(спр_Материалы!$G$2:$G$9000,MATCH($I987,спр_Материалы!$A$2:$A$9000,0)),""),"OK","!! не та группа"))</f>
        <v/>
      </c>
      <c r="L987" s="10">
        <f>IFERROR(INDEX(спр_Работы!$H$2:$H$6000,MATCH($C987,спр_Работы!$A$2:$A$6000,0))*(1-ДисконтТендер),0)</f>
        <v/>
      </c>
      <c r="M987" s="10">
        <f>IF($I987="",0,IFERROR(INDEX(спр_Материалы!$I$2:$I$9000,MATCH($I987,спр_Материалы!$A$2:$A$9000,0))*IF(INDEX(спр_Материалы!$J$2:$J$9000,MATCH($I987,спр_Материалы!$A$2:$A$9000,0))="USD",КурсUSD,IF(INDEX(спр_Материалы!$J$2:$J$9000,MATCH($I987,спр_Материалы!$A$2:$A$9000,0))="EUR",КурсEUR,1))*INDEX(спр_Материалы!$K$2:$K$9000,MATCH($I987,спр_Материалы!$A$2:$A$9000,0))*(1+IFERROR(INDEX(спр_Работы!$I$2:$I$6000,MATCH($C987,спр_Работы!$A$2:$A$6000,0))/100,0))*(1-ДисконтТендер),0))</f>
        <v/>
      </c>
      <c r="N987" s="10">
        <f>IF(AND($R987="да",$H987&lt;&gt;""),ROUND($H987*$L987,2),0)</f>
        <v/>
      </c>
      <c r="O987" s="10">
        <f>IF(AND($R987="да",$H987&lt;&gt;""),ROUND($H987*$M987,2),0)</f>
        <v/>
      </c>
      <c r="P987" s="10">
        <f>$N987+$O987</f>
        <v/>
      </c>
      <c r="Q987">
        <f>IFERROR(INDEX(спр_Работы!$J$2:$J$6000,MATCH($C987,спр_Работы!$A$2:$A$6000,0)),"")</f>
        <v/>
      </c>
      <c r="R987" t="inlineStr">
        <is>
          <t>да</t>
        </is>
      </c>
      <c r="T987">
        <f>IF(AND($P987&gt;0,$R987="да"),MAX($T$1:$T986)+1,"")</f>
        <v/>
      </c>
    </row>
    <row r="988">
      <c r="A988" s="11">
        <f>IFERROR(INDEX(спр_Работы!$D$2:$D$6000,MATCH($C988,спр_Работы!$A$2:$A$6000,0)),"")</f>
        <v/>
      </c>
      <c r="B988">
        <f>IFERROR(INDEX(спр_Работы!$F$2:$F$6000,MATCH($C988,спр_Работы!$A$2:$A$6000,0)),"")</f>
        <v/>
      </c>
      <c r="C988">
        <f>IFERROR(INDEX(спр_Работы!$A$2:$A$6000,987),"")</f>
        <v/>
      </c>
      <c r="D988" s="8">
        <f>IFERROR(INDEX(спр_Работы!$B$2:$B$6000,MATCH($C988,спр_Работы!$A$2:$A$6000,0)),"")</f>
        <v/>
      </c>
      <c r="E988">
        <f>IFERROR(INDEX(спр_Работы!$C$2:$C$6000,MATCH($C988,спр_Работы!$A$2:$A$6000,0)),"")</f>
        <v/>
      </c>
      <c r="F988">
        <f>IFERROR(INDEX(спр_Работы!$G$2:$G$6000,MATCH($C988,спр_Работы!$A$2:$A$6000,0)),"")</f>
        <v/>
      </c>
      <c r="G988">
        <f>IFERROR(INDEX(спр_Работы!$K$2:$K$6000,MATCH($C988,спр_Работы!$A$2:$A$6000,0)),"")</f>
        <v/>
      </c>
      <c r="H988" s="9" t="n"/>
      <c r="I988" s="9" t="n"/>
      <c r="J988" s="8">
        <f>IFERROR(INDEX(спр_Материалы!$B$2:$B$9000,MATCH($I988,спр_Материалы!$A$2:$A$9000,0)),"")</f>
        <v/>
      </c>
      <c r="K988">
        <f>IF($I988="","",IF($F988=IFERROR(INDEX(спр_Материалы!$G$2:$G$9000,MATCH($I988,спр_Материалы!$A$2:$A$9000,0)),""),"OK","!! не та группа"))</f>
        <v/>
      </c>
      <c r="L988" s="10">
        <f>IFERROR(INDEX(спр_Работы!$H$2:$H$6000,MATCH($C988,спр_Работы!$A$2:$A$6000,0))*(1-ДисконтТендер),0)</f>
        <v/>
      </c>
      <c r="M988" s="10">
        <f>IF($I988="",0,IFERROR(INDEX(спр_Материалы!$I$2:$I$9000,MATCH($I988,спр_Материалы!$A$2:$A$9000,0))*IF(INDEX(спр_Материалы!$J$2:$J$9000,MATCH($I988,спр_Материалы!$A$2:$A$9000,0))="USD",КурсUSD,IF(INDEX(спр_Материалы!$J$2:$J$9000,MATCH($I988,спр_Материалы!$A$2:$A$9000,0))="EUR",КурсEUR,1))*INDEX(спр_Материалы!$K$2:$K$9000,MATCH($I988,спр_Материалы!$A$2:$A$9000,0))*(1+IFERROR(INDEX(спр_Работы!$I$2:$I$6000,MATCH($C988,спр_Работы!$A$2:$A$6000,0))/100,0))*(1-ДисконтТендер),0))</f>
        <v/>
      </c>
      <c r="N988" s="10">
        <f>IF(AND($R988="да",$H988&lt;&gt;""),ROUND($H988*$L988,2),0)</f>
        <v/>
      </c>
      <c r="O988" s="10">
        <f>IF(AND($R988="да",$H988&lt;&gt;""),ROUND($H988*$M988,2),0)</f>
        <v/>
      </c>
      <c r="P988" s="10">
        <f>$N988+$O988</f>
        <v/>
      </c>
      <c r="Q988">
        <f>IFERROR(INDEX(спр_Работы!$J$2:$J$6000,MATCH($C988,спр_Работы!$A$2:$A$6000,0)),"")</f>
        <v/>
      </c>
      <c r="R988" t="inlineStr">
        <is>
          <t>да</t>
        </is>
      </c>
      <c r="T988">
        <f>IF(AND($P988&gt;0,$R988="да"),MAX($T$1:$T987)+1,"")</f>
        <v/>
      </c>
    </row>
    <row r="989">
      <c r="A989" s="11">
        <f>IFERROR(INDEX(спр_Работы!$D$2:$D$6000,MATCH($C989,спр_Работы!$A$2:$A$6000,0)),"")</f>
        <v/>
      </c>
      <c r="B989">
        <f>IFERROR(INDEX(спр_Работы!$F$2:$F$6000,MATCH($C989,спр_Работы!$A$2:$A$6000,0)),"")</f>
        <v/>
      </c>
      <c r="C989">
        <f>IFERROR(INDEX(спр_Работы!$A$2:$A$6000,988),"")</f>
        <v/>
      </c>
      <c r="D989" s="8">
        <f>IFERROR(INDEX(спр_Работы!$B$2:$B$6000,MATCH($C989,спр_Работы!$A$2:$A$6000,0)),"")</f>
        <v/>
      </c>
      <c r="E989">
        <f>IFERROR(INDEX(спр_Работы!$C$2:$C$6000,MATCH($C989,спр_Работы!$A$2:$A$6000,0)),"")</f>
        <v/>
      </c>
      <c r="F989">
        <f>IFERROR(INDEX(спр_Работы!$G$2:$G$6000,MATCH($C989,спр_Работы!$A$2:$A$6000,0)),"")</f>
        <v/>
      </c>
      <c r="G989">
        <f>IFERROR(INDEX(спр_Работы!$K$2:$K$6000,MATCH($C989,спр_Работы!$A$2:$A$6000,0)),"")</f>
        <v/>
      </c>
      <c r="H989" s="9" t="n"/>
      <c r="I989" s="9" t="n"/>
      <c r="J989" s="8">
        <f>IFERROR(INDEX(спр_Материалы!$B$2:$B$9000,MATCH($I989,спр_Материалы!$A$2:$A$9000,0)),"")</f>
        <v/>
      </c>
      <c r="K989">
        <f>IF($I989="","",IF($F989=IFERROR(INDEX(спр_Материалы!$G$2:$G$9000,MATCH($I989,спр_Материалы!$A$2:$A$9000,0)),""),"OK","!! не та группа"))</f>
        <v/>
      </c>
      <c r="L989" s="10">
        <f>IFERROR(INDEX(спр_Работы!$H$2:$H$6000,MATCH($C989,спр_Работы!$A$2:$A$6000,0))*(1-ДисконтТендер),0)</f>
        <v/>
      </c>
      <c r="M989" s="10">
        <f>IF($I989="",0,IFERROR(INDEX(спр_Материалы!$I$2:$I$9000,MATCH($I989,спр_Материалы!$A$2:$A$9000,0))*IF(INDEX(спр_Материалы!$J$2:$J$9000,MATCH($I989,спр_Материалы!$A$2:$A$9000,0))="USD",КурсUSD,IF(INDEX(спр_Материалы!$J$2:$J$9000,MATCH($I989,спр_Материалы!$A$2:$A$9000,0))="EUR",КурсEUR,1))*INDEX(спр_Материалы!$K$2:$K$9000,MATCH($I989,спр_Материалы!$A$2:$A$9000,0))*(1+IFERROR(INDEX(спр_Работы!$I$2:$I$6000,MATCH($C989,спр_Работы!$A$2:$A$6000,0))/100,0))*(1-ДисконтТендер),0))</f>
        <v/>
      </c>
      <c r="N989" s="10">
        <f>IF(AND($R989="да",$H989&lt;&gt;""),ROUND($H989*$L989,2),0)</f>
        <v/>
      </c>
      <c r="O989" s="10">
        <f>IF(AND($R989="да",$H989&lt;&gt;""),ROUND($H989*$M989,2),0)</f>
        <v/>
      </c>
      <c r="P989" s="10">
        <f>$N989+$O989</f>
        <v/>
      </c>
      <c r="Q989">
        <f>IFERROR(INDEX(спр_Работы!$J$2:$J$6000,MATCH($C989,спр_Работы!$A$2:$A$6000,0)),"")</f>
        <v/>
      </c>
      <c r="R989" t="inlineStr">
        <is>
          <t>да</t>
        </is>
      </c>
      <c r="T989">
        <f>IF(AND($P989&gt;0,$R989="да"),MAX($T$1:$T988)+1,"")</f>
        <v/>
      </c>
    </row>
    <row r="990">
      <c r="A990" s="11">
        <f>IFERROR(INDEX(спр_Работы!$D$2:$D$6000,MATCH($C990,спр_Работы!$A$2:$A$6000,0)),"")</f>
        <v/>
      </c>
      <c r="B990">
        <f>IFERROR(INDEX(спр_Работы!$F$2:$F$6000,MATCH($C990,спр_Работы!$A$2:$A$6000,0)),"")</f>
        <v/>
      </c>
      <c r="C990">
        <f>IFERROR(INDEX(спр_Работы!$A$2:$A$6000,989),"")</f>
        <v/>
      </c>
      <c r="D990" s="8">
        <f>IFERROR(INDEX(спр_Работы!$B$2:$B$6000,MATCH($C990,спр_Работы!$A$2:$A$6000,0)),"")</f>
        <v/>
      </c>
      <c r="E990">
        <f>IFERROR(INDEX(спр_Работы!$C$2:$C$6000,MATCH($C990,спр_Работы!$A$2:$A$6000,0)),"")</f>
        <v/>
      </c>
      <c r="F990">
        <f>IFERROR(INDEX(спр_Работы!$G$2:$G$6000,MATCH($C990,спр_Работы!$A$2:$A$6000,0)),"")</f>
        <v/>
      </c>
      <c r="G990">
        <f>IFERROR(INDEX(спр_Работы!$K$2:$K$6000,MATCH($C990,спр_Работы!$A$2:$A$6000,0)),"")</f>
        <v/>
      </c>
      <c r="H990" s="9" t="n"/>
      <c r="I990" s="9" t="n"/>
      <c r="J990" s="8">
        <f>IFERROR(INDEX(спр_Материалы!$B$2:$B$9000,MATCH($I990,спр_Материалы!$A$2:$A$9000,0)),"")</f>
        <v/>
      </c>
      <c r="K990">
        <f>IF($I990="","",IF($F990=IFERROR(INDEX(спр_Материалы!$G$2:$G$9000,MATCH($I990,спр_Материалы!$A$2:$A$9000,0)),""),"OK","!! не та группа"))</f>
        <v/>
      </c>
      <c r="L990" s="10">
        <f>IFERROR(INDEX(спр_Работы!$H$2:$H$6000,MATCH($C990,спр_Работы!$A$2:$A$6000,0))*(1-ДисконтТендер),0)</f>
        <v/>
      </c>
      <c r="M990" s="10">
        <f>IF($I990="",0,IFERROR(INDEX(спр_Материалы!$I$2:$I$9000,MATCH($I990,спр_Материалы!$A$2:$A$9000,0))*IF(INDEX(спр_Материалы!$J$2:$J$9000,MATCH($I990,спр_Материалы!$A$2:$A$9000,0))="USD",КурсUSD,IF(INDEX(спр_Материалы!$J$2:$J$9000,MATCH($I990,спр_Материалы!$A$2:$A$9000,0))="EUR",КурсEUR,1))*INDEX(спр_Материалы!$K$2:$K$9000,MATCH($I990,спр_Материалы!$A$2:$A$9000,0))*(1+IFERROR(INDEX(спр_Работы!$I$2:$I$6000,MATCH($C990,спр_Работы!$A$2:$A$6000,0))/100,0))*(1-ДисконтТендер),0))</f>
        <v/>
      </c>
      <c r="N990" s="10">
        <f>IF(AND($R990="да",$H990&lt;&gt;""),ROUND($H990*$L990,2),0)</f>
        <v/>
      </c>
      <c r="O990" s="10">
        <f>IF(AND($R990="да",$H990&lt;&gt;""),ROUND($H990*$M990,2),0)</f>
        <v/>
      </c>
      <c r="P990" s="10">
        <f>$N990+$O990</f>
        <v/>
      </c>
      <c r="Q990">
        <f>IFERROR(INDEX(спр_Работы!$J$2:$J$6000,MATCH($C990,спр_Работы!$A$2:$A$6000,0)),"")</f>
        <v/>
      </c>
      <c r="R990" t="inlineStr">
        <is>
          <t>да</t>
        </is>
      </c>
      <c r="T990">
        <f>IF(AND($P990&gt;0,$R990="да"),MAX($T$1:$T989)+1,"")</f>
        <v/>
      </c>
    </row>
    <row r="991">
      <c r="A991" s="11">
        <f>IFERROR(INDEX(спр_Работы!$D$2:$D$6000,MATCH($C991,спр_Работы!$A$2:$A$6000,0)),"")</f>
        <v/>
      </c>
      <c r="B991">
        <f>IFERROR(INDEX(спр_Работы!$F$2:$F$6000,MATCH($C991,спр_Работы!$A$2:$A$6000,0)),"")</f>
        <v/>
      </c>
      <c r="C991">
        <f>IFERROR(INDEX(спр_Работы!$A$2:$A$6000,990),"")</f>
        <v/>
      </c>
      <c r="D991" s="8">
        <f>IFERROR(INDEX(спр_Работы!$B$2:$B$6000,MATCH($C991,спр_Работы!$A$2:$A$6000,0)),"")</f>
        <v/>
      </c>
      <c r="E991">
        <f>IFERROR(INDEX(спр_Работы!$C$2:$C$6000,MATCH($C991,спр_Работы!$A$2:$A$6000,0)),"")</f>
        <v/>
      </c>
      <c r="F991">
        <f>IFERROR(INDEX(спр_Работы!$G$2:$G$6000,MATCH($C991,спр_Работы!$A$2:$A$6000,0)),"")</f>
        <v/>
      </c>
      <c r="G991">
        <f>IFERROR(INDEX(спр_Работы!$K$2:$K$6000,MATCH($C991,спр_Работы!$A$2:$A$6000,0)),"")</f>
        <v/>
      </c>
      <c r="H991" s="9" t="n"/>
      <c r="I991" s="9" t="n"/>
      <c r="J991" s="8">
        <f>IFERROR(INDEX(спр_Материалы!$B$2:$B$9000,MATCH($I991,спр_Материалы!$A$2:$A$9000,0)),"")</f>
        <v/>
      </c>
      <c r="K991">
        <f>IF($I991="","",IF($F991=IFERROR(INDEX(спр_Материалы!$G$2:$G$9000,MATCH($I991,спр_Материалы!$A$2:$A$9000,0)),""),"OK","!! не та группа"))</f>
        <v/>
      </c>
      <c r="L991" s="10">
        <f>IFERROR(INDEX(спр_Работы!$H$2:$H$6000,MATCH($C991,спр_Работы!$A$2:$A$6000,0))*(1-ДисконтТендер),0)</f>
        <v/>
      </c>
      <c r="M991" s="10">
        <f>IF($I991="",0,IFERROR(INDEX(спр_Материалы!$I$2:$I$9000,MATCH($I991,спр_Материалы!$A$2:$A$9000,0))*IF(INDEX(спр_Материалы!$J$2:$J$9000,MATCH($I991,спр_Материалы!$A$2:$A$9000,0))="USD",КурсUSD,IF(INDEX(спр_Материалы!$J$2:$J$9000,MATCH($I991,спр_Материалы!$A$2:$A$9000,0))="EUR",КурсEUR,1))*INDEX(спр_Материалы!$K$2:$K$9000,MATCH($I991,спр_Материалы!$A$2:$A$9000,0))*(1+IFERROR(INDEX(спр_Работы!$I$2:$I$6000,MATCH($C991,спр_Работы!$A$2:$A$6000,0))/100,0))*(1-ДисконтТендер),0))</f>
        <v/>
      </c>
      <c r="N991" s="10">
        <f>IF(AND($R991="да",$H991&lt;&gt;""),ROUND($H991*$L991,2),0)</f>
        <v/>
      </c>
      <c r="O991" s="10">
        <f>IF(AND($R991="да",$H991&lt;&gt;""),ROUND($H991*$M991,2),0)</f>
        <v/>
      </c>
      <c r="P991" s="10">
        <f>$N991+$O991</f>
        <v/>
      </c>
      <c r="Q991">
        <f>IFERROR(INDEX(спр_Работы!$J$2:$J$6000,MATCH($C991,спр_Работы!$A$2:$A$6000,0)),"")</f>
        <v/>
      </c>
      <c r="R991" t="inlineStr">
        <is>
          <t>да</t>
        </is>
      </c>
      <c r="T991">
        <f>IF(AND($P991&gt;0,$R991="да"),MAX($T$1:$T990)+1,"")</f>
        <v/>
      </c>
    </row>
    <row r="992">
      <c r="A992" s="11">
        <f>IFERROR(INDEX(спр_Работы!$D$2:$D$6000,MATCH($C992,спр_Работы!$A$2:$A$6000,0)),"")</f>
        <v/>
      </c>
      <c r="B992">
        <f>IFERROR(INDEX(спр_Работы!$F$2:$F$6000,MATCH($C992,спр_Работы!$A$2:$A$6000,0)),"")</f>
        <v/>
      </c>
      <c r="C992">
        <f>IFERROR(INDEX(спр_Работы!$A$2:$A$6000,991),"")</f>
        <v/>
      </c>
      <c r="D992" s="8">
        <f>IFERROR(INDEX(спр_Работы!$B$2:$B$6000,MATCH($C992,спр_Работы!$A$2:$A$6000,0)),"")</f>
        <v/>
      </c>
      <c r="E992">
        <f>IFERROR(INDEX(спр_Работы!$C$2:$C$6000,MATCH($C992,спр_Работы!$A$2:$A$6000,0)),"")</f>
        <v/>
      </c>
      <c r="F992">
        <f>IFERROR(INDEX(спр_Работы!$G$2:$G$6000,MATCH($C992,спр_Работы!$A$2:$A$6000,0)),"")</f>
        <v/>
      </c>
      <c r="G992">
        <f>IFERROR(INDEX(спр_Работы!$K$2:$K$6000,MATCH($C992,спр_Работы!$A$2:$A$6000,0)),"")</f>
        <v/>
      </c>
      <c r="H992" s="9" t="n"/>
      <c r="I992" s="9" t="n"/>
      <c r="J992" s="8">
        <f>IFERROR(INDEX(спр_Материалы!$B$2:$B$9000,MATCH($I992,спр_Материалы!$A$2:$A$9000,0)),"")</f>
        <v/>
      </c>
      <c r="K992">
        <f>IF($I992="","",IF($F992=IFERROR(INDEX(спр_Материалы!$G$2:$G$9000,MATCH($I992,спр_Материалы!$A$2:$A$9000,0)),""),"OK","!! не та группа"))</f>
        <v/>
      </c>
      <c r="L992" s="10">
        <f>IFERROR(INDEX(спр_Работы!$H$2:$H$6000,MATCH($C992,спр_Работы!$A$2:$A$6000,0))*(1-ДисконтТендер),0)</f>
        <v/>
      </c>
      <c r="M992" s="10">
        <f>IF($I992="",0,IFERROR(INDEX(спр_Материалы!$I$2:$I$9000,MATCH($I992,спр_Материалы!$A$2:$A$9000,0))*IF(INDEX(спр_Материалы!$J$2:$J$9000,MATCH($I992,спр_Материалы!$A$2:$A$9000,0))="USD",КурсUSD,IF(INDEX(спр_Материалы!$J$2:$J$9000,MATCH($I992,спр_Материалы!$A$2:$A$9000,0))="EUR",КурсEUR,1))*INDEX(спр_Материалы!$K$2:$K$9000,MATCH($I992,спр_Материалы!$A$2:$A$9000,0))*(1+IFERROR(INDEX(спр_Работы!$I$2:$I$6000,MATCH($C992,спр_Работы!$A$2:$A$6000,0))/100,0))*(1-ДисконтТендер),0))</f>
        <v/>
      </c>
      <c r="N992" s="10">
        <f>IF(AND($R992="да",$H992&lt;&gt;""),ROUND($H992*$L992,2),0)</f>
        <v/>
      </c>
      <c r="O992" s="10">
        <f>IF(AND($R992="да",$H992&lt;&gt;""),ROUND($H992*$M992,2),0)</f>
        <v/>
      </c>
      <c r="P992" s="10">
        <f>$N992+$O992</f>
        <v/>
      </c>
      <c r="Q992">
        <f>IFERROR(INDEX(спр_Работы!$J$2:$J$6000,MATCH($C992,спр_Работы!$A$2:$A$6000,0)),"")</f>
        <v/>
      </c>
      <c r="R992" t="inlineStr">
        <is>
          <t>да</t>
        </is>
      </c>
      <c r="T992">
        <f>IF(AND($P992&gt;0,$R992="да"),MAX($T$1:$T991)+1,"")</f>
        <v/>
      </c>
    </row>
    <row r="993">
      <c r="A993" s="11">
        <f>IFERROR(INDEX(спр_Работы!$D$2:$D$6000,MATCH($C993,спр_Работы!$A$2:$A$6000,0)),"")</f>
        <v/>
      </c>
      <c r="B993">
        <f>IFERROR(INDEX(спр_Работы!$F$2:$F$6000,MATCH($C993,спр_Работы!$A$2:$A$6000,0)),"")</f>
        <v/>
      </c>
      <c r="C993">
        <f>IFERROR(INDEX(спр_Работы!$A$2:$A$6000,992),"")</f>
        <v/>
      </c>
      <c r="D993" s="8">
        <f>IFERROR(INDEX(спр_Работы!$B$2:$B$6000,MATCH($C993,спр_Работы!$A$2:$A$6000,0)),"")</f>
        <v/>
      </c>
      <c r="E993">
        <f>IFERROR(INDEX(спр_Работы!$C$2:$C$6000,MATCH($C993,спр_Работы!$A$2:$A$6000,0)),"")</f>
        <v/>
      </c>
      <c r="F993">
        <f>IFERROR(INDEX(спр_Работы!$G$2:$G$6000,MATCH($C993,спр_Работы!$A$2:$A$6000,0)),"")</f>
        <v/>
      </c>
      <c r="G993">
        <f>IFERROR(INDEX(спр_Работы!$K$2:$K$6000,MATCH($C993,спр_Работы!$A$2:$A$6000,0)),"")</f>
        <v/>
      </c>
      <c r="H993" s="9" t="n"/>
      <c r="I993" s="9" t="n"/>
      <c r="J993" s="8">
        <f>IFERROR(INDEX(спр_Материалы!$B$2:$B$9000,MATCH($I993,спр_Материалы!$A$2:$A$9000,0)),"")</f>
        <v/>
      </c>
      <c r="K993">
        <f>IF($I993="","",IF($F993=IFERROR(INDEX(спр_Материалы!$G$2:$G$9000,MATCH($I993,спр_Материалы!$A$2:$A$9000,0)),""),"OK","!! не та группа"))</f>
        <v/>
      </c>
      <c r="L993" s="10">
        <f>IFERROR(INDEX(спр_Работы!$H$2:$H$6000,MATCH($C993,спр_Работы!$A$2:$A$6000,0))*(1-ДисконтТендер),0)</f>
        <v/>
      </c>
      <c r="M993" s="10">
        <f>IF($I993="",0,IFERROR(INDEX(спр_Материалы!$I$2:$I$9000,MATCH($I993,спр_Материалы!$A$2:$A$9000,0))*IF(INDEX(спр_Материалы!$J$2:$J$9000,MATCH($I993,спр_Материалы!$A$2:$A$9000,0))="USD",КурсUSD,IF(INDEX(спр_Материалы!$J$2:$J$9000,MATCH($I993,спр_Материалы!$A$2:$A$9000,0))="EUR",КурсEUR,1))*INDEX(спр_Материалы!$K$2:$K$9000,MATCH($I993,спр_Материалы!$A$2:$A$9000,0))*(1+IFERROR(INDEX(спр_Работы!$I$2:$I$6000,MATCH($C993,спр_Работы!$A$2:$A$6000,0))/100,0))*(1-ДисконтТендер),0))</f>
        <v/>
      </c>
      <c r="N993" s="10">
        <f>IF(AND($R993="да",$H993&lt;&gt;""),ROUND($H993*$L993,2),0)</f>
        <v/>
      </c>
      <c r="O993" s="10">
        <f>IF(AND($R993="да",$H993&lt;&gt;""),ROUND($H993*$M993,2),0)</f>
        <v/>
      </c>
      <c r="P993" s="10">
        <f>$N993+$O993</f>
        <v/>
      </c>
      <c r="Q993">
        <f>IFERROR(INDEX(спр_Работы!$J$2:$J$6000,MATCH($C993,спр_Работы!$A$2:$A$6000,0)),"")</f>
        <v/>
      </c>
      <c r="R993" t="inlineStr">
        <is>
          <t>да</t>
        </is>
      </c>
      <c r="T993">
        <f>IF(AND($P993&gt;0,$R993="да"),MAX($T$1:$T992)+1,"")</f>
        <v/>
      </c>
    </row>
    <row r="994">
      <c r="A994" s="11">
        <f>IFERROR(INDEX(спр_Работы!$D$2:$D$6000,MATCH($C994,спр_Работы!$A$2:$A$6000,0)),"")</f>
        <v/>
      </c>
      <c r="B994">
        <f>IFERROR(INDEX(спр_Работы!$F$2:$F$6000,MATCH($C994,спр_Работы!$A$2:$A$6000,0)),"")</f>
        <v/>
      </c>
      <c r="C994">
        <f>IFERROR(INDEX(спр_Работы!$A$2:$A$6000,993),"")</f>
        <v/>
      </c>
      <c r="D994" s="8">
        <f>IFERROR(INDEX(спр_Работы!$B$2:$B$6000,MATCH($C994,спр_Работы!$A$2:$A$6000,0)),"")</f>
        <v/>
      </c>
      <c r="E994">
        <f>IFERROR(INDEX(спр_Работы!$C$2:$C$6000,MATCH($C994,спр_Работы!$A$2:$A$6000,0)),"")</f>
        <v/>
      </c>
      <c r="F994">
        <f>IFERROR(INDEX(спр_Работы!$G$2:$G$6000,MATCH($C994,спр_Работы!$A$2:$A$6000,0)),"")</f>
        <v/>
      </c>
      <c r="G994">
        <f>IFERROR(INDEX(спр_Работы!$K$2:$K$6000,MATCH($C994,спр_Работы!$A$2:$A$6000,0)),"")</f>
        <v/>
      </c>
      <c r="H994" s="9" t="n"/>
      <c r="I994" s="9" t="n"/>
      <c r="J994" s="8">
        <f>IFERROR(INDEX(спр_Материалы!$B$2:$B$9000,MATCH($I994,спр_Материалы!$A$2:$A$9000,0)),"")</f>
        <v/>
      </c>
      <c r="K994">
        <f>IF($I994="","",IF($F994=IFERROR(INDEX(спр_Материалы!$G$2:$G$9000,MATCH($I994,спр_Материалы!$A$2:$A$9000,0)),""),"OK","!! не та группа"))</f>
        <v/>
      </c>
      <c r="L994" s="10">
        <f>IFERROR(INDEX(спр_Работы!$H$2:$H$6000,MATCH($C994,спр_Работы!$A$2:$A$6000,0))*(1-ДисконтТендер),0)</f>
        <v/>
      </c>
      <c r="M994" s="10">
        <f>IF($I994="",0,IFERROR(INDEX(спр_Материалы!$I$2:$I$9000,MATCH($I994,спр_Материалы!$A$2:$A$9000,0))*IF(INDEX(спр_Материалы!$J$2:$J$9000,MATCH($I994,спр_Материалы!$A$2:$A$9000,0))="USD",КурсUSD,IF(INDEX(спр_Материалы!$J$2:$J$9000,MATCH($I994,спр_Материалы!$A$2:$A$9000,0))="EUR",КурсEUR,1))*INDEX(спр_Материалы!$K$2:$K$9000,MATCH($I994,спр_Материалы!$A$2:$A$9000,0))*(1+IFERROR(INDEX(спр_Работы!$I$2:$I$6000,MATCH($C994,спр_Работы!$A$2:$A$6000,0))/100,0))*(1-ДисконтТендер),0))</f>
        <v/>
      </c>
      <c r="N994" s="10">
        <f>IF(AND($R994="да",$H994&lt;&gt;""),ROUND($H994*$L994,2),0)</f>
        <v/>
      </c>
      <c r="O994" s="10">
        <f>IF(AND($R994="да",$H994&lt;&gt;""),ROUND($H994*$M994,2),0)</f>
        <v/>
      </c>
      <c r="P994" s="10">
        <f>$N994+$O994</f>
        <v/>
      </c>
      <c r="Q994">
        <f>IFERROR(INDEX(спр_Работы!$J$2:$J$6000,MATCH($C994,спр_Работы!$A$2:$A$6000,0)),"")</f>
        <v/>
      </c>
      <c r="R994" t="inlineStr">
        <is>
          <t>да</t>
        </is>
      </c>
      <c r="T994">
        <f>IF(AND($P994&gt;0,$R994="да"),MAX($T$1:$T993)+1,"")</f>
        <v/>
      </c>
    </row>
    <row r="995">
      <c r="A995" s="11">
        <f>IFERROR(INDEX(спр_Работы!$D$2:$D$6000,MATCH($C995,спр_Работы!$A$2:$A$6000,0)),"")</f>
        <v/>
      </c>
      <c r="B995">
        <f>IFERROR(INDEX(спр_Работы!$F$2:$F$6000,MATCH($C995,спр_Работы!$A$2:$A$6000,0)),"")</f>
        <v/>
      </c>
      <c r="C995">
        <f>IFERROR(INDEX(спр_Работы!$A$2:$A$6000,994),"")</f>
        <v/>
      </c>
      <c r="D995" s="8">
        <f>IFERROR(INDEX(спр_Работы!$B$2:$B$6000,MATCH($C995,спр_Работы!$A$2:$A$6000,0)),"")</f>
        <v/>
      </c>
      <c r="E995">
        <f>IFERROR(INDEX(спр_Работы!$C$2:$C$6000,MATCH($C995,спр_Работы!$A$2:$A$6000,0)),"")</f>
        <v/>
      </c>
      <c r="F995">
        <f>IFERROR(INDEX(спр_Работы!$G$2:$G$6000,MATCH($C995,спр_Работы!$A$2:$A$6000,0)),"")</f>
        <v/>
      </c>
      <c r="G995">
        <f>IFERROR(INDEX(спр_Работы!$K$2:$K$6000,MATCH($C995,спр_Работы!$A$2:$A$6000,0)),"")</f>
        <v/>
      </c>
      <c r="H995" s="9" t="n"/>
      <c r="I995" s="9" t="n"/>
      <c r="J995" s="8">
        <f>IFERROR(INDEX(спр_Материалы!$B$2:$B$9000,MATCH($I995,спр_Материалы!$A$2:$A$9000,0)),"")</f>
        <v/>
      </c>
      <c r="K995">
        <f>IF($I995="","",IF($F995=IFERROR(INDEX(спр_Материалы!$G$2:$G$9000,MATCH($I995,спр_Материалы!$A$2:$A$9000,0)),""),"OK","!! не та группа"))</f>
        <v/>
      </c>
      <c r="L995" s="10">
        <f>IFERROR(INDEX(спр_Работы!$H$2:$H$6000,MATCH($C995,спр_Работы!$A$2:$A$6000,0))*(1-ДисконтТендер),0)</f>
        <v/>
      </c>
      <c r="M995" s="10">
        <f>IF($I995="",0,IFERROR(INDEX(спр_Материалы!$I$2:$I$9000,MATCH($I995,спр_Материалы!$A$2:$A$9000,0))*IF(INDEX(спр_Материалы!$J$2:$J$9000,MATCH($I995,спр_Материалы!$A$2:$A$9000,0))="USD",КурсUSD,IF(INDEX(спр_Материалы!$J$2:$J$9000,MATCH($I995,спр_Материалы!$A$2:$A$9000,0))="EUR",КурсEUR,1))*INDEX(спр_Материалы!$K$2:$K$9000,MATCH($I995,спр_Материалы!$A$2:$A$9000,0))*(1+IFERROR(INDEX(спр_Работы!$I$2:$I$6000,MATCH($C995,спр_Работы!$A$2:$A$6000,0))/100,0))*(1-ДисконтТендер),0))</f>
        <v/>
      </c>
      <c r="N995" s="10">
        <f>IF(AND($R995="да",$H995&lt;&gt;""),ROUND($H995*$L995,2),0)</f>
        <v/>
      </c>
      <c r="O995" s="10">
        <f>IF(AND($R995="да",$H995&lt;&gt;""),ROUND($H995*$M995,2),0)</f>
        <v/>
      </c>
      <c r="P995" s="10">
        <f>$N995+$O995</f>
        <v/>
      </c>
      <c r="Q995">
        <f>IFERROR(INDEX(спр_Работы!$J$2:$J$6000,MATCH($C995,спр_Работы!$A$2:$A$6000,0)),"")</f>
        <v/>
      </c>
      <c r="R995" t="inlineStr">
        <is>
          <t>да</t>
        </is>
      </c>
      <c r="T995">
        <f>IF(AND($P995&gt;0,$R995="да"),MAX($T$1:$T994)+1,"")</f>
        <v/>
      </c>
    </row>
    <row r="996">
      <c r="A996" s="11">
        <f>IFERROR(INDEX(спр_Работы!$D$2:$D$6000,MATCH($C996,спр_Работы!$A$2:$A$6000,0)),"")</f>
        <v/>
      </c>
      <c r="B996">
        <f>IFERROR(INDEX(спр_Работы!$F$2:$F$6000,MATCH($C996,спр_Работы!$A$2:$A$6000,0)),"")</f>
        <v/>
      </c>
      <c r="C996">
        <f>IFERROR(INDEX(спр_Работы!$A$2:$A$6000,995),"")</f>
        <v/>
      </c>
      <c r="D996" s="8">
        <f>IFERROR(INDEX(спр_Работы!$B$2:$B$6000,MATCH($C996,спр_Работы!$A$2:$A$6000,0)),"")</f>
        <v/>
      </c>
      <c r="E996">
        <f>IFERROR(INDEX(спр_Работы!$C$2:$C$6000,MATCH($C996,спр_Работы!$A$2:$A$6000,0)),"")</f>
        <v/>
      </c>
      <c r="F996">
        <f>IFERROR(INDEX(спр_Работы!$G$2:$G$6000,MATCH($C996,спр_Работы!$A$2:$A$6000,0)),"")</f>
        <v/>
      </c>
      <c r="G996">
        <f>IFERROR(INDEX(спр_Работы!$K$2:$K$6000,MATCH($C996,спр_Работы!$A$2:$A$6000,0)),"")</f>
        <v/>
      </c>
      <c r="H996" s="9" t="n"/>
      <c r="I996" s="9" t="n"/>
      <c r="J996" s="8">
        <f>IFERROR(INDEX(спр_Материалы!$B$2:$B$9000,MATCH($I996,спр_Материалы!$A$2:$A$9000,0)),"")</f>
        <v/>
      </c>
      <c r="K996">
        <f>IF($I996="","",IF($F996=IFERROR(INDEX(спр_Материалы!$G$2:$G$9000,MATCH($I996,спр_Материалы!$A$2:$A$9000,0)),""),"OK","!! не та группа"))</f>
        <v/>
      </c>
      <c r="L996" s="10">
        <f>IFERROR(INDEX(спр_Работы!$H$2:$H$6000,MATCH($C996,спр_Работы!$A$2:$A$6000,0))*(1-ДисконтТендер),0)</f>
        <v/>
      </c>
      <c r="M996" s="10">
        <f>IF($I996="",0,IFERROR(INDEX(спр_Материалы!$I$2:$I$9000,MATCH($I996,спр_Материалы!$A$2:$A$9000,0))*IF(INDEX(спр_Материалы!$J$2:$J$9000,MATCH($I996,спр_Материалы!$A$2:$A$9000,0))="USD",КурсUSD,IF(INDEX(спр_Материалы!$J$2:$J$9000,MATCH($I996,спр_Материалы!$A$2:$A$9000,0))="EUR",КурсEUR,1))*INDEX(спр_Материалы!$K$2:$K$9000,MATCH($I996,спр_Материалы!$A$2:$A$9000,0))*(1+IFERROR(INDEX(спр_Работы!$I$2:$I$6000,MATCH($C996,спр_Работы!$A$2:$A$6000,0))/100,0))*(1-ДисконтТендер),0))</f>
        <v/>
      </c>
      <c r="N996" s="10">
        <f>IF(AND($R996="да",$H996&lt;&gt;""),ROUND($H996*$L996,2),0)</f>
        <v/>
      </c>
      <c r="O996" s="10">
        <f>IF(AND($R996="да",$H996&lt;&gt;""),ROUND($H996*$M996,2),0)</f>
        <v/>
      </c>
      <c r="P996" s="10">
        <f>$N996+$O996</f>
        <v/>
      </c>
      <c r="Q996">
        <f>IFERROR(INDEX(спр_Работы!$J$2:$J$6000,MATCH($C996,спр_Работы!$A$2:$A$6000,0)),"")</f>
        <v/>
      </c>
      <c r="R996" t="inlineStr">
        <is>
          <t>да</t>
        </is>
      </c>
      <c r="T996">
        <f>IF(AND($P996&gt;0,$R996="да"),MAX($T$1:$T995)+1,"")</f>
        <v/>
      </c>
    </row>
    <row r="997">
      <c r="A997" s="11">
        <f>IFERROR(INDEX(спр_Работы!$D$2:$D$6000,MATCH($C997,спр_Работы!$A$2:$A$6000,0)),"")</f>
        <v/>
      </c>
      <c r="B997">
        <f>IFERROR(INDEX(спр_Работы!$F$2:$F$6000,MATCH($C997,спр_Работы!$A$2:$A$6000,0)),"")</f>
        <v/>
      </c>
      <c r="C997">
        <f>IFERROR(INDEX(спр_Работы!$A$2:$A$6000,996),"")</f>
        <v/>
      </c>
      <c r="D997" s="8">
        <f>IFERROR(INDEX(спр_Работы!$B$2:$B$6000,MATCH($C997,спр_Работы!$A$2:$A$6000,0)),"")</f>
        <v/>
      </c>
      <c r="E997">
        <f>IFERROR(INDEX(спр_Работы!$C$2:$C$6000,MATCH($C997,спр_Работы!$A$2:$A$6000,0)),"")</f>
        <v/>
      </c>
      <c r="F997">
        <f>IFERROR(INDEX(спр_Работы!$G$2:$G$6000,MATCH($C997,спр_Работы!$A$2:$A$6000,0)),"")</f>
        <v/>
      </c>
      <c r="G997">
        <f>IFERROR(INDEX(спр_Работы!$K$2:$K$6000,MATCH($C997,спр_Работы!$A$2:$A$6000,0)),"")</f>
        <v/>
      </c>
      <c r="H997" s="9" t="n"/>
      <c r="I997" s="9" t="n"/>
      <c r="J997" s="8">
        <f>IFERROR(INDEX(спр_Материалы!$B$2:$B$9000,MATCH($I997,спр_Материалы!$A$2:$A$9000,0)),"")</f>
        <v/>
      </c>
      <c r="K997">
        <f>IF($I997="","",IF($F997=IFERROR(INDEX(спр_Материалы!$G$2:$G$9000,MATCH($I997,спр_Материалы!$A$2:$A$9000,0)),""),"OK","!! не та группа"))</f>
        <v/>
      </c>
      <c r="L997" s="10">
        <f>IFERROR(INDEX(спр_Работы!$H$2:$H$6000,MATCH($C997,спр_Работы!$A$2:$A$6000,0))*(1-ДисконтТендер),0)</f>
        <v/>
      </c>
      <c r="M997" s="10">
        <f>IF($I997="",0,IFERROR(INDEX(спр_Материалы!$I$2:$I$9000,MATCH($I997,спр_Материалы!$A$2:$A$9000,0))*IF(INDEX(спр_Материалы!$J$2:$J$9000,MATCH($I997,спр_Материалы!$A$2:$A$9000,0))="USD",КурсUSD,IF(INDEX(спр_Материалы!$J$2:$J$9000,MATCH($I997,спр_Материалы!$A$2:$A$9000,0))="EUR",КурсEUR,1))*INDEX(спр_Материалы!$K$2:$K$9000,MATCH($I997,спр_Материалы!$A$2:$A$9000,0))*(1+IFERROR(INDEX(спр_Работы!$I$2:$I$6000,MATCH($C997,спр_Работы!$A$2:$A$6000,0))/100,0))*(1-ДисконтТендер),0))</f>
        <v/>
      </c>
      <c r="N997" s="10">
        <f>IF(AND($R997="да",$H997&lt;&gt;""),ROUND($H997*$L997,2),0)</f>
        <v/>
      </c>
      <c r="O997" s="10">
        <f>IF(AND($R997="да",$H997&lt;&gt;""),ROUND($H997*$M997,2),0)</f>
        <v/>
      </c>
      <c r="P997" s="10">
        <f>$N997+$O997</f>
        <v/>
      </c>
      <c r="Q997">
        <f>IFERROR(INDEX(спр_Работы!$J$2:$J$6000,MATCH($C997,спр_Работы!$A$2:$A$6000,0)),"")</f>
        <v/>
      </c>
      <c r="R997" t="inlineStr">
        <is>
          <t>да</t>
        </is>
      </c>
      <c r="T997">
        <f>IF(AND($P997&gt;0,$R997="да"),MAX($T$1:$T996)+1,"")</f>
        <v/>
      </c>
    </row>
    <row r="998">
      <c r="A998" s="11">
        <f>IFERROR(INDEX(спр_Работы!$D$2:$D$6000,MATCH($C998,спр_Работы!$A$2:$A$6000,0)),"")</f>
        <v/>
      </c>
      <c r="B998">
        <f>IFERROR(INDEX(спр_Работы!$F$2:$F$6000,MATCH($C998,спр_Работы!$A$2:$A$6000,0)),"")</f>
        <v/>
      </c>
      <c r="C998">
        <f>IFERROR(INDEX(спр_Работы!$A$2:$A$6000,997),"")</f>
        <v/>
      </c>
      <c r="D998" s="8">
        <f>IFERROR(INDEX(спр_Работы!$B$2:$B$6000,MATCH($C998,спр_Работы!$A$2:$A$6000,0)),"")</f>
        <v/>
      </c>
      <c r="E998">
        <f>IFERROR(INDEX(спр_Работы!$C$2:$C$6000,MATCH($C998,спр_Работы!$A$2:$A$6000,0)),"")</f>
        <v/>
      </c>
      <c r="F998">
        <f>IFERROR(INDEX(спр_Работы!$G$2:$G$6000,MATCH($C998,спр_Работы!$A$2:$A$6000,0)),"")</f>
        <v/>
      </c>
      <c r="G998">
        <f>IFERROR(INDEX(спр_Работы!$K$2:$K$6000,MATCH($C998,спр_Работы!$A$2:$A$6000,0)),"")</f>
        <v/>
      </c>
      <c r="H998" s="9" t="n"/>
      <c r="I998" s="9" t="n"/>
      <c r="J998" s="8">
        <f>IFERROR(INDEX(спр_Материалы!$B$2:$B$9000,MATCH($I998,спр_Материалы!$A$2:$A$9000,0)),"")</f>
        <v/>
      </c>
      <c r="K998">
        <f>IF($I998="","",IF($F998=IFERROR(INDEX(спр_Материалы!$G$2:$G$9000,MATCH($I998,спр_Материалы!$A$2:$A$9000,0)),""),"OK","!! не та группа"))</f>
        <v/>
      </c>
      <c r="L998" s="10">
        <f>IFERROR(INDEX(спр_Работы!$H$2:$H$6000,MATCH($C998,спр_Работы!$A$2:$A$6000,0))*(1-ДисконтТендер),0)</f>
        <v/>
      </c>
      <c r="M998" s="10">
        <f>IF($I998="",0,IFERROR(INDEX(спр_Материалы!$I$2:$I$9000,MATCH($I998,спр_Материалы!$A$2:$A$9000,0))*IF(INDEX(спр_Материалы!$J$2:$J$9000,MATCH($I998,спр_Материалы!$A$2:$A$9000,0))="USD",КурсUSD,IF(INDEX(спр_Материалы!$J$2:$J$9000,MATCH($I998,спр_Материалы!$A$2:$A$9000,0))="EUR",КурсEUR,1))*INDEX(спр_Материалы!$K$2:$K$9000,MATCH($I998,спр_Материалы!$A$2:$A$9000,0))*(1+IFERROR(INDEX(спр_Работы!$I$2:$I$6000,MATCH($C998,спр_Работы!$A$2:$A$6000,0))/100,0))*(1-ДисконтТендер),0))</f>
        <v/>
      </c>
      <c r="N998" s="10">
        <f>IF(AND($R998="да",$H998&lt;&gt;""),ROUND($H998*$L998,2),0)</f>
        <v/>
      </c>
      <c r="O998" s="10">
        <f>IF(AND($R998="да",$H998&lt;&gt;""),ROUND($H998*$M998,2),0)</f>
        <v/>
      </c>
      <c r="P998" s="10">
        <f>$N998+$O998</f>
        <v/>
      </c>
      <c r="Q998">
        <f>IFERROR(INDEX(спр_Работы!$J$2:$J$6000,MATCH($C998,спр_Работы!$A$2:$A$6000,0)),"")</f>
        <v/>
      </c>
      <c r="R998" t="inlineStr">
        <is>
          <t>да</t>
        </is>
      </c>
      <c r="T998">
        <f>IF(AND($P998&gt;0,$R998="да"),MAX($T$1:$T997)+1,"")</f>
        <v/>
      </c>
    </row>
    <row r="999">
      <c r="A999" s="11">
        <f>IFERROR(INDEX(спр_Работы!$D$2:$D$6000,MATCH($C999,спр_Работы!$A$2:$A$6000,0)),"")</f>
        <v/>
      </c>
      <c r="B999">
        <f>IFERROR(INDEX(спр_Работы!$F$2:$F$6000,MATCH($C999,спр_Работы!$A$2:$A$6000,0)),"")</f>
        <v/>
      </c>
      <c r="C999">
        <f>IFERROR(INDEX(спр_Работы!$A$2:$A$6000,998),"")</f>
        <v/>
      </c>
      <c r="D999" s="8">
        <f>IFERROR(INDEX(спр_Работы!$B$2:$B$6000,MATCH($C999,спр_Работы!$A$2:$A$6000,0)),"")</f>
        <v/>
      </c>
      <c r="E999">
        <f>IFERROR(INDEX(спр_Работы!$C$2:$C$6000,MATCH($C999,спр_Работы!$A$2:$A$6000,0)),"")</f>
        <v/>
      </c>
      <c r="F999">
        <f>IFERROR(INDEX(спр_Работы!$G$2:$G$6000,MATCH($C999,спр_Работы!$A$2:$A$6000,0)),"")</f>
        <v/>
      </c>
      <c r="G999">
        <f>IFERROR(INDEX(спр_Работы!$K$2:$K$6000,MATCH($C999,спр_Работы!$A$2:$A$6000,0)),"")</f>
        <v/>
      </c>
      <c r="H999" s="9" t="n"/>
      <c r="I999" s="9" t="n"/>
      <c r="J999" s="8">
        <f>IFERROR(INDEX(спр_Материалы!$B$2:$B$9000,MATCH($I999,спр_Материалы!$A$2:$A$9000,0)),"")</f>
        <v/>
      </c>
      <c r="K999">
        <f>IF($I999="","",IF($F999=IFERROR(INDEX(спр_Материалы!$G$2:$G$9000,MATCH($I999,спр_Материалы!$A$2:$A$9000,0)),""),"OK","!! не та группа"))</f>
        <v/>
      </c>
      <c r="L999" s="10">
        <f>IFERROR(INDEX(спр_Работы!$H$2:$H$6000,MATCH($C999,спр_Работы!$A$2:$A$6000,0))*(1-ДисконтТендер),0)</f>
        <v/>
      </c>
      <c r="M999" s="10">
        <f>IF($I999="",0,IFERROR(INDEX(спр_Материалы!$I$2:$I$9000,MATCH($I999,спр_Материалы!$A$2:$A$9000,0))*IF(INDEX(спр_Материалы!$J$2:$J$9000,MATCH($I999,спр_Материалы!$A$2:$A$9000,0))="USD",КурсUSD,IF(INDEX(спр_Материалы!$J$2:$J$9000,MATCH($I999,спр_Материалы!$A$2:$A$9000,0))="EUR",КурсEUR,1))*INDEX(спр_Материалы!$K$2:$K$9000,MATCH($I999,спр_Материалы!$A$2:$A$9000,0))*(1+IFERROR(INDEX(спр_Работы!$I$2:$I$6000,MATCH($C999,спр_Работы!$A$2:$A$6000,0))/100,0))*(1-ДисконтТендер),0))</f>
        <v/>
      </c>
      <c r="N999" s="10">
        <f>IF(AND($R999="да",$H999&lt;&gt;""),ROUND($H999*$L999,2),0)</f>
        <v/>
      </c>
      <c r="O999" s="10">
        <f>IF(AND($R999="да",$H999&lt;&gt;""),ROUND($H999*$M999,2),0)</f>
        <v/>
      </c>
      <c r="P999" s="10">
        <f>$N999+$O999</f>
        <v/>
      </c>
      <c r="Q999">
        <f>IFERROR(INDEX(спр_Работы!$J$2:$J$6000,MATCH($C999,спр_Работы!$A$2:$A$6000,0)),"")</f>
        <v/>
      </c>
      <c r="R999" t="inlineStr">
        <is>
          <t>да</t>
        </is>
      </c>
      <c r="T999">
        <f>IF(AND($P999&gt;0,$R999="да"),MAX($T$1:$T998)+1,"")</f>
        <v/>
      </c>
    </row>
    <row r="1000">
      <c r="A1000" s="11">
        <f>IFERROR(INDEX(спр_Работы!$D$2:$D$6000,MATCH($C1000,спр_Работы!$A$2:$A$6000,0)),"")</f>
        <v/>
      </c>
      <c r="B1000">
        <f>IFERROR(INDEX(спр_Работы!$F$2:$F$6000,MATCH($C1000,спр_Работы!$A$2:$A$6000,0)),"")</f>
        <v/>
      </c>
      <c r="C1000">
        <f>IFERROR(INDEX(спр_Работы!$A$2:$A$6000,999),"")</f>
        <v/>
      </c>
      <c r="D1000" s="8">
        <f>IFERROR(INDEX(спр_Работы!$B$2:$B$6000,MATCH($C1000,спр_Работы!$A$2:$A$6000,0)),"")</f>
        <v/>
      </c>
      <c r="E1000">
        <f>IFERROR(INDEX(спр_Работы!$C$2:$C$6000,MATCH($C1000,спр_Работы!$A$2:$A$6000,0)),"")</f>
        <v/>
      </c>
      <c r="F1000">
        <f>IFERROR(INDEX(спр_Работы!$G$2:$G$6000,MATCH($C1000,спр_Работы!$A$2:$A$6000,0)),"")</f>
        <v/>
      </c>
      <c r="G1000">
        <f>IFERROR(INDEX(спр_Работы!$K$2:$K$6000,MATCH($C1000,спр_Работы!$A$2:$A$6000,0)),"")</f>
        <v/>
      </c>
      <c r="H1000" s="9" t="n"/>
      <c r="I1000" s="9" t="n"/>
      <c r="J1000" s="8">
        <f>IFERROR(INDEX(спр_Материалы!$B$2:$B$9000,MATCH($I1000,спр_Материалы!$A$2:$A$9000,0)),"")</f>
        <v/>
      </c>
      <c r="K1000">
        <f>IF($I1000="","",IF($F1000=IFERROR(INDEX(спр_Материалы!$G$2:$G$9000,MATCH($I1000,спр_Материалы!$A$2:$A$9000,0)),""),"OK","!! не та группа"))</f>
        <v/>
      </c>
      <c r="L1000" s="10">
        <f>IFERROR(INDEX(спр_Работы!$H$2:$H$6000,MATCH($C1000,спр_Работы!$A$2:$A$6000,0))*(1-ДисконтТендер),0)</f>
        <v/>
      </c>
      <c r="M1000" s="10">
        <f>IF($I1000="",0,IFERROR(INDEX(спр_Материалы!$I$2:$I$9000,MATCH($I1000,спр_Материалы!$A$2:$A$9000,0))*IF(INDEX(спр_Материалы!$J$2:$J$9000,MATCH($I1000,спр_Материалы!$A$2:$A$9000,0))="USD",КурсUSD,IF(INDEX(спр_Материалы!$J$2:$J$9000,MATCH($I1000,спр_Материалы!$A$2:$A$9000,0))="EUR",КурсEUR,1))*INDEX(спр_Материалы!$K$2:$K$9000,MATCH($I1000,спр_Материалы!$A$2:$A$9000,0))*(1+IFERROR(INDEX(спр_Работы!$I$2:$I$6000,MATCH($C1000,спр_Работы!$A$2:$A$6000,0))/100,0))*(1-ДисконтТендер),0))</f>
        <v/>
      </c>
      <c r="N1000" s="10">
        <f>IF(AND($R1000="да",$H1000&lt;&gt;""),ROUND($H1000*$L1000,2),0)</f>
        <v/>
      </c>
      <c r="O1000" s="10">
        <f>IF(AND($R1000="да",$H1000&lt;&gt;""),ROUND($H1000*$M1000,2),0)</f>
        <v/>
      </c>
      <c r="P1000" s="10">
        <f>$N1000+$O1000</f>
        <v/>
      </c>
      <c r="Q1000">
        <f>IFERROR(INDEX(спр_Работы!$J$2:$J$6000,MATCH($C1000,спр_Работы!$A$2:$A$6000,0)),"")</f>
        <v/>
      </c>
      <c r="R1000" t="inlineStr">
        <is>
          <t>да</t>
        </is>
      </c>
      <c r="T1000">
        <f>IF(AND($P1000&gt;0,$R1000="да"),MAX($T$1:$T999)+1,"")</f>
        <v/>
      </c>
    </row>
    <row r="1001">
      <c r="A1001" s="11">
        <f>IFERROR(INDEX(спр_Работы!$D$2:$D$6000,MATCH($C1001,спр_Работы!$A$2:$A$6000,0)),"")</f>
        <v/>
      </c>
      <c r="B1001">
        <f>IFERROR(INDEX(спр_Работы!$F$2:$F$6000,MATCH($C1001,спр_Работы!$A$2:$A$6000,0)),"")</f>
        <v/>
      </c>
      <c r="C1001">
        <f>IFERROR(INDEX(спр_Работы!$A$2:$A$6000,1000),"")</f>
        <v/>
      </c>
      <c r="D1001" s="8">
        <f>IFERROR(INDEX(спр_Работы!$B$2:$B$6000,MATCH($C1001,спр_Работы!$A$2:$A$6000,0)),"")</f>
        <v/>
      </c>
      <c r="E1001">
        <f>IFERROR(INDEX(спр_Работы!$C$2:$C$6000,MATCH($C1001,спр_Работы!$A$2:$A$6000,0)),"")</f>
        <v/>
      </c>
      <c r="F1001">
        <f>IFERROR(INDEX(спр_Работы!$G$2:$G$6000,MATCH($C1001,спр_Работы!$A$2:$A$6000,0)),"")</f>
        <v/>
      </c>
      <c r="G1001">
        <f>IFERROR(INDEX(спр_Работы!$K$2:$K$6000,MATCH($C1001,спр_Работы!$A$2:$A$6000,0)),"")</f>
        <v/>
      </c>
      <c r="H1001" s="9" t="n"/>
      <c r="I1001" s="9" t="n"/>
      <c r="J1001" s="8">
        <f>IFERROR(INDEX(спр_Материалы!$B$2:$B$9000,MATCH($I1001,спр_Материалы!$A$2:$A$9000,0)),"")</f>
        <v/>
      </c>
      <c r="K1001">
        <f>IF($I1001="","",IF($F1001=IFERROR(INDEX(спр_Материалы!$G$2:$G$9000,MATCH($I1001,спр_Материалы!$A$2:$A$9000,0)),""),"OK","!! не та группа"))</f>
        <v/>
      </c>
      <c r="L1001" s="10">
        <f>IFERROR(INDEX(спр_Работы!$H$2:$H$6000,MATCH($C1001,спр_Работы!$A$2:$A$6000,0))*(1-ДисконтТендер),0)</f>
        <v/>
      </c>
      <c r="M1001" s="10">
        <f>IF($I1001="",0,IFERROR(INDEX(спр_Материалы!$I$2:$I$9000,MATCH($I1001,спр_Материалы!$A$2:$A$9000,0))*IF(INDEX(спр_Материалы!$J$2:$J$9000,MATCH($I1001,спр_Материалы!$A$2:$A$9000,0))="USD",КурсUSD,IF(INDEX(спр_Материалы!$J$2:$J$9000,MATCH($I1001,спр_Материалы!$A$2:$A$9000,0))="EUR",КурсEUR,1))*INDEX(спр_Материалы!$K$2:$K$9000,MATCH($I1001,спр_Материалы!$A$2:$A$9000,0))*(1+IFERROR(INDEX(спр_Работы!$I$2:$I$6000,MATCH($C1001,спр_Работы!$A$2:$A$6000,0))/100,0))*(1-ДисконтТендер),0))</f>
        <v/>
      </c>
      <c r="N1001" s="10">
        <f>IF(AND($R1001="да",$H1001&lt;&gt;""),ROUND($H1001*$L1001,2),0)</f>
        <v/>
      </c>
      <c r="O1001" s="10">
        <f>IF(AND($R1001="да",$H1001&lt;&gt;""),ROUND($H1001*$M1001,2),0)</f>
        <v/>
      </c>
      <c r="P1001" s="10">
        <f>$N1001+$O1001</f>
        <v/>
      </c>
      <c r="Q1001">
        <f>IFERROR(INDEX(спр_Работы!$J$2:$J$6000,MATCH($C1001,спр_Работы!$A$2:$A$6000,0)),"")</f>
        <v/>
      </c>
      <c r="R1001" t="inlineStr">
        <is>
          <t>да</t>
        </is>
      </c>
      <c r="T1001">
        <f>IF(AND($P1001&gt;0,$R1001="да"),MAX($T$1:$T1000)+1,"")</f>
        <v/>
      </c>
    </row>
    <row r="1002">
      <c r="A1002" s="11">
        <f>IFERROR(INDEX(спр_Работы!$D$2:$D$6000,MATCH($C1002,спр_Работы!$A$2:$A$6000,0)),"")</f>
        <v/>
      </c>
      <c r="B1002">
        <f>IFERROR(INDEX(спр_Работы!$F$2:$F$6000,MATCH($C1002,спр_Работы!$A$2:$A$6000,0)),"")</f>
        <v/>
      </c>
      <c r="C1002">
        <f>IFERROR(INDEX(спр_Работы!$A$2:$A$6000,1001),"")</f>
        <v/>
      </c>
      <c r="D1002" s="8">
        <f>IFERROR(INDEX(спр_Работы!$B$2:$B$6000,MATCH($C1002,спр_Работы!$A$2:$A$6000,0)),"")</f>
        <v/>
      </c>
      <c r="E1002">
        <f>IFERROR(INDEX(спр_Работы!$C$2:$C$6000,MATCH($C1002,спр_Работы!$A$2:$A$6000,0)),"")</f>
        <v/>
      </c>
      <c r="F1002">
        <f>IFERROR(INDEX(спр_Работы!$G$2:$G$6000,MATCH($C1002,спр_Работы!$A$2:$A$6000,0)),"")</f>
        <v/>
      </c>
      <c r="G1002">
        <f>IFERROR(INDEX(спр_Работы!$K$2:$K$6000,MATCH($C1002,спр_Работы!$A$2:$A$6000,0)),"")</f>
        <v/>
      </c>
      <c r="H1002" s="9" t="n"/>
      <c r="I1002" s="9" t="n"/>
      <c r="J1002" s="8">
        <f>IFERROR(INDEX(спр_Материалы!$B$2:$B$9000,MATCH($I1002,спр_Материалы!$A$2:$A$9000,0)),"")</f>
        <v/>
      </c>
      <c r="K1002">
        <f>IF($I1002="","",IF($F1002=IFERROR(INDEX(спр_Материалы!$G$2:$G$9000,MATCH($I1002,спр_Материалы!$A$2:$A$9000,0)),""),"OK","!! не та группа"))</f>
        <v/>
      </c>
      <c r="L1002" s="10">
        <f>IFERROR(INDEX(спр_Работы!$H$2:$H$6000,MATCH($C1002,спр_Работы!$A$2:$A$6000,0))*(1-ДисконтТендер),0)</f>
        <v/>
      </c>
      <c r="M1002" s="10">
        <f>IF($I1002="",0,IFERROR(INDEX(спр_Материалы!$I$2:$I$9000,MATCH($I1002,спр_Материалы!$A$2:$A$9000,0))*IF(INDEX(спр_Материалы!$J$2:$J$9000,MATCH($I1002,спр_Материалы!$A$2:$A$9000,0))="USD",КурсUSD,IF(INDEX(спр_Материалы!$J$2:$J$9000,MATCH($I1002,спр_Материалы!$A$2:$A$9000,0))="EUR",КурсEUR,1))*INDEX(спр_Материалы!$K$2:$K$9000,MATCH($I1002,спр_Материалы!$A$2:$A$9000,0))*(1+IFERROR(INDEX(спр_Работы!$I$2:$I$6000,MATCH($C1002,спр_Работы!$A$2:$A$6000,0))/100,0))*(1-ДисконтТендер),0))</f>
        <v/>
      </c>
      <c r="N1002" s="10">
        <f>IF(AND($R1002="да",$H1002&lt;&gt;""),ROUND($H1002*$L1002,2),0)</f>
        <v/>
      </c>
      <c r="O1002" s="10">
        <f>IF(AND($R1002="да",$H1002&lt;&gt;""),ROUND($H1002*$M1002,2),0)</f>
        <v/>
      </c>
      <c r="P1002" s="10">
        <f>$N1002+$O1002</f>
        <v/>
      </c>
      <c r="Q1002">
        <f>IFERROR(INDEX(спр_Работы!$J$2:$J$6000,MATCH($C1002,спр_Работы!$A$2:$A$6000,0)),"")</f>
        <v/>
      </c>
      <c r="R1002" t="inlineStr">
        <is>
          <t>да</t>
        </is>
      </c>
      <c r="T1002">
        <f>IF(AND($P1002&gt;0,$R1002="да"),MAX($T$1:$T1001)+1,"")</f>
        <v/>
      </c>
    </row>
    <row r="1003">
      <c r="A1003" s="11">
        <f>IFERROR(INDEX(спр_Работы!$D$2:$D$6000,MATCH($C1003,спр_Работы!$A$2:$A$6000,0)),"")</f>
        <v/>
      </c>
      <c r="B1003">
        <f>IFERROR(INDEX(спр_Работы!$F$2:$F$6000,MATCH($C1003,спр_Работы!$A$2:$A$6000,0)),"")</f>
        <v/>
      </c>
      <c r="C1003">
        <f>IFERROR(INDEX(спр_Работы!$A$2:$A$6000,1002),"")</f>
        <v/>
      </c>
      <c r="D1003" s="8">
        <f>IFERROR(INDEX(спр_Работы!$B$2:$B$6000,MATCH($C1003,спр_Работы!$A$2:$A$6000,0)),"")</f>
        <v/>
      </c>
      <c r="E1003">
        <f>IFERROR(INDEX(спр_Работы!$C$2:$C$6000,MATCH($C1003,спр_Работы!$A$2:$A$6000,0)),"")</f>
        <v/>
      </c>
      <c r="F1003">
        <f>IFERROR(INDEX(спр_Работы!$G$2:$G$6000,MATCH($C1003,спр_Работы!$A$2:$A$6000,0)),"")</f>
        <v/>
      </c>
      <c r="G1003">
        <f>IFERROR(INDEX(спр_Работы!$K$2:$K$6000,MATCH($C1003,спр_Работы!$A$2:$A$6000,0)),"")</f>
        <v/>
      </c>
      <c r="H1003" s="9" t="n"/>
      <c r="I1003" s="9" t="n"/>
      <c r="J1003" s="8">
        <f>IFERROR(INDEX(спр_Материалы!$B$2:$B$9000,MATCH($I1003,спр_Материалы!$A$2:$A$9000,0)),"")</f>
        <v/>
      </c>
      <c r="K1003">
        <f>IF($I1003="","",IF($F1003=IFERROR(INDEX(спр_Материалы!$G$2:$G$9000,MATCH($I1003,спр_Материалы!$A$2:$A$9000,0)),""),"OK","!! не та группа"))</f>
        <v/>
      </c>
      <c r="L1003" s="10">
        <f>IFERROR(INDEX(спр_Работы!$H$2:$H$6000,MATCH($C1003,спр_Работы!$A$2:$A$6000,0))*(1-ДисконтТендер),0)</f>
        <v/>
      </c>
      <c r="M1003" s="10">
        <f>IF($I1003="",0,IFERROR(INDEX(спр_Материалы!$I$2:$I$9000,MATCH($I1003,спр_Материалы!$A$2:$A$9000,0))*IF(INDEX(спр_Материалы!$J$2:$J$9000,MATCH($I1003,спр_Материалы!$A$2:$A$9000,0))="USD",КурсUSD,IF(INDEX(спр_Материалы!$J$2:$J$9000,MATCH($I1003,спр_Материалы!$A$2:$A$9000,0))="EUR",КурсEUR,1))*INDEX(спр_Материалы!$K$2:$K$9000,MATCH($I1003,спр_Материалы!$A$2:$A$9000,0))*(1+IFERROR(INDEX(спр_Работы!$I$2:$I$6000,MATCH($C1003,спр_Работы!$A$2:$A$6000,0))/100,0))*(1-ДисконтТендер),0))</f>
        <v/>
      </c>
      <c r="N1003" s="10">
        <f>IF(AND($R1003="да",$H1003&lt;&gt;""),ROUND($H1003*$L1003,2),0)</f>
        <v/>
      </c>
      <c r="O1003" s="10">
        <f>IF(AND($R1003="да",$H1003&lt;&gt;""),ROUND($H1003*$M1003,2),0)</f>
        <v/>
      </c>
      <c r="P1003" s="10">
        <f>$N1003+$O1003</f>
        <v/>
      </c>
      <c r="Q1003">
        <f>IFERROR(INDEX(спр_Работы!$J$2:$J$6000,MATCH($C1003,спр_Работы!$A$2:$A$6000,0)),"")</f>
        <v/>
      </c>
      <c r="R1003" t="inlineStr">
        <is>
          <t>да</t>
        </is>
      </c>
      <c r="T1003">
        <f>IF(AND($P1003&gt;0,$R1003="да"),MAX($T$1:$T1002)+1,"")</f>
        <v/>
      </c>
    </row>
    <row r="1004">
      <c r="A1004" s="11">
        <f>IFERROR(INDEX(спр_Работы!$D$2:$D$6000,MATCH($C1004,спр_Работы!$A$2:$A$6000,0)),"")</f>
        <v/>
      </c>
      <c r="B1004">
        <f>IFERROR(INDEX(спр_Работы!$F$2:$F$6000,MATCH($C1004,спр_Работы!$A$2:$A$6000,0)),"")</f>
        <v/>
      </c>
      <c r="C1004">
        <f>IFERROR(INDEX(спр_Работы!$A$2:$A$6000,1003),"")</f>
        <v/>
      </c>
      <c r="D1004" s="8">
        <f>IFERROR(INDEX(спр_Работы!$B$2:$B$6000,MATCH($C1004,спр_Работы!$A$2:$A$6000,0)),"")</f>
        <v/>
      </c>
      <c r="E1004">
        <f>IFERROR(INDEX(спр_Работы!$C$2:$C$6000,MATCH($C1004,спр_Работы!$A$2:$A$6000,0)),"")</f>
        <v/>
      </c>
      <c r="F1004">
        <f>IFERROR(INDEX(спр_Работы!$G$2:$G$6000,MATCH($C1004,спр_Работы!$A$2:$A$6000,0)),"")</f>
        <v/>
      </c>
      <c r="G1004">
        <f>IFERROR(INDEX(спр_Работы!$K$2:$K$6000,MATCH($C1004,спр_Работы!$A$2:$A$6000,0)),"")</f>
        <v/>
      </c>
      <c r="H1004" s="9" t="n"/>
      <c r="I1004" s="9" t="n"/>
      <c r="J1004" s="8">
        <f>IFERROR(INDEX(спр_Материалы!$B$2:$B$9000,MATCH($I1004,спр_Материалы!$A$2:$A$9000,0)),"")</f>
        <v/>
      </c>
      <c r="K1004">
        <f>IF($I1004="","",IF($F1004=IFERROR(INDEX(спр_Материалы!$G$2:$G$9000,MATCH($I1004,спр_Материалы!$A$2:$A$9000,0)),""),"OK","!! не та группа"))</f>
        <v/>
      </c>
      <c r="L1004" s="10">
        <f>IFERROR(INDEX(спр_Работы!$H$2:$H$6000,MATCH($C1004,спр_Работы!$A$2:$A$6000,0))*(1-ДисконтТендер),0)</f>
        <v/>
      </c>
      <c r="M1004" s="10">
        <f>IF($I1004="",0,IFERROR(INDEX(спр_Материалы!$I$2:$I$9000,MATCH($I1004,спр_Материалы!$A$2:$A$9000,0))*IF(INDEX(спр_Материалы!$J$2:$J$9000,MATCH($I1004,спр_Материалы!$A$2:$A$9000,0))="USD",КурсUSD,IF(INDEX(спр_Материалы!$J$2:$J$9000,MATCH($I1004,спр_Материалы!$A$2:$A$9000,0))="EUR",КурсEUR,1))*INDEX(спр_Материалы!$K$2:$K$9000,MATCH($I1004,спр_Материалы!$A$2:$A$9000,0))*(1+IFERROR(INDEX(спр_Работы!$I$2:$I$6000,MATCH($C1004,спр_Работы!$A$2:$A$6000,0))/100,0))*(1-ДисконтТендер),0))</f>
        <v/>
      </c>
      <c r="N1004" s="10">
        <f>IF(AND($R1004="да",$H1004&lt;&gt;""),ROUND($H1004*$L1004,2),0)</f>
        <v/>
      </c>
      <c r="O1004" s="10">
        <f>IF(AND($R1004="да",$H1004&lt;&gt;""),ROUND($H1004*$M1004,2),0)</f>
        <v/>
      </c>
      <c r="P1004" s="10">
        <f>$N1004+$O1004</f>
        <v/>
      </c>
      <c r="Q1004">
        <f>IFERROR(INDEX(спр_Работы!$J$2:$J$6000,MATCH($C1004,спр_Работы!$A$2:$A$6000,0)),"")</f>
        <v/>
      </c>
      <c r="R1004" t="inlineStr">
        <is>
          <t>да</t>
        </is>
      </c>
      <c r="T1004">
        <f>IF(AND($P1004&gt;0,$R1004="да"),MAX($T$1:$T1003)+1,"")</f>
        <v/>
      </c>
    </row>
    <row r="1005">
      <c r="A1005" s="11">
        <f>IFERROR(INDEX(спр_Работы!$D$2:$D$6000,MATCH($C1005,спр_Работы!$A$2:$A$6000,0)),"")</f>
        <v/>
      </c>
      <c r="B1005">
        <f>IFERROR(INDEX(спр_Работы!$F$2:$F$6000,MATCH($C1005,спр_Работы!$A$2:$A$6000,0)),"")</f>
        <v/>
      </c>
      <c r="C1005">
        <f>IFERROR(INDEX(спр_Работы!$A$2:$A$6000,1004),"")</f>
        <v/>
      </c>
      <c r="D1005" s="8">
        <f>IFERROR(INDEX(спр_Работы!$B$2:$B$6000,MATCH($C1005,спр_Работы!$A$2:$A$6000,0)),"")</f>
        <v/>
      </c>
      <c r="E1005">
        <f>IFERROR(INDEX(спр_Работы!$C$2:$C$6000,MATCH($C1005,спр_Работы!$A$2:$A$6000,0)),"")</f>
        <v/>
      </c>
      <c r="F1005">
        <f>IFERROR(INDEX(спр_Работы!$G$2:$G$6000,MATCH($C1005,спр_Работы!$A$2:$A$6000,0)),"")</f>
        <v/>
      </c>
      <c r="G1005">
        <f>IFERROR(INDEX(спр_Работы!$K$2:$K$6000,MATCH($C1005,спр_Работы!$A$2:$A$6000,0)),"")</f>
        <v/>
      </c>
      <c r="H1005" s="9" t="n"/>
      <c r="I1005" s="9" t="n"/>
      <c r="J1005" s="8">
        <f>IFERROR(INDEX(спр_Материалы!$B$2:$B$9000,MATCH($I1005,спр_Материалы!$A$2:$A$9000,0)),"")</f>
        <v/>
      </c>
      <c r="K1005">
        <f>IF($I1005="","",IF($F1005=IFERROR(INDEX(спр_Материалы!$G$2:$G$9000,MATCH($I1005,спр_Материалы!$A$2:$A$9000,0)),""),"OK","!! не та группа"))</f>
        <v/>
      </c>
      <c r="L1005" s="10">
        <f>IFERROR(INDEX(спр_Работы!$H$2:$H$6000,MATCH($C1005,спр_Работы!$A$2:$A$6000,0))*(1-ДисконтТендер),0)</f>
        <v/>
      </c>
      <c r="M1005" s="10">
        <f>IF($I1005="",0,IFERROR(INDEX(спр_Материалы!$I$2:$I$9000,MATCH($I1005,спр_Материалы!$A$2:$A$9000,0))*IF(INDEX(спр_Материалы!$J$2:$J$9000,MATCH($I1005,спр_Материалы!$A$2:$A$9000,0))="USD",КурсUSD,IF(INDEX(спр_Материалы!$J$2:$J$9000,MATCH($I1005,спр_Материалы!$A$2:$A$9000,0))="EUR",КурсEUR,1))*INDEX(спр_Материалы!$K$2:$K$9000,MATCH($I1005,спр_Материалы!$A$2:$A$9000,0))*(1+IFERROR(INDEX(спр_Работы!$I$2:$I$6000,MATCH($C1005,спр_Работы!$A$2:$A$6000,0))/100,0))*(1-ДисконтТендер),0))</f>
        <v/>
      </c>
      <c r="N1005" s="10">
        <f>IF(AND($R1005="да",$H1005&lt;&gt;""),ROUND($H1005*$L1005,2),0)</f>
        <v/>
      </c>
      <c r="O1005" s="10">
        <f>IF(AND($R1005="да",$H1005&lt;&gt;""),ROUND($H1005*$M1005,2),0)</f>
        <v/>
      </c>
      <c r="P1005" s="10">
        <f>$N1005+$O1005</f>
        <v/>
      </c>
      <c r="Q1005">
        <f>IFERROR(INDEX(спр_Работы!$J$2:$J$6000,MATCH($C1005,спр_Работы!$A$2:$A$6000,0)),"")</f>
        <v/>
      </c>
      <c r="R1005" t="inlineStr">
        <is>
          <t>да</t>
        </is>
      </c>
      <c r="T1005">
        <f>IF(AND($P1005&gt;0,$R1005="да"),MAX($T$1:$T1004)+1,"")</f>
        <v/>
      </c>
    </row>
    <row r="1006">
      <c r="A1006" s="11">
        <f>IFERROR(INDEX(спр_Работы!$D$2:$D$6000,MATCH($C1006,спр_Работы!$A$2:$A$6000,0)),"")</f>
        <v/>
      </c>
      <c r="B1006">
        <f>IFERROR(INDEX(спр_Работы!$F$2:$F$6000,MATCH($C1006,спр_Работы!$A$2:$A$6000,0)),"")</f>
        <v/>
      </c>
      <c r="C1006">
        <f>IFERROR(INDEX(спр_Работы!$A$2:$A$6000,1005),"")</f>
        <v/>
      </c>
      <c r="D1006" s="8">
        <f>IFERROR(INDEX(спр_Работы!$B$2:$B$6000,MATCH($C1006,спр_Работы!$A$2:$A$6000,0)),"")</f>
        <v/>
      </c>
      <c r="E1006">
        <f>IFERROR(INDEX(спр_Работы!$C$2:$C$6000,MATCH($C1006,спр_Работы!$A$2:$A$6000,0)),"")</f>
        <v/>
      </c>
      <c r="F1006">
        <f>IFERROR(INDEX(спр_Работы!$G$2:$G$6000,MATCH($C1006,спр_Работы!$A$2:$A$6000,0)),"")</f>
        <v/>
      </c>
      <c r="G1006">
        <f>IFERROR(INDEX(спр_Работы!$K$2:$K$6000,MATCH($C1006,спр_Работы!$A$2:$A$6000,0)),"")</f>
        <v/>
      </c>
      <c r="H1006" s="9" t="n"/>
      <c r="I1006" s="9" t="n"/>
      <c r="J1006" s="8">
        <f>IFERROR(INDEX(спр_Материалы!$B$2:$B$9000,MATCH($I1006,спр_Материалы!$A$2:$A$9000,0)),"")</f>
        <v/>
      </c>
      <c r="K1006">
        <f>IF($I1006="","",IF($F1006=IFERROR(INDEX(спр_Материалы!$G$2:$G$9000,MATCH($I1006,спр_Материалы!$A$2:$A$9000,0)),""),"OK","!! не та группа"))</f>
        <v/>
      </c>
      <c r="L1006" s="10">
        <f>IFERROR(INDEX(спр_Работы!$H$2:$H$6000,MATCH($C1006,спр_Работы!$A$2:$A$6000,0))*(1-ДисконтТендер),0)</f>
        <v/>
      </c>
      <c r="M1006" s="10">
        <f>IF($I1006="",0,IFERROR(INDEX(спр_Материалы!$I$2:$I$9000,MATCH($I1006,спр_Материалы!$A$2:$A$9000,0))*IF(INDEX(спр_Материалы!$J$2:$J$9000,MATCH($I1006,спр_Материалы!$A$2:$A$9000,0))="USD",КурсUSD,IF(INDEX(спр_Материалы!$J$2:$J$9000,MATCH($I1006,спр_Материалы!$A$2:$A$9000,0))="EUR",КурсEUR,1))*INDEX(спр_Материалы!$K$2:$K$9000,MATCH($I1006,спр_Материалы!$A$2:$A$9000,0))*(1+IFERROR(INDEX(спр_Работы!$I$2:$I$6000,MATCH($C1006,спр_Работы!$A$2:$A$6000,0))/100,0))*(1-ДисконтТендер),0))</f>
        <v/>
      </c>
      <c r="N1006" s="10">
        <f>IF(AND($R1006="да",$H1006&lt;&gt;""),ROUND($H1006*$L1006,2),0)</f>
        <v/>
      </c>
      <c r="O1006" s="10">
        <f>IF(AND($R1006="да",$H1006&lt;&gt;""),ROUND($H1006*$M1006,2),0)</f>
        <v/>
      </c>
      <c r="P1006" s="10">
        <f>$N1006+$O1006</f>
        <v/>
      </c>
      <c r="Q1006">
        <f>IFERROR(INDEX(спр_Работы!$J$2:$J$6000,MATCH($C1006,спр_Работы!$A$2:$A$6000,0)),"")</f>
        <v/>
      </c>
      <c r="R1006" t="inlineStr">
        <is>
          <t>да</t>
        </is>
      </c>
      <c r="T1006">
        <f>IF(AND($P1006&gt;0,$R1006="да"),MAX($T$1:$T1005)+1,"")</f>
        <v/>
      </c>
    </row>
    <row r="1007">
      <c r="A1007" s="11">
        <f>IFERROR(INDEX(спр_Работы!$D$2:$D$6000,MATCH($C1007,спр_Работы!$A$2:$A$6000,0)),"")</f>
        <v/>
      </c>
      <c r="B1007">
        <f>IFERROR(INDEX(спр_Работы!$F$2:$F$6000,MATCH($C1007,спр_Работы!$A$2:$A$6000,0)),"")</f>
        <v/>
      </c>
      <c r="C1007">
        <f>IFERROR(INDEX(спр_Работы!$A$2:$A$6000,1006),"")</f>
        <v/>
      </c>
      <c r="D1007" s="8">
        <f>IFERROR(INDEX(спр_Работы!$B$2:$B$6000,MATCH($C1007,спр_Работы!$A$2:$A$6000,0)),"")</f>
        <v/>
      </c>
      <c r="E1007">
        <f>IFERROR(INDEX(спр_Работы!$C$2:$C$6000,MATCH($C1007,спр_Работы!$A$2:$A$6000,0)),"")</f>
        <v/>
      </c>
      <c r="F1007">
        <f>IFERROR(INDEX(спр_Работы!$G$2:$G$6000,MATCH($C1007,спр_Работы!$A$2:$A$6000,0)),"")</f>
        <v/>
      </c>
      <c r="G1007">
        <f>IFERROR(INDEX(спр_Работы!$K$2:$K$6000,MATCH($C1007,спр_Работы!$A$2:$A$6000,0)),"")</f>
        <v/>
      </c>
      <c r="H1007" s="9" t="n"/>
      <c r="I1007" s="9" t="n"/>
      <c r="J1007" s="8">
        <f>IFERROR(INDEX(спр_Материалы!$B$2:$B$9000,MATCH($I1007,спр_Материалы!$A$2:$A$9000,0)),"")</f>
        <v/>
      </c>
      <c r="K1007">
        <f>IF($I1007="","",IF($F1007=IFERROR(INDEX(спр_Материалы!$G$2:$G$9000,MATCH($I1007,спр_Материалы!$A$2:$A$9000,0)),""),"OK","!! не та группа"))</f>
        <v/>
      </c>
      <c r="L1007" s="10">
        <f>IFERROR(INDEX(спр_Работы!$H$2:$H$6000,MATCH($C1007,спр_Работы!$A$2:$A$6000,0))*(1-ДисконтТендер),0)</f>
        <v/>
      </c>
      <c r="M1007" s="10">
        <f>IF($I1007="",0,IFERROR(INDEX(спр_Материалы!$I$2:$I$9000,MATCH($I1007,спр_Материалы!$A$2:$A$9000,0))*IF(INDEX(спр_Материалы!$J$2:$J$9000,MATCH($I1007,спр_Материалы!$A$2:$A$9000,0))="USD",КурсUSD,IF(INDEX(спр_Материалы!$J$2:$J$9000,MATCH($I1007,спр_Материалы!$A$2:$A$9000,0))="EUR",КурсEUR,1))*INDEX(спр_Материалы!$K$2:$K$9000,MATCH($I1007,спр_Материалы!$A$2:$A$9000,0))*(1+IFERROR(INDEX(спр_Работы!$I$2:$I$6000,MATCH($C1007,спр_Работы!$A$2:$A$6000,0))/100,0))*(1-ДисконтТендер),0))</f>
        <v/>
      </c>
      <c r="N1007" s="10">
        <f>IF(AND($R1007="да",$H1007&lt;&gt;""),ROUND($H1007*$L1007,2),0)</f>
        <v/>
      </c>
      <c r="O1007" s="10">
        <f>IF(AND($R1007="да",$H1007&lt;&gt;""),ROUND($H1007*$M1007,2),0)</f>
        <v/>
      </c>
      <c r="P1007" s="10">
        <f>$N1007+$O1007</f>
        <v/>
      </c>
      <c r="Q1007">
        <f>IFERROR(INDEX(спр_Работы!$J$2:$J$6000,MATCH($C1007,спр_Работы!$A$2:$A$6000,0)),"")</f>
        <v/>
      </c>
      <c r="R1007" t="inlineStr">
        <is>
          <t>да</t>
        </is>
      </c>
      <c r="T1007">
        <f>IF(AND($P1007&gt;0,$R1007="да"),MAX($T$1:$T1006)+1,"")</f>
        <v/>
      </c>
    </row>
    <row r="1008">
      <c r="A1008" s="11">
        <f>IFERROR(INDEX(спр_Работы!$D$2:$D$6000,MATCH($C1008,спр_Работы!$A$2:$A$6000,0)),"")</f>
        <v/>
      </c>
      <c r="B1008">
        <f>IFERROR(INDEX(спр_Работы!$F$2:$F$6000,MATCH($C1008,спр_Работы!$A$2:$A$6000,0)),"")</f>
        <v/>
      </c>
      <c r="C1008">
        <f>IFERROR(INDEX(спр_Работы!$A$2:$A$6000,1007),"")</f>
        <v/>
      </c>
      <c r="D1008" s="8">
        <f>IFERROR(INDEX(спр_Работы!$B$2:$B$6000,MATCH($C1008,спр_Работы!$A$2:$A$6000,0)),"")</f>
        <v/>
      </c>
      <c r="E1008">
        <f>IFERROR(INDEX(спр_Работы!$C$2:$C$6000,MATCH($C1008,спр_Работы!$A$2:$A$6000,0)),"")</f>
        <v/>
      </c>
      <c r="F1008">
        <f>IFERROR(INDEX(спр_Работы!$G$2:$G$6000,MATCH($C1008,спр_Работы!$A$2:$A$6000,0)),"")</f>
        <v/>
      </c>
      <c r="G1008">
        <f>IFERROR(INDEX(спр_Работы!$K$2:$K$6000,MATCH($C1008,спр_Работы!$A$2:$A$6000,0)),"")</f>
        <v/>
      </c>
      <c r="H1008" s="9" t="n"/>
      <c r="I1008" s="9" t="n"/>
      <c r="J1008" s="8">
        <f>IFERROR(INDEX(спр_Материалы!$B$2:$B$9000,MATCH($I1008,спр_Материалы!$A$2:$A$9000,0)),"")</f>
        <v/>
      </c>
      <c r="K1008">
        <f>IF($I1008="","",IF($F1008=IFERROR(INDEX(спр_Материалы!$G$2:$G$9000,MATCH($I1008,спр_Материалы!$A$2:$A$9000,0)),""),"OK","!! не та группа"))</f>
        <v/>
      </c>
      <c r="L1008" s="10">
        <f>IFERROR(INDEX(спр_Работы!$H$2:$H$6000,MATCH($C1008,спр_Работы!$A$2:$A$6000,0))*(1-ДисконтТендер),0)</f>
        <v/>
      </c>
      <c r="M1008" s="10">
        <f>IF($I1008="",0,IFERROR(INDEX(спр_Материалы!$I$2:$I$9000,MATCH($I1008,спр_Материалы!$A$2:$A$9000,0))*IF(INDEX(спр_Материалы!$J$2:$J$9000,MATCH($I1008,спр_Материалы!$A$2:$A$9000,0))="USD",КурсUSD,IF(INDEX(спр_Материалы!$J$2:$J$9000,MATCH($I1008,спр_Материалы!$A$2:$A$9000,0))="EUR",КурсEUR,1))*INDEX(спр_Материалы!$K$2:$K$9000,MATCH($I1008,спр_Материалы!$A$2:$A$9000,0))*(1+IFERROR(INDEX(спр_Работы!$I$2:$I$6000,MATCH($C1008,спр_Работы!$A$2:$A$6000,0))/100,0))*(1-ДисконтТендер),0))</f>
        <v/>
      </c>
      <c r="N1008" s="10">
        <f>IF(AND($R1008="да",$H1008&lt;&gt;""),ROUND($H1008*$L1008,2),0)</f>
        <v/>
      </c>
      <c r="O1008" s="10">
        <f>IF(AND($R1008="да",$H1008&lt;&gt;""),ROUND($H1008*$M1008,2),0)</f>
        <v/>
      </c>
      <c r="P1008" s="10">
        <f>$N1008+$O1008</f>
        <v/>
      </c>
      <c r="Q1008">
        <f>IFERROR(INDEX(спр_Работы!$J$2:$J$6000,MATCH($C1008,спр_Работы!$A$2:$A$6000,0)),"")</f>
        <v/>
      </c>
      <c r="R1008" t="inlineStr">
        <is>
          <t>да</t>
        </is>
      </c>
      <c r="T1008">
        <f>IF(AND($P1008&gt;0,$R1008="да"),MAX($T$1:$T1007)+1,"")</f>
        <v/>
      </c>
    </row>
    <row r="1009">
      <c r="A1009" s="11">
        <f>IFERROR(INDEX(спр_Работы!$D$2:$D$6000,MATCH($C1009,спр_Работы!$A$2:$A$6000,0)),"")</f>
        <v/>
      </c>
      <c r="B1009">
        <f>IFERROR(INDEX(спр_Работы!$F$2:$F$6000,MATCH($C1009,спр_Работы!$A$2:$A$6000,0)),"")</f>
        <v/>
      </c>
      <c r="C1009">
        <f>IFERROR(INDEX(спр_Работы!$A$2:$A$6000,1008),"")</f>
        <v/>
      </c>
      <c r="D1009" s="8">
        <f>IFERROR(INDEX(спр_Работы!$B$2:$B$6000,MATCH($C1009,спр_Работы!$A$2:$A$6000,0)),"")</f>
        <v/>
      </c>
      <c r="E1009">
        <f>IFERROR(INDEX(спр_Работы!$C$2:$C$6000,MATCH($C1009,спр_Работы!$A$2:$A$6000,0)),"")</f>
        <v/>
      </c>
      <c r="F1009">
        <f>IFERROR(INDEX(спр_Работы!$G$2:$G$6000,MATCH($C1009,спр_Работы!$A$2:$A$6000,0)),"")</f>
        <v/>
      </c>
      <c r="G1009">
        <f>IFERROR(INDEX(спр_Работы!$K$2:$K$6000,MATCH($C1009,спр_Работы!$A$2:$A$6000,0)),"")</f>
        <v/>
      </c>
      <c r="H1009" s="9" t="n"/>
      <c r="I1009" s="9" t="n"/>
      <c r="J1009" s="8">
        <f>IFERROR(INDEX(спр_Материалы!$B$2:$B$9000,MATCH($I1009,спр_Материалы!$A$2:$A$9000,0)),"")</f>
        <v/>
      </c>
      <c r="K1009">
        <f>IF($I1009="","",IF($F1009=IFERROR(INDEX(спр_Материалы!$G$2:$G$9000,MATCH($I1009,спр_Материалы!$A$2:$A$9000,0)),""),"OK","!! не та группа"))</f>
        <v/>
      </c>
      <c r="L1009" s="10">
        <f>IFERROR(INDEX(спр_Работы!$H$2:$H$6000,MATCH($C1009,спр_Работы!$A$2:$A$6000,0))*(1-ДисконтТендер),0)</f>
        <v/>
      </c>
      <c r="M1009" s="10">
        <f>IF($I1009="",0,IFERROR(INDEX(спр_Материалы!$I$2:$I$9000,MATCH($I1009,спр_Материалы!$A$2:$A$9000,0))*IF(INDEX(спр_Материалы!$J$2:$J$9000,MATCH($I1009,спр_Материалы!$A$2:$A$9000,0))="USD",КурсUSD,IF(INDEX(спр_Материалы!$J$2:$J$9000,MATCH($I1009,спр_Материалы!$A$2:$A$9000,0))="EUR",КурсEUR,1))*INDEX(спр_Материалы!$K$2:$K$9000,MATCH($I1009,спр_Материалы!$A$2:$A$9000,0))*(1+IFERROR(INDEX(спр_Работы!$I$2:$I$6000,MATCH($C1009,спр_Работы!$A$2:$A$6000,0))/100,0))*(1-ДисконтТендер),0))</f>
        <v/>
      </c>
      <c r="N1009" s="10">
        <f>IF(AND($R1009="да",$H1009&lt;&gt;""),ROUND($H1009*$L1009,2),0)</f>
        <v/>
      </c>
      <c r="O1009" s="10">
        <f>IF(AND($R1009="да",$H1009&lt;&gt;""),ROUND($H1009*$M1009,2),0)</f>
        <v/>
      </c>
      <c r="P1009" s="10">
        <f>$N1009+$O1009</f>
        <v/>
      </c>
      <c r="Q1009">
        <f>IFERROR(INDEX(спр_Работы!$J$2:$J$6000,MATCH($C1009,спр_Работы!$A$2:$A$6000,0)),"")</f>
        <v/>
      </c>
      <c r="R1009" t="inlineStr">
        <is>
          <t>да</t>
        </is>
      </c>
      <c r="T1009">
        <f>IF(AND($P1009&gt;0,$R1009="да"),MAX($T$1:$T1008)+1,"")</f>
        <v/>
      </c>
    </row>
    <row r="1010">
      <c r="A1010" s="11">
        <f>IFERROR(INDEX(спр_Работы!$D$2:$D$6000,MATCH($C1010,спр_Работы!$A$2:$A$6000,0)),"")</f>
        <v/>
      </c>
      <c r="B1010">
        <f>IFERROR(INDEX(спр_Работы!$F$2:$F$6000,MATCH($C1010,спр_Работы!$A$2:$A$6000,0)),"")</f>
        <v/>
      </c>
      <c r="C1010">
        <f>IFERROR(INDEX(спр_Работы!$A$2:$A$6000,1009),"")</f>
        <v/>
      </c>
      <c r="D1010" s="8">
        <f>IFERROR(INDEX(спр_Работы!$B$2:$B$6000,MATCH($C1010,спр_Работы!$A$2:$A$6000,0)),"")</f>
        <v/>
      </c>
      <c r="E1010">
        <f>IFERROR(INDEX(спр_Работы!$C$2:$C$6000,MATCH($C1010,спр_Работы!$A$2:$A$6000,0)),"")</f>
        <v/>
      </c>
      <c r="F1010">
        <f>IFERROR(INDEX(спр_Работы!$G$2:$G$6000,MATCH($C1010,спр_Работы!$A$2:$A$6000,0)),"")</f>
        <v/>
      </c>
      <c r="G1010">
        <f>IFERROR(INDEX(спр_Работы!$K$2:$K$6000,MATCH($C1010,спр_Работы!$A$2:$A$6000,0)),"")</f>
        <v/>
      </c>
      <c r="H1010" s="9" t="n"/>
      <c r="I1010" s="9" t="n"/>
      <c r="J1010" s="8">
        <f>IFERROR(INDEX(спр_Материалы!$B$2:$B$9000,MATCH($I1010,спр_Материалы!$A$2:$A$9000,0)),"")</f>
        <v/>
      </c>
      <c r="K1010">
        <f>IF($I1010="","",IF($F1010=IFERROR(INDEX(спр_Материалы!$G$2:$G$9000,MATCH($I1010,спр_Материалы!$A$2:$A$9000,0)),""),"OK","!! не та группа"))</f>
        <v/>
      </c>
      <c r="L1010" s="10">
        <f>IFERROR(INDEX(спр_Работы!$H$2:$H$6000,MATCH($C1010,спр_Работы!$A$2:$A$6000,0))*(1-ДисконтТендер),0)</f>
        <v/>
      </c>
      <c r="M1010" s="10">
        <f>IF($I1010="",0,IFERROR(INDEX(спр_Материалы!$I$2:$I$9000,MATCH($I1010,спр_Материалы!$A$2:$A$9000,0))*IF(INDEX(спр_Материалы!$J$2:$J$9000,MATCH($I1010,спр_Материалы!$A$2:$A$9000,0))="USD",КурсUSD,IF(INDEX(спр_Материалы!$J$2:$J$9000,MATCH($I1010,спр_Материалы!$A$2:$A$9000,0))="EUR",КурсEUR,1))*INDEX(спр_Материалы!$K$2:$K$9000,MATCH($I1010,спр_Материалы!$A$2:$A$9000,0))*(1+IFERROR(INDEX(спр_Работы!$I$2:$I$6000,MATCH($C1010,спр_Работы!$A$2:$A$6000,0))/100,0))*(1-ДисконтТендер),0))</f>
        <v/>
      </c>
      <c r="N1010" s="10">
        <f>IF(AND($R1010="да",$H1010&lt;&gt;""),ROUND($H1010*$L1010,2),0)</f>
        <v/>
      </c>
      <c r="O1010" s="10">
        <f>IF(AND($R1010="да",$H1010&lt;&gt;""),ROUND($H1010*$M1010,2),0)</f>
        <v/>
      </c>
      <c r="P1010" s="10">
        <f>$N1010+$O1010</f>
        <v/>
      </c>
      <c r="Q1010">
        <f>IFERROR(INDEX(спр_Работы!$J$2:$J$6000,MATCH($C1010,спр_Работы!$A$2:$A$6000,0)),"")</f>
        <v/>
      </c>
      <c r="R1010" t="inlineStr">
        <is>
          <t>да</t>
        </is>
      </c>
      <c r="T1010">
        <f>IF(AND($P1010&gt;0,$R1010="да"),MAX($T$1:$T1009)+1,"")</f>
        <v/>
      </c>
    </row>
    <row r="1011">
      <c r="A1011" s="11">
        <f>IFERROR(INDEX(спр_Работы!$D$2:$D$6000,MATCH($C1011,спр_Работы!$A$2:$A$6000,0)),"")</f>
        <v/>
      </c>
      <c r="B1011">
        <f>IFERROR(INDEX(спр_Работы!$F$2:$F$6000,MATCH($C1011,спр_Работы!$A$2:$A$6000,0)),"")</f>
        <v/>
      </c>
      <c r="C1011">
        <f>IFERROR(INDEX(спр_Работы!$A$2:$A$6000,1010),"")</f>
        <v/>
      </c>
      <c r="D1011" s="8">
        <f>IFERROR(INDEX(спр_Работы!$B$2:$B$6000,MATCH($C1011,спр_Работы!$A$2:$A$6000,0)),"")</f>
        <v/>
      </c>
      <c r="E1011">
        <f>IFERROR(INDEX(спр_Работы!$C$2:$C$6000,MATCH($C1011,спр_Работы!$A$2:$A$6000,0)),"")</f>
        <v/>
      </c>
      <c r="F1011">
        <f>IFERROR(INDEX(спр_Работы!$G$2:$G$6000,MATCH($C1011,спр_Работы!$A$2:$A$6000,0)),"")</f>
        <v/>
      </c>
      <c r="G1011">
        <f>IFERROR(INDEX(спр_Работы!$K$2:$K$6000,MATCH($C1011,спр_Работы!$A$2:$A$6000,0)),"")</f>
        <v/>
      </c>
      <c r="H1011" s="9" t="n"/>
      <c r="I1011" s="9" t="n"/>
      <c r="J1011" s="8">
        <f>IFERROR(INDEX(спр_Материалы!$B$2:$B$9000,MATCH($I1011,спр_Материалы!$A$2:$A$9000,0)),"")</f>
        <v/>
      </c>
      <c r="K1011">
        <f>IF($I1011="","",IF($F1011=IFERROR(INDEX(спр_Материалы!$G$2:$G$9000,MATCH($I1011,спр_Материалы!$A$2:$A$9000,0)),""),"OK","!! не та группа"))</f>
        <v/>
      </c>
      <c r="L1011" s="10">
        <f>IFERROR(INDEX(спр_Работы!$H$2:$H$6000,MATCH($C1011,спр_Работы!$A$2:$A$6000,0))*(1-ДисконтТендер),0)</f>
        <v/>
      </c>
      <c r="M1011" s="10">
        <f>IF($I1011="",0,IFERROR(INDEX(спр_Материалы!$I$2:$I$9000,MATCH($I1011,спр_Материалы!$A$2:$A$9000,0))*IF(INDEX(спр_Материалы!$J$2:$J$9000,MATCH($I1011,спр_Материалы!$A$2:$A$9000,0))="USD",КурсUSD,IF(INDEX(спр_Материалы!$J$2:$J$9000,MATCH($I1011,спр_Материалы!$A$2:$A$9000,0))="EUR",КурсEUR,1))*INDEX(спр_Материалы!$K$2:$K$9000,MATCH($I1011,спр_Материалы!$A$2:$A$9000,0))*(1+IFERROR(INDEX(спр_Работы!$I$2:$I$6000,MATCH($C1011,спр_Работы!$A$2:$A$6000,0))/100,0))*(1-ДисконтТендер),0))</f>
        <v/>
      </c>
      <c r="N1011" s="10">
        <f>IF(AND($R1011="да",$H1011&lt;&gt;""),ROUND($H1011*$L1011,2),0)</f>
        <v/>
      </c>
      <c r="O1011" s="10">
        <f>IF(AND($R1011="да",$H1011&lt;&gt;""),ROUND($H1011*$M1011,2),0)</f>
        <v/>
      </c>
      <c r="P1011" s="10">
        <f>$N1011+$O1011</f>
        <v/>
      </c>
      <c r="Q1011">
        <f>IFERROR(INDEX(спр_Работы!$J$2:$J$6000,MATCH($C1011,спр_Работы!$A$2:$A$6000,0)),"")</f>
        <v/>
      </c>
      <c r="R1011" t="inlineStr">
        <is>
          <t>да</t>
        </is>
      </c>
      <c r="T1011">
        <f>IF(AND($P1011&gt;0,$R1011="да"),MAX($T$1:$T1010)+1,"")</f>
        <v/>
      </c>
    </row>
    <row r="1012">
      <c r="A1012" s="11">
        <f>IFERROR(INDEX(спр_Работы!$D$2:$D$6000,MATCH($C1012,спр_Работы!$A$2:$A$6000,0)),"")</f>
        <v/>
      </c>
      <c r="B1012">
        <f>IFERROR(INDEX(спр_Работы!$F$2:$F$6000,MATCH($C1012,спр_Работы!$A$2:$A$6000,0)),"")</f>
        <v/>
      </c>
      <c r="C1012">
        <f>IFERROR(INDEX(спр_Работы!$A$2:$A$6000,1011),"")</f>
        <v/>
      </c>
      <c r="D1012" s="8">
        <f>IFERROR(INDEX(спр_Работы!$B$2:$B$6000,MATCH($C1012,спр_Работы!$A$2:$A$6000,0)),"")</f>
        <v/>
      </c>
      <c r="E1012">
        <f>IFERROR(INDEX(спр_Работы!$C$2:$C$6000,MATCH($C1012,спр_Работы!$A$2:$A$6000,0)),"")</f>
        <v/>
      </c>
      <c r="F1012">
        <f>IFERROR(INDEX(спр_Работы!$G$2:$G$6000,MATCH($C1012,спр_Работы!$A$2:$A$6000,0)),"")</f>
        <v/>
      </c>
      <c r="G1012">
        <f>IFERROR(INDEX(спр_Работы!$K$2:$K$6000,MATCH($C1012,спр_Работы!$A$2:$A$6000,0)),"")</f>
        <v/>
      </c>
      <c r="H1012" s="9" t="n"/>
      <c r="I1012" s="9" t="n"/>
      <c r="J1012" s="8">
        <f>IFERROR(INDEX(спр_Материалы!$B$2:$B$9000,MATCH($I1012,спр_Материалы!$A$2:$A$9000,0)),"")</f>
        <v/>
      </c>
      <c r="K1012">
        <f>IF($I1012="","",IF($F1012=IFERROR(INDEX(спр_Материалы!$G$2:$G$9000,MATCH($I1012,спр_Материалы!$A$2:$A$9000,0)),""),"OK","!! не та группа"))</f>
        <v/>
      </c>
      <c r="L1012" s="10">
        <f>IFERROR(INDEX(спр_Работы!$H$2:$H$6000,MATCH($C1012,спр_Работы!$A$2:$A$6000,0))*(1-ДисконтТендер),0)</f>
        <v/>
      </c>
      <c r="M1012" s="10">
        <f>IF($I1012="",0,IFERROR(INDEX(спр_Материалы!$I$2:$I$9000,MATCH($I1012,спр_Материалы!$A$2:$A$9000,0))*IF(INDEX(спр_Материалы!$J$2:$J$9000,MATCH($I1012,спр_Материалы!$A$2:$A$9000,0))="USD",КурсUSD,IF(INDEX(спр_Материалы!$J$2:$J$9000,MATCH($I1012,спр_Материалы!$A$2:$A$9000,0))="EUR",КурсEUR,1))*INDEX(спр_Материалы!$K$2:$K$9000,MATCH($I1012,спр_Материалы!$A$2:$A$9000,0))*(1+IFERROR(INDEX(спр_Работы!$I$2:$I$6000,MATCH($C1012,спр_Работы!$A$2:$A$6000,0))/100,0))*(1-ДисконтТендер),0))</f>
        <v/>
      </c>
      <c r="N1012" s="10">
        <f>IF(AND($R1012="да",$H1012&lt;&gt;""),ROUND($H1012*$L1012,2),0)</f>
        <v/>
      </c>
      <c r="O1012" s="10">
        <f>IF(AND($R1012="да",$H1012&lt;&gt;""),ROUND($H1012*$M1012,2),0)</f>
        <v/>
      </c>
      <c r="P1012" s="10">
        <f>$N1012+$O1012</f>
        <v/>
      </c>
      <c r="Q1012">
        <f>IFERROR(INDEX(спр_Работы!$J$2:$J$6000,MATCH($C1012,спр_Работы!$A$2:$A$6000,0)),"")</f>
        <v/>
      </c>
      <c r="R1012" t="inlineStr">
        <is>
          <t>да</t>
        </is>
      </c>
      <c r="T1012">
        <f>IF(AND($P1012&gt;0,$R1012="да"),MAX($T$1:$T1011)+1,"")</f>
        <v/>
      </c>
    </row>
    <row r="1013">
      <c r="A1013" s="11">
        <f>IFERROR(INDEX(спр_Работы!$D$2:$D$6000,MATCH($C1013,спр_Работы!$A$2:$A$6000,0)),"")</f>
        <v/>
      </c>
      <c r="B1013">
        <f>IFERROR(INDEX(спр_Работы!$F$2:$F$6000,MATCH($C1013,спр_Работы!$A$2:$A$6000,0)),"")</f>
        <v/>
      </c>
      <c r="C1013">
        <f>IFERROR(INDEX(спр_Работы!$A$2:$A$6000,1012),"")</f>
        <v/>
      </c>
      <c r="D1013" s="8">
        <f>IFERROR(INDEX(спр_Работы!$B$2:$B$6000,MATCH($C1013,спр_Работы!$A$2:$A$6000,0)),"")</f>
        <v/>
      </c>
      <c r="E1013">
        <f>IFERROR(INDEX(спр_Работы!$C$2:$C$6000,MATCH($C1013,спр_Работы!$A$2:$A$6000,0)),"")</f>
        <v/>
      </c>
      <c r="F1013">
        <f>IFERROR(INDEX(спр_Работы!$G$2:$G$6000,MATCH($C1013,спр_Работы!$A$2:$A$6000,0)),"")</f>
        <v/>
      </c>
      <c r="G1013">
        <f>IFERROR(INDEX(спр_Работы!$K$2:$K$6000,MATCH($C1013,спр_Работы!$A$2:$A$6000,0)),"")</f>
        <v/>
      </c>
      <c r="H1013" s="9" t="n"/>
      <c r="I1013" s="9" t="n"/>
      <c r="J1013" s="8">
        <f>IFERROR(INDEX(спр_Материалы!$B$2:$B$9000,MATCH($I1013,спр_Материалы!$A$2:$A$9000,0)),"")</f>
        <v/>
      </c>
      <c r="K1013">
        <f>IF($I1013="","",IF($F1013=IFERROR(INDEX(спр_Материалы!$G$2:$G$9000,MATCH($I1013,спр_Материалы!$A$2:$A$9000,0)),""),"OK","!! не та группа"))</f>
        <v/>
      </c>
      <c r="L1013" s="10">
        <f>IFERROR(INDEX(спр_Работы!$H$2:$H$6000,MATCH($C1013,спр_Работы!$A$2:$A$6000,0))*(1-ДисконтТендер),0)</f>
        <v/>
      </c>
      <c r="M1013" s="10">
        <f>IF($I1013="",0,IFERROR(INDEX(спр_Материалы!$I$2:$I$9000,MATCH($I1013,спр_Материалы!$A$2:$A$9000,0))*IF(INDEX(спр_Материалы!$J$2:$J$9000,MATCH($I1013,спр_Материалы!$A$2:$A$9000,0))="USD",КурсUSD,IF(INDEX(спр_Материалы!$J$2:$J$9000,MATCH($I1013,спр_Материалы!$A$2:$A$9000,0))="EUR",КурсEUR,1))*INDEX(спр_Материалы!$K$2:$K$9000,MATCH($I1013,спр_Материалы!$A$2:$A$9000,0))*(1+IFERROR(INDEX(спр_Работы!$I$2:$I$6000,MATCH($C1013,спр_Работы!$A$2:$A$6000,0))/100,0))*(1-ДисконтТендер),0))</f>
        <v/>
      </c>
      <c r="N1013" s="10">
        <f>IF(AND($R1013="да",$H1013&lt;&gt;""),ROUND($H1013*$L1013,2),0)</f>
        <v/>
      </c>
      <c r="O1013" s="10">
        <f>IF(AND($R1013="да",$H1013&lt;&gt;""),ROUND($H1013*$M1013,2),0)</f>
        <v/>
      </c>
      <c r="P1013" s="10">
        <f>$N1013+$O1013</f>
        <v/>
      </c>
      <c r="Q1013">
        <f>IFERROR(INDEX(спр_Работы!$J$2:$J$6000,MATCH($C1013,спр_Работы!$A$2:$A$6000,0)),"")</f>
        <v/>
      </c>
      <c r="R1013" t="inlineStr">
        <is>
          <t>да</t>
        </is>
      </c>
      <c r="T1013">
        <f>IF(AND($P1013&gt;0,$R1013="да"),MAX($T$1:$T1012)+1,"")</f>
        <v/>
      </c>
    </row>
    <row r="1014">
      <c r="A1014" s="11">
        <f>IFERROR(INDEX(спр_Работы!$D$2:$D$6000,MATCH($C1014,спр_Работы!$A$2:$A$6000,0)),"")</f>
        <v/>
      </c>
      <c r="B1014">
        <f>IFERROR(INDEX(спр_Работы!$F$2:$F$6000,MATCH($C1014,спр_Работы!$A$2:$A$6000,0)),"")</f>
        <v/>
      </c>
      <c r="C1014">
        <f>IFERROR(INDEX(спр_Работы!$A$2:$A$6000,1013),"")</f>
        <v/>
      </c>
      <c r="D1014" s="8">
        <f>IFERROR(INDEX(спр_Работы!$B$2:$B$6000,MATCH($C1014,спр_Работы!$A$2:$A$6000,0)),"")</f>
        <v/>
      </c>
      <c r="E1014">
        <f>IFERROR(INDEX(спр_Работы!$C$2:$C$6000,MATCH($C1014,спр_Работы!$A$2:$A$6000,0)),"")</f>
        <v/>
      </c>
      <c r="F1014">
        <f>IFERROR(INDEX(спр_Работы!$G$2:$G$6000,MATCH($C1014,спр_Работы!$A$2:$A$6000,0)),"")</f>
        <v/>
      </c>
      <c r="G1014">
        <f>IFERROR(INDEX(спр_Работы!$K$2:$K$6000,MATCH($C1014,спр_Работы!$A$2:$A$6000,0)),"")</f>
        <v/>
      </c>
      <c r="H1014" s="9" t="n"/>
      <c r="I1014" s="9" t="n"/>
      <c r="J1014" s="8">
        <f>IFERROR(INDEX(спр_Материалы!$B$2:$B$9000,MATCH($I1014,спр_Материалы!$A$2:$A$9000,0)),"")</f>
        <v/>
      </c>
      <c r="K1014">
        <f>IF($I1014="","",IF($F1014=IFERROR(INDEX(спр_Материалы!$G$2:$G$9000,MATCH($I1014,спр_Материалы!$A$2:$A$9000,0)),""),"OK","!! не та группа"))</f>
        <v/>
      </c>
      <c r="L1014" s="10">
        <f>IFERROR(INDEX(спр_Работы!$H$2:$H$6000,MATCH($C1014,спр_Работы!$A$2:$A$6000,0))*(1-ДисконтТендер),0)</f>
        <v/>
      </c>
      <c r="M1014" s="10">
        <f>IF($I1014="",0,IFERROR(INDEX(спр_Материалы!$I$2:$I$9000,MATCH($I1014,спр_Материалы!$A$2:$A$9000,0))*IF(INDEX(спр_Материалы!$J$2:$J$9000,MATCH($I1014,спр_Материалы!$A$2:$A$9000,0))="USD",КурсUSD,IF(INDEX(спр_Материалы!$J$2:$J$9000,MATCH($I1014,спр_Материалы!$A$2:$A$9000,0))="EUR",КурсEUR,1))*INDEX(спр_Материалы!$K$2:$K$9000,MATCH($I1014,спр_Материалы!$A$2:$A$9000,0))*(1+IFERROR(INDEX(спр_Работы!$I$2:$I$6000,MATCH($C1014,спр_Работы!$A$2:$A$6000,0))/100,0))*(1-ДисконтТендер),0))</f>
        <v/>
      </c>
      <c r="N1014" s="10">
        <f>IF(AND($R1014="да",$H1014&lt;&gt;""),ROUND($H1014*$L1014,2),0)</f>
        <v/>
      </c>
      <c r="O1014" s="10">
        <f>IF(AND($R1014="да",$H1014&lt;&gt;""),ROUND($H1014*$M1014,2),0)</f>
        <v/>
      </c>
      <c r="P1014" s="10">
        <f>$N1014+$O1014</f>
        <v/>
      </c>
      <c r="Q1014">
        <f>IFERROR(INDEX(спр_Работы!$J$2:$J$6000,MATCH($C1014,спр_Работы!$A$2:$A$6000,0)),"")</f>
        <v/>
      </c>
      <c r="R1014" t="inlineStr">
        <is>
          <t>да</t>
        </is>
      </c>
      <c r="T1014">
        <f>IF(AND($P1014&gt;0,$R1014="да"),MAX($T$1:$T1013)+1,"")</f>
        <v/>
      </c>
    </row>
    <row r="1015">
      <c r="A1015" s="11">
        <f>IFERROR(INDEX(спр_Работы!$D$2:$D$6000,MATCH($C1015,спр_Работы!$A$2:$A$6000,0)),"")</f>
        <v/>
      </c>
      <c r="B1015">
        <f>IFERROR(INDEX(спр_Работы!$F$2:$F$6000,MATCH($C1015,спр_Работы!$A$2:$A$6000,0)),"")</f>
        <v/>
      </c>
      <c r="C1015">
        <f>IFERROR(INDEX(спр_Работы!$A$2:$A$6000,1014),"")</f>
        <v/>
      </c>
      <c r="D1015" s="8">
        <f>IFERROR(INDEX(спр_Работы!$B$2:$B$6000,MATCH($C1015,спр_Работы!$A$2:$A$6000,0)),"")</f>
        <v/>
      </c>
      <c r="E1015">
        <f>IFERROR(INDEX(спр_Работы!$C$2:$C$6000,MATCH($C1015,спр_Работы!$A$2:$A$6000,0)),"")</f>
        <v/>
      </c>
      <c r="F1015">
        <f>IFERROR(INDEX(спр_Работы!$G$2:$G$6000,MATCH($C1015,спр_Работы!$A$2:$A$6000,0)),"")</f>
        <v/>
      </c>
      <c r="G1015">
        <f>IFERROR(INDEX(спр_Работы!$K$2:$K$6000,MATCH($C1015,спр_Работы!$A$2:$A$6000,0)),"")</f>
        <v/>
      </c>
      <c r="H1015" s="9" t="n"/>
      <c r="I1015" s="9" t="n"/>
      <c r="J1015" s="8">
        <f>IFERROR(INDEX(спр_Материалы!$B$2:$B$9000,MATCH($I1015,спр_Материалы!$A$2:$A$9000,0)),"")</f>
        <v/>
      </c>
      <c r="K1015">
        <f>IF($I1015="","",IF($F1015=IFERROR(INDEX(спр_Материалы!$G$2:$G$9000,MATCH($I1015,спр_Материалы!$A$2:$A$9000,0)),""),"OK","!! не та группа"))</f>
        <v/>
      </c>
      <c r="L1015" s="10">
        <f>IFERROR(INDEX(спр_Работы!$H$2:$H$6000,MATCH($C1015,спр_Работы!$A$2:$A$6000,0))*(1-ДисконтТендер),0)</f>
        <v/>
      </c>
      <c r="M1015" s="10">
        <f>IF($I1015="",0,IFERROR(INDEX(спр_Материалы!$I$2:$I$9000,MATCH($I1015,спр_Материалы!$A$2:$A$9000,0))*IF(INDEX(спр_Материалы!$J$2:$J$9000,MATCH($I1015,спр_Материалы!$A$2:$A$9000,0))="USD",КурсUSD,IF(INDEX(спр_Материалы!$J$2:$J$9000,MATCH($I1015,спр_Материалы!$A$2:$A$9000,0))="EUR",КурсEUR,1))*INDEX(спр_Материалы!$K$2:$K$9000,MATCH($I1015,спр_Материалы!$A$2:$A$9000,0))*(1+IFERROR(INDEX(спр_Работы!$I$2:$I$6000,MATCH($C1015,спр_Работы!$A$2:$A$6000,0))/100,0))*(1-ДисконтТендер),0))</f>
        <v/>
      </c>
      <c r="N1015" s="10">
        <f>IF(AND($R1015="да",$H1015&lt;&gt;""),ROUND($H1015*$L1015,2),0)</f>
        <v/>
      </c>
      <c r="O1015" s="10">
        <f>IF(AND($R1015="да",$H1015&lt;&gt;""),ROUND($H1015*$M1015,2),0)</f>
        <v/>
      </c>
      <c r="P1015" s="10">
        <f>$N1015+$O1015</f>
        <v/>
      </c>
      <c r="Q1015">
        <f>IFERROR(INDEX(спр_Работы!$J$2:$J$6000,MATCH($C1015,спр_Работы!$A$2:$A$6000,0)),"")</f>
        <v/>
      </c>
      <c r="R1015" t="inlineStr">
        <is>
          <t>да</t>
        </is>
      </c>
      <c r="T1015">
        <f>IF(AND($P1015&gt;0,$R1015="да"),MAX($T$1:$T1014)+1,"")</f>
        <v/>
      </c>
    </row>
    <row r="1016">
      <c r="A1016" s="11">
        <f>IFERROR(INDEX(спр_Работы!$D$2:$D$6000,MATCH($C1016,спр_Работы!$A$2:$A$6000,0)),"")</f>
        <v/>
      </c>
      <c r="B1016">
        <f>IFERROR(INDEX(спр_Работы!$F$2:$F$6000,MATCH($C1016,спр_Работы!$A$2:$A$6000,0)),"")</f>
        <v/>
      </c>
      <c r="C1016">
        <f>IFERROR(INDEX(спр_Работы!$A$2:$A$6000,1015),"")</f>
        <v/>
      </c>
      <c r="D1016" s="8">
        <f>IFERROR(INDEX(спр_Работы!$B$2:$B$6000,MATCH($C1016,спр_Работы!$A$2:$A$6000,0)),"")</f>
        <v/>
      </c>
      <c r="E1016">
        <f>IFERROR(INDEX(спр_Работы!$C$2:$C$6000,MATCH($C1016,спр_Работы!$A$2:$A$6000,0)),"")</f>
        <v/>
      </c>
      <c r="F1016">
        <f>IFERROR(INDEX(спр_Работы!$G$2:$G$6000,MATCH($C1016,спр_Работы!$A$2:$A$6000,0)),"")</f>
        <v/>
      </c>
      <c r="G1016">
        <f>IFERROR(INDEX(спр_Работы!$K$2:$K$6000,MATCH($C1016,спр_Работы!$A$2:$A$6000,0)),"")</f>
        <v/>
      </c>
      <c r="H1016" s="9" t="n"/>
      <c r="I1016" s="9" t="n"/>
      <c r="J1016" s="8">
        <f>IFERROR(INDEX(спр_Материалы!$B$2:$B$9000,MATCH($I1016,спр_Материалы!$A$2:$A$9000,0)),"")</f>
        <v/>
      </c>
      <c r="K1016">
        <f>IF($I1016="","",IF($F1016=IFERROR(INDEX(спр_Материалы!$G$2:$G$9000,MATCH($I1016,спр_Материалы!$A$2:$A$9000,0)),""),"OK","!! не та группа"))</f>
        <v/>
      </c>
      <c r="L1016" s="10">
        <f>IFERROR(INDEX(спр_Работы!$H$2:$H$6000,MATCH($C1016,спр_Работы!$A$2:$A$6000,0))*(1-ДисконтТендер),0)</f>
        <v/>
      </c>
      <c r="M1016" s="10">
        <f>IF($I1016="",0,IFERROR(INDEX(спр_Материалы!$I$2:$I$9000,MATCH($I1016,спр_Материалы!$A$2:$A$9000,0))*IF(INDEX(спр_Материалы!$J$2:$J$9000,MATCH($I1016,спр_Материалы!$A$2:$A$9000,0))="USD",КурсUSD,IF(INDEX(спр_Материалы!$J$2:$J$9000,MATCH($I1016,спр_Материалы!$A$2:$A$9000,0))="EUR",КурсEUR,1))*INDEX(спр_Материалы!$K$2:$K$9000,MATCH($I1016,спр_Материалы!$A$2:$A$9000,0))*(1+IFERROR(INDEX(спр_Работы!$I$2:$I$6000,MATCH($C1016,спр_Работы!$A$2:$A$6000,0))/100,0))*(1-ДисконтТендер),0))</f>
        <v/>
      </c>
      <c r="N1016" s="10">
        <f>IF(AND($R1016="да",$H1016&lt;&gt;""),ROUND($H1016*$L1016,2),0)</f>
        <v/>
      </c>
      <c r="O1016" s="10">
        <f>IF(AND($R1016="да",$H1016&lt;&gt;""),ROUND($H1016*$M1016,2),0)</f>
        <v/>
      </c>
      <c r="P1016" s="10">
        <f>$N1016+$O1016</f>
        <v/>
      </c>
      <c r="Q1016">
        <f>IFERROR(INDEX(спр_Работы!$J$2:$J$6000,MATCH($C1016,спр_Работы!$A$2:$A$6000,0)),"")</f>
        <v/>
      </c>
      <c r="R1016" t="inlineStr">
        <is>
          <t>да</t>
        </is>
      </c>
      <c r="T1016">
        <f>IF(AND($P1016&gt;0,$R1016="да"),MAX($T$1:$T1015)+1,"")</f>
        <v/>
      </c>
    </row>
    <row r="1017">
      <c r="A1017" s="11">
        <f>IFERROR(INDEX(спр_Работы!$D$2:$D$6000,MATCH($C1017,спр_Работы!$A$2:$A$6000,0)),"")</f>
        <v/>
      </c>
      <c r="B1017">
        <f>IFERROR(INDEX(спр_Работы!$F$2:$F$6000,MATCH($C1017,спр_Работы!$A$2:$A$6000,0)),"")</f>
        <v/>
      </c>
      <c r="C1017">
        <f>IFERROR(INDEX(спр_Работы!$A$2:$A$6000,1016),"")</f>
        <v/>
      </c>
      <c r="D1017" s="8">
        <f>IFERROR(INDEX(спр_Работы!$B$2:$B$6000,MATCH($C1017,спр_Работы!$A$2:$A$6000,0)),"")</f>
        <v/>
      </c>
      <c r="E1017">
        <f>IFERROR(INDEX(спр_Работы!$C$2:$C$6000,MATCH($C1017,спр_Работы!$A$2:$A$6000,0)),"")</f>
        <v/>
      </c>
      <c r="F1017">
        <f>IFERROR(INDEX(спр_Работы!$G$2:$G$6000,MATCH($C1017,спр_Работы!$A$2:$A$6000,0)),"")</f>
        <v/>
      </c>
      <c r="G1017">
        <f>IFERROR(INDEX(спр_Работы!$K$2:$K$6000,MATCH($C1017,спр_Работы!$A$2:$A$6000,0)),"")</f>
        <v/>
      </c>
      <c r="H1017" s="9" t="n"/>
      <c r="I1017" s="9" t="n"/>
      <c r="J1017" s="8">
        <f>IFERROR(INDEX(спр_Материалы!$B$2:$B$9000,MATCH($I1017,спр_Материалы!$A$2:$A$9000,0)),"")</f>
        <v/>
      </c>
      <c r="K1017">
        <f>IF($I1017="","",IF($F1017=IFERROR(INDEX(спр_Материалы!$G$2:$G$9000,MATCH($I1017,спр_Материалы!$A$2:$A$9000,0)),""),"OK","!! не та группа"))</f>
        <v/>
      </c>
      <c r="L1017" s="10">
        <f>IFERROR(INDEX(спр_Работы!$H$2:$H$6000,MATCH($C1017,спр_Работы!$A$2:$A$6000,0))*(1-ДисконтТендер),0)</f>
        <v/>
      </c>
      <c r="M1017" s="10">
        <f>IF($I1017="",0,IFERROR(INDEX(спр_Материалы!$I$2:$I$9000,MATCH($I1017,спр_Материалы!$A$2:$A$9000,0))*IF(INDEX(спр_Материалы!$J$2:$J$9000,MATCH($I1017,спр_Материалы!$A$2:$A$9000,0))="USD",КурсUSD,IF(INDEX(спр_Материалы!$J$2:$J$9000,MATCH($I1017,спр_Материалы!$A$2:$A$9000,0))="EUR",КурсEUR,1))*INDEX(спр_Материалы!$K$2:$K$9000,MATCH($I1017,спр_Материалы!$A$2:$A$9000,0))*(1+IFERROR(INDEX(спр_Работы!$I$2:$I$6000,MATCH($C1017,спр_Работы!$A$2:$A$6000,0))/100,0))*(1-ДисконтТендер),0))</f>
        <v/>
      </c>
      <c r="N1017" s="10">
        <f>IF(AND($R1017="да",$H1017&lt;&gt;""),ROUND($H1017*$L1017,2),0)</f>
        <v/>
      </c>
      <c r="O1017" s="10">
        <f>IF(AND($R1017="да",$H1017&lt;&gt;""),ROUND($H1017*$M1017,2),0)</f>
        <v/>
      </c>
      <c r="P1017" s="10">
        <f>$N1017+$O1017</f>
        <v/>
      </c>
      <c r="Q1017">
        <f>IFERROR(INDEX(спр_Работы!$J$2:$J$6000,MATCH($C1017,спр_Работы!$A$2:$A$6000,0)),"")</f>
        <v/>
      </c>
      <c r="R1017" t="inlineStr">
        <is>
          <t>да</t>
        </is>
      </c>
      <c r="T1017">
        <f>IF(AND($P1017&gt;0,$R1017="да"),MAX($T$1:$T1016)+1,"")</f>
        <v/>
      </c>
    </row>
    <row r="1018">
      <c r="A1018" s="11">
        <f>IFERROR(INDEX(спр_Работы!$D$2:$D$6000,MATCH($C1018,спр_Работы!$A$2:$A$6000,0)),"")</f>
        <v/>
      </c>
      <c r="B1018">
        <f>IFERROR(INDEX(спр_Работы!$F$2:$F$6000,MATCH($C1018,спр_Работы!$A$2:$A$6000,0)),"")</f>
        <v/>
      </c>
      <c r="C1018">
        <f>IFERROR(INDEX(спр_Работы!$A$2:$A$6000,1017),"")</f>
        <v/>
      </c>
      <c r="D1018" s="8">
        <f>IFERROR(INDEX(спр_Работы!$B$2:$B$6000,MATCH($C1018,спр_Работы!$A$2:$A$6000,0)),"")</f>
        <v/>
      </c>
      <c r="E1018">
        <f>IFERROR(INDEX(спр_Работы!$C$2:$C$6000,MATCH($C1018,спр_Работы!$A$2:$A$6000,0)),"")</f>
        <v/>
      </c>
      <c r="F1018">
        <f>IFERROR(INDEX(спр_Работы!$G$2:$G$6000,MATCH($C1018,спр_Работы!$A$2:$A$6000,0)),"")</f>
        <v/>
      </c>
      <c r="G1018">
        <f>IFERROR(INDEX(спр_Работы!$K$2:$K$6000,MATCH($C1018,спр_Работы!$A$2:$A$6000,0)),"")</f>
        <v/>
      </c>
      <c r="H1018" s="9" t="n"/>
      <c r="I1018" s="9" t="n"/>
      <c r="J1018" s="8">
        <f>IFERROR(INDEX(спр_Материалы!$B$2:$B$9000,MATCH($I1018,спр_Материалы!$A$2:$A$9000,0)),"")</f>
        <v/>
      </c>
      <c r="K1018">
        <f>IF($I1018="","",IF($F1018=IFERROR(INDEX(спр_Материалы!$G$2:$G$9000,MATCH($I1018,спр_Материалы!$A$2:$A$9000,0)),""),"OK","!! не та группа"))</f>
        <v/>
      </c>
      <c r="L1018" s="10">
        <f>IFERROR(INDEX(спр_Работы!$H$2:$H$6000,MATCH($C1018,спр_Работы!$A$2:$A$6000,0))*(1-ДисконтТендер),0)</f>
        <v/>
      </c>
      <c r="M1018" s="10">
        <f>IF($I1018="",0,IFERROR(INDEX(спр_Материалы!$I$2:$I$9000,MATCH($I1018,спр_Материалы!$A$2:$A$9000,0))*IF(INDEX(спр_Материалы!$J$2:$J$9000,MATCH($I1018,спр_Материалы!$A$2:$A$9000,0))="USD",КурсUSD,IF(INDEX(спр_Материалы!$J$2:$J$9000,MATCH($I1018,спр_Материалы!$A$2:$A$9000,0))="EUR",КурсEUR,1))*INDEX(спр_Материалы!$K$2:$K$9000,MATCH($I1018,спр_Материалы!$A$2:$A$9000,0))*(1+IFERROR(INDEX(спр_Работы!$I$2:$I$6000,MATCH($C1018,спр_Работы!$A$2:$A$6000,0))/100,0))*(1-ДисконтТендер),0))</f>
        <v/>
      </c>
      <c r="N1018" s="10">
        <f>IF(AND($R1018="да",$H1018&lt;&gt;""),ROUND($H1018*$L1018,2),0)</f>
        <v/>
      </c>
      <c r="O1018" s="10">
        <f>IF(AND($R1018="да",$H1018&lt;&gt;""),ROUND($H1018*$M1018,2),0)</f>
        <v/>
      </c>
      <c r="P1018" s="10">
        <f>$N1018+$O1018</f>
        <v/>
      </c>
      <c r="Q1018">
        <f>IFERROR(INDEX(спр_Работы!$J$2:$J$6000,MATCH($C1018,спр_Работы!$A$2:$A$6000,0)),"")</f>
        <v/>
      </c>
      <c r="R1018" t="inlineStr">
        <is>
          <t>да</t>
        </is>
      </c>
      <c r="T1018">
        <f>IF(AND($P1018&gt;0,$R1018="да"),MAX($T$1:$T1017)+1,"")</f>
        <v/>
      </c>
    </row>
    <row r="1019">
      <c r="A1019" s="11">
        <f>IFERROR(INDEX(спр_Работы!$D$2:$D$6000,MATCH($C1019,спр_Работы!$A$2:$A$6000,0)),"")</f>
        <v/>
      </c>
      <c r="B1019">
        <f>IFERROR(INDEX(спр_Работы!$F$2:$F$6000,MATCH($C1019,спр_Работы!$A$2:$A$6000,0)),"")</f>
        <v/>
      </c>
      <c r="C1019">
        <f>IFERROR(INDEX(спр_Работы!$A$2:$A$6000,1018),"")</f>
        <v/>
      </c>
      <c r="D1019" s="8">
        <f>IFERROR(INDEX(спр_Работы!$B$2:$B$6000,MATCH($C1019,спр_Работы!$A$2:$A$6000,0)),"")</f>
        <v/>
      </c>
      <c r="E1019">
        <f>IFERROR(INDEX(спр_Работы!$C$2:$C$6000,MATCH($C1019,спр_Работы!$A$2:$A$6000,0)),"")</f>
        <v/>
      </c>
      <c r="F1019">
        <f>IFERROR(INDEX(спр_Работы!$G$2:$G$6000,MATCH($C1019,спр_Работы!$A$2:$A$6000,0)),"")</f>
        <v/>
      </c>
      <c r="G1019">
        <f>IFERROR(INDEX(спр_Работы!$K$2:$K$6000,MATCH($C1019,спр_Работы!$A$2:$A$6000,0)),"")</f>
        <v/>
      </c>
      <c r="H1019" s="9" t="n"/>
      <c r="I1019" s="9" t="n"/>
      <c r="J1019" s="8">
        <f>IFERROR(INDEX(спр_Материалы!$B$2:$B$9000,MATCH($I1019,спр_Материалы!$A$2:$A$9000,0)),"")</f>
        <v/>
      </c>
      <c r="K1019">
        <f>IF($I1019="","",IF($F1019=IFERROR(INDEX(спр_Материалы!$G$2:$G$9000,MATCH($I1019,спр_Материалы!$A$2:$A$9000,0)),""),"OK","!! не та группа"))</f>
        <v/>
      </c>
      <c r="L1019" s="10">
        <f>IFERROR(INDEX(спр_Работы!$H$2:$H$6000,MATCH($C1019,спр_Работы!$A$2:$A$6000,0))*(1-ДисконтТендер),0)</f>
        <v/>
      </c>
      <c r="M1019" s="10">
        <f>IF($I1019="",0,IFERROR(INDEX(спр_Материалы!$I$2:$I$9000,MATCH($I1019,спр_Материалы!$A$2:$A$9000,0))*IF(INDEX(спр_Материалы!$J$2:$J$9000,MATCH($I1019,спр_Материалы!$A$2:$A$9000,0))="USD",КурсUSD,IF(INDEX(спр_Материалы!$J$2:$J$9000,MATCH($I1019,спр_Материалы!$A$2:$A$9000,0))="EUR",КурсEUR,1))*INDEX(спр_Материалы!$K$2:$K$9000,MATCH($I1019,спр_Материалы!$A$2:$A$9000,0))*(1+IFERROR(INDEX(спр_Работы!$I$2:$I$6000,MATCH($C1019,спр_Работы!$A$2:$A$6000,0))/100,0))*(1-ДисконтТендер),0))</f>
        <v/>
      </c>
      <c r="N1019" s="10">
        <f>IF(AND($R1019="да",$H1019&lt;&gt;""),ROUND($H1019*$L1019,2),0)</f>
        <v/>
      </c>
      <c r="O1019" s="10">
        <f>IF(AND($R1019="да",$H1019&lt;&gt;""),ROUND($H1019*$M1019,2),0)</f>
        <v/>
      </c>
      <c r="P1019" s="10">
        <f>$N1019+$O1019</f>
        <v/>
      </c>
      <c r="Q1019">
        <f>IFERROR(INDEX(спр_Работы!$J$2:$J$6000,MATCH($C1019,спр_Работы!$A$2:$A$6000,0)),"")</f>
        <v/>
      </c>
      <c r="R1019" t="inlineStr">
        <is>
          <t>да</t>
        </is>
      </c>
      <c r="T1019">
        <f>IF(AND($P1019&gt;0,$R1019="да"),MAX($T$1:$T1018)+1,"")</f>
        <v/>
      </c>
    </row>
    <row r="1020">
      <c r="A1020" s="11">
        <f>IFERROR(INDEX(спр_Работы!$D$2:$D$6000,MATCH($C1020,спр_Работы!$A$2:$A$6000,0)),"")</f>
        <v/>
      </c>
      <c r="B1020">
        <f>IFERROR(INDEX(спр_Работы!$F$2:$F$6000,MATCH($C1020,спр_Работы!$A$2:$A$6000,0)),"")</f>
        <v/>
      </c>
      <c r="C1020">
        <f>IFERROR(INDEX(спр_Работы!$A$2:$A$6000,1019),"")</f>
        <v/>
      </c>
      <c r="D1020" s="8">
        <f>IFERROR(INDEX(спр_Работы!$B$2:$B$6000,MATCH($C1020,спр_Работы!$A$2:$A$6000,0)),"")</f>
        <v/>
      </c>
      <c r="E1020">
        <f>IFERROR(INDEX(спр_Работы!$C$2:$C$6000,MATCH($C1020,спр_Работы!$A$2:$A$6000,0)),"")</f>
        <v/>
      </c>
      <c r="F1020">
        <f>IFERROR(INDEX(спр_Работы!$G$2:$G$6000,MATCH($C1020,спр_Работы!$A$2:$A$6000,0)),"")</f>
        <v/>
      </c>
      <c r="G1020">
        <f>IFERROR(INDEX(спр_Работы!$K$2:$K$6000,MATCH($C1020,спр_Работы!$A$2:$A$6000,0)),"")</f>
        <v/>
      </c>
      <c r="H1020" s="9" t="n"/>
      <c r="I1020" s="9" t="n"/>
      <c r="J1020" s="8">
        <f>IFERROR(INDEX(спр_Материалы!$B$2:$B$9000,MATCH($I1020,спр_Материалы!$A$2:$A$9000,0)),"")</f>
        <v/>
      </c>
      <c r="K1020">
        <f>IF($I1020="","",IF($F1020=IFERROR(INDEX(спр_Материалы!$G$2:$G$9000,MATCH($I1020,спр_Материалы!$A$2:$A$9000,0)),""),"OK","!! не та группа"))</f>
        <v/>
      </c>
      <c r="L1020" s="10">
        <f>IFERROR(INDEX(спр_Работы!$H$2:$H$6000,MATCH($C1020,спр_Работы!$A$2:$A$6000,0))*(1-ДисконтТендер),0)</f>
        <v/>
      </c>
      <c r="M1020" s="10">
        <f>IF($I1020="",0,IFERROR(INDEX(спр_Материалы!$I$2:$I$9000,MATCH($I1020,спр_Материалы!$A$2:$A$9000,0))*IF(INDEX(спр_Материалы!$J$2:$J$9000,MATCH($I1020,спр_Материалы!$A$2:$A$9000,0))="USD",КурсUSD,IF(INDEX(спр_Материалы!$J$2:$J$9000,MATCH($I1020,спр_Материалы!$A$2:$A$9000,0))="EUR",КурсEUR,1))*INDEX(спр_Материалы!$K$2:$K$9000,MATCH($I1020,спр_Материалы!$A$2:$A$9000,0))*(1+IFERROR(INDEX(спр_Работы!$I$2:$I$6000,MATCH($C1020,спр_Работы!$A$2:$A$6000,0))/100,0))*(1-ДисконтТендер),0))</f>
        <v/>
      </c>
      <c r="N1020" s="10">
        <f>IF(AND($R1020="да",$H1020&lt;&gt;""),ROUND($H1020*$L1020,2),0)</f>
        <v/>
      </c>
      <c r="O1020" s="10">
        <f>IF(AND($R1020="да",$H1020&lt;&gt;""),ROUND($H1020*$M1020,2),0)</f>
        <v/>
      </c>
      <c r="P1020" s="10">
        <f>$N1020+$O1020</f>
        <v/>
      </c>
      <c r="Q1020">
        <f>IFERROR(INDEX(спр_Работы!$J$2:$J$6000,MATCH($C1020,спр_Работы!$A$2:$A$6000,0)),"")</f>
        <v/>
      </c>
      <c r="R1020" t="inlineStr">
        <is>
          <t>да</t>
        </is>
      </c>
      <c r="T1020">
        <f>IF(AND($P1020&gt;0,$R1020="да"),MAX($T$1:$T1019)+1,"")</f>
        <v/>
      </c>
    </row>
    <row r="1021">
      <c r="A1021" s="11">
        <f>IFERROR(INDEX(спр_Работы!$D$2:$D$6000,MATCH($C1021,спр_Работы!$A$2:$A$6000,0)),"")</f>
        <v/>
      </c>
      <c r="B1021">
        <f>IFERROR(INDEX(спр_Работы!$F$2:$F$6000,MATCH($C1021,спр_Работы!$A$2:$A$6000,0)),"")</f>
        <v/>
      </c>
      <c r="C1021">
        <f>IFERROR(INDEX(спр_Работы!$A$2:$A$6000,1020),"")</f>
        <v/>
      </c>
      <c r="D1021" s="8">
        <f>IFERROR(INDEX(спр_Работы!$B$2:$B$6000,MATCH($C1021,спр_Работы!$A$2:$A$6000,0)),"")</f>
        <v/>
      </c>
      <c r="E1021">
        <f>IFERROR(INDEX(спр_Работы!$C$2:$C$6000,MATCH($C1021,спр_Работы!$A$2:$A$6000,0)),"")</f>
        <v/>
      </c>
      <c r="F1021">
        <f>IFERROR(INDEX(спр_Работы!$G$2:$G$6000,MATCH($C1021,спр_Работы!$A$2:$A$6000,0)),"")</f>
        <v/>
      </c>
      <c r="G1021">
        <f>IFERROR(INDEX(спр_Работы!$K$2:$K$6000,MATCH($C1021,спр_Работы!$A$2:$A$6000,0)),"")</f>
        <v/>
      </c>
      <c r="H1021" s="9" t="n"/>
      <c r="I1021" s="9" t="n"/>
      <c r="J1021" s="8">
        <f>IFERROR(INDEX(спр_Материалы!$B$2:$B$9000,MATCH($I1021,спр_Материалы!$A$2:$A$9000,0)),"")</f>
        <v/>
      </c>
      <c r="K1021">
        <f>IF($I1021="","",IF($F1021=IFERROR(INDEX(спр_Материалы!$G$2:$G$9000,MATCH($I1021,спр_Материалы!$A$2:$A$9000,0)),""),"OK","!! не та группа"))</f>
        <v/>
      </c>
      <c r="L1021" s="10">
        <f>IFERROR(INDEX(спр_Работы!$H$2:$H$6000,MATCH($C1021,спр_Работы!$A$2:$A$6000,0))*(1-ДисконтТендер),0)</f>
        <v/>
      </c>
      <c r="M1021" s="10">
        <f>IF($I1021="",0,IFERROR(INDEX(спр_Материалы!$I$2:$I$9000,MATCH($I1021,спр_Материалы!$A$2:$A$9000,0))*IF(INDEX(спр_Материалы!$J$2:$J$9000,MATCH($I1021,спр_Материалы!$A$2:$A$9000,0))="USD",КурсUSD,IF(INDEX(спр_Материалы!$J$2:$J$9000,MATCH($I1021,спр_Материалы!$A$2:$A$9000,0))="EUR",КурсEUR,1))*INDEX(спр_Материалы!$K$2:$K$9000,MATCH($I1021,спр_Материалы!$A$2:$A$9000,0))*(1+IFERROR(INDEX(спр_Работы!$I$2:$I$6000,MATCH($C1021,спр_Работы!$A$2:$A$6000,0))/100,0))*(1-ДисконтТендер),0))</f>
        <v/>
      </c>
      <c r="N1021" s="10">
        <f>IF(AND($R1021="да",$H1021&lt;&gt;""),ROUND($H1021*$L1021,2),0)</f>
        <v/>
      </c>
      <c r="O1021" s="10">
        <f>IF(AND($R1021="да",$H1021&lt;&gt;""),ROUND($H1021*$M1021,2),0)</f>
        <v/>
      </c>
      <c r="P1021" s="10">
        <f>$N1021+$O1021</f>
        <v/>
      </c>
      <c r="Q1021">
        <f>IFERROR(INDEX(спр_Работы!$J$2:$J$6000,MATCH($C1021,спр_Работы!$A$2:$A$6000,0)),"")</f>
        <v/>
      </c>
      <c r="R1021" t="inlineStr">
        <is>
          <t>да</t>
        </is>
      </c>
      <c r="T1021">
        <f>IF(AND($P1021&gt;0,$R1021="да"),MAX($T$1:$T1020)+1,"")</f>
        <v/>
      </c>
    </row>
    <row r="1022">
      <c r="A1022" s="11">
        <f>IFERROR(INDEX(спр_Работы!$D$2:$D$6000,MATCH($C1022,спр_Работы!$A$2:$A$6000,0)),"")</f>
        <v/>
      </c>
      <c r="B1022">
        <f>IFERROR(INDEX(спр_Работы!$F$2:$F$6000,MATCH($C1022,спр_Работы!$A$2:$A$6000,0)),"")</f>
        <v/>
      </c>
      <c r="C1022">
        <f>IFERROR(INDEX(спр_Работы!$A$2:$A$6000,1021),"")</f>
        <v/>
      </c>
      <c r="D1022" s="8">
        <f>IFERROR(INDEX(спр_Работы!$B$2:$B$6000,MATCH($C1022,спр_Работы!$A$2:$A$6000,0)),"")</f>
        <v/>
      </c>
      <c r="E1022">
        <f>IFERROR(INDEX(спр_Работы!$C$2:$C$6000,MATCH($C1022,спр_Работы!$A$2:$A$6000,0)),"")</f>
        <v/>
      </c>
      <c r="F1022">
        <f>IFERROR(INDEX(спр_Работы!$G$2:$G$6000,MATCH($C1022,спр_Работы!$A$2:$A$6000,0)),"")</f>
        <v/>
      </c>
      <c r="G1022">
        <f>IFERROR(INDEX(спр_Работы!$K$2:$K$6000,MATCH($C1022,спр_Работы!$A$2:$A$6000,0)),"")</f>
        <v/>
      </c>
      <c r="H1022" s="9" t="n"/>
      <c r="I1022" s="9" t="n"/>
      <c r="J1022" s="8">
        <f>IFERROR(INDEX(спр_Материалы!$B$2:$B$9000,MATCH($I1022,спр_Материалы!$A$2:$A$9000,0)),"")</f>
        <v/>
      </c>
      <c r="K1022">
        <f>IF($I1022="","",IF($F1022=IFERROR(INDEX(спр_Материалы!$G$2:$G$9000,MATCH($I1022,спр_Материалы!$A$2:$A$9000,0)),""),"OK","!! не та группа"))</f>
        <v/>
      </c>
      <c r="L1022" s="10">
        <f>IFERROR(INDEX(спр_Работы!$H$2:$H$6000,MATCH($C1022,спр_Работы!$A$2:$A$6000,0))*(1-ДисконтТендер),0)</f>
        <v/>
      </c>
      <c r="M1022" s="10">
        <f>IF($I1022="",0,IFERROR(INDEX(спр_Материалы!$I$2:$I$9000,MATCH($I1022,спр_Материалы!$A$2:$A$9000,0))*IF(INDEX(спр_Материалы!$J$2:$J$9000,MATCH($I1022,спр_Материалы!$A$2:$A$9000,0))="USD",КурсUSD,IF(INDEX(спр_Материалы!$J$2:$J$9000,MATCH($I1022,спр_Материалы!$A$2:$A$9000,0))="EUR",КурсEUR,1))*INDEX(спр_Материалы!$K$2:$K$9000,MATCH($I1022,спр_Материалы!$A$2:$A$9000,0))*(1+IFERROR(INDEX(спр_Работы!$I$2:$I$6000,MATCH($C1022,спр_Работы!$A$2:$A$6000,0))/100,0))*(1-ДисконтТендер),0))</f>
        <v/>
      </c>
      <c r="N1022" s="10">
        <f>IF(AND($R1022="да",$H1022&lt;&gt;""),ROUND($H1022*$L1022,2),0)</f>
        <v/>
      </c>
      <c r="O1022" s="10">
        <f>IF(AND($R1022="да",$H1022&lt;&gt;""),ROUND($H1022*$M1022,2),0)</f>
        <v/>
      </c>
      <c r="P1022" s="10">
        <f>$N1022+$O1022</f>
        <v/>
      </c>
      <c r="Q1022">
        <f>IFERROR(INDEX(спр_Работы!$J$2:$J$6000,MATCH($C1022,спр_Работы!$A$2:$A$6000,0)),"")</f>
        <v/>
      </c>
      <c r="R1022" t="inlineStr">
        <is>
          <t>да</t>
        </is>
      </c>
      <c r="T1022">
        <f>IF(AND($P1022&gt;0,$R1022="да"),MAX($T$1:$T1021)+1,"")</f>
        <v/>
      </c>
    </row>
    <row r="1023">
      <c r="A1023" s="11">
        <f>IFERROR(INDEX(спр_Работы!$D$2:$D$6000,MATCH($C1023,спр_Работы!$A$2:$A$6000,0)),"")</f>
        <v/>
      </c>
      <c r="B1023">
        <f>IFERROR(INDEX(спр_Работы!$F$2:$F$6000,MATCH($C1023,спр_Работы!$A$2:$A$6000,0)),"")</f>
        <v/>
      </c>
      <c r="C1023">
        <f>IFERROR(INDEX(спр_Работы!$A$2:$A$6000,1022),"")</f>
        <v/>
      </c>
      <c r="D1023" s="8">
        <f>IFERROR(INDEX(спр_Работы!$B$2:$B$6000,MATCH($C1023,спр_Работы!$A$2:$A$6000,0)),"")</f>
        <v/>
      </c>
      <c r="E1023">
        <f>IFERROR(INDEX(спр_Работы!$C$2:$C$6000,MATCH($C1023,спр_Работы!$A$2:$A$6000,0)),"")</f>
        <v/>
      </c>
      <c r="F1023">
        <f>IFERROR(INDEX(спр_Работы!$G$2:$G$6000,MATCH($C1023,спр_Работы!$A$2:$A$6000,0)),"")</f>
        <v/>
      </c>
      <c r="G1023">
        <f>IFERROR(INDEX(спр_Работы!$K$2:$K$6000,MATCH($C1023,спр_Работы!$A$2:$A$6000,0)),"")</f>
        <v/>
      </c>
      <c r="H1023" s="9" t="n"/>
      <c r="I1023" s="9" t="n"/>
      <c r="J1023" s="8">
        <f>IFERROR(INDEX(спр_Материалы!$B$2:$B$9000,MATCH($I1023,спр_Материалы!$A$2:$A$9000,0)),"")</f>
        <v/>
      </c>
      <c r="K1023">
        <f>IF($I1023="","",IF($F1023=IFERROR(INDEX(спр_Материалы!$G$2:$G$9000,MATCH($I1023,спр_Материалы!$A$2:$A$9000,0)),""),"OK","!! не та группа"))</f>
        <v/>
      </c>
      <c r="L1023" s="10">
        <f>IFERROR(INDEX(спр_Работы!$H$2:$H$6000,MATCH($C1023,спр_Работы!$A$2:$A$6000,0))*(1-ДисконтТендер),0)</f>
        <v/>
      </c>
      <c r="M1023" s="10">
        <f>IF($I1023="",0,IFERROR(INDEX(спр_Материалы!$I$2:$I$9000,MATCH($I1023,спр_Материалы!$A$2:$A$9000,0))*IF(INDEX(спр_Материалы!$J$2:$J$9000,MATCH($I1023,спр_Материалы!$A$2:$A$9000,0))="USD",КурсUSD,IF(INDEX(спр_Материалы!$J$2:$J$9000,MATCH($I1023,спр_Материалы!$A$2:$A$9000,0))="EUR",КурсEUR,1))*INDEX(спр_Материалы!$K$2:$K$9000,MATCH($I1023,спр_Материалы!$A$2:$A$9000,0))*(1+IFERROR(INDEX(спр_Работы!$I$2:$I$6000,MATCH($C1023,спр_Работы!$A$2:$A$6000,0))/100,0))*(1-ДисконтТендер),0))</f>
        <v/>
      </c>
      <c r="N1023" s="10">
        <f>IF(AND($R1023="да",$H1023&lt;&gt;""),ROUND($H1023*$L1023,2),0)</f>
        <v/>
      </c>
      <c r="O1023" s="10">
        <f>IF(AND($R1023="да",$H1023&lt;&gt;""),ROUND($H1023*$M1023,2),0)</f>
        <v/>
      </c>
      <c r="P1023" s="10">
        <f>$N1023+$O1023</f>
        <v/>
      </c>
      <c r="Q1023">
        <f>IFERROR(INDEX(спр_Работы!$J$2:$J$6000,MATCH($C1023,спр_Работы!$A$2:$A$6000,0)),"")</f>
        <v/>
      </c>
      <c r="R1023" t="inlineStr">
        <is>
          <t>да</t>
        </is>
      </c>
      <c r="T1023">
        <f>IF(AND($P1023&gt;0,$R1023="да"),MAX($T$1:$T1022)+1,"")</f>
        <v/>
      </c>
    </row>
    <row r="1024">
      <c r="A1024" s="11">
        <f>IFERROR(INDEX(спр_Работы!$D$2:$D$6000,MATCH($C1024,спр_Работы!$A$2:$A$6000,0)),"")</f>
        <v/>
      </c>
      <c r="B1024">
        <f>IFERROR(INDEX(спр_Работы!$F$2:$F$6000,MATCH($C1024,спр_Работы!$A$2:$A$6000,0)),"")</f>
        <v/>
      </c>
      <c r="C1024">
        <f>IFERROR(INDEX(спр_Работы!$A$2:$A$6000,1023),"")</f>
        <v/>
      </c>
      <c r="D1024" s="8">
        <f>IFERROR(INDEX(спр_Работы!$B$2:$B$6000,MATCH($C1024,спр_Работы!$A$2:$A$6000,0)),"")</f>
        <v/>
      </c>
      <c r="E1024">
        <f>IFERROR(INDEX(спр_Работы!$C$2:$C$6000,MATCH($C1024,спр_Работы!$A$2:$A$6000,0)),"")</f>
        <v/>
      </c>
      <c r="F1024">
        <f>IFERROR(INDEX(спр_Работы!$G$2:$G$6000,MATCH($C1024,спр_Работы!$A$2:$A$6000,0)),"")</f>
        <v/>
      </c>
      <c r="G1024">
        <f>IFERROR(INDEX(спр_Работы!$K$2:$K$6000,MATCH($C1024,спр_Работы!$A$2:$A$6000,0)),"")</f>
        <v/>
      </c>
      <c r="H1024" s="9" t="n"/>
      <c r="I1024" s="9" t="n"/>
      <c r="J1024" s="8">
        <f>IFERROR(INDEX(спр_Материалы!$B$2:$B$9000,MATCH($I1024,спр_Материалы!$A$2:$A$9000,0)),"")</f>
        <v/>
      </c>
      <c r="K1024">
        <f>IF($I1024="","",IF($F1024=IFERROR(INDEX(спр_Материалы!$G$2:$G$9000,MATCH($I1024,спр_Материалы!$A$2:$A$9000,0)),""),"OK","!! не та группа"))</f>
        <v/>
      </c>
      <c r="L1024" s="10">
        <f>IFERROR(INDEX(спр_Работы!$H$2:$H$6000,MATCH($C1024,спр_Работы!$A$2:$A$6000,0))*(1-ДисконтТендер),0)</f>
        <v/>
      </c>
      <c r="M1024" s="10">
        <f>IF($I1024="",0,IFERROR(INDEX(спр_Материалы!$I$2:$I$9000,MATCH($I1024,спр_Материалы!$A$2:$A$9000,0))*IF(INDEX(спр_Материалы!$J$2:$J$9000,MATCH($I1024,спр_Материалы!$A$2:$A$9000,0))="USD",КурсUSD,IF(INDEX(спр_Материалы!$J$2:$J$9000,MATCH($I1024,спр_Материалы!$A$2:$A$9000,0))="EUR",КурсEUR,1))*INDEX(спр_Материалы!$K$2:$K$9000,MATCH($I1024,спр_Материалы!$A$2:$A$9000,0))*(1+IFERROR(INDEX(спр_Работы!$I$2:$I$6000,MATCH($C1024,спр_Работы!$A$2:$A$6000,0))/100,0))*(1-ДисконтТендер),0))</f>
        <v/>
      </c>
      <c r="N1024" s="10">
        <f>IF(AND($R1024="да",$H1024&lt;&gt;""),ROUND($H1024*$L1024,2),0)</f>
        <v/>
      </c>
      <c r="O1024" s="10">
        <f>IF(AND($R1024="да",$H1024&lt;&gt;""),ROUND($H1024*$M1024,2),0)</f>
        <v/>
      </c>
      <c r="P1024" s="10">
        <f>$N1024+$O1024</f>
        <v/>
      </c>
      <c r="Q1024">
        <f>IFERROR(INDEX(спр_Работы!$J$2:$J$6000,MATCH($C1024,спр_Работы!$A$2:$A$6000,0)),"")</f>
        <v/>
      </c>
      <c r="R1024" t="inlineStr">
        <is>
          <t>да</t>
        </is>
      </c>
      <c r="T1024">
        <f>IF(AND($P1024&gt;0,$R1024="да"),MAX($T$1:$T1023)+1,"")</f>
        <v/>
      </c>
    </row>
    <row r="1025">
      <c r="A1025" s="11">
        <f>IFERROR(INDEX(спр_Работы!$D$2:$D$6000,MATCH($C1025,спр_Работы!$A$2:$A$6000,0)),"")</f>
        <v/>
      </c>
      <c r="B1025">
        <f>IFERROR(INDEX(спр_Работы!$F$2:$F$6000,MATCH($C1025,спр_Работы!$A$2:$A$6000,0)),"")</f>
        <v/>
      </c>
      <c r="C1025">
        <f>IFERROR(INDEX(спр_Работы!$A$2:$A$6000,1024),"")</f>
        <v/>
      </c>
      <c r="D1025" s="8">
        <f>IFERROR(INDEX(спр_Работы!$B$2:$B$6000,MATCH($C1025,спр_Работы!$A$2:$A$6000,0)),"")</f>
        <v/>
      </c>
      <c r="E1025">
        <f>IFERROR(INDEX(спр_Работы!$C$2:$C$6000,MATCH($C1025,спр_Работы!$A$2:$A$6000,0)),"")</f>
        <v/>
      </c>
      <c r="F1025">
        <f>IFERROR(INDEX(спр_Работы!$G$2:$G$6000,MATCH($C1025,спр_Работы!$A$2:$A$6000,0)),"")</f>
        <v/>
      </c>
      <c r="G1025">
        <f>IFERROR(INDEX(спр_Работы!$K$2:$K$6000,MATCH($C1025,спр_Работы!$A$2:$A$6000,0)),"")</f>
        <v/>
      </c>
      <c r="H1025" s="9" t="n"/>
      <c r="I1025" s="9" t="n"/>
      <c r="J1025" s="8">
        <f>IFERROR(INDEX(спр_Материалы!$B$2:$B$9000,MATCH($I1025,спр_Материалы!$A$2:$A$9000,0)),"")</f>
        <v/>
      </c>
      <c r="K1025">
        <f>IF($I1025="","",IF($F1025=IFERROR(INDEX(спр_Материалы!$G$2:$G$9000,MATCH($I1025,спр_Материалы!$A$2:$A$9000,0)),""),"OK","!! не та группа"))</f>
        <v/>
      </c>
      <c r="L1025" s="10">
        <f>IFERROR(INDEX(спр_Работы!$H$2:$H$6000,MATCH($C1025,спр_Работы!$A$2:$A$6000,0))*(1-ДисконтТендер),0)</f>
        <v/>
      </c>
      <c r="M1025" s="10">
        <f>IF($I1025="",0,IFERROR(INDEX(спр_Материалы!$I$2:$I$9000,MATCH($I1025,спр_Материалы!$A$2:$A$9000,0))*IF(INDEX(спр_Материалы!$J$2:$J$9000,MATCH($I1025,спр_Материалы!$A$2:$A$9000,0))="USD",КурсUSD,IF(INDEX(спр_Материалы!$J$2:$J$9000,MATCH($I1025,спр_Материалы!$A$2:$A$9000,0))="EUR",КурсEUR,1))*INDEX(спр_Материалы!$K$2:$K$9000,MATCH($I1025,спр_Материалы!$A$2:$A$9000,0))*(1+IFERROR(INDEX(спр_Работы!$I$2:$I$6000,MATCH($C1025,спр_Работы!$A$2:$A$6000,0))/100,0))*(1-ДисконтТендер),0))</f>
        <v/>
      </c>
      <c r="N1025" s="10">
        <f>IF(AND($R1025="да",$H1025&lt;&gt;""),ROUND($H1025*$L1025,2),0)</f>
        <v/>
      </c>
      <c r="O1025" s="10">
        <f>IF(AND($R1025="да",$H1025&lt;&gt;""),ROUND($H1025*$M1025,2),0)</f>
        <v/>
      </c>
      <c r="P1025" s="10">
        <f>$N1025+$O1025</f>
        <v/>
      </c>
      <c r="Q1025">
        <f>IFERROR(INDEX(спр_Работы!$J$2:$J$6000,MATCH($C1025,спр_Работы!$A$2:$A$6000,0)),"")</f>
        <v/>
      </c>
      <c r="R1025" t="inlineStr">
        <is>
          <t>да</t>
        </is>
      </c>
      <c r="T1025">
        <f>IF(AND($P1025&gt;0,$R1025="да"),MAX($T$1:$T1024)+1,"")</f>
        <v/>
      </c>
    </row>
    <row r="1026">
      <c r="A1026" s="11">
        <f>IFERROR(INDEX(спр_Работы!$D$2:$D$6000,MATCH($C1026,спр_Работы!$A$2:$A$6000,0)),"")</f>
        <v/>
      </c>
      <c r="B1026">
        <f>IFERROR(INDEX(спр_Работы!$F$2:$F$6000,MATCH($C1026,спр_Работы!$A$2:$A$6000,0)),"")</f>
        <v/>
      </c>
      <c r="C1026">
        <f>IFERROR(INDEX(спр_Работы!$A$2:$A$6000,1025),"")</f>
        <v/>
      </c>
      <c r="D1026" s="8">
        <f>IFERROR(INDEX(спр_Работы!$B$2:$B$6000,MATCH($C1026,спр_Работы!$A$2:$A$6000,0)),"")</f>
        <v/>
      </c>
      <c r="E1026">
        <f>IFERROR(INDEX(спр_Работы!$C$2:$C$6000,MATCH($C1026,спр_Работы!$A$2:$A$6000,0)),"")</f>
        <v/>
      </c>
      <c r="F1026">
        <f>IFERROR(INDEX(спр_Работы!$G$2:$G$6000,MATCH($C1026,спр_Работы!$A$2:$A$6000,0)),"")</f>
        <v/>
      </c>
      <c r="G1026">
        <f>IFERROR(INDEX(спр_Работы!$K$2:$K$6000,MATCH($C1026,спр_Работы!$A$2:$A$6000,0)),"")</f>
        <v/>
      </c>
      <c r="H1026" s="9" t="n"/>
      <c r="I1026" s="9" t="n"/>
      <c r="J1026" s="8">
        <f>IFERROR(INDEX(спр_Материалы!$B$2:$B$9000,MATCH($I1026,спр_Материалы!$A$2:$A$9000,0)),"")</f>
        <v/>
      </c>
      <c r="K1026">
        <f>IF($I1026="","",IF($F1026=IFERROR(INDEX(спр_Материалы!$G$2:$G$9000,MATCH($I1026,спр_Материалы!$A$2:$A$9000,0)),""),"OK","!! не та группа"))</f>
        <v/>
      </c>
      <c r="L1026" s="10">
        <f>IFERROR(INDEX(спр_Работы!$H$2:$H$6000,MATCH($C1026,спр_Работы!$A$2:$A$6000,0))*(1-ДисконтТендер),0)</f>
        <v/>
      </c>
      <c r="M1026" s="10">
        <f>IF($I1026="",0,IFERROR(INDEX(спр_Материалы!$I$2:$I$9000,MATCH($I1026,спр_Материалы!$A$2:$A$9000,0))*IF(INDEX(спр_Материалы!$J$2:$J$9000,MATCH($I1026,спр_Материалы!$A$2:$A$9000,0))="USD",КурсUSD,IF(INDEX(спр_Материалы!$J$2:$J$9000,MATCH($I1026,спр_Материалы!$A$2:$A$9000,0))="EUR",КурсEUR,1))*INDEX(спр_Материалы!$K$2:$K$9000,MATCH($I1026,спр_Материалы!$A$2:$A$9000,0))*(1+IFERROR(INDEX(спр_Работы!$I$2:$I$6000,MATCH($C1026,спр_Работы!$A$2:$A$6000,0))/100,0))*(1-ДисконтТендер),0))</f>
        <v/>
      </c>
      <c r="N1026" s="10">
        <f>IF(AND($R1026="да",$H1026&lt;&gt;""),ROUND($H1026*$L1026,2),0)</f>
        <v/>
      </c>
      <c r="O1026" s="10">
        <f>IF(AND($R1026="да",$H1026&lt;&gt;""),ROUND($H1026*$M1026,2),0)</f>
        <v/>
      </c>
      <c r="P1026" s="10">
        <f>$N1026+$O1026</f>
        <v/>
      </c>
      <c r="Q1026">
        <f>IFERROR(INDEX(спр_Работы!$J$2:$J$6000,MATCH($C1026,спр_Работы!$A$2:$A$6000,0)),"")</f>
        <v/>
      </c>
      <c r="R1026" t="inlineStr">
        <is>
          <t>да</t>
        </is>
      </c>
      <c r="T1026">
        <f>IF(AND($P1026&gt;0,$R1026="да"),MAX($T$1:$T1025)+1,"")</f>
        <v/>
      </c>
    </row>
    <row r="1027">
      <c r="A1027" s="11">
        <f>IFERROR(INDEX(спр_Работы!$D$2:$D$6000,MATCH($C1027,спр_Работы!$A$2:$A$6000,0)),"")</f>
        <v/>
      </c>
      <c r="B1027">
        <f>IFERROR(INDEX(спр_Работы!$F$2:$F$6000,MATCH($C1027,спр_Работы!$A$2:$A$6000,0)),"")</f>
        <v/>
      </c>
      <c r="C1027">
        <f>IFERROR(INDEX(спр_Работы!$A$2:$A$6000,1026),"")</f>
        <v/>
      </c>
      <c r="D1027" s="8">
        <f>IFERROR(INDEX(спр_Работы!$B$2:$B$6000,MATCH($C1027,спр_Работы!$A$2:$A$6000,0)),"")</f>
        <v/>
      </c>
      <c r="E1027">
        <f>IFERROR(INDEX(спр_Работы!$C$2:$C$6000,MATCH($C1027,спр_Работы!$A$2:$A$6000,0)),"")</f>
        <v/>
      </c>
      <c r="F1027">
        <f>IFERROR(INDEX(спр_Работы!$G$2:$G$6000,MATCH($C1027,спр_Работы!$A$2:$A$6000,0)),"")</f>
        <v/>
      </c>
      <c r="G1027">
        <f>IFERROR(INDEX(спр_Работы!$K$2:$K$6000,MATCH($C1027,спр_Работы!$A$2:$A$6000,0)),"")</f>
        <v/>
      </c>
      <c r="H1027" s="9" t="n"/>
      <c r="I1027" s="9" t="n"/>
      <c r="J1027" s="8">
        <f>IFERROR(INDEX(спр_Материалы!$B$2:$B$9000,MATCH($I1027,спр_Материалы!$A$2:$A$9000,0)),"")</f>
        <v/>
      </c>
      <c r="K1027">
        <f>IF($I1027="","",IF($F1027=IFERROR(INDEX(спр_Материалы!$G$2:$G$9000,MATCH($I1027,спр_Материалы!$A$2:$A$9000,0)),""),"OK","!! не та группа"))</f>
        <v/>
      </c>
      <c r="L1027" s="10">
        <f>IFERROR(INDEX(спр_Работы!$H$2:$H$6000,MATCH($C1027,спр_Работы!$A$2:$A$6000,0))*(1-ДисконтТендер),0)</f>
        <v/>
      </c>
      <c r="M1027" s="10">
        <f>IF($I1027="",0,IFERROR(INDEX(спр_Материалы!$I$2:$I$9000,MATCH($I1027,спр_Материалы!$A$2:$A$9000,0))*IF(INDEX(спр_Материалы!$J$2:$J$9000,MATCH($I1027,спр_Материалы!$A$2:$A$9000,0))="USD",КурсUSD,IF(INDEX(спр_Материалы!$J$2:$J$9000,MATCH($I1027,спр_Материалы!$A$2:$A$9000,0))="EUR",КурсEUR,1))*INDEX(спр_Материалы!$K$2:$K$9000,MATCH($I1027,спр_Материалы!$A$2:$A$9000,0))*(1+IFERROR(INDEX(спр_Работы!$I$2:$I$6000,MATCH($C1027,спр_Работы!$A$2:$A$6000,0))/100,0))*(1-ДисконтТендер),0))</f>
        <v/>
      </c>
      <c r="N1027" s="10">
        <f>IF(AND($R1027="да",$H1027&lt;&gt;""),ROUND($H1027*$L1027,2),0)</f>
        <v/>
      </c>
      <c r="O1027" s="10">
        <f>IF(AND($R1027="да",$H1027&lt;&gt;""),ROUND($H1027*$M1027,2),0)</f>
        <v/>
      </c>
      <c r="P1027" s="10">
        <f>$N1027+$O1027</f>
        <v/>
      </c>
      <c r="Q1027">
        <f>IFERROR(INDEX(спр_Работы!$J$2:$J$6000,MATCH($C1027,спр_Работы!$A$2:$A$6000,0)),"")</f>
        <v/>
      </c>
      <c r="R1027" t="inlineStr">
        <is>
          <t>да</t>
        </is>
      </c>
      <c r="T1027">
        <f>IF(AND($P1027&gt;0,$R1027="да"),MAX($T$1:$T1026)+1,"")</f>
        <v/>
      </c>
    </row>
    <row r="1028">
      <c r="A1028" s="11">
        <f>IFERROR(INDEX(спр_Работы!$D$2:$D$6000,MATCH($C1028,спр_Работы!$A$2:$A$6000,0)),"")</f>
        <v/>
      </c>
      <c r="B1028">
        <f>IFERROR(INDEX(спр_Работы!$F$2:$F$6000,MATCH($C1028,спр_Работы!$A$2:$A$6000,0)),"")</f>
        <v/>
      </c>
      <c r="C1028">
        <f>IFERROR(INDEX(спр_Работы!$A$2:$A$6000,1027),"")</f>
        <v/>
      </c>
      <c r="D1028" s="8">
        <f>IFERROR(INDEX(спр_Работы!$B$2:$B$6000,MATCH($C1028,спр_Работы!$A$2:$A$6000,0)),"")</f>
        <v/>
      </c>
      <c r="E1028">
        <f>IFERROR(INDEX(спр_Работы!$C$2:$C$6000,MATCH($C1028,спр_Работы!$A$2:$A$6000,0)),"")</f>
        <v/>
      </c>
      <c r="F1028">
        <f>IFERROR(INDEX(спр_Работы!$G$2:$G$6000,MATCH($C1028,спр_Работы!$A$2:$A$6000,0)),"")</f>
        <v/>
      </c>
      <c r="G1028">
        <f>IFERROR(INDEX(спр_Работы!$K$2:$K$6000,MATCH($C1028,спр_Работы!$A$2:$A$6000,0)),"")</f>
        <v/>
      </c>
      <c r="H1028" s="9" t="n"/>
      <c r="I1028" s="9" t="n"/>
      <c r="J1028" s="8">
        <f>IFERROR(INDEX(спр_Материалы!$B$2:$B$9000,MATCH($I1028,спр_Материалы!$A$2:$A$9000,0)),"")</f>
        <v/>
      </c>
      <c r="K1028">
        <f>IF($I1028="","",IF($F1028=IFERROR(INDEX(спр_Материалы!$G$2:$G$9000,MATCH($I1028,спр_Материалы!$A$2:$A$9000,0)),""),"OK","!! не та группа"))</f>
        <v/>
      </c>
      <c r="L1028" s="10">
        <f>IFERROR(INDEX(спр_Работы!$H$2:$H$6000,MATCH($C1028,спр_Работы!$A$2:$A$6000,0))*(1-ДисконтТендер),0)</f>
        <v/>
      </c>
      <c r="M1028" s="10">
        <f>IF($I1028="",0,IFERROR(INDEX(спр_Материалы!$I$2:$I$9000,MATCH($I1028,спр_Материалы!$A$2:$A$9000,0))*IF(INDEX(спр_Материалы!$J$2:$J$9000,MATCH($I1028,спр_Материалы!$A$2:$A$9000,0))="USD",КурсUSD,IF(INDEX(спр_Материалы!$J$2:$J$9000,MATCH($I1028,спр_Материалы!$A$2:$A$9000,0))="EUR",КурсEUR,1))*INDEX(спр_Материалы!$K$2:$K$9000,MATCH($I1028,спр_Материалы!$A$2:$A$9000,0))*(1+IFERROR(INDEX(спр_Работы!$I$2:$I$6000,MATCH($C1028,спр_Работы!$A$2:$A$6000,0))/100,0))*(1-ДисконтТендер),0))</f>
        <v/>
      </c>
      <c r="N1028" s="10">
        <f>IF(AND($R1028="да",$H1028&lt;&gt;""),ROUND($H1028*$L1028,2),0)</f>
        <v/>
      </c>
      <c r="O1028" s="10">
        <f>IF(AND($R1028="да",$H1028&lt;&gt;""),ROUND($H1028*$M1028,2),0)</f>
        <v/>
      </c>
      <c r="P1028" s="10">
        <f>$N1028+$O1028</f>
        <v/>
      </c>
      <c r="Q1028">
        <f>IFERROR(INDEX(спр_Работы!$J$2:$J$6000,MATCH($C1028,спр_Работы!$A$2:$A$6000,0)),"")</f>
        <v/>
      </c>
      <c r="R1028" t="inlineStr">
        <is>
          <t>да</t>
        </is>
      </c>
      <c r="T1028">
        <f>IF(AND($P1028&gt;0,$R1028="да"),MAX($T$1:$T1027)+1,"")</f>
        <v/>
      </c>
    </row>
    <row r="1029">
      <c r="A1029" s="11">
        <f>IFERROR(INDEX(спр_Работы!$D$2:$D$6000,MATCH($C1029,спр_Работы!$A$2:$A$6000,0)),"")</f>
        <v/>
      </c>
      <c r="B1029">
        <f>IFERROR(INDEX(спр_Работы!$F$2:$F$6000,MATCH($C1029,спр_Работы!$A$2:$A$6000,0)),"")</f>
        <v/>
      </c>
      <c r="C1029">
        <f>IFERROR(INDEX(спр_Работы!$A$2:$A$6000,1028),"")</f>
        <v/>
      </c>
      <c r="D1029" s="8">
        <f>IFERROR(INDEX(спр_Работы!$B$2:$B$6000,MATCH($C1029,спр_Работы!$A$2:$A$6000,0)),"")</f>
        <v/>
      </c>
      <c r="E1029">
        <f>IFERROR(INDEX(спр_Работы!$C$2:$C$6000,MATCH($C1029,спр_Работы!$A$2:$A$6000,0)),"")</f>
        <v/>
      </c>
      <c r="F1029">
        <f>IFERROR(INDEX(спр_Работы!$G$2:$G$6000,MATCH($C1029,спр_Работы!$A$2:$A$6000,0)),"")</f>
        <v/>
      </c>
      <c r="G1029">
        <f>IFERROR(INDEX(спр_Работы!$K$2:$K$6000,MATCH($C1029,спр_Работы!$A$2:$A$6000,0)),"")</f>
        <v/>
      </c>
      <c r="H1029" s="9" t="n"/>
      <c r="I1029" s="9" t="n"/>
      <c r="J1029" s="8">
        <f>IFERROR(INDEX(спр_Материалы!$B$2:$B$9000,MATCH($I1029,спр_Материалы!$A$2:$A$9000,0)),"")</f>
        <v/>
      </c>
      <c r="K1029">
        <f>IF($I1029="","",IF($F1029=IFERROR(INDEX(спр_Материалы!$G$2:$G$9000,MATCH($I1029,спр_Материалы!$A$2:$A$9000,0)),""),"OK","!! не та группа"))</f>
        <v/>
      </c>
      <c r="L1029" s="10">
        <f>IFERROR(INDEX(спр_Работы!$H$2:$H$6000,MATCH($C1029,спр_Работы!$A$2:$A$6000,0))*(1-ДисконтТендер),0)</f>
        <v/>
      </c>
      <c r="M1029" s="10">
        <f>IF($I1029="",0,IFERROR(INDEX(спр_Материалы!$I$2:$I$9000,MATCH($I1029,спр_Материалы!$A$2:$A$9000,0))*IF(INDEX(спр_Материалы!$J$2:$J$9000,MATCH($I1029,спр_Материалы!$A$2:$A$9000,0))="USD",КурсUSD,IF(INDEX(спр_Материалы!$J$2:$J$9000,MATCH($I1029,спр_Материалы!$A$2:$A$9000,0))="EUR",КурсEUR,1))*INDEX(спр_Материалы!$K$2:$K$9000,MATCH($I1029,спр_Материалы!$A$2:$A$9000,0))*(1+IFERROR(INDEX(спр_Работы!$I$2:$I$6000,MATCH($C1029,спр_Работы!$A$2:$A$6000,0))/100,0))*(1-ДисконтТендер),0))</f>
        <v/>
      </c>
      <c r="N1029" s="10">
        <f>IF(AND($R1029="да",$H1029&lt;&gt;""),ROUND($H1029*$L1029,2),0)</f>
        <v/>
      </c>
      <c r="O1029" s="10">
        <f>IF(AND($R1029="да",$H1029&lt;&gt;""),ROUND($H1029*$M1029,2),0)</f>
        <v/>
      </c>
      <c r="P1029" s="10">
        <f>$N1029+$O1029</f>
        <v/>
      </c>
      <c r="Q1029">
        <f>IFERROR(INDEX(спр_Работы!$J$2:$J$6000,MATCH($C1029,спр_Работы!$A$2:$A$6000,0)),"")</f>
        <v/>
      </c>
      <c r="R1029" t="inlineStr">
        <is>
          <t>да</t>
        </is>
      </c>
      <c r="T1029">
        <f>IF(AND($P1029&gt;0,$R1029="да"),MAX($T$1:$T1028)+1,"")</f>
        <v/>
      </c>
    </row>
    <row r="1030">
      <c r="A1030" s="11">
        <f>IFERROR(INDEX(спр_Работы!$D$2:$D$6000,MATCH($C1030,спр_Работы!$A$2:$A$6000,0)),"")</f>
        <v/>
      </c>
      <c r="B1030">
        <f>IFERROR(INDEX(спр_Работы!$F$2:$F$6000,MATCH($C1030,спр_Работы!$A$2:$A$6000,0)),"")</f>
        <v/>
      </c>
      <c r="C1030">
        <f>IFERROR(INDEX(спр_Работы!$A$2:$A$6000,1029),"")</f>
        <v/>
      </c>
      <c r="D1030" s="8">
        <f>IFERROR(INDEX(спр_Работы!$B$2:$B$6000,MATCH($C1030,спр_Работы!$A$2:$A$6000,0)),"")</f>
        <v/>
      </c>
      <c r="E1030">
        <f>IFERROR(INDEX(спр_Работы!$C$2:$C$6000,MATCH($C1030,спр_Работы!$A$2:$A$6000,0)),"")</f>
        <v/>
      </c>
      <c r="F1030">
        <f>IFERROR(INDEX(спр_Работы!$G$2:$G$6000,MATCH($C1030,спр_Работы!$A$2:$A$6000,0)),"")</f>
        <v/>
      </c>
      <c r="G1030">
        <f>IFERROR(INDEX(спр_Работы!$K$2:$K$6000,MATCH($C1030,спр_Работы!$A$2:$A$6000,0)),"")</f>
        <v/>
      </c>
      <c r="H1030" s="9" t="n"/>
      <c r="I1030" s="9" t="n"/>
      <c r="J1030" s="8">
        <f>IFERROR(INDEX(спр_Материалы!$B$2:$B$9000,MATCH($I1030,спр_Материалы!$A$2:$A$9000,0)),"")</f>
        <v/>
      </c>
      <c r="K1030">
        <f>IF($I1030="","",IF($F1030=IFERROR(INDEX(спр_Материалы!$G$2:$G$9000,MATCH($I1030,спр_Материалы!$A$2:$A$9000,0)),""),"OK","!! не та группа"))</f>
        <v/>
      </c>
      <c r="L1030" s="10">
        <f>IFERROR(INDEX(спр_Работы!$H$2:$H$6000,MATCH($C1030,спр_Работы!$A$2:$A$6000,0))*(1-ДисконтТендер),0)</f>
        <v/>
      </c>
      <c r="M1030" s="10">
        <f>IF($I1030="",0,IFERROR(INDEX(спр_Материалы!$I$2:$I$9000,MATCH($I1030,спр_Материалы!$A$2:$A$9000,0))*IF(INDEX(спр_Материалы!$J$2:$J$9000,MATCH($I1030,спр_Материалы!$A$2:$A$9000,0))="USD",КурсUSD,IF(INDEX(спр_Материалы!$J$2:$J$9000,MATCH($I1030,спр_Материалы!$A$2:$A$9000,0))="EUR",КурсEUR,1))*INDEX(спр_Материалы!$K$2:$K$9000,MATCH($I1030,спр_Материалы!$A$2:$A$9000,0))*(1+IFERROR(INDEX(спр_Работы!$I$2:$I$6000,MATCH($C1030,спр_Работы!$A$2:$A$6000,0))/100,0))*(1-ДисконтТендер),0))</f>
        <v/>
      </c>
      <c r="N1030" s="10">
        <f>IF(AND($R1030="да",$H1030&lt;&gt;""),ROUND($H1030*$L1030,2),0)</f>
        <v/>
      </c>
      <c r="O1030" s="10">
        <f>IF(AND($R1030="да",$H1030&lt;&gt;""),ROUND($H1030*$M1030,2),0)</f>
        <v/>
      </c>
      <c r="P1030" s="10">
        <f>$N1030+$O1030</f>
        <v/>
      </c>
      <c r="Q1030">
        <f>IFERROR(INDEX(спр_Работы!$J$2:$J$6000,MATCH($C1030,спр_Работы!$A$2:$A$6000,0)),"")</f>
        <v/>
      </c>
      <c r="R1030" t="inlineStr">
        <is>
          <t>да</t>
        </is>
      </c>
      <c r="T1030">
        <f>IF(AND($P1030&gt;0,$R1030="да"),MAX($T$1:$T1029)+1,"")</f>
        <v/>
      </c>
    </row>
    <row r="1031">
      <c r="A1031" s="11">
        <f>IFERROR(INDEX(спр_Работы!$D$2:$D$6000,MATCH($C1031,спр_Работы!$A$2:$A$6000,0)),"")</f>
        <v/>
      </c>
      <c r="B1031">
        <f>IFERROR(INDEX(спр_Работы!$F$2:$F$6000,MATCH($C1031,спр_Работы!$A$2:$A$6000,0)),"")</f>
        <v/>
      </c>
      <c r="C1031">
        <f>IFERROR(INDEX(спр_Работы!$A$2:$A$6000,1030),"")</f>
        <v/>
      </c>
      <c r="D1031" s="8">
        <f>IFERROR(INDEX(спр_Работы!$B$2:$B$6000,MATCH($C1031,спр_Работы!$A$2:$A$6000,0)),"")</f>
        <v/>
      </c>
      <c r="E1031">
        <f>IFERROR(INDEX(спр_Работы!$C$2:$C$6000,MATCH($C1031,спр_Работы!$A$2:$A$6000,0)),"")</f>
        <v/>
      </c>
      <c r="F1031">
        <f>IFERROR(INDEX(спр_Работы!$G$2:$G$6000,MATCH($C1031,спр_Работы!$A$2:$A$6000,0)),"")</f>
        <v/>
      </c>
      <c r="G1031">
        <f>IFERROR(INDEX(спр_Работы!$K$2:$K$6000,MATCH($C1031,спр_Работы!$A$2:$A$6000,0)),"")</f>
        <v/>
      </c>
      <c r="H1031" s="9" t="n"/>
      <c r="I1031" s="9" t="n"/>
      <c r="J1031" s="8">
        <f>IFERROR(INDEX(спр_Материалы!$B$2:$B$9000,MATCH($I1031,спр_Материалы!$A$2:$A$9000,0)),"")</f>
        <v/>
      </c>
      <c r="K1031">
        <f>IF($I1031="","",IF($F1031=IFERROR(INDEX(спр_Материалы!$G$2:$G$9000,MATCH($I1031,спр_Материалы!$A$2:$A$9000,0)),""),"OK","!! не та группа"))</f>
        <v/>
      </c>
      <c r="L1031" s="10">
        <f>IFERROR(INDEX(спр_Работы!$H$2:$H$6000,MATCH($C1031,спр_Работы!$A$2:$A$6000,0))*(1-ДисконтТендер),0)</f>
        <v/>
      </c>
      <c r="M1031" s="10">
        <f>IF($I1031="",0,IFERROR(INDEX(спр_Материалы!$I$2:$I$9000,MATCH($I1031,спр_Материалы!$A$2:$A$9000,0))*IF(INDEX(спр_Материалы!$J$2:$J$9000,MATCH($I1031,спр_Материалы!$A$2:$A$9000,0))="USD",КурсUSD,IF(INDEX(спр_Материалы!$J$2:$J$9000,MATCH($I1031,спр_Материалы!$A$2:$A$9000,0))="EUR",КурсEUR,1))*INDEX(спр_Материалы!$K$2:$K$9000,MATCH($I1031,спр_Материалы!$A$2:$A$9000,0))*(1+IFERROR(INDEX(спр_Работы!$I$2:$I$6000,MATCH($C1031,спр_Работы!$A$2:$A$6000,0))/100,0))*(1-ДисконтТендер),0))</f>
        <v/>
      </c>
      <c r="N1031" s="10">
        <f>IF(AND($R1031="да",$H1031&lt;&gt;""),ROUND($H1031*$L1031,2),0)</f>
        <v/>
      </c>
      <c r="O1031" s="10">
        <f>IF(AND($R1031="да",$H1031&lt;&gt;""),ROUND($H1031*$M1031,2),0)</f>
        <v/>
      </c>
      <c r="P1031" s="10">
        <f>$N1031+$O1031</f>
        <v/>
      </c>
      <c r="Q1031">
        <f>IFERROR(INDEX(спр_Работы!$J$2:$J$6000,MATCH($C1031,спр_Работы!$A$2:$A$6000,0)),"")</f>
        <v/>
      </c>
      <c r="R1031" t="inlineStr">
        <is>
          <t>да</t>
        </is>
      </c>
      <c r="T1031">
        <f>IF(AND($P1031&gt;0,$R1031="да"),MAX($T$1:$T1030)+1,"")</f>
        <v/>
      </c>
    </row>
    <row r="1032">
      <c r="A1032" s="11">
        <f>IFERROR(INDEX(спр_Работы!$D$2:$D$6000,MATCH($C1032,спр_Работы!$A$2:$A$6000,0)),"")</f>
        <v/>
      </c>
      <c r="B1032">
        <f>IFERROR(INDEX(спр_Работы!$F$2:$F$6000,MATCH($C1032,спр_Работы!$A$2:$A$6000,0)),"")</f>
        <v/>
      </c>
      <c r="C1032">
        <f>IFERROR(INDEX(спр_Работы!$A$2:$A$6000,1031),"")</f>
        <v/>
      </c>
      <c r="D1032" s="8">
        <f>IFERROR(INDEX(спр_Работы!$B$2:$B$6000,MATCH($C1032,спр_Работы!$A$2:$A$6000,0)),"")</f>
        <v/>
      </c>
      <c r="E1032">
        <f>IFERROR(INDEX(спр_Работы!$C$2:$C$6000,MATCH($C1032,спр_Работы!$A$2:$A$6000,0)),"")</f>
        <v/>
      </c>
      <c r="F1032">
        <f>IFERROR(INDEX(спр_Работы!$G$2:$G$6000,MATCH($C1032,спр_Работы!$A$2:$A$6000,0)),"")</f>
        <v/>
      </c>
      <c r="G1032">
        <f>IFERROR(INDEX(спр_Работы!$K$2:$K$6000,MATCH($C1032,спр_Работы!$A$2:$A$6000,0)),"")</f>
        <v/>
      </c>
      <c r="H1032" s="9" t="n"/>
      <c r="I1032" s="9" t="n"/>
      <c r="J1032" s="8">
        <f>IFERROR(INDEX(спр_Материалы!$B$2:$B$9000,MATCH($I1032,спр_Материалы!$A$2:$A$9000,0)),"")</f>
        <v/>
      </c>
      <c r="K1032">
        <f>IF($I1032="","",IF($F1032=IFERROR(INDEX(спр_Материалы!$G$2:$G$9000,MATCH($I1032,спр_Материалы!$A$2:$A$9000,0)),""),"OK","!! не та группа"))</f>
        <v/>
      </c>
      <c r="L1032" s="10">
        <f>IFERROR(INDEX(спр_Работы!$H$2:$H$6000,MATCH($C1032,спр_Работы!$A$2:$A$6000,0))*(1-ДисконтТендер),0)</f>
        <v/>
      </c>
      <c r="M1032" s="10">
        <f>IF($I1032="",0,IFERROR(INDEX(спр_Материалы!$I$2:$I$9000,MATCH($I1032,спр_Материалы!$A$2:$A$9000,0))*IF(INDEX(спр_Материалы!$J$2:$J$9000,MATCH($I1032,спр_Материалы!$A$2:$A$9000,0))="USD",КурсUSD,IF(INDEX(спр_Материалы!$J$2:$J$9000,MATCH($I1032,спр_Материалы!$A$2:$A$9000,0))="EUR",КурсEUR,1))*INDEX(спр_Материалы!$K$2:$K$9000,MATCH($I1032,спр_Материалы!$A$2:$A$9000,0))*(1+IFERROR(INDEX(спр_Работы!$I$2:$I$6000,MATCH($C1032,спр_Работы!$A$2:$A$6000,0))/100,0))*(1-ДисконтТендер),0))</f>
        <v/>
      </c>
      <c r="N1032" s="10">
        <f>IF(AND($R1032="да",$H1032&lt;&gt;""),ROUND($H1032*$L1032,2),0)</f>
        <v/>
      </c>
      <c r="O1032" s="10">
        <f>IF(AND($R1032="да",$H1032&lt;&gt;""),ROUND($H1032*$M1032,2),0)</f>
        <v/>
      </c>
      <c r="P1032" s="10">
        <f>$N1032+$O1032</f>
        <v/>
      </c>
      <c r="Q1032">
        <f>IFERROR(INDEX(спр_Работы!$J$2:$J$6000,MATCH($C1032,спр_Работы!$A$2:$A$6000,0)),"")</f>
        <v/>
      </c>
      <c r="R1032" t="inlineStr">
        <is>
          <t>да</t>
        </is>
      </c>
      <c r="T1032">
        <f>IF(AND($P1032&gt;0,$R1032="да"),MAX($T$1:$T1031)+1,"")</f>
        <v/>
      </c>
    </row>
    <row r="1033">
      <c r="A1033" s="11">
        <f>IFERROR(INDEX(спр_Работы!$D$2:$D$6000,MATCH($C1033,спр_Работы!$A$2:$A$6000,0)),"")</f>
        <v/>
      </c>
      <c r="B1033">
        <f>IFERROR(INDEX(спр_Работы!$F$2:$F$6000,MATCH($C1033,спр_Работы!$A$2:$A$6000,0)),"")</f>
        <v/>
      </c>
      <c r="C1033">
        <f>IFERROR(INDEX(спр_Работы!$A$2:$A$6000,1032),"")</f>
        <v/>
      </c>
      <c r="D1033" s="8">
        <f>IFERROR(INDEX(спр_Работы!$B$2:$B$6000,MATCH($C1033,спр_Работы!$A$2:$A$6000,0)),"")</f>
        <v/>
      </c>
      <c r="E1033">
        <f>IFERROR(INDEX(спр_Работы!$C$2:$C$6000,MATCH($C1033,спр_Работы!$A$2:$A$6000,0)),"")</f>
        <v/>
      </c>
      <c r="F1033">
        <f>IFERROR(INDEX(спр_Работы!$G$2:$G$6000,MATCH($C1033,спр_Работы!$A$2:$A$6000,0)),"")</f>
        <v/>
      </c>
      <c r="G1033">
        <f>IFERROR(INDEX(спр_Работы!$K$2:$K$6000,MATCH($C1033,спр_Работы!$A$2:$A$6000,0)),"")</f>
        <v/>
      </c>
      <c r="H1033" s="9" t="n"/>
      <c r="I1033" s="9" t="n"/>
      <c r="J1033" s="8">
        <f>IFERROR(INDEX(спр_Материалы!$B$2:$B$9000,MATCH($I1033,спр_Материалы!$A$2:$A$9000,0)),"")</f>
        <v/>
      </c>
      <c r="K1033">
        <f>IF($I1033="","",IF($F1033=IFERROR(INDEX(спр_Материалы!$G$2:$G$9000,MATCH($I1033,спр_Материалы!$A$2:$A$9000,0)),""),"OK","!! не та группа"))</f>
        <v/>
      </c>
      <c r="L1033" s="10">
        <f>IFERROR(INDEX(спр_Работы!$H$2:$H$6000,MATCH($C1033,спр_Работы!$A$2:$A$6000,0))*(1-ДисконтТендер),0)</f>
        <v/>
      </c>
      <c r="M1033" s="10">
        <f>IF($I1033="",0,IFERROR(INDEX(спр_Материалы!$I$2:$I$9000,MATCH($I1033,спр_Материалы!$A$2:$A$9000,0))*IF(INDEX(спр_Материалы!$J$2:$J$9000,MATCH($I1033,спр_Материалы!$A$2:$A$9000,0))="USD",КурсUSD,IF(INDEX(спр_Материалы!$J$2:$J$9000,MATCH($I1033,спр_Материалы!$A$2:$A$9000,0))="EUR",КурсEUR,1))*INDEX(спр_Материалы!$K$2:$K$9000,MATCH($I1033,спр_Материалы!$A$2:$A$9000,0))*(1+IFERROR(INDEX(спр_Работы!$I$2:$I$6000,MATCH($C1033,спр_Работы!$A$2:$A$6000,0))/100,0))*(1-ДисконтТендер),0))</f>
        <v/>
      </c>
      <c r="N1033" s="10">
        <f>IF(AND($R1033="да",$H1033&lt;&gt;""),ROUND($H1033*$L1033,2),0)</f>
        <v/>
      </c>
      <c r="O1033" s="10">
        <f>IF(AND($R1033="да",$H1033&lt;&gt;""),ROUND($H1033*$M1033,2),0)</f>
        <v/>
      </c>
      <c r="P1033" s="10">
        <f>$N1033+$O1033</f>
        <v/>
      </c>
      <c r="Q1033">
        <f>IFERROR(INDEX(спр_Работы!$J$2:$J$6000,MATCH($C1033,спр_Работы!$A$2:$A$6000,0)),"")</f>
        <v/>
      </c>
      <c r="R1033" t="inlineStr">
        <is>
          <t>да</t>
        </is>
      </c>
      <c r="T1033">
        <f>IF(AND($P1033&gt;0,$R1033="да"),MAX($T$1:$T1032)+1,"")</f>
        <v/>
      </c>
    </row>
    <row r="1034">
      <c r="A1034" s="11">
        <f>IFERROR(INDEX(спр_Работы!$D$2:$D$6000,MATCH($C1034,спр_Работы!$A$2:$A$6000,0)),"")</f>
        <v/>
      </c>
      <c r="B1034">
        <f>IFERROR(INDEX(спр_Работы!$F$2:$F$6000,MATCH($C1034,спр_Работы!$A$2:$A$6000,0)),"")</f>
        <v/>
      </c>
      <c r="C1034">
        <f>IFERROR(INDEX(спр_Работы!$A$2:$A$6000,1033),"")</f>
        <v/>
      </c>
      <c r="D1034" s="8">
        <f>IFERROR(INDEX(спр_Работы!$B$2:$B$6000,MATCH($C1034,спр_Работы!$A$2:$A$6000,0)),"")</f>
        <v/>
      </c>
      <c r="E1034">
        <f>IFERROR(INDEX(спр_Работы!$C$2:$C$6000,MATCH($C1034,спр_Работы!$A$2:$A$6000,0)),"")</f>
        <v/>
      </c>
      <c r="F1034">
        <f>IFERROR(INDEX(спр_Работы!$G$2:$G$6000,MATCH($C1034,спр_Работы!$A$2:$A$6000,0)),"")</f>
        <v/>
      </c>
      <c r="G1034">
        <f>IFERROR(INDEX(спр_Работы!$K$2:$K$6000,MATCH($C1034,спр_Работы!$A$2:$A$6000,0)),"")</f>
        <v/>
      </c>
      <c r="H1034" s="9" t="n"/>
      <c r="I1034" s="9" t="n"/>
      <c r="J1034" s="8">
        <f>IFERROR(INDEX(спр_Материалы!$B$2:$B$9000,MATCH($I1034,спр_Материалы!$A$2:$A$9000,0)),"")</f>
        <v/>
      </c>
      <c r="K1034">
        <f>IF($I1034="","",IF($F1034=IFERROR(INDEX(спр_Материалы!$G$2:$G$9000,MATCH($I1034,спр_Материалы!$A$2:$A$9000,0)),""),"OK","!! не та группа"))</f>
        <v/>
      </c>
      <c r="L1034" s="10">
        <f>IFERROR(INDEX(спр_Работы!$H$2:$H$6000,MATCH($C1034,спр_Работы!$A$2:$A$6000,0))*(1-ДисконтТендер),0)</f>
        <v/>
      </c>
      <c r="M1034" s="10">
        <f>IF($I1034="",0,IFERROR(INDEX(спр_Материалы!$I$2:$I$9000,MATCH($I1034,спр_Материалы!$A$2:$A$9000,0))*IF(INDEX(спр_Материалы!$J$2:$J$9000,MATCH($I1034,спр_Материалы!$A$2:$A$9000,0))="USD",КурсUSD,IF(INDEX(спр_Материалы!$J$2:$J$9000,MATCH($I1034,спр_Материалы!$A$2:$A$9000,0))="EUR",КурсEUR,1))*INDEX(спр_Материалы!$K$2:$K$9000,MATCH($I1034,спр_Материалы!$A$2:$A$9000,0))*(1+IFERROR(INDEX(спр_Работы!$I$2:$I$6000,MATCH($C1034,спр_Работы!$A$2:$A$6000,0))/100,0))*(1-ДисконтТендер),0))</f>
        <v/>
      </c>
      <c r="N1034" s="10">
        <f>IF(AND($R1034="да",$H1034&lt;&gt;""),ROUND($H1034*$L1034,2),0)</f>
        <v/>
      </c>
      <c r="O1034" s="10">
        <f>IF(AND($R1034="да",$H1034&lt;&gt;""),ROUND($H1034*$M1034,2),0)</f>
        <v/>
      </c>
      <c r="P1034" s="10">
        <f>$N1034+$O1034</f>
        <v/>
      </c>
      <c r="Q1034">
        <f>IFERROR(INDEX(спр_Работы!$J$2:$J$6000,MATCH($C1034,спр_Работы!$A$2:$A$6000,0)),"")</f>
        <v/>
      </c>
      <c r="R1034" t="inlineStr">
        <is>
          <t>да</t>
        </is>
      </c>
      <c r="T1034">
        <f>IF(AND($P1034&gt;0,$R1034="да"),MAX($T$1:$T1033)+1,"")</f>
        <v/>
      </c>
    </row>
    <row r="1035">
      <c r="A1035" s="11">
        <f>IFERROR(INDEX(спр_Работы!$D$2:$D$6000,MATCH($C1035,спр_Работы!$A$2:$A$6000,0)),"")</f>
        <v/>
      </c>
      <c r="B1035">
        <f>IFERROR(INDEX(спр_Работы!$F$2:$F$6000,MATCH($C1035,спр_Работы!$A$2:$A$6000,0)),"")</f>
        <v/>
      </c>
      <c r="C1035">
        <f>IFERROR(INDEX(спр_Работы!$A$2:$A$6000,1034),"")</f>
        <v/>
      </c>
      <c r="D1035" s="8">
        <f>IFERROR(INDEX(спр_Работы!$B$2:$B$6000,MATCH($C1035,спр_Работы!$A$2:$A$6000,0)),"")</f>
        <v/>
      </c>
      <c r="E1035">
        <f>IFERROR(INDEX(спр_Работы!$C$2:$C$6000,MATCH($C1035,спр_Работы!$A$2:$A$6000,0)),"")</f>
        <v/>
      </c>
      <c r="F1035">
        <f>IFERROR(INDEX(спр_Работы!$G$2:$G$6000,MATCH($C1035,спр_Работы!$A$2:$A$6000,0)),"")</f>
        <v/>
      </c>
      <c r="G1035">
        <f>IFERROR(INDEX(спр_Работы!$K$2:$K$6000,MATCH($C1035,спр_Работы!$A$2:$A$6000,0)),"")</f>
        <v/>
      </c>
      <c r="H1035" s="9" t="n"/>
      <c r="I1035" s="9" t="n"/>
      <c r="J1035" s="8">
        <f>IFERROR(INDEX(спр_Материалы!$B$2:$B$9000,MATCH($I1035,спр_Материалы!$A$2:$A$9000,0)),"")</f>
        <v/>
      </c>
      <c r="K1035">
        <f>IF($I1035="","",IF($F1035=IFERROR(INDEX(спр_Материалы!$G$2:$G$9000,MATCH($I1035,спр_Материалы!$A$2:$A$9000,0)),""),"OK","!! не та группа"))</f>
        <v/>
      </c>
      <c r="L1035" s="10">
        <f>IFERROR(INDEX(спр_Работы!$H$2:$H$6000,MATCH($C1035,спр_Работы!$A$2:$A$6000,0))*(1-ДисконтТендер),0)</f>
        <v/>
      </c>
      <c r="M1035" s="10">
        <f>IF($I1035="",0,IFERROR(INDEX(спр_Материалы!$I$2:$I$9000,MATCH($I1035,спр_Материалы!$A$2:$A$9000,0))*IF(INDEX(спр_Материалы!$J$2:$J$9000,MATCH($I1035,спр_Материалы!$A$2:$A$9000,0))="USD",КурсUSD,IF(INDEX(спр_Материалы!$J$2:$J$9000,MATCH($I1035,спр_Материалы!$A$2:$A$9000,0))="EUR",КурсEUR,1))*INDEX(спр_Материалы!$K$2:$K$9000,MATCH($I1035,спр_Материалы!$A$2:$A$9000,0))*(1+IFERROR(INDEX(спр_Работы!$I$2:$I$6000,MATCH($C1035,спр_Работы!$A$2:$A$6000,0))/100,0))*(1-ДисконтТендер),0))</f>
        <v/>
      </c>
      <c r="N1035" s="10">
        <f>IF(AND($R1035="да",$H1035&lt;&gt;""),ROUND($H1035*$L1035,2),0)</f>
        <v/>
      </c>
      <c r="O1035" s="10">
        <f>IF(AND($R1035="да",$H1035&lt;&gt;""),ROUND($H1035*$M1035,2),0)</f>
        <v/>
      </c>
      <c r="P1035" s="10">
        <f>$N1035+$O1035</f>
        <v/>
      </c>
      <c r="Q1035">
        <f>IFERROR(INDEX(спр_Работы!$J$2:$J$6000,MATCH($C1035,спр_Работы!$A$2:$A$6000,0)),"")</f>
        <v/>
      </c>
      <c r="R1035" t="inlineStr">
        <is>
          <t>да</t>
        </is>
      </c>
      <c r="T1035">
        <f>IF(AND($P1035&gt;0,$R1035="да"),MAX($T$1:$T1034)+1,"")</f>
        <v/>
      </c>
    </row>
    <row r="1036">
      <c r="A1036" s="11">
        <f>IFERROR(INDEX(спр_Работы!$D$2:$D$6000,MATCH($C1036,спр_Работы!$A$2:$A$6000,0)),"")</f>
        <v/>
      </c>
      <c r="B1036">
        <f>IFERROR(INDEX(спр_Работы!$F$2:$F$6000,MATCH($C1036,спр_Работы!$A$2:$A$6000,0)),"")</f>
        <v/>
      </c>
      <c r="C1036">
        <f>IFERROR(INDEX(спр_Работы!$A$2:$A$6000,1035),"")</f>
        <v/>
      </c>
      <c r="D1036" s="8">
        <f>IFERROR(INDEX(спр_Работы!$B$2:$B$6000,MATCH($C1036,спр_Работы!$A$2:$A$6000,0)),"")</f>
        <v/>
      </c>
      <c r="E1036">
        <f>IFERROR(INDEX(спр_Работы!$C$2:$C$6000,MATCH($C1036,спр_Работы!$A$2:$A$6000,0)),"")</f>
        <v/>
      </c>
      <c r="F1036">
        <f>IFERROR(INDEX(спр_Работы!$G$2:$G$6000,MATCH($C1036,спр_Работы!$A$2:$A$6000,0)),"")</f>
        <v/>
      </c>
      <c r="G1036">
        <f>IFERROR(INDEX(спр_Работы!$K$2:$K$6000,MATCH($C1036,спр_Работы!$A$2:$A$6000,0)),"")</f>
        <v/>
      </c>
      <c r="H1036" s="9" t="n"/>
      <c r="I1036" s="9" t="n"/>
      <c r="J1036" s="8">
        <f>IFERROR(INDEX(спр_Материалы!$B$2:$B$9000,MATCH($I1036,спр_Материалы!$A$2:$A$9000,0)),"")</f>
        <v/>
      </c>
      <c r="K1036">
        <f>IF($I1036="","",IF($F1036=IFERROR(INDEX(спр_Материалы!$G$2:$G$9000,MATCH($I1036,спр_Материалы!$A$2:$A$9000,0)),""),"OK","!! не та группа"))</f>
        <v/>
      </c>
      <c r="L1036" s="10">
        <f>IFERROR(INDEX(спр_Работы!$H$2:$H$6000,MATCH($C1036,спр_Работы!$A$2:$A$6000,0))*(1-ДисконтТендер),0)</f>
        <v/>
      </c>
      <c r="M1036" s="10">
        <f>IF($I1036="",0,IFERROR(INDEX(спр_Материалы!$I$2:$I$9000,MATCH($I1036,спр_Материалы!$A$2:$A$9000,0))*IF(INDEX(спр_Материалы!$J$2:$J$9000,MATCH($I1036,спр_Материалы!$A$2:$A$9000,0))="USD",КурсUSD,IF(INDEX(спр_Материалы!$J$2:$J$9000,MATCH($I1036,спр_Материалы!$A$2:$A$9000,0))="EUR",КурсEUR,1))*INDEX(спр_Материалы!$K$2:$K$9000,MATCH($I1036,спр_Материалы!$A$2:$A$9000,0))*(1+IFERROR(INDEX(спр_Работы!$I$2:$I$6000,MATCH($C1036,спр_Работы!$A$2:$A$6000,0))/100,0))*(1-ДисконтТендер),0))</f>
        <v/>
      </c>
      <c r="N1036" s="10">
        <f>IF(AND($R1036="да",$H1036&lt;&gt;""),ROUND($H1036*$L1036,2),0)</f>
        <v/>
      </c>
      <c r="O1036" s="10">
        <f>IF(AND($R1036="да",$H1036&lt;&gt;""),ROUND($H1036*$M1036,2),0)</f>
        <v/>
      </c>
      <c r="P1036" s="10">
        <f>$N1036+$O1036</f>
        <v/>
      </c>
      <c r="Q1036">
        <f>IFERROR(INDEX(спр_Работы!$J$2:$J$6000,MATCH($C1036,спр_Работы!$A$2:$A$6000,0)),"")</f>
        <v/>
      </c>
      <c r="R1036" t="inlineStr">
        <is>
          <t>да</t>
        </is>
      </c>
      <c r="T1036">
        <f>IF(AND($P1036&gt;0,$R1036="да"),MAX($T$1:$T1035)+1,"")</f>
        <v/>
      </c>
    </row>
    <row r="1037">
      <c r="A1037" s="11">
        <f>IFERROR(INDEX(спр_Работы!$D$2:$D$6000,MATCH($C1037,спр_Работы!$A$2:$A$6000,0)),"")</f>
        <v/>
      </c>
      <c r="B1037">
        <f>IFERROR(INDEX(спр_Работы!$F$2:$F$6000,MATCH($C1037,спр_Работы!$A$2:$A$6000,0)),"")</f>
        <v/>
      </c>
      <c r="C1037">
        <f>IFERROR(INDEX(спр_Работы!$A$2:$A$6000,1036),"")</f>
        <v/>
      </c>
      <c r="D1037" s="8">
        <f>IFERROR(INDEX(спр_Работы!$B$2:$B$6000,MATCH($C1037,спр_Работы!$A$2:$A$6000,0)),"")</f>
        <v/>
      </c>
      <c r="E1037">
        <f>IFERROR(INDEX(спр_Работы!$C$2:$C$6000,MATCH($C1037,спр_Работы!$A$2:$A$6000,0)),"")</f>
        <v/>
      </c>
      <c r="F1037">
        <f>IFERROR(INDEX(спр_Работы!$G$2:$G$6000,MATCH($C1037,спр_Работы!$A$2:$A$6000,0)),"")</f>
        <v/>
      </c>
      <c r="G1037">
        <f>IFERROR(INDEX(спр_Работы!$K$2:$K$6000,MATCH($C1037,спр_Работы!$A$2:$A$6000,0)),"")</f>
        <v/>
      </c>
      <c r="H1037" s="9" t="n"/>
      <c r="I1037" s="9" t="n"/>
      <c r="J1037" s="8">
        <f>IFERROR(INDEX(спр_Материалы!$B$2:$B$9000,MATCH($I1037,спр_Материалы!$A$2:$A$9000,0)),"")</f>
        <v/>
      </c>
      <c r="K1037">
        <f>IF($I1037="","",IF($F1037=IFERROR(INDEX(спр_Материалы!$G$2:$G$9000,MATCH($I1037,спр_Материалы!$A$2:$A$9000,0)),""),"OK","!! не та группа"))</f>
        <v/>
      </c>
      <c r="L1037" s="10">
        <f>IFERROR(INDEX(спр_Работы!$H$2:$H$6000,MATCH($C1037,спр_Работы!$A$2:$A$6000,0))*(1-ДисконтТендер),0)</f>
        <v/>
      </c>
      <c r="M1037" s="10">
        <f>IF($I1037="",0,IFERROR(INDEX(спр_Материалы!$I$2:$I$9000,MATCH($I1037,спр_Материалы!$A$2:$A$9000,0))*IF(INDEX(спр_Материалы!$J$2:$J$9000,MATCH($I1037,спр_Материалы!$A$2:$A$9000,0))="USD",КурсUSD,IF(INDEX(спр_Материалы!$J$2:$J$9000,MATCH($I1037,спр_Материалы!$A$2:$A$9000,0))="EUR",КурсEUR,1))*INDEX(спр_Материалы!$K$2:$K$9000,MATCH($I1037,спр_Материалы!$A$2:$A$9000,0))*(1+IFERROR(INDEX(спр_Работы!$I$2:$I$6000,MATCH($C1037,спр_Работы!$A$2:$A$6000,0))/100,0))*(1-ДисконтТендер),0))</f>
        <v/>
      </c>
      <c r="N1037" s="10">
        <f>IF(AND($R1037="да",$H1037&lt;&gt;""),ROUND($H1037*$L1037,2),0)</f>
        <v/>
      </c>
      <c r="O1037" s="10">
        <f>IF(AND($R1037="да",$H1037&lt;&gt;""),ROUND($H1037*$M1037,2),0)</f>
        <v/>
      </c>
      <c r="P1037" s="10">
        <f>$N1037+$O1037</f>
        <v/>
      </c>
      <c r="Q1037">
        <f>IFERROR(INDEX(спр_Работы!$J$2:$J$6000,MATCH($C1037,спр_Работы!$A$2:$A$6000,0)),"")</f>
        <v/>
      </c>
      <c r="R1037" t="inlineStr">
        <is>
          <t>да</t>
        </is>
      </c>
      <c r="T1037">
        <f>IF(AND($P1037&gt;0,$R1037="да"),MAX($T$1:$T1036)+1,"")</f>
        <v/>
      </c>
    </row>
    <row r="1038">
      <c r="A1038" s="11">
        <f>IFERROR(INDEX(спр_Работы!$D$2:$D$6000,MATCH($C1038,спр_Работы!$A$2:$A$6000,0)),"")</f>
        <v/>
      </c>
      <c r="B1038">
        <f>IFERROR(INDEX(спр_Работы!$F$2:$F$6000,MATCH($C1038,спр_Работы!$A$2:$A$6000,0)),"")</f>
        <v/>
      </c>
      <c r="C1038">
        <f>IFERROR(INDEX(спр_Работы!$A$2:$A$6000,1037),"")</f>
        <v/>
      </c>
      <c r="D1038" s="8">
        <f>IFERROR(INDEX(спр_Работы!$B$2:$B$6000,MATCH($C1038,спр_Работы!$A$2:$A$6000,0)),"")</f>
        <v/>
      </c>
      <c r="E1038">
        <f>IFERROR(INDEX(спр_Работы!$C$2:$C$6000,MATCH($C1038,спр_Работы!$A$2:$A$6000,0)),"")</f>
        <v/>
      </c>
      <c r="F1038">
        <f>IFERROR(INDEX(спр_Работы!$G$2:$G$6000,MATCH($C1038,спр_Работы!$A$2:$A$6000,0)),"")</f>
        <v/>
      </c>
      <c r="G1038">
        <f>IFERROR(INDEX(спр_Работы!$K$2:$K$6000,MATCH($C1038,спр_Работы!$A$2:$A$6000,0)),"")</f>
        <v/>
      </c>
      <c r="H1038" s="9" t="n"/>
      <c r="I1038" s="9" t="n"/>
      <c r="J1038" s="8">
        <f>IFERROR(INDEX(спр_Материалы!$B$2:$B$9000,MATCH($I1038,спр_Материалы!$A$2:$A$9000,0)),"")</f>
        <v/>
      </c>
      <c r="K1038">
        <f>IF($I1038="","",IF($F1038=IFERROR(INDEX(спр_Материалы!$G$2:$G$9000,MATCH($I1038,спр_Материалы!$A$2:$A$9000,0)),""),"OK","!! не та группа"))</f>
        <v/>
      </c>
      <c r="L1038" s="10">
        <f>IFERROR(INDEX(спр_Работы!$H$2:$H$6000,MATCH($C1038,спр_Работы!$A$2:$A$6000,0))*(1-ДисконтТендер),0)</f>
        <v/>
      </c>
      <c r="M1038" s="10">
        <f>IF($I1038="",0,IFERROR(INDEX(спр_Материалы!$I$2:$I$9000,MATCH($I1038,спр_Материалы!$A$2:$A$9000,0))*IF(INDEX(спр_Материалы!$J$2:$J$9000,MATCH($I1038,спр_Материалы!$A$2:$A$9000,0))="USD",КурсUSD,IF(INDEX(спр_Материалы!$J$2:$J$9000,MATCH($I1038,спр_Материалы!$A$2:$A$9000,0))="EUR",КурсEUR,1))*INDEX(спр_Материалы!$K$2:$K$9000,MATCH($I1038,спр_Материалы!$A$2:$A$9000,0))*(1+IFERROR(INDEX(спр_Работы!$I$2:$I$6000,MATCH($C1038,спр_Работы!$A$2:$A$6000,0))/100,0))*(1-ДисконтТендер),0))</f>
        <v/>
      </c>
      <c r="N1038" s="10">
        <f>IF(AND($R1038="да",$H1038&lt;&gt;""),ROUND($H1038*$L1038,2),0)</f>
        <v/>
      </c>
      <c r="O1038" s="10">
        <f>IF(AND($R1038="да",$H1038&lt;&gt;""),ROUND($H1038*$M1038,2),0)</f>
        <v/>
      </c>
      <c r="P1038" s="10">
        <f>$N1038+$O1038</f>
        <v/>
      </c>
      <c r="Q1038">
        <f>IFERROR(INDEX(спр_Работы!$J$2:$J$6000,MATCH($C1038,спр_Работы!$A$2:$A$6000,0)),"")</f>
        <v/>
      </c>
      <c r="R1038" t="inlineStr">
        <is>
          <t>да</t>
        </is>
      </c>
      <c r="T1038">
        <f>IF(AND($P1038&gt;0,$R1038="да"),MAX($T$1:$T1037)+1,"")</f>
        <v/>
      </c>
    </row>
    <row r="1039">
      <c r="A1039" s="11">
        <f>IFERROR(INDEX(спр_Работы!$D$2:$D$6000,MATCH($C1039,спр_Работы!$A$2:$A$6000,0)),"")</f>
        <v/>
      </c>
      <c r="B1039">
        <f>IFERROR(INDEX(спр_Работы!$F$2:$F$6000,MATCH($C1039,спр_Работы!$A$2:$A$6000,0)),"")</f>
        <v/>
      </c>
      <c r="C1039">
        <f>IFERROR(INDEX(спр_Работы!$A$2:$A$6000,1038),"")</f>
        <v/>
      </c>
      <c r="D1039" s="8">
        <f>IFERROR(INDEX(спр_Работы!$B$2:$B$6000,MATCH($C1039,спр_Работы!$A$2:$A$6000,0)),"")</f>
        <v/>
      </c>
      <c r="E1039">
        <f>IFERROR(INDEX(спр_Работы!$C$2:$C$6000,MATCH($C1039,спр_Работы!$A$2:$A$6000,0)),"")</f>
        <v/>
      </c>
      <c r="F1039">
        <f>IFERROR(INDEX(спр_Работы!$G$2:$G$6000,MATCH($C1039,спр_Работы!$A$2:$A$6000,0)),"")</f>
        <v/>
      </c>
      <c r="G1039">
        <f>IFERROR(INDEX(спр_Работы!$K$2:$K$6000,MATCH($C1039,спр_Работы!$A$2:$A$6000,0)),"")</f>
        <v/>
      </c>
      <c r="H1039" s="9" t="n"/>
      <c r="I1039" s="9" t="n"/>
      <c r="J1039" s="8">
        <f>IFERROR(INDEX(спр_Материалы!$B$2:$B$9000,MATCH($I1039,спр_Материалы!$A$2:$A$9000,0)),"")</f>
        <v/>
      </c>
      <c r="K1039">
        <f>IF($I1039="","",IF($F1039=IFERROR(INDEX(спр_Материалы!$G$2:$G$9000,MATCH($I1039,спр_Материалы!$A$2:$A$9000,0)),""),"OK","!! не та группа"))</f>
        <v/>
      </c>
      <c r="L1039" s="10">
        <f>IFERROR(INDEX(спр_Работы!$H$2:$H$6000,MATCH($C1039,спр_Работы!$A$2:$A$6000,0))*(1-ДисконтТендер),0)</f>
        <v/>
      </c>
      <c r="M1039" s="10">
        <f>IF($I1039="",0,IFERROR(INDEX(спр_Материалы!$I$2:$I$9000,MATCH($I1039,спр_Материалы!$A$2:$A$9000,0))*IF(INDEX(спр_Материалы!$J$2:$J$9000,MATCH($I1039,спр_Материалы!$A$2:$A$9000,0))="USD",КурсUSD,IF(INDEX(спр_Материалы!$J$2:$J$9000,MATCH($I1039,спр_Материалы!$A$2:$A$9000,0))="EUR",КурсEUR,1))*INDEX(спр_Материалы!$K$2:$K$9000,MATCH($I1039,спр_Материалы!$A$2:$A$9000,0))*(1+IFERROR(INDEX(спр_Работы!$I$2:$I$6000,MATCH($C1039,спр_Работы!$A$2:$A$6000,0))/100,0))*(1-ДисконтТендер),0))</f>
        <v/>
      </c>
      <c r="N1039" s="10">
        <f>IF(AND($R1039="да",$H1039&lt;&gt;""),ROUND($H1039*$L1039,2),0)</f>
        <v/>
      </c>
      <c r="O1039" s="10">
        <f>IF(AND($R1039="да",$H1039&lt;&gt;""),ROUND($H1039*$M1039,2),0)</f>
        <v/>
      </c>
      <c r="P1039" s="10">
        <f>$N1039+$O1039</f>
        <v/>
      </c>
      <c r="Q1039">
        <f>IFERROR(INDEX(спр_Работы!$J$2:$J$6000,MATCH($C1039,спр_Работы!$A$2:$A$6000,0)),"")</f>
        <v/>
      </c>
      <c r="R1039" t="inlineStr">
        <is>
          <t>да</t>
        </is>
      </c>
      <c r="T1039">
        <f>IF(AND($P1039&gt;0,$R1039="да"),MAX($T$1:$T1038)+1,"")</f>
        <v/>
      </c>
    </row>
    <row r="1040">
      <c r="A1040" s="11">
        <f>IFERROR(INDEX(спр_Работы!$D$2:$D$6000,MATCH($C1040,спр_Работы!$A$2:$A$6000,0)),"")</f>
        <v/>
      </c>
      <c r="B1040">
        <f>IFERROR(INDEX(спр_Работы!$F$2:$F$6000,MATCH($C1040,спр_Работы!$A$2:$A$6000,0)),"")</f>
        <v/>
      </c>
      <c r="C1040">
        <f>IFERROR(INDEX(спр_Работы!$A$2:$A$6000,1039),"")</f>
        <v/>
      </c>
      <c r="D1040" s="8">
        <f>IFERROR(INDEX(спр_Работы!$B$2:$B$6000,MATCH($C1040,спр_Работы!$A$2:$A$6000,0)),"")</f>
        <v/>
      </c>
      <c r="E1040">
        <f>IFERROR(INDEX(спр_Работы!$C$2:$C$6000,MATCH($C1040,спр_Работы!$A$2:$A$6000,0)),"")</f>
        <v/>
      </c>
      <c r="F1040">
        <f>IFERROR(INDEX(спр_Работы!$G$2:$G$6000,MATCH($C1040,спр_Работы!$A$2:$A$6000,0)),"")</f>
        <v/>
      </c>
      <c r="G1040">
        <f>IFERROR(INDEX(спр_Работы!$K$2:$K$6000,MATCH($C1040,спр_Работы!$A$2:$A$6000,0)),"")</f>
        <v/>
      </c>
      <c r="H1040" s="9" t="n"/>
      <c r="I1040" s="9" t="n"/>
      <c r="J1040" s="8">
        <f>IFERROR(INDEX(спр_Материалы!$B$2:$B$9000,MATCH($I1040,спр_Материалы!$A$2:$A$9000,0)),"")</f>
        <v/>
      </c>
      <c r="K1040">
        <f>IF($I1040="","",IF($F1040=IFERROR(INDEX(спр_Материалы!$G$2:$G$9000,MATCH($I1040,спр_Материалы!$A$2:$A$9000,0)),""),"OK","!! не та группа"))</f>
        <v/>
      </c>
      <c r="L1040" s="10">
        <f>IFERROR(INDEX(спр_Работы!$H$2:$H$6000,MATCH($C1040,спр_Работы!$A$2:$A$6000,0))*(1-ДисконтТендер),0)</f>
        <v/>
      </c>
      <c r="M1040" s="10">
        <f>IF($I1040="",0,IFERROR(INDEX(спр_Материалы!$I$2:$I$9000,MATCH($I1040,спр_Материалы!$A$2:$A$9000,0))*IF(INDEX(спр_Материалы!$J$2:$J$9000,MATCH($I1040,спр_Материалы!$A$2:$A$9000,0))="USD",КурсUSD,IF(INDEX(спр_Материалы!$J$2:$J$9000,MATCH($I1040,спр_Материалы!$A$2:$A$9000,0))="EUR",КурсEUR,1))*INDEX(спр_Материалы!$K$2:$K$9000,MATCH($I1040,спр_Материалы!$A$2:$A$9000,0))*(1+IFERROR(INDEX(спр_Работы!$I$2:$I$6000,MATCH($C1040,спр_Работы!$A$2:$A$6000,0))/100,0))*(1-ДисконтТендер),0))</f>
        <v/>
      </c>
      <c r="N1040" s="10">
        <f>IF(AND($R1040="да",$H1040&lt;&gt;""),ROUND($H1040*$L1040,2),0)</f>
        <v/>
      </c>
      <c r="O1040" s="10">
        <f>IF(AND($R1040="да",$H1040&lt;&gt;""),ROUND($H1040*$M1040,2),0)</f>
        <v/>
      </c>
      <c r="P1040" s="10">
        <f>$N1040+$O1040</f>
        <v/>
      </c>
      <c r="Q1040">
        <f>IFERROR(INDEX(спр_Работы!$J$2:$J$6000,MATCH($C1040,спр_Работы!$A$2:$A$6000,0)),"")</f>
        <v/>
      </c>
      <c r="R1040" t="inlineStr">
        <is>
          <t>да</t>
        </is>
      </c>
      <c r="T1040">
        <f>IF(AND($P1040&gt;0,$R1040="да"),MAX($T$1:$T1039)+1,"")</f>
        <v/>
      </c>
    </row>
    <row r="1041">
      <c r="A1041" s="11">
        <f>IFERROR(INDEX(спр_Работы!$D$2:$D$6000,MATCH($C1041,спр_Работы!$A$2:$A$6000,0)),"")</f>
        <v/>
      </c>
      <c r="B1041">
        <f>IFERROR(INDEX(спр_Работы!$F$2:$F$6000,MATCH($C1041,спр_Работы!$A$2:$A$6000,0)),"")</f>
        <v/>
      </c>
      <c r="C1041">
        <f>IFERROR(INDEX(спр_Работы!$A$2:$A$6000,1040),"")</f>
        <v/>
      </c>
      <c r="D1041" s="8">
        <f>IFERROR(INDEX(спр_Работы!$B$2:$B$6000,MATCH($C1041,спр_Работы!$A$2:$A$6000,0)),"")</f>
        <v/>
      </c>
      <c r="E1041">
        <f>IFERROR(INDEX(спр_Работы!$C$2:$C$6000,MATCH($C1041,спр_Работы!$A$2:$A$6000,0)),"")</f>
        <v/>
      </c>
      <c r="F1041">
        <f>IFERROR(INDEX(спр_Работы!$G$2:$G$6000,MATCH($C1041,спр_Работы!$A$2:$A$6000,0)),"")</f>
        <v/>
      </c>
      <c r="G1041">
        <f>IFERROR(INDEX(спр_Работы!$K$2:$K$6000,MATCH($C1041,спр_Работы!$A$2:$A$6000,0)),"")</f>
        <v/>
      </c>
      <c r="H1041" s="9" t="n"/>
      <c r="I1041" s="9" t="n"/>
      <c r="J1041" s="8">
        <f>IFERROR(INDEX(спр_Материалы!$B$2:$B$9000,MATCH($I1041,спр_Материалы!$A$2:$A$9000,0)),"")</f>
        <v/>
      </c>
      <c r="K1041">
        <f>IF($I1041="","",IF($F1041=IFERROR(INDEX(спр_Материалы!$G$2:$G$9000,MATCH($I1041,спр_Материалы!$A$2:$A$9000,0)),""),"OK","!! не та группа"))</f>
        <v/>
      </c>
      <c r="L1041" s="10">
        <f>IFERROR(INDEX(спр_Работы!$H$2:$H$6000,MATCH($C1041,спр_Работы!$A$2:$A$6000,0))*(1-ДисконтТендер),0)</f>
        <v/>
      </c>
      <c r="M1041" s="10">
        <f>IF($I1041="",0,IFERROR(INDEX(спр_Материалы!$I$2:$I$9000,MATCH($I1041,спр_Материалы!$A$2:$A$9000,0))*IF(INDEX(спр_Материалы!$J$2:$J$9000,MATCH($I1041,спр_Материалы!$A$2:$A$9000,0))="USD",КурсUSD,IF(INDEX(спр_Материалы!$J$2:$J$9000,MATCH($I1041,спр_Материалы!$A$2:$A$9000,0))="EUR",КурсEUR,1))*INDEX(спр_Материалы!$K$2:$K$9000,MATCH($I1041,спр_Материалы!$A$2:$A$9000,0))*(1+IFERROR(INDEX(спр_Работы!$I$2:$I$6000,MATCH($C1041,спр_Работы!$A$2:$A$6000,0))/100,0))*(1-ДисконтТендер),0))</f>
        <v/>
      </c>
      <c r="N1041" s="10">
        <f>IF(AND($R1041="да",$H1041&lt;&gt;""),ROUND($H1041*$L1041,2),0)</f>
        <v/>
      </c>
      <c r="O1041" s="10">
        <f>IF(AND($R1041="да",$H1041&lt;&gt;""),ROUND($H1041*$M1041,2),0)</f>
        <v/>
      </c>
      <c r="P1041" s="10">
        <f>$N1041+$O1041</f>
        <v/>
      </c>
      <c r="Q1041">
        <f>IFERROR(INDEX(спр_Работы!$J$2:$J$6000,MATCH($C1041,спр_Работы!$A$2:$A$6000,0)),"")</f>
        <v/>
      </c>
      <c r="R1041" t="inlineStr">
        <is>
          <t>да</t>
        </is>
      </c>
      <c r="T1041">
        <f>IF(AND($P1041&gt;0,$R1041="да"),MAX($T$1:$T1040)+1,"")</f>
        <v/>
      </c>
    </row>
    <row r="1042">
      <c r="A1042" s="11">
        <f>IFERROR(INDEX(спр_Работы!$D$2:$D$6000,MATCH($C1042,спр_Работы!$A$2:$A$6000,0)),"")</f>
        <v/>
      </c>
      <c r="B1042">
        <f>IFERROR(INDEX(спр_Работы!$F$2:$F$6000,MATCH($C1042,спр_Работы!$A$2:$A$6000,0)),"")</f>
        <v/>
      </c>
      <c r="C1042">
        <f>IFERROR(INDEX(спр_Работы!$A$2:$A$6000,1041),"")</f>
        <v/>
      </c>
      <c r="D1042" s="8">
        <f>IFERROR(INDEX(спр_Работы!$B$2:$B$6000,MATCH($C1042,спр_Работы!$A$2:$A$6000,0)),"")</f>
        <v/>
      </c>
      <c r="E1042">
        <f>IFERROR(INDEX(спр_Работы!$C$2:$C$6000,MATCH($C1042,спр_Работы!$A$2:$A$6000,0)),"")</f>
        <v/>
      </c>
      <c r="F1042">
        <f>IFERROR(INDEX(спр_Работы!$G$2:$G$6000,MATCH($C1042,спр_Работы!$A$2:$A$6000,0)),"")</f>
        <v/>
      </c>
      <c r="G1042">
        <f>IFERROR(INDEX(спр_Работы!$K$2:$K$6000,MATCH($C1042,спр_Работы!$A$2:$A$6000,0)),"")</f>
        <v/>
      </c>
      <c r="H1042" s="9" t="n"/>
      <c r="I1042" s="9" t="n"/>
      <c r="J1042" s="8">
        <f>IFERROR(INDEX(спр_Материалы!$B$2:$B$9000,MATCH($I1042,спр_Материалы!$A$2:$A$9000,0)),"")</f>
        <v/>
      </c>
      <c r="K1042">
        <f>IF($I1042="","",IF($F1042=IFERROR(INDEX(спр_Материалы!$G$2:$G$9000,MATCH($I1042,спр_Материалы!$A$2:$A$9000,0)),""),"OK","!! не та группа"))</f>
        <v/>
      </c>
      <c r="L1042" s="10">
        <f>IFERROR(INDEX(спр_Работы!$H$2:$H$6000,MATCH($C1042,спр_Работы!$A$2:$A$6000,0))*(1-ДисконтТендер),0)</f>
        <v/>
      </c>
      <c r="M1042" s="10">
        <f>IF($I1042="",0,IFERROR(INDEX(спр_Материалы!$I$2:$I$9000,MATCH($I1042,спр_Материалы!$A$2:$A$9000,0))*IF(INDEX(спр_Материалы!$J$2:$J$9000,MATCH($I1042,спр_Материалы!$A$2:$A$9000,0))="USD",КурсUSD,IF(INDEX(спр_Материалы!$J$2:$J$9000,MATCH($I1042,спр_Материалы!$A$2:$A$9000,0))="EUR",КурсEUR,1))*INDEX(спр_Материалы!$K$2:$K$9000,MATCH($I1042,спр_Материалы!$A$2:$A$9000,0))*(1+IFERROR(INDEX(спр_Работы!$I$2:$I$6000,MATCH($C1042,спр_Работы!$A$2:$A$6000,0))/100,0))*(1-ДисконтТендер),0))</f>
        <v/>
      </c>
      <c r="N1042" s="10">
        <f>IF(AND($R1042="да",$H1042&lt;&gt;""),ROUND($H1042*$L1042,2),0)</f>
        <v/>
      </c>
      <c r="O1042" s="10">
        <f>IF(AND($R1042="да",$H1042&lt;&gt;""),ROUND($H1042*$M1042,2),0)</f>
        <v/>
      </c>
      <c r="P1042" s="10">
        <f>$N1042+$O1042</f>
        <v/>
      </c>
      <c r="Q1042">
        <f>IFERROR(INDEX(спр_Работы!$J$2:$J$6000,MATCH($C1042,спр_Работы!$A$2:$A$6000,0)),"")</f>
        <v/>
      </c>
      <c r="R1042" t="inlineStr">
        <is>
          <t>да</t>
        </is>
      </c>
      <c r="T1042">
        <f>IF(AND($P1042&gt;0,$R1042="да"),MAX($T$1:$T1041)+1,"")</f>
        <v/>
      </c>
    </row>
    <row r="1043">
      <c r="A1043" s="11">
        <f>IFERROR(INDEX(спр_Работы!$D$2:$D$6000,MATCH($C1043,спр_Работы!$A$2:$A$6000,0)),"")</f>
        <v/>
      </c>
      <c r="B1043">
        <f>IFERROR(INDEX(спр_Работы!$F$2:$F$6000,MATCH($C1043,спр_Работы!$A$2:$A$6000,0)),"")</f>
        <v/>
      </c>
      <c r="C1043">
        <f>IFERROR(INDEX(спр_Работы!$A$2:$A$6000,1042),"")</f>
        <v/>
      </c>
      <c r="D1043" s="8">
        <f>IFERROR(INDEX(спр_Работы!$B$2:$B$6000,MATCH($C1043,спр_Работы!$A$2:$A$6000,0)),"")</f>
        <v/>
      </c>
      <c r="E1043">
        <f>IFERROR(INDEX(спр_Работы!$C$2:$C$6000,MATCH($C1043,спр_Работы!$A$2:$A$6000,0)),"")</f>
        <v/>
      </c>
      <c r="F1043">
        <f>IFERROR(INDEX(спр_Работы!$G$2:$G$6000,MATCH($C1043,спр_Работы!$A$2:$A$6000,0)),"")</f>
        <v/>
      </c>
      <c r="G1043">
        <f>IFERROR(INDEX(спр_Работы!$K$2:$K$6000,MATCH($C1043,спр_Работы!$A$2:$A$6000,0)),"")</f>
        <v/>
      </c>
      <c r="H1043" s="9" t="n"/>
      <c r="I1043" s="9" t="n"/>
      <c r="J1043" s="8">
        <f>IFERROR(INDEX(спр_Материалы!$B$2:$B$9000,MATCH($I1043,спр_Материалы!$A$2:$A$9000,0)),"")</f>
        <v/>
      </c>
      <c r="K1043">
        <f>IF($I1043="","",IF($F1043=IFERROR(INDEX(спр_Материалы!$G$2:$G$9000,MATCH($I1043,спр_Материалы!$A$2:$A$9000,0)),""),"OK","!! не та группа"))</f>
        <v/>
      </c>
      <c r="L1043" s="10">
        <f>IFERROR(INDEX(спр_Работы!$H$2:$H$6000,MATCH($C1043,спр_Работы!$A$2:$A$6000,0))*(1-ДисконтТендер),0)</f>
        <v/>
      </c>
      <c r="M1043" s="10">
        <f>IF($I1043="",0,IFERROR(INDEX(спр_Материалы!$I$2:$I$9000,MATCH($I1043,спр_Материалы!$A$2:$A$9000,0))*IF(INDEX(спр_Материалы!$J$2:$J$9000,MATCH($I1043,спр_Материалы!$A$2:$A$9000,0))="USD",КурсUSD,IF(INDEX(спр_Материалы!$J$2:$J$9000,MATCH($I1043,спр_Материалы!$A$2:$A$9000,0))="EUR",КурсEUR,1))*INDEX(спр_Материалы!$K$2:$K$9000,MATCH($I1043,спр_Материалы!$A$2:$A$9000,0))*(1+IFERROR(INDEX(спр_Работы!$I$2:$I$6000,MATCH($C1043,спр_Работы!$A$2:$A$6000,0))/100,0))*(1-ДисконтТендер),0))</f>
        <v/>
      </c>
      <c r="N1043" s="10">
        <f>IF(AND($R1043="да",$H1043&lt;&gt;""),ROUND($H1043*$L1043,2),0)</f>
        <v/>
      </c>
      <c r="O1043" s="10">
        <f>IF(AND($R1043="да",$H1043&lt;&gt;""),ROUND($H1043*$M1043,2),0)</f>
        <v/>
      </c>
      <c r="P1043" s="10">
        <f>$N1043+$O1043</f>
        <v/>
      </c>
      <c r="Q1043">
        <f>IFERROR(INDEX(спр_Работы!$J$2:$J$6000,MATCH($C1043,спр_Работы!$A$2:$A$6000,0)),"")</f>
        <v/>
      </c>
      <c r="R1043" t="inlineStr">
        <is>
          <t>да</t>
        </is>
      </c>
      <c r="T1043">
        <f>IF(AND($P1043&gt;0,$R1043="да"),MAX($T$1:$T1042)+1,"")</f>
        <v/>
      </c>
    </row>
    <row r="1044">
      <c r="A1044" s="11">
        <f>IFERROR(INDEX(спр_Работы!$D$2:$D$6000,MATCH($C1044,спр_Работы!$A$2:$A$6000,0)),"")</f>
        <v/>
      </c>
      <c r="B1044">
        <f>IFERROR(INDEX(спр_Работы!$F$2:$F$6000,MATCH($C1044,спр_Работы!$A$2:$A$6000,0)),"")</f>
        <v/>
      </c>
      <c r="C1044">
        <f>IFERROR(INDEX(спр_Работы!$A$2:$A$6000,1043),"")</f>
        <v/>
      </c>
      <c r="D1044" s="8">
        <f>IFERROR(INDEX(спр_Работы!$B$2:$B$6000,MATCH($C1044,спр_Работы!$A$2:$A$6000,0)),"")</f>
        <v/>
      </c>
      <c r="E1044">
        <f>IFERROR(INDEX(спр_Работы!$C$2:$C$6000,MATCH($C1044,спр_Работы!$A$2:$A$6000,0)),"")</f>
        <v/>
      </c>
      <c r="F1044">
        <f>IFERROR(INDEX(спр_Работы!$G$2:$G$6000,MATCH($C1044,спр_Работы!$A$2:$A$6000,0)),"")</f>
        <v/>
      </c>
      <c r="G1044">
        <f>IFERROR(INDEX(спр_Работы!$K$2:$K$6000,MATCH($C1044,спр_Работы!$A$2:$A$6000,0)),"")</f>
        <v/>
      </c>
      <c r="H1044" s="9" t="n"/>
      <c r="I1044" s="9" t="n"/>
      <c r="J1044" s="8">
        <f>IFERROR(INDEX(спр_Материалы!$B$2:$B$9000,MATCH($I1044,спр_Материалы!$A$2:$A$9000,0)),"")</f>
        <v/>
      </c>
      <c r="K1044">
        <f>IF($I1044="","",IF($F1044=IFERROR(INDEX(спр_Материалы!$G$2:$G$9000,MATCH($I1044,спр_Материалы!$A$2:$A$9000,0)),""),"OK","!! не та группа"))</f>
        <v/>
      </c>
      <c r="L1044" s="10">
        <f>IFERROR(INDEX(спр_Работы!$H$2:$H$6000,MATCH($C1044,спр_Работы!$A$2:$A$6000,0))*(1-ДисконтТендер),0)</f>
        <v/>
      </c>
      <c r="M1044" s="10">
        <f>IF($I1044="",0,IFERROR(INDEX(спр_Материалы!$I$2:$I$9000,MATCH($I1044,спр_Материалы!$A$2:$A$9000,0))*IF(INDEX(спр_Материалы!$J$2:$J$9000,MATCH($I1044,спр_Материалы!$A$2:$A$9000,0))="USD",КурсUSD,IF(INDEX(спр_Материалы!$J$2:$J$9000,MATCH($I1044,спр_Материалы!$A$2:$A$9000,0))="EUR",КурсEUR,1))*INDEX(спр_Материалы!$K$2:$K$9000,MATCH($I1044,спр_Материалы!$A$2:$A$9000,0))*(1+IFERROR(INDEX(спр_Работы!$I$2:$I$6000,MATCH($C1044,спр_Работы!$A$2:$A$6000,0))/100,0))*(1-ДисконтТендер),0))</f>
        <v/>
      </c>
      <c r="N1044" s="10">
        <f>IF(AND($R1044="да",$H1044&lt;&gt;""),ROUND($H1044*$L1044,2),0)</f>
        <v/>
      </c>
      <c r="O1044" s="10">
        <f>IF(AND($R1044="да",$H1044&lt;&gt;""),ROUND($H1044*$M1044,2),0)</f>
        <v/>
      </c>
      <c r="P1044" s="10">
        <f>$N1044+$O1044</f>
        <v/>
      </c>
      <c r="Q1044">
        <f>IFERROR(INDEX(спр_Работы!$J$2:$J$6000,MATCH($C1044,спр_Работы!$A$2:$A$6000,0)),"")</f>
        <v/>
      </c>
      <c r="R1044" t="inlineStr">
        <is>
          <t>да</t>
        </is>
      </c>
      <c r="T1044">
        <f>IF(AND($P1044&gt;0,$R1044="да"),MAX($T$1:$T1043)+1,"")</f>
        <v/>
      </c>
    </row>
    <row r="1045">
      <c r="A1045" s="11">
        <f>IFERROR(INDEX(спр_Работы!$D$2:$D$6000,MATCH($C1045,спр_Работы!$A$2:$A$6000,0)),"")</f>
        <v/>
      </c>
      <c r="B1045">
        <f>IFERROR(INDEX(спр_Работы!$F$2:$F$6000,MATCH($C1045,спр_Работы!$A$2:$A$6000,0)),"")</f>
        <v/>
      </c>
      <c r="C1045">
        <f>IFERROR(INDEX(спр_Работы!$A$2:$A$6000,1044),"")</f>
        <v/>
      </c>
      <c r="D1045" s="8">
        <f>IFERROR(INDEX(спр_Работы!$B$2:$B$6000,MATCH($C1045,спр_Работы!$A$2:$A$6000,0)),"")</f>
        <v/>
      </c>
      <c r="E1045">
        <f>IFERROR(INDEX(спр_Работы!$C$2:$C$6000,MATCH($C1045,спр_Работы!$A$2:$A$6000,0)),"")</f>
        <v/>
      </c>
      <c r="F1045">
        <f>IFERROR(INDEX(спр_Работы!$G$2:$G$6000,MATCH($C1045,спр_Работы!$A$2:$A$6000,0)),"")</f>
        <v/>
      </c>
      <c r="G1045">
        <f>IFERROR(INDEX(спр_Работы!$K$2:$K$6000,MATCH($C1045,спр_Работы!$A$2:$A$6000,0)),"")</f>
        <v/>
      </c>
      <c r="H1045" s="9" t="n"/>
      <c r="I1045" s="9" t="n"/>
      <c r="J1045" s="8">
        <f>IFERROR(INDEX(спр_Материалы!$B$2:$B$9000,MATCH($I1045,спр_Материалы!$A$2:$A$9000,0)),"")</f>
        <v/>
      </c>
      <c r="K1045">
        <f>IF($I1045="","",IF($F1045=IFERROR(INDEX(спр_Материалы!$G$2:$G$9000,MATCH($I1045,спр_Материалы!$A$2:$A$9000,0)),""),"OK","!! не та группа"))</f>
        <v/>
      </c>
      <c r="L1045" s="10">
        <f>IFERROR(INDEX(спр_Работы!$H$2:$H$6000,MATCH($C1045,спр_Работы!$A$2:$A$6000,0))*(1-ДисконтТендер),0)</f>
        <v/>
      </c>
      <c r="M1045" s="10">
        <f>IF($I1045="",0,IFERROR(INDEX(спр_Материалы!$I$2:$I$9000,MATCH($I1045,спр_Материалы!$A$2:$A$9000,0))*IF(INDEX(спр_Материалы!$J$2:$J$9000,MATCH($I1045,спр_Материалы!$A$2:$A$9000,0))="USD",КурсUSD,IF(INDEX(спр_Материалы!$J$2:$J$9000,MATCH($I1045,спр_Материалы!$A$2:$A$9000,0))="EUR",КурсEUR,1))*INDEX(спр_Материалы!$K$2:$K$9000,MATCH($I1045,спр_Материалы!$A$2:$A$9000,0))*(1+IFERROR(INDEX(спр_Работы!$I$2:$I$6000,MATCH($C1045,спр_Работы!$A$2:$A$6000,0))/100,0))*(1-ДисконтТендер),0))</f>
        <v/>
      </c>
      <c r="N1045" s="10">
        <f>IF(AND($R1045="да",$H1045&lt;&gt;""),ROUND($H1045*$L1045,2),0)</f>
        <v/>
      </c>
      <c r="O1045" s="10">
        <f>IF(AND($R1045="да",$H1045&lt;&gt;""),ROUND($H1045*$M1045,2),0)</f>
        <v/>
      </c>
      <c r="P1045" s="10">
        <f>$N1045+$O1045</f>
        <v/>
      </c>
      <c r="Q1045">
        <f>IFERROR(INDEX(спр_Работы!$J$2:$J$6000,MATCH($C1045,спр_Работы!$A$2:$A$6000,0)),"")</f>
        <v/>
      </c>
      <c r="R1045" t="inlineStr">
        <is>
          <t>да</t>
        </is>
      </c>
      <c r="T1045">
        <f>IF(AND($P1045&gt;0,$R1045="да"),MAX($T$1:$T1044)+1,"")</f>
        <v/>
      </c>
    </row>
    <row r="1046">
      <c r="A1046" s="11">
        <f>IFERROR(INDEX(спр_Работы!$D$2:$D$6000,MATCH($C1046,спр_Работы!$A$2:$A$6000,0)),"")</f>
        <v/>
      </c>
      <c r="B1046">
        <f>IFERROR(INDEX(спр_Работы!$F$2:$F$6000,MATCH($C1046,спр_Работы!$A$2:$A$6000,0)),"")</f>
        <v/>
      </c>
      <c r="C1046">
        <f>IFERROR(INDEX(спр_Работы!$A$2:$A$6000,1045),"")</f>
        <v/>
      </c>
      <c r="D1046" s="8">
        <f>IFERROR(INDEX(спр_Работы!$B$2:$B$6000,MATCH($C1046,спр_Работы!$A$2:$A$6000,0)),"")</f>
        <v/>
      </c>
      <c r="E1046">
        <f>IFERROR(INDEX(спр_Работы!$C$2:$C$6000,MATCH($C1046,спр_Работы!$A$2:$A$6000,0)),"")</f>
        <v/>
      </c>
      <c r="F1046">
        <f>IFERROR(INDEX(спр_Работы!$G$2:$G$6000,MATCH($C1046,спр_Работы!$A$2:$A$6000,0)),"")</f>
        <v/>
      </c>
      <c r="G1046">
        <f>IFERROR(INDEX(спр_Работы!$K$2:$K$6000,MATCH($C1046,спр_Работы!$A$2:$A$6000,0)),"")</f>
        <v/>
      </c>
      <c r="H1046" s="9" t="n"/>
      <c r="I1046" s="9" t="n"/>
      <c r="J1046" s="8">
        <f>IFERROR(INDEX(спр_Материалы!$B$2:$B$9000,MATCH($I1046,спр_Материалы!$A$2:$A$9000,0)),"")</f>
        <v/>
      </c>
      <c r="K1046">
        <f>IF($I1046="","",IF($F1046=IFERROR(INDEX(спр_Материалы!$G$2:$G$9000,MATCH($I1046,спр_Материалы!$A$2:$A$9000,0)),""),"OK","!! не та группа"))</f>
        <v/>
      </c>
      <c r="L1046" s="10">
        <f>IFERROR(INDEX(спр_Работы!$H$2:$H$6000,MATCH($C1046,спр_Работы!$A$2:$A$6000,0))*(1-ДисконтТендер),0)</f>
        <v/>
      </c>
      <c r="M1046" s="10">
        <f>IF($I1046="",0,IFERROR(INDEX(спр_Материалы!$I$2:$I$9000,MATCH($I1046,спр_Материалы!$A$2:$A$9000,0))*IF(INDEX(спр_Материалы!$J$2:$J$9000,MATCH($I1046,спр_Материалы!$A$2:$A$9000,0))="USD",КурсUSD,IF(INDEX(спр_Материалы!$J$2:$J$9000,MATCH($I1046,спр_Материалы!$A$2:$A$9000,0))="EUR",КурсEUR,1))*INDEX(спр_Материалы!$K$2:$K$9000,MATCH($I1046,спр_Материалы!$A$2:$A$9000,0))*(1+IFERROR(INDEX(спр_Работы!$I$2:$I$6000,MATCH($C1046,спр_Работы!$A$2:$A$6000,0))/100,0))*(1-ДисконтТендер),0))</f>
        <v/>
      </c>
      <c r="N1046" s="10">
        <f>IF(AND($R1046="да",$H1046&lt;&gt;""),ROUND($H1046*$L1046,2),0)</f>
        <v/>
      </c>
      <c r="O1046" s="10">
        <f>IF(AND($R1046="да",$H1046&lt;&gt;""),ROUND($H1046*$M1046,2),0)</f>
        <v/>
      </c>
      <c r="P1046" s="10">
        <f>$N1046+$O1046</f>
        <v/>
      </c>
      <c r="Q1046">
        <f>IFERROR(INDEX(спр_Работы!$J$2:$J$6000,MATCH($C1046,спр_Работы!$A$2:$A$6000,0)),"")</f>
        <v/>
      </c>
      <c r="R1046" t="inlineStr">
        <is>
          <t>да</t>
        </is>
      </c>
      <c r="T1046">
        <f>IF(AND($P1046&gt;0,$R1046="да"),MAX($T$1:$T1045)+1,"")</f>
        <v/>
      </c>
    </row>
    <row r="1047">
      <c r="A1047" s="11">
        <f>IFERROR(INDEX(спр_Работы!$D$2:$D$6000,MATCH($C1047,спр_Работы!$A$2:$A$6000,0)),"")</f>
        <v/>
      </c>
      <c r="B1047">
        <f>IFERROR(INDEX(спр_Работы!$F$2:$F$6000,MATCH($C1047,спр_Работы!$A$2:$A$6000,0)),"")</f>
        <v/>
      </c>
      <c r="C1047">
        <f>IFERROR(INDEX(спр_Работы!$A$2:$A$6000,1046),"")</f>
        <v/>
      </c>
      <c r="D1047" s="8">
        <f>IFERROR(INDEX(спр_Работы!$B$2:$B$6000,MATCH($C1047,спр_Работы!$A$2:$A$6000,0)),"")</f>
        <v/>
      </c>
      <c r="E1047">
        <f>IFERROR(INDEX(спр_Работы!$C$2:$C$6000,MATCH($C1047,спр_Работы!$A$2:$A$6000,0)),"")</f>
        <v/>
      </c>
      <c r="F1047">
        <f>IFERROR(INDEX(спр_Работы!$G$2:$G$6000,MATCH($C1047,спр_Работы!$A$2:$A$6000,0)),"")</f>
        <v/>
      </c>
      <c r="G1047">
        <f>IFERROR(INDEX(спр_Работы!$K$2:$K$6000,MATCH($C1047,спр_Работы!$A$2:$A$6000,0)),"")</f>
        <v/>
      </c>
      <c r="H1047" s="9" t="n"/>
      <c r="I1047" s="9" t="n"/>
      <c r="J1047" s="8">
        <f>IFERROR(INDEX(спр_Материалы!$B$2:$B$9000,MATCH($I1047,спр_Материалы!$A$2:$A$9000,0)),"")</f>
        <v/>
      </c>
      <c r="K1047">
        <f>IF($I1047="","",IF($F1047=IFERROR(INDEX(спр_Материалы!$G$2:$G$9000,MATCH($I1047,спр_Материалы!$A$2:$A$9000,0)),""),"OK","!! не та группа"))</f>
        <v/>
      </c>
      <c r="L1047" s="10">
        <f>IFERROR(INDEX(спр_Работы!$H$2:$H$6000,MATCH($C1047,спр_Работы!$A$2:$A$6000,0))*(1-ДисконтТендер),0)</f>
        <v/>
      </c>
      <c r="M1047" s="10">
        <f>IF($I1047="",0,IFERROR(INDEX(спр_Материалы!$I$2:$I$9000,MATCH($I1047,спр_Материалы!$A$2:$A$9000,0))*IF(INDEX(спр_Материалы!$J$2:$J$9000,MATCH($I1047,спр_Материалы!$A$2:$A$9000,0))="USD",КурсUSD,IF(INDEX(спр_Материалы!$J$2:$J$9000,MATCH($I1047,спр_Материалы!$A$2:$A$9000,0))="EUR",КурсEUR,1))*INDEX(спр_Материалы!$K$2:$K$9000,MATCH($I1047,спр_Материалы!$A$2:$A$9000,0))*(1+IFERROR(INDEX(спр_Работы!$I$2:$I$6000,MATCH($C1047,спр_Работы!$A$2:$A$6000,0))/100,0))*(1-ДисконтТендер),0))</f>
        <v/>
      </c>
      <c r="N1047" s="10">
        <f>IF(AND($R1047="да",$H1047&lt;&gt;""),ROUND($H1047*$L1047,2),0)</f>
        <v/>
      </c>
      <c r="O1047" s="10">
        <f>IF(AND($R1047="да",$H1047&lt;&gt;""),ROUND($H1047*$M1047,2),0)</f>
        <v/>
      </c>
      <c r="P1047" s="10">
        <f>$N1047+$O1047</f>
        <v/>
      </c>
      <c r="Q1047">
        <f>IFERROR(INDEX(спр_Работы!$J$2:$J$6000,MATCH($C1047,спр_Работы!$A$2:$A$6000,0)),"")</f>
        <v/>
      </c>
      <c r="R1047" t="inlineStr">
        <is>
          <t>да</t>
        </is>
      </c>
      <c r="T1047">
        <f>IF(AND($P1047&gt;0,$R1047="да"),MAX($T$1:$T1046)+1,"")</f>
        <v/>
      </c>
    </row>
    <row r="1048">
      <c r="A1048" s="11">
        <f>IFERROR(INDEX(спр_Работы!$D$2:$D$6000,MATCH($C1048,спр_Работы!$A$2:$A$6000,0)),"")</f>
        <v/>
      </c>
      <c r="B1048">
        <f>IFERROR(INDEX(спр_Работы!$F$2:$F$6000,MATCH($C1048,спр_Работы!$A$2:$A$6000,0)),"")</f>
        <v/>
      </c>
      <c r="C1048">
        <f>IFERROR(INDEX(спр_Работы!$A$2:$A$6000,1047),"")</f>
        <v/>
      </c>
      <c r="D1048" s="8">
        <f>IFERROR(INDEX(спр_Работы!$B$2:$B$6000,MATCH($C1048,спр_Работы!$A$2:$A$6000,0)),"")</f>
        <v/>
      </c>
      <c r="E1048">
        <f>IFERROR(INDEX(спр_Работы!$C$2:$C$6000,MATCH($C1048,спр_Работы!$A$2:$A$6000,0)),"")</f>
        <v/>
      </c>
      <c r="F1048">
        <f>IFERROR(INDEX(спр_Работы!$G$2:$G$6000,MATCH($C1048,спр_Работы!$A$2:$A$6000,0)),"")</f>
        <v/>
      </c>
      <c r="G1048">
        <f>IFERROR(INDEX(спр_Работы!$K$2:$K$6000,MATCH($C1048,спр_Работы!$A$2:$A$6000,0)),"")</f>
        <v/>
      </c>
      <c r="H1048" s="9" t="n"/>
      <c r="I1048" s="9" t="n"/>
      <c r="J1048" s="8">
        <f>IFERROR(INDEX(спр_Материалы!$B$2:$B$9000,MATCH($I1048,спр_Материалы!$A$2:$A$9000,0)),"")</f>
        <v/>
      </c>
      <c r="K1048">
        <f>IF($I1048="","",IF($F1048=IFERROR(INDEX(спр_Материалы!$G$2:$G$9000,MATCH($I1048,спр_Материалы!$A$2:$A$9000,0)),""),"OK","!! не та группа"))</f>
        <v/>
      </c>
      <c r="L1048" s="10">
        <f>IFERROR(INDEX(спр_Работы!$H$2:$H$6000,MATCH($C1048,спр_Работы!$A$2:$A$6000,0))*(1-ДисконтТендер),0)</f>
        <v/>
      </c>
      <c r="M1048" s="10">
        <f>IF($I1048="",0,IFERROR(INDEX(спр_Материалы!$I$2:$I$9000,MATCH($I1048,спр_Материалы!$A$2:$A$9000,0))*IF(INDEX(спр_Материалы!$J$2:$J$9000,MATCH($I1048,спр_Материалы!$A$2:$A$9000,0))="USD",КурсUSD,IF(INDEX(спр_Материалы!$J$2:$J$9000,MATCH($I1048,спр_Материалы!$A$2:$A$9000,0))="EUR",КурсEUR,1))*INDEX(спр_Материалы!$K$2:$K$9000,MATCH($I1048,спр_Материалы!$A$2:$A$9000,0))*(1+IFERROR(INDEX(спр_Работы!$I$2:$I$6000,MATCH($C1048,спр_Работы!$A$2:$A$6000,0))/100,0))*(1-ДисконтТендер),0))</f>
        <v/>
      </c>
      <c r="N1048" s="10">
        <f>IF(AND($R1048="да",$H1048&lt;&gt;""),ROUND($H1048*$L1048,2),0)</f>
        <v/>
      </c>
      <c r="O1048" s="10">
        <f>IF(AND($R1048="да",$H1048&lt;&gt;""),ROUND($H1048*$M1048,2),0)</f>
        <v/>
      </c>
      <c r="P1048" s="10">
        <f>$N1048+$O1048</f>
        <v/>
      </c>
      <c r="Q1048">
        <f>IFERROR(INDEX(спр_Работы!$J$2:$J$6000,MATCH($C1048,спр_Работы!$A$2:$A$6000,0)),"")</f>
        <v/>
      </c>
      <c r="R1048" t="inlineStr">
        <is>
          <t>да</t>
        </is>
      </c>
      <c r="T1048">
        <f>IF(AND($P1048&gt;0,$R1048="да"),MAX($T$1:$T1047)+1,"")</f>
        <v/>
      </c>
    </row>
    <row r="1049">
      <c r="A1049" s="11">
        <f>IFERROR(INDEX(спр_Работы!$D$2:$D$6000,MATCH($C1049,спр_Работы!$A$2:$A$6000,0)),"")</f>
        <v/>
      </c>
      <c r="B1049">
        <f>IFERROR(INDEX(спр_Работы!$F$2:$F$6000,MATCH($C1049,спр_Работы!$A$2:$A$6000,0)),"")</f>
        <v/>
      </c>
      <c r="C1049">
        <f>IFERROR(INDEX(спр_Работы!$A$2:$A$6000,1048),"")</f>
        <v/>
      </c>
      <c r="D1049" s="8">
        <f>IFERROR(INDEX(спр_Работы!$B$2:$B$6000,MATCH($C1049,спр_Работы!$A$2:$A$6000,0)),"")</f>
        <v/>
      </c>
      <c r="E1049">
        <f>IFERROR(INDEX(спр_Работы!$C$2:$C$6000,MATCH($C1049,спр_Работы!$A$2:$A$6000,0)),"")</f>
        <v/>
      </c>
      <c r="F1049">
        <f>IFERROR(INDEX(спр_Работы!$G$2:$G$6000,MATCH($C1049,спр_Работы!$A$2:$A$6000,0)),"")</f>
        <v/>
      </c>
      <c r="G1049">
        <f>IFERROR(INDEX(спр_Работы!$K$2:$K$6000,MATCH($C1049,спр_Работы!$A$2:$A$6000,0)),"")</f>
        <v/>
      </c>
      <c r="H1049" s="9" t="n"/>
      <c r="I1049" s="9" t="n"/>
      <c r="J1049" s="8">
        <f>IFERROR(INDEX(спр_Материалы!$B$2:$B$9000,MATCH($I1049,спр_Материалы!$A$2:$A$9000,0)),"")</f>
        <v/>
      </c>
      <c r="K1049">
        <f>IF($I1049="","",IF($F1049=IFERROR(INDEX(спр_Материалы!$G$2:$G$9000,MATCH($I1049,спр_Материалы!$A$2:$A$9000,0)),""),"OK","!! не та группа"))</f>
        <v/>
      </c>
      <c r="L1049" s="10">
        <f>IFERROR(INDEX(спр_Работы!$H$2:$H$6000,MATCH($C1049,спр_Работы!$A$2:$A$6000,0))*(1-ДисконтТендер),0)</f>
        <v/>
      </c>
      <c r="M1049" s="10">
        <f>IF($I1049="",0,IFERROR(INDEX(спр_Материалы!$I$2:$I$9000,MATCH($I1049,спр_Материалы!$A$2:$A$9000,0))*IF(INDEX(спр_Материалы!$J$2:$J$9000,MATCH($I1049,спр_Материалы!$A$2:$A$9000,0))="USD",КурсUSD,IF(INDEX(спр_Материалы!$J$2:$J$9000,MATCH($I1049,спр_Материалы!$A$2:$A$9000,0))="EUR",КурсEUR,1))*INDEX(спр_Материалы!$K$2:$K$9000,MATCH($I1049,спр_Материалы!$A$2:$A$9000,0))*(1+IFERROR(INDEX(спр_Работы!$I$2:$I$6000,MATCH($C1049,спр_Работы!$A$2:$A$6000,0))/100,0))*(1-ДисконтТендер),0))</f>
        <v/>
      </c>
      <c r="N1049" s="10">
        <f>IF(AND($R1049="да",$H1049&lt;&gt;""),ROUND($H1049*$L1049,2),0)</f>
        <v/>
      </c>
      <c r="O1049" s="10">
        <f>IF(AND($R1049="да",$H1049&lt;&gt;""),ROUND($H1049*$M1049,2),0)</f>
        <v/>
      </c>
      <c r="P1049" s="10">
        <f>$N1049+$O1049</f>
        <v/>
      </c>
      <c r="Q1049">
        <f>IFERROR(INDEX(спр_Работы!$J$2:$J$6000,MATCH($C1049,спр_Работы!$A$2:$A$6000,0)),"")</f>
        <v/>
      </c>
      <c r="R1049" t="inlineStr">
        <is>
          <t>да</t>
        </is>
      </c>
      <c r="T1049">
        <f>IF(AND($P1049&gt;0,$R1049="да"),MAX($T$1:$T1048)+1,"")</f>
        <v/>
      </c>
    </row>
    <row r="1050">
      <c r="A1050" s="11">
        <f>IFERROR(INDEX(спр_Работы!$D$2:$D$6000,MATCH($C1050,спр_Работы!$A$2:$A$6000,0)),"")</f>
        <v/>
      </c>
      <c r="B1050">
        <f>IFERROR(INDEX(спр_Работы!$F$2:$F$6000,MATCH($C1050,спр_Работы!$A$2:$A$6000,0)),"")</f>
        <v/>
      </c>
      <c r="C1050">
        <f>IFERROR(INDEX(спр_Работы!$A$2:$A$6000,1049),"")</f>
        <v/>
      </c>
      <c r="D1050" s="8">
        <f>IFERROR(INDEX(спр_Работы!$B$2:$B$6000,MATCH($C1050,спр_Работы!$A$2:$A$6000,0)),"")</f>
        <v/>
      </c>
      <c r="E1050">
        <f>IFERROR(INDEX(спр_Работы!$C$2:$C$6000,MATCH($C1050,спр_Работы!$A$2:$A$6000,0)),"")</f>
        <v/>
      </c>
      <c r="F1050">
        <f>IFERROR(INDEX(спр_Работы!$G$2:$G$6000,MATCH($C1050,спр_Работы!$A$2:$A$6000,0)),"")</f>
        <v/>
      </c>
      <c r="G1050">
        <f>IFERROR(INDEX(спр_Работы!$K$2:$K$6000,MATCH($C1050,спр_Работы!$A$2:$A$6000,0)),"")</f>
        <v/>
      </c>
      <c r="H1050" s="9" t="n"/>
      <c r="I1050" s="9" t="n"/>
      <c r="J1050" s="8">
        <f>IFERROR(INDEX(спр_Материалы!$B$2:$B$9000,MATCH($I1050,спр_Материалы!$A$2:$A$9000,0)),"")</f>
        <v/>
      </c>
      <c r="K1050">
        <f>IF($I1050="","",IF($F1050=IFERROR(INDEX(спр_Материалы!$G$2:$G$9000,MATCH($I1050,спр_Материалы!$A$2:$A$9000,0)),""),"OK","!! не та группа"))</f>
        <v/>
      </c>
      <c r="L1050" s="10">
        <f>IFERROR(INDEX(спр_Работы!$H$2:$H$6000,MATCH($C1050,спр_Работы!$A$2:$A$6000,0))*(1-ДисконтТендер),0)</f>
        <v/>
      </c>
      <c r="M1050" s="10">
        <f>IF($I1050="",0,IFERROR(INDEX(спр_Материалы!$I$2:$I$9000,MATCH($I1050,спр_Материалы!$A$2:$A$9000,0))*IF(INDEX(спр_Материалы!$J$2:$J$9000,MATCH($I1050,спр_Материалы!$A$2:$A$9000,0))="USD",КурсUSD,IF(INDEX(спр_Материалы!$J$2:$J$9000,MATCH($I1050,спр_Материалы!$A$2:$A$9000,0))="EUR",КурсEUR,1))*INDEX(спр_Материалы!$K$2:$K$9000,MATCH($I1050,спр_Материалы!$A$2:$A$9000,0))*(1+IFERROR(INDEX(спр_Работы!$I$2:$I$6000,MATCH($C1050,спр_Работы!$A$2:$A$6000,0))/100,0))*(1-ДисконтТендер),0))</f>
        <v/>
      </c>
      <c r="N1050" s="10">
        <f>IF(AND($R1050="да",$H1050&lt;&gt;""),ROUND($H1050*$L1050,2),0)</f>
        <v/>
      </c>
      <c r="O1050" s="10">
        <f>IF(AND($R1050="да",$H1050&lt;&gt;""),ROUND($H1050*$M1050,2),0)</f>
        <v/>
      </c>
      <c r="P1050" s="10">
        <f>$N1050+$O1050</f>
        <v/>
      </c>
      <c r="Q1050">
        <f>IFERROR(INDEX(спр_Работы!$J$2:$J$6000,MATCH($C1050,спр_Работы!$A$2:$A$6000,0)),"")</f>
        <v/>
      </c>
      <c r="R1050" t="inlineStr">
        <is>
          <t>да</t>
        </is>
      </c>
      <c r="T1050">
        <f>IF(AND($P1050&gt;0,$R1050="да"),MAX($T$1:$T1049)+1,"")</f>
        <v/>
      </c>
    </row>
    <row r="1051">
      <c r="A1051" s="11">
        <f>IFERROR(INDEX(спр_Работы!$D$2:$D$6000,MATCH($C1051,спр_Работы!$A$2:$A$6000,0)),"")</f>
        <v/>
      </c>
      <c r="B1051">
        <f>IFERROR(INDEX(спр_Работы!$F$2:$F$6000,MATCH($C1051,спр_Работы!$A$2:$A$6000,0)),"")</f>
        <v/>
      </c>
      <c r="C1051">
        <f>IFERROR(INDEX(спр_Работы!$A$2:$A$6000,1050),"")</f>
        <v/>
      </c>
      <c r="D1051" s="8">
        <f>IFERROR(INDEX(спр_Работы!$B$2:$B$6000,MATCH($C1051,спр_Работы!$A$2:$A$6000,0)),"")</f>
        <v/>
      </c>
      <c r="E1051">
        <f>IFERROR(INDEX(спр_Работы!$C$2:$C$6000,MATCH($C1051,спр_Работы!$A$2:$A$6000,0)),"")</f>
        <v/>
      </c>
      <c r="F1051">
        <f>IFERROR(INDEX(спр_Работы!$G$2:$G$6000,MATCH($C1051,спр_Работы!$A$2:$A$6000,0)),"")</f>
        <v/>
      </c>
      <c r="G1051">
        <f>IFERROR(INDEX(спр_Работы!$K$2:$K$6000,MATCH($C1051,спр_Работы!$A$2:$A$6000,0)),"")</f>
        <v/>
      </c>
      <c r="H1051" s="9" t="n"/>
      <c r="I1051" s="9" t="n"/>
      <c r="J1051" s="8">
        <f>IFERROR(INDEX(спр_Материалы!$B$2:$B$9000,MATCH($I1051,спр_Материалы!$A$2:$A$9000,0)),"")</f>
        <v/>
      </c>
      <c r="K1051">
        <f>IF($I1051="","",IF($F1051=IFERROR(INDEX(спр_Материалы!$G$2:$G$9000,MATCH($I1051,спр_Материалы!$A$2:$A$9000,0)),""),"OK","!! не та группа"))</f>
        <v/>
      </c>
      <c r="L1051" s="10">
        <f>IFERROR(INDEX(спр_Работы!$H$2:$H$6000,MATCH($C1051,спр_Работы!$A$2:$A$6000,0))*(1-ДисконтТендер),0)</f>
        <v/>
      </c>
      <c r="M1051" s="10">
        <f>IF($I1051="",0,IFERROR(INDEX(спр_Материалы!$I$2:$I$9000,MATCH($I1051,спр_Материалы!$A$2:$A$9000,0))*IF(INDEX(спр_Материалы!$J$2:$J$9000,MATCH($I1051,спр_Материалы!$A$2:$A$9000,0))="USD",КурсUSD,IF(INDEX(спр_Материалы!$J$2:$J$9000,MATCH($I1051,спр_Материалы!$A$2:$A$9000,0))="EUR",КурсEUR,1))*INDEX(спр_Материалы!$K$2:$K$9000,MATCH($I1051,спр_Материалы!$A$2:$A$9000,0))*(1+IFERROR(INDEX(спр_Работы!$I$2:$I$6000,MATCH($C1051,спр_Работы!$A$2:$A$6000,0))/100,0))*(1-ДисконтТендер),0))</f>
        <v/>
      </c>
      <c r="N1051" s="10">
        <f>IF(AND($R1051="да",$H1051&lt;&gt;""),ROUND($H1051*$L1051,2),0)</f>
        <v/>
      </c>
      <c r="O1051" s="10">
        <f>IF(AND($R1051="да",$H1051&lt;&gt;""),ROUND($H1051*$M1051,2),0)</f>
        <v/>
      </c>
      <c r="P1051" s="10">
        <f>$N1051+$O1051</f>
        <v/>
      </c>
      <c r="Q1051">
        <f>IFERROR(INDEX(спр_Работы!$J$2:$J$6000,MATCH($C1051,спр_Работы!$A$2:$A$6000,0)),"")</f>
        <v/>
      </c>
      <c r="R1051" t="inlineStr">
        <is>
          <t>да</t>
        </is>
      </c>
      <c r="T1051">
        <f>IF(AND($P1051&gt;0,$R1051="да"),MAX($T$1:$T1050)+1,"")</f>
        <v/>
      </c>
    </row>
    <row r="1052">
      <c r="A1052" s="11">
        <f>IFERROR(INDEX(спр_Работы!$D$2:$D$6000,MATCH($C1052,спр_Работы!$A$2:$A$6000,0)),"")</f>
        <v/>
      </c>
      <c r="B1052">
        <f>IFERROR(INDEX(спр_Работы!$F$2:$F$6000,MATCH($C1052,спр_Работы!$A$2:$A$6000,0)),"")</f>
        <v/>
      </c>
      <c r="C1052">
        <f>IFERROR(INDEX(спр_Работы!$A$2:$A$6000,1051),"")</f>
        <v/>
      </c>
      <c r="D1052" s="8">
        <f>IFERROR(INDEX(спр_Работы!$B$2:$B$6000,MATCH($C1052,спр_Работы!$A$2:$A$6000,0)),"")</f>
        <v/>
      </c>
      <c r="E1052">
        <f>IFERROR(INDEX(спр_Работы!$C$2:$C$6000,MATCH($C1052,спр_Работы!$A$2:$A$6000,0)),"")</f>
        <v/>
      </c>
      <c r="F1052">
        <f>IFERROR(INDEX(спр_Работы!$G$2:$G$6000,MATCH($C1052,спр_Работы!$A$2:$A$6000,0)),"")</f>
        <v/>
      </c>
      <c r="G1052">
        <f>IFERROR(INDEX(спр_Работы!$K$2:$K$6000,MATCH($C1052,спр_Работы!$A$2:$A$6000,0)),"")</f>
        <v/>
      </c>
      <c r="H1052" s="9" t="n"/>
      <c r="I1052" s="9" t="n"/>
      <c r="J1052" s="8">
        <f>IFERROR(INDEX(спр_Материалы!$B$2:$B$9000,MATCH($I1052,спр_Материалы!$A$2:$A$9000,0)),"")</f>
        <v/>
      </c>
      <c r="K1052">
        <f>IF($I1052="","",IF($F1052=IFERROR(INDEX(спр_Материалы!$G$2:$G$9000,MATCH($I1052,спр_Материалы!$A$2:$A$9000,0)),""),"OK","!! не та группа"))</f>
        <v/>
      </c>
      <c r="L1052" s="10">
        <f>IFERROR(INDEX(спр_Работы!$H$2:$H$6000,MATCH($C1052,спр_Работы!$A$2:$A$6000,0))*(1-ДисконтТендер),0)</f>
        <v/>
      </c>
      <c r="M1052" s="10">
        <f>IF($I1052="",0,IFERROR(INDEX(спр_Материалы!$I$2:$I$9000,MATCH($I1052,спр_Материалы!$A$2:$A$9000,0))*IF(INDEX(спр_Материалы!$J$2:$J$9000,MATCH($I1052,спр_Материалы!$A$2:$A$9000,0))="USD",КурсUSD,IF(INDEX(спр_Материалы!$J$2:$J$9000,MATCH($I1052,спр_Материалы!$A$2:$A$9000,0))="EUR",КурсEUR,1))*INDEX(спр_Материалы!$K$2:$K$9000,MATCH($I1052,спр_Материалы!$A$2:$A$9000,0))*(1+IFERROR(INDEX(спр_Работы!$I$2:$I$6000,MATCH($C1052,спр_Работы!$A$2:$A$6000,0))/100,0))*(1-ДисконтТендер),0))</f>
        <v/>
      </c>
      <c r="N1052" s="10">
        <f>IF(AND($R1052="да",$H1052&lt;&gt;""),ROUND($H1052*$L1052,2),0)</f>
        <v/>
      </c>
      <c r="O1052" s="10">
        <f>IF(AND($R1052="да",$H1052&lt;&gt;""),ROUND($H1052*$M1052,2),0)</f>
        <v/>
      </c>
      <c r="P1052" s="10">
        <f>$N1052+$O1052</f>
        <v/>
      </c>
      <c r="Q1052">
        <f>IFERROR(INDEX(спр_Работы!$J$2:$J$6000,MATCH($C1052,спр_Работы!$A$2:$A$6000,0)),"")</f>
        <v/>
      </c>
      <c r="R1052" t="inlineStr">
        <is>
          <t>да</t>
        </is>
      </c>
      <c r="T1052">
        <f>IF(AND($P1052&gt;0,$R1052="да"),MAX($T$1:$T1051)+1,"")</f>
        <v/>
      </c>
    </row>
    <row r="1053">
      <c r="A1053" s="11">
        <f>IFERROR(INDEX(спр_Работы!$D$2:$D$6000,MATCH($C1053,спр_Работы!$A$2:$A$6000,0)),"")</f>
        <v/>
      </c>
      <c r="B1053">
        <f>IFERROR(INDEX(спр_Работы!$F$2:$F$6000,MATCH($C1053,спр_Работы!$A$2:$A$6000,0)),"")</f>
        <v/>
      </c>
      <c r="C1053">
        <f>IFERROR(INDEX(спр_Работы!$A$2:$A$6000,1052),"")</f>
        <v/>
      </c>
      <c r="D1053" s="8">
        <f>IFERROR(INDEX(спр_Работы!$B$2:$B$6000,MATCH($C1053,спр_Работы!$A$2:$A$6000,0)),"")</f>
        <v/>
      </c>
      <c r="E1053">
        <f>IFERROR(INDEX(спр_Работы!$C$2:$C$6000,MATCH($C1053,спр_Работы!$A$2:$A$6000,0)),"")</f>
        <v/>
      </c>
      <c r="F1053">
        <f>IFERROR(INDEX(спр_Работы!$G$2:$G$6000,MATCH($C1053,спр_Работы!$A$2:$A$6000,0)),"")</f>
        <v/>
      </c>
      <c r="G1053">
        <f>IFERROR(INDEX(спр_Работы!$K$2:$K$6000,MATCH($C1053,спр_Работы!$A$2:$A$6000,0)),"")</f>
        <v/>
      </c>
      <c r="H1053" s="9" t="n"/>
      <c r="I1053" s="9" t="n"/>
      <c r="J1053" s="8">
        <f>IFERROR(INDEX(спр_Материалы!$B$2:$B$9000,MATCH($I1053,спр_Материалы!$A$2:$A$9000,0)),"")</f>
        <v/>
      </c>
      <c r="K1053">
        <f>IF($I1053="","",IF($F1053=IFERROR(INDEX(спр_Материалы!$G$2:$G$9000,MATCH($I1053,спр_Материалы!$A$2:$A$9000,0)),""),"OK","!! не та группа"))</f>
        <v/>
      </c>
      <c r="L1053" s="10">
        <f>IFERROR(INDEX(спр_Работы!$H$2:$H$6000,MATCH($C1053,спр_Работы!$A$2:$A$6000,0))*(1-ДисконтТендер),0)</f>
        <v/>
      </c>
      <c r="M1053" s="10">
        <f>IF($I1053="",0,IFERROR(INDEX(спр_Материалы!$I$2:$I$9000,MATCH($I1053,спр_Материалы!$A$2:$A$9000,0))*IF(INDEX(спр_Материалы!$J$2:$J$9000,MATCH($I1053,спр_Материалы!$A$2:$A$9000,0))="USD",КурсUSD,IF(INDEX(спр_Материалы!$J$2:$J$9000,MATCH($I1053,спр_Материалы!$A$2:$A$9000,0))="EUR",КурсEUR,1))*INDEX(спр_Материалы!$K$2:$K$9000,MATCH($I1053,спр_Материалы!$A$2:$A$9000,0))*(1+IFERROR(INDEX(спр_Работы!$I$2:$I$6000,MATCH($C1053,спр_Работы!$A$2:$A$6000,0))/100,0))*(1-ДисконтТендер),0))</f>
        <v/>
      </c>
      <c r="N1053" s="10">
        <f>IF(AND($R1053="да",$H1053&lt;&gt;""),ROUND($H1053*$L1053,2),0)</f>
        <v/>
      </c>
      <c r="O1053" s="10">
        <f>IF(AND($R1053="да",$H1053&lt;&gt;""),ROUND($H1053*$M1053,2),0)</f>
        <v/>
      </c>
      <c r="P1053" s="10">
        <f>$N1053+$O1053</f>
        <v/>
      </c>
      <c r="Q1053">
        <f>IFERROR(INDEX(спр_Работы!$J$2:$J$6000,MATCH($C1053,спр_Работы!$A$2:$A$6000,0)),"")</f>
        <v/>
      </c>
      <c r="R1053" t="inlineStr">
        <is>
          <t>да</t>
        </is>
      </c>
      <c r="T1053">
        <f>IF(AND($P1053&gt;0,$R1053="да"),MAX($T$1:$T1052)+1,"")</f>
        <v/>
      </c>
    </row>
    <row r="1054">
      <c r="A1054" s="11">
        <f>IFERROR(INDEX(спр_Работы!$D$2:$D$6000,MATCH($C1054,спр_Работы!$A$2:$A$6000,0)),"")</f>
        <v/>
      </c>
      <c r="B1054">
        <f>IFERROR(INDEX(спр_Работы!$F$2:$F$6000,MATCH($C1054,спр_Работы!$A$2:$A$6000,0)),"")</f>
        <v/>
      </c>
      <c r="C1054">
        <f>IFERROR(INDEX(спр_Работы!$A$2:$A$6000,1053),"")</f>
        <v/>
      </c>
      <c r="D1054" s="8">
        <f>IFERROR(INDEX(спр_Работы!$B$2:$B$6000,MATCH($C1054,спр_Работы!$A$2:$A$6000,0)),"")</f>
        <v/>
      </c>
      <c r="E1054">
        <f>IFERROR(INDEX(спр_Работы!$C$2:$C$6000,MATCH($C1054,спр_Работы!$A$2:$A$6000,0)),"")</f>
        <v/>
      </c>
      <c r="F1054">
        <f>IFERROR(INDEX(спр_Работы!$G$2:$G$6000,MATCH($C1054,спр_Работы!$A$2:$A$6000,0)),"")</f>
        <v/>
      </c>
      <c r="G1054">
        <f>IFERROR(INDEX(спр_Работы!$K$2:$K$6000,MATCH($C1054,спр_Работы!$A$2:$A$6000,0)),"")</f>
        <v/>
      </c>
      <c r="H1054" s="9" t="n"/>
      <c r="I1054" s="9" t="n"/>
      <c r="J1054" s="8">
        <f>IFERROR(INDEX(спр_Материалы!$B$2:$B$9000,MATCH($I1054,спр_Материалы!$A$2:$A$9000,0)),"")</f>
        <v/>
      </c>
      <c r="K1054">
        <f>IF($I1054="","",IF($F1054=IFERROR(INDEX(спр_Материалы!$G$2:$G$9000,MATCH($I1054,спр_Материалы!$A$2:$A$9000,0)),""),"OK","!! не та группа"))</f>
        <v/>
      </c>
      <c r="L1054" s="10">
        <f>IFERROR(INDEX(спр_Работы!$H$2:$H$6000,MATCH($C1054,спр_Работы!$A$2:$A$6000,0))*(1-ДисконтТендер),0)</f>
        <v/>
      </c>
      <c r="M1054" s="10">
        <f>IF($I1054="",0,IFERROR(INDEX(спр_Материалы!$I$2:$I$9000,MATCH($I1054,спр_Материалы!$A$2:$A$9000,0))*IF(INDEX(спр_Материалы!$J$2:$J$9000,MATCH($I1054,спр_Материалы!$A$2:$A$9000,0))="USD",КурсUSD,IF(INDEX(спр_Материалы!$J$2:$J$9000,MATCH($I1054,спр_Материалы!$A$2:$A$9000,0))="EUR",КурсEUR,1))*INDEX(спр_Материалы!$K$2:$K$9000,MATCH($I1054,спр_Материалы!$A$2:$A$9000,0))*(1+IFERROR(INDEX(спр_Работы!$I$2:$I$6000,MATCH($C1054,спр_Работы!$A$2:$A$6000,0))/100,0))*(1-ДисконтТендер),0))</f>
        <v/>
      </c>
      <c r="N1054" s="10">
        <f>IF(AND($R1054="да",$H1054&lt;&gt;""),ROUND($H1054*$L1054,2),0)</f>
        <v/>
      </c>
      <c r="O1054" s="10">
        <f>IF(AND($R1054="да",$H1054&lt;&gt;""),ROUND($H1054*$M1054,2),0)</f>
        <v/>
      </c>
      <c r="P1054" s="10">
        <f>$N1054+$O1054</f>
        <v/>
      </c>
      <c r="Q1054">
        <f>IFERROR(INDEX(спр_Работы!$J$2:$J$6000,MATCH($C1054,спр_Работы!$A$2:$A$6000,0)),"")</f>
        <v/>
      </c>
      <c r="R1054" t="inlineStr">
        <is>
          <t>да</t>
        </is>
      </c>
      <c r="T1054">
        <f>IF(AND($P1054&gt;0,$R1054="да"),MAX($T$1:$T1053)+1,"")</f>
        <v/>
      </c>
    </row>
    <row r="1055">
      <c r="A1055" s="11">
        <f>IFERROR(INDEX(спр_Работы!$D$2:$D$6000,MATCH($C1055,спр_Работы!$A$2:$A$6000,0)),"")</f>
        <v/>
      </c>
      <c r="B1055">
        <f>IFERROR(INDEX(спр_Работы!$F$2:$F$6000,MATCH($C1055,спр_Работы!$A$2:$A$6000,0)),"")</f>
        <v/>
      </c>
      <c r="C1055">
        <f>IFERROR(INDEX(спр_Работы!$A$2:$A$6000,1054),"")</f>
        <v/>
      </c>
      <c r="D1055" s="8">
        <f>IFERROR(INDEX(спр_Работы!$B$2:$B$6000,MATCH($C1055,спр_Работы!$A$2:$A$6000,0)),"")</f>
        <v/>
      </c>
      <c r="E1055">
        <f>IFERROR(INDEX(спр_Работы!$C$2:$C$6000,MATCH($C1055,спр_Работы!$A$2:$A$6000,0)),"")</f>
        <v/>
      </c>
      <c r="F1055">
        <f>IFERROR(INDEX(спр_Работы!$G$2:$G$6000,MATCH($C1055,спр_Работы!$A$2:$A$6000,0)),"")</f>
        <v/>
      </c>
      <c r="G1055">
        <f>IFERROR(INDEX(спр_Работы!$K$2:$K$6000,MATCH($C1055,спр_Работы!$A$2:$A$6000,0)),"")</f>
        <v/>
      </c>
      <c r="H1055" s="9" t="n"/>
      <c r="I1055" s="9" t="n"/>
      <c r="J1055" s="8">
        <f>IFERROR(INDEX(спр_Материалы!$B$2:$B$9000,MATCH($I1055,спр_Материалы!$A$2:$A$9000,0)),"")</f>
        <v/>
      </c>
      <c r="K1055">
        <f>IF($I1055="","",IF($F1055=IFERROR(INDEX(спр_Материалы!$G$2:$G$9000,MATCH($I1055,спр_Материалы!$A$2:$A$9000,0)),""),"OK","!! не та группа"))</f>
        <v/>
      </c>
      <c r="L1055" s="10">
        <f>IFERROR(INDEX(спр_Работы!$H$2:$H$6000,MATCH($C1055,спр_Работы!$A$2:$A$6000,0))*(1-ДисконтТендер),0)</f>
        <v/>
      </c>
      <c r="M1055" s="10">
        <f>IF($I1055="",0,IFERROR(INDEX(спр_Материалы!$I$2:$I$9000,MATCH($I1055,спр_Материалы!$A$2:$A$9000,0))*IF(INDEX(спр_Материалы!$J$2:$J$9000,MATCH($I1055,спр_Материалы!$A$2:$A$9000,0))="USD",КурсUSD,IF(INDEX(спр_Материалы!$J$2:$J$9000,MATCH($I1055,спр_Материалы!$A$2:$A$9000,0))="EUR",КурсEUR,1))*INDEX(спр_Материалы!$K$2:$K$9000,MATCH($I1055,спр_Материалы!$A$2:$A$9000,0))*(1+IFERROR(INDEX(спр_Работы!$I$2:$I$6000,MATCH($C1055,спр_Работы!$A$2:$A$6000,0))/100,0))*(1-ДисконтТендер),0))</f>
        <v/>
      </c>
      <c r="N1055" s="10">
        <f>IF(AND($R1055="да",$H1055&lt;&gt;""),ROUND($H1055*$L1055,2),0)</f>
        <v/>
      </c>
      <c r="O1055" s="10">
        <f>IF(AND($R1055="да",$H1055&lt;&gt;""),ROUND($H1055*$M1055,2),0)</f>
        <v/>
      </c>
      <c r="P1055" s="10">
        <f>$N1055+$O1055</f>
        <v/>
      </c>
      <c r="Q1055">
        <f>IFERROR(INDEX(спр_Работы!$J$2:$J$6000,MATCH($C1055,спр_Работы!$A$2:$A$6000,0)),"")</f>
        <v/>
      </c>
      <c r="R1055" t="inlineStr">
        <is>
          <t>да</t>
        </is>
      </c>
      <c r="T1055">
        <f>IF(AND($P1055&gt;0,$R1055="да"),MAX($T$1:$T1054)+1,"")</f>
        <v/>
      </c>
    </row>
    <row r="1056">
      <c r="A1056" s="11">
        <f>IFERROR(INDEX(спр_Работы!$D$2:$D$6000,MATCH($C1056,спр_Работы!$A$2:$A$6000,0)),"")</f>
        <v/>
      </c>
      <c r="B1056">
        <f>IFERROR(INDEX(спр_Работы!$F$2:$F$6000,MATCH($C1056,спр_Работы!$A$2:$A$6000,0)),"")</f>
        <v/>
      </c>
      <c r="C1056">
        <f>IFERROR(INDEX(спр_Работы!$A$2:$A$6000,1055),"")</f>
        <v/>
      </c>
      <c r="D1056" s="8">
        <f>IFERROR(INDEX(спр_Работы!$B$2:$B$6000,MATCH($C1056,спр_Работы!$A$2:$A$6000,0)),"")</f>
        <v/>
      </c>
      <c r="E1056">
        <f>IFERROR(INDEX(спр_Работы!$C$2:$C$6000,MATCH($C1056,спр_Работы!$A$2:$A$6000,0)),"")</f>
        <v/>
      </c>
      <c r="F1056">
        <f>IFERROR(INDEX(спр_Работы!$G$2:$G$6000,MATCH($C1056,спр_Работы!$A$2:$A$6000,0)),"")</f>
        <v/>
      </c>
      <c r="G1056">
        <f>IFERROR(INDEX(спр_Работы!$K$2:$K$6000,MATCH($C1056,спр_Работы!$A$2:$A$6000,0)),"")</f>
        <v/>
      </c>
      <c r="H1056" s="9" t="n"/>
      <c r="I1056" s="9" t="n"/>
      <c r="J1056" s="8">
        <f>IFERROR(INDEX(спр_Материалы!$B$2:$B$9000,MATCH($I1056,спр_Материалы!$A$2:$A$9000,0)),"")</f>
        <v/>
      </c>
      <c r="K1056">
        <f>IF($I1056="","",IF($F1056=IFERROR(INDEX(спр_Материалы!$G$2:$G$9000,MATCH($I1056,спр_Материалы!$A$2:$A$9000,0)),""),"OK","!! не та группа"))</f>
        <v/>
      </c>
      <c r="L1056" s="10">
        <f>IFERROR(INDEX(спр_Работы!$H$2:$H$6000,MATCH($C1056,спр_Работы!$A$2:$A$6000,0))*(1-ДисконтТендер),0)</f>
        <v/>
      </c>
      <c r="M1056" s="10">
        <f>IF($I1056="",0,IFERROR(INDEX(спр_Материалы!$I$2:$I$9000,MATCH($I1056,спр_Материалы!$A$2:$A$9000,0))*IF(INDEX(спр_Материалы!$J$2:$J$9000,MATCH($I1056,спр_Материалы!$A$2:$A$9000,0))="USD",КурсUSD,IF(INDEX(спр_Материалы!$J$2:$J$9000,MATCH($I1056,спр_Материалы!$A$2:$A$9000,0))="EUR",КурсEUR,1))*INDEX(спр_Материалы!$K$2:$K$9000,MATCH($I1056,спр_Материалы!$A$2:$A$9000,0))*(1+IFERROR(INDEX(спр_Работы!$I$2:$I$6000,MATCH($C1056,спр_Работы!$A$2:$A$6000,0))/100,0))*(1-ДисконтТендер),0))</f>
        <v/>
      </c>
      <c r="N1056" s="10">
        <f>IF(AND($R1056="да",$H1056&lt;&gt;""),ROUND($H1056*$L1056,2),0)</f>
        <v/>
      </c>
      <c r="O1056" s="10">
        <f>IF(AND($R1056="да",$H1056&lt;&gt;""),ROUND($H1056*$M1056,2),0)</f>
        <v/>
      </c>
      <c r="P1056" s="10">
        <f>$N1056+$O1056</f>
        <v/>
      </c>
      <c r="Q1056">
        <f>IFERROR(INDEX(спр_Работы!$J$2:$J$6000,MATCH($C1056,спр_Работы!$A$2:$A$6000,0)),"")</f>
        <v/>
      </c>
      <c r="R1056" t="inlineStr">
        <is>
          <t>да</t>
        </is>
      </c>
      <c r="T1056">
        <f>IF(AND($P1056&gt;0,$R1056="да"),MAX($T$1:$T1055)+1,"")</f>
        <v/>
      </c>
    </row>
    <row r="1057">
      <c r="A1057" s="11">
        <f>IFERROR(INDEX(спр_Работы!$D$2:$D$6000,MATCH($C1057,спр_Работы!$A$2:$A$6000,0)),"")</f>
        <v/>
      </c>
      <c r="B1057">
        <f>IFERROR(INDEX(спр_Работы!$F$2:$F$6000,MATCH($C1057,спр_Работы!$A$2:$A$6000,0)),"")</f>
        <v/>
      </c>
      <c r="C1057">
        <f>IFERROR(INDEX(спр_Работы!$A$2:$A$6000,1056),"")</f>
        <v/>
      </c>
      <c r="D1057" s="8">
        <f>IFERROR(INDEX(спр_Работы!$B$2:$B$6000,MATCH($C1057,спр_Работы!$A$2:$A$6000,0)),"")</f>
        <v/>
      </c>
      <c r="E1057">
        <f>IFERROR(INDEX(спр_Работы!$C$2:$C$6000,MATCH($C1057,спр_Работы!$A$2:$A$6000,0)),"")</f>
        <v/>
      </c>
      <c r="F1057">
        <f>IFERROR(INDEX(спр_Работы!$G$2:$G$6000,MATCH($C1057,спр_Работы!$A$2:$A$6000,0)),"")</f>
        <v/>
      </c>
      <c r="G1057">
        <f>IFERROR(INDEX(спр_Работы!$K$2:$K$6000,MATCH($C1057,спр_Работы!$A$2:$A$6000,0)),"")</f>
        <v/>
      </c>
      <c r="H1057" s="9" t="n"/>
      <c r="I1057" s="9" t="n"/>
      <c r="J1057" s="8">
        <f>IFERROR(INDEX(спр_Материалы!$B$2:$B$9000,MATCH($I1057,спр_Материалы!$A$2:$A$9000,0)),"")</f>
        <v/>
      </c>
      <c r="K1057">
        <f>IF($I1057="","",IF($F1057=IFERROR(INDEX(спр_Материалы!$G$2:$G$9000,MATCH($I1057,спр_Материалы!$A$2:$A$9000,0)),""),"OK","!! не та группа"))</f>
        <v/>
      </c>
      <c r="L1057" s="10">
        <f>IFERROR(INDEX(спр_Работы!$H$2:$H$6000,MATCH($C1057,спр_Работы!$A$2:$A$6000,0))*(1-ДисконтТендер),0)</f>
        <v/>
      </c>
      <c r="M1057" s="10">
        <f>IF($I1057="",0,IFERROR(INDEX(спр_Материалы!$I$2:$I$9000,MATCH($I1057,спр_Материалы!$A$2:$A$9000,0))*IF(INDEX(спр_Материалы!$J$2:$J$9000,MATCH($I1057,спр_Материалы!$A$2:$A$9000,0))="USD",КурсUSD,IF(INDEX(спр_Материалы!$J$2:$J$9000,MATCH($I1057,спр_Материалы!$A$2:$A$9000,0))="EUR",КурсEUR,1))*INDEX(спр_Материалы!$K$2:$K$9000,MATCH($I1057,спр_Материалы!$A$2:$A$9000,0))*(1+IFERROR(INDEX(спр_Работы!$I$2:$I$6000,MATCH($C1057,спр_Работы!$A$2:$A$6000,0))/100,0))*(1-ДисконтТендер),0))</f>
        <v/>
      </c>
      <c r="N1057" s="10">
        <f>IF(AND($R1057="да",$H1057&lt;&gt;""),ROUND($H1057*$L1057,2),0)</f>
        <v/>
      </c>
      <c r="O1057" s="10">
        <f>IF(AND($R1057="да",$H1057&lt;&gt;""),ROUND($H1057*$M1057,2),0)</f>
        <v/>
      </c>
      <c r="P1057" s="10">
        <f>$N1057+$O1057</f>
        <v/>
      </c>
      <c r="Q1057">
        <f>IFERROR(INDEX(спр_Работы!$J$2:$J$6000,MATCH($C1057,спр_Работы!$A$2:$A$6000,0)),"")</f>
        <v/>
      </c>
      <c r="R1057" t="inlineStr">
        <is>
          <t>да</t>
        </is>
      </c>
      <c r="T1057">
        <f>IF(AND($P1057&gt;0,$R1057="да"),MAX($T$1:$T1056)+1,"")</f>
        <v/>
      </c>
    </row>
    <row r="1058">
      <c r="A1058" s="11">
        <f>IFERROR(INDEX(спр_Работы!$D$2:$D$6000,MATCH($C1058,спр_Работы!$A$2:$A$6000,0)),"")</f>
        <v/>
      </c>
      <c r="B1058">
        <f>IFERROR(INDEX(спр_Работы!$F$2:$F$6000,MATCH($C1058,спр_Работы!$A$2:$A$6000,0)),"")</f>
        <v/>
      </c>
      <c r="C1058">
        <f>IFERROR(INDEX(спр_Работы!$A$2:$A$6000,1057),"")</f>
        <v/>
      </c>
      <c r="D1058" s="8">
        <f>IFERROR(INDEX(спр_Работы!$B$2:$B$6000,MATCH($C1058,спр_Работы!$A$2:$A$6000,0)),"")</f>
        <v/>
      </c>
      <c r="E1058">
        <f>IFERROR(INDEX(спр_Работы!$C$2:$C$6000,MATCH($C1058,спр_Работы!$A$2:$A$6000,0)),"")</f>
        <v/>
      </c>
      <c r="F1058">
        <f>IFERROR(INDEX(спр_Работы!$G$2:$G$6000,MATCH($C1058,спр_Работы!$A$2:$A$6000,0)),"")</f>
        <v/>
      </c>
      <c r="G1058">
        <f>IFERROR(INDEX(спр_Работы!$K$2:$K$6000,MATCH($C1058,спр_Работы!$A$2:$A$6000,0)),"")</f>
        <v/>
      </c>
      <c r="H1058" s="9" t="n"/>
      <c r="I1058" s="9" t="n"/>
      <c r="J1058" s="8">
        <f>IFERROR(INDEX(спр_Материалы!$B$2:$B$9000,MATCH($I1058,спр_Материалы!$A$2:$A$9000,0)),"")</f>
        <v/>
      </c>
      <c r="K1058">
        <f>IF($I1058="","",IF($F1058=IFERROR(INDEX(спр_Материалы!$G$2:$G$9000,MATCH($I1058,спр_Материалы!$A$2:$A$9000,0)),""),"OK","!! не та группа"))</f>
        <v/>
      </c>
      <c r="L1058" s="10">
        <f>IFERROR(INDEX(спр_Работы!$H$2:$H$6000,MATCH($C1058,спр_Работы!$A$2:$A$6000,0))*(1-ДисконтТендер),0)</f>
        <v/>
      </c>
      <c r="M1058" s="10">
        <f>IF($I1058="",0,IFERROR(INDEX(спр_Материалы!$I$2:$I$9000,MATCH($I1058,спр_Материалы!$A$2:$A$9000,0))*IF(INDEX(спр_Материалы!$J$2:$J$9000,MATCH($I1058,спр_Материалы!$A$2:$A$9000,0))="USD",КурсUSD,IF(INDEX(спр_Материалы!$J$2:$J$9000,MATCH($I1058,спр_Материалы!$A$2:$A$9000,0))="EUR",КурсEUR,1))*INDEX(спр_Материалы!$K$2:$K$9000,MATCH($I1058,спр_Материалы!$A$2:$A$9000,0))*(1+IFERROR(INDEX(спр_Работы!$I$2:$I$6000,MATCH($C1058,спр_Работы!$A$2:$A$6000,0))/100,0))*(1-ДисконтТендер),0))</f>
        <v/>
      </c>
      <c r="N1058" s="10">
        <f>IF(AND($R1058="да",$H1058&lt;&gt;""),ROUND($H1058*$L1058,2),0)</f>
        <v/>
      </c>
      <c r="O1058" s="10">
        <f>IF(AND($R1058="да",$H1058&lt;&gt;""),ROUND($H1058*$M1058,2),0)</f>
        <v/>
      </c>
      <c r="P1058" s="10">
        <f>$N1058+$O1058</f>
        <v/>
      </c>
      <c r="Q1058">
        <f>IFERROR(INDEX(спр_Работы!$J$2:$J$6000,MATCH($C1058,спр_Работы!$A$2:$A$6000,0)),"")</f>
        <v/>
      </c>
      <c r="R1058" t="inlineStr">
        <is>
          <t>да</t>
        </is>
      </c>
      <c r="T1058">
        <f>IF(AND($P1058&gt;0,$R1058="да"),MAX($T$1:$T1057)+1,"")</f>
        <v/>
      </c>
    </row>
    <row r="1059">
      <c r="A1059" s="11">
        <f>IFERROR(INDEX(спр_Работы!$D$2:$D$6000,MATCH($C1059,спр_Работы!$A$2:$A$6000,0)),"")</f>
        <v/>
      </c>
      <c r="B1059">
        <f>IFERROR(INDEX(спр_Работы!$F$2:$F$6000,MATCH($C1059,спр_Работы!$A$2:$A$6000,0)),"")</f>
        <v/>
      </c>
      <c r="C1059">
        <f>IFERROR(INDEX(спр_Работы!$A$2:$A$6000,1058),"")</f>
        <v/>
      </c>
      <c r="D1059" s="8">
        <f>IFERROR(INDEX(спр_Работы!$B$2:$B$6000,MATCH($C1059,спр_Работы!$A$2:$A$6000,0)),"")</f>
        <v/>
      </c>
      <c r="E1059">
        <f>IFERROR(INDEX(спр_Работы!$C$2:$C$6000,MATCH($C1059,спр_Работы!$A$2:$A$6000,0)),"")</f>
        <v/>
      </c>
      <c r="F1059">
        <f>IFERROR(INDEX(спр_Работы!$G$2:$G$6000,MATCH($C1059,спр_Работы!$A$2:$A$6000,0)),"")</f>
        <v/>
      </c>
      <c r="G1059">
        <f>IFERROR(INDEX(спр_Работы!$K$2:$K$6000,MATCH($C1059,спр_Работы!$A$2:$A$6000,0)),"")</f>
        <v/>
      </c>
      <c r="H1059" s="9" t="n"/>
      <c r="I1059" s="9" t="n"/>
      <c r="J1059" s="8">
        <f>IFERROR(INDEX(спр_Материалы!$B$2:$B$9000,MATCH($I1059,спр_Материалы!$A$2:$A$9000,0)),"")</f>
        <v/>
      </c>
      <c r="K1059">
        <f>IF($I1059="","",IF($F1059=IFERROR(INDEX(спр_Материалы!$G$2:$G$9000,MATCH($I1059,спр_Материалы!$A$2:$A$9000,0)),""),"OK","!! не та группа"))</f>
        <v/>
      </c>
      <c r="L1059" s="10">
        <f>IFERROR(INDEX(спр_Работы!$H$2:$H$6000,MATCH($C1059,спр_Работы!$A$2:$A$6000,0))*(1-ДисконтТендер),0)</f>
        <v/>
      </c>
      <c r="M1059" s="10">
        <f>IF($I1059="",0,IFERROR(INDEX(спр_Материалы!$I$2:$I$9000,MATCH($I1059,спр_Материалы!$A$2:$A$9000,0))*IF(INDEX(спр_Материалы!$J$2:$J$9000,MATCH($I1059,спр_Материалы!$A$2:$A$9000,0))="USD",КурсUSD,IF(INDEX(спр_Материалы!$J$2:$J$9000,MATCH($I1059,спр_Материалы!$A$2:$A$9000,0))="EUR",КурсEUR,1))*INDEX(спр_Материалы!$K$2:$K$9000,MATCH($I1059,спр_Материалы!$A$2:$A$9000,0))*(1+IFERROR(INDEX(спр_Работы!$I$2:$I$6000,MATCH($C1059,спр_Работы!$A$2:$A$6000,0))/100,0))*(1-ДисконтТендер),0))</f>
        <v/>
      </c>
      <c r="N1059" s="10">
        <f>IF(AND($R1059="да",$H1059&lt;&gt;""),ROUND($H1059*$L1059,2),0)</f>
        <v/>
      </c>
      <c r="O1059" s="10">
        <f>IF(AND($R1059="да",$H1059&lt;&gt;""),ROUND($H1059*$M1059,2),0)</f>
        <v/>
      </c>
      <c r="P1059" s="10">
        <f>$N1059+$O1059</f>
        <v/>
      </c>
      <c r="Q1059">
        <f>IFERROR(INDEX(спр_Работы!$J$2:$J$6000,MATCH($C1059,спр_Работы!$A$2:$A$6000,0)),"")</f>
        <v/>
      </c>
      <c r="R1059" t="inlineStr">
        <is>
          <t>да</t>
        </is>
      </c>
      <c r="T1059">
        <f>IF(AND($P1059&gt;0,$R1059="да"),MAX($T$1:$T1058)+1,"")</f>
        <v/>
      </c>
    </row>
    <row r="1060">
      <c r="A1060" s="11">
        <f>IFERROR(INDEX(спр_Работы!$D$2:$D$6000,MATCH($C1060,спр_Работы!$A$2:$A$6000,0)),"")</f>
        <v/>
      </c>
      <c r="B1060">
        <f>IFERROR(INDEX(спр_Работы!$F$2:$F$6000,MATCH($C1060,спр_Работы!$A$2:$A$6000,0)),"")</f>
        <v/>
      </c>
      <c r="C1060">
        <f>IFERROR(INDEX(спр_Работы!$A$2:$A$6000,1059),"")</f>
        <v/>
      </c>
      <c r="D1060" s="8">
        <f>IFERROR(INDEX(спр_Работы!$B$2:$B$6000,MATCH($C1060,спр_Работы!$A$2:$A$6000,0)),"")</f>
        <v/>
      </c>
      <c r="E1060">
        <f>IFERROR(INDEX(спр_Работы!$C$2:$C$6000,MATCH($C1060,спр_Работы!$A$2:$A$6000,0)),"")</f>
        <v/>
      </c>
      <c r="F1060">
        <f>IFERROR(INDEX(спр_Работы!$G$2:$G$6000,MATCH($C1060,спр_Работы!$A$2:$A$6000,0)),"")</f>
        <v/>
      </c>
      <c r="G1060">
        <f>IFERROR(INDEX(спр_Работы!$K$2:$K$6000,MATCH($C1060,спр_Работы!$A$2:$A$6000,0)),"")</f>
        <v/>
      </c>
      <c r="H1060" s="9" t="n"/>
      <c r="I1060" s="9" t="n"/>
      <c r="J1060" s="8">
        <f>IFERROR(INDEX(спр_Материалы!$B$2:$B$9000,MATCH($I1060,спр_Материалы!$A$2:$A$9000,0)),"")</f>
        <v/>
      </c>
      <c r="K1060">
        <f>IF($I1060="","",IF($F1060=IFERROR(INDEX(спр_Материалы!$G$2:$G$9000,MATCH($I1060,спр_Материалы!$A$2:$A$9000,0)),""),"OK","!! не та группа"))</f>
        <v/>
      </c>
      <c r="L1060" s="10">
        <f>IFERROR(INDEX(спр_Работы!$H$2:$H$6000,MATCH($C1060,спр_Работы!$A$2:$A$6000,0))*(1-ДисконтТендер),0)</f>
        <v/>
      </c>
      <c r="M1060" s="10">
        <f>IF($I1060="",0,IFERROR(INDEX(спр_Материалы!$I$2:$I$9000,MATCH($I1060,спр_Материалы!$A$2:$A$9000,0))*IF(INDEX(спр_Материалы!$J$2:$J$9000,MATCH($I1060,спр_Материалы!$A$2:$A$9000,0))="USD",КурсUSD,IF(INDEX(спр_Материалы!$J$2:$J$9000,MATCH($I1060,спр_Материалы!$A$2:$A$9000,0))="EUR",КурсEUR,1))*INDEX(спр_Материалы!$K$2:$K$9000,MATCH($I1060,спр_Материалы!$A$2:$A$9000,0))*(1+IFERROR(INDEX(спр_Работы!$I$2:$I$6000,MATCH($C1060,спр_Работы!$A$2:$A$6000,0))/100,0))*(1-ДисконтТендер),0))</f>
        <v/>
      </c>
      <c r="N1060" s="10">
        <f>IF(AND($R1060="да",$H1060&lt;&gt;""),ROUND($H1060*$L1060,2),0)</f>
        <v/>
      </c>
      <c r="O1060" s="10">
        <f>IF(AND($R1060="да",$H1060&lt;&gt;""),ROUND($H1060*$M1060,2),0)</f>
        <v/>
      </c>
      <c r="P1060" s="10">
        <f>$N1060+$O1060</f>
        <v/>
      </c>
      <c r="Q1060">
        <f>IFERROR(INDEX(спр_Работы!$J$2:$J$6000,MATCH($C1060,спр_Работы!$A$2:$A$6000,0)),"")</f>
        <v/>
      </c>
      <c r="R1060" t="inlineStr">
        <is>
          <t>да</t>
        </is>
      </c>
      <c r="T1060">
        <f>IF(AND($P1060&gt;0,$R1060="да"),MAX($T$1:$T1059)+1,"")</f>
        <v/>
      </c>
    </row>
    <row r="1061">
      <c r="A1061" s="11">
        <f>IFERROR(INDEX(спр_Работы!$D$2:$D$6000,MATCH($C1061,спр_Работы!$A$2:$A$6000,0)),"")</f>
        <v/>
      </c>
      <c r="B1061">
        <f>IFERROR(INDEX(спр_Работы!$F$2:$F$6000,MATCH($C1061,спр_Работы!$A$2:$A$6000,0)),"")</f>
        <v/>
      </c>
      <c r="C1061">
        <f>IFERROR(INDEX(спр_Работы!$A$2:$A$6000,1060),"")</f>
        <v/>
      </c>
      <c r="D1061" s="8">
        <f>IFERROR(INDEX(спр_Работы!$B$2:$B$6000,MATCH($C1061,спр_Работы!$A$2:$A$6000,0)),"")</f>
        <v/>
      </c>
      <c r="E1061">
        <f>IFERROR(INDEX(спр_Работы!$C$2:$C$6000,MATCH($C1061,спр_Работы!$A$2:$A$6000,0)),"")</f>
        <v/>
      </c>
      <c r="F1061">
        <f>IFERROR(INDEX(спр_Работы!$G$2:$G$6000,MATCH($C1061,спр_Работы!$A$2:$A$6000,0)),"")</f>
        <v/>
      </c>
      <c r="G1061">
        <f>IFERROR(INDEX(спр_Работы!$K$2:$K$6000,MATCH($C1061,спр_Работы!$A$2:$A$6000,0)),"")</f>
        <v/>
      </c>
      <c r="H1061" s="9" t="n"/>
      <c r="I1061" s="9" t="n"/>
      <c r="J1061" s="8">
        <f>IFERROR(INDEX(спр_Материалы!$B$2:$B$9000,MATCH($I1061,спр_Материалы!$A$2:$A$9000,0)),"")</f>
        <v/>
      </c>
      <c r="K1061">
        <f>IF($I1061="","",IF($F1061=IFERROR(INDEX(спр_Материалы!$G$2:$G$9000,MATCH($I1061,спр_Материалы!$A$2:$A$9000,0)),""),"OK","!! не та группа"))</f>
        <v/>
      </c>
      <c r="L1061" s="10">
        <f>IFERROR(INDEX(спр_Работы!$H$2:$H$6000,MATCH($C1061,спр_Работы!$A$2:$A$6000,0))*(1-ДисконтТендер),0)</f>
        <v/>
      </c>
      <c r="M1061" s="10">
        <f>IF($I1061="",0,IFERROR(INDEX(спр_Материалы!$I$2:$I$9000,MATCH($I1061,спр_Материалы!$A$2:$A$9000,0))*IF(INDEX(спр_Материалы!$J$2:$J$9000,MATCH($I1061,спр_Материалы!$A$2:$A$9000,0))="USD",КурсUSD,IF(INDEX(спр_Материалы!$J$2:$J$9000,MATCH($I1061,спр_Материалы!$A$2:$A$9000,0))="EUR",КурсEUR,1))*INDEX(спр_Материалы!$K$2:$K$9000,MATCH($I1061,спр_Материалы!$A$2:$A$9000,0))*(1+IFERROR(INDEX(спр_Работы!$I$2:$I$6000,MATCH($C1061,спр_Работы!$A$2:$A$6000,0))/100,0))*(1-ДисконтТендер),0))</f>
        <v/>
      </c>
      <c r="N1061" s="10">
        <f>IF(AND($R1061="да",$H1061&lt;&gt;""),ROUND($H1061*$L1061,2),0)</f>
        <v/>
      </c>
      <c r="O1061" s="10">
        <f>IF(AND($R1061="да",$H1061&lt;&gt;""),ROUND($H1061*$M1061,2),0)</f>
        <v/>
      </c>
      <c r="P1061" s="10">
        <f>$N1061+$O1061</f>
        <v/>
      </c>
      <c r="Q1061">
        <f>IFERROR(INDEX(спр_Работы!$J$2:$J$6000,MATCH($C1061,спр_Работы!$A$2:$A$6000,0)),"")</f>
        <v/>
      </c>
      <c r="R1061" t="inlineStr">
        <is>
          <t>да</t>
        </is>
      </c>
      <c r="T1061">
        <f>IF(AND($P1061&gt;0,$R1061="да"),MAX($T$1:$T1060)+1,"")</f>
        <v/>
      </c>
    </row>
    <row r="1062">
      <c r="A1062" s="11">
        <f>IFERROR(INDEX(спр_Работы!$D$2:$D$6000,MATCH($C1062,спр_Работы!$A$2:$A$6000,0)),"")</f>
        <v/>
      </c>
      <c r="B1062">
        <f>IFERROR(INDEX(спр_Работы!$F$2:$F$6000,MATCH($C1062,спр_Работы!$A$2:$A$6000,0)),"")</f>
        <v/>
      </c>
      <c r="C1062">
        <f>IFERROR(INDEX(спр_Работы!$A$2:$A$6000,1061),"")</f>
        <v/>
      </c>
      <c r="D1062" s="8">
        <f>IFERROR(INDEX(спр_Работы!$B$2:$B$6000,MATCH($C1062,спр_Работы!$A$2:$A$6000,0)),"")</f>
        <v/>
      </c>
      <c r="E1062">
        <f>IFERROR(INDEX(спр_Работы!$C$2:$C$6000,MATCH($C1062,спр_Работы!$A$2:$A$6000,0)),"")</f>
        <v/>
      </c>
      <c r="F1062">
        <f>IFERROR(INDEX(спр_Работы!$G$2:$G$6000,MATCH($C1062,спр_Работы!$A$2:$A$6000,0)),"")</f>
        <v/>
      </c>
      <c r="G1062">
        <f>IFERROR(INDEX(спр_Работы!$K$2:$K$6000,MATCH($C1062,спр_Работы!$A$2:$A$6000,0)),"")</f>
        <v/>
      </c>
      <c r="H1062" s="9" t="n"/>
      <c r="I1062" s="9" t="n"/>
      <c r="J1062" s="8">
        <f>IFERROR(INDEX(спр_Материалы!$B$2:$B$9000,MATCH($I1062,спр_Материалы!$A$2:$A$9000,0)),"")</f>
        <v/>
      </c>
      <c r="K1062">
        <f>IF($I1062="","",IF($F1062=IFERROR(INDEX(спр_Материалы!$G$2:$G$9000,MATCH($I1062,спр_Материалы!$A$2:$A$9000,0)),""),"OK","!! не та группа"))</f>
        <v/>
      </c>
      <c r="L1062" s="10">
        <f>IFERROR(INDEX(спр_Работы!$H$2:$H$6000,MATCH($C1062,спр_Работы!$A$2:$A$6000,0))*(1-ДисконтТендер),0)</f>
        <v/>
      </c>
      <c r="M1062" s="10">
        <f>IF($I1062="",0,IFERROR(INDEX(спр_Материалы!$I$2:$I$9000,MATCH($I1062,спр_Материалы!$A$2:$A$9000,0))*IF(INDEX(спр_Материалы!$J$2:$J$9000,MATCH($I1062,спр_Материалы!$A$2:$A$9000,0))="USD",КурсUSD,IF(INDEX(спр_Материалы!$J$2:$J$9000,MATCH($I1062,спр_Материалы!$A$2:$A$9000,0))="EUR",КурсEUR,1))*INDEX(спр_Материалы!$K$2:$K$9000,MATCH($I1062,спр_Материалы!$A$2:$A$9000,0))*(1+IFERROR(INDEX(спр_Работы!$I$2:$I$6000,MATCH($C1062,спр_Работы!$A$2:$A$6000,0))/100,0))*(1-ДисконтТендер),0))</f>
        <v/>
      </c>
      <c r="N1062" s="10">
        <f>IF(AND($R1062="да",$H1062&lt;&gt;""),ROUND($H1062*$L1062,2),0)</f>
        <v/>
      </c>
      <c r="O1062" s="10">
        <f>IF(AND($R1062="да",$H1062&lt;&gt;""),ROUND($H1062*$M1062,2),0)</f>
        <v/>
      </c>
      <c r="P1062" s="10">
        <f>$N1062+$O1062</f>
        <v/>
      </c>
      <c r="Q1062">
        <f>IFERROR(INDEX(спр_Работы!$J$2:$J$6000,MATCH($C1062,спр_Работы!$A$2:$A$6000,0)),"")</f>
        <v/>
      </c>
      <c r="R1062" t="inlineStr">
        <is>
          <t>да</t>
        </is>
      </c>
      <c r="T1062">
        <f>IF(AND($P1062&gt;0,$R1062="да"),MAX($T$1:$T1061)+1,"")</f>
        <v/>
      </c>
    </row>
    <row r="1063">
      <c r="A1063" s="11">
        <f>IFERROR(INDEX(спр_Работы!$D$2:$D$6000,MATCH($C1063,спр_Работы!$A$2:$A$6000,0)),"")</f>
        <v/>
      </c>
      <c r="B1063">
        <f>IFERROR(INDEX(спр_Работы!$F$2:$F$6000,MATCH($C1063,спр_Работы!$A$2:$A$6000,0)),"")</f>
        <v/>
      </c>
      <c r="C1063">
        <f>IFERROR(INDEX(спр_Работы!$A$2:$A$6000,1062),"")</f>
        <v/>
      </c>
      <c r="D1063" s="8">
        <f>IFERROR(INDEX(спр_Работы!$B$2:$B$6000,MATCH($C1063,спр_Работы!$A$2:$A$6000,0)),"")</f>
        <v/>
      </c>
      <c r="E1063">
        <f>IFERROR(INDEX(спр_Работы!$C$2:$C$6000,MATCH($C1063,спр_Работы!$A$2:$A$6000,0)),"")</f>
        <v/>
      </c>
      <c r="F1063">
        <f>IFERROR(INDEX(спр_Работы!$G$2:$G$6000,MATCH($C1063,спр_Работы!$A$2:$A$6000,0)),"")</f>
        <v/>
      </c>
      <c r="G1063">
        <f>IFERROR(INDEX(спр_Работы!$K$2:$K$6000,MATCH($C1063,спр_Работы!$A$2:$A$6000,0)),"")</f>
        <v/>
      </c>
      <c r="H1063" s="9" t="n"/>
      <c r="I1063" s="9" t="n"/>
      <c r="J1063" s="8">
        <f>IFERROR(INDEX(спр_Материалы!$B$2:$B$9000,MATCH($I1063,спр_Материалы!$A$2:$A$9000,0)),"")</f>
        <v/>
      </c>
      <c r="K1063">
        <f>IF($I1063="","",IF($F1063=IFERROR(INDEX(спр_Материалы!$G$2:$G$9000,MATCH($I1063,спр_Материалы!$A$2:$A$9000,0)),""),"OK","!! не та группа"))</f>
        <v/>
      </c>
      <c r="L1063" s="10">
        <f>IFERROR(INDEX(спр_Работы!$H$2:$H$6000,MATCH($C1063,спр_Работы!$A$2:$A$6000,0))*(1-ДисконтТендер),0)</f>
        <v/>
      </c>
      <c r="M1063" s="10">
        <f>IF($I1063="",0,IFERROR(INDEX(спр_Материалы!$I$2:$I$9000,MATCH($I1063,спр_Материалы!$A$2:$A$9000,0))*IF(INDEX(спр_Материалы!$J$2:$J$9000,MATCH($I1063,спр_Материалы!$A$2:$A$9000,0))="USD",КурсUSD,IF(INDEX(спр_Материалы!$J$2:$J$9000,MATCH($I1063,спр_Материалы!$A$2:$A$9000,0))="EUR",КурсEUR,1))*INDEX(спр_Материалы!$K$2:$K$9000,MATCH($I1063,спр_Материалы!$A$2:$A$9000,0))*(1+IFERROR(INDEX(спр_Работы!$I$2:$I$6000,MATCH($C1063,спр_Работы!$A$2:$A$6000,0))/100,0))*(1-ДисконтТендер),0))</f>
        <v/>
      </c>
      <c r="N1063" s="10">
        <f>IF(AND($R1063="да",$H1063&lt;&gt;""),ROUND($H1063*$L1063,2),0)</f>
        <v/>
      </c>
      <c r="O1063" s="10">
        <f>IF(AND($R1063="да",$H1063&lt;&gt;""),ROUND($H1063*$M1063,2),0)</f>
        <v/>
      </c>
      <c r="P1063" s="10">
        <f>$N1063+$O1063</f>
        <v/>
      </c>
      <c r="Q1063">
        <f>IFERROR(INDEX(спр_Работы!$J$2:$J$6000,MATCH($C1063,спр_Работы!$A$2:$A$6000,0)),"")</f>
        <v/>
      </c>
      <c r="R1063" t="inlineStr">
        <is>
          <t>да</t>
        </is>
      </c>
      <c r="T1063">
        <f>IF(AND($P1063&gt;0,$R1063="да"),MAX($T$1:$T1062)+1,"")</f>
        <v/>
      </c>
    </row>
    <row r="1064">
      <c r="A1064" s="11">
        <f>IFERROR(INDEX(спр_Работы!$D$2:$D$6000,MATCH($C1064,спр_Работы!$A$2:$A$6000,0)),"")</f>
        <v/>
      </c>
      <c r="B1064">
        <f>IFERROR(INDEX(спр_Работы!$F$2:$F$6000,MATCH($C1064,спр_Работы!$A$2:$A$6000,0)),"")</f>
        <v/>
      </c>
      <c r="C1064">
        <f>IFERROR(INDEX(спр_Работы!$A$2:$A$6000,1063),"")</f>
        <v/>
      </c>
      <c r="D1064" s="8">
        <f>IFERROR(INDEX(спр_Работы!$B$2:$B$6000,MATCH($C1064,спр_Работы!$A$2:$A$6000,0)),"")</f>
        <v/>
      </c>
      <c r="E1064">
        <f>IFERROR(INDEX(спр_Работы!$C$2:$C$6000,MATCH($C1064,спр_Работы!$A$2:$A$6000,0)),"")</f>
        <v/>
      </c>
      <c r="F1064">
        <f>IFERROR(INDEX(спр_Работы!$G$2:$G$6000,MATCH($C1064,спр_Работы!$A$2:$A$6000,0)),"")</f>
        <v/>
      </c>
      <c r="G1064">
        <f>IFERROR(INDEX(спр_Работы!$K$2:$K$6000,MATCH($C1064,спр_Работы!$A$2:$A$6000,0)),"")</f>
        <v/>
      </c>
      <c r="H1064" s="9" t="n"/>
      <c r="I1064" s="9" t="n"/>
      <c r="J1064" s="8">
        <f>IFERROR(INDEX(спр_Материалы!$B$2:$B$9000,MATCH($I1064,спр_Материалы!$A$2:$A$9000,0)),"")</f>
        <v/>
      </c>
      <c r="K1064">
        <f>IF($I1064="","",IF($F1064=IFERROR(INDEX(спр_Материалы!$G$2:$G$9000,MATCH($I1064,спр_Материалы!$A$2:$A$9000,0)),""),"OK","!! не та группа"))</f>
        <v/>
      </c>
      <c r="L1064" s="10">
        <f>IFERROR(INDEX(спр_Работы!$H$2:$H$6000,MATCH($C1064,спр_Работы!$A$2:$A$6000,0))*(1-ДисконтТендер),0)</f>
        <v/>
      </c>
      <c r="M1064" s="10">
        <f>IF($I1064="",0,IFERROR(INDEX(спр_Материалы!$I$2:$I$9000,MATCH($I1064,спр_Материалы!$A$2:$A$9000,0))*IF(INDEX(спр_Материалы!$J$2:$J$9000,MATCH($I1064,спр_Материалы!$A$2:$A$9000,0))="USD",КурсUSD,IF(INDEX(спр_Материалы!$J$2:$J$9000,MATCH($I1064,спр_Материалы!$A$2:$A$9000,0))="EUR",КурсEUR,1))*INDEX(спр_Материалы!$K$2:$K$9000,MATCH($I1064,спр_Материалы!$A$2:$A$9000,0))*(1+IFERROR(INDEX(спр_Работы!$I$2:$I$6000,MATCH($C1064,спр_Работы!$A$2:$A$6000,0))/100,0))*(1-ДисконтТендер),0))</f>
        <v/>
      </c>
      <c r="N1064" s="10">
        <f>IF(AND($R1064="да",$H1064&lt;&gt;""),ROUND($H1064*$L1064,2),0)</f>
        <v/>
      </c>
      <c r="O1064" s="10">
        <f>IF(AND($R1064="да",$H1064&lt;&gt;""),ROUND($H1064*$M1064,2),0)</f>
        <v/>
      </c>
      <c r="P1064" s="10">
        <f>$N1064+$O1064</f>
        <v/>
      </c>
      <c r="Q1064">
        <f>IFERROR(INDEX(спр_Работы!$J$2:$J$6000,MATCH($C1064,спр_Работы!$A$2:$A$6000,0)),"")</f>
        <v/>
      </c>
      <c r="R1064" t="inlineStr">
        <is>
          <t>да</t>
        </is>
      </c>
      <c r="T1064">
        <f>IF(AND($P1064&gt;0,$R1064="да"),MAX($T$1:$T1063)+1,"")</f>
        <v/>
      </c>
    </row>
    <row r="1065">
      <c r="A1065" s="11">
        <f>IFERROR(INDEX(спр_Работы!$D$2:$D$6000,MATCH($C1065,спр_Работы!$A$2:$A$6000,0)),"")</f>
        <v/>
      </c>
      <c r="B1065">
        <f>IFERROR(INDEX(спр_Работы!$F$2:$F$6000,MATCH($C1065,спр_Работы!$A$2:$A$6000,0)),"")</f>
        <v/>
      </c>
      <c r="C1065">
        <f>IFERROR(INDEX(спр_Работы!$A$2:$A$6000,1064),"")</f>
        <v/>
      </c>
      <c r="D1065" s="8">
        <f>IFERROR(INDEX(спр_Работы!$B$2:$B$6000,MATCH($C1065,спр_Работы!$A$2:$A$6000,0)),"")</f>
        <v/>
      </c>
      <c r="E1065">
        <f>IFERROR(INDEX(спр_Работы!$C$2:$C$6000,MATCH($C1065,спр_Работы!$A$2:$A$6000,0)),"")</f>
        <v/>
      </c>
      <c r="F1065">
        <f>IFERROR(INDEX(спр_Работы!$G$2:$G$6000,MATCH($C1065,спр_Работы!$A$2:$A$6000,0)),"")</f>
        <v/>
      </c>
      <c r="G1065">
        <f>IFERROR(INDEX(спр_Работы!$K$2:$K$6000,MATCH($C1065,спр_Работы!$A$2:$A$6000,0)),"")</f>
        <v/>
      </c>
      <c r="H1065" s="9" t="n"/>
      <c r="I1065" s="9" t="n"/>
      <c r="J1065" s="8">
        <f>IFERROR(INDEX(спр_Материалы!$B$2:$B$9000,MATCH($I1065,спр_Материалы!$A$2:$A$9000,0)),"")</f>
        <v/>
      </c>
      <c r="K1065">
        <f>IF($I1065="","",IF($F1065=IFERROR(INDEX(спр_Материалы!$G$2:$G$9000,MATCH($I1065,спр_Материалы!$A$2:$A$9000,0)),""),"OK","!! не та группа"))</f>
        <v/>
      </c>
      <c r="L1065" s="10">
        <f>IFERROR(INDEX(спр_Работы!$H$2:$H$6000,MATCH($C1065,спр_Работы!$A$2:$A$6000,0))*(1-ДисконтТендер),0)</f>
        <v/>
      </c>
      <c r="M1065" s="10">
        <f>IF($I1065="",0,IFERROR(INDEX(спр_Материалы!$I$2:$I$9000,MATCH($I1065,спр_Материалы!$A$2:$A$9000,0))*IF(INDEX(спр_Материалы!$J$2:$J$9000,MATCH($I1065,спр_Материалы!$A$2:$A$9000,0))="USD",КурсUSD,IF(INDEX(спр_Материалы!$J$2:$J$9000,MATCH($I1065,спр_Материалы!$A$2:$A$9000,0))="EUR",КурсEUR,1))*INDEX(спр_Материалы!$K$2:$K$9000,MATCH($I1065,спр_Материалы!$A$2:$A$9000,0))*(1+IFERROR(INDEX(спр_Работы!$I$2:$I$6000,MATCH($C1065,спр_Работы!$A$2:$A$6000,0))/100,0))*(1-ДисконтТендер),0))</f>
        <v/>
      </c>
      <c r="N1065" s="10">
        <f>IF(AND($R1065="да",$H1065&lt;&gt;""),ROUND($H1065*$L1065,2),0)</f>
        <v/>
      </c>
      <c r="O1065" s="10">
        <f>IF(AND($R1065="да",$H1065&lt;&gt;""),ROUND($H1065*$M1065,2),0)</f>
        <v/>
      </c>
      <c r="P1065" s="10">
        <f>$N1065+$O1065</f>
        <v/>
      </c>
      <c r="Q1065">
        <f>IFERROR(INDEX(спр_Работы!$J$2:$J$6000,MATCH($C1065,спр_Работы!$A$2:$A$6000,0)),"")</f>
        <v/>
      </c>
      <c r="R1065" t="inlineStr">
        <is>
          <t>да</t>
        </is>
      </c>
      <c r="T1065">
        <f>IF(AND($P1065&gt;0,$R1065="да"),MAX($T$1:$T1064)+1,"")</f>
        <v/>
      </c>
    </row>
    <row r="1066">
      <c r="A1066" s="11">
        <f>IFERROR(INDEX(спр_Работы!$D$2:$D$6000,MATCH($C1066,спр_Работы!$A$2:$A$6000,0)),"")</f>
        <v/>
      </c>
      <c r="B1066">
        <f>IFERROR(INDEX(спр_Работы!$F$2:$F$6000,MATCH($C1066,спр_Работы!$A$2:$A$6000,0)),"")</f>
        <v/>
      </c>
      <c r="C1066">
        <f>IFERROR(INDEX(спр_Работы!$A$2:$A$6000,1065),"")</f>
        <v/>
      </c>
      <c r="D1066" s="8">
        <f>IFERROR(INDEX(спр_Работы!$B$2:$B$6000,MATCH($C1066,спр_Работы!$A$2:$A$6000,0)),"")</f>
        <v/>
      </c>
      <c r="E1066">
        <f>IFERROR(INDEX(спр_Работы!$C$2:$C$6000,MATCH($C1066,спр_Работы!$A$2:$A$6000,0)),"")</f>
        <v/>
      </c>
      <c r="F1066">
        <f>IFERROR(INDEX(спр_Работы!$G$2:$G$6000,MATCH($C1066,спр_Работы!$A$2:$A$6000,0)),"")</f>
        <v/>
      </c>
      <c r="G1066">
        <f>IFERROR(INDEX(спр_Работы!$K$2:$K$6000,MATCH($C1066,спр_Работы!$A$2:$A$6000,0)),"")</f>
        <v/>
      </c>
      <c r="H1066" s="9" t="n"/>
      <c r="I1066" s="9" t="n"/>
      <c r="J1066" s="8">
        <f>IFERROR(INDEX(спр_Материалы!$B$2:$B$9000,MATCH($I1066,спр_Материалы!$A$2:$A$9000,0)),"")</f>
        <v/>
      </c>
      <c r="K1066">
        <f>IF($I1066="","",IF($F1066=IFERROR(INDEX(спр_Материалы!$G$2:$G$9000,MATCH($I1066,спр_Материалы!$A$2:$A$9000,0)),""),"OK","!! не та группа"))</f>
        <v/>
      </c>
      <c r="L1066" s="10">
        <f>IFERROR(INDEX(спр_Работы!$H$2:$H$6000,MATCH($C1066,спр_Работы!$A$2:$A$6000,0))*(1-ДисконтТендер),0)</f>
        <v/>
      </c>
      <c r="M1066" s="10">
        <f>IF($I1066="",0,IFERROR(INDEX(спр_Материалы!$I$2:$I$9000,MATCH($I1066,спр_Материалы!$A$2:$A$9000,0))*IF(INDEX(спр_Материалы!$J$2:$J$9000,MATCH($I1066,спр_Материалы!$A$2:$A$9000,0))="USD",КурсUSD,IF(INDEX(спр_Материалы!$J$2:$J$9000,MATCH($I1066,спр_Материалы!$A$2:$A$9000,0))="EUR",КурсEUR,1))*INDEX(спр_Материалы!$K$2:$K$9000,MATCH($I1066,спр_Материалы!$A$2:$A$9000,0))*(1+IFERROR(INDEX(спр_Работы!$I$2:$I$6000,MATCH($C1066,спр_Работы!$A$2:$A$6000,0))/100,0))*(1-ДисконтТендер),0))</f>
        <v/>
      </c>
      <c r="N1066" s="10">
        <f>IF(AND($R1066="да",$H1066&lt;&gt;""),ROUND($H1066*$L1066,2),0)</f>
        <v/>
      </c>
      <c r="O1066" s="10">
        <f>IF(AND($R1066="да",$H1066&lt;&gt;""),ROUND($H1066*$M1066,2),0)</f>
        <v/>
      </c>
      <c r="P1066" s="10">
        <f>$N1066+$O1066</f>
        <v/>
      </c>
      <c r="Q1066">
        <f>IFERROR(INDEX(спр_Работы!$J$2:$J$6000,MATCH($C1066,спр_Работы!$A$2:$A$6000,0)),"")</f>
        <v/>
      </c>
      <c r="R1066" t="inlineStr">
        <is>
          <t>да</t>
        </is>
      </c>
      <c r="T1066">
        <f>IF(AND($P1066&gt;0,$R1066="да"),MAX($T$1:$T1065)+1,"")</f>
        <v/>
      </c>
    </row>
    <row r="1067">
      <c r="A1067" s="11">
        <f>IFERROR(INDEX(спр_Работы!$D$2:$D$6000,MATCH($C1067,спр_Работы!$A$2:$A$6000,0)),"")</f>
        <v/>
      </c>
      <c r="B1067">
        <f>IFERROR(INDEX(спр_Работы!$F$2:$F$6000,MATCH($C1067,спр_Работы!$A$2:$A$6000,0)),"")</f>
        <v/>
      </c>
      <c r="C1067">
        <f>IFERROR(INDEX(спр_Работы!$A$2:$A$6000,1066),"")</f>
        <v/>
      </c>
      <c r="D1067" s="8">
        <f>IFERROR(INDEX(спр_Работы!$B$2:$B$6000,MATCH($C1067,спр_Работы!$A$2:$A$6000,0)),"")</f>
        <v/>
      </c>
      <c r="E1067">
        <f>IFERROR(INDEX(спр_Работы!$C$2:$C$6000,MATCH($C1067,спр_Работы!$A$2:$A$6000,0)),"")</f>
        <v/>
      </c>
      <c r="F1067">
        <f>IFERROR(INDEX(спр_Работы!$G$2:$G$6000,MATCH($C1067,спр_Работы!$A$2:$A$6000,0)),"")</f>
        <v/>
      </c>
      <c r="G1067">
        <f>IFERROR(INDEX(спр_Работы!$K$2:$K$6000,MATCH($C1067,спр_Работы!$A$2:$A$6000,0)),"")</f>
        <v/>
      </c>
      <c r="H1067" s="9" t="n"/>
      <c r="I1067" s="9" t="n"/>
      <c r="J1067" s="8">
        <f>IFERROR(INDEX(спр_Материалы!$B$2:$B$9000,MATCH($I1067,спр_Материалы!$A$2:$A$9000,0)),"")</f>
        <v/>
      </c>
      <c r="K1067">
        <f>IF($I1067="","",IF($F1067=IFERROR(INDEX(спр_Материалы!$G$2:$G$9000,MATCH($I1067,спр_Материалы!$A$2:$A$9000,0)),""),"OK","!! не та группа"))</f>
        <v/>
      </c>
      <c r="L1067" s="10">
        <f>IFERROR(INDEX(спр_Работы!$H$2:$H$6000,MATCH($C1067,спр_Работы!$A$2:$A$6000,0))*(1-ДисконтТендер),0)</f>
        <v/>
      </c>
      <c r="M1067" s="10">
        <f>IF($I1067="",0,IFERROR(INDEX(спр_Материалы!$I$2:$I$9000,MATCH($I1067,спр_Материалы!$A$2:$A$9000,0))*IF(INDEX(спр_Материалы!$J$2:$J$9000,MATCH($I1067,спр_Материалы!$A$2:$A$9000,0))="USD",КурсUSD,IF(INDEX(спр_Материалы!$J$2:$J$9000,MATCH($I1067,спр_Материалы!$A$2:$A$9000,0))="EUR",КурсEUR,1))*INDEX(спр_Материалы!$K$2:$K$9000,MATCH($I1067,спр_Материалы!$A$2:$A$9000,0))*(1+IFERROR(INDEX(спр_Работы!$I$2:$I$6000,MATCH($C1067,спр_Работы!$A$2:$A$6000,0))/100,0))*(1-ДисконтТендер),0))</f>
        <v/>
      </c>
      <c r="N1067" s="10">
        <f>IF(AND($R1067="да",$H1067&lt;&gt;""),ROUND($H1067*$L1067,2),0)</f>
        <v/>
      </c>
      <c r="O1067" s="10">
        <f>IF(AND($R1067="да",$H1067&lt;&gt;""),ROUND($H1067*$M1067,2),0)</f>
        <v/>
      </c>
      <c r="P1067" s="10">
        <f>$N1067+$O1067</f>
        <v/>
      </c>
      <c r="Q1067">
        <f>IFERROR(INDEX(спр_Работы!$J$2:$J$6000,MATCH($C1067,спр_Работы!$A$2:$A$6000,0)),"")</f>
        <v/>
      </c>
      <c r="R1067" t="inlineStr">
        <is>
          <t>да</t>
        </is>
      </c>
      <c r="T1067">
        <f>IF(AND($P1067&gt;0,$R1067="да"),MAX($T$1:$T1066)+1,"")</f>
        <v/>
      </c>
    </row>
    <row r="1068">
      <c r="A1068" s="11">
        <f>IFERROR(INDEX(спр_Работы!$D$2:$D$6000,MATCH($C1068,спр_Работы!$A$2:$A$6000,0)),"")</f>
        <v/>
      </c>
      <c r="B1068">
        <f>IFERROR(INDEX(спр_Работы!$F$2:$F$6000,MATCH($C1068,спр_Работы!$A$2:$A$6000,0)),"")</f>
        <v/>
      </c>
      <c r="C1068">
        <f>IFERROR(INDEX(спр_Работы!$A$2:$A$6000,1067),"")</f>
        <v/>
      </c>
      <c r="D1068" s="8">
        <f>IFERROR(INDEX(спр_Работы!$B$2:$B$6000,MATCH($C1068,спр_Работы!$A$2:$A$6000,0)),"")</f>
        <v/>
      </c>
      <c r="E1068">
        <f>IFERROR(INDEX(спр_Работы!$C$2:$C$6000,MATCH($C1068,спр_Работы!$A$2:$A$6000,0)),"")</f>
        <v/>
      </c>
      <c r="F1068">
        <f>IFERROR(INDEX(спр_Работы!$G$2:$G$6000,MATCH($C1068,спр_Работы!$A$2:$A$6000,0)),"")</f>
        <v/>
      </c>
      <c r="G1068">
        <f>IFERROR(INDEX(спр_Работы!$K$2:$K$6000,MATCH($C1068,спр_Работы!$A$2:$A$6000,0)),"")</f>
        <v/>
      </c>
      <c r="H1068" s="9" t="n"/>
      <c r="I1068" s="9" t="n"/>
      <c r="J1068" s="8">
        <f>IFERROR(INDEX(спр_Материалы!$B$2:$B$9000,MATCH($I1068,спр_Материалы!$A$2:$A$9000,0)),"")</f>
        <v/>
      </c>
      <c r="K1068">
        <f>IF($I1068="","",IF($F1068=IFERROR(INDEX(спр_Материалы!$G$2:$G$9000,MATCH($I1068,спр_Материалы!$A$2:$A$9000,0)),""),"OK","!! не та группа"))</f>
        <v/>
      </c>
      <c r="L1068" s="10">
        <f>IFERROR(INDEX(спр_Работы!$H$2:$H$6000,MATCH($C1068,спр_Работы!$A$2:$A$6000,0))*(1-ДисконтТендер),0)</f>
        <v/>
      </c>
      <c r="M1068" s="10">
        <f>IF($I1068="",0,IFERROR(INDEX(спр_Материалы!$I$2:$I$9000,MATCH($I1068,спр_Материалы!$A$2:$A$9000,0))*IF(INDEX(спр_Материалы!$J$2:$J$9000,MATCH($I1068,спр_Материалы!$A$2:$A$9000,0))="USD",КурсUSD,IF(INDEX(спр_Материалы!$J$2:$J$9000,MATCH($I1068,спр_Материалы!$A$2:$A$9000,0))="EUR",КурсEUR,1))*INDEX(спр_Материалы!$K$2:$K$9000,MATCH($I1068,спр_Материалы!$A$2:$A$9000,0))*(1+IFERROR(INDEX(спр_Работы!$I$2:$I$6000,MATCH($C1068,спр_Работы!$A$2:$A$6000,0))/100,0))*(1-ДисконтТендер),0))</f>
        <v/>
      </c>
      <c r="N1068" s="10">
        <f>IF(AND($R1068="да",$H1068&lt;&gt;""),ROUND($H1068*$L1068,2),0)</f>
        <v/>
      </c>
      <c r="O1068" s="10">
        <f>IF(AND($R1068="да",$H1068&lt;&gt;""),ROUND($H1068*$M1068,2),0)</f>
        <v/>
      </c>
      <c r="P1068" s="10">
        <f>$N1068+$O1068</f>
        <v/>
      </c>
      <c r="Q1068">
        <f>IFERROR(INDEX(спр_Работы!$J$2:$J$6000,MATCH($C1068,спр_Работы!$A$2:$A$6000,0)),"")</f>
        <v/>
      </c>
      <c r="R1068" t="inlineStr">
        <is>
          <t>да</t>
        </is>
      </c>
      <c r="T1068">
        <f>IF(AND($P1068&gt;0,$R1068="да"),MAX($T$1:$T1067)+1,"")</f>
        <v/>
      </c>
    </row>
    <row r="1069">
      <c r="A1069" s="11">
        <f>IFERROR(INDEX(спр_Работы!$D$2:$D$6000,MATCH($C1069,спр_Работы!$A$2:$A$6000,0)),"")</f>
        <v/>
      </c>
      <c r="B1069">
        <f>IFERROR(INDEX(спр_Работы!$F$2:$F$6000,MATCH($C1069,спр_Работы!$A$2:$A$6000,0)),"")</f>
        <v/>
      </c>
      <c r="C1069">
        <f>IFERROR(INDEX(спр_Работы!$A$2:$A$6000,1068),"")</f>
        <v/>
      </c>
      <c r="D1069" s="8">
        <f>IFERROR(INDEX(спр_Работы!$B$2:$B$6000,MATCH($C1069,спр_Работы!$A$2:$A$6000,0)),"")</f>
        <v/>
      </c>
      <c r="E1069">
        <f>IFERROR(INDEX(спр_Работы!$C$2:$C$6000,MATCH($C1069,спр_Работы!$A$2:$A$6000,0)),"")</f>
        <v/>
      </c>
      <c r="F1069">
        <f>IFERROR(INDEX(спр_Работы!$G$2:$G$6000,MATCH($C1069,спр_Работы!$A$2:$A$6000,0)),"")</f>
        <v/>
      </c>
      <c r="G1069">
        <f>IFERROR(INDEX(спр_Работы!$K$2:$K$6000,MATCH($C1069,спр_Работы!$A$2:$A$6000,0)),"")</f>
        <v/>
      </c>
      <c r="H1069" s="9" t="n"/>
      <c r="I1069" s="9" t="n"/>
      <c r="J1069" s="8">
        <f>IFERROR(INDEX(спр_Материалы!$B$2:$B$9000,MATCH($I1069,спр_Материалы!$A$2:$A$9000,0)),"")</f>
        <v/>
      </c>
      <c r="K1069">
        <f>IF($I1069="","",IF($F1069=IFERROR(INDEX(спр_Материалы!$G$2:$G$9000,MATCH($I1069,спр_Материалы!$A$2:$A$9000,0)),""),"OK","!! не та группа"))</f>
        <v/>
      </c>
      <c r="L1069" s="10">
        <f>IFERROR(INDEX(спр_Работы!$H$2:$H$6000,MATCH($C1069,спр_Работы!$A$2:$A$6000,0))*(1-ДисконтТендер),0)</f>
        <v/>
      </c>
      <c r="M1069" s="10">
        <f>IF($I1069="",0,IFERROR(INDEX(спр_Материалы!$I$2:$I$9000,MATCH($I1069,спр_Материалы!$A$2:$A$9000,0))*IF(INDEX(спр_Материалы!$J$2:$J$9000,MATCH($I1069,спр_Материалы!$A$2:$A$9000,0))="USD",КурсUSD,IF(INDEX(спр_Материалы!$J$2:$J$9000,MATCH($I1069,спр_Материалы!$A$2:$A$9000,0))="EUR",КурсEUR,1))*INDEX(спр_Материалы!$K$2:$K$9000,MATCH($I1069,спр_Материалы!$A$2:$A$9000,0))*(1+IFERROR(INDEX(спр_Работы!$I$2:$I$6000,MATCH($C1069,спр_Работы!$A$2:$A$6000,0))/100,0))*(1-ДисконтТендер),0))</f>
        <v/>
      </c>
      <c r="N1069" s="10">
        <f>IF(AND($R1069="да",$H1069&lt;&gt;""),ROUND($H1069*$L1069,2),0)</f>
        <v/>
      </c>
      <c r="O1069" s="10">
        <f>IF(AND($R1069="да",$H1069&lt;&gt;""),ROUND($H1069*$M1069,2),0)</f>
        <v/>
      </c>
      <c r="P1069" s="10">
        <f>$N1069+$O1069</f>
        <v/>
      </c>
      <c r="Q1069">
        <f>IFERROR(INDEX(спр_Работы!$J$2:$J$6000,MATCH($C1069,спр_Работы!$A$2:$A$6000,0)),"")</f>
        <v/>
      </c>
      <c r="R1069" t="inlineStr">
        <is>
          <t>да</t>
        </is>
      </c>
      <c r="T1069">
        <f>IF(AND($P1069&gt;0,$R1069="да"),MAX($T$1:$T1068)+1,"")</f>
        <v/>
      </c>
    </row>
    <row r="1070">
      <c r="A1070" s="11">
        <f>IFERROR(INDEX(спр_Работы!$D$2:$D$6000,MATCH($C1070,спр_Работы!$A$2:$A$6000,0)),"")</f>
        <v/>
      </c>
      <c r="B1070">
        <f>IFERROR(INDEX(спр_Работы!$F$2:$F$6000,MATCH($C1070,спр_Работы!$A$2:$A$6000,0)),"")</f>
        <v/>
      </c>
      <c r="C1070">
        <f>IFERROR(INDEX(спр_Работы!$A$2:$A$6000,1069),"")</f>
        <v/>
      </c>
      <c r="D1070" s="8">
        <f>IFERROR(INDEX(спр_Работы!$B$2:$B$6000,MATCH($C1070,спр_Работы!$A$2:$A$6000,0)),"")</f>
        <v/>
      </c>
      <c r="E1070">
        <f>IFERROR(INDEX(спр_Работы!$C$2:$C$6000,MATCH($C1070,спр_Работы!$A$2:$A$6000,0)),"")</f>
        <v/>
      </c>
      <c r="F1070">
        <f>IFERROR(INDEX(спр_Работы!$G$2:$G$6000,MATCH($C1070,спр_Работы!$A$2:$A$6000,0)),"")</f>
        <v/>
      </c>
      <c r="G1070">
        <f>IFERROR(INDEX(спр_Работы!$K$2:$K$6000,MATCH($C1070,спр_Работы!$A$2:$A$6000,0)),"")</f>
        <v/>
      </c>
      <c r="H1070" s="9" t="n"/>
      <c r="I1070" s="9" t="n"/>
      <c r="J1070" s="8">
        <f>IFERROR(INDEX(спр_Материалы!$B$2:$B$9000,MATCH($I1070,спр_Материалы!$A$2:$A$9000,0)),"")</f>
        <v/>
      </c>
      <c r="K1070">
        <f>IF($I1070="","",IF($F1070=IFERROR(INDEX(спр_Материалы!$G$2:$G$9000,MATCH($I1070,спр_Материалы!$A$2:$A$9000,0)),""),"OK","!! не та группа"))</f>
        <v/>
      </c>
      <c r="L1070" s="10">
        <f>IFERROR(INDEX(спр_Работы!$H$2:$H$6000,MATCH($C1070,спр_Работы!$A$2:$A$6000,0))*(1-ДисконтТендер),0)</f>
        <v/>
      </c>
      <c r="M1070" s="10">
        <f>IF($I1070="",0,IFERROR(INDEX(спр_Материалы!$I$2:$I$9000,MATCH($I1070,спр_Материалы!$A$2:$A$9000,0))*IF(INDEX(спр_Материалы!$J$2:$J$9000,MATCH($I1070,спр_Материалы!$A$2:$A$9000,0))="USD",КурсUSD,IF(INDEX(спр_Материалы!$J$2:$J$9000,MATCH($I1070,спр_Материалы!$A$2:$A$9000,0))="EUR",КурсEUR,1))*INDEX(спр_Материалы!$K$2:$K$9000,MATCH($I1070,спр_Материалы!$A$2:$A$9000,0))*(1+IFERROR(INDEX(спр_Работы!$I$2:$I$6000,MATCH($C1070,спр_Работы!$A$2:$A$6000,0))/100,0))*(1-ДисконтТендер),0))</f>
        <v/>
      </c>
      <c r="N1070" s="10">
        <f>IF(AND($R1070="да",$H1070&lt;&gt;""),ROUND($H1070*$L1070,2),0)</f>
        <v/>
      </c>
      <c r="O1070" s="10">
        <f>IF(AND($R1070="да",$H1070&lt;&gt;""),ROUND($H1070*$M1070,2),0)</f>
        <v/>
      </c>
      <c r="P1070" s="10">
        <f>$N1070+$O1070</f>
        <v/>
      </c>
      <c r="Q1070">
        <f>IFERROR(INDEX(спр_Работы!$J$2:$J$6000,MATCH($C1070,спр_Работы!$A$2:$A$6000,0)),"")</f>
        <v/>
      </c>
      <c r="R1070" t="inlineStr">
        <is>
          <t>да</t>
        </is>
      </c>
      <c r="T1070">
        <f>IF(AND($P1070&gt;0,$R1070="да"),MAX($T$1:$T1069)+1,"")</f>
        <v/>
      </c>
    </row>
    <row r="1071">
      <c r="A1071" s="11">
        <f>IFERROR(INDEX(спр_Работы!$D$2:$D$6000,MATCH($C1071,спр_Работы!$A$2:$A$6000,0)),"")</f>
        <v/>
      </c>
      <c r="B1071">
        <f>IFERROR(INDEX(спр_Работы!$F$2:$F$6000,MATCH($C1071,спр_Работы!$A$2:$A$6000,0)),"")</f>
        <v/>
      </c>
      <c r="C1071">
        <f>IFERROR(INDEX(спр_Работы!$A$2:$A$6000,1070),"")</f>
        <v/>
      </c>
      <c r="D1071" s="8">
        <f>IFERROR(INDEX(спр_Работы!$B$2:$B$6000,MATCH($C1071,спр_Работы!$A$2:$A$6000,0)),"")</f>
        <v/>
      </c>
      <c r="E1071">
        <f>IFERROR(INDEX(спр_Работы!$C$2:$C$6000,MATCH($C1071,спр_Работы!$A$2:$A$6000,0)),"")</f>
        <v/>
      </c>
      <c r="F1071">
        <f>IFERROR(INDEX(спр_Работы!$G$2:$G$6000,MATCH($C1071,спр_Работы!$A$2:$A$6000,0)),"")</f>
        <v/>
      </c>
      <c r="G1071">
        <f>IFERROR(INDEX(спр_Работы!$K$2:$K$6000,MATCH($C1071,спр_Работы!$A$2:$A$6000,0)),"")</f>
        <v/>
      </c>
      <c r="H1071" s="9" t="n"/>
      <c r="I1071" s="9" t="n"/>
      <c r="J1071" s="8">
        <f>IFERROR(INDEX(спр_Материалы!$B$2:$B$9000,MATCH($I1071,спр_Материалы!$A$2:$A$9000,0)),"")</f>
        <v/>
      </c>
      <c r="K1071">
        <f>IF($I1071="","",IF($F1071=IFERROR(INDEX(спр_Материалы!$G$2:$G$9000,MATCH($I1071,спр_Материалы!$A$2:$A$9000,0)),""),"OK","!! не та группа"))</f>
        <v/>
      </c>
      <c r="L1071" s="10">
        <f>IFERROR(INDEX(спр_Работы!$H$2:$H$6000,MATCH($C1071,спр_Работы!$A$2:$A$6000,0))*(1-ДисконтТендер),0)</f>
        <v/>
      </c>
      <c r="M1071" s="10">
        <f>IF($I1071="",0,IFERROR(INDEX(спр_Материалы!$I$2:$I$9000,MATCH($I1071,спр_Материалы!$A$2:$A$9000,0))*IF(INDEX(спр_Материалы!$J$2:$J$9000,MATCH($I1071,спр_Материалы!$A$2:$A$9000,0))="USD",КурсUSD,IF(INDEX(спр_Материалы!$J$2:$J$9000,MATCH($I1071,спр_Материалы!$A$2:$A$9000,0))="EUR",КурсEUR,1))*INDEX(спр_Материалы!$K$2:$K$9000,MATCH($I1071,спр_Материалы!$A$2:$A$9000,0))*(1+IFERROR(INDEX(спр_Работы!$I$2:$I$6000,MATCH($C1071,спр_Работы!$A$2:$A$6000,0))/100,0))*(1-ДисконтТендер),0))</f>
        <v/>
      </c>
      <c r="N1071" s="10">
        <f>IF(AND($R1071="да",$H1071&lt;&gt;""),ROUND($H1071*$L1071,2),0)</f>
        <v/>
      </c>
      <c r="O1071" s="10">
        <f>IF(AND($R1071="да",$H1071&lt;&gt;""),ROUND($H1071*$M1071,2),0)</f>
        <v/>
      </c>
      <c r="P1071" s="10">
        <f>$N1071+$O1071</f>
        <v/>
      </c>
      <c r="Q1071">
        <f>IFERROR(INDEX(спр_Работы!$J$2:$J$6000,MATCH($C1071,спр_Работы!$A$2:$A$6000,0)),"")</f>
        <v/>
      </c>
      <c r="R1071" t="inlineStr">
        <is>
          <t>да</t>
        </is>
      </c>
      <c r="T1071">
        <f>IF(AND($P1071&gt;0,$R1071="да"),MAX($T$1:$T1070)+1,"")</f>
        <v/>
      </c>
    </row>
    <row r="1072">
      <c r="A1072" s="11">
        <f>IFERROR(INDEX(спр_Работы!$D$2:$D$6000,MATCH($C1072,спр_Работы!$A$2:$A$6000,0)),"")</f>
        <v/>
      </c>
      <c r="B1072">
        <f>IFERROR(INDEX(спр_Работы!$F$2:$F$6000,MATCH($C1072,спр_Работы!$A$2:$A$6000,0)),"")</f>
        <v/>
      </c>
      <c r="C1072">
        <f>IFERROR(INDEX(спр_Работы!$A$2:$A$6000,1071),"")</f>
        <v/>
      </c>
      <c r="D1072" s="8">
        <f>IFERROR(INDEX(спр_Работы!$B$2:$B$6000,MATCH($C1072,спр_Работы!$A$2:$A$6000,0)),"")</f>
        <v/>
      </c>
      <c r="E1072">
        <f>IFERROR(INDEX(спр_Работы!$C$2:$C$6000,MATCH($C1072,спр_Работы!$A$2:$A$6000,0)),"")</f>
        <v/>
      </c>
      <c r="F1072">
        <f>IFERROR(INDEX(спр_Работы!$G$2:$G$6000,MATCH($C1072,спр_Работы!$A$2:$A$6000,0)),"")</f>
        <v/>
      </c>
      <c r="G1072">
        <f>IFERROR(INDEX(спр_Работы!$K$2:$K$6000,MATCH($C1072,спр_Работы!$A$2:$A$6000,0)),"")</f>
        <v/>
      </c>
      <c r="H1072" s="9" t="n"/>
      <c r="I1072" s="9" t="n"/>
      <c r="J1072" s="8">
        <f>IFERROR(INDEX(спр_Материалы!$B$2:$B$9000,MATCH($I1072,спр_Материалы!$A$2:$A$9000,0)),"")</f>
        <v/>
      </c>
      <c r="K1072">
        <f>IF($I1072="","",IF($F1072=IFERROR(INDEX(спр_Материалы!$G$2:$G$9000,MATCH($I1072,спр_Материалы!$A$2:$A$9000,0)),""),"OK","!! не та группа"))</f>
        <v/>
      </c>
      <c r="L1072" s="10">
        <f>IFERROR(INDEX(спр_Работы!$H$2:$H$6000,MATCH($C1072,спр_Работы!$A$2:$A$6000,0))*(1-ДисконтТендер),0)</f>
        <v/>
      </c>
      <c r="M1072" s="10">
        <f>IF($I1072="",0,IFERROR(INDEX(спр_Материалы!$I$2:$I$9000,MATCH($I1072,спр_Материалы!$A$2:$A$9000,0))*IF(INDEX(спр_Материалы!$J$2:$J$9000,MATCH($I1072,спр_Материалы!$A$2:$A$9000,0))="USD",КурсUSD,IF(INDEX(спр_Материалы!$J$2:$J$9000,MATCH($I1072,спр_Материалы!$A$2:$A$9000,0))="EUR",КурсEUR,1))*INDEX(спр_Материалы!$K$2:$K$9000,MATCH($I1072,спр_Материалы!$A$2:$A$9000,0))*(1+IFERROR(INDEX(спр_Работы!$I$2:$I$6000,MATCH($C1072,спр_Работы!$A$2:$A$6000,0))/100,0))*(1-ДисконтТендер),0))</f>
        <v/>
      </c>
      <c r="N1072" s="10">
        <f>IF(AND($R1072="да",$H1072&lt;&gt;""),ROUND($H1072*$L1072,2),0)</f>
        <v/>
      </c>
      <c r="O1072" s="10">
        <f>IF(AND($R1072="да",$H1072&lt;&gt;""),ROUND($H1072*$M1072,2),0)</f>
        <v/>
      </c>
      <c r="P1072" s="10">
        <f>$N1072+$O1072</f>
        <v/>
      </c>
      <c r="Q1072">
        <f>IFERROR(INDEX(спр_Работы!$J$2:$J$6000,MATCH($C1072,спр_Работы!$A$2:$A$6000,0)),"")</f>
        <v/>
      </c>
      <c r="R1072" t="inlineStr">
        <is>
          <t>да</t>
        </is>
      </c>
      <c r="T1072">
        <f>IF(AND($P1072&gt;0,$R1072="да"),MAX($T$1:$T1071)+1,"")</f>
        <v/>
      </c>
    </row>
    <row r="1073">
      <c r="A1073" s="11">
        <f>IFERROR(INDEX(спр_Работы!$D$2:$D$6000,MATCH($C1073,спр_Работы!$A$2:$A$6000,0)),"")</f>
        <v/>
      </c>
      <c r="B1073">
        <f>IFERROR(INDEX(спр_Работы!$F$2:$F$6000,MATCH($C1073,спр_Работы!$A$2:$A$6000,0)),"")</f>
        <v/>
      </c>
      <c r="C1073">
        <f>IFERROR(INDEX(спр_Работы!$A$2:$A$6000,1072),"")</f>
        <v/>
      </c>
      <c r="D1073" s="8">
        <f>IFERROR(INDEX(спр_Работы!$B$2:$B$6000,MATCH($C1073,спр_Работы!$A$2:$A$6000,0)),"")</f>
        <v/>
      </c>
      <c r="E1073">
        <f>IFERROR(INDEX(спр_Работы!$C$2:$C$6000,MATCH($C1073,спр_Работы!$A$2:$A$6000,0)),"")</f>
        <v/>
      </c>
      <c r="F1073">
        <f>IFERROR(INDEX(спр_Работы!$G$2:$G$6000,MATCH($C1073,спр_Работы!$A$2:$A$6000,0)),"")</f>
        <v/>
      </c>
      <c r="G1073">
        <f>IFERROR(INDEX(спр_Работы!$K$2:$K$6000,MATCH($C1073,спр_Работы!$A$2:$A$6000,0)),"")</f>
        <v/>
      </c>
      <c r="H1073" s="9" t="n"/>
      <c r="I1073" s="9" t="n"/>
      <c r="J1073" s="8">
        <f>IFERROR(INDEX(спр_Материалы!$B$2:$B$9000,MATCH($I1073,спр_Материалы!$A$2:$A$9000,0)),"")</f>
        <v/>
      </c>
      <c r="K1073">
        <f>IF($I1073="","",IF($F1073=IFERROR(INDEX(спр_Материалы!$G$2:$G$9000,MATCH($I1073,спр_Материалы!$A$2:$A$9000,0)),""),"OK","!! не та группа"))</f>
        <v/>
      </c>
      <c r="L1073" s="10">
        <f>IFERROR(INDEX(спр_Работы!$H$2:$H$6000,MATCH($C1073,спр_Работы!$A$2:$A$6000,0))*(1-ДисконтТендер),0)</f>
        <v/>
      </c>
      <c r="M1073" s="10">
        <f>IF($I1073="",0,IFERROR(INDEX(спр_Материалы!$I$2:$I$9000,MATCH($I1073,спр_Материалы!$A$2:$A$9000,0))*IF(INDEX(спр_Материалы!$J$2:$J$9000,MATCH($I1073,спр_Материалы!$A$2:$A$9000,0))="USD",КурсUSD,IF(INDEX(спр_Материалы!$J$2:$J$9000,MATCH($I1073,спр_Материалы!$A$2:$A$9000,0))="EUR",КурсEUR,1))*INDEX(спр_Материалы!$K$2:$K$9000,MATCH($I1073,спр_Материалы!$A$2:$A$9000,0))*(1+IFERROR(INDEX(спр_Работы!$I$2:$I$6000,MATCH($C1073,спр_Работы!$A$2:$A$6000,0))/100,0))*(1-ДисконтТендер),0))</f>
        <v/>
      </c>
      <c r="N1073" s="10">
        <f>IF(AND($R1073="да",$H1073&lt;&gt;""),ROUND($H1073*$L1073,2),0)</f>
        <v/>
      </c>
      <c r="O1073" s="10">
        <f>IF(AND($R1073="да",$H1073&lt;&gt;""),ROUND($H1073*$M1073,2),0)</f>
        <v/>
      </c>
      <c r="P1073" s="10">
        <f>$N1073+$O1073</f>
        <v/>
      </c>
      <c r="Q1073">
        <f>IFERROR(INDEX(спр_Работы!$J$2:$J$6000,MATCH($C1073,спр_Работы!$A$2:$A$6000,0)),"")</f>
        <v/>
      </c>
      <c r="R1073" t="inlineStr">
        <is>
          <t>да</t>
        </is>
      </c>
      <c r="T1073">
        <f>IF(AND($P1073&gt;0,$R1073="да"),MAX($T$1:$T1072)+1,"")</f>
        <v/>
      </c>
    </row>
    <row r="1074">
      <c r="A1074" s="11">
        <f>IFERROR(INDEX(спр_Работы!$D$2:$D$6000,MATCH($C1074,спр_Работы!$A$2:$A$6000,0)),"")</f>
        <v/>
      </c>
      <c r="B1074">
        <f>IFERROR(INDEX(спр_Работы!$F$2:$F$6000,MATCH($C1074,спр_Работы!$A$2:$A$6000,0)),"")</f>
        <v/>
      </c>
      <c r="C1074">
        <f>IFERROR(INDEX(спр_Работы!$A$2:$A$6000,1073),"")</f>
        <v/>
      </c>
      <c r="D1074" s="8">
        <f>IFERROR(INDEX(спр_Работы!$B$2:$B$6000,MATCH($C1074,спр_Работы!$A$2:$A$6000,0)),"")</f>
        <v/>
      </c>
      <c r="E1074">
        <f>IFERROR(INDEX(спр_Работы!$C$2:$C$6000,MATCH($C1074,спр_Работы!$A$2:$A$6000,0)),"")</f>
        <v/>
      </c>
      <c r="F1074">
        <f>IFERROR(INDEX(спр_Работы!$G$2:$G$6000,MATCH($C1074,спр_Работы!$A$2:$A$6000,0)),"")</f>
        <v/>
      </c>
      <c r="G1074">
        <f>IFERROR(INDEX(спр_Работы!$K$2:$K$6000,MATCH($C1074,спр_Работы!$A$2:$A$6000,0)),"")</f>
        <v/>
      </c>
      <c r="H1074" s="9" t="n"/>
      <c r="I1074" s="9" t="n"/>
      <c r="J1074" s="8">
        <f>IFERROR(INDEX(спр_Материалы!$B$2:$B$9000,MATCH($I1074,спр_Материалы!$A$2:$A$9000,0)),"")</f>
        <v/>
      </c>
      <c r="K1074">
        <f>IF($I1074="","",IF($F1074=IFERROR(INDEX(спр_Материалы!$G$2:$G$9000,MATCH($I1074,спр_Материалы!$A$2:$A$9000,0)),""),"OK","!! не та группа"))</f>
        <v/>
      </c>
      <c r="L1074" s="10">
        <f>IFERROR(INDEX(спр_Работы!$H$2:$H$6000,MATCH($C1074,спр_Работы!$A$2:$A$6000,0))*(1-ДисконтТендер),0)</f>
        <v/>
      </c>
      <c r="M1074" s="10">
        <f>IF($I1074="",0,IFERROR(INDEX(спр_Материалы!$I$2:$I$9000,MATCH($I1074,спр_Материалы!$A$2:$A$9000,0))*IF(INDEX(спр_Материалы!$J$2:$J$9000,MATCH($I1074,спр_Материалы!$A$2:$A$9000,0))="USD",КурсUSD,IF(INDEX(спр_Материалы!$J$2:$J$9000,MATCH($I1074,спр_Материалы!$A$2:$A$9000,0))="EUR",КурсEUR,1))*INDEX(спр_Материалы!$K$2:$K$9000,MATCH($I1074,спр_Материалы!$A$2:$A$9000,0))*(1+IFERROR(INDEX(спр_Работы!$I$2:$I$6000,MATCH($C1074,спр_Работы!$A$2:$A$6000,0))/100,0))*(1-ДисконтТендер),0))</f>
        <v/>
      </c>
      <c r="N1074" s="10">
        <f>IF(AND($R1074="да",$H1074&lt;&gt;""),ROUND($H1074*$L1074,2),0)</f>
        <v/>
      </c>
      <c r="O1074" s="10">
        <f>IF(AND($R1074="да",$H1074&lt;&gt;""),ROUND($H1074*$M1074,2),0)</f>
        <v/>
      </c>
      <c r="P1074" s="10">
        <f>$N1074+$O1074</f>
        <v/>
      </c>
      <c r="Q1074">
        <f>IFERROR(INDEX(спр_Работы!$J$2:$J$6000,MATCH($C1074,спр_Работы!$A$2:$A$6000,0)),"")</f>
        <v/>
      </c>
      <c r="R1074" t="inlineStr">
        <is>
          <t>да</t>
        </is>
      </c>
      <c r="T1074">
        <f>IF(AND($P1074&gt;0,$R1074="да"),MAX($T$1:$T1073)+1,"")</f>
        <v/>
      </c>
    </row>
    <row r="1075">
      <c r="A1075" s="11">
        <f>IFERROR(INDEX(спр_Работы!$D$2:$D$6000,MATCH($C1075,спр_Работы!$A$2:$A$6000,0)),"")</f>
        <v/>
      </c>
      <c r="B1075">
        <f>IFERROR(INDEX(спр_Работы!$F$2:$F$6000,MATCH($C1075,спр_Работы!$A$2:$A$6000,0)),"")</f>
        <v/>
      </c>
      <c r="C1075">
        <f>IFERROR(INDEX(спр_Работы!$A$2:$A$6000,1074),"")</f>
        <v/>
      </c>
      <c r="D1075" s="8">
        <f>IFERROR(INDEX(спр_Работы!$B$2:$B$6000,MATCH($C1075,спр_Работы!$A$2:$A$6000,0)),"")</f>
        <v/>
      </c>
      <c r="E1075">
        <f>IFERROR(INDEX(спр_Работы!$C$2:$C$6000,MATCH($C1075,спр_Работы!$A$2:$A$6000,0)),"")</f>
        <v/>
      </c>
      <c r="F1075">
        <f>IFERROR(INDEX(спр_Работы!$G$2:$G$6000,MATCH($C1075,спр_Работы!$A$2:$A$6000,0)),"")</f>
        <v/>
      </c>
      <c r="G1075">
        <f>IFERROR(INDEX(спр_Работы!$K$2:$K$6000,MATCH($C1075,спр_Работы!$A$2:$A$6000,0)),"")</f>
        <v/>
      </c>
      <c r="H1075" s="9" t="n"/>
      <c r="I1075" s="9" t="n"/>
      <c r="J1075" s="8">
        <f>IFERROR(INDEX(спр_Материалы!$B$2:$B$9000,MATCH($I1075,спр_Материалы!$A$2:$A$9000,0)),"")</f>
        <v/>
      </c>
      <c r="K1075">
        <f>IF($I1075="","",IF($F1075=IFERROR(INDEX(спр_Материалы!$G$2:$G$9000,MATCH($I1075,спр_Материалы!$A$2:$A$9000,0)),""),"OK","!! не та группа"))</f>
        <v/>
      </c>
      <c r="L1075" s="10">
        <f>IFERROR(INDEX(спр_Работы!$H$2:$H$6000,MATCH($C1075,спр_Работы!$A$2:$A$6000,0))*(1-ДисконтТендер),0)</f>
        <v/>
      </c>
      <c r="M1075" s="10">
        <f>IF($I1075="",0,IFERROR(INDEX(спр_Материалы!$I$2:$I$9000,MATCH($I1075,спр_Материалы!$A$2:$A$9000,0))*IF(INDEX(спр_Материалы!$J$2:$J$9000,MATCH($I1075,спр_Материалы!$A$2:$A$9000,0))="USD",КурсUSD,IF(INDEX(спр_Материалы!$J$2:$J$9000,MATCH($I1075,спр_Материалы!$A$2:$A$9000,0))="EUR",КурсEUR,1))*INDEX(спр_Материалы!$K$2:$K$9000,MATCH($I1075,спр_Материалы!$A$2:$A$9000,0))*(1+IFERROR(INDEX(спр_Работы!$I$2:$I$6000,MATCH($C1075,спр_Работы!$A$2:$A$6000,0))/100,0))*(1-ДисконтТендер),0))</f>
        <v/>
      </c>
      <c r="N1075" s="10">
        <f>IF(AND($R1075="да",$H1075&lt;&gt;""),ROUND($H1075*$L1075,2),0)</f>
        <v/>
      </c>
      <c r="O1075" s="10">
        <f>IF(AND($R1075="да",$H1075&lt;&gt;""),ROUND($H1075*$M1075,2),0)</f>
        <v/>
      </c>
      <c r="P1075" s="10">
        <f>$N1075+$O1075</f>
        <v/>
      </c>
      <c r="Q1075">
        <f>IFERROR(INDEX(спр_Работы!$J$2:$J$6000,MATCH($C1075,спр_Работы!$A$2:$A$6000,0)),"")</f>
        <v/>
      </c>
      <c r="R1075" t="inlineStr">
        <is>
          <t>да</t>
        </is>
      </c>
      <c r="T1075">
        <f>IF(AND($P1075&gt;0,$R1075="да"),MAX($T$1:$T1074)+1,"")</f>
        <v/>
      </c>
    </row>
    <row r="1076">
      <c r="A1076" s="11">
        <f>IFERROR(INDEX(спр_Работы!$D$2:$D$6000,MATCH($C1076,спр_Работы!$A$2:$A$6000,0)),"")</f>
        <v/>
      </c>
      <c r="B1076">
        <f>IFERROR(INDEX(спр_Работы!$F$2:$F$6000,MATCH($C1076,спр_Работы!$A$2:$A$6000,0)),"")</f>
        <v/>
      </c>
      <c r="C1076">
        <f>IFERROR(INDEX(спр_Работы!$A$2:$A$6000,1075),"")</f>
        <v/>
      </c>
      <c r="D1076" s="8">
        <f>IFERROR(INDEX(спр_Работы!$B$2:$B$6000,MATCH($C1076,спр_Работы!$A$2:$A$6000,0)),"")</f>
        <v/>
      </c>
      <c r="E1076">
        <f>IFERROR(INDEX(спр_Работы!$C$2:$C$6000,MATCH($C1076,спр_Работы!$A$2:$A$6000,0)),"")</f>
        <v/>
      </c>
      <c r="F1076">
        <f>IFERROR(INDEX(спр_Работы!$G$2:$G$6000,MATCH($C1076,спр_Работы!$A$2:$A$6000,0)),"")</f>
        <v/>
      </c>
      <c r="G1076">
        <f>IFERROR(INDEX(спр_Работы!$K$2:$K$6000,MATCH($C1076,спр_Работы!$A$2:$A$6000,0)),"")</f>
        <v/>
      </c>
      <c r="H1076" s="9" t="n"/>
      <c r="I1076" s="9" t="n"/>
      <c r="J1076" s="8">
        <f>IFERROR(INDEX(спр_Материалы!$B$2:$B$9000,MATCH($I1076,спр_Материалы!$A$2:$A$9000,0)),"")</f>
        <v/>
      </c>
      <c r="K1076">
        <f>IF($I1076="","",IF($F1076=IFERROR(INDEX(спр_Материалы!$G$2:$G$9000,MATCH($I1076,спр_Материалы!$A$2:$A$9000,0)),""),"OK","!! не та группа"))</f>
        <v/>
      </c>
      <c r="L1076" s="10">
        <f>IFERROR(INDEX(спр_Работы!$H$2:$H$6000,MATCH($C1076,спр_Работы!$A$2:$A$6000,0))*(1-ДисконтТендер),0)</f>
        <v/>
      </c>
      <c r="M1076" s="10">
        <f>IF($I1076="",0,IFERROR(INDEX(спр_Материалы!$I$2:$I$9000,MATCH($I1076,спр_Материалы!$A$2:$A$9000,0))*IF(INDEX(спр_Материалы!$J$2:$J$9000,MATCH($I1076,спр_Материалы!$A$2:$A$9000,0))="USD",КурсUSD,IF(INDEX(спр_Материалы!$J$2:$J$9000,MATCH($I1076,спр_Материалы!$A$2:$A$9000,0))="EUR",КурсEUR,1))*INDEX(спр_Материалы!$K$2:$K$9000,MATCH($I1076,спр_Материалы!$A$2:$A$9000,0))*(1+IFERROR(INDEX(спр_Работы!$I$2:$I$6000,MATCH($C1076,спр_Работы!$A$2:$A$6000,0))/100,0))*(1-ДисконтТендер),0))</f>
        <v/>
      </c>
      <c r="N1076" s="10">
        <f>IF(AND($R1076="да",$H1076&lt;&gt;""),ROUND($H1076*$L1076,2),0)</f>
        <v/>
      </c>
      <c r="O1076" s="10">
        <f>IF(AND($R1076="да",$H1076&lt;&gt;""),ROUND($H1076*$M1076,2),0)</f>
        <v/>
      </c>
      <c r="P1076" s="10">
        <f>$N1076+$O1076</f>
        <v/>
      </c>
      <c r="Q1076">
        <f>IFERROR(INDEX(спр_Работы!$J$2:$J$6000,MATCH($C1076,спр_Работы!$A$2:$A$6000,0)),"")</f>
        <v/>
      </c>
      <c r="R1076" t="inlineStr">
        <is>
          <t>да</t>
        </is>
      </c>
      <c r="T1076">
        <f>IF(AND($P1076&gt;0,$R1076="да"),MAX($T$1:$T1075)+1,"")</f>
        <v/>
      </c>
    </row>
    <row r="1077">
      <c r="A1077" s="11">
        <f>IFERROR(INDEX(спр_Работы!$D$2:$D$6000,MATCH($C1077,спр_Работы!$A$2:$A$6000,0)),"")</f>
        <v/>
      </c>
      <c r="B1077">
        <f>IFERROR(INDEX(спр_Работы!$F$2:$F$6000,MATCH($C1077,спр_Работы!$A$2:$A$6000,0)),"")</f>
        <v/>
      </c>
      <c r="C1077">
        <f>IFERROR(INDEX(спр_Работы!$A$2:$A$6000,1076),"")</f>
        <v/>
      </c>
      <c r="D1077" s="8">
        <f>IFERROR(INDEX(спр_Работы!$B$2:$B$6000,MATCH($C1077,спр_Работы!$A$2:$A$6000,0)),"")</f>
        <v/>
      </c>
      <c r="E1077">
        <f>IFERROR(INDEX(спр_Работы!$C$2:$C$6000,MATCH($C1077,спр_Работы!$A$2:$A$6000,0)),"")</f>
        <v/>
      </c>
      <c r="F1077">
        <f>IFERROR(INDEX(спр_Работы!$G$2:$G$6000,MATCH($C1077,спр_Работы!$A$2:$A$6000,0)),"")</f>
        <v/>
      </c>
      <c r="G1077">
        <f>IFERROR(INDEX(спр_Работы!$K$2:$K$6000,MATCH($C1077,спр_Работы!$A$2:$A$6000,0)),"")</f>
        <v/>
      </c>
      <c r="H1077" s="9" t="n"/>
      <c r="I1077" s="9" t="n"/>
      <c r="J1077" s="8">
        <f>IFERROR(INDEX(спр_Материалы!$B$2:$B$9000,MATCH($I1077,спр_Материалы!$A$2:$A$9000,0)),"")</f>
        <v/>
      </c>
      <c r="K1077">
        <f>IF($I1077="","",IF($F1077=IFERROR(INDEX(спр_Материалы!$G$2:$G$9000,MATCH($I1077,спр_Материалы!$A$2:$A$9000,0)),""),"OK","!! не та группа"))</f>
        <v/>
      </c>
      <c r="L1077" s="10">
        <f>IFERROR(INDEX(спр_Работы!$H$2:$H$6000,MATCH($C1077,спр_Работы!$A$2:$A$6000,0))*(1-ДисконтТендер),0)</f>
        <v/>
      </c>
      <c r="M1077" s="10">
        <f>IF($I1077="",0,IFERROR(INDEX(спр_Материалы!$I$2:$I$9000,MATCH($I1077,спр_Материалы!$A$2:$A$9000,0))*IF(INDEX(спр_Материалы!$J$2:$J$9000,MATCH($I1077,спр_Материалы!$A$2:$A$9000,0))="USD",КурсUSD,IF(INDEX(спр_Материалы!$J$2:$J$9000,MATCH($I1077,спр_Материалы!$A$2:$A$9000,0))="EUR",КурсEUR,1))*INDEX(спр_Материалы!$K$2:$K$9000,MATCH($I1077,спр_Материалы!$A$2:$A$9000,0))*(1+IFERROR(INDEX(спр_Работы!$I$2:$I$6000,MATCH($C1077,спр_Работы!$A$2:$A$6000,0))/100,0))*(1-ДисконтТендер),0))</f>
        <v/>
      </c>
      <c r="N1077" s="10">
        <f>IF(AND($R1077="да",$H1077&lt;&gt;""),ROUND($H1077*$L1077,2),0)</f>
        <v/>
      </c>
      <c r="O1077" s="10">
        <f>IF(AND($R1077="да",$H1077&lt;&gt;""),ROUND($H1077*$M1077,2),0)</f>
        <v/>
      </c>
      <c r="P1077" s="10">
        <f>$N1077+$O1077</f>
        <v/>
      </c>
      <c r="Q1077">
        <f>IFERROR(INDEX(спр_Работы!$J$2:$J$6000,MATCH($C1077,спр_Работы!$A$2:$A$6000,0)),"")</f>
        <v/>
      </c>
      <c r="R1077" t="inlineStr">
        <is>
          <t>да</t>
        </is>
      </c>
      <c r="T1077">
        <f>IF(AND($P1077&gt;0,$R1077="да"),MAX($T$1:$T1076)+1,"")</f>
        <v/>
      </c>
    </row>
    <row r="1078">
      <c r="A1078" s="11">
        <f>IFERROR(INDEX(спр_Работы!$D$2:$D$6000,MATCH($C1078,спр_Работы!$A$2:$A$6000,0)),"")</f>
        <v/>
      </c>
      <c r="B1078">
        <f>IFERROR(INDEX(спр_Работы!$F$2:$F$6000,MATCH($C1078,спр_Работы!$A$2:$A$6000,0)),"")</f>
        <v/>
      </c>
      <c r="C1078">
        <f>IFERROR(INDEX(спр_Работы!$A$2:$A$6000,1077),"")</f>
        <v/>
      </c>
      <c r="D1078" s="8">
        <f>IFERROR(INDEX(спр_Работы!$B$2:$B$6000,MATCH($C1078,спр_Работы!$A$2:$A$6000,0)),"")</f>
        <v/>
      </c>
      <c r="E1078">
        <f>IFERROR(INDEX(спр_Работы!$C$2:$C$6000,MATCH($C1078,спр_Работы!$A$2:$A$6000,0)),"")</f>
        <v/>
      </c>
      <c r="F1078">
        <f>IFERROR(INDEX(спр_Работы!$G$2:$G$6000,MATCH($C1078,спр_Работы!$A$2:$A$6000,0)),"")</f>
        <v/>
      </c>
      <c r="G1078">
        <f>IFERROR(INDEX(спр_Работы!$K$2:$K$6000,MATCH($C1078,спр_Работы!$A$2:$A$6000,0)),"")</f>
        <v/>
      </c>
      <c r="H1078" s="9" t="n"/>
      <c r="I1078" s="9" t="n"/>
      <c r="J1078" s="8">
        <f>IFERROR(INDEX(спр_Материалы!$B$2:$B$9000,MATCH($I1078,спр_Материалы!$A$2:$A$9000,0)),"")</f>
        <v/>
      </c>
      <c r="K1078">
        <f>IF($I1078="","",IF($F1078=IFERROR(INDEX(спр_Материалы!$G$2:$G$9000,MATCH($I1078,спр_Материалы!$A$2:$A$9000,0)),""),"OK","!! не та группа"))</f>
        <v/>
      </c>
      <c r="L1078" s="10">
        <f>IFERROR(INDEX(спр_Работы!$H$2:$H$6000,MATCH($C1078,спр_Работы!$A$2:$A$6000,0))*(1-ДисконтТендер),0)</f>
        <v/>
      </c>
      <c r="M1078" s="10">
        <f>IF($I1078="",0,IFERROR(INDEX(спр_Материалы!$I$2:$I$9000,MATCH($I1078,спр_Материалы!$A$2:$A$9000,0))*IF(INDEX(спр_Материалы!$J$2:$J$9000,MATCH($I1078,спр_Материалы!$A$2:$A$9000,0))="USD",КурсUSD,IF(INDEX(спр_Материалы!$J$2:$J$9000,MATCH($I1078,спр_Материалы!$A$2:$A$9000,0))="EUR",КурсEUR,1))*INDEX(спр_Материалы!$K$2:$K$9000,MATCH($I1078,спр_Материалы!$A$2:$A$9000,0))*(1+IFERROR(INDEX(спр_Работы!$I$2:$I$6000,MATCH($C1078,спр_Работы!$A$2:$A$6000,0))/100,0))*(1-ДисконтТендер),0))</f>
        <v/>
      </c>
      <c r="N1078" s="10">
        <f>IF(AND($R1078="да",$H1078&lt;&gt;""),ROUND($H1078*$L1078,2),0)</f>
        <v/>
      </c>
      <c r="O1078" s="10">
        <f>IF(AND($R1078="да",$H1078&lt;&gt;""),ROUND($H1078*$M1078,2),0)</f>
        <v/>
      </c>
      <c r="P1078" s="10">
        <f>$N1078+$O1078</f>
        <v/>
      </c>
      <c r="Q1078">
        <f>IFERROR(INDEX(спр_Работы!$J$2:$J$6000,MATCH($C1078,спр_Работы!$A$2:$A$6000,0)),"")</f>
        <v/>
      </c>
      <c r="R1078" t="inlineStr">
        <is>
          <t>да</t>
        </is>
      </c>
      <c r="T1078">
        <f>IF(AND($P1078&gt;0,$R1078="да"),MAX($T$1:$T1077)+1,"")</f>
        <v/>
      </c>
    </row>
    <row r="1079">
      <c r="A1079" s="11">
        <f>IFERROR(INDEX(спр_Работы!$D$2:$D$6000,MATCH($C1079,спр_Работы!$A$2:$A$6000,0)),"")</f>
        <v/>
      </c>
      <c r="B1079">
        <f>IFERROR(INDEX(спр_Работы!$F$2:$F$6000,MATCH($C1079,спр_Работы!$A$2:$A$6000,0)),"")</f>
        <v/>
      </c>
      <c r="C1079">
        <f>IFERROR(INDEX(спр_Работы!$A$2:$A$6000,1078),"")</f>
        <v/>
      </c>
      <c r="D1079" s="8">
        <f>IFERROR(INDEX(спр_Работы!$B$2:$B$6000,MATCH($C1079,спр_Работы!$A$2:$A$6000,0)),"")</f>
        <v/>
      </c>
      <c r="E1079">
        <f>IFERROR(INDEX(спр_Работы!$C$2:$C$6000,MATCH($C1079,спр_Работы!$A$2:$A$6000,0)),"")</f>
        <v/>
      </c>
      <c r="F1079">
        <f>IFERROR(INDEX(спр_Работы!$G$2:$G$6000,MATCH($C1079,спр_Работы!$A$2:$A$6000,0)),"")</f>
        <v/>
      </c>
      <c r="G1079">
        <f>IFERROR(INDEX(спр_Работы!$K$2:$K$6000,MATCH($C1079,спр_Работы!$A$2:$A$6000,0)),"")</f>
        <v/>
      </c>
      <c r="H1079" s="9" t="n"/>
      <c r="I1079" s="9" t="n"/>
      <c r="J1079" s="8">
        <f>IFERROR(INDEX(спр_Материалы!$B$2:$B$9000,MATCH($I1079,спр_Материалы!$A$2:$A$9000,0)),"")</f>
        <v/>
      </c>
      <c r="K1079">
        <f>IF($I1079="","",IF($F1079=IFERROR(INDEX(спр_Материалы!$G$2:$G$9000,MATCH($I1079,спр_Материалы!$A$2:$A$9000,0)),""),"OK","!! не та группа"))</f>
        <v/>
      </c>
      <c r="L1079" s="10">
        <f>IFERROR(INDEX(спр_Работы!$H$2:$H$6000,MATCH($C1079,спр_Работы!$A$2:$A$6000,0))*(1-ДисконтТендер),0)</f>
        <v/>
      </c>
      <c r="M1079" s="10">
        <f>IF($I1079="",0,IFERROR(INDEX(спр_Материалы!$I$2:$I$9000,MATCH($I1079,спр_Материалы!$A$2:$A$9000,0))*IF(INDEX(спр_Материалы!$J$2:$J$9000,MATCH($I1079,спр_Материалы!$A$2:$A$9000,0))="USD",КурсUSD,IF(INDEX(спр_Материалы!$J$2:$J$9000,MATCH($I1079,спр_Материалы!$A$2:$A$9000,0))="EUR",КурсEUR,1))*INDEX(спр_Материалы!$K$2:$K$9000,MATCH($I1079,спр_Материалы!$A$2:$A$9000,0))*(1+IFERROR(INDEX(спр_Работы!$I$2:$I$6000,MATCH($C1079,спр_Работы!$A$2:$A$6000,0))/100,0))*(1-ДисконтТендер),0))</f>
        <v/>
      </c>
      <c r="N1079" s="10">
        <f>IF(AND($R1079="да",$H1079&lt;&gt;""),ROUND($H1079*$L1079,2),0)</f>
        <v/>
      </c>
      <c r="O1079" s="10">
        <f>IF(AND($R1079="да",$H1079&lt;&gt;""),ROUND($H1079*$M1079,2),0)</f>
        <v/>
      </c>
      <c r="P1079" s="10">
        <f>$N1079+$O1079</f>
        <v/>
      </c>
      <c r="Q1079">
        <f>IFERROR(INDEX(спр_Работы!$J$2:$J$6000,MATCH($C1079,спр_Работы!$A$2:$A$6000,0)),"")</f>
        <v/>
      </c>
      <c r="R1079" t="inlineStr">
        <is>
          <t>да</t>
        </is>
      </c>
      <c r="T1079">
        <f>IF(AND($P1079&gt;0,$R1079="да"),MAX($T$1:$T1078)+1,"")</f>
        <v/>
      </c>
    </row>
    <row r="1080">
      <c r="A1080" s="11">
        <f>IFERROR(INDEX(спр_Работы!$D$2:$D$6000,MATCH($C1080,спр_Работы!$A$2:$A$6000,0)),"")</f>
        <v/>
      </c>
      <c r="B1080">
        <f>IFERROR(INDEX(спр_Работы!$F$2:$F$6000,MATCH($C1080,спр_Работы!$A$2:$A$6000,0)),"")</f>
        <v/>
      </c>
      <c r="C1080">
        <f>IFERROR(INDEX(спр_Работы!$A$2:$A$6000,1079),"")</f>
        <v/>
      </c>
      <c r="D1080" s="8">
        <f>IFERROR(INDEX(спр_Работы!$B$2:$B$6000,MATCH($C1080,спр_Работы!$A$2:$A$6000,0)),"")</f>
        <v/>
      </c>
      <c r="E1080">
        <f>IFERROR(INDEX(спр_Работы!$C$2:$C$6000,MATCH($C1080,спр_Работы!$A$2:$A$6000,0)),"")</f>
        <v/>
      </c>
      <c r="F1080">
        <f>IFERROR(INDEX(спр_Работы!$G$2:$G$6000,MATCH($C1080,спр_Работы!$A$2:$A$6000,0)),"")</f>
        <v/>
      </c>
      <c r="G1080">
        <f>IFERROR(INDEX(спр_Работы!$K$2:$K$6000,MATCH($C1080,спр_Работы!$A$2:$A$6000,0)),"")</f>
        <v/>
      </c>
      <c r="H1080" s="9" t="n"/>
      <c r="I1080" s="9" t="n"/>
      <c r="J1080" s="8">
        <f>IFERROR(INDEX(спр_Материалы!$B$2:$B$9000,MATCH($I1080,спр_Материалы!$A$2:$A$9000,0)),"")</f>
        <v/>
      </c>
      <c r="K1080">
        <f>IF($I1080="","",IF($F1080=IFERROR(INDEX(спр_Материалы!$G$2:$G$9000,MATCH($I1080,спр_Материалы!$A$2:$A$9000,0)),""),"OK","!! не та группа"))</f>
        <v/>
      </c>
      <c r="L1080" s="10">
        <f>IFERROR(INDEX(спр_Работы!$H$2:$H$6000,MATCH($C1080,спр_Работы!$A$2:$A$6000,0))*(1-ДисконтТендер),0)</f>
        <v/>
      </c>
      <c r="M1080" s="10">
        <f>IF($I1080="",0,IFERROR(INDEX(спр_Материалы!$I$2:$I$9000,MATCH($I1080,спр_Материалы!$A$2:$A$9000,0))*IF(INDEX(спр_Материалы!$J$2:$J$9000,MATCH($I1080,спр_Материалы!$A$2:$A$9000,0))="USD",КурсUSD,IF(INDEX(спр_Материалы!$J$2:$J$9000,MATCH($I1080,спр_Материалы!$A$2:$A$9000,0))="EUR",КурсEUR,1))*INDEX(спр_Материалы!$K$2:$K$9000,MATCH($I1080,спр_Материалы!$A$2:$A$9000,0))*(1+IFERROR(INDEX(спр_Работы!$I$2:$I$6000,MATCH($C1080,спр_Работы!$A$2:$A$6000,0))/100,0))*(1-ДисконтТендер),0))</f>
        <v/>
      </c>
      <c r="N1080" s="10">
        <f>IF(AND($R1080="да",$H1080&lt;&gt;""),ROUND($H1080*$L1080,2),0)</f>
        <v/>
      </c>
      <c r="O1080" s="10">
        <f>IF(AND($R1080="да",$H1080&lt;&gt;""),ROUND($H1080*$M1080,2),0)</f>
        <v/>
      </c>
      <c r="P1080" s="10">
        <f>$N1080+$O1080</f>
        <v/>
      </c>
      <c r="Q1080">
        <f>IFERROR(INDEX(спр_Работы!$J$2:$J$6000,MATCH($C1080,спр_Работы!$A$2:$A$6000,0)),"")</f>
        <v/>
      </c>
      <c r="R1080" t="inlineStr">
        <is>
          <t>да</t>
        </is>
      </c>
      <c r="T1080">
        <f>IF(AND($P1080&gt;0,$R1080="да"),MAX($T$1:$T1079)+1,"")</f>
        <v/>
      </c>
    </row>
    <row r="1081">
      <c r="A1081" s="11">
        <f>IFERROR(INDEX(спр_Работы!$D$2:$D$6000,MATCH($C1081,спр_Работы!$A$2:$A$6000,0)),"")</f>
        <v/>
      </c>
      <c r="B1081">
        <f>IFERROR(INDEX(спр_Работы!$F$2:$F$6000,MATCH($C1081,спр_Работы!$A$2:$A$6000,0)),"")</f>
        <v/>
      </c>
      <c r="C1081">
        <f>IFERROR(INDEX(спр_Работы!$A$2:$A$6000,1080),"")</f>
        <v/>
      </c>
      <c r="D1081" s="8">
        <f>IFERROR(INDEX(спр_Работы!$B$2:$B$6000,MATCH($C1081,спр_Работы!$A$2:$A$6000,0)),"")</f>
        <v/>
      </c>
      <c r="E1081">
        <f>IFERROR(INDEX(спр_Работы!$C$2:$C$6000,MATCH($C1081,спр_Работы!$A$2:$A$6000,0)),"")</f>
        <v/>
      </c>
      <c r="F1081">
        <f>IFERROR(INDEX(спр_Работы!$G$2:$G$6000,MATCH($C1081,спр_Работы!$A$2:$A$6000,0)),"")</f>
        <v/>
      </c>
      <c r="G1081">
        <f>IFERROR(INDEX(спр_Работы!$K$2:$K$6000,MATCH($C1081,спр_Работы!$A$2:$A$6000,0)),"")</f>
        <v/>
      </c>
      <c r="H1081" s="9" t="n"/>
      <c r="I1081" s="9" t="n"/>
      <c r="J1081" s="8">
        <f>IFERROR(INDEX(спр_Материалы!$B$2:$B$9000,MATCH($I1081,спр_Материалы!$A$2:$A$9000,0)),"")</f>
        <v/>
      </c>
      <c r="K1081">
        <f>IF($I1081="","",IF($F1081=IFERROR(INDEX(спр_Материалы!$G$2:$G$9000,MATCH($I1081,спр_Материалы!$A$2:$A$9000,0)),""),"OK","!! не та группа"))</f>
        <v/>
      </c>
      <c r="L1081" s="10">
        <f>IFERROR(INDEX(спр_Работы!$H$2:$H$6000,MATCH($C1081,спр_Работы!$A$2:$A$6000,0))*(1-ДисконтТендер),0)</f>
        <v/>
      </c>
      <c r="M1081" s="10">
        <f>IF($I1081="",0,IFERROR(INDEX(спр_Материалы!$I$2:$I$9000,MATCH($I1081,спр_Материалы!$A$2:$A$9000,0))*IF(INDEX(спр_Материалы!$J$2:$J$9000,MATCH($I1081,спр_Материалы!$A$2:$A$9000,0))="USD",КурсUSD,IF(INDEX(спр_Материалы!$J$2:$J$9000,MATCH($I1081,спр_Материалы!$A$2:$A$9000,0))="EUR",КурсEUR,1))*INDEX(спр_Материалы!$K$2:$K$9000,MATCH($I1081,спр_Материалы!$A$2:$A$9000,0))*(1+IFERROR(INDEX(спр_Работы!$I$2:$I$6000,MATCH($C1081,спр_Работы!$A$2:$A$6000,0))/100,0))*(1-ДисконтТендер),0))</f>
        <v/>
      </c>
      <c r="N1081" s="10">
        <f>IF(AND($R1081="да",$H1081&lt;&gt;""),ROUND($H1081*$L1081,2),0)</f>
        <v/>
      </c>
      <c r="O1081" s="10">
        <f>IF(AND($R1081="да",$H1081&lt;&gt;""),ROUND($H1081*$M1081,2),0)</f>
        <v/>
      </c>
      <c r="P1081" s="10">
        <f>$N1081+$O1081</f>
        <v/>
      </c>
      <c r="Q1081">
        <f>IFERROR(INDEX(спр_Работы!$J$2:$J$6000,MATCH($C1081,спр_Работы!$A$2:$A$6000,0)),"")</f>
        <v/>
      </c>
      <c r="R1081" t="inlineStr">
        <is>
          <t>да</t>
        </is>
      </c>
      <c r="T1081">
        <f>IF(AND($P1081&gt;0,$R1081="да"),MAX($T$1:$T1080)+1,"")</f>
        <v/>
      </c>
    </row>
    <row r="1082">
      <c r="A1082" s="11">
        <f>IFERROR(INDEX(спр_Работы!$D$2:$D$6000,MATCH($C1082,спр_Работы!$A$2:$A$6000,0)),"")</f>
        <v/>
      </c>
      <c r="B1082">
        <f>IFERROR(INDEX(спр_Работы!$F$2:$F$6000,MATCH($C1082,спр_Работы!$A$2:$A$6000,0)),"")</f>
        <v/>
      </c>
      <c r="C1082">
        <f>IFERROR(INDEX(спр_Работы!$A$2:$A$6000,1081),"")</f>
        <v/>
      </c>
      <c r="D1082" s="8">
        <f>IFERROR(INDEX(спр_Работы!$B$2:$B$6000,MATCH($C1082,спр_Работы!$A$2:$A$6000,0)),"")</f>
        <v/>
      </c>
      <c r="E1082">
        <f>IFERROR(INDEX(спр_Работы!$C$2:$C$6000,MATCH($C1082,спр_Работы!$A$2:$A$6000,0)),"")</f>
        <v/>
      </c>
      <c r="F1082">
        <f>IFERROR(INDEX(спр_Работы!$G$2:$G$6000,MATCH($C1082,спр_Работы!$A$2:$A$6000,0)),"")</f>
        <v/>
      </c>
      <c r="G1082">
        <f>IFERROR(INDEX(спр_Работы!$K$2:$K$6000,MATCH($C1082,спр_Работы!$A$2:$A$6000,0)),"")</f>
        <v/>
      </c>
      <c r="H1082" s="9" t="n"/>
      <c r="I1082" s="9" t="n"/>
      <c r="J1082" s="8">
        <f>IFERROR(INDEX(спр_Материалы!$B$2:$B$9000,MATCH($I1082,спр_Материалы!$A$2:$A$9000,0)),"")</f>
        <v/>
      </c>
      <c r="K1082">
        <f>IF($I1082="","",IF($F1082=IFERROR(INDEX(спр_Материалы!$G$2:$G$9000,MATCH($I1082,спр_Материалы!$A$2:$A$9000,0)),""),"OK","!! не та группа"))</f>
        <v/>
      </c>
      <c r="L1082" s="10">
        <f>IFERROR(INDEX(спр_Работы!$H$2:$H$6000,MATCH($C1082,спр_Работы!$A$2:$A$6000,0))*(1-ДисконтТендер),0)</f>
        <v/>
      </c>
      <c r="M1082" s="10">
        <f>IF($I1082="",0,IFERROR(INDEX(спр_Материалы!$I$2:$I$9000,MATCH($I1082,спр_Материалы!$A$2:$A$9000,0))*IF(INDEX(спр_Материалы!$J$2:$J$9000,MATCH($I1082,спр_Материалы!$A$2:$A$9000,0))="USD",КурсUSD,IF(INDEX(спр_Материалы!$J$2:$J$9000,MATCH($I1082,спр_Материалы!$A$2:$A$9000,0))="EUR",КурсEUR,1))*INDEX(спр_Материалы!$K$2:$K$9000,MATCH($I1082,спр_Материалы!$A$2:$A$9000,0))*(1+IFERROR(INDEX(спр_Работы!$I$2:$I$6000,MATCH($C1082,спр_Работы!$A$2:$A$6000,0))/100,0))*(1-ДисконтТендер),0))</f>
        <v/>
      </c>
      <c r="N1082" s="10">
        <f>IF(AND($R1082="да",$H1082&lt;&gt;""),ROUND($H1082*$L1082,2),0)</f>
        <v/>
      </c>
      <c r="O1082" s="10">
        <f>IF(AND($R1082="да",$H1082&lt;&gt;""),ROUND($H1082*$M1082,2),0)</f>
        <v/>
      </c>
      <c r="P1082" s="10">
        <f>$N1082+$O1082</f>
        <v/>
      </c>
      <c r="Q1082">
        <f>IFERROR(INDEX(спр_Работы!$J$2:$J$6000,MATCH($C1082,спр_Работы!$A$2:$A$6000,0)),"")</f>
        <v/>
      </c>
      <c r="R1082" t="inlineStr">
        <is>
          <t>да</t>
        </is>
      </c>
      <c r="T1082">
        <f>IF(AND($P1082&gt;0,$R1082="да"),MAX($T$1:$T1081)+1,"")</f>
        <v/>
      </c>
    </row>
    <row r="1083">
      <c r="A1083" s="11">
        <f>IFERROR(INDEX(спр_Работы!$D$2:$D$6000,MATCH($C1083,спр_Работы!$A$2:$A$6000,0)),"")</f>
        <v/>
      </c>
      <c r="B1083">
        <f>IFERROR(INDEX(спр_Работы!$F$2:$F$6000,MATCH($C1083,спр_Работы!$A$2:$A$6000,0)),"")</f>
        <v/>
      </c>
      <c r="C1083">
        <f>IFERROR(INDEX(спр_Работы!$A$2:$A$6000,1082),"")</f>
        <v/>
      </c>
      <c r="D1083" s="8">
        <f>IFERROR(INDEX(спр_Работы!$B$2:$B$6000,MATCH($C1083,спр_Работы!$A$2:$A$6000,0)),"")</f>
        <v/>
      </c>
      <c r="E1083">
        <f>IFERROR(INDEX(спр_Работы!$C$2:$C$6000,MATCH($C1083,спр_Работы!$A$2:$A$6000,0)),"")</f>
        <v/>
      </c>
      <c r="F1083">
        <f>IFERROR(INDEX(спр_Работы!$G$2:$G$6000,MATCH($C1083,спр_Работы!$A$2:$A$6000,0)),"")</f>
        <v/>
      </c>
      <c r="G1083">
        <f>IFERROR(INDEX(спр_Работы!$K$2:$K$6000,MATCH($C1083,спр_Работы!$A$2:$A$6000,0)),"")</f>
        <v/>
      </c>
      <c r="H1083" s="9" t="n"/>
      <c r="I1083" s="9" t="n"/>
      <c r="J1083" s="8">
        <f>IFERROR(INDEX(спр_Материалы!$B$2:$B$9000,MATCH($I1083,спр_Материалы!$A$2:$A$9000,0)),"")</f>
        <v/>
      </c>
      <c r="K1083">
        <f>IF($I1083="","",IF($F1083=IFERROR(INDEX(спр_Материалы!$G$2:$G$9000,MATCH($I1083,спр_Материалы!$A$2:$A$9000,0)),""),"OK","!! не та группа"))</f>
        <v/>
      </c>
      <c r="L1083" s="10">
        <f>IFERROR(INDEX(спр_Работы!$H$2:$H$6000,MATCH($C1083,спр_Работы!$A$2:$A$6000,0))*(1-ДисконтТендер),0)</f>
        <v/>
      </c>
      <c r="M1083" s="10">
        <f>IF($I1083="",0,IFERROR(INDEX(спр_Материалы!$I$2:$I$9000,MATCH($I1083,спр_Материалы!$A$2:$A$9000,0))*IF(INDEX(спр_Материалы!$J$2:$J$9000,MATCH($I1083,спр_Материалы!$A$2:$A$9000,0))="USD",КурсUSD,IF(INDEX(спр_Материалы!$J$2:$J$9000,MATCH($I1083,спр_Материалы!$A$2:$A$9000,0))="EUR",КурсEUR,1))*INDEX(спр_Материалы!$K$2:$K$9000,MATCH($I1083,спр_Материалы!$A$2:$A$9000,0))*(1+IFERROR(INDEX(спр_Работы!$I$2:$I$6000,MATCH($C1083,спр_Работы!$A$2:$A$6000,0))/100,0))*(1-ДисконтТендер),0))</f>
        <v/>
      </c>
      <c r="N1083" s="10">
        <f>IF(AND($R1083="да",$H1083&lt;&gt;""),ROUND($H1083*$L1083,2),0)</f>
        <v/>
      </c>
      <c r="O1083" s="10">
        <f>IF(AND($R1083="да",$H1083&lt;&gt;""),ROUND($H1083*$M1083,2),0)</f>
        <v/>
      </c>
      <c r="P1083" s="10">
        <f>$N1083+$O1083</f>
        <v/>
      </c>
      <c r="Q1083">
        <f>IFERROR(INDEX(спр_Работы!$J$2:$J$6000,MATCH($C1083,спр_Работы!$A$2:$A$6000,0)),"")</f>
        <v/>
      </c>
      <c r="R1083" t="inlineStr">
        <is>
          <t>да</t>
        </is>
      </c>
      <c r="T1083">
        <f>IF(AND($P1083&gt;0,$R1083="да"),MAX($T$1:$T1082)+1,"")</f>
        <v/>
      </c>
    </row>
    <row r="1084">
      <c r="A1084" s="11">
        <f>IFERROR(INDEX(спр_Работы!$D$2:$D$6000,MATCH($C1084,спр_Работы!$A$2:$A$6000,0)),"")</f>
        <v/>
      </c>
      <c r="B1084">
        <f>IFERROR(INDEX(спр_Работы!$F$2:$F$6000,MATCH($C1084,спр_Работы!$A$2:$A$6000,0)),"")</f>
        <v/>
      </c>
      <c r="C1084">
        <f>IFERROR(INDEX(спр_Работы!$A$2:$A$6000,1083),"")</f>
        <v/>
      </c>
      <c r="D1084" s="8">
        <f>IFERROR(INDEX(спр_Работы!$B$2:$B$6000,MATCH($C1084,спр_Работы!$A$2:$A$6000,0)),"")</f>
        <v/>
      </c>
      <c r="E1084">
        <f>IFERROR(INDEX(спр_Работы!$C$2:$C$6000,MATCH($C1084,спр_Работы!$A$2:$A$6000,0)),"")</f>
        <v/>
      </c>
      <c r="F1084">
        <f>IFERROR(INDEX(спр_Работы!$G$2:$G$6000,MATCH($C1084,спр_Работы!$A$2:$A$6000,0)),"")</f>
        <v/>
      </c>
      <c r="G1084">
        <f>IFERROR(INDEX(спр_Работы!$K$2:$K$6000,MATCH($C1084,спр_Работы!$A$2:$A$6000,0)),"")</f>
        <v/>
      </c>
      <c r="H1084" s="9" t="n"/>
      <c r="I1084" s="9" t="n"/>
      <c r="J1084" s="8">
        <f>IFERROR(INDEX(спр_Материалы!$B$2:$B$9000,MATCH($I1084,спр_Материалы!$A$2:$A$9000,0)),"")</f>
        <v/>
      </c>
      <c r="K1084">
        <f>IF($I1084="","",IF($F1084=IFERROR(INDEX(спр_Материалы!$G$2:$G$9000,MATCH($I1084,спр_Материалы!$A$2:$A$9000,0)),""),"OK","!! не та группа"))</f>
        <v/>
      </c>
      <c r="L1084" s="10">
        <f>IFERROR(INDEX(спр_Работы!$H$2:$H$6000,MATCH($C1084,спр_Работы!$A$2:$A$6000,0))*(1-ДисконтТендер),0)</f>
        <v/>
      </c>
      <c r="M1084" s="10">
        <f>IF($I1084="",0,IFERROR(INDEX(спр_Материалы!$I$2:$I$9000,MATCH($I1084,спр_Материалы!$A$2:$A$9000,0))*IF(INDEX(спр_Материалы!$J$2:$J$9000,MATCH($I1084,спр_Материалы!$A$2:$A$9000,0))="USD",КурсUSD,IF(INDEX(спр_Материалы!$J$2:$J$9000,MATCH($I1084,спр_Материалы!$A$2:$A$9000,0))="EUR",КурсEUR,1))*INDEX(спр_Материалы!$K$2:$K$9000,MATCH($I1084,спр_Материалы!$A$2:$A$9000,0))*(1+IFERROR(INDEX(спр_Работы!$I$2:$I$6000,MATCH($C1084,спр_Работы!$A$2:$A$6000,0))/100,0))*(1-ДисконтТендер),0))</f>
        <v/>
      </c>
      <c r="N1084" s="10">
        <f>IF(AND($R1084="да",$H1084&lt;&gt;""),ROUND($H1084*$L1084,2),0)</f>
        <v/>
      </c>
      <c r="O1084" s="10">
        <f>IF(AND($R1084="да",$H1084&lt;&gt;""),ROUND($H1084*$M1084,2),0)</f>
        <v/>
      </c>
      <c r="P1084" s="10">
        <f>$N1084+$O1084</f>
        <v/>
      </c>
      <c r="Q1084">
        <f>IFERROR(INDEX(спр_Работы!$J$2:$J$6000,MATCH($C1084,спр_Работы!$A$2:$A$6000,0)),"")</f>
        <v/>
      </c>
      <c r="R1084" t="inlineStr">
        <is>
          <t>да</t>
        </is>
      </c>
      <c r="T1084">
        <f>IF(AND($P1084&gt;0,$R1084="да"),MAX($T$1:$T1083)+1,"")</f>
        <v/>
      </c>
    </row>
    <row r="1085">
      <c r="A1085" s="11">
        <f>IFERROR(INDEX(спр_Работы!$D$2:$D$6000,MATCH($C1085,спр_Работы!$A$2:$A$6000,0)),"")</f>
        <v/>
      </c>
      <c r="B1085">
        <f>IFERROR(INDEX(спр_Работы!$F$2:$F$6000,MATCH($C1085,спр_Работы!$A$2:$A$6000,0)),"")</f>
        <v/>
      </c>
      <c r="C1085">
        <f>IFERROR(INDEX(спр_Работы!$A$2:$A$6000,1084),"")</f>
        <v/>
      </c>
      <c r="D1085" s="8">
        <f>IFERROR(INDEX(спр_Работы!$B$2:$B$6000,MATCH($C1085,спр_Работы!$A$2:$A$6000,0)),"")</f>
        <v/>
      </c>
      <c r="E1085">
        <f>IFERROR(INDEX(спр_Работы!$C$2:$C$6000,MATCH($C1085,спр_Работы!$A$2:$A$6000,0)),"")</f>
        <v/>
      </c>
      <c r="F1085">
        <f>IFERROR(INDEX(спр_Работы!$G$2:$G$6000,MATCH($C1085,спр_Работы!$A$2:$A$6000,0)),"")</f>
        <v/>
      </c>
      <c r="G1085">
        <f>IFERROR(INDEX(спр_Работы!$K$2:$K$6000,MATCH($C1085,спр_Работы!$A$2:$A$6000,0)),"")</f>
        <v/>
      </c>
      <c r="H1085" s="9" t="n"/>
      <c r="I1085" s="9" t="n"/>
      <c r="J1085" s="8">
        <f>IFERROR(INDEX(спр_Материалы!$B$2:$B$9000,MATCH($I1085,спр_Материалы!$A$2:$A$9000,0)),"")</f>
        <v/>
      </c>
      <c r="K1085">
        <f>IF($I1085="","",IF($F1085=IFERROR(INDEX(спр_Материалы!$G$2:$G$9000,MATCH($I1085,спр_Материалы!$A$2:$A$9000,0)),""),"OK","!! не та группа"))</f>
        <v/>
      </c>
      <c r="L1085" s="10">
        <f>IFERROR(INDEX(спр_Работы!$H$2:$H$6000,MATCH($C1085,спр_Работы!$A$2:$A$6000,0))*(1-ДисконтТендер),0)</f>
        <v/>
      </c>
      <c r="M1085" s="10">
        <f>IF($I1085="",0,IFERROR(INDEX(спр_Материалы!$I$2:$I$9000,MATCH($I1085,спр_Материалы!$A$2:$A$9000,0))*IF(INDEX(спр_Материалы!$J$2:$J$9000,MATCH($I1085,спр_Материалы!$A$2:$A$9000,0))="USD",КурсUSD,IF(INDEX(спр_Материалы!$J$2:$J$9000,MATCH($I1085,спр_Материалы!$A$2:$A$9000,0))="EUR",КурсEUR,1))*INDEX(спр_Материалы!$K$2:$K$9000,MATCH($I1085,спр_Материалы!$A$2:$A$9000,0))*(1+IFERROR(INDEX(спр_Работы!$I$2:$I$6000,MATCH($C1085,спр_Работы!$A$2:$A$6000,0))/100,0))*(1-ДисконтТендер),0))</f>
        <v/>
      </c>
      <c r="N1085" s="10">
        <f>IF(AND($R1085="да",$H1085&lt;&gt;""),ROUND($H1085*$L1085,2),0)</f>
        <v/>
      </c>
      <c r="O1085" s="10">
        <f>IF(AND($R1085="да",$H1085&lt;&gt;""),ROUND($H1085*$M1085,2),0)</f>
        <v/>
      </c>
      <c r="P1085" s="10">
        <f>$N1085+$O1085</f>
        <v/>
      </c>
      <c r="Q1085">
        <f>IFERROR(INDEX(спр_Работы!$J$2:$J$6000,MATCH($C1085,спр_Работы!$A$2:$A$6000,0)),"")</f>
        <v/>
      </c>
      <c r="R1085" t="inlineStr">
        <is>
          <t>да</t>
        </is>
      </c>
      <c r="T1085">
        <f>IF(AND($P1085&gt;0,$R1085="да"),MAX($T$1:$T1084)+1,"")</f>
        <v/>
      </c>
    </row>
    <row r="1086">
      <c r="A1086" s="11">
        <f>IFERROR(INDEX(спр_Работы!$D$2:$D$6000,MATCH($C1086,спр_Работы!$A$2:$A$6000,0)),"")</f>
        <v/>
      </c>
      <c r="B1086">
        <f>IFERROR(INDEX(спр_Работы!$F$2:$F$6000,MATCH($C1086,спр_Работы!$A$2:$A$6000,0)),"")</f>
        <v/>
      </c>
      <c r="C1086">
        <f>IFERROR(INDEX(спр_Работы!$A$2:$A$6000,1085),"")</f>
        <v/>
      </c>
      <c r="D1086" s="8">
        <f>IFERROR(INDEX(спр_Работы!$B$2:$B$6000,MATCH($C1086,спр_Работы!$A$2:$A$6000,0)),"")</f>
        <v/>
      </c>
      <c r="E1086">
        <f>IFERROR(INDEX(спр_Работы!$C$2:$C$6000,MATCH($C1086,спр_Работы!$A$2:$A$6000,0)),"")</f>
        <v/>
      </c>
      <c r="F1086">
        <f>IFERROR(INDEX(спр_Работы!$G$2:$G$6000,MATCH($C1086,спр_Работы!$A$2:$A$6000,0)),"")</f>
        <v/>
      </c>
      <c r="G1086">
        <f>IFERROR(INDEX(спр_Работы!$K$2:$K$6000,MATCH($C1086,спр_Работы!$A$2:$A$6000,0)),"")</f>
        <v/>
      </c>
      <c r="H1086" s="9" t="n"/>
      <c r="I1086" s="9" t="n"/>
      <c r="J1086" s="8">
        <f>IFERROR(INDEX(спр_Материалы!$B$2:$B$9000,MATCH($I1086,спр_Материалы!$A$2:$A$9000,0)),"")</f>
        <v/>
      </c>
      <c r="K1086">
        <f>IF($I1086="","",IF($F1086=IFERROR(INDEX(спр_Материалы!$G$2:$G$9000,MATCH($I1086,спр_Материалы!$A$2:$A$9000,0)),""),"OK","!! не та группа"))</f>
        <v/>
      </c>
      <c r="L1086" s="10">
        <f>IFERROR(INDEX(спр_Работы!$H$2:$H$6000,MATCH($C1086,спр_Работы!$A$2:$A$6000,0))*(1-ДисконтТендер),0)</f>
        <v/>
      </c>
      <c r="M1086" s="10">
        <f>IF($I1086="",0,IFERROR(INDEX(спр_Материалы!$I$2:$I$9000,MATCH($I1086,спр_Материалы!$A$2:$A$9000,0))*IF(INDEX(спр_Материалы!$J$2:$J$9000,MATCH($I1086,спр_Материалы!$A$2:$A$9000,0))="USD",КурсUSD,IF(INDEX(спр_Материалы!$J$2:$J$9000,MATCH($I1086,спр_Материалы!$A$2:$A$9000,0))="EUR",КурсEUR,1))*INDEX(спр_Материалы!$K$2:$K$9000,MATCH($I1086,спр_Материалы!$A$2:$A$9000,0))*(1+IFERROR(INDEX(спр_Работы!$I$2:$I$6000,MATCH($C1086,спр_Работы!$A$2:$A$6000,0))/100,0))*(1-ДисконтТендер),0))</f>
        <v/>
      </c>
      <c r="N1086" s="10">
        <f>IF(AND($R1086="да",$H1086&lt;&gt;""),ROUND($H1086*$L1086,2),0)</f>
        <v/>
      </c>
      <c r="O1086" s="10">
        <f>IF(AND($R1086="да",$H1086&lt;&gt;""),ROUND($H1086*$M1086,2),0)</f>
        <v/>
      </c>
      <c r="P1086" s="10">
        <f>$N1086+$O1086</f>
        <v/>
      </c>
      <c r="Q1086">
        <f>IFERROR(INDEX(спр_Работы!$J$2:$J$6000,MATCH($C1086,спр_Работы!$A$2:$A$6000,0)),"")</f>
        <v/>
      </c>
      <c r="R1086" t="inlineStr">
        <is>
          <t>да</t>
        </is>
      </c>
      <c r="T1086">
        <f>IF(AND($P1086&gt;0,$R1086="да"),MAX($T$1:$T1085)+1,"")</f>
        <v/>
      </c>
    </row>
    <row r="1087">
      <c r="A1087" s="11">
        <f>IFERROR(INDEX(спр_Работы!$D$2:$D$6000,MATCH($C1087,спр_Работы!$A$2:$A$6000,0)),"")</f>
        <v/>
      </c>
      <c r="B1087">
        <f>IFERROR(INDEX(спр_Работы!$F$2:$F$6000,MATCH($C1087,спр_Работы!$A$2:$A$6000,0)),"")</f>
        <v/>
      </c>
      <c r="C1087">
        <f>IFERROR(INDEX(спр_Работы!$A$2:$A$6000,1086),"")</f>
        <v/>
      </c>
      <c r="D1087" s="8">
        <f>IFERROR(INDEX(спр_Работы!$B$2:$B$6000,MATCH($C1087,спр_Работы!$A$2:$A$6000,0)),"")</f>
        <v/>
      </c>
      <c r="E1087">
        <f>IFERROR(INDEX(спр_Работы!$C$2:$C$6000,MATCH($C1087,спр_Работы!$A$2:$A$6000,0)),"")</f>
        <v/>
      </c>
      <c r="F1087">
        <f>IFERROR(INDEX(спр_Работы!$G$2:$G$6000,MATCH($C1087,спр_Работы!$A$2:$A$6000,0)),"")</f>
        <v/>
      </c>
      <c r="G1087">
        <f>IFERROR(INDEX(спр_Работы!$K$2:$K$6000,MATCH($C1087,спр_Работы!$A$2:$A$6000,0)),"")</f>
        <v/>
      </c>
      <c r="H1087" s="9" t="n"/>
      <c r="I1087" s="9" t="n"/>
      <c r="J1087" s="8">
        <f>IFERROR(INDEX(спр_Материалы!$B$2:$B$9000,MATCH($I1087,спр_Материалы!$A$2:$A$9000,0)),"")</f>
        <v/>
      </c>
      <c r="K1087">
        <f>IF($I1087="","",IF($F1087=IFERROR(INDEX(спр_Материалы!$G$2:$G$9000,MATCH($I1087,спр_Материалы!$A$2:$A$9000,0)),""),"OK","!! не та группа"))</f>
        <v/>
      </c>
      <c r="L1087" s="10">
        <f>IFERROR(INDEX(спр_Работы!$H$2:$H$6000,MATCH($C1087,спр_Работы!$A$2:$A$6000,0))*(1-ДисконтТендер),0)</f>
        <v/>
      </c>
      <c r="M1087" s="10">
        <f>IF($I1087="",0,IFERROR(INDEX(спр_Материалы!$I$2:$I$9000,MATCH($I1087,спр_Материалы!$A$2:$A$9000,0))*IF(INDEX(спр_Материалы!$J$2:$J$9000,MATCH($I1087,спр_Материалы!$A$2:$A$9000,0))="USD",КурсUSD,IF(INDEX(спр_Материалы!$J$2:$J$9000,MATCH($I1087,спр_Материалы!$A$2:$A$9000,0))="EUR",КурсEUR,1))*INDEX(спр_Материалы!$K$2:$K$9000,MATCH($I1087,спр_Материалы!$A$2:$A$9000,0))*(1+IFERROR(INDEX(спр_Работы!$I$2:$I$6000,MATCH($C1087,спр_Работы!$A$2:$A$6000,0))/100,0))*(1-ДисконтТендер),0))</f>
        <v/>
      </c>
      <c r="N1087" s="10">
        <f>IF(AND($R1087="да",$H1087&lt;&gt;""),ROUND($H1087*$L1087,2),0)</f>
        <v/>
      </c>
      <c r="O1087" s="10">
        <f>IF(AND($R1087="да",$H1087&lt;&gt;""),ROUND($H1087*$M1087,2),0)</f>
        <v/>
      </c>
      <c r="P1087" s="10">
        <f>$N1087+$O1087</f>
        <v/>
      </c>
      <c r="Q1087">
        <f>IFERROR(INDEX(спр_Работы!$J$2:$J$6000,MATCH($C1087,спр_Работы!$A$2:$A$6000,0)),"")</f>
        <v/>
      </c>
      <c r="R1087" t="inlineStr">
        <is>
          <t>да</t>
        </is>
      </c>
      <c r="T1087">
        <f>IF(AND($P1087&gt;0,$R1087="да"),MAX($T$1:$T1086)+1,"")</f>
        <v/>
      </c>
    </row>
    <row r="1088">
      <c r="A1088" s="11">
        <f>IFERROR(INDEX(спр_Работы!$D$2:$D$6000,MATCH($C1088,спр_Работы!$A$2:$A$6000,0)),"")</f>
        <v/>
      </c>
      <c r="B1088">
        <f>IFERROR(INDEX(спр_Работы!$F$2:$F$6000,MATCH($C1088,спр_Работы!$A$2:$A$6000,0)),"")</f>
        <v/>
      </c>
      <c r="C1088">
        <f>IFERROR(INDEX(спр_Работы!$A$2:$A$6000,1087),"")</f>
        <v/>
      </c>
      <c r="D1088" s="8">
        <f>IFERROR(INDEX(спр_Работы!$B$2:$B$6000,MATCH($C1088,спр_Работы!$A$2:$A$6000,0)),"")</f>
        <v/>
      </c>
      <c r="E1088">
        <f>IFERROR(INDEX(спр_Работы!$C$2:$C$6000,MATCH($C1088,спр_Работы!$A$2:$A$6000,0)),"")</f>
        <v/>
      </c>
      <c r="F1088">
        <f>IFERROR(INDEX(спр_Работы!$G$2:$G$6000,MATCH($C1088,спр_Работы!$A$2:$A$6000,0)),"")</f>
        <v/>
      </c>
      <c r="G1088">
        <f>IFERROR(INDEX(спр_Работы!$K$2:$K$6000,MATCH($C1088,спр_Работы!$A$2:$A$6000,0)),"")</f>
        <v/>
      </c>
      <c r="H1088" s="9" t="n"/>
      <c r="I1088" s="9" t="n"/>
      <c r="J1088" s="8">
        <f>IFERROR(INDEX(спр_Материалы!$B$2:$B$9000,MATCH($I1088,спр_Материалы!$A$2:$A$9000,0)),"")</f>
        <v/>
      </c>
      <c r="K1088">
        <f>IF($I1088="","",IF($F1088=IFERROR(INDEX(спр_Материалы!$G$2:$G$9000,MATCH($I1088,спр_Материалы!$A$2:$A$9000,0)),""),"OK","!! не та группа"))</f>
        <v/>
      </c>
      <c r="L1088" s="10">
        <f>IFERROR(INDEX(спр_Работы!$H$2:$H$6000,MATCH($C1088,спр_Работы!$A$2:$A$6000,0))*(1-ДисконтТендер),0)</f>
        <v/>
      </c>
      <c r="M1088" s="10">
        <f>IF($I1088="",0,IFERROR(INDEX(спр_Материалы!$I$2:$I$9000,MATCH($I1088,спр_Материалы!$A$2:$A$9000,0))*IF(INDEX(спр_Материалы!$J$2:$J$9000,MATCH($I1088,спр_Материалы!$A$2:$A$9000,0))="USD",КурсUSD,IF(INDEX(спр_Материалы!$J$2:$J$9000,MATCH($I1088,спр_Материалы!$A$2:$A$9000,0))="EUR",КурсEUR,1))*INDEX(спр_Материалы!$K$2:$K$9000,MATCH($I1088,спр_Материалы!$A$2:$A$9000,0))*(1+IFERROR(INDEX(спр_Работы!$I$2:$I$6000,MATCH($C1088,спр_Работы!$A$2:$A$6000,0))/100,0))*(1-ДисконтТендер),0))</f>
        <v/>
      </c>
      <c r="N1088" s="10">
        <f>IF(AND($R1088="да",$H1088&lt;&gt;""),ROUND($H1088*$L1088,2),0)</f>
        <v/>
      </c>
      <c r="O1088" s="10">
        <f>IF(AND($R1088="да",$H1088&lt;&gt;""),ROUND($H1088*$M1088,2),0)</f>
        <v/>
      </c>
      <c r="P1088" s="10">
        <f>$N1088+$O1088</f>
        <v/>
      </c>
      <c r="Q1088">
        <f>IFERROR(INDEX(спр_Работы!$J$2:$J$6000,MATCH($C1088,спр_Работы!$A$2:$A$6000,0)),"")</f>
        <v/>
      </c>
      <c r="R1088" t="inlineStr">
        <is>
          <t>да</t>
        </is>
      </c>
      <c r="T1088">
        <f>IF(AND($P1088&gt;0,$R1088="да"),MAX($T$1:$T1087)+1,"")</f>
        <v/>
      </c>
    </row>
    <row r="1089">
      <c r="A1089" s="11">
        <f>IFERROR(INDEX(спр_Работы!$D$2:$D$6000,MATCH($C1089,спр_Работы!$A$2:$A$6000,0)),"")</f>
        <v/>
      </c>
      <c r="B1089">
        <f>IFERROR(INDEX(спр_Работы!$F$2:$F$6000,MATCH($C1089,спр_Работы!$A$2:$A$6000,0)),"")</f>
        <v/>
      </c>
      <c r="C1089">
        <f>IFERROR(INDEX(спр_Работы!$A$2:$A$6000,1088),"")</f>
        <v/>
      </c>
      <c r="D1089" s="8">
        <f>IFERROR(INDEX(спр_Работы!$B$2:$B$6000,MATCH($C1089,спр_Работы!$A$2:$A$6000,0)),"")</f>
        <v/>
      </c>
      <c r="E1089">
        <f>IFERROR(INDEX(спр_Работы!$C$2:$C$6000,MATCH($C1089,спр_Работы!$A$2:$A$6000,0)),"")</f>
        <v/>
      </c>
      <c r="F1089">
        <f>IFERROR(INDEX(спр_Работы!$G$2:$G$6000,MATCH($C1089,спр_Работы!$A$2:$A$6000,0)),"")</f>
        <v/>
      </c>
      <c r="G1089">
        <f>IFERROR(INDEX(спр_Работы!$K$2:$K$6000,MATCH($C1089,спр_Работы!$A$2:$A$6000,0)),"")</f>
        <v/>
      </c>
      <c r="H1089" s="9" t="n"/>
      <c r="I1089" s="9" t="n"/>
      <c r="J1089" s="8">
        <f>IFERROR(INDEX(спр_Материалы!$B$2:$B$9000,MATCH($I1089,спр_Материалы!$A$2:$A$9000,0)),"")</f>
        <v/>
      </c>
      <c r="K1089">
        <f>IF($I1089="","",IF($F1089=IFERROR(INDEX(спр_Материалы!$G$2:$G$9000,MATCH($I1089,спр_Материалы!$A$2:$A$9000,0)),""),"OK","!! не та группа"))</f>
        <v/>
      </c>
      <c r="L1089" s="10">
        <f>IFERROR(INDEX(спр_Работы!$H$2:$H$6000,MATCH($C1089,спр_Работы!$A$2:$A$6000,0))*(1-ДисконтТендер),0)</f>
        <v/>
      </c>
      <c r="M1089" s="10">
        <f>IF($I1089="",0,IFERROR(INDEX(спр_Материалы!$I$2:$I$9000,MATCH($I1089,спр_Материалы!$A$2:$A$9000,0))*IF(INDEX(спр_Материалы!$J$2:$J$9000,MATCH($I1089,спр_Материалы!$A$2:$A$9000,0))="USD",КурсUSD,IF(INDEX(спр_Материалы!$J$2:$J$9000,MATCH($I1089,спр_Материалы!$A$2:$A$9000,0))="EUR",КурсEUR,1))*INDEX(спр_Материалы!$K$2:$K$9000,MATCH($I1089,спр_Материалы!$A$2:$A$9000,0))*(1+IFERROR(INDEX(спр_Работы!$I$2:$I$6000,MATCH($C1089,спр_Работы!$A$2:$A$6000,0))/100,0))*(1-ДисконтТендер),0))</f>
        <v/>
      </c>
      <c r="N1089" s="10">
        <f>IF(AND($R1089="да",$H1089&lt;&gt;""),ROUND($H1089*$L1089,2),0)</f>
        <v/>
      </c>
      <c r="O1089" s="10">
        <f>IF(AND($R1089="да",$H1089&lt;&gt;""),ROUND($H1089*$M1089,2),0)</f>
        <v/>
      </c>
      <c r="P1089" s="10">
        <f>$N1089+$O1089</f>
        <v/>
      </c>
      <c r="Q1089">
        <f>IFERROR(INDEX(спр_Работы!$J$2:$J$6000,MATCH($C1089,спр_Работы!$A$2:$A$6000,0)),"")</f>
        <v/>
      </c>
      <c r="R1089" t="inlineStr">
        <is>
          <t>да</t>
        </is>
      </c>
      <c r="T1089">
        <f>IF(AND($P1089&gt;0,$R1089="да"),MAX($T$1:$T1088)+1,"")</f>
        <v/>
      </c>
    </row>
    <row r="1090">
      <c r="A1090" s="11">
        <f>IFERROR(INDEX(спр_Работы!$D$2:$D$6000,MATCH($C1090,спр_Работы!$A$2:$A$6000,0)),"")</f>
        <v/>
      </c>
      <c r="B1090">
        <f>IFERROR(INDEX(спр_Работы!$F$2:$F$6000,MATCH($C1090,спр_Работы!$A$2:$A$6000,0)),"")</f>
        <v/>
      </c>
      <c r="C1090">
        <f>IFERROR(INDEX(спр_Работы!$A$2:$A$6000,1089),"")</f>
        <v/>
      </c>
      <c r="D1090" s="8">
        <f>IFERROR(INDEX(спр_Работы!$B$2:$B$6000,MATCH($C1090,спр_Работы!$A$2:$A$6000,0)),"")</f>
        <v/>
      </c>
      <c r="E1090">
        <f>IFERROR(INDEX(спр_Работы!$C$2:$C$6000,MATCH($C1090,спр_Работы!$A$2:$A$6000,0)),"")</f>
        <v/>
      </c>
      <c r="F1090">
        <f>IFERROR(INDEX(спр_Работы!$G$2:$G$6000,MATCH($C1090,спр_Работы!$A$2:$A$6000,0)),"")</f>
        <v/>
      </c>
      <c r="G1090">
        <f>IFERROR(INDEX(спр_Работы!$K$2:$K$6000,MATCH($C1090,спр_Работы!$A$2:$A$6000,0)),"")</f>
        <v/>
      </c>
      <c r="H1090" s="9" t="n"/>
      <c r="I1090" s="9" t="n"/>
      <c r="J1090" s="8">
        <f>IFERROR(INDEX(спр_Материалы!$B$2:$B$9000,MATCH($I1090,спр_Материалы!$A$2:$A$9000,0)),"")</f>
        <v/>
      </c>
      <c r="K1090">
        <f>IF($I1090="","",IF($F1090=IFERROR(INDEX(спр_Материалы!$G$2:$G$9000,MATCH($I1090,спр_Материалы!$A$2:$A$9000,0)),""),"OK","!! не та группа"))</f>
        <v/>
      </c>
      <c r="L1090" s="10">
        <f>IFERROR(INDEX(спр_Работы!$H$2:$H$6000,MATCH($C1090,спр_Работы!$A$2:$A$6000,0))*(1-ДисконтТендер),0)</f>
        <v/>
      </c>
      <c r="M1090" s="10">
        <f>IF($I1090="",0,IFERROR(INDEX(спр_Материалы!$I$2:$I$9000,MATCH($I1090,спр_Материалы!$A$2:$A$9000,0))*IF(INDEX(спр_Материалы!$J$2:$J$9000,MATCH($I1090,спр_Материалы!$A$2:$A$9000,0))="USD",КурсUSD,IF(INDEX(спр_Материалы!$J$2:$J$9000,MATCH($I1090,спр_Материалы!$A$2:$A$9000,0))="EUR",КурсEUR,1))*INDEX(спр_Материалы!$K$2:$K$9000,MATCH($I1090,спр_Материалы!$A$2:$A$9000,0))*(1+IFERROR(INDEX(спр_Работы!$I$2:$I$6000,MATCH($C1090,спр_Работы!$A$2:$A$6000,0))/100,0))*(1-ДисконтТендер),0))</f>
        <v/>
      </c>
      <c r="N1090" s="10">
        <f>IF(AND($R1090="да",$H1090&lt;&gt;""),ROUND($H1090*$L1090,2),0)</f>
        <v/>
      </c>
      <c r="O1090" s="10">
        <f>IF(AND($R1090="да",$H1090&lt;&gt;""),ROUND($H1090*$M1090,2),0)</f>
        <v/>
      </c>
      <c r="P1090" s="10">
        <f>$N1090+$O1090</f>
        <v/>
      </c>
      <c r="Q1090">
        <f>IFERROR(INDEX(спр_Работы!$J$2:$J$6000,MATCH($C1090,спр_Работы!$A$2:$A$6000,0)),"")</f>
        <v/>
      </c>
      <c r="R1090" t="inlineStr">
        <is>
          <t>да</t>
        </is>
      </c>
      <c r="T1090">
        <f>IF(AND($P1090&gt;0,$R1090="да"),MAX($T$1:$T1089)+1,"")</f>
        <v/>
      </c>
    </row>
    <row r="1091">
      <c r="A1091" s="11">
        <f>IFERROR(INDEX(спр_Работы!$D$2:$D$6000,MATCH($C1091,спр_Работы!$A$2:$A$6000,0)),"")</f>
        <v/>
      </c>
      <c r="B1091">
        <f>IFERROR(INDEX(спр_Работы!$F$2:$F$6000,MATCH($C1091,спр_Работы!$A$2:$A$6000,0)),"")</f>
        <v/>
      </c>
      <c r="C1091">
        <f>IFERROR(INDEX(спр_Работы!$A$2:$A$6000,1090),"")</f>
        <v/>
      </c>
      <c r="D1091" s="8">
        <f>IFERROR(INDEX(спр_Работы!$B$2:$B$6000,MATCH($C1091,спр_Работы!$A$2:$A$6000,0)),"")</f>
        <v/>
      </c>
      <c r="E1091">
        <f>IFERROR(INDEX(спр_Работы!$C$2:$C$6000,MATCH($C1091,спр_Работы!$A$2:$A$6000,0)),"")</f>
        <v/>
      </c>
      <c r="F1091">
        <f>IFERROR(INDEX(спр_Работы!$G$2:$G$6000,MATCH($C1091,спр_Работы!$A$2:$A$6000,0)),"")</f>
        <v/>
      </c>
      <c r="G1091">
        <f>IFERROR(INDEX(спр_Работы!$K$2:$K$6000,MATCH($C1091,спр_Работы!$A$2:$A$6000,0)),"")</f>
        <v/>
      </c>
      <c r="H1091" s="9" t="n"/>
      <c r="I1091" s="9" t="n"/>
      <c r="J1091" s="8">
        <f>IFERROR(INDEX(спр_Материалы!$B$2:$B$9000,MATCH($I1091,спр_Материалы!$A$2:$A$9000,0)),"")</f>
        <v/>
      </c>
      <c r="K1091">
        <f>IF($I1091="","",IF($F1091=IFERROR(INDEX(спр_Материалы!$G$2:$G$9000,MATCH($I1091,спр_Материалы!$A$2:$A$9000,0)),""),"OK","!! не та группа"))</f>
        <v/>
      </c>
      <c r="L1091" s="10">
        <f>IFERROR(INDEX(спр_Работы!$H$2:$H$6000,MATCH($C1091,спр_Работы!$A$2:$A$6000,0))*(1-ДисконтТендер),0)</f>
        <v/>
      </c>
      <c r="M1091" s="10">
        <f>IF($I1091="",0,IFERROR(INDEX(спр_Материалы!$I$2:$I$9000,MATCH($I1091,спр_Материалы!$A$2:$A$9000,0))*IF(INDEX(спр_Материалы!$J$2:$J$9000,MATCH($I1091,спр_Материалы!$A$2:$A$9000,0))="USD",КурсUSD,IF(INDEX(спр_Материалы!$J$2:$J$9000,MATCH($I1091,спр_Материалы!$A$2:$A$9000,0))="EUR",КурсEUR,1))*INDEX(спр_Материалы!$K$2:$K$9000,MATCH($I1091,спр_Материалы!$A$2:$A$9000,0))*(1+IFERROR(INDEX(спр_Работы!$I$2:$I$6000,MATCH($C1091,спр_Работы!$A$2:$A$6000,0))/100,0))*(1-ДисконтТендер),0))</f>
        <v/>
      </c>
      <c r="N1091" s="10">
        <f>IF(AND($R1091="да",$H1091&lt;&gt;""),ROUND($H1091*$L1091,2),0)</f>
        <v/>
      </c>
      <c r="O1091" s="10">
        <f>IF(AND($R1091="да",$H1091&lt;&gt;""),ROUND($H1091*$M1091,2),0)</f>
        <v/>
      </c>
      <c r="P1091" s="10">
        <f>$N1091+$O1091</f>
        <v/>
      </c>
      <c r="Q1091">
        <f>IFERROR(INDEX(спр_Работы!$J$2:$J$6000,MATCH($C1091,спр_Работы!$A$2:$A$6000,0)),"")</f>
        <v/>
      </c>
      <c r="R1091" t="inlineStr">
        <is>
          <t>да</t>
        </is>
      </c>
      <c r="T1091">
        <f>IF(AND($P1091&gt;0,$R1091="да"),MAX($T$1:$T1090)+1,"")</f>
        <v/>
      </c>
    </row>
    <row r="1092">
      <c r="A1092" s="11">
        <f>IFERROR(INDEX(спр_Работы!$D$2:$D$6000,MATCH($C1092,спр_Работы!$A$2:$A$6000,0)),"")</f>
        <v/>
      </c>
      <c r="B1092">
        <f>IFERROR(INDEX(спр_Работы!$F$2:$F$6000,MATCH($C1092,спр_Работы!$A$2:$A$6000,0)),"")</f>
        <v/>
      </c>
      <c r="C1092">
        <f>IFERROR(INDEX(спр_Работы!$A$2:$A$6000,1091),"")</f>
        <v/>
      </c>
      <c r="D1092" s="8">
        <f>IFERROR(INDEX(спр_Работы!$B$2:$B$6000,MATCH($C1092,спр_Работы!$A$2:$A$6000,0)),"")</f>
        <v/>
      </c>
      <c r="E1092">
        <f>IFERROR(INDEX(спр_Работы!$C$2:$C$6000,MATCH($C1092,спр_Работы!$A$2:$A$6000,0)),"")</f>
        <v/>
      </c>
      <c r="F1092">
        <f>IFERROR(INDEX(спр_Работы!$G$2:$G$6000,MATCH($C1092,спр_Работы!$A$2:$A$6000,0)),"")</f>
        <v/>
      </c>
      <c r="G1092">
        <f>IFERROR(INDEX(спр_Работы!$K$2:$K$6000,MATCH($C1092,спр_Работы!$A$2:$A$6000,0)),"")</f>
        <v/>
      </c>
      <c r="H1092" s="9" t="n"/>
      <c r="I1092" s="9" t="n"/>
      <c r="J1092" s="8">
        <f>IFERROR(INDEX(спр_Материалы!$B$2:$B$9000,MATCH($I1092,спр_Материалы!$A$2:$A$9000,0)),"")</f>
        <v/>
      </c>
      <c r="K1092">
        <f>IF($I1092="","",IF($F1092=IFERROR(INDEX(спр_Материалы!$G$2:$G$9000,MATCH($I1092,спр_Материалы!$A$2:$A$9000,0)),""),"OK","!! не та группа"))</f>
        <v/>
      </c>
      <c r="L1092" s="10">
        <f>IFERROR(INDEX(спр_Работы!$H$2:$H$6000,MATCH($C1092,спр_Работы!$A$2:$A$6000,0))*(1-ДисконтТендер),0)</f>
        <v/>
      </c>
      <c r="M1092" s="10">
        <f>IF($I1092="",0,IFERROR(INDEX(спр_Материалы!$I$2:$I$9000,MATCH($I1092,спр_Материалы!$A$2:$A$9000,0))*IF(INDEX(спр_Материалы!$J$2:$J$9000,MATCH($I1092,спр_Материалы!$A$2:$A$9000,0))="USD",КурсUSD,IF(INDEX(спр_Материалы!$J$2:$J$9000,MATCH($I1092,спр_Материалы!$A$2:$A$9000,0))="EUR",КурсEUR,1))*INDEX(спр_Материалы!$K$2:$K$9000,MATCH($I1092,спр_Материалы!$A$2:$A$9000,0))*(1+IFERROR(INDEX(спр_Работы!$I$2:$I$6000,MATCH($C1092,спр_Работы!$A$2:$A$6000,0))/100,0))*(1-ДисконтТендер),0))</f>
        <v/>
      </c>
      <c r="N1092" s="10">
        <f>IF(AND($R1092="да",$H1092&lt;&gt;""),ROUND($H1092*$L1092,2),0)</f>
        <v/>
      </c>
      <c r="O1092" s="10">
        <f>IF(AND($R1092="да",$H1092&lt;&gt;""),ROUND($H1092*$M1092,2),0)</f>
        <v/>
      </c>
      <c r="P1092" s="10">
        <f>$N1092+$O1092</f>
        <v/>
      </c>
      <c r="Q1092">
        <f>IFERROR(INDEX(спр_Работы!$J$2:$J$6000,MATCH($C1092,спр_Работы!$A$2:$A$6000,0)),"")</f>
        <v/>
      </c>
      <c r="R1092" t="inlineStr">
        <is>
          <t>да</t>
        </is>
      </c>
      <c r="T1092">
        <f>IF(AND($P1092&gt;0,$R1092="да"),MAX($T$1:$T1091)+1,"")</f>
        <v/>
      </c>
    </row>
    <row r="1093">
      <c r="A1093" s="11">
        <f>IFERROR(INDEX(спр_Работы!$D$2:$D$6000,MATCH($C1093,спр_Работы!$A$2:$A$6000,0)),"")</f>
        <v/>
      </c>
      <c r="B1093">
        <f>IFERROR(INDEX(спр_Работы!$F$2:$F$6000,MATCH($C1093,спр_Работы!$A$2:$A$6000,0)),"")</f>
        <v/>
      </c>
      <c r="C1093">
        <f>IFERROR(INDEX(спр_Работы!$A$2:$A$6000,1092),"")</f>
        <v/>
      </c>
      <c r="D1093" s="8">
        <f>IFERROR(INDEX(спр_Работы!$B$2:$B$6000,MATCH($C1093,спр_Работы!$A$2:$A$6000,0)),"")</f>
        <v/>
      </c>
      <c r="E1093">
        <f>IFERROR(INDEX(спр_Работы!$C$2:$C$6000,MATCH($C1093,спр_Работы!$A$2:$A$6000,0)),"")</f>
        <v/>
      </c>
      <c r="F1093">
        <f>IFERROR(INDEX(спр_Работы!$G$2:$G$6000,MATCH($C1093,спр_Работы!$A$2:$A$6000,0)),"")</f>
        <v/>
      </c>
      <c r="G1093">
        <f>IFERROR(INDEX(спр_Работы!$K$2:$K$6000,MATCH($C1093,спр_Работы!$A$2:$A$6000,0)),"")</f>
        <v/>
      </c>
      <c r="H1093" s="9" t="n"/>
      <c r="I1093" s="9" t="n"/>
      <c r="J1093" s="8">
        <f>IFERROR(INDEX(спр_Материалы!$B$2:$B$9000,MATCH($I1093,спр_Материалы!$A$2:$A$9000,0)),"")</f>
        <v/>
      </c>
      <c r="K1093">
        <f>IF($I1093="","",IF($F1093=IFERROR(INDEX(спр_Материалы!$G$2:$G$9000,MATCH($I1093,спр_Материалы!$A$2:$A$9000,0)),""),"OK","!! не та группа"))</f>
        <v/>
      </c>
      <c r="L1093" s="10">
        <f>IFERROR(INDEX(спр_Работы!$H$2:$H$6000,MATCH($C1093,спр_Работы!$A$2:$A$6000,0))*(1-ДисконтТендер),0)</f>
        <v/>
      </c>
      <c r="M1093" s="10">
        <f>IF($I1093="",0,IFERROR(INDEX(спр_Материалы!$I$2:$I$9000,MATCH($I1093,спр_Материалы!$A$2:$A$9000,0))*IF(INDEX(спр_Материалы!$J$2:$J$9000,MATCH($I1093,спр_Материалы!$A$2:$A$9000,0))="USD",КурсUSD,IF(INDEX(спр_Материалы!$J$2:$J$9000,MATCH($I1093,спр_Материалы!$A$2:$A$9000,0))="EUR",КурсEUR,1))*INDEX(спр_Материалы!$K$2:$K$9000,MATCH($I1093,спр_Материалы!$A$2:$A$9000,0))*(1+IFERROR(INDEX(спр_Работы!$I$2:$I$6000,MATCH($C1093,спр_Работы!$A$2:$A$6000,0))/100,0))*(1-ДисконтТендер),0))</f>
        <v/>
      </c>
      <c r="N1093" s="10">
        <f>IF(AND($R1093="да",$H1093&lt;&gt;""),ROUND($H1093*$L1093,2),0)</f>
        <v/>
      </c>
      <c r="O1093" s="10">
        <f>IF(AND($R1093="да",$H1093&lt;&gt;""),ROUND($H1093*$M1093,2),0)</f>
        <v/>
      </c>
      <c r="P1093" s="10">
        <f>$N1093+$O1093</f>
        <v/>
      </c>
      <c r="Q1093">
        <f>IFERROR(INDEX(спр_Работы!$J$2:$J$6000,MATCH($C1093,спр_Работы!$A$2:$A$6000,0)),"")</f>
        <v/>
      </c>
      <c r="R1093" t="inlineStr">
        <is>
          <t>да</t>
        </is>
      </c>
      <c r="T1093">
        <f>IF(AND($P1093&gt;0,$R1093="да"),MAX($T$1:$T1092)+1,"")</f>
        <v/>
      </c>
    </row>
    <row r="1094">
      <c r="A1094" s="11">
        <f>IFERROR(INDEX(спр_Работы!$D$2:$D$6000,MATCH($C1094,спр_Работы!$A$2:$A$6000,0)),"")</f>
        <v/>
      </c>
      <c r="B1094">
        <f>IFERROR(INDEX(спр_Работы!$F$2:$F$6000,MATCH($C1094,спр_Работы!$A$2:$A$6000,0)),"")</f>
        <v/>
      </c>
      <c r="C1094">
        <f>IFERROR(INDEX(спр_Работы!$A$2:$A$6000,1093),"")</f>
        <v/>
      </c>
      <c r="D1094" s="8">
        <f>IFERROR(INDEX(спр_Работы!$B$2:$B$6000,MATCH($C1094,спр_Работы!$A$2:$A$6000,0)),"")</f>
        <v/>
      </c>
      <c r="E1094">
        <f>IFERROR(INDEX(спр_Работы!$C$2:$C$6000,MATCH($C1094,спр_Работы!$A$2:$A$6000,0)),"")</f>
        <v/>
      </c>
      <c r="F1094">
        <f>IFERROR(INDEX(спр_Работы!$G$2:$G$6000,MATCH($C1094,спр_Работы!$A$2:$A$6000,0)),"")</f>
        <v/>
      </c>
      <c r="G1094">
        <f>IFERROR(INDEX(спр_Работы!$K$2:$K$6000,MATCH($C1094,спр_Работы!$A$2:$A$6000,0)),"")</f>
        <v/>
      </c>
      <c r="H1094" s="9" t="n"/>
      <c r="I1094" s="9" t="n"/>
      <c r="J1094" s="8">
        <f>IFERROR(INDEX(спр_Материалы!$B$2:$B$9000,MATCH($I1094,спр_Материалы!$A$2:$A$9000,0)),"")</f>
        <v/>
      </c>
      <c r="K1094">
        <f>IF($I1094="","",IF($F1094=IFERROR(INDEX(спр_Материалы!$G$2:$G$9000,MATCH($I1094,спр_Материалы!$A$2:$A$9000,0)),""),"OK","!! не та группа"))</f>
        <v/>
      </c>
      <c r="L1094" s="10">
        <f>IFERROR(INDEX(спр_Работы!$H$2:$H$6000,MATCH($C1094,спр_Работы!$A$2:$A$6000,0))*(1-ДисконтТендер),0)</f>
        <v/>
      </c>
      <c r="M1094" s="10">
        <f>IF($I1094="",0,IFERROR(INDEX(спр_Материалы!$I$2:$I$9000,MATCH($I1094,спр_Материалы!$A$2:$A$9000,0))*IF(INDEX(спр_Материалы!$J$2:$J$9000,MATCH($I1094,спр_Материалы!$A$2:$A$9000,0))="USD",КурсUSD,IF(INDEX(спр_Материалы!$J$2:$J$9000,MATCH($I1094,спр_Материалы!$A$2:$A$9000,0))="EUR",КурсEUR,1))*INDEX(спр_Материалы!$K$2:$K$9000,MATCH($I1094,спр_Материалы!$A$2:$A$9000,0))*(1+IFERROR(INDEX(спр_Работы!$I$2:$I$6000,MATCH($C1094,спр_Работы!$A$2:$A$6000,0))/100,0))*(1-ДисконтТендер),0))</f>
        <v/>
      </c>
      <c r="N1094" s="10">
        <f>IF(AND($R1094="да",$H1094&lt;&gt;""),ROUND($H1094*$L1094,2),0)</f>
        <v/>
      </c>
      <c r="O1094" s="10">
        <f>IF(AND($R1094="да",$H1094&lt;&gt;""),ROUND($H1094*$M1094,2),0)</f>
        <v/>
      </c>
      <c r="P1094" s="10">
        <f>$N1094+$O1094</f>
        <v/>
      </c>
      <c r="Q1094">
        <f>IFERROR(INDEX(спр_Работы!$J$2:$J$6000,MATCH($C1094,спр_Работы!$A$2:$A$6000,0)),"")</f>
        <v/>
      </c>
      <c r="R1094" t="inlineStr">
        <is>
          <t>да</t>
        </is>
      </c>
      <c r="T1094">
        <f>IF(AND($P1094&gt;0,$R1094="да"),MAX($T$1:$T1093)+1,"")</f>
        <v/>
      </c>
    </row>
    <row r="1095">
      <c r="A1095" s="11">
        <f>IFERROR(INDEX(спр_Работы!$D$2:$D$6000,MATCH($C1095,спр_Работы!$A$2:$A$6000,0)),"")</f>
        <v/>
      </c>
      <c r="B1095">
        <f>IFERROR(INDEX(спр_Работы!$F$2:$F$6000,MATCH($C1095,спр_Работы!$A$2:$A$6000,0)),"")</f>
        <v/>
      </c>
      <c r="C1095">
        <f>IFERROR(INDEX(спр_Работы!$A$2:$A$6000,1094),"")</f>
        <v/>
      </c>
      <c r="D1095" s="8">
        <f>IFERROR(INDEX(спр_Работы!$B$2:$B$6000,MATCH($C1095,спр_Работы!$A$2:$A$6000,0)),"")</f>
        <v/>
      </c>
      <c r="E1095">
        <f>IFERROR(INDEX(спр_Работы!$C$2:$C$6000,MATCH($C1095,спр_Работы!$A$2:$A$6000,0)),"")</f>
        <v/>
      </c>
      <c r="F1095">
        <f>IFERROR(INDEX(спр_Работы!$G$2:$G$6000,MATCH($C1095,спр_Работы!$A$2:$A$6000,0)),"")</f>
        <v/>
      </c>
      <c r="G1095">
        <f>IFERROR(INDEX(спр_Работы!$K$2:$K$6000,MATCH($C1095,спр_Работы!$A$2:$A$6000,0)),"")</f>
        <v/>
      </c>
      <c r="H1095" s="9" t="n"/>
      <c r="I1095" s="9" t="n"/>
      <c r="J1095" s="8">
        <f>IFERROR(INDEX(спр_Материалы!$B$2:$B$9000,MATCH($I1095,спр_Материалы!$A$2:$A$9000,0)),"")</f>
        <v/>
      </c>
      <c r="K1095">
        <f>IF($I1095="","",IF($F1095=IFERROR(INDEX(спр_Материалы!$G$2:$G$9000,MATCH($I1095,спр_Материалы!$A$2:$A$9000,0)),""),"OK","!! не та группа"))</f>
        <v/>
      </c>
      <c r="L1095" s="10">
        <f>IFERROR(INDEX(спр_Работы!$H$2:$H$6000,MATCH($C1095,спр_Работы!$A$2:$A$6000,0))*(1-ДисконтТендер),0)</f>
        <v/>
      </c>
      <c r="M1095" s="10">
        <f>IF($I1095="",0,IFERROR(INDEX(спр_Материалы!$I$2:$I$9000,MATCH($I1095,спр_Материалы!$A$2:$A$9000,0))*IF(INDEX(спр_Материалы!$J$2:$J$9000,MATCH($I1095,спр_Материалы!$A$2:$A$9000,0))="USD",КурсUSD,IF(INDEX(спр_Материалы!$J$2:$J$9000,MATCH($I1095,спр_Материалы!$A$2:$A$9000,0))="EUR",КурсEUR,1))*INDEX(спр_Материалы!$K$2:$K$9000,MATCH($I1095,спр_Материалы!$A$2:$A$9000,0))*(1+IFERROR(INDEX(спр_Работы!$I$2:$I$6000,MATCH($C1095,спр_Работы!$A$2:$A$6000,0))/100,0))*(1-ДисконтТендер),0))</f>
        <v/>
      </c>
      <c r="N1095" s="10">
        <f>IF(AND($R1095="да",$H1095&lt;&gt;""),ROUND($H1095*$L1095,2),0)</f>
        <v/>
      </c>
      <c r="O1095" s="10">
        <f>IF(AND($R1095="да",$H1095&lt;&gt;""),ROUND($H1095*$M1095,2),0)</f>
        <v/>
      </c>
      <c r="P1095" s="10">
        <f>$N1095+$O1095</f>
        <v/>
      </c>
      <c r="Q1095">
        <f>IFERROR(INDEX(спр_Работы!$J$2:$J$6000,MATCH($C1095,спр_Работы!$A$2:$A$6000,0)),"")</f>
        <v/>
      </c>
      <c r="R1095" t="inlineStr">
        <is>
          <t>да</t>
        </is>
      </c>
      <c r="T1095">
        <f>IF(AND($P1095&gt;0,$R1095="да"),MAX($T$1:$T1094)+1,"")</f>
        <v/>
      </c>
    </row>
    <row r="1096">
      <c r="A1096" s="11">
        <f>IFERROR(INDEX(спр_Работы!$D$2:$D$6000,MATCH($C1096,спр_Работы!$A$2:$A$6000,0)),"")</f>
        <v/>
      </c>
      <c r="B1096">
        <f>IFERROR(INDEX(спр_Работы!$F$2:$F$6000,MATCH($C1096,спр_Работы!$A$2:$A$6000,0)),"")</f>
        <v/>
      </c>
      <c r="C1096">
        <f>IFERROR(INDEX(спр_Работы!$A$2:$A$6000,1095),"")</f>
        <v/>
      </c>
      <c r="D1096" s="8">
        <f>IFERROR(INDEX(спр_Работы!$B$2:$B$6000,MATCH($C1096,спр_Работы!$A$2:$A$6000,0)),"")</f>
        <v/>
      </c>
      <c r="E1096">
        <f>IFERROR(INDEX(спр_Работы!$C$2:$C$6000,MATCH($C1096,спр_Работы!$A$2:$A$6000,0)),"")</f>
        <v/>
      </c>
      <c r="F1096">
        <f>IFERROR(INDEX(спр_Работы!$G$2:$G$6000,MATCH($C1096,спр_Работы!$A$2:$A$6000,0)),"")</f>
        <v/>
      </c>
      <c r="G1096">
        <f>IFERROR(INDEX(спр_Работы!$K$2:$K$6000,MATCH($C1096,спр_Работы!$A$2:$A$6000,0)),"")</f>
        <v/>
      </c>
      <c r="H1096" s="9" t="n"/>
      <c r="I1096" s="9" t="n"/>
      <c r="J1096" s="8">
        <f>IFERROR(INDEX(спр_Материалы!$B$2:$B$9000,MATCH($I1096,спр_Материалы!$A$2:$A$9000,0)),"")</f>
        <v/>
      </c>
      <c r="K1096">
        <f>IF($I1096="","",IF($F1096=IFERROR(INDEX(спр_Материалы!$G$2:$G$9000,MATCH($I1096,спр_Материалы!$A$2:$A$9000,0)),""),"OK","!! не та группа"))</f>
        <v/>
      </c>
      <c r="L1096" s="10">
        <f>IFERROR(INDEX(спр_Работы!$H$2:$H$6000,MATCH($C1096,спр_Работы!$A$2:$A$6000,0))*(1-ДисконтТендер),0)</f>
        <v/>
      </c>
      <c r="M1096" s="10">
        <f>IF($I1096="",0,IFERROR(INDEX(спр_Материалы!$I$2:$I$9000,MATCH($I1096,спр_Материалы!$A$2:$A$9000,0))*IF(INDEX(спр_Материалы!$J$2:$J$9000,MATCH($I1096,спр_Материалы!$A$2:$A$9000,0))="USD",КурсUSD,IF(INDEX(спр_Материалы!$J$2:$J$9000,MATCH($I1096,спр_Материалы!$A$2:$A$9000,0))="EUR",КурсEUR,1))*INDEX(спр_Материалы!$K$2:$K$9000,MATCH($I1096,спр_Материалы!$A$2:$A$9000,0))*(1+IFERROR(INDEX(спр_Работы!$I$2:$I$6000,MATCH($C1096,спр_Работы!$A$2:$A$6000,0))/100,0))*(1-ДисконтТендер),0))</f>
        <v/>
      </c>
      <c r="N1096" s="10">
        <f>IF(AND($R1096="да",$H1096&lt;&gt;""),ROUND($H1096*$L1096,2),0)</f>
        <v/>
      </c>
      <c r="O1096" s="10">
        <f>IF(AND($R1096="да",$H1096&lt;&gt;""),ROUND($H1096*$M1096,2),0)</f>
        <v/>
      </c>
      <c r="P1096" s="10">
        <f>$N1096+$O1096</f>
        <v/>
      </c>
      <c r="Q1096">
        <f>IFERROR(INDEX(спр_Работы!$J$2:$J$6000,MATCH($C1096,спр_Работы!$A$2:$A$6000,0)),"")</f>
        <v/>
      </c>
      <c r="R1096" t="inlineStr">
        <is>
          <t>да</t>
        </is>
      </c>
      <c r="T1096">
        <f>IF(AND($P1096&gt;0,$R1096="да"),MAX($T$1:$T1095)+1,"")</f>
        <v/>
      </c>
    </row>
    <row r="1097">
      <c r="A1097" s="11">
        <f>IFERROR(INDEX(спр_Работы!$D$2:$D$6000,MATCH($C1097,спр_Работы!$A$2:$A$6000,0)),"")</f>
        <v/>
      </c>
      <c r="B1097">
        <f>IFERROR(INDEX(спр_Работы!$F$2:$F$6000,MATCH($C1097,спр_Работы!$A$2:$A$6000,0)),"")</f>
        <v/>
      </c>
      <c r="C1097">
        <f>IFERROR(INDEX(спр_Работы!$A$2:$A$6000,1096),"")</f>
        <v/>
      </c>
      <c r="D1097" s="8">
        <f>IFERROR(INDEX(спр_Работы!$B$2:$B$6000,MATCH($C1097,спр_Работы!$A$2:$A$6000,0)),"")</f>
        <v/>
      </c>
      <c r="E1097">
        <f>IFERROR(INDEX(спр_Работы!$C$2:$C$6000,MATCH($C1097,спр_Работы!$A$2:$A$6000,0)),"")</f>
        <v/>
      </c>
      <c r="F1097">
        <f>IFERROR(INDEX(спр_Работы!$G$2:$G$6000,MATCH($C1097,спр_Работы!$A$2:$A$6000,0)),"")</f>
        <v/>
      </c>
      <c r="G1097">
        <f>IFERROR(INDEX(спр_Работы!$K$2:$K$6000,MATCH($C1097,спр_Работы!$A$2:$A$6000,0)),"")</f>
        <v/>
      </c>
      <c r="H1097" s="9" t="n"/>
      <c r="I1097" s="9" t="n"/>
      <c r="J1097" s="8">
        <f>IFERROR(INDEX(спр_Материалы!$B$2:$B$9000,MATCH($I1097,спр_Материалы!$A$2:$A$9000,0)),"")</f>
        <v/>
      </c>
      <c r="K1097">
        <f>IF($I1097="","",IF($F1097=IFERROR(INDEX(спр_Материалы!$G$2:$G$9000,MATCH($I1097,спр_Материалы!$A$2:$A$9000,0)),""),"OK","!! не та группа"))</f>
        <v/>
      </c>
      <c r="L1097" s="10">
        <f>IFERROR(INDEX(спр_Работы!$H$2:$H$6000,MATCH($C1097,спр_Работы!$A$2:$A$6000,0))*(1-ДисконтТендер),0)</f>
        <v/>
      </c>
      <c r="M1097" s="10">
        <f>IF($I1097="",0,IFERROR(INDEX(спр_Материалы!$I$2:$I$9000,MATCH($I1097,спр_Материалы!$A$2:$A$9000,0))*IF(INDEX(спр_Материалы!$J$2:$J$9000,MATCH($I1097,спр_Материалы!$A$2:$A$9000,0))="USD",КурсUSD,IF(INDEX(спр_Материалы!$J$2:$J$9000,MATCH($I1097,спр_Материалы!$A$2:$A$9000,0))="EUR",КурсEUR,1))*INDEX(спр_Материалы!$K$2:$K$9000,MATCH($I1097,спр_Материалы!$A$2:$A$9000,0))*(1+IFERROR(INDEX(спр_Работы!$I$2:$I$6000,MATCH($C1097,спр_Работы!$A$2:$A$6000,0))/100,0))*(1-ДисконтТендер),0))</f>
        <v/>
      </c>
      <c r="N1097" s="10">
        <f>IF(AND($R1097="да",$H1097&lt;&gt;""),ROUND($H1097*$L1097,2),0)</f>
        <v/>
      </c>
      <c r="O1097" s="10">
        <f>IF(AND($R1097="да",$H1097&lt;&gt;""),ROUND($H1097*$M1097,2),0)</f>
        <v/>
      </c>
      <c r="P1097" s="10">
        <f>$N1097+$O1097</f>
        <v/>
      </c>
      <c r="Q1097">
        <f>IFERROR(INDEX(спр_Работы!$J$2:$J$6000,MATCH($C1097,спр_Работы!$A$2:$A$6000,0)),"")</f>
        <v/>
      </c>
      <c r="R1097" t="inlineStr">
        <is>
          <t>да</t>
        </is>
      </c>
      <c r="T1097">
        <f>IF(AND($P1097&gt;0,$R1097="да"),MAX($T$1:$T1096)+1,"")</f>
        <v/>
      </c>
    </row>
    <row r="1098">
      <c r="A1098" s="11">
        <f>IFERROR(INDEX(спр_Работы!$D$2:$D$6000,MATCH($C1098,спр_Работы!$A$2:$A$6000,0)),"")</f>
        <v/>
      </c>
      <c r="B1098">
        <f>IFERROR(INDEX(спр_Работы!$F$2:$F$6000,MATCH($C1098,спр_Работы!$A$2:$A$6000,0)),"")</f>
        <v/>
      </c>
      <c r="C1098">
        <f>IFERROR(INDEX(спр_Работы!$A$2:$A$6000,1097),"")</f>
        <v/>
      </c>
      <c r="D1098" s="8">
        <f>IFERROR(INDEX(спр_Работы!$B$2:$B$6000,MATCH($C1098,спр_Работы!$A$2:$A$6000,0)),"")</f>
        <v/>
      </c>
      <c r="E1098">
        <f>IFERROR(INDEX(спр_Работы!$C$2:$C$6000,MATCH($C1098,спр_Работы!$A$2:$A$6000,0)),"")</f>
        <v/>
      </c>
      <c r="F1098">
        <f>IFERROR(INDEX(спр_Работы!$G$2:$G$6000,MATCH($C1098,спр_Работы!$A$2:$A$6000,0)),"")</f>
        <v/>
      </c>
      <c r="G1098">
        <f>IFERROR(INDEX(спр_Работы!$K$2:$K$6000,MATCH($C1098,спр_Работы!$A$2:$A$6000,0)),"")</f>
        <v/>
      </c>
      <c r="H1098" s="9" t="n"/>
      <c r="I1098" s="9" t="n"/>
      <c r="J1098" s="8">
        <f>IFERROR(INDEX(спр_Материалы!$B$2:$B$9000,MATCH($I1098,спр_Материалы!$A$2:$A$9000,0)),"")</f>
        <v/>
      </c>
      <c r="K1098">
        <f>IF($I1098="","",IF($F1098=IFERROR(INDEX(спр_Материалы!$G$2:$G$9000,MATCH($I1098,спр_Материалы!$A$2:$A$9000,0)),""),"OK","!! не та группа"))</f>
        <v/>
      </c>
      <c r="L1098" s="10">
        <f>IFERROR(INDEX(спр_Работы!$H$2:$H$6000,MATCH($C1098,спр_Работы!$A$2:$A$6000,0))*(1-ДисконтТендер),0)</f>
        <v/>
      </c>
      <c r="M1098" s="10">
        <f>IF($I1098="",0,IFERROR(INDEX(спр_Материалы!$I$2:$I$9000,MATCH($I1098,спр_Материалы!$A$2:$A$9000,0))*IF(INDEX(спр_Материалы!$J$2:$J$9000,MATCH($I1098,спр_Материалы!$A$2:$A$9000,0))="USD",КурсUSD,IF(INDEX(спр_Материалы!$J$2:$J$9000,MATCH($I1098,спр_Материалы!$A$2:$A$9000,0))="EUR",КурсEUR,1))*INDEX(спр_Материалы!$K$2:$K$9000,MATCH($I1098,спр_Материалы!$A$2:$A$9000,0))*(1+IFERROR(INDEX(спр_Работы!$I$2:$I$6000,MATCH($C1098,спр_Работы!$A$2:$A$6000,0))/100,0))*(1-ДисконтТендер),0))</f>
        <v/>
      </c>
      <c r="N1098" s="10">
        <f>IF(AND($R1098="да",$H1098&lt;&gt;""),ROUND($H1098*$L1098,2),0)</f>
        <v/>
      </c>
      <c r="O1098" s="10">
        <f>IF(AND($R1098="да",$H1098&lt;&gt;""),ROUND($H1098*$M1098,2),0)</f>
        <v/>
      </c>
      <c r="P1098" s="10">
        <f>$N1098+$O1098</f>
        <v/>
      </c>
      <c r="Q1098">
        <f>IFERROR(INDEX(спр_Работы!$J$2:$J$6000,MATCH($C1098,спр_Работы!$A$2:$A$6000,0)),"")</f>
        <v/>
      </c>
      <c r="R1098" t="inlineStr">
        <is>
          <t>да</t>
        </is>
      </c>
      <c r="T1098">
        <f>IF(AND($P1098&gt;0,$R1098="да"),MAX($T$1:$T1097)+1,"")</f>
        <v/>
      </c>
    </row>
    <row r="1099">
      <c r="A1099" s="11">
        <f>IFERROR(INDEX(спр_Работы!$D$2:$D$6000,MATCH($C1099,спр_Работы!$A$2:$A$6000,0)),"")</f>
        <v/>
      </c>
      <c r="B1099">
        <f>IFERROR(INDEX(спр_Работы!$F$2:$F$6000,MATCH($C1099,спр_Работы!$A$2:$A$6000,0)),"")</f>
        <v/>
      </c>
      <c r="C1099">
        <f>IFERROR(INDEX(спр_Работы!$A$2:$A$6000,1098),"")</f>
        <v/>
      </c>
      <c r="D1099" s="8">
        <f>IFERROR(INDEX(спр_Работы!$B$2:$B$6000,MATCH($C1099,спр_Работы!$A$2:$A$6000,0)),"")</f>
        <v/>
      </c>
      <c r="E1099">
        <f>IFERROR(INDEX(спр_Работы!$C$2:$C$6000,MATCH($C1099,спр_Работы!$A$2:$A$6000,0)),"")</f>
        <v/>
      </c>
      <c r="F1099">
        <f>IFERROR(INDEX(спр_Работы!$G$2:$G$6000,MATCH($C1099,спр_Работы!$A$2:$A$6000,0)),"")</f>
        <v/>
      </c>
      <c r="G1099">
        <f>IFERROR(INDEX(спр_Работы!$K$2:$K$6000,MATCH($C1099,спр_Работы!$A$2:$A$6000,0)),"")</f>
        <v/>
      </c>
      <c r="H1099" s="9" t="n"/>
      <c r="I1099" s="9" t="n"/>
      <c r="J1099" s="8">
        <f>IFERROR(INDEX(спр_Материалы!$B$2:$B$9000,MATCH($I1099,спр_Материалы!$A$2:$A$9000,0)),"")</f>
        <v/>
      </c>
      <c r="K1099">
        <f>IF($I1099="","",IF($F1099=IFERROR(INDEX(спр_Материалы!$G$2:$G$9000,MATCH($I1099,спр_Материалы!$A$2:$A$9000,0)),""),"OK","!! не та группа"))</f>
        <v/>
      </c>
      <c r="L1099" s="10">
        <f>IFERROR(INDEX(спр_Работы!$H$2:$H$6000,MATCH($C1099,спр_Работы!$A$2:$A$6000,0))*(1-ДисконтТендер),0)</f>
        <v/>
      </c>
      <c r="M1099" s="10">
        <f>IF($I1099="",0,IFERROR(INDEX(спр_Материалы!$I$2:$I$9000,MATCH($I1099,спр_Материалы!$A$2:$A$9000,0))*IF(INDEX(спр_Материалы!$J$2:$J$9000,MATCH($I1099,спр_Материалы!$A$2:$A$9000,0))="USD",КурсUSD,IF(INDEX(спр_Материалы!$J$2:$J$9000,MATCH($I1099,спр_Материалы!$A$2:$A$9000,0))="EUR",КурсEUR,1))*INDEX(спр_Материалы!$K$2:$K$9000,MATCH($I1099,спр_Материалы!$A$2:$A$9000,0))*(1+IFERROR(INDEX(спр_Работы!$I$2:$I$6000,MATCH($C1099,спр_Работы!$A$2:$A$6000,0))/100,0))*(1-ДисконтТендер),0))</f>
        <v/>
      </c>
      <c r="N1099" s="10">
        <f>IF(AND($R1099="да",$H1099&lt;&gt;""),ROUND($H1099*$L1099,2),0)</f>
        <v/>
      </c>
      <c r="O1099" s="10">
        <f>IF(AND($R1099="да",$H1099&lt;&gt;""),ROUND($H1099*$M1099,2),0)</f>
        <v/>
      </c>
      <c r="P1099" s="10">
        <f>$N1099+$O1099</f>
        <v/>
      </c>
      <c r="Q1099">
        <f>IFERROR(INDEX(спр_Работы!$J$2:$J$6000,MATCH($C1099,спр_Работы!$A$2:$A$6000,0)),"")</f>
        <v/>
      </c>
      <c r="R1099" t="inlineStr">
        <is>
          <t>да</t>
        </is>
      </c>
      <c r="T1099">
        <f>IF(AND($P1099&gt;0,$R1099="да"),MAX($T$1:$T1098)+1,"")</f>
        <v/>
      </c>
    </row>
    <row r="1100">
      <c r="A1100" s="11">
        <f>IFERROR(INDEX(спр_Работы!$D$2:$D$6000,MATCH($C1100,спр_Работы!$A$2:$A$6000,0)),"")</f>
        <v/>
      </c>
      <c r="B1100">
        <f>IFERROR(INDEX(спр_Работы!$F$2:$F$6000,MATCH($C1100,спр_Работы!$A$2:$A$6000,0)),"")</f>
        <v/>
      </c>
      <c r="C1100">
        <f>IFERROR(INDEX(спр_Работы!$A$2:$A$6000,1099),"")</f>
        <v/>
      </c>
      <c r="D1100" s="8">
        <f>IFERROR(INDEX(спр_Работы!$B$2:$B$6000,MATCH($C1100,спр_Работы!$A$2:$A$6000,0)),"")</f>
        <v/>
      </c>
      <c r="E1100">
        <f>IFERROR(INDEX(спр_Работы!$C$2:$C$6000,MATCH($C1100,спр_Работы!$A$2:$A$6000,0)),"")</f>
        <v/>
      </c>
      <c r="F1100">
        <f>IFERROR(INDEX(спр_Работы!$G$2:$G$6000,MATCH($C1100,спр_Работы!$A$2:$A$6000,0)),"")</f>
        <v/>
      </c>
      <c r="G1100">
        <f>IFERROR(INDEX(спр_Работы!$K$2:$K$6000,MATCH($C1100,спр_Работы!$A$2:$A$6000,0)),"")</f>
        <v/>
      </c>
      <c r="H1100" s="9" t="n"/>
      <c r="I1100" s="9" t="n"/>
      <c r="J1100" s="8">
        <f>IFERROR(INDEX(спр_Материалы!$B$2:$B$9000,MATCH($I1100,спр_Материалы!$A$2:$A$9000,0)),"")</f>
        <v/>
      </c>
      <c r="K1100">
        <f>IF($I1100="","",IF($F1100=IFERROR(INDEX(спр_Материалы!$G$2:$G$9000,MATCH($I1100,спр_Материалы!$A$2:$A$9000,0)),""),"OK","!! не та группа"))</f>
        <v/>
      </c>
      <c r="L1100" s="10">
        <f>IFERROR(INDEX(спр_Работы!$H$2:$H$6000,MATCH($C1100,спр_Работы!$A$2:$A$6000,0))*(1-ДисконтТендер),0)</f>
        <v/>
      </c>
      <c r="M1100" s="10">
        <f>IF($I1100="",0,IFERROR(INDEX(спр_Материалы!$I$2:$I$9000,MATCH($I1100,спр_Материалы!$A$2:$A$9000,0))*IF(INDEX(спр_Материалы!$J$2:$J$9000,MATCH($I1100,спр_Материалы!$A$2:$A$9000,0))="USD",КурсUSD,IF(INDEX(спр_Материалы!$J$2:$J$9000,MATCH($I1100,спр_Материалы!$A$2:$A$9000,0))="EUR",КурсEUR,1))*INDEX(спр_Материалы!$K$2:$K$9000,MATCH($I1100,спр_Материалы!$A$2:$A$9000,0))*(1+IFERROR(INDEX(спр_Работы!$I$2:$I$6000,MATCH($C1100,спр_Работы!$A$2:$A$6000,0))/100,0))*(1-ДисконтТендер),0))</f>
        <v/>
      </c>
      <c r="N1100" s="10">
        <f>IF(AND($R1100="да",$H1100&lt;&gt;""),ROUND($H1100*$L1100,2),0)</f>
        <v/>
      </c>
      <c r="O1100" s="10">
        <f>IF(AND($R1100="да",$H1100&lt;&gt;""),ROUND($H1100*$M1100,2),0)</f>
        <v/>
      </c>
      <c r="P1100" s="10">
        <f>$N1100+$O1100</f>
        <v/>
      </c>
      <c r="Q1100">
        <f>IFERROR(INDEX(спр_Работы!$J$2:$J$6000,MATCH($C1100,спр_Работы!$A$2:$A$6000,0)),"")</f>
        <v/>
      </c>
      <c r="R1100" t="inlineStr">
        <is>
          <t>да</t>
        </is>
      </c>
      <c r="T1100">
        <f>IF(AND($P1100&gt;0,$R1100="да"),MAX($T$1:$T1099)+1,"")</f>
        <v/>
      </c>
    </row>
    <row r="1101">
      <c r="A1101" s="11">
        <f>IFERROR(INDEX(спр_Работы!$D$2:$D$6000,MATCH($C1101,спр_Работы!$A$2:$A$6000,0)),"")</f>
        <v/>
      </c>
      <c r="B1101">
        <f>IFERROR(INDEX(спр_Работы!$F$2:$F$6000,MATCH($C1101,спр_Работы!$A$2:$A$6000,0)),"")</f>
        <v/>
      </c>
      <c r="C1101">
        <f>IFERROR(INDEX(спр_Работы!$A$2:$A$6000,1100),"")</f>
        <v/>
      </c>
      <c r="D1101" s="8">
        <f>IFERROR(INDEX(спр_Работы!$B$2:$B$6000,MATCH($C1101,спр_Работы!$A$2:$A$6000,0)),"")</f>
        <v/>
      </c>
      <c r="E1101">
        <f>IFERROR(INDEX(спр_Работы!$C$2:$C$6000,MATCH($C1101,спр_Работы!$A$2:$A$6000,0)),"")</f>
        <v/>
      </c>
      <c r="F1101">
        <f>IFERROR(INDEX(спр_Работы!$G$2:$G$6000,MATCH($C1101,спр_Работы!$A$2:$A$6000,0)),"")</f>
        <v/>
      </c>
      <c r="G1101">
        <f>IFERROR(INDEX(спр_Работы!$K$2:$K$6000,MATCH($C1101,спр_Работы!$A$2:$A$6000,0)),"")</f>
        <v/>
      </c>
      <c r="H1101" s="9" t="n"/>
      <c r="I1101" s="9" t="n"/>
      <c r="J1101" s="8">
        <f>IFERROR(INDEX(спр_Материалы!$B$2:$B$9000,MATCH($I1101,спр_Материалы!$A$2:$A$9000,0)),"")</f>
        <v/>
      </c>
      <c r="K1101">
        <f>IF($I1101="","",IF($F1101=IFERROR(INDEX(спр_Материалы!$G$2:$G$9000,MATCH($I1101,спр_Материалы!$A$2:$A$9000,0)),""),"OK","!! не та группа"))</f>
        <v/>
      </c>
      <c r="L1101" s="10">
        <f>IFERROR(INDEX(спр_Работы!$H$2:$H$6000,MATCH($C1101,спр_Работы!$A$2:$A$6000,0))*(1-ДисконтТендер),0)</f>
        <v/>
      </c>
      <c r="M1101" s="10">
        <f>IF($I1101="",0,IFERROR(INDEX(спр_Материалы!$I$2:$I$9000,MATCH($I1101,спр_Материалы!$A$2:$A$9000,0))*IF(INDEX(спр_Материалы!$J$2:$J$9000,MATCH($I1101,спр_Материалы!$A$2:$A$9000,0))="USD",КурсUSD,IF(INDEX(спр_Материалы!$J$2:$J$9000,MATCH($I1101,спр_Материалы!$A$2:$A$9000,0))="EUR",КурсEUR,1))*INDEX(спр_Материалы!$K$2:$K$9000,MATCH($I1101,спр_Материалы!$A$2:$A$9000,0))*(1+IFERROR(INDEX(спр_Работы!$I$2:$I$6000,MATCH($C1101,спр_Работы!$A$2:$A$6000,0))/100,0))*(1-ДисконтТендер),0))</f>
        <v/>
      </c>
      <c r="N1101" s="10">
        <f>IF(AND($R1101="да",$H1101&lt;&gt;""),ROUND($H1101*$L1101,2),0)</f>
        <v/>
      </c>
      <c r="O1101" s="10">
        <f>IF(AND($R1101="да",$H1101&lt;&gt;""),ROUND($H1101*$M1101,2),0)</f>
        <v/>
      </c>
      <c r="P1101" s="10">
        <f>$N1101+$O1101</f>
        <v/>
      </c>
      <c r="Q1101">
        <f>IFERROR(INDEX(спр_Работы!$J$2:$J$6000,MATCH($C1101,спр_Работы!$A$2:$A$6000,0)),"")</f>
        <v/>
      </c>
      <c r="R1101" t="inlineStr">
        <is>
          <t>да</t>
        </is>
      </c>
      <c r="T1101">
        <f>IF(AND($P1101&gt;0,$R1101="да"),MAX($T$1:$T1100)+1,"")</f>
        <v/>
      </c>
    </row>
    <row r="1102">
      <c r="A1102" s="11">
        <f>IFERROR(INDEX(спр_Работы!$D$2:$D$6000,MATCH($C1102,спр_Работы!$A$2:$A$6000,0)),"")</f>
        <v/>
      </c>
      <c r="B1102">
        <f>IFERROR(INDEX(спр_Работы!$F$2:$F$6000,MATCH($C1102,спр_Работы!$A$2:$A$6000,0)),"")</f>
        <v/>
      </c>
      <c r="C1102">
        <f>IFERROR(INDEX(спр_Работы!$A$2:$A$6000,1101),"")</f>
        <v/>
      </c>
      <c r="D1102" s="8">
        <f>IFERROR(INDEX(спр_Работы!$B$2:$B$6000,MATCH($C1102,спр_Работы!$A$2:$A$6000,0)),"")</f>
        <v/>
      </c>
      <c r="E1102">
        <f>IFERROR(INDEX(спр_Работы!$C$2:$C$6000,MATCH($C1102,спр_Работы!$A$2:$A$6000,0)),"")</f>
        <v/>
      </c>
      <c r="F1102">
        <f>IFERROR(INDEX(спр_Работы!$G$2:$G$6000,MATCH($C1102,спр_Работы!$A$2:$A$6000,0)),"")</f>
        <v/>
      </c>
      <c r="G1102">
        <f>IFERROR(INDEX(спр_Работы!$K$2:$K$6000,MATCH($C1102,спр_Работы!$A$2:$A$6000,0)),"")</f>
        <v/>
      </c>
      <c r="H1102" s="9" t="n"/>
      <c r="I1102" s="9" t="n"/>
      <c r="J1102" s="8">
        <f>IFERROR(INDEX(спр_Материалы!$B$2:$B$9000,MATCH($I1102,спр_Материалы!$A$2:$A$9000,0)),"")</f>
        <v/>
      </c>
      <c r="K1102">
        <f>IF($I1102="","",IF($F1102=IFERROR(INDEX(спр_Материалы!$G$2:$G$9000,MATCH($I1102,спр_Материалы!$A$2:$A$9000,0)),""),"OK","!! не та группа"))</f>
        <v/>
      </c>
      <c r="L1102" s="10">
        <f>IFERROR(INDEX(спр_Работы!$H$2:$H$6000,MATCH($C1102,спр_Работы!$A$2:$A$6000,0))*(1-ДисконтТендер),0)</f>
        <v/>
      </c>
      <c r="M1102" s="10">
        <f>IF($I1102="",0,IFERROR(INDEX(спр_Материалы!$I$2:$I$9000,MATCH($I1102,спр_Материалы!$A$2:$A$9000,0))*IF(INDEX(спр_Материалы!$J$2:$J$9000,MATCH($I1102,спр_Материалы!$A$2:$A$9000,0))="USD",КурсUSD,IF(INDEX(спр_Материалы!$J$2:$J$9000,MATCH($I1102,спр_Материалы!$A$2:$A$9000,0))="EUR",КурсEUR,1))*INDEX(спр_Материалы!$K$2:$K$9000,MATCH($I1102,спр_Материалы!$A$2:$A$9000,0))*(1+IFERROR(INDEX(спр_Работы!$I$2:$I$6000,MATCH($C1102,спр_Работы!$A$2:$A$6000,0))/100,0))*(1-ДисконтТендер),0))</f>
        <v/>
      </c>
      <c r="N1102" s="10">
        <f>IF(AND($R1102="да",$H1102&lt;&gt;""),ROUND($H1102*$L1102,2),0)</f>
        <v/>
      </c>
      <c r="O1102" s="10">
        <f>IF(AND($R1102="да",$H1102&lt;&gt;""),ROUND($H1102*$M1102,2),0)</f>
        <v/>
      </c>
      <c r="P1102" s="10">
        <f>$N1102+$O1102</f>
        <v/>
      </c>
      <c r="Q1102">
        <f>IFERROR(INDEX(спр_Работы!$J$2:$J$6000,MATCH($C1102,спр_Работы!$A$2:$A$6000,0)),"")</f>
        <v/>
      </c>
      <c r="R1102" t="inlineStr">
        <is>
          <t>да</t>
        </is>
      </c>
      <c r="T1102">
        <f>IF(AND($P1102&gt;0,$R1102="да"),MAX($T$1:$T1101)+1,"")</f>
        <v/>
      </c>
    </row>
    <row r="1103">
      <c r="A1103" s="11">
        <f>IFERROR(INDEX(спр_Работы!$D$2:$D$6000,MATCH($C1103,спр_Работы!$A$2:$A$6000,0)),"")</f>
        <v/>
      </c>
      <c r="B1103">
        <f>IFERROR(INDEX(спр_Работы!$F$2:$F$6000,MATCH($C1103,спр_Работы!$A$2:$A$6000,0)),"")</f>
        <v/>
      </c>
      <c r="C1103">
        <f>IFERROR(INDEX(спр_Работы!$A$2:$A$6000,1102),"")</f>
        <v/>
      </c>
      <c r="D1103" s="8">
        <f>IFERROR(INDEX(спр_Работы!$B$2:$B$6000,MATCH($C1103,спр_Работы!$A$2:$A$6000,0)),"")</f>
        <v/>
      </c>
      <c r="E1103">
        <f>IFERROR(INDEX(спр_Работы!$C$2:$C$6000,MATCH($C1103,спр_Работы!$A$2:$A$6000,0)),"")</f>
        <v/>
      </c>
      <c r="F1103">
        <f>IFERROR(INDEX(спр_Работы!$G$2:$G$6000,MATCH($C1103,спр_Работы!$A$2:$A$6000,0)),"")</f>
        <v/>
      </c>
      <c r="G1103">
        <f>IFERROR(INDEX(спр_Работы!$K$2:$K$6000,MATCH($C1103,спр_Работы!$A$2:$A$6000,0)),"")</f>
        <v/>
      </c>
      <c r="H1103" s="9" t="n"/>
      <c r="I1103" s="9" t="n"/>
      <c r="J1103" s="8">
        <f>IFERROR(INDEX(спр_Материалы!$B$2:$B$9000,MATCH($I1103,спр_Материалы!$A$2:$A$9000,0)),"")</f>
        <v/>
      </c>
      <c r="K1103">
        <f>IF($I1103="","",IF($F1103=IFERROR(INDEX(спр_Материалы!$G$2:$G$9000,MATCH($I1103,спр_Материалы!$A$2:$A$9000,0)),""),"OK","!! не та группа"))</f>
        <v/>
      </c>
      <c r="L1103" s="10">
        <f>IFERROR(INDEX(спр_Работы!$H$2:$H$6000,MATCH($C1103,спр_Работы!$A$2:$A$6000,0))*(1-ДисконтТендер),0)</f>
        <v/>
      </c>
      <c r="M1103" s="10">
        <f>IF($I1103="",0,IFERROR(INDEX(спр_Материалы!$I$2:$I$9000,MATCH($I1103,спр_Материалы!$A$2:$A$9000,0))*IF(INDEX(спр_Материалы!$J$2:$J$9000,MATCH($I1103,спр_Материалы!$A$2:$A$9000,0))="USD",КурсUSD,IF(INDEX(спр_Материалы!$J$2:$J$9000,MATCH($I1103,спр_Материалы!$A$2:$A$9000,0))="EUR",КурсEUR,1))*INDEX(спр_Материалы!$K$2:$K$9000,MATCH($I1103,спр_Материалы!$A$2:$A$9000,0))*(1+IFERROR(INDEX(спр_Работы!$I$2:$I$6000,MATCH($C1103,спр_Работы!$A$2:$A$6000,0))/100,0))*(1-ДисконтТендер),0))</f>
        <v/>
      </c>
      <c r="N1103" s="10">
        <f>IF(AND($R1103="да",$H1103&lt;&gt;""),ROUND($H1103*$L1103,2),0)</f>
        <v/>
      </c>
      <c r="O1103" s="10">
        <f>IF(AND($R1103="да",$H1103&lt;&gt;""),ROUND($H1103*$M1103,2),0)</f>
        <v/>
      </c>
      <c r="P1103" s="10">
        <f>$N1103+$O1103</f>
        <v/>
      </c>
      <c r="Q1103">
        <f>IFERROR(INDEX(спр_Работы!$J$2:$J$6000,MATCH($C1103,спр_Работы!$A$2:$A$6000,0)),"")</f>
        <v/>
      </c>
      <c r="R1103" t="inlineStr">
        <is>
          <t>да</t>
        </is>
      </c>
      <c r="T1103">
        <f>IF(AND($P1103&gt;0,$R1103="да"),MAX($T$1:$T1102)+1,"")</f>
        <v/>
      </c>
    </row>
    <row r="1104">
      <c r="A1104" s="11">
        <f>IFERROR(INDEX(спр_Работы!$D$2:$D$6000,MATCH($C1104,спр_Работы!$A$2:$A$6000,0)),"")</f>
        <v/>
      </c>
      <c r="B1104">
        <f>IFERROR(INDEX(спр_Работы!$F$2:$F$6000,MATCH($C1104,спр_Работы!$A$2:$A$6000,0)),"")</f>
        <v/>
      </c>
      <c r="C1104">
        <f>IFERROR(INDEX(спр_Работы!$A$2:$A$6000,1103),"")</f>
        <v/>
      </c>
      <c r="D1104" s="8">
        <f>IFERROR(INDEX(спр_Работы!$B$2:$B$6000,MATCH($C1104,спр_Работы!$A$2:$A$6000,0)),"")</f>
        <v/>
      </c>
      <c r="E1104">
        <f>IFERROR(INDEX(спр_Работы!$C$2:$C$6000,MATCH($C1104,спр_Работы!$A$2:$A$6000,0)),"")</f>
        <v/>
      </c>
      <c r="F1104">
        <f>IFERROR(INDEX(спр_Работы!$G$2:$G$6000,MATCH($C1104,спр_Работы!$A$2:$A$6000,0)),"")</f>
        <v/>
      </c>
      <c r="G1104">
        <f>IFERROR(INDEX(спр_Работы!$K$2:$K$6000,MATCH($C1104,спр_Работы!$A$2:$A$6000,0)),"")</f>
        <v/>
      </c>
      <c r="H1104" s="9" t="n"/>
      <c r="I1104" s="9" t="n"/>
      <c r="J1104" s="8">
        <f>IFERROR(INDEX(спр_Материалы!$B$2:$B$9000,MATCH($I1104,спр_Материалы!$A$2:$A$9000,0)),"")</f>
        <v/>
      </c>
      <c r="K1104">
        <f>IF($I1104="","",IF($F1104=IFERROR(INDEX(спр_Материалы!$G$2:$G$9000,MATCH($I1104,спр_Материалы!$A$2:$A$9000,0)),""),"OK","!! не та группа"))</f>
        <v/>
      </c>
      <c r="L1104" s="10">
        <f>IFERROR(INDEX(спр_Работы!$H$2:$H$6000,MATCH($C1104,спр_Работы!$A$2:$A$6000,0))*(1-ДисконтТендер),0)</f>
        <v/>
      </c>
      <c r="M1104" s="10">
        <f>IF($I1104="",0,IFERROR(INDEX(спр_Материалы!$I$2:$I$9000,MATCH($I1104,спр_Материалы!$A$2:$A$9000,0))*IF(INDEX(спр_Материалы!$J$2:$J$9000,MATCH($I1104,спр_Материалы!$A$2:$A$9000,0))="USD",КурсUSD,IF(INDEX(спр_Материалы!$J$2:$J$9000,MATCH($I1104,спр_Материалы!$A$2:$A$9000,0))="EUR",КурсEUR,1))*INDEX(спр_Материалы!$K$2:$K$9000,MATCH($I1104,спр_Материалы!$A$2:$A$9000,0))*(1+IFERROR(INDEX(спр_Работы!$I$2:$I$6000,MATCH($C1104,спр_Работы!$A$2:$A$6000,0))/100,0))*(1-ДисконтТендер),0))</f>
        <v/>
      </c>
      <c r="N1104" s="10">
        <f>IF(AND($R1104="да",$H1104&lt;&gt;""),ROUND($H1104*$L1104,2),0)</f>
        <v/>
      </c>
      <c r="O1104" s="10">
        <f>IF(AND($R1104="да",$H1104&lt;&gt;""),ROUND($H1104*$M1104,2),0)</f>
        <v/>
      </c>
      <c r="P1104" s="10">
        <f>$N1104+$O1104</f>
        <v/>
      </c>
      <c r="Q1104">
        <f>IFERROR(INDEX(спр_Работы!$J$2:$J$6000,MATCH($C1104,спр_Работы!$A$2:$A$6000,0)),"")</f>
        <v/>
      </c>
      <c r="R1104" t="inlineStr">
        <is>
          <t>да</t>
        </is>
      </c>
      <c r="T1104">
        <f>IF(AND($P1104&gt;0,$R1104="да"),MAX($T$1:$T1103)+1,"")</f>
        <v/>
      </c>
    </row>
    <row r="1105">
      <c r="A1105" s="11">
        <f>IFERROR(INDEX(спр_Работы!$D$2:$D$6000,MATCH($C1105,спр_Работы!$A$2:$A$6000,0)),"")</f>
        <v/>
      </c>
      <c r="B1105">
        <f>IFERROR(INDEX(спр_Работы!$F$2:$F$6000,MATCH($C1105,спр_Работы!$A$2:$A$6000,0)),"")</f>
        <v/>
      </c>
      <c r="C1105">
        <f>IFERROR(INDEX(спр_Работы!$A$2:$A$6000,1104),"")</f>
        <v/>
      </c>
      <c r="D1105" s="8">
        <f>IFERROR(INDEX(спр_Работы!$B$2:$B$6000,MATCH($C1105,спр_Работы!$A$2:$A$6000,0)),"")</f>
        <v/>
      </c>
      <c r="E1105">
        <f>IFERROR(INDEX(спр_Работы!$C$2:$C$6000,MATCH($C1105,спр_Работы!$A$2:$A$6000,0)),"")</f>
        <v/>
      </c>
      <c r="F1105">
        <f>IFERROR(INDEX(спр_Работы!$G$2:$G$6000,MATCH($C1105,спр_Работы!$A$2:$A$6000,0)),"")</f>
        <v/>
      </c>
      <c r="G1105">
        <f>IFERROR(INDEX(спр_Работы!$K$2:$K$6000,MATCH($C1105,спр_Работы!$A$2:$A$6000,0)),"")</f>
        <v/>
      </c>
      <c r="H1105" s="9" t="n"/>
      <c r="I1105" s="9" t="n"/>
      <c r="J1105" s="8">
        <f>IFERROR(INDEX(спр_Материалы!$B$2:$B$9000,MATCH($I1105,спр_Материалы!$A$2:$A$9000,0)),"")</f>
        <v/>
      </c>
      <c r="K1105">
        <f>IF($I1105="","",IF($F1105=IFERROR(INDEX(спр_Материалы!$G$2:$G$9000,MATCH($I1105,спр_Материалы!$A$2:$A$9000,0)),""),"OK","!! не та группа"))</f>
        <v/>
      </c>
      <c r="L1105" s="10">
        <f>IFERROR(INDEX(спр_Работы!$H$2:$H$6000,MATCH($C1105,спр_Работы!$A$2:$A$6000,0))*(1-ДисконтТендер),0)</f>
        <v/>
      </c>
      <c r="M1105" s="10">
        <f>IF($I1105="",0,IFERROR(INDEX(спр_Материалы!$I$2:$I$9000,MATCH($I1105,спр_Материалы!$A$2:$A$9000,0))*IF(INDEX(спр_Материалы!$J$2:$J$9000,MATCH($I1105,спр_Материалы!$A$2:$A$9000,0))="USD",КурсUSD,IF(INDEX(спр_Материалы!$J$2:$J$9000,MATCH($I1105,спр_Материалы!$A$2:$A$9000,0))="EUR",КурсEUR,1))*INDEX(спр_Материалы!$K$2:$K$9000,MATCH($I1105,спр_Материалы!$A$2:$A$9000,0))*(1+IFERROR(INDEX(спр_Работы!$I$2:$I$6000,MATCH($C1105,спр_Работы!$A$2:$A$6000,0))/100,0))*(1-ДисконтТендер),0))</f>
        <v/>
      </c>
      <c r="N1105" s="10">
        <f>IF(AND($R1105="да",$H1105&lt;&gt;""),ROUND($H1105*$L1105,2),0)</f>
        <v/>
      </c>
      <c r="O1105" s="10">
        <f>IF(AND($R1105="да",$H1105&lt;&gt;""),ROUND($H1105*$M1105,2),0)</f>
        <v/>
      </c>
      <c r="P1105" s="10">
        <f>$N1105+$O1105</f>
        <v/>
      </c>
      <c r="Q1105">
        <f>IFERROR(INDEX(спр_Работы!$J$2:$J$6000,MATCH($C1105,спр_Работы!$A$2:$A$6000,0)),"")</f>
        <v/>
      </c>
      <c r="R1105" t="inlineStr">
        <is>
          <t>да</t>
        </is>
      </c>
      <c r="T1105">
        <f>IF(AND($P1105&gt;0,$R1105="да"),MAX($T$1:$T1104)+1,"")</f>
        <v/>
      </c>
    </row>
    <row r="1106">
      <c r="A1106" s="11">
        <f>IFERROR(INDEX(спр_Работы!$D$2:$D$6000,MATCH($C1106,спр_Работы!$A$2:$A$6000,0)),"")</f>
        <v/>
      </c>
      <c r="B1106">
        <f>IFERROR(INDEX(спр_Работы!$F$2:$F$6000,MATCH($C1106,спр_Работы!$A$2:$A$6000,0)),"")</f>
        <v/>
      </c>
      <c r="C1106">
        <f>IFERROR(INDEX(спр_Работы!$A$2:$A$6000,1105),"")</f>
        <v/>
      </c>
      <c r="D1106" s="8">
        <f>IFERROR(INDEX(спр_Работы!$B$2:$B$6000,MATCH($C1106,спр_Работы!$A$2:$A$6000,0)),"")</f>
        <v/>
      </c>
      <c r="E1106">
        <f>IFERROR(INDEX(спр_Работы!$C$2:$C$6000,MATCH($C1106,спр_Работы!$A$2:$A$6000,0)),"")</f>
        <v/>
      </c>
      <c r="F1106">
        <f>IFERROR(INDEX(спр_Работы!$G$2:$G$6000,MATCH($C1106,спр_Работы!$A$2:$A$6000,0)),"")</f>
        <v/>
      </c>
      <c r="G1106">
        <f>IFERROR(INDEX(спр_Работы!$K$2:$K$6000,MATCH($C1106,спр_Работы!$A$2:$A$6000,0)),"")</f>
        <v/>
      </c>
      <c r="H1106" s="9" t="n"/>
      <c r="I1106" s="9" t="n"/>
      <c r="J1106" s="8">
        <f>IFERROR(INDEX(спр_Материалы!$B$2:$B$9000,MATCH($I1106,спр_Материалы!$A$2:$A$9000,0)),"")</f>
        <v/>
      </c>
      <c r="K1106">
        <f>IF($I1106="","",IF($F1106=IFERROR(INDEX(спр_Материалы!$G$2:$G$9000,MATCH($I1106,спр_Материалы!$A$2:$A$9000,0)),""),"OK","!! не та группа"))</f>
        <v/>
      </c>
      <c r="L1106" s="10">
        <f>IFERROR(INDEX(спр_Работы!$H$2:$H$6000,MATCH($C1106,спр_Работы!$A$2:$A$6000,0))*(1-ДисконтТендер),0)</f>
        <v/>
      </c>
      <c r="M1106" s="10">
        <f>IF($I1106="",0,IFERROR(INDEX(спр_Материалы!$I$2:$I$9000,MATCH($I1106,спр_Материалы!$A$2:$A$9000,0))*IF(INDEX(спр_Материалы!$J$2:$J$9000,MATCH($I1106,спр_Материалы!$A$2:$A$9000,0))="USD",КурсUSD,IF(INDEX(спр_Материалы!$J$2:$J$9000,MATCH($I1106,спр_Материалы!$A$2:$A$9000,0))="EUR",КурсEUR,1))*INDEX(спр_Материалы!$K$2:$K$9000,MATCH($I1106,спр_Материалы!$A$2:$A$9000,0))*(1+IFERROR(INDEX(спр_Работы!$I$2:$I$6000,MATCH($C1106,спр_Работы!$A$2:$A$6000,0))/100,0))*(1-ДисконтТендер),0))</f>
        <v/>
      </c>
      <c r="N1106" s="10">
        <f>IF(AND($R1106="да",$H1106&lt;&gt;""),ROUND($H1106*$L1106,2),0)</f>
        <v/>
      </c>
      <c r="O1106" s="10">
        <f>IF(AND($R1106="да",$H1106&lt;&gt;""),ROUND($H1106*$M1106,2),0)</f>
        <v/>
      </c>
      <c r="P1106" s="10">
        <f>$N1106+$O1106</f>
        <v/>
      </c>
      <c r="Q1106">
        <f>IFERROR(INDEX(спр_Работы!$J$2:$J$6000,MATCH($C1106,спр_Работы!$A$2:$A$6000,0)),"")</f>
        <v/>
      </c>
      <c r="R1106" t="inlineStr">
        <is>
          <t>да</t>
        </is>
      </c>
      <c r="T1106">
        <f>IF(AND($P1106&gt;0,$R1106="да"),MAX($T$1:$T1105)+1,"")</f>
        <v/>
      </c>
    </row>
    <row r="1107">
      <c r="A1107" s="11">
        <f>IFERROR(INDEX(спр_Работы!$D$2:$D$6000,MATCH($C1107,спр_Работы!$A$2:$A$6000,0)),"")</f>
        <v/>
      </c>
      <c r="B1107">
        <f>IFERROR(INDEX(спр_Работы!$F$2:$F$6000,MATCH($C1107,спр_Работы!$A$2:$A$6000,0)),"")</f>
        <v/>
      </c>
      <c r="C1107">
        <f>IFERROR(INDEX(спр_Работы!$A$2:$A$6000,1106),"")</f>
        <v/>
      </c>
      <c r="D1107" s="8">
        <f>IFERROR(INDEX(спр_Работы!$B$2:$B$6000,MATCH($C1107,спр_Работы!$A$2:$A$6000,0)),"")</f>
        <v/>
      </c>
      <c r="E1107">
        <f>IFERROR(INDEX(спр_Работы!$C$2:$C$6000,MATCH($C1107,спр_Работы!$A$2:$A$6000,0)),"")</f>
        <v/>
      </c>
      <c r="F1107">
        <f>IFERROR(INDEX(спр_Работы!$G$2:$G$6000,MATCH($C1107,спр_Работы!$A$2:$A$6000,0)),"")</f>
        <v/>
      </c>
      <c r="G1107">
        <f>IFERROR(INDEX(спр_Работы!$K$2:$K$6000,MATCH($C1107,спр_Работы!$A$2:$A$6000,0)),"")</f>
        <v/>
      </c>
      <c r="H1107" s="9" t="n"/>
      <c r="I1107" s="9" t="n"/>
      <c r="J1107" s="8">
        <f>IFERROR(INDEX(спр_Материалы!$B$2:$B$9000,MATCH($I1107,спр_Материалы!$A$2:$A$9000,0)),"")</f>
        <v/>
      </c>
      <c r="K1107">
        <f>IF($I1107="","",IF($F1107=IFERROR(INDEX(спр_Материалы!$G$2:$G$9000,MATCH($I1107,спр_Материалы!$A$2:$A$9000,0)),""),"OK","!! не та группа"))</f>
        <v/>
      </c>
      <c r="L1107" s="10">
        <f>IFERROR(INDEX(спр_Работы!$H$2:$H$6000,MATCH($C1107,спр_Работы!$A$2:$A$6000,0))*(1-ДисконтТендер),0)</f>
        <v/>
      </c>
      <c r="M1107" s="10">
        <f>IF($I1107="",0,IFERROR(INDEX(спр_Материалы!$I$2:$I$9000,MATCH($I1107,спр_Материалы!$A$2:$A$9000,0))*IF(INDEX(спр_Материалы!$J$2:$J$9000,MATCH($I1107,спр_Материалы!$A$2:$A$9000,0))="USD",КурсUSD,IF(INDEX(спр_Материалы!$J$2:$J$9000,MATCH($I1107,спр_Материалы!$A$2:$A$9000,0))="EUR",КурсEUR,1))*INDEX(спр_Материалы!$K$2:$K$9000,MATCH($I1107,спр_Материалы!$A$2:$A$9000,0))*(1+IFERROR(INDEX(спр_Работы!$I$2:$I$6000,MATCH($C1107,спр_Работы!$A$2:$A$6000,0))/100,0))*(1-ДисконтТендер),0))</f>
        <v/>
      </c>
      <c r="N1107" s="10">
        <f>IF(AND($R1107="да",$H1107&lt;&gt;""),ROUND($H1107*$L1107,2),0)</f>
        <v/>
      </c>
      <c r="O1107" s="10">
        <f>IF(AND($R1107="да",$H1107&lt;&gt;""),ROUND($H1107*$M1107,2),0)</f>
        <v/>
      </c>
      <c r="P1107" s="10">
        <f>$N1107+$O1107</f>
        <v/>
      </c>
      <c r="Q1107">
        <f>IFERROR(INDEX(спр_Работы!$J$2:$J$6000,MATCH($C1107,спр_Работы!$A$2:$A$6000,0)),"")</f>
        <v/>
      </c>
      <c r="R1107" t="inlineStr">
        <is>
          <t>да</t>
        </is>
      </c>
      <c r="T1107">
        <f>IF(AND($P1107&gt;0,$R1107="да"),MAX($T$1:$T1106)+1,"")</f>
        <v/>
      </c>
    </row>
    <row r="1108">
      <c r="A1108" s="11">
        <f>IFERROR(INDEX(спр_Работы!$D$2:$D$6000,MATCH($C1108,спр_Работы!$A$2:$A$6000,0)),"")</f>
        <v/>
      </c>
      <c r="B1108">
        <f>IFERROR(INDEX(спр_Работы!$F$2:$F$6000,MATCH($C1108,спр_Работы!$A$2:$A$6000,0)),"")</f>
        <v/>
      </c>
      <c r="C1108">
        <f>IFERROR(INDEX(спр_Работы!$A$2:$A$6000,1107),"")</f>
        <v/>
      </c>
      <c r="D1108" s="8">
        <f>IFERROR(INDEX(спр_Работы!$B$2:$B$6000,MATCH($C1108,спр_Работы!$A$2:$A$6000,0)),"")</f>
        <v/>
      </c>
      <c r="E1108">
        <f>IFERROR(INDEX(спр_Работы!$C$2:$C$6000,MATCH($C1108,спр_Работы!$A$2:$A$6000,0)),"")</f>
        <v/>
      </c>
      <c r="F1108">
        <f>IFERROR(INDEX(спр_Работы!$G$2:$G$6000,MATCH($C1108,спр_Работы!$A$2:$A$6000,0)),"")</f>
        <v/>
      </c>
      <c r="G1108">
        <f>IFERROR(INDEX(спр_Работы!$K$2:$K$6000,MATCH($C1108,спр_Работы!$A$2:$A$6000,0)),"")</f>
        <v/>
      </c>
      <c r="H1108" s="9" t="n"/>
      <c r="I1108" s="9" t="n"/>
      <c r="J1108" s="8">
        <f>IFERROR(INDEX(спр_Материалы!$B$2:$B$9000,MATCH($I1108,спр_Материалы!$A$2:$A$9000,0)),"")</f>
        <v/>
      </c>
      <c r="K1108">
        <f>IF($I1108="","",IF($F1108=IFERROR(INDEX(спр_Материалы!$G$2:$G$9000,MATCH($I1108,спр_Материалы!$A$2:$A$9000,0)),""),"OK","!! не та группа"))</f>
        <v/>
      </c>
      <c r="L1108" s="10">
        <f>IFERROR(INDEX(спр_Работы!$H$2:$H$6000,MATCH($C1108,спр_Работы!$A$2:$A$6000,0))*(1-ДисконтТендер),0)</f>
        <v/>
      </c>
      <c r="M1108" s="10">
        <f>IF($I1108="",0,IFERROR(INDEX(спр_Материалы!$I$2:$I$9000,MATCH($I1108,спр_Материалы!$A$2:$A$9000,0))*IF(INDEX(спр_Материалы!$J$2:$J$9000,MATCH($I1108,спр_Материалы!$A$2:$A$9000,0))="USD",КурсUSD,IF(INDEX(спр_Материалы!$J$2:$J$9000,MATCH($I1108,спр_Материалы!$A$2:$A$9000,0))="EUR",КурсEUR,1))*INDEX(спр_Материалы!$K$2:$K$9000,MATCH($I1108,спр_Материалы!$A$2:$A$9000,0))*(1+IFERROR(INDEX(спр_Работы!$I$2:$I$6000,MATCH($C1108,спр_Работы!$A$2:$A$6000,0))/100,0))*(1-ДисконтТендер),0))</f>
        <v/>
      </c>
      <c r="N1108" s="10">
        <f>IF(AND($R1108="да",$H1108&lt;&gt;""),ROUND($H1108*$L1108,2),0)</f>
        <v/>
      </c>
      <c r="O1108" s="10">
        <f>IF(AND($R1108="да",$H1108&lt;&gt;""),ROUND($H1108*$M1108,2),0)</f>
        <v/>
      </c>
      <c r="P1108" s="10">
        <f>$N1108+$O1108</f>
        <v/>
      </c>
      <c r="Q1108">
        <f>IFERROR(INDEX(спр_Работы!$J$2:$J$6000,MATCH($C1108,спр_Работы!$A$2:$A$6000,0)),"")</f>
        <v/>
      </c>
      <c r="R1108" t="inlineStr">
        <is>
          <t>да</t>
        </is>
      </c>
      <c r="T1108">
        <f>IF(AND($P1108&gt;0,$R1108="да"),MAX($T$1:$T1107)+1,"")</f>
        <v/>
      </c>
    </row>
    <row r="1109">
      <c r="A1109" s="11">
        <f>IFERROR(INDEX(спр_Работы!$D$2:$D$6000,MATCH($C1109,спр_Работы!$A$2:$A$6000,0)),"")</f>
        <v/>
      </c>
      <c r="B1109">
        <f>IFERROR(INDEX(спр_Работы!$F$2:$F$6000,MATCH($C1109,спр_Работы!$A$2:$A$6000,0)),"")</f>
        <v/>
      </c>
      <c r="C1109">
        <f>IFERROR(INDEX(спр_Работы!$A$2:$A$6000,1108),"")</f>
        <v/>
      </c>
      <c r="D1109" s="8">
        <f>IFERROR(INDEX(спр_Работы!$B$2:$B$6000,MATCH($C1109,спр_Работы!$A$2:$A$6000,0)),"")</f>
        <v/>
      </c>
      <c r="E1109">
        <f>IFERROR(INDEX(спр_Работы!$C$2:$C$6000,MATCH($C1109,спр_Работы!$A$2:$A$6000,0)),"")</f>
        <v/>
      </c>
      <c r="F1109">
        <f>IFERROR(INDEX(спр_Работы!$G$2:$G$6000,MATCH($C1109,спр_Работы!$A$2:$A$6000,0)),"")</f>
        <v/>
      </c>
      <c r="G1109">
        <f>IFERROR(INDEX(спр_Работы!$K$2:$K$6000,MATCH($C1109,спр_Работы!$A$2:$A$6000,0)),"")</f>
        <v/>
      </c>
      <c r="H1109" s="9" t="n"/>
      <c r="I1109" s="9" t="n"/>
      <c r="J1109" s="8">
        <f>IFERROR(INDEX(спр_Материалы!$B$2:$B$9000,MATCH($I1109,спр_Материалы!$A$2:$A$9000,0)),"")</f>
        <v/>
      </c>
      <c r="K1109">
        <f>IF($I1109="","",IF($F1109=IFERROR(INDEX(спр_Материалы!$G$2:$G$9000,MATCH($I1109,спр_Материалы!$A$2:$A$9000,0)),""),"OK","!! не та группа"))</f>
        <v/>
      </c>
      <c r="L1109" s="10">
        <f>IFERROR(INDEX(спр_Работы!$H$2:$H$6000,MATCH($C1109,спр_Работы!$A$2:$A$6000,0))*(1-ДисконтТендер),0)</f>
        <v/>
      </c>
      <c r="M1109" s="10">
        <f>IF($I1109="",0,IFERROR(INDEX(спр_Материалы!$I$2:$I$9000,MATCH($I1109,спр_Материалы!$A$2:$A$9000,0))*IF(INDEX(спр_Материалы!$J$2:$J$9000,MATCH($I1109,спр_Материалы!$A$2:$A$9000,0))="USD",КурсUSD,IF(INDEX(спр_Материалы!$J$2:$J$9000,MATCH($I1109,спр_Материалы!$A$2:$A$9000,0))="EUR",КурсEUR,1))*INDEX(спр_Материалы!$K$2:$K$9000,MATCH($I1109,спр_Материалы!$A$2:$A$9000,0))*(1+IFERROR(INDEX(спр_Работы!$I$2:$I$6000,MATCH($C1109,спр_Работы!$A$2:$A$6000,0))/100,0))*(1-ДисконтТендер),0))</f>
        <v/>
      </c>
      <c r="N1109" s="10">
        <f>IF(AND($R1109="да",$H1109&lt;&gt;""),ROUND($H1109*$L1109,2),0)</f>
        <v/>
      </c>
      <c r="O1109" s="10">
        <f>IF(AND($R1109="да",$H1109&lt;&gt;""),ROUND($H1109*$M1109,2),0)</f>
        <v/>
      </c>
      <c r="P1109" s="10">
        <f>$N1109+$O1109</f>
        <v/>
      </c>
      <c r="Q1109">
        <f>IFERROR(INDEX(спр_Работы!$J$2:$J$6000,MATCH($C1109,спр_Работы!$A$2:$A$6000,0)),"")</f>
        <v/>
      </c>
      <c r="R1109" t="inlineStr">
        <is>
          <t>да</t>
        </is>
      </c>
      <c r="T1109">
        <f>IF(AND($P1109&gt;0,$R1109="да"),MAX($T$1:$T1108)+1,"")</f>
        <v/>
      </c>
    </row>
    <row r="1110">
      <c r="A1110" s="11">
        <f>IFERROR(INDEX(спр_Работы!$D$2:$D$6000,MATCH($C1110,спр_Работы!$A$2:$A$6000,0)),"")</f>
        <v/>
      </c>
      <c r="B1110">
        <f>IFERROR(INDEX(спр_Работы!$F$2:$F$6000,MATCH($C1110,спр_Работы!$A$2:$A$6000,0)),"")</f>
        <v/>
      </c>
      <c r="C1110">
        <f>IFERROR(INDEX(спр_Работы!$A$2:$A$6000,1109),"")</f>
        <v/>
      </c>
      <c r="D1110" s="8">
        <f>IFERROR(INDEX(спр_Работы!$B$2:$B$6000,MATCH($C1110,спр_Работы!$A$2:$A$6000,0)),"")</f>
        <v/>
      </c>
      <c r="E1110">
        <f>IFERROR(INDEX(спр_Работы!$C$2:$C$6000,MATCH($C1110,спр_Работы!$A$2:$A$6000,0)),"")</f>
        <v/>
      </c>
      <c r="F1110">
        <f>IFERROR(INDEX(спр_Работы!$G$2:$G$6000,MATCH($C1110,спр_Работы!$A$2:$A$6000,0)),"")</f>
        <v/>
      </c>
      <c r="G1110">
        <f>IFERROR(INDEX(спр_Работы!$K$2:$K$6000,MATCH($C1110,спр_Работы!$A$2:$A$6000,0)),"")</f>
        <v/>
      </c>
      <c r="H1110" s="9" t="n"/>
      <c r="I1110" s="9" t="n"/>
      <c r="J1110" s="8">
        <f>IFERROR(INDEX(спр_Материалы!$B$2:$B$9000,MATCH($I1110,спр_Материалы!$A$2:$A$9000,0)),"")</f>
        <v/>
      </c>
      <c r="K1110">
        <f>IF($I1110="","",IF($F1110=IFERROR(INDEX(спр_Материалы!$G$2:$G$9000,MATCH($I1110,спр_Материалы!$A$2:$A$9000,0)),""),"OK","!! не та группа"))</f>
        <v/>
      </c>
      <c r="L1110" s="10">
        <f>IFERROR(INDEX(спр_Работы!$H$2:$H$6000,MATCH($C1110,спр_Работы!$A$2:$A$6000,0))*(1-ДисконтТендер),0)</f>
        <v/>
      </c>
      <c r="M1110" s="10">
        <f>IF($I1110="",0,IFERROR(INDEX(спр_Материалы!$I$2:$I$9000,MATCH($I1110,спр_Материалы!$A$2:$A$9000,0))*IF(INDEX(спр_Материалы!$J$2:$J$9000,MATCH($I1110,спр_Материалы!$A$2:$A$9000,0))="USD",КурсUSD,IF(INDEX(спр_Материалы!$J$2:$J$9000,MATCH($I1110,спр_Материалы!$A$2:$A$9000,0))="EUR",КурсEUR,1))*INDEX(спр_Материалы!$K$2:$K$9000,MATCH($I1110,спр_Материалы!$A$2:$A$9000,0))*(1+IFERROR(INDEX(спр_Работы!$I$2:$I$6000,MATCH($C1110,спр_Работы!$A$2:$A$6000,0))/100,0))*(1-ДисконтТендер),0))</f>
        <v/>
      </c>
      <c r="N1110" s="10">
        <f>IF(AND($R1110="да",$H1110&lt;&gt;""),ROUND($H1110*$L1110,2),0)</f>
        <v/>
      </c>
      <c r="O1110" s="10">
        <f>IF(AND($R1110="да",$H1110&lt;&gt;""),ROUND($H1110*$M1110,2),0)</f>
        <v/>
      </c>
      <c r="P1110" s="10">
        <f>$N1110+$O1110</f>
        <v/>
      </c>
      <c r="Q1110">
        <f>IFERROR(INDEX(спр_Работы!$J$2:$J$6000,MATCH($C1110,спр_Работы!$A$2:$A$6000,0)),"")</f>
        <v/>
      </c>
      <c r="R1110" t="inlineStr">
        <is>
          <t>да</t>
        </is>
      </c>
      <c r="T1110">
        <f>IF(AND($P1110&gt;0,$R1110="да"),MAX($T$1:$T1109)+1,"")</f>
        <v/>
      </c>
    </row>
    <row r="1111">
      <c r="A1111" s="11">
        <f>IFERROR(INDEX(спр_Работы!$D$2:$D$6000,MATCH($C1111,спр_Работы!$A$2:$A$6000,0)),"")</f>
        <v/>
      </c>
      <c r="B1111">
        <f>IFERROR(INDEX(спр_Работы!$F$2:$F$6000,MATCH($C1111,спр_Работы!$A$2:$A$6000,0)),"")</f>
        <v/>
      </c>
      <c r="C1111">
        <f>IFERROR(INDEX(спр_Работы!$A$2:$A$6000,1110),"")</f>
        <v/>
      </c>
      <c r="D1111" s="8">
        <f>IFERROR(INDEX(спр_Работы!$B$2:$B$6000,MATCH($C1111,спр_Работы!$A$2:$A$6000,0)),"")</f>
        <v/>
      </c>
      <c r="E1111">
        <f>IFERROR(INDEX(спр_Работы!$C$2:$C$6000,MATCH($C1111,спр_Работы!$A$2:$A$6000,0)),"")</f>
        <v/>
      </c>
      <c r="F1111">
        <f>IFERROR(INDEX(спр_Работы!$G$2:$G$6000,MATCH($C1111,спр_Работы!$A$2:$A$6000,0)),"")</f>
        <v/>
      </c>
      <c r="G1111">
        <f>IFERROR(INDEX(спр_Работы!$K$2:$K$6000,MATCH($C1111,спр_Работы!$A$2:$A$6000,0)),"")</f>
        <v/>
      </c>
      <c r="H1111" s="9" t="n"/>
      <c r="I1111" s="9" t="n"/>
      <c r="J1111" s="8">
        <f>IFERROR(INDEX(спр_Материалы!$B$2:$B$9000,MATCH($I1111,спр_Материалы!$A$2:$A$9000,0)),"")</f>
        <v/>
      </c>
      <c r="K1111">
        <f>IF($I1111="","",IF($F1111=IFERROR(INDEX(спр_Материалы!$G$2:$G$9000,MATCH($I1111,спр_Материалы!$A$2:$A$9000,0)),""),"OK","!! не та группа"))</f>
        <v/>
      </c>
      <c r="L1111" s="10">
        <f>IFERROR(INDEX(спр_Работы!$H$2:$H$6000,MATCH($C1111,спр_Работы!$A$2:$A$6000,0))*(1-ДисконтТендер),0)</f>
        <v/>
      </c>
      <c r="M1111" s="10">
        <f>IF($I1111="",0,IFERROR(INDEX(спр_Материалы!$I$2:$I$9000,MATCH($I1111,спр_Материалы!$A$2:$A$9000,0))*IF(INDEX(спр_Материалы!$J$2:$J$9000,MATCH($I1111,спр_Материалы!$A$2:$A$9000,0))="USD",КурсUSD,IF(INDEX(спр_Материалы!$J$2:$J$9000,MATCH($I1111,спр_Материалы!$A$2:$A$9000,0))="EUR",КурсEUR,1))*INDEX(спр_Материалы!$K$2:$K$9000,MATCH($I1111,спр_Материалы!$A$2:$A$9000,0))*(1+IFERROR(INDEX(спр_Работы!$I$2:$I$6000,MATCH($C1111,спр_Работы!$A$2:$A$6000,0))/100,0))*(1-ДисконтТендер),0))</f>
        <v/>
      </c>
      <c r="N1111" s="10">
        <f>IF(AND($R1111="да",$H1111&lt;&gt;""),ROUND($H1111*$L1111,2),0)</f>
        <v/>
      </c>
      <c r="O1111" s="10">
        <f>IF(AND($R1111="да",$H1111&lt;&gt;""),ROUND($H1111*$M1111,2),0)</f>
        <v/>
      </c>
      <c r="P1111" s="10">
        <f>$N1111+$O1111</f>
        <v/>
      </c>
      <c r="Q1111">
        <f>IFERROR(INDEX(спр_Работы!$J$2:$J$6000,MATCH($C1111,спр_Работы!$A$2:$A$6000,0)),"")</f>
        <v/>
      </c>
      <c r="R1111" t="inlineStr">
        <is>
          <t>да</t>
        </is>
      </c>
      <c r="T1111">
        <f>IF(AND($P1111&gt;0,$R1111="да"),MAX($T$1:$T1110)+1,"")</f>
        <v/>
      </c>
    </row>
    <row r="1112">
      <c r="A1112" s="11">
        <f>IFERROR(INDEX(спр_Работы!$D$2:$D$6000,MATCH($C1112,спр_Работы!$A$2:$A$6000,0)),"")</f>
        <v/>
      </c>
      <c r="B1112">
        <f>IFERROR(INDEX(спр_Работы!$F$2:$F$6000,MATCH($C1112,спр_Работы!$A$2:$A$6000,0)),"")</f>
        <v/>
      </c>
      <c r="C1112">
        <f>IFERROR(INDEX(спр_Работы!$A$2:$A$6000,1111),"")</f>
        <v/>
      </c>
      <c r="D1112" s="8">
        <f>IFERROR(INDEX(спр_Работы!$B$2:$B$6000,MATCH($C1112,спр_Работы!$A$2:$A$6000,0)),"")</f>
        <v/>
      </c>
      <c r="E1112">
        <f>IFERROR(INDEX(спр_Работы!$C$2:$C$6000,MATCH($C1112,спр_Работы!$A$2:$A$6000,0)),"")</f>
        <v/>
      </c>
      <c r="F1112">
        <f>IFERROR(INDEX(спр_Работы!$G$2:$G$6000,MATCH($C1112,спр_Работы!$A$2:$A$6000,0)),"")</f>
        <v/>
      </c>
      <c r="G1112">
        <f>IFERROR(INDEX(спр_Работы!$K$2:$K$6000,MATCH($C1112,спр_Работы!$A$2:$A$6000,0)),"")</f>
        <v/>
      </c>
      <c r="H1112" s="9" t="n"/>
      <c r="I1112" s="9" t="n"/>
      <c r="J1112" s="8">
        <f>IFERROR(INDEX(спр_Материалы!$B$2:$B$9000,MATCH($I1112,спр_Материалы!$A$2:$A$9000,0)),"")</f>
        <v/>
      </c>
      <c r="K1112">
        <f>IF($I1112="","",IF($F1112=IFERROR(INDEX(спр_Материалы!$G$2:$G$9000,MATCH($I1112,спр_Материалы!$A$2:$A$9000,0)),""),"OK","!! не та группа"))</f>
        <v/>
      </c>
      <c r="L1112" s="10">
        <f>IFERROR(INDEX(спр_Работы!$H$2:$H$6000,MATCH($C1112,спр_Работы!$A$2:$A$6000,0))*(1-ДисконтТендер),0)</f>
        <v/>
      </c>
      <c r="M1112" s="10">
        <f>IF($I1112="",0,IFERROR(INDEX(спр_Материалы!$I$2:$I$9000,MATCH($I1112,спр_Материалы!$A$2:$A$9000,0))*IF(INDEX(спр_Материалы!$J$2:$J$9000,MATCH($I1112,спр_Материалы!$A$2:$A$9000,0))="USD",КурсUSD,IF(INDEX(спр_Материалы!$J$2:$J$9000,MATCH($I1112,спр_Материалы!$A$2:$A$9000,0))="EUR",КурсEUR,1))*INDEX(спр_Материалы!$K$2:$K$9000,MATCH($I1112,спр_Материалы!$A$2:$A$9000,0))*(1+IFERROR(INDEX(спр_Работы!$I$2:$I$6000,MATCH($C1112,спр_Работы!$A$2:$A$6000,0))/100,0))*(1-ДисконтТендер),0))</f>
        <v/>
      </c>
      <c r="N1112" s="10">
        <f>IF(AND($R1112="да",$H1112&lt;&gt;""),ROUND($H1112*$L1112,2),0)</f>
        <v/>
      </c>
      <c r="O1112" s="10">
        <f>IF(AND($R1112="да",$H1112&lt;&gt;""),ROUND($H1112*$M1112,2),0)</f>
        <v/>
      </c>
      <c r="P1112" s="10">
        <f>$N1112+$O1112</f>
        <v/>
      </c>
      <c r="Q1112">
        <f>IFERROR(INDEX(спр_Работы!$J$2:$J$6000,MATCH($C1112,спр_Работы!$A$2:$A$6000,0)),"")</f>
        <v/>
      </c>
      <c r="R1112" t="inlineStr">
        <is>
          <t>да</t>
        </is>
      </c>
      <c r="T1112">
        <f>IF(AND($P1112&gt;0,$R1112="да"),MAX($T$1:$T1111)+1,"")</f>
        <v/>
      </c>
    </row>
    <row r="1113">
      <c r="A1113" s="11">
        <f>IFERROR(INDEX(спр_Работы!$D$2:$D$6000,MATCH($C1113,спр_Работы!$A$2:$A$6000,0)),"")</f>
        <v/>
      </c>
      <c r="B1113">
        <f>IFERROR(INDEX(спр_Работы!$F$2:$F$6000,MATCH($C1113,спр_Работы!$A$2:$A$6000,0)),"")</f>
        <v/>
      </c>
      <c r="C1113">
        <f>IFERROR(INDEX(спр_Работы!$A$2:$A$6000,1112),"")</f>
        <v/>
      </c>
      <c r="D1113" s="8">
        <f>IFERROR(INDEX(спр_Работы!$B$2:$B$6000,MATCH($C1113,спр_Работы!$A$2:$A$6000,0)),"")</f>
        <v/>
      </c>
      <c r="E1113">
        <f>IFERROR(INDEX(спр_Работы!$C$2:$C$6000,MATCH($C1113,спр_Работы!$A$2:$A$6000,0)),"")</f>
        <v/>
      </c>
      <c r="F1113">
        <f>IFERROR(INDEX(спр_Работы!$G$2:$G$6000,MATCH($C1113,спр_Работы!$A$2:$A$6000,0)),"")</f>
        <v/>
      </c>
      <c r="G1113">
        <f>IFERROR(INDEX(спр_Работы!$K$2:$K$6000,MATCH($C1113,спр_Работы!$A$2:$A$6000,0)),"")</f>
        <v/>
      </c>
      <c r="H1113" s="9" t="n"/>
      <c r="I1113" s="9" t="n"/>
      <c r="J1113" s="8">
        <f>IFERROR(INDEX(спр_Материалы!$B$2:$B$9000,MATCH($I1113,спр_Материалы!$A$2:$A$9000,0)),"")</f>
        <v/>
      </c>
      <c r="K1113">
        <f>IF($I1113="","",IF($F1113=IFERROR(INDEX(спр_Материалы!$G$2:$G$9000,MATCH($I1113,спр_Материалы!$A$2:$A$9000,0)),""),"OK","!! не та группа"))</f>
        <v/>
      </c>
      <c r="L1113" s="10">
        <f>IFERROR(INDEX(спр_Работы!$H$2:$H$6000,MATCH($C1113,спр_Работы!$A$2:$A$6000,0))*(1-ДисконтТендер),0)</f>
        <v/>
      </c>
      <c r="M1113" s="10">
        <f>IF($I1113="",0,IFERROR(INDEX(спр_Материалы!$I$2:$I$9000,MATCH($I1113,спр_Материалы!$A$2:$A$9000,0))*IF(INDEX(спр_Материалы!$J$2:$J$9000,MATCH($I1113,спр_Материалы!$A$2:$A$9000,0))="USD",КурсUSD,IF(INDEX(спр_Материалы!$J$2:$J$9000,MATCH($I1113,спр_Материалы!$A$2:$A$9000,0))="EUR",КурсEUR,1))*INDEX(спр_Материалы!$K$2:$K$9000,MATCH($I1113,спр_Материалы!$A$2:$A$9000,0))*(1+IFERROR(INDEX(спр_Работы!$I$2:$I$6000,MATCH($C1113,спр_Работы!$A$2:$A$6000,0))/100,0))*(1-ДисконтТендер),0))</f>
        <v/>
      </c>
      <c r="N1113" s="10">
        <f>IF(AND($R1113="да",$H1113&lt;&gt;""),ROUND($H1113*$L1113,2),0)</f>
        <v/>
      </c>
      <c r="O1113" s="10">
        <f>IF(AND($R1113="да",$H1113&lt;&gt;""),ROUND($H1113*$M1113,2),0)</f>
        <v/>
      </c>
      <c r="P1113" s="10">
        <f>$N1113+$O1113</f>
        <v/>
      </c>
      <c r="Q1113">
        <f>IFERROR(INDEX(спр_Работы!$J$2:$J$6000,MATCH($C1113,спр_Работы!$A$2:$A$6000,0)),"")</f>
        <v/>
      </c>
      <c r="R1113" t="inlineStr">
        <is>
          <t>да</t>
        </is>
      </c>
      <c r="T1113">
        <f>IF(AND($P1113&gt;0,$R1113="да"),MAX($T$1:$T1112)+1,"")</f>
        <v/>
      </c>
    </row>
    <row r="1114">
      <c r="A1114" s="11">
        <f>IFERROR(INDEX(спр_Работы!$D$2:$D$6000,MATCH($C1114,спр_Работы!$A$2:$A$6000,0)),"")</f>
        <v/>
      </c>
      <c r="B1114">
        <f>IFERROR(INDEX(спр_Работы!$F$2:$F$6000,MATCH($C1114,спр_Работы!$A$2:$A$6000,0)),"")</f>
        <v/>
      </c>
      <c r="C1114">
        <f>IFERROR(INDEX(спр_Работы!$A$2:$A$6000,1113),"")</f>
        <v/>
      </c>
      <c r="D1114" s="8">
        <f>IFERROR(INDEX(спр_Работы!$B$2:$B$6000,MATCH($C1114,спр_Работы!$A$2:$A$6000,0)),"")</f>
        <v/>
      </c>
      <c r="E1114">
        <f>IFERROR(INDEX(спр_Работы!$C$2:$C$6000,MATCH($C1114,спр_Работы!$A$2:$A$6000,0)),"")</f>
        <v/>
      </c>
      <c r="F1114">
        <f>IFERROR(INDEX(спр_Работы!$G$2:$G$6000,MATCH($C1114,спр_Работы!$A$2:$A$6000,0)),"")</f>
        <v/>
      </c>
      <c r="G1114">
        <f>IFERROR(INDEX(спр_Работы!$K$2:$K$6000,MATCH($C1114,спр_Работы!$A$2:$A$6000,0)),"")</f>
        <v/>
      </c>
      <c r="H1114" s="9" t="n"/>
      <c r="I1114" s="9" t="n"/>
      <c r="J1114" s="8">
        <f>IFERROR(INDEX(спр_Материалы!$B$2:$B$9000,MATCH($I1114,спр_Материалы!$A$2:$A$9000,0)),"")</f>
        <v/>
      </c>
      <c r="K1114">
        <f>IF($I1114="","",IF($F1114=IFERROR(INDEX(спр_Материалы!$G$2:$G$9000,MATCH($I1114,спр_Материалы!$A$2:$A$9000,0)),""),"OK","!! не та группа"))</f>
        <v/>
      </c>
      <c r="L1114" s="10">
        <f>IFERROR(INDEX(спр_Работы!$H$2:$H$6000,MATCH($C1114,спр_Работы!$A$2:$A$6000,0))*(1-ДисконтТендер),0)</f>
        <v/>
      </c>
      <c r="M1114" s="10">
        <f>IF($I1114="",0,IFERROR(INDEX(спр_Материалы!$I$2:$I$9000,MATCH($I1114,спр_Материалы!$A$2:$A$9000,0))*IF(INDEX(спр_Материалы!$J$2:$J$9000,MATCH($I1114,спр_Материалы!$A$2:$A$9000,0))="USD",КурсUSD,IF(INDEX(спр_Материалы!$J$2:$J$9000,MATCH($I1114,спр_Материалы!$A$2:$A$9000,0))="EUR",КурсEUR,1))*INDEX(спр_Материалы!$K$2:$K$9000,MATCH($I1114,спр_Материалы!$A$2:$A$9000,0))*(1+IFERROR(INDEX(спр_Работы!$I$2:$I$6000,MATCH($C1114,спр_Работы!$A$2:$A$6000,0))/100,0))*(1-ДисконтТендер),0))</f>
        <v/>
      </c>
      <c r="N1114" s="10">
        <f>IF(AND($R1114="да",$H1114&lt;&gt;""),ROUND($H1114*$L1114,2),0)</f>
        <v/>
      </c>
      <c r="O1114" s="10">
        <f>IF(AND($R1114="да",$H1114&lt;&gt;""),ROUND($H1114*$M1114,2),0)</f>
        <v/>
      </c>
      <c r="P1114" s="10">
        <f>$N1114+$O1114</f>
        <v/>
      </c>
      <c r="Q1114">
        <f>IFERROR(INDEX(спр_Работы!$J$2:$J$6000,MATCH($C1114,спр_Работы!$A$2:$A$6000,0)),"")</f>
        <v/>
      </c>
      <c r="R1114" t="inlineStr">
        <is>
          <t>да</t>
        </is>
      </c>
      <c r="T1114">
        <f>IF(AND($P1114&gt;0,$R1114="да"),MAX($T$1:$T1113)+1,"")</f>
        <v/>
      </c>
    </row>
    <row r="1115">
      <c r="A1115" s="11">
        <f>IFERROR(INDEX(спр_Работы!$D$2:$D$6000,MATCH($C1115,спр_Работы!$A$2:$A$6000,0)),"")</f>
        <v/>
      </c>
      <c r="B1115">
        <f>IFERROR(INDEX(спр_Работы!$F$2:$F$6000,MATCH($C1115,спр_Работы!$A$2:$A$6000,0)),"")</f>
        <v/>
      </c>
      <c r="C1115">
        <f>IFERROR(INDEX(спр_Работы!$A$2:$A$6000,1114),"")</f>
        <v/>
      </c>
      <c r="D1115" s="8">
        <f>IFERROR(INDEX(спр_Работы!$B$2:$B$6000,MATCH($C1115,спр_Работы!$A$2:$A$6000,0)),"")</f>
        <v/>
      </c>
      <c r="E1115">
        <f>IFERROR(INDEX(спр_Работы!$C$2:$C$6000,MATCH($C1115,спр_Работы!$A$2:$A$6000,0)),"")</f>
        <v/>
      </c>
      <c r="F1115">
        <f>IFERROR(INDEX(спр_Работы!$G$2:$G$6000,MATCH($C1115,спр_Работы!$A$2:$A$6000,0)),"")</f>
        <v/>
      </c>
      <c r="G1115">
        <f>IFERROR(INDEX(спр_Работы!$K$2:$K$6000,MATCH($C1115,спр_Работы!$A$2:$A$6000,0)),"")</f>
        <v/>
      </c>
      <c r="H1115" s="9" t="n"/>
      <c r="I1115" s="9" t="n"/>
      <c r="J1115" s="8">
        <f>IFERROR(INDEX(спр_Материалы!$B$2:$B$9000,MATCH($I1115,спр_Материалы!$A$2:$A$9000,0)),"")</f>
        <v/>
      </c>
      <c r="K1115">
        <f>IF($I1115="","",IF($F1115=IFERROR(INDEX(спр_Материалы!$G$2:$G$9000,MATCH($I1115,спр_Материалы!$A$2:$A$9000,0)),""),"OK","!! не та группа"))</f>
        <v/>
      </c>
      <c r="L1115" s="10">
        <f>IFERROR(INDEX(спр_Работы!$H$2:$H$6000,MATCH($C1115,спр_Работы!$A$2:$A$6000,0))*(1-ДисконтТендер),0)</f>
        <v/>
      </c>
      <c r="M1115" s="10">
        <f>IF($I1115="",0,IFERROR(INDEX(спр_Материалы!$I$2:$I$9000,MATCH($I1115,спр_Материалы!$A$2:$A$9000,0))*IF(INDEX(спр_Материалы!$J$2:$J$9000,MATCH($I1115,спр_Материалы!$A$2:$A$9000,0))="USD",КурсUSD,IF(INDEX(спр_Материалы!$J$2:$J$9000,MATCH($I1115,спр_Материалы!$A$2:$A$9000,0))="EUR",КурсEUR,1))*INDEX(спр_Материалы!$K$2:$K$9000,MATCH($I1115,спр_Материалы!$A$2:$A$9000,0))*(1+IFERROR(INDEX(спр_Работы!$I$2:$I$6000,MATCH($C1115,спр_Работы!$A$2:$A$6000,0))/100,0))*(1-ДисконтТендер),0))</f>
        <v/>
      </c>
      <c r="N1115" s="10">
        <f>IF(AND($R1115="да",$H1115&lt;&gt;""),ROUND($H1115*$L1115,2),0)</f>
        <v/>
      </c>
      <c r="O1115" s="10">
        <f>IF(AND($R1115="да",$H1115&lt;&gt;""),ROUND($H1115*$M1115,2),0)</f>
        <v/>
      </c>
      <c r="P1115" s="10">
        <f>$N1115+$O1115</f>
        <v/>
      </c>
      <c r="Q1115">
        <f>IFERROR(INDEX(спр_Работы!$J$2:$J$6000,MATCH($C1115,спр_Работы!$A$2:$A$6000,0)),"")</f>
        <v/>
      </c>
      <c r="R1115" t="inlineStr">
        <is>
          <t>да</t>
        </is>
      </c>
      <c r="T1115">
        <f>IF(AND($P1115&gt;0,$R1115="да"),MAX($T$1:$T1114)+1,"")</f>
        <v/>
      </c>
    </row>
    <row r="1116">
      <c r="A1116" s="11">
        <f>IFERROR(INDEX(спр_Работы!$D$2:$D$6000,MATCH($C1116,спр_Работы!$A$2:$A$6000,0)),"")</f>
        <v/>
      </c>
      <c r="B1116">
        <f>IFERROR(INDEX(спр_Работы!$F$2:$F$6000,MATCH($C1116,спр_Работы!$A$2:$A$6000,0)),"")</f>
        <v/>
      </c>
      <c r="C1116">
        <f>IFERROR(INDEX(спр_Работы!$A$2:$A$6000,1115),"")</f>
        <v/>
      </c>
      <c r="D1116" s="8">
        <f>IFERROR(INDEX(спр_Работы!$B$2:$B$6000,MATCH($C1116,спр_Работы!$A$2:$A$6000,0)),"")</f>
        <v/>
      </c>
      <c r="E1116">
        <f>IFERROR(INDEX(спр_Работы!$C$2:$C$6000,MATCH($C1116,спр_Работы!$A$2:$A$6000,0)),"")</f>
        <v/>
      </c>
      <c r="F1116">
        <f>IFERROR(INDEX(спр_Работы!$G$2:$G$6000,MATCH($C1116,спр_Работы!$A$2:$A$6000,0)),"")</f>
        <v/>
      </c>
      <c r="G1116">
        <f>IFERROR(INDEX(спр_Работы!$K$2:$K$6000,MATCH($C1116,спр_Работы!$A$2:$A$6000,0)),"")</f>
        <v/>
      </c>
      <c r="H1116" s="9" t="n"/>
      <c r="I1116" s="9" t="n"/>
      <c r="J1116" s="8">
        <f>IFERROR(INDEX(спр_Материалы!$B$2:$B$9000,MATCH($I1116,спр_Материалы!$A$2:$A$9000,0)),"")</f>
        <v/>
      </c>
      <c r="K1116">
        <f>IF($I1116="","",IF($F1116=IFERROR(INDEX(спр_Материалы!$G$2:$G$9000,MATCH($I1116,спр_Материалы!$A$2:$A$9000,0)),""),"OK","!! не та группа"))</f>
        <v/>
      </c>
      <c r="L1116" s="10">
        <f>IFERROR(INDEX(спр_Работы!$H$2:$H$6000,MATCH($C1116,спр_Работы!$A$2:$A$6000,0))*(1-ДисконтТендер),0)</f>
        <v/>
      </c>
      <c r="M1116" s="10">
        <f>IF($I1116="",0,IFERROR(INDEX(спр_Материалы!$I$2:$I$9000,MATCH($I1116,спр_Материалы!$A$2:$A$9000,0))*IF(INDEX(спр_Материалы!$J$2:$J$9000,MATCH($I1116,спр_Материалы!$A$2:$A$9000,0))="USD",КурсUSD,IF(INDEX(спр_Материалы!$J$2:$J$9000,MATCH($I1116,спр_Материалы!$A$2:$A$9000,0))="EUR",КурсEUR,1))*INDEX(спр_Материалы!$K$2:$K$9000,MATCH($I1116,спр_Материалы!$A$2:$A$9000,0))*(1+IFERROR(INDEX(спр_Работы!$I$2:$I$6000,MATCH($C1116,спр_Работы!$A$2:$A$6000,0))/100,0))*(1-ДисконтТендер),0))</f>
        <v/>
      </c>
      <c r="N1116" s="10">
        <f>IF(AND($R1116="да",$H1116&lt;&gt;""),ROUND($H1116*$L1116,2),0)</f>
        <v/>
      </c>
      <c r="O1116" s="10">
        <f>IF(AND($R1116="да",$H1116&lt;&gt;""),ROUND($H1116*$M1116,2),0)</f>
        <v/>
      </c>
      <c r="P1116" s="10">
        <f>$N1116+$O1116</f>
        <v/>
      </c>
      <c r="Q1116">
        <f>IFERROR(INDEX(спр_Работы!$J$2:$J$6000,MATCH($C1116,спр_Работы!$A$2:$A$6000,0)),"")</f>
        <v/>
      </c>
      <c r="R1116" t="inlineStr">
        <is>
          <t>да</t>
        </is>
      </c>
      <c r="T1116">
        <f>IF(AND($P1116&gt;0,$R1116="да"),MAX($T$1:$T1115)+1,"")</f>
        <v/>
      </c>
    </row>
    <row r="1117">
      <c r="A1117" s="11">
        <f>IFERROR(INDEX(спр_Работы!$D$2:$D$6000,MATCH($C1117,спр_Работы!$A$2:$A$6000,0)),"")</f>
        <v/>
      </c>
      <c r="B1117">
        <f>IFERROR(INDEX(спр_Работы!$F$2:$F$6000,MATCH($C1117,спр_Работы!$A$2:$A$6000,0)),"")</f>
        <v/>
      </c>
      <c r="C1117">
        <f>IFERROR(INDEX(спр_Работы!$A$2:$A$6000,1116),"")</f>
        <v/>
      </c>
      <c r="D1117" s="8">
        <f>IFERROR(INDEX(спр_Работы!$B$2:$B$6000,MATCH($C1117,спр_Работы!$A$2:$A$6000,0)),"")</f>
        <v/>
      </c>
      <c r="E1117">
        <f>IFERROR(INDEX(спр_Работы!$C$2:$C$6000,MATCH($C1117,спр_Работы!$A$2:$A$6000,0)),"")</f>
        <v/>
      </c>
      <c r="F1117">
        <f>IFERROR(INDEX(спр_Работы!$G$2:$G$6000,MATCH($C1117,спр_Работы!$A$2:$A$6000,0)),"")</f>
        <v/>
      </c>
      <c r="G1117">
        <f>IFERROR(INDEX(спр_Работы!$K$2:$K$6000,MATCH($C1117,спр_Работы!$A$2:$A$6000,0)),"")</f>
        <v/>
      </c>
      <c r="H1117" s="9" t="n"/>
      <c r="I1117" s="9" t="n"/>
      <c r="J1117" s="8">
        <f>IFERROR(INDEX(спр_Материалы!$B$2:$B$9000,MATCH($I1117,спр_Материалы!$A$2:$A$9000,0)),"")</f>
        <v/>
      </c>
      <c r="K1117">
        <f>IF($I1117="","",IF($F1117=IFERROR(INDEX(спр_Материалы!$G$2:$G$9000,MATCH($I1117,спр_Материалы!$A$2:$A$9000,0)),""),"OK","!! не та группа"))</f>
        <v/>
      </c>
      <c r="L1117" s="10">
        <f>IFERROR(INDEX(спр_Работы!$H$2:$H$6000,MATCH($C1117,спр_Работы!$A$2:$A$6000,0))*(1-ДисконтТендер),0)</f>
        <v/>
      </c>
      <c r="M1117" s="10">
        <f>IF($I1117="",0,IFERROR(INDEX(спр_Материалы!$I$2:$I$9000,MATCH($I1117,спр_Материалы!$A$2:$A$9000,0))*IF(INDEX(спр_Материалы!$J$2:$J$9000,MATCH($I1117,спр_Материалы!$A$2:$A$9000,0))="USD",КурсUSD,IF(INDEX(спр_Материалы!$J$2:$J$9000,MATCH($I1117,спр_Материалы!$A$2:$A$9000,0))="EUR",КурсEUR,1))*INDEX(спр_Материалы!$K$2:$K$9000,MATCH($I1117,спр_Материалы!$A$2:$A$9000,0))*(1+IFERROR(INDEX(спр_Работы!$I$2:$I$6000,MATCH($C1117,спр_Работы!$A$2:$A$6000,0))/100,0))*(1-ДисконтТендер),0))</f>
        <v/>
      </c>
      <c r="N1117" s="10">
        <f>IF(AND($R1117="да",$H1117&lt;&gt;""),ROUND($H1117*$L1117,2),0)</f>
        <v/>
      </c>
      <c r="O1117" s="10">
        <f>IF(AND($R1117="да",$H1117&lt;&gt;""),ROUND($H1117*$M1117,2),0)</f>
        <v/>
      </c>
      <c r="P1117" s="10">
        <f>$N1117+$O1117</f>
        <v/>
      </c>
      <c r="Q1117">
        <f>IFERROR(INDEX(спр_Работы!$J$2:$J$6000,MATCH($C1117,спр_Работы!$A$2:$A$6000,0)),"")</f>
        <v/>
      </c>
      <c r="R1117" t="inlineStr">
        <is>
          <t>да</t>
        </is>
      </c>
      <c r="T1117">
        <f>IF(AND($P1117&gt;0,$R1117="да"),MAX($T$1:$T1116)+1,"")</f>
        <v/>
      </c>
    </row>
    <row r="1118">
      <c r="A1118" s="11">
        <f>IFERROR(INDEX(спр_Работы!$D$2:$D$6000,MATCH($C1118,спр_Работы!$A$2:$A$6000,0)),"")</f>
        <v/>
      </c>
      <c r="B1118">
        <f>IFERROR(INDEX(спр_Работы!$F$2:$F$6000,MATCH($C1118,спр_Работы!$A$2:$A$6000,0)),"")</f>
        <v/>
      </c>
      <c r="C1118">
        <f>IFERROR(INDEX(спр_Работы!$A$2:$A$6000,1117),"")</f>
        <v/>
      </c>
      <c r="D1118" s="8">
        <f>IFERROR(INDEX(спр_Работы!$B$2:$B$6000,MATCH($C1118,спр_Работы!$A$2:$A$6000,0)),"")</f>
        <v/>
      </c>
      <c r="E1118">
        <f>IFERROR(INDEX(спр_Работы!$C$2:$C$6000,MATCH($C1118,спр_Работы!$A$2:$A$6000,0)),"")</f>
        <v/>
      </c>
      <c r="F1118">
        <f>IFERROR(INDEX(спр_Работы!$G$2:$G$6000,MATCH($C1118,спр_Работы!$A$2:$A$6000,0)),"")</f>
        <v/>
      </c>
      <c r="G1118">
        <f>IFERROR(INDEX(спр_Работы!$K$2:$K$6000,MATCH($C1118,спр_Работы!$A$2:$A$6000,0)),"")</f>
        <v/>
      </c>
      <c r="H1118" s="9" t="n"/>
      <c r="I1118" s="9" t="n"/>
      <c r="J1118" s="8">
        <f>IFERROR(INDEX(спр_Материалы!$B$2:$B$9000,MATCH($I1118,спр_Материалы!$A$2:$A$9000,0)),"")</f>
        <v/>
      </c>
      <c r="K1118">
        <f>IF($I1118="","",IF($F1118=IFERROR(INDEX(спр_Материалы!$G$2:$G$9000,MATCH($I1118,спр_Материалы!$A$2:$A$9000,0)),""),"OK","!! не та группа"))</f>
        <v/>
      </c>
      <c r="L1118" s="10">
        <f>IFERROR(INDEX(спр_Работы!$H$2:$H$6000,MATCH($C1118,спр_Работы!$A$2:$A$6000,0))*(1-ДисконтТендер),0)</f>
        <v/>
      </c>
      <c r="M1118" s="10">
        <f>IF($I1118="",0,IFERROR(INDEX(спр_Материалы!$I$2:$I$9000,MATCH($I1118,спр_Материалы!$A$2:$A$9000,0))*IF(INDEX(спр_Материалы!$J$2:$J$9000,MATCH($I1118,спр_Материалы!$A$2:$A$9000,0))="USD",КурсUSD,IF(INDEX(спр_Материалы!$J$2:$J$9000,MATCH($I1118,спр_Материалы!$A$2:$A$9000,0))="EUR",КурсEUR,1))*INDEX(спр_Материалы!$K$2:$K$9000,MATCH($I1118,спр_Материалы!$A$2:$A$9000,0))*(1+IFERROR(INDEX(спр_Работы!$I$2:$I$6000,MATCH($C1118,спр_Работы!$A$2:$A$6000,0))/100,0))*(1-ДисконтТендер),0))</f>
        <v/>
      </c>
      <c r="N1118" s="10">
        <f>IF(AND($R1118="да",$H1118&lt;&gt;""),ROUND($H1118*$L1118,2),0)</f>
        <v/>
      </c>
      <c r="O1118" s="10">
        <f>IF(AND($R1118="да",$H1118&lt;&gt;""),ROUND($H1118*$M1118,2),0)</f>
        <v/>
      </c>
      <c r="P1118" s="10">
        <f>$N1118+$O1118</f>
        <v/>
      </c>
      <c r="Q1118">
        <f>IFERROR(INDEX(спр_Работы!$J$2:$J$6000,MATCH($C1118,спр_Работы!$A$2:$A$6000,0)),"")</f>
        <v/>
      </c>
      <c r="R1118" t="inlineStr">
        <is>
          <t>да</t>
        </is>
      </c>
      <c r="T1118">
        <f>IF(AND($P1118&gt;0,$R1118="да"),MAX($T$1:$T1117)+1,"")</f>
        <v/>
      </c>
    </row>
    <row r="1119">
      <c r="A1119" s="11">
        <f>IFERROR(INDEX(спр_Работы!$D$2:$D$6000,MATCH($C1119,спр_Работы!$A$2:$A$6000,0)),"")</f>
        <v/>
      </c>
      <c r="B1119">
        <f>IFERROR(INDEX(спр_Работы!$F$2:$F$6000,MATCH($C1119,спр_Работы!$A$2:$A$6000,0)),"")</f>
        <v/>
      </c>
      <c r="C1119">
        <f>IFERROR(INDEX(спр_Работы!$A$2:$A$6000,1118),"")</f>
        <v/>
      </c>
      <c r="D1119" s="8">
        <f>IFERROR(INDEX(спр_Работы!$B$2:$B$6000,MATCH($C1119,спр_Работы!$A$2:$A$6000,0)),"")</f>
        <v/>
      </c>
      <c r="E1119">
        <f>IFERROR(INDEX(спр_Работы!$C$2:$C$6000,MATCH($C1119,спр_Работы!$A$2:$A$6000,0)),"")</f>
        <v/>
      </c>
      <c r="F1119">
        <f>IFERROR(INDEX(спр_Работы!$G$2:$G$6000,MATCH($C1119,спр_Работы!$A$2:$A$6000,0)),"")</f>
        <v/>
      </c>
      <c r="G1119">
        <f>IFERROR(INDEX(спр_Работы!$K$2:$K$6000,MATCH($C1119,спр_Работы!$A$2:$A$6000,0)),"")</f>
        <v/>
      </c>
      <c r="H1119" s="9" t="n"/>
      <c r="I1119" s="9" t="n"/>
      <c r="J1119" s="8">
        <f>IFERROR(INDEX(спр_Материалы!$B$2:$B$9000,MATCH($I1119,спр_Материалы!$A$2:$A$9000,0)),"")</f>
        <v/>
      </c>
      <c r="K1119">
        <f>IF($I1119="","",IF($F1119=IFERROR(INDEX(спр_Материалы!$G$2:$G$9000,MATCH($I1119,спр_Материалы!$A$2:$A$9000,0)),""),"OK","!! не та группа"))</f>
        <v/>
      </c>
      <c r="L1119" s="10">
        <f>IFERROR(INDEX(спр_Работы!$H$2:$H$6000,MATCH($C1119,спр_Работы!$A$2:$A$6000,0))*(1-ДисконтТендер),0)</f>
        <v/>
      </c>
      <c r="M1119" s="10">
        <f>IF($I1119="",0,IFERROR(INDEX(спр_Материалы!$I$2:$I$9000,MATCH($I1119,спр_Материалы!$A$2:$A$9000,0))*IF(INDEX(спр_Материалы!$J$2:$J$9000,MATCH($I1119,спр_Материалы!$A$2:$A$9000,0))="USD",КурсUSD,IF(INDEX(спр_Материалы!$J$2:$J$9000,MATCH($I1119,спр_Материалы!$A$2:$A$9000,0))="EUR",КурсEUR,1))*INDEX(спр_Материалы!$K$2:$K$9000,MATCH($I1119,спр_Материалы!$A$2:$A$9000,0))*(1+IFERROR(INDEX(спр_Работы!$I$2:$I$6000,MATCH($C1119,спр_Работы!$A$2:$A$6000,0))/100,0))*(1-ДисконтТендер),0))</f>
        <v/>
      </c>
      <c r="N1119" s="10">
        <f>IF(AND($R1119="да",$H1119&lt;&gt;""),ROUND($H1119*$L1119,2),0)</f>
        <v/>
      </c>
      <c r="O1119" s="10">
        <f>IF(AND($R1119="да",$H1119&lt;&gt;""),ROUND($H1119*$M1119,2),0)</f>
        <v/>
      </c>
      <c r="P1119" s="10">
        <f>$N1119+$O1119</f>
        <v/>
      </c>
      <c r="Q1119">
        <f>IFERROR(INDEX(спр_Работы!$J$2:$J$6000,MATCH($C1119,спр_Работы!$A$2:$A$6000,0)),"")</f>
        <v/>
      </c>
      <c r="R1119" t="inlineStr">
        <is>
          <t>да</t>
        </is>
      </c>
      <c r="T1119">
        <f>IF(AND($P1119&gt;0,$R1119="да"),MAX($T$1:$T1118)+1,"")</f>
        <v/>
      </c>
    </row>
    <row r="1120">
      <c r="A1120" s="11">
        <f>IFERROR(INDEX(спр_Работы!$D$2:$D$6000,MATCH($C1120,спр_Работы!$A$2:$A$6000,0)),"")</f>
        <v/>
      </c>
      <c r="B1120">
        <f>IFERROR(INDEX(спр_Работы!$F$2:$F$6000,MATCH($C1120,спр_Работы!$A$2:$A$6000,0)),"")</f>
        <v/>
      </c>
      <c r="C1120">
        <f>IFERROR(INDEX(спр_Работы!$A$2:$A$6000,1119),"")</f>
        <v/>
      </c>
      <c r="D1120" s="8">
        <f>IFERROR(INDEX(спр_Работы!$B$2:$B$6000,MATCH($C1120,спр_Работы!$A$2:$A$6000,0)),"")</f>
        <v/>
      </c>
      <c r="E1120">
        <f>IFERROR(INDEX(спр_Работы!$C$2:$C$6000,MATCH($C1120,спр_Работы!$A$2:$A$6000,0)),"")</f>
        <v/>
      </c>
      <c r="F1120">
        <f>IFERROR(INDEX(спр_Работы!$G$2:$G$6000,MATCH($C1120,спр_Работы!$A$2:$A$6000,0)),"")</f>
        <v/>
      </c>
      <c r="G1120">
        <f>IFERROR(INDEX(спр_Работы!$K$2:$K$6000,MATCH($C1120,спр_Работы!$A$2:$A$6000,0)),"")</f>
        <v/>
      </c>
      <c r="H1120" s="9" t="n"/>
      <c r="I1120" s="9" t="n"/>
      <c r="J1120" s="8">
        <f>IFERROR(INDEX(спр_Материалы!$B$2:$B$9000,MATCH($I1120,спр_Материалы!$A$2:$A$9000,0)),"")</f>
        <v/>
      </c>
      <c r="K1120">
        <f>IF($I1120="","",IF($F1120=IFERROR(INDEX(спр_Материалы!$G$2:$G$9000,MATCH($I1120,спр_Материалы!$A$2:$A$9000,0)),""),"OK","!! не та группа"))</f>
        <v/>
      </c>
      <c r="L1120" s="10">
        <f>IFERROR(INDEX(спр_Работы!$H$2:$H$6000,MATCH($C1120,спр_Работы!$A$2:$A$6000,0))*(1-ДисконтТендер),0)</f>
        <v/>
      </c>
      <c r="M1120" s="10">
        <f>IF($I1120="",0,IFERROR(INDEX(спр_Материалы!$I$2:$I$9000,MATCH($I1120,спр_Материалы!$A$2:$A$9000,0))*IF(INDEX(спр_Материалы!$J$2:$J$9000,MATCH($I1120,спр_Материалы!$A$2:$A$9000,0))="USD",КурсUSD,IF(INDEX(спр_Материалы!$J$2:$J$9000,MATCH($I1120,спр_Материалы!$A$2:$A$9000,0))="EUR",КурсEUR,1))*INDEX(спр_Материалы!$K$2:$K$9000,MATCH($I1120,спр_Материалы!$A$2:$A$9000,0))*(1+IFERROR(INDEX(спр_Работы!$I$2:$I$6000,MATCH($C1120,спр_Работы!$A$2:$A$6000,0))/100,0))*(1-ДисконтТендер),0))</f>
        <v/>
      </c>
      <c r="N1120" s="10">
        <f>IF(AND($R1120="да",$H1120&lt;&gt;""),ROUND($H1120*$L1120,2),0)</f>
        <v/>
      </c>
      <c r="O1120" s="10">
        <f>IF(AND($R1120="да",$H1120&lt;&gt;""),ROUND($H1120*$M1120,2),0)</f>
        <v/>
      </c>
      <c r="P1120" s="10">
        <f>$N1120+$O1120</f>
        <v/>
      </c>
      <c r="Q1120">
        <f>IFERROR(INDEX(спр_Работы!$J$2:$J$6000,MATCH($C1120,спр_Работы!$A$2:$A$6000,0)),"")</f>
        <v/>
      </c>
      <c r="R1120" t="inlineStr">
        <is>
          <t>да</t>
        </is>
      </c>
      <c r="T1120">
        <f>IF(AND($P1120&gt;0,$R1120="да"),MAX($T$1:$T1119)+1,"")</f>
        <v/>
      </c>
    </row>
    <row r="1121">
      <c r="A1121" s="11">
        <f>IFERROR(INDEX(спр_Работы!$D$2:$D$6000,MATCH($C1121,спр_Работы!$A$2:$A$6000,0)),"")</f>
        <v/>
      </c>
      <c r="B1121">
        <f>IFERROR(INDEX(спр_Работы!$F$2:$F$6000,MATCH($C1121,спр_Работы!$A$2:$A$6000,0)),"")</f>
        <v/>
      </c>
      <c r="C1121">
        <f>IFERROR(INDEX(спр_Работы!$A$2:$A$6000,1120),"")</f>
        <v/>
      </c>
      <c r="D1121" s="8">
        <f>IFERROR(INDEX(спр_Работы!$B$2:$B$6000,MATCH($C1121,спр_Работы!$A$2:$A$6000,0)),"")</f>
        <v/>
      </c>
      <c r="E1121">
        <f>IFERROR(INDEX(спр_Работы!$C$2:$C$6000,MATCH($C1121,спр_Работы!$A$2:$A$6000,0)),"")</f>
        <v/>
      </c>
      <c r="F1121">
        <f>IFERROR(INDEX(спр_Работы!$G$2:$G$6000,MATCH($C1121,спр_Работы!$A$2:$A$6000,0)),"")</f>
        <v/>
      </c>
      <c r="G1121">
        <f>IFERROR(INDEX(спр_Работы!$K$2:$K$6000,MATCH($C1121,спр_Работы!$A$2:$A$6000,0)),"")</f>
        <v/>
      </c>
      <c r="H1121" s="9" t="n"/>
      <c r="I1121" s="9" t="n"/>
      <c r="J1121" s="8">
        <f>IFERROR(INDEX(спр_Материалы!$B$2:$B$9000,MATCH($I1121,спр_Материалы!$A$2:$A$9000,0)),"")</f>
        <v/>
      </c>
      <c r="K1121">
        <f>IF($I1121="","",IF($F1121=IFERROR(INDEX(спр_Материалы!$G$2:$G$9000,MATCH($I1121,спр_Материалы!$A$2:$A$9000,0)),""),"OK","!! не та группа"))</f>
        <v/>
      </c>
      <c r="L1121" s="10">
        <f>IFERROR(INDEX(спр_Работы!$H$2:$H$6000,MATCH($C1121,спр_Работы!$A$2:$A$6000,0))*(1-ДисконтТендер),0)</f>
        <v/>
      </c>
      <c r="M1121" s="10">
        <f>IF($I1121="",0,IFERROR(INDEX(спр_Материалы!$I$2:$I$9000,MATCH($I1121,спр_Материалы!$A$2:$A$9000,0))*IF(INDEX(спр_Материалы!$J$2:$J$9000,MATCH($I1121,спр_Материалы!$A$2:$A$9000,0))="USD",КурсUSD,IF(INDEX(спр_Материалы!$J$2:$J$9000,MATCH($I1121,спр_Материалы!$A$2:$A$9000,0))="EUR",КурсEUR,1))*INDEX(спр_Материалы!$K$2:$K$9000,MATCH($I1121,спр_Материалы!$A$2:$A$9000,0))*(1+IFERROR(INDEX(спр_Работы!$I$2:$I$6000,MATCH($C1121,спр_Работы!$A$2:$A$6000,0))/100,0))*(1-ДисконтТендер),0))</f>
        <v/>
      </c>
      <c r="N1121" s="10">
        <f>IF(AND($R1121="да",$H1121&lt;&gt;""),ROUND($H1121*$L1121,2),0)</f>
        <v/>
      </c>
      <c r="O1121" s="10">
        <f>IF(AND($R1121="да",$H1121&lt;&gt;""),ROUND($H1121*$M1121,2),0)</f>
        <v/>
      </c>
      <c r="P1121" s="10">
        <f>$N1121+$O1121</f>
        <v/>
      </c>
      <c r="Q1121">
        <f>IFERROR(INDEX(спр_Работы!$J$2:$J$6000,MATCH($C1121,спр_Работы!$A$2:$A$6000,0)),"")</f>
        <v/>
      </c>
      <c r="R1121" t="inlineStr">
        <is>
          <t>да</t>
        </is>
      </c>
      <c r="T1121">
        <f>IF(AND($P1121&gt;0,$R1121="да"),MAX($T$1:$T1120)+1,"")</f>
        <v/>
      </c>
    </row>
    <row r="1122">
      <c r="A1122" s="11">
        <f>IFERROR(INDEX(спр_Работы!$D$2:$D$6000,MATCH($C1122,спр_Работы!$A$2:$A$6000,0)),"")</f>
        <v/>
      </c>
      <c r="B1122">
        <f>IFERROR(INDEX(спр_Работы!$F$2:$F$6000,MATCH($C1122,спр_Работы!$A$2:$A$6000,0)),"")</f>
        <v/>
      </c>
      <c r="C1122">
        <f>IFERROR(INDEX(спр_Работы!$A$2:$A$6000,1121),"")</f>
        <v/>
      </c>
      <c r="D1122" s="8">
        <f>IFERROR(INDEX(спр_Работы!$B$2:$B$6000,MATCH($C1122,спр_Работы!$A$2:$A$6000,0)),"")</f>
        <v/>
      </c>
      <c r="E1122">
        <f>IFERROR(INDEX(спр_Работы!$C$2:$C$6000,MATCH($C1122,спр_Работы!$A$2:$A$6000,0)),"")</f>
        <v/>
      </c>
      <c r="F1122">
        <f>IFERROR(INDEX(спр_Работы!$G$2:$G$6000,MATCH($C1122,спр_Работы!$A$2:$A$6000,0)),"")</f>
        <v/>
      </c>
      <c r="G1122">
        <f>IFERROR(INDEX(спр_Работы!$K$2:$K$6000,MATCH($C1122,спр_Работы!$A$2:$A$6000,0)),"")</f>
        <v/>
      </c>
      <c r="H1122" s="9" t="n"/>
      <c r="I1122" s="9" t="n"/>
      <c r="J1122" s="8">
        <f>IFERROR(INDEX(спр_Материалы!$B$2:$B$9000,MATCH($I1122,спр_Материалы!$A$2:$A$9000,0)),"")</f>
        <v/>
      </c>
      <c r="K1122">
        <f>IF($I1122="","",IF($F1122=IFERROR(INDEX(спр_Материалы!$G$2:$G$9000,MATCH($I1122,спр_Материалы!$A$2:$A$9000,0)),""),"OK","!! не та группа"))</f>
        <v/>
      </c>
      <c r="L1122" s="10">
        <f>IFERROR(INDEX(спр_Работы!$H$2:$H$6000,MATCH($C1122,спр_Работы!$A$2:$A$6000,0))*(1-ДисконтТендер),0)</f>
        <v/>
      </c>
      <c r="M1122" s="10">
        <f>IF($I1122="",0,IFERROR(INDEX(спр_Материалы!$I$2:$I$9000,MATCH($I1122,спр_Материалы!$A$2:$A$9000,0))*IF(INDEX(спр_Материалы!$J$2:$J$9000,MATCH($I1122,спр_Материалы!$A$2:$A$9000,0))="USD",КурсUSD,IF(INDEX(спр_Материалы!$J$2:$J$9000,MATCH($I1122,спр_Материалы!$A$2:$A$9000,0))="EUR",КурсEUR,1))*INDEX(спр_Материалы!$K$2:$K$9000,MATCH($I1122,спр_Материалы!$A$2:$A$9000,0))*(1+IFERROR(INDEX(спр_Работы!$I$2:$I$6000,MATCH($C1122,спр_Работы!$A$2:$A$6000,0))/100,0))*(1-ДисконтТендер),0))</f>
        <v/>
      </c>
      <c r="N1122" s="10">
        <f>IF(AND($R1122="да",$H1122&lt;&gt;""),ROUND($H1122*$L1122,2),0)</f>
        <v/>
      </c>
      <c r="O1122" s="10">
        <f>IF(AND($R1122="да",$H1122&lt;&gt;""),ROUND($H1122*$M1122,2),0)</f>
        <v/>
      </c>
      <c r="P1122" s="10">
        <f>$N1122+$O1122</f>
        <v/>
      </c>
      <c r="Q1122">
        <f>IFERROR(INDEX(спр_Работы!$J$2:$J$6000,MATCH($C1122,спр_Работы!$A$2:$A$6000,0)),"")</f>
        <v/>
      </c>
      <c r="R1122" t="inlineStr">
        <is>
          <t>да</t>
        </is>
      </c>
      <c r="T1122">
        <f>IF(AND($P1122&gt;0,$R1122="да"),MAX($T$1:$T1121)+1,"")</f>
        <v/>
      </c>
    </row>
    <row r="1123">
      <c r="A1123" s="11">
        <f>IFERROR(INDEX(спр_Работы!$D$2:$D$6000,MATCH($C1123,спр_Работы!$A$2:$A$6000,0)),"")</f>
        <v/>
      </c>
      <c r="B1123">
        <f>IFERROR(INDEX(спр_Работы!$F$2:$F$6000,MATCH($C1123,спр_Работы!$A$2:$A$6000,0)),"")</f>
        <v/>
      </c>
      <c r="C1123">
        <f>IFERROR(INDEX(спр_Работы!$A$2:$A$6000,1122),"")</f>
        <v/>
      </c>
      <c r="D1123" s="8">
        <f>IFERROR(INDEX(спр_Работы!$B$2:$B$6000,MATCH($C1123,спр_Работы!$A$2:$A$6000,0)),"")</f>
        <v/>
      </c>
      <c r="E1123">
        <f>IFERROR(INDEX(спр_Работы!$C$2:$C$6000,MATCH($C1123,спр_Работы!$A$2:$A$6000,0)),"")</f>
        <v/>
      </c>
      <c r="F1123">
        <f>IFERROR(INDEX(спр_Работы!$G$2:$G$6000,MATCH($C1123,спр_Работы!$A$2:$A$6000,0)),"")</f>
        <v/>
      </c>
      <c r="G1123">
        <f>IFERROR(INDEX(спр_Работы!$K$2:$K$6000,MATCH($C1123,спр_Работы!$A$2:$A$6000,0)),"")</f>
        <v/>
      </c>
      <c r="H1123" s="9" t="n"/>
      <c r="I1123" s="9" t="n"/>
      <c r="J1123" s="8">
        <f>IFERROR(INDEX(спр_Материалы!$B$2:$B$9000,MATCH($I1123,спр_Материалы!$A$2:$A$9000,0)),"")</f>
        <v/>
      </c>
      <c r="K1123">
        <f>IF($I1123="","",IF($F1123=IFERROR(INDEX(спр_Материалы!$G$2:$G$9000,MATCH($I1123,спр_Материалы!$A$2:$A$9000,0)),""),"OK","!! не та группа"))</f>
        <v/>
      </c>
      <c r="L1123" s="10">
        <f>IFERROR(INDEX(спр_Работы!$H$2:$H$6000,MATCH($C1123,спр_Работы!$A$2:$A$6000,0))*(1-ДисконтТендер),0)</f>
        <v/>
      </c>
      <c r="M1123" s="10">
        <f>IF($I1123="",0,IFERROR(INDEX(спр_Материалы!$I$2:$I$9000,MATCH($I1123,спр_Материалы!$A$2:$A$9000,0))*IF(INDEX(спр_Материалы!$J$2:$J$9000,MATCH($I1123,спр_Материалы!$A$2:$A$9000,0))="USD",КурсUSD,IF(INDEX(спр_Материалы!$J$2:$J$9000,MATCH($I1123,спр_Материалы!$A$2:$A$9000,0))="EUR",КурсEUR,1))*INDEX(спр_Материалы!$K$2:$K$9000,MATCH($I1123,спр_Материалы!$A$2:$A$9000,0))*(1+IFERROR(INDEX(спр_Работы!$I$2:$I$6000,MATCH($C1123,спр_Работы!$A$2:$A$6000,0))/100,0))*(1-ДисконтТендер),0))</f>
        <v/>
      </c>
      <c r="N1123" s="10">
        <f>IF(AND($R1123="да",$H1123&lt;&gt;""),ROUND($H1123*$L1123,2),0)</f>
        <v/>
      </c>
      <c r="O1123" s="10">
        <f>IF(AND($R1123="да",$H1123&lt;&gt;""),ROUND($H1123*$M1123,2),0)</f>
        <v/>
      </c>
      <c r="P1123" s="10">
        <f>$N1123+$O1123</f>
        <v/>
      </c>
      <c r="Q1123">
        <f>IFERROR(INDEX(спр_Работы!$J$2:$J$6000,MATCH($C1123,спр_Работы!$A$2:$A$6000,0)),"")</f>
        <v/>
      </c>
      <c r="R1123" t="inlineStr">
        <is>
          <t>да</t>
        </is>
      </c>
      <c r="T1123">
        <f>IF(AND($P1123&gt;0,$R1123="да"),MAX($T$1:$T1122)+1,"")</f>
        <v/>
      </c>
    </row>
    <row r="1124">
      <c r="A1124" s="11">
        <f>IFERROR(INDEX(спр_Работы!$D$2:$D$6000,MATCH($C1124,спр_Работы!$A$2:$A$6000,0)),"")</f>
        <v/>
      </c>
      <c r="B1124">
        <f>IFERROR(INDEX(спр_Работы!$F$2:$F$6000,MATCH($C1124,спр_Работы!$A$2:$A$6000,0)),"")</f>
        <v/>
      </c>
      <c r="C1124">
        <f>IFERROR(INDEX(спр_Работы!$A$2:$A$6000,1123),"")</f>
        <v/>
      </c>
      <c r="D1124" s="8">
        <f>IFERROR(INDEX(спр_Работы!$B$2:$B$6000,MATCH($C1124,спр_Работы!$A$2:$A$6000,0)),"")</f>
        <v/>
      </c>
      <c r="E1124">
        <f>IFERROR(INDEX(спр_Работы!$C$2:$C$6000,MATCH($C1124,спр_Работы!$A$2:$A$6000,0)),"")</f>
        <v/>
      </c>
      <c r="F1124">
        <f>IFERROR(INDEX(спр_Работы!$G$2:$G$6000,MATCH($C1124,спр_Работы!$A$2:$A$6000,0)),"")</f>
        <v/>
      </c>
      <c r="G1124">
        <f>IFERROR(INDEX(спр_Работы!$K$2:$K$6000,MATCH($C1124,спр_Работы!$A$2:$A$6000,0)),"")</f>
        <v/>
      </c>
      <c r="H1124" s="9" t="n"/>
      <c r="I1124" s="9" t="n"/>
      <c r="J1124" s="8">
        <f>IFERROR(INDEX(спр_Материалы!$B$2:$B$9000,MATCH($I1124,спр_Материалы!$A$2:$A$9000,0)),"")</f>
        <v/>
      </c>
      <c r="K1124">
        <f>IF($I1124="","",IF($F1124=IFERROR(INDEX(спр_Материалы!$G$2:$G$9000,MATCH($I1124,спр_Материалы!$A$2:$A$9000,0)),""),"OK","!! не та группа"))</f>
        <v/>
      </c>
      <c r="L1124" s="10">
        <f>IFERROR(INDEX(спр_Работы!$H$2:$H$6000,MATCH($C1124,спр_Работы!$A$2:$A$6000,0))*(1-ДисконтТендер),0)</f>
        <v/>
      </c>
      <c r="M1124" s="10">
        <f>IF($I1124="",0,IFERROR(INDEX(спр_Материалы!$I$2:$I$9000,MATCH($I1124,спр_Материалы!$A$2:$A$9000,0))*IF(INDEX(спр_Материалы!$J$2:$J$9000,MATCH($I1124,спр_Материалы!$A$2:$A$9000,0))="USD",КурсUSD,IF(INDEX(спр_Материалы!$J$2:$J$9000,MATCH($I1124,спр_Материалы!$A$2:$A$9000,0))="EUR",КурсEUR,1))*INDEX(спр_Материалы!$K$2:$K$9000,MATCH($I1124,спр_Материалы!$A$2:$A$9000,0))*(1+IFERROR(INDEX(спр_Работы!$I$2:$I$6000,MATCH($C1124,спр_Работы!$A$2:$A$6000,0))/100,0))*(1-ДисконтТендер),0))</f>
        <v/>
      </c>
      <c r="N1124" s="10">
        <f>IF(AND($R1124="да",$H1124&lt;&gt;""),ROUND($H1124*$L1124,2),0)</f>
        <v/>
      </c>
      <c r="O1124" s="10">
        <f>IF(AND($R1124="да",$H1124&lt;&gt;""),ROUND($H1124*$M1124,2),0)</f>
        <v/>
      </c>
      <c r="P1124" s="10">
        <f>$N1124+$O1124</f>
        <v/>
      </c>
      <c r="Q1124">
        <f>IFERROR(INDEX(спр_Работы!$J$2:$J$6000,MATCH($C1124,спр_Работы!$A$2:$A$6000,0)),"")</f>
        <v/>
      </c>
      <c r="R1124" t="inlineStr">
        <is>
          <t>да</t>
        </is>
      </c>
      <c r="T1124">
        <f>IF(AND($P1124&gt;0,$R1124="да"),MAX($T$1:$T1123)+1,"")</f>
        <v/>
      </c>
    </row>
    <row r="1125">
      <c r="A1125" s="11">
        <f>IFERROR(INDEX(спр_Работы!$D$2:$D$6000,MATCH($C1125,спр_Работы!$A$2:$A$6000,0)),"")</f>
        <v/>
      </c>
      <c r="B1125">
        <f>IFERROR(INDEX(спр_Работы!$F$2:$F$6000,MATCH($C1125,спр_Работы!$A$2:$A$6000,0)),"")</f>
        <v/>
      </c>
      <c r="C1125">
        <f>IFERROR(INDEX(спр_Работы!$A$2:$A$6000,1124),"")</f>
        <v/>
      </c>
      <c r="D1125" s="8">
        <f>IFERROR(INDEX(спр_Работы!$B$2:$B$6000,MATCH($C1125,спр_Работы!$A$2:$A$6000,0)),"")</f>
        <v/>
      </c>
      <c r="E1125">
        <f>IFERROR(INDEX(спр_Работы!$C$2:$C$6000,MATCH($C1125,спр_Работы!$A$2:$A$6000,0)),"")</f>
        <v/>
      </c>
      <c r="F1125">
        <f>IFERROR(INDEX(спр_Работы!$G$2:$G$6000,MATCH($C1125,спр_Работы!$A$2:$A$6000,0)),"")</f>
        <v/>
      </c>
      <c r="G1125">
        <f>IFERROR(INDEX(спр_Работы!$K$2:$K$6000,MATCH($C1125,спр_Работы!$A$2:$A$6000,0)),"")</f>
        <v/>
      </c>
      <c r="H1125" s="9" t="n"/>
      <c r="I1125" s="9" t="n"/>
      <c r="J1125" s="8">
        <f>IFERROR(INDEX(спр_Материалы!$B$2:$B$9000,MATCH($I1125,спр_Материалы!$A$2:$A$9000,0)),"")</f>
        <v/>
      </c>
      <c r="K1125">
        <f>IF($I1125="","",IF($F1125=IFERROR(INDEX(спр_Материалы!$G$2:$G$9000,MATCH($I1125,спр_Материалы!$A$2:$A$9000,0)),""),"OK","!! не та группа"))</f>
        <v/>
      </c>
      <c r="L1125" s="10">
        <f>IFERROR(INDEX(спр_Работы!$H$2:$H$6000,MATCH($C1125,спр_Работы!$A$2:$A$6000,0))*(1-ДисконтТендер),0)</f>
        <v/>
      </c>
      <c r="M1125" s="10">
        <f>IF($I1125="",0,IFERROR(INDEX(спр_Материалы!$I$2:$I$9000,MATCH($I1125,спр_Материалы!$A$2:$A$9000,0))*IF(INDEX(спр_Материалы!$J$2:$J$9000,MATCH($I1125,спр_Материалы!$A$2:$A$9000,0))="USD",КурсUSD,IF(INDEX(спр_Материалы!$J$2:$J$9000,MATCH($I1125,спр_Материалы!$A$2:$A$9000,0))="EUR",КурсEUR,1))*INDEX(спр_Материалы!$K$2:$K$9000,MATCH($I1125,спр_Материалы!$A$2:$A$9000,0))*(1+IFERROR(INDEX(спр_Работы!$I$2:$I$6000,MATCH($C1125,спр_Работы!$A$2:$A$6000,0))/100,0))*(1-ДисконтТендер),0))</f>
        <v/>
      </c>
      <c r="N1125" s="10">
        <f>IF(AND($R1125="да",$H1125&lt;&gt;""),ROUND($H1125*$L1125,2),0)</f>
        <v/>
      </c>
      <c r="O1125" s="10">
        <f>IF(AND($R1125="да",$H1125&lt;&gt;""),ROUND($H1125*$M1125,2),0)</f>
        <v/>
      </c>
      <c r="P1125" s="10">
        <f>$N1125+$O1125</f>
        <v/>
      </c>
      <c r="Q1125">
        <f>IFERROR(INDEX(спр_Работы!$J$2:$J$6000,MATCH($C1125,спр_Работы!$A$2:$A$6000,0)),"")</f>
        <v/>
      </c>
      <c r="R1125" t="inlineStr">
        <is>
          <t>да</t>
        </is>
      </c>
      <c r="T1125">
        <f>IF(AND($P1125&gt;0,$R1125="да"),MAX($T$1:$T1124)+1,"")</f>
        <v/>
      </c>
    </row>
    <row r="1126">
      <c r="A1126" s="11">
        <f>IFERROR(INDEX(спр_Работы!$D$2:$D$6000,MATCH($C1126,спр_Работы!$A$2:$A$6000,0)),"")</f>
        <v/>
      </c>
      <c r="B1126">
        <f>IFERROR(INDEX(спр_Работы!$F$2:$F$6000,MATCH($C1126,спр_Работы!$A$2:$A$6000,0)),"")</f>
        <v/>
      </c>
      <c r="C1126">
        <f>IFERROR(INDEX(спр_Работы!$A$2:$A$6000,1125),"")</f>
        <v/>
      </c>
      <c r="D1126" s="8">
        <f>IFERROR(INDEX(спр_Работы!$B$2:$B$6000,MATCH($C1126,спр_Работы!$A$2:$A$6000,0)),"")</f>
        <v/>
      </c>
      <c r="E1126">
        <f>IFERROR(INDEX(спр_Работы!$C$2:$C$6000,MATCH($C1126,спр_Работы!$A$2:$A$6000,0)),"")</f>
        <v/>
      </c>
      <c r="F1126">
        <f>IFERROR(INDEX(спр_Работы!$G$2:$G$6000,MATCH($C1126,спр_Работы!$A$2:$A$6000,0)),"")</f>
        <v/>
      </c>
      <c r="G1126">
        <f>IFERROR(INDEX(спр_Работы!$K$2:$K$6000,MATCH($C1126,спр_Работы!$A$2:$A$6000,0)),"")</f>
        <v/>
      </c>
      <c r="H1126" s="9" t="n"/>
      <c r="I1126" s="9" t="n"/>
      <c r="J1126" s="8">
        <f>IFERROR(INDEX(спр_Материалы!$B$2:$B$9000,MATCH($I1126,спр_Материалы!$A$2:$A$9000,0)),"")</f>
        <v/>
      </c>
      <c r="K1126">
        <f>IF($I1126="","",IF($F1126=IFERROR(INDEX(спр_Материалы!$G$2:$G$9000,MATCH($I1126,спр_Материалы!$A$2:$A$9000,0)),""),"OK","!! не та группа"))</f>
        <v/>
      </c>
      <c r="L1126" s="10">
        <f>IFERROR(INDEX(спр_Работы!$H$2:$H$6000,MATCH($C1126,спр_Работы!$A$2:$A$6000,0))*(1-ДисконтТендер),0)</f>
        <v/>
      </c>
      <c r="M1126" s="10">
        <f>IF($I1126="",0,IFERROR(INDEX(спр_Материалы!$I$2:$I$9000,MATCH($I1126,спр_Материалы!$A$2:$A$9000,0))*IF(INDEX(спр_Материалы!$J$2:$J$9000,MATCH($I1126,спр_Материалы!$A$2:$A$9000,0))="USD",КурсUSD,IF(INDEX(спр_Материалы!$J$2:$J$9000,MATCH($I1126,спр_Материалы!$A$2:$A$9000,0))="EUR",КурсEUR,1))*INDEX(спр_Материалы!$K$2:$K$9000,MATCH($I1126,спр_Материалы!$A$2:$A$9000,0))*(1+IFERROR(INDEX(спр_Работы!$I$2:$I$6000,MATCH($C1126,спр_Работы!$A$2:$A$6000,0))/100,0))*(1-ДисконтТендер),0))</f>
        <v/>
      </c>
      <c r="N1126" s="10">
        <f>IF(AND($R1126="да",$H1126&lt;&gt;""),ROUND($H1126*$L1126,2),0)</f>
        <v/>
      </c>
      <c r="O1126" s="10">
        <f>IF(AND($R1126="да",$H1126&lt;&gt;""),ROUND($H1126*$M1126,2),0)</f>
        <v/>
      </c>
      <c r="P1126" s="10">
        <f>$N1126+$O1126</f>
        <v/>
      </c>
      <c r="Q1126">
        <f>IFERROR(INDEX(спр_Работы!$J$2:$J$6000,MATCH($C1126,спр_Работы!$A$2:$A$6000,0)),"")</f>
        <v/>
      </c>
      <c r="R1126" t="inlineStr">
        <is>
          <t>да</t>
        </is>
      </c>
      <c r="T1126">
        <f>IF(AND($P1126&gt;0,$R1126="да"),MAX($T$1:$T1125)+1,"")</f>
        <v/>
      </c>
    </row>
    <row r="1127">
      <c r="A1127" s="11">
        <f>IFERROR(INDEX(спр_Работы!$D$2:$D$6000,MATCH($C1127,спр_Работы!$A$2:$A$6000,0)),"")</f>
        <v/>
      </c>
      <c r="B1127">
        <f>IFERROR(INDEX(спр_Работы!$F$2:$F$6000,MATCH($C1127,спр_Работы!$A$2:$A$6000,0)),"")</f>
        <v/>
      </c>
      <c r="C1127">
        <f>IFERROR(INDEX(спр_Работы!$A$2:$A$6000,1126),"")</f>
        <v/>
      </c>
      <c r="D1127" s="8">
        <f>IFERROR(INDEX(спр_Работы!$B$2:$B$6000,MATCH($C1127,спр_Работы!$A$2:$A$6000,0)),"")</f>
        <v/>
      </c>
      <c r="E1127">
        <f>IFERROR(INDEX(спр_Работы!$C$2:$C$6000,MATCH($C1127,спр_Работы!$A$2:$A$6000,0)),"")</f>
        <v/>
      </c>
      <c r="F1127">
        <f>IFERROR(INDEX(спр_Работы!$G$2:$G$6000,MATCH($C1127,спр_Работы!$A$2:$A$6000,0)),"")</f>
        <v/>
      </c>
      <c r="G1127">
        <f>IFERROR(INDEX(спр_Работы!$K$2:$K$6000,MATCH($C1127,спр_Работы!$A$2:$A$6000,0)),"")</f>
        <v/>
      </c>
      <c r="H1127" s="9" t="n"/>
      <c r="I1127" s="9" t="n"/>
      <c r="J1127" s="8">
        <f>IFERROR(INDEX(спр_Материалы!$B$2:$B$9000,MATCH($I1127,спр_Материалы!$A$2:$A$9000,0)),"")</f>
        <v/>
      </c>
      <c r="K1127">
        <f>IF($I1127="","",IF($F1127=IFERROR(INDEX(спр_Материалы!$G$2:$G$9000,MATCH($I1127,спр_Материалы!$A$2:$A$9000,0)),""),"OK","!! не та группа"))</f>
        <v/>
      </c>
      <c r="L1127" s="10">
        <f>IFERROR(INDEX(спр_Работы!$H$2:$H$6000,MATCH($C1127,спр_Работы!$A$2:$A$6000,0))*(1-ДисконтТендер),0)</f>
        <v/>
      </c>
      <c r="M1127" s="10">
        <f>IF($I1127="",0,IFERROR(INDEX(спр_Материалы!$I$2:$I$9000,MATCH($I1127,спр_Материалы!$A$2:$A$9000,0))*IF(INDEX(спр_Материалы!$J$2:$J$9000,MATCH($I1127,спр_Материалы!$A$2:$A$9000,0))="USD",КурсUSD,IF(INDEX(спр_Материалы!$J$2:$J$9000,MATCH($I1127,спр_Материалы!$A$2:$A$9000,0))="EUR",КурсEUR,1))*INDEX(спр_Материалы!$K$2:$K$9000,MATCH($I1127,спр_Материалы!$A$2:$A$9000,0))*(1+IFERROR(INDEX(спр_Работы!$I$2:$I$6000,MATCH($C1127,спр_Работы!$A$2:$A$6000,0))/100,0))*(1-ДисконтТендер),0))</f>
        <v/>
      </c>
      <c r="N1127" s="10">
        <f>IF(AND($R1127="да",$H1127&lt;&gt;""),ROUND($H1127*$L1127,2),0)</f>
        <v/>
      </c>
      <c r="O1127" s="10">
        <f>IF(AND($R1127="да",$H1127&lt;&gt;""),ROUND($H1127*$M1127,2),0)</f>
        <v/>
      </c>
      <c r="P1127" s="10">
        <f>$N1127+$O1127</f>
        <v/>
      </c>
      <c r="Q1127">
        <f>IFERROR(INDEX(спр_Работы!$J$2:$J$6000,MATCH($C1127,спр_Работы!$A$2:$A$6000,0)),"")</f>
        <v/>
      </c>
      <c r="R1127" t="inlineStr">
        <is>
          <t>да</t>
        </is>
      </c>
      <c r="T1127">
        <f>IF(AND($P1127&gt;0,$R1127="да"),MAX($T$1:$T1126)+1,"")</f>
        <v/>
      </c>
    </row>
    <row r="1128">
      <c r="A1128" s="11">
        <f>IFERROR(INDEX(спр_Работы!$D$2:$D$6000,MATCH($C1128,спр_Работы!$A$2:$A$6000,0)),"")</f>
        <v/>
      </c>
      <c r="B1128">
        <f>IFERROR(INDEX(спр_Работы!$F$2:$F$6000,MATCH($C1128,спр_Работы!$A$2:$A$6000,0)),"")</f>
        <v/>
      </c>
      <c r="C1128">
        <f>IFERROR(INDEX(спр_Работы!$A$2:$A$6000,1127),"")</f>
        <v/>
      </c>
      <c r="D1128" s="8">
        <f>IFERROR(INDEX(спр_Работы!$B$2:$B$6000,MATCH($C1128,спр_Работы!$A$2:$A$6000,0)),"")</f>
        <v/>
      </c>
      <c r="E1128">
        <f>IFERROR(INDEX(спр_Работы!$C$2:$C$6000,MATCH($C1128,спр_Работы!$A$2:$A$6000,0)),"")</f>
        <v/>
      </c>
      <c r="F1128">
        <f>IFERROR(INDEX(спр_Работы!$G$2:$G$6000,MATCH($C1128,спр_Работы!$A$2:$A$6000,0)),"")</f>
        <v/>
      </c>
      <c r="G1128">
        <f>IFERROR(INDEX(спр_Работы!$K$2:$K$6000,MATCH($C1128,спр_Работы!$A$2:$A$6000,0)),"")</f>
        <v/>
      </c>
      <c r="H1128" s="9" t="n"/>
      <c r="I1128" s="9" t="n"/>
      <c r="J1128" s="8">
        <f>IFERROR(INDEX(спр_Материалы!$B$2:$B$9000,MATCH($I1128,спр_Материалы!$A$2:$A$9000,0)),"")</f>
        <v/>
      </c>
      <c r="K1128">
        <f>IF($I1128="","",IF($F1128=IFERROR(INDEX(спр_Материалы!$G$2:$G$9000,MATCH($I1128,спр_Материалы!$A$2:$A$9000,0)),""),"OK","!! не та группа"))</f>
        <v/>
      </c>
      <c r="L1128" s="10">
        <f>IFERROR(INDEX(спр_Работы!$H$2:$H$6000,MATCH($C1128,спр_Работы!$A$2:$A$6000,0))*(1-ДисконтТендер),0)</f>
        <v/>
      </c>
      <c r="M1128" s="10">
        <f>IF($I1128="",0,IFERROR(INDEX(спр_Материалы!$I$2:$I$9000,MATCH($I1128,спр_Материалы!$A$2:$A$9000,0))*IF(INDEX(спр_Материалы!$J$2:$J$9000,MATCH($I1128,спр_Материалы!$A$2:$A$9000,0))="USD",КурсUSD,IF(INDEX(спр_Материалы!$J$2:$J$9000,MATCH($I1128,спр_Материалы!$A$2:$A$9000,0))="EUR",КурсEUR,1))*INDEX(спр_Материалы!$K$2:$K$9000,MATCH($I1128,спр_Материалы!$A$2:$A$9000,0))*(1+IFERROR(INDEX(спр_Работы!$I$2:$I$6000,MATCH($C1128,спр_Работы!$A$2:$A$6000,0))/100,0))*(1-ДисконтТендер),0))</f>
        <v/>
      </c>
      <c r="N1128" s="10">
        <f>IF(AND($R1128="да",$H1128&lt;&gt;""),ROUND($H1128*$L1128,2),0)</f>
        <v/>
      </c>
      <c r="O1128" s="10">
        <f>IF(AND($R1128="да",$H1128&lt;&gt;""),ROUND($H1128*$M1128,2),0)</f>
        <v/>
      </c>
      <c r="P1128" s="10">
        <f>$N1128+$O1128</f>
        <v/>
      </c>
      <c r="Q1128">
        <f>IFERROR(INDEX(спр_Работы!$J$2:$J$6000,MATCH($C1128,спр_Работы!$A$2:$A$6000,0)),"")</f>
        <v/>
      </c>
      <c r="R1128" t="inlineStr">
        <is>
          <t>да</t>
        </is>
      </c>
      <c r="T1128">
        <f>IF(AND($P1128&gt;0,$R1128="да"),MAX($T$1:$T1127)+1,"")</f>
        <v/>
      </c>
    </row>
    <row r="1129">
      <c r="A1129" s="11">
        <f>IFERROR(INDEX(спр_Работы!$D$2:$D$6000,MATCH($C1129,спр_Работы!$A$2:$A$6000,0)),"")</f>
        <v/>
      </c>
      <c r="B1129">
        <f>IFERROR(INDEX(спр_Работы!$F$2:$F$6000,MATCH($C1129,спр_Работы!$A$2:$A$6000,0)),"")</f>
        <v/>
      </c>
      <c r="C1129">
        <f>IFERROR(INDEX(спр_Работы!$A$2:$A$6000,1128),"")</f>
        <v/>
      </c>
      <c r="D1129" s="8">
        <f>IFERROR(INDEX(спр_Работы!$B$2:$B$6000,MATCH($C1129,спр_Работы!$A$2:$A$6000,0)),"")</f>
        <v/>
      </c>
      <c r="E1129">
        <f>IFERROR(INDEX(спр_Работы!$C$2:$C$6000,MATCH($C1129,спр_Работы!$A$2:$A$6000,0)),"")</f>
        <v/>
      </c>
      <c r="F1129">
        <f>IFERROR(INDEX(спр_Работы!$G$2:$G$6000,MATCH($C1129,спр_Работы!$A$2:$A$6000,0)),"")</f>
        <v/>
      </c>
      <c r="G1129">
        <f>IFERROR(INDEX(спр_Работы!$K$2:$K$6000,MATCH($C1129,спр_Работы!$A$2:$A$6000,0)),"")</f>
        <v/>
      </c>
      <c r="H1129" s="9" t="n"/>
      <c r="I1129" s="9" t="n"/>
      <c r="J1129" s="8">
        <f>IFERROR(INDEX(спр_Материалы!$B$2:$B$9000,MATCH($I1129,спр_Материалы!$A$2:$A$9000,0)),"")</f>
        <v/>
      </c>
      <c r="K1129">
        <f>IF($I1129="","",IF($F1129=IFERROR(INDEX(спр_Материалы!$G$2:$G$9000,MATCH($I1129,спр_Материалы!$A$2:$A$9000,0)),""),"OK","!! не та группа"))</f>
        <v/>
      </c>
      <c r="L1129" s="10">
        <f>IFERROR(INDEX(спр_Работы!$H$2:$H$6000,MATCH($C1129,спр_Работы!$A$2:$A$6000,0))*(1-ДисконтТендер),0)</f>
        <v/>
      </c>
      <c r="M1129" s="10">
        <f>IF($I1129="",0,IFERROR(INDEX(спр_Материалы!$I$2:$I$9000,MATCH($I1129,спр_Материалы!$A$2:$A$9000,0))*IF(INDEX(спр_Материалы!$J$2:$J$9000,MATCH($I1129,спр_Материалы!$A$2:$A$9000,0))="USD",КурсUSD,IF(INDEX(спр_Материалы!$J$2:$J$9000,MATCH($I1129,спр_Материалы!$A$2:$A$9000,0))="EUR",КурсEUR,1))*INDEX(спр_Материалы!$K$2:$K$9000,MATCH($I1129,спр_Материалы!$A$2:$A$9000,0))*(1+IFERROR(INDEX(спр_Работы!$I$2:$I$6000,MATCH($C1129,спр_Работы!$A$2:$A$6000,0))/100,0))*(1-ДисконтТендер),0))</f>
        <v/>
      </c>
      <c r="N1129" s="10">
        <f>IF(AND($R1129="да",$H1129&lt;&gt;""),ROUND($H1129*$L1129,2),0)</f>
        <v/>
      </c>
      <c r="O1129" s="10">
        <f>IF(AND($R1129="да",$H1129&lt;&gt;""),ROUND($H1129*$M1129,2),0)</f>
        <v/>
      </c>
      <c r="P1129" s="10">
        <f>$N1129+$O1129</f>
        <v/>
      </c>
      <c r="Q1129">
        <f>IFERROR(INDEX(спр_Работы!$J$2:$J$6000,MATCH($C1129,спр_Работы!$A$2:$A$6000,0)),"")</f>
        <v/>
      </c>
      <c r="R1129" t="inlineStr">
        <is>
          <t>да</t>
        </is>
      </c>
      <c r="T1129">
        <f>IF(AND($P1129&gt;0,$R1129="да"),MAX($T$1:$T1128)+1,"")</f>
        <v/>
      </c>
    </row>
    <row r="1130">
      <c r="A1130" s="11">
        <f>IFERROR(INDEX(спр_Работы!$D$2:$D$6000,MATCH($C1130,спр_Работы!$A$2:$A$6000,0)),"")</f>
        <v/>
      </c>
      <c r="B1130">
        <f>IFERROR(INDEX(спр_Работы!$F$2:$F$6000,MATCH($C1130,спр_Работы!$A$2:$A$6000,0)),"")</f>
        <v/>
      </c>
      <c r="C1130">
        <f>IFERROR(INDEX(спр_Работы!$A$2:$A$6000,1129),"")</f>
        <v/>
      </c>
      <c r="D1130" s="8">
        <f>IFERROR(INDEX(спр_Работы!$B$2:$B$6000,MATCH($C1130,спр_Работы!$A$2:$A$6000,0)),"")</f>
        <v/>
      </c>
      <c r="E1130">
        <f>IFERROR(INDEX(спр_Работы!$C$2:$C$6000,MATCH($C1130,спр_Работы!$A$2:$A$6000,0)),"")</f>
        <v/>
      </c>
      <c r="F1130">
        <f>IFERROR(INDEX(спр_Работы!$G$2:$G$6000,MATCH($C1130,спр_Работы!$A$2:$A$6000,0)),"")</f>
        <v/>
      </c>
      <c r="G1130">
        <f>IFERROR(INDEX(спр_Работы!$K$2:$K$6000,MATCH($C1130,спр_Работы!$A$2:$A$6000,0)),"")</f>
        <v/>
      </c>
      <c r="H1130" s="9" t="n"/>
      <c r="I1130" s="9" t="n"/>
      <c r="J1130" s="8">
        <f>IFERROR(INDEX(спр_Материалы!$B$2:$B$9000,MATCH($I1130,спр_Материалы!$A$2:$A$9000,0)),"")</f>
        <v/>
      </c>
      <c r="K1130">
        <f>IF($I1130="","",IF($F1130=IFERROR(INDEX(спр_Материалы!$G$2:$G$9000,MATCH($I1130,спр_Материалы!$A$2:$A$9000,0)),""),"OK","!! не та группа"))</f>
        <v/>
      </c>
      <c r="L1130" s="10">
        <f>IFERROR(INDEX(спр_Работы!$H$2:$H$6000,MATCH($C1130,спр_Работы!$A$2:$A$6000,0))*(1-ДисконтТендер),0)</f>
        <v/>
      </c>
      <c r="M1130" s="10">
        <f>IF($I1130="",0,IFERROR(INDEX(спр_Материалы!$I$2:$I$9000,MATCH($I1130,спр_Материалы!$A$2:$A$9000,0))*IF(INDEX(спр_Материалы!$J$2:$J$9000,MATCH($I1130,спр_Материалы!$A$2:$A$9000,0))="USD",КурсUSD,IF(INDEX(спр_Материалы!$J$2:$J$9000,MATCH($I1130,спр_Материалы!$A$2:$A$9000,0))="EUR",КурсEUR,1))*INDEX(спр_Материалы!$K$2:$K$9000,MATCH($I1130,спр_Материалы!$A$2:$A$9000,0))*(1+IFERROR(INDEX(спр_Работы!$I$2:$I$6000,MATCH($C1130,спр_Работы!$A$2:$A$6000,0))/100,0))*(1-ДисконтТендер),0))</f>
        <v/>
      </c>
      <c r="N1130" s="10">
        <f>IF(AND($R1130="да",$H1130&lt;&gt;""),ROUND($H1130*$L1130,2),0)</f>
        <v/>
      </c>
      <c r="O1130" s="10">
        <f>IF(AND($R1130="да",$H1130&lt;&gt;""),ROUND($H1130*$M1130,2),0)</f>
        <v/>
      </c>
      <c r="P1130" s="10">
        <f>$N1130+$O1130</f>
        <v/>
      </c>
      <c r="Q1130">
        <f>IFERROR(INDEX(спр_Работы!$J$2:$J$6000,MATCH($C1130,спр_Работы!$A$2:$A$6000,0)),"")</f>
        <v/>
      </c>
      <c r="R1130" t="inlineStr">
        <is>
          <t>да</t>
        </is>
      </c>
      <c r="T1130">
        <f>IF(AND($P1130&gt;0,$R1130="да"),MAX($T$1:$T1129)+1,"")</f>
        <v/>
      </c>
    </row>
    <row r="1131">
      <c r="A1131" s="11">
        <f>IFERROR(INDEX(спр_Работы!$D$2:$D$6000,MATCH($C1131,спр_Работы!$A$2:$A$6000,0)),"")</f>
        <v/>
      </c>
      <c r="B1131">
        <f>IFERROR(INDEX(спр_Работы!$F$2:$F$6000,MATCH($C1131,спр_Работы!$A$2:$A$6000,0)),"")</f>
        <v/>
      </c>
      <c r="C1131">
        <f>IFERROR(INDEX(спр_Работы!$A$2:$A$6000,1130),"")</f>
        <v/>
      </c>
      <c r="D1131" s="8">
        <f>IFERROR(INDEX(спр_Работы!$B$2:$B$6000,MATCH($C1131,спр_Работы!$A$2:$A$6000,0)),"")</f>
        <v/>
      </c>
      <c r="E1131">
        <f>IFERROR(INDEX(спр_Работы!$C$2:$C$6000,MATCH($C1131,спр_Работы!$A$2:$A$6000,0)),"")</f>
        <v/>
      </c>
      <c r="F1131">
        <f>IFERROR(INDEX(спр_Работы!$G$2:$G$6000,MATCH($C1131,спр_Работы!$A$2:$A$6000,0)),"")</f>
        <v/>
      </c>
      <c r="G1131">
        <f>IFERROR(INDEX(спр_Работы!$K$2:$K$6000,MATCH($C1131,спр_Работы!$A$2:$A$6000,0)),"")</f>
        <v/>
      </c>
      <c r="H1131" s="9" t="n"/>
      <c r="I1131" s="9" t="n"/>
      <c r="J1131" s="8">
        <f>IFERROR(INDEX(спр_Материалы!$B$2:$B$9000,MATCH($I1131,спр_Материалы!$A$2:$A$9000,0)),"")</f>
        <v/>
      </c>
      <c r="K1131">
        <f>IF($I1131="","",IF($F1131=IFERROR(INDEX(спр_Материалы!$G$2:$G$9000,MATCH($I1131,спр_Материалы!$A$2:$A$9000,0)),""),"OK","!! не та группа"))</f>
        <v/>
      </c>
      <c r="L1131" s="10">
        <f>IFERROR(INDEX(спр_Работы!$H$2:$H$6000,MATCH($C1131,спр_Работы!$A$2:$A$6000,0))*(1-ДисконтТендер),0)</f>
        <v/>
      </c>
      <c r="M1131" s="10">
        <f>IF($I1131="",0,IFERROR(INDEX(спр_Материалы!$I$2:$I$9000,MATCH($I1131,спр_Материалы!$A$2:$A$9000,0))*IF(INDEX(спр_Материалы!$J$2:$J$9000,MATCH($I1131,спр_Материалы!$A$2:$A$9000,0))="USD",КурсUSD,IF(INDEX(спр_Материалы!$J$2:$J$9000,MATCH($I1131,спр_Материалы!$A$2:$A$9000,0))="EUR",КурсEUR,1))*INDEX(спр_Материалы!$K$2:$K$9000,MATCH($I1131,спр_Материалы!$A$2:$A$9000,0))*(1+IFERROR(INDEX(спр_Работы!$I$2:$I$6000,MATCH($C1131,спр_Работы!$A$2:$A$6000,0))/100,0))*(1-ДисконтТендер),0))</f>
        <v/>
      </c>
      <c r="N1131" s="10">
        <f>IF(AND($R1131="да",$H1131&lt;&gt;""),ROUND($H1131*$L1131,2),0)</f>
        <v/>
      </c>
      <c r="O1131" s="10">
        <f>IF(AND($R1131="да",$H1131&lt;&gt;""),ROUND($H1131*$M1131,2),0)</f>
        <v/>
      </c>
      <c r="P1131" s="10">
        <f>$N1131+$O1131</f>
        <v/>
      </c>
      <c r="Q1131">
        <f>IFERROR(INDEX(спр_Работы!$J$2:$J$6000,MATCH($C1131,спр_Работы!$A$2:$A$6000,0)),"")</f>
        <v/>
      </c>
      <c r="R1131" t="inlineStr">
        <is>
          <t>да</t>
        </is>
      </c>
      <c r="T1131">
        <f>IF(AND($P1131&gt;0,$R1131="да"),MAX($T$1:$T1130)+1,"")</f>
        <v/>
      </c>
    </row>
    <row r="1132">
      <c r="A1132" s="11">
        <f>IFERROR(INDEX(спр_Работы!$D$2:$D$6000,MATCH($C1132,спр_Работы!$A$2:$A$6000,0)),"")</f>
        <v/>
      </c>
      <c r="B1132">
        <f>IFERROR(INDEX(спр_Работы!$F$2:$F$6000,MATCH($C1132,спр_Работы!$A$2:$A$6000,0)),"")</f>
        <v/>
      </c>
      <c r="C1132">
        <f>IFERROR(INDEX(спр_Работы!$A$2:$A$6000,1131),"")</f>
        <v/>
      </c>
      <c r="D1132" s="8">
        <f>IFERROR(INDEX(спр_Работы!$B$2:$B$6000,MATCH($C1132,спр_Работы!$A$2:$A$6000,0)),"")</f>
        <v/>
      </c>
      <c r="E1132">
        <f>IFERROR(INDEX(спр_Работы!$C$2:$C$6000,MATCH($C1132,спр_Работы!$A$2:$A$6000,0)),"")</f>
        <v/>
      </c>
      <c r="F1132">
        <f>IFERROR(INDEX(спр_Работы!$G$2:$G$6000,MATCH($C1132,спр_Работы!$A$2:$A$6000,0)),"")</f>
        <v/>
      </c>
      <c r="G1132">
        <f>IFERROR(INDEX(спр_Работы!$K$2:$K$6000,MATCH($C1132,спр_Работы!$A$2:$A$6000,0)),"")</f>
        <v/>
      </c>
      <c r="H1132" s="9" t="n"/>
      <c r="I1132" s="9" t="n"/>
      <c r="J1132" s="8">
        <f>IFERROR(INDEX(спр_Материалы!$B$2:$B$9000,MATCH($I1132,спр_Материалы!$A$2:$A$9000,0)),"")</f>
        <v/>
      </c>
      <c r="K1132">
        <f>IF($I1132="","",IF($F1132=IFERROR(INDEX(спр_Материалы!$G$2:$G$9000,MATCH($I1132,спр_Материалы!$A$2:$A$9000,0)),""),"OK","!! не та группа"))</f>
        <v/>
      </c>
      <c r="L1132" s="10">
        <f>IFERROR(INDEX(спр_Работы!$H$2:$H$6000,MATCH($C1132,спр_Работы!$A$2:$A$6000,0))*(1-ДисконтТендер),0)</f>
        <v/>
      </c>
      <c r="M1132" s="10">
        <f>IF($I1132="",0,IFERROR(INDEX(спр_Материалы!$I$2:$I$9000,MATCH($I1132,спр_Материалы!$A$2:$A$9000,0))*IF(INDEX(спр_Материалы!$J$2:$J$9000,MATCH($I1132,спр_Материалы!$A$2:$A$9000,0))="USD",КурсUSD,IF(INDEX(спр_Материалы!$J$2:$J$9000,MATCH($I1132,спр_Материалы!$A$2:$A$9000,0))="EUR",КурсEUR,1))*INDEX(спр_Материалы!$K$2:$K$9000,MATCH($I1132,спр_Материалы!$A$2:$A$9000,0))*(1+IFERROR(INDEX(спр_Работы!$I$2:$I$6000,MATCH($C1132,спр_Работы!$A$2:$A$6000,0))/100,0))*(1-ДисконтТендер),0))</f>
        <v/>
      </c>
      <c r="N1132" s="10">
        <f>IF(AND($R1132="да",$H1132&lt;&gt;""),ROUND($H1132*$L1132,2),0)</f>
        <v/>
      </c>
      <c r="O1132" s="10">
        <f>IF(AND($R1132="да",$H1132&lt;&gt;""),ROUND($H1132*$M1132,2),0)</f>
        <v/>
      </c>
      <c r="P1132" s="10">
        <f>$N1132+$O1132</f>
        <v/>
      </c>
      <c r="Q1132">
        <f>IFERROR(INDEX(спр_Работы!$J$2:$J$6000,MATCH($C1132,спр_Работы!$A$2:$A$6000,0)),"")</f>
        <v/>
      </c>
      <c r="R1132" t="inlineStr">
        <is>
          <t>да</t>
        </is>
      </c>
      <c r="T1132">
        <f>IF(AND($P1132&gt;0,$R1132="да"),MAX($T$1:$T1131)+1,"")</f>
        <v/>
      </c>
    </row>
    <row r="1133">
      <c r="A1133" s="11">
        <f>IFERROR(INDEX(спр_Работы!$D$2:$D$6000,MATCH($C1133,спр_Работы!$A$2:$A$6000,0)),"")</f>
        <v/>
      </c>
      <c r="B1133">
        <f>IFERROR(INDEX(спр_Работы!$F$2:$F$6000,MATCH($C1133,спр_Работы!$A$2:$A$6000,0)),"")</f>
        <v/>
      </c>
      <c r="C1133">
        <f>IFERROR(INDEX(спр_Работы!$A$2:$A$6000,1132),"")</f>
        <v/>
      </c>
      <c r="D1133" s="8">
        <f>IFERROR(INDEX(спр_Работы!$B$2:$B$6000,MATCH($C1133,спр_Работы!$A$2:$A$6000,0)),"")</f>
        <v/>
      </c>
      <c r="E1133">
        <f>IFERROR(INDEX(спр_Работы!$C$2:$C$6000,MATCH($C1133,спр_Работы!$A$2:$A$6000,0)),"")</f>
        <v/>
      </c>
      <c r="F1133">
        <f>IFERROR(INDEX(спр_Работы!$G$2:$G$6000,MATCH($C1133,спр_Работы!$A$2:$A$6000,0)),"")</f>
        <v/>
      </c>
      <c r="G1133">
        <f>IFERROR(INDEX(спр_Работы!$K$2:$K$6000,MATCH($C1133,спр_Работы!$A$2:$A$6000,0)),"")</f>
        <v/>
      </c>
      <c r="H1133" s="9" t="n"/>
      <c r="I1133" s="9" t="n"/>
      <c r="J1133" s="8">
        <f>IFERROR(INDEX(спр_Материалы!$B$2:$B$9000,MATCH($I1133,спр_Материалы!$A$2:$A$9000,0)),"")</f>
        <v/>
      </c>
      <c r="K1133">
        <f>IF($I1133="","",IF($F1133=IFERROR(INDEX(спр_Материалы!$G$2:$G$9000,MATCH($I1133,спр_Материалы!$A$2:$A$9000,0)),""),"OK","!! не та группа"))</f>
        <v/>
      </c>
      <c r="L1133" s="10">
        <f>IFERROR(INDEX(спр_Работы!$H$2:$H$6000,MATCH($C1133,спр_Работы!$A$2:$A$6000,0))*(1-ДисконтТендер),0)</f>
        <v/>
      </c>
      <c r="M1133" s="10">
        <f>IF($I1133="",0,IFERROR(INDEX(спр_Материалы!$I$2:$I$9000,MATCH($I1133,спр_Материалы!$A$2:$A$9000,0))*IF(INDEX(спр_Материалы!$J$2:$J$9000,MATCH($I1133,спр_Материалы!$A$2:$A$9000,0))="USD",КурсUSD,IF(INDEX(спр_Материалы!$J$2:$J$9000,MATCH($I1133,спр_Материалы!$A$2:$A$9000,0))="EUR",КурсEUR,1))*INDEX(спр_Материалы!$K$2:$K$9000,MATCH($I1133,спр_Материалы!$A$2:$A$9000,0))*(1+IFERROR(INDEX(спр_Работы!$I$2:$I$6000,MATCH($C1133,спр_Работы!$A$2:$A$6000,0))/100,0))*(1-ДисконтТендер),0))</f>
        <v/>
      </c>
      <c r="N1133" s="10">
        <f>IF(AND($R1133="да",$H1133&lt;&gt;""),ROUND($H1133*$L1133,2),0)</f>
        <v/>
      </c>
      <c r="O1133" s="10">
        <f>IF(AND($R1133="да",$H1133&lt;&gt;""),ROUND($H1133*$M1133,2),0)</f>
        <v/>
      </c>
      <c r="P1133" s="10">
        <f>$N1133+$O1133</f>
        <v/>
      </c>
      <c r="Q1133">
        <f>IFERROR(INDEX(спр_Работы!$J$2:$J$6000,MATCH($C1133,спр_Работы!$A$2:$A$6000,0)),"")</f>
        <v/>
      </c>
      <c r="R1133" t="inlineStr">
        <is>
          <t>да</t>
        </is>
      </c>
      <c r="T1133">
        <f>IF(AND($P1133&gt;0,$R1133="да"),MAX($T$1:$T1132)+1,"")</f>
        <v/>
      </c>
    </row>
    <row r="1134">
      <c r="A1134" s="11">
        <f>IFERROR(INDEX(спр_Работы!$D$2:$D$6000,MATCH($C1134,спр_Работы!$A$2:$A$6000,0)),"")</f>
        <v/>
      </c>
      <c r="B1134">
        <f>IFERROR(INDEX(спр_Работы!$F$2:$F$6000,MATCH($C1134,спр_Работы!$A$2:$A$6000,0)),"")</f>
        <v/>
      </c>
      <c r="C1134">
        <f>IFERROR(INDEX(спр_Работы!$A$2:$A$6000,1133),"")</f>
        <v/>
      </c>
      <c r="D1134" s="8">
        <f>IFERROR(INDEX(спр_Работы!$B$2:$B$6000,MATCH($C1134,спр_Работы!$A$2:$A$6000,0)),"")</f>
        <v/>
      </c>
      <c r="E1134">
        <f>IFERROR(INDEX(спр_Работы!$C$2:$C$6000,MATCH($C1134,спр_Работы!$A$2:$A$6000,0)),"")</f>
        <v/>
      </c>
      <c r="F1134">
        <f>IFERROR(INDEX(спр_Работы!$G$2:$G$6000,MATCH($C1134,спр_Работы!$A$2:$A$6000,0)),"")</f>
        <v/>
      </c>
      <c r="G1134">
        <f>IFERROR(INDEX(спр_Работы!$K$2:$K$6000,MATCH($C1134,спр_Работы!$A$2:$A$6000,0)),"")</f>
        <v/>
      </c>
      <c r="H1134" s="9" t="n"/>
      <c r="I1134" s="9" t="n"/>
      <c r="J1134" s="8">
        <f>IFERROR(INDEX(спр_Материалы!$B$2:$B$9000,MATCH($I1134,спр_Материалы!$A$2:$A$9000,0)),"")</f>
        <v/>
      </c>
      <c r="K1134">
        <f>IF($I1134="","",IF($F1134=IFERROR(INDEX(спр_Материалы!$G$2:$G$9000,MATCH($I1134,спр_Материалы!$A$2:$A$9000,0)),""),"OK","!! не та группа"))</f>
        <v/>
      </c>
      <c r="L1134" s="10">
        <f>IFERROR(INDEX(спр_Работы!$H$2:$H$6000,MATCH($C1134,спр_Работы!$A$2:$A$6000,0))*(1-ДисконтТендер),0)</f>
        <v/>
      </c>
      <c r="M1134" s="10">
        <f>IF($I1134="",0,IFERROR(INDEX(спр_Материалы!$I$2:$I$9000,MATCH($I1134,спр_Материалы!$A$2:$A$9000,0))*IF(INDEX(спр_Материалы!$J$2:$J$9000,MATCH($I1134,спр_Материалы!$A$2:$A$9000,0))="USD",КурсUSD,IF(INDEX(спр_Материалы!$J$2:$J$9000,MATCH($I1134,спр_Материалы!$A$2:$A$9000,0))="EUR",КурсEUR,1))*INDEX(спр_Материалы!$K$2:$K$9000,MATCH($I1134,спр_Материалы!$A$2:$A$9000,0))*(1+IFERROR(INDEX(спр_Работы!$I$2:$I$6000,MATCH($C1134,спр_Работы!$A$2:$A$6000,0))/100,0))*(1-ДисконтТендер),0))</f>
        <v/>
      </c>
      <c r="N1134" s="10">
        <f>IF(AND($R1134="да",$H1134&lt;&gt;""),ROUND($H1134*$L1134,2),0)</f>
        <v/>
      </c>
      <c r="O1134" s="10">
        <f>IF(AND($R1134="да",$H1134&lt;&gt;""),ROUND($H1134*$M1134,2),0)</f>
        <v/>
      </c>
      <c r="P1134" s="10">
        <f>$N1134+$O1134</f>
        <v/>
      </c>
      <c r="Q1134">
        <f>IFERROR(INDEX(спр_Работы!$J$2:$J$6000,MATCH($C1134,спр_Работы!$A$2:$A$6000,0)),"")</f>
        <v/>
      </c>
      <c r="R1134" t="inlineStr">
        <is>
          <t>да</t>
        </is>
      </c>
      <c r="T1134">
        <f>IF(AND($P1134&gt;0,$R1134="да"),MAX($T$1:$T1133)+1,"")</f>
        <v/>
      </c>
    </row>
    <row r="1135">
      <c r="A1135" s="11">
        <f>IFERROR(INDEX(спр_Работы!$D$2:$D$6000,MATCH($C1135,спр_Работы!$A$2:$A$6000,0)),"")</f>
        <v/>
      </c>
      <c r="B1135">
        <f>IFERROR(INDEX(спр_Работы!$F$2:$F$6000,MATCH($C1135,спр_Работы!$A$2:$A$6000,0)),"")</f>
        <v/>
      </c>
      <c r="C1135">
        <f>IFERROR(INDEX(спр_Работы!$A$2:$A$6000,1134),"")</f>
        <v/>
      </c>
      <c r="D1135" s="8">
        <f>IFERROR(INDEX(спр_Работы!$B$2:$B$6000,MATCH($C1135,спр_Работы!$A$2:$A$6000,0)),"")</f>
        <v/>
      </c>
      <c r="E1135">
        <f>IFERROR(INDEX(спр_Работы!$C$2:$C$6000,MATCH($C1135,спр_Работы!$A$2:$A$6000,0)),"")</f>
        <v/>
      </c>
      <c r="F1135">
        <f>IFERROR(INDEX(спр_Работы!$G$2:$G$6000,MATCH($C1135,спр_Работы!$A$2:$A$6000,0)),"")</f>
        <v/>
      </c>
      <c r="G1135">
        <f>IFERROR(INDEX(спр_Работы!$K$2:$K$6000,MATCH($C1135,спр_Работы!$A$2:$A$6000,0)),"")</f>
        <v/>
      </c>
      <c r="H1135" s="9" t="n"/>
      <c r="I1135" s="9" t="n"/>
      <c r="J1135" s="8">
        <f>IFERROR(INDEX(спр_Материалы!$B$2:$B$9000,MATCH($I1135,спр_Материалы!$A$2:$A$9000,0)),"")</f>
        <v/>
      </c>
      <c r="K1135">
        <f>IF($I1135="","",IF($F1135=IFERROR(INDEX(спр_Материалы!$G$2:$G$9000,MATCH($I1135,спр_Материалы!$A$2:$A$9000,0)),""),"OK","!! не та группа"))</f>
        <v/>
      </c>
      <c r="L1135" s="10">
        <f>IFERROR(INDEX(спр_Работы!$H$2:$H$6000,MATCH($C1135,спр_Работы!$A$2:$A$6000,0))*(1-ДисконтТендер),0)</f>
        <v/>
      </c>
      <c r="M1135" s="10">
        <f>IF($I1135="",0,IFERROR(INDEX(спр_Материалы!$I$2:$I$9000,MATCH($I1135,спр_Материалы!$A$2:$A$9000,0))*IF(INDEX(спр_Материалы!$J$2:$J$9000,MATCH($I1135,спр_Материалы!$A$2:$A$9000,0))="USD",КурсUSD,IF(INDEX(спр_Материалы!$J$2:$J$9000,MATCH($I1135,спр_Материалы!$A$2:$A$9000,0))="EUR",КурсEUR,1))*INDEX(спр_Материалы!$K$2:$K$9000,MATCH($I1135,спр_Материалы!$A$2:$A$9000,0))*(1+IFERROR(INDEX(спр_Работы!$I$2:$I$6000,MATCH($C1135,спр_Работы!$A$2:$A$6000,0))/100,0))*(1-ДисконтТендер),0))</f>
        <v/>
      </c>
      <c r="N1135" s="10">
        <f>IF(AND($R1135="да",$H1135&lt;&gt;""),ROUND($H1135*$L1135,2),0)</f>
        <v/>
      </c>
      <c r="O1135" s="10">
        <f>IF(AND($R1135="да",$H1135&lt;&gt;""),ROUND($H1135*$M1135,2),0)</f>
        <v/>
      </c>
      <c r="P1135" s="10">
        <f>$N1135+$O1135</f>
        <v/>
      </c>
      <c r="Q1135">
        <f>IFERROR(INDEX(спр_Работы!$J$2:$J$6000,MATCH($C1135,спр_Работы!$A$2:$A$6000,0)),"")</f>
        <v/>
      </c>
      <c r="R1135" t="inlineStr">
        <is>
          <t>да</t>
        </is>
      </c>
      <c r="T1135">
        <f>IF(AND($P1135&gt;0,$R1135="да"),MAX($T$1:$T1134)+1,"")</f>
        <v/>
      </c>
    </row>
    <row r="1136">
      <c r="A1136" s="11">
        <f>IFERROR(INDEX(спр_Работы!$D$2:$D$6000,MATCH($C1136,спр_Работы!$A$2:$A$6000,0)),"")</f>
        <v/>
      </c>
      <c r="B1136">
        <f>IFERROR(INDEX(спр_Работы!$F$2:$F$6000,MATCH($C1136,спр_Работы!$A$2:$A$6000,0)),"")</f>
        <v/>
      </c>
      <c r="C1136">
        <f>IFERROR(INDEX(спр_Работы!$A$2:$A$6000,1135),"")</f>
        <v/>
      </c>
      <c r="D1136" s="8">
        <f>IFERROR(INDEX(спр_Работы!$B$2:$B$6000,MATCH($C1136,спр_Работы!$A$2:$A$6000,0)),"")</f>
        <v/>
      </c>
      <c r="E1136">
        <f>IFERROR(INDEX(спр_Работы!$C$2:$C$6000,MATCH($C1136,спр_Работы!$A$2:$A$6000,0)),"")</f>
        <v/>
      </c>
      <c r="F1136">
        <f>IFERROR(INDEX(спр_Работы!$G$2:$G$6000,MATCH($C1136,спр_Работы!$A$2:$A$6000,0)),"")</f>
        <v/>
      </c>
      <c r="G1136">
        <f>IFERROR(INDEX(спр_Работы!$K$2:$K$6000,MATCH($C1136,спр_Работы!$A$2:$A$6000,0)),"")</f>
        <v/>
      </c>
      <c r="H1136" s="9" t="n"/>
      <c r="I1136" s="9" t="n"/>
      <c r="J1136" s="8">
        <f>IFERROR(INDEX(спр_Материалы!$B$2:$B$9000,MATCH($I1136,спр_Материалы!$A$2:$A$9000,0)),"")</f>
        <v/>
      </c>
      <c r="K1136">
        <f>IF($I1136="","",IF($F1136=IFERROR(INDEX(спр_Материалы!$G$2:$G$9000,MATCH($I1136,спр_Материалы!$A$2:$A$9000,0)),""),"OK","!! не та группа"))</f>
        <v/>
      </c>
      <c r="L1136" s="10">
        <f>IFERROR(INDEX(спр_Работы!$H$2:$H$6000,MATCH($C1136,спр_Работы!$A$2:$A$6000,0))*(1-ДисконтТендер),0)</f>
        <v/>
      </c>
      <c r="M1136" s="10">
        <f>IF($I1136="",0,IFERROR(INDEX(спр_Материалы!$I$2:$I$9000,MATCH($I1136,спр_Материалы!$A$2:$A$9000,0))*IF(INDEX(спр_Материалы!$J$2:$J$9000,MATCH($I1136,спр_Материалы!$A$2:$A$9000,0))="USD",КурсUSD,IF(INDEX(спр_Материалы!$J$2:$J$9000,MATCH($I1136,спр_Материалы!$A$2:$A$9000,0))="EUR",КурсEUR,1))*INDEX(спр_Материалы!$K$2:$K$9000,MATCH($I1136,спр_Материалы!$A$2:$A$9000,0))*(1+IFERROR(INDEX(спр_Работы!$I$2:$I$6000,MATCH($C1136,спр_Работы!$A$2:$A$6000,0))/100,0))*(1-ДисконтТендер),0))</f>
        <v/>
      </c>
      <c r="N1136" s="10">
        <f>IF(AND($R1136="да",$H1136&lt;&gt;""),ROUND($H1136*$L1136,2),0)</f>
        <v/>
      </c>
      <c r="O1136" s="10">
        <f>IF(AND($R1136="да",$H1136&lt;&gt;""),ROUND($H1136*$M1136,2),0)</f>
        <v/>
      </c>
      <c r="P1136" s="10">
        <f>$N1136+$O1136</f>
        <v/>
      </c>
      <c r="Q1136">
        <f>IFERROR(INDEX(спр_Работы!$J$2:$J$6000,MATCH($C1136,спр_Работы!$A$2:$A$6000,0)),"")</f>
        <v/>
      </c>
      <c r="R1136" t="inlineStr">
        <is>
          <t>да</t>
        </is>
      </c>
      <c r="T1136">
        <f>IF(AND($P1136&gt;0,$R1136="да"),MAX($T$1:$T1135)+1,"")</f>
        <v/>
      </c>
    </row>
    <row r="1137">
      <c r="A1137" s="11">
        <f>IFERROR(INDEX(спр_Работы!$D$2:$D$6000,MATCH($C1137,спр_Работы!$A$2:$A$6000,0)),"")</f>
        <v/>
      </c>
      <c r="B1137">
        <f>IFERROR(INDEX(спр_Работы!$F$2:$F$6000,MATCH($C1137,спр_Работы!$A$2:$A$6000,0)),"")</f>
        <v/>
      </c>
      <c r="C1137">
        <f>IFERROR(INDEX(спр_Работы!$A$2:$A$6000,1136),"")</f>
        <v/>
      </c>
      <c r="D1137" s="8">
        <f>IFERROR(INDEX(спр_Работы!$B$2:$B$6000,MATCH($C1137,спр_Работы!$A$2:$A$6000,0)),"")</f>
        <v/>
      </c>
      <c r="E1137">
        <f>IFERROR(INDEX(спр_Работы!$C$2:$C$6000,MATCH($C1137,спр_Работы!$A$2:$A$6000,0)),"")</f>
        <v/>
      </c>
      <c r="F1137">
        <f>IFERROR(INDEX(спр_Работы!$G$2:$G$6000,MATCH($C1137,спр_Работы!$A$2:$A$6000,0)),"")</f>
        <v/>
      </c>
      <c r="G1137">
        <f>IFERROR(INDEX(спр_Работы!$K$2:$K$6000,MATCH($C1137,спр_Работы!$A$2:$A$6000,0)),"")</f>
        <v/>
      </c>
      <c r="H1137" s="9" t="n"/>
      <c r="I1137" s="9" t="n"/>
      <c r="J1137" s="8">
        <f>IFERROR(INDEX(спр_Материалы!$B$2:$B$9000,MATCH($I1137,спр_Материалы!$A$2:$A$9000,0)),"")</f>
        <v/>
      </c>
      <c r="K1137">
        <f>IF($I1137="","",IF($F1137=IFERROR(INDEX(спр_Материалы!$G$2:$G$9000,MATCH($I1137,спр_Материалы!$A$2:$A$9000,0)),""),"OK","!! не та группа"))</f>
        <v/>
      </c>
      <c r="L1137" s="10">
        <f>IFERROR(INDEX(спр_Работы!$H$2:$H$6000,MATCH($C1137,спр_Работы!$A$2:$A$6000,0))*(1-ДисконтТендер),0)</f>
        <v/>
      </c>
      <c r="M1137" s="10">
        <f>IF($I1137="",0,IFERROR(INDEX(спр_Материалы!$I$2:$I$9000,MATCH($I1137,спр_Материалы!$A$2:$A$9000,0))*IF(INDEX(спр_Материалы!$J$2:$J$9000,MATCH($I1137,спр_Материалы!$A$2:$A$9000,0))="USD",КурсUSD,IF(INDEX(спр_Материалы!$J$2:$J$9000,MATCH($I1137,спр_Материалы!$A$2:$A$9000,0))="EUR",КурсEUR,1))*INDEX(спр_Материалы!$K$2:$K$9000,MATCH($I1137,спр_Материалы!$A$2:$A$9000,0))*(1+IFERROR(INDEX(спр_Работы!$I$2:$I$6000,MATCH($C1137,спр_Работы!$A$2:$A$6000,0))/100,0))*(1-ДисконтТендер),0))</f>
        <v/>
      </c>
      <c r="N1137" s="10">
        <f>IF(AND($R1137="да",$H1137&lt;&gt;""),ROUND($H1137*$L1137,2),0)</f>
        <v/>
      </c>
      <c r="O1137" s="10">
        <f>IF(AND($R1137="да",$H1137&lt;&gt;""),ROUND($H1137*$M1137,2),0)</f>
        <v/>
      </c>
      <c r="P1137" s="10">
        <f>$N1137+$O1137</f>
        <v/>
      </c>
      <c r="Q1137">
        <f>IFERROR(INDEX(спр_Работы!$J$2:$J$6000,MATCH($C1137,спр_Работы!$A$2:$A$6000,0)),"")</f>
        <v/>
      </c>
      <c r="R1137" t="inlineStr">
        <is>
          <t>да</t>
        </is>
      </c>
      <c r="T1137">
        <f>IF(AND($P1137&gt;0,$R1137="да"),MAX($T$1:$T1136)+1,"")</f>
        <v/>
      </c>
    </row>
    <row r="1138">
      <c r="A1138" s="11">
        <f>IFERROR(INDEX(спр_Работы!$D$2:$D$6000,MATCH($C1138,спр_Работы!$A$2:$A$6000,0)),"")</f>
        <v/>
      </c>
      <c r="B1138">
        <f>IFERROR(INDEX(спр_Работы!$F$2:$F$6000,MATCH($C1138,спр_Работы!$A$2:$A$6000,0)),"")</f>
        <v/>
      </c>
      <c r="C1138">
        <f>IFERROR(INDEX(спр_Работы!$A$2:$A$6000,1137),"")</f>
        <v/>
      </c>
      <c r="D1138" s="8">
        <f>IFERROR(INDEX(спр_Работы!$B$2:$B$6000,MATCH($C1138,спр_Работы!$A$2:$A$6000,0)),"")</f>
        <v/>
      </c>
      <c r="E1138">
        <f>IFERROR(INDEX(спр_Работы!$C$2:$C$6000,MATCH($C1138,спр_Работы!$A$2:$A$6000,0)),"")</f>
        <v/>
      </c>
      <c r="F1138">
        <f>IFERROR(INDEX(спр_Работы!$G$2:$G$6000,MATCH($C1138,спр_Работы!$A$2:$A$6000,0)),"")</f>
        <v/>
      </c>
      <c r="G1138">
        <f>IFERROR(INDEX(спр_Работы!$K$2:$K$6000,MATCH($C1138,спр_Работы!$A$2:$A$6000,0)),"")</f>
        <v/>
      </c>
      <c r="H1138" s="9" t="n"/>
      <c r="I1138" s="9" t="n"/>
      <c r="J1138" s="8">
        <f>IFERROR(INDEX(спр_Материалы!$B$2:$B$9000,MATCH($I1138,спр_Материалы!$A$2:$A$9000,0)),"")</f>
        <v/>
      </c>
      <c r="K1138">
        <f>IF($I1138="","",IF($F1138=IFERROR(INDEX(спр_Материалы!$G$2:$G$9000,MATCH($I1138,спр_Материалы!$A$2:$A$9000,0)),""),"OK","!! не та группа"))</f>
        <v/>
      </c>
      <c r="L1138" s="10">
        <f>IFERROR(INDEX(спр_Работы!$H$2:$H$6000,MATCH($C1138,спр_Работы!$A$2:$A$6000,0))*(1-ДисконтТендер),0)</f>
        <v/>
      </c>
      <c r="M1138" s="10">
        <f>IF($I1138="",0,IFERROR(INDEX(спр_Материалы!$I$2:$I$9000,MATCH($I1138,спр_Материалы!$A$2:$A$9000,0))*IF(INDEX(спр_Материалы!$J$2:$J$9000,MATCH($I1138,спр_Материалы!$A$2:$A$9000,0))="USD",КурсUSD,IF(INDEX(спр_Материалы!$J$2:$J$9000,MATCH($I1138,спр_Материалы!$A$2:$A$9000,0))="EUR",КурсEUR,1))*INDEX(спр_Материалы!$K$2:$K$9000,MATCH($I1138,спр_Материалы!$A$2:$A$9000,0))*(1+IFERROR(INDEX(спр_Работы!$I$2:$I$6000,MATCH($C1138,спр_Работы!$A$2:$A$6000,0))/100,0))*(1-ДисконтТендер),0))</f>
        <v/>
      </c>
      <c r="N1138" s="10">
        <f>IF(AND($R1138="да",$H1138&lt;&gt;""),ROUND($H1138*$L1138,2),0)</f>
        <v/>
      </c>
      <c r="O1138" s="10">
        <f>IF(AND($R1138="да",$H1138&lt;&gt;""),ROUND($H1138*$M1138,2),0)</f>
        <v/>
      </c>
      <c r="P1138" s="10">
        <f>$N1138+$O1138</f>
        <v/>
      </c>
      <c r="Q1138">
        <f>IFERROR(INDEX(спр_Работы!$J$2:$J$6000,MATCH($C1138,спр_Работы!$A$2:$A$6000,0)),"")</f>
        <v/>
      </c>
      <c r="R1138" t="inlineStr">
        <is>
          <t>да</t>
        </is>
      </c>
      <c r="T1138">
        <f>IF(AND($P1138&gt;0,$R1138="да"),MAX($T$1:$T1137)+1,"")</f>
        <v/>
      </c>
    </row>
    <row r="1139">
      <c r="A1139" s="11">
        <f>IFERROR(INDEX(спр_Работы!$D$2:$D$6000,MATCH($C1139,спр_Работы!$A$2:$A$6000,0)),"")</f>
        <v/>
      </c>
      <c r="B1139">
        <f>IFERROR(INDEX(спр_Работы!$F$2:$F$6000,MATCH($C1139,спр_Работы!$A$2:$A$6000,0)),"")</f>
        <v/>
      </c>
      <c r="C1139">
        <f>IFERROR(INDEX(спр_Работы!$A$2:$A$6000,1138),"")</f>
        <v/>
      </c>
      <c r="D1139" s="8">
        <f>IFERROR(INDEX(спр_Работы!$B$2:$B$6000,MATCH($C1139,спр_Работы!$A$2:$A$6000,0)),"")</f>
        <v/>
      </c>
      <c r="E1139">
        <f>IFERROR(INDEX(спр_Работы!$C$2:$C$6000,MATCH($C1139,спр_Работы!$A$2:$A$6000,0)),"")</f>
        <v/>
      </c>
      <c r="F1139">
        <f>IFERROR(INDEX(спр_Работы!$G$2:$G$6000,MATCH($C1139,спр_Работы!$A$2:$A$6000,0)),"")</f>
        <v/>
      </c>
      <c r="G1139">
        <f>IFERROR(INDEX(спр_Работы!$K$2:$K$6000,MATCH($C1139,спр_Работы!$A$2:$A$6000,0)),"")</f>
        <v/>
      </c>
      <c r="H1139" s="9" t="n"/>
      <c r="I1139" s="9" t="n"/>
      <c r="J1139" s="8">
        <f>IFERROR(INDEX(спр_Материалы!$B$2:$B$9000,MATCH($I1139,спр_Материалы!$A$2:$A$9000,0)),"")</f>
        <v/>
      </c>
      <c r="K1139">
        <f>IF($I1139="","",IF($F1139=IFERROR(INDEX(спр_Материалы!$G$2:$G$9000,MATCH($I1139,спр_Материалы!$A$2:$A$9000,0)),""),"OK","!! не та группа"))</f>
        <v/>
      </c>
      <c r="L1139" s="10">
        <f>IFERROR(INDEX(спр_Работы!$H$2:$H$6000,MATCH($C1139,спр_Работы!$A$2:$A$6000,0))*(1-ДисконтТендер),0)</f>
        <v/>
      </c>
      <c r="M1139" s="10">
        <f>IF($I1139="",0,IFERROR(INDEX(спр_Материалы!$I$2:$I$9000,MATCH($I1139,спр_Материалы!$A$2:$A$9000,0))*IF(INDEX(спр_Материалы!$J$2:$J$9000,MATCH($I1139,спр_Материалы!$A$2:$A$9000,0))="USD",КурсUSD,IF(INDEX(спр_Материалы!$J$2:$J$9000,MATCH($I1139,спр_Материалы!$A$2:$A$9000,0))="EUR",КурсEUR,1))*INDEX(спр_Материалы!$K$2:$K$9000,MATCH($I1139,спр_Материалы!$A$2:$A$9000,0))*(1+IFERROR(INDEX(спр_Работы!$I$2:$I$6000,MATCH($C1139,спр_Работы!$A$2:$A$6000,0))/100,0))*(1-ДисконтТендер),0))</f>
        <v/>
      </c>
      <c r="N1139" s="10">
        <f>IF(AND($R1139="да",$H1139&lt;&gt;""),ROUND($H1139*$L1139,2),0)</f>
        <v/>
      </c>
      <c r="O1139" s="10">
        <f>IF(AND($R1139="да",$H1139&lt;&gt;""),ROUND($H1139*$M1139,2),0)</f>
        <v/>
      </c>
      <c r="P1139" s="10">
        <f>$N1139+$O1139</f>
        <v/>
      </c>
      <c r="Q1139">
        <f>IFERROR(INDEX(спр_Работы!$J$2:$J$6000,MATCH($C1139,спр_Работы!$A$2:$A$6000,0)),"")</f>
        <v/>
      </c>
      <c r="R1139" t="inlineStr">
        <is>
          <t>да</t>
        </is>
      </c>
      <c r="T1139">
        <f>IF(AND($P1139&gt;0,$R1139="да"),MAX($T$1:$T1138)+1,"")</f>
        <v/>
      </c>
    </row>
    <row r="1140">
      <c r="A1140" s="11">
        <f>IFERROR(INDEX(спр_Работы!$D$2:$D$6000,MATCH($C1140,спр_Работы!$A$2:$A$6000,0)),"")</f>
        <v/>
      </c>
      <c r="B1140">
        <f>IFERROR(INDEX(спр_Работы!$F$2:$F$6000,MATCH($C1140,спр_Работы!$A$2:$A$6000,0)),"")</f>
        <v/>
      </c>
      <c r="C1140">
        <f>IFERROR(INDEX(спр_Работы!$A$2:$A$6000,1139),"")</f>
        <v/>
      </c>
      <c r="D1140" s="8">
        <f>IFERROR(INDEX(спр_Работы!$B$2:$B$6000,MATCH($C1140,спр_Работы!$A$2:$A$6000,0)),"")</f>
        <v/>
      </c>
      <c r="E1140">
        <f>IFERROR(INDEX(спр_Работы!$C$2:$C$6000,MATCH($C1140,спр_Работы!$A$2:$A$6000,0)),"")</f>
        <v/>
      </c>
      <c r="F1140">
        <f>IFERROR(INDEX(спр_Работы!$G$2:$G$6000,MATCH($C1140,спр_Работы!$A$2:$A$6000,0)),"")</f>
        <v/>
      </c>
      <c r="G1140">
        <f>IFERROR(INDEX(спр_Работы!$K$2:$K$6000,MATCH($C1140,спр_Работы!$A$2:$A$6000,0)),"")</f>
        <v/>
      </c>
      <c r="H1140" s="9" t="n"/>
      <c r="I1140" s="9" t="n"/>
      <c r="J1140" s="8">
        <f>IFERROR(INDEX(спр_Материалы!$B$2:$B$9000,MATCH($I1140,спр_Материалы!$A$2:$A$9000,0)),"")</f>
        <v/>
      </c>
      <c r="K1140">
        <f>IF($I1140="","",IF($F1140=IFERROR(INDEX(спр_Материалы!$G$2:$G$9000,MATCH($I1140,спр_Материалы!$A$2:$A$9000,0)),""),"OK","!! не та группа"))</f>
        <v/>
      </c>
      <c r="L1140" s="10">
        <f>IFERROR(INDEX(спр_Работы!$H$2:$H$6000,MATCH($C1140,спр_Работы!$A$2:$A$6000,0))*(1-ДисконтТендер),0)</f>
        <v/>
      </c>
      <c r="M1140" s="10">
        <f>IF($I1140="",0,IFERROR(INDEX(спр_Материалы!$I$2:$I$9000,MATCH($I1140,спр_Материалы!$A$2:$A$9000,0))*IF(INDEX(спр_Материалы!$J$2:$J$9000,MATCH($I1140,спр_Материалы!$A$2:$A$9000,0))="USD",КурсUSD,IF(INDEX(спр_Материалы!$J$2:$J$9000,MATCH($I1140,спр_Материалы!$A$2:$A$9000,0))="EUR",КурсEUR,1))*INDEX(спр_Материалы!$K$2:$K$9000,MATCH($I1140,спр_Материалы!$A$2:$A$9000,0))*(1+IFERROR(INDEX(спр_Работы!$I$2:$I$6000,MATCH($C1140,спр_Работы!$A$2:$A$6000,0))/100,0))*(1-ДисконтТендер),0))</f>
        <v/>
      </c>
      <c r="N1140" s="10">
        <f>IF(AND($R1140="да",$H1140&lt;&gt;""),ROUND($H1140*$L1140,2),0)</f>
        <v/>
      </c>
      <c r="O1140" s="10">
        <f>IF(AND($R1140="да",$H1140&lt;&gt;""),ROUND($H1140*$M1140,2),0)</f>
        <v/>
      </c>
      <c r="P1140" s="10">
        <f>$N1140+$O1140</f>
        <v/>
      </c>
      <c r="Q1140">
        <f>IFERROR(INDEX(спр_Работы!$J$2:$J$6000,MATCH($C1140,спр_Работы!$A$2:$A$6000,0)),"")</f>
        <v/>
      </c>
      <c r="R1140" t="inlineStr">
        <is>
          <t>да</t>
        </is>
      </c>
      <c r="T1140">
        <f>IF(AND($P1140&gt;0,$R1140="да"),MAX($T$1:$T1139)+1,"")</f>
        <v/>
      </c>
    </row>
    <row r="1141">
      <c r="A1141" s="11">
        <f>IFERROR(INDEX(спр_Работы!$D$2:$D$6000,MATCH($C1141,спр_Работы!$A$2:$A$6000,0)),"")</f>
        <v/>
      </c>
      <c r="B1141">
        <f>IFERROR(INDEX(спр_Работы!$F$2:$F$6000,MATCH($C1141,спр_Работы!$A$2:$A$6000,0)),"")</f>
        <v/>
      </c>
      <c r="C1141">
        <f>IFERROR(INDEX(спр_Работы!$A$2:$A$6000,1140),"")</f>
        <v/>
      </c>
      <c r="D1141" s="8">
        <f>IFERROR(INDEX(спр_Работы!$B$2:$B$6000,MATCH($C1141,спр_Работы!$A$2:$A$6000,0)),"")</f>
        <v/>
      </c>
      <c r="E1141">
        <f>IFERROR(INDEX(спр_Работы!$C$2:$C$6000,MATCH($C1141,спр_Работы!$A$2:$A$6000,0)),"")</f>
        <v/>
      </c>
      <c r="F1141">
        <f>IFERROR(INDEX(спр_Работы!$G$2:$G$6000,MATCH($C1141,спр_Работы!$A$2:$A$6000,0)),"")</f>
        <v/>
      </c>
      <c r="G1141">
        <f>IFERROR(INDEX(спр_Работы!$K$2:$K$6000,MATCH($C1141,спр_Работы!$A$2:$A$6000,0)),"")</f>
        <v/>
      </c>
      <c r="H1141" s="9" t="n"/>
      <c r="I1141" s="9" t="n"/>
      <c r="J1141" s="8">
        <f>IFERROR(INDEX(спр_Материалы!$B$2:$B$9000,MATCH($I1141,спр_Материалы!$A$2:$A$9000,0)),"")</f>
        <v/>
      </c>
      <c r="K1141">
        <f>IF($I1141="","",IF($F1141=IFERROR(INDEX(спр_Материалы!$G$2:$G$9000,MATCH($I1141,спр_Материалы!$A$2:$A$9000,0)),""),"OK","!! не та группа"))</f>
        <v/>
      </c>
      <c r="L1141" s="10">
        <f>IFERROR(INDEX(спр_Работы!$H$2:$H$6000,MATCH($C1141,спр_Работы!$A$2:$A$6000,0))*(1-ДисконтТендер),0)</f>
        <v/>
      </c>
      <c r="M1141" s="10">
        <f>IF($I1141="",0,IFERROR(INDEX(спр_Материалы!$I$2:$I$9000,MATCH($I1141,спр_Материалы!$A$2:$A$9000,0))*IF(INDEX(спр_Материалы!$J$2:$J$9000,MATCH($I1141,спр_Материалы!$A$2:$A$9000,0))="USD",КурсUSD,IF(INDEX(спр_Материалы!$J$2:$J$9000,MATCH($I1141,спр_Материалы!$A$2:$A$9000,0))="EUR",КурсEUR,1))*INDEX(спр_Материалы!$K$2:$K$9000,MATCH($I1141,спр_Материалы!$A$2:$A$9000,0))*(1+IFERROR(INDEX(спр_Работы!$I$2:$I$6000,MATCH($C1141,спр_Работы!$A$2:$A$6000,0))/100,0))*(1-ДисконтТендер),0))</f>
        <v/>
      </c>
      <c r="N1141" s="10">
        <f>IF(AND($R1141="да",$H1141&lt;&gt;""),ROUND($H1141*$L1141,2),0)</f>
        <v/>
      </c>
      <c r="O1141" s="10">
        <f>IF(AND($R1141="да",$H1141&lt;&gt;""),ROUND($H1141*$M1141,2),0)</f>
        <v/>
      </c>
      <c r="P1141" s="10">
        <f>$N1141+$O1141</f>
        <v/>
      </c>
      <c r="Q1141">
        <f>IFERROR(INDEX(спр_Работы!$J$2:$J$6000,MATCH($C1141,спр_Работы!$A$2:$A$6000,0)),"")</f>
        <v/>
      </c>
      <c r="R1141" t="inlineStr">
        <is>
          <t>да</t>
        </is>
      </c>
      <c r="T1141">
        <f>IF(AND($P1141&gt;0,$R1141="да"),MAX($T$1:$T1140)+1,"")</f>
        <v/>
      </c>
    </row>
    <row r="1142">
      <c r="A1142" s="11">
        <f>IFERROR(INDEX(спр_Работы!$D$2:$D$6000,MATCH($C1142,спр_Работы!$A$2:$A$6000,0)),"")</f>
        <v/>
      </c>
      <c r="B1142">
        <f>IFERROR(INDEX(спр_Работы!$F$2:$F$6000,MATCH($C1142,спр_Работы!$A$2:$A$6000,0)),"")</f>
        <v/>
      </c>
      <c r="C1142">
        <f>IFERROR(INDEX(спр_Работы!$A$2:$A$6000,1141),"")</f>
        <v/>
      </c>
      <c r="D1142" s="8">
        <f>IFERROR(INDEX(спр_Работы!$B$2:$B$6000,MATCH($C1142,спр_Работы!$A$2:$A$6000,0)),"")</f>
        <v/>
      </c>
      <c r="E1142">
        <f>IFERROR(INDEX(спр_Работы!$C$2:$C$6000,MATCH($C1142,спр_Работы!$A$2:$A$6000,0)),"")</f>
        <v/>
      </c>
      <c r="F1142">
        <f>IFERROR(INDEX(спр_Работы!$G$2:$G$6000,MATCH($C1142,спр_Работы!$A$2:$A$6000,0)),"")</f>
        <v/>
      </c>
      <c r="G1142">
        <f>IFERROR(INDEX(спр_Работы!$K$2:$K$6000,MATCH($C1142,спр_Работы!$A$2:$A$6000,0)),"")</f>
        <v/>
      </c>
      <c r="H1142" s="9" t="n"/>
      <c r="I1142" s="9" t="n"/>
      <c r="J1142" s="8">
        <f>IFERROR(INDEX(спр_Материалы!$B$2:$B$9000,MATCH($I1142,спр_Материалы!$A$2:$A$9000,0)),"")</f>
        <v/>
      </c>
      <c r="K1142">
        <f>IF($I1142="","",IF($F1142=IFERROR(INDEX(спр_Материалы!$G$2:$G$9000,MATCH($I1142,спр_Материалы!$A$2:$A$9000,0)),""),"OK","!! не та группа"))</f>
        <v/>
      </c>
      <c r="L1142" s="10">
        <f>IFERROR(INDEX(спр_Работы!$H$2:$H$6000,MATCH($C1142,спр_Работы!$A$2:$A$6000,0))*(1-ДисконтТендер),0)</f>
        <v/>
      </c>
      <c r="M1142" s="10">
        <f>IF($I1142="",0,IFERROR(INDEX(спр_Материалы!$I$2:$I$9000,MATCH($I1142,спр_Материалы!$A$2:$A$9000,0))*IF(INDEX(спр_Материалы!$J$2:$J$9000,MATCH($I1142,спр_Материалы!$A$2:$A$9000,0))="USD",КурсUSD,IF(INDEX(спр_Материалы!$J$2:$J$9000,MATCH($I1142,спр_Материалы!$A$2:$A$9000,0))="EUR",КурсEUR,1))*INDEX(спр_Материалы!$K$2:$K$9000,MATCH($I1142,спр_Материалы!$A$2:$A$9000,0))*(1+IFERROR(INDEX(спр_Работы!$I$2:$I$6000,MATCH($C1142,спр_Работы!$A$2:$A$6000,0))/100,0))*(1-ДисконтТендер),0))</f>
        <v/>
      </c>
      <c r="N1142" s="10">
        <f>IF(AND($R1142="да",$H1142&lt;&gt;""),ROUND($H1142*$L1142,2),0)</f>
        <v/>
      </c>
      <c r="O1142" s="10">
        <f>IF(AND($R1142="да",$H1142&lt;&gt;""),ROUND($H1142*$M1142,2),0)</f>
        <v/>
      </c>
      <c r="P1142" s="10">
        <f>$N1142+$O1142</f>
        <v/>
      </c>
      <c r="Q1142">
        <f>IFERROR(INDEX(спр_Работы!$J$2:$J$6000,MATCH($C1142,спр_Работы!$A$2:$A$6000,0)),"")</f>
        <v/>
      </c>
      <c r="R1142" t="inlineStr">
        <is>
          <t>да</t>
        </is>
      </c>
      <c r="T1142">
        <f>IF(AND($P1142&gt;0,$R1142="да"),MAX($T$1:$T1141)+1,"")</f>
        <v/>
      </c>
    </row>
    <row r="1143">
      <c r="A1143" s="11">
        <f>IFERROR(INDEX(спр_Работы!$D$2:$D$6000,MATCH($C1143,спр_Работы!$A$2:$A$6000,0)),"")</f>
        <v/>
      </c>
      <c r="B1143">
        <f>IFERROR(INDEX(спр_Работы!$F$2:$F$6000,MATCH($C1143,спр_Работы!$A$2:$A$6000,0)),"")</f>
        <v/>
      </c>
      <c r="C1143">
        <f>IFERROR(INDEX(спр_Работы!$A$2:$A$6000,1142),"")</f>
        <v/>
      </c>
      <c r="D1143" s="8">
        <f>IFERROR(INDEX(спр_Работы!$B$2:$B$6000,MATCH($C1143,спр_Работы!$A$2:$A$6000,0)),"")</f>
        <v/>
      </c>
      <c r="E1143">
        <f>IFERROR(INDEX(спр_Работы!$C$2:$C$6000,MATCH($C1143,спр_Работы!$A$2:$A$6000,0)),"")</f>
        <v/>
      </c>
      <c r="F1143">
        <f>IFERROR(INDEX(спр_Работы!$G$2:$G$6000,MATCH($C1143,спр_Работы!$A$2:$A$6000,0)),"")</f>
        <v/>
      </c>
      <c r="G1143">
        <f>IFERROR(INDEX(спр_Работы!$K$2:$K$6000,MATCH($C1143,спр_Работы!$A$2:$A$6000,0)),"")</f>
        <v/>
      </c>
      <c r="H1143" s="9" t="n"/>
      <c r="I1143" s="9" t="n"/>
      <c r="J1143" s="8">
        <f>IFERROR(INDEX(спр_Материалы!$B$2:$B$9000,MATCH($I1143,спр_Материалы!$A$2:$A$9000,0)),"")</f>
        <v/>
      </c>
      <c r="K1143">
        <f>IF($I1143="","",IF($F1143=IFERROR(INDEX(спр_Материалы!$G$2:$G$9000,MATCH($I1143,спр_Материалы!$A$2:$A$9000,0)),""),"OK","!! не та группа"))</f>
        <v/>
      </c>
      <c r="L1143" s="10">
        <f>IFERROR(INDEX(спр_Работы!$H$2:$H$6000,MATCH($C1143,спр_Работы!$A$2:$A$6000,0))*(1-ДисконтТендер),0)</f>
        <v/>
      </c>
      <c r="M1143" s="10">
        <f>IF($I1143="",0,IFERROR(INDEX(спр_Материалы!$I$2:$I$9000,MATCH($I1143,спр_Материалы!$A$2:$A$9000,0))*IF(INDEX(спр_Материалы!$J$2:$J$9000,MATCH($I1143,спр_Материалы!$A$2:$A$9000,0))="USD",КурсUSD,IF(INDEX(спр_Материалы!$J$2:$J$9000,MATCH($I1143,спр_Материалы!$A$2:$A$9000,0))="EUR",КурсEUR,1))*INDEX(спр_Материалы!$K$2:$K$9000,MATCH($I1143,спр_Материалы!$A$2:$A$9000,0))*(1+IFERROR(INDEX(спр_Работы!$I$2:$I$6000,MATCH($C1143,спр_Работы!$A$2:$A$6000,0))/100,0))*(1-ДисконтТендер),0))</f>
        <v/>
      </c>
      <c r="N1143" s="10">
        <f>IF(AND($R1143="да",$H1143&lt;&gt;""),ROUND($H1143*$L1143,2),0)</f>
        <v/>
      </c>
      <c r="O1143" s="10">
        <f>IF(AND($R1143="да",$H1143&lt;&gt;""),ROUND($H1143*$M1143,2),0)</f>
        <v/>
      </c>
      <c r="P1143" s="10">
        <f>$N1143+$O1143</f>
        <v/>
      </c>
      <c r="Q1143">
        <f>IFERROR(INDEX(спр_Работы!$J$2:$J$6000,MATCH($C1143,спр_Работы!$A$2:$A$6000,0)),"")</f>
        <v/>
      </c>
      <c r="R1143" t="inlineStr">
        <is>
          <t>да</t>
        </is>
      </c>
      <c r="T1143">
        <f>IF(AND($P1143&gt;0,$R1143="да"),MAX($T$1:$T1142)+1,"")</f>
        <v/>
      </c>
    </row>
    <row r="1144">
      <c r="A1144" s="11">
        <f>IFERROR(INDEX(спр_Работы!$D$2:$D$6000,MATCH($C1144,спр_Работы!$A$2:$A$6000,0)),"")</f>
        <v/>
      </c>
      <c r="B1144">
        <f>IFERROR(INDEX(спр_Работы!$F$2:$F$6000,MATCH($C1144,спр_Работы!$A$2:$A$6000,0)),"")</f>
        <v/>
      </c>
      <c r="C1144">
        <f>IFERROR(INDEX(спр_Работы!$A$2:$A$6000,1143),"")</f>
        <v/>
      </c>
      <c r="D1144" s="8">
        <f>IFERROR(INDEX(спр_Работы!$B$2:$B$6000,MATCH($C1144,спр_Работы!$A$2:$A$6000,0)),"")</f>
        <v/>
      </c>
      <c r="E1144">
        <f>IFERROR(INDEX(спр_Работы!$C$2:$C$6000,MATCH($C1144,спр_Работы!$A$2:$A$6000,0)),"")</f>
        <v/>
      </c>
      <c r="F1144">
        <f>IFERROR(INDEX(спр_Работы!$G$2:$G$6000,MATCH($C1144,спр_Работы!$A$2:$A$6000,0)),"")</f>
        <v/>
      </c>
      <c r="G1144">
        <f>IFERROR(INDEX(спр_Работы!$K$2:$K$6000,MATCH($C1144,спр_Работы!$A$2:$A$6000,0)),"")</f>
        <v/>
      </c>
      <c r="H1144" s="9" t="n"/>
      <c r="I1144" s="9" t="n"/>
      <c r="J1144" s="8">
        <f>IFERROR(INDEX(спр_Материалы!$B$2:$B$9000,MATCH($I1144,спр_Материалы!$A$2:$A$9000,0)),"")</f>
        <v/>
      </c>
      <c r="K1144">
        <f>IF($I1144="","",IF($F1144=IFERROR(INDEX(спр_Материалы!$G$2:$G$9000,MATCH($I1144,спр_Материалы!$A$2:$A$9000,0)),""),"OK","!! не та группа"))</f>
        <v/>
      </c>
      <c r="L1144" s="10">
        <f>IFERROR(INDEX(спр_Работы!$H$2:$H$6000,MATCH($C1144,спр_Работы!$A$2:$A$6000,0))*(1-ДисконтТендер),0)</f>
        <v/>
      </c>
      <c r="M1144" s="10">
        <f>IF($I1144="",0,IFERROR(INDEX(спр_Материалы!$I$2:$I$9000,MATCH($I1144,спр_Материалы!$A$2:$A$9000,0))*IF(INDEX(спр_Материалы!$J$2:$J$9000,MATCH($I1144,спр_Материалы!$A$2:$A$9000,0))="USD",КурсUSD,IF(INDEX(спр_Материалы!$J$2:$J$9000,MATCH($I1144,спр_Материалы!$A$2:$A$9000,0))="EUR",КурсEUR,1))*INDEX(спр_Материалы!$K$2:$K$9000,MATCH($I1144,спр_Материалы!$A$2:$A$9000,0))*(1+IFERROR(INDEX(спр_Работы!$I$2:$I$6000,MATCH($C1144,спр_Работы!$A$2:$A$6000,0))/100,0))*(1-ДисконтТендер),0))</f>
        <v/>
      </c>
      <c r="N1144" s="10">
        <f>IF(AND($R1144="да",$H1144&lt;&gt;""),ROUND($H1144*$L1144,2),0)</f>
        <v/>
      </c>
      <c r="O1144" s="10">
        <f>IF(AND($R1144="да",$H1144&lt;&gt;""),ROUND($H1144*$M1144,2),0)</f>
        <v/>
      </c>
      <c r="P1144" s="10">
        <f>$N1144+$O1144</f>
        <v/>
      </c>
      <c r="Q1144">
        <f>IFERROR(INDEX(спр_Работы!$J$2:$J$6000,MATCH($C1144,спр_Работы!$A$2:$A$6000,0)),"")</f>
        <v/>
      </c>
      <c r="R1144" t="inlineStr">
        <is>
          <t>да</t>
        </is>
      </c>
      <c r="T1144">
        <f>IF(AND($P1144&gt;0,$R1144="да"),MAX($T$1:$T1143)+1,"")</f>
        <v/>
      </c>
    </row>
    <row r="1145">
      <c r="A1145" s="11">
        <f>IFERROR(INDEX(спр_Работы!$D$2:$D$6000,MATCH($C1145,спр_Работы!$A$2:$A$6000,0)),"")</f>
        <v/>
      </c>
      <c r="B1145">
        <f>IFERROR(INDEX(спр_Работы!$F$2:$F$6000,MATCH($C1145,спр_Работы!$A$2:$A$6000,0)),"")</f>
        <v/>
      </c>
      <c r="C1145">
        <f>IFERROR(INDEX(спр_Работы!$A$2:$A$6000,1144),"")</f>
        <v/>
      </c>
      <c r="D1145" s="8">
        <f>IFERROR(INDEX(спр_Работы!$B$2:$B$6000,MATCH($C1145,спр_Работы!$A$2:$A$6000,0)),"")</f>
        <v/>
      </c>
      <c r="E1145">
        <f>IFERROR(INDEX(спр_Работы!$C$2:$C$6000,MATCH($C1145,спр_Работы!$A$2:$A$6000,0)),"")</f>
        <v/>
      </c>
      <c r="F1145">
        <f>IFERROR(INDEX(спр_Работы!$G$2:$G$6000,MATCH($C1145,спр_Работы!$A$2:$A$6000,0)),"")</f>
        <v/>
      </c>
      <c r="G1145">
        <f>IFERROR(INDEX(спр_Работы!$K$2:$K$6000,MATCH($C1145,спр_Работы!$A$2:$A$6000,0)),"")</f>
        <v/>
      </c>
      <c r="H1145" s="9" t="n"/>
      <c r="I1145" s="9" t="n"/>
      <c r="J1145" s="8">
        <f>IFERROR(INDEX(спр_Материалы!$B$2:$B$9000,MATCH($I1145,спр_Материалы!$A$2:$A$9000,0)),"")</f>
        <v/>
      </c>
      <c r="K1145">
        <f>IF($I1145="","",IF($F1145=IFERROR(INDEX(спр_Материалы!$G$2:$G$9000,MATCH($I1145,спр_Материалы!$A$2:$A$9000,0)),""),"OK","!! не та группа"))</f>
        <v/>
      </c>
      <c r="L1145" s="10">
        <f>IFERROR(INDEX(спр_Работы!$H$2:$H$6000,MATCH($C1145,спр_Работы!$A$2:$A$6000,0))*(1-ДисконтТендер),0)</f>
        <v/>
      </c>
      <c r="M1145" s="10">
        <f>IF($I1145="",0,IFERROR(INDEX(спр_Материалы!$I$2:$I$9000,MATCH($I1145,спр_Материалы!$A$2:$A$9000,0))*IF(INDEX(спр_Материалы!$J$2:$J$9000,MATCH($I1145,спр_Материалы!$A$2:$A$9000,0))="USD",КурсUSD,IF(INDEX(спр_Материалы!$J$2:$J$9000,MATCH($I1145,спр_Материалы!$A$2:$A$9000,0))="EUR",КурсEUR,1))*INDEX(спр_Материалы!$K$2:$K$9000,MATCH($I1145,спр_Материалы!$A$2:$A$9000,0))*(1+IFERROR(INDEX(спр_Работы!$I$2:$I$6000,MATCH($C1145,спр_Работы!$A$2:$A$6000,0))/100,0))*(1-ДисконтТендер),0))</f>
        <v/>
      </c>
      <c r="N1145" s="10">
        <f>IF(AND($R1145="да",$H1145&lt;&gt;""),ROUND($H1145*$L1145,2),0)</f>
        <v/>
      </c>
      <c r="O1145" s="10">
        <f>IF(AND($R1145="да",$H1145&lt;&gt;""),ROUND($H1145*$M1145,2),0)</f>
        <v/>
      </c>
      <c r="P1145" s="10">
        <f>$N1145+$O1145</f>
        <v/>
      </c>
      <c r="Q1145">
        <f>IFERROR(INDEX(спр_Работы!$J$2:$J$6000,MATCH($C1145,спр_Работы!$A$2:$A$6000,0)),"")</f>
        <v/>
      </c>
      <c r="R1145" t="inlineStr">
        <is>
          <t>да</t>
        </is>
      </c>
      <c r="T1145">
        <f>IF(AND($P1145&gt;0,$R1145="да"),MAX($T$1:$T1144)+1,"")</f>
        <v/>
      </c>
    </row>
    <row r="1146">
      <c r="A1146" s="11">
        <f>IFERROR(INDEX(спр_Работы!$D$2:$D$6000,MATCH($C1146,спр_Работы!$A$2:$A$6000,0)),"")</f>
        <v/>
      </c>
      <c r="B1146">
        <f>IFERROR(INDEX(спр_Работы!$F$2:$F$6000,MATCH($C1146,спр_Работы!$A$2:$A$6000,0)),"")</f>
        <v/>
      </c>
      <c r="C1146">
        <f>IFERROR(INDEX(спр_Работы!$A$2:$A$6000,1145),"")</f>
        <v/>
      </c>
      <c r="D1146" s="8">
        <f>IFERROR(INDEX(спр_Работы!$B$2:$B$6000,MATCH($C1146,спр_Работы!$A$2:$A$6000,0)),"")</f>
        <v/>
      </c>
      <c r="E1146">
        <f>IFERROR(INDEX(спр_Работы!$C$2:$C$6000,MATCH($C1146,спр_Работы!$A$2:$A$6000,0)),"")</f>
        <v/>
      </c>
      <c r="F1146">
        <f>IFERROR(INDEX(спр_Работы!$G$2:$G$6000,MATCH($C1146,спр_Работы!$A$2:$A$6000,0)),"")</f>
        <v/>
      </c>
      <c r="G1146">
        <f>IFERROR(INDEX(спр_Работы!$K$2:$K$6000,MATCH($C1146,спр_Работы!$A$2:$A$6000,0)),"")</f>
        <v/>
      </c>
      <c r="H1146" s="9" t="n"/>
      <c r="I1146" s="9" t="n"/>
      <c r="J1146" s="8">
        <f>IFERROR(INDEX(спр_Материалы!$B$2:$B$9000,MATCH($I1146,спр_Материалы!$A$2:$A$9000,0)),"")</f>
        <v/>
      </c>
      <c r="K1146">
        <f>IF($I1146="","",IF($F1146=IFERROR(INDEX(спр_Материалы!$G$2:$G$9000,MATCH($I1146,спр_Материалы!$A$2:$A$9000,0)),""),"OK","!! не та группа"))</f>
        <v/>
      </c>
      <c r="L1146" s="10">
        <f>IFERROR(INDEX(спр_Работы!$H$2:$H$6000,MATCH($C1146,спр_Работы!$A$2:$A$6000,0))*(1-ДисконтТендер),0)</f>
        <v/>
      </c>
      <c r="M1146" s="10">
        <f>IF($I1146="",0,IFERROR(INDEX(спр_Материалы!$I$2:$I$9000,MATCH($I1146,спр_Материалы!$A$2:$A$9000,0))*IF(INDEX(спр_Материалы!$J$2:$J$9000,MATCH($I1146,спр_Материалы!$A$2:$A$9000,0))="USD",КурсUSD,IF(INDEX(спр_Материалы!$J$2:$J$9000,MATCH($I1146,спр_Материалы!$A$2:$A$9000,0))="EUR",КурсEUR,1))*INDEX(спр_Материалы!$K$2:$K$9000,MATCH($I1146,спр_Материалы!$A$2:$A$9000,0))*(1+IFERROR(INDEX(спр_Работы!$I$2:$I$6000,MATCH($C1146,спр_Работы!$A$2:$A$6000,0))/100,0))*(1-ДисконтТендер),0))</f>
        <v/>
      </c>
      <c r="N1146" s="10">
        <f>IF(AND($R1146="да",$H1146&lt;&gt;""),ROUND($H1146*$L1146,2),0)</f>
        <v/>
      </c>
      <c r="O1146" s="10">
        <f>IF(AND($R1146="да",$H1146&lt;&gt;""),ROUND($H1146*$M1146,2),0)</f>
        <v/>
      </c>
      <c r="P1146" s="10">
        <f>$N1146+$O1146</f>
        <v/>
      </c>
      <c r="Q1146">
        <f>IFERROR(INDEX(спр_Работы!$J$2:$J$6000,MATCH($C1146,спр_Работы!$A$2:$A$6000,0)),"")</f>
        <v/>
      </c>
      <c r="R1146" t="inlineStr">
        <is>
          <t>да</t>
        </is>
      </c>
      <c r="T1146">
        <f>IF(AND($P1146&gt;0,$R1146="да"),MAX($T$1:$T1145)+1,"")</f>
        <v/>
      </c>
    </row>
    <row r="1147">
      <c r="A1147" s="11">
        <f>IFERROR(INDEX(спр_Работы!$D$2:$D$6000,MATCH($C1147,спр_Работы!$A$2:$A$6000,0)),"")</f>
        <v/>
      </c>
      <c r="B1147">
        <f>IFERROR(INDEX(спр_Работы!$F$2:$F$6000,MATCH($C1147,спр_Работы!$A$2:$A$6000,0)),"")</f>
        <v/>
      </c>
      <c r="C1147">
        <f>IFERROR(INDEX(спр_Работы!$A$2:$A$6000,1146),"")</f>
        <v/>
      </c>
      <c r="D1147" s="8">
        <f>IFERROR(INDEX(спр_Работы!$B$2:$B$6000,MATCH($C1147,спр_Работы!$A$2:$A$6000,0)),"")</f>
        <v/>
      </c>
      <c r="E1147">
        <f>IFERROR(INDEX(спр_Работы!$C$2:$C$6000,MATCH($C1147,спр_Работы!$A$2:$A$6000,0)),"")</f>
        <v/>
      </c>
      <c r="F1147">
        <f>IFERROR(INDEX(спр_Работы!$G$2:$G$6000,MATCH($C1147,спр_Работы!$A$2:$A$6000,0)),"")</f>
        <v/>
      </c>
      <c r="G1147">
        <f>IFERROR(INDEX(спр_Работы!$K$2:$K$6000,MATCH($C1147,спр_Работы!$A$2:$A$6000,0)),"")</f>
        <v/>
      </c>
      <c r="H1147" s="9" t="n"/>
      <c r="I1147" s="9" t="n"/>
      <c r="J1147" s="8">
        <f>IFERROR(INDEX(спр_Материалы!$B$2:$B$9000,MATCH($I1147,спр_Материалы!$A$2:$A$9000,0)),"")</f>
        <v/>
      </c>
      <c r="K1147">
        <f>IF($I1147="","",IF($F1147=IFERROR(INDEX(спр_Материалы!$G$2:$G$9000,MATCH($I1147,спр_Материалы!$A$2:$A$9000,0)),""),"OK","!! не та группа"))</f>
        <v/>
      </c>
      <c r="L1147" s="10">
        <f>IFERROR(INDEX(спр_Работы!$H$2:$H$6000,MATCH($C1147,спр_Работы!$A$2:$A$6000,0))*(1-ДисконтТендер),0)</f>
        <v/>
      </c>
      <c r="M1147" s="10">
        <f>IF($I1147="",0,IFERROR(INDEX(спр_Материалы!$I$2:$I$9000,MATCH($I1147,спр_Материалы!$A$2:$A$9000,0))*IF(INDEX(спр_Материалы!$J$2:$J$9000,MATCH($I1147,спр_Материалы!$A$2:$A$9000,0))="USD",КурсUSD,IF(INDEX(спр_Материалы!$J$2:$J$9000,MATCH($I1147,спр_Материалы!$A$2:$A$9000,0))="EUR",КурсEUR,1))*INDEX(спр_Материалы!$K$2:$K$9000,MATCH($I1147,спр_Материалы!$A$2:$A$9000,0))*(1+IFERROR(INDEX(спр_Работы!$I$2:$I$6000,MATCH($C1147,спр_Работы!$A$2:$A$6000,0))/100,0))*(1-ДисконтТендер),0))</f>
        <v/>
      </c>
      <c r="N1147" s="10">
        <f>IF(AND($R1147="да",$H1147&lt;&gt;""),ROUND($H1147*$L1147,2),0)</f>
        <v/>
      </c>
      <c r="O1147" s="10">
        <f>IF(AND($R1147="да",$H1147&lt;&gt;""),ROUND($H1147*$M1147,2),0)</f>
        <v/>
      </c>
      <c r="P1147" s="10">
        <f>$N1147+$O1147</f>
        <v/>
      </c>
      <c r="Q1147">
        <f>IFERROR(INDEX(спр_Работы!$J$2:$J$6000,MATCH($C1147,спр_Работы!$A$2:$A$6000,0)),"")</f>
        <v/>
      </c>
      <c r="R1147" t="inlineStr">
        <is>
          <t>да</t>
        </is>
      </c>
      <c r="T1147">
        <f>IF(AND($P1147&gt;0,$R1147="да"),MAX($T$1:$T1146)+1,"")</f>
        <v/>
      </c>
    </row>
    <row r="1148">
      <c r="A1148" s="11">
        <f>IFERROR(INDEX(спр_Работы!$D$2:$D$6000,MATCH($C1148,спр_Работы!$A$2:$A$6000,0)),"")</f>
        <v/>
      </c>
      <c r="B1148">
        <f>IFERROR(INDEX(спр_Работы!$F$2:$F$6000,MATCH($C1148,спр_Работы!$A$2:$A$6000,0)),"")</f>
        <v/>
      </c>
      <c r="C1148">
        <f>IFERROR(INDEX(спр_Работы!$A$2:$A$6000,1147),"")</f>
        <v/>
      </c>
      <c r="D1148" s="8">
        <f>IFERROR(INDEX(спр_Работы!$B$2:$B$6000,MATCH($C1148,спр_Работы!$A$2:$A$6000,0)),"")</f>
        <v/>
      </c>
      <c r="E1148">
        <f>IFERROR(INDEX(спр_Работы!$C$2:$C$6000,MATCH($C1148,спр_Работы!$A$2:$A$6000,0)),"")</f>
        <v/>
      </c>
      <c r="F1148">
        <f>IFERROR(INDEX(спр_Работы!$G$2:$G$6000,MATCH($C1148,спр_Работы!$A$2:$A$6000,0)),"")</f>
        <v/>
      </c>
      <c r="G1148">
        <f>IFERROR(INDEX(спр_Работы!$K$2:$K$6000,MATCH($C1148,спр_Работы!$A$2:$A$6000,0)),"")</f>
        <v/>
      </c>
      <c r="H1148" s="9" t="n"/>
      <c r="I1148" s="9" t="n"/>
      <c r="J1148" s="8">
        <f>IFERROR(INDEX(спр_Материалы!$B$2:$B$9000,MATCH($I1148,спр_Материалы!$A$2:$A$9000,0)),"")</f>
        <v/>
      </c>
      <c r="K1148">
        <f>IF($I1148="","",IF($F1148=IFERROR(INDEX(спр_Материалы!$G$2:$G$9000,MATCH($I1148,спр_Материалы!$A$2:$A$9000,0)),""),"OK","!! не та группа"))</f>
        <v/>
      </c>
      <c r="L1148" s="10">
        <f>IFERROR(INDEX(спр_Работы!$H$2:$H$6000,MATCH($C1148,спр_Работы!$A$2:$A$6000,0))*(1-ДисконтТендер),0)</f>
        <v/>
      </c>
      <c r="M1148" s="10">
        <f>IF($I1148="",0,IFERROR(INDEX(спр_Материалы!$I$2:$I$9000,MATCH($I1148,спр_Материалы!$A$2:$A$9000,0))*IF(INDEX(спр_Материалы!$J$2:$J$9000,MATCH($I1148,спр_Материалы!$A$2:$A$9000,0))="USD",КурсUSD,IF(INDEX(спр_Материалы!$J$2:$J$9000,MATCH($I1148,спр_Материалы!$A$2:$A$9000,0))="EUR",КурсEUR,1))*INDEX(спр_Материалы!$K$2:$K$9000,MATCH($I1148,спр_Материалы!$A$2:$A$9000,0))*(1+IFERROR(INDEX(спр_Работы!$I$2:$I$6000,MATCH($C1148,спр_Работы!$A$2:$A$6000,0))/100,0))*(1-ДисконтТендер),0))</f>
        <v/>
      </c>
      <c r="N1148" s="10">
        <f>IF(AND($R1148="да",$H1148&lt;&gt;""),ROUND($H1148*$L1148,2),0)</f>
        <v/>
      </c>
      <c r="O1148" s="10">
        <f>IF(AND($R1148="да",$H1148&lt;&gt;""),ROUND($H1148*$M1148,2),0)</f>
        <v/>
      </c>
      <c r="P1148" s="10">
        <f>$N1148+$O1148</f>
        <v/>
      </c>
      <c r="Q1148">
        <f>IFERROR(INDEX(спр_Работы!$J$2:$J$6000,MATCH($C1148,спр_Работы!$A$2:$A$6000,0)),"")</f>
        <v/>
      </c>
      <c r="R1148" t="inlineStr">
        <is>
          <t>да</t>
        </is>
      </c>
      <c r="T1148">
        <f>IF(AND($P1148&gt;0,$R1148="да"),MAX($T$1:$T1147)+1,"")</f>
        <v/>
      </c>
    </row>
    <row r="1149">
      <c r="A1149" s="11">
        <f>IFERROR(INDEX(спр_Работы!$D$2:$D$6000,MATCH($C1149,спр_Работы!$A$2:$A$6000,0)),"")</f>
        <v/>
      </c>
      <c r="B1149">
        <f>IFERROR(INDEX(спр_Работы!$F$2:$F$6000,MATCH($C1149,спр_Работы!$A$2:$A$6000,0)),"")</f>
        <v/>
      </c>
      <c r="C1149">
        <f>IFERROR(INDEX(спр_Работы!$A$2:$A$6000,1148),"")</f>
        <v/>
      </c>
      <c r="D1149" s="8">
        <f>IFERROR(INDEX(спр_Работы!$B$2:$B$6000,MATCH($C1149,спр_Работы!$A$2:$A$6000,0)),"")</f>
        <v/>
      </c>
      <c r="E1149">
        <f>IFERROR(INDEX(спр_Работы!$C$2:$C$6000,MATCH($C1149,спр_Работы!$A$2:$A$6000,0)),"")</f>
        <v/>
      </c>
      <c r="F1149">
        <f>IFERROR(INDEX(спр_Работы!$G$2:$G$6000,MATCH($C1149,спр_Работы!$A$2:$A$6000,0)),"")</f>
        <v/>
      </c>
      <c r="G1149">
        <f>IFERROR(INDEX(спр_Работы!$K$2:$K$6000,MATCH($C1149,спр_Работы!$A$2:$A$6000,0)),"")</f>
        <v/>
      </c>
      <c r="H1149" s="9" t="n"/>
      <c r="I1149" s="9" t="n"/>
      <c r="J1149" s="8">
        <f>IFERROR(INDEX(спр_Материалы!$B$2:$B$9000,MATCH($I1149,спр_Материалы!$A$2:$A$9000,0)),"")</f>
        <v/>
      </c>
      <c r="K1149">
        <f>IF($I1149="","",IF($F1149=IFERROR(INDEX(спр_Материалы!$G$2:$G$9000,MATCH($I1149,спр_Материалы!$A$2:$A$9000,0)),""),"OK","!! не та группа"))</f>
        <v/>
      </c>
      <c r="L1149" s="10">
        <f>IFERROR(INDEX(спр_Работы!$H$2:$H$6000,MATCH($C1149,спр_Работы!$A$2:$A$6000,0))*(1-ДисконтТендер),0)</f>
        <v/>
      </c>
      <c r="M1149" s="10">
        <f>IF($I1149="",0,IFERROR(INDEX(спр_Материалы!$I$2:$I$9000,MATCH($I1149,спр_Материалы!$A$2:$A$9000,0))*IF(INDEX(спр_Материалы!$J$2:$J$9000,MATCH($I1149,спр_Материалы!$A$2:$A$9000,0))="USD",КурсUSD,IF(INDEX(спр_Материалы!$J$2:$J$9000,MATCH($I1149,спр_Материалы!$A$2:$A$9000,0))="EUR",КурсEUR,1))*INDEX(спр_Материалы!$K$2:$K$9000,MATCH($I1149,спр_Материалы!$A$2:$A$9000,0))*(1+IFERROR(INDEX(спр_Работы!$I$2:$I$6000,MATCH($C1149,спр_Работы!$A$2:$A$6000,0))/100,0))*(1-ДисконтТендер),0))</f>
        <v/>
      </c>
      <c r="N1149" s="10">
        <f>IF(AND($R1149="да",$H1149&lt;&gt;""),ROUND($H1149*$L1149,2),0)</f>
        <v/>
      </c>
      <c r="O1149" s="10">
        <f>IF(AND($R1149="да",$H1149&lt;&gt;""),ROUND($H1149*$M1149,2),0)</f>
        <v/>
      </c>
      <c r="P1149" s="10">
        <f>$N1149+$O1149</f>
        <v/>
      </c>
      <c r="Q1149">
        <f>IFERROR(INDEX(спр_Работы!$J$2:$J$6000,MATCH($C1149,спр_Работы!$A$2:$A$6000,0)),"")</f>
        <v/>
      </c>
      <c r="R1149" t="inlineStr">
        <is>
          <t>да</t>
        </is>
      </c>
      <c r="T1149">
        <f>IF(AND($P1149&gt;0,$R1149="да"),MAX($T$1:$T1148)+1,"")</f>
        <v/>
      </c>
    </row>
    <row r="1150">
      <c r="A1150" s="11">
        <f>IFERROR(INDEX(спр_Работы!$D$2:$D$6000,MATCH($C1150,спр_Работы!$A$2:$A$6000,0)),"")</f>
        <v/>
      </c>
      <c r="B1150">
        <f>IFERROR(INDEX(спр_Работы!$F$2:$F$6000,MATCH($C1150,спр_Работы!$A$2:$A$6000,0)),"")</f>
        <v/>
      </c>
      <c r="C1150">
        <f>IFERROR(INDEX(спр_Работы!$A$2:$A$6000,1149),"")</f>
        <v/>
      </c>
      <c r="D1150" s="8">
        <f>IFERROR(INDEX(спр_Работы!$B$2:$B$6000,MATCH($C1150,спр_Работы!$A$2:$A$6000,0)),"")</f>
        <v/>
      </c>
      <c r="E1150">
        <f>IFERROR(INDEX(спр_Работы!$C$2:$C$6000,MATCH($C1150,спр_Работы!$A$2:$A$6000,0)),"")</f>
        <v/>
      </c>
      <c r="F1150">
        <f>IFERROR(INDEX(спр_Работы!$G$2:$G$6000,MATCH($C1150,спр_Работы!$A$2:$A$6000,0)),"")</f>
        <v/>
      </c>
      <c r="G1150">
        <f>IFERROR(INDEX(спр_Работы!$K$2:$K$6000,MATCH($C1150,спр_Работы!$A$2:$A$6000,0)),"")</f>
        <v/>
      </c>
      <c r="H1150" s="9" t="n"/>
      <c r="I1150" s="9" t="n"/>
      <c r="J1150" s="8">
        <f>IFERROR(INDEX(спр_Материалы!$B$2:$B$9000,MATCH($I1150,спр_Материалы!$A$2:$A$9000,0)),"")</f>
        <v/>
      </c>
      <c r="K1150">
        <f>IF($I1150="","",IF($F1150=IFERROR(INDEX(спр_Материалы!$G$2:$G$9000,MATCH($I1150,спр_Материалы!$A$2:$A$9000,0)),""),"OK","!! не та группа"))</f>
        <v/>
      </c>
      <c r="L1150" s="10">
        <f>IFERROR(INDEX(спр_Работы!$H$2:$H$6000,MATCH($C1150,спр_Работы!$A$2:$A$6000,0))*(1-ДисконтТендер),0)</f>
        <v/>
      </c>
      <c r="M1150" s="10">
        <f>IF($I1150="",0,IFERROR(INDEX(спр_Материалы!$I$2:$I$9000,MATCH($I1150,спр_Материалы!$A$2:$A$9000,0))*IF(INDEX(спр_Материалы!$J$2:$J$9000,MATCH($I1150,спр_Материалы!$A$2:$A$9000,0))="USD",КурсUSD,IF(INDEX(спр_Материалы!$J$2:$J$9000,MATCH($I1150,спр_Материалы!$A$2:$A$9000,0))="EUR",КурсEUR,1))*INDEX(спр_Материалы!$K$2:$K$9000,MATCH($I1150,спр_Материалы!$A$2:$A$9000,0))*(1+IFERROR(INDEX(спр_Работы!$I$2:$I$6000,MATCH($C1150,спр_Работы!$A$2:$A$6000,0))/100,0))*(1-ДисконтТендер),0))</f>
        <v/>
      </c>
      <c r="N1150" s="10">
        <f>IF(AND($R1150="да",$H1150&lt;&gt;""),ROUND($H1150*$L1150,2),0)</f>
        <v/>
      </c>
      <c r="O1150" s="10">
        <f>IF(AND($R1150="да",$H1150&lt;&gt;""),ROUND($H1150*$M1150,2),0)</f>
        <v/>
      </c>
      <c r="P1150" s="10">
        <f>$N1150+$O1150</f>
        <v/>
      </c>
      <c r="Q1150">
        <f>IFERROR(INDEX(спр_Работы!$J$2:$J$6000,MATCH($C1150,спр_Работы!$A$2:$A$6000,0)),"")</f>
        <v/>
      </c>
      <c r="R1150" t="inlineStr">
        <is>
          <t>да</t>
        </is>
      </c>
      <c r="T1150">
        <f>IF(AND($P1150&gt;0,$R1150="да"),MAX($T$1:$T1149)+1,"")</f>
        <v/>
      </c>
    </row>
    <row r="1151">
      <c r="A1151" s="11">
        <f>IFERROR(INDEX(спр_Работы!$D$2:$D$6000,MATCH($C1151,спр_Работы!$A$2:$A$6000,0)),"")</f>
        <v/>
      </c>
      <c r="B1151">
        <f>IFERROR(INDEX(спр_Работы!$F$2:$F$6000,MATCH($C1151,спр_Работы!$A$2:$A$6000,0)),"")</f>
        <v/>
      </c>
      <c r="C1151">
        <f>IFERROR(INDEX(спр_Работы!$A$2:$A$6000,1150),"")</f>
        <v/>
      </c>
      <c r="D1151" s="8">
        <f>IFERROR(INDEX(спр_Работы!$B$2:$B$6000,MATCH($C1151,спр_Работы!$A$2:$A$6000,0)),"")</f>
        <v/>
      </c>
      <c r="E1151">
        <f>IFERROR(INDEX(спр_Работы!$C$2:$C$6000,MATCH($C1151,спр_Работы!$A$2:$A$6000,0)),"")</f>
        <v/>
      </c>
      <c r="F1151">
        <f>IFERROR(INDEX(спр_Работы!$G$2:$G$6000,MATCH($C1151,спр_Работы!$A$2:$A$6000,0)),"")</f>
        <v/>
      </c>
      <c r="G1151">
        <f>IFERROR(INDEX(спр_Работы!$K$2:$K$6000,MATCH($C1151,спр_Работы!$A$2:$A$6000,0)),"")</f>
        <v/>
      </c>
      <c r="H1151" s="9" t="n"/>
      <c r="I1151" s="9" t="n"/>
      <c r="J1151" s="8">
        <f>IFERROR(INDEX(спр_Материалы!$B$2:$B$9000,MATCH($I1151,спр_Материалы!$A$2:$A$9000,0)),"")</f>
        <v/>
      </c>
      <c r="K1151">
        <f>IF($I1151="","",IF($F1151=IFERROR(INDEX(спр_Материалы!$G$2:$G$9000,MATCH($I1151,спр_Материалы!$A$2:$A$9000,0)),""),"OK","!! не та группа"))</f>
        <v/>
      </c>
      <c r="L1151" s="10">
        <f>IFERROR(INDEX(спр_Работы!$H$2:$H$6000,MATCH($C1151,спр_Работы!$A$2:$A$6000,0))*(1-ДисконтТендер),0)</f>
        <v/>
      </c>
      <c r="M1151" s="10">
        <f>IF($I1151="",0,IFERROR(INDEX(спр_Материалы!$I$2:$I$9000,MATCH($I1151,спр_Материалы!$A$2:$A$9000,0))*IF(INDEX(спр_Материалы!$J$2:$J$9000,MATCH($I1151,спр_Материалы!$A$2:$A$9000,0))="USD",КурсUSD,IF(INDEX(спр_Материалы!$J$2:$J$9000,MATCH($I1151,спр_Материалы!$A$2:$A$9000,0))="EUR",КурсEUR,1))*INDEX(спр_Материалы!$K$2:$K$9000,MATCH($I1151,спр_Материалы!$A$2:$A$9000,0))*(1+IFERROR(INDEX(спр_Работы!$I$2:$I$6000,MATCH($C1151,спр_Работы!$A$2:$A$6000,0))/100,0))*(1-ДисконтТендер),0))</f>
        <v/>
      </c>
      <c r="N1151" s="10">
        <f>IF(AND($R1151="да",$H1151&lt;&gt;""),ROUND($H1151*$L1151,2),0)</f>
        <v/>
      </c>
      <c r="O1151" s="10">
        <f>IF(AND($R1151="да",$H1151&lt;&gt;""),ROUND($H1151*$M1151,2),0)</f>
        <v/>
      </c>
      <c r="P1151" s="10">
        <f>$N1151+$O1151</f>
        <v/>
      </c>
      <c r="Q1151">
        <f>IFERROR(INDEX(спр_Работы!$J$2:$J$6000,MATCH($C1151,спр_Работы!$A$2:$A$6000,0)),"")</f>
        <v/>
      </c>
      <c r="R1151" t="inlineStr">
        <is>
          <t>да</t>
        </is>
      </c>
      <c r="T1151">
        <f>IF(AND($P1151&gt;0,$R1151="да"),MAX($T$1:$T1150)+1,"")</f>
        <v/>
      </c>
    </row>
    <row r="1152">
      <c r="A1152" s="11">
        <f>IFERROR(INDEX(спр_Работы!$D$2:$D$6000,MATCH($C1152,спр_Работы!$A$2:$A$6000,0)),"")</f>
        <v/>
      </c>
      <c r="B1152">
        <f>IFERROR(INDEX(спр_Работы!$F$2:$F$6000,MATCH($C1152,спр_Работы!$A$2:$A$6000,0)),"")</f>
        <v/>
      </c>
      <c r="C1152">
        <f>IFERROR(INDEX(спр_Работы!$A$2:$A$6000,1151),"")</f>
        <v/>
      </c>
      <c r="D1152" s="8">
        <f>IFERROR(INDEX(спр_Работы!$B$2:$B$6000,MATCH($C1152,спр_Работы!$A$2:$A$6000,0)),"")</f>
        <v/>
      </c>
      <c r="E1152">
        <f>IFERROR(INDEX(спр_Работы!$C$2:$C$6000,MATCH($C1152,спр_Работы!$A$2:$A$6000,0)),"")</f>
        <v/>
      </c>
      <c r="F1152">
        <f>IFERROR(INDEX(спр_Работы!$G$2:$G$6000,MATCH($C1152,спр_Работы!$A$2:$A$6000,0)),"")</f>
        <v/>
      </c>
      <c r="G1152">
        <f>IFERROR(INDEX(спр_Работы!$K$2:$K$6000,MATCH($C1152,спр_Работы!$A$2:$A$6000,0)),"")</f>
        <v/>
      </c>
      <c r="H1152" s="9" t="n"/>
      <c r="I1152" s="9" t="n"/>
      <c r="J1152" s="8">
        <f>IFERROR(INDEX(спр_Материалы!$B$2:$B$9000,MATCH($I1152,спр_Материалы!$A$2:$A$9000,0)),"")</f>
        <v/>
      </c>
      <c r="K1152">
        <f>IF($I1152="","",IF($F1152=IFERROR(INDEX(спр_Материалы!$G$2:$G$9000,MATCH($I1152,спр_Материалы!$A$2:$A$9000,0)),""),"OK","!! не та группа"))</f>
        <v/>
      </c>
      <c r="L1152" s="10">
        <f>IFERROR(INDEX(спр_Работы!$H$2:$H$6000,MATCH($C1152,спр_Работы!$A$2:$A$6000,0))*(1-ДисконтТендер),0)</f>
        <v/>
      </c>
      <c r="M1152" s="10">
        <f>IF($I1152="",0,IFERROR(INDEX(спр_Материалы!$I$2:$I$9000,MATCH($I1152,спр_Материалы!$A$2:$A$9000,0))*IF(INDEX(спр_Материалы!$J$2:$J$9000,MATCH($I1152,спр_Материалы!$A$2:$A$9000,0))="USD",КурсUSD,IF(INDEX(спр_Материалы!$J$2:$J$9000,MATCH($I1152,спр_Материалы!$A$2:$A$9000,0))="EUR",КурсEUR,1))*INDEX(спр_Материалы!$K$2:$K$9000,MATCH($I1152,спр_Материалы!$A$2:$A$9000,0))*(1+IFERROR(INDEX(спр_Работы!$I$2:$I$6000,MATCH($C1152,спр_Работы!$A$2:$A$6000,0))/100,0))*(1-ДисконтТендер),0))</f>
        <v/>
      </c>
      <c r="N1152" s="10">
        <f>IF(AND($R1152="да",$H1152&lt;&gt;""),ROUND($H1152*$L1152,2),0)</f>
        <v/>
      </c>
      <c r="O1152" s="10">
        <f>IF(AND($R1152="да",$H1152&lt;&gt;""),ROUND($H1152*$M1152,2),0)</f>
        <v/>
      </c>
      <c r="P1152" s="10">
        <f>$N1152+$O1152</f>
        <v/>
      </c>
      <c r="Q1152">
        <f>IFERROR(INDEX(спр_Работы!$J$2:$J$6000,MATCH($C1152,спр_Работы!$A$2:$A$6000,0)),"")</f>
        <v/>
      </c>
      <c r="R1152" t="inlineStr">
        <is>
          <t>да</t>
        </is>
      </c>
      <c r="T1152">
        <f>IF(AND($P1152&gt;0,$R1152="да"),MAX($T$1:$T1151)+1,"")</f>
        <v/>
      </c>
    </row>
    <row r="1153">
      <c r="A1153" s="11">
        <f>IFERROR(INDEX(спр_Работы!$D$2:$D$6000,MATCH($C1153,спр_Работы!$A$2:$A$6000,0)),"")</f>
        <v/>
      </c>
      <c r="B1153">
        <f>IFERROR(INDEX(спр_Работы!$F$2:$F$6000,MATCH($C1153,спр_Работы!$A$2:$A$6000,0)),"")</f>
        <v/>
      </c>
      <c r="C1153">
        <f>IFERROR(INDEX(спр_Работы!$A$2:$A$6000,1152),"")</f>
        <v/>
      </c>
      <c r="D1153" s="8">
        <f>IFERROR(INDEX(спр_Работы!$B$2:$B$6000,MATCH($C1153,спр_Работы!$A$2:$A$6000,0)),"")</f>
        <v/>
      </c>
      <c r="E1153">
        <f>IFERROR(INDEX(спр_Работы!$C$2:$C$6000,MATCH($C1153,спр_Работы!$A$2:$A$6000,0)),"")</f>
        <v/>
      </c>
      <c r="F1153">
        <f>IFERROR(INDEX(спр_Работы!$G$2:$G$6000,MATCH($C1153,спр_Работы!$A$2:$A$6000,0)),"")</f>
        <v/>
      </c>
      <c r="G1153">
        <f>IFERROR(INDEX(спр_Работы!$K$2:$K$6000,MATCH($C1153,спр_Работы!$A$2:$A$6000,0)),"")</f>
        <v/>
      </c>
      <c r="H1153" s="9" t="n"/>
      <c r="I1153" s="9" t="n"/>
      <c r="J1153" s="8">
        <f>IFERROR(INDEX(спр_Материалы!$B$2:$B$9000,MATCH($I1153,спр_Материалы!$A$2:$A$9000,0)),"")</f>
        <v/>
      </c>
      <c r="K1153">
        <f>IF($I1153="","",IF($F1153=IFERROR(INDEX(спр_Материалы!$G$2:$G$9000,MATCH($I1153,спр_Материалы!$A$2:$A$9000,0)),""),"OK","!! не та группа"))</f>
        <v/>
      </c>
      <c r="L1153" s="10">
        <f>IFERROR(INDEX(спр_Работы!$H$2:$H$6000,MATCH($C1153,спр_Работы!$A$2:$A$6000,0))*(1-ДисконтТендер),0)</f>
        <v/>
      </c>
      <c r="M1153" s="10">
        <f>IF($I1153="",0,IFERROR(INDEX(спр_Материалы!$I$2:$I$9000,MATCH($I1153,спр_Материалы!$A$2:$A$9000,0))*IF(INDEX(спр_Материалы!$J$2:$J$9000,MATCH($I1153,спр_Материалы!$A$2:$A$9000,0))="USD",КурсUSD,IF(INDEX(спр_Материалы!$J$2:$J$9000,MATCH($I1153,спр_Материалы!$A$2:$A$9000,0))="EUR",КурсEUR,1))*INDEX(спр_Материалы!$K$2:$K$9000,MATCH($I1153,спр_Материалы!$A$2:$A$9000,0))*(1+IFERROR(INDEX(спр_Работы!$I$2:$I$6000,MATCH($C1153,спр_Работы!$A$2:$A$6000,0))/100,0))*(1-ДисконтТендер),0))</f>
        <v/>
      </c>
      <c r="N1153" s="10">
        <f>IF(AND($R1153="да",$H1153&lt;&gt;""),ROUND($H1153*$L1153,2),0)</f>
        <v/>
      </c>
      <c r="O1153" s="10">
        <f>IF(AND($R1153="да",$H1153&lt;&gt;""),ROUND($H1153*$M1153,2),0)</f>
        <v/>
      </c>
      <c r="P1153" s="10">
        <f>$N1153+$O1153</f>
        <v/>
      </c>
      <c r="Q1153">
        <f>IFERROR(INDEX(спр_Работы!$J$2:$J$6000,MATCH($C1153,спр_Работы!$A$2:$A$6000,0)),"")</f>
        <v/>
      </c>
      <c r="R1153" t="inlineStr">
        <is>
          <t>да</t>
        </is>
      </c>
      <c r="T1153">
        <f>IF(AND($P1153&gt;0,$R1153="да"),MAX($T$1:$T1152)+1,"")</f>
        <v/>
      </c>
    </row>
    <row r="1154">
      <c r="A1154" s="11">
        <f>IFERROR(INDEX(спр_Работы!$D$2:$D$6000,MATCH($C1154,спр_Работы!$A$2:$A$6000,0)),"")</f>
        <v/>
      </c>
      <c r="B1154">
        <f>IFERROR(INDEX(спр_Работы!$F$2:$F$6000,MATCH($C1154,спр_Работы!$A$2:$A$6000,0)),"")</f>
        <v/>
      </c>
      <c r="C1154">
        <f>IFERROR(INDEX(спр_Работы!$A$2:$A$6000,1153),"")</f>
        <v/>
      </c>
      <c r="D1154" s="8">
        <f>IFERROR(INDEX(спр_Работы!$B$2:$B$6000,MATCH($C1154,спр_Работы!$A$2:$A$6000,0)),"")</f>
        <v/>
      </c>
      <c r="E1154">
        <f>IFERROR(INDEX(спр_Работы!$C$2:$C$6000,MATCH($C1154,спр_Работы!$A$2:$A$6000,0)),"")</f>
        <v/>
      </c>
      <c r="F1154">
        <f>IFERROR(INDEX(спр_Работы!$G$2:$G$6000,MATCH($C1154,спр_Работы!$A$2:$A$6000,0)),"")</f>
        <v/>
      </c>
      <c r="G1154">
        <f>IFERROR(INDEX(спр_Работы!$K$2:$K$6000,MATCH($C1154,спр_Работы!$A$2:$A$6000,0)),"")</f>
        <v/>
      </c>
      <c r="H1154" s="9" t="n"/>
      <c r="I1154" s="9" t="n"/>
      <c r="J1154" s="8">
        <f>IFERROR(INDEX(спр_Материалы!$B$2:$B$9000,MATCH($I1154,спр_Материалы!$A$2:$A$9000,0)),"")</f>
        <v/>
      </c>
      <c r="K1154">
        <f>IF($I1154="","",IF($F1154=IFERROR(INDEX(спр_Материалы!$G$2:$G$9000,MATCH($I1154,спр_Материалы!$A$2:$A$9000,0)),""),"OK","!! не та группа"))</f>
        <v/>
      </c>
      <c r="L1154" s="10">
        <f>IFERROR(INDEX(спр_Работы!$H$2:$H$6000,MATCH($C1154,спр_Работы!$A$2:$A$6000,0))*(1-ДисконтТендер),0)</f>
        <v/>
      </c>
      <c r="M1154" s="10">
        <f>IF($I1154="",0,IFERROR(INDEX(спр_Материалы!$I$2:$I$9000,MATCH($I1154,спр_Материалы!$A$2:$A$9000,0))*IF(INDEX(спр_Материалы!$J$2:$J$9000,MATCH($I1154,спр_Материалы!$A$2:$A$9000,0))="USD",КурсUSD,IF(INDEX(спр_Материалы!$J$2:$J$9000,MATCH($I1154,спр_Материалы!$A$2:$A$9000,0))="EUR",КурсEUR,1))*INDEX(спр_Материалы!$K$2:$K$9000,MATCH($I1154,спр_Материалы!$A$2:$A$9000,0))*(1+IFERROR(INDEX(спр_Работы!$I$2:$I$6000,MATCH($C1154,спр_Работы!$A$2:$A$6000,0))/100,0))*(1-ДисконтТендер),0))</f>
        <v/>
      </c>
      <c r="N1154" s="10">
        <f>IF(AND($R1154="да",$H1154&lt;&gt;""),ROUND($H1154*$L1154,2),0)</f>
        <v/>
      </c>
      <c r="O1154" s="10">
        <f>IF(AND($R1154="да",$H1154&lt;&gt;""),ROUND($H1154*$M1154,2),0)</f>
        <v/>
      </c>
      <c r="P1154" s="10">
        <f>$N1154+$O1154</f>
        <v/>
      </c>
      <c r="Q1154">
        <f>IFERROR(INDEX(спр_Работы!$J$2:$J$6000,MATCH($C1154,спр_Работы!$A$2:$A$6000,0)),"")</f>
        <v/>
      </c>
      <c r="R1154" t="inlineStr">
        <is>
          <t>да</t>
        </is>
      </c>
      <c r="T1154">
        <f>IF(AND($P1154&gt;0,$R1154="да"),MAX($T$1:$T1153)+1,"")</f>
        <v/>
      </c>
    </row>
    <row r="1155">
      <c r="A1155" s="11">
        <f>IFERROR(INDEX(спр_Работы!$D$2:$D$6000,MATCH($C1155,спр_Работы!$A$2:$A$6000,0)),"")</f>
        <v/>
      </c>
      <c r="B1155">
        <f>IFERROR(INDEX(спр_Работы!$F$2:$F$6000,MATCH($C1155,спр_Работы!$A$2:$A$6000,0)),"")</f>
        <v/>
      </c>
      <c r="C1155">
        <f>IFERROR(INDEX(спр_Работы!$A$2:$A$6000,1154),"")</f>
        <v/>
      </c>
      <c r="D1155" s="8">
        <f>IFERROR(INDEX(спр_Работы!$B$2:$B$6000,MATCH($C1155,спр_Работы!$A$2:$A$6000,0)),"")</f>
        <v/>
      </c>
      <c r="E1155">
        <f>IFERROR(INDEX(спр_Работы!$C$2:$C$6000,MATCH($C1155,спр_Работы!$A$2:$A$6000,0)),"")</f>
        <v/>
      </c>
      <c r="F1155">
        <f>IFERROR(INDEX(спр_Работы!$G$2:$G$6000,MATCH($C1155,спр_Работы!$A$2:$A$6000,0)),"")</f>
        <v/>
      </c>
      <c r="G1155">
        <f>IFERROR(INDEX(спр_Работы!$K$2:$K$6000,MATCH($C1155,спр_Работы!$A$2:$A$6000,0)),"")</f>
        <v/>
      </c>
      <c r="H1155" s="9" t="n"/>
      <c r="I1155" s="9" t="n"/>
      <c r="J1155" s="8">
        <f>IFERROR(INDEX(спр_Материалы!$B$2:$B$9000,MATCH($I1155,спр_Материалы!$A$2:$A$9000,0)),"")</f>
        <v/>
      </c>
      <c r="K1155">
        <f>IF($I1155="","",IF($F1155=IFERROR(INDEX(спр_Материалы!$G$2:$G$9000,MATCH($I1155,спр_Материалы!$A$2:$A$9000,0)),""),"OK","!! не та группа"))</f>
        <v/>
      </c>
      <c r="L1155" s="10">
        <f>IFERROR(INDEX(спр_Работы!$H$2:$H$6000,MATCH($C1155,спр_Работы!$A$2:$A$6000,0))*(1-ДисконтТендер),0)</f>
        <v/>
      </c>
      <c r="M1155" s="10">
        <f>IF($I1155="",0,IFERROR(INDEX(спр_Материалы!$I$2:$I$9000,MATCH($I1155,спр_Материалы!$A$2:$A$9000,0))*IF(INDEX(спр_Материалы!$J$2:$J$9000,MATCH($I1155,спр_Материалы!$A$2:$A$9000,0))="USD",КурсUSD,IF(INDEX(спр_Материалы!$J$2:$J$9000,MATCH($I1155,спр_Материалы!$A$2:$A$9000,0))="EUR",КурсEUR,1))*INDEX(спр_Материалы!$K$2:$K$9000,MATCH($I1155,спр_Материалы!$A$2:$A$9000,0))*(1+IFERROR(INDEX(спр_Работы!$I$2:$I$6000,MATCH($C1155,спр_Работы!$A$2:$A$6000,0))/100,0))*(1-ДисконтТендер),0))</f>
        <v/>
      </c>
      <c r="N1155" s="10">
        <f>IF(AND($R1155="да",$H1155&lt;&gt;""),ROUND($H1155*$L1155,2),0)</f>
        <v/>
      </c>
      <c r="O1155" s="10">
        <f>IF(AND($R1155="да",$H1155&lt;&gt;""),ROUND($H1155*$M1155,2),0)</f>
        <v/>
      </c>
      <c r="P1155" s="10">
        <f>$N1155+$O1155</f>
        <v/>
      </c>
      <c r="Q1155">
        <f>IFERROR(INDEX(спр_Работы!$J$2:$J$6000,MATCH($C1155,спр_Работы!$A$2:$A$6000,0)),"")</f>
        <v/>
      </c>
      <c r="R1155" t="inlineStr">
        <is>
          <t>да</t>
        </is>
      </c>
      <c r="T1155">
        <f>IF(AND($P1155&gt;0,$R1155="да"),MAX($T$1:$T1154)+1,"")</f>
        <v/>
      </c>
    </row>
    <row r="1156">
      <c r="A1156" s="11">
        <f>IFERROR(INDEX(спр_Работы!$D$2:$D$6000,MATCH($C1156,спр_Работы!$A$2:$A$6000,0)),"")</f>
        <v/>
      </c>
      <c r="B1156">
        <f>IFERROR(INDEX(спр_Работы!$F$2:$F$6000,MATCH($C1156,спр_Работы!$A$2:$A$6000,0)),"")</f>
        <v/>
      </c>
      <c r="C1156">
        <f>IFERROR(INDEX(спр_Работы!$A$2:$A$6000,1155),"")</f>
        <v/>
      </c>
      <c r="D1156" s="8">
        <f>IFERROR(INDEX(спр_Работы!$B$2:$B$6000,MATCH($C1156,спр_Работы!$A$2:$A$6000,0)),"")</f>
        <v/>
      </c>
      <c r="E1156">
        <f>IFERROR(INDEX(спр_Работы!$C$2:$C$6000,MATCH($C1156,спр_Работы!$A$2:$A$6000,0)),"")</f>
        <v/>
      </c>
      <c r="F1156">
        <f>IFERROR(INDEX(спр_Работы!$G$2:$G$6000,MATCH($C1156,спр_Работы!$A$2:$A$6000,0)),"")</f>
        <v/>
      </c>
      <c r="G1156">
        <f>IFERROR(INDEX(спр_Работы!$K$2:$K$6000,MATCH($C1156,спр_Работы!$A$2:$A$6000,0)),"")</f>
        <v/>
      </c>
      <c r="H1156" s="9" t="n"/>
      <c r="I1156" s="9" t="n"/>
      <c r="J1156" s="8">
        <f>IFERROR(INDEX(спр_Материалы!$B$2:$B$9000,MATCH($I1156,спр_Материалы!$A$2:$A$9000,0)),"")</f>
        <v/>
      </c>
      <c r="K1156">
        <f>IF($I1156="","",IF($F1156=IFERROR(INDEX(спр_Материалы!$G$2:$G$9000,MATCH($I1156,спр_Материалы!$A$2:$A$9000,0)),""),"OK","!! не та группа"))</f>
        <v/>
      </c>
      <c r="L1156" s="10">
        <f>IFERROR(INDEX(спр_Работы!$H$2:$H$6000,MATCH($C1156,спр_Работы!$A$2:$A$6000,0))*(1-ДисконтТендер),0)</f>
        <v/>
      </c>
      <c r="M1156" s="10">
        <f>IF($I1156="",0,IFERROR(INDEX(спр_Материалы!$I$2:$I$9000,MATCH($I1156,спр_Материалы!$A$2:$A$9000,0))*IF(INDEX(спр_Материалы!$J$2:$J$9000,MATCH($I1156,спр_Материалы!$A$2:$A$9000,0))="USD",КурсUSD,IF(INDEX(спр_Материалы!$J$2:$J$9000,MATCH($I1156,спр_Материалы!$A$2:$A$9000,0))="EUR",КурсEUR,1))*INDEX(спр_Материалы!$K$2:$K$9000,MATCH($I1156,спр_Материалы!$A$2:$A$9000,0))*(1+IFERROR(INDEX(спр_Работы!$I$2:$I$6000,MATCH($C1156,спр_Работы!$A$2:$A$6000,0))/100,0))*(1-ДисконтТендер),0))</f>
        <v/>
      </c>
      <c r="N1156" s="10">
        <f>IF(AND($R1156="да",$H1156&lt;&gt;""),ROUND($H1156*$L1156,2),0)</f>
        <v/>
      </c>
      <c r="O1156" s="10">
        <f>IF(AND($R1156="да",$H1156&lt;&gt;""),ROUND($H1156*$M1156,2),0)</f>
        <v/>
      </c>
      <c r="P1156" s="10">
        <f>$N1156+$O1156</f>
        <v/>
      </c>
      <c r="Q1156">
        <f>IFERROR(INDEX(спр_Работы!$J$2:$J$6000,MATCH($C1156,спр_Работы!$A$2:$A$6000,0)),"")</f>
        <v/>
      </c>
      <c r="R1156" t="inlineStr">
        <is>
          <t>да</t>
        </is>
      </c>
      <c r="T1156">
        <f>IF(AND($P1156&gt;0,$R1156="да"),MAX($T$1:$T1155)+1,"")</f>
        <v/>
      </c>
    </row>
    <row r="1157">
      <c r="A1157" s="11">
        <f>IFERROR(INDEX(спр_Работы!$D$2:$D$6000,MATCH($C1157,спр_Работы!$A$2:$A$6000,0)),"")</f>
        <v/>
      </c>
      <c r="B1157">
        <f>IFERROR(INDEX(спр_Работы!$F$2:$F$6000,MATCH($C1157,спр_Работы!$A$2:$A$6000,0)),"")</f>
        <v/>
      </c>
      <c r="C1157">
        <f>IFERROR(INDEX(спр_Работы!$A$2:$A$6000,1156),"")</f>
        <v/>
      </c>
      <c r="D1157" s="8">
        <f>IFERROR(INDEX(спр_Работы!$B$2:$B$6000,MATCH($C1157,спр_Работы!$A$2:$A$6000,0)),"")</f>
        <v/>
      </c>
      <c r="E1157">
        <f>IFERROR(INDEX(спр_Работы!$C$2:$C$6000,MATCH($C1157,спр_Работы!$A$2:$A$6000,0)),"")</f>
        <v/>
      </c>
      <c r="F1157">
        <f>IFERROR(INDEX(спр_Работы!$G$2:$G$6000,MATCH($C1157,спр_Работы!$A$2:$A$6000,0)),"")</f>
        <v/>
      </c>
      <c r="G1157">
        <f>IFERROR(INDEX(спр_Работы!$K$2:$K$6000,MATCH($C1157,спр_Работы!$A$2:$A$6000,0)),"")</f>
        <v/>
      </c>
      <c r="H1157" s="9" t="n"/>
      <c r="I1157" s="9" t="n"/>
      <c r="J1157" s="8">
        <f>IFERROR(INDEX(спр_Материалы!$B$2:$B$9000,MATCH($I1157,спр_Материалы!$A$2:$A$9000,0)),"")</f>
        <v/>
      </c>
      <c r="K1157">
        <f>IF($I1157="","",IF($F1157=IFERROR(INDEX(спр_Материалы!$G$2:$G$9000,MATCH($I1157,спр_Материалы!$A$2:$A$9000,0)),""),"OK","!! не та группа"))</f>
        <v/>
      </c>
      <c r="L1157" s="10">
        <f>IFERROR(INDEX(спр_Работы!$H$2:$H$6000,MATCH($C1157,спр_Работы!$A$2:$A$6000,0))*(1-ДисконтТендер),0)</f>
        <v/>
      </c>
      <c r="M1157" s="10">
        <f>IF($I1157="",0,IFERROR(INDEX(спр_Материалы!$I$2:$I$9000,MATCH($I1157,спр_Материалы!$A$2:$A$9000,0))*IF(INDEX(спр_Материалы!$J$2:$J$9000,MATCH($I1157,спр_Материалы!$A$2:$A$9000,0))="USD",КурсUSD,IF(INDEX(спр_Материалы!$J$2:$J$9000,MATCH($I1157,спр_Материалы!$A$2:$A$9000,0))="EUR",КурсEUR,1))*INDEX(спр_Материалы!$K$2:$K$9000,MATCH($I1157,спр_Материалы!$A$2:$A$9000,0))*(1+IFERROR(INDEX(спр_Работы!$I$2:$I$6000,MATCH($C1157,спр_Работы!$A$2:$A$6000,0))/100,0))*(1-ДисконтТендер),0))</f>
        <v/>
      </c>
      <c r="N1157" s="10">
        <f>IF(AND($R1157="да",$H1157&lt;&gt;""),ROUND($H1157*$L1157,2),0)</f>
        <v/>
      </c>
      <c r="O1157" s="10">
        <f>IF(AND($R1157="да",$H1157&lt;&gt;""),ROUND($H1157*$M1157,2),0)</f>
        <v/>
      </c>
      <c r="P1157" s="10">
        <f>$N1157+$O1157</f>
        <v/>
      </c>
      <c r="Q1157">
        <f>IFERROR(INDEX(спр_Работы!$J$2:$J$6000,MATCH($C1157,спр_Работы!$A$2:$A$6000,0)),"")</f>
        <v/>
      </c>
      <c r="R1157" t="inlineStr">
        <is>
          <t>да</t>
        </is>
      </c>
      <c r="T1157">
        <f>IF(AND($P1157&gt;0,$R1157="да"),MAX($T$1:$T1156)+1,"")</f>
        <v/>
      </c>
    </row>
    <row r="1158">
      <c r="A1158" s="11">
        <f>IFERROR(INDEX(спр_Работы!$D$2:$D$6000,MATCH($C1158,спр_Работы!$A$2:$A$6000,0)),"")</f>
        <v/>
      </c>
      <c r="B1158">
        <f>IFERROR(INDEX(спр_Работы!$F$2:$F$6000,MATCH($C1158,спр_Работы!$A$2:$A$6000,0)),"")</f>
        <v/>
      </c>
      <c r="C1158">
        <f>IFERROR(INDEX(спр_Работы!$A$2:$A$6000,1157),"")</f>
        <v/>
      </c>
      <c r="D1158" s="8">
        <f>IFERROR(INDEX(спр_Работы!$B$2:$B$6000,MATCH($C1158,спр_Работы!$A$2:$A$6000,0)),"")</f>
        <v/>
      </c>
      <c r="E1158">
        <f>IFERROR(INDEX(спр_Работы!$C$2:$C$6000,MATCH($C1158,спр_Работы!$A$2:$A$6000,0)),"")</f>
        <v/>
      </c>
      <c r="F1158">
        <f>IFERROR(INDEX(спр_Работы!$G$2:$G$6000,MATCH($C1158,спр_Работы!$A$2:$A$6000,0)),"")</f>
        <v/>
      </c>
      <c r="G1158">
        <f>IFERROR(INDEX(спр_Работы!$K$2:$K$6000,MATCH($C1158,спр_Работы!$A$2:$A$6000,0)),"")</f>
        <v/>
      </c>
      <c r="H1158" s="9" t="n"/>
      <c r="I1158" s="9" t="n"/>
      <c r="J1158" s="8">
        <f>IFERROR(INDEX(спр_Материалы!$B$2:$B$9000,MATCH($I1158,спр_Материалы!$A$2:$A$9000,0)),"")</f>
        <v/>
      </c>
      <c r="K1158">
        <f>IF($I1158="","",IF($F1158=IFERROR(INDEX(спр_Материалы!$G$2:$G$9000,MATCH($I1158,спр_Материалы!$A$2:$A$9000,0)),""),"OK","!! не та группа"))</f>
        <v/>
      </c>
      <c r="L1158" s="10">
        <f>IFERROR(INDEX(спр_Работы!$H$2:$H$6000,MATCH($C1158,спр_Работы!$A$2:$A$6000,0))*(1-ДисконтТендер),0)</f>
        <v/>
      </c>
      <c r="M1158" s="10">
        <f>IF($I1158="",0,IFERROR(INDEX(спр_Материалы!$I$2:$I$9000,MATCH($I1158,спр_Материалы!$A$2:$A$9000,0))*IF(INDEX(спр_Материалы!$J$2:$J$9000,MATCH($I1158,спр_Материалы!$A$2:$A$9000,0))="USD",КурсUSD,IF(INDEX(спр_Материалы!$J$2:$J$9000,MATCH($I1158,спр_Материалы!$A$2:$A$9000,0))="EUR",КурсEUR,1))*INDEX(спр_Материалы!$K$2:$K$9000,MATCH($I1158,спр_Материалы!$A$2:$A$9000,0))*(1+IFERROR(INDEX(спр_Работы!$I$2:$I$6000,MATCH($C1158,спр_Работы!$A$2:$A$6000,0))/100,0))*(1-ДисконтТендер),0))</f>
        <v/>
      </c>
      <c r="N1158" s="10">
        <f>IF(AND($R1158="да",$H1158&lt;&gt;""),ROUND($H1158*$L1158,2),0)</f>
        <v/>
      </c>
      <c r="O1158" s="10">
        <f>IF(AND($R1158="да",$H1158&lt;&gt;""),ROUND($H1158*$M1158,2),0)</f>
        <v/>
      </c>
      <c r="P1158" s="10">
        <f>$N1158+$O1158</f>
        <v/>
      </c>
      <c r="Q1158">
        <f>IFERROR(INDEX(спр_Работы!$J$2:$J$6000,MATCH($C1158,спр_Работы!$A$2:$A$6000,0)),"")</f>
        <v/>
      </c>
      <c r="R1158" t="inlineStr">
        <is>
          <t>да</t>
        </is>
      </c>
      <c r="T1158">
        <f>IF(AND($P1158&gt;0,$R1158="да"),MAX($T$1:$T1157)+1,"")</f>
        <v/>
      </c>
    </row>
    <row r="1159">
      <c r="A1159" s="11">
        <f>IFERROR(INDEX(спр_Работы!$D$2:$D$6000,MATCH($C1159,спр_Работы!$A$2:$A$6000,0)),"")</f>
        <v/>
      </c>
      <c r="B1159">
        <f>IFERROR(INDEX(спр_Работы!$F$2:$F$6000,MATCH($C1159,спр_Работы!$A$2:$A$6000,0)),"")</f>
        <v/>
      </c>
      <c r="C1159">
        <f>IFERROR(INDEX(спр_Работы!$A$2:$A$6000,1158),"")</f>
        <v/>
      </c>
      <c r="D1159" s="8">
        <f>IFERROR(INDEX(спр_Работы!$B$2:$B$6000,MATCH($C1159,спр_Работы!$A$2:$A$6000,0)),"")</f>
        <v/>
      </c>
      <c r="E1159">
        <f>IFERROR(INDEX(спр_Работы!$C$2:$C$6000,MATCH($C1159,спр_Работы!$A$2:$A$6000,0)),"")</f>
        <v/>
      </c>
      <c r="F1159">
        <f>IFERROR(INDEX(спр_Работы!$G$2:$G$6000,MATCH($C1159,спр_Работы!$A$2:$A$6000,0)),"")</f>
        <v/>
      </c>
      <c r="G1159">
        <f>IFERROR(INDEX(спр_Работы!$K$2:$K$6000,MATCH($C1159,спр_Работы!$A$2:$A$6000,0)),"")</f>
        <v/>
      </c>
      <c r="H1159" s="9" t="n"/>
      <c r="I1159" s="9" t="n"/>
      <c r="J1159" s="8">
        <f>IFERROR(INDEX(спр_Материалы!$B$2:$B$9000,MATCH($I1159,спр_Материалы!$A$2:$A$9000,0)),"")</f>
        <v/>
      </c>
      <c r="K1159">
        <f>IF($I1159="","",IF($F1159=IFERROR(INDEX(спр_Материалы!$G$2:$G$9000,MATCH($I1159,спр_Материалы!$A$2:$A$9000,0)),""),"OK","!! не та группа"))</f>
        <v/>
      </c>
      <c r="L1159" s="10">
        <f>IFERROR(INDEX(спр_Работы!$H$2:$H$6000,MATCH($C1159,спр_Работы!$A$2:$A$6000,0))*(1-ДисконтТендер),0)</f>
        <v/>
      </c>
      <c r="M1159" s="10">
        <f>IF($I1159="",0,IFERROR(INDEX(спр_Материалы!$I$2:$I$9000,MATCH($I1159,спр_Материалы!$A$2:$A$9000,0))*IF(INDEX(спр_Материалы!$J$2:$J$9000,MATCH($I1159,спр_Материалы!$A$2:$A$9000,0))="USD",КурсUSD,IF(INDEX(спр_Материалы!$J$2:$J$9000,MATCH($I1159,спр_Материалы!$A$2:$A$9000,0))="EUR",КурсEUR,1))*INDEX(спр_Материалы!$K$2:$K$9000,MATCH($I1159,спр_Материалы!$A$2:$A$9000,0))*(1+IFERROR(INDEX(спр_Работы!$I$2:$I$6000,MATCH($C1159,спр_Работы!$A$2:$A$6000,0))/100,0))*(1-ДисконтТендер),0))</f>
        <v/>
      </c>
      <c r="N1159" s="10">
        <f>IF(AND($R1159="да",$H1159&lt;&gt;""),ROUND($H1159*$L1159,2),0)</f>
        <v/>
      </c>
      <c r="O1159" s="10">
        <f>IF(AND($R1159="да",$H1159&lt;&gt;""),ROUND($H1159*$M1159,2),0)</f>
        <v/>
      </c>
      <c r="P1159" s="10">
        <f>$N1159+$O1159</f>
        <v/>
      </c>
      <c r="Q1159">
        <f>IFERROR(INDEX(спр_Работы!$J$2:$J$6000,MATCH($C1159,спр_Работы!$A$2:$A$6000,0)),"")</f>
        <v/>
      </c>
      <c r="R1159" t="inlineStr">
        <is>
          <t>да</t>
        </is>
      </c>
      <c r="T1159">
        <f>IF(AND($P1159&gt;0,$R1159="да"),MAX($T$1:$T1158)+1,"")</f>
        <v/>
      </c>
    </row>
    <row r="1160">
      <c r="A1160" s="11">
        <f>IFERROR(INDEX(спр_Работы!$D$2:$D$6000,MATCH($C1160,спр_Работы!$A$2:$A$6000,0)),"")</f>
        <v/>
      </c>
      <c r="B1160">
        <f>IFERROR(INDEX(спр_Работы!$F$2:$F$6000,MATCH($C1160,спр_Работы!$A$2:$A$6000,0)),"")</f>
        <v/>
      </c>
      <c r="C1160">
        <f>IFERROR(INDEX(спр_Работы!$A$2:$A$6000,1159),"")</f>
        <v/>
      </c>
      <c r="D1160" s="8">
        <f>IFERROR(INDEX(спр_Работы!$B$2:$B$6000,MATCH($C1160,спр_Работы!$A$2:$A$6000,0)),"")</f>
        <v/>
      </c>
      <c r="E1160">
        <f>IFERROR(INDEX(спр_Работы!$C$2:$C$6000,MATCH($C1160,спр_Работы!$A$2:$A$6000,0)),"")</f>
        <v/>
      </c>
      <c r="F1160">
        <f>IFERROR(INDEX(спр_Работы!$G$2:$G$6000,MATCH($C1160,спр_Работы!$A$2:$A$6000,0)),"")</f>
        <v/>
      </c>
      <c r="G1160">
        <f>IFERROR(INDEX(спр_Работы!$K$2:$K$6000,MATCH($C1160,спр_Работы!$A$2:$A$6000,0)),"")</f>
        <v/>
      </c>
      <c r="H1160" s="9" t="n"/>
      <c r="I1160" s="9" t="n"/>
      <c r="J1160" s="8">
        <f>IFERROR(INDEX(спр_Материалы!$B$2:$B$9000,MATCH($I1160,спр_Материалы!$A$2:$A$9000,0)),"")</f>
        <v/>
      </c>
      <c r="K1160">
        <f>IF($I1160="","",IF($F1160=IFERROR(INDEX(спр_Материалы!$G$2:$G$9000,MATCH($I1160,спр_Материалы!$A$2:$A$9000,0)),""),"OK","!! не та группа"))</f>
        <v/>
      </c>
      <c r="L1160" s="10">
        <f>IFERROR(INDEX(спр_Работы!$H$2:$H$6000,MATCH($C1160,спр_Работы!$A$2:$A$6000,0))*(1-ДисконтТендер),0)</f>
        <v/>
      </c>
      <c r="M1160" s="10">
        <f>IF($I1160="",0,IFERROR(INDEX(спр_Материалы!$I$2:$I$9000,MATCH($I1160,спр_Материалы!$A$2:$A$9000,0))*IF(INDEX(спр_Материалы!$J$2:$J$9000,MATCH($I1160,спр_Материалы!$A$2:$A$9000,0))="USD",КурсUSD,IF(INDEX(спр_Материалы!$J$2:$J$9000,MATCH($I1160,спр_Материалы!$A$2:$A$9000,0))="EUR",КурсEUR,1))*INDEX(спр_Материалы!$K$2:$K$9000,MATCH($I1160,спр_Материалы!$A$2:$A$9000,0))*(1+IFERROR(INDEX(спр_Работы!$I$2:$I$6000,MATCH($C1160,спр_Работы!$A$2:$A$6000,0))/100,0))*(1-ДисконтТендер),0))</f>
        <v/>
      </c>
      <c r="N1160" s="10">
        <f>IF(AND($R1160="да",$H1160&lt;&gt;""),ROUND($H1160*$L1160,2),0)</f>
        <v/>
      </c>
      <c r="O1160" s="10">
        <f>IF(AND($R1160="да",$H1160&lt;&gt;""),ROUND($H1160*$M1160,2),0)</f>
        <v/>
      </c>
      <c r="P1160" s="10">
        <f>$N1160+$O1160</f>
        <v/>
      </c>
      <c r="Q1160">
        <f>IFERROR(INDEX(спр_Работы!$J$2:$J$6000,MATCH($C1160,спр_Работы!$A$2:$A$6000,0)),"")</f>
        <v/>
      </c>
      <c r="R1160" t="inlineStr">
        <is>
          <t>да</t>
        </is>
      </c>
      <c r="T1160">
        <f>IF(AND($P1160&gt;0,$R1160="да"),MAX($T$1:$T1159)+1,"")</f>
        <v/>
      </c>
    </row>
    <row r="1161">
      <c r="A1161" s="11">
        <f>IFERROR(INDEX(спр_Работы!$D$2:$D$6000,MATCH($C1161,спр_Работы!$A$2:$A$6000,0)),"")</f>
        <v/>
      </c>
      <c r="B1161">
        <f>IFERROR(INDEX(спр_Работы!$F$2:$F$6000,MATCH($C1161,спр_Работы!$A$2:$A$6000,0)),"")</f>
        <v/>
      </c>
      <c r="C1161">
        <f>IFERROR(INDEX(спр_Работы!$A$2:$A$6000,1160),"")</f>
        <v/>
      </c>
      <c r="D1161" s="8">
        <f>IFERROR(INDEX(спр_Работы!$B$2:$B$6000,MATCH($C1161,спр_Работы!$A$2:$A$6000,0)),"")</f>
        <v/>
      </c>
      <c r="E1161">
        <f>IFERROR(INDEX(спр_Работы!$C$2:$C$6000,MATCH($C1161,спр_Работы!$A$2:$A$6000,0)),"")</f>
        <v/>
      </c>
      <c r="F1161">
        <f>IFERROR(INDEX(спр_Работы!$G$2:$G$6000,MATCH($C1161,спр_Работы!$A$2:$A$6000,0)),"")</f>
        <v/>
      </c>
      <c r="G1161">
        <f>IFERROR(INDEX(спр_Работы!$K$2:$K$6000,MATCH($C1161,спр_Работы!$A$2:$A$6000,0)),"")</f>
        <v/>
      </c>
      <c r="H1161" s="9" t="n"/>
      <c r="I1161" s="9" t="n"/>
      <c r="J1161" s="8">
        <f>IFERROR(INDEX(спр_Материалы!$B$2:$B$9000,MATCH($I1161,спр_Материалы!$A$2:$A$9000,0)),"")</f>
        <v/>
      </c>
      <c r="K1161">
        <f>IF($I1161="","",IF($F1161=IFERROR(INDEX(спр_Материалы!$G$2:$G$9000,MATCH($I1161,спр_Материалы!$A$2:$A$9000,0)),""),"OK","!! не та группа"))</f>
        <v/>
      </c>
      <c r="L1161" s="10">
        <f>IFERROR(INDEX(спр_Работы!$H$2:$H$6000,MATCH($C1161,спр_Работы!$A$2:$A$6000,0))*(1-ДисконтТендер),0)</f>
        <v/>
      </c>
      <c r="M1161" s="10">
        <f>IF($I1161="",0,IFERROR(INDEX(спр_Материалы!$I$2:$I$9000,MATCH($I1161,спр_Материалы!$A$2:$A$9000,0))*IF(INDEX(спр_Материалы!$J$2:$J$9000,MATCH($I1161,спр_Материалы!$A$2:$A$9000,0))="USD",КурсUSD,IF(INDEX(спр_Материалы!$J$2:$J$9000,MATCH($I1161,спр_Материалы!$A$2:$A$9000,0))="EUR",КурсEUR,1))*INDEX(спр_Материалы!$K$2:$K$9000,MATCH($I1161,спр_Материалы!$A$2:$A$9000,0))*(1+IFERROR(INDEX(спр_Работы!$I$2:$I$6000,MATCH($C1161,спр_Работы!$A$2:$A$6000,0))/100,0))*(1-ДисконтТендер),0))</f>
        <v/>
      </c>
      <c r="N1161" s="10">
        <f>IF(AND($R1161="да",$H1161&lt;&gt;""),ROUND($H1161*$L1161,2),0)</f>
        <v/>
      </c>
      <c r="O1161" s="10">
        <f>IF(AND($R1161="да",$H1161&lt;&gt;""),ROUND($H1161*$M1161,2),0)</f>
        <v/>
      </c>
      <c r="P1161" s="10">
        <f>$N1161+$O1161</f>
        <v/>
      </c>
      <c r="Q1161">
        <f>IFERROR(INDEX(спр_Работы!$J$2:$J$6000,MATCH($C1161,спр_Работы!$A$2:$A$6000,0)),"")</f>
        <v/>
      </c>
      <c r="R1161" t="inlineStr">
        <is>
          <t>да</t>
        </is>
      </c>
      <c r="T1161">
        <f>IF(AND($P1161&gt;0,$R1161="да"),MAX($T$1:$T1160)+1,"")</f>
        <v/>
      </c>
    </row>
    <row r="1162">
      <c r="A1162" s="11">
        <f>IFERROR(INDEX(спр_Работы!$D$2:$D$6000,MATCH($C1162,спр_Работы!$A$2:$A$6000,0)),"")</f>
        <v/>
      </c>
      <c r="B1162">
        <f>IFERROR(INDEX(спр_Работы!$F$2:$F$6000,MATCH($C1162,спр_Работы!$A$2:$A$6000,0)),"")</f>
        <v/>
      </c>
      <c r="C1162">
        <f>IFERROR(INDEX(спр_Работы!$A$2:$A$6000,1161),"")</f>
        <v/>
      </c>
      <c r="D1162" s="8">
        <f>IFERROR(INDEX(спр_Работы!$B$2:$B$6000,MATCH($C1162,спр_Работы!$A$2:$A$6000,0)),"")</f>
        <v/>
      </c>
      <c r="E1162">
        <f>IFERROR(INDEX(спр_Работы!$C$2:$C$6000,MATCH($C1162,спр_Работы!$A$2:$A$6000,0)),"")</f>
        <v/>
      </c>
      <c r="F1162">
        <f>IFERROR(INDEX(спр_Работы!$G$2:$G$6000,MATCH($C1162,спр_Работы!$A$2:$A$6000,0)),"")</f>
        <v/>
      </c>
      <c r="G1162">
        <f>IFERROR(INDEX(спр_Работы!$K$2:$K$6000,MATCH($C1162,спр_Работы!$A$2:$A$6000,0)),"")</f>
        <v/>
      </c>
      <c r="H1162" s="9" t="n"/>
      <c r="I1162" s="9" t="n"/>
      <c r="J1162" s="8">
        <f>IFERROR(INDEX(спр_Материалы!$B$2:$B$9000,MATCH($I1162,спр_Материалы!$A$2:$A$9000,0)),"")</f>
        <v/>
      </c>
      <c r="K1162">
        <f>IF($I1162="","",IF($F1162=IFERROR(INDEX(спр_Материалы!$G$2:$G$9000,MATCH($I1162,спр_Материалы!$A$2:$A$9000,0)),""),"OK","!! не та группа"))</f>
        <v/>
      </c>
      <c r="L1162" s="10">
        <f>IFERROR(INDEX(спр_Работы!$H$2:$H$6000,MATCH($C1162,спр_Работы!$A$2:$A$6000,0))*(1-ДисконтТендер),0)</f>
        <v/>
      </c>
      <c r="M1162" s="10">
        <f>IF($I1162="",0,IFERROR(INDEX(спр_Материалы!$I$2:$I$9000,MATCH($I1162,спр_Материалы!$A$2:$A$9000,0))*IF(INDEX(спр_Материалы!$J$2:$J$9000,MATCH($I1162,спр_Материалы!$A$2:$A$9000,0))="USD",КурсUSD,IF(INDEX(спр_Материалы!$J$2:$J$9000,MATCH($I1162,спр_Материалы!$A$2:$A$9000,0))="EUR",КурсEUR,1))*INDEX(спр_Материалы!$K$2:$K$9000,MATCH($I1162,спр_Материалы!$A$2:$A$9000,0))*(1+IFERROR(INDEX(спр_Работы!$I$2:$I$6000,MATCH($C1162,спр_Работы!$A$2:$A$6000,0))/100,0))*(1-ДисконтТендер),0))</f>
        <v/>
      </c>
      <c r="N1162" s="10">
        <f>IF(AND($R1162="да",$H1162&lt;&gt;""),ROUND($H1162*$L1162,2),0)</f>
        <v/>
      </c>
      <c r="O1162" s="10">
        <f>IF(AND($R1162="да",$H1162&lt;&gt;""),ROUND($H1162*$M1162,2),0)</f>
        <v/>
      </c>
      <c r="P1162" s="10">
        <f>$N1162+$O1162</f>
        <v/>
      </c>
      <c r="Q1162">
        <f>IFERROR(INDEX(спр_Работы!$J$2:$J$6000,MATCH($C1162,спр_Работы!$A$2:$A$6000,0)),"")</f>
        <v/>
      </c>
      <c r="R1162" t="inlineStr">
        <is>
          <t>да</t>
        </is>
      </c>
      <c r="T1162">
        <f>IF(AND($P1162&gt;0,$R1162="да"),MAX($T$1:$T1161)+1,"")</f>
        <v/>
      </c>
    </row>
    <row r="1163">
      <c r="A1163" s="11">
        <f>IFERROR(INDEX(спр_Работы!$D$2:$D$6000,MATCH($C1163,спр_Работы!$A$2:$A$6000,0)),"")</f>
        <v/>
      </c>
      <c r="B1163">
        <f>IFERROR(INDEX(спр_Работы!$F$2:$F$6000,MATCH($C1163,спр_Работы!$A$2:$A$6000,0)),"")</f>
        <v/>
      </c>
      <c r="C1163">
        <f>IFERROR(INDEX(спр_Работы!$A$2:$A$6000,1162),"")</f>
        <v/>
      </c>
      <c r="D1163" s="8">
        <f>IFERROR(INDEX(спр_Работы!$B$2:$B$6000,MATCH($C1163,спр_Работы!$A$2:$A$6000,0)),"")</f>
        <v/>
      </c>
      <c r="E1163">
        <f>IFERROR(INDEX(спр_Работы!$C$2:$C$6000,MATCH($C1163,спр_Работы!$A$2:$A$6000,0)),"")</f>
        <v/>
      </c>
      <c r="F1163">
        <f>IFERROR(INDEX(спр_Работы!$G$2:$G$6000,MATCH($C1163,спр_Работы!$A$2:$A$6000,0)),"")</f>
        <v/>
      </c>
      <c r="G1163">
        <f>IFERROR(INDEX(спр_Работы!$K$2:$K$6000,MATCH($C1163,спр_Работы!$A$2:$A$6000,0)),"")</f>
        <v/>
      </c>
      <c r="H1163" s="9" t="n"/>
      <c r="I1163" s="9" t="n"/>
      <c r="J1163" s="8">
        <f>IFERROR(INDEX(спр_Материалы!$B$2:$B$9000,MATCH($I1163,спр_Материалы!$A$2:$A$9000,0)),"")</f>
        <v/>
      </c>
      <c r="K1163">
        <f>IF($I1163="","",IF($F1163=IFERROR(INDEX(спр_Материалы!$G$2:$G$9000,MATCH($I1163,спр_Материалы!$A$2:$A$9000,0)),""),"OK","!! не та группа"))</f>
        <v/>
      </c>
      <c r="L1163" s="10">
        <f>IFERROR(INDEX(спр_Работы!$H$2:$H$6000,MATCH($C1163,спр_Работы!$A$2:$A$6000,0))*(1-ДисконтТендер),0)</f>
        <v/>
      </c>
      <c r="M1163" s="10">
        <f>IF($I1163="",0,IFERROR(INDEX(спр_Материалы!$I$2:$I$9000,MATCH($I1163,спр_Материалы!$A$2:$A$9000,0))*IF(INDEX(спр_Материалы!$J$2:$J$9000,MATCH($I1163,спр_Материалы!$A$2:$A$9000,0))="USD",КурсUSD,IF(INDEX(спр_Материалы!$J$2:$J$9000,MATCH($I1163,спр_Материалы!$A$2:$A$9000,0))="EUR",КурсEUR,1))*INDEX(спр_Материалы!$K$2:$K$9000,MATCH($I1163,спр_Материалы!$A$2:$A$9000,0))*(1+IFERROR(INDEX(спр_Работы!$I$2:$I$6000,MATCH($C1163,спр_Работы!$A$2:$A$6000,0))/100,0))*(1-ДисконтТендер),0))</f>
        <v/>
      </c>
      <c r="N1163" s="10">
        <f>IF(AND($R1163="да",$H1163&lt;&gt;""),ROUND($H1163*$L1163,2),0)</f>
        <v/>
      </c>
      <c r="O1163" s="10">
        <f>IF(AND($R1163="да",$H1163&lt;&gt;""),ROUND($H1163*$M1163,2),0)</f>
        <v/>
      </c>
      <c r="P1163" s="10">
        <f>$N1163+$O1163</f>
        <v/>
      </c>
      <c r="Q1163">
        <f>IFERROR(INDEX(спр_Работы!$J$2:$J$6000,MATCH($C1163,спр_Работы!$A$2:$A$6000,0)),"")</f>
        <v/>
      </c>
      <c r="R1163" t="inlineStr">
        <is>
          <t>да</t>
        </is>
      </c>
      <c r="T1163">
        <f>IF(AND($P1163&gt;0,$R1163="да"),MAX($T$1:$T1162)+1,"")</f>
        <v/>
      </c>
    </row>
    <row r="1164">
      <c r="A1164" s="11">
        <f>IFERROR(INDEX(спр_Работы!$D$2:$D$6000,MATCH($C1164,спр_Работы!$A$2:$A$6000,0)),"")</f>
        <v/>
      </c>
      <c r="B1164">
        <f>IFERROR(INDEX(спр_Работы!$F$2:$F$6000,MATCH($C1164,спр_Работы!$A$2:$A$6000,0)),"")</f>
        <v/>
      </c>
      <c r="C1164">
        <f>IFERROR(INDEX(спр_Работы!$A$2:$A$6000,1163),"")</f>
        <v/>
      </c>
      <c r="D1164" s="8">
        <f>IFERROR(INDEX(спр_Работы!$B$2:$B$6000,MATCH($C1164,спр_Работы!$A$2:$A$6000,0)),"")</f>
        <v/>
      </c>
      <c r="E1164">
        <f>IFERROR(INDEX(спр_Работы!$C$2:$C$6000,MATCH($C1164,спр_Работы!$A$2:$A$6000,0)),"")</f>
        <v/>
      </c>
      <c r="F1164">
        <f>IFERROR(INDEX(спр_Работы!$G$2:$G$6000,MATCH($C1164,спр_Работы!$A$2:$A$6000,0)),"")</f>
        <v/>
      </c>
      <c r="G1164">
        <f>IFERROR(INDEX(спр_Работы!$K$2:$K$6000,MATCH($C1164,спр_Работы!$A$2:$A$6000,0)),"")</f>
        <v/>
      </c>
      <c r="H1164" s="9" t="n"/>
      <c r="I1164" s="9" t="n"/>
      <c r="J1164" s="8">
        <f>IFERROR(INDEX(спр_Материалы!$B$2:$B$9000,MATCH($I1164,спр_Материалы!$A$2:$A$9000,0)),"")</f>
        <v/>
      </c>
      <c r="K1164">
        <f>IF($I1164="","",IF($F1164=IFERROR(INDEX(спр_Материалы!$G$2:$G$9000,MATCH($I1164,спр_Материалы!$A$2:$A$9000,0)),""),"OK","!! не та группа"))</f>
        <v/>
      </c>
      <c r="L1164" s="10">
        <f>IFERROR(INDEX(спр_Работы!$H$2:$H$6000,MATCH($C1164,спр_Работы!$A$2:$A$6000,0))*(1-ДисконтТендер),0)</f>
        <v/>
      </c>
      <c r="M1164" s="10">
        <f>IF($I1164="",0,IFERROR(INDEX(спр_Материалы!$I$2:$I$9000,MATCH($I1164,спр_Материалы!$A$2:$A$9000,0))*IF(INDEX(спр_Материалы!$J$2:$J$9000,MATCH($I1164,спр_Материалы!$A$2:$A$9000,0))="USD",КурсUSD,IF(INDEX(спр_Материалы!$J$2:$J$9000,MATCH($I1164,спр_Материалы!$A$2:$A$9000,0))="EUR",КурсEUR,1))*INDEX(спр_Материалы!$K$2:$K$9000,MATCH($I1164,спр_Материалы!$A$2:$A$9000,0))*(1+IFERROR(INDEX(спр_Работы!$I$2:$I$6000,MATCH($C1164,спр_Работы!$A$2:$A$6000,0))/100,0))*(1-ДисконтТендер),0))</f>
        <v/>
      </c>
      <c r="N1164" s="10">
        <f>IF(AND($R1164="да",$H1164&lt;&gt;""),ROUND($H1164*$L1164,2),0)</f>
        <v/>
      </c>
      <c r="O1164" s="10">
        <f>IF(AND($R1164="да",$H1164&lt;&gt;""),ROUND($H1164*$M1164,2),0)</f>
        <v/>
      </c>
      <c r="P1164" s="10">
        <f>$N1164+$O1164</f>
        <v/>
      </c>
      <c r="Q1164">
        <f>IFERROR(INDEX(спр_Работы!$J$2:$J$6000,MATCH($C1164,спр_Работы!$A$2:$A$6000,0)),"")</f>
        <v/>
      </c>
      <c r="R1164" t="inlineStr">
        <is>
          <t>да</t>
        </is>
      </c>
      <c r="T1164">
        <f>IF(AND($P1164&gt;0,$R1164="да"),MAX($T$1:$T1163)+1,"")</f>
        <v/>
      </c>
    </row>
    <row r="1165">
      <c r="A1165" s="11">
        <f>IFERROR(INDEX(спр_Работы!$D$2:$D$6000,MATCH($C1165,спр_Работы!$A$2:$A$6000,0)),"")</f>
        <v/>
      </c>
      <c r="B1165">
        <f>IFERROR(INDEX(спр_Работы!$F$2:$F$6000,MATCH($C1165,спр_Работы!$A$2:$A$6000,0)),"")</f>
        <v/>
      </c>
      <c r="C1165">
        <f>IFERROR(INDEX(спр_Работы!$A$2:$A$6000,1164),"")</f>
        <v/>
      </c>
      <c r="D1165" s="8">
        <f>IFERROR(INDEX(спр_Работы!$B$2:$B$6000,MATCH($C1165,спр_Работы!$A$2:$A$6000,0)),"")</f>
        <v/>
      </c>
      <c r="E1165">
        <f>IFERROR(INDEX(спр_Работы!$C$2:$C$6000,MATCH($C1165,спр_Работы!$A$2:$A$6000,0)),"")</f>
        <v/>
      </c>
      <c r="F1165">
        <f>IFERROR(INDEX(спр_Работы!$G$2:$G$6000,MATCH($C1165,спр_Работы!$A$2:$A$6000,0)),"")</f>
        <v/>
      </c>
      <c r="G1165">
        <f>IFERROR(INDEX(спр_Работы!$K$2:$K$6000,MATCH($C1165,спр_Работы!$A$2:$A$6000,0)),"")</f>
        <v/>
      </c>
      <c r="H1165" s="9" t="n"/>
      <c r="I1165" s="9" t="n"/>
      <c r="J1165" s="8">
        <f>IFERROR(INDEX(спр_Материалы!$B$2:$B$9000,MATCH($I1165,спр_Материалы!$A$2:$A$9000,0)),"")</f>
        <v/>
      </c>
      <c r="K1165">
        <f>IF($I1165="","",IF($F1165=IFERROR(INDEX(спр_Материалы!$G$2:$G$9000,MATCH($I1165,спр_Материалы!$A$2:$A$9000,0)),""),"OK","!! не та группа"))</f>
        <v/>
      </c>
      <c r="L1165" s="10">
        <f>IFERROR(INDEX(спр_Работы!$H$2:$H$6000,MATCH($C1165,спр_Работы!$A$2:$A$6000,0))*(1-ДисконтТендер),0)</f>
        <v/>
      </c>
      <c r="M1165" s="10">
        <f>IF($I1165="",0,IFERROR(INDEX(спр_Материалы!$I$2:$I$9000,MATCH($I1165,спр_Материалы!$A$2:$A$9000,0))*IF(INDEX(спр_Материалы!$J$2:$J$9000,MATCH($I1165,спр_Материалы!$A$2:$A$9000,0))="USD",КурсUSD,IF(INDEX(спр_Материалы!$J$2:$J$9000,MATCH($I1165,спр_Материалы!$A$2:$A$9000,0))="EUR",КурсEUR,1))*INDEX(спр_Материалы!$K$2:$K$9000,MATCH($I1165,спр_Материалы!$A$2:$A$9000,0))*(1+IFERROR(INDEX(спр_Работы!$I$2:$I$6000,MATCH($C1165,спр_Работы!$A$2:$A$6000,0))/100,0))*(1-ДисконтТендер),0))</f>
        <v/>
      </c>
      <c r="N1165" s="10">
        <f>IF(AND($R1165="да",$H1165&lt;&gt;""),ROUND($H1165*$L1165,2),0)</f>
        <v/>
      </c>
      <c r="O1165" s="10">
        <f>IF(AND($R1165="да",$H1165&lt;&gt;""),ROUND($H1165*$M1165,2),0)</f>
        <v/>
      </c>
      <c r="P1165" s="10">
        <f>$N1165+$O1165</f>
        <v/>
      </c>
      <c r="Q1165">
        <f>IFERROR(INDEX(спр_Работы!$J$2:$J$6000,MATCH($C1165,спр_Работы!$A$2:$A$6000,0)),"")</f>
        <v/>
      </c>
      <c r="R1165" t="inlineStr">
        <is>
          <t>да</t>
        </is>
      </c>
      <c r="T1165">
        <f>IF(AND($P1165&gt;0,$R1165="да"),MAX($T$1:$T1164)+1,"")</f>
        <v/>
      </c>
    </row>
    <row r="1166">
      <c r="A1166" s="11">
        <f>IFERROR(INDEX(спр_Работы!$D$2:$D$6000,MATCH($C1166,спр_Работы!$A$2:$A$6000,0)),"")</f>
        <v/>
      </c>
      <c r="B1166">
        <f>IFERROR(INDEX(спр_Работы!$F$2:$F$6000,MATCH($C1166,спр_Работы!$A$2:$A$6000,0)),"")</f>
        <v/>
      </c>
      <c r="C1166">
        <f>IFERROR(INDEX(спр_Работы!$A$2:$A$6000,1165),"")</f>
        <v/>
      </c>
      <c r="D1166" s="8">
        <f>IFERROR(INDEX(спр_Работы!$B$2:$B$6000,MATCH($C1166,спр_Работы!$A$2:$A$6000,0)),"")</f>
        <v/>
      </c>
      <c r="E1166">
        <f>IFERROR(INDEX(спр_Работы!$C$2:$C$6000,MATCH($C1166,спр_Работы!$A$2:$A$6000,0)),"")</f>
        <v/>
      </c>
      <c r="F1166">
        <f>IFERROR(INDEX(спр_Работы!$G$2:$G$6000,MATCH($C1166,спр_Работы!$A$2:$A$6000,0)),"")</f>
        <v/>
      </c>
      <c r="G1166">
        <f>IFERROR(INDEX(спр_Работы!$K$2:$K$6000,MATCH($C1166,спр_Работы!$A$2:$A$6000,0)),"")</f>
        <v/>
      </c>
      <c r="H1166" s="9" t="n"/>
      <c r="I1166" s="9" t="n"/>
      <c r="J1166" s="8">
        <f>IFERROR(INDEX(спр_Материалы!$B$2:$B$9000,MATCH($I1166,спр_Материалы!$A$2:$A$9000,0)),"")</f>
        <v/>
      </c>
      <c r="K1166">
        <f>IF($I1166="","",IF($F1166=IFERROR(INDEX(спр_Материалы!$G$2:$G$9000,MATCH($I1166,спр_Материалы!$A$2:$A$9000,0)),""),"OK","!! не та группа"))</f>
        <v/>
      </c>
      <c r="L1166" s="10">
        <f>IFERROR(INDEX(спр_Работы!$H$2:$H$6000,MATCH($C1166,спр_Работы!$A$2:$A$6000,0))*(1-ДисконтТендер),0)</f>
        <v/>
      </c>
      <c r="M1166" s="10">
        <f>IF($I1166="",0,IFERROR(INDEX(спр_Материалы!$I$2:$I$9000,MATCH($I1166,спр_Материалы!$A$2:$A$9000,0))*IF(INDEX(спр_Материалы!$J$2:$J$9000,MATCH($I1166,спр_Материалы!$A$2:$A$9000,0))="USD",КурсUSD,IF(INDEX(спр_Материалы!$J$2:$J$9000,MATCH($I1166,спр_Материалы!$A$2:$A$9000,0))="EUR",КурсEUR,1))*INDEX(спр_Материалы!$K$2:$K$9000,MATCH($I1166,спр_Материалы!$A$2:$A$9000,0))*(1+IFERROR(INDEX(спр_Работы!$I$2:$I$6000,MATCH($C1166,спр_Работы!$A$2:$A$6000,0))/100,0))*(1-ДисконтТендер),0))</f>
        <v/>
      </c>
      <c r="N1166" s="10">
        <f>IF(AND($R1166="да",$H1166&lt;&gt;""),ROUND($H1166*$L1166,2),0)</f>
        <v/>
      </c>
      <c r="O1166" s="10">
        <f>IF(AND($R1166="да",$H1166&lt;&gt;""),ROUND($H1166*$M1166,2),0)</f>
        <v/>
      </c>
      <c r="P1166" s="10">
        <f>$N1166+$O1166</f>
        <v/>
      </c>
      <c r="Q1166">
        <f>IFERROR(INDEX(спр_Работы!$J$2:$J$6000,MATCH($C1166,спр_Работы!$A$2:$A$6000,0)),"")</f>
        <v/>
      </c>
      <c r="R1166" t="inlineStr">
        <is>
          <t>да</t>
        </is>
      </c>
      <c r="T1166">
        <f>IF(AND($P1166&gt;0,$R1166="да"),MAX($T$1:$T1165)+1,"")</f>
        <v/>
      </c>
    </row>
    <row r="1167">
      <c r="A1167" s="11">
        <f>IFERROR(INDEX(спр_Работы!$D$2:$D$6000,MATCH($C1167,спр_Работы!$A$2:$A$6000,0)),"")</f>
        <v/>
      </c>
      <c r="B1167">
        <f>IFERROR(INDEX(спр_Работы!$F$2:$F$6000,MATCH($C1167,спр_Работы!$A$2:$A$6000,0)),"")</f>
        <v/>
      </c>
      <c r="C1167">
        <f>IFERROR(INDEX(спр_Работы!$A$2:$A$6000,1166),"")</f>
        <v/>
      </c>
      <c r="D1167" s="8">
        <f>IFERROR(INDEX(спр_Работы!$B$2:$B$6000,MATCH($C1167,спр_Работы!$A$2:$A$6000,0)),"")</f>
        <v/>
      </c>
      <c r="E1167">
        <f>IFERROR(INDEX(спр_Работы!$C$2:$C$6000,MATCH($C1167,спр_Работы!$A$2:$A$6000,0)),"")</f>
        <v/>
      </c>
      <c r="F1167">
        <f>IFERROR(INDEX(спр_Работы!$G$2:$G$6000,MATCH($C1167,спр_Работы!$A$2:$A$6000,0)),"")</f>
        <v/>
      </c>
      <c r="G1167">
        <f>IFERROR(INDEX(спр_Работы!$K$2:$K$6000,MATCH($C1167,спр_Работы!$A$2:$A$6000,0)),"")</f>
        <v/>
      </c>
      <c r="H1167" s="9" t="n"/>
      <c r="I1167" s="9" t="n"/>
      <c r="J1167" s="8">
        <f>IFERROR(INDEX(спр_Материалы!$B$2:$B$9000,MATCH($I1167,спр_Материалы!$A$2:$A$9000,0)),"")</f>
        <v/>
      </c>
      <c r="K1167">
        <f>IF($I1167="","",IF($F1167=IFERROR(INDEX(спр_Материалы!$G$2:$G$9000,MATCH($I1167,спр_Материалы!$A$2:$A$9000,0)),""),"OK","!! не та группа"))</f>
        <v/>
      </c>
      <c r="L1167" s="10">
        <f>IFERROR(INDEX(спр_Работы!$H$2:$H$6000,MATCH($C1167,спр_Работы!$A$2:$A$6000,0))*(1-ДисконтТендер),0)</f>
        <v/>
      </c>
      <c r="M1167" s="10">
        <f>IF($I1167="",0,IFERROR(INDEX(спр_Материалы!$I$2:$I$9000,MATCH($I1167,спр_Материалы!$A$2:$A$9000,0))*IF(INDEX(спр_Материалы!$J$2:$J$9000,MATCH($I1167,спр_Материалы!$A$2:$A$9000,0))="USD",КурсUSD,IF(INDEX(спр_Материалы!$J$2:$J$9000,MATCH($I1167,спр_Материалы!$A$2:$A$9000,0))="EUR",КурсEUR,1))*INDEX(спр_Материалы!$K$2:$K$9000,MATCH($I1167,спр_Материалы!$A$2:$A$9000,0))*(1+IFERROR(INDEX(спр_Работы!$I$2:$I$6000,MATCH($C1167,спр_Работы!$A$2:$A$6000,0))/100,0))*(1-ДисконтТендер),0))</f>
        <v/>
      </c>
      <c r="N1167" s="10">
        <f>IF(AND($R1167="да",$H1167&lt;&gt;""),ROUND($H1167*$L1167,2),0)</f>
        <v/>
      </c>
      <c r="O1167" s="10">
        <f>IF(AND($R1167="да",$H1167&lt;&gt;""),ROUND($H1167*$M1167,2),0)</f>
        <v/>
      </c>
      <c r="P1167" s="10">
        <f>$N1167+$O1167</f>
        <v/>
      </c>
      <c r="Q1167">
        <f>IFERROR(INDEX(спр_Работы!$J$2:$J$6000,MATCH($C1167,спр_Работы!$A$2:$A$6000,0)),"")</f>
        <v/>
      </c>
      <c r="R1167" t="inlineStr">
        <is>
          <t>да</t>
        </is>
      </c>
      <c r="T1167">
        <f>IF(AND($P1167&gt;0,$R1167="да"),MAX($T$1:$T1166)+1,"")</f>
        <v/>
      </c>
    </row>
    <row r="1168">
      <c r="A1168" s="11">
        <f>IFERROR(INDEX(спр_Работы!$D$2:$D$6000,MATCH($C1168,спр_Работы!$A$2:$A$6000,0)),"")</f>
        <v/>
      </c>
      <c r="B1168">
        <f>IFERROR(INDEX(спр_Работы!$F$2:$F$6000,MATCH($C1168,спр_Работы!$A$2:$A$6000,0)),"")</f>
        <v/>
      </c>
      <c r="C1168">
        <f>IFERROR(INDEX(спр_Работы!$A$2:$A$6000,1167),"")</f>
        <v/>
      </c>
      <c r="D1168" s="8">
        <f>IFERROR(INDEX(спр_Работы!$B$2:$B$6000,MATCH($C1168,спр_Работы!$A$2:$A$6000,0)),"")</f>
        <v/>
      </c>
      <c r="E1168">
        <f>IFERROR(INDEX(спр_Работы!$C$2:$C$6000,MATCH($C1168,спр_Работы!$A$2:$A$6000,0)),"")</f>
        <v/>
      </c>
      <c r="F1168">
        <f>IFERROR(INDEX(спр_Работы!$G$2:$G$6000,MATCH($C1168,спр_Работы!$A$2:$A$6000,0)),"")</f>
        <v/>
      </c>
      <c r="G1168">
        <f>IFERROR(INDEX(спр_Работы!$K$2:$K$6000,MATCH($C1168,спр_Работы!$A$2:$A$6000,0)),"")</f>
        <v/>
      </c>
      <c r="H1168" s="9" t="n"/>
      <c r="I1168" s="9" t="n"/>
      <c r="J1168" s="8">
        <f>IFERROR(INDEX(спр_Материалы!$B$2:$B$9000,MATCH($I1168,спр_Материалы!$A$2:$A$9000,0)),"")</f>
        <v/>
      </c>
      <c r="K1168">
        <f>IF($I1168="","",IF($F1168=IFERROR(INDEX(спр_Материалы!$G$2:$G$9000,MATCH($I1168,спр_Материалы!$A$2:$A$9000,0)),""),"OK","!! не та группа"))</f>
        <v/>
      </c>
      <c r="L1168" s="10">
        <f>IFERROR(INDEX(спр_Работы!$H$2:$H$6000,MATCH($C1168,спр_Работы!$A$2:$A$6000,0))*(1-ДисконтТендер),0)</f>
        <v/>
      </c>
      <c r="M1168" s="10">
        <f>IF($I1168="",0,IFERROR(INDEX(спр_Материалы!$I$2:$I$9000,MATCH($I1168,спр_Материалы!$A$2:$A$9000,0))*IF(INDEX(спр_Материалы!$J$2:$J$9000,MATCH($I1168,спр_Материалы!$A$2:$A$9000,0))="USD",КурсUSD,IF(INDEX(спр_Материалы!$J$2:$J$9000,MATCH($I1168,спр_Материалы!$A$2:$A$9000,0))="EUR",КурсEUR,1))*INDEX(спр_Материалы!$K$2:$K$9000,MATCH($I1168,спр_Материалы!$A$2:$A$9000,0))*(1+IFERROR(INDEX(спр_Работы!$I$2:$I$6000,MATCH($C1168,спр_Работы!$A$2:$A$6000,0))/100,0))*(1-ДисконтТендер),0))</f>
        <v/>
      </c>
      <c r="N1168" s="10">
        <f>IF(AND($R1168="да",$H1168&lt;&gt;""),ROUND($H1168*$L1168,2),0)</f>
        <v/>
      </c>
      <c r="O1168" s="10">
        <f>IF(AND($R1168="да",$H1168&lt;&gt;""),ROUND($H1168*$M1168,2),0)</f>
        <v/>
      </c>
      <c r="P1168" s="10">
        <f>$N1168+$O1168</f>
        <v/>
      </c>
      <c r="Q1168">
        <f>IFERROR(INDEX(спр_Работы!$J$2:$J$6000,MATCH($C1168,спр_Работы!$A$2:$A$6000,0)),"")</f>
        <v/>
      </c>
      <c r="R1168" t="inlineStr">
        <is>
          <t>да</t>
        </is>
      </c>
      <c r="T1168">
        <f>IF(AND($P1168&gt;0,$R1168="да"),MAX($T$1:$T1167)+1,"")</f>
        <v/>
      </c>
    </row>
    <row r="1169">
      <c r="A1169" s="11">
        <f>IFERROR(INDEX(спр_Работы!$D$2:$D$6000,MATCH($C1169,спр_Работы!$A$2:$A$6000,0)),"")</f>
        <v/>
      </c>
      <c r="B1169">
        <f>IFERROR(INDEX(спр_Работы!$F$2:$F$6000,MATCH($C1169,спр_Работы!$A$2:$A$6000,0)),"")</f>
        <v/>
      </c>
      <c r="C1169">
        <f>IFERROR(INDEX(спр_Работы!$A$2:$A$6000,1168),"")</f>
        <v/>
      </c>
      <c r="D1169" s="8">
        <f>IFERROR(INDEX(спр_Работы!$B$2:$B$6000,MATCH($C1169,спр_Работы!$A$2:$A$6000,0)),"")</f>
        <v/>
      </c>
      <c r="E1169">
        <f>IFERROR(INDEX(спр_Работы!$C$2:$C$6000,MATCH($C1169,спр_Работы!$A$2:$A$6000,0)),"")</f>
        <v/>
      </c>
      <c r="F1169">
        <f>IFERROR(INDEX(спр_Работы!$G$2:$G$6000,MATCH($C1169,спр_Работы!$A$2:$A$6000,0)),"")</f>
        <v/>
      </c>
      <c r="G1169">
        <f>IFERROR(INDEX(спр_Работы!$K$2:$K$6000,MATCH($C1169,спр_Работы!$A$2:$A$6000,0)),"")</f>
        <v/>
      </c>
      <c r="H1169" s="9" t="n"/>
      <c r="I1169" s="9" t="n"/>
      <c r="J1169" s="8">
        <f>IFERROR(INDEX(спр_Материалы!$B$2:$B$9000,MATCH($I1169,спр_Материалы!$A$2:$A$9000,0)),"")</f>
        <v/>
      </c>
      <c r="K1169">
        <f>IF($I1169="","",IF($F1169=IFERROR(INDEX(спр_Материалы!$G$2:$G$9000,MATCH($I1169,спр_Материалы!$A$2:$A$9000,0)),""),"OK","!! не та группа"))</f>
        <v/>
      </c>
      <c r="L1169" s="10">
        <f>IFERROR(INDEX(спр_Работы!$H$2:$H$6000,MATCH($C1169,спр_Работы!$A$2:$A$6000,0))*(1-ДисконтТендер),0)</f>
        <v/>
      </c>
      <c r="M1169" s="10">
        <f>IF($I1169="",0,IFERROR(INDEX(спр_Материалы!$I$2:$I$9000,MATCH($I1169,спр_Материалы!$A$2:$A$9000,0))*IF(INDEX(спр_Материалы!$J$2:$J$9000,MATCH($I1169,спр_Материалы!$A$2:$A$9000,0))="USD",КурсUSD,IF(INDEX(спр_Материалы!$J$2:$J$9000,MATCH($I1169,спр_Материалы!$A$2:$A$9000,0))="EUR",КурсEUR,1))*INDEX(спр_Материалы!$K$2:$K$9000,MATCH($I1169,спр_Материалы!$A$2:$A$9000,0))*(1+IFERROR(INDEX(спр_Работы!$I$2:$I$6000,MATCH($C1169,спр_Работы!$A$2:$A$6000,0))/100,0))*(1-ДисконтТендер),0))</f>
        <v/>
      </c>
      <c r="N1169" s="10">
        <f>IF(AND($R1169="да",$H1169&lt;&gt;""),ROUND($H1169*$L1169,2),0)</f>
        <v/>
      </c>
      <c r="O1169" s="10">
        <f>IF(AND($R1169="да",$H1169&lt;&gt;""),ROUND($H1169*$M1169,2),0)</f>
        <v/>
      </c>
      <c r="P1169" s="10">
        <f>$N1169+$O1169</f>
        <v/>
      </c>
      <c r="Q1169">
        <f>IFERROR(INDEX(спр_Работы!$J$2:$J$6000,MATCH($C1169,спр_Работы!$A$2:$A$6000,0)),"")</f>
        <v/>
      </c>
      <c r="R1169" t="inlineStr">
        <is>
          <t>да</t>
        </is>
      </c>
      <c r="T1169">
        <f>IF(AND($P1169&gt;0,$R1169="да"),MAX($T$1:$T1168)+1,"")</f>
        <v/>
      </c>
    </row>
    <row r="1170">
      <c r="A1170" s="11">
        <f>IFERROR(INDEX(спр_Работы!$D$2:$D$6000,MATCH($C1170,спр_Работы!$A$2:$A$6000,0)),"")</f>
        <v/>
      </c>
      <c r="B1170">
        <f>IFERROR(INDEX(спр_Работы!$F$2:$F$6000,MATCH($C1170,спр_Работы!$A$2:$A$6000,0)),"")</f>
        <v/>
      </c>
      <c r="C1170">
        <f>IFERROR(INDEX(спр_Работы!$A$2:$A$6000,1169),"")</f>
        <v/>
      </c>
      <c r="D1170" s="8">
        <f>IFERROR(INDEX(спр_Работы!$B$2:$B$6000,MATCH($C1170,спр_Работы!$A$2:$A$6000,0)),"")</f>
        <v/>
      </c>
      <c r="E1170">
        <f>IFERROR(INDEX(спр_Работы!$C$2:$C$6000,MATCH($C1170,спр_Работы!$A$2:$A$6000,0)),"")</f>
        <v/>
      </c>
      <c r="F1170">
        <f>IFERROR(INDEX(спр_Работы!$G$2:$G$6000,MATCH($C1170,спр_Работы!$A$2:$A$6000,0)),"")</f>
        <v/>
      </c>
      <c r="G1170">
        <f>IFERROR(INDEX(спр_Работы!$K$2:$K$6000,MATCH($C1170,спр_Работы!$A$2:$A$6000,0)),"")</f>
        <v/>
      </c>
      <c r="H1170" s="9" t="n"/>
      <c r="I1170" s="9" t="n"/>
      <c r="J1170" s="8">
        <f>IFERROR(INDEX(спр_Материалы!$B$2:$B$9000,MATCH($I1170,спр_Материалы!$A$2:$A$9000,0)),"")</f>
        <v/>
      </c>
      <c r="K1170">
        <f>IF($I1170="","",IF($F1170=IFERROR(INDEX(спр_Материалы!$G$2:$G$9000,MATCH($I1170,спр_Материалы!$A$2:$A$9000,0)),""),"OK","!! не та группа"))</f>
        <v/>
      </c>
      <c r="L1170" s="10">
        <f>IFERROR(INDEX(спр_Работы!$H$2:$H$6000,MATCH($C1170,спр_Работы!$A$2:$A$6000,0))*(1-ДисконтТендер),0)</f>
        <v/>
      </c>
      <c r="M1170" s="10">
        <f>IF($I1170="",0,IFERROR(INDEX(спр_Материалы!$I$2:$I$9000,MATCH($I1170,спр_Материалы!$A$2:$A$9000,0))*IF(INDEX(спр_Материалы!$J$2:$J$9000,MATCH($I1170,спр_Материалы!$A$2:$A$9000,0))="USD",КурсUSD,IF(INDEX(спр_Материалы!$J$2:$J$9000,MATCH($I1170,спр_Материалы!$A$2:$A$9000,0))="EUR",КурсEUR,1))*INDEX(спр_Материалы!$K$2:$K$9000,MATCH($I1170,спр_Материалы!$A$2:$A$9000,0))*(1+IFERROR(INDEX(спр_Работы!$I$2:$I$6000,MATCH($C1170,спр_Работы!$A$2:$A$6000,0))/100,0))*(1-ДисконтТендер),0))</f>
        <v/>
      </c>
      <c r="N1170" s="10">
        <f>IF(AND($R1170="да",$H1170&lt;&gt;""),ROUND($H1170*$L1170,2),0)</f>
        <v/>
      </c>
      <c r="O1170" s="10">
        <f>IF(AND($R1170="да",$H1170&lt;&gt;""),ROUND($H1170*$M1170,2),0)</f>
        <v/>
      </c>
      <c r="P1170" s="10">
        <f>$N1170+$O1170</f>
        <v/>
      </c>
      <c r="Q1170">
        <f>IFERROR(INDEX(спр_Работы!$J$2:$J$6000,MATCH($C1170,спр_Работы!$A$2:$A$6000,0)),"")</f>
        <v/>
      </c>
      <c r="R1170" t="inlineStr">
        <is>
          <t>да</t>
        </is>
      </c>
      <c r="T1170">
        <f>IF(AND($P1170&gt;0,$R1170="да"),MAX($T$1:$T1169)+1,"")</f>
        <v/>
      </c>
    </row>
    <row r="1171">
      <c r="A1171" s="11">
        <f>IFERROR(INDEX(спр_Работы!$D$2:$D$6000,MATCH($C1171,спр_Работы!$A$2:$A$6000,0)),"")</f>
        <v/>
      </c>
      <c r="B1171">
        <f>IFERROR(INDEX(спр_Работы!$F$2:$F$6000,MATCH($C1171,спр_Работы!$A$2:$A$6000,0)),"")</f>
        <v/>
      </c>
      <c r="C1171">
        <f>IFERROR(INDEX(спр_Работы!$A$2:$A$6000,1170),"")</f>
        <v/>
      </c>
      <c r="D1171" s="8">
        <f>IFERROR(INDEX(спр_Работы!$B$2:$B$6000,MATCH($C1171,спр_Работы!$A$2:$A$6000,0)),"")</f>
        <v/>
      </c>
      <c r="E1171">
        <f>IFERROR(INDEX(спр_Работы!$C$2:$C$6000,MATCH($C1171,спр_Работы!$A$2:$A$6000,0)),"")</f>
        <v/>
      </c>
      <c r="F1171">
        <f>IFERROR(INDEX(спр_Работы!$G$2:$G$6000,MATCH($C1171,спр_Работы!$A$2:$A$6000,0)),"")</f>
        <v/>
      </c>
      <c r="G1171">
        <f>IFERROR(INDEX(спр_Работы!$K$2:$K$6000,MATCH($C1171,спр_Работы!$A$2:$A$6000,0)),"")</f>
        <v/>
      </c>
      <c r="H1171" s="9" t="n"/>
      <c r="I1171" s="9" t="n"/>
      <c r="J1171" s="8">
        <f>IFERROR(INDEX(спр_Материалы!$B$2:$B$9000,MATCH($I1171,спр_Материалы!$A$2:$A$9000,0)),"")</f>
        <v/>
      </c>
      <c r="K1171">
        <f>IF($I1171="","",IF($F1171=IFERROR(INDEX(спр_Материалы!$G$2:$G$9000,MATCH($I1171,спр_Материалы!$A$2:$A$9000,0)),""),"OK","!! не та группа"))</f>
        <v/>
      </c>
      <c r="L1171" s="10">
        <f>IFERROR(INDEX(спр_Работы!$H$2:$H$6000,MATCH($C1171,спр_Работы!$A$2:$A$6000,0))*(1-ДисконтТендер),0)</f>
        <v/>
      </c>
      <c r="M1171" s="10">
        <f>IF($I1171="",0,IFERROR(INDEX(спр_Материалы!$I$2:$I$9000,MATCH($I1171,спр_Материалы!$A$2:$A$9000,0))*IF(INDEX(спр_Материалы!$J$2:$J$9000,MATCH($I1171,спр_Материалы!$A$2:$A$9000,0))="USD",КурсUSD,IF(INDEX(спр_Материалы!$J$2:$J$9000,MATCH($I1171,спр_Материалы!$A$2:$A$9000,0))="EUR",КурсEUR,1))*INDEX(спр_Материалы!$K$2:$K$9000,MATCH($I1171,спр_Материалы!$A$2:$A$9000,0))*(1+IFERROR(INDEX(спр_Работы!$I$2:$I$6000,MATCH($C1171,спр_Работы!$A$2:$A$6000,0))/100,0))*(1-ДисконтТендер),0))</f>
        <v/>
      </c>
      <c r="N1171" s="10">
        <f>IF(AND($R1171="да",$H1171&lt;&gt;""),ROUND($H1171*$L1171,2),0)</f>
        <v/>
      </c>
      <c r="O1171" s="10">
        <f>IF(AND($R1171="да",$H1171&lt;&gt;""),ROUND($H1171*$M1171,2),0)</f>
        <v/>
      </c>
      <c r="P1171" s="10">
        <f>$N1171+$O1171</f>
        <v/>
      </c>
      <c r="Q1171">
        <f>IFERROR(INDEX(спр_Работы!$J$2:$J$6000,MATCH($C1171,спр_Работы!$A$2:$A$6000,0)),"")</f>
        <v/>
      </c>
      <c r="R1171" t="inlineStr">
        <is>
          <t>да</t>
        </is>
      </c>
      <c r="T1171">
        <f>IF(AND($P1171&gt;0,$R1171="да"),MAX($T$1:$T1170)+1,"")</f>
        <v/>
      </c>
    </row>
    <row r="1172">
      <c r="A1172" s="11">
        <f>IFERROR(INDEX(спр_Работы!$D$2:$D$6000,MATCH($C1172,спр_Работы!$A$2:$A$6000,0)),"")</f>
        <v/>
      </c>
      <c r="B1172">
        <f>IFERROR(INDEX(спр_Работы!$F$2:$F$6000,MATCH($C1172,спр_Работы!$A$2:$A$6000,0)),"")</f>
        <v/>
      </c>
      <c r="C1172">
        <f>IFERROR(INDEX(спр_Работы!$A$2:$A$6000,1171),"")</f>
        <v/>
      </c>
      <c r="D1172" s="8">
        <f>IFERROR(INDEX(спр_Работы!$B$2:$B$6000,MATCH($C1172,спр_Работы!$A$2:$A$6000,0)),"")</f>
        <v/>
      </c>
      <c r="E1172">
        <f>IFERROR(INDEX(спр_Работы!$C$2:$C$6000,MATCH($C1172,спр_Работы!$A$2:$A$6000,0)),"")</f>
        <v/>
      </c>
      <c r="F1172">
        <f>IFERROR(INDEX(спр_Работы!$G$2:$G$6000,MATCH($C1172,спр_Работы!$A$2:$A$6000,0)),"")</f>
        <v/>
      </c>
      <c r="G1172">
        <f>IFERROR(INDEX(спр_Работы!$K$2:$K$6000,MATCH($C1172,спр_Работы!$A$2:$A$6000,0)),"")</f>
        <v/>
      </c>
      <c r="H1172" s="9" t="n"/>
      <c r="I1172" s="9" t="n"/>
      <c r="J1172" s="8">
        <f>IFERROR(INDEX(спр_Материалы!$B$2:$B$9000,MATCH($I1172,спр_Материалы!$A$2:$A$9000,0)),"")</f>
        <v/>
      </c>
      <c r="K1172">
        <f>IF($I1172="","",IF($F1172=IFERROR(INDEX(спр_Материалы!$G$2:$G$9000,MATCH($I1172,спр_Материалы!$A$2:$A$9000,0)),""),"OK","!! не та группа"))</f>
        <v/>
      </c>
      <c r="L1172" s="10">
        <f>IFERROR(INDEX(спр_Работы!$H$2:$H$6000,MATCH($C1172,спр_Работы!$A$2:$A$6000,0))*(1-ДисконтТендер),0)</f>
        <v/>
      </c>
      <c r="M1172" s="10">
        <f>IF($I1172="",0,IFERROR(INDEX(спр_Материалы!$I$2:$I$9000,MATCH($I1172,спр_Материалы!$A$2:$A$9000,0))*IF(INDEX(спр_Материалы!$J$2:$J$9000,MATCH($I1172,спр_Материалы!$A$2:$A$9000,0))="USD",КурсUSD,IF(INDEX(спр_Материалы!$J$2:$J$9000,MATCH($I1172,спр_Материалы!$A$2:$A$9000,0))="EUR",КурсEUR,1))*INDEX(спр_Материалы!$K$2:$K$9000,MATCH($I1172,спр_Материалы!$A$2:$A$9000,0))*(1+IFERROR(INDEX(спр_Работы!$I$2:$I$6000,MATCH($C1172,спр_Работы!$A$2:$A$6000,0))/100,0))*(1-ДисконтТендер),0))</f>
        <v/>
      </c>
      <c r="N1172" s="10">
        <f>IF(AND($R1172="да",$H1172&lt;&gt;""),ROUND($H1172*$L1172,2),0)</f>
        <v/>
      </c>
      <c r="O1172" s="10">
        <f>IF(AND($R1172="да",$H1172&lt;&gt;""),ROUND($H1172*$M1172,2),0)</f>
        <v/>
      </c>
      <c r="P1172" s="10">
        <f>$N1172+$O1172</f>
        <v/>
      </c>
      <c r="Q1172">
        <f>IFERROR(INDEX(спр_Работы!$J$2:$J$6000,MATCH($C1172,спр_Работы!$A$2:$A$6000,0)),"")</f>
        <v/>
      </c>
      <c r="R1172" t="inlineStr">
        <is>
          <t>да</t>
        </is>
      </c>
      <c r="T1172">
        <f>IF(AND($P1172&gt;0,$R1172="да"),MAX($T$1:$T1171)+1,"")</f>
        <v/>
      </c>
    </row>
    <row r="1173">
      <c r="A1173" s="11">
        <f>IFERROR(INDEX(спр_Работы!$D$2:$D$6000,MATCH($C1173,спр_Работы!$A$2:$A$6000,0)),"")</f>
        <v/>
      </c>
      <c r="B1173">
        <f>IFERROR(INDEX(спр_Работы!$F$2:$F$6000,MATCH($C1173,спр_Работы!$A$2:$A$6000,0)),"")</f>
        <v/>
      </c>
      <c r="C1173">
        <f>IFERROR(INDEX(спр_Работы!$A$2:$A$6000,1172),"")</f>
        <v/>
      </c>
      <c r="D1173" s="8">
        <f>IFERROR(INDEX(спр_Работы!$B$2:$B$6000,MATCH($C1173,спр_Работы!$A$2:$A$6000,0)),"")</f>
        <v/>
      </c>
      <c r="E1173">
        <f>IFERROR(INDEX(спр_Работы!$C$2:$C$6000,MATCH($C1173,спр_Работы!$A$2:$A$6000,0)),"")</f>
        <v/>
      </c>
      <c r="F1173">
        <f>IFERROR(INDEX(спр_Работы!$G$2:$G$6000,MATCH($C1173,спр_Работы!$A$2:$A$6000,0)),"")</f>
        <v/>
      </c>
      <c r="G1173">
        <f>IFERROR(INDEX(спр_Работы!$K$2:$K$6000,MATCH($C1173,спр_Работы!$A$2:$A$6000,0)),"")</f>
        <v/>
      </c>
      <c r="H1173" s="9" t="n"/>
      <c r="I1173" s="9" t="n"/>
      <c r="J1173" s="8">
        <f>IFERROR(INDEX(спр_Материалы!$B$2:$B$9000,MATCH($I1173,спр_Материалы!$A$2:$A$9000,0)),"")</f>
        <v/>
      </c>
      <c r="K1173">
        <f>IF($I1173="","",IF($F1173=IFERROR(INDEX(спр_Материалы!$G$2:$G$9000,MATCH($I1173,спр_Материалы!$A$2:$A$9000,0)),""),"OK","!! не та группа"))</f>
        <v/>
      </c>
      <c r="L1173" s="10">
        <f>IFERROR(INDEX(спр_Работы!$H$2:$H$6000,MATCH($C1173,спр_Работы!$A$2:$A$6000,0))*(1-ДисконтТендер),0)</f>
        <v/>
      </c>
      <c r="M1173" s="10">
        <f>IF($I1173="",0,IFERROR(INDEX(спр_Материалы!$I$2:$I$9000,MATCH($I1173,спр_Материалы!$A$2:$A$9000,0))*IF(INDEX(спр_Материалы!$J$2:$J$9000,MATCH($I1173,спр_Материалы!$A$2:$A$9000,0))="USD",КурсUSD,IF(INDEX(спр_Материалы!$J$2:$J$9000,MATCH($I1173,спр_Материалы!$A$2:$A$9000,0))="EUR",КурсEUR,1))*INDEX(спр_Материалы!$K$2:$K$9000,MATCH($I1173,спр_Материалы!$A$2:$A$9000,0))*(1+IFERROR(INDEX(спр_Работы!$I$2:$I$6000,MATCH($C1173,спр_Работы!$A$2:$A$6000,0))/100,0))*(1-ДисконтТендер),0))</f>
        <v/>
      </c>
      <c r="N1173" s="10">
        <f>IF(AND($R1173="да",$H1173&lt;&gt;""),ROUND($H1173*$L1173,2),0)</f>
        <v/>
      </c>
      <c r="O1173" s="10">
        <f>IF(AND($R1173="да",$H1173&lt;&gt;""),ROUND($H1173*$M1173,2),0)</f>
        <v/>
      </c>
      <c r="P1173" s="10">
        <f>$N1173+$O1173</f>
        <v/>
      </c>
      <c r="Q1173">
        <f>IFERROR(INDEX(спр_Работы!$J$2:$J$6000,MATCH($C1173,спр_Работы!$A$2:$A$6000,0)),"")</f>
        <v/>
      </c>
      <c r="R1173" t="inlineStr">
        <is>
          <t>да</t>
        </is>
      </c>
      <c r="T1173">
        <f>IF(AND($P1173&gt;0,$R1173="да"),MAX($T$1:$T1172)+1,"")</f>
        <v/>
      </c>
    </row>
    <row r="1174">
      <c r="A1174" s="11">
        <f>IFERROR(INDEX(спр_Работы!$D$2:$D$6000,MATCH($C1174,спр_Работы!$A$2:$A$6000,0)),"")</f>
        <v/>
      </c>
      <c r="B1174">
        <f>IFERROR(INDEX(спр_Работы!$F$2:$F$6000,MATCH($C1174,спр_Работы!$A$2:$A$6000,0)),"")</f>
        <v/>
      </c>
      <c r="C1174">
        <f>IFERROR(INDEX(спр_Работы!$A$2:$A$6000,1173),"")</f>
        <v/>
      </c>
      <c r="D1174" s="8">
        <f>IFERROR(INDEX(спр_Работы!$B$2:$B$6000,MATCH($C1174,спр_Работы!$A$2:$A$6000,0)),"")</f>
        <v/>
      </c>
      <c r="E1174">
        <f>IFERROR(INDEX(спр_Работы!$C$2:$C$6000,MATCH($C1174,спр_Работы!$A$2:$A$6000,0)),"")</f>
        <v/>
      </c>
      <c r="F1174">
        <f>IFERROR(INDEX(спр_Работы!$G$2:$G$6000,MATCH($C1174,спр_Работы!$A$2:$A$6000,0)),"")</f>
        <v/>
      </c>
      <c r="G1174">
        <f>IFERROR(INDEX(спр_Работы!$K$2:$K$6000,MATCH($C1174,спр_Работы!$A$2:$A$6000,0)),"")</f>
        <v/>
      </c>
      <c r="H1174" s="9" t="n"/>
      <c r="I1174" s="9" t="n"/>
      <c r="J1174" s="8">
        <f>IFERROR(INDEX(спр_Материалы!$B$2:$B$9000,MATCH($I1174,спр_Материалы!$A$2:$A$9000,0)),"")</f>
        <v/>
      </c>
      <c r="K1174">
        <f>IF($I1174="","",IF($F1174=IFERROR(INDEX(спр_Материалы!$G$2:$G$9000,MATCH($I1174,спр_Материалы!$A$2:$A$9000,0)),""),"OK","!! не та группа"))</f>
        <v/>
      </c>
      <c r="L1174" s="10">
        <f>IFERROR(INDEX(спр_Работы!$H$2:$H$6000,MATCH($C1174,спр_Работы!$A$2:$A$6000,0))*(1-ДисконтТендер),0)</f>
        <v/>
      </c>
      <c r="M1174" s="10">
        <f>IF($I1174="",0,IFERROR(INDEX(спр_Материалы!$I$2:$I$9000,MATCH($I1174,спр_Материалы!$A$2:$A$9000,0))*IF(INDEX(спр_Материалы!$J$2:$J$9000,MATCH($I1174,спр_Материалы!$A$2:$A$9000,0))="USD",КурсUSD,IF(INDEX(спр_Материалы!$J$2:$J$9000,MATCH($I1174,спр_Материалы!$A$2:$A$9000,0))="EUR",КурсEUR,1))*INDEX(спр_Материалы!$K$2:$K$9000,MATCH($I1174,спр_Материалы!$A$2:$A$9000,0))*(1+IFERROR(INDEX(спр_Работы!$I$2:$I$6000,MATCH($C1174,спр_Работы!$A$2:$A$6000,0))/100,0))*(1-ДисконтТендер),0))</f>
        <v/>
      </c>
      <c r="N1174" s="10">
        <f>IF(AND($R1174="да",$H1174&lt;&gt;""),ROUND($H1174*$L1174,2),0)</f>
        <v/>
      </c>
      <c r="O1174" s="10">
        <f>IF(AND($R1174="да",$H1174&lt;&gt;""),ROUND($H1174*$M1174,2),0)</f>
        <v/>
      </c>
      <c r="P1174" s="10">
        <f>$N1174+$O1174</f>
        <v/>
      </c>
      <c r="Q1174">
        <f>IFERROR(INDEX(спр_Работы!$J$2:$J$6000,MATCH($C1174,спр_Работы!$A$2:$A$6000,0)),"")</f>
        <v/>
      </c>
      <c r="R1174" t="inlineStr">
        <is>
          <t>да</t>
        </is>
      </c>
      <c r="T1174">
        <f>IF(AND($P1174&gt;0,$R1174="да"),MAX($T$1:$T1173)+1,"")</f>
        <v/>
      </c>
    </row>
    <row r="1175">
      <c r="A1175" s="11">
        <f>IFERROR(INDEX(спр_Работы!$D$2:$D$6000,MATCH($C1175,спр_Работы!$A$2:$A$6000,0)),"")</f>
        <v/>
      </c>
      <c r="B1175">
        <f>IFERROR(INDEX(спр_Работы!$F$2:$F$6000,MATCH($C1175,спр_Работы!$A$2:$A$6000,0)),"")</f>
        <v/>
      </c>
      <c r="C1175">
        <f>IFERROR(INDEX(спр_Работы!$A$2:$A$6000,1174),"")</f>
        <v/>
      </c>
      <c r="D1175" s="8">
        <f>IFERROR(INDEX(спр_Работы!$B$2:$B$6000,MATCH($C1175,спр_Работы!$A$2:$A$6000,0)),"")</f>
        <v/>
      </c>
      <c r="E1175">
        <f>IFERROR(INDEX(спр_Работы!$C$2:$C$6000,MATCH($C1175,спр_Работы!$A$2:$A$6000,0)),"")</f>
        <v/>
      </c>
      <c r="F1175">
        <f>IFERROR(INDEX(спр_Работы!$G$2:$G$6000,MATCH($C1175,спр_Работы!$A$2:$A$6000,0)),"")</f>
        <v/>
      </c>
      <c r="G1175">
        <f>IFERROR(INDEX(спр_Работы!$K$2:$K$6000,MATCH($C1175,спр_Работы!$A$2:$A$6000,0)),"")</f>
        <v/>
      </c>
      <c r="H1175" s="9" t="n"/>
      <c r="I1175" s="9" t="n"/>
      <c r="J1175" s="8">
        <f>IFERROR(INDEX(спр_Материалы!$B$2:$B$9000,MATCH($I1175,спр_Материалы!$A$2:$A$9000,0)),"")</f>
        <v/>
      </c>
      <c r="K1175">
        <f>IF($I1175="","",IF($F1175=IFERROR(INDEX(спр_Материалы!$G$2:$G$9000,MATCH($I1175,спр_Материалы!$A$2:$A$9000,0)),""),"OK","!! не та группа"))</f>
        <v/>
      </c>
      <c r="L1175" s="10">
        <f>IFERROR(INDEX(спр_Работы!$H$2:$H$6000,MATCH($C1175,спр_Работы!$A$2:$A$6000,0))*(1-ДисконтТендер),0)</f>
        <v/>
      </c>
      <c r="M1175" s="10">
        <f>IF($I1175="",0,IFERROR(INDEX(спр_Материалы!$I$2:$I$9000,MATCH($I1175,спр_Материалы!$A$2:$A$9000,0))*IF(INDEX(спр_Материалы!$J$2:$J$9000,MATCH($I1175,спр_Материалы!$A$2:$A$9000,0))="USD",КурсUSD,IF(INDEX(спр_Материалы!$J$2:$J$9000,MATCH($I1175,спр_Материалы!$A$2:$A$9000,0))="EUR",КурсEUR,1))*INDEX(спр_Материалы!$K$2:$K$9000,MATCH($I1175,спр_Материалы!$A$2:$A$9000,0))*(1+IFERROR(INDEX(спр_Работы!$I$2:$I$6000,MATCH($C1175,спр_Работы!$A$2:$A$6000,0))/100,0))*(1-ДисконтТендер),0))</f>
        <v/>
      </c>
      <c r="N1175" s="10">
        <f>IF(AND($R1175="да",$H1175&lt;&gt;""),ROUND($H1175*$L1175,2),0)</f>
        <v/>
      </c>
      <c r="O1175" s="10">
        <f>IF(AND($R1175="да",$H1175&lt;&gt;""),ROUND($H1175*$M1175,2),0)</f>
        <v/>
      </c>
      <c r="P1175" s="10">
        <f>$N1175+$O1175</f>
        <v/>
      </c>
      <c r="Q1175">
        <f>IFERROR(INDEX(спр_Работы!$J$2:$J$6000,MATCH($C1175,спр_Работы!$A$2:$A$6000,0)),"")</f>
        <v/>
      </c>
      <c r="R1175" t="inlineStr">
        <is>
          <t>да</t>
        </is>
      </c>
      <c r="T1175">
        <f>IF(AND($P1175&gt;0,$R1175="да"),MAX($T$1:$T1174)+1,"")</f>
        <v/>
      </c>
    </row>
    <row r="1176">
      <c r="A1176" s="11">
        <f>IFERROR(INDEX(спр_Работы!$D$2:$D$6000,MATCH($C1176,спр_Работы!$A$2:$A$6000,0)),"")</f>
        <v/>
      </c>
      <c r="B1176">
        <f>IFERROR(INDEX(спр_Работы!$F$2:$F$6000,MATCH($C1176,спр_Работы!$A$2:$A$6000,0)),"")</f>
        <v/>
      </c>
      <c r="C1176">
        <f>IFERROR(INDEX(спр_Работы!$A$2:$A$6000,1175),"")</f>
        <v/>
      </c>
      <c r="D1176" s="8">
        <f>IFERROR(INDEX(спр_Работы!$B$2:$B$6000,MATCH($C1176,спр_Работы!$A$2:$A$6000,0)),"")</f>
        <v/>
      </c>
      <c r="E1176">
        <f>IFERROR(INDEX(спр_Работы!$C$2:$C$6000,MATCH($C1176,спр_Работы!$A$2:$A$6000,0)),"")</f>
        <v/>
      </c>
      <c r="F1176">
        <f>IFERROR(INDEX(спр_Работы!$G$2:$G$6000,MATCH($C1176,спр_Работы!$A$2:$A$6000,0)),"")</f>
        <v/>
      </c>
      <c r="G1176">
        <f>IFERROR(INDEX(спр_Работы!$K$2:$K$6000,MATCH($C1176,спр_Работы!$A$2:$A$6000,0)),"")</f>
        <v/>
      </c>
      <c r="H1176" s="9" t="n"/>
      <c r="I1176" s="9" t="n"/>
      <c r="J1176" s="8">
        <f>IFERROR(INDEX(спр_Материалы!$B$2:$B$9000,MATCH($I1176,спр_Материалы!$A$2:$A$9000,0)),"")</f>
        <v/>
      </c>
      <c r="K1176">
        <f>IF($I1176="","",IF($F1176=IFERROR(INDEX(спр_Материалы!$G$2:$G$9000,MATCH($I1176,спр_Материалы!$A$2:$A$9000,0)),""),"OK","!! не та группа"))</f>
        <v/>
      </c>
      <c r="L1176" s="10">
        <f>IFERROR(INDEX(спр_Работы!$H$2:$H$6000,MATCH($C1176,спр_Работы!$A$2:$A$6000,0))*(1-ДисконтТендер),0)</f>
        <v/>
      </c>
      <c r="M1176" s="10">
        <f>IF($I1176="",0,IFERROR(INDEX(спр_Материалы!$I$2:$I$9000,MATCH($I1176,спр_Материалы!$A$2:$A$9000,0))*IF(INDEX(спр_Материалы!$J$2:$J$9000,MATCH($I1176,спр_Материалы!$A$2:$A$9000,0))="USD",КурсUSD,IF(INDEX(спр_Материалы!$J$2:$J$9000,MATCH($I1176,спр_Материалы!$A$2:$A$9000,0))="EUR",КурсEUR,1))*INDEX(спр_Материалы!$K$2:$K$9000,MATCH($I1176,спр_Материалы!$A$2:$A$9000,0))*(1+IFERROR(INDEX(спр_Работы!$I$2:$I$6000,MATCH($C1176,спр_Работы!$A$2:$A$6000,0))/100,0))*(1-ДисконтТендер),0))</f>
        <v/>
      </c>
      <c r="N1176" s="10">
        <f>IF(AND($R1176="да",$H1176&lt;&gt;""),ROUND($H1176*$L1176,2),0)</f>
        <v/>
      </c>
      <c r="O1176" s="10">
        <f>IF(AND($R1176="да",$H1176&lt;&gt;""),ROUND($H1176*$M1176,2),0)</f>
        <v/>
      </c>
      <c r="P1176" s="10">
        <f>$N1176+$O1176</f>
        <v/>
      </c>
      <c r="Q1176">
        <f>IFERROR(INDEX(спр_Работы!$J$2:$J$6000,MATCH($C1176,спр_Работы!$A$2:$A$6000,0)),"")</f>
        <v/>
      </c>
      <c r="R1176" t="inlineStr">
        <is>
          <t>да</t>
        </is>
      </c>
      <c r="T1176">
        <f>IF(AND($P1176&gt;0,$R1176="да"),MAX($T$1:$T1175)+1,"")</f>
        <v/>
      </c>
    </row>
    <row r="1177">
      <c r="A1177" s="11">
        <f>IFERROR(INDEX(спр_Работы!$D$2:$D$6000,MATCH($C1177,спр_Работы!$A$2:$A$6000,0)),"")</f>
        <v/>
      </c>
      <c r="B1177">
        <f>IFERROR(INDEX(спр_Работы!$F$2:$F$6000,MATCH($C1177,спр_Работы!$A$2:$A$6000,0)),"")</f>
        <v/>
      </c>
      <c r="C1177">
        <f>IFERROR(INDEX(спр_Работы!$A$2:$A$6000,1176),"")</f>
        <v/>
      </c>
      <c r="D1177" s="8">
        <f>IFERROR(INDEX(спр_Работы!$B$2:$B$6000,MATCH($C1177,спр_Работы!$A$2:$A$6000,0)),"")</f>
        <v/>
      </c>
      <c r="E1177">
        <f>IFERROR(INDEX(спр_Работы!$C$2:$C$6000,MATCH($C1177,спр_Работы!$A$2:$A$6000,0)),"")</f>
        <v/>
      </c>
      <c r="F1177">
        <f>IFERROR(INDEX(спр_Работы!$G$2:$G$6000,MATCH($C1177,спр_Работы!$A$2:$A$6000,0)),"")</f>
        <v/>
      </c>
      <c r="G1177">
        <f>IFERROR(INDEX(спр_Работы!$K$2:$K$6000,MATCH($C1177,спр_Работы!$A$2:$A$6000,0)),"")</f>
        <v/>
      </c>
      <c r="H1177" s="9" t="n"/>
      <c r="I1177" s="9" t="n"/>
      <c r="J1177" s="8">
        <f>IFERROR(INDEX(спр_Материалы!$B$2:$B$9000,MATCH($I1177,спр_Материалы!$A$2:$A$9000,0)),"")</f>
        <v/>
      </c>
      <c r="K1177">
        <f>IF($I1177="","",IF($F1177=IFERROR(INDEX(спр_Материалы!$G$2:$G$9000,MATCH($I1177,спр_Материалы!$A$2:$A$9000,0)),""),"OK","!! не та группа"))</f>
        <v/>
      </c>
      <c r="L1177" s="10">
        <f>IFERROR(INDEX(спр_Работы!$H$2:$H$6000,MATCH($C1177,спр_Работы!$A$2:$A$6000,0))*(1-ДисконтТендер),0)</f>
        <v/>
      </c>
      <c r="M1177" s="10">
        <f>IF($I1177="",0,IFERROR(INDEX(спр_Материалы!$I$2:$I$9000,MATCH($I1177,спр_Материалы!$A$2:$A$9000,0))*IF(INDEX(спр_Материалы!$J$2:$J$9000,MATCH($I1177,спр_Материалы!$A$2:$A$9000,0))="USD",КурсUSD,IF(INDEX(спр_Материалы!$J$2:$J$9000,MATCH($I1177,спр_Материалы!$A$2:$A$9000,0))="EUR",КурсEUR,1))*INDEX(спр_Материалы!$K$2:$K$9000,MATCH($I1177,спр_Материалы!$A$2:$A$9000,0))*(1+IFERROR(INDEX(спр_Работы!$I$2:$I$6000,MATCH($C1177,спр_Работы!$A$2:$A$6000,0))/100,0))*(1-ДисконтТендер),0))</f>
        <v/>
      </c>
      <c r="N1177" s="10">
        <f>IF(AND($R1177="да",$H1177&lt;&gt;""),ROUND($H1177*$L1177,2),0)</f>
        <v/>
      </c>
      <c r="O1177" s="10">
        <f>IF(AND($R1177="да",$H1177&lt;&gt;""),ROUND($H1177*$M1177,2),0)</f>
        <v/>
      </c>
      <c r="P1177" s="10">
        <f>$N1177+$O1177</f>
        <v/>
      </c>
      <c r="Q1177">
        <f>IFERROR(INDEX(спр_Работы!$J$2:$J$6000,MATCH($C1177,спр_Работы!$A$2:$A$6000,0)),"")</f>
        <v/>
      </c>
      <c r="R1177" t="inlineStr">
        <is>
          <t>да</t>
        </is>
      </c>
      <c r="T1177">
        <f>IF(AND($P1177&gt;0,$R1177="да"),MAX($T$1:$T1176)+1,"")</f>
        <v/>
      </c>
    </row>
    <row r="1178">
      <c r="A1178" s="11">
        <f>IFERROR(INDEX(спр_Работы!$D$2:$D$6000,MATCH($C1178,спр_Работы!$A$2:$A$6000,0)),"")</f>
        <v/>
      </c>
      <c r="B1178">
        <f>IFERROR(INDEX(спр_Работы!$F$2:$F$6000,MATCH($C1178,спр_Работы!$A$2:$A$6000,0)),"")</f>
        <v/>
      </c>
      <c r="C1178">
        <f>IFERROR(INDEX(спр_Работы!$A$2:$A$6000,1177),"")</f>
        <v/>
      </c>
      <c r="D1178" s="8">
        <f>IFERROR(INDEX(спр_Работы!$B$2:$B$6000,MATCH($C1178,спр_Работы!$A$2:$A$6000,0)),"")</f>
        <v/>
      </c>
      <c r="E1178">
        <f>IFERROR(INDEX(спр_Работы!$C$2:$C$6000,MATCH($C1178,спр_Работы!$A$2:$A$6000,0)),"")</f>
        <v/>
      </c>
      <c r="F1178">
        <f>IFERROR(INDEX(спр_Работы!$G$2:$G$6000,MATCH($C1178,спр_Работы!$A$2:$A$6000,0)),"")</f>
        <v/>
      </c>
      <c r="G1178">
        <f>IFERROR(INDEX(спр_Работы!$K$2:$K$6000,MATCH($C1178,спр_Работы!$A$2:$A$6000,0)),"")</f>
        <v/>
      </c>
      <c r="H1178" s="9" t="n"/>
      <c r="I1178" s="9" t="n"/>
      <c r="J1178" s="8">
        <f>IFERROR(INDEX(спр_Материалы!$B$2:$B$9000,MATCH($I1178,спр_Материалы!$A$2:$A$9000,0)),"")</f>
        <v/>
      </c>
      <c r="K1178">
        <f>IF($I1178="","",IF($F1178=IFERROR(INDEX(спр_Материалы!$G$2:$G$9000,MATCH($I1178,спр_Материалы!$A$2:$A$9000,0)),""),"OK","!! не та группа"))</f>
        <v/>
      </c>
      <c r="L1178" s="10">
        <f>IFERROR(INDEX(спр_Работы!$H$2:$H$6000,MATCH($C1178,спр_Работы!$A$2:$A$6000,0))*(1-ДисконтТендер),0)</f>
        <v/>
      </c>
      <c r="M1178" s="10">
        <f>IF($I1178="",0,IFERROR(INDEX(спр_Материалы!$I$2:$I$9000,MATCH($I1178,спр_Материалы!$A$2:$A$9000,0))*IF(INDEX(спр_Материалы!$J$2:$J$9000,MATCH($I1178,спр_Материалы!$A$2:$A$9000,0))="USD",КурсUSD,IF(INDEX(спр_Материалы!$J$2:$J$9000,MATCH($I1178,спр_Материалы!$A$2:$A$9000,0))="EUR",КурсEUR,1))*INDEX(спр_Материалы!$K$2:$K$9000,MATCH($I1178,спр_Материалы!$A$2:$A$9000,0))*(1+IFERROR(INDEX(спр_Работы!$I$2:$I$6000,MATCH($C1178,спр_Работы!$A$2:$A$6000,0))/100,0))*(1-ДисконтТендер),0))</f>
        <v/>
      </c>
      <c r="N1178" s="10">
        <f>IF(AND($R1178="да",$H1178&lt;&gt;""),ROUND($H1178*$L1178,2),0)</f>
        <v/>
      </c>
      <c r="O1178" s="10">
        <f>IF(AND($R1178="да",$H1178&lt;&gt;""),ROUND($H1178*$M1178,2),0)</f>
        <v/>
      </c>
      <c r="P1178" s="10">
        <f>$N1178+$O1178</f>
        <v/>
      </c>
      <c r="Q1178">
        <f>IFERROR(INDEX(спр_Работы!$J$2:$J$6000,MATCH($C1178,спр_Работы!$A$2:$A$6000,0)),"")</f>
        <v/>
      </c>
      <c r="R1178" t="inlineStr">
        <is>
          <t>да</t>
        </is>
      </c>
      <c r="T1178">
        <f>IF(AND($P1178&gt;0,$R1178="да"),MAX($T$1:$T1177)+1,"")</f>
        <v/>
      </c>
    </row>
    <row r="1179">
      <c r="A1179" s="11">
        <f>IFERROR(INDEX(спр_Работы!$D$2:$D$6000,MATCH($C1179,спр_Работы!$A$2:$A$6000,0)),"")</f>
        <v/>
      </c>
      <c r="B1179">
        <f>IFERROR(INDEX(спр_Работы!$F$2:$F$6000,MATCH($C1179,спр_Работы!$A$2:$A$6000,0)),"")</f>
        <v/>
      </c>
      <c r="C1179">
        <f>IFERROR(INDEX(спр_Работы!$A$2:$A$6000,1178),"")</f>
        <v/>
      </c>
      <c r="D1179" s="8">
        <f>IFERROR(INDEX(спр_Работы!$B$2:$B$6000,MATCH($C1179,спр_Работы!$A$2:$A$6000,0)),"")</f>
        <v/>
      </c>
      <c r="E1179">
        <f>IFERROR(INDEX(спр_Работы!$C$2:$C$6000,MATCH($C1179,спр_Работы!$A$2:$A$6000,0)),"")</f>
        <v/>
      </c>
      <c r="F1179">
        <f>IFERROR(INDEX(спр_Работы!$G$2:$G$6000,MATCH($C1179,спр_Работы!$A$2:$A$6000,0)),"")</f>
        <v/>
      </c>
      <c r="G1179">
        <f>IFERROR(INDEX(спр_Работы!$K$2:$K$6000,MATCH($C1179,спр_Работы!$A$2:$A$6000,0)),"")</f>
        <v/>
      </c>
      <c r="H1179" s="9" t="n"/>
      <c r="I1179" s="9" t="n"/>
      <c r="J1179" s="8">
        <f>IFERROR(INDEX(спр_Материалы!$B$2:$B$9000,MATCH($I1179,спр_Материалы!$A$2:$A$9000,0)),"")</f>
        <v/>
      </c>
      <c r="K1179">
        <f>IF($I1179="","",IF($F1179=IFERROR(INDEX(спр_Материалы!$G$2:$G$9000,MATCH($I1179,спр_Материалы!$A$2:$A$9000,0)),""),"OK","!! не та группа"))</f>
        <v/>
      </c>
      <c r="L1179" s="10">
        <f>IFERROR(INDEX(спр_Работы!$H$2:$H$6000,MATCH($C1179,спр_Работы!$A$2:$A$6000,0))*(1-ДисконтТендер),0)</f>
        <v/>
      </c>
      <c r="M1179" s="10">
        <f>IF($I1179="",0,IFERROR(INDEX(спр_Материалы!$I$2:$I$9000,MATCH($I1179,спр_Материалы!$A$2:$A$9000,0))*IF(INDEX(спр_Материалы!$J$2:$J$9000,MATCH($I1179,спр_Материалы!$A$2:$A$9000,0))="USD",КурсUSD,IF(INDEX(спр_Материалы!$J$2:$J$9000,MATCH($I1179,спр_Материалы!$A$2:$A$9000,0))="EUR",КурсEUR,1))*INDEX(спр_Материалы!$K$2:$K$9000,MATCH($I1179,спр_Материалы!$A$2:$A$9000,0))*(1+IFERROR(INDEX(спр_Работы!$I$2:$I$6000,MATCH($C1179,спр_Работы!$A$2:$A$6000,0))/100,0))*(1-ДисконтТендер),0))</f>
        <v/>
      </c>
      <c r="N1179" s="10">
        <f>IF(AND($R1179="да",$H1179&lt;&gt;""),ROUND($H1179*$L1179,2),0)</f>
        <v/>
      </c>
      <c r="O1179" s="10">
        <f>IF(AND($R1179="да",$H1179&lt;&gt;""),ROUND($H1179*$M1179,2),0)</f>
        <v/>
      </c>
      <c r="P1179" s="10">
        <f>$N1179+$O1179</f>
        <v/>
      </c>
      <c r="Q1179">
        <f>IFERROR(INDEX(спр_Работы!$J$2:$J$6000,MATCH($C1179,спр_Работы!$A$2:$A$6000,0)),"")</f>
        <v/>
      </c>
      <c r="R1179" t="inlineStr">
        <is>
          <t>да</t>
        </is>
      </c>
      <c r="T1179">
        <f>IF(AND($P1179&gt;0,$R1179="да"),MAX($T$1:$T1178)+1,"")</f>
        <v/>
      </c>
    </row>
    <row r="1180">
      <c r="A1180" s="11">
        <f>IFERROR(INDEX(спр_Работы!$D$2:$D$6000,MATCH($C1180,спр_Работы!$A$2:$A$6000,0)),"")</f>
        <v/>
      </c>
      <c r="B1180">
        <f>IFERROR(INDEX(спр_Работы!$F$2:$F$6000,MATCH($C1180,спр_Работы!$A$2:$A$6000,0)),"")</f>
        <v/>
      </c>
      <c r="C1180">
        <f>IFERROR(INDEX(спр_Работы!$A$2:$A$6000,1179),"")</f>
        <v/>
      </c>
      <c r="D1180" s="8">
        <f>IFERROR(INDEX(спр_Работы!$B$2:$B$6000,MATCH($C1180,спр_Работы!$A$2:$A$6000,0)),"")</f>
        <v/>
      </c>
      <c r="E1180">
        <f>IFERROR(INDEX(спр_Работы!$C$2:$C$6000,MATCH($C1180,спр_Работы!$A$2:$A$6000,0)),"")</f>
        <v/>
      </c>
      <c r="F1180">
        <f>IFERROR(INDEX(спр_Работы!$G$2:$G$6000,MATCH($C1180,спр_Работы!$A$2:$A$6000,0)),"")</f>
        <v/>
      </c>
      <c r="G1180">
        <f>IFERROR(INDEX(спр_Работы!$K$2:$K$6000,MATCH($C1180,спр_Работы!$A$2:$A$6000,0)),"")</f>
        <v/>
      </c>
      <c r="H1180" s="9" t="n"/>
      <c r="I1180" s="9" t="n"/>
      <c r="J1180" s="8">
        <f>IFERROR(INDEX(спр_Материалы!$B$2:$B$9000,MATCH($I1180,спр_Материалы!$A$2:$A$9000,0)),"")</f>
        <v/>
      </c>
      <c r="K1180">
        <f>IF($I1180="","",IF($F1180=IFERROR(INDEX(спр_Материалы!$G$2:$G$9000,MATCH($I1180,спр_Материалы!$A$2:$A$9000,0)),""),"OK","!! не та группа"))</f>
        <v/>
      </c>
      <c r="L1180" s="10">
        <f>IFERROR(INDEX(спр_Работы!$H$2:$H$6000,MATCH($C1180,спр_Работы!$A$2:$A$6000,0))*(1-ДисконтТендер),0)</f>
        <v/>
      </c>
      <c r="M1180" s="10">
        <f>IF($I1180="",0,IFERROR(INDEX(спр_Материалы!$I$2:$I$9000,MATCH($I1180,спр_Материалы!$A$2:$A$9000,0))*IF(INDEX(спр_Материалы!$J$2:$J$9000,MATCH($I1180,спр_Материалы!$A$2:$A$9000,0))="USD",КурсUSD,IF(INDEX(спр_Материалы!$J$2:$J$9000,MATCH($I1180,спр_Материалы!$A$2:$A$9000,0))="EUR",КурсEUR,1))*INDEX(спр_Материалы!$K$2:$K$9000,MATCH($I1180,спр_Материалы!$A$2:$A$9000,0))*(1+IFERROR(INDEX(спр_Работы!$I$2:$I$6000,MATCH($C1180,спр_Работы!$A$2:$A$6000,0))/100,0))*(1-ДисконтТендер),0))</f>
        <v/>
      </c>
      <c r="N1180" s="10">
        <f>IF(AND($R1180="да",$H1180&lt;&gt;""),ROUND($H1180*$L1180,2),0)</f>
        <v/>
      </c>
      <c r="O1180" s="10">
        <f>IF(AND($R1180="да",$H1180&lt;&gt;""),ROUND($H1180*$M1180,2),0)</f>
        <v/>
      </c>
      <c r="P1180" s="10">
        <f>$N1180+$O1180</f>
        <v/>
      </c>
      <c r="Q1180">
        <f>IFERROR(INDEX(спр_Работы!$J$2:$J$6000,MATCH($C1180,спр_Работы!$A$2:$A$6000,0)),"")</f>
        <v/>
      </c>
      <c r="R1180" t="inlineStr">
        <is>
          <t>да</t>
        </is>
      </c>
      <c r="T1180">
        <f>IF(AND($P1180&gt;0,$R1180="да"),MAX($T$1:$T1179)+1,"")</f>
        <v/>
      </c>
    </row>
    <row r="1181">
      <c r="A1181" s="11">
        <f>IFERROR(INDEX(спр_Работы!$D$2:$D$6000,MATCH($C1181,спр_Работы!$A$2:$A$6000,0)),"")</f>
        <v/>
      </c>
      <c r="B1181">
        <f>IFERROR(INDEX(спр_Работы!$F$2:$F$6000,MATCH($C1181,спр_Работы!$A$2:$A$6000,0)),"")</f>
        <v/>
      </c>
      <c r="C1181">
        <f>IFERROR(INDEX(спр_Работы!$A$2:$A$6000,1180),"")</f>
        <v/>
      </c>
      <c r="D1181" s="8">
        <f>IFERROR(INDEX(спр_Работы!$B$2:$B$6000,MATCH($C1181,спр_Работы!$A$2:$A$6000,0)),"")</f>
        <v/>
      </c>
      <c r="E1181">
        <f>IFERROR(INDEX(спр_Работы!$C$2:$C$6000,MATCH($C1181,спр_Работы!$A$2:$A$6000,0)),"")</f>
        <v/>
      </c>
      <c r="F1181">
        <f>IFERROR(INDEX(спр_Работы!$G$2:$G$6000,MATCH($C1181,спр_Работы!$A$2:$A$6000,0)),"")</f>
        <v/>
      </c>
      <c r="G1181">
        <f>IFERROR(INDEX(спр_Работы!$K$2:$K$6000,MATCH($C1181,спр_Работы!$A$2:$A$6000,0)),"")</f>
        <v/>
      </c>
      <c r="H1181" s="9" t="n"/>
      <c r="I1181" s="9" t="n"/>
      <c r="J1181" s="8">
        <f>IFERROR(INDEX(спр_Материалы!$B$2:$B$9000,MATCH($I1181,спр_Материалы!$A$2:$A$9000,0)),"")</f>
        <v/>
      </c>
      <c r="K1181">
        <f>IF($I1181="","",IF($F1181=IFERROR(INDEX(спр_Материалы!$G$2:$G$9000,MATCH($I1181,спр_Материалы!$A$2:$A$9000,0)),""),"OK","!! не та группа"))</f>
        <v/>
      </c>
      <c r="L1181" s="10">
        <f>IFERROR(INDEX(спр_Работы!$H$2:$H$6000,MATCH($C1181,спр_Работы!$A$2:$A$6000,0))*(1-ДисконтТендер),0)</f>
        <v/>
      </c>
      <c r="M1181" s="10">
        <f>IF($I1181="",0,IFERROR(INDEX(спр_Материалы!$I$2:$I$9000,MATCH($I1181,спр_Материалы!$A$2:$A$9000,0))*IF(INDEX(спр_Материалы!$J$2:$J$9000,MATCH($I1181,спр_Материалы!$A$2:$A$9000,0))="USD",КурсUSD,IF(INDEX(спр_Материалы!$J$2:$J$9000,MATCH($I1181,спр_Материалы!$A$2:$A$9000,0))="EUR",КурсEUR,1))*INDEX(спр_Материалы!$K$2:$K$9000,MATCH($I1181,спр_Материалы!$A$2:$A$9000,0))*(1+IFERROR(INDEX(спр_Работы!$I$2:$I$6000,MATCH($C1181,спр_Работы!$A$2:$A$6000,0))/100,0))*(1-ДисконтТендер),0))</f>
        <v/>
      </c>
      <c r="N1181" s="10">
        <f>IF(AND($R1181="да",$H1181&lt;&gt;""),ROUND($H1181*$L1181,2),0)</f>
        <v/>
      </c>
      <c r="O1181" s="10">
        <f>IF(AND($R1181="да",$H1181&lt;&gt;""),ROUND($H1181*$M1181,2),0)</f>
        <v/>
      </c>
      <c r="P1181" s="10">
        <f>$N1181+$O1181</f>
        <v/>
      </c>
      <c r="Q1181">
        <f>IFERROR(INDEX(спр_Работы!$J$2:$J$6000,MATCH($C1181,спр_Работы!$A$2:$A$6000,0)),"")</f>
        <v/>
      </c>
      <c r="R1181" t="inlineStr">
        <is>
          <t>да</t>
        </is>
      </c>
      <c r="T1181">
        <f>IF(AND($P1181&gt;0,$R1181="да"),MAX($T$1:$T1180)+1,"")</f>
        <v/>
      </c>
    </row>
    <row r="1182">
      <c r="A1182" s="11">
        <f>IFERROR(INDEX(спр_Работы!$D$2:$D$6000,MATCH($C1182,спр_Работы!$A$2:$A$6000,0)),"")</f>
        <v/>
      </c>
      <c r="B1182">
        <f>IFERROR(INDEX(спр_Работы!$F$2:$F$6000,MATCH($C1182,спр_Работы!$A$2:$A$6000,0)),"")</f>
        <v/>
      </c>
      <c r="C1182">
        <f>IFERROR(INDEX(спр_Работы!$A$2:$A$6000,1181),"")</f>
        <v/>
      </c>
      <c r="D1182" s="8">
        <f>IFERROR(INDEX(спр_Работы!$B$2:$B$6000,MATCH($C1182,спр_Работы!$A$2:$A$6000,0)),"")</f>
        <v/>
      </c>
      <c r="E1182">
        <f>IFERROR(INDEX(спр_Работы!$C$2:$C$6000,MATCH($C1182,спр_Работы!$A$2:$A$6000,0)),"")</f>
        <v/>
      </c>
      <c r="F1182">
        <f>IFERROR(INDEX(спр_Работы!$G$2:$G$6000,MATCH($C1182,спр_Работы!$A$2:$A$6000,0)),"")</f>
        <v/>
      </c>
      <c r="G1182">
        <f>IFERROR(INDEX(спр_Работы!$K$2:$K$6000,MATCH($C1182,спр_Работы!$A$2:$A$6000,0)),"")</f>
        <v/>
      </c>
      <c r="H1182" s="9" t="n"/>
      <c r="I1182" s="9" t="n"/>
      <c r="J1182" s="8">
        <f>IFERROR(INDEX(спр_Материалы!$B$2:$B$9000,MATCH($I1182,спр_Материалы!$A$2:$A$9000,0)),"")</f>
        <v/>
      </c>
      <c r="K1182">
        <f>IF($I1182="","",IF($F1182=IFERROR(INDEX(спр_Материалы!$G$2:$G$9000,MATCH($I1182,спр_Материалы!$A$2:$A$9000,0)),""),"OK","!! не та группа"))</f>
        <v/>
      </c>
      <c r="L1182" s="10">
        <f>IFERROR(INDEX(спр_Работы!$H$2:$H$6000,MATCH($C1182,спр_Работы!$A$2:$A$6000,0))*(1-ДисконтТендер),0)</f>
        <v/>
      </c>
      <c r="M1182" s="10">
        <f>IF($I1182="",0,IFERROR(INDEX(спр_Материалы!$I$2:$I$9000,MATCH($I1182,спр_Материалы!$A$2:$A$9000,0))*IF(INDEX(спр_Материалы!$J$2:$J$9000,MATCH($I1182,спр_Материалы!$A$2:$A$9000,0))="USD",КурсUSD,IF(INDEX(спр_Материалы!$J$2:$J$9000,MATCH($I1182,спр_Материалы!$A$2:$A$9000,0))="EUR",КурсEUR,1))*INDEX(спр_Материалы!$K$2:$K$9000,MATCH($I1182,спр_Материалы!$A$2:$A$9000,0))*(1+IFERROR(INDEX(спр_Работы!$I$2:$I$6000,MATCH($C1182,спр_Работы!$A$2:$A$6000,0))/100,0))*(1-ДисконтТендер),0))</f>
        <v/>
      </c>
      <c r="N1182" s="10">
        <f>IF(AND($R1182="да",$H1182&lt;&gt;""),ROUND($H1182*$L1182,2),0)</f>
        <v/>
      </c>
      <c r="O1182" s="10">
        <f>IF(AND($R1182="да",$H1182&lt;&gt;""),ROUND($H1182*$M1182,2),0)</f>
        <v/>
      </c>
      <c r="P1182" s="10">
        <f>$N1182+$O1182</f>
        <v/>
      </c>
      <c r="Q1182">
        <f>IFERROR(INDEX(спр_Работы!$J$2:$J$6000,MATCH($C1182,спр_Работы!$A$2:$A$6000,0)),"")</f>
        <v/>
      </c>
      <c r="R1182" t="inlineStr">
        <is>
          <t>да</t>
        </is>
      </c>
      <c r="T1182">
        <f>IF(AND($P1182&gt;0,$R1182="да"),MAX($T$1:$T1181)+1,"")</f>
        <v/>
      </c>
    </row>
    <row r="1183">
      <c r="A1183" s="11">
        <f>IFERROR(INDEX(спр_Работы!$D$2:$D$6000,MATCH($C1183,спр_Работы!$A$2:$A$6000,0)),"")</f>
        <v/>
      </c>
      <c r="B1183">
        <f>IFERROR(INDEX(спр_Работы!$F$2:$F$6000,MATCH($C1183,спр_Работы!$A$2:$A$6000,0)),"")</f>
        <v/>
      </c>
      <c r="C1183">
        <f>IFERROR(INDEX(спр_Работы!$A$2:$A$6000,1182),"")</f>
        <v/>
      </c>
      <c r="D1183" s="8">
        <f>IFERROR(INDEX(спр_Работы!$B$2:$B$6000,MATCH($C1183,спр_Работы!$A$2:$A$6000,0)),"")</f>
        <v/>
      </c>
      <c r="E1183">
        <f>IFERROR(INDEX(спр_Работы!$C$2:$C$6000,MATCH($C1183,спр_Работы!$A$2:$A$6000,0)),"")</f>
        <v/>
      </c>
      <c r="F1183">
        <f>IFERROR(INDEX(спр_Работы!$G$2:$G$6000,MATCH($C1183,спр_Работы!$A$2:$A$6000,0)),"")</f>
        <v/>
      </c>
      <c r="G1183">
        <f>IFERROR(INDEX(спр_Работы!$K$2:$K$6000,MATCH($C1183,спр_Работы!$A$2:$A$6000,0)),"")</f>
        <v/>
      </c>
      <c r="H1183" s="9" t="n"/>
      <c r="I1183" s="9" t="n"/>
      <c r="J1183" s="8">
        <f>IFERROR(INDEX(спр_Материалы!$B$2:$B$9000,MATCH($I1183,спр_Материалы!$A$2:$A$9000,0)),"")</f>
        <v/>
      </c>
      <c r="K1183">
        <f>IF($I1183="","",IF($F1183=IFERROR(INDEX(спр_Материалы!$G$2:$G$9000,MATCH($I1183,спр_Материалы!$A$2:$A$9000,0)),""),"OK","!! не та группа"))</f>
        <v/>
      </c>
      <c r="L1183" s="10">
        <f>IFERROR(INDEX(спр_Работы!$H$2:$H$6000,MATCH($C1183,спр_Работы!$A$2:$A$6000,0))*(1-ДисконтТендер),0)</f>
        <v/>
      </c>
      <c r="M1183" s="10">
        <f>IF($I1183="",0,IFERROR(INDEX(спр_Материалы!$I$2:$I$9000,MATCH($I1183,спр_Материалы!$A$2:$A$9000,0))*IF(INDEX(спр_Материалы!$J$2:$J$9000,MATCH($I1183,спр_Материалы!$A$2:$A$9000,0))="USD",КурсUSD,IF(INDEX(спр_Материалы!$J$2:$J$9000,MATCH($I1183,спр_Материалы!$A$2:$A$9000,0))="EUR",КурсEUR,1))*INDEX(спр_Материалы!$K$2:$K$9000,MATCH($I1183,спр_Материалы!$A$2:$A$9000,0))*(1+IFERROR(INDEX(спр_Работы!$I$2:$I$6000,MATCH($C1183,спр_Работы!$A$2:$A$6000,0))/100,0))*(1-ДисконтТендер),0))</f>
        <v/>
      </c>
      <c r="N1183" s="10">
        <f>IF(AND($R1183="да",$H1183&lt;&gt;""),ROUND($H1183*$L1183,2),0)</f>
        <v/>
      </c>
      <c r="O1183" s="10">
        <f>IF(AND($R1183="да",$H1183&lt;&gt;""),ROUND($H1183*$M1183,2),0)</f>
        <v/>
      </c>
      <c r="P1183" s="10">
        <f>$N1183+$O1183</f>
        <v/>
      </c>
      <c r="Q1183">
        <f>IFERROR(INDEX(спр_Работы!$J$2:$J$6000,MATCH($C1183,спр_Работы!$A$2:$A$6000,0)),"")</f>
        <v/>
      </c>
      <c r="R1183" t="inlineStr">
        <is>
          <t>да</t>
        </is>
      </c>
      <c r="T1183">
        <f>IF(AND($P1183&gt;0,$R1183="да"),MAX($T$1:$T1182)+1,"")</f>
        <v/>
      </c>
    </row>
    <row r="1184">
      <c r="A1184" s="11">
        <f>IFERROR(INDEX(спр_Работы!$D$2:$D$6000,MATCH($C1184,спр_Работы!$A$2:$A$6000,0)),"")</f>
        <v/>
      </c>
      <c r="B1184">
        <f>IFERROR(INDEX(спр_Работы!$F$2:$F$6000,MATCH($C1184,спр_Работы!$A$2:$A$6000,0)),"")</f>
        <v/>
      </c>
      <c r="C1184">
        <f>IFERROR(INDEX(спр_Работы!$A$2:$A$6000,1183),"")</f>
        <v/>
      </c>
      <c r="D1184" s="8">
        <f>IFERROR(INDEX(спр_Работы!$B$2:$B$6000,MATCH($C1184,спр_Работы!$A$2:$A$6000,0)),"")</f>
        <v/>
      </c>
      <c r="E1184">
        <f>IFERROR(INDEX(спр_Работы!$C$2:$C$6000,MATCH($C1184,спр_Работы!$A$2:$A$6000,0)),"")</f>
        <v/>
      </c>
      <c r="F1184">
        <f>IFERROR(INDEX(спр_Работы!$G$2:$G$6000,MATCH($C1184,спр_Работы!$A$2:$A$6000,0)),"")</f>
        <v/>
      </c>
      <c r="G1184">
        <f>IFERROR(INDEX(спр_Работы!$K$2:$K$6000,MATCH($C1184,спр_Работы!$A$2:$A$6000,0)),"")</f>
        <v/>
      </c>
      <c r="H1184" s="9" t="n"/>
      <c r="I1184" s="9" t="n"/>
      <c r="J1184" s="8">
        <f>IFERROR(INDEX(спр_Материалы!$B$2:$B$9000,MATCH($I1184,спр_Материалы!$A$2:$A$9000,0)),"")</f>
        <v/>
      </c>
      <c r="K1184">
        <f>IF($I1184="","",IF($F1184=IFERROR(INDEX(спр_Материалы!$G$2:$G$9000,MATCH($I1184,спр_Материалы!$A$2:$A$9000,0)),""),"OK","!! не та группа"))</f>
        <v/>
      </c>
      <c r="L1184" s="10">
        <f>IFERROR(INDEX(спр_Работы!$H$2:$H$6000,MATCH($C1184,спр_Работы!$A$2:$A$6000,0))*(1-ДисконтТендер),0)</f>
        <v/>
      </c>
      <c r="M1184" s="10">
        <f>IF($I1184="",0,IFERROR(INDEX(спр_Материалы!$I$2:$I$9000,MATCH($I1184,спр_Материалы!$A$2:$A$9000,0))*IF(INDEX(спр_Материалы!$J$2:$J$9000,MATCH($I1184,спр_Материалы!$A$2:$A$9000,0))="USD",КурсUSD,IF(INDEX(спр_Материалы!$J$2:$J$9000,MATCH($I1184,спр_Материалы!$A$2:$A$9000,0))="EUR",КурсEUR,1))*INDEX(спр_Материалы!$K$2:$K$9000,MATCH($I1184,спр_Материалы!$A$2:$A$9000,0))*(1+IFERROR(INDEX(спр_Работы!$I$2:$I$6000,MATCH($C1184,спр_Работы!$A$2:$A$6000,0))/100,0))*(1-ДисконтТендер),0))</f>
        <v/>
      </c>
      <c r="N1184" s="10">
        <f>IF(AND($R1184="да",$H1184&lt;&gt;""),ROUND($H1184*$L1184,2),0)</f>
        <v/>
      </c>
      <c r="O1184" s="10">
        <f>IF(AND($R1184="да",$H1184&lt;&gt;""),ROUND($H1184*$M1184,2),0)</f>
        <v/>
      </c>
      <c r="P1184" s="10">
        <f>$N1184+$O1184</f>
        <v/>
      </c>
      <c r="Q1184">
        <f>IFERROR(INDEX(спр_Работы!$J$2:$J$6000,MATCH($C1184,спр_Работы!$A$2:$A$6000,0)),"")</f>
        <v/>
      </c>
      <c r="R1184" t="inlineStr">
        <is>
          <t>да</t>
        </is>
      </c>
      <c r="T1184">
        <f>IF(AND($P1184&gt;0,$R1184="да"),MAX($T$1:$T1183)+1,"")</f>
        <v/>
      </c>
    </row>
    <row r="1185">
      <c r="A1185" s="11">
        <f>IFERROR(INDEX(спр_Работы!$D$2:$D$6000,MATCH($C1185,спр_Работы!$A$2:$A$6000,0)),"")</f>
        <v/>
      </c>
      <c r="B1185">
        <f>IFERROR(INDEX(спр_Работы!$F$2:$F$6000,MATCH($C1185,спр_Работы!$A$2:$A$6000,0)),"")</f>
        <v/>
      </c>
      <c r="C1185">
        <f>IFERROR(INDEX(спр_Работы!$A$2:$A$6000,1184),"")</f>
        <v/>
      </c>
      <c r="D1185" s="8">
        <f>IFERROR(INDEX(спр_Работы!$B$2:$B$6000,MATCH($C1185,спр_Работы!$A$2:$A$6000,0)),"")</f>
        <v/>
      </c>
      <c r="E1185">
        <f>IFERROR(INDEX(спр_Работы!$C$2:$C$6000,MATCH($C1185,спр_Работы!$A$2:$A$6000,0)),"")</f>
        <v/>
      </c>
      <c r="F1185">
        <f>IFERROR(INDEX(спр_Работы!$G$2:$G$6000,MATCH($C1185,спр_Работы!$A$2:$A$6000,0)),"")</f>
        <v/>
      </c>
      <c r="G1185">
        <f>IFERROR(INDEX(спр_Работы!$K$2:$K$6000,MATCH($C1185,спр_Работы!$A$2:$A$6000,0)),"")</f>
        <v/>
      </c>
      <c r="H1185" s="9" t="n"/>
      <c r="I1185" s="9" t="n"/>
      <c r="J1185" s="8">
        <f>IFERROR(INDEX(спр_Материалы!$B$2:$B$9000,MATCH($I1185,спр_Материалы!$A$2:$A$9000,0)),"")</f>
        <v/>
      </c>
      <c r="K1185">
        <f>IF($I1185="","",IF($F1185=IFERROR(INDEX(спр_Материалы!$G$2:$G$9000,MATCH($I1185,спр_Материалы!$A$2:$A$9000,0)),""),"OK","!! не та группа"))</f>
        <v/>
      </c>
      <c r="L1185" s="10">
        <f>IFERROR(INDEX(спр_Работы!$H$2:$H$6000,MATCH($C1185,спр_Работы!$A$2:$A$6000,0))*(1-ДисконтТендер),0)</f>
        <v/>
      </c>
      <c r="M1185" s="10">
        <f>IF($I1185="",0,IFERROR(INDEX(спр_Материалы!$I$2:$I$9000,MATCH($I1185,спр_Материалы!$A$2:$A$9000,0))*IF(INDEX(спр_Материалы!$J$2:$J$9000,MATCH($I1185,спр_Материалы!$A$2:$A$9000,0))="USD",КурсUSD,IF(INDEX(спр_Материалы!$J$2:$J$9000,MATCH($I1185,спр_Материалы!$A$2:$A$9000,0))="EUR",КурсEUR,1))*INDEX(спр_Материалы!$K$2:$K$9000,MATCH($I1185,спр_Материалы!$A$2:$A$9000,0))*(1+IFERROR(INDEX(спр_Работы!$I$2:$I$6000,MATCH($C1185,спр_Работы!$A$2:$A$6000,0))/100,0))*(1-ДисконтТендер),0))</f>
        <v/>
      </c>
      <c r="N1185" s="10">
        <f>IF(AND($R1185="да",$H1185&lt;&gt;""),ROUND($H1185*$L1185,2),0)</f>
        <v/>
      </c>
      <c r="O1185" s="10">
        <f>IF(AND($R1185="да",$H1185&lt;&gt;""),ROUND($H1185*$M1185,2),0)</f>
        <v/>
      </c>
      <c r="P1185" s="10">
        <f>$N1185+$O1185</f>
        <v/>
      </c>
      <c r="Q1185">
        <f>IFERROR(INDEX(спр_Работы!$J$2:$J$6000,MATCH($C1185,спр_Работы!$A$2:$A$6000,0)),"")</f>
        <v/>
      </c>
      <c r="R1185" t="inlineStr">
        <is>
          <t>да</t>
        </is>
      </c>
      <c r="T1185">
        <f>IF(AND($P1185&gt;0,$R1185="да"),MAX($T$1:$T1184)+1,"")</f>
        <v/>
      </c>
    </row>
    <row r="1186">
      <c r="A1186" s="11">
        <f>IFERROR(INDEX(спр_Работы!$D$2:$D$6000,MATCH($C1186,спр_Работы!$A$2:$A$6000,0)),"")</f>
        <v/>
      </c>
      <c r="B1186">
        <f>IFERROR(INDEX(спр_Работы!$F$2:$F$6000,MATCH($C1186,спр_Работы!$A$2:$A$6000,0)),"")</f>
        <v/>
      </c>
      <c r="C1186">
        <f>IFERROR(INDEX(спр_Работы!$A$2:$A$6000,1185),"")</f>
        <v/>
      </c>
      <c r="D1186" s="8">
        <f>IFERROR(INDEX(спр_Работы!$B$2:$B$6000,MATCH($C1186,спр_Работы!$A$2:$A$6000,0)),"")</f>
        <v/>
      </c>
      <c r="E1186">
        <f>IFERROR(INDEX(спр_Работы!$C$2:$C$6000,MATCH($C1186,спр_Работы!$A$2:$A$6000,0)),"")</f>
        <v/>
      </c>
      <c r="F1186">
        <f>IFERROR(INDEX(спр_Работы!$G$2:$G$6000,MATCH($C1186,спр_Работы!$A$2:$A$6000,0)),"")</f>
        <v/>
      </c>
      <c r="G1186">
        <f>IFERROR(INDEX(спр_Работы!$K$2:$K$6000,MATCH($C1186,спр_Работы!$A$2:$A$6000,0)),"")</f>
        <v/>
      </c>
      <c r="H1186" s="9" t="n"/>
      <c r="I1186" s="9" t="n"/>
      <c r="J1186" s="8">
        <f>IFERROR(INDEX(спр_Материалы!$B$2:$B$9000,MATCH($I1186,спр_Материалы!$A$2:$A$9000,0)),"")</f>
        <v/>
      </c>
      <c r="K1186">
        <f>IF($I1186="","",IF($F1186=IFERROR(INDEX(спр_Материалы!$G$2:$G$9000,MATCH($I1186,спр_Материалы!$A$2:$A$9000,0)),""),"OK","!! не та группа"))</f>
        <v/>
      </c>
      <c r="L1186" s="10">
        <f>IFERROR(INDEX(спр_Работы!$H$2:$H$6000,MATCH($C1186,спр_Работы!$A$2:$A$6000,0))*(1-ДисконтТендер),0)</f>
        <v/>
      </c>
      <c r="M1186" s="10">
        <f>IF($I1186="",0,IFERROR(INDEX(спр_Материалы!$I$2:$I$9000,MATCH($I1186,спр_Материалы!$A$2:$A$9000,0))*IF(INDEX(спр_Материалы!$J$2:$J$9000,MATCH($I1186,спр_Материалы!$A$2:$A$9000,0))="USD",КурсUSD,IF(INDEX(спр_Материалы!$J$2:$J$9000,MATCH($I1186,спр_Материалы!$A$2:$A$9000,0))="EUR",КурсEUR,1))*INDEX(спр_Материалы!$K$2:$K$9000,MATCH($I1186,спр_Материалы!$A$2:$A$9000,0))*(1+IFERROR(INDEX(спр_Работы!$I$2:$I$6000,MATCH($C1186,спр_Работы!$A$2:$A$6000,0))/100,0))*(1-ДисконтТендер),0))</f>
        <v/>
      </c>
      <c r="N1186" s="10">
        <f>IF(AND($R1186="да",$H1186&lt;&gt;""),ROUND($H1186*$L1186,2),0)</f>
        <v/>
      </c>
      <c r="O1186" s="10">
        <f>IF(AND($R1186="да",$H1186&lt;&gt;""),ROUND($H1186*$M1186,2),0)</f>
        <v/>
      </c>
      <c r="P1186" s="10">
        <f>$N1186+$O1186</f>
        <v/>
      </c>
      <c r="Q1186">
        <f>IFERROR(INDEX(спр_Работы!$J$2:$J$6000,MATCH($C1186,спр_Работы!$A$2:$A$6000,0)),"")</f>
        <v/>
      </c>
      <c r="R1186" t="inlineStr">
        <is>
          <t>да</t>
        </is>
      </c>
      <c r="T1186">
        <f>IF(AND($P1186&gt;0,$R1186="да"),MAX($T$1:$T1185)+1,"")</f>
        <v/>
      </c>
    </row>
    <row r="1187">
      <c r="A1187" s="11">
        <f>IFERROR(INDEX(спр_Работы!$D$2:$D$6000,MATCH($C1187,спр_Работы!$A$2:$A$6000,0)),"")</f>
        <v/>
      </c>
      <c r="B1187">
        <f>IFERROR(INDEX(спр_Работы!$F$2:$F$6000,MATCH($C1187,спр_Работы!$A$2:$A$6000,0)),"")</f>
        <v/>
      </c>
      <c r="C1187">
        <f>IFERROR(INDEX(спр_Работы!$A$2:$A$6000,1186),"")</f>
        <v/>
      </c>
      <c r="D1187" s="8">
        <f>IFERROR(INDEX(спр_Работы!$B$2:$B$6000,MATCH($C1187,спр_Работы!$A$2:$A$6000,0)),"")</f>
        <v/>
      </c>
      <c r="E1187">
        <f>IFERROR(INDEX(спр_Работы!$C$2:$C$6000,MATCH($C1187,спр_Работы!$A$2:$A$6000,0)),"")</f>
        <v/>
      </c>
      <c r="F1187">
        <f>IFERROR(INDEX(спр_Работы!$G$2:$G$6000,MATCH($C1187,спр_Работы!$A$2:$A$6000,0)),"")</f>
        <v/>
      </c>
      <c r="G1187">
        <f>IFERROR(INDEX(спр_Работы!$K$2:$K$6000,MATCH($C1187,спр_Работы!$A$2:$A$6000,0)),"")</f>
        <v/>
      </c>
      <c r="H1187" s="9" t="n"/>
      <c r="I1187" s="9" t="n"/>
      <c r="J1187" s="8">
        <f>IFERROR(INDEX(спр_Материалы!$B$2:$B$9000,MATCH($I1187,спр_Материалы!$A$2:$A$9000,0)),"")</f>
        <v/>
      </c>
      <c r="K1187">
        <f>IF($I1187="","",IF($F1187=IFERROR(INDEX(спр_Материалы!$G$2:$G$9000,MATCH($I1187,спр_Материалы!$A$2:$A$9000,0)),""),"OK","!! не та группа"))</f>
        <v/>
      </c>
      <c r="L1187" s="10">
        <f>IFERROR(INDEX(спр_Работы!$H$2:$H$6000,MATCH($C1187,спр_Работы!$A$2:$A$6000,0))*(1-ДисконтТендер),0)</f>
        <v/>
      </c>
      <c r="M1187" s="10">
        <f>IF($I1187="",0,IFERROR(INDEX(спр_Материалы!$I$2:$I$9000,MATCH($I1187,спр_Материалы!$A$2:$A$9000,0))*IF(INDEX(спр_Материалы!$J$2:$J$9000,MATCH($I1187,спр_Материалы!$A$2:$A$9000,0))="USD",КурсUSD,IF(INDEX(спр_Материалы!$J$2:$J$9000,MATCH($I1187,спр_Материалы!$A$2:$A$9000,0))="EUR",КурсEUR,1))*INDEX(спр_Материалы!$K$2:$K$9000,MATCH($I1187,спр_Материалы!$A$2:$A$9000,0))*(1+IFERROR(INDEX(спр_Работы!$I$2:$I$6000,MATCH($C1187,спр_Работы!$A$2:$A$6000,0))/100,0))*(1-ДисконтТендер),0))</f>
        <v/>
      </c>
      <c r="N1187" s="10">
        <f>IF(AND($R1187="да",$H1187&lt;&gt;""),ROUND($H1187*$L1187,2),0)</f>
        <v/>
      </c>
      <c r="O1187" s="10">
        <f>IF(AND($R1187="да",$H1187&lt;&gt;""),ROUND($H1187*$M1187,2),0)</f>
        <v/>
      </c>
      <c r="P1187" s="10">
        <f>$N1187+$O1187</f>
        <v/>
      </c>
      <c r="Q1187">
        <f>IFERROR(INDEX(спр_Работы!$J$2:$J$6000,MATCH($C1187,спр_Работы!$A$2:$A$6000,0)),"")</f>
        <v/>
      </c>
      <c r="R1187" t="inlineStr">
        <is>
          <t>да</t>
        </is>
      </c>
      <c r="T1187">
        <f>IF(AND($P1187&gt;0,$R1187="да"),MAX($T$1:$T1186)+1,"")</f>
        <v/>
      </c>
    </row>
    <row r="1188">
      <c r="A1188" s="11">
        <f>IFERROR(INDEX(спр_Работы!$D$2:$D$6000,MATCH($C1188,спр_Работы!$A$2:$A$6000,0)),"")</f>
        <v/>
      </c>
      <c r="B1188">
        <f>IFERROR(INDEX(спр_Работы!$F$2:$F$6000,MATCH($C1188,спр_Работы!$A$2:$A$6000,0)),"")</f>
        <v/>
      </c>
      <c r="C1188">
        <f>IFERROR(INDEX(спр_Работы!$A$2:$A$6000,1187),"")</f>
        <v/>
      </c>
      <c r="D1188" s="8">
        <f>IFERROR(INDEX(спр_Работы!$B$2:$B$6000,MATCH($C1188,спр_Работы!$A$2:$A$6000,0)),"")</f>
        <v/>
      </c>
      <c r="E1188">
        <f>IFERROR(INDEX(спр_Работы!$C$2:$C$6000,MATCH($C1188,спр_Работы!$A$2:$A$6000,0)),"")</f>
        <v/>
      </c>
      <c r="F1188">
        <f>IFERROR(INDEX(спр_Работы!$G$2:$G$6000,MATCH($C1188,спр_Работы!$A$2:$A$6000,0)),"")</f>
        <v/>
      </c>
      <c r="G1188">
        <f>IFERROR(INDEX(спр_Работы!$K$2:$K$6000,MATCH($C1188,спр_Работы!$A$2:$A$6000,0)),"")</f>
        <v/>
      </c>
      <c r="H1188" s="9" t="n"/>
      <c r="I1188" s="9" t="n"/>
      <c r="J1188" s="8">
        <f>IFERROR(INDEX(спр_Материалы!$B$2:$B$9000,MATCH($I1188,спр_Материалы!$A$2:$A$9000,0)),"")</f>
        <v/>
      </c>
      <c r="K1188">
        <f>IF($I1188="","",IF($F1188=IFERROR(INDEX(спр_Материалы!$G$2:$G$9000,MATCH($I1188,спр_Материалы!$A$2:$A$9000,0)),""),"OK","!! не та группа"))</f>
        <v/>
      </c>
      <c r="L1188" s="10">
        <f>IFERROR(INDEX(спр_Работы!$H$2:$H$6000,MATCH($C1188,спр_Работы!$A$2:$A$6000,0))*(1-ДисконтТендер),0)</f>
        <v/>
      </c>
      <c r="M1188" s="10">
        <f>IF($I1188="",0,IFERROR(INDEX(спр_Материалы!$I$2:$I$9000,MATCH($I1188,спр_Материалы!$A$2:$A$9000,0))*IF(INDEX(спр_Материалы!$J$2:$J$9000,MATCH($I1188,спр_Материалы!$A$2:$A$9000,0))="USD",КурсUSD,IF(INDEX(спр_Материалы!$J$2:$J$9000,MATCH($I1188,спр_Материалы!$A$2:$A$9000,0))="EUR",КурсEUR,1))*INDEX(спр_Материалы!$K$2:$K$9000,MATCH($I1188,спр_Материалы!$A$2:$A$9000,0))*(1+IFERROR(INDEX(спр_Работы!$I$2:$I$6000,MATCH($C1188,спр_Работы!$A$2:$A$6000,0))/100,0))*(1-ДисконтТендер),0))</f>
        <v/>
      </c>
      <c r="N1188" s="10">
        <f>IF(AND($R1188="да",$H1188&lt;&gt;""),ROUND($H1188*$L1188,2),0)</f>
        <v/>
      </c>
      <c r="O1188" s="10">
        <f>IF(AND($R1188="да",$H1188&lt;&gt;""),ROUND($H1188*$M1188,2),0)</f>
        <v/>
      </c>
      <c r="P1188" s="10">
        <f>$N1188+$O1188</f>
        <v/>
      </c>
      <c r="Q1188">
        <f>IFERROR(INDEX(спр_Работы!$J$2:$J$6000,MATCH($C1188,спр_Работы!$A$2:$A$6000,0)),"")</f>
        <v/>
      </c>
      <c r="R1188" t="inlineStr">
        <is>
          <t>да</t>
        </is>
      </c>
      <c r="T1188">
        <f>IF(AND($P1188&gt;0,$R1188="да"),MAX($T$1:$T1187)+1,"")</f>
        <v/>
      </c>
    </row>
    <row r="1189">
      <c r="A1189" s="11">
        <f>IFERROR(INDEX(спр_Работы!$D$2:$D$6000,MATCH($C1189,спр_Работы!$A$2:$A$6000,0)),"")</f>
        <v/>
      </c>
      <c r="B1189">
        <f>IFERROR(INDEX(спр_Работы!$F$2:$F$6000,MATCH($C1189,спр_Работы!$A$2:$A$6000,0)),"")</f>
        <v/>
      </c>
      <c r="C1189">
        <f>IFERROR(INDEX(спр_Работы!$A$2:$A$6000,1188),"")</f>
        <v/>
      </c>
      <c r="D1189" s="8">
        <f>IFERROR(INDEX(спр_Работы!$B$2:$B$6000,MATCH($C1189,спр_Работы!$A$2:$A$6000,0)),"")</f>
        <v/>
      </c>
      <c r="E1189">
        <f>IFERROR(INDEX(спр_Работы!$C$2:$C$6000,MATCH($C1189,спр_Работы!$A$2:$A$6000,0)),"")</f>
        <v/>
      </c>
      <c r="F1189">
        <f>IFERROR(INDEX(спр_Работы!$G$2:$G$6000,MATCH($C1189,спр_Работы!$A$2:$A$6000,0)),"")</f>
        <v/>
      </c>
      <c r="G1189">
        <f>IFERROR(INDEX(спр_Работы!$K$2:$K$6000,MATCH($C1189,спр_Работы!$A$2:$A$6000,0)),"")</f>
        <v/>
      </c>
      <c r="H1189" s="9" t="n"/>
      <c r="I1189" s="9" t="n"/>
      <c r="J1189" s="8">
        <f>IFERROR(INDEX(спр_Материалы!$B$2:$B$9000,MATCH($I1189,спр_Материалы!$A$2:$A$9000,0)),"")</f>
        <v/>
      </c>
      <c r="K1189">
        <f>IF($I1189="","",IF($F1189=IFERROR(INDEX(спр_Материалы!$G$2:$G$9000,MATCH($I1189,спр_Материалы!$A$2:$A$9000,0)),""),"OK","!! не та группа"))</f>
        <v/>
      </c>
      <c r="L1189" s="10">
        <f>IFERROR(INDEX(спр_Работы!$H$2:$H$6000,MATCH($C1189,спр_Работы!$A$2:$A$6000,0))*(1-ДисконтТендер),0)</f>
        <v/>
      </c>
      <c r="M1189" s="10">
        <f>IF($I1189="",0,IFERROR(INDEX(спр_Материалы!$I$2:$I$9000,MATCH($I1189,спр_Материалы!$A$2:$A$9000,0))*IF(INDEX(спр_Материалы!$J$2:$J$9000,MATCH($I1189,спр_Материалы!$A$2:$A$9000,0))="USD",КурсUSD,IF(INDEX(спр_Материалы!$J$2:$J$9000,MATCH($I1189,спр_Материалы!$A$2:$A$9000,0))="EUR",КурсEUR,1))*INDEX(спр_Материалы!$K$2:$K$9000,MATCH($I1189,спр_Материалы!$A$2:$A$9000,0))*(1+IFERROR(INDEX(спр_Работы!$I$2:$I$6000,MATCH($C1189,спр_Работы!$A$2:$A$6000,0))/100,0))*(1-ДисконтТендер),0))</f>
        <v/>
      </c>
      <c r="N1189" s="10">
        <f>IF(AND($R1189="да",$H1189&lt;&gt;""),ROUND($H1189*$L1189,2),0)</f>
        <v/>
      </c>
      <c r="O1189" s="10">
        <f>IF(AND($R1189="да",$H1189&lt;&gt;""),ROUND($H1189*$M1189,2),0)</f>
        <v/>
      </c>
      <c r="P1189" s="10">
        <f>$N1189+$O1189</f>
        <v/>
      </c>
      <c r="Q1189">
        <f>IFERROR(INDEX(спр_Работы!$J$2:$J$6000,MATCH($C1189,спр_Работы!$A$2:$A$6000,0)),"")</f>
        <v/>
      </c>
      <c r="R1189" t="inlineStr">
        <is>
          <t>да</t>
        </is>
      </c>
      <c r="T1189">
        <f>IF(AND($P1189&gt;0,$R1189="да"),MAX($T$1:$T1188)+1,"")</f>
        <v/>
      </c>
    </row>
    <row r="1190">
      <c r="A1190" s="11">
        <f>IFERROR(INDEX(спр_Работы!$D$2:$D$6000,MATCH($C1190,спр_Работы!$A$2:$A$6000,0)),"")</f>
        <v/>
      </c>
      <c r="B1190">
        <f>IFERROR(INDEX(спр_Работы!$F$2:$F$6000,MATCH($C1190,спр_Работы!$A$2:$A$6000,0)),"")</f>
        <v/>
      </c>
      <c r="C1190">
        <f>IFERROR(INDEX(спр_Работы!$A$2:$A$6000,1189),"")</f>
        <v/>
      </c>
      <c r="D1190" s="8">
        <f>IFERROR(INDEX(спр_Работы!$B$2:$B$6000,MATCH($C1190,спр_Работы!$A$2:$A$6000,0)),"")</f>
        <v/>
      </c>
      <c r="E1190">
        <f>IFERROR(INDEX(спр_Работы!$C$2:$C$6000,MATCH($C1190,спр_Работы!$A$2:$A$6000,0)),"")</f>
        <v/>
      </c>
      <c r="F1190">
        <f>IFERROR(INDEX(спр_Работы!$G$2:$G$6000,MATCH($C1190,спр_Работы!$A$2:$A$6000,0)),"")</f>
        <v/>
      </c>
      <c r="G1190">
        <f>IFERROR(INDEX(спр_Работы!$K$2:$K$6000,MATCH($C1190,спр_Работы!$A$2:$A$6000,0)),"")</f>
        <v/>
      </c>
      <c r="H1190" s="9" t="n"/>
      <c r="I1190" s="9" t="n"/>
      <c r="J1190" s="8">
        <f>IFERROR(INDEX(спр_Материалы!$B$2:$B$9000,MATCH($I1190,спр_Материалы!$A$2:$A$9000,0)),"")</f>
        <v/>
      </c>
      <c r="K1190">
        <f>IF($I1190="","",IF($F1190=IFERROR(INDEX(спр_Материалы!$G$2:$G$9000,MATCH($I1190,спр_Материалы!$A$2:$A$9000,0)),""),"OK","!! не та группа"))</f>
        <v/>
      </c>
      <c r="L1190" s="10">
        <f>IFERROR(INDEX(спр_Работы!$H$2:$H$6000,MATCH($C1190,спр_Работы!$A$2:$A$6000,0))*(1-ДисконтТендер),0)</f>
        <v/>
      </c>
      <c r="M1190" s="10">
        <f>IF($I1190="",0,IFERROR(INDEX(спр_Материалы!$I$2:$I$9000,MATCH($I1190,спр_Материалы!$A$2:$A$9000,0))*IF(INDEX(спр_Материалы!$J$2:$J$9000,MATCH($I1190,спр_Материалы!$A$2:$A$9000,0))="USD",КурсUSD,IF(INDEX(спр_Материалы!$J$2:$J$9000,MATCH($I1190,спр_Материалы!$A$2:$A$9000,0))="EUR",КурсEUR,1))*INDEX(спр_Материалы!$K$2:$K$9000,MATCH($I1190,спр_Материалы!$A$2:$A$9000,0))*(1+IFERROR(INDEX(спр_Работы!$I$2:$I$6000,MATCH($C1190,спр_Работы!$A$2:$A$6000,0))/100,0))*(1-ДисконтТендер),0))</f>
        <v/>
      </c>
      <c r="N1190" s="10">
        <f>IF(AND($R1190="да",$H1190&lt;&gt;""),ROUND($H1190*$L1190,2),0)</f>
        <v/>
      </c>
      <c r="O1190" s="10">
        <f>IF(AND($R1190="да",$H1190&lt;&gt;""),ROUND($H1190*$M1190,2),0)</f>
        <v/>
      </c>
      <c r="P1190" s="10">
        <f>$N1190+$O1190</f>
        <v/>
      </c>
      <c r="Q1190">
        <f>IFERROR(INDEX(спр_Работы!$J$2:$J$6000,MATCH($C1190,спр_Работы!$A$2:$A$6000,0)),"")</f>
        <v/>
      </c>
      <c r="R1190" t="inlineStr">
        <is>
          <t>да</t>
        </is>
      </c>
      <c r="T1190">
        <f>IF(AND($P1190&gt;0,$R1190="да"),MAX($T$1:$T1189)+1,"")</f>
        <v/>
      </c>
    </row>
    <row r="1191">
      <c r="A1191" s="11">
        <f>IFERROR(INDEX(спр_Работы!$D$2:$D$6000,MATCH($C1191,спр_Работы!$A$2:$A$6000,0)),"")</f>
        <v/>
      </c>
      <c r="B1191">
        <f>IFERROR(INDEX(спр_Работы!$F$2:$F$6000,MATCH($C1191,спр_Работы!$A$2:$A$6000,0)),"")</f>
        <v/>
      </c>
      <c r="C1191">
        <f>IFERROR(INDEX(спр_Работы!$A$2:$A$6000,1190),"")</f>
        <v/>
      </c>
      <c r="D1191" s="8">
        <f>IFERROR(INDEX(спр_Работы!$B$2:$B$6000,MATCH($C1191,спр_Работы!$A$2:$A$6000,0)),"")</f>
        <v/>
      </c>
      <c r="E1191">
        <f>IFERROR(INDEX(спр_Работы!$C$2:$C$6000,MATCH($C1191,спр_Работы!$A$2:$A$6000,0)),"")</f>
        <v/>
      </c>
      <c r="F1191">
        <f>IFERROR(INDEX(спр_Работы!$G$2:$G$6000,MATCH($C1191,спр_Работы!$A$2:$A$6000,0)),"")</f>
        <v/>
      </c>
      <c r="G1191">
        <f>IFERROR(INDEX(спр_Работы!$K$2:$K$6000,MATCH($C1191,спр_Работы!$A$2:$A$6000,0)),"")</f>
        <v/>
      </c>
      <c r="H1191" s="9" t="n"/>
      <c r="I1191" s="9" t="n"/>
      <c r="J1191" s="8">
        <f>IFERROR(INDEX(спр_Материалы!$B$2:$B$9000,MATCH($I1191,спр_Материалы!$A$2:$A$9000,0)),"")</f>
        <v/>
      </c>
      <c r="K1191">
        <f>IF($I1191="","",IF($F1191=IFERROR(INDEX(спр_Материалы!$G$2:$G$9000,MATCH($I1191,спр_Материалы!$A$2:$A$9000,0)),""),"OK","!! не та группа"))</f>
        <v/>
      </c>
      <c r="L1191" s="10">
        <f>IFERROR(INDEX(спр_Работы!$H$2:$H$6000,MATCH($C1191,спр_Работы!$A$2:$A$6000,0))*(1-ДисконтТендер),0)</f>
        <v/>
      </c>
      <c r="M1191" s="10">
        <f>IF($I1191="",0,IFERROR(INDEX(спр_Материалы!$I$2:$I$9000,MATCH($I1191,спр_Материалы!$A$2:$A$9000,0))*IF(INDEX(спр_Материалы!$J$2:$J$9000,MATCH($I1191,спр_Материалы!$A$2:$A$9000,0))="USD",КурсUSD,IF(INDEX(спр_Материалы!$J$2:$J$9000,MATCH($I1191,спр_Материалы!$A$2:$A$9000,0))="EUR",КурсEUR,1))*INDEX(спр_Материалы!$K$2:$K$9000,MATCH($I1191,спр_Материалы!$A$2:$A$9000,0))*(1+IFERROR(INDEX(спр_Работы!$I$2:$I$6000,MATCH($C1191,спр_Работы!$A$2:$A$6000,0))/100,0))*(1-ДисконтТендер),0))</f>
        <v/>
      </c>
      <c r="N1191" s="10">
        <f>IF(AND($R1191="да",$H1191&lt;&gt;""),ROUND($H1191*$L1191,2),0)</f>
        <v/>
      </c>
      <c r="O1191" s="10">
        <f>IF(AND($R1191="да",$H1191&lt;&gt;""),ROUND($H1191*$M1191,2),0)</f>
        <v/>
      </c>
      <c r="P1191" s="10">
        <f>$N1191+$O1191</f>
        <v/>
      </c>
      <c r="Q1191">
        <f>IFERROR(INDEX(спр_Работы!$J$2:$J$6000,MATCH($C1191,спр_Работы!$A$2:$A$6000,0)),"")</f>
        <v/>
      </c>
      <c r="R1191" t="inlineStr">
        <is>
          <t>да</t>
        </is>
      </c>
      <c r="T1191">
        <f>IF(AND($P1191&gt;0,$R1191="да"),MAX($T$1:$T1190)+1,"")</f>
        <v/>
      </c>
    </row>
    <row r="1192">
      <c r="A1192" s="11">
        <f>IFERROR(INDEX(спр_Работы!$D$2:$D$6000,MATCH($C1192,спр_Работы!$A$2:$A$6000,0)),"")</f>
        <v/>
      </c>
      <c r="B1192">
        <f>IFERROR(INDEX(спр_Работы!$F$2:$F$6000,MATCH($C1192,спр_Работы!$A$2:$A$6000,0)),"")</f>
        <v/>
      </c>
      <c r="C1192">
        <f>IFERROR(INDEX(спр_Работы!$A$2:$A$6000,1191),"")</f>
        <v/>
      </c>
      <c r="D1192" s="8">
        <f>IFERROR(INDEX(спр_Работы!$B$2:$B$6000,MATCH($C1192,спр_Работы!$A$2:$A$6000,0)),"")</f>
        <v/>
      </c>
      <c r="E1192">
        <f>IFERROR(INDEX(спр_Работы!$C$2:$C$6000,MATCH($C1192,спр_Работы!$A$2:$A$6000,0)),"")</f>
        <v/>
      </c>
      <c r="F1192">
        <f>IFERROR(INDEX(спр_Работы!$G$2:$G$6000,MATCH($C1192,спр_Работы!$A$2:$A$6000,0)),"")</f>
        <v/>
      </c>
      <c r="G1192">
        <f>IFERROR(INDEX(спр_Работы!$K$2:$K$6000,MATCH($C1192,спр_Работы!$A$2:$A$6000,0)),"")</f>
        <v/>
      </c>
      <c r="H1192" s="9" t="n"/>
      <c r="I1192" s="9" t="n"/>
      <c r="J1192" s="8">
        <f>IFERROR(INDEX(спр_Материалы!$B$2:$B$9000,MATCH($I1192,спр_Материалы!$A$2:$A$9000,0)),"")</f>
        <v/>
      </c>
      <c r="K1192">
        <f>IF($I1192="","",IF($F1192=IFERROR(INDEX(спр_Материалы!$G$2:$G$9000,MATCH($I1192,спр_Материалы!$A$2:$A$9000,0)),""),"OK","!! не та группа"))</f>
        <v/>
      </c>
      <c r="L1192" s="10">
        <f>IFERROR(INDEX(спр_Работы!$H$2:$H$6000,MATCH($C1192,спр_Работы!$A$2:$A$6000,0))*(1-ДисконтТендер),0)</f>
        <v/>
      </c>
      <c r="M1192" s="10">
        <f>IF($I1192="",0,IFERROR(INDEX(спр_Материалы!$I$2:$I$9000,MATCH($I1192,спр_Материалы!$A$2:$A$9000,0))*IF(INDEX(спр_Материалы!$J$2:$J$9000,MATCH($I1192,спр_Материалы!$A$2:$A$9000,0))="USD",КурсUSD,IF(INDEX(спр_Материалы!$J$2:$J$9000,MATCH($I1192,спр_Материалы!$A$2:$A$9000,0))="EUR",КурсEUR,1))*INDEX(спр_Материалы!$K$2:$K$9000,MATCH($I1192,спр_Материалы!$A$2:$A$9000,0))*(1+IFERROR(INDEX(спр_Работы!$I$2:$I$6000,MATCH($C1192,спр_Работы!$A$2:$A$6000,0))/100,0))*(1-ДисконтТендер),0))</f>
        <v/>
      </c>
      <c r="N1192" s="10">
        <f>IF(AND($R1192="да",$H1192&lt;&gt;""),ROUND($H1192*$L1192,2),0)</f>
        <v/>
      </c>
      <c r="O1192" s="10">
        <f>IF(AND($R1192="да",$H1192&lt;&gt;""),ROUND($H1192*$M1192,2),0)</f>
        <v/>
      </c>
      <c r="P1192" s="10">
        <f>$N1192+$O1192</f>
        <v/>
      </c>
      <c r="Q1192">
        <f>IFERROR(INDEX(спр_Работы!$J$2:$J$6000,MATCH($C1192,спр_Работы!$A$2:$A$6000,0)),"")</f>
        <v/>
      </c>
      <c r="R1192" t="inlineStr">
        <is>
          <t>да</t>
        </is>
      </c>
      <c r="T1192">
        <f>IF(AND($P1192&gt;0,$R1192="да"),MAX($T$1:$T1191)+1,"")</f>
        <v/>
      </c>
    </row>
    <row r="1193">
      <c r="A1193" s="11">
        <f>IFERROR(INDEX(спр_Работы!$D$2:$D$6000,MATCH($C1193,спр_Работы!$A$2:$A$6000,0)),"")</f>
        <v/>
      </c>
      <c r="B1193">
        <f>IFERROR(INDEX(спр_Работы!$F$2:$F$6000,MATCH($C1193,спр_Работы!$A$2:$A$6000,0)),"")</f>
        <v/>
      </c>
      <c r="C1193">
        <f>IFERROR(INDEX(спр_Работы!$A$2:$A$6000,1192),"")</f>
        <v/>
      </c>
      <c r="D1193" s="8">
        <f>IFERROR(INDEX(спр_Работы!$B$2:$B$6000,MATCH($C1193,спр_Работы!$A$2:$A$6000,0)),"")</f>
        <v/>
      </c>
      <c r="E1193">
        <f>IFERROR(INDEX(спр_Работы!$C$2:$C$6000,MATCH($C1193,спр_Работы!$A$2:$A$6000,0)),"")</f>
        <v/>
      </c>
      <c r="F1193">
        <f>IFERROR(INDEX(спр_Работы!$G$2:$G$6000,MATCH($C1193,спр_Работы!$A$2:$A$6000,0)),"")</f>
        <v/>
      </c>
      <c r="G1193">
        <f>IFERROR(INDEX(спр_Работы!$K$2:$K$6000,MATCH($C1193,спр_Работы!$A$2:$A$6000,0)),"")</f>
        <v/>
      </c>
      <c r="H1193" s="9" t="n"/>
      <c r="I1193" s="9" t="n"/>
      <c r="J1193" s="8">
        <f>IFERROR(INDEX(спр_Материалы!$B$2:$B$9000,MATCH($I1193,спр_Материалы!$A$2:$A$9000,0)),"")</f>
        <v/>
      </c>
      <c r="K1193">
        <f>IF($I1193="","",IF($F1193=IFERROR(INDEX(спр_Материалы!$G$2:$G$9000,MATCH($I1193,спр_Материалы!$A$2:$A$9000,0)),""),"OK","!! не та группа"))</f>
        <v/>
      </c>
      <c r="L1193" s="10">
        <f>IFERROR(INDEX(спр_Работы!$H$2:$H$6000,MATCH($C1193,спр_Работы!$A$2:$A$6000,0))*(1-ДисконтТендер),0)</f>
        <v/>
      </c>
      <c r="M1193" s="10">
        <f>IF($I1193="",0,IFERROR(INDEX(спр_Материалы!$I$2:$I$9000,MATCH($I1193,спр_Материалы!$A$2:$A$9000,0))*IF(INDEX(спр_Материалы!$J$2:$J$9000,MATCH($I1193,спр_Материалы!$A$2:$A$9000,0))="USD",КурсUSD,IF(INDEX(спр_Материалы!$J$2:$J$9000,MATCH($I1193,спр_Материалы!$A$2:$A$9000,0))="EUR",КурсEUR,1))*INDEX(спр_Материалы!$K$2:$K$9000,MATCH($I1193,спр_Материалы!$A$2:$A$9000,0))*(1+IFERROR(INDEX(спр_Работы!$I$2:$I$6000,MATCH($C1193,спр_Работы!$A$2:$A$6000,0))/100,0))*(1-ДисконтТендер),0))</f>
        <v/>
      </c>
      <c r="N1193" s="10">
        <f>IF(AND($R1193="да",$H1193&lt;&gt;""),ROUND($H1193*$L1193,2),0)</f>
        <v/>
      </c>
      <c r="O1193" s="10">
        <f>IF(AND($R1193="да",$H1193&lt;&gt;""),ROUND($H1193*$M1193,2),0)</f>
        <v/>
      </c>
      <c r="P1193" s="10">
        <f>$N1193+$O1193</f>
        <v/>
      </c>
      <c r="Q1193">
        <f>IFERROR(INDEX(спр_Работы!$J$2:$J$6000,MATCH($C1193,спр_Работы!$A$2:$A$6000,0)),"")</f>
        <v/>
      </c>
      <c r="R1193" t="inlineStr">
        <is>
          <t>да</t>
        </is>
      </c>
      <c r="T1193">
        <f>IF(AND($P1193&gt;0,$R1193="да"),MAX($T$1:$T1192)+1,"")</f>
        <v/>
      </c>
    </row>
    <row r="1194">
      <c r="A1194" s="11">
        <f>IFERROR(INDEX(спр_Работы!$D$2:$D$6000,MATCH($C1194,спр_Работы!$A$2:$A$6000,0)),"")</f>
        <v/>
      </c>
      <c r="B1194">
        <f>IFERROR(INDEX(спр_Работы!$F$2:$F$6000,MATCH($C1194,спр_Работы!$A$2:$A$6000,0)),"")</f>
        <v/>
      </c>
      <c r="C1194">
        <f>IFERROR(INDEX(спр_Работы!$A$2:$A$6000,1193),"")</f>
        <v/>
      </c>
      <c r="D1194" s="8">
        <f>IFERROR(INDEX(спр_Работы!$B$2:$B$6000,MATCH($C1194,спр_Работы!$A$2:$A$6000,0)),"")</f>
        <v/>
      </c>
      <c r="E1194">
        <f>IFERROR(INDEX(спр_Работы!$C$2:$C$6000,MATCH($C1194,спр_Работы!$A$2:$A$6000,0)),"")</f>
        <v/>
      </c>
      <c r="F1194">
        <f>IFERROR(INDEX(спр_Работы!$G$2:$G$6000,MATCH($C1194,спр_Работы!$A$2:$A$6000,0)),"")</f>
        <v/>
      </c>
      <c r="G1194">
        <f>IFERROR(INDEX(спр_Работы!$K$2:$K$6000,MATCH($C1194,спр_Работы!$A$2:$A$6000,0)),"")</f>
        <v/>
      </c>
      <c r="H1194" s="9" t="n"/>
      <c r="I1194" s="9" t="n"/>
      <c r="J1194" s="8">
        <f>IFERROR(INDEX(спр_Материалы!$B$2:$B$9000,MATCH($I1194,спр_Материалы!$A$2:$A$9000,0)),"")</f>
        <v/>
      </c>
      <c r="K1194">
        <f>IF($I1194="","",IF($F1194=IFERROR(INDEX(спр_Материалы!$G$2:$G$9000,MATCH($I1194,спр_Материалы!$A$2:$A$9000,0)),""),"OK","!! не та группа"))</f>
        <v/>
      </c>
      <c r="L1194" s="10">
        <f>IFERROR(INDEX(спр_Работы!$H$2:$H$6000,MATCH($C1194,спр_Работы!$A$2:$A$6000,0))*(1-ДисконтТендер),0)</f>
        <v/>
      </c>
      <c r="M1194" s="10">
        <f>IF($I1194="",0,IFERROR(INDEX(спр_Материалы!$I$2:$I$9000,MATCH($I1194,спр_Материалы!$A$2:$A$9000,0))*IF(INDEX(спр_Материалы!$J$2:$J$9000,MATCH($I1194,спр_Материалы!$A$2:$A$9000,0))="USD",КурсUSD,IF(INDEX(спр_Материалы!$J$2:$J$9000,MATCH($I1194,спр_Материалы!$A$2:$A$9000,0))="EUR",КурсEUR,1))*INDEX(спр_Материалы!$K$2:$K$9000,MATCH($I1194,спр_Материалы!$A$2:$A$9000,0))*(1+IFERROR(INDEX(спр_Работы!$I$2:$I$6000,MATCH($C1194,спр_Работы!$A$2:$A$6000,0))/100,0))*(1-ДисконтТендер),0))</f>
        <v/>
      </c>
      <c r="N1194" s="10">
        <f>IF(AND($R1194="да",$H1194&lt;&gt;""),ROUND($H1194*$L1194,2),0)</f>
        <v/>
      </c>
      <c r="O1194" s="10">
        <f>IF(AND($R1194="да",$H1194&lt;&gt;""),ROUND($H1194*$M1194,2),0)</f>
        <v/>
      </c>
      <c r="P1194" s="10">
        <f>$N1194+$O1194</f>
        <v/>
      </c>
      <c r="Q1194">
        <f>IFERROR(INDEX(спр_Работы!$J$2:$J$6000,MATCH($C1194,спр_Работы!$A$2:$A$6000,0)),"")</f>
        <v/>
      </c>
      <c r="R1194" t="inlineStr">
        <is>
          <t>да</t>
        </is>
      </c>
      <c r="T1194">
        <f>IF(AND($P1194&gt;0,$R1194="да"),MAX($T$1:$T1193)+1,"")</f>
        <v/>
      </c>
    </row>
    <row r="1195">
      <c r="A1195" s="11">
        <f>IFERROR(INDEX(спр_Работы!$D$2:$D$6000,MATCH($C1195,спр_Работы!$A$2:$A$6000,0)),"")</f>
        <v/>
      </c>
      <c r="B1195">
        <f>IFERROR(INDEX(спр_Работы!$F$2:$F$6000,MATCH($C1195,спр_Работы!$A$2:$A$6000,0)),"")</f>
        <v/>
      </c>
      <c r="C1195">
        <f>IFERROR(INDEX(спр_Работы!$A$2:$A$6000,1194),"")</f>
        <v/>
      </c>
      <c r="D1195" s="8">
        <f>IFERROR(INDEX(спр_Работы!$B$2:$B$6000,MATCH($C1195,спр_Работы!$A$2:$A$6000,0)),"")</f>
        <v/>
      </c>
      <c r="E1195">
        <f>IFERROR(INDEX(спр_Работы!$C$2:$C$6000,MATCH($C1195,спр_Работы!$A$2:$A$6000,0)),"")</f>
        <v/>
      </c>
      <c r="F1195">
        <f>IFERROR(INDEX(спр_Работы!$G$2:$G$6000,MATCH($C1195,спр_Работы!$A$2:$A$6000,0)),"")</f>
        <v/>
      </c>
      <c r="G1195">
        <f>IFERROR(INDEX(спр_Работы!$K$2:$K$6000,MATCH($C1195,спр_Работы!$A$2:$A$6000,0)),"")</f>
        <v/>
      </c>
      <c r="H1195" s="9" t="n"/>
      <c r="I1195" s="9" t="n"/>
      <c r="J1195" s="8">
        <f>IFERROR(INDEX(спр_Материалы!$B$2:$B$9000,MATCH($I1195,спр_Материалы!$A$2:$A$9000,0)),"")</f>
        <v/>
      </c>
      <c r="K1195">
        <f>IF($I1195="","",IF($F1195=IFERROR(INDEX(спр_Материалы!$G$2:$G$9000,MATCH($I1195,спр_Материалы!$A$2:$A$9000,0)),""),"OK","!! не та группа"))</f>
        <v/>
      </c>
      <c r="L1195" s="10">
        <f>IFERROR(INDEX(спр_Работы!$H$2:$H$6000,MATCH($C1195,спр_Работы!$A$2:$A$6000,0))*(1-ДисконтТендер),0)</f>
        <v/>
      </c>
      <c r="M1195" s="10">
        <f>IF($I1195="",0,IFERROR(INDEX(спр_Материалы!$I$2:$I$9000,MATCH($I1195,спр_Материалы!$A$2:$A$9000,0))*IF(INDEX(спр_Материалы!$J$2:$J$9000,MATCH($I1195,спр_Материалы!$A$2:$A$9000,0))="USD",КурсUSD,IF(INDEX(спр_Материалы!$J$2:$J$9000,MATCH($I1195,спр_Материалы!$A$2:$A$9000,0))="EUR",КурсEUR,1))*INDEX(спр_Материалы!$K$2:$K$9000,MATCH($I1195,спр_Материалы!$A$2:$A$9000,0))*(1+IFERROR(INDEX(спр_Работы!$I$2:$I$6000,MATCH($C1195,спр_Работы!$A$2:$A$6000,0))/100,0))*(1-ДисконтТендер),0))</f>
        <v/>
      </c>
      <c r="N1195" s="10">
        <f>IF(AND($R1195="да",$H1195&lt;&gt;""),ROUND($H1195*$L1195,2),0)</f>
        <v/>
      </c>
      <c r="O1195" s="10">
        <f>IF(AND($R1195="да",$H1195&lt;&gt;""),ROUND($H1195*$M1195,2),0)</f>
        <v/>
      </c>
      <c r="P1195" s="10">
        <f>$N1195+$O1195</f>
        <v/>
      </c>
      <c r="Q1195">
        <f>IFERROR(INDEX(спр_Работы!$J$2:$J$6000,MATCH($C1195,спр_Работы!$A$2:$A$6000,0)),"")</f>
        <v/>
      </c>
      <c r="R1195" t="inlineStr">
        <is>
          <t>да</t>
        </is>
      </c>
      <c r="T1195">
        <f>IF(AND($P1195&gt;0,$R1195="да"),MAX($T$1:$T1194)+1,"")</f>
        <v/>
      </c>
    </row>
    <row r="1196">
      <c r="A1196" s="11">
        <f>IFERROR(INDEX(спр_Работы!$D$2:$D$6000,MATCH($C1196,спр_Работы!$A$2:$A$6000,0)),"")</f>
        <v/>
      </c>
      <c r="B1196">
        <f>IFERROR(INDEX(спр_Работы!$F$2:$F$6000,MATCH($C1196,спр_Работы!$A$2:$A$6000,0)),"")</f>
        <v/>
      </c>
      <c r="C1196">
        <f>IFERROR(INDEX(спр_Работы!$A$2:$A$6000,1195),"")</f>
        <v/>
      </c>
      <c r="D1196" s="8">
        <f>IFERROR(INDEX(спр_Работы!$B$2:$B$6000,MATCH($C1196,спр_Работы!$A$2:$A$6000,0)),"")</f>
        <v/>
      </c>
      <c r="E1196">
        <f>IFERROR(INDEX(спр_Работы!$C$2:$C$6000,MATCH($C1196,спр_Работы!$A$2:$A$6000,0)),"")</f>
        <v/>
      </c>
      <c r="F1196">
        <f>IFERROR(INDEX(спр_Работы!$G$2:$G$6000,MATCH($C1196,спр_Работы!$A$2:$A$6000,0)),"")</f>
        <v/>
      </c>
      <c r="G1196">
        <f>IFERROR(INDEX(спр_Работы!$K$2:$K$6000,MATCH($C1196,спр_Работы!$A$2:$A$6000,0)),"")</f>
        <v/>
      </c>
      <c r="H1196" s="9" t="n"/>
      <c r="I1196" s="9" t="n"/>
      <c r="J1196" s="8">
        <f>IFERROR(INDEX(спр_Материалы!$B$2:$B$9000,MATCH($I1196,спр_Материалы!$A$2:$A$9000,0)),"")</f>
        <v/>
      </c>
      <c r="K1196">
        <f>IF($I1196="","",IF($F1196=IFERROR(INDEX(спр_Материалы!$G$2:$G$9000,MATCH($I1196,спр_Материалы!$A$2:$A$9000,0)),""),"OK","!! не та группа"))</f>
        <v/>
      </c>
      <c r="L1196" s="10">
        <f>IFERROR(INDEX(спр_Работы!$H$2:$H$6000,MATCH($C1196,спр_Работы!$A$2:$A$6000,0))*(1-ДисконтТендер),0)</f>
        <v/>
      </c>
      <c r="M1196" s="10">
        <f>IF($I1196="",0,IFERROR(INDEX(спр_Материалы!$I$2:$I$9000,MATCH($I1196,спр_Материалы!$A$2:$A$9000,0))*IF(INDEX(спр_Материалы!$J$2:$J$9000,MATCH($I1196,спр_Материалы!$A$2:$A$9000,0))="USD",КурсUSD,IF(INDEX(спр_Материалы!$J$2:$J$9000,MATCH($I1196,спр_Материалы!$A$2:$A$9000,0))="EUR",КурсEUR,1))*INDEX(спр_Материалы!$K$2:$K$9000,MATCH($I1196,спр_Материалы!$A$2:$A$9000,0))*(1+IFERROR(INDEX(спр_Работы!$I$2:$I$6000,MATCH($C1196,спр_Работы!$A$2:$A$6000,0))/100,0))*(1-ДисконтТендер),0))</f>
        <v/>
      </c>
      <c r="N1196" s="10">
        <f>IF(AND($R1196="да",$H1196&lt;&gt;""),ROUND($H1196*$L1196,2),0)</f>
        <v/>
      </c>
      <c r="O1196" s="10">
        <f>IF(AND($R1196="да",$H1196&lt;&gt;""),ROUND($H1196*$M1196,2),0)</f>
        <v/>
      </c>
      <c r="P1196" s="10">
        <f>$N1196+$O1196</f>
        <v/>
      </c>
      <c r="Q1196">
        <f>IFERROR(INDEX(спр_Работы!$J$2:$J$6000,MATCH($C1196,спр_Работы!$A$2:$A$6000,0)),"")</f>
        <v/>
      </c>
      <c r="R1196" t="inlineStr">
        <is>
          <t>да</t>
        </is>
      </c>
      <c r="T1196">
        <f>IF(AND($P1196&gt;0,$R1196="да"),MAX($T$1:$T1195)+1,"")</f>
        <v/>
      </c>
    </row>
    <row r="1197">
      <c r="A1197" s="11">
        <f>IFERROR(INDEX(спр_Работы!$D$2:$D$6000,MATCH($C1197,спр_Работы!$A$2:$A$6000,0)),"")</f>
        <v/>
      </c>
      <c r="B1197">
        <f>IFERROR(INDEX(спр_Работы!$F$2:$F$6000,MATCH($C1197,спр_Работы!$A$2:$A$6000,0)),"")</f>
        <v/>
      </c>
      <c r="C1197">
        <f>IFERROR(INDEX(спр_Работы!$A$2:$A$6000,1196),"")</f>
        <v/>
      </c>
      <c r="D1197" s="8">
        <f>IFERROR(INDEX(спр_Работы!$B$2:$B$6000,MATCH($C1197,спр_Работы!$A$2:$A$6000,0)),"")</f>
        <v/>
      </c>
      <c r="E1197">
        <f>IFERROR(INDEX(спр_Работы!$C$2:$C$6000,MATCH($C1197,спр_Работы!$A$2:$A$6000,0)),"")</f>
        <v/>
      </c>
      <c r="F1197">
        <f>IFERROR(INDEX(спр_Работы!$G$2:$G$6000,MATCH($C1197,спр_Работы!$A$2:$A$6000,0)),"")</f>
        <v/>
      </c>
      <c r="G1197">
        <f>IFERROR(INDEX(спр_Работы!$K$2:$K$6000,MATCH($C1197,спр_Работы!$A$2:$A$6000,0)),"")</f>
        <v/>
      </c>
      <c r="H1197" s="9" t="n"/>
      <c r="I1197" s="9" t="n"/>
      <c r="J1197" s="8">
        <f>IFERROR(INDEX(спр_Материалы!$B$2:$B$9000,MATCH($I1197,спр_Материалы!$A$2:$A$9000,0)),"")</f>
        <v/>
      </c>
      <c r="K1197">
        <f>IF($I1197="","",IF($F1197=IFERROR(INDEX(спр_Материалы!$G$2:$G$9000,MATCH($I1197,спр_Материалы!$A$2:$A$9000,0)),""),"OK","!! не та группа"))</f>
        <v/>
      </c>
      <c r="L1197" s="10">
        <f>IFERROR(INDEX(спр_Работы!$H$2:$H$6000,MATCH($C1197,спр_Работы!$A$2:$A$6000,0))*(1-ДисконтТендер),0)</f>
        <v/>
      </c>
      <c r="M1197" s="10">
        <f>IF($I1197="",0,IFERROR(INDEX(спр_Материалы!$I$2:$I$9000,MATCH($I1197,спр_Материалы!$A$2:$A$9000,0))*IF(INDEX(спр_Материалы!$J$2:$J$9000,MATCH($I1197,спр_Материалы!$A$2:$A$9000,0))="USD",КурсUSD,IF(INDEX(спр_Материалы!$J$2:$J$9000,MATCH($I1197,спр_Материалы!$A$2:$A$9000,0))="EUR",КурсEUR,1))*INDEX(спр_Материалы!$K$2:$K$9000,MATCH($I1197,спр_Материалы!$A$2:$A$9000,0))*(1+IFERROR(INDEX(спр_Работы!$I$2:$I$6000,MATCH($C1197,спр_Работы!$A$2:$A$6000,0))/100,0))*(1-ДисконтТендер),0))</f>
        <v/>
      </c>
      <c r="N1197" s="10">
        <f>IF(AND($R1197="да",$H1197&lt;&gt;""),ROUND($H1197*$L1197,2),0)</f>
        <v/>
      </c>
      <c r="O1197" s="10">
        <f>IF(AND($R1197="да",$H1197&lt;&gt;""),ROUND($H1197*$M1197,2),0)</f>
        <v/>
      </c>
      <c r="P1197" s="10">
        <f>$N1197+$O1197</f>
        <v/>
      </c>
      <c r="Q1197">
        <f>IFERROR(INDEX(спр_Работы!$J$2:$J$6000,MATCH($C1197,спр_Работы!$A$2:$A$6000,0)),"")</f>
        <v/>
      </c>
      <c r="R1197" t="inlineStr">
        <is>
          <t>да</t>
        </is>
      </c>
      <c r="T1197">
        <f>IF(AND($P1197&gt;0,$R1197="да"),MAX($T$1:$T1196)+1,"")</f>
        <v/>
      </c>
    </row>
    <row r="1198">
      <c r="A1198" s="11">
        <f>IFERROR(INDEX(спр_Работы!$D$2:$D$6000,MATCH($C1198,спр_Работы!$A$2:$A$6000,0)),"")</f>
        <v/>
      </c>
      <c r="B1198">
        <f>IFERROR(INDEX(спр_Работы!$F$2:$F$6000,MATCH($C1198,спр_Работы!$A$2:$A$6000,0)),"")</f>
        <v/>
      </c>
      <c r="C1198">
        <f>IFERROR(INDEX(спр_Работы!$A$2:$A$6000,1197),"")</f>
        <v/>
      </c>
      <c r="D1198" s="8">
        <f>IFERROR(INDEX(спр_Работы!$B$2:$B$6000,MATCH($C1198,спр_Работы!$A$2:$A$6000,0)),"")</f>
        <v/>
      </c>
      <c r="E1198">
        <f>IFERROR(INDEX(спр_Работы!$C$2:$C$6000,MATCH($C1198,спр_Работы!$A$2:$A$6000,0)),"")</f>
        <v/>
      </c>
      <c r="F1198">
        <f>IFERROR(INDEX(спр_Работы!$G$2:$G$6000,MATCH($C1198,спр_Работы!$A$2:$A$6000,0)),"")</f>
        <v/>
      </c>
      <c r="G1198">
        <f>IFERROR(INDEX(спр_Работы!$K$2:$K$6000,MATCH($C1198,спр_Работы!$A$2:$A$6000,0)),"")</f>
        <v/>
      </c>
      <c r="H1198" s="9" t="n"/>
      <c r="I1198" s="9" t="n"/>
      <c r="J1198" s="8">
        <f>IFERROR(INDEX(спр_Материалы!$B$2:$B$9000,MATCH($I1198,спр_Материалы!$A$2:$A$9000,0)),"")</f>
        <v/>
      </c>
      <c r="K1198">
        <f>IF($I1198="","",IF($F1198=IFERROR(INDEX(спр_Материалы!$G$2:$G$9000,MATCH($I1198,спр_Материалы!$A$2:$A$9000,0)),""),"OK","!! не та группа"))</f>
        <v/>
      </c>
      <c r="L1198" s="10">
        <f>IFERROR(INDEX(спр_Работы!$H$2:$H$6000,MATCH($C1198,спр_Работы!$A$2:$A$6000,0))*(1-ДисконтТендер),0)</f>
        <v/>
      </c>
      <c r="M1198" s="10">
        <f>IF($I1198="",0,IFERROR(INDEX(спр_Материалы!$I$2:$I$9000,MATCH($I1198,спр_Материалы!$A$2:$A$9000,0))*IF(INDEX(спр_Материалы!$J$2:$J$9000,MATCH($I1198,спр_Материалы!$A$2:$A$9000,0))="USD",КурсUSD,IF(INDEX(спр_Материалы!$J$2:$J$9000,MATCH($I1198,спр_Материалы!$A$2:$A$9000,0))="EUR",КурсEUR,1))*INDEX(спр_Материалы!$K$2:$K$9000,MATCH($I1198,спр_Материалы!$A$2:$A$9000,0))*(1+IFERROR(INDEX(спр_Работы!$I$2:$I$6000,MATCH($C1198,спр_Работы!$A$2:$A$6000,0))/100,0))*(1-ДисконтТендер),0))</f>
        <v/>
      </c>
      <c r="N1198" s="10">
        <f>IF(AND($R1198="да",$H1198&lt;&gt;""),ROUND($H1198*$L1198,2),0)</f>
        <v/>
      </c>
      <c r="O1198" s="10">
        <f>IF(AND($R1198="да",$H1198&lt;&gt;""),ROUND($H1198*$M1198,2),0)</f>
        <v/>
      </c>
      <c r="P1198" s="10">
        <f>$N1198+$O1198</f>
        <v/>
      </c>
      <c r="Q1198">
        <f>IFERROR(INDEX(спр_Работы!$J$2:$J$6000,MATCH($C1198,спр_Работы!$A$2:$A$6000,0)),"")</f>
        <v/>
      </c>
      <c r="R1198" t="inlineStr">
        <is>
          <t>да</t>
        </is>
      </c>
      <c r="T1198">
        <f>IF(AND($P1198&gt;0,$R1198="да"),MAX($T$1:$T1197)+1,"")</f>
        <v/>
      </c>
    </row>
    <row r="1199">
      <c r="A1199" s="11">
        <f>IFERROR(INDEX(спр_Работы!$D$2:$D$6000,MATCH($C1199,спр_Работы!$A$2:$A$6000,0)),"")</f>
        <v/>
      </c>
      <c r="B1199">
        <f>IFERROR(INDEX(спр_Работы!$F$2:$F$6000,MATCH($C1199,спр_Работы!$A$2:$A$6000,0)),"")</f>
        <v/>
      </c>
      <c r="C1199">
        <f>IFERROR(INDEX(спр_Работы!$A$2:$A$6000,1198),"")</f>
        <v/>
      </c>
      <c r="D1199" s="8">
        <f>IFERROR(INDEX(спр_Работы!$B$2:$B$6000,MATCH($C1199,спр_Работы!$A$2:$A$6000,0)),"")</f>
        <v/>
      </c>
      <c r="E1199">
        <f>IFERROR(INDEX(спр_Работы!$C$2:$C$6000,MATCH($C1199,спр_Работы!$A$2:$A$6000,0)),"")</f>
        <v/>
      </c>
      <c r="F1199">
        <f>IFERROR(INDEX(спр_Работы!$G$2:$G$6000,MATCH($C1199,спр_Работы!$A$2:$A$6000,0)),"")</f>
        <v/>
      </c>
      <c r="G1199">
        <f>IFERROR(INDEX(спр_Работы!$K$2:$K$6000,MATCH($C1199,спр_Работы!$A$2:$A$6000,0)),"")</f>
        <v/>
      </c>
      <c r="H1199" s="9" t="n"/>
      <c r="I1199" s="9" t="n"/>
      <c r="J1199" s="8">
        <f>IFERROR(INDEX(спр_Материалы!$B$2:$B$9000,MATCH($I1199,спр_Материалы!$A$2:$A$9000,0)),"")</f>
        <v/>
      </c>
      <c r="K1199">
        <f>IF($I1199="","",IF($F1199=IFERROR(INDEX(спр_Материалы!$G$2:$G$9000,MATCH($I1199,спр_Материалы!$A$2:$A$9000,0)),""),"OK","!! не та группа"))</f>
        <v/>
      </c>
      <c r="L1199" s="10">
        <f>IFERROR(INDEX(спр_Работы!$H$2:$H$6000,MATCH($C1199,спр_Работы!$A$2:$A$6000,0))*(1-ДисконтТендер),0)</f>
        <v/>
      </c>
      <c r="M1199" s="10">
        <f>IF($I1199="",0,IFERROR(INDEX(спр_Материалы!$I$2:$I$9000,MATCH($I1199,спр_Материалы!$A$2:$A$9000,0))*IF(INDEX(спр_Материалы!$J$2:$J$9000,MATCH($I1199,спр_Материалы!$A$2:$A$9000,0))="USD",КурсUSD,IF(INDEX(спр_Материалы!$J$2:$J$9000,MATCH($I1199,спр_Материалы!$A$2:$A$9000,0))="EUR",КурсEUR,1))*INDEX(спр_Материалы!$K$2:$K$9000,MATCH($I1199,спр_Материалы!$A$2:$A$9000,0))*(1+IFERROR(INDEX(спр_Работы!$I$2:$I$6000,MATCH($C1199,спр_Работы!$A$2:$A$6000,0))/100,0))*(1-ДисконтТендер),0))</f>
        <v/>
      </c>
      <c r="N1199" s="10">
        <f>IF(AND($R1199="да",$H1199&lt;&gt;""),ROUND($H1199*$L1199,2),0)</f>
        <v/>
      </c>
      <c r="O1199" s="10">
        <f>IF(AND($R1199="да",$H1199&lt;&gt;""),ROUND($H1199*$M1199,2),0)</f>
        <v/>
      </c>
      <c r="P1199" s="10">
        <f>$N1199+$O1199</f>
        <v/>
      </c>
      <c r="Q1199">
        <f>IFERROR(INDEX(спр_Работы!$J$2:$J$6000,MATCH($C1199,спр_Работы!$A$2:$A$6000,0)),"")</f>
        <v/>
      </c>
      <c r="R1199" t="inlineStr">
        <is>
          <t>да</t>
        </is>
      </c>
      <c r="T1199">
        <f>IF(AND($P1199&gt;0,$R1199="да"),MAX($T$1:$T1198)+1,"")</f>
        <v/>
      </c>
    </row>
    <row r="1200">
      <c r="A1200" s="11">
        <f>IFERROR(INDEX(спр_Работы!$D$2:$D$6000,MATCH($C1200,спр_Работы!$A$2:$A$6000,0)),"")</f>
        <v/>
      </c>
      <c r="B1200">
        <f>IFERROR(INDEX(спр_Работы!$F$2:$F$6000,MATCH($C1200,спр_Работы!$A$2:$A$6000,0)),"")</f>
        <v/>
      </c>
      <c r="C1200">
        <f>IFERROR(INDEX(спр_Работы!$A$2:$A$6000,1199),"")</f>
        <v/>
      </c>
      <c r="D1200" s="8">
        <f>IFERROR(INDEX(спр_Работы!$B$2:$B$6000,MATCH($C1200,спр_Работы!$A$2:$A$6000,0)),"")</f>
        <v/>
      </c>
      <c r="E1200">
        <f>IFERROR(INDEX(спр_Работы!$C$2:$C$6000,MATCH($C1200,спр_Работы!$A$2:$A$6000,0)),"")</f>
        <v/>
      </c>
      <c r="F1200">
        <f>IFERROR(INDEX(спр_Работы!$G$2:$G$6000,MATCH($C1200,спр_Работы!$A$2:$A$6000,0)),"")</f>
        <v/>
      </c>
      <c r="G1200">
        <f>IFERROR(INDEX(спр_Работы!$K$2:$K$6000,MATCH($C1200,спр_Работы!$A$2:$A$6000,0)),"")</f>
        <v/>
      </c>
      <c r="H1200" s="9" t="n"/>
      <c r="I1200" s="9" t="n"/>
      <c r="J1200" s="8">
        <f>IFERROR(INDEX(спр_Материалы!$B$2:$B$9000,MATCH($I1200,спр_Материалы!$A$2:$A$9000,0)),"")</f>
        <v/>
      </c>
      <c r="K1200">
        <f>IF($I1200="","",IF($F1200=IFERROR(INDEX(спр_Материалы!$G$2:$G$9000,MATCH($I1200,спр_Материалы!$A$2:$A$9000,0)),""),"OK","!! не та группа"))</f>
        <v/>
      </c>
      <c r="L1200" s="10">
        <f>IFERROR(INDEX(спр_Работы!$H$2:$H$6000,MATCH($C1200,спр_Работы!$A$2:$A$6000,0))*(1-ДисконтТендер),0)</f>
        <v/>
      </c>
      <c r="M1200" s="10">
        <f>IF($I1200="",0,IFERROR(INDEX(спр_Материалы!$I$2:$I$9000,MATCH($I1200,спр_Материалы!$A$2:$A$9000,0))*IF(INDEX(спр_Материалы!$J$2:$J$9000,MATCH($I1200,спр_Материалы!$A$2:$A$9000,0))="USD",КурсUSD,IF(INDEX(спр_Материалы!$J$2:$J$9000,MATCH($I1200,спр_Материалы!$A$2:$A$9000,0))="EUR",КурсEUR,1))*INDEX(спр_Материалы!$K$2:$K$9000,MATCH($I1200,спр_Материалы!$A$2:$A$9000,0))*(1+IFERROR(INDEX(спр_Работы!$I$2:$I$6000,MATCH($C1200,спр_Работы!$A$2:$A$6000,0))/100,0))*(1-ДисконтТендер),0))</f>
        <v/>
      </c>
      <c r="N1200" s="10">
        <f>IF(AND($R1200="да",$H1200&lt;&gt;""),ROUND($H1200*$L1200,2),0)</f>
        <v/>
      </c>
      <c r="O1200" s="10">
        <f>IF(AND($R1200="да",$H1200&lt;&gt;""),ROUND($H1200*$M1200,2),0)</f>
        <v/>
      </c>
      <c r="P1200" s="10">
        <f>$N1200+$O1200</f>
        <v/>
      </c>
      <c r="Q1200">
        <f>IFERROR(INDEX(спр_Работы!$J$2:$J$6000,MATCH($C1200,спр_Работы!$A$2:$A$6000,0)),"")</f>
        <v/>
      </c>
      <c r="R1200" t="inlineStr">
        <is>
          <t>да</t>
        </is>
      </c>
      <c r="T1200">
        <f>IF(AND($P1200&gt;0,$R1200="да"),MAX($T$1:$T1199)+1,"")</f>
        <v/>
      </c>
    </row>
    <row r="1201">
      <c r="A1201" s="11">
        <f>IFERROR(INDEX(спр_Работы!$D$2:$D$6000,MATCH($C1201,спр_Работы!$A$2:$A$6000,0)),"")</f>
        <v/>
      </c>
      <c r="B1201">
        <f>IFERROR(INDEX(спр_Работы!$F$2:$F$6000,MATCH($C1201,спр_Работы!$A$2:$A$6000,0)),"")</f>
        <v/>
      </c>
      <c r="C1201">
        <f>IFERROR(INDEX(спр_Работы!$A$2:$A$6000,1200),"")</f>
        <v/>
      </c>
      <c r="D1201" s="8">
        <f>IFERROR(INDEX(спр_Работы!$B$2:$B$6000,MATCH($C1201,спр_Работы!$A$2:$A$6000,0)),"")</f>
        <v/>
      </c>
      <c r="E1201">
        <f>IFERROR(INDEX(спр_Работы!$C$2:$C$6000,MATCH($C1201,спр_Работы!$A$2:$A$6000,0)),"")</f>
        <v/>
      </c>
      <c r="F1201">
        <f>IFERROR(INDEX(спр_Работы!$G$2:$G$6000,MATCH($C1201,спр_Работы!$A$2:$A$6000,0)),"")</f>
        <v/>
      </c>
      <c r="G1201">
        <f>IFERROR(INDEX(спр_Работы!$K$2:$K$6000,MATCH($C1201,спр_Работы!$A$2:$A$6000,0)),"")</f>
        <v/>
      </c>
      <c r="H1201" s="9" t="n"/>
      <c r="I1201" s="9" t="n"/>
      <c r="J1201" s="8">
        <f>IFERROR(INDEX(спр_Материалы!$B$2:$B$9000,MATCH($I1201,спр_Материалы!$A$2:$A$9000,0)),"")</f>
        <v/>
      </c>
      <c r="K1201">
        <f>IF($I1201="","",IF($F1201=IFERROR(INDEX(спр_Материалы!$G$2:$G$9000,MATCH($I1201,спр_Материалы!$A$2:$A$9000,0)),""),"OK","!! не та группа"))</f>
        <v/>
      </c>
      <c r="L1201" s="10">
        <f>IFERROR(INDEX(спр_Работы!$H$2:$H$6000,MATCH($C1201,спр_Работы!$A$2:$A$6000,0))*(1-ДисконтТендер),0)</f>
        <v/>
      </c>
      <c r="M1201" s="10">
        <f>IF($I1201="",0,IFERROR(INDEX(спр_Материалы!$I$2:$I$9000,MATCH($I1201,спр_Материалы!$A$2:$A$9000,0))*IF(INDEX(спр_Материалы!$J$2:$J$9000,MATCH($I1201,спр_Материалы!$A$2:$A$9000,0))="USD",КурсUSD,IF(INDEX(спр_Материалы!$J$2:$J$9000,MATCH($I1201,спр_Материалы!$A$2:$A$9000,0))="EUR",КурсEUR,1))*INDEX(спр_Материалы!$K$2:$K$9000,MATCH($I1201,спр_Материалы!$A$2:$A$9000,0))*(1+IFERROR(INDEX(спр_Работы!$I$2:$I$6000,MATCH($C1201,спр_Работы!$A$2:$A$6000,0))/100,0))*(1-ДисконтТендер),0))</f>
        <v/>
      </c>
      <c r="N1201" s="10">
        <f>IF(AND($R1201="да",$H1201&lt;&gt;""),ROUND($H1201*$L1201,2),0)</f>
        <v/>
      </c>
      <c r="O1201" s="10">
        <f>IF(AND($R1201="да",$H1201&lt;&gt;""),ROUND($H1201*$M1201,2),0)</f>
        <v/>
      </c>
      <c r="P1201" s="10">
        <f>$N1201+$O1201</f>
        <v/>
      </c>
      <c r="Q1201">
        <f>IFERROR(INDEX(спр_Работы!$J$2:$J$6000,MATCH($C1201,спр_Работы!$A$2:$A$6000,0)),"")</f>
        <v/>
      </c>
      <c r="R1201" t="inlineStr">
        <is>
          <t>да</t>
        </is>
      </c>
      <c r="T1201">
        <f>IF(AND($P1201&gt;0,$R1201="да"),MAX($T$1:$T1200)+1,"")</f>
        <v/>
      </c>
    </row>
    <row r="1202">
      <c r="A1202" s="11">
        <f>IFERROR(INDEX(спр_Работы!$D$2:$D$6000,MATCH($C1202,спр_Работы!$A$2:$A$6000,0)),"")</f>
        <v/>
      </c>
      <c r="B1202">
        <f>IFERROR(INDEX(спр_Работы!$F$2:$F$6000,MATCH($C1202,спр_Работы!$A$2:$A$6000,0)),"")</f>
        <v/>
      </c>
      <c r="C1202">
        <f>IFERROR(INDEX(спр_Работы!$A$2:$A$6000,1201),"")</f>
        <v/>
      </c>
      <c r="D1202" s="8">
        <f>IFERROR(INDEX(спр_Работы!$B$2:$B$6000,MATCH($C1202,спр_Работы!$A$2:$A$6000,0)),"")</f>
        <v/>
      </c>
      <c r="E1202">
        <f>IFERROR(INDEX(спр_Работы!$C$2:$C$6000,MATCH($C1202,спр_Работы!$A$2:$A$6000,0)),"")</f>
        <v/>
      </c>
      <c r="F1202">
        <f>IFERROR(INDEX(спр_Работы!$G$2:$G$6000,MATCH($C1202,спр_Работы!$A$2:$A$6000,0)),"")</f>
        <v/>
      </c>
      <c r="G1202">
        <f>IFERROR(INDEX(спр_Работы!$K$2:$K$6000,MATCH($C1202,спр_Работы!$A$2:$A$6000,0)),"")</f>
        <v/>
      </c>
      <c r="H1202" s="9" t="n"/>
      <c r="I1202" s="9" t="n"/>
      <c r="J1202" s="8">
        <f>IFERROR(INDEX(спр_Материалы!$B$2:$B$9000,MATCH($I1202,спр_Материалы!$A$2:$A$9000,0)),"")</f>
        <v/>
      </c>
      <c r="K1202">
        <f>IF($I1202="","",IF($F1202=IFERROR(INDEX(спр_Материалы!$G$2:$G$9000,MATCH($I1202,спр_Материалы!$A$2:$A$9000,0)),""),"OK","!! не та группа"))</f>
        <v/>
      </c>
      <c r="L1202" s="10">
        <f>IFERROR(INDEX(спр_Работы!$H$2:$H$6000,MATCH($C1202,спр_Работы!$A$2:$A$6000,0))*(1-ДисконтТендер),0)</f>
        <v/>
      </c>
      <c r="M1202" s="10">
        <f>IF($I1202="",0,IFERROR(INDEX(спр_Материалы!$I$2:$I$9000,MATCH($I1202,спр_Материалы!$A$2:$A$9000,0))*IF(INDEX(спр_Материалы!$J$2:$J$9000,MATCH($I1202,спр_Материалы!$A$2:$A$9000,0))="USD",КурсUSD,IF(INDEX(спр_Материалы!$J$2:$J$9000,MATCH($I1202,спр_Материалы!$A$2:$A$9000,0))="EUR",КурсEUR,1))*INDEX(спр_Материалы!$K$2:$K$9000,MATCH($I1202,спр_Материалы!$A$2:$A$9000,0))*(1+IFERROR(INDEX(спр_Работы!$I$2:$I$6000,MATCH($C1202,спр_Работы!$A$2:$A$6000,0))/100,0))*(1-ДисконтТендер),0))</f>
        <v/>
      </c>
      <c r="N1202" s="10">
        <f>IF(AND($R1202="да",$H1202&lt;&gt;""),ROUND($H1202*$L1202,2),0)</f>
        <v/>
      </c>
      <c r="O1202" s="10">
        <f>IF(AND($R1202="да",$H1202&lt;&gt;""),ROUND($H1202*$M1202,2),0)</f>
        <v/>
      </c>
      <c r="P1202" s="10">
        <f>$N1202+$O1202</f>
        <v/>
      </c>
      <c r="Q1202">
        <f>IFERROR(INDEX(спр_Работы!$J$2:$J$6000,MATCH($C1202,спр_Работы!$A$2:$A$6000,0)),"")</f>
        <v/>
      </c>
      <c r="R1202" t="inlineStr">
        <is>
          <t>да</t>
        </is>
      </c>
      <c r="T1202">
        <f>IF(AND($P1202&gt;0,$R1202="да"),MAX($T$1:$T1201)+1,"")</f>
        <v/>
      </c>
    </row>
    <row r="1203">
      <c r="A1203" s="11">
        <f>IFERROR(INDEX(спр_Работы!$D$2:$D$6000,MATCH($C1203,спр_Работы!$A$2:$A$6000,0)),"")</f>
        <v/>
      </c>
      <c r="B1203">
        <f>IFERROR(INDEX(спр_Работы!$F$2:$F$6000,MATCH($C1203,спр_Работы!$A$2:$A$6000,0)),"")</f>
        <v/>
      </c>
      <c r="C1203">
        <f>IFERROR(INDEX(спр_Работы!$A$2:$A$6000,1202),"")</f>
        <v/>
      </c>
      <c r="D1203" s="8">
        <f>IFERROR(INDEX(спр_Работы!$B$2:$B$6000,MATCH($C1203,спр_Работы!$A$2:$A$6000,0)),"")</f>
        <v/>
      </c>
      <c r="E1203">
        <f>IFERROR(INDEX(спр_Работы!$C$2:$C$6000,MATCH($C1203,спр_Работы!$A$2:$A$6000,0)),"")</f>
        <v/>
      </c>
      <c r="F1203">
        <f>IFERROR(INDEX(спр_Работы!$G$2:$G$6000,MATCH($C1203,спр_Работы!$A$2:$A$6000,0)),"")</f>
        <v/>
      </c>
      <c r="G1203">
        <f>IFERROR(INDEX(спр_Работы!$K$2:$K$6000,MATCH($C1203,спр_Работы!$A$2:$A$6000,0)),"")</f>
        <v/>
      </c>
      <c r="H1203" s="9" t="n"/>
      <c r="I1203" s="9" t="n"/>
      <c r="J1203" s="8">
        <f>IFERROR(INDEX(спр_Материалы!$B$2:$B$9000,MATCH($I1203,спр_Материалы!$A$2:$A$9000,0)),"")</f>
        <v/>
      </c>
      <c r="K1203">
        <f>IF($I1203="","",IF($F1203=IFERROR(INDEX(спр_Материалы!$G$2:$G$9000,MATCH($I1203,спр_Материалы!$A$2:$A$9000,0)),""),"OK","!! не та группа"))</f>
        <v/>
      </c>
      <c r="L1203" s="10">
        <f>IFERROR(INDEX(спр_Работы!$H$2:$H$6000,MATCH($C1203,спр_Работы!$A$2:$A$6000,0))*(1-ДисконтТендер),0)</f>
        <v/>
      </c>
      <c r="M1203" s="10">
        <f>IF($I1203="",0,IFERROR(INDEX(спр_Материалы!$I$2:$I$9000,MATCH($I1203,спр_Материалы!$A$2:$A$9000,0))*IF(INDEX(спр_Материалы!$J$2:$J$9000,MATCH($I1203,спр_Материалы!$A$2:$A$9000,0))="USD",КурсUSD,IF(INDEX(спр_Материалы!$J$2:$J$9000,MATCH($I1203,спр_Материалы!$A$2:$A$9000,0))="EUR",КурсEUR,1))*INDEX(спр_Материалы!$K$2:$K$9000,MATCH($I1203,спр_Материалы!$A$2:$A$9000,0))*(1+IFERROR(INDEX(спр_Работы!$I$2:$I$6000,MATCH($C1203,спр_Работы!$A$2:$A$6000,0))/100,0))*(1-ДисконтТендер),0))</f>
        <v/>
      </c>
      <c r="N1203" s="10">
        <f>IF(AND($R1203="да",$H1203&lt;&gt;""),ROUND($H1203*$L1203,2),0)</f>
        <v/>
      </c>
      <c r="O1203" s="10">
        <f>IF(AND($R1203="да",$H1203&lt;&gt;""),ROUND($H1203*$M1203,2),0)</f>
        <v/>
      </c>
      <c r="P1203" s="10">
        <f>$N1203+$O1203</f>
        <v/>
      </c>
      <c r="Q1203">
        <f>IFERROR(INDEX(спр_Работы!$J$2:$J$6000,MATCH($C1203,спр_Работы!$A$2:$A$6000,0)),"")</f>
        <v/>
      </c>
      <c r="R1203" t="inlineStr">
        <is>
          <t>да</t>
        </is>
      </c>
      <c r="T1203">
        <f>IF(AND($P1203&gt;0,$R1203="да"),MAX($T$1:$T1202)+1,"")</f>
        <v/>
      </c>
    </row>
    <row r="1204">
      <c r="A1204" s="11">
        <f>IFERROR(INDEX(спр_Работы!$D$2:$D$6000,MATCH($C1204,спр_Работы!$A$2:$A$6000,0)),"")</f>
        <v/>
      </c>
      <c r="B1204">
        <f>IFERROR(INDEX(спр_Работы!$F$2:$F$6000,MATCH($C1204,спр_Работы!$A$2:$A$6000,0)),"")</f>
        <v/>
      </c>
      <c r="C1204">
        <f>IFERROR(INDEX(спр_Работы!$A$2:$A$6000,1203),"")</f>
        <v/>
      </c>
      <c r="D1204" s="8">
        <f>IFERROR(INDEX(спр_Работы!$B$2:$B$6000,MATCH($C1204,спр_Работы!$A$2:$A$6000,0)),"")</f>
        <v/>
      </c>
      <c r="E1204">
        <f>IFERROR(INDEX(спр_Работы!$C$2:$C$6000,MATCH($C1204,спр_Работы!$A$2:$A$6000,0)),"")</f>
        <v/>
      </c>
      <c r="F1204">
        <f>IFERROR(INDEX(спр_Работы!$G$2:$G$6000,MATCH($C1204,спр_Работы!$A$2:$A$6000,0)),"")</f>
        <v/>
      </c>
      <c r="G1204">
        <f>IFERROR(INDEX(спр_Работы!$K$2:$K$6000,MATCH($C1204,спр_Работы!$A$2:$A$6000,0)),"")</f>
        <v/>
      </c>
      <c r="H1204" s="9" t="n"/>
      <c r="I1204" s="9" t="n"/>
      <c r="J1204" s="8">
        <f>IFERROR(INDEX(спр_Материалы!$B$2:$B$9000,MATCH($I1204,спр_Материалы!$A$2:$A$9000,0)),"")</f>
        <v/>
      </c>
      <c r="K1204">
        <f>IF($I1204="","",IF($F1204=IFERROR(INDEX(спр_Материалы!$G$2:$G$9000,MATCH($I1204,спр_Материалы!$A$2:$A$9000,0)),""),"OK","!! не та группа"))</f>
        <v/>
      </c>
      <c r="L1204" s="10">
        <f>IFERROR(INDEX(спр_Работы!$H$2:$H$6000,MATCH($C1204,спр_Работы!$A$2:$A$6000,0))*(1-ДисконтТендер),0)</f>
        <v/>
      </c>
      <c r="M1204" s="10">
        <f>IF($I1204="",0,IFERROR(INDEX(спр_Материалы!$I$2:$I$9000,MATCH($I1204,спр_Материалы!$A$2:$A$9000,0))*IF(INDEX(спр_Материалы!$J$2:$J$9000,MATCH($I1204,спр_Материалы!$A$2:$A$9000,0))="USD",КурсUSD,IF(INDEX(спр_Материалы!$J$2:$J$9000,MATCH($I1204,спр_Материалы!$A$2:$A$9000,0))="EUR",КурсEUR,1))*INDEX(спр_Материалы!$K$2:$K$9000,MATCH($I1204,спр_Материалы!$A$2:$A$9000,0))*(1+IFERROR(INDEX(спр_Работы!$I$2:$I$6000,MATCH($C1204,спр_Работы!$A$2:$A$6000,0))/100,0))*(1-ДисконтТендер),0))</f>
        <v/>
      </c>
      <c r="N1204" s="10">
        <f>IF(AND($R1204="да",$H1204&lt;&gt;""),ROUND($H1204*$L1204,2),0)</f>
        <v/>
      </c>
      <c r="O1204" s="10">
        <f>IF(AND($R1204="да",$H1204&lt;&gt;""),ROUND($H1204*$M1204,2),0)</f>
        <v/>
      </c>
      <c r="P1204" s="10">
        <f>$N1204+$O1204</f>
        <v/>
      </c>
      <c r="Q1204">
        <f>IFERROR(INDEX(спр_Работы!$J$2:$J$6000,MATCH($C1204,спр_Работы!$A$2:$A$6000,0)),"")</f>
        <v/>
      </c>
      <c r="R1204" t="inlineStr">
        <is>
          <t>да</t>
        </is>
      </c>
      <c r="T1204">
        <f>IF(AND($P1204&gt;0,$R1204="да"),MAX($T$1:$T1203)+1,"")</f>
        <v/>
      </c>
    </row>
    <row r="1205">
      <c r="A1205" s="11">
        <f>IFERROR(INDEX(спр_Работы!$D$2:$D$6000,MATCH($C1205,спр_Работы!$A$2:$A$6000,0)),"")</f>
        <v/>
      </c>
      <c r="B1205">
        <f>IFERROR(INDEX(спр_Работы!$F$2:$F$6000,MATCH($C1205,спр_Работы!$A$2:$A$6000,0)),"")</f>
        <v/>
      </c>
      <c r="C1205">
        <f>IFERROR(INDEX(спр_Работы!$A$2:$A$6000,1204),"")</f>
        <v/>
      </c>
      <c r="D1205" s="8">
        <f>IFERROR(INDEX(спр_Работы!$B$2:$B$6000,MATCH($C1205,спр_Работы!$A$2:$A$6000,0)),"")</f>
        <v/>
      </c>
      <c r="E1205">
        <f>IFERROR(INDEX(спр_Работы!$C$2:$C$6000,MATCH($C1205,спр_Работы!$A$2:$A$6000,0)),"")</f>
        <v/>
      </c>
      <c r="F1205">
        <f>IFERROR(INDEX(спр_Работы!$G$2:$G$6000,MATCH($C1205,спр_Работы!$A$2:$A$6000,0)),"")</f>
        <v/>
      </c>
      <c r="G1205">
        <f>IFERROR(INDEX(спр_Работы!$K$2:$K$6000,MATCH($C1205,спр_Работы!$A$2:$A$6000,0)),"")</f>
        <v/>
      </c>
      <c r="H1205" s="9" t="n"/>
      <c r="I1205" s="9" t="n"/>
      <c r="J1205" s="8">
        <f>IFERROR(INDEX(спр_Материалы!$B$2:$B$9000,MATCH($I1205,спр_Материалы!$A$2:$A$9000,0)),"")</f>
        <v/>
      </c>
      <c r="K1205">
        <f>IF($I1205="","",IF($F1205=IFERROR(INDEX(спр_Материалы!$G$2:$G$9000,MATCH($I1205,спр_Материалы!$A$2:$A$9000,0)),""),"OK","!! не та группа"))</f>
        <v/>
      </c>
      <c r="L1205" s="10">
        <f>IFERROR(INDEX(спр_Работы!$H$2:$H$6000,MATCH($C1205,спр_Работы!$A$2:$A$6000,0))*(1-ДисконтТендер),0)</f>
        <v/>
      </c>
      <c r="M1205" s="10">
        <f>IF($I1205="",0,IFERROR(INDEX(спр_Материалы!$I$2:$I$9000,MATCH($I1205,спр_Материалы!$A$2:$A$9000,0))*IF(INDEX(спр_Материалы!$J$2:$J$9000,MATCH($I1205,спр_Материалы!$A$2:$A$9000,0))="USD",КурсUSD,IF(INDEX(спр_Материалы!$J$2:$J$9000,MATCH($I1205,спр_Материалы!$A$2:$A$9000,0))="EUR",КурсEUR,1))*INDEX(спр_Материалы!$K$2:$K$9000,MATCH($I1205,спр_Материалы!$A$2:$A$9000,0))*(1+IFERROR(INDEX(спр_Работы!$I$2:$I$6000,MATCH($C1205,спр_Работы!$A$2:$A$6000,0))/100,0))*(1-ДисконтТендер),0))</f>
        <v/>
      </c>
      <c r="N1205" s="10">
        <f>IF(AND($R1205="да",$H1205&lt;&gt;""),ROUND($H1205*$L1205,2),0)</f>
        <v/>
      </c>
      <c r="O1205" s="10">
        <f>IF(AND($R1205="да",$H1205&lt;&gt;""),ROUND($H1205*$M1205,2),0)</f>
        <v/>
      </c>
      <c r="P1205" s="10">
        <f>$N1205+$O1205</f>
        <v/>
      </c>
      <c r="Q1205">
        <f>IFERROR(INDEX(спр_Работы!$J$2:$J$6000,MATCH($C1205,спр_Работы!$A$2:$A$6000,0)),"")</f>
        <v/>
      </c>
      <c r="R1205" t="inlineStr">
        <is>
          <t>да</t>
        </is>
      </c>
      <c r="T1205">
        <f>IF(AND($P1205&gt;0,$R1205="да"),MAX($T$1:$T1204)+1,"")</f>
        <v/>
      </c>
    </row>
    <row r="1206">
      <c r="A1206" s="11">
        <f>IFERROR(INDEX(спр_Работы!$D$2:$D$6000,MATCH($C1206,спр_Работы!$A$2:$A$6000,0)),"")</f>
        <v/>
      </c>
      <c r="B1206">
        <f>IFERROR(INDEX(спр_Работы!$F$2:$F$6000,MATCH($C1206,спр_Работы!$A$2:$A$6000,0)),"")</f>
        <v/>
      </c>
      <c r="C1206">
        <f>IFERROR(INDEX(спр_Работы!$A$2:$A$6000,1205),"")</f>
        <v/>
      </c>
      <c r="D1206" s="8">
        <f>IFERROR(INDEX(спр_Работы!$B$2:$B$6000,MATCH($C1206,спр_Работы!$A$2:$A$6000,0)),"")</f>
        <v/>
      </c>
      <c r="E1206">
        <f>IFERROR(INDEX(спр_Работы!$C$2:$C$6000,MATCH($C1206,спр_Работы!$A$2:$A$6000,0)),"")</f>
        <v/>
      </c>
      <c r="F1206">
        <f>IFERROR(INDEX(спр_Работы!$G$2:$G$6000,MATCH($C1206,спр_Работы!$A$2:$A$6000,0)),"")</f>
        <v/>
      </c>
      <c r="G1206">
        <f>IFERROR(INDEX(спр_Работы!$K$2:$K$6000,MATCH($C1206,спр_Работы!$A$2:$A$6000,0)),"")</f>
        <v/>
      </c>
      <c r="H1206" s="9" t="n"/>
      <c r="I1206" s="9" t="n"/>
      <c r="J1206" s="8">
        <f>IFERROR(INDEX(спр_Материалы!$B$2:$B$9000,MATCH($I1206,спр_Материалы!$A$2:$A$9000,0)),"")</f>
        <v/>
      </c>
      <c r="K1206">
        <f>IF($I1206="","",IF($F1206=IFERROR(INDEX(спр_Материалы!$G$2:$G$9000,MATCH($I1206,спр_Материалы!$A$2:$A$9000,0)),""),"OK","!! не та группа"))</f>
        <v/>
      </c>
      <c r="L1206" s="10">
        <f>IFERROR(INDEX(спр_Работы!$H$2:$H$6000,MATCH($C1206,спр_Работы!$A$2:$A$6000,0))*(1-ДисконтТендер),0)</f>
        <v/>
      </c>
      <c r="M1206" s="10">
        <f>IF($I1206="",0,IFERROR(INDEX(спр_Материалы!$I$2:$I$9000,MATCH($I1206,спр_Материалы!$A$2:$A$9000,0))*IF(INDEX(спр_Материалы!$J$2:$J$9000,MATCH($I1206,спр_Материалы!$A$2:$A$9000,0))="USD",КурсUSD,IF(INDEX(спр_Материалы!$J$2:$J$9000,MATCH($I1206,спр_Материалы!$A$2:$A$9000,0))="EUR",КурсEUR,1))*INDEX(спр_Материалы!$K$2:$K$9000,MATCH($I1206,спр_Материалы!$A$2:$A$9000,0))*(1+IFERROR(INDEX(спр_Работы!$I$2:$I$6000,MATCH($C1206,спр_Работы!$A$2:$A$6000,0))/100,0))*(1-ДисконтТендер),0))</f>
        <v/>
      </c>
      <c r="N1206" s="10">
        <f>IF(AND($R1206="да",$H1206&lt;&gt;""),ROUND($H1206*$L1206,2),0)</f>
        <v/>
      </c>
      <c r="O1206" s="10">
        <f>IF(AND($R1206="да",$H1206&lt;&gt;""),ROUND($H1206*$M1206,2),0)</f>
        <v/>
      </c>
      <c r="P1206" s="10">
        <f>$N1206+$O1206</f>
        <v/>
      </c>
      <c r="Q1206">
        <f>IFERROR(INDEX(спр_Работы!$J$2:$J$6000,MATCH($C1206,спр_Работы!$A$2:$A$6000,0)),"")</f>
        <v/>
      </c>
      <c r="R1206" t="inlineStr">
        <is>
          <t>да</t>
        </is>
      </c>
      <c r="T1206">
        <f>IF(AND($P1206&gt;0,$R1206="да"),MAX($T$1:$T1205)+1,"")</f>
        <v/>
      </c>
    </row>
    <row r="1207">
      <c r="A1207" s="11">
        <f>IFERROR(INDEX(спр_Работы!$D$2:$D$6000,MATCH($C1207,спр_Работы!$A$2:$A$6000,0)),"")</f>
        <v/>
      </c>
      <c r="B1207">
        <f>IFERROR(INDEX(спр_Работы!$F$2:$F$6000,MATCH($C1207,спр_Работы!$A$2:$A$6000,0)),"")</f>
        <v/>
      </c>
      <c r="C1207">
        <f>IFERROR(INDEX(спр_Работы!$A$2:$A$6000,1206),"")</f>
        <v/>
      </c>
      <c r="D1207" s="8">
        <f>IFERROR(INDEX(спр_Работы!$B$2:$B$6000,MATCH($C1207,спр_Работы!$A$2:$A$6000,0)),"")</f>
        <v/>
      </c>
      <c r="E1207">
        <f>IFERROR(INDEX(спр_Работы!$C$2:$C$6000,MATCH($C1207,спр_Работы!$A$2:$A$6000,0)),"")</f>
        <v/>
      </c>
      <c r="F1207">
        <f>IFERROR(INDEX(спр_Работы!$G$2:$G$6000,MATCH($C1207,спр_Работы!$A$2:$A$6000,0)),"")</f>
        <v/>
      </c>
      <c r="G1207">
        <f>IFERROR(INDEX(спр_Работы!$K$2:$K$6000,MATCH($C1207,спр_Работы!$A$2:$A$6000,0)),"")</f>
        <v/>
      </c>
      <c r="H1207" s="9" t="n"/>
      <c r="I1207" s="9" t="n"/>
      <c r="J1207" s="8">
        <f>IFERROR(INDEX(спр_Материалы!$B$2:$B$9000,MATCH($I1207,спр_Материалы!$A$2:$A$9000,0)),"")</f>
        <v/>
      </c>
      <c r="K1207">
        <f>IF($I1207="","",IF($F1207=IFERROR(INDEX(спр_Материалы!$G$2:$G$9000,MATCH($I1207,спр_Материалы!$A$2:$A$9000,0)),""),"OK","!! не та группа"))</f>
        <v/>
      </c>
      <c r="L1207" s="10">
        <f>IFERROR(INDEX(спр_Работы!$H$2:$H$6000,MATCH($C1207,спр_Работы!$A$2:$A$6000,0))*(1-ДисконтТендер),0)</f>
        <v/>
      </c>
      <c r="M1207" s="10">
        <f>IF($I1207="",0,IFERROR(INDEX(спр_Материалы!$I$2:$I$9000,MATCH($I1207,спр_Материалы!$A$2:$A$9000,0))*IF(INDEX(спр_Материалы!$J$2:$J$9000,MATCH($I1207,спр_Материалы!$A$2:$A$9000,0))="USD",КурсUSD,IF(INDEX(спр_Материалы!$J$2:$J$9000,MATCH($I1207,спр_Материалы!$A$2:$A$9000,0))="EUR",КурсEUR,1))*INDEX(спр_Материалы!$K$2:$K$9000,MATCH($I1207,спр_Материалы!$A$2:$A$9000,0))*(1+IFERROR(INDEX(спр_Работы!$I$2:$I$6000,MATCH($C1207,спр_Работы!$A$2:$A$6000,0))/100,0))*(1-ДисконтТендер),0))</f>
        <v/>
      </c>
      <c r="N1207" s="10">
        <f>IF(AND($R1207="да",$H1207&lt;&gt;""),ROUND($H1207*$L1207,2),0)</f>
        <v/>
      </c>
      <c r="O1207" s="10">
        <f>IF(AND($R1207="да",$H1207&lt;&gt;""),ROUND($H1207*$M1207,2),0)</f>
        <v/>
      </c>
      <c r="P1207" s="10">
        <f>$N1207+$O1207</f>
        <v/>
      </c>
      <c r="Q1207">
        <f>IFERROR(INDEX(спр_Работы!$J$2:$J$6000,MATCH($C1207,спр_Работы!$A$2:$A$6000,0)),"")</f>
        <v/>
      </c>
      <c r="R1207" t="inlineStr">
        <is>
          <t>да</t>
        </is>
      </c>
      <c r="T1207">
        <f>IF(AND($P1207&gt;0,$R1207="да"),MAX($T$1:$T1206)+1,"")</f>
        <v/>
      </c>
    </row>
    <row r="1208">
      <c r="A1208" s="11">
        <f>IFERROR(INDEX(спр_Работы!$D$2:$D$6000,MATCH($C1208,спр_Работы!$A$2:$A$6000,0)),"")</f>
        <v/>
      </c>
      <c r="B1208">
        <f>IFERROR(INDEX(спр_Работы!$F$2:$F$6000,MATCH($C1208,спр_Работы!$A$2:$A$6000,0)),"")</f>
        <v/>
      </c>
      <c r="C1208">
        <f>IFERROR(INDEX(спр_Работы!$A$2:$A$6000,1207),"")</f>
        <v/>
      </c>
      <c r="D1208" s="8">
        <f>IFERROR(INDEX(спр_Работы!$B$2:$B$6000,MATCH($C1208,спр_Работы!$A$2:$A$6000,0)),"")</f>
        <v/>
      </c>
      <c r="E1208">
        <f>IFERROR(INDEX(спр_Работы!$C$2:$C$6000,MATCH($C1208,спр_Работы!$A$2:$A$6000,0)),"")</f>
        <v/>
      </c>
      <c r="F1208">
        <f>IFERROR(INDEX(спр_Работы!$G$2:$G$6000,MATCH($C1208,спр_Работы!$A$2:$A$6000,0)),"")</f>
        <v/>
      </c>
      <c r="G1208">
        <f>IFERROR(INDEX(спр_Работы!$K$2:$K$6000,MATCH($C1208,спр_Работы!$A$2:$A$6000,0)),"")</f>
        <v/>
      </c>
      <c r="H1208" s="9" t="n"/>
      <c r="I1208" s="9" t="n"/>
      <c r="J1208" s="8">
        <f>IFERROR(INDEX(спр_Материалы!$B$2:$B$9000,MATCH($I1208,спр_Материалы!$A$2:$A$9000,0)),"")</f>
        <v/>
      </c>
      <c r="K1208">
        <f>IF($I1208="","",IF($F1208=IFERROR(INDEX(спр_Материалы!$G$2:$G$9000,MATCH($I1208,спр_Материалы!$A$2:$A$9000,0)),""),"OK","!! не та группа"))</f>
        <v/>
      </c>
      <c r="L1208" s="10">
        <f>IFERROR(INDEX(спр_Работы!$H$2:$H$6000,MATCH($C1208,спр_Работы!$A$2:$A$6000,0))*(1-ДисконтТендер),0)</f>
        <v/>
      </c>
      <c r="M1208" s="10">
        <f>IF($I1208="",0,IFERROR(INDEX(спр_Материалы!$I$2:$I$9000,MATCH($I1208,спр_Материалы!$A$2:$A$9000,0))*IF(INDEX(спр_Материалы!$J$2:$J$9000,MATCH($I1208,спр_Материалы!$A$2:$A$9000,0))="USD",КурсUSD,IF(INDEX(спр_Материалы!$J$2:$J$9000,MATCH($I1208,спр_Материалы!$A$2:$A$9000,0))="EUR",КурсEUR,1))*INDEX(спр_Материалы!$K$2:$K$9000,MATCH($I1208,спр_Материалы!$A$2:$A$9000,0))*(1+IFERROR(INDEX(спр_Работы!$I$2:$I$6000,MATCH($C1208,спр_Работы!$A$2:$A$6000,0))/100,0))*(1-ДисконтТендер),0))</f>
        <v/>
      </c>
      <c r="N1208" s="10">
        <f>IF(AND($R1208="да",$H1208&lt;&gt;""),ROUND($H1208*$L1208,2),0)</f>
        <v/>
      </c>
      <c r="O1208" s="10">
        <f>IF(AND($R1208="да",$H1208&lt;&gt;""),ROUND($H1208*$M1208,2),0)</f>
        <v/>
      </c>
      <c r="P1208" s="10">
        <f>$N1208+$O1208</f>
        <v/>
      </c>
      <c r="Q1208">
        <f>IFERROR(INDEX(спр_Работы!$J$2:$J$6000,MATCH($C1208,спр_Работы!$A$2:$A$6000,0)),"")</f>
        <v/>
      </c>
      <c r="R1208" t="inlineStr">
        <is>
          <t>да</t>
        </is>
      </c>
      <c r="T1208">
        <f>IF(AND($P1208&gt;0,$R1208="да"),MAX($T$1:$T1207)+1,"")</f>
        <v/>
      </c>
    </row>
    <row r="1209">
      <c r="A1209" s="11">
        <f>IFERROR(INDEX(спр_Работы!$D$2:$D$6000,MATCH($C1209,спр_Работы!$A$2:$A$6000,0)),"")</f>
        <v/>
      </c>
      <c r="B1209">
        <f>IFERROR(INDEX(спр_Работы!$F$2:$F$6000,MATCH($C1209,спр_Работы!$A$2:$A$6000,0)),"")</f>
        <v/>
      </c>
      <c r="C1209">
        <f>IFERROR(INDEX(спр_Работы!$A$2:$A$6000,1208),"")</f>
        <v/>
      </c>
      <c r="D1209" s="8">
        <f>IFERROR(INDEX(спр_Работы!$B$2:$B$6000,MATCH($C1209,спр_Работы!$A$2:$A$6000,0)),"")</f>
        <v/>
      </c>
      <c r="E1209">
        <f>IFERROR(INDEX(спр_Работы!$C$2:$C$6000,MATCH($C1209,спр_Работы!$A$2:$A$6000,0)),"")</f>
        <v/>
      </c>
      <c r="F1209">
        <f>IFERROR(INDEX(спр_Работы!$G$2:$G$6000,MATCH($C1209,спр_Работы!$A$2:$A$6000,0)),"")</f>
        <v/>
      </c>
      <c r="G1209">
        <f>IFERROR(INDEX(спр_Работы!$K$2:$K$6000,MATCH($C1209,спр_Работы!$A$2:$A$6000,0)),"")</f>
        <v/>
      </c>
      <c r="H1209" s="9" t="n"/>
      <c r="I1209" s="9" t="n"/>
      <c r="J1209" s="8">
        <f>IFERROR(INDEX(спр_Материалы!$B$2:$B$9000,MATCH($I1209,спр_Материалы!$A$2:$A$9000,0)),"")</f>
        <v/>
      </c>
      <c r="K1209">
        <f>IF($I1209="","",IF($F1209=IFERROR(INDEX(спр_Материалы!$G$2:$G$9000,MATCH($I1209,спр_Материалы!$A$2:$A$9000,0)),""),"OK","!! не та группа"))</f>
        <v/>
      </c>
      <c r="L1209" s="10">
        <f>IFERROR(INDEX(спр_Работы!$H$2:$H$6000,MATCH($C1209,спр_Работы!$A$2:$A$6000,0))*(1-ДисконтТендер),0)</f>
        <v/>
      </c>
      <c r="M1209" s="10">
        <f>IF($I1209="",0,IFERROR(INDEX(спр_Материалы!$I$2:$I$9000,MATCH($I1209,спр_Материалы!$A$2:$A$9000,0))*IF(INDEX(спр_Материалы!$J$2:$J$9000,MATCH($I1209,спр_Материалы!$A$2:$A$9000,0))="USD",КурсUSD,IF(INDEX(спр_Материалы!$J$2:$J$9000,MATCH($I1209,спр_Материалы!$A$2:$A$9000,0))="EUR",КурсEUR,1))*INDEX(спр_Материалы!$K$2:$K$9000,MATCH($I1209,спр_Материалы!$A$2:$A$9000,0))*(1+IFERROR(INDEX(спр_Работы!$I$2:$I$6000,MATCH($C1209,спр_Работы!$A$2:$A$6000,0))/100,0))*(1-ДисконтТендер),0))</f>
        <v/>
      </c>
      <c r="N1209" s="10">
        <f>IF(AND($R1209="да",$H1209&lt;&gt;""),ROUND($H1209*$L1209,2),0)</f>
        <v/>
      </c>
      <c r="O1209" s="10">
        <f>IF(AND($R1209="да",$H1209&lt;&gt;""),ROUND($H1209*$M1209,2),0)</f>
        <v/>
      </c>
      <c r="P1209" s="10">
        <f>$N1209+$O1209</f>
        <v/>
      </c>
      <c r="Q1209">
        <f>IFERROR(INDEX(спр_Работы!$J$2:$J$6000,MATCH($C1209,спр_Работы!$A$2:$A$6000,0)),"")</f>
        <v/>
      </c>
      <c r="R1209" t="inlineStr">
        <is>
          <t>да</t>
        </is>
      </c>
      <c r="T1209">
        <f>IF(AND($P1209&gt;0,$R1209="да"),MAX($T$1:$T1208)+1,"")</f>
        <v/>
      </c>
    </row>
    <row r="1210">
      <c r="A1210" s="11">
        <f>IFERROR(INDEX(спр_Работы!$D$2:$D$6000,MATCH($C1210,спр_Работы!$A$2:$A$6000,0)),"")</f>
        <v/>
      </c>
      <c r="B1210">
        <f>IFERROR(INDEX(спр_Работы!$F$2:$F$6000,MATCH($C1210,спр_Работы!$A$2:$A$6000,0)),"")</f>
        <v/>
      </c>
      <c r="C1210">
        <f>IFERROR(INDEX(спр_Работы!$A$2:$A$6000,1209),"")</f>
        <v/>
      </c>
      <c r="D1210" s="8">
        <f>IFERROR(INDEX(спр_Работы!$B$2:$B$6000,MATCH($C1210,спр_Работы!$A$2:$A$6000,0)),"")</f>
        <v/>
      </c>
      <c r="E1210">
        <f>IFERROR(INDEX(спр_Работы!$C$2:$C$6000,MATCH($C1210,спр_Работы!$A$2:$A$6000,0)),"")</f>
        <v/>
      </c>
      <c r="F1210">
        <f>IFERROR(INDEX(спр_Работы!$G$2:$G$6000,MATCH($C1210,спр_Работы!$A$2:$A$6000,0)),"")</f>
        <v/>
      </c>
      <c r="G1210">
        <f>IFERROR(INDEX(спр_Работы!$K$2:$K$6000,MATCH($C1210,спр_Работы!$A$2:$A$6000,0)),"")</f>
        <v/>
      </c>
      <c r="H1210" s="9" t="n"/>
      <c r="I1210" s="9" t="n"/>
      <c r="J1210" s="8">
        <f>IFERROR(INDEX(спр_Материалы!$B$2:$B$9000,MATCH($I1210,спр_Материалы!$A$2:$A$9000,0)),"")</f>
        <v/>
      </c>
      <c r="K1210">
        <f>IF($I1210="","",IF($F1210=IFERROR(INDEX(спр_Материалы!$G$2:$G$9000,MATCH($I1210,спр_Материалы!$A$2:$A$9000,0)),""),"OK","!! не та группа"))</f>
        <v/>
      </c>
      <c r="L1210" s="10">
        <f>IFERROR(INDEX(спр_Работы!$H$2:$H$6000,MATCH($C1210,спр_Работы!$A$2:$A$6000,0))*(1-ДисконтТендер),0)</f>
        <v/>
      </c>
      <c r="M1210" s="10">
        <f>IF($I1210="",0,IFERROR(INDEX(спр_Материалы!$I$2:$I$9000,MATCH($I1210,спр_Материалы!$A$2:$A$9000,0))*IF(INDEX(спр_Материалы!$J$2:$J$9000,MATCH($I1210,спр_Материалы!$A$2:$A$9000,0))="USD",КурсUSD,IF(INDEX(спр_Материалы!$J$2:$J$9000,MATCH($I1210,спр_Материалы!$A$2:$A$9000,0))="EUR",КурсEUR,1))*INDEX(спр_Материалы!$K$2:$K$9000,MATCH($I1210,спр_Материалы!$A$2:$A$9000,0))*(1+IFERROR(INDEX(спр_Работы!$I$2:$I$6000,MATCH($C1210,спр_Работы!$A$2:$A$6000,0))/100,0))*(1-ДисконтТендер),0))</f>
        <v/>
      </c>
      <c r="N1210" s="10">
        <f>IF(AND($R1210="да",$H1210&lt;&gt;""),ROUND($H1210*$L1210,2),0)</f>
        <v/>
      </c>
      <c r="O1210" s="10">
        <f>IF(AND($R1210="да",$H1210&lt;&gt;""),ROUND($H1210*$M1210,2),0)</f>
        <v/>
      </c>
      <c r="P1210" s="10">
        <f>$N1210+$O1210</f>
        <v/>
      </c>
      <c r="Q1210">
        <f>IFERROR(INDEX(спр_Работы!$J$2:$J$6000,MATCH($C1210,спр_Работы!$A$2:$A$6000,0)),"")</f>
        <v/>
      </c>
      <c r="R1210" t="inlineStr">
        <is>
          <t>да</t>
        </is>
      </c>
      <c r="T1210">
        <f>IF(AND($P1210&gt;0,$R1210="да"),MAX($T$1:$T1209)+1,"")</f>
        <v/>
      </c>
    </row>
    <row r="1211">
      <c r="A1211" s="11">
        <f>IFERROR(INDEX(спр_Работы!$D$2:$D$6000,MATCH($C1211,спр_Работы!$A$2:$A$6000,0)),"")</f>
        <v/>
      </c>
      <c r="B1211">
        <f>IFERROR(INDEX(спр_Работы!$F$2:$F$6000,MATCH($C1211,спр_Работы!$A$2:$A$6000,0)),"")</f>
        <v/>
      </c>
      <c r="C1211">
        <f>IFERROR(INDEX(спр_Работы!$A$2:$A$6000,1210),"")</f>
        <v/>
      </c>
      <c r="D1211" s="8">
        <f>IFERROR(INDEX(спр_Работы!$B$2:$B$6000,MATCH($C1211,спр_Работы!$A$2:$A$6000,0)),"")</f>
        <v/>
      </c>
      <c r="E1211">
        <f>IFERROR(INDEX(спр_Работы!$C$2:$C$6000,MATCH($C1211,спр_Работы!$A$2:$A$6000,0)),"")</f>
        <v/>
      </c>
      <c r="F1211">
        <f>IFERROR(INDEX(спр_Работы!$G$2:$G$6000,MATCH($C1211,спр_Работы!$A$2:$A$6000,0)),"")</f>
        <v/>
      </c>
      <c r="G1211">
        <f>IFERROR(INDEX(спр_Работы!$K$2:$K$6000,MATCH($C1211,спр_Работы!$A$2:$A$6000,0)),"")</f>
        <v/>
      </c>
      <c r="H1211" s="9" t="n"/>
      <c r="I1211" s="9" t="n"/>
      <c r="J1211" s="8">
        <f>IFERROR(INDEX(спр_Материалы!$B$2:$B$9000,MATCH($I1211,спр_Материалы!$A$2:$A$9000,0)),"")</f>
        <v/>
      </c>
      <c r="K1211">
        <f>IF($I1211="","",IF($F1211=IFERROR(INDEX(спр_Материалы!$G$2:$G$9000,MATCH($I1211,спр_Материалы!$A$2:$A$9000,0)),""),"OK","!! не та группа"))</f>
        <v/>
      </c>
      <c r="L1211" s="10">
        <f>IFERROR(INDEX(спр_Работы!$H$2:$H$6000,MATCH($C1211,спр_Работы!$A$2:$A$6000,0))*(1-ДисконтТендер),0)</f>
        <v/>
      </c>
      <c r="M1211" s="10">
        <f>IF($I1211="",0,IFERROR(INDEX(спр_Материалы!$I$2:$I$9000,MATCH($I1211,спр_Материалы!$A$2:$A$9000,0))*IF(INDEX(спр_Материалы!$J$2:$J$9000,MATCH($I1211,спр_Материалы!$A$2:$A$9000,0))="USD",КурсUSD,IF(INDEX(спр_Материалы!$J$2:$J$9000,MATCH($I1211,спр_Материалы!$A$2:$A$9000,0))="EUR",КурсEUR,1))*INDEX(спр_Материалы!$K$2:$K$9000,MATCH($I1211,спр_Материалы!$A$2:$A$9000,0))*(1+IFERROR(INDEX(спр_Работы!$I$2:$I$6000,MATCH($C1211,спр_Работы!$A$2:$A$6000,0))/100,0))*(1-ДисконтТендер),0))</f>
        <v/>
      </c>
      <c r="N1211" s="10">
        <f>IF(AND($R1211="да",$H1211&lt;&gt;""),ROUND($H1211*$L1211,2),0)</f>
        <v/>
      </c>
      <c r="O1211" s="10">
        <f>IF(AND($R1211="да",$H1211&lt;&gt;""),ROUND($H1211*$M1211,2),0)</f>
        <v/>
      </c>
      <c r="P1211" s="10">
        <f>$N1211+$O1211</f>
        <v/>
      </c>
      <c r="Q1211">
        <f>IFERROR(INDEX(спр_Работы!$J$2:$J$6000,MATCH($C1211,спр_Работы!$A$2:$A$6000,0)),"")</f>
        <v/>
      </c>
      <c r="R1211" t="inlineStr">
        <is>
          <t>да</t>
        </is>
      </c>
      <c r="T1211">
        <f>IF(AND($P1211&gt;0,$R1211="да"),MAX($T$1:$T1210)+1,"")</f>
        <v/>
      </c>
    </row>
    <row r="1212">
      <c r="A1212" s="11">
        <f>IFERROR(INDEX(спр_Работы!$D$2:$D$6000,MATCH($C1212,спр_Работы!$A$2:$A$6000,0)),"")</f>
        <v/>
      </c>
      <c r="B1212">
        <f>IFERROR(INDEX(спр_Работы!$F$2:$F$6000,MATCH($C1212,спр_Работы!$A$2:$A$6000,0)),"")</f>
        <v/>
      </c>
      <c r="C1212">
        <f>IFERROR(INDEX(спр_Работы!$A$2:$A$6000,1211),"")</f>
        <v/>
      </c>
      <c r="D1212" s="8">
        <f>IFERROR(INDEX(спр_Работы!$B$2:$B$6000,MATCH($C1212,спр_Работы!$A$2:$A$6000,0)),"")</f>
        <v/>
      </c>
      <c r="E1212">
        <f>IFERROR(INDEX(спр_Работы!$C$2:$C$6000,MATCH($C1212,спр_Работы!$A$2:$A$6000,0)),"")</f>
        <v/>
      </c>
      <c r="F1212">
        <f>IFERROR(INDEX(спр_Работы!$G$2:$G$6000,MATCH($C1212,спр_Работы!$A$2:$A$6000,0)),"")</f>
        <v/>
      </c>
      <c r="G1212">
        <f>IFERROR(INDEX(спр_Работы!$K$2:$K$6000,MATCH($C1212,спр_Работы!$A$2:$A$6000,0)),"")</f>
        <v/>
      </c>
      <c r="H1212" s="9" t="n"/>
      <c r="I1212" s="9" t="n"/>
      <c r="J1212" s="8">
        <f>IFERROR(INDEX(спр_Материалы!$B$2:$B$9000,MATCH($I1212,спр_Материалы!$A$2:$A$9000,0)),"")</f>
        <v/>
      </c>
      <c r="K1212">
        <f>IF($I1212="","",IF($F1212=IFERROR(INDEX(спр_Материалы!$G$2:$G$9000,MATCH($I1212,спр_Материалы!$A$2:$A$9000,0)),""),"OK","!! не та группа"))</f>
        <v/>
      </c>
      <c r="L1212" s="10">
        <f>IFERROR(INDEX(спр_Работы!$H$2:$H$6000,MATCH($C1212,спр_Работы!$A$2:$A$6000,0))*(1-ДисконтТендер),0)</f>
        <v/>
      </c>
      <c r="M1212" s="10">
        <f>IF($I1212="",0,IFERROR(INDEX(спр_Материалы!$I$2:$I$9000,MATCH($I1212,спр_Материалы!$A$2:$A$9000,0))*IF(INDEX(спр_Материалы!$J$2:$J$9000,MATCH($I1212,спр_Материалы!$A$2:$A$9000,0))="USD",КурсUSD,IF(INDEX(спр_Материалы!$J$2:$J$9000,MATCH($I1212,спр_Материалы!$A$2:$A$9000,0))="EUR",КурсEUR,1))*INDEX(спр_Материалы!$K$2:$K$9000,MATCH($I1212,спр_Материалы!$A$2:$A$9000,0))*(1+IFERROR(INDEX(спр_Работы!$I$2:$I$6000,MATCH($C1212,спр_Работы!$A$2:$A$6000,0))/100,0))*(1-ДисконтТендер),0))</f>
        <v/>
      </c>
      <c r="N1212" s="10">
        <f>IF(AND($R1212="да",$H1212&lt;&gt;""),ROUND($H1212*$L1212,2),0)</f>
        <v/>
      </c>
      <c r="O1212" s="10">
        <f>IF(AND($R1212="да",$H1212&lt;&gt;""),ROUND($H1212*$M1212,2),0)</f>
        <v/>
      </c>
      <c r="P1212" s="10">
        <f>$N1212+$O1212</f>
        <v/>
      </c>
      <c r="Q1212">
        <f>IFERROR(INDEX(спр_Работы!$J$2:$J$6000,MATCH($C1212,спр_Работы!$A$2:$A$6000,0)),"")</f>
        <v/>
      </c>
      <c r="R1212" t="inlineStr">
        <is>
          <t>да</t>
        </is>
      </c>
      <c r="T1212">
        <f>IF(AND($P1212&gt;0,$R1212="да"),MAX($T$1:$T1211)+1,"")</f>
        <v/>
      </c>
    </row>
  </sheetData>
  <autoFilter ref="A1:T1212"/>
  <conditionalFormatting sqref="K2:K1212">
    <cfRule type="expression" priority="1" dxfId="0">
      <formula>$K2="!! не та группа"</formula>
    </cfRule>
  </conditionalFormatting>
  <dataValidations count="2">
    <dataValidation sqref="I2:I1212" showDropDown="0" showInputMessage="0" showErrorMessage="0" allowBlank="1" prompt="Материал из группы этой работы. Пустой список = прайс по группе не загружен." type="list">
      <formula1>=INDIRECT("мат_"&amp;SUBSTITUTE(SUBSTITUTE(SUBSTITUTE($F2,".","_")," ","_"),"/","_"))</formula1>
    </dataValidation>
    <dataValidation sqref="R2:R1212" showDropDown="0" showInputMessage="0" showErrorMessage="0" allowBlank="0" type="list">
      <formula1>"да,нет"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31"/>
  <sheetViews>
    <sheetView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60" customWidth="1" min="3" max="3"/>
    <col width="9" customWidth="1" min="4" max="4"/>
    <col width="10" customWidth="1" min="5" max="5"/>
    <col width="15" customWidth="1" min="6" max="6"/>
    <col width="18" customWidth="1" min="7" max="7"/>
    <col width="17" customWidth="1" min="8" max="8"/>
    <col width="19" customWidth="1" min="9" max="9"/>
    <col width="16" customWidth="1" min="10" max="10"/>
    <col hidden="1" width="6" customWidth="1" min="11" max="11"/>
    <col hidden="1" width="6" customWidth="1" min="12" max="12"/>
  </cols>
  <sheetData>
    <row r="1">
      <c r="A1" s="1" t="inlineStr">
        <is>
          <t>СМЕТА</t>
        </is>
      </c>
    </row>
    <row r="2">
      <c r="A2" s="2" t="inlineStr">
        <is>
          <t>Формат объекта:</t>
        </is>
      </c>
      <c r="C2">
        <f>ФорматОбъекта</f>
        <v/>
      </c>
    </row>
    <row r="3">
      <c r="A3" s="2" t="inlineStr">
        <is>
          <t>Адрес объекта:</t>
        </is>
      </c>
      <c r="C3">
        <f>Адрес</f>
        <v/>
      </c>
    </row>
    <row r="4">
      <c r="A4" s="2" t="inlineStr">
        <is>
          <t>Площадь объекта (м.кв.):</t>
        </is>
      </c>
      <c r="C4">
        <f>S_общая</f>
        <v/>
      </c>
    </row>
    <row r="5">
      <c r="A5" s="2" t="inlineStr">
        <is>
          <t>Срок проведения работ:</t>
        </is>
      </c>
      <c r="C5">
        <f>Срок</f>
        <v/>
      </c>
    </row>
    <row r="6">
      <c r="A6" s="2" t="inlineStr">
        <is>
          <t>ПОДРЯДЧИК:</t>
        </is>
      </c>
      <c r="C6">
        <f>Подрядчик</f>
        <v/>
      </c>
    </row>
    <row r="7">
      <c r="A7" s="2" t="inlineStr">
        <is>
          <t>Юридический адрес:</t>
        </is>
      </c>
      <c r="C7">
        <f>ЮрАдрес</f>
        <v/>
      </c>
    </row>
    <row r="8">
      <c r="A8" s="2" t="inlineStr">
        <is>
          <t>Электронный адрес:</t>
        </is>
      </c>
      <c r="C8">
        <f>ЭлАдрес</f>
        <v/>
      </c>
    </row>
    <row r="9">
      <c r="A9" s="2" t="inlineStr">
        <is>
          <t>Контактное лицо (Ф.И.О.):</t>
        </is>
      </c>
      <c r="C9">
        <f>КонтЛицо</f>
        <v/>
      </c>
    </row>
    <row r="10">
      <c r="A10" s="2" t="inlineStr">
        <is>
          <t>Контактный телефон:</t>
        </is>
      </c>
      <c r="C10">
        <f>КонтТел</f>
        <v/>
      </c>
    </row>
    <row r="11">
      <c r="A11" s="2" t="inlineStr">
        <is>
          <t>Реквизиты:</t>
        </is>
      </c>
      <c r="C11">
        <f>Реквизиты</f>
        <v/>
      </c>
    </row>
    <row r="12">
      <c r="A12" s="2" t="inlineStr">
        <is>
          <t>Сумма по смете, ₽:</t>
        </is>
      </c>
      <c r="C12" s="10">
        <f>'Свод+ТЭП'!$E$23</f>
        <v/>
      </c>
    </row>
    <row r="13">
      <c r="A13" s="2" t="inlineStr">
        <is>
          <t>Цены на дату:</t>
        </is>
      </c>
      <c r="C13" s="12">
        <f>ДатаЦен</f>
        <v/>
      </c>
    </row>
    <row r="15">
      <c r="A15" t="inlineStr">
        <is>
          <t>Курс USD:</t>
        </is>
      </c>
      <c r="C15">
        <f>КурсUSD</f>
        <v/>
      </c>
    </row>
    <row r="16">
      <c r="A16" t="inlineStr">
        <is>
          <t>Курс EUR:</t>
        </is>
      </c>
      <c r="C16">
        <f>КурсEUR</f>
        <v/>
      </c>
    </row>
    <row r="17">
      <c r="A17" t="inlineStr">
        <is>
          <t>Дисконт по тендеру, доля:</t>
        </is>
      </c>
      <c r="C17">
        <f>ДисконтТендер</f>
        <v/>
      </c>
    </row>
    <row r="18">
      <c r="A18" t="inlineStr">
        <is>
          <t>Примечание: цены с НР и СП; НДС по режиму из «Параметров».</t>
        </is>
      </c>
    </row>
    <row r="19">
      <c r="A19" s="13" t="inlineStr">
        <is>
          <t>РАСШИФРОВКА РАБОТ И ЗАТРАТ  (пустые строки скрыты; после ввода объёмов — Данные → Применить повторно / Ctrl+Alt+L)</t>
        </is>
      </c>
    </row>
    <row r="20">
      <c r="A20" s="3" t="inlineStr">
        <is>
          <t>№</t>
        </is>
      </c>
      <c r="B20" s="3" t="inlineStr">
        <is>
          <t>Номенкл. №</t>
        </is>
      </c>
      <c r="C20" s="3" t="inlineStr">
        <is>
          <t>Наименование работ и затрат</t>
        </is>
      </c>
      <c r="D20" s="3" t="inlineStr">
        <is>
          <t>Ед. изм.</t>
        </is>
      </c>
      <c r="E20" s="3" t="inlineStr">
        <is>
          <t>Кол-во</t>
        </is>
      </c>
      <c r="F20" s="3" t="inlineStr">
        <is>
          <t>Цена ед. работ, ₽</t>
        </is>
      </c>
      <c r="G20" s="3" t="inlineStr">
        <is>
          <t>Цена ед. материалов/оборуд., ₽</t>
        </is>
      </c>
      <c r="H20" s="3" t="inlineStr">
        <is>
          <t>Стоимость работ, ₽</t>
        </is>
      </c>
      <c r="I20" s="3" t="inlineStr">
        <is>
          <t>Стоимость материалов/оборуд., ₽</t>
        </is>
      </c>
      <c r="J20" s="3" t="inlineStr">
        <is>
          <t>Всего, ₽</t>
        </is>
      </c>
      <c r="K20" s="3" t="inlineStr">
        <is>
          <t>_кр</t>
        </is>
      </c>
      <c r="L20" s="3" t="inlineStr">
        <is>
          <t>_показать</t>
        </is>
      </c>
    </row>
    <row r="21" hidden="1">
      <c r="A21">
        <f>IF($K21="","",1)</f>
        <v/>
      </c>
      <c r="B21">
        <f>IF($K21="","",INDEX(Конструктор!$C$2:$C$1212,$K21))</f>
        <v/>
      </c>
      <c r="C21" s="8">
        <f>IF($K21="","",INDEX(Конструктор!$D$2:$D$1212,$K21)&amp;IF(INDEX(Конструктор!$J$2:$J$1212,$K21)&lt;&gt;""," — "&amp;INDEX(Конструктор!$J$2:$J$1212,$K21),""))</f>
        <v/>
      </c>
      <c r="D21">
        <f>IF($K21="","",INDEX(Конструктор!$E$2:$E$1212,$K21))</f>
        <v/>
      </c>
      <c r="E21" s="10">
        <f>IF($K21="","",INDEX(Конструктор!$H$2:$H$1212,$K21))</f>
        <v/>
      </c>
      <c r="F21" s="10">
        <f>IF($K21="","",INDEX(Конструктор!$L$2:$L$1212,$K21))</f>
        <v/>
      </c>
      <c r="G21" s="10">
        <f>IF($K21="","",INDEX(Конструктор!$M$2:$M$1212,$K21))</f>
        <v/>
      </c>
      <c r="H21" s="10">
        <f>IF($K21="","",INDEX(Конструктор!$N$2:$N$1212,$K21))</f>
        <v/>
      </c>
      <c r="I21" s="10">
        <f>IF($K21="","",INDEX(Конструктор!$O$2:$O$1212,$K21))</f>
        <v/>
      </c>
      <c r="J21" s="10">
        <f>IF($K21="","",INDEX(Конструктор!$P$2:$P$1212,$K21))</f>
        <v/>
      </c>
      <c r="K21">
        <f>IFERROR(MATCH(1,Конструктор!$T$2:$T$1212,0),"")</f>
        <v/>
      </c>
      <c r="L21">
        <f>IF($K21="","","показать")</f>
        <v/>
      </c>
    </row>
    <row r="22" hidden="1">
      <c r="A22">
        <f>IF($K22="","",2)</f>
        <v/>
      </c>
      <c r="B22">
        <f>IF($K22="","",INDEX(Конструктор!$C$2:$C$1212,$K22))</f>
        <v/>
      </c>
      <c r="C22" s="8">
        <f>IF($K22="","",INDEX(Конструктор!$D$2:$D$1212,$K22)&amp;IF(INDEX(Конструктор!$J$2:$J$1212,$K22)&lt;&gt;""," — "&amp;INDEX(Конструктор!$J$2:$J$1212,$K22),""))</f>
        <v/>
      </c>
      <c r="D22">
        <f>IF($K22="","",INDEX(Конструктор!$E$2:$E$1212,$K22))</f>
        <v/>
      </c>
      <c r="E22" s="10">
        <f>IF($K22="","",INDEX(Конструктор!$H$2:$H$1212,$K22))</f>
        <v/>
      </c>
      <c r="F22" s="10">
        <f>IF($K22="","",INDEX(Конструктор!$L$2:$L$1212,$K22))</f>
        <v/>
      </c>
      <c r="G22" s="10">
        <f>IF($K22="","",INDEX(Конструктор!$M$2:$M$1212,$K22))</f>
        <v/>
      </c>
      <c r="H22" s="10">
        <f>IF($K22="","",INDEX(Конструктор!$N$2:$N$1212,$K22))</f>
        <v/>
      </c>
      <c r="I22" s="10">
        <f>IF($K22="","",INDEX(Конструктор!$O$2:$O$1212,$K22))</f>
        <v/>
      </c>
      <c r="J22" s="10">
        <f>IF($K22="","",INDEX(Конструктор!$P$2:$P$1212,$K22))</f>
        <v/>
      </c>
      <c r="K22">
        <f>IFERROR(MATCH(2,Конструктор!$T$2:$T$1212,0),"")</f>
        <v/>
      </c>
      <c r="L22">
        <f>IF($K22="","","показать")</f>
        <v/>
      </c>
    </row>
    <row r="23" hidden="1">
      <c r="A23">
        <f>IF($K23="","",3)</f>
        <v/>
      </c>
      <c r="B23">
        <f>IF($K23="","",INDEX(Конструктор!$C$2:$C$1212,$K23))</f>
        <v/>
      </c>
      <c r="C23" s="8">
        <f>IF($K23="","",INDEX(Конструктор!$D$2:$D$1212,$K23)&amp;IF(INDEX(Конструктор!$J$2:$J$1212,$K23)&lt;&gt;""," — "&amp;INDEX(Конструктор!$J$2:$J$1212,$K23),""))</f>
        <v/>
      </c>
      <c r="D23">
        <f>IF($K23="","",INDEX(Конструктор!$E$2:$E$1212,$K23))</f>
        <v/>
      </c>
      <c r="E23" s="10">
        <f>IF($K23="","",INDEX(Конструктор!$H$2:$H$1212,$K23))</f>
        <v/>
      </c>
      <c r="F23" s="10">
        <f>IF($K23="","",INDEX(Конструктор!$L$2:$L$1212,$K23))</f>
        <v/>
      </c>
      <c r="G23" s="10">
        <f>IF($K23="","",INDEX(Конструктор!$M$2:$M$1212,$K23))</f>
        <v/>
      </c>
      <c r="H23" s="10">
        <f>IF($K23="","",INDEX(Конструктор!$N$2:$N$1212,$K23))</f>
        <v/>
      </c>
      <c r="I23" s="10">
        <f>IF($K23="","",INDEX(Конструктор!$O$2:$O$1212,$K23))</f>
        <v/>
      </c>
      <c r="J23" s="10">
        <f>IF($K23="","",INDEX(Конструктор!$P$2:$P$1212,$K23))</f>
        <v/>
      </c>
      <c r="K23">
        <f>IFERROR(MATCH(3,Конструктор!$T$2:$T$1212,0),"")</f>
        <v/>
      </c>
      <c r="L23">
        <f>IF($K23="","","показать")</f>
        <v/>
      </c>
    </row>
    <row r="24" hidden="1">
      <c r="A24">
        <f>IF($K24="","",4)</f>
        <v/>
      </c>
      <c r="B24">
        <f>IF($K24="","",INDEX(Конструктор!$C$2:$C$1212,$K24))</f>
        <v/>
      </c>
      <c r="C24" s="8">
        <f>IF($K24="","",INDEX(Конструктор!$D$2:$D$1212,$K24)&amp;IF(INDEX(Конструктор!$J$2:$J$1212,$K24)&lt;&gt;""," — "&amp;INDEX(Конструктор!$J$2:$J$1212,$K24),""))</f>
        <v/>
      </c>
      <c r="D24">
        <f>IF($K24="","",INDEX(Конструктор!$E$2:$E$1212,$K24))</f>
        <v/>
      </c>
      <c r="E24" s="10">
        <f>IF($K24="","",INDEX(Конструктор!$H$2:$H$1212,$K24))</f>
        <v/>
      </c>
      <c r="F24" s="10">
        <f>IF($K24="","",INDEX(Конструктор!$L$2:$L$1212,$K24))</f>
        <v/>
      </c>
      <c r="G24" s="10">
        <f>IF($K24="","",INDEX(Конструктор!$M$2:$M$1212,$K24))</f>
        <v/>
      </c>
      <c r="H24" s="10">
        <f>IF($K24="","",INDEX(Конструктор!$N$2:$N$1212,$K24))</f>
        <v/>
      </c>
      <c r="I24" s="10">
        <f>IF($K24="","",INDEX(Конструктор!$O$2:$O$1212,$K24))</f>
        <v/>
      </c>
      <c r="J24" s="10">
        <f>IF($K24="","",INDEX(Конструктор!$P$2:$P$1212,$K24))</f>
        <v/>
      </c>
      <c r="K24">
        <f>IFERROR(MATCH(4,Конструктор!$T$2:$T$1212,0),"")</f>
        <v/>
      </c>
      <c r="L24">
        <f>IF($K24="","","показать")</f>
        <v/>
      </c>
    </row>
    <row r="25" hidden="1">
      <c r="A25">
        <f>IF($K25="","",5)</f>
        <v/>
      </c>
      <c r="B25">
        <f>IF($K25="","",INDEX(Конструктор!$C$2:$C$1212,$K25))</f>
        <v/>
      </c>
      <c r="C25" s="8">
        <f>IF($K25="","",INDEX(Конструктор!$D$2:$D$1212,$K25)&amp;IF(INDEX(Конструктор!$J$2:$J$1212,$K25)&lt;&gt;""," — "&amp;INDEX(Конструктор!$J$2:$J$1212,$K25),""))</f>
        <v/>
      </c>
      <c r="D25">
        <f>IF($K25="","",INDEX(Конструктор!$E$2:$E$1212,$K25))</f>
        <v/>
      </c>
      <c r="E25" s="10">
        <f>IF($K25="","",INDEX(Конструктор!$H$2:$H$1212,$K25))</f>
        <v/>
      </c>
      <c r="F25" s="10">
        <f>IF($K25="","",INDEX(Конструктор!$L$2:$L$1212,$K25))</f>
        <v/>
      </c>
      <c r="G25" s="10">
        <f>IF($K25="","",INDEX(Конструктор!$M$2:$M$1212,$K25))</f>
        <v/>
      </c>
      <c r="H25" s="10">
        <f>IF($K25="","",INDEX(Конструктор!$N$2:$N$1212,$K25))</f>
        <v/>
      </c>
      <c r="I25" s="10">
        <f>IF($K25="","",INDEX(Конструктор!$O$2:$O$1212,$K25))</f>
        <v/>
      </c>
      <c r="J25" s="10">
        <f>IF($K25="","",INDEX(Конструктор!$P$2:$P$1212,$K25))</f>
        <v/>
      </c>
      <c r="K25">
        <f>IFERROR(MATCH(5,Конструктор!$T$2:$T$1212,0),"")</f>
        <v/>
      </c>
      <c r="L25">
        <f>IF($K25="","","показать")</f>
        <v/>
      </c>
    </row>
    <row r="26" hidden="1">
      <c r="A26">
        <f>IF($K26="","",6)</f>
        <v/>
      </c>
      <c r="B26">
        <f>IF($K26="","",INDEX(Конструктор!$C$2:$C$1212,$K26))</f>
        <v/>
      </c>
      <c r="C26" s="8">
        <f>IF($K26="","",INDEX(Конструктор!$D$2:$D$1212,$K26)&amp;IF(INDEX(Конструктор!$J$2:$J$1212,$K26)&lt;&gt;""," — "&amp;INDEX(Конструктор!$J$2:$J$1212,$K26),""))</f>
        <v/>
      </c>
      <c r="D26">
        <f>IF($K26="","",INDEX(Конструктор!$E$2:$E$1212,$K26))</f>
        <v/>
      </c>
      <c r="E26" s="10">
        <f>IF($K26="","",INDEX(Конструктор!$H$2:$H$1212,$K26))</f>
        <v/>
      </c>
      <c r="F26" s="10">
        <f>IF($K26="","",INDEX(Конструктор!$L$2:$L$1212,$K26))</f>
        <v/>
      </c>
      <c r="G26" s="10">
        <f>IF($K26="","",INDEX(Конструктор!$M$2:$M$1212,$K26))</f>
        <v/>
      </c>
      <c r="H26" s="10">
        <f>IF($K26="","",INDEX(Конструктор!$N$2:$N$1212,$K26))</f>
        <v/>
      </c>
      <c r="I26" s="10">
        <f>IF($K26="","",INDEX(Конструктор!$O$2:$O$1212,$K26))</f>
        <v/>
      </c>
      <c r="J26" s="10">
        <f>IF($K26="","",INDEX(Конструктор!$P$2:$P$1212,$K26))</f>
        <v/>
      </c>
      <c r="K26">
        <f>IFERROR(MATCH(6,Конструктор!$T$2:$T$1212,0),"")</f>
        <v/>
      </c>
      <c r="L26">
        <f>IF($K26="","","показать")</f>
        <v/>
      </c>
    </row>
    <row r="27" hidden="1">
      <c r="A27">
        <f>IF($K27="","",7)</f>
        <v/>
      </c>
      <c r="B27">
        <f>IF($K27="","",INDEX(Конструктор!$C$2:$C$1212,$K27))</f>
        <v/>
      </c>
      <c r="C27" s="8">
        <f>IF($K27="","",INDEX(Конструктор!$D$2:$D$1212,$K27)&amp;IF(INDEX(Конструктор!$J$2:$J$1212,$K27)&lt;&gt;""," — "&amp;INDEX(Конструктор!$J$2:$J$1212,$K27),""))</f>
        <v/>
      </c>
      <c r="D27">
        <f>IF($K27="","",INDEX(Конструктор!$E$2:$E$1212,$K27))</f>
        <v/>
      </c>
      <c r="E27" s="10">
        <f>IF($K27="","",INDEX(Конструктор!$H$2:$H$1212,$K27))</f>
        <v/>
      </c>
      <c r="F27" s="10">
        <f>IF($K27="","",INDEX(Конструктор!$L$2:$L$1212,$K27))</f>
        <v/>
      </c>
      <c r="G27" s="10">
        <f>IF($K27="","",INDEX(Конструктор!$M$2:$M$1212,$K27))</f>
        <v/>
      </c>
      <c r="H27" s="10">
        <f>IF($K27="","",INDEX(Конструктор!$N$2:$N$1212,$K27))</f>
        <v/>
      </c>
      <c r="I27" s="10">
        <f>IF($K27="","",INDEX(Конструктор!$O$2:$O$1212,$K27))</f>
        <v/>
      </c>
      <c r="J27" s="10">
        <f>IF($K27="","",INDEX(Конструктор!$P$2:$P$1212,$K27))</f>
        <v/>
      </c>
      <c r="K27">
        <f>IFERROR(MATCH(7,Конструктор!$T$2:$T$1212,0),"")</f>
        <v/>
      </c>
      <c r="L27">
        <f>IF($K27="","","показать")</f>
        <v/>
      </c>
    </row>
    <row r="28" hidden="1">
      <c r="A28">
        <f>IF($K28="","",8)</f>
        <v/>
      </c>
      <c r="B28">
        <f>IF($K28="","",INDEX(Конструктор!$C$2:$C$1212,$K28))</f>
        <v/>
      </c>
      <c r="C28" s="8">
        <f>IF($K28="","",INDEX(Конструктор!$D$2:$D$1212,$K28)&amp;IF(INDEX(Конструктор!$J$2:$J$1212,$K28)&lt;&gt;""," — "&amp;INDEX(Конструктор!$J$2:$J$1212,$K28),""))</f>
        <v/>
      </c>
      <c r="D28">
        <f>IF($K28="","",INDEX(Конструктор!$E$2:$E$1212,$K28))</f>
        <v/>
      </c>
      <c r="E28" s="10">
        <f>IF($K28="","",INDEX(Конструктор!$H$2:$H$1212,$K28))</f>
        <v/>
      </c>
      <c r="F28" s="10">
        <f>IF($K28="","",INDEX(Конструктор!$L$2:$L$1212,$K28))</f>
        <v/>
      </c>
      <c r="G28" s="10">
        <f>IF($K28="","",INDEX(Конструктор!$M$2:$M$1212,$K28))</f>
        <v/>
      </c>
      <c r="H28" s="10">
        <f>IF($K28="","",INDEX(Конструктор!$N$2:$N$1212,$K28))</f>
        <v/>
      </c>
      <c r="I28" s="10">
        <f>IF($K28="","",INDEX(Конструктор!$O$2:$O$1212,$K28))</f>
        <v/>
      </c>
      <c r="J28" s="10">
        <f>IF($K28="","",INDEX(Конструктор!$P$2:$P$1212,$K28))</f>
        <v/>
      </c>
      <c r="K28">
        <f>IFERROR(MATCH(8,Конструктор!$T$2:$T$1212,0),"")</f>
        <v/>
      </c>
      <c r="L28">
        <f>IF($K28="","","показать")</f>
        <v/>
      </c>
    </row>
    <row r="29" hidden="1">
      <c r="A29">
        <f>IF($K29="","",9)</f>
        <v/>
      </c>
      <c r="B29">
        <f>IF($K29="","",INDEX(Конструктор!$C$2:$C$1212,$K29))</f>
        <v/>
      </c>
      <c r="C29" s="8">
        <f>IF($K29="","",INDEX(Конструктор!$D$2:$D$1212,$K29)&amp;IF(INDEX(Конструктор!$J$2:$J$1212,$K29)&lt;&gt;""," — "&amp;INDEX(Конструктор!$J$2:$J$1212,$K29),""))</f>
        <v/>
      </c>
      <c r="D29">
        <f>IF($K29="","",INDEX(Конструктор!$E$2:$E$1212,$K29))</f>
        <v/>
      </c>
      <c r="E29" s="10">
        <f>IF($K29="","",INDEX(Конструктор!$H$2:$H$1212,$K29))</f>
        <v/>
      </c>
      <c r="F29" s="10">
        <f>IF($K29="","",INDEX(Конструктор!$L$2:$L$1212,$K29))</f>
        <v/>
      </c>
      <c r="G29" s="10">
        <f>IF($K29="","",INDEX(Конструктор!$M$2:$M$1212,$K29))</f>
        <v/>
      </c>
      <c r="H29" s="10">
        <f>IF($K29="","",INDEX(Конструктор!$N$2:$N$1212,$K29))</f>
        <v/>
      </c>
      <c r="I29" s="10">
        <f>IF($K29="","",INDEX(Конструктор!$O$2:$O$1212,$K29))</f>
        <v/>
      </c>
      <c r="J29" s="10">
        <f>IF($K29="","",INDEX(Конструктор!$P$2:$P$1212,$K29))</f>
        <v/>
      </c>
      <c r="K29">
        <f>IFERROR(MATCH(9,Конструктор!$T$2:$T$1212,0),"")</f>
        <v/>
      </c>
      <c r="L29">
        <f>IF($K29="","","показать")</f>
        <v/>
      </c>
    </row>
    <row r="30" hidden="1">
      <c r="A30">
        <f>IF($K30="","",10)</f>
        <v/>
      </c>
      <c r="B30">
        <f>IF($K30="","",INDEX(Конструктор!$C$2:$C$1212,$K30))</f>
        <v/>
      </c>
      <c r="C30" s="8">
        <f>IF($K30="","",INDEX(Конструктор!$D$2:$D$1212,$K30)&amp;IF(INDEX(Конструктор!$J$2:$J$1212,$K30)&lt;&gt;""," — "&amp;INDEX(Конструктор!$J$2:$J$1212,$K30),""))</f>
        <v/>
      </c>
      <c r="D30">
        <f>IF($K30="","",INDEX(Конструктор!$E$2:$E$1212,$K30))</f>
        <v/>
      </c>
      <c r="E30" s="10">
        <f>IF($K30="","",INDEX(Конструктор!$H$2:$H$1212,$K30))</f>
        <v/>
      </c>
      <c r="F30" s="10">
        <f>IF($K30="","",INDEX(Конструктор!$L$2:$L$1212,$K30))</f>
        <v/>
      </c>
      <c r="G30" s="10">
        <f>IF($K30="","",INDEX(Конструктор!$M$2:$M$1212,$K30))</f>
        <v/>
      </c>
      <c r="H30" s="10">
        <f>IF($K30="","",INDEX(Конструктор!$N$2:$N$1212,$K30))</f>
        <v/>
      </c>
      <c r="I30" s="10">
        <f>IF($K30="","",INDEX(Конструктор!$O$2:$O$1212,$K30))</f>
        <v/>
      </c>
      <c r="J30" s="10">
        <f>IF($K30="","",INDEX(Конструктор!$P$2:$P$1212,$K30))</f>
        <v/>
      </c>
      <c r="K30">
        <f>IFERROR(MATCH(10,Конструктор!$T$2:$T$1212,0),"")</f>
        <v/>
      </c>
      <c r="L30">
        <f>IF($K30="","","показать")</f>
        <v/>
      </c>
    </row>
    <row r="31" hidden="1">
      <c r="A31">
        <f>IF($K31="","",11)</f>
        <v/>
      </c>
      <c r="B31">
        <f>IF($K31="","",INDEX(Конструктор!$C$2:$C$1212,$K31))</f>
        <v/>
      </c>
      <c r="C31" s="8">
        <f>IF($K31="","",INDEX(Конструктор!$D$2:$D$1212,$K31)&amp;IF(INDEX(Конструктор!$J$2:$J$1212,$K31)&lt;&gt;""," — "&amp;INDEX(Конструктор!$J$2:$J$1212,$K31),""))</f>
        <v/>
      </c>
      <c r="D31">
        <f>IF($K31="","",INDEX(Конструктор!$E$2:$E$1212,$K31))</f>
        <v/>
      </c>
      <c r="E31" s="10">
        <f>IF($K31="","",INDEX(Конструктор!$H$2:$H$1212,$K31))</f>
        <v/>
      </c>
      <c r="F31" s="10">
        <f>IF($K31="","",INDEX(Конструктор!$L$2:$L$1212,$K31))</f>
        <v/>
      </c>
      <c r="G31" s="10">
        <f>IF($K31="","",INDEX(Конструктор!$M$2:$M$1212,$K31))</f>
        <v/>
      </c>
      <c r="H31" s="10">
        <f>IF($K31="","",INDEX(Конструктор!$N$2:$N$1212,$K31))</f>
        <v/>
      </c>
      <c r="I31" s="10">
        <f>IF($K31="","",INDEX(Конструктор!$O$2:$O$1212,$K31))</f>
        <v/>
      </c>
      <c r="J31" s="10">
        <f>IF($K31="","",INDEX(Конструктор!$P$2:$P$1212,$K31))</f>
        <v/>
      </c>
      <c r="K31">
        <f>IFERROR(MATCH(11,Конструктор!$T$2:$T$1212,0),"")</f>
        <v/>
      </c>
      <c r="L31">
        <f>IF($K31="","","показать")</f>
        <v/>
      </c>
    </row>
    <row r="32" hidden="1">
      <c r="A32">
        <f>IF($K32="","",12)</f>
        <v/>
      </c>
      <c r="B32">
        <f>IF($K32="","",INDEX(Конструктор!$C$2:$C$1212,$K32))</f>
        <v/>
      </c>
      <c r="C32" s="8">
        <f>IF($K32="","",INDEX(Конструктор!$D$2:$D$1212,$K32)&amp;IF(INDEX(Конструктор!$J$2:$J$1212,$K32)&lt;&gt;""," — "&amp;INDEX(Конструктор!$J$2:$J$1212,$K32),""))</f>
        <v/>
      </c>
      <c r="D32">
        <f>IF($K32="","",INDEX(Конструктор!$E$2:$E$1212,$K32))</f>
        <v/>
      </c>
      <c r="E32" s="10">
        <f>IF($K32="","",INDEX(Конструктор!$H$2:$H$1212,$K32))</f>
        <v/>
      </c>
      <c r="F32" s="10">
        <f>IF($K32="","",INDEX(Конструктор!$L$2:$L$1212,$K32))</f>
        <v/>
      </c>
      <c r="G32" s="10">
        <f>IF($K32="","",INDEX(Конструктор!$M$2:$M$1212,$K32))</f>
        <v/>
      </c>
      <c r="H32" s="10">
        <f>IF($K32="","",INDEX(Конструктор!$N$2:$N$1212,$K32))</f>
        <v/>
      </c>
      <c r="I32" s="10">
        <f>IF($K32="","",INDEX(Конструктор!$O$2:$O$1212,$K32))</f>
        <v/>
      </c>
      <c r="J32" s="10">
        <f>IF($K32="","",INDEX(Конструктор!$P$2:$P$1212,$K32))</f>
        <v/>
      </c>
      <c r="K32">
        <f>IFERROR(MATCH(12,Конструктор!$T$2:$T$1212,0),"")</f>
        <v/>
      </c>
      <c r="L32">
        <f>IF($K32="","","показать")</f>
        <v/>
      </c>
    </row>
    <row r="33" hidden="1">
      <c r="A33">
        <f>IF($K33="","",13)</f>
        <v/>
      </c>
      <c r="B33">
        <f>IF($K33="","",INDEX(Конструктор!$C$2:$C$1212,$K33))</f>
        <v/>
      </c>
      <c r="C33" s="8">
        <f>IF($K33="","",INDEX(Конструктор!$D$2:$D$1212,$K33)&amp;IF(INDEX(Конструктор!$J$2:$J$1212,$K33)&lt;&gt;""," — "&amp;INDEX(Конструктор!$J$2:$J$1212,$K33),""))</f>
        <v/>
      </c>
      <c r="D33">
        <f>IF($K33="","",INDEX(Конструктор!$E$2:$E$1212,$K33))</f>
        <v/>
      </c>
      <c r="E33" s="10">
        <f>IF($K33="","",INDEX(Конструктор!$H$2:$H$1212,$K33))</f>
        <v/>
      </c>
      <c r="F33" s="10">
        <f>IF($K33="","",INDEX(Конструктор!$L$2:$L$1212,$K33))</f>
        <v/>
      </c>
      <c r="G33" s="10">
        <f>IF($K33="","",INDEX(Конструктор!$M$2:$M$1212,$K33))</f>
        <v/>
      </c>
      <c r="H33" s="10">
        <f>IF($K33="","",INDEX(Конструктор!$N$2:$N$1212,$K33))</f>
        <v/>
      </c>
      <c r="I33" s="10">
        <f>IF($K33="","",INDEX(Конструктор!$O$2:$O$1212,$K33))</f>
        <v/>
      </c>
      <c r="J33" s="10">
        <f>IF($K33="","",INDEX(Конструктор!$P$2:$P$1212,$K33))</f>
        <v/>
      </c>
      <c r="K33">
        <f>IFERROR(MATCH(13,Конструктор!$T$2:$T$1212,0),"")</f>
        <v/>
      </c>
      <c r="L33">
        <f>IF($K33="","","показать")</f>
        <v/>
      </c>
    </row>
    <row r="34" hidden="1">
      <c r="A34">
        <f>IF($K34="","",14)</f>
        <v/>
      </c>
      <c r="B34">
        <f>IF($K34="","",INDEX(Конструктор!$C$2:$C$1212,$K34))</f>
        <v/>
      </c>
      <c r="C34" s="8">
        <f>IF($K34="","",INDEX(Конструктор!$D$2:$D$1212,$K34)&amp;IF(INDEX(Конструктор!$J$2:$J$1212,$K34)&lt;&gt;""," — "&amp;INDEX(Конструктор!$J$2:$J$1212,$K34),""))</f>
        <v/>
      </c>
      <c r="D34">
        <f>IF($K34="","",INDEX(Конструктор!$E$2:$E$1212,$K34))</f>
        <v/>
      </c>
      <c r="E34" s="10">
        <f>IF($K34="","",INDEX(Конструктор!$H$2:$H$1212,$K34))</f>
        <v/>
      </c>
      <c r="F34" s="10">
        <f>IF($K34="","",INDEX(Конструктор!$L$2:$L$1212,$K34))</f>
        <v/>
      </c>
      <c r="G34" s="10">
        <f>IF($K34="","",INDEX(Конструктор!$M$2:$M$1212,$K34))</f>
        <v/>
      </c>
      <c r="H34" s="10">
        <f>IF($K34="","",INDEX(Конструктор!$N$2:$N$1212,$K34))</f>
        <v/>
      </c>
      <c r="I34" s="10">
        <f>IF($K34="","",INDEX(Конструктор!$O$2:$O$1212,$K34))</f>
        <v/>
      </c>
      <c r="J34" s="10">
        <f>IF($K34="","",INDEX(Конструктор!$P$2:$P$1212,$K34))</f>
        <v/>
      </c>
      <c r="K34">
        <f>IFERROR(MATCH(14,Конструктор!$T$2:$T$1212,0),"")</f>
        <v/>
      </c>
      <c r="L34">
        <f>IF($K34="","","показать")</f>
        <v/>
      </c>
    </row>
    <row r="35" hidden="1">
      <c r="A35">
        <f>IF($K35="","",15)</f>
        <v/>
      </c>
      <c r="B35">
        <f>IF($K35="","",INDEX(Конструктор!$C$2:$C$1212,$K35))</f>
        <v/>
      </c>
      <c r="C35" s="8">
        <f>IF($K35="","",INDEX(Конструктор!$D$2:$D$1212,$K35)&amp;IF(INDEX(Конструктор!$J$2:$J$1212,$K35)&lt;&gt;""," — "&amp;INDEX(Конструктор!$J$2:$J$1212,$K35),""))</f>
        <v/>
      </c>
      <c r="D35">
        <f>IF($K35="","",INDEX(Конструктор!$E$2:$E$1212,$K35))</f>
        <v/>
      </c>
      <c r="E35" s="10">
        <f>IF($K35="","",INDEX(Конструктор!$H$2:$H$1212,$K35))</f>
        <v/>
      </c>
      <c r="F35" s="10">
        <f>IF($K35="","",INDEX(Конструктор!$L$2:$L$1212,$K35))</f>
        <v/>
      </c>
      <c r="G35" s="10">
        <f>IF($K35="","",INDEX(Конструктор!$M$2:$M$1212,$K35))</f>
        <v/>
      </c>
      <c r="H35" s="10">
        <f>IF($K35="","",INDEX(Конструктор!$N$2:$N$1212,$K35))</f>
        <v/>
      </c>
      <c r="I35" s="10">
        <f>IF($K35="","",INDEX(Конструктор!$O$2:$O$1212,$K35))</f>
        <v/>
      </c>
      <c r="J35" s="10">
        <f>IF($K35="","",INDEX(Конструктор!$P$2:$P$1212,$K35))</f>
        <v/>
      </c>
      <c r="K35">
        <f>IFERROR(MATCH(15,Конструктор!$T$2:$T$1212,0),"")</f>
        <v/>
      </c>
      <c r="L35">
        <f>IF($K35="","","показать")</f>
        <v/>
      </c>
    </row>
    <row r="36" hidden="1">
      <c r="A36">
        <f>IF($K36="","",16)</f>
        <v/>
      </c>
      <c r="B36">
        <f>IF($K36="","",INDEX(Конструктор!$C$2:$C$1212,$K36))</f>
        <v/>
      </c>
      <c r="C36" s="8">
        <f>IF($K36="","",INDEX(Конструктор!$D$2:$D$1212,$K36)&amp;IF(INDEX(Конструктор!$J$2:$J$1212,$K36)&lt;&gt;""," — "&amp;INDEX(Конструктор!$J$2:$J$1212,$K36),""))</f>
        <v/>
      </c>
      <c r="D36">
        <f>IF($K36="","",INDEX(Конструктор!$E$2:$E$1212,$K36))</f>
        <v/>
      </c>
      <c r="E36" s="10">
        <f>IF($K36="","",INDEX(Конструктор!$H$2:$H$1212,$K36))</f>
        <v/>
      </c>
      <c r="F36" s="10">
        <f>IF($K36="","",INDEX(Конструктор!$L$2:$L$1212,$K36))</f>
        <v/>
      </c>
      <c r="G36" s="10">
        <f>IF($K36="","",INDEX(Конструктор!$M$2:$M$1212,$K36))</f>
        <v/>
      </c>
      <c r="H36" s="10">
        <f>IF($K36="","",INDEX(Конструктор!$N$2:$N$1212,$K36))</f>
        <v/>
      </c>
      <c r="I36" s="10">
        <f>IF($K36="","",INDEX(Конструктор!$O$2:$O$1212,$K36))</f>
        <v/>
      </c>
      <c r="J36" s="10">
        <f>IF($K36="","",INDEX(Конструктор!$P$2:$P$1212,$K36))</f>
        <v/>
      </c>
      <c r="K36">
        <f>IFERROR(MATCH(16,Конструктор!$T$2:$T$1212,0),"")</f>
        <v/>
      </c>
      <c r="L36">
        <f>IF($K36="","","показать")</f>
        <v/>
      </c>
    </row>
    <row r="37" hidden="1">
      <c r="A37">
        <f>IF($K37="","",17)</f>
        <v/>
      </c>
      <c r="B37">
        <f>IF($K37="","",INDEX(Конструктор!$C$2:$C$1212,$K37))</f>
        <v/>
      </c>
      <c r="C37" s="8">
        <f>IF($K37="","",INDEX(Конструктор!$D$2:$D$1212,$K37)&amp;IF(INDEX(Конструктор!$J$2:$J$1212,$K37)&lt;&gt;""," — "&amp;INDEX(Конструктор!$J$2:$J$1212,$K37),""))</f>
        <v/>
      </c>
      <c r="D37">
        <f>IF($K37="","",INDEX(Конструктор!$E$2:$E$1212,$K37))</f>
        <v/>
      </c>
      <c r="E37" s="10">
        <f>IF($K37="","",INDEX(Конструктор!$H$2:$H$1212,$K37))</f>
        <v/>
      </c>
      <c r="F37" s="10">
        <f>IF($K37="","",INDEX(Конструктор!$L$2:$L$1212,$K37))</f>
        <v/>
      </c>
      <c r="G37" s="10">
        <f>IF($K37="","",INDEX(Конструктор!$M$2:$M$1212,$K37))</f>
        <v/>
      </c>
      <c r="H37" s="10">
        <f>IF($K37="","",INDEX(Конструктор!$N$2:$N$1212,$K37))</f>
        <v/>
      </c>
      <c r="I37" s="10">
        <f>IF($K37="","",INDEX(Конструктор!$O$2:$O$1212,$K37))</f>
        <v/>
      </c>
      <c r="J37" s="10">
        <f>IF($K37="","",INDEX(Конструктор!$P$2:$P$1212,$K37))</f>
        <v/>
      </c>
      <c r="K37">
        <f>IFERROR(MATCH(17,Конструктор!$T$2:$T$1212,0),"")</f>
        <v/>
      </c>
      <c r="L37">
        <f>IF($K37="","","показать")</f>
        <v/>
      </c>
    </row>
    <row r="38" hidden="1">
      <c r="A38">
        <f>IF($K38="","",18)</f>
        <v/>
      </c>
      <c r="B38">
        <f>IF($K38="","",INDEX(Конструктор!$C$2:$C$1212,$K38))</f>
        <v/>
      </c>
      <c r="C38" s="8">
        <f>IF($K38="","",INDEX(Конструктор!$D$2:$D$1212,$K38)&amp;IF(INDEX(Конструктор!$J$2:$J$1212,$K38)&lt;&gt;""," — "&amp;INDEX(Конструктор!$J$2:$J$1212,$K38),""))</f>
        <v/>
      </c>
      <c r="D38">
        <f>IF($K38="","",INDEX(Конструктор!$E$2:$E$1212,$K38))</f>
        <v/>
      </c>
      <c r="E38" s="10">
        <f>IF($K38="","",INDEX(Конструктор!$H$2:$H$1212,$K38))</f>
        <v/>
      </c>
      <c r="F38" s="10">
        <f>IF($K38="","",INDEX(Конструктор!$L$2:$L$1212,$K38))</f>
        <v/>
      </c>
      <c r="G38" s="10">
        <f>IF($K38="","",INDEX(Конструктор!$M$2:$M$1212,$K38))</f>
        <v/>
      </c>
      <c r="H38" s="10">
        <f>IF($K38="","",INDEX(Конструктор!$N$2:$N$1212,$K38))</f>
        <v/>
      </c>
      <c r="I38" s="10">
        <f>IF($K38="","",INDEX(Конструктор!$O$2:$O$1212,$K38))</f>
        <v/>
      </c>
      <c r="J38" s="10">
        <f>IF($K38="","",INDEX(Конструктор!$P$2:$P$1212,$K38))</f>
        <v/>
      </c>
      <c r="K38">
        <f>IFERROR(MATCH(18,Конструктор!$T$2:$T$1212,0),"")</f>
        <v/>
      </c>
      <c r="L38">
        <f>IF($K38="","","показать")</f>
        <v/>
      </c>
    </row>
    <row r="39" hidden="1">
      <c r="A39">
        <f>IF($K39="","",19)</f>
        <v/>
      </c>
      <c r="B39">
        <f>IF($K39="","",INDEX(Конструктор!$C$2:$C$1212,$K39))</f>
        <v/>
      </c>
      <c r="C39" s="8">
        <f>IF($K39="","",INDEX(Конструктор!$D$2:$D$1212,$K39)&amp;IF(INDEX(Конструктор!$J$2:$J$1212,$K39)&lt;&gt;""," — "&amp;INDEX(Конструктор!$J$2:$J$1212,$K39),""))</f>
        <v/>
      </c>
      <c r="D39">
        <f>IF($K39="","",INDEX(Конструктор!$E$2:$E$1212,$K39))</f>
        <v/>
      </c>
      <c r="E39" s="10">
        <f>IF($K39="","",INDEX(Конструктор!$H$2:$H$1212,$K39))</f>
        <v/>
      </c>
      <c r="F39" s="10">
        <f>IF($K39="","",INDEX(Конструктор!$L$2:$L$1212,$K39))</f>
        <v/>
      </c>
      <c r="G39" s="10">
        <f>IF($K39="","",INDEX(Конструктор!$M$2:$M$1212,$K39))</f>
        <v/>
      </c>
      <c r="H39" s="10">
        <f>IF($K39="","",INDEX(Конструктор!$N$2:$N$1212,$K39))</f>
        <v/>
      </c>
      <c r="I39" s="10">
        <f>IF($K39="","",INDEX(Конструктор!$O$2:$O$1212,$K39))</f>
        <v/>
      </c>
      <c r="J39" s="10">
        <f>IF($K39="","",INDEX(Конструктор!$P$2:$P$1212,$K39))</f>
        <v/>
      </c>
      <c r="K39">
        <f>IFERROR(MATCH(19,Конструктор!$T$2:$T$1212,0),"")</f>
        <v/>
      </c>
      <c r="L39">
        <f>IF($K39="","","показать")</f>
        <v/>
      </c>
    </row>
    <row r="40" hidden="1">
      <c r="A40">
        <f>IF($K40="","",20)</f>
        <v/>
      </c>
      <c r="B40">
        <f>IF($K40="","",INDEX(Конструктор!$C$2:$C$1212,$K40))</f>
        <v/>
      </c>
      <c r="C40" s="8">
        <f>IF($K40="","",INDEX(Конструктор!$D$2:$D$1212,$K40)&amp;IF(INDEX(Конструктор!$J$2:$J$1212,$K40)&lt;&gt;""," — "&amp;INDEX(Конструктор!$J$2:$J$1212,$K40),""))</f>
        <v/>
      </c>
      <c r="D40">
        <f>IF($K40="","",INDEX(Конструктор!$E$2:$E$1212,$K40))</f>
        <v/>
      </c>
      <c r="E40" s="10">
        <f>IF($K40="","",INDEX(Конструктор!$H$2:$H$1212,$K40))</f>
        <v/>
      </c>
      <c r="F40" s="10">
        <f>IF($K40="","",INDEX(Конструктор!$L$2:$L$1212,$K40))</f>
        <v/>
      </c>
      <c r="G40" s="10">
        <f>IF($K40="","",INDEX(Конструктор!$M$2:$M$1212,$K40))</f>
        <v/>
      </c>
      <c r="H40" s="10">
        <f>IF($K40="","",INDEX(Конструктор!$N$2:$N$1212,$K40))</f>
        <v/>
      </c>
      <c r="I40" s="10">
        <f>IF($K40="","",INDEX(Конструктор!$O$2:$O$1212,$K40))</f>
        <v/>
      </c>
      <c r="J40" s="10">
        <f>IF($K40="","",INDEX(Конструктор!$P$2:$P$1212,$K40))</f>
        <v/>
      </c>
      <c r="K40">
        <f>IFERROR(MATCH(20,Конструктор!$T$2:$T$1212,0),"")</f>
        <v/>
      </c>
      <c r="L40">
        <f>IF($K40="","","показать")</f>
        <v/>
      </c>
    </row>
    <row r="41" hidden="1">
      <c r="A41">
        <f>IF($K41="","",21)</f>
        <v/>
      </c>
      <c r="B41">
        <f>IF($K41="","",INDEX(Конструктор!$C$2:$C$1212,$K41))</f>
        <v/>
      </c>
      <c r="C41" s="8">
        <f>IF($K41="","",INDEX(Конструктор!$D$2:$D$1212,$K41)&amp;IF(INDEX(Конструктор!$J$2:$J$1212,$K41)&lt;&gt;""," — "&amp;INDEX(Конструктор!$J$2:$J$1212,$K41),""))</f>
        <v/>
      </c>
      <c r="D41">
        <f>IF($K41="","",INDEX(Конструктор!$E$2:$E$1212,$K41))</f>
        <v/>
      </c>
      <c r="E41" s="10">
        <f>IF($K41="","",INDEX(Конструктор!$H$2:$H$1212,$K41))</f>
        <v/>
      </c>
      <c r="F41" s="10">
        <f>IF($K41="","",INDEX(Конструктор!$L$2:$L$1212,$K41))</f>
        <v/>
      </c>
      <c r="G41" s="10">
        <f>IF($K41="","",INDEX(Конструктор!$M$2:$M$1212,$K41))</f>
        <v/>
      </c>
      <c r="H41" s="10">
        <f>IF($K41="","",INDEX(Конструктор!$N$2:$N$1212,$K41))</f>
        <v/>
      </c>
      <c r="I41" s="10">
        <f>IF($K41="","",INDEX(Конструктор!$O$2:$O$1212,$K41))</f>
        <v/>
      </c>
      <c r="J41" s="10">
        <f>IF($K41="","",INDEX(Конструктор!$P$2:$P$1212,$K41))</f>
        <v/>
      </c>
      <c r="K41">
        <f>IFERROR(MATCH(21,Конструктор!$T$2:$T$1212,0),"")</f>
        <v/>
      </c>
      <c r="L41">
        <f>IF($K41="","","показать")</f>
        <v/>
      </c>
    </row>
    <row r="42" hidden="1">
      <c r="A42">
        <f>IF($K42="","",22)</f>
        <v/>
      </c>
      <c r="B42">
        <f>IF($K42="","",INDEX(Конструктор!$C$2:$C$1212,$K42))</f>
        <v/>
      </c>
      <c r="C42" s="8">
        <f>IF($K42="","",INDEX(Конструктор!$D$2:$D$1212,$K42)&amp;IF(INDEX(Конструктор!$J$2:$J$1212,$K42)&lt;&gt;""," — "&amp;INDEX(Конструктор!$J$2:$J$1212,$K42),""))</f>
        <v/>
      </c>
      <c r="D42">
        <f>IF($K42="","",INDEX(Конструктор!$E$2:$E$1212,$K42))</f>
        <v/>
      </c>
      <c r="E42" s="10">
        <f>IF($K42="","",INDEX(Конструктор!$H$2:$H$1212,$K42))</f>
        <v/>
      </c>
      <c r="F42" s="10">
        <f>IF($K42="","",INDEX(Конструктор!$L$2:$L$1212,$K42))</f>
        <v/>
      </c>
      <c r="G42" s="10">
        <f>IF($K42="","",INDEX(Конструктор!$M$2:$M$1212,$K42))</f>
        <v/>
      </c>
      <c r="H42" s="10">
        <f>IF($K42="","",INDEX(Конструктор!$N$2:$N$1212,$K42))</f>
        <v/>
      </c>
      <c r="I42" s="10">
        <f>IF($K42="","",INDEX(Конструктор!$O$2:$O$1212,$K42))</f>
        <v/>
      </c>
      <c r="J42" s="10">
        <f>IF($K42="","",INDEX(Конструктор!$P$2:$P$1212,$K42))</f>
        <v/>
      </c>
      <c r="K42">
        <f>IFERROR(MATCH(22,Конструктор!$T$2:$T$1212,0),"")</f>
        <v/>
      </c>
      <c r="L42">
        <f>IF($K42="","","показать")</f>
        <v/>
      </c>
    </row>
    <row r="43" hidden="1">
      <c r="A43">
        <f>IF($K43="","",23)</f>
        <v/>
      </c>
      <c r="B43">
        <f>IF($K43="","",INDEX(Конструктор!$C$2:$C$1212,$K43))</f>
        <v/>
      </c>
      <c r="C43" s="8">
        <f>IF($K43="","",INDEX(Конструктор!$D$2:$D$1212,$K43)&amp;IF(INDEX(Конструктор!$J$2:$J$1212,$K43)&lt;&gt;""," — "&amp;INDEX(Конструктор!$J$2:$J$1212,$K43),""))</f>
        <v/>
      </c>
      <c r="D43">
        <f>IF($K43="","",INDEX(Конструктор!$E$2:$E$1212,$K43))</f>
        <v/>
      </c>
      <c r="E43" s="10">
        <f>IF($K43="","",INDEX(Конструктор!$H$2:$H$1212,$K43))</f>
        <v/>
      </c>
      <c r="F43" s="10">
        <f>IF($K43="","",INDEX(Конструктор!$L$2:$L$1212,$K43))</f>
        <v/>
      </c>
      <c r="G43" s="10">
        <f>IF($K43="","",INDEX(Конструктор!$M$2:$M$1212,$K43))</f>
        <v/>
      </c>
      <c r="H43" s="10">
        <f>IF($K43="","",INDEX(Конструктор!$N$2:$N$1212,$K43))</f>
        <v/>
      </c>
      <c r="I43" s="10">
        <f>IF($K43="","",INDEX(Конструктор!$O$2:$O$1212,$K43))</f>
        <v/>
      </c>
      <c r="J43" s="10">
        <f>IF($K43="","",INDEX(Конструктор!$P$2:$P$1212,$K43))</f>
        <v/>
      </c>
      <c r="K43">
        <f>IFERROR(MATCH(23,Конструктор!$T$2:$T$1212,0),"")</f>
        <v/>
      </c>
      <c r="L43">
        <f>IF($K43="","","показать")</f>
        <v/>
      </c>
    </row>
    <row r="44" hidden="1">
      <c r="A44">
        <f>IF($K44="","",24)</f>
        <v/>
      </c>
      <c r="B44">
        <f>IF($K44="","",INDEX(Конструктор!$C$2:$C$1212,$K44))</f>
        <v/>
      </c>
      <c r="C44" s="8">
        <f>IF($K44="","",INDEX(Конструктор!$D$2:$D$1212,$K44)&amp;IF(INDEX(Конструктор!$J$2:$J$1212,$K44)&lt;&gt;""," — "&amp;INDEX(Конструктор!$J$2:$J$1212,$K44),""))</f>
        <v/>
      </c>
      <c r="D44">
        <f>IF($K44="","",INDEX(Конструктор!$E$2:$E$1212,$K44))</f>
        <v/>
      </c>
      <c r="E44" s="10">
        <f>IF($K44="","",INDEX(Конструктор!$H$2:$H$1212,$K44))</f>
        <v/>
      </c>
      <c r="F44" s="10">
        <f>IF($K44="","",INDEX(Конструктор!$L$2:$L$1212,$K44))</f>
        <v/>
      </c>
      <c r="G44" s="10">
        <f>IF($K44="","",INDEX(Конструктор!$M$2:$M$1212,$K44))</f>
        <v/>
      </c>
      <c r="H44" s="10">
        <f>IF($K44="","",INDEX(Конструктор!$N$2:$N$1212,$K44))</f>
        <v/>
      </c>
      <c r="I44" s="10">
        <f>IF($K44="","",INDEX(Конструктор!$O$2:$O$1212,$K44))</f>
        <v/>
      </c>
      <c r="J44" s="10">
        <f>IF($K44="","",INDEX(Конструктор!$P$2:$P$1212,$K44))</f>
        <v/>
      </c>
      <c r="K44">
        <f>IFERROR(MATCH(24,Конструктор!$T$2:$T$1212,0),"")</f>
        <v/>
      </c>
      <c r="L44">
        <f>IF($K44="","","показать")</f>
        <v/>
      </c>
    </row>
    <row r="45" hidden="1">
      <c r="A45">
        <f>IF($K45="","",25)</f>
        <v/>
      </c>
      <c r="B45">
        <f>IF($K45="","",INDEX(Конструктор!$C$2:$C$1212,$K45))</f>
        <v/>
      </c>
      <c r="C45" s="8">
        <f>IF($K45="","",INDEX(Конструктор!$D$2:$D$1212,$K45)&amp;IF(INDEX(Конструктор!$J$2:$J$1212,$K45)&lt;&gt;""," — "&amp;INDEX(Конструктор!$J$2:$J$1212,$K45),""))</f>
        <v/>
      </c>
      <c r="D45">
        <f>IF($K45="","",INDEX(Конструктор!$E$2:$E$1212,$K45))</f>
        <v/>
      </c>
      <c r="E45" s="10">
        <f>IF($K45="","",INDEX(Конструктор!$H$2:$H$1212,$K45))</f>
        <v/>
      </c>
      <c r="F45" s="10">
        <f>IF($K45="","",INDEX(Конструктор!$L$2:$L$1212,$K45))</f>
        <v/>
      </c>
      <c r="G45" s="10">
        <f>IF($K45="","",INDEX(Конструктор!$M$2:$M$1212,$K45))</f>
        <v/>
      </c>
      <c r="H45" s="10">
        <f>IF($K45="","",INDEX(Конструктор!$N$2:$N$1212,$K45))</f>
        <v/>
      </c>
      <c r="I45" s="10">
        <f>IF($K45="","",INDEX(Конструктор!$O$2:$O$1212,$K45))</f>
        <v/>
      </c>
      <c r="J45" s="10">
        <f>IF($K45="","",INDEX(Конструктор!$P$2:$P$1212,$K45))</f>
        <v/>
      </c>
      <c r="K45">
        <f>IFERROR(MATCH(25,Конструктор!$T$2:$T$1212,0),"")</f>
        <v/>
      </c>
      <c r="L45">
        <f>IF($K45="","","показать")</f>
        <v/>
      </c>
    </row>
    <row r="46" hidden="1">
      <c r="A46">
        <f>IF($K46="","",26)</f>
        <v/>
      </c>
      <c r="B46">
        <f>IF($K46="","",INDEX(Конструктор!$C$2:$C$1212,$K46))</f>
        <v/>
      </c>
      <c r="C46" s="8">
        <f>IF($K46="","",INDEX(Конструктор!$D$2:$D$1212,$K46)&amp;IF(INDEX(Конструктор!$J$2:$J$1212,$K46)&lt;&gt;""," — "&amp;INDEX(Конструктор!$J$2:$J$1212,$K46),""))</f>
        <v/>
      </c>
      <c r="D46">
        <f>IF($K46="","",INDEX(Конструктор!$E$2:$E$1212,$K46))</f>
        <v/>
      </c>
      <c r="E46" s="10">
        <f>IF($K46="","",INDEX(Конструктор!$H$2:$H$1212,$K46))</f>
        <v/>
      </c>
      <c r="F46" s="10">
        <f>IF($K46="","",INDEX(Конструктор!$L$2:$L$1212,$K46))</f>
        <v/>
      </c>
      <c r="G46" s="10">
        <f>IF($K46="","",INDEX(Конструктор!$M$2:$M$1212,$K46))</f>
        <v/>
      </c>
      <c r="H46" s="10">
        <f>IF($K46="","",INDEX(Конструктор!$N$2:$N$1212,$K46))</f>
        <v/>
      </c>
      <c r="I46" s="10">
        <f>IF($K46="","",INDEX(Конструктор!$O$2:$O$1212,$K46))</f>
        <v/>
      </c>
      <c r="J46" s="10">
        <f>IF($K46="","",INDEX(Конструктор!$P$2:$P$1212,$K46))</f>
        <v/>
      </c>
      <c r="K46">
        <f>IFERROR(MATCH(26,Конструктор!$T$2:$T$1212,0),"")</f>
        <v/>
      </c>
      <c r="L46">
        <f>IF($K46="","","показать")</f>
        <v/>
      </c>
    </row>
    <row r="47" hidden="1">
      <c r="A47">
        <f>IF($K47="","",27)</f>
        <v/>
      </c>
      <c r="B47">
        <f>IF($K47="","",INDEX(Конструктор!$C$2:$C$1212,$K47))</f>
        <v/>
      </c>
      <c r="C47" s="8">
        <f>IF($K47="","",INDEX(Конструктор!$D$2:$D$1212,$K47)&amp;IF(INDEX(Конструктор!$J$2:$J$1212,$K47)&lt;&gt;""," — "&amp;INDEX(Конструктор!$J$2:$J$1212,$K47),""))</f>
        <v/>
      </c>
      <c r="D47">
        <f>IF($K47="","",INDEX(Конструктор!$E$2:$E$1212,$K47))</f>
        <v/>
      </c>
      <c r="E47" s="10">
        <f>IF($K47="","",INDEX(Конструктор!$H$2:$H$1212,$K47))</f>
        <v/>
      </c>
      <c r="F47" s="10">
        <f>IF($K47="","",INDEX(Конструктор!$L$2:$L$1212,$K47))</f>
        <v/>
      </c>
      <c r="G47" s="10">
        <f>IF($K47="","",INDEX(Конструктор!$M$2:$M$1212,$K47))</f>
        <v/>
      </c>
      <c r="H47" s="10">
        <f>IF($K47="","",INDEX(Конструктор!$N$2:$N$1212,$K47))</f>
        <v/>
      </c>
      <c r="I47" s="10">
        <f>IF($K47="","",INDEX(Конструктор!$O$2:$O$1212,$K47))</f>
        <v/>
      </c>
      <c r="J47" s="10">
        <f>IF($K47="","",INDEX(Конструктор!$P$2:$P$1212,$K47))</f>
        <v/>
      </c>
      <c r="K47">
        <f>IFERROR(MATCH(27,Конструктор!$T$2:$T$1212,0),"")</f>
        <v/>
      </c>
      <c r="L47">
        <f>IF($K47="","","показать")</f>
        <v/>
      </c>
    </row>
    <row r="48" hidden="1">
      <c r="A48">
        <f>IF($K48="","",28)</f>
        <v/>
      </c>
      <c r="B48">
        <f>IF($K48="","",INDEX(Конструктор!$C$2:$C$1212,$K48))</f>
        <v/>
      </c>
      <c r="C48" s="8">
        <f>IF($K48="","",INDEX(Конструктор!$D$2:$D$1212,$K48)&amp;IF(INDEX(Конструктор!$J$2:$J$1212,$K48)&lt;&gt;""," — "&amp;INDEX(Конструктор!$J$2:$J$1212,$K48),""))</f>
        <v/>
      </c>
      <c r="D48">
        <f>IF($K48="","",INDEX(Конструктор!$E$2:$E$1212,$K48))</f>
        <v/>
      </c>
      <c r="E48" s="10">
        <f>IF($K48="","",INDEX(Конструктор!$H$2:$H$1212,$K48))</f>
        <v/>
      </c>
      <c r="F48" s="10">
        <f>IF($K48="","",INDEX(Конструктор!$L$2:$L$1212,$K48))</f>
        <v/>
      </c>
      <c r="G48" s="10">
        <f>IF($K48="","",INDEX(Конструктор!$M$2:$M$1212,$K48))</f>
        <v/>
      </c>
      <c r="H48" s="10">
        <f>IF($K48="","",INDEX(Конструктор!$N$2:$N$1212,$K48))</f>
        <v/>
      </c>
      <c r="I48" s="10">
        <f>IF($K48="","",INDEX(Конструктор!$O$2:$O$1212,$K48))</f>
        <v/>
      </c>
      <c r="J48" s="10">
        <f>IF($K48="","",INDEX(Конструктор!$P$2:$P$1212,$K48))</f>
        <v/>
      </c>
      <c r="K48">
        <f>IFERROR(MATCH(28,Конструктор!$T$2:$T$1212,0),"")</f>
        <v/>
      </c>
      <c r="L48">
        <f>IF($K48="","","показать")</f>
        <v/>
      </c>
    </row>
    <row r="49" hidden="1">
      <c r="A49">
        <f>IF($K49="","",29)</f>
        <v/>
      </c>
      <c r="B49">
        <f>IF($K49="","",INDEX(Конструктор!$C$2:$C$1212,$K49))</f>
        <v/>
      </c>
      <c r="C49" s="8">
        <f>IF($K49="","",INDEX(Конструктор!$D$2:$D$1212,$K49)&amp;IF(INDEX(Конструктор!$J$2:$J$1212,$K49)&lt;&gt;""," — "&amp;INDEX(Конструктор!$J$2:$J$1212,$K49),""))</f>
        <v/>
      </c>
      <c r="D49">
        <f>IF($K49="","",INDEX(Конструктор!$E$2:$E$1212,$K49))</f>
        <v/>
      </c>
      <c r="E49" s="10">
        <f>IF($K49="","",INDEX(Конструктор!$H$2:$H$1212,$K49))</f>
        <v/>
      </c>
      <c r="F49" s="10">
        <f>IF($K49="","",INDEX(Конструктор!$L$2:$L$1212,$K49))</f>
        <v/>
      </c>
      <c r="G49" s="10">
        <f>IF($K49="","",INDEX(Конструктор!$M$2:$M$1212,$K49))</f>
        <v/>
      </c>
      <c r="H49" s="10">
        <f>IF($K49="","",INDEX(Конструктор!$N$2:$N$1212,$K49))</f>
        <v/>
      </c>
      <c r="I49" s="10">
        <f>IF($K49="","",INDEX(Конструктор!$O$2:$O$1212,$K49))</f>
        <v/>
      </c>
      <c r="J49" s="10">
        <f>IF($K49="","",INDEX(Конструктор!$P$2:$P$1212,$K49))</f>
        <v/>
      </c>
      <c r="K49">
        <f>IFERROR(MATCH(29,Конструктор!$T$2:$T$1212,0),"")</f>
        <v/>
      </c>
      <c r="L49">
        <f>IF($K49="","","показать")</f>
        <v/>
      </c>
    </row>
    <row r="50" hidden="1">
      <c r="A50">
        <f>IF($K50="","",30)</f>
        <v/>
      </c>
      <c r="B50">
        <f>IF($K50="","",INDEX(Конструктор!$C$2:$C$1212,$K50))</f>
        <v/>
      </c>
      <c r="C50" s="8">
        <f>IF($K50="","",INDEX(Конструктор!$D$2:$D$1212,$K50)&amp;IF(INDEX(Конструктор!$J$2:$J$1212,$K50)&lt;&gt;""," — "&amp;INDEX(Конструктор!$J$2:$J$1212,$K50),""))</f>
        <v/>
      </c>
      <c r="D50">
        <f>IF($K50="","",INDEX(Конструктор!$E$2:$E$1212,$K50))</f>
        <v/>
      </c>
      <c r="E50" s="10">
        <f>IF($K50="","",INDEX(Конструктор!$H$2:$H$1212,$K50))</f>
        <v/>
      </c>
      <c r="F50" s="10">
        <f>IF($K50="","",INDEX(Конструктор!$L$2:$L$1212,$K50))</f>
        <v/>
      </c>
      <c r="G50" s="10">
        <f>IF($K50="","",INDEX(Конструктор!$M$2:$M$1212,$K50))</f>
        <v/>
      </c>
      <c r="H50" s="10">
        <f>IF($K50="","",INDEX(Конструктор!$N$2:$N$1212,$K50))</f>
        <v/>
      </c>
      <c r="I50" s="10">
        <f>IF($K50="","",INDEX(Конструктор!$O$2:$O$1212,$K50))</f>
        <v/>
      </c>
      <c r="J50" s="10">
        <f>IF($K50="","",INDEX(Конструктор!$P$2:$P$1212,$K50))</f>
        <v/>
      </c>
      <c r="K50">
        <f>IFERROR(MATCH(30,Конструктор!$T$2:$T$1212,0),"")</f>
        <v/>
      </c>
      <c r="L50">
        <f>IF($K50="","","показать")</f>
        <v/>
      </c>
    </row>
    <row r="51" hidden="1">
      <c r="A51">
        <f>IF($K51="","",31)</f>
        <v/>
      </c>
      <c r="B51">
        <f>IF($K51="","",INDEX(Конструктор!$C$2:$C$1212,$K51))</f>
        <v/>
      </c>
      <c r="C51" s="8">
        <f>IF($K51="","",INDEX(Конструктор!$D$2:$D$1212,$K51)&amp;IF(INDEX(Конструктор!$J$2:$J$1212,$K51)&lt;&gt;""," — "&amp;INDEX(Конструктор!$J$2:$J$1212,$K51),""))</f>
        <v/>
      </c>
      <c r="D51">
        <f>IF($K51="","",INDEX(Конструктор!$E$2:$E$1212,$K51))</f>
        <v/>
      </c>
      <c r="E51" s="10">
        <f>IF($K51="","",INDEX(Конструктор!$H$2:$H$1212,$K51))</f>
        <v/>
      </c>
      <c r="F51" s="10">
        <f>IF($K51="","",INDEX(Конструктор!$L$2:$L$1212,$K51))</f>
        <v/>
      </c>
      <c r="G51" s="10">
        <f>IF($K51="","",INDEX(Конструктор!$M$2:$M$1212,$K51))</f>
        <v/>
      </c>
      <c r="H51" s="10">
        <f>IF($K51="","",INDEX(Конструктор!$N$2:$N$1212,$K51))</f>
        <v/>
      </c>
      <c r="I51" s="10">
        <f>IF($K51="","",INDEX(Конструктор!$O$2:$O$1212,$K51))</f>
        <v/>
      </c>
      <c r="J51" s="10">
        <f>IF($K51="","",INDEX(Конструктор!$P$2:$P$1212,$K51))</f>
        <v/>
      </c>
      <c r="K51">
        <f>IFERROR(MATCH(31,Конструктор!$T$2:$T$1212,0),"")</f>
        <v/>
      </c>
      <c r="L51">
        <f>IF($K51="","","показать")</f>
        <v/>
      </c>
    </row>
    <row r="52" hidden="1">
      <c r="A52">
        <f>IF($K52="","",32)</f>
        <v/>
      </c>
      <c r="B52">
        <f>IF($K52="","",INDEX(Конструктор!$C$2:$C$1212,$K52))</f>
        <v/>
      </c>
      <c r="C52" s="8">
        <f>IF($K52="","",INDEX(Конструктор!$D$2:$D$1212,$K52)&amp;IF(INDEX(Конструктор!$J$2:$J$1212,$K52)&lt;&gt;""," — "&amp;INDEX(Конструктор!$J$2:$J$1212,$K52),""))</f>
        <v/>
      </c>
      <c r="D52">
        <f>IF($K52="","",INDEX(Конструктор!$E$2:$E$1212,$K52))</f>
        <v/>
      </c>
      <c r="E52" s="10">
        <f>IF($K52="","",INDEX(Конструктор!$H$2:$H$1212,$K52))</f>
        <v/>
      </c>
      <c r="F52" s="10">
        <f>IF($K52="","",INDEX(Конструктор!$L$2:$L$1212,$K52))</f>
        <v/>
      </c>
      <c r="G52" s="10">
        <f>IF($K52="","",INDEX(Конструктор!$M$2:$M$1212,$K52))</f>
        <v/>
      </c>
      <c r="H52" s="10">
        <f>IF($K52="","",INDEX(Конструктор!$N$2:$N$1212,$K52))</f>
        <v/>
      </c>
      <c r="I52" s="10">
        <f>IF($K52="","",INDEX(Конструктор!$O$2:$O$1212,$K52))</f>
        <v/>
      </c>
      <c r="J52" s="10">
        <f>IF($K52="","",INDEX(Конструктор!$P$2:$P$1212,$K52))</f>
        <v/>
      </c>
      <c r="K52">
        <f>IFERROR(MATCH(32,Конструктор!$T$2:$T$1212,0),"")</f>
        <v/>
      </c>
      <c r="L52">
        <f>IF($K52="","","показать")</f>
        <v/>
      </c>
    </row>
    <row r="53" hidden="1">
      <c r="A53">
        <f>IF($K53="","",33)</f>
        <v/>
      </c>
      <c r="B53">
        <f>IF($K53="","",INDEX(Конструктор!$C$2:$C$1212,$K53))</f>
        <v/>
      </c>
      <c r="C53" s="8">
        <f>IF($K53="","",INDEX(Конструктор!$D$2:$D$1212,$K53)&amp;IF(INDEX(Конструктор!$J$2:$J$1212,$K53)&lt;&gt;""," — "&amp;INDEX(Конструктор!$J$2:$J$1212,$K53),""))</f>
        <v/>
      </c>
      <c r="D53">
        <f>IF($K53="","",INDEX(Конструктор!$E$2:$E$1212,$K53))</f>
        <v/>
      </c>
      <c r="E53" s="10">
        <f>IF($K53="","",INDEX(Конструктор!$H$2:$H$1212,$K53))</f>
        <v/>
      </c>
      <c r="F53" s="10">
        <f>IF($K53="","",INDEX(Конструктор!$L$2:$L$1212,$K53))</f>
        <v/>
      </c>
      <c r="G53" s="10">
        <f>IF($K53="","",INDEX(Конструктор!$M$2:$M$1212,$K53))</f>
        <v/>
      </c>
      <c r="H53" s="10">
        <f>IF($K53="","",INDEX(Конструктор!$N$2:$N$1212,$K53))</f>
        <v/>
      </c>
      <c r="I53" s="10">
        <f>IF($K53="","",INDEX(Конструктор!$O$2:$O$1212,$K53))</f>
        <v/>
      </c>
      <c r="J53" s="10">
        <f>IF($K53="","",INDEX(Конструктор!$P$2:$P$1212,$K53))</f>
        <v/>
      </c>
      <c r="K53">
        <f>IFERROR(MATCH(33,Конструктор!$T$2:$T$1212,0),"")</f>
        <v/>
      </c>
      <c r="L53">
        <f>IF($K53="","","показать")</f>
        <v/>
      </c>
    </row>
    <row r="54" hidden="1">
      <c r="A54">
        <f>IF($K54="","",34)</f>
        <v/>
      </c>
      <c r="B54">
        <f>IF($K54="","",INDEX(Конструктор!$C$2:$C$1212,$K54))</f>
        <v/>
      </c>
      <c r="C54" s="8">
        <f>IF($K54="","",INDEX(Конструктор!$D$2:$D$1212,$K54)&amp;IF(INDEX(Конструктор!$J$2:$J$1212,$K54)&lt;&gt;""," — "&amp;INDEX(Конструктор!$J$2:$J$1212,$K54),""))</f>
        <v/>
      </c>
      <c r="D54">
        <f>IF($K54="","",INDEX(Конструктор!$E$2:$E$1212,$K54))</f>
        <v/>
      </c>
      <c r="E54" s="10">
        <f>IF($K54="","",INDEX(Конструктор!$H$2:$H$1212,$K54))</f>
        <v/>
      </c>
      <c r="F54" s="10">
        <f>IF($K54="","",INDEX(Конструктор!$L$2:$L$1212,$K54))</f>
        <v/>
      </c>
      <c r="G54" s="10">
        <f>IF($K54="","",INDEX(Конструктор!$M$2:$M$1212,$K54))</f>
        <v/>
      </c>
      <c r="H54" s="10">
        <f>IF($K54="","",INDEX(Конструктор!$N$2:$N$1212,$K54))</f>
        <v/>
      </c>
      <c r="I54" s="10">
        <f>IF($K54="","",INDEX(Конструктор!$O$2:$O$1212,$K54))</f>
        <v/>
      </c>
      <c r="J54" s="10">
        <f>IF($K54="","",INDEX(Конструктор!$P$2:$P$1212,$K54))</f>
        <v/>
      </c>
      <c r="K54">
        <f>IFERROR(MATCH(34,Конструктор!$T$2:$T$1212,0),"")</f>
        <v/>
      </c>
      <c r="L54">
        <f>IF($K54="","","показать")</f>
        <v/>
      </c>
    </row>
    <row r="55" hidden="1">
      <c r="A55">
        <f>IF($K55="","",35)</f>
        <v/>
      </c>
      <c r="B55">
        <f>IF($K55="","",INDEX(Конструктор!$C$2:$C$1212,$K55))</f>
        <v/>
      </c>
      <c r="C55" s="8">
        <f>IF($K55="","",INDEX(Конструктор!$D$2:$D$1212,$K55)&amp;IF(INDEX(Конструктор!$J$2:$J$1212,$K55)&lt;&gt;""," — "&amp;INDEX(Конструктор!$J$2:$J$1212,$K55),""))</f>
        <v/>
      </c>
      <c r="D55">
        <f>IF($K55="","",INDEX(Конструктор!$E$2:$E$1212,$K55))</f>
        <v/>
      </c>
      <c r="E55" s="10">
        <f>IF($K55="","",INDEX(Конструктор!$H$2:$H$1212,$K55))</f>
        <v/>
      </c>
      <c r="F55" s="10">
        <f>IF($K55="","",INDEX(Конструктор!$L$2:$L$1212,$K55))</f>
        <v/>
      </c>
      <c r="G55" s="10">
        <f>IF($K55="","",INDEX(Конструктор!$M$2:$M$1212,$K55))</f>
        <v/>
      </c>
      <c r="H55" s="10">
        <f>IF($K55="","",INDEX(Конструктор!$N$2:$N$1212,$K55))</f>
        <v/>
      </c>
      <c r="I55" s="10">
        <f>IF($K55="","",INDEX(Конструктор!$O$2:$O$1212,$K55))</f>
        <v/>
      </c>
      <c r="J55" s="10">
        <f>IF($K55="","",INDEX(Конструктор!$P$2:$P$1212,$K55))</f>
        <v/>
      </c>
      <c r="K55">
        <f>IFERROR(MATCH(35,Конструктор!$T$2:$T$1212,0),"")</f>
        <v/>
      </c>
      <c r="L55">
        <f>IF($K55="","","показать")</f>
        <v/>
      </c>
    </row>
    <row r="56" hidden="1">
      <c r="A56">
        <f>IF($K56="","",36)</f>
        <v/>
      </c>
      <c r="B56">
        <f>IF($K56="","",INDEX(Конструктор!$C$2:$C$1212,$K56))</f>
        <v/>
      </c>
      <c r="C56" s="8">
        <f>IF($K56="","",INDEX(Конструктор!$D$2:$D$1212,$K56)&amp;IF(INDEX(Конструктор!$J$2:$J$1212,$K56)&lt;&gt;""," — "&amp;INDEX(Конструктор!$J$2:$J$1212,$K56),""))</f>
        <v/>
      </c>
      <c r="D56">
        <f>IF($K56="","",INDEX(Конструктор!$E$2:$E$1212,$K56))</f>
        <v/>
      </c>
      <c r="E56" s="10">
        <f>IF($K56="","",INDEX(Конструктор!$H$2:$H$1212,$K56))</f>
        <v/>
      </c>
      <c r="F56" s="10">
        <f>IF($K56="","",INDEX(Конструктор!$L$2:$L$1212,$K56))</f>
        <v/>
      </c>
      <c r="G56" s="10">
        <f>IF($K56="","",INDEX(Конструктор!$M$2:$M$1212,$K56))</f>
        <v/>
      </c>
      <c r="H56" s="10">
        <f>IF($K56="","",INDEX(Конструктор!$N$2:$N$1212,$K56))</f>
        <v/>
      </c>
      <c r="I56" s="10">
        <f>IF($K56="","",INDEX(Конструктор!$O$2:$O$1212,$K56))</f>
        <v/>
      </c>
      <c r="J56" s="10">
        <f>IF($K56="","",INDEX(Конструктор!$P$2:$P$1212,$K56))</f>
        <v/>
      </c>
      <c r="K56">
        <f>IFERROR(MATCH(36,Конструктор!$T$2:$T$1212,0),"")</f>
        <v/>
      </c>
      <c r="L56">
        <f>IF($K56="","","показать")</f>
        <v/>
      </c>
    </row>
    <row r="57" hidden="1">
      <c r="A57">
        <f>IF($K57="","",37)</f>
        <v/>
      </c>
      <c r="B57">
        <f>IF($K57="","",INDEX(Конструктор!$C$2:$C$1212,$K57))</f>
        <v/>
      </c>
      <c r="C57" s="8">
        <f>IF($K57="","",INDEX(Конструктор!$D$2:$D$1212,$K57)&amp;IF(INDEX(Конструктор!$J$2:$J$1212,$K57)&lt;&gt;""," — "&amp;INDEX(Конструктор!$J$2:$J$1212,$K57),""))</f>
        <v/>
      </c>
      <c r="D57">
        <f>IF($K57="","",INDEX(Конструктор!$E$2:$E$1212,$K57))</f>
        <v/>
      </c>
      <c r="E57" s="10">
        <f>IF($K57="","",INDEX(Конструктор!$H$2:$H$1212,$K57))</f>
        <v/>
      </c>
      <c r="F57" s="10">
        <f>IF($K57="","",INDEX(Конструктор!$L$2:$L$1212,$K57))</f>
        <v/>
      </c>
      <c r="G57" s="10">
        <f>IF($K57="","",INDEX(Конструктор!$M$2:$M$1212,$K57))</f>
        <v/>
      </c>
      <c r="H57" s="10">
        <f>IF($K57="","",INDEX(Конструктор!$N$2:$N$1212,$K57))</f>
        <v/>
      </c>
      <c r="I57" s="10">
        <f>IF($K57="","",INDEX(Конструктор!$O$2:$O$1212,$K57))</f>
        <v/>
      </c>
      <c r="J57" s="10">
        <f>IF($K57="","",INDEX(Конструктор!$P$2:$P$1212,$K57))</f>
        <v/>
      </c>
      <c r="K57">
        <f>IFERROR(MATCH(37,Конструктор!$T$2:$T$1212,0),"")</f>
        <v/>
      </c>
      <c r="L57">
        <f>IF($K57="","","показать")</f>
        <v/>
      </c>
    </row>
    <row r="58" hidden="1">
      <c r="A58">
        <f>IF($K58="","",38)</f>
        <v/>
      </c>
      <c r="B58">
        <f>IF($K58="","",INDEX(Конструктор!$C$2:$C$1212,$K58))</f>
        <v/>
      </c>
      <c r="C58" s="8">
        <f>IF($K58="","",INDEX(Конструктор!$D$2:$D$1212,$K58)&amp;IF(INDEX(Конструктор!$J$2:$J$1212,$K58)&lt;&gt;""," — "&amp;INDEX(Конструктор!$J$2:$J$1212,$K58),""))</f>
        <v/>
      </c>
      <c r="D58">
        <f>IF($K58="","",INDEX(Конструктор!$E$2:$E$1212,$K58))</f>
        <v/>
      </c>
      <c r="E58" s="10">
        <f>IF($K58="","",INDEX(Конструктор!$H$2:$H$1212,$K58))</f>
        <v/>
      </c>
      <c r="F58" s="10">
        <f>IF($K58="","",INDEX(Конструктор!$L$2:$L$1212,$K58))</f>
        <v/>
      </c>
      <c r="G58" s="10">
        <f>IF($K58="","",INDEX(Конструктор!$M$2:$M$1212,$K58))</f>
        <v/>
      </c>
      <c r="H58" s="10">
        <f>IF($K58="","",INDEX(Конструктор!$N$2:$N$1212,$K58))</f>
        <v/>
      </c>
      <c r="I58" s="10">
        <f>IF($K58="","",INDEX(Конструктор!$O$2:$O$1212,$K58))</f>
        <v/>
      </c>
      <c r="J58" s="10">
        <f>IF($K58="","",INDEX(Конструктор!$P$2:$P$1212,$K58))</f>
        <v/>
      </c>
      <c r="K58">
        <f>IFERROR(MATCH(38,Конструктор!$T$2:$T$1212,0),"")</f>
        <v/>
      </c>
      <c r="L58">
        <f>IF($K58="","","показать")</f>
        <v/>
      </c>
    </row>
    <row r="59" hidden="1">
      <c r="A59">
        <f>IF($K59="","",39)</f>
        <v/>
      </c>
      <c r="B59">
        <f>IF($K59="","",INDEX(Конструктор!$C$2:$C$1212,$K59))</f>
        <v/>
      </c>
      <c r="C59" s="8">
        <f>IF($K59="","",INDEX(Конструктор!$D$2:$D$1212,$K59)&amp;IF(INDEX(Конструктор!$J$2:$J$1212,$K59)&lt;&gt;""," — "&amp;INDEX(Конструктор!$J$2:$J$1212,$K59),""))</f>
        <v/>
      </c>
      <c r="D59">
        <f>IF($K59="","",INDEX(Конструктор!$E$2:$E$1212,$K59))</f>
        <v/>
      </c>
      <c r="E59" s="10">
        <f>IF($K59="","",INDEX(Конструктор!$H$2:$H$1212,$K59))</f>
        <v/>
      </c>
      <c r="F59" s="10">
        <f>IF($K59="","",INDEX(Конструктор!$L$2:$L$1212,$K59))</f>
        <v/>
      </c>
      <c r="G59" s="10">
        <f>IF($K59="","",INDEX(Конструктор!$M$2:$M$1212,$K59))</f>
        <v/>
      </c>
      <c r="H59" s="10">
        <f>IF($K59="","",INDEX(Конструктор!$N$2:$N$1212,$K59))</f>
        <v/>
      </c>
      <c r="I59" s="10">
        <f>IF($K59="","",INDEX(Конструктор!$O$2:$O$1212,$K59))</f>
        <v/>
      </c>
      <c r="J59" s="10">
        <f>IF($K59="","",INDEX(Конструктор!$P$2:$P$1212,$K59))</f>
        <v/>
      </c>
      <c r="K59">
        <f>IFERROR(MATCH(39,Конструктор!$T$2:$T$1212,0),"")</f>
        <v/>
      </c>
      <c r="L59">
        <f>IF($K59="","","показать")</f>
        <v/>
      </c>
    </row>
    <row r="60" hidden="1">
      <c r="A60">
        <f>IF($K60="","",40)</f>
        <v/>
      </c>
      <c r="B60">
        <f>IF($K60="","",INDEX(Конструктор!$C$2:$C$1212,$K60))</f>
        <v/>
      </c>
      <c r="C60" s="8">
        <f>IF($K60="","",INDEX(Конструктор!$D$2:$D$1212,$K60)&amp;IF(INDEX(Конструктор!$J$2:$J$1212,$K60)&lt;&gt;""," — "&amp;INDEX(Конструктор!$J$2:$J$1212,$K60),""))</f>
        <v/>
      </c>
      <c r="D60">
        <f>IF($K60="","",INDEX(Конструктор!$E$2:$E$1212,$K60))</f>
        <v/>
      </c>
      <c r="E60" s="10">
        <f>IF($K60="","",INDEX(Конструктор!$H$2:$H$1212,$K60))</f>
        <v/>
      </c>
      <c r="F60" s="10">
        <f>IF($K60="","",INDEX(Конструктор!$L$2:$L$1212,$K60))</f>
        <v/>
      </c>
      <c r="G60" s="10">
        <f>IF($K60="","",INDEX(Конструктор!$M$2:$M$1212,$K60))</f>
        <v/>
      </c>
      <c r="H60" s="10">
        <f>IF($K60="","",INDEX(Конструктор!$N$2:$N$1212,$K60))</f>
        <v/>
      </c>
      <c r="I60" s="10">
        <f>IF($K60="","",INDEX(Конструктор!$O$2:$O$1212,$K60))</f>
        <v/>
      </c>
      <c r="J60" s="10">
        <f>IF($K60="","",INDEX(Конструктор!$P$2:$P$1212,$K60))</f>
        <v/>
      </c>
      <c r="K60">
        <f>IFERROR(MATCH(40,Конструктор!$T$2:$T$1212,0),"")</f>
        <v/>
      </c>
      <c r="L60">
        <f>IF($K60="","","показать")</f>
        <v/>
      </c>
    </row>
    <row r="61" hidden="1">
      <c r="A61">
        <f>IF($K61="","",41)</f>
        <v/>
      </c>
      <c r="B61">
        <f>IF($K61="","",INDEX(Конструктор!$C$2:$C$1212,$K61))</f>
        <v/>
      </c>
      <c r="C61" s="8">
        <f>IF($K61="","",INDEX(Конструктор!$D$2:$D$1212,$K61)&amp;IF(INDEX(Конструктор!$J$2:$J$1212,$K61)&lt;&gt;""," — "&amp;INDEX(Конструктор!$J$2:$J$1212,$K61),""))</f>
        <v/>
      </c>
      <c r="D61">
        <f>IF($K61="","",INDEX(Конструктор!$E$2:$E$1212,$K61))</f>
        <v/>
      </c>
      <c r="E61" s="10">
        <f>IF($K61="","",INDEX(Конструктор!$H$2:$H$1212,$K61))</f>
        <v/>
      </c>
      <c r="F61" s="10">
        <f>IF($K61="","",INDEX(Конструктор!$L$2:$L$1212,$K61))</f>
        <v/>
      </c>
      <c r="G61" s="10">
        <f>IF($K61="","",INDEX(Конструктор!$M$2:$M$1212,$K61))</f>
        <v/>
      </c>
      <c r="H61" s="10">
        <f>IF($K61="","",INDEX(Конструктор!$N$2:$N$1212,$K61))</f>
        <v/>
      </c>
      <c r="I61" s="10">
        <f>IF($K61="","",INDEX(Конструктор!$O$2:$O$1212,$K61))</f>
        <v/>
      </c>
      <c r="J61" s="10">
        <f>IF($K61="","",INDEX(Конструктор!$P$2:$P$1212,$K61))</f>
        <v/>
      </c>
      <c r="K61">
        <f>IFERROR(MATCH(41,Конструктор!$T$2:$T$1212,0),"")</f>
        <v/>
      </c>
      <c r="L61">
        <f>IF($K61="","","показать")</f>
        <v/>
      </c>
    </row>
    <row r="62" hidden="1">
      <c r="A62">
        <f>IF($K62="","",42)</f>
        <v/>
      </c>
      <c r="B62">
        <f>IF($K62="","",INDEX(Конструктор!$C$2:$C$1212,$K62))</f>
        <v/>
      </c>
      <c r="C62" s="8">
        <f>IF($K62="","",INDEX(Конструктор!$D$2:$D$1212,$K62)&amp;IF(INDEX(Конструктор!$J$2:$J$1212,$K62)&lt;&gt;""," — "&amp;INDEX(Конструктор!$J$2:$J$1212,$K62),""))</f>
        <v/>
      </c>
      <c r="D62">
        <f>IF($K62="","",INDEX(Конструктор!$E$2:$E$1212,$K62))</f>
        <v/>
      </c>
      <c r="E62" s="10">
        <f>IF($K62="","",INDEX(Конструктор!$H$2:$H$1212,$K62))</f>
        <v/>
      </c>
      <c r="F62" s="10">
        <f>IF($K62="","",INDEX(Конструктор!$L$2:$L$1212,$K62))</f>
        <v/>
      </c>
      <c r="G62" s="10">
        <f>IF($K62="","",INDEX(Конструктор!$M$2:$M$1212,$K62))</f>
        <v/>
      </c>
      <c r="H62" s="10">
        <f>IF($K62="","",INDEX(Конструктор!$N$2:$N$1212,$K62))</f>
        <v/>
      </c>
      <c r="I62" s="10">
        <f>IF($K62="","",INDEX(Конструктор!$O$2:$O$1212,$K62))</f>
        <v/>
      </c>
      <c r="J62" s="10">
        <f>IF($K62="","",INDEX(Конструктор!$P$2:$P$1212,$K62))</f>
        <v/>
      </c>
      <c r="K62">
        <f>IFERROR(MATCH(42,Конструктор!$T$2:$T$1212,0),"")</f>
        <v/>
      </c>
      <c r="L62">
        <f>IF($K62="","","показать")</f>
        <v/>
      </c>
    </row>
    <row r="63" hidden="1">
      <c r="A63">
        <f>IF($K63="","",43)</f>
        <v/>
      </c>
      <c r="B63">
        <f>IF($K63="","",INDEX(Конструктор!$C$2:$C$1212,$K63))</f>
        <v/>
      </c>
      <c r="C63" s="8">
        <f>IF($K63="","",INDEX(Конструктор!$D$2:$D$1212,$K63)&amp;IF(INDEX(Конструктор!$J$2:$J$1212,$K63)&lt;&gt;""," — "&amp;INDEX(Конструктор!$J$2:$J$1212,$K63),""))</f>
        <v/>
      </c>
      <c r="D63">
        <f>IF($K63="","",INDEX(Конструктор!$E$2:$E$1212,$K63))</f>
        <v/>
      </c>
      <c r="E63" s="10">
        <f>IF($K63="","",INDEX(Конструктор!$H$2:$H$1212,$K63))</f>
        <v/>
      </c>
      <c r="F63" s="10">
        <f>IF($K63="","",INDEX(Конструктор!$L$2:$L$1212,$K63))</f>
        <v/>
      </c>
      <c r="G63" s="10">
        <f>IF($K63="","",INDEX(Конструктор!$M$2:$M$1212,$K63))</f>
        <v/>
      </c>
      <c r="H63" s="10">
        <f>IF($K63="","",INDEX(Конструктор!$N$2:$N$1212,$K63))</f>
        <v/>
      </c>
      <c r="I63" s="10">
        <f>IF($K63="","",INDEX(Конструктор!$O$2:$O$1212,$K63))</f>
        <v/>
      </c>
      <c r="J63" s="10">
        <f>IF($K63="","",INDEX(Конструктор!$P$2:$P$1212,$K63))</f>
        <v/>
      </c>
      <c r="K63">
        <f>IFERROR(MATCH(43,Конструктор!$T$2:$T$1212,0),"")</f>
        <v/>
      </c>
      <c r="L63">
        <f>IF($K63="","","показать")</f>
        <v/>
      </c>
    </row>
    <row r="64" hidden="1">
      <c r="A64">
        <f>IF($K64="","",44)</f>
        <v/>
      </c>
      <c r="B64">
        <f>IF($K64="","",INDEX(Конструктор!$C$2:$C$1212,$K64))</f>
        <v/>
      </c>
      <c r="C64" s="8">
        <f>IF($K64="","",INDEX(Конструктор!$D$2:$D$1212,$K64)&amp;IF(INDEX(Конструктор!$J$2:$J$1212,$K64)&lt;&gt;""," — "&amp;INDEX(Конструктор!$J$2:$J$1212,$K64),""))</f>
        <v/>
      </c>
      <c r="D64">
        <f>IF($K64="","",INDEX(Конструктор!$E$2:$E$1212,$K64))</f>
        <v/>
      </c>
      <c r="E64" s="10">
        <f>IF($K64="","",INDEX(Конструктор!$H$2:$H$1212,$K64))</f>
        <v/>
      </c>
      <c r="F64" s="10">
        <f>IF($K64="","",INDEX(Конструктор!$L$2:$L$1212,$K64))</f>
        <v/>
      </c>
      <c r="G64" s="10">
        <f>IF($K64="","",INDEX(Конструктор!$M$2:$M$1212,$K64))</f>
        <v/>
      </c>
      <c r="H64" s="10">
        <f>IF($K64="","",INDEX(Конструктор!$N$2:$N$1212,$K64))</f>
        <v/>
      </c>
      <c r="I64" s="10">
        <f>IF($K64="","",INDEX(Конструктор!$O$2:$O$1212,$K64))</f>
        <v/>
      </c>
      <c r="J64" s="10">
        <f>IF($K64="","",INDEX(Конструктор!$P$2:$P$1212,$K64))</f>
        <v/>
      </c>
      <c r="K64">
        <f>IFERROR(MATCH(44,Конструктор!$T$2:$T$1212,0),"")</f>
        <v/>
      </c>
      <c r="L64">
        <f>IF($K64="","","показать")</f>
        <v/>
      </c>
    </row>
    <row r="65" hidden="1">
      <c r="A65">
        <f>IF($K65="","",45)</f>
        <v/>
      </c>
      <c r="B65">
        <f>IF($K65="","",INDEX(Конструктор!$C$2:$C$1212,$K65))</f>
        <v/>
      </c>
      <c r="C65" s="8">
        <f>IF($K65="","",INDEX(Конструктор!$D$2:$D$1212,$K65)&amp;IF(INDEX(Конструктор!$J$2:$J$1212,$K65)&lt;&gt;""," — "&amp;INDEX(Конструктор!$J$2:$J$1212,$K65),""))</f>
        <v/>
      </c>
      <c r="D65">
        <f>IF($K65="","",INDEX(Конструктор!$E$2:$E$1212,$K65))</f>
        <v/>
      </c>
      <c r="E65" s="10">
        <f>IF($K65="","",INDEX(Конструктор!$H$2:$H$1212,$K65))</f>
        <v/>
      </c>
      <c r="F65" s="10">
        <f>IF($K65="","",INDEX(Конструктор!$L$2:$L$1212,$K65))</f>
        <v/>
      </c>
      <c r="G65" s="10">
        <f>IF($K65="","",INDEX(Конструктор!$M$2:$M$1212,$K65))</f>
        <v/>
      </c>
      <c r="H65" s="10">
        <f>IF($K65="","",INDEX(Конструктор!$N$2:$N$1212,$K65))</f>
        <v/>
      </c>
      <c r="I65" s="10">
        <f>IF($K65="","",INDEX(Конструктор!$O$2:$O$1212,$K65))</f>
        <v/>
      </c>
      <c r="J65" s="10">
        <f>IF($K65="","",INDEX(Конструктор!$P$2:$P$1212,$K65))</f>
        <v/>
      </c>
      <c r="K65">
        <f>IFERROR(MATCH(45,Конструктор!$T$2:$T$1212,0),"")</f>
        <v/>
      </c>
      <c r="L65">
        <f>IF($K65="","","показать")</f>
        <v/>
      </c>
    </row>
    <row r="66" hidden="1">
      <c r="A66">
        <f>IF($K66="","",46)</f>
        <v/>
      </c>
      <c r="B66">
        <f>IF($K66="","",INDEX(Конструктор!$C$2:$C$1212,$K66))</f>
        <v/>
      </c>
      <c r="C66" s="8">
        <f>IF($K66="","",INDEX(Конструктор!$D$2:$D$1212,$K66)&amp;IF(INDEX(Конструктор!$J$2:$J$1212,$K66)&lt;&gt;""," — "&amp;INDEX(Конструктор!$J$2:$J$1212,$K66),""))</f>
        <v/>
      </c>
      <c r="D66">
        <f>IF($K66="","",INDEX(Конструктор!$E$2:$E$1212,$K66))</f>
        <v/>
      </c>
      <c r="E66" s="10">
        <f>IF($K66="","",INDEX(Конструктор!$H$2:$H$1212,$K66))</f>
        <v/>
      </c>
      <c r="F66" s="10">
        <f>IF($K66="","",INDEX(Конструктор!$L$2:$L$1212,$K66))</f>
        <v/>
      </c>
      <c r="G66" s="10">
        <f>IF($K66="","",INDEX(Конструктор!$M$2:$M$1212,$K66))</f>
        <v/>
      </c>
      <c r="H66" s="10">
        <f>IF($K66="","",INDEX(Конструктор!$N$2:$N$1212,$K66))</f>
        <v/>
      </c>
      <c r="I66" s="10">
        <f>IF($K66="","",INDEX(Конструктор!$O$2:$O$1212,$K66))</f>
        <v/>
      </c>
      <c r="J66" s="10">
        <f>IF($K66="","",INDEX(Конструктор!$P$2:$P$1212,$K66))</f>
        <v/>
      </c>
      <c r="K66">
        <f>IFERROR(MATCH(46,Конструктор!$T$2:$T$1212,0),"")</f>
        <v/>
      </c>
      <c r="L66">
        <f>IF($K66="","","показать")</f>
        <v/>
      </c>
    </row>
    <row r="67" hidden="1">
      <c r="A67">
        <f>IF($K67="","",47)</f>
        <v/>
      </c>
      <c r="B67">
        <f>IF($K67="","",INDEX(Конструктор!$C$2:$C$1212,$K67))</f>
        <v/>
      </c>
      <c r="C67" s="8">
        <f>IF($K67="","",INDEX(Конструктор!$D$2:$D$1212,$K67)&amp;IF(INDEX(Конструктор!$J$2:$J$1212,$K67)&lt;&gt;""," — "&amp;INDEX(Конструктор!$J$2:$J$1212,$K67),""))</f>
        <v/>
      </c>
      <c r="D67">
        <f>IF($K67="","",INDEX(Конструктор!$E$2:$E$1212,$K67))</f>
        <v/>
      </c>
      <c r="E67" s="10">
        <f>IF($K67="","",INDEX(Конструктор!$H$2:$H$1212,$K67))</f>
        <v/>
      </c>
      <c r="F67" s="10">
        <f>IF($K67="","",INDEX(Конструктор!$L$2:$L$1212,$K67))</f>
        <v/>
      </c>
      <c r="G67" s="10">
        <f>IF($K67="","",INDEX(Конструктор!$M$2:$M$1212,$K67))</f>
        <v/>
      </c>
      <c r="H67" s="10">
        <f>IF($K67="","",INDEX(Конструктор!$N$2:$N$1212,$K67))</f>
        <v/>
      </c>
      <c r="I67" s="10">
        <f>IF($K67="","",INDEX(Конструктор!$O$2:$O$1212,$K67))</f>
        <v/>
      </c>
      <c r="J67" s="10">
        <f>IF($K67="","",INDEX(Конструктор!$P$2:$P$1212,$K67))</f>
        <v/>
      </c>
      <c r="K67">
        <f>IFERROR(MATCH(47,Конструктор!$T$2:$T$1212,0),"")</f>
        <v/>
      </c>
      <c r="L67">
        <f>IF($K67="","","показать")</f>
        <v/>
      </c>
    </row>
    <row r="68" hidden="1">
      <c r="A68">
        <f>IF($K68="","",48)</f>
        <v/>
      </c>
      <c r="B68">
        <f>IF($K68="","",INDEX(Конструктор!$C$2:$C$1212,$K68))</f>
        <v/>
      </c>
      <c r="C68" s="8">
        <f>IF($K68="","",INDEX(Конструктор!$D$2:$D$1212,$K68)&amp;IF(INDEX(Конструктор!$J$2:$J$1212,$K68)&lt;&gt;""," — "&amp;INDEX(Конструктор!$J$2:$J$1212,$K68),""))</f>
        <v/>
      </c>
      <c r="D68">
        <f>IF($K68="","",INDEX(Конструктор!$E$2:$E$1212,$K68))</f>
        <v/>
      </c>
      <c r="E68" s="10">
        <f>IF($K68="","",INDEX(Конструктор!$H$2:$H$1212,$K68))</f>
        <v/>
      </c>
      <c r="F68" s="10">
        <f>IF($K68="","",INDEX(Конструктор!$L$2:$L$1212,$K68))</f>
        <v/>
      </c>
      <c r="G68" s="10">
        <f>IF($K68="","",INDEX(Конструктор!$M$2:$M$1212,$K68))</f>
        <v/>
      </c>
      <c r="H68" s="10">
        <f>IF($K68="","",INDEX(Конструктор!$N$2:$N$1212,$K68))</f>
        <v/>
      </c>
      <c r="I68" s="10">
        <f>IF($K68="","",INDEX(Конструктор!$O$2:$O$1212,$K68))</f>
        <v/>
      </c>
      <c r="J68" s="10">
        <f>IF($K68="","",INDEX(Конструктор!$P$2:$P$1212,$K68))</f>
        <v/>
      </c>
      <c r="K68">
        <f>IFERROR(MATCH(48,Конструктор!$T$2:$T$1212,0),"")</f>
        <v/>
      </c>
      <c r="L68">
        <f>IF($K68="","","показать")</f>
        <v/>
      </c>
    </row>
    <row r="69" hidden="1">
      <c r="A69">
        <f>IF($K69="","",49)</f>
        <v/>
      </c>
      <c r="B69">
        <f>IF($K69="","",INDEX(Конструктор!$C$2:$C$1212,$K69))</f>
        <v/>
      </c>
      <c r="C69" s="8">
        <f>IF($K69="","",INDEX(Конструктор!$D$2:$D$1212,$K69)&amp;IF(INDEX(Конструктор!$J$2:$J$1212,$K69)&lt;&gt;""," — "&amp;INDEX(Конструктор!$J$2:$J$1212,$K69),""))</f>
        <v/>
      </c>
      <c r="D69">
        <f>IF($K69="","",INDEX(Конструктор!$E$2:$E$1212,$K69))</f>
        <v/>
      </c>
      <c r="E69" s="10">
        <f>IF($K69="","",INDEX(Конструктор!$H$2:$H$1212,$K69))</f>
        <v/>
      </c>
      <c r="F69" s="10">
        <f>IF($K69="","",INDEX(Конструктор!$L$2:$L$1212,$K69))</f>
        <v/>
      </c>
      <c r="G69" s="10">
        <f>IF($K69="","",INDEX(Конструктор!$M$2:$M$1212,$K69))</f>
        <v/>
      </c>
      <c r="H69" s="10">
        <f>IF($K69="","",INDEX(Конструктор!$N$2:$N$1212,$K69))</f>
        <v/>
      </c>
      <c r="I69" s="10">
        <f>IF($K69="","",INDEX(Конструктор!$O$2:$O$1212,$K69))</f>
        <v/>
      </c>
      <c r="J69" s="10">
        <f>IF($K69="","",INDEX(Конструктор!$P$2:$P$1212,$K69))</f>
        <v/>
      </c>
      <c r="K69">
        <f>IFERROR(MATCH(49,Конструктор!$T$2:$T$1212,0),"")</f>
        <v/>
      </c>
      <c r="L69">
        <f>IF($K69="","","показать")</f>
        <v/>
      </c>
    </row>
    <row r="70" hidden="1">
      <c r="A70">
        <f>IF($K70="","",50)</f>
        <v/>
      </c>
      <c r="B70">
        <f>IF($K70="","",INDEX(Конструктор!$C$2:$C$1212,$K70))</f>
        <v/>
      </c>
      <c r="C70" s="8">
        <f>IF($K70="","",INDEX(Конструктор!$D$2:$D$1212,$K70)&amp;IF(INDEX(Конструктор!$J$2:$J$1212,$K70)&lt;&gt;""," — "&amp;INDEX(Конструктор!$J$2:$J$1212,$K70),""))</f>
        <v/>
      </c>
      <c r="D70">
        <f>IF($K70="","",INDEX(Конструктор!$E$2:$E$1212,$K70))</f>
        <v/>
      </c>
      <c r="E70" s="10">
        <f>IF($K70="","",INDEX(Конструктор!$H$2:$H$1212,$K70))</f>
        <v/>
      </c>
      <c r="F70" s="10">
        <f>IF($K70="","",INDEX(Конструктор!$L$2:$L$1212,$K70))</f>
        <v/>
      </c>
      <c r="G70" s="10">
        <f>IF($K70="","",INDEX(Конструктор!$M$2:$M$1212,$K70))</f>
        <v/>
      </c>
      <c r="H70" s="10">
        <f>IF($K70="","",INDEX(Конструктор!$N$2:$N$1212,$K70))</f>
        <v/>
      </c>
      <c r="I70" s="10">
        <f>IF($K70="","",INDEX(Конструктор!$O$2:$O$1212,$K70))</f>
        <v/>
      </c>
      <c r="J70" s="10">
        <f>IF($K70="","",INDEX(Конструктор!$P$2:$P$1212,$K70))</f>
        <v/>
      </c>
      <c r="K70">
        <f>IFERROR(MATCH(50,Конструктор!$T$2:$T$1212,0),"")</f>
        <v/>
      </c>
      <c r="L70">
        <f>IF($K70="","","показать")</f>
        <v/>
      </c>
    </row>
    <row r="71" hidden="1">
      <c r="A71">
        <f>IF($K71="","",51)</f>
        <v/>
      </c>
      <c r="B71">
        <f>IF($K71="","",INDEX(Конструктор!$C$2:$C$1212,$K71))</f>
        <v/>
      </c>
      <c r="C71" s="8">
        <f>IF($K71="","",INDEX(Конструктор!$D$2:$D$1212,$K71)&amp;IF(INDEX(Конструктор!$J$2:$J$1212,$K71)&lt;&gt;""," — "&amp;INDEX(Конструктор!$J$2:$J$1212,$K71),""))</f>
        <v/>
      </c>
      <c r="D71">
        <f>IF($K71="","",INDEX(Конструктор!$E$2:$E$1212,$K71))</f>
        <v/>
      </c>
      <c r="E71" s="10">
        <f>IF($K71="","",INDEX(Конструктор!$H$2:$H$1212,$K71))</f>
        <v/>
      </c>
      <c r="F71" s="10">
        <f>IF($K71="","",INDEX(Конструктор!$L$2:$L$1212,$K71))</f>
        <v/>
      </c>
      <c r="G71" s="10">
        <f>IF($K71="","",INDEX(Конструктор!$M$2:$M$1212,$K71))</f>
        <v/>
      </c>
      <c r="H71" s="10">
        <f>IF($K71="","",INDEX(Конструктор!$N$2:$N$1212,$K71))</f>
        <v/>
      </c>
      <c r="I71" s="10">
        <f>IF($K71="","",INDEX(Конструктор!$O$2:$O$1212,$K71))</f>
        <v/>
      </c>
      <c r="J71" s="10">
        <f>IF($K71="","",INDEX(Конструктор!$P$2:$P$1212,$K71))</f>
        <v/>
      </c>
      <c r="K71">
        <f>IFERROR(MATCH(51,Конструктор!$T$2:$T$1212,0),"")</f>
        <v/>
      </c>
      <c r="L71">
        <f>IF($K71="","","показать")</f>
        <v/>
      </c>
    </row>
    <row r="72" hidden="1">
      <c r="A72">
        <f>IF($K72="","",52)</f>
        <v/>
      </c>
      <c r="B72">
        <f>IF($K72="","",INDEX(Конструктор!$C$2:$C$1212,$K72))</f>
        <v/>
      </c>
      <c r="C72" s="8">
        <f>IF($K72="","",INDEX(Конструктор!$D$2:$D$1212,$K72)&amp;IF(INDEX(Конструктор!$J$2:$J$1212,$K72)&lt;&gt;""," — "&amp;INDEX(Конструктор!$J$2:$J$1212,$K72),""))</f>
        <v/>
      </c>
      <c r="D72">
        <f>IF($K72="","",INDEX(Конструктор!$E$2:$E$1212,$K72))</f>
        <v/>
      </c>
      <c r="E72" s="10">
        <f>IF($K72="","",INDEX(Конструктор!$H$2:$H$1212,$K72))</f>
        <v/>
      </c>
      <c r="F72" s="10">
        <f>IF($K72="","",INDEX(Конструктор!$L$2:$L$1212,$K72))</f>
        <v/>
      </c>
      <c r="G72" s="10">
        <f>IF($K72="","",INDEX(Конструктор!$M$2:$M$1212,$K72))</f>
        <v/>
      </c>
      <c r="H72" s="10">
        <f>IF($K72="","",INDEX(Конструктор!$N$2:$N$1212,$K72))</f>
        <v/>
      </c>
      <c r="I72" s="10">
        <f>IF($K72="","",INDEX(Конструктор!$O$2:$O$1212,$K72))</f>
        <v/>
      </c>
      <c r="J72" s="10">
        <f>IF($K72="","",INDEX(Конструктор!$P$2:$P$1212,$K72))</f>
        <v/>
      </c>
      <c r="K72">
        <f>IFERROR(MATCH(52,Конструктор!$T$2:$T$1212,0),"")</f>
        <v/>
      </c>
      <c r="L72">
        <f>IF($K72="","","показать")</f>
        <v/>
      </c>
    </row>
    <row r="73" hidden="1">
      <c r="A73">
        <f>IF($K73="","",53)</f>
        <v/>
      </c>
      <c r="B73">
        <f>IF($K73="","",INDEX(Конструктор!$C$2:$C$1212,$K73))</f>
        <v/>
      </c>
      <c r="C73" s="8">
        <f>IF($K73="","",INDEX(Конструктор!$D$2:$D$1212,$K73)&amp;IF(INDEX(Конструктор!$J$2:$J$1212,$K73)&lt;&gt;""," — "&amp;INDEX(Конструктор!$J$2:$J$1212,$K73),""))</f>
        <v/>
      </c>
      <c r="D73">
        <f>IF($K73="","",INDEX(Конструктор!$E$2:$E$1212,$K73))</f>
        <v/>
      </c>
      <c r="E73" s="10">
        <f>IF($K73="","",INDEX(Конструктор!$H$2:$H$1212,$K73))</f>
        <v/>
      </c>
      <c r="F73" s="10">
        <f>IF($K73="","",INDEX(Конструктор!$L$2:$L$1212,$K73))</f>
        <v/>
      </c>
      <c r="G73" s="10">
        <f>IF($K73="","",INDEX(Конструктор!$M$2:$M$1212,$K73))</f>
        <v/>
      </c>
      <c r="H73" s="10">
        <f>IF($K73="","",INDEX(Конструктор!$N$2:$N$1212,$K73))</f>
        <v/>
      </c>
      <c r="I73" s="10">
        <f>IF($K73="","",INDEX(Конструктор!$O$2:$O$1212,$K73))</f>
        <v/>
      </c>
      <c r="J73" s="10">
        <f>IF($K73="","",INDEX(Конструктор!$P$2:$P$1212,$K73))</f>
        <v/>
      </c>
      <c r="K73">
        <f>IFERROR(MATCH(53,Конструктор!$T$2:$T$1212,0),"")</f>
        <v/>
      </c>
      <c r="L73">
        <f>IF($K73="","","показать")</f>
        <v/>
      </c>
    </row>
    <row r="74" hidden="1">
      <c r="A74">
        <f>IF($K74="","",54)</f>
        <v/>
      </c>
      <c r="B74">
        <f>IF($K74="","",INDEX(Конструктор!$C$2:$C$1212,$K74))</f>
        <v/>
      </c>
      <c r="C74" s="8">
        <f>IF($K74="","",INDEX(Конструктор!$D$2:$D$1212,$K74)&amp;IF(INDEX(Конструктор!$J$2:$J$1212,$K74)&lt;&gt;""," — "&amp;INDEX(Конструктор!$J$2:$J$1212,$K74),""))</f>
        <v/>
      </c>
      <c r="D74">
        <f>IF($K74="","",INDEX(Конструктор!$E$2:$E$1212,$K74))</f>
        <v/>
      </c>
      <c r="E74" s="10">
        <f>IF($K74="","",INDEX(Конструктор!$H$2:$H$1212,$K74))</f>
        <v/>
      </c>
      <c r="F74" s="10">
        <f>IF($K74="","",INDEX(Конструктор!$L$2:$L$1212,$K74))</f>
        <v/>
      </c>
      <c r="G74" s="10">
        <f>IF($K74="","",INDEX(Конструктор!$M$2:$M$1212,$K74))</f>
        <v/>
      </c>
      <c r="H74" s="10">
        <f>IF($K74="","",INDEX(Конструктор!$N$2:$N$1212,$K74))</f>
        <v/>
      </c>
      <c r="I74" s="10">
        <f>IF($K74="","",INDEX(Конструктор!$O$2:$O$1212,$K74))</f>
        <v/>
      </c>
      <c r="J74" s="10">
        <f>IF($K74="","",INDEX(Конструктор!$P$2:$P$1212,$K74))</f>
        <v/>
      </c>
      <c r="K74">
        <f>IFERROR(MATCH(54,Конструктор!$T$2:$T$1212,0),"")</f>
        <v/>
      </c>
      <c r="L74">
        <f>IF($K74="","","показать")</f>
        <v/>
      </c>
    </row>
    <row r="75" hidden="1">
      <c r="A75">
        <f>IF($K75="","",55)</f>
        <v/>
      </c>
      <c r="B75">
        <f>IF($K75="","",INDEX(Конструктор!$C$2:$C$1212,$K75))</f>
        <v/>
      </c>
      <c r="C75" s="8">
        <f>IF($K75="","",INDEX(Конструктор!$D$2:$D$1212,$K75)&amp;IF(INDEX(Конструктор!$J$2:$J$1212,$K75)&lt;&gt;""," — "&amp;INDEX(Конструктор!$J$2:$J$1212,$K75),""))</f>
        <v/>
      </c>
      <c r="D75">
        <f>IF($K75="","",INDEX(Конструктор!$E$2:$E$1212,$K75))</f>
        <v/>
      </c>
      <c r="E75" s="10">
        <f>IF($K75="","",INDEX(Конструктор!$H$2:$H$1212,$K75))</f>
        <v/>
      </c>
      <c r="F75" s="10">
        <f>IF($K75="","",INDEX(Конструктор!$L$2:$L$1212,$K75))</f>
        <v/>
      </c>
      <c r="G75" s="10">
        <f>IF($K75="","",INDEX(Конструктор!$M$2:$M$1212,$K75))</f>
        <v/>
      </c>
      <c r="H75" s="10">
        <f>IF($K75="","",INDEX(Конструктор!$N$2:$N$1212,$K75))</f>
        <v/>
      </c>
      <c r="I75" s="10">
        <f>IF($K75="","",INDEX(Конструктор!$O$2:$O$1212,$K75))</f>
        <v/>
      </c>
      <c r="J75" s="10">
        <f>IF($K75="","",INDEX(Конструктор!$P$2:$P$1212,$K75))</f>
        <v/>
      </c>
      <c r="K75">
        <f>IFERROR(MATCH(55,Конструктор!$T$2:$T$1212,0),"")</f>
        <v/>
      </c>
      <c r="L75">
        <f>IF($K75="","","показать")</f>
        <v/>
      </c>
    </row>
    <row r="76" hidden="1">
      <c r="A76">
        <f>IF($K76="","",56)</f>
        <v/>
      </c>
      <c r="B76">
        <f>IF($K76="","",INDEX(Конструктор!$C$2:$C$1212,$K76))</f>
        <v/>
      </c>
      <c r="C76" s="8">
        <f>IF($K76="","",INDEX(Конструктор!$D$2:$D$1212,$K76)&amp;IF(INDEX(Конструктор!$J$2:$J$1212,$K76)&lt;&gt;""," — "&amp;INDEX(Конструктор!$J$2:$J$1212,$K76),""))</f>
        <v/>
      </c>
      <c r="D76">
        <f>IF($K76="","",INDEX(Конструктор!$E$2:$E$1212,$K76))</f>
        <v/>
      </c>
      <c r="E76" s="10">
        <f>IF($K76="","",INDEX(Конструктор!$H$2:$H$1212,$K76))</f>
        <v/>
      </c>
      <c r="F76" s="10">
        <f>IF($K76="","",INDEX(Конструктор!$L$2:$L$1212,$K76))</f>
        <v/>
      </c>
      <c r="G76" s="10">
        <f>IF($K76="","",INDEX(Конструктор!$M$2:$M$1212,$K76))</f>
        <v/>
      </c>
      <c r="H76" s="10">
        <f>IF($K76="","",INDEX(Конструктор!$N$2:$N$1212,$K76))</f>
        <v/>
      </c>
      <c r="I76" s="10">
        <f>IF($K76="","",INDEX(Конструктор!$O$2:$O$1212,$K76))</f>
        <v/>
      </c>
      <c r="J76" s="10">
        <f>IF($K76="","",INDEX(Конструктор!$P$2:$P$1212,$K76))</f>
        <v/>
      </c>
      <c r="K76">
        <f>IFERROR(MATCH(56,Конструктор!$T$2:$T$1212,0),"")</f>
        <v/>
      </c>
      <c r="L76">
        <f>IF($K76="","","показать")</f>
        <v/>
      </c>
    </row>
    <row r="77" hidden="1">
      <c r="A77">
        <f>IF($K77="","",57)</f>
        <v/>
      </c>
      <c r="B77">
        <f>IF($K77="","",INDEX(Конструктор!$C$2:$C$1212,$K77))</f>
        <v/>
      </c>
      <c r="C77" s="8">
        <f>IF($K77="","",INDEX(Конструктор!$D$2:$D$1212,$K77)&amp;IF(INDEX(Конструктор!$J$2:$J$1212,$K77)&lt;&gt;""," — "&amp;INDEX(Конструктор!$J$2:$J$1212,$K77),""))</f>
        <v/>
      </c>
      <c r="D77">
        <f>IF($K77="","",INDEX(Конструктор!$E$2:$E$1212,$K77))</f>
        <v/>
      </c>
      <c r="E77" s="10">
        <f>IF($K77="","",INDEX(Конструктор!$H$2:$H$1212,$K77))</f>
        <v/>
      </c>
      <c r="F77" s="10">
        <f>IF($K77="","",INDEX(Конструктор!$L$2:$L$1212,$K77))</f>
        <v/>
      </c>
      <c r="G77" s="10">
        <f>IF($K77="","",INDEX(Конструктор!$M$2:$M$1212,$K77))</f>
        <v/>
      </c>
      <c r="H77" s="10">
        <f>IF($K77="","",INDEX(Конструктор!$N$2:$N$1212,$K77))</f>
        <v/>
      </c>
      <c r="I77" s="10">
        <f>IF($K77="","",INDEX(Конструктор!$O$2:$O$1212,$K77))</f>
        <v/>
      </c>
      <c r="J77" s="10">
        <f>IF($K77="","",INDEX(Конструктор!$P$2:$P$1212,$K77))</f>
        <v/>
      </c>
      <c r="K77">
        <f>IFERROR(MATCH(57,Конструктор!$T$2:$T$1212,0),"")</f>
        <v/>
      </c>
      <c r="L77">
        <f>IF($K77="","","показать")</f>
        <v/>
      </c>
    </row>
    <row r="78" hidden="1">
      <c r="A78">
        <f>IF($K78="","",58)</f>
        <v/>
      </c>
      <c r="B78">
        <f>IF($K78="","",INDEX(Конструктор!$C$2:$C$1212,$K78))</f>
        <v/>
      </c>
      <c r="C78" s="8">
        <f>IF($K78="","",INDEX(Конструктор!$D$2:$D$1212,$K78)&amp;IF(INDEX(Конструктор!$J$2:$J$1212,$K78)&lt;&gt;""," — "&amp;INDEX(Конструктор!$J$2:$J$1212,$K78),""))</f>
        <v/>
      </c>
      <c r="D78">
        <f>IF($K78="","",INDEX(Конструктор!$E$2:$E$1212,$K78))</f>
        <v/>
      </c>
      <c r="E78" s="10">
        <f>IF($K78="","",INDEX(Конструктор!$H$2:$H$1212,$K78))</f>
        <v/>
      </c>
      <c r="F78" s="10">
        <f>IF($K78="","",INDEX(Конструктор!$L$2:$L$1212,$K78))</f>
        <v/>
      </c>
      <c r="G78" s="10">
        <f>IF($K78="","",INDEX(Конструктор!$M$2:$M$1212,$K78))</f>
        <v/>
      </c>
      <c r="H78" s="10">
        <f>IF($K78="","",INDEX(Конструктор!$N$2:$N$1212,$K78))</f>
        <v/>
      </c>
      <c r="I78" s="10">
        <f>IF($K78="","",INDEX(Конструктор!$O$2:$O$1212,$K78))</f>
        <v/>
      </c>
      <c r="J78" s="10">
        <f>IF($K78="","",INDEX(Конструктор!$P$2:$P$1212,$K78))</f>
        <v/>
      </c>
      <c r="K78">
        <f>IFERROR(MATCH(58,Конструктор!$T$2:$T$1212,0),"")</f>
        <v/>
      </c>
      <c r="L78">
        <f>IF($K78="","","показать")</f>
        <v/>
      </c>
    </row>
    <row r="79" hidden="1">
      <c r="A79">
        <f>IF($K79="","",59)</f>
        <v/>
      </c>
      <c r="B79">
        <f>IF($K79="","",INDEX(Конструктор!$C$2:$C$1212,$K79))</f>
        <v/>
      </c>
      <c r="C79" s="8">
        <f>IF($K79="","",INDEX(Конструктор!$D$2:$D$1212,$K79)&amp;IF(INDEX(Конструктор!$J$2:$J$1212,$K79)&lt;&gt;""," — "&amp;INDEX(Конструктор!$J$2:$J$1212,$K79),""))</f>
        <v/>
      </c>
      <c r="D79">
        <f>IF($K79="","",INDEX(Конструктор!$E$2:$E$1212,$K79))</f>
        <v/>
      </c>
      <c r="E79" s="10">
        <f>IF($K79="","",INDEX(Конструктор!$H$2:$H$1212,$K79))</f>
        <v/>
      </c>
      <c r="F79" s="10">
        <f>IF($K79="","",INDEX(Конструктор!$L$2:$L$1212,$K79))</f>
        <v/>
      </c>
      <c r="G79" s="10">
        <f>IF($K79="","",INDEX(Конструктор!$M$2:$M$1212,$K79))</f>
        <v/>
      </c>
      <c r="H79" s="10">
        <f>IF($K79="","",INDEX(Конструктор!$N$2:$N$1212,$K79))</f>
        <v/>
      </c>
      <c r="I79" s="10">
        <f>IF($K79="","",INDEX(Конструктор!$O$2:$O$1212,$K79))</f>
        <v/>
      </c>
      <c r="J79" s="10">
        <f>IF($K79="","",INDEX(Конструктор!$P$2:$P$1212,$K79))</f>
        <v/>
      </c>
      <c r="K79">
        <f>IFERROR(MATCH(59,Конструктор!$T$2:$T$1212,0),"")</f>
        <v/>
      </c>
      <c r="L79">
        <f>IF($K79="","","показать")</f>
        <v/>
      </c>
    </row>
    <row r="80" hidden="1">
      <c r="A80">
        <f>IF($K80="","",60)</f>
        <v/>
      </c>
      <c r="B80">
        <f>IF($K80="","",INDEX(Конструктор!$C$2:$C$1212,$K80))</f>
        <v/>
      </c>
      <c r="C80" s="8">
        <f>IF($K80="","",INDEX(Конструктор!$D$2:$D$1212,$K80)&amp;IF(INDEX(Конструктор!$J$2:$J$1212,$K80)&lt;&gt;""," — "&amp;INDEX(Конструктор!$J$2:$J$1212,$K80),""))</f>
        <v/>
      </c>
      <c r="D80">
        <f>IF($K80="","",INDEX(Конструктор!$E$2:$E$1212,$K80))</f>
        <v/>
      </c>
      <c r="E80" s="10">
        <f>IF($K80="","",INDEX(Конструктор!$H$2:$H$1212,$K80))</f>
        <v/>
      </c>
      <c r="F80" s="10">
        <f>IF($K80="","",INDEX(Конструктор!$L$2:$L$1212,$K80))</f>
        <v/>
      </c>
      <c r="G80" s="10">
        <f>IF($K80="","",INDEX(Конструктор!$M$2:$M$1212,$K80))</f>
        <v/>
      </c>
      <c r="H80" s="10">
        <f>IF($K80="","",INDEX(Конструктор!$N$2:$N$1212,$K80))</f>
        <v/>
      </c>
      <c r="I80" s="10">
        <f>IF($K80="","",INDEX(Конструктор!$O$2:$O$1212,$K80))</f>
        <v/>
      </c>
      <c r="J80" s="10">
        <f>IF($K80="","",INDEX(Конструктор!$P$2:$P$1212,$K80))</f>
        <v/>
      </c>
      <c r="K80">
        <f>IFERROR(MATCH(60,Конструктор!$T$2:$T$1212,0),"")</f>
        <v/>
      </c>
      <c r="L80">
        <f>IF($K80="","","показать")</f>
        <v/>
      </c>
    </row>
    <row r="81" hidden="1">
      <c r="A81">
        <f>IF($K81="","",61)</f>
        <v/>
      </c>
      <c r="B81">
        <f>IF($K81="","",INDEX(Конструктор!$C$2:$C$1212,$K81))</f>
        <v/>
      </c>
      <c r="C81" s="8">
        <f>IF($K81="","",INDEX(Конструктор!$D$2:$D$1212,$K81)&amp;IF(INDEX(Конструктор!$J$2:$J$1212,$K81)&lt;&gt;""," — "&amp;INDEX(Конструктор!$J$2:$J$1212,$K81),""))</f>
        <v/>
      </c>
      <c r="D81">
        <f>IF($K81="","",INDEX(Конструктор!$E$2:$E$1212,$K81))</f>
        <v/>
      </c>
      <c r="E81" s="10">
        <f>IF($K81="","",INDEX(Конструктор!$H$2:$H$1212,$K81))</f>
        <v/>
      </c>
      <c r="F81" s="10">
        <f>IF($K81="","",INDEX(Конструктор!$L$2:$L$1212,$K81))</f>
        <v/>
      </c>
      <c r="G81" s="10">
        <f>IF($K81="","",INDEX(Конструктор!$M$2:$M$1212,$K81))</f>
        <v/>
      </c>
      <c r="H81" s="10">
        <f>IF($K81="","",INDEX(Конструктор!$N$2:$N$1212,$K81))</f>
        <v/>
      </c>
      <c r="I81" s="10">
        <f>IF($K81="","",INDEX(Конструктор!$O$2:$O$1212,$K81))</f>
        <v/>
      </c>
      <c r="J81" s="10">
        <f>IF($K81="","",INDEX(Конструктор!$P$2:$P$1212,$K81))</f>
        <v/>
      </c>
      <c r="K81">
        <f>IFERROR(MATCH(61,Конструктор!$T$2:$T$1212,0),"")</f>
        <v/>
      </c>
      <c r="L81">
        <f>IF($K81="","","показать")</f>
        <v/>
      </c>
    </row>
    <row r="82" hidden="1">
      <c r="A82">
        <f>IF($K82="","",62)</f>
        <v/>
      </c>
      <c r="B82">
        <f>IF($K82="","",INDEX(Конструктор!$C$2:$C$1212,$K82))</f>
        <v/>
      </c>
      <c r="C82" s="8">
        <f>IF($K82="","",INDEX(Конструктор!$D$2:$D$1212,$K82)&amp;IF(INDEX(Конструктор!$J$2:$J$1212,$K82)&lt;&gt;""," — "&amp;INDEX(Конструктор!$J$2:$J$1212,$K82),""))</f>
        <v/>
      </c>
      <c r="D82">
        <f>IF($K82="","",INDEX(Конструктор!$E$2:$E$1212,$K82))</f>
        <v/>
      </c>
      <c r="E82" s="10">
        <f>IF($K82="","",INDEX(Конструктор!$H$2:$H$1212,$K82))</f>
        <v/>
      </c>
      <c r="F82" s="10">
        <f>IF($K82="","",INDEX(Конструктор!$L$2:$L$1212,$K82))</f>
        <v/>
      </c>
      <c r="G82" s="10">
        <f>IF($K82="","",INDEX(Конструктор!$M$2:$M$1212,$K82))</f>
        <v/>
      </c>
      <c r="H82" s="10">
        <f>IF($K82="","",INDEX(Конструктор!$N$2:$N$1212,$K82))</f>
        <v/>
      </c>
      <c r="I82" s="10">
        <f>IF($K82="","",INDEX(Конструктор!$O$2:$O$1212,$K82))</f>
        <v/>
      </c>
      <c r="J82" s="10">
        <f>IF($K82="","",INDEX(Конструктор!$P$2:$P$1212,$K82))</f>
        <v/>
      </c>
      <c r="K82">
        <f>IFERROR(MATCH(62,Конструктор!$T$2:$T$1212,0),"")</f>
        <v/>
      </c>
      <c r="L82">
        <f>IF($K82="","","показать")</f>
        <v/>
      </c>
    </row>
    <row r="83" hidden="1">
      <c r="A83">
        <f>IF($K83="","",63)</f>
        <v/>
      </c>
      <c r="B83">
        <f>IF($K83="","",INDEX(Конструктор!$C$2:$C$1212,$K83))</f>
        <v/>
      </c>
      <c r="C83" s="8">
        <f>IF($K83="","",INDEX(Конструктор!$D$2:$D$1212,$K83)&amp;IF(INDEX(Конструктор!$J$2:$J$1212,$K83)&lt;&gt;""," — "&amp;INDEX(Конструктор!$J$2:$J$1212,$K83),""))</f>
        <v/>
      </c>
      <c r="D83">
        <f>IF($K83="","",INDEX(Конструктор!$E$2:$E$1212,$K83))</f>
        <v/>
      </c>
      <c r="E83" s="10">
        <f>IF($K83="","",INDEX(Конструктор!$H$2:$H$1212,$K83))</f>
        <v/>
      </c>
      <c r="F83" s="10">
        <f>IF($K83="","",INDEX(Конструктор!$L$2:$L$1212,$K83))</f>
        <v/>
      </c>
      <c r="G83" s="10">
        <f>IF($K83="","",INDEX(Конструктор!$M$2:$M$1212,$K83))</f>
        <v/>
      </c>
      <c r="H83" s="10">
        <f>IF($K83="","",INDEX(Конструктор!$N$2:$N$1212,$K83))</f>
        <v/>
      </c>
      <c r="I83" s="10">
        <f>IF($K83="","",INDEX(Конструктор!$O$2:$O$1212,$K83))</f>
        <v/>
      </c>
      <c r="J83" s="10">
        <f>IF($K83="","",INDEX(Конструктор!$P$2:$P$1212,$K83))</f>
        <v/>
      </c>
      <c r="K83">
        <f>IFERROR(MATCH(63,Конструктор!$T$2:$T$1212,0),"")</f>
        <v/>
      </c>
      <c r="L83">
        <f>IF($K83="","","показать")</f>
        <v/>
      </c>
    </row>
    <row r="84" hidden="1">
      <c r="A84">
        <f>IF($K84="","",64)</f>
        <v/>
      </c>
      <c r="B84">
        <f>IF($K84="","",INDEX(Конструктор!$C$2:$C$1212,$K84))</f>
        <v/>
      </c>
      <c r="C84" s="8">
        <f>IF($K84="","",INDEX(Конструктор!$D$2:$D$1212,$K84)&amp;IF(INDEX(Конструктор!$J$2:$J$1212,$K84)&lt;&gt;""," — "&amp;INDEX(Конструктор!$J$2:$J$1212,$K84),""))</f>
        <v/>
      </c>
      <c r="D84">
        <f>IF($K84="","",INDEX(Конструктор!$E$2:$E$1212,$K84))</f>
        <v/>
      </c>
      <c r="E84" s="10">
        <f>IF($K84="","",INDEX(Конструктор!$H$2:$H$1212,$K84))</f>
        <v/>
      </c>
      <c r="F84" s="10">
        <f>IF($K84="","",INDEX(Конструктор!$L$2:$L$1212,$K84))</f>
        <v/>
      </c>
      <c r="G84" s="10">
        <f>IF($K84="","",INDEX(Конструктор!$M$2:$M$1212,$K84))</f>
        <v/>
      </c>
      <c r="H84" s="10">
        <f>IF($K84="","",INDEX(Конструктор!$N$2:$N$1212,$K84))</f>
        <v/>
      </c>
      <c r="I84" s="10">
        <f>IF($K84="","",INDEX(Конструктор!$O$2:$O$1212,$K84))</f>
        <v/>
      </c>
      <c r="J84" s="10">
        <f>IF($K84="","",INDEX(Конструктор!$P$2:$P$1212,$K84))</f>
        <v/>
      </c>
      <c r="K84">
        <f>IFERROR(MATCH(64,Конструктор!$T$2:$T$1212,0),"")</f>
        <v/>
      </c>
      <c r="L84">
        <f>IF($K84="","","показать")</f>
        <v/>
      </c>
    </row>
    <row r="85" hidden="1">
      <c r="A85">
        <f>IF($K85="","",65)</f>
        <v/>
      </c>
      <c r="B85">
        <f>IF($K85="","",INDEX(Конструктор!$C$2:$C$1212,$K85))</f>
        <v/>
      </c>
      <c r="C85" s="8">
        <f>IF($K85="","",INDEX(Конструктор!$D$2:$D$1212,$K85)&amp;IF(INDEX(Конструктор!$J$2:$J$1212,$K85)&lt;&gt;""," — "&amp;INDEX(Конструктор!$J$2:$J$1212,$K85),""))</f>
        <v/>
      </c>
      <c r="D85">
        <f>IF($K85="","",INDEX(Конструктор!$E$2:$E$1212,$K85))</f>
        <v/>
      </c>
      <c r="E85" s="10">
        <f>IF($K85="","",INDEX(Конструктор!$H$2:$H$1212,$K85))</f>
        <v/>
      </c>
      <c r="F85" s="10">
        <f>IF($K85="","",INDEX(Конструктор!$L$2:$L$1212,$K85))</f>
        <v/>
      </c>
      <c r="G85" s="10">
        <f>IF($K85="","",INDEX(Конструктор!$M$2:$M$1212,$K85))</f>
        <v/>
      </c>
      <c r="H85" s="10">
        <f>IF($K85="","",INDEX(Конструктор!$N$2:$N$1212,$K85))</f>
        <v/>
      </c>
      <c r="I85" s="10">
        <f>IF($K85="","",INDEX(Конструктор!$O$2:$O$1212,$K85))</f>
        <v/>
      </c>
      <c r="J85" s="10">
        <f>IF($K85="","",INDEX(Конструктор!$P$2:$P$1212,$K85))</f>
        <v/>
      </c>
      <c r="K85">
        <f>IFERROR(MATCH(65,Конструктор!$T$2:$T$1212,0),"")</f>
        <v/>
      </c>
      <c r="L85">
        <f>IF($K85="","","показать")</f>
        <v/>
      </c>
    </row>
    <row r="86" hidden="1">
      <c r="A86">
        <f>IF($K86="","",66)</f>
        <v/>
      </c>
      <c r="B86">
        <f>IF($K86="","",INDEX(Конструктор!$C$2:$C$1212,$K86))</f>
        <v/>
      </c>
      <c r="C86" s="8">
        <f>IF($K86="","",INDEX(Конструктор!$D$2:$D$1212,$K86)&amp;IF(INDEX(Конструктор!$J$2:$J$1212,$K86)&lt;&gt;""," — "&amp;INDEX(Конструктор!$J$2:$J$1212,$K86),""))</f>
        <v/>
      </c>
      <c r="D86">
        <f>IF($K86="","",INDEX(Конструктор!$E$2:$E$1212,$K86))</f>
        <v/>
      </c>
      <c r="E86" s="10">
        <f>IF($K86="","",INDEX(Конструктор!$H$2:$H$1212,$K86))</f>
        <v/>
      </c>
      <c r="F86" s="10">
        <f>IF($K86="","",INDEX(Конструктор!$L$2:$L$1212,$K86))</f>
        <v/>
      </c>
      <c r="G86" s="10">
        <f>IF($K86="","",INDEX(Конструктор!$M$2:$M$1212,$K86))</f>
        <v/>
      </c>
      <c r="H86" s="10">
        <f>IF($K86="","",INDEX(Конструктор!$N$2:$N$1212,$K86))</f>
        <v/>
      </c>
      <c r="I86" s="10">
        <f>IF($K86="","",INDEX(Конструктор!$O$2:$O$1212,$K86))</f>
        <v/>
      </c>
      <c r="J86" s="10">
        <f>IF($K86="","",INDEX(Конструктор!$P$2:$P$1212,$K86))</f>
        <v/>
      </c>
      <c r="K86">
        <f>IFERROR(MATCH(66,Конструктор!$T$2:$T$1212,0),"")</f>
        <v/>
      </c>
      <c r="L86">
        <f>IF($K86="","","показать")</f>
        <v/>
      </c>
    </row>
    <row r="87" hidden="1">
      <c r="A87">
        <f>IF($K87="","",67)</f>
        <v/>
      </c>
      <c r="B87">
        <f>IF($K87="","",INDEX(Конструктор!$C$2:$C$1212,$K87))</f>
        <v/>
      </c>
      <c r="C87" s="8">
        <f>IF($K87="","",INDEX(Конструктор!$D$2:$D$1212,$K87)&amp;IF(INDEX(Конструктор!$J$2:$J$1212,$K87)&lt;&gt;""," — "&amp;INDEX(Конструктор!$J$2:$J$1212,$K87),""))</f>
        <v/>
      </c>
      <c r="D87">
        <f>IF($K87="","",INDEX(Конструктор!$E$2:$E$1212,$K87))</f>
        <v/>
      </c>
      <c r="E87" s="10">
        <f>IF($K87="","",INDEX(Конструктор!$H$2:$H$1212,$K87))</f>
        <v/>
      </c>
      <c r="F87" s="10">
        <f>IF($K87="","",INDEX(Конструктор!$L$2:$L$1212,$K87))</f>
        <v/>
      </c>
      <c r="G87" s="10">
        <f>IF($K87="","",INDEX(Конструктор!$M$2:$M$1212,$K87))</f>
        <v/>
      </c>
      <c r="H87" s="10">
        <f>IF($K87="","",INDEX(Конструктор!$N$2:$N$1212,$K87))</f>
        <v/>
      </c>
      <c r="I87" s="10">
        <f>IF($K87="","",INDEX(Конструктор!$O$2:$O$1212,$K87))</f>
        <v/>
      </c>
      <c r="J87" s="10">
        <f>IF($K87="","",INDEX(Конструктор!$P$2:$P$1212,$K87))</f>
        <v/>
      </c>
      <c r="K87">
        <f>IFERROR(MATCH(67,Конструктор!$T$2:$T$1212,0),"")</f>
        <v/>
      </c>
      <c r="L87">
        <f>IF($K87="","","показать")</f>
        <v/>
      </c>
    </row>
    <row r="88" hidden="1">
      <c r="A88">
        <f>IF($K88="","",68)</f>
        <v/>
      </c>
      <c r="B88">
        <f>IF($K88="","",INDEX(Конструктор!$C$2:$C$1212,$K88))</f>
        <v/>
      </c>
      <c r="C88" s="8">
        <f>IF($K88="","",INDEX(Конструктор!$D$2:$D$1212,$K88)&amp;IF(INDEX(Конструктор!$J$2:$J$1212,$K88)&lt;&gt;""," — "&amp;INDEX(Конструктор!$J$2:$J$1212,$K88),""))</f>
        <v/>
      </c>
      <c r="D88">
        <f>IF($K88="","",INDEX(Конструктор!$E$2:$E$1212,$K88))</f>
        <v/>
      </c>
      <c r="E88" s="10">
        <f>IF($K88="","",INDEX(Конструктор!$H$2:$H$1212,$K88))</f>
        <v/>
      </c>
      <c r="F88" s="10">
        <f>IF($K88="","",INDEX(Конструктор!$L$2:$L$1212,$K88))</f>
        <v/>
      </c>
      <c r="G88" s="10">
        <f>IF($K88="","",INDEX(Конструктор!$M$2:$M$1212,$K88))</f>
        <v/>
      </c>
      <c r="H88" s="10">
        <f>IF($K88="","",INDEX(Конструктор!$N$2:$N$1212,$K88))</f>
        <v/>
      </c>
      <c r="I88" s="10">
        <f>IF($K88="","",INDEX(Конструктор!$O$2:$O$1212,$K88))</f>
        <v/>
      </c>
      <c r="J88" s="10">
        <f>IF($K88="","",INDEX(Конструктор!$P$2:$P$1212,$K88))</f>
        <v/>
      </c>
      <c r="K88">
        <f>IFERROR(MATCH(68,Конструктор!$T$2:$T$1212,0),"")</f>
        <v/>
      </c>
      <c r="L88">
        <f>IF($K88="","","показать")</f>
        <v/>
      </c>
    </row>
    <row r="89" hidden="1">
      <c r="A89">
        <f>IF($K89="","",69)</f>
        <v/>
      </c>
      <c r="B89">
        <f>IF($K89="","",INDEX(Конструктор!$C$2:$C$1212,$K89))</f>
        <v/>
      </c>
      <c r="C89" s="8">
        <f>IF($K89="","",INDEX(Конструктор!$D$2:$D$1212,$K89)&amp;IF(INDEX(Конструктор!$J$2:$J$1212,$K89)&lt;&gt;""," — "&amp;INDEX(Конструктор!$J$2:$J$1212,$K89),""))</f>
        <v/>
      </c>
      <c r="D89">
        <f>IF($K89="","",INDEX(Конструктор!$E$2:$E$1212,$K89))</f>
        <v/>
      </c>
      <c r="E89" s="10">
        <f>IF($K89="","",INDEX(Конструктор!$H$2:$H$1212,$K89))</f>
        <v/>
      </c>
      <c r="F89" s="10">
        <f>IF($K89="","",INDEX(Конструктор!$L$2:$L$1212,$K89))</f>
        <v/>
      </c>
      <c r="G89" s="10">
        <f>IF($K89="","",INDEX(Конструктор!$M$2:$M$1212,$K89))</f>
        <v/>
      </c>
      <c r="H89" s="10">
        <f>IF($K89="","",INDEX(Конструктор!$N$2:$N$1212,$K89))</f>
        <v/>
      </c>
      <c r="I89" s="10">
        <f>IF($K89="","",INDEX(Конструктор!$O$2:$O$1212,$K89))</f>
        <v/>
      </c>
      <c r="J89" s="10">
        <f>IF($K89="","",INDEX(Конструктор!$P$2:$P$1212,$K89))</f>
        <v/>
      </c>
      <c r="K89">
        <f>IFERROR(MATCH(69,Конструктор!$T$2:$T$1212,0),"")</f>
        <v/>
      </c>
      <c r="L89">
        <f>IF($K89="","","показать")</f>
        <v/>
      </c>
    </row>
    <row r="90" hidden="1">
      <c r="A90">
        <f>IF($K90="","",70)</f>
        <v/>
      </c>
      <c r="B90">
        <f>IF($K90="","",INDEX(Конструктор!$C$2:$C$1212,$K90))</f>
        <v/>
      </c>
      <c r="C90" s="8">
        <f>IF($K90="","",INDEX(Конструктор!$D$2:$D$1212,$K90)&amp;IF(INDEX(Конструктор!$J$2:$J$1212,$K90)&lt;&gt;""," — "&amp;INDEX(Конструктор!$J$2:$J$1212,$K90),""))</f>
        <v/>
      </c>
      <c r="D90">
        <f>IF($K90="","",INDEX(Конструктор!$E$2:$E$1212,$K90))</f>
        <v/>
      </c>
      <c r="E90" s="10">
        <f>IF($K90="","",INDEX(Конструктор!$H$2:$H$1212,$K90))</f>
        <v/>
      </c>
      <c r="F90" s="10">
        <f>IF($K90="","",INDEX(Конструктор!$L$2:$L$1212,$K90))</f>
        <v/>
      </c>
      <c r="G90" s="10">
        <f>IF($K90="","",INDEX(Конструктор!$M$2:$M$1212,$K90))</f>
        <v/>
      </c>
      <c r="H90" s="10">
        <f>IF($K90="","",INDEX(Конструктор!$N$2:$N$1212,$K90))</f>
        <v/>
      </c>
      <c r="I90" s="10">
        <f>IF($K90="","",INDEX(Конструктор!$O$2:$O$1212,$K90))</f>
        <v/>
      </c>
      <c r="J90" s="10">
        <f>IF($K90="","",INDEX(Конструктор!$P$2:$P$1212,$K90))</f>
        <v/>
      </c>
      <c r="K90">
        <f>IFERROR(MATCH(70,Конструктор!$T$2:$T$1212,0),"")</f>
        <v/>
      </c>
      <c r="L90">
        <f>IF($K90="","","показать")</f>
        <v/>
      </c>
    </row>
    <row r="91" hidden="1">
      <c r="A91">
        <f>IF($K91="","",71)</f>
        <v/>
      </c>
      <c r="B91">
        <f>IF($K91="","",INDEX(Конструктор!$C$2:$C$1212,$K91))</f>
        <v/>
      </c>
      <c r="C91" s="8">
        <f>IF($K91="","",INDEX(Конструктор!$D$2:$D$1212,$K91)&amp;IF(INDEX(Конструктор!$J$2:$J$1212,$K91)&lt;&gt;""," — "&amp;INDEX(Конструктор!$J$2:$J$1212,$K91),""))</f>
        <v/>
      </c>
      <c r="D91">
        <f>IF($K91="","",INDEX(Конструктор!$E$2:$E$1212,$K91))</f>
        <v/>
      </c>
      <c r="E91" s="10">
        <f>IF($K91="","",INDEX(Конструктор!$H$2:$H$1212,$K91))</f>
        <v/>
      </c>
      <c r="F91" s="10">
        <f>IF($K91="","",INDEX(Конструктор!$L$2:$L$1212,$K91))</f>
        <v/>
      </c>
      <c r="G91" s="10">
        <f>IF($K91="","",INDEX(Конструктор!$M$2:$M$1212,$K91))</f>
        <v/>
      </c>
      <c r="H91" s="10">
        <f>IF($K91="","",INDEX(Конструктор!$N$2:$N$1212,$K91))</f>
        <v/>
      </c>
      <c r="I91" s="10">
        <f>IF($K91="","",INDEX(Конструктор!$O$2:$O$1212,$K91))</f>
        <v/>
      </c>
      <c r="J91" s="10">
        <f>IF($K91="","",INDEX(Конструктор!$P$2:$P$1212,$K91))</f>
        <v/>
      </c>
      <c r="K91">
        <f>IFERROR(MATCH(71,Конструктор!$T$2:$T$1212,0),"")</f>
        <v/>
      </c>
      <c r="L91">
        <f>IF($K91="","","показать")</f>
        <v/>
      </c>
    </row>
    <row r="92" hidden="1">
      <c r="A92">
        <f>IF($K92="","",72)</f>
        <v/>
      </c>
      <c r="B92">
        <f>IF($K92="","",INDEX(Конструктор!$C$2:$C$1212,$K92))</f>
        <v/>
      </c>
      <c r="C92" s="8">
        <f>IF($K92="","",INDEX(Конструктор!$D$2:$D$1212,$K92)&amp;IF(INDEX(Конструктор!$J$2:$J$1212,$K92)&lt;&gt;""," — "&amp;INDEX(Конструктор!$J$2:$J$1212,$K92),""))</f>
        <v/>
      </c>
      <c r="D92">
        <f>IF($K92="","",INDEX(Конструктор!$E$2:$E$1212,$K92))</f>
        <v/>
      </c>
      <c r="E92" s="10">
        <f>IF($K92="","",INDEX(Конструктор!$H$2:$H$1212,$K92))</f>
        <v/>
      </c>
      <c r="F92" s="10">
        <f>IF($K92="","",INDEX(Конструктор!$L$2:$L$1212,$K92))</f>
        <v/>
      </c>
      <c r="G92" s="10">
        <f>IF($K92="","",INDEX(Конструктор!$M$2:$M$1212,$K92))</f>
        <v/>
      </c>
      <c r="H92" s="10">
        <f>IF($K92="","",INDEX(Конструктор!$N$2:$N$1212,$K92))</f>
        <v/>
      </c>
      <c r="I92" s="10">
        <f>IF($K92="","",INDEX(Конструктор!$O$2:$O$1212,$K92))</f>
        <v/>
      </c>
      <c r="J92" s="10">
        <f>IF($K92="","",INDEX(Конструктор!$P$2:$P$1212,$K92))</f>
        <v/>
      </c>
      <c r="K92">
        <f>IFERROR(MATCH(72,Конструктор!$T$2:$T$1212,0),"")</f>
        <v/>
      </c>
      <c r="L92">
        <f>IF($K92="","","показать")</f>
        <v/>
      </c>
    </row>
    <row r="93" hidden="1">
      <c r="A93">
        <f>IF($K93="","",73)</f>
        <v/>
      </c>
      <c r="B93">
        <f>IF($K93="","",INDEX(Конструктор!$C$2:$C$1212,$K93))</f>
        <v/>
      </c>
      <c r="C93" s="8">
        <f>IF($K93="","",INDEX(Конструктор!$D$2:$D$1212,$K93)&amp;IF(INDEX(Конструктор!$J$2:$J$1212,$K93)&lt;&gt;""," — "&amp;INDEX(Конструктор!$J$2:$J$1212,$K93),""))</f>
        <v/>
      </c>
      <c r="D93">
        <f>IF($K93="","",INDEX(Конструктор!$E$2:$E$1212,$K93))</f>
        <v/>
      </c>
      <c r="E93" s="10">
        <f>IF($K93="","",INDEX(Конструктор!$H$2:$H$1212,$K93))</f>
        <v/>
      </c>
      <c r="F93" s="10">
        <f>IF($K93="","",INDEX(Конструктор!$L$2:$L$1212,$K93))</f>
        <v/>
      </c>
      <c r="G93" s="10">
        <f>IF($K93="","",INDEX(Конструктор!$M$2:$M$1212,$K93))</f>
        <v/>
      </c>
      <c r="H93" s="10">
        <f>IF($K93="","",INDEX(Конструктор!$N$2:$N$1212,$K93))</f>
        <v/>
      </c>
      <c r="I93" s="10">
        <f>IF($K93="","",INDEX(Конструктор!$O$2:$O$1212,$K93))</f>
        <v/>
      </c>
      <c r="J93" s="10">
        <f>IF($K93="","",INDEX(Конструктор!$P$2:$P$1212,$K93))</f>
        <v/>
      </c>
      <c r="K93">
        <f>IFERROR(MATCH(73,Конструктор!$T$2:$T$1212,0),"")</f>
        <v/>
      </c>
      <c r="L93">
        <f>IF($K93="","","показать")</f>
        <v/>
      </c>
    </row>
    <row r="94" hidden="1">
      <c r="A94">
        <f>IF($K94="","",74)</f>
        <v/>
      </c>
      <c r="B94">
        <f>IF($K94="","",INDEX(Конструктор!$C$2:$C$1212,$K94))</f>
        <v/>
      </c>
      <c r="C94" s="8">
        <f>IF($K94="","",INDEX(Конструктор!$D$2:$D$1212,$K94)&amp;IF(INDEX(Конструктор!$J$2:$J$1212,$K94)&lt;&gt;""," — "&amp;INDEX(Конструктор!$J$2:$J$1212,$K94),""))</f>
        <v/>
      </c>
      <c r="D94">
        <f>IF($K94="","",INDEX(Конструктор!$E$2:$E$1212,$K94))</f>
        <v/>
      </c>
      <c r="E94" s="10">
        <f>IF($K94="","",INDEX(Конструктор!$H$2:$H$1212,$K94))</f>
        <v/>
      </c>
      <c r="F94" s="10">
        <f>IF($K94="","",INDEX(Конструктор!$L$2:$L$1212,$K94))</f>
        <v/>
      </c>
      <c r="G94" s="10">
        <f>IF($K94="","",INDEX(Конструктор!$M$2:$M$1212,$K94))</f>
        <v/>
      </c>
      <c r="H94" s="10">
        <f>IF($K94="","",INDEX(Конструктор!$N$2:$N$1212,$K94))</f>
        <v/>
      </c>
      <c r="I94" s="10">
        <f>IF($K94="","",INDEX(Конструктор!$O$2:$O$1212,$K94))</f>
        <v/>
      </c>
      <c r="J94" s="10">
        <f>IF($K94="","",INDEX(Конструктор!$P$2:$P$1212,$K94))</f>
        <v/>
      </c>
      <c r="K94">
        <f>IFERROR(MATCH(74,Конструктор!$T$2:$T$1212,0),"")</f>
        <v/>
      </c>
      <c r="L94">
        <f>IF($K94="","","показать")</f>
        <v/>
      </c>
    </row>
    <row r="95" hidden="1">
      <c r="A95">
        <f>IF($K95="","",75)</f>
        <v/>
      </c>
      <c r="B95">
        <f>IF($K95="","",INDEX(Конструктор!$C$2:$C$1212,$K95))</f>
        <v/>
      </c>
      <c r="C95" s="8">
        <f>IF($K95="","",INDEX(Конструктор!$D$2:$D$1212,$K95)&amp;IF(INDEX(Конструктор!$J$2:$J$1212,$K95)&lt;&gt;""," — "&amp;INDEX(Конструктор!$J$2:$J$1212,$K95),""))</f>
        <v/>
      </c>
      <c r="D95">
        <f>IF($K95="","",INDEX(Конструктор!$E$2:$E$1212,$K95))</f>
        <v/>
      </c>
      <c r="E95" s="10">
        <f>IF($K95="","",INDEX(Конструктор!$H$2:$H$1212,$K95))</f>
        <v/>
      </c>
      <c r="F95" s="10">
        <f>IF($K95="","",INDEX(Конструктор!$L$2:$L$1212,$K95))</f>
        <v/>
      </c>
      <c r="G95" s="10">
        <f>IF($K95="","",INDEX(Конструктор!$M$2:$M$1212,$K95))</f>
        <v/>
      </c>
      <c r="H95" s="10">
        <f>IF($K95="","",INDEX(Конструктор!$N$2:$N$1212,$K95))</f>
        <v/>
      </c>
      <c r="I95" s="10">
        <f>IF($K95="","",INDEX(Конструктор!$O$2:$O$1212,$K95))</f>
        <v/>
      </c>
      <c r="J95" s="10">
        <f>IF($K95="","",INDEX(Конструктор!$P$2:$P$1212,$K95))</f>
        <v/>
      </c>
      <c r="K95">
        <f>IFERROR(MATCH(75,Конструктор!$T$2:$T$1212,0),"")</f>
        <v/>
      </c>
      <c r="L95">
        <f>IF($K95="","","показать")</f>
        <v/>
      </c>
    </row>
    <row r="96" hidden="1">
      <c r="A96">
        <f>IF($K96="","",76)</f>
        <v/>
      </c>
      <c r="B96">
        <f>IF($K96="","",INDEX(Конструктор!$C$2:$C$1212,$K96))</f>
        <v/>
      </c>
      <c r="C96" s="8">
        <f>IF($K96="","",INDEX(Конструктор!$D$2:$D$1212,$K96)&amp;IF(INDEX(Конструктор!$J$2:$J$1212,$K96)&lt;&gt;""," — "&amp;INDEX(Конструктор!$J$2:$J$1212,$K96),""))</f>
        <v/>
      </c>
      <c r="D96">
        <f>IF($K96="","",INDEX(Конструктор!$E$2:$E$1212,$K96))</f>
        <v/>
      </c>
      <c r="E96" s="10">
        <f>IF($K96="","",INDEX(Конструктор!$H$2:$H$1212,$K96))</f>
        <v/>
      </c>
      <c r="F96" s="10">
        <f>IF($K96="","",INDEX(Конструктор!$L$2:$L$1212,$K96))</f>
        <v/>
      </c>
      <c r="G96" s="10">
        <f>IF($K96="","",INDEX(Конструктор!$M$2:$M$1212,$K96))</f>
        <v/>
      </c>
      <c r="H96" s="10">
        <f>IF($K96="","",INDEX(Конструктор!$N$2:$N$1212,$K96))</f>
        <v/>
      </c>
      <c r="I96" s="10">
        <f>IF($K96="","",INDEX(Конструктор!$O$2:$O$1212,$K96))</f>
        <v/>
      </c>
      <c r="J96" s="10">
        <f>IF($K96="","",INDEX(Конструктор!$P$2:$P$1212,$K96))</f>
        <v/>
      </c>
      <c r="K96">
        <f>IFERROR(MATCH(76,Конструктор!$T$2:$T$1212,0),"")</f>
        <v/>
      </c>
      <c r="L96">
        <f>IF($K96="","","показать")</f>
        <v/>
      </c>
    </row>
    <row r="97" hidden="1">
      <c r="A97">
        <f>IF($K97="","",77)</f>
        <v/>
      </c>
      <c r="B97">
        <f>IF($K97="","",INDEX(Конструктор!$C$2:$C$1212,$K97))</f>
        <v/>
      </c>
      <c r="C97" s="8">
        <f>IF($K97="","",INDEX(Конструктор!$D$2:$D$1212,$K97)&amp;IF(INDEX(Конструктор!$J$2:$J$1212,$K97)&lt;&gt;""," — "&amp;INDEX(Конструктор!$J$2:$J$1212,$K97),""))</f>
        <v/>
      </c>
      <c r="D97">
        <f>IF($K97="","",INDEX(Конструктор!$E$2:$E$1212,$K97))</f>
        <v/>
      </c>
      <c r="E97" s="10">
        <f>IF($K97="","",INDEX(Конструктор!$H$2:$H$1212,$K97))</f>
        <v/>
      </c>
      <c r="F97" s="10">
        <f>IF($K97="","",INDEX(Конструктор!$L$2:$L$1212,$K97))</f>
        <v/>
      </c>
      <c r="G97" s="10">
        <f>IF($K97="","",INDEX(Конструктор!$M$2:$M$1212,$K97))</f>
        <v/>
      </c>
      <c r="H97" s="10">
        <f>IF($K97="","",INDEX(Конструктор!$N$2:$N$1212,$K97))</f>
        <v/>
      </c>
      <c r="I97" s="10">
        <f>IF($K97="","",INDEX(Конструктор!$O$2:$O$1212,$K97))</f>
        <v/>
      </c>
      <c r="J97" s="10">
        <f>IF($K97="","",INDEX(Конструктор!$P$2:$P$1212,$K97))</f>
        <v/>
      </c>
      <c r="K97">
        <f>IFERROR(MATCH(77,Конструктор!$T$2:$T$1212,0),"")</f>
        <v/>
      </c>
      <c r="L97">
        <f>IF($K97="","","показать")</f>
        <v/>
      </c>
    </row>
    <row r="98" hidden="1">
      <c r="A98">
        <f>IF($K98="","",78)</f>
        <v/>
      </c>
      <c r="B98">
        <f>IF($K98="","",INDEX(Конструктор!$C$2:$C$1212,$K98))</f>
        <v/>
      </c>
      <c r="C98" s="8">
        <f>IF($K98="","",INDEX(Конструктор!$D$2:$D$1212,$K98)&amp;IF(INDEX(Конструктор!$J$2:$J$1212,$K98)&lt;&gt;""," — "&amp;INDEX(Конструктор!$J$2:$J$1212,$K98),""))</f>
        <v/>
      </c>
      <c r="D98">
        <f>IF($K98="","",INDEX(Конструктор!$E$2:$E$1212,$K98))</f>
        <v/>
      </c>
      <c r="E98" s="10">
        <f>IF($K98="","",INDEX(Конструктор!$H$2:$H$1212,$K98))</f>
        <v/>
      </c>
      <c r="F98" s="10">
        <f>IF($K98="","",INDEX(Конструктор!$L$2:$L$1212,$K98))</f>
        <v/>
      </c>
      <c r="G98" s="10">
        <f>IF($K98="","",INDEX(Конструктор!$M$2:$M$1212,$K98))</f>
        <v/>
      </c>
      <c r="H98" s="10">
        <f>IF($K98="","",INDEX(Конструктор!$N$2:$N$1212,$K98))</f>
        <v/>
      </c>
      <c r="I98" s="10">
        <f>IF($K98="","",INDEX(Конструктор!$O$2:$O$1212,$K98))</f>
        <v/>
      </c>
      <c r="J98" s="10">
        <f>IF($K98="","",INDEX(Конструктор!$P$2:$P$1212,$K98))</f>
        <v/>
      </c>
      <c r="K98">
        <f>IFERROR(MATCH(78,Конструктор!$T$2:$T$1212,0),"")</f>
        <v/>
      </c>
      <c r="L98">
        <f>IF($K98="","","показать")</f>
        <v/>
      </c>
    </row>
    <row r="99" hidden="1">
      <c r="A99">
        <f>IF($K99="","",79)</f>
        <v/>
      </c>
      <c r="B99">
        <f>IF($K99="","",INDEX(Конструктор!$C$2:$C$1212,$K99))</f>
        <v/>
      </c>
      <c r="C99" s="8">
        <f>IF($K99="","",INDEX(Конструктор!$D$2:$D$1212,$K99)&amp;IF(INDEX(Конструктор!$J$2:$J$1212,$K99)&lt;&gt;""," — "&amp;INDEX(Конструктор!$J$2:$J$1212,$K99),""))</f>
        <v/>
      </c>
      <c r="D99">
        <f>IF($K99="","",INDEX(Конструктор!$E$2:$E$1212,$K99))</f>
        <v/>
      </c>
      <c r="E99" s="10">
        <f>IF($K99="","",INDEX(Конструктор!$H$2:$H$1212,$K99))</f>
        <v/>
      </c>
      <c r="F99" s="10">
        <f>IF($K99="","",INDEX(Конструктор!$L$2:$L$1212,$K99))</f>
        <v/>
      </c>
      <c r="G99" s="10">
        <f>IF($K99="","",INDEX(Конструктор!$M$2:$M$1212,$K99))</f>
        <v/>
      </c>
      <c r="H99" s="10">
        <f>IF($K99="","",INDEX(Конструктор!$N$2:$N$1212,$K99))</f>
        <v/>
      </c>
      <c r="I99" s="10">
        <f>IF($K99="","",INDEX(Конструктор!$O$2:$O$1212,$K99))</f>
        <v/>
      </c>
      <c r="J99" s="10">
        <f>IF($K99="","",INDEX(Конструктор!$P$2:$P$1212,$K99))</f>
        <v/>
      </c>
      <c r="K99">
        <f>IFERROR(MATCH(79,Конструктор!$T$2:$T$1212,0),"")</f>
        <v/>
      </c>
      <c r="L99">
        <f>IF($K99="","","показать")</f>
        <v/>
      </c>
    </row>
    <row r="100" hidden="1">
      <c r="A100">
        <f>IF($K100="","",80)</f>
        <v/>
      </c>
      <c r="B100">
        <f>IF($K100="","",INDEX(Конструктор!$C$2:$C$1212,$K100))</f>
        <v/>
      </c>
      <c r="C100" s="8">
        <f>IF($K100="","",INDEX(Конструктор!$D$2:$D$1212,$K100)&amp;IF(INDEX(Конструктор!$J$2:$J$1212,$K100)&lt;&gt;""," — "&amp;INDEX(Конструктор!$J$2:$J$1212,$K100),""))</f>
        <v/>
      </c>
      <c r="D100">
        <f>IF($K100="","",INDEX(Конструктор!$E$2:$E$1212,$K100))</f>
        <v/>
      </c>
      <c r="E100" s="10">
        <f>IF($K100="","",INDEX(Конструктор!$H$2:$H$1212,$K100))</f>
        <v/>
      </c>
      <c r="F100" s="10">
        <f>IF($K100="","",INDEX(Конструктор!$L$2:$L$1212,$K100))</f>
        <v/>
      </c>
      <c r="G100" s="10">
        <f>IF($K100="","",INDEX(Конструктор!$M$2:$M$1212,$K100))</f>
        <v/>
      </c>
      <c r="H100" s="10">
        <f>IF($K100="","",INDEX(Конструктор!$N$2:$N$1212,$K100))</f>
        <v/>
      </c>
      <c r="I100" s="10">
        <f>IF($K100="","",INDEX(Конструктор!$O$2:$O$1212,$K100))</f>
        <v/>
      </c>
      <c r="J100" s="10">
        <f>IF($K100="","",INDEX(Конструктор!$P$2:$P$1212,$K100))</f>
        <v/>
      </c>
      <c r="K100">
        <f>IFERROR(MATCH(80,Конструктор!$T$2:$T$1212,0),"")</f>
        <v/>
      </c>
      <c r="L100">
        <f>IF($K100="","","показать")</f>
        <v/>
      </c>
    </row>
    <row r="101" hidden="1">
      <c r="A101">
        <f>IF($K101="","",81)</f>
        <v/>
      </c>
      <c r="B101">
        <f>IF($K101="","",INDEX(Конструктор!$C$2:$C$1212,$K101))</f>
        <v/>
      </c>
      <c r="C101" s="8">
        <f>IF($K101="","",INDEX(Конструктор!$D$2:$D$1212,$K101)&amp;IF(INDEX(Конструктор!$J$2:$J$1212,$K101)&lt;&gt;""," — "&amp;INDEX(Конструктор!$J$2:$J$1212,$K101),""))</f>
        <v/>
      </c>
      <c r="D101">
        <f>IF($K101="","",INDEX(Конструктор!$E$2:$E$1212,$K101))</f>
        <v/>
      </c>
      <c r="E101" s="10">
        <f>IF($K101="","",INDEX(Конструктор!$H$2:$H$1212,$K101))</f>
        <v/>
      </c>
      <c r="F101" s="10">
        <f>IF($K101="","",INDEX(Конструктор!$L$2:$L$1212,$K101))</f>
        <v/>
      </c>
      <c r="G101" s="10">
        <f>IF($K101="","",INDEX(Конструктор!$M$2:$M$1212,$K101))</f>
        <v/>
      </c>
      <c r="H101" s="10">
        <f>IF($K101="","",INDEX(Конструктор!$N$2:$N$1212,$K101))</f>
        <v/>
      </c>
      <c r="I101" s="10">
        <f>IF($K101="","",INDEX(Конструктор!$O$2:$O$1212,$K101))</f>
        <v/>
      </c>
      <c r="J101" s="10">
        <f>IF($K101="","",INDEX(Конструктор!$P$2:$P$1212,$K101))</f>
        <v/>
      </c>
      <c r="K101">
        <f>IFERROR(MATCH(81,Конструктор!$T$2:$T$1212,0),"")</f>
        <v/>
      </c>
      <c r="L101">
        <f>IF($K101="","","показать")</f>
        <v/>
      </c>
    </row>
    <row r="102" hidden="1">
      <c r="A102">
        <f>IF($K102="","",82)</f>
        <v/>
      </c>
      <c r="B102">
        <f>IF($K102="","",INDEX(Конструктор!$C$2:$C$1212,$K102))</f>
        <v/>
      </c>
      <c r="C102" s="8">
        <f>IF($K102="","",INDEX(Конструктор!$D$2:$D$1212,$K102)&amp;IF(INDEX(Конструктор!$J$2:$J$1212,$K102)&lt;&gt;""," — "&amp;INDEX(Конструктор!$J$2:$J$1212,$K102),""))</f>
        <v/>
      </c>
      <c r="D102">
        <f>IF($K102="","",INDEX(Конструктор!$E$2:$E$1212,$K102))</f>
        <v/>
      </c>
      <c r="E102" s="10">
        <f>IF($K102="","",INDEX(Конструктор!$H$2:$H$1212,$K102))</f>
        <v/>
      </c>
      <c r="F102" s="10">
        <f>IF($K102="","",INDEX(Конструктор!$L$2:$L$1212,$K102))</f>
        <v/>
      </c>
      <c r="G102" s="10">
        <f>IF($K102="","",INDEX(Конструктор!$M$2:$M$1212,$K102))</f>
        <v/>
      </c>
      <c r="H102" s="10">
        <f>IF($K102="","",INDEX(Конструктор!$N$2:$N$1212,$K102))</f>
        <v/>
      </c>
      <c r="I102" s="10">
        <f>IF($K102="","",INDEX(Конструктор!$O$2:$O$1212,$K102))</f>
        <v/>
      </c>
      <c r="J102" s="10">
        <f>IF($K102="","",INDEX(Конструктор!$P$2:$P$1212,$K102))</f>
        <v/>
      </c>
      <c r="K102">
        <f>IFERROR(MATCH(82,Конструктор!$T$2:$T$1212,0),"")</f>
        <v/>
      </c>
      <c r="L102">
        <f>IF($K102="","","показать")</f>
        <v/>
      </c>
    </row>
    <row r="103" hidden="1">
      <c r="A103">
        <f>IF($K103="","",83)</f>
        <v/>
      </c>
      <c r="B103">
        <f>IF($K103="","",INDEX(Конструктор!$C$2:$C$1212,$K103))</f>
        <v/>
      </c>
      <c r="C103" s="8">
        <f>IF($K103="","",INDEX(Конструктор!$D$2:$D$1212,$K103)&amp;IF(INDEX(Конструктор!$J$2:$J$1212,$K103)&lt;&gt;""," — "&amp;INDEX(Конструктор!$J$2:$J$1212,$K103),""))</f>
        <v/>
      </c>
      <c r="D103">
        <f>IF($K103="","",INDEX(Конструктор!$E$2:$E$1212,$K103))</f>
        <v/>
      </c>
      <c r="E103" s="10">
        <f>IF($K103="","",INDEX(Конструктор!$H$2:$H$1212,$K103))</f>
        <v/>
      </c>
      <c r="F103" s="10">
        <f>IF($K103="","",INDEX(Конструктор!$L$2:$L$1212,$K103))</f>
        <v/>
      </c>
      <c r="G103" s="10">
        <f>IF($K103="","",INDEX(Конструктор!$M$2:$M$1212,$K103))</f>
        <v/>
      </c>
      <c r="H103" s="10">
        <f>IF($K103="","",INDEX(Конструктор!$N$2:$N$1212,$K103))</f>
        <v/>
      </c>
      <c r="I103" s="10">
        <f>IF($K103="","",INDEX(Конструктор!$O$2:$O$1212,$K103))</f>
        <v/>
      </c>
      <c r="J103" s="10">
        <f>IF($K103="","",INDEX(Конструктор!$P$2:$P$1212,$K103))</f>
        <v/>
      </c>
      <c r="K103">
        <f>IFERROR(MATCH(83,Конструктор!$T$2:$T$1212,0),"")</f>
        <v/>
      </c>
      <c r="L103">
        <f>IF($K103="","","показать")</f>
        <v/>
      </c>
    </row>
    <row r="104" hidden="1">
      <c r="A104">
        <f>IF($K104="","",84)</f>
        <v/>
      </c>
      <c r="B104">
        <f>IF($K104="","",INDEX(Конструктор!$C$2:$C$1212,$K104))</f>
        <v/>
      </c>
      <c r="C104" s="8">
        <f>IF($K104="","",INDEX(Конструктор!$D$2:$D$1212,$K104)&amp;IF(INDEX(Конструктор!$J$2:$J$1212,$K104)&lt;&gt;""," — "&amp;INDEX(Конструктор!$J$2:$J$1212,$K104),""))</f>
        <v/>
      </c>
      <c r="D104">
        <f>IF($K104="","",INDEX(Конструктор!$E$2:$E$1212,$K104))</f>
        <v/>
      </c>
      <c r="E104" s="10">
        <f>IF($K104="","",INDEX(Конструктор!$H$2:$H$1212,$K104))</f>
        <v/>
      </c>
      <c r="F104" s="10">
        <f>IF($K104="","",INDEX(Конструктор!$L$2:$L$1212,$K104))</f>
        <v/>
      </c>
      <c r="G104" s="10">
        <f>IF($K104="","",INDEX(Конструктор!$M$2:$M$1212,$K104))</f>
        <v/>
      </c>
      <c r="H104" s="10">
        <f>IF($K104="","",INDEX(Конструктор!$N$2:$N$1212,$K104))</f>
        <v/>
      </c>
      <c r="I104" s="10">
        <f>IF($K104="","",INDEX(Конструктор!$O$2:$O$1212,$K104))</f>
        <v/>
      </c>
      <c r="J104" s="10">
        <f>IF($K104="","",INDEX(Конструктор!$P$2:$P$1212,$K104))</f>
        <v/>
      </c>
      <c r="K104">
        <f>IFERROR(MATCH(84,Конструктор!$T$2:$T$1212,0),"")</f>
        <v/>
      </c>
      <c r="L104">
        <f>IF($K104="","","показать")</f>
        <v/>
      </c>
    </row>
    <row r="105" hidden="1">
      <c r="A105">
        <f>IF($K105="","",85)</f>
        <v/>
      </c>
      <c r="B105">
        <f>IF($K105="","",INDEX(Конструктор!$C$2:$C$1212,$K105))</f>
        <v/>
      </c>
      <c r="C105" s="8">
        <f>IF($K105="","",INDEX(Конструктор!$D$2:$D$1212,$K105)&amp;IF(INDEX(Конструктор!$J$2:$J$1212,$K105)&lt;&gt;""," — "&amp;INDEX(Конструктор!$J$2:$J$1212,$K105),""))</f>
        <v/>
      </c>
      <c r="D105">
        <f>IF($K105="","",INDEX(Конструктор!$E$2:$E$1212,$K105))</f>
        <v/>
      </c>
      <c r="E105" s="10">
        <f>IF($K105="","",INDEX(Конструктор!$H$2:$H$1212,$K105))</f>
        <v/>
      </c>
      <c r="F105" s="10">
        <f>IF($K105="","",INDEX(Конструктор!$L$2:$L$1212,$K105))</f>
        <v/>
      </c>
      <c r="G105" s="10">
        <f>IF($K105="","",INDEX(Конструктор!$M$2:$M$1212,$K105))</f>
        <v/>
      </c>
      <c r="H105" s="10">
        <f>IF($K105="","",INDEX(Конструктор!$N$2:$N$1212,$K105))</f>
        <v/>
      </c>
      <c r="I105" s="10">
        <f>IF($K105="","",INDEX(Конструктор!$O$2:$O$1212,$K105))</f>
        <v/>
      </c>
      <c r="J105" s="10">
        <f>IF($K105="","",INDEX(Конструктор!$P$2:$P$1212,$K105))</f>
        <v/>
      </c>
      <c r="K105">
        <f>IFERROR(MATCH(85,Конструктор!$T$2:$T$1212,0),"")</f>
        <v/>
      </c>
      <c r="L105">
        <f>IF($K105="","","показать")</f>
        <v/>
      </c>
    </row>
    <row r="106" hidden="1">
      <c r="A106">
        <f>IF($K106="","",86)</f>
        <v/>
      </c>
      <c r="B106">
        <f>IF($K106="","",INDEX(Конструктор!$C$2:$C$1212,$K106))</f>
        <v/>
      </c>
      <c r="C106" s="8">
        <f>IF($K106="","",INDEX(Конструктор!$D$2:$D$1212,$K106)&amp;IF(INDEX(Конструктор!$J$2:$J$1212,$K106)&lt;&gt;""," — "&amp;INDEX(Конструктор!$J$2:$J$1212,$K106),""))</f>
        <v/>
      </c>
      <c r="D106">
        <f>IF($K106="","",INDEX(Конструктор!$E$2:$E$1212,$K106))</f>
        <v/>
      </c>
      <c r="E106" s="10">
        <f>IF($K106="","",INDEX(Конструктор!$H$2:$H$1212,$K106))</f>
        <v/>
      </c>
      <c r="F106" s="10">
        <f>IF($K106="","",INDEX(Конструктор!$L$2:$L$1212,$K106))</f>
        <v/>
      </c>
      <c r="G106" s="10">
        <f>IF($K106="","",INDEX(Конструктор!$M$2:$M$1212,$K106))</f>
        <v/>
      </c>
      <c r="H106" s="10">
        <f>IF($K106="","",INDEX(Конструктор!$N$2:$N$1212,$K106))</f>
        <v/>
      </c>
      <c r="I106" s="10">
        <f>IF($K106="","",INDEX(Конструктор!$O$2:$O$1212,$K106))</f>
        <v/>
      </c>
      <c r="J106" s="10">
        <f>IF($K106="","",INDEX(Конструктор!$P$2:$P$1212,$K106))</f>
        <v/>
      </c>
      <c r="K106">
        <f>IFERROR(MATCH(86,Конструктор!$T$2:$T$1212,0),"")</f>
        <v/>
      </c>
      <c r="L106">
        <f>IF($K106="","","показать")</f>
        <v/>
      </c>
    </row>
    <row r="107" hidden="1">
      <c r="A107">
        <f>IF($K107="","",87)</f>
        <v/>
      </c>
      <c r="B107">
        <f>IF($K107="","",INDEX(Конструктор!$C$2:$C$1212,$K107))</f>
        <v/>
      </c>
      <c r="C107" s="8">
        <f>IF($K107="","",INDEX(Конструктор!$D$2:$D$1212,$K107)&amp;IF(INDEX(Конструктор!$J$2:$J$1212,$K107)&lt;&gt;""," — "&amp;INDEX(Конструктор!$J$2:$J$1212,$K107),""))</f>
        <v/>
      </c>
      <c r="D107">
        <f>IF($K107="","",INDEX(Конструктор!$E$2:$E$1212,$K107))</f>
        <v/>
      </c>
      <c r="E107" s="10">
        <f>IF($K107="","",INDEX(Конструктор!$H$2:$H$1212,$K107))</f>
        <v/>
      </c>
      <c r="F107" s="10">
        <f>IF($K107="","",INDEX(Конструктор!$L$2:$L$1212,$K107))</f>
        <v/>
      </c>
      <c r="G107" s="10">
        <f>IF($K107="","",INDEX(Конструктор!$M$2:$M$1212,$K107))</f>
        <v/>
      </c>
      <c r="H107" s="10">
        <f>IF($K107="","",INDEX(Конструктор!$N$2:$N$1212,$K107))</f>
        <v/>
      </c>
      <c r="I107" s="10">
        <f>IF($K107="","",INDEX(Конструктор!$O$2:$O$1212,$K107))</f>
        <v/>
      </c>
      <c r="J107" s="10">
        <f>IF($K107="","",INDEX(Конструктор!$P$2:$P$1212,$K107))</f>
        <v/>
      </c>
      <c r="K107">
        <f>IFERROR(MATCH(87,Конструктор!$T$2:$T$1212,0),"")</f>
        <v/>
      </c>
      <c r="L107">
        <f>IF($K107="","","показать")</f>
        <v/>
      </c>
    </row>
    <row r="108" hidden="1">
      <c r="A108">
        <f>IF($K108="","",88)</f>
        <v/>
      </c>
      <c r="B108">
        <f>IF($K108="","",INDEX(Конструктор!$C$2:$C$1212,$K108))</f>
        <v/>
      </c>
      <c r="C108" s="8">
        <f>IF($K108="","",INDEX(Конструктор!$D$2:$D$1212,$K108)&amp;IF(INDEX(Конструктор!$J$2:$J$1212,$K108)&lt;&gt;""," — "&amp;INDEX(Конструктор!$J$2:$J$1212,$K108),""))</f>
        <v/>
      </c>
      <c r="D108">
        <f>IF($K108="","",INDEX(Конструктор!$E$2:$E$1212,$K108))</f>
        <v/>
      </c>
      <c r="E108" s="10">
        <f>IF($K108="","",INDEX(Конструктор!$H$2:$H$1212,$K108))</f>
        <v/>
      </c>
      <c r="F108" s="10">
        <f>IF($K108="","",INDEX(Конструктор!$L$2:$L$1212,$K108))</f>
        <v/>
      </c>
      <c r="G108" s="10">
        <f>IF($K108="","",INDEX(Конструктор!$M$2:$M$1212,$K108))</f>
        <v/>
      </c>
      <c r="H108" s="10">
        <f>IF($K108="","",INDEX(Конструктор!$N$2:$N$1212,$K108))</f>
        <v/>
      </c>
      <c r="I108" s="10">
        <f>IF($K108="","",INDEX(Конструктор!$O$2:$O$1212,$K108))</f>
        <v/>
      </c>
      <c r="J108" s="10">
        <f>IF($K108="","",INDEX(Конструктор!$P$2:$P$1212,$K108))</f>
        <v/>
      </c>
      <c r="K108">
        <f>IFERROR(MATCH(88,Конструктор!$T$2:$T$1212,0),"")</f>
        <v/>
      </c>
      <c r="L108">
        <f>IF($K108="","","показать")</f>
        <v/>
      </c>
    </row>
    <row r="109" hidden="1">
      <c r="A109">
        <f>IF($K109="","",89)</f>
        <v/>
      </c>
      <c r="B109">
        <f>IF($K109="","",INDEX(Конструктор!$C$2:$C$1212,$K109))</f>
        <v/>
      </c>
      <c r="C109" s="8">
        <f>IF($K109="","",INDEX(Конструктор!$D$2:$D$1212,$K109)&amp;IF(INDEX(Конструктор!$J$2:$J$1212,$K109)&lt;&gt;""," — "&amp;INDEX(Конструктор!$J$2:$J$1212,$K109),""))</f>
        <v/>
      </c>
      <c r="D109">
        <f>IF($K109="","",INDEX(Конструктор!$E$2:$E$1212,$K109))</f>
        <v/>
      </c>
      <c r="E109" s="10">
        <f>IF($K109="","",INDEX(Конструктор!$H$2:$H$1212,$K109))</f>
        <v/>
      </c>
      <c r="F109" s="10">
        <f>IF($K109="","",INDEX(Конструктор!$L$2:$L$1212,$K109))</f>
        <v/>
      </c>
      <c r="G109" s="10">
        <f>IF($K109="","",INDEX(Конструктор!$M$2:$M$1212,$K109))</f>
        <v/>
      </c>
      <c r="H109" s="10">
        <f>IF($K109="","",INDEX(Конструктор!$N$2:$N$1212,$K109))</f>
        <v/>
      </c>
      <c r="I109" s="10">
        <f>IF($K109="","",INDEX(Конструктор!$O$2:$O$1212,$K109))</f>
        <v/>
      </c>
      <c r="J109" s="10">
        <f>IF($K109="","",INDEX(Конструктор!$P$2:$P$1212,$K109))</f>
        <v/>
      </c>
      <c r="K109">
        <f>IFERROR(MATCH(89,Конструктор!$T$2:$T$1212,0),"")</f>
        <v/>
      </c>
      <c r="L109">
        <f>IF($K109="","","показать")</f>
        <v/>
      </c>
    </row>
    <row r="110" hidden="1">
      <c r="A110">
        <f>IF($K110="","",90)</f>
        <v/>
      </c>
      <c r="B110">
        <f>IF($K110="","",INDEX(Конструктор!$C$2:$C$1212,$K110))</f>
        <v/>
      </c>
      <c r="C110" s="8">
        <f>IF($K110="","",INDEX(Конструктор!$D$2:$D$1212,$K110)&amp;IF(INDEX(Конструктор!$J$2:$J$1212,$K110)&lt;&gt;""," — "&amp;INDEX(Конструктор!$J$2:$J$1212,$K110),""))</f>
        <v/>
      </c>
      <c r="D110">
        <f>IF($K110="","",INDEX(Конструктор!$E$2:$E$1212,$K110))</f>
        <v/>
      </c>
      <c r="E110" s="10">
        <f>IF($K110="","",INDEX(Конструктор!$H$2:$H$1212,$K110))</f>
        <v/>
      </c>
      <c r="F110" s="10">
        <f>IF($K110="","",INDEX(Конструктор!$L$2:$L$1212,$K110))</f>
        <v/>
      </c>
      <c r="G110" s="10">
        <f>IF($K110="","",INDEX(Конструктор!$M$2:$M$1212,$K110))</f>
        <v/>
      </c>
      <c r="H110" s="10">
        <f>IF($K110="","",INDEX(Конструктор!$N$2:$N$1212,$K110))</f>
        <v/>
      </c>
      <c r="I110" s="10">
        <f>IF($K110="","",INDEX(Конструктор!$O$2:$O$1212,$K110))</f>
        <v/>
      </c>
      <c r="J110" s="10">
        <f>IF($K110="","",INDEX(Конструктор!$P$2:$P$1212,$K110))</f>
        <v/>
      </c>
      <c r="K110">
        <f>IFERROR(MATCH(90,Конструктор!$T$2:$T$1212,0),"")</f>
        <v/>
      </c>
      <c r="L110">
        <f>IF($K110="","","показать")</f>
        <v/>
      </c>
    </row>
    <row r="111" hidden="1">
      <c r="A111">
        <f>IF($K111="","",91)</f>
        <v/>
      </c>
      <c r="B111">
        <f>IF($K111="","",INDEX(Конструктор!$C$2:$C$1212,$K111))</f>
        <v/>
      </c>
      <c r="C111" s="8">
        <f>IF($K111="","",INDEX(Конструктор!$D$2:$D$1212,$K111)&amp;IF(INDEX(Конструктор!$J$2:$J$1212,$K111)&lt;&gt;""," — "&amp;INDEX(Конструктор!$J$2:$J$1212,$K111),""))</f>
        <v/>
      </c>
      <c r="D111">
        <f>IF($K111="","",INDEX(Конструктор!$E$2:$E$1212,$K111))</f>
        <v/>
      </c>
      <c r="E111" s="10">
        <f>IF($K111="","",INDEX(Конструктор!$H$2:$H$1212,$K111))</f>
        <v/>
      </c>
      <c r="F111" s="10">
        <f>IF($K111="","",INDEX(Конструктор!$L$2:$L$1212,$K111))</f>
        <v/>
      </c>
      <c r="G111" s="10">
        <f>IF($K111="","",INDEX(Конструктор!$M$2:$M$1212,$K111))</f>
        <v/>
      </c>
      <c r="H111" s="10">
        <f>IF($K111="","",INDEX(Конструктор!$N$2:$N$1212,$K111))</f>
        <v/>
      </c>
      <c r="I111" s="10">
        <f>IF($K111="","",INDEX(Конструктор!$O$2:$O$1212,$K111))</f>
        <v/>
      </c>
      <c r="J111" s="10">
        <f>IF($K111="","",INDEX(Конструктор!$P$2:$P$1212,$K111))</f>
        <v/>
      </c>
      <c r="K111">
        <f>IFERROR(MATCH(91,Конструктор!$T$2:$T$1212,0),"")</f>
        <v/>
      </c>
      <c r="L111">
        <f>IF($K111="","","показать")</f>
        <v/>
      </c>
    </row>
    <row r="112" hidden="1">
      <c r="A112">
        <f>IF($K112="","",92)</f>
        <v/>
      </c>
      <c r="B112">
        <f>IF($K112="","",INDEX(Конструктор!$C$2:$C$1212,$K112))</f>
        <v/>
      </c>
      <c r="C112" s="8">
        <f>IF($K112="","",INDEX(Конструктор!$D$2:$D$1212,$K112)&amp;IF(INDEX(Конструктор!$J$2:$J$1212,$K112)&lt;&gt;""," — "&amp;INDEX(Конструктор!$J$2:$J$1212,$K112),""))</f>
        <v/>
      </c>
      <c r="D112">
        <f>IF($K112="","",INDEX(Конструктор!$E$2:$E$1212,$K112))</f>
        <v/>
      </c>
      <c r="E112" s="10">
        <f>IF($K112="","",INDEX(Конструктор!$H$2:$H$1212,$K112))</f>
        <v/>
      </c>
      <c r="F112" s="10">
        <f>IF($K112="","",INDEX(Конструктор!$L$2:$L$1212,$K112))</f>
        <v/>
      </c>
      <c r="G112" s="10">
        <f>IF($K112="","",INDEX(Конструктор!$M$2:$M$1212,$K112))</f>
        <v/>
      </c>
      <c r="H112" s="10">
        <f>IF($K112="","",INDEX(Конструктор!$N$2:$N$1212,$K112))</f>
        <v/>
      </c>
      <c r="I112" s="10">
        <f>IF($K112="","",INDEX(Конструктор!$O$2:$O$1212,$K112))</f>
        <v/>
      </c>
      <c r="J112" s="10">
        <f>IF($K112="","",INDEX(Конструктор!$P$2:$P$1212,$K112))</f>
        <v/>
      </c>
      <c r="K112">
        <f>IFERROR(MATCH(92,Конструктор!$T$2:$T$1212,0),"")</f>
        <v/>
      </c>
      <c r="L112">
        <f>IF($K112="","","показать")</f>
        <v/>
      </c>
    </row>
    <row r="113" hidden="1">
      <c r="A113">
        <f>IF($K113="","",93)</f>
        <v/>
      </c>
      <c r="B113">
        <f>IF($K113="","",INDEX(Конструктор!$C$2:$C$1212,$K113))</f>
        <v/>
      </c>
      <c r="C113" s="8">
        <f>IF($K113="","",INDEX(Конструктор!$D$2:$D$1212,$K113)&amp;IF(INDEX(Конструктор!$J$2:$J$1212,$K113)&lt;&gt;""," — "&amp;INDEX(Конструктор!$J$2:$J$1212,$K113),""))</f>
        <v/>
      </c>
      <c r="D113">
        <f>IF($K113="","",INDEX(Конструктор!$E$2:$E$1212,$K113))</f>
        <v/>
      </c>
      <c r="E113" s="10">
        <f>IF($K113="","",INDEX(Конструктор!$H$2:$H$1212,$K113))</f>
        <v/>
      </c>
      <c r="F113" s="10">
        <f>IF($K113="","",INDEX(Конструктор!$L$2:$L$1212,$K113))</f>
        <v/>
      </c>
      <c r="G113" s="10">
        <f>IF($K113="","",INDEX(Конструктор!$M$2:$M$1212,$K113))</f>
        <v/>
      </c>
      <c r="H113" s="10">
        <f>IF($K113="","",INDEX(Конструктор!$N$2:$N$1212,$K113))</f>
        <v/>
      </c>
      <c r="I113" s="10">
        <f>IF($K113="","",INDEX(Конструктор!$O$2:$O$1212,$K113))</f>
        <v/>
      </c>
      <c r="J113" s="10">
        <f>IF($K113="","",INDEX(Конструктор!$P$2:$P$1212,$K113))</f>
        <v/>
      </c>
      <c r="K113">
        <f>IFERROR(MATCH(93,Конструктор!$T$2:$T$1212,0),"")</f>
        <v/>
      </c>
      <c r="L113">
        <f>IF($K113="","","показать")</f>
        <v/>
      </c>
    </row>
    <row r="114" hidden="1">
      <c r="A114">
        <f>IF($K114="","",94)</f>
        <v/>
      </c>
      <c r="B114">
        <f>IF($K114="","",INDEX(Конструктор!$C$2:$C$1212,$K114))</f>
        <v/>
      </c>
      <c r="C114" s="8">
        <f>IF($K114="","",INDEX(Конструктор!$D$2:$D$1212,$K114)&amp;IF(INDEX(Конструктор!$J$2:$J$1212,$K114)&lt;&gt;""," — "&amp;INDEX(Конструктор!$J$2:$J$1212,$K114),""))</f>
        <v/>
      </c>
      <c r="D114">
        <f>IF($K114="","",INDEX(Конструктор!$E$2:$E$1212,$K114))</f>
        <v/>
      </c>
      <c r="E114" s="10">
        <f>IF($K114="","",INDEX(Конструктор!$H$2:$H$1212,$K114))</f>
        <v/>
      </c>
      <c r="F114" s="10">
        <f>IF($K114="","",INDEX(Конструктор!$L$2:$L$1212,$K114))</f>
        <v/>
      </c>
      <c r="G114" s="10">
        <f>IF($K114="","",INDEX(Конструктор!$M$2:$M$1212,$K114))</f>
        <v/>
      </c>
      <c r="H114" s="10">
        <f>IF($K114="","",INDEX(Конструктор!$N$2:$N$1212,$K114))</f>
        <v/>
      </c>
      <c r="I114" s="10">
        <f>IF($K114="","",INDEX(Конструктор!$O$2:$O$1212,$K114))</f>
        <v/>
      </c>
      <c r="J114" s="10">
        <f>IF($K114="","",INDEX(Конструктор!$P$2:$P$1212,$K114))</f>
        <v/>
      </c>
      <c r="K114">
        <f>IFERROR(MATCH(94,Конструктор!$T$2:$T$1212,0),"")</f>
        <v/>
      </c>
      <c r="L114">
        <f>IF($K114="","","показать")</f>
        <v/>
      </c>
    </row>
    <row r="115" hidden="1">
      <c r="A115">
        <f>IF($K115="","",95)</f>
        <v/>
      </c>
      <c r="B115">
        <f>IF($K115="","",INDEX(Конструктор!$C$2:$C$1212,$K115))</f>
        <v/>
      </c>
      <c r="C115" s="8">
        <f>IF($K115="","",INDEX(Конструктор!$D$2:$D$1212,$K115)&amp;IF(INDEX(Конструктор!$J$2:$J$1212,$K115)&lt;&gt;""," — "&amp;INDEX(Конструктор!$J$2:$J$1212,$K115),""))</f>
        <v/>
      </c>
      <c r="D115">
        <f>IF($K115="","",INDEX(Конструктор!$E$2:$E$1212,$K115))</f>
        <v/>
      </c>
      <c r="E115" s="10">
        <f>IF($K115="","",INDEX(Конструктор!$H$2:$H$1212,$K115))</f>
        <v/>
      </c>
      <c r="F115" s="10">
        <f>IF($K115="","",INDEX(Конструктор!$L$2:$L$1212,$K115))</f>
        <v/>
      </c>
      <c r="G115" s="10">
        <f>IF($K115="","",INDEX(Конструктор!$M$2:$M$1212,$K115))</f>
        <v/>
      </c>
      <c r="H115" s="10">
        <f>IF($K115="","",INDEX(Конструктор!$N$2:$N$1212,$K115))</f>
        <v/>
      </c>
      <c r="I115" s="10">
        <f>IF($K115="","",INDEX(Конструктор!$O$2:$O$1212,$K115))</f>
        <v/>
      </c>
      <c r="J115" s="10">
        <f>IF($K115="","",INDEX(Конструктор!$P$2:$P$1212,$K115))</f>
        <v/>
      </c>
      <c r="K115">
        <f>IFERROR(MATCH(95,Конструктор!$T$2:$T$1212,0),"")</f>
        <v/>
      </c>
      <c r="L115">
        <f>IF($K115="","","показать")</f>
        <v/>
      </c>
    </row>
    <row r="116" hidden="1">
      <c r="A116">
        <f>IF($K116="","",96)</f>
        <v/>
      </c>
      <c r="B116">
        <f>IF($K116="","",INDEX(Конструктор!$C$2:$C$1212,$K116))</f>
        <v/>
      </c>
      <c r="C116" s="8">
        <f>IF($K116="","",INDEX(Конструктор!$D$2:$D$1212,$K116)&amp;IF(INDEX(Конструктор!$J$2:$J$1212,$K116)&lt;&gt;""," — "&amp;INDEX(Конструктор!$J$2:$J$1212,$K116),""))</f>
        <v/>
      </c>
      <c r="D116">
        <f>IF($K116="","",INDEX(Конструктор!$E$2:$E$1212,$K116))</f>
        <v/>
      </c>
      <c r="E116" s="10">
        <f>IF($K116="","",INDEX(Конструктор!$H$2:$H$1212,$K116))</f>
        <v/>
      </c>
      <c r="F116" s="10">
        <f>IF($K116="","",INDEX(Конструктор!$L$2:$L$1212,$K116))</f>
        <v/>
      </c>
      <c r="G116" s="10">
        <f>IF($K116="","",INDEX(Конструктор!$M$2:$M$1212,$K116))</f>
        <v/>
      </c>
      <c r="H116" s="10">
        <f>IF($K116="","",INDEX(Конструктор!$N$2:$N$1212,$K116))</f>
        <v/>
      </c>
      <c r="I116" s="10">
        <f>IF($K116="","",INDEX(Конструктор!$O$2:$O$1212,$K116))</f>
        <v/>
      </c>
      <c r="J116" s="10">
        <f>IF($K116="","",INDEX(Конструктор!$P$2:$P$1212,$K116))</f>
        <v/>
      </c>
      <c r="K116">
        <f>IFERROR(MATCH(96,Конструктор!$T$2:$T$1212,0),"")</f>
        <v/>
      </c>
      <c r="L116">
        <f>IF($K116="","","показать")</f>
        <v/>
      </c>
    </row>
    <row r="117" hidden="1">
      <c r="A117">
        <f>IF($K117="","",97)</f>
        <v/>
      </c>
      <c r="B117">
        <f>IF($K117="","",INDEX(Конструктор!$C$2:$C$1212,$K117))</f>
        <v/>
      </c>
      <c r="C117" s="8">
        <f>IF($K117="","",INDEX(Конструктор!$D$2:$D$1212,$K117)&amp;IF(INDEX(Конструктор!$J$2:$J$1212,$K117)&lt;&gt;""," — "&amp;INDEX(Конструктор!$J$2:$J$1212,$K117),""))</f>
        <v/>
      </c>
      <c r="D117">
        <f>IF($K117="","",INDEX(Конструктор!$E$2:$E$1212,$K117))</f>
        <v/>
      </c>
      <c r="E117" s="10">
        <f>IF($K117="","",INDEX(Конструктор!$H$2:$H$1212,$K117))</f>
        <v/>
      </c>
      <c r="F117" s="10">
        <f>IF($K117="","",INDEX(Конструктор!$L$2:$L$1212,$K117))</f>
        <v/>
      </c>
      <c r="G117" s="10">
        <f>IF($K117="","",INDEX(Конструктор!$M$2:$M$1212,$K117))</f>
        <v/>
      </c>
      <c r="H117" s="10">
        <f>IF($K117="","",INDEX(Конструктор!$N$2:$N$1212,$K117))</f>
        <v/>
      </c>
      <c r="I117" s="10">
        <f>IF($K117="","",INDEX(Конструктор!$O$2:$O$1212,$K117))</f>
        <v/>
      </c>
      <c r="J117" s="10">
        <f>IF($K117="","",INDEX(Конструктор!$P$2:$P$1212,$K117))</f>
        <v/>
      </c>
      <c r="K117">
        <f>IFERROR(MATCH(97,Конструктор!$T$2:$T$1212,0),"")</f>
        <v/>
      </c>
      <c r="L117">
        <f>IF($K117="","","показать")</f>
        <v/>
      </c>
    </row>
    <row r="118" hidden="1">
      <c r="A118">
        <f>IF($K118="","",98)</f>
        <v/>
      </c>
      <c r="B118">
        <f>IF($K118="","",INDEX(Конструктор!$C$2:$C$1212,$K118))</f>
        <v/>
      </c>
      <c r="C118" s="8">
        <f>IF($K118="","",INDEX(Конструктор!$D$2:$D$1212,$K118)&amp;IF(INDEX(Конструктор!$J$2:$J$1212,$K118)&lt;&gt;""," — "&amp;INDEX(Конструктор!$J$2:$J$1212,$K118),""))</f>
        <v/>
      </c>
      <c r="D118">
        <f>IF($K118="","",INDEX(Конструктор!$E$2:$E$1212,$K118))</f>
        <v/>
      </c>
      <c r="E118" s="10">
        <f>IF($K118="","",INDEX(Конструктор!$H$2:$H$1212,$K118))</f>
        <v/>
      </c>
      <c r="F118" s="10">
        <f>IF($K118="","",INDEX(Конструктор!$L$2:$L$1212,$K118))</f>
        <v/>
      </c>
      <c r="G118" s="10">
        <f>IF($K118="","",INDEX(Конструктор!$M$2:$M$1212,$K118))</f>
        <v/>
      </c>
      <c r="H118" s="10">
        <f>IF($K118="","",INDEX(Конструктор!$N$2:$N$1212,$K118))</f>
        <v/>
      </c>
      <c r="I118" s="10">
        <f>IF($K118="","",INDEX(Конструктор!$O$2:$O$1212,$K118))</f>
        <v/>
      </c>
      <c r="J118" s="10">
        <f>IF($K118="","",INDEX(Конструктор!$P$2:$P$1212,$K118))</f>
        <v/>
      </c>
      <c r="K118">
        <f>IFERROR(MATCH(98,Конструктор!$T$2:$T$1212,0),"")</f>
        <v/>
      </c>
      <c r="L118">
        <f>IF($K118="","","показать")</f>
        <v/>
      </c>
    </row>
    <row r="119" hidden="1">
      <c r="A119">
        <f>IF($K119="","",99)</f>
        <v/>
      </c>
      <c r="B119">
        <f>IF($K119="","",INDEX(Конструктор!$C$2:$C$1212,$K119))</f>
        <v/>
      </c>
      <c r="C119" s="8">
        <f>IF($K119="","",INDEX(Конструктор!$D$2:$D$1212,$K119)&amp;IF(INDEX(Конструктор!$J$2:$J$1212,$K119)&lt;&gt;""," — "&amp;INDEX(Конструктор!$J$2:$J$1212,$K119),""))</f>
        <v/>
      </c>
      <c r="D119">
        <f>IF($K119="","",INDEX(Конструктор!$E$2:$E$1212,$K119))</f>
        <v/>
      </c>
      <c r="E119" s="10">
        <f>IF($K119="","",INDEX(Конструктор!$H$2:$H$1212,$K119))</f>
        <v/>
      </c>
      <c r="F119" s="10">
        <f>IF($K119="","",INDEX(Конструктор!$L$2:$L$1212,$K119))</f>
        <v/>
      </c>
      <c r="G119" s="10">
        <f>IF($K119="","",INDEX(Конструктор!$M$2:$M$1212,$K119))</f>
        <v/>
      </c>
      <c r="H119" s="10">
        <f>IF($K119="","",INDEX(Конструктор!$N$2:$N$1212,$K119))</f>
        <v/>
      </c>
      <c r="I119" s="10">
        <f>IF($K119="","",INDEX(Конструктор!$O$2:$O$1212,$K119))</f>
        <v/>
      </c>
      <c r="J119" s="10">
        <f>IF($K119="","",INDEX(Конструктор!$P$2:$P$1212,$K119))</f>
        <v/>
      </c>
      <c r="K119">
        <f>IFERROR(MATCH(99,Конструктор!$T$2:$T$1212,0),"")</f>
        <v/>
      </c>
      <c r="L119">
        <f>IF($K119="","","показать")</f>
        <v/>
      </c>
    </row>
    <row r="120" hidden="1">
      <c r="A120">
        <f>IF($K120="","",100)</f>
        <v/>
      </c>
      <c r="B120">
        <f>IF($K120="","",INDEX(Конструктор!$C$2:$C$1212,$K120))</f>
        <v/>
      </c>
      <c r="C120" s="8">
        <f>IF($K120="","",INDEX(Конструктор!$D$2:$D$1212,$K120)&amp;IF(INDEX(Конструктор!$J$2:$J$1212,$K120)&lt;&gt;""," — "&amp;INDEX(Конструктор!$J$2:$J$1212,$K120),""))</f>
        <v/>
      </c>
      <c r="D120">
        <f>IF($K120="","",INDEX(Конструктор!$E$2:$E$1212,$K120))</f>
        <v/>
      </c>
      <c r="E120" s="10">
        <f>IF($K120="","",INDEX(Конструктор!$H$2:$H$1212,$K120))</f>
        <v/>
      </c>
      <c r="F120" s="10">
        <f>IF($K120="","",INDEX(Конструктор!$L$2:$L$1212,$K120))</f>
        <v/>
      </c>
      <c r="G120" s="10">
        <f>IF($K120="","",INDEX(Конструктор!$M$2:$M$1212,$K120))</f>
        <v/>
      </c>
      <c r="H120" s="10">
        <f>IF($K120="","",INDEX(Конструктор!$N$2:$N$1212,$K120))</f>
        <v/>
      </c>
      <c r="I120" s="10">
        <f>IF($K120="","",INDEX(Конструктор!$O$2:$O$1212,$K120))</f>
        <v/>
      </c>
      <c r="J120" s="10">
        <f>IF($K120="","",INDEX(Конструктор!$P$2:$P$1212,$K120))</f>
        <v/>
      </c>
      <c r="K120">
        <f>IFERROR(MATCH(100,Конструктор!$T$2:$T$1212,0),"")</f>
        <v/>
      </c>
      <c r="L120">
        <f>IF($K120="","","показать")</f>
        <v/>
      </c>
    </row>
    <row r="121" hidden="1">
      <c r="A121">
        <f>IF($K121="","",101)</f>
        <v/>
      </c>
      <c r="B121">
        <f>IF($K121="","",INDEX(Конструктор!$C$2:$C$1212,$K121))</f>
        <v/>
      </c>
      <c r="C121" s="8">
        <f>IF($K121="","",INDEX(Конструктор!$D$2:$D$1212,$K121)&amp;IF(INDEX(Конструктор!$J$2:$J$1212,$K121)&lt;&gt;""," — "&amp;INDEX(Конструктор!$J$2:$J$1212,$K121),""))</f>
        <v/>
      </c>
      <c r="D121">
        <f>IF($K121="","",INDEX(Конструктор!$E$2:$E$1212,$K121))</f>
        <v/>
      </c>
      <c r="E121" s="10">
        <f>IF($K121="","",INDEX(Конструктор!$H$2:$H$1212,$K121))</f>
        <v/>
      </c>
      <c r="F121" s="10">
        <f>IF($K121="","",INDEX(Конструктор!$L$2:$L$1212,$K121))</f>
        <v/>
      </c>
      <c r="G121" s="10">
        <f>IF($K121="","",INDEX(Конструктор!$M$2:$M$1212,$K121))</f>
        <v/>
      </c>
      <c r="H121" s="10">
        <f>IF($K121="","",INDEX(Конструктор!$N$2:$N$1212,$K121))</f>
        <v/>
      </c>
      <c r="I121" s="10">
        <f>IF($K121="","",INDEX(Конструктор!$O$2:$O$1212,$K121))</f>
        <v/>
      </c>
      <c r="J121" s="10">
        <f>IF($K121="","",INDEX(Конструктор!$P$2:$P$1212,$K121))</f>
        <v/>
      </c>
      <c r="K121">
        <f>IFERROR(MATCH(101,Конструктор!$T$2:$T$1212,0),"")</f>
        <v/>
      </c>
      <c r="L121">
        <f>IF($K121="","","показать")</f>
        <v/>
      </c>
    </row>
    <row r="122" hidden="1">
      <c r="A122">
        <f>IF($K122="","",102)</f>
        <v/>
      </c>
      <c r="B122">
        <f>IF($K122="","",INDEX(Конструктор!$C$2:$C$1212,$K122))</f>
        <v/>
      </c>
      <c r="C122" s="8">
        <f>IF($K122="","",INDEX(Конструктор!$D$2:$D$1212,$K122)&amp;IF(INDEX(Конструктор!$J$2:$J$1212,$K122)&lt;&gt;""," — "&amp;INDEX(Конструктор!$J$2:$J$1212,$K122),""))</f>
        <v/>
      </c>
      <c r="D122">
        <f>IF($K122="","",INDEX(Конструктор!$E$2:$E$1212,$K122))</f>
        <v/>
      </c>
      <c r="E122" s="10">
        <f>IF($K122="","",INDEX(Конструктор!$H$2:$H$1212,$K122))</f>
        <v/>
      </c>
      <c r="F122" s="10">
        <f>IF($K122="","",INDEX(Конструктор!$L$2:$L$1212,$K122))</f>
        <v/>
      </c>
      <c r="G122" s="10">
        <f>IF($K122="","",INDEX(Конструктор!$M$2:$M$1212,$K122))</f>
        <v/>
      </c>
      <c r="H122" s="10">
        <f>IF($K122="","",INDEX(Конструктор!$N$2:$N$1212,$K122))</f>
        <v/>
      </c>
      <c r="I122" s="10">
        <f>IF($K122="","",INDEX(Конструктор!$O$2:$O$1212,$K122))</f>
        <v/>
      </c>
      <c r="J122" s="10">
        <f>IF($K122="","",INDEX(Конструктор!$P$2:$P$1212,$K122))</f>
        <v/>
      </c>
      <c r="K122">
        <f>IFERROR(MATCH(102,Конструктор!$T$2:$T$1212,0),"")</f>
        <v/>
      </c>
      <c r="L122">
        <f>IF($K122="","","показать")</f>
        <v/>
      </c>
    </row>
    <row r="123" hidden="1">
      <c r="A123">
        <f>IF($K123="","",103)</f>
        <v/>
      </c>
      <c r="B123">
        <f>IF($K123="","",INDEX(Конструктор!$C$2:$C$1212,$K123))</f>
        <v/>
      </c>
      <c r="C123" s="8">
        <f>IF($K123="","",INDEX(Конструктор!$D$2:$D$1212,$K123)&amp;IF(INDEX(Конструктор!$J$2:$J$1212,$K123)&lt;&gt;""," — "&amp;INDEX(Конструктор!$J$2:$J$1212,$K123),""))</f>
        <v/>
      </c>
      <c r="D123">
        <f>IF($K123="","",INDEX(Конструктор!$E$2:$E$1212,$K123))</f>
        <v/>
      </c>
      <c r="E123" s="10">
        <f>IF($K123="","",INDEX(Конструктор!$H$2:$H$1212,$K123))</f>
        <v/>
      </c>
      <c r="F123" s="10">
        <f>IF($K123="","",INDEX(Конструктор!$L$2:$L$1212,$K123))</f>
        <v/>
      </c>
      <c r="G123" s="10">
        <f>IF($K123="","",INDEX(Конструктор!$M$2:$M$1212,$K123))</f>
        <v/>
      </c>
      <c r="H123" s="10">
        <f>IF($K123="","",INDEX(Конструктор!$N$2:$N$1212,$K123))</f>
        <v/>
      </c>
      <c r="I123" s="10">
        <f>IF($K123="","",INDEX(Конструктор!$O$2:$O$1212,$K123))</f>
        <v/>
      </c>
      <c r="J123" s="10">
        <f>IF($K123="","",INDEX(Конструктор!$P$2:$P$1212,$K123))</f>
        <v/>
      </c>
      <c r="K123">
        <f>IFERROR(MATCH(103,Конструктор!$T$2:$T$1212,0),"")</f>
        <v/>
      </c>
      <c r="L123">
        <f>IF($K123="","","показать")</f>
        <v/>
      </c>
    </row>
    <row r="124" hidden="1">
      <c r="A124">
        <f>IF($K124="","",104)</f>
        <v/>
      </c>
      <c r="B124">
        <f>IF($K124="","",INDEX(Конструктор!$C$2:$C$1212,$K124))</f>
        <v/>
      </c>
      <c r="C124" s="8">
        <f>IF($K124="","",INDEX(Конструктор!$D$2:$D$1212,$K124)&amp;IF(INDEX(Конструктор!$J$2:$J$1212,$K124)&lt;&gt;""," — "&amp;INDEX(Конструктор!$J$2:$J$1212,$K124),""))</f>
        <v/>
      </c>
      <c r="D124">
        <f>IF($K124="","",INDEX(Конструктор!$E$2:$E$1212,$K124))</f>
        <v/>
      </c>
      <c r="E124" s="10">
        <f>IF($K124="","",INDEX(Конструктор!$H$2:$H$1212,$K124))</f>
        <v/>
      </c>
      <c r="F124" s="10">
        <f>IF($K124="","",INDEX(Конструктор!$L$2:$L$1212,$K124))</f>
        <v/>
      </c>
      <c r="G124" s="10">
        <f>IF($K124="","",INDEX(Конструктор!$M$2:$M$1212,$K124))</f>
        <v/>
      </c>
      <c r="H124" s="10">
        <f>IF($K124="","",INDEX(Конструктор!$N$2:$N$1212,$K124))</f>
        <v/>
      </c>
      <c r="I124" s="10">
        <f>IF($K124="","",INDEX(Конструктор!$O$2:$O$1212,$K124))</f>
        <v/>
      </c>
      <c r="J124" s="10">
        <f>IF($K124="","",INDEX(Конструктор!$P$2:$P$1212,$K124))</f>
        <v/>
      </c>
      <c r="K124">
        <f>IFERROR(MATCH(104,Конструктор!$T$2:$T$1212,0),"")</f>
        <v/>
      </c>
      <c r="L124">
        <f>IF($K124="","","показать")</f>
        <v/>
      </c>
    </row>
    <row r="125" hidden="1">
      <c r="A125">
        <f>IF($K125="","",105)</f>
        <v/>
      </c>
      <c r="B125">
        <f>IF($K125="","",INDEX(Конструктор!$C$2:$C$1212,$K125))</f>
        <v/>
      </c>
      <c r="C125" s="8">
        <f>IF($K125="","",INDEX(Конструктор!$D$2:$D$1212,$K125)&amp;IF(INDEX(Конструктор!$J$2:$J$1212,$K125)&lt;&gt;""," — "&amp;INDEX(Конструктор!$J$2:$J$1212,$K125),""))</f>
        <v/>
      </c>
      <c r="D125">
        <f>IF($K125="","",INDEX(Конструктор!$E$2:$E$1212,$K125))</f>
        <v/>
      </c>
      <c r="E125" s="10">
        <f>IF($K125="","",INDEX(Конструктор!$H$2:$H$1212,$K125))</f>
        <v/>
      </c>
      <c r="F125" s="10">
        <f>IF($K125="","",INDEX(Конструктор!$L$2:$L$1212,$K125))</f>
        <v/>
      </c>
      <c r="G125" s="10">
        <f>IF($K125="","",INDEX(Конструктор!$M$2:$M$1212,$K125))</f>
        <v/>
      </c>
      <c r="H125" s="10">
        <f>IF($K125="","",INDEX(Конструктор!$N$2:$N$1212,$K125))</f>
        <v/>
      </c>
      <c r="I125" s="10">
        <f>IF($K125="","",INDEX(Конструктор!$O$2:$O$1212,$K125))</f>
        <v/>
      </c>
      <c r="J125" s="10">
        <f>IF($K125="","",INDEX(Конструктор!$P$2:$P$1212,$K125))</f>
        <v/>
      </c>
      <c r="K125">
        <f>IFERROR(MATCH(105,Конструктор!$T$2:$T$1212,0),"")</f>
        <v/>
      </c>
      <c r="L125">
        <f>IF($K125="","","показать")</f>
        <v/>
      </c>
    </row>
    <row r="126" hidden="1">
      <c r="A126">
        <f>IF($K126="","",106)</f>
        <v/>
      </c>
      <c r="B126">
        <f>IF($K126="","",INDEX(Конструктор!$C$2:$C$1212,$K126))</f>
        <v/>
      </c>
      <c r="C126" s="8">
        <f>IF($K126="","",INDEX(Конструктор!$D$2:$D$1212,$K126)&amp;IF(INDEX(Конструктор!$J$2:$J$1212,$K126)&lt;&gt;""," — "&amp;INDEX(Конструктор!$J$2:$J$1212,$K126),""))</f>
        <v/>
      </c>
      <c r="D126">
        <f>IF($K126="","",INDEX(Конструктор!$E$2:$E$1212,$K126))</f>
        <v/>
      </c>
      <c r="E126" s="10">
        <f>IF($K126="","",INDEX(Конструктор!$H$2:$H$1212,$K126))</f>
        <v/>
      </c>
      <c r="F126" s="10">
        <f>IF($K126="","",INDEX(Конструктор!$L$2:$L$1212,$K126))</f>
        <v/>
      </c>
      <c r="G126" s="10">
        <f>IF($K126="","",INDEX(Конструктор!$M$2:$M$1212,$K126))</f>
        <v/>
      </c>
      <c r="H126" s="10">
        <f>IF($K126="","",INDEX(Конструктор!$N$2:$N$1212,$K126))</f>
        <v/>
      </c>
      <c r="I126" s="10">
        <f>IF($K126="","",INDEX(Конструктор!$O$2:$O$1212,$K126))</f>
        <v/>
      </c>
      <c r="J126" s="10">
        <f>IF($K126="","",INDEX(Конструктор!$P$2:$P$1212,$K126))</f>
        <v/>
      </c>
      <c r="K126">
        <f>IFERROR(MATCH(106,Конструктор!$T$2:$T$1212,0),"")</f>
        <v/>
      </c>
      <c r="L126">
        <f>IF($K126="","","показать")</f>
        <v/>
      </c>
    </row>
    <row r="127" hidden="1">
      <c r="A127">
        <f>IF($K127="","",107)</f>
        <v/>
      </c>
      <c r="B127">
        <f>IF($K127="","",INDEX(Конструктор!$C$2:$C$1212,$K127))</f>
        <v/>
      </c>
      <c r="C127" s="8">
        <f>IF($K127="","",INDEX(Конструктор!$D$2:$D$1212,$K127)&amp;IF(INDEX(Конструктор!$J$2:$J$1212,$K127)&lt;&gt;""," — "&amp;INDEX(Конструктор!$J$2:$J$1212,$K127),""))</f>
        <v/>
      </c>
      <c r="D127">
        <f>IF($K127="","",INDEX(Конструктор!$E$2:$E$1212,$K127))</f>
        <v/>
      </c>
      <c r="E127" s="10">
        <f>IF($K127="","",INDEX(Конструктор!$H$2:$H$1212,$K127))</f>
        <v/>
      </c>
      <c r="F127" s="10">
        <f>IF($K127="","",INDEX(Конструктор!$L$2:$L$1212,$K127))</f>
        <v/>
      </c>
      <c r="G127" s="10">
        <f>IF($K127="","",INDEX(Конструктор!$M$2:$M$1212,$K127))</f>
        <v/>
      </c>
      <c r="H127" s="10">
        <f>IF($K127="","",INDEX(Конструктор!$N$2:$N$1212,$K127))</f>
        <v/>
      </c>
      <c r="I127" s="10">
        <f>IF($K127="","",INDEX(Конструктор!$O$2:$O$1212,$K127))</f>
        <v/>
      </c>
      <c r="J127" s="10">
        <f>IF($K127="","",INDEX(Конструктор!$P$2:$P$1212,$K127))</f>
        <v/>
      </c>
      <c r="K127">
        <f>IFERROR(MATCH(107,Конструктор!$T$2:$T$1212,0),"")</f>
        <v/>
      </c>
      <c r="L127">
        <f>IF($K127="","","показать")</f>
        <v/>
      </c>
    </row>
    <row r="128" hidden="1">
      <c r="A128">
        <f>IF($K128="","",108)</f>
        <v/>
      </c>
      <c r="B128">
        <f>IF($K128="","",INDEX(Конструктор!$C$2:$C$1212,$K128))</f>
        <v/>
      </c>
      <c r="C128" s="8">
        <f>IF($K128="","",INDEX(Конструктор!$D$2:$D$1212,$K128)&amp;IF(INDEX(Конструктор!$J$2:$J$1212,$K128)&lt;&gt;""," — "&amp;INDEX(Конструктор!$J$2:$J$1212,$K128),""))</f>
        <v/>
      </c>
      <c r="D128">
        <f>IF($K128="","",INDEX(Конструктор!$E$2:$E$1212,$K128))</f>
        <v/>
      </c>
      <c r="E128" s="10">
        <f>IF($K128="","",INDEX(Конструктор!$H$2:$H$1212,$K128))</f>
        <v/>
      </c>
      <c r="F128" s="10">
        <f>IF($K128="","",INDEX(Конструктор!$L$2:$L$1212,$K128))</f>
        <v/>
      </c>
      <c r="G128" s="10">
        <f>IF($K128="","",INDEX(Конструктор!$M$2:$M$1212,$K128))</f>
        <v/>
      </c>
      <c r="H128" s="10">
        <f>IF($K128="","",INDEX(Конструктор!$N$2:$N$1212,$K128))</f>
        <v/>
      </c>
      <c r="I128" s="10">
        <f>IF($K128="","",INDEX(Конструктор!$O$2:$O$1212,$K128))</f>
        <v/>
      </c>
      <c r="J128" s="10">
        <f>IF($K128="","",INDEX(Конструктор!$P$2:$P$1212,$K128))</f>
        <v/>
      </c>
      <c r="K128">
        <f>IFERROR(MATCH(108,Конструктор!$T$2:$T$1212,0),"")</f>
        <v/>
      </c>
      <c r="L128">
        <f>IF($K128="","","показать")</f>
        <v/>
      </c>
    </row>
    <row r="129" hidden="1">
      <c r="A129">
        <f>IF($K129="","",109)</f>
        <v/>
      </c>
      <c r="B129">
        <f>IF($K129="","",INDEX(Конструктор!$C$2:$C$1212,$K129))</f>
        <v/>
      </c>
      <c r="C129" s="8">
        <f>IF($K129="","",INDEX(Конструктор!$D$2:$D$1212,$K129)&amp;IF(INDEX(Конструктор!$J$2:$J$1212,$K129)&lt;&gt;""," — "&amp;INDEX(Конструктор!$J$2:$J$1212,$K129),""))</f>
        <v/>
      </c>
      <c r="D129">
        <f>IF($K129="","",INDEX(Конструктор!$E$2:$E$1212,$K129))</f>
        <v/>
      </c>
      <c r="E129" s="10">
        <f>IF($K129="","",INDEX(Конструктор!$H$2:$H$1212,$K129))</f>
        <v/>
      </c>
      <c r="F129" s="10">
        <f>IF($K129="","",INDEX(Конструктор!$L$2:$L$1212,$K129))</f>
        <v/>
      </c>
      <c r="G129" s="10">
        <f>IF($K129="","",INDEX(Конструктор!$M$2:$M$1212,$K129))</f>
        <v/>
      </c>
      <c r="H129" s="10">
        <f>IF($K129="","",INDEX(Конструктор!$N$2:$N$1212,$K129))</f>
        <v/>
      </c>
      <c r="I129" s="10">
        <f>IF($K129="","",INDEX(Конструктор!$O$2:$O$1212,$K129))</f>
        <v/>
      </c>
      <c r="J129" s="10">
        <f>IF($K129="","",INDEX(Конструктор!$P$2:$P$1212,$K129))</f>
        <v/>
      </c>
      <c r="K129">
        <f>IFERROR(MATCH(109,Конструктор!$T$2:$T$1212,0),"")</f>
        <v/>
      </c>
      <c r="L129">
        <f>IF($K129="","","показать")</f>
        <v/>
      </c>
    </row>
    <row r="130" hidden="1">
      <c r="A130">
        <f>IF($K130="","",110)</f>
        <v/>
      </c>
      <c r="B130">
        <f>IF($K130="","",INDEX(Конструктор!$C$2:$C$1212,$K130))</f>
        <v/>
      </c>
      <c r="C130" s="8">
        <f>IF($K130="","",INDEX(Конструктор!$D$2:$D$1212,$K130)&amp;IF(INDEX(Конструктор!$J$2:$J$1212,$K130)&lt;&gt;""," — "&amp;INDEX(Конструктор!$J$2:$J$1212,$K130),""))</f>
        <v/>
      </c>
      <c r="D130">
        <f>IF($K130="","",INDEX(Конструктор!$E$2:$E$1212,$K130))</f>
        <v/>
      </c>
      <c r="E130" s="10">
        <f>IF($K130="","",INDEX(Конструктор!$H$2:$H$1212,$K130))</f>
        <v/>
      </c>
      <c r="F130" s="10">
        <f>IF($K130="","",INDEX(Конструктор!$L$2:$L$1212,$K130))</f>
        <v/>
      </c>
      <c r="G130" s="10">
        <f>IF($K130="","",INDEX(Конструктор!$M$2:$M$1212,$K130))</f>
        <v/>
      </c>
      <c r="H130" s="10">
        <f>IF($K130="","",INDEX(Конструктор!$N$2:$N$1212,$K130))</f>
        <v/>
      </c>
      <c r="I130" s="10">
        <f>IF($K130="","",INDEX(Конструктор!$O$2:$O$1212,$K130))</f>
        <v/>
      </c>
      <c r="J130" s="10">
        <f>IF($K130="","",INDEX(Конструктор!$P$2:$P$1212,$K130))</f>
        <v/>
      </c>
      <c r="K130">
        <f>IFERROR(MATCH(110,Конструктор!$T$2:$T$1212,0),"")</f>
        <v/>
      </c>
      <c r="L130">
        <f>IF($K130="","","показать")</f>
        <v/>
      </c>
    </row>
    <row r="131" hidden="1">
      <c r="A131">
        <f>IF($K131="","",111)</f>
        <v/>
      </c>
      <c r="B131">
        <f>IF($K131="","",INDEX(Конструктор!$C$2:$C$1212,$K131))</f>
        <v/>
      </c>
      <c r="C131" s="8">
        <f>IF($K131="","",INDEX(Конструктор!$D$2:$D$1212,$K131)&amp;IF(INDEX(Конструктор!$J$2:$J$1212,$K131)&lt;&gt;""," — "&amp;INDEX(Конструктор!$J$2:$J$1212,$K131),""))</f>
        <v/>
      </c>
      <c r="D131">
        <f>IF($K131="","",INDEX(Конструктор!$E$2:$E$1212,$K131))</f>
        <v/>
      </c>
      <c r="E131" s="10">
        <f>IF($K131="","",INDEX(Конструктор!$H$2:$H$1212,$K131))</f>
        <v/>
      </c>
      <c r="F131" s="10">
        <f>IF($K131="","",INDEX(Конструктор!$L$2:$L$1212,$K131))</f>
        <v/>
      </c>
      <c r="G131" s="10">
        <f>IF($K131="","",INDEX(Конструктор!$M$2:$M$1212,$K131))</f>
        <v/>
      </c>
      <c r="H131" s="10">
        <f>IF($K131="","",INDEX(Конструктор!$N$2:$N$1212,$K131))</f>
        <v/>
      </c>
      <c r="I131" s="10">
        <f>IF($K131="","",INDEX(Конструктор!$O$2:$O$1212,$K131))</f>
        <v/>
      </c>
      <c r="J131" s="10">
        <f>IF($K131="","",INDEX(Конструктор!$P$2:$P$1212,$K131))</f>
        <v/>
      </c>
      <c r="K131">
        <f>IFERROR(MATCH(111,Конструктор!$T$2:$T$1212,0),"")</f>
        <v/>
      </c>
      <c r="L131">
        <f>IF($K131="","","показать")</f>
        <v/>
      </c>
    </row>
    <row r="132" hidden="1">
      <c r="A132">
        <f>IF($K132="","",112)</f>
        <v/>
      </c>
      <c r="B132">
        <f>IF($K132="","",INDEX(Конструктор!$C$2:$C$1212,$K132))</f>
        <v/>
      </c>
      <c r="C132" s="8">
        <f>IF($K132="","",INDEX(Конструктор!$D$2:$D$1212,$K132)&amp;IF(INDEX(Конструктор!$J$2:$J$1212,$K132)&lt;&gt;""," — "&amp;INDEX(Конструктор!$J$2:$J$1212,$K132),""))</f>
        <v/>
      </c>
      <c r="D132">
        <f>IF($K132="","",INDEX(Конструктор!$E$2:$E$1212,$K132))</f>
        <v/>
      </c>
      <c r="E132" s="10">
        <f>IF($K132="","",INDEX(Конструктор!$H$2:$H$1212,$K132))</f>
        <v/>
      </c>
      <c r="F132" s="10">
        <f>IF($K132="","",INDEX(Конструктор!$L$2:$L$1212,$K132))</f>
        <v/>
      </c>
      <c r="G132" s="10">
        <f>IF($K132="","",INDEX(Конструктор!$M$2:$M$1212,$K132))</f>
        <v/>
      </c>
      <c r="H132" s="10">
        <f>IF($K132="","",INDEX(Конструктор!$N$2:$N$1212,$K132))</f>
        <v/>
      </c>
      <c r="I132" s="10">
        <f>IF($K132="","",INDEX(Конструктор!$O$2:$O$1212,$K132))</f>
        <v/>
      </c>
      <c r="J132" s="10">
        <f>IF($K132="","",INDEX(Конструктор!$P$2:$P$1212,$K132))</f>
        <v/>
      </c>
      <c r="K132">
        <f>IFERROR(MATCH(112,Конструктор!$T$2:$T$1212,0),"")</f>
        <v/>
      </c>
      <c r="L132">
        <f>IF($K132="","","показать")</f>
        <v/>
      </c>
    </row>
    <row r="133" hidden="1">
      <c r="A133">
        <f>IF($K133="","",113)</f>
        <v/>
      </c>
      <c r="B133">
        <f>IF($K133="","",INDEX(Конструктор!$C$2:$C$1212,$K133))</f>
        <v/>
      </c>
      <c r="C133" s="8">
        <f>IF($K133="","",INDEX(Конструктор!$D$2:$D$1212,$K133)&amp;IF(INDEX(Конструктор!$J$2:$J$1212,$K133)&lt;&gt;""," — "&amp;INDEX(Конструктор!$J$2:$J$1212,$K133),""))</f>
        <v/>
      </c>
      <c r="D133">
        <f>IF($K133="","",INDEX(Конструктор!$E$2:$E$1212,$K133))</f>
        <v/>
      </c>
      <c r="E133" s="10">
        <f>IF($K133="","",INDEX(Конструктор!$H$2:$H$1212,$K133))</f>
        <v/>
      </c>
      <c r="F133" s="10">
        <f>IF($K133="","",INDEX(Конструктор!$L$2:$L$1212,$K133))</f>
        <v/>
      </c>
      <c r="G133" s="10">
        <f>IF($K133="","",INDEX(Конструктор!$M$2:$M$1212,$K133))</f>
        <v/>
      </c>
      <c r="H133" s="10">
        <f>IF($K133="","",INDEX(Конструктор!$N$2:$N$1212,$K133))</f>
        <v/>
      </c>
      <c r="I133" s="10">
        <f>IF($K133="","",INDEX(Конструктор!$O$2:$O$1212,$K133))</f>
        <v/>
      </c>
      <c r="J133" s="10">
        <f>IF($K133="","",INDEX(Конструктор!$P$2:$P$1212,$K133))</f>
        <v/>
      </c>
      <c r="K133">
        <f>IFERROR(MATCH(113,Конструктор!$T$2:$T$1212,0),"")</f>
        <v/>
      </c>
      <c r="L133">
        <f>IF($K133="","","показать")</f>
        <v/>
      </c>
    </row>
    <row r="134" hidden="1">
      <c r="A134">
        <f>IF($K134="","",114)</f>
        <v/>
      </c>
      <c r="B134">
        <f>IF($K134="","",INDEX(Конструктор!$C$2:$C$1212,$K134))</f>
        <v/>
      </c>
      <c r="C134" s="8">
        <f>IF($K134="","",INDEX(Конструктор!$D$2:$D$1212,$K134)&amp;IF(INDEX(Конструктор!$J$2:$J$1212,$K134)&lt;&gt;""," — "&amp;INDEX(Конструктор!$J$2:$J$1212,$K134),""))</f>
        <v/>
      </c>
      <c r="D134">
        <f>IF($K134="","",INDEX(Конструктор!$E$2:$E$1212,$K134))</f>
        <v/>
      </c>
      <c r="E134" s="10">
        <f>IF($K134="","",INDEX(Конструктор!$H$2:$H$1212,$K134))</f>
        <v/>
      </c>
      <c r="F134" s="10">
        <f>IF($K134="","",INDEX(Конструктор!$L$2:$L$1212,$K134))</f>
        <v/>
      </c>
      <c r="G134" s="10">
        <f>IF($K134="","",INDEX(Конструктор!$M$2:$M$1212,$K134))</f>
        <v/>
      </c>
      <c r="H134" s="10">
        <f>IF($K134="","",INDEX(Конструктор!$N$2:$N$1212,$K134))</f>
        <v/>
      </c>
      <c r="I134" s="10">
        <f>IF($K134="","",INDEX(Конструктор!$O$2:$O$1212,$K134))</f>
        <v/>
      </c>
      <c r="J134" s="10">
        <f>IF($K134="","",INDEX(Конструктор!$P$2:$P$1212,$K134))</f>
        <v/>
      </c>
      <c r="K134">
        <f>IFERROR(MATCH(114,Конструктор!$T$2:$T$1212,0),"")</f>
        <v/>
      </c>
      <c r="L134">
        <f>IF($K134="","","показать")</f>
        <v/>
      </c>
    </row>
    <row r="135" hidden="1">
      <c r="A135">
        <f>IF($K135="","",115)</f>
        <v/>
      </c>
      <c r="B135">
        <f>IF($K135="","",INDEX(Конструктор!$C$2:$C$1212,$K135))</f>
        <v/>
      </c>
      <c r="C135" s="8">
        <f>IF($K135="","",INDEX(Конструктор!$D$2:$D$1212,$K135)&amp;IF(INDEX(Конструктор!$J$2:$J$1212,$K135)&lt;&gt;""," — "&amp;INDEX(Конструктор!$J$2:$J$1212,$K135),""))</f>
        <v/>
      </c>
      <c r="D135">
        <f>IF($K135="","",INDEX(Конструктор!$E$2:$E$1212,$K135))</f>
        <v/>
      </c>
      <c r="E135" s="10">
        <f>IF($K135="","",INDEX(Конструктор!$H$2:$H$1212,$K135))</f>
        <v/>
      </c>
      <c r="F135" s="10">
        <f>IF($K135="","",INDEX(Конструктор!$L$2:$L$1212,$K135))</f>
        <v/>
      </c>
      <c r="G135" s="10">
        <f>IF($K135="","",INDEX(Конструктор!$M$2:$M$1212,$K135))</f>
        <v/>
      </c>
      <c r="H135" s="10">
        <f>IF($K135="","",INDEX(Конструктор!$N$2:$N$1212,$K135))</f>
        <v/>
      </c>
      <c r="I135" s="10">
        <f>IF($K135="","",INDEX(Конструктор!$O$2:$O$1212,$K135))</f>
        <v/>
      </c>
      <c r="J135" s="10">
        <f>IF($K135="","",INDEX(Конструктор!$P$2:$P$1212,$K135))</f>
        <v/>
      </c>
      <c r="K135">
        <f>IFERROR(MATCH(115,Конструктор!$T$2:$T$1212,0),"")</f>
        <v/>
      </c>
      <c r="L135">
        <f>IF($K135="","","показать")</f>
        <v/>
      </c>
    </row>
    <row r="136" hidden="1">
      <c r="A136">
        <f>IF($K136="","",116)</f>
        <v/>
      </c>
      <c r="B136">
        <f>IF($K136="","",INDEX(Конструктор!$C$2:$C$1212,$K136))</f>
        <v/>
      </c>
      <c r="C136" s="8">
        <f>IF($K136="","",INDEX(Конструктор!$D$2:$D$1212,$K136)&amp;IF(INDEX(Конструктор!$J$2:$J$1212,$K136)&lt;&gt;""," — "&amp;INDEX(Конструктор!$J$2:$J$1212,$K136),""))</f>
        <v/>
      </c>
      <c r="D136">
        <f>IF($K136="","",INDEX(Конструктор!$E$2:$E$1212,$K136))</f>
        <v/>
      </c>
      <c r="E136" s="10">
        <f>IF($K136="","",INDEX(Конструктор!$H$2:$H$1212,$K136))</f>
        <v/>
      </c>
      <c r="F136" s="10">
        <f>IF($K136="","",INDEX(Конструктор!$L$2:$L$1212,$K136))</f>
        <v/>
      </c>
      <c r="G136" s="10">
        <f>IF($K136="","",INDEX(Конструктор!$M$2:$M$1212,$K136))</f>
        <v/>
      </c>
      <c r="H136" s="10">
        <f>IF($K136="","",INDEX(Конструктор!$N$2:$N$1212,$K136))</f>
        <v/>
      </c>
      <c r="I136" s="10">
        <f>IF($K136="","",INDEX(Конструктор!$O$2:$O$1212,$K136))</f>
        <v/>
      </c>
      <c r="J136" s="10">
        <f>IF($K136="","",INDEX(Конструктор!$P$2:$P$1212,$K136))</f>
        <v/>
      </c>
      <c r="K136">
        <f>IFERROR(MATCH(116,Конструктор!$T$2:$T$1212,0),"")</f>
        <v/>
      </c>
      <c r="L136">
        <f>IF($K136="","","показать")</f>
        <v/>
      </c>
    </row>
    <row r="137" hidden="1">
      <c r="A137">
        <f>IF($K137="","",117)</f>
        <v/>
      </c>
      <c r="B137">
        <f>IF($K137="","",INDEX(Конструктор!$C$2:$C$1212,$K137))</f>
        <v/>
      </c>
      <c r="C137" s="8">
        <f>IF($K137="","",INDEX(Конструктор!$D$2:$D$1212,$K137)&amp;IF(INDEX(Конструктор!$J$2:$J$1212,$K137)&lt;&gt;""," — "&amp;INDEX(Конструктор!$J$2:$J$1212,$K137),""))</f>
        <v/>
      </c>
      <c r="D137">
        <f>IF($K137="","",INDEX(Конструктор!$E$2:$E$1212,$K137))</f>
        <v/>
      </c>
      <c r="E137" s="10">
        <f>IF($K137="","",INDEX(Конструктор!$H$2:$H$1212,$K137))</f>
        <v/>
      </c>
      <c r="F137" s="10">
        <f>IF($K137="","",INDEX(Конструктор!$L$2:$L$1212,$K137))</f>
        <v/>
      </c>
      <c r="G137" s="10">
        <f>IF($K137="","",INDEX(Конструктор!$M$2:$M$1212,$K137))</f>
        <v/>
      </c>
      <c r="H137" s="10">
        <f>IF($K137="","",INDEX(Конструктор!$N$2:$N$1212,$K137))</f>
        <v/>
      </c>
      <c r="I137" s="10">
        <f>IF($K137="","",INDEX(Конструктор!$O$2:$O$1212,$K137))</f>
        <v/>
      </c>
      <c r="J137" s="10">
        <f>IF($K137="","",INDEX(Конструктор!$P$2:$P$1212,$K137))</f>
        <v/>
      </c>
      <c r="K137">
        <f>IFERROR(MATCH(117,Конструктор!$T$2:$T$1212,0),"")</f>
        <v/>
      </c>
      <c r="L137">
        <f>IF($K137="","","показать")</f>
        <v/>
      </c>
    </row>
    <row r="138" hidden="1">
      <c r="A138">
        <f>IF($K138="","",118)</f>
        <v/>
      </c>
      <c r="B138">
        <f>IF($K138="","",INDEX(Конструктор!$C$2:$C$1212,$K138))</f>
        <v/>
      </c>
      <c r="C138" s="8">
        <f>IF($K138="","",INDEX(Конструктор!$D$2:$D$1212,$K138)&amp;IF(INDEX(Конструктор!$J$2:$J$1212,$K138)&lt;&gt;""," — "&amp;INDEX(Конструктор!$J$2:$J$1212,$K138),""))</f>
        <v/>
      </c>
      <c r="D138">
        <f>IF($K138="","",INDEX(Конструктор!$E$2:$E$1212,$K138))</f>
        <v/>
      </c>
      <c r="E138" s="10">
        <f>IF($K138="","",INDEX(Конструктор!$H$2:$H$1212,$K138))</f>
        <v/>
      </c>
      <c r="F138" s="10">
        <f>IF($K138="","",INDEX(Конструктор!$L$2:$L$1212,$K138))</f>
        <v/>
      </c>
      <c r="G138" s="10">
        <f>IF($K138="","",INDEX(Конструктор!$M$2:$M$1212,$K138))</f>
        <v/>
      </c>
      <c r="H138" s="10">
        <f>IF($K138="","",INDEX(Конструктор!$N$2:$N$1212,$K138))</f>
        <v/>
      </c>
      <c r="I138" s="10">
        <f>IF($K138="","",INDEX(Конструктор!$O$2:$O$1212,$K138))</f>
        <v/>
      </c>
      <c r="J138" s="10">
        <f>IF($K138="","",INDEX(Конструктор!$P$2:$P$1212,$K138))</f>
        <v/>
      </c>
      <c r="K138">
        <f>IFERROR(MATCH(118,Конструктор!$T$2:$T$1212,0),"")</f>
        <v/>
      </c>
      <c r="L138">
        <f>IF($K138="","","показать")</f>
        <v/>
      </c>
    </row>
    <row r="139" hidden="1">
      <c r="A139">
        <f>IF($K139="","",119)</f>
        <v/>
      </c>
      <c r="B139">
        <f>IF($K139="","",INDEX(Конструктор!$C$2:$C$1212,$K139))</f>
        <v/>
      </c>
      <c r="C139" s="8">
        <f>IF($K139="","",INDEX(Конструктор!$D$2:$D$1212,$K139)&amp;IF(INDEX(Конструктор!$J$2:$J$1212,$K139)&lt;&gt;""," — "&amp;INDEX(Конструктор!$J$2:$J$1212,$K139),""))</f>
        <v/>
      </c>
      <c r="D139">
        <f>IF($K139="","",INDEX(Конструктор!$E$2:$E$1212,$K139))</f>
        <v/>
      </c>
      <c r="E139" s="10">
        <f>IF($K139="","",INDEX(Конструктор!$H$2:$H$1212,$K139))</f>
        <v/>
      </c>
      <c r="F139" s="10">
        <f>IF($K139="","",INDEX(Конструктор!$L$2:$L$1212,$K139))</f>
        <v/>
      </c>
      <c r="G139" s="10">
        <f>IF($K139="","",INDEX(Конструктор!$M$2:$M$1212,$K139))</f>
        <v/>
      </c>
      <c r="H139" s="10">
        <f>IF($K139="","",INDEX(Конструктор!$N$2:$N$1212,$K139))</f>
        <v/>
      </c>
      <c r="I139" s="10">
        <f>IF($K139="","",INDEX(Конструктор!$O$2:$O$1212,$K139))</f>
        <v/>
      </c>
      <c r="J139" s="10">
        <f>IF($K139="","",INDEX(Конструктор!$P$2:$P$1212,$K139))</f>
        <v/>
      </c>
      <c r="K139">
        <f>IFERROR(MATCH(119,Конструктор!$T$2:$T$1212,0),"")</f>
        <v/>
      </c>
      <c r="L139">
        <f>IF($K139="","","показать")</f>
        <v/>
      </c>
    </row>
    <row r="140" hidden="1">
      <c r="A140">
        <f>IF($K140="","",120)</f>
        <v/>
      </c>
      <c r="B140">
        <f>IF($K140="","",INDEX(Конструктор!$C$2:$C$1212,$K140))</f>
        <v/>
      </c>
      <c r="C140" s="8">
        <f>IF($K140="","",INDEX(Конструктор!$D$2:$D$1212,$K140)&amp;IF(INDEX(Конструктор!$J$2:$J$1212,$K140)&lt;&gt;""," — "&amp;INDEX(Конструктор!$J$2:$J$1212,$K140),""))</f>
        <v/>
      </c>
      <c r="D140">
        <f>IF($K140="","",INDEX(Конструктор!$E$2:$E$1212,$K140))</f>
        <v/>
      </c>
      <c r="E140" s="10">
        <f>IF($K140="","",INDEX(Конструктор!$H$2:$H$1212,$K140))</f>
        <v/>
      </c>
      <c r="F140" s="10">
        <f>IF($K140="","",INDEX(Конструктор!$L$2:$L$1212,$K140))</f>
        <v/>
      </c>
      <c r="G140" s="10">
        <f>IF($K140="","",INDEX(Конструктор!$M$2:$M$1212,$K140))</f>
        <v/>
      </c>
      <c r="H140" s="10">
        <f>IF($K140="","",INDEX(Конструктор!$N$2:$N$1212,$K140))</f>
        <v/>
      </c>
      <c r="I140" s="10">
        <f>IF($K140="","",INDEX(Конструктор!$O$2:$O$1212,$K140))</f>
        <v/>
      </c>
      <c r="J140" s="10">
        <f>IF($K140="","",INDEX(Конструктор!$P$2:$P$1212,$K140))</f>
        <v/>
      </c>
      <c r="K140">
        <f>IFERROR(MATCH(120,Конструктор!$T$2:$T$1212,0),"")</f>
        <v/>
      </c>
      <c r="L140">
        <f>IF($K140="","","показать")</f>
        <v/>
      </c>
    </row>
    <row r="141" hidden="1">
      <c r="A141">
        <f>IF($K141="","",121)</f>
        <v/>
      </c>
      <c r="B141">
        <f>IF($K141="","",INDEX(Конструктор!$C$2:$C$1212,$K141))</f>
        <v/>
      </c>
      <c r="C141" s="8">
        <f>IF($K141="","",INDEX(Конструктор!$D$2:$D$1212,$K141)&amp;IF(INDEX(Конструктор!$J$2:$J$1212,$K141)&lt;&gt;""," — "&amp;INDEX(Конструктор!$J$2:$J$1212,$K141),""))</f>
        <v/>
      </c>
      <c r="D141">
        <f>IF($K141="","",INDEX(Конструктор!$E$2:$E$1212,$K141))</f>
        <v/>
      </c>
      <c r="E141" s="10">
        <f>IF($K141="","",INDEX(Конструктор!$H$2:$H$1212,$K141))</f>
        <v/>
      </c>
      <c r="F141" s="10">
        <f>IF($K141="","",INDEX(Конструктор!$L$2:$L$1212,$K141))</f>
        <v/>
      </c>
      <c r="G141" s="10">
        <f>IF($K141="","",INDEX(Конструктор!$M$2:$M$1212,$K141))</f>
        <v/>
      </c>
      <c r="H141" s="10">
        <f>IF($K141="","",INDEX(Конструктор!$N$2:$N$1212,$K141))</f>
        <v/>
      </c>
      <c r="I141" s="10">
        <f>IF($K141="","",INDEX(Конструктор!$O$2:$O$1212,$K141))</f>
        <v/>
      </c>
      <c r="J141" s="10">
        <f>IF($K141="","",INDEX(Конструктор!$P$2:$P$1212,$K141))</f>
        <v/>
      </c>
      <c r="K141">
        <f>IFERROR(MATCH(121,Конструктор!$T$2:$T$1212,0),"")</f>
        <v/>
      </c>
      <c r="L141">
        <f>IF($K141="","","показать")</f>
        <v/>
      </c>
    </row>
    <row r="142" hidden="1">
      <c r="A142">
        <f>IF($K142="","",122)</f>
        <v/>
      </c>
      <c r="B142">
        <f>IF($K142="","",INDEX(Конструктор!$C$2:$C$1212,$K142))</f>
        <v/>
      </c>
      <c r="C142" s="8">
        <f>IF($K142="","",INDEX(Конструктор!$D$2:$D$1212,$K142)&amp;IF(INDEX(Конструктор!$J$2:$J$1212,$K142)&lt;&gt;""," — "&amp;INDEX(Конструктор!$J$2:$J$1212,$K142),""))</f>
        <v/>
      </c>
      <c r="D142">
        <f>IF($K142="","",INDEX(Конструктор!$E$2:$E$1212,$K142))</f>
        <v/>
      </c>
      <c r="E142" s="10">
        <f>IF($K142="","",INDEX(Конструктор!$H$2:$H$1212,$K142))</f>
        <v/>
      </c>
      <c r="F142" s="10">
        <f>IF($K142="","",INDEX(Конструктор!$L$2:$L$1212,$K142))</f>
        <v/>
      </c>
      <c r="G142" s="10">
        <f>IF($K142="","",INDEX(Конструктор!$M$2:$M$1212,$K142))</f>
        <v/>
      </c>
      <c r="H142" s="10">
        <f>IF($K142="","",INDEX(Конструктор!$N$2:$N$1212,$K142))</f>
        <v/>
      </c>
      <c r="I142" s="10">
        <f>IF($K142="","",INDEX(Конструктор!$O$2:$O$1212,$K142))</f>
        <v/>
      </c>
      <c r="J142" s="10">
        <f>IF($K142="","",INDEX(Конструктор!$P$2:$P$1212,$K142))</f>
        <v/>
      </c>
      <c r="K142">
        <f>IFERROR(MATCH(122,Конструктор!$T$2:$T$1212,0),"")</f>
        <v/>
      </c>
      <c r="L142">
        <f>IF($K142="","","показать")</f>
        <v/>
      </c>
    </row>
    <row r="143" hidden="1">
      <c r="A143">
        <f>IF($K143="","",123)</f>
        <v/>
      </c>
      <c r="B143">
        <f>IF($K143="","",INDEX(Конструктор!$C$2:$C$1212,$K143))</f>
        <v/>
      </c>
      <c r="C143" s="8">
        <f>IF($K143="","",INDEX(Конструктор!$D$2:$D$1212,$K143)&amp;IF(INDEX(Конструктор!$J$2:$J$1212,$K143)&lt;&gt;""," — "&amp;INDEX(Конструктор!$J$2:$J$1212,$K143),""))</f>
        <v/>
      </c>
      <c r="D143">
        <f>IF($K143="","",INDEX(Конструктор!$E$2:$E$1212,$K143))</f>
        <v/>
      </c>
      <c r="E143" s="10">
        <f>IF($K143="","",INDEX(Конструктор!$H$2:$H$1212,$K143))</f>
        <v/>
      </c>
      <c r="F143" s="10">
        <f>IF($K143="","",INDEX(Конструктор!$L$2:$L$1212,$K143))</f>
        <v/>
      </c>
      <c r="G143" s="10">
        <f>IF($K143="","",INDEX(Конструктор!$M$2:$M$1212,$K143))</f>
        <v/>
      </c>
      <c r="H143" s="10">
        <f>IF($K143="","",INDEX(Конструктор!$N$2:$N$1212,$K143))</f>
        <v/>
      </c>
      <c r="I143" s="10">
        <f>IF($K143="","",INDEX(Конструктор!$O$2:$O$1212,$K143))</f>
        <v/>
      </c>
      <c r="J143" s="10">
        <f>IF($K143="","",INDEX(Конструктор!$P$2:$P$1212,$K143))</f>
        <v/>
      </c>
      <c r="K143">
        <f>IFERROR(MATCH(123,Конструктор!$T$2:$T$1212,0),"")</f>
        <v/>
      </c>
      <c r="L143">
        <f>IF($K143="","","показать")</f>
        <v/>
      </c>
    </row>
    <row r="144" hidden="1">
      <c r="A144">
        <f>IF($K144="","",124)</f>
        <v/>
      </c>
      <c r="B144">
        <f>IF($K144="","",INDEX(Конструктор!$C$2:$C$1212,$K144))</f>
        <v/>
      </c>
      <c r="C144" s="8">
        <f>IF($K144="","",INDEX(Конструктор!$D$2:$D$1212,$K144)&amp;IF(INDEX(Конструктор!$J$2:$J$1212,$K144)&lt;&gt;""," — "&amp;INDEX(Конструктор!$J$2:$J$1212,$K144),""))</f>
        <v/>
      </c>
      <c r="D144">
        <f>IF($K144="","",INDEX(Конструктор!$E$2:$E$1212,$K144))</f>
        <v/>
      </c>
      <c r="E144" s="10">
        <f>IF($K144="","",INDEX(Конструктор!$H$2:$H$1212,$K144))</f>
        <v/>
      </c>
      <c r="F144" s="10">
        <f>IF($K144="","",INDEX(Конструктор!$L$2:$L$1212,$K144))</f>
        <v/>
      </c>
      <c r="G144" s="10">
        <f>IF($K144="","",INDEX(Конструктор!$M$2:$M$1212,$K144))</f>
        <v/>
      </c>
      <c r="H144" s="10">
        <f>IF($K144="","",INDEX(Конструктор!$N$2:$N$1212,$K144))</f>
        <v/>
      </c>
      <c r="I144" s="10">
        <f>IF($K144="","",INDEX(Конструктор!$O$2:$O$1212,$K144))</f>
        <v/>
      </c>
      <c r="J144" s="10">
        <f>IF($K144="","",INDEX(Конструктор!$P$2:$P$1212,$K144))</f>
        <v/>
      </c>
      <c r="K144">
        <f>IFERROR(MATCH(124,Конструктор!$T$2:$T$1212,0),"")</f>
        <v/>
      </c>
      <c r="L144">
        <f>IF($K144="","","показать")</f>
        <v/>
      </c>
    </row>
    <row r="145" hidden="1">
      <c r="A145">
        <f>IF($K145="","",125)</f>
        <v/>
      </c>
      <c r="B145">
        <f>IF($K145="","",INDEX(Конструктор!$C$2:$C$1212,$K145))</f>
        <v/>
      </c>
      <c r="C145" s="8">
        <f>IF($K145="","",INDEX(Конструктор!$D$2:$D$1212,$K145)&amp;IF(INDEX(Конструктор!$J$2:$J$1212,$K145)&lt;&gt;""," — "&amp;INDEX(Конструктор!$J$2:$J$1212,$K145),""))</f>
        <v/>
      </c>
      <c r="D145">
        <f>IF($K145="","",INDEX(Конструктор!$E$2:$E$1212,$K145))</f>
        <v/>
      </c>
      <c r="E145" s="10">
        <f>IF($K145="","",INDEX(Конструктор!$H$2:$H$1212,$K145))</f>
        <v/>
      </c>
      <c r="F145" s="10">
        <f>IF($K145="","",INDEX(Конструктор!$L$2:$L$1212,$K145))</f>
        <v/>
      </c>
      <c r="G145" s="10">
        <f>IF($K145="","",INDEX(Конструктор!$M$2:$M$1212,$K145))</f>
        <v/>
      </c>
      <c r="H145" s="10">
        <f>IF($K145="","",INDEX(Конструктор!$N$2:$N$1212,$K145))</f>
        <v/>
      </c>
      <c r="I145" s="10">
        <f>IF($K145="","",INDEX(Конструктор!$O$2:$O$1212,$K145))</f>
        <v/>
      </c>
      <c r="J145" s="10">
        <f>IF($K145="","",INDEX(Конструктор!$P$2:$P$1212,$K145))</f>
        <v/>
      </c>
      <c r="K145">
        <f>IFERROR(MATCH(125,Конструктор!$T$2:$T$1212,0),"")</f>
        <v/>
      </c>
      <c r="L145">
        <f>IF($K145="","","показать")</f>
        <v/>
      </c>
    </row>
    <row r="146" hidden="1">
      <c r="A146">
        <f>IF($K146="","",126)</f>
        <v/>
      </c>
      <c r="B146">
        <f>IF($K146="","",INDEX(Конструктор!$C$2:$C$1212,$K146))</f>
        <v/>
      </c>
      <c r="C146" s="8">
        <f>IF($K146="","",INDEX(Конструктор!$D$2:$D$1212,$K146)&amp;IF(INDEX(Конструктор!$J$2:$J$1212,$K146)&lt;&gt;""," — "&amp;INDEX(Конструктор!$J$2:$J$1212,$K146),""))</f>
        <v/>
      </c>
      <c r="D146">
        <f>IF($K146="","",INDEX(Конструктор!$E$2:$E$1212,$K146))</f>
        <v/>
      </c>
      <c r="E146" s="10">
        <f>IF($K146="","",INDEX(Конструктор!$H$2:$H$1212,$K146))</f>
        <v/>
      </c>
      <c r="F146" s="10">
        <f>IF($K146="","",INDEX(Конструктор!$L$2:$L$1212,$K146))</f>
        <v/>
      </c>
      <c r="G146" s="10">
        <f>IF($K146="","",INDEX(Конструктор!$M$2:$M$1212,$K146))</f>
        <v/>
      </c>
      <c r="H146" s="10">
        <f>IF($K146="","",INDEX(Конструктор!$N$2:$N$1212,$K146))</f>
        <v/>
      </c>
      <c r="I146" s="10">
        <f>IF($K146="","",INDEX(Конструктор!$O$2:$O$1212,$K146))</f>
        <v/>
      </c>
      <c r="J146" s="10">
        <f>IF($K146="","",INDEX(Конструктор!$P$2:$P$1212,$K146))</f>
        <v/>
      </c>
      <c r="K146">
        <f>IFERROR(MATCH(126,Конструктор!$T$2:$T$1212,0),"")</f>
        <v/>
      </c>
      <c r="L146">
        <f>IF($K146="","","показать")</f>
        <v/>
      </c>
    </row>
    <row r="147" hidden="1">
      <c r="A147">
        <f>IF($K147="","",127)</f>
        <v/>
      </c>
      <c r="B147">
        <f>IF($K147="","",INDEX(Конструктор!$C$2:$C$1212,$K147))</f>
        <v/>
      </c>
      <c r="C147" s="8">
        <f>IF($K147="","",INDEX(Конструктор!$D$2:$D$1212,$K147)&amp;IF(INDEX(Конструктор!$J$2:$J$1212,$K147)&lt;&gt;""," — "&amp;INDEX(Конструктор!$J$2:$J$1212,$K147),""))</f>
        <v/>
      </c>
      <c r="D147">
        <f>IF($K147="","",INDEX(Конструктор!$E$2:$E$1212,$K147))</f>
        <v/>
      </c>
      <c r="E147" s="10">
        <f>IF($K147="","",INDEX(Конструктор!$H$2:$H$1212,$K147))</f>
        <v/>
      </c>
      <c r="F147" s="10">
        <f>IF($K147="","",INDEX(Конструктор!$L$2:$L$1212,$K147))</f>
        <v/>
      </c>
      <c r="G147" s="10">
        <f>IF($K147="","",INDEX(Конструктор!$M$2:$M$1212,$K147))</f>
        <v/>
      </c>
      <c r="H147" s="10">
        <f>IF($K147="","",INDEX(Конструктор!$N$2:$N$1212,$K147))</f>
        <v/>
      </c>
      <c r="I147" s="10">
        <f>IF($K147="","",INDEX(Конструктор!$O$2:$O$1212,$K147))</f>
        <v/>
      </c>
      <c r="J147" s="10">
        <f>IF($K147="","",INDEX(Конструктор!$P$2:$P$1212,$K147))</f>
        <v/>
      </c>
      <c r="K147">
        <f>IFERROR(MATCH(127,Конструктор!$T$2:$T$1212,0),"")</f>
        <v/>
      </c>
      <c r="L147">
        <f>IF($K147="","","показать")</f>
        <v/>
      </c>
    </row>
    <row r="148" hidden="1">
      <c r="A148">
        <f>IF($K148="","",128)</f>
        <v/>
      </c>
      <c r="B148">
        <f>IF($K148="","",INDEX(Конструктор!$C$2:$C$1212,$K148))</f>
        <v/>
      </c>
      <c r="C148" s="8">
        <f>IF($K148="","",INDEX(Конструктор!$D$2:$D$1212,$K148)&amp;IF(INDEX(Конструктор!$J$2:$J$1212,$K148)&lt;&gt;""," — "&amp;INDEX(Конструктор!$J$2:$J$1212,$K148),""))</f>
        <v/>
      </c>
      <c r="D148">
        <f>IF($K148="","",INDEX(Конструктор!$E$2:$E$1212,$K148))</f>
        <v/>
      </c>
      <c r="E148" s="10">
        <f>IF($K148="","",INDEX(Конструктор!$H$2:$H$1212,$K148))</f>
        <v/>
      </c>
      <c r="F148" s="10">
        <f>IF($K148="","",INDEX(Конструктор!$L$2:$L$1212,$K148))</f>
        <v/>
      </c>
      <c r="G148" s="10">
        <f>IF($K148="","",INDEX(Конструктор!$M$2:$M$1212,$K148))</f>
        <v/>
      </c>
      <c r="H148" s="10">
        <f>IF($K148="","",INDEX(Конструктор!$N$2:$N$1212,$K148))</f>
        <v/>
      </c>
      <c r="I148" s="10">
        <f>IF($K148="","",INDEX(Конструктор!$O$2:$O$1212,$K148))</f>
        <v/>
      </c>
      <c r="J148" s="10">
        <f>IF($K148="","",INDEX(Конструктор!$P$2:$P$1212,$K148))</f>
        <v/>
      </c>
      <c r="K148">
        <f>IFERROR(MATCH(128,Конструктор!$T$2:$T$1212,0),"")</f>
        <v/>
      </c>
      <c r="L148">
        <f>IF($K148="","","показать")</f>
        <v/>
      </c>
    </row>
    <row r="149" hidden="1">
      <c r="A149">
        <f>IF($K149="","",129)</f>
        <v/>
      </c>
      <c r="B149">
        <f>IF($K149="","",INDEX(Конструктор!$C$2:$C$1212,$K149))</f>
        <v/>
      </c>
      <c r="C149" s="8">
        <f>IF($K149="","",INDEX(Конструктор!$D$2:$D$1212,$K149)&amp;IF(INDEX(Конструктор!$J$2:$J$1212,$K149)&lt;&gt;""," — "&amp;INDEX(Конструктор!$J$2:$J$1212,$K149),""))</f>
        <v/>
      </c>
      <c r="D149">
        <f>IF($K149="","",INDEX(Конструктор!$E$2:$E$1212,$K149))</f>
        <v/>
      </c>
      <c r="E149" s="10">
        <f>IF($K149="","",INDEX(Конструктор!$H$2:$H$1212,$K149))</f>
        <v/>
      </c>
      <c r="F149" s="10">
        <f>IF($K149="","",INDEX(Конструктор!$L$2:$L$1212,$K149))</f>
        <v/>
      </c>
      <c r="G149" s="10">
        <f>IF($K149="","",INDEX(Конструктор!$M$2:$M$1212,$K149))</f>
        <v/>
      </c>
      <c r="H149" s="10">
        <f>IF($K149="","",INDEX(Конструктор!$N$2:$N$1212,$K149))</f>
        <v/>
      </c>
      <c r="I149" s="10">
        <f>IF($K149="","",INDEX(Конструктор!$O$2:$O$1212,$K149))</f>
        <v/>
      </c>
      <c r="J149" s="10">
        <f>IF($K149="","",INDEX(Конструктор!$P$2:$P$1212,$K149))</f>
        <v/>
      </c>
      <c r="K149">
        <f>IFERROR(MATCH(129,Конструктор!$T$2:$T$1212,0),"")</f>
        <v/>
      </c>
      <c r="L149">
        <f>IF($K149="","","показать")</f>
        <v/>
      </c>
    </row>
    <row r="150" hidden="1">
      <c r="A150">
        <f>IF($K150="","",130)</f>
        <v/>
      </c>
      <c r="B150">
        <f>IF($K150="","",INDEX(Конструктор!$C$2:$C$1212,$K150))</f>
        <v/>
      </c>
      <c r="C150" s="8">
        <f>IF($K150="","",INDEX(Конструктор!$D$2:$D$1212,$K150)&amp;IF(INDEX(Конструктор!$J$2:$J$1212,$K150)&lt;&gt;""," — "&amp;INDEX(Конструктор!$J$2:$J$1212,$K150),""))</f>
        <v/>
      </c>
      <c r="D150">
        <f>IF($K150="","",INDEX(Конструктор!$E$2:$E$1212,$K150))</f>
        <v/>
      </c>
      <c r="E150" s="10">
        <f>IF($K150="","",INDEX(Конструктор!$H$2:$H$1212,$K150))</f>
        <v/>
      </c>
      <c r="F150" s="10">
        <f>IF($K150="","",INDEX(Конструктор!$L$2:$L$1212,$K150))</f>
        <v/>
      </c>
      <c r="G150" s="10">
        <f>IF($K150="","",INDEX(Конструктор!$M$2:$M$1212,$K150))</f>
        <v/>
      </c>
      <c r="H150" s="10">
        <f>IF($K150="","",INDEX(Конструктор!$N$2:$N$1212,$K150))</f>
        <v/>
      </c>
      <c r="I150" s="10">
        <f>IF($K150="","",INDEX(Конструктор!$O$2:$O$1212,$K150))</f>
        <v/>
      </c>
      <c r="J150" s="10">
        <f>IF($K150="","",INDEX(Конструктор!$P$2:$P$1212,$K150))</f>
        <v/>
      </c>
      <c r="K150">
        <f>IFERROR(MATCH(130,Конструктор!$T$2:$T$1212,0),"")</f>
        <v/>
      </c>
      <c r="L150">
        <f>IF($K150="","","показать")</f>
        <v/>
      </c>
    </row>
    <row r="151" hidden="1">
      <c r="A151">
        <f>IF($K151="","",131)</f>
        <v/>
      </c>
      <c r="B151">
        <f>IF($K151="","",INDEX(Конструктор!$C$2:$C$1212,$K151))</f>
        <v/>
      </c>
      <c r="C151" s="8">
        <f>IF($K151="","",INDEX(Конструктор!$D$2:$D$1212,$K151)&amp;IF(INDEX(Конструктор!$J$2:$J$1212,$K151)&lt;&gt;""," — "&amp;INDEX(Конструктор!$J$2:$J$1212,$K151),""))</f>
        <v/>
      </c>
      <c r="D151">
        <f>IF($K151="","",INDEX(Конструктор!$E$2:$E$1212,$K151))</f>
        <v/>
      </c>
      <c r="E151" s="10">
        <f>IF($K151="","",INDEX(Конструктор!$H$2:$H$1212,$K151))</f>
        <v/>
      </c>
      <c r="F151" s="10">
        <f>IF($K151="","",INDEX(Конструктор!$L$2:$L$1212,$K151))</f>
        <v/>
      </c>
      <c r="G151" s="10">
        <f>IF($K151="","",INDEX(Конструктор!$M$2:$M$1212,$K151))</f>
        <v/>
      </c>
      <c r="H151" s="10">
        <f>IF($K151="","",INDEX(Конструктор!$N$2:$N$1212,$K151))</f>
        <v/>
      </c>
      <c r="I151" s="10">
        <f>IF($K151="","",INDEX(Конструктор!$O$2:$O$1212,$K151))</f>
        <v/>
      </c>
      <c r="J151" s="10">
        <f>IF($K151="","",INDEX(Конструктор!$P$2:$P$1212,$K151))</f>
        <v/>
      </c>
      <c r="K151">
        <f>IFERROR(MATCH(131,Конструктор!$T$2:$T$1212,0),"")</f>
        <v/>
      </c>
      <c r="L151">
        <f>IF($K151="","","показать")</f>
        <v/>
      </c>
    </row>
    <row r="152" hidden="1">
      <c r="A152">
        <f>IF($K152="","",132)</f>
        <v/>
      </c>
      <c r="B152">
        <f>IF($K152="","",INDEX(Конструктор!$C$2:$C$1212,$K152))</f>
        <v/>
      </c>
      <c r="C152" s="8">
        <f>IF($K152="","",INDEX(Конструктор!$D$2:$D$1212,$K152)&amp;IF(INDEX(Конструктор!$J$2:$J$1212,$K152)&lt;&gt;""," — "&amp;INDEX(Конструктор!$J$2:$J$1212,$K152),""))</f>
        <v/>
      </c>
      <c r="D152">
        <f>IF($K152="","",INDEX(Конструктор!$E$2:$E$1212,$K152))</f>
        <v/>
      </c>
      <c r="E152" s="10">
        <f>IF($K152="","",INDEX(Конструктор!$H$2:$H$1212,$K152))</f>
        <v/>
      </c>
      <c r="F152" s="10">
        <f>IF($K152="","",INDEX(Конструктор!$L$2:$L$1212,$K152))</f>
        <v/>
      </c>
      <c r="G152" s="10">
        <f>IF($K152="","",INDEX(Конструктор!$M$2:$M$1212,$K152))</f>
        <v/>
      </c>
      <c r="H152" s="10">
        <f>IF($K152="","",INDEX(Конструктор!$N$2:$N$1212,$K152))</f>
        <v/>
      </c>
      <c r="I152" s="10">
        <f>IF($K152="","",INDEX(Конструктор!$O$2:$O$1212,$K152))</f>
        <v/>
      </c>
      <c r="J152" s="10">
        <f>IF($K152="","",INDEX(Конструктор!$P$2:$P$1212,$K152))</f>
        <v/>
      </c>
      <c r="K152">
        <f>IFERROR(MATCH(132,Конструктор!$T$2:$T$1212,0),"")</f>
        <v/>
      </c>
      <c r="L152">
        <f>IF($K152="","","показать")</f>
        <v/>
      </c>
    </row>
    <row r="153" hidden="1">
      <c r="A153">
        <f>IF($K153="","",133)</f>
        <v/>
      </c>
      <c r="B153">
        <f>IF($K153="","",INDEX(Конструктор!$C$2:$C$1212,$K153))</f>
        <v/>
      </c>
      <c r="C153" s="8">
        <f>IF($K153="","",INDEX(Конструктор!$D$2:$D$1212,$K153)&amp;IF(INDEX(Конструктор!$J$2:$J$1212,$K153)&lt;&gt;""," — "&amp;INDEX(Конструктор!$J$2:$J$1212,$K153),""))</f>
        <v/>
      </c>
      <c r="D153">
        <f>IF($K153="","",INDEX(Конструктор!$E$2:$E$1212,$K153))</f>
        <v/>
      </c>
      <c r="E153" s="10">
        <f>IF($K153="","",INDEX(Конструктор!$H$2:$H$1212,$K153))</f>
        <v/>
      </c>
      <c r="F153" s="10">
        <f>IF($K153="","",INDEX(Конструктор!$L$2:$L$1212,$K153))</f>
        <v/>
      </c>
      <c r="G153" s="10">
        <f>IF($K153="","",INDEX(Конструктор!$M$2:$M$1212,$K153))</f>
        <v/>
      </c>
      <c r="H153" s="10">
        <f>IF($K153="","",INDEX(Конструктор!$N$2:$N$1212,$K153))</f>
        <v/>
      </c>
      <c r="I153" s="10">
        <f>IF($K153="","",INDEX(Конструктор!$O$2:$O$1212,$K153))</f>
        <v/>
      </c>
      <c r="J153" s="10">
        <f>IF($K153="","",INDEX(Конструктор!$P$2:$P$1212,$K153))</f>
        <v/>
      </c>
      <c r="K153">
        <f>IFERROR(MATCH(133,Конструктор!$T$2:$T$1212,0),"")</f>
        <v/>
      </c>
      <c r="L153">
        <f>IF($K153="","","показать")</f>
        <v/>
      </c>
    </row>
    <row r="154" hidden="1">
      <c r="A154">
        <f>IF($K154="","",134)</f>
        <v/>
      </c>
      <c r="B154">
        <f>IF($K154="","",INDEX(Конструктор!$C$2:$C$1212,$K154))</f>
        <v/>
      </c>
      <c r="C154" s="8">
        <f>IF($K154="","",INDEX(Конструктор!$D$2:$D$1212,$K154)&amp;IF(INDEX(Конструктор!$J$2:$J$1212,$K154)&lt;&gt;""," — "&amp;INDEX(Конструктор!$J$2:$J$1212,$K154),""))</f>
        <v/>
      </c>
      <c r="D154">
        <f>IF($K154="","",INDEX(Конструктор!$E$2:$E$1212,$K154))</f>
        <v/>
      </c>
      <c r="E154" s="10">
        <f>IF($K154="","",INDEX(Конструктор!$H$2:$H$1212,$K154))</f>
        <v/>
      </c>
      <c r="F154" s="10">
        <f>IF($K154="","",INDEX(Конструктор!$L$2:$L$1212,$K154))</f>
        <v/>
      </c>
      <c r="G154" s="10">
        <f>IF($K154="","",INDEX(Конструктор!$M$2:$M$1212,$K154))</f>
        <v/>
      </c>
      <c r="H154" s="10">
        <f>IF($K154="","",INDEX(Конструктор!$N$2:$N$1212,$K154))</f>
        <v/>
      </c>
      <c r="I154" s="10">
        <f>IF($K154="","",INDEX(Конструктор!$O$2:$O$1212,$K154))</f>
        <v/>
      </c>
      <c r="J154" s="10">
        <f>IF($K154="","",INDEX(Конструктор!$P$2:$P$1212,$K154))</f>
        <v/>
      </c>
      <c r="K154">
        <f>IFERROR(MATCH(134,Конструктор!$T$2:$T$1212,0),"")</f>
        <v/>
      </c>
      <c r="L154">
        <f>IF($K154="","","показать")</f>
        <v/>
      </c>
    </row>
    <row r="155" hidden="1">
      <c r="A155">
        <f>IF($K155="","",135)</f>
        <v/>
      </c>
      <c r="B155">
        <f>IF($K155="","",INDEX(Конструктор!$C$2:$C$1212,$K155))</f>
        <v/>
      </c>
      <c r="C155" s="8">
        <f>IF($K155="","",INDEX(Конструктор!$D$2:$D$1212,$K155)&amp;IF(INDEX(Конструктор!$J$2:$J$1212,$K155)&lt;&gt;""," — "&amp;INDEX(Конструктор!$J$2:$J$1212,$K155),""))</f>
        <v/>
      </c>
      <c r="D155">
        <f>IF($K155="","",INDEX(Конструктор!$E$2:$E$1212,$K155))</f>
        <v/>
      </c>
      <c r="E155" s="10">
        <f>IF($K155="","",INDEX(Конструктор!$H$2:$H$1212,$K155))</f>
        <v/>
      </c>
      <c r="F155" s="10">
        <f>IF($K155="","",INDEX(Конструктор!$L$2:$L$1212,$K155))</f>
        <v/>
      </c>
      <c r="G155" s="10">
        <f>IF($K155="","",INDEX(Конструктор!$M$2:$M$1212,$K155))</f>
        <v/>
      </c>
      <c r="H155" s="10">
        <f>IF($K155="","",INDEX(Конструктор!$N$2:$N$1212,$K155))</f>
        <v/>
      </c>
      <c r="I155" s="10">
        <f>IF($K155="","",INDEX(Конструктор!$O$2:$O$1212,$K155))</f>
        <v/>
      </c>
      <c r="J155" s="10">
        <f>IF($K155="","",INDEX(Конструктор!$P$2:$P$1212,$K155))</f>
        <v/>
      </c>
      <c r="K155">
        <f>IFERROR(MATCH(135,Конструктор!$T$2:$T$1212,0),"")</f>
        <v/>
      </c>
      <c r="L155">
        <f>IF($K155="","","показать")</f>
        <v/>
      </c>
    </row>
    <row r="156" hidden="1">
      <c r="A156">
        <f>IF($K156="","",136)</f>
        <v/>
      </c>
      <c r="B156">
        <f>IF($K156="","",INDEX(Конструктор!$C$2:$C$1212,$K156))</f>
        <v/>
      </c>
      <c r="C156" s="8">
        <f>IF($K156="","",INDEX(Конструктор!$D$2:$D$1212,$K156)&amp;IF(INDEX(Конструктор!$J$2:$J$1212,$K156)&lt;&gt;""," — "&amp;INDEX(Конструктор!$J$2:$J$1212,$K156),""))</f>
        <v/>
      </c>
      <c r="D156">
        <f>IF($K156="","",INDEX(Конструктор!$E$2:$E$1212,$K156))</f>
        <v/>
      </c>
      <c r="E156" s="10">
        <f>IF($K156="","",INDEX(Конструктор!$H$2:$H$1212,$K156))</f>
        <v/>
      </c>
      <c r="F156" s="10">
        <f>IF($K156="","",INDEX(Конструктор!$L$2:$L$1212,$K156))</f>
        <v/>
      </c>
      <c r="G156" s="10">
        <f>IF($K156="","",INDEX(Конструктор!$M$2:$M$1212,$K156))</f>
        <v/>
      </c>
      <c r="H156" s="10">
        <f>IF($K156="","",INDEX(Конструктор!$N$2:$N$1212,$K156))</f>
        <v/>
      </c>
      <c r="I156" s="10">
        <f>IF($K156="","",INDEX(Конструктор!$O$2:$O$1212,$K156))</f>
        <v/>
      </c>
      <c r="J156" s="10">
        <f>IF($K156="","",INDEX(Конструктор!$P$2:$P$1212,$K156))</f>
        <v/>
      </c>
      <c r="K156">
        <f>IFERROR(MATCH(136,Конструктор!$T$2:$T$1212,0),"")</f>
        <v/>
      </c>
      <c r="L156">
        <f>IF($K156="","","показать")</f>
        <v/>
      </c>
    </row>
    <row r="157" hidden="1">
      <c r="A157">
        <f>IF($K157="","",137)</f>
        <v/>
      </c>
      <c r="B157">
        <f>IF($K157="","",INDEX(Конструктор!$C$2:$C$1212,$K157))</f>
        <v/>
      </c>
      <c r="C157" s="8">
        <f>IF($K157="","",INDEX(Конструктор!$D$2:$D$1212,$K157)&amp;IF(INDEX(Конструктор!$J$2:$J$1212,$K157)&lt;&gt;""," — "&amp;INDEX(Конструктор!$J$2:$J$1212,$K157),""))</f>
        <v/>
      </c>
      <c r="D157">
        <f>IF($K157="","",INDEX(Конструктор!$E$2:$E$1212,$K157))</f>
        <v/>
      </c>
      <c r="E157" s="10">
        <f>IF($K157="","",INDEX(Конструктор!$H$2:$H$1212,$K157))</f>
        <v/>
      </c>
      <c r="F157" s="10">
        <f>IF($K157="","",INDEX(Конструктор!$L$2:$L$1212,$K157))</f>
        <v/>
      </c>
      <c r="G157" s="10">
        <f>IF($K157="","",INDEX(Конструктор!$M$2:$M$1212,$K157))</f>
        <v/>
      </c>
      <c r="H157" s="10">
        <f>IF($K157="","",INDEX(Конструктор!$N$2:$N$1212,$K157))</f>
        <v/>
      </c>
      <c r="I157" s="10">
        <f>IF($K157="","",INDEX(Конструктор!$O$2:$O$1212,$K157))</f>
        <v/>
      </c>
      <c r="J157" s="10">
        <f>IF($K157="","",INDEX(Конструктор!$P$2:$P$1212,$K157))</f>
        <v/>
      </c>
      <c r="K157">
        <f>IFERROR(MATCH(137,Конструктор!$T$2:$T$1212,0),"")</f>
        <v/>
      </c>
      <c r="L157">
        <f>IF($K157="","","показать")</f>
        <v/>
      </c>
    </row>
    <row r="158" hidden="1">
      <c r="A158">
        <f>IF($K158="","",138)</f>
        <v/>
      </c>
      <c r="B158">
        <f>IF($K158="","",INDEX(Конструктор!$C$2:$C$1212,$K158))</f>
        <v/>
      </c>
      <c r="C158" s="8">
        <f>IF($K158="","",INDEX(Конструктор!$D$2:$D$1212,$K158)&amp;IF(INDEX(Конструктор!$J$2:$J$1212,$K158)&lt;&gt;""," — "&amp;INDEX(Конструктор!$J$2:$J$1212,$K158),""))</f>
        <v/>
      </c>
      <c r="D158">
        <f>IF($K158="","",INDEX(Конструктор!$E$2:$E$1212,$K158))</f>
        <v/>
      </c>
      <c r="E158" s="10">
        <f>IF($K158="","",INDEX(Конструктор!$H$2:$H$1212,$K158))</f>
        <v/>
      </c>
      <c r="F158" s="10">
        <f>IF($K158="","",INDEX(Конструктор!$L$2:$L$1212,$K158))</f>
        <v/>
      </c>
      <c r="G158" s="10">
        <f>IF($K158="","",INDEX(Конструктор!$M$2:$M$1212,$K158))</f>
        <v/>
      </c>
      <c r="H158" s="10">
        <f>IF($K158="","",INDEX(Конструктор!$N$2:$N$1212,$K158))</f>
        <v/>
      </c>
      <c r="I158" s="10">
        <f>IF($K158="","",INDEX(Конструктор!$O$2:$O$1212,$K158))</f>
        <v/>
      </c>
      <c r="J158" s="10">
        <f>IF($K158="","",INDEX(Конструктор!$P$2:$P$1212,$K158))</f>
        <v/>
      </c>
      <c r="K158">
        <f>IFERROR(MATCH(138,Конструктор!$T$2:$T$1212,0),"")</f>
        <v/>
      </c>
      <c r="L158">
        <f>IF($K158="","","показать")</f>
        <v/>
      </c>
    </row>
    <row r="159" hidden="1">
      <c r="A159">
        <f>IF($K159="","",139)</f>
        <v/>
      </c>
      <c r="B159">
        <f>IF($K159="","",INDEX(Конструктор!$C$2:$C$1212,$K159))</f>
        <v/>
      </c>
      <c r="C159" s="8">
        <f>IF($K159="","",INDEX(Конструктор!$D$2:$D$1212,$K159)&amp;IF(INDEX(Конструктор!$J$2:$J$1212,$K159)&lt;&gt;""," — "&amp;INDEX(Конструктор!$J$2:$J$1212,$K159),""))</f>
        <v/>
      </c>
      <c r="D159">
        <f>IF($K159="","",INDEX(Конструктор!$E$2:$E$1212,$K159))</f>
        <v/>
      </c>
      <c r="E159" s="10">
        <f>IF($K159="","",INDEX(Конструктор!$H$2:$H$1212,$K159))</f>
        <v/>
      </c>
      <c r="F159" s="10">
        <f>IF($K159="","",INDEX(Конструктор!$L$2:$L$1212,$K159))</f>
        <v/>
      </c>
      <c r="G159" s="10">
        <f>IF($K159="","",INDEX(Конструктор!$M$2:$M$1212,$K159))</f>
        <v/>
      </c>
      <c r="H159" s="10">
        <f>IF($K159="","",INDEX(Конструктор!$N$2:$N$1212,$K159))</f>
        <v/>
      </c>
      <c r="I159" s="10">
        <f>IF($K159="","",INDEX(Конструктор!$O$2:$O$1212,$K159))</f>
        <v/>
      </c>
      <c r="J159" s="10">
        <f>IF($K159="","",INDEX(Конструктор!$P$2:$P$1212,$K159))</f>
        <v/>
      </c>
      <c r="K159">
        <f>IFERROR(MATCH(139,Конструктор!$T$2:$T$1212,0),"")</f>
        <v/>
      </c>
      <c r="L159">
        <f>IF($K159="","","показать")</f>
        <v/>
      </c>
    </row>
    <row r="160" hidden="1">
      <c r="A160">
        <f>IF($K160="","",140)</f>
        <v/>
      </c>
      <c r="B160">
        <f>IF($K160="","",INDEX(Конструктор!$C$2:$C$1212,$K160))</f>
        <v/>
      </c>
      <c r="C160" s="8">
        <f>IF($K160="","",INDEX(Конструктор!$D$2:$D$1212,$K160)&amp;IF(INDEX(Конструктор!$J$2:$J$1212,$K160)&lt;&gt;""," — "&amp;INDEX(Конструктор!$J$2:$J$1212,$K160),""))</f>
        <v/>
      </c>
      <c r="D160">
        <f>IF($K160="","",INDEX(Конструктор!$E$2:$E$1212,$K160))</f>
        <v/>
      </c>
      <c r="E160" s="10">
        <f>IF($K160="","",INDEX(Конструктор!$H$2:$H$1212,$K160))</f>
        <v/>
      </c>
      <c r="F160" s="10">
        <f>IF($K160="","",INDEX(Конструктор!$L$2:$L$1212,$K160))</f>
        <v/>
      </c>
      <c r="G160" s="10">
        <f>IF($K160="","",INDEX(Конструктор!$M$2:$M$1212,$K160))</f>
        <v/>
      </c>
      <c r="H160" s="10">
        <f>IF($K160="","",INDEX(Конструктор!$N$2:$N$1212,$K160))</f>
        <v/>
      </c>
      <c r="I160" s="10">
        <f>IF($K160="","",INDEX(Конструктор!$O$2:$O$1212,$K160))</f>
        <v/>
      </c>
      <c r="J160" s="10">
        <f>IF($K160="","",INDEX(Конструктор!$P$2:$P$1212,$K160))</f>
        <v/>
      </c>
      <c r="K160">
        <f>IFERROR(MATCH(140,Конструктор!$T$2:$T$1212,0),"")</f>
        <v/>
      </c>
      <c r="L160">
        <f>IF($K160="","","показать")</f>
        <v/>
      </c>
    </row>
    <row r="161" hidden="1">
      <c r="A161">
        <f>IF($K161="","",141)</f>
        <v/>
      </c>
      <c r="B161">
        <f>IF($K161="","",INDEX(Конструктор!$C$2:$C$1212,$K161))</f>
        <v/>
      </c>
      <c r="C161" s="8">
        <f>IF($K161="","",INDEX(Конструктор!$D$2:$D$1212,$K161)&amp;IF(INDEX(Конструктор!$J$2:$J$1212,$K161)&lt;&gt;""," — "&amp;INDEX(Конструктор!$J$2:$J$1212,$K161),""))</f>
        <v/>
      </c>
      <c r="D161">
        <f>IF($K161="","",INDEX(Конструктор!$E$2:$E$1212,$K161))</f>
        <v/>
      </c>
      <c r="E161" s="10">
        <f>IF($K161="","",INDEX(Конструктор!$H$2:$H$1212,$K161))</f>
        <v/>
      </c>
      <c r="F161" s="10">
        <f>IF($K161="","",INDEX(Конструктор!$L$2:$L$1212,$K161))</f>
        <v/>
      </c>
      <c r="G161" s="10">
        <f>IF($K161="","",INDEX(Конструктор!$M$2:$M$1212,$K161))</f>
        <v/>
      </c>
      <c r="H161" s="10">
        <f>IF($K161="","",INDEX(Конструктор!$N$2:$N$1212,$K161))</f>
        <v/>
      </c>
      <c r="I161" s="10">
        <f>IF($K161="","",INDEX(Конструктор!$O$2:$O$1212,$K161))</f>
        <v/>
      </c>
      <c r="J161" s="10">
        <f>IF($K161="","",INDEX(Конструктор!$P$2:$P$1212,$K161))</f>
        <v/>
      </c>
      <c r="K161">
        <f>IFERROR(MATCH(141,Конструктор!$T$2:$T$1212,0),"")</f>
        <v/>
      </c>
      <c r="L161">
        <f>IF($K161="","","показать")</f>
        <v/>
      </c>
    </row>
    <row r="162" hidden="1">
      <c r="A162">
        <f>IF($K162="","",142)</f>
        <v/>
      </c>
      <c r="B162">
        <f>IF($K162="","",INDEX(Конструктор!$C$2:$C$1212,$K162))</f>
        <v/>
      </c>
      <c r="C162" s="8">
        <f>IF($K162="","",INDEX(Конструктор!$D$2:$D$1212,$K162)&amp;IF(INDEX(Конструктор!$J$2:$J$1212,$K162)&lt;&gt;""," — "&amp;INDEX(Конструктор!$J$2:$J$1212,$K162),""))</f>
        <v/>
      </c>
      <c r="D162">
        <f>IF($K162="","",INDEX(Конструктор!$E$2:$E$1212,$K162))</f>
        <v/>
      </c>
      <c r="E162" s="10">
        <f>IF($K162="","",INDEX(Конструктор!$H$2:$H$1212,$K162))</f>
        <v/>
      </c>
      <c r="F162" s="10">
        <f>IF($K162="","",INDEX(Конструктор!$L$2:$L$1212,$K162))</f>
        <v/>
      </c>
      <c r="G162" s="10">
        <f>IF($K162="","",INDEX(Конструктор!$M$2:$M$1212,$K162))</f>
        <v/>
      </c>
      <c r="H162" s="10">
        <f>IF($K162="","",INDEX(Конструктор!$N$2:$N$1212,$K162))</f>
        <v/>
      </c>
      <c r="I162" s="10">
        <f>IF($K162="","",INDEX(Конструктор!$O$2:$O$1212,$K162))</f>
        <v/>
      </c>
      <c r="J162" s="10">
        <f>IF($K162="","",INDEX(Конструктор!$P$2:$P$1212,$K162))</f>
        <v/>
      </c>
      <c r="K162">
        <f>IFERROR(MATCH(142,Конструктор!$T$2:$T$1212,0),"")</f>
        <v/>
      </c>
      <c r="L162">
        <f>IF($K162="","","показать")</f>
        <v/>
      </c>
    </row>
    <row r="163" hidden="1">
      <c r="A163">
        <f>IF($K163="","",143)</f>
        <v/>
      </c>
      <c r="B163">
        <f>IF($K163="","",INDEX(Конструктор!$C$2:$C$1212,$K163))</f>
        <v/>
      </c>
      <c r="C163" s="8">
        <f>IF($K163="","",INDEX(Конструктор!$D$2:$D$1212,$K163)&amp;IF(INDEX(Конструктор!$J$2:$J$1212,$K163)&lt;&gt;""," — "&amp;INDEX(Конструктор!$J$2:$J$1212,$K163),""))</f>
        <v/>
      </c>
      <c r="D163">
        <f>IF($K163="","",INDEX(Конструктор!$E$2:$E$1212,$K163))</f>
        <v/>
      </c>
      <c r="E163" s="10">
        <f>IF($K163="","",INDEX(Конструктор!$H$2:$H$1212,$K163))</f>
        <v/>
      </c>
      <c r="F163" s="10">
        <f>IF($K163="","",INDEX(Конструктор!$L$2:$L$1212,$K163))</f>
        <v/>
      </c>
      <c r="G163" s="10">
        <f>IF($K163="","",INDEX(Конструктор!$M$2:$M$1212,$K163))</f>
        <v/>
      </c>
      <c r="H163" s="10">
        <f>IF($K163="","",INDEX(Конструктор!$N$2:$N$1212,$K163))</f>
        <v/>
      </c>
      <c r="I163" s="10">
        <f>IF($K163="","",INDEX(Конструктор!$O$2:$O$1212,$K163))</f>
        <v/>
      </c>
      <c r="J163" s="10">
        <f>IF($K163="","",INDEX(Конструктор!$P$2:$P$1212,$K163))</f>
        <v/>
      </c>
      <c r="K163">
        <f>IFERROR(MATCH(143,Конструктор!$T$2:$T$1212,0),"")</f>
        <v/>
      </c>
      <c r="L163">
        <f>IF($K163="","","показать")</f>
        <v/>
      </c>
    </row>
    <row r="164" hidden="1">
      <c r="A164">
        <f>IF($K164="","",144)</f>
        <v/>
      </c>
      <c r="B164">
        <f>IF($K164="","",INDEX(Конструктор!$C$2:$C$1212,$K164))</f>
        <v/>
      </c>
      <c r="C164" s="8">
        <f>IF($K164="","",INDEX(Конструктор!$D$2:$D$1212,$K164)&amp;IF(INDEX(Конструктор!$J$2:$J$1212,$K164)&lt;&gt;""," — "&amp;INDEX(Конструктор!$J$2:$J$1212,$K164),""))</f>
        <v/>
      </c>
      <c r="D164">
        <f>IF($K164="","",INDEX(Конструктор!$E$2:$E$1212,$K164))</f>
        <v/>
      </c>
      <c r="E164" s="10">
        <f>IF($K164="","",INDEX(Конструктор!$H$2:$H$1212,$K164))</f>
        <v/>
      </c>
      <c r="F164" s="10">
        <f>IF($K164="","",INDEX(Конструктор!$L$2:$L$1212,$K164))</f>
        <v/>
      </c>
      <c r="G164" s="10">
        <f>IF($K164="","",INDEX(Конструктор!$M$2:$M$1212,$K164))</f>
        <v/>
      </c>
      <c r="H164" s="10">
        <f>IF($K164="","",INDEX(Конструктор!$N$2:$N$1212,$K164))</f>
        <v/>
      </c>
      <c r="I164" s="10">
        <f>IF($K164="","",INDEX(Конструктор!$O$2:$O$1212,$K164))</f>
        <v/>
      </c>
      <c r="J164" s="10">
        <f>IF($K164="","",INDEX(Конструктор!$P$2:$P$1212,$K164))</f>
        <v/>
      </c>
      <c r="K164">
        <f>IFERROR(MATCH(144,Конструктор!$T$2:$T$1212,0),"")</f>
        <v/>
      </c>
      <c r="L164">
        <f>IF($K164="","","показать")</f>
        <v/>
      </c>
    </row>
    <row r="165" hidden="1">
      <c r="A165">
        <f>IF($K165="","",145)</f>
        <v/>
      </c>
      <c r="B165">
        <f>IF($K165="","",INDEX(Конструктор!$C$2:$C$1212,$K165))</f>
        <v/>
      </c>
      <c r="C165" s="8">
        <f>IF($K165="","",INDEX(Конструктор!$D$2:$D$1212,$K165)&amp;IF(INDEX(Конструктор!$J$2:$J$1212,$K165)&lt;&gt;""," — "&amp;INDEX(Конструктор!$J$2:$J$1212,$K165),""))</f>
        <v/>
      </c>
      <c r="D165">
        <f>IF($K165="","",INDEX(Конструктор!$E$2:$E$1212,$K165))</f>
        <v/>
      </c>
      <c r="E165" s="10">
        <f>IF($K165="","",INDEX(Конструктор!$H$2:$H$1212,$K165))</f>
        <v/>
      </c>
      <c r="F165" s="10">
        <f>IF($K165="","",INDEX(Конструктор!$L$2:$L$1212,$K165))</f>
        <v/>
      </c>
      <c r="G165" s="10">
        <f>IF($K165="","",INDEX(Конструктор!$M$2:$M$1212,$K165))</f>
        <v/>
      </c>
      <c r="H165" s="10">
        <f>IF($K165="","",INDEX(Конструктор!$N$2:$N$1212,$K165))</f>
        <v/>
      </c>
      <c r="I165" s="10">
        <f>IF($K165="","",INDEX(Конструктор!$O$2:$O$1212,$K165))</f>
        <v/>
      </c>
      <c r="J165" s="10">
        <f>IF($K165="","",INDEX(Конструктор!$P$2:$P$1212,$K165))</f>
        <v/>
      </c>
      <c r="K165">
        <f>IFERROR(MATCH(145,Конструктор!$T$2:$T$1212,0),"")</f>
        <v/>
      </c>
      <c r="L165">
        <f>IF($K165="","","показать")</f>
        <v/>
      </c>
    </row>
    <row r="166" hidden="1">
      <c r="A166">
        <f>IF($K166="","",146)</f>
        <v/>
      </c>
      <c r="B166">
        <f>IF($K166="","",INDEX(Конструктор!$C$2:$C$1212,$K166))</f>
        <v/>
      </c>
      <c r="C166" s="8">
        <f>IF($K166="","",INDEX(Конструктор!$D$2:$D$1212,$K166)&amp;IF(INDEX(Конструктор!$J$2:$J$1212,$K166)&lt;&gt;""," — "&amp;INDEX(Конструктор!$J$2:$J$1212,$K166),""))</f>
        <v/>
      </c>
      <c r="D166">
        <f>IF($K166="","",INDEX(Конструктор!$E$2:$E$1212,$K166))</f>
        <v/>
      </c>
      <c r="E166" s="10">
        <f>IF($K166="","",INDEX(Конструктор!$H$2:$H$1212,$K166))</f>
        <v/>
      </c>
      <c r="F166" s="10">
        <f>IF($K166="","",INDEX(Конструктор!$L$2:$L$1212,$K166))</f>
        <v/>
      </c>
      <c r="G166" s="10">
        <f>IF($K166="","",INDEX(Конструктор!$M$2:$M$1212,$K166))</f>
        <v/>
      </c>
      <c r="H166" s="10">
        <f>IF($K166="","",INDEX(Конструктор!$N$2:$N$1212,$K166))</f>
        <v/>
      </c>
      <c r="I166" s="10">
        <f>IF($K166="","",INDEX(Конструктор!$O$2:$O$1212,$K166))</f>
        <v/>
      </c>
      <c r="J166" s="10">
        <f>IF($K166="","",INDEX(Конструктор!$P$2:$P$1212,$K166))</f>
        <v/>
      </c>
      <c r="K166">
        <f>IFERROR(MATCH(146,Конструктор!$T$2:$T$1212,0),"")</f>
        <v/>
      </c>
      <c r="L166">
        <f>IF($K166="","","показать")</f>
        <v/>
      </c>
    </row>
    <row r="167" hidden="1">
      <c r="A167">
        <f>IF($K167="","",147)</f>
        <v/>
      </c>
      <c r="B167">
        <f>IF($K167="","",INDEX(Конструктор!$C$2:$C$1212,$K167))</f>
        <v/>
      </c>
      <c r="C167" s="8">
        <f>IF($K167="","",INDEX(Конструктор!$D$2:$D$1212,$K167)&amp;IF(INDEX(Конструктор!$J$2:$J$1212,$K167)&lt;&gt;""," — "&amp;INDEX(Конструктор!$J$2:$J$1212,$K167),""))</f>
        <v/>
      </c>
      <c r="D167">
        <f>IF($K167="","",INDEX(Конструктор!$E$2:$E$1212,$K167))</f>
        <v/>
      </c>
      <c r="E167" s="10">
        <f>IF($K167="","",INDEX(Конструктор!$H$2:$H$1212,$K167))</f>
        <v/>
      </c>
      <c r="F167" s="10">
        <f>IF($K167="","",INDEX(Конструктор!$L$2:$L$1212,$K167))</f>
        <v/>
      </c>
      <c r="G167" s="10">
        <f>IF($K167="","",INDEX(Конструктор!$M$2:$M$1212,$K167))</f>
        <v/>
      </c>
      <c r="H167" s="10">
        <f>IF($K167="","",INDEX(Конструктор!$N$2:$N$1212,$K167))</f>
        <v/>
      </c>
      <c r="I167" s="10">
        <f>IF($K167="","",INDEX(Конструктор!$O$2:$O$1212,$K167))</f>
        <v/>
      </c>
      <c r="J167" s="10">
        <f>IF($K167="","",INDEX(Конструктор!$P$2:$P$1212,$K167))</f>
        <v/>
      </c>
      <c r="K167">
        <f>IFERROR(MATCH(147,Конструктор!$T$2:$T$1212,0),"")</f>
        <v/>
      </c>
      <c r="L167">
        <f>IF($K167="","","показать")</f>
        <v/>
      </c>
    </row>
    <row r="168" hidden="1">
      <c r="A168">
        <f>IF($K168="","",148)</f>
        <v/>
      </c>
      <c r="B168">
        <f>IF($K168="","",INDEX(Конструктор!$C$2:$C$1212,$K168))</f>
        <v/>
      </c>
      <c r="C168" s="8">
        <f>IF($K168="","",INDEX(Конструктор!$D$2:$D$1212,$K168)&amp;IF(INDEX(Конструктор!$J$2:$J$1212,$K168)&lt;&gt;""," — "&amp;INDEX(Конструктор!$J$2:$J$1212,$K168),""))</f>
        <v/>
      </c>
      <c r="D168">
        <f>IF($K168="","",INDEX(Конструктор!$E$2:$E$1212,$K168))</f>
        <v/>
      </c>
      <c r="E168" s="10">
        <f>IF($K168="","",INDEX(Конструктор!$H$2:$H$1212,$K168))</f>
        <v/>
      </c>
      <c r="F168" s="10">
        <f>IF($K168="","",INDEX(Конструктор!$L$2:$L$1212,$K168))</f>
        <v/>
      </c>
      <c r="G168" s="10">
        <f>IF($K168="","",INDEX(Конструктор!$M$2:$M$1212,$K168))</f>
        <v/>
      </c>
      <c r="H168" s="10">
        <f>IF($K168="","",INDEX(Конструктор!$N$2:$N$1212,$K168))</f>
        <v/>
      </c>
      <c r="I168" s="10">
        <f>IF($K168="","",INDEX(Конструктор!$O$2:$O$1212,$K168))</f>
        <v/>
      </c>
      <c r="J168" s="10">
        <f>IF($K168="","",INDEX(Конструктор!$P$2:$P$1212,$K168))</f>
        <v/>
      </c>
      <c r="K168">
        <f>IFERROR(MATCH(148,Конструктор!$T$2:$T$1212,0),"")</f>
        <v/>
      </c>
      <c r="L168">
        <f>IF($K168="","","показать")</f>
        <v/>
      </c>
    </row>
    <row r="169" hidden="1">
      <c r="A169">
        <f>IF($K169="","",149)</f>
        <v/>
      </c>
      <c r="B169">
        <f>IF($K169="","",INDEX(Конструктор!$C$2:$C$1212,$K169))</f>
        <v/>
      </c>
      <c r="C169" s="8">
        <f>IF($K169="","",INDEX(Конструктор!$D$2:$D$1212,$K169)&amp;IF(INDEX(Конструктор!$J$2:$J$1212,$K169)&lt;&gt;""," — "&amp;INDEX(Конструктор!$J$2:$J$1212,$K169),""))</f>
        <v/>
      </c>
      <c r="D169">
        <f>IF($K169="","",INDEX(Конструктор!$E$2:$E$1212,$K169))</f>
        <v/>
      </c>
      <c r="E169" s="10">
        <f>IF($K169="","",INDEX(Конструктор!$H$2:$H$1212,$K169))</f>
        <v/>
      </c>
      <c r="F169" s="10">
        <f>IF($K169="","",INDEX(Конструктор!$L$2:$L$1212,$K169))</f>
        <v/>
      </c>
      <c r="G169" s="10">
        <f>IF($K169="","",INDEX(Конструктор!$M$2:$M$1212,$K169))</f>
        <v/>
      </c>
      <c r="H169" s="10">
        <f>IF($K169="","",INDEX(Конструктор!$N$2:$N$1212,$K169))</f>
        <v/>
      </c>
      <c r="I169" s="10">
        <f>IF($K169="","",INDEX(Конструктор!$O$2:$O$1212,$K169))</f>
        <v/>
      </c>
      <c r="J169" s="10">
        <f>IF($K169="","",INDEX(Конструктор!$P$2:$P$1212,$K169))</f>
        <v/>
      </c>
      <c r="K169">
        <f>IFERROR(MATCH(149,Конструктор!$T$2:$T$1212,0),"")</f>
        <v/>
      </c>
      <c r="L169">
        <f>IF($K169="","","показать")</f>
        <v/>
      </c>
    </row>
    <row r="170" hidden="1">
      <c r="A170">
        <f>IF($K170="","",150)</f>
        <v/>
      </c>
      <c r="B170">
        <f>IF($K170="","",INDEX(Конструктор!$C$2:$C$1212,$K170))</f>
        <v/>
      </c>
      <c r="C170" s="8">
        <f>IF($K170="","",INDEX(Конструктор!$D$2:$D$1212,$K170)&amp;IF(INDEX(Конструктор!$J$2:$J$1212,$K170)&lt;&gt;""," — "&amp;INDEX(Конструктор!$J$2:$J$1212,$K170),""))</f>
        <v/>
      </c>
      <c r="D170">
        <f>IF($K170="","",INDEX(Конструктор!$E$2:$E$1212,$K170))</f>
        <v/>
      </c>
      <c r="E170" s="10">
        <f>IF($K170="","",INDEX(Конструктор!$H$2:$H$1212,$K170))</f>
        <v/>
      </c>
      <c r="F170" s="10">
        <f>IF($K170="","",INDEX(Конструктор!$L$2:$L$1212,$K170))</f>
        <v/>
      </c>
      <c r="G170" s="10">
        <f>IF($K170="","",INDEX(Конструктор!$M$2:$M$1212,$K170))</f>
        <v/>
      </c>
      <c r="H170" s="10">
        <f>IF($K170="","",INDEX(Конструктор!$N$2:$N$1212,$K170))</f>
        <v/>
      </c>
      <c r="I170" s="10">
        <f>IF($K170="","",INDEX(Конструктор!$O$2:$O$1212,$K170))</f>
        <v/>
      </c>
      <c r="J170" s="10">
        <f>IF($K170="","",INDEX(Конструктор!$P$2:$P$1212,$K170))</f>
        <v/>
      </c>
      <c r="K170">
        <f>IFERROR(MATCH(150,Конструктор!$T$2:$T$1212,0),"")</f>
        <v/>
      </c>
      <c r="L170">
        <f>IF($K170="","","показать")</f>
        <v/>
      </c>
    </row>
    <row r="171" hidden="1">
      <c r="A171">
        <f>IF($K171="","",151)</f>
        <v/>
      </c>
      <c r="B171">
        <f>IF($K171="","",INDEX(Конструктор!$C$2:$C$1212,$K171))</f>
        <v/>
      </c>
      <c r="C171" s="8">
        <f>IF($K171="","",INDEX(Конструктор!$D$2:$D$1212,$K171)&amp;IF(INDEX(Конструктор!$J$2:$J$1212,$K171)&lt;&gt;""," — "&amp;INDEX(Конструктор!$J$2:$J$1212,$K171),""))</f>
        <v/>
      </c>
      <c r="D171">
        <f>IF($K171="","",INDEX(Конструктор!$E$2:$E$1212,$K171))</f>
        <v/>
      </c>
      <c r="E171" s="10">
        <f>IF($K171="","",INDEX(Конструктор!$H$2:$H$1212,$K171))</f>
        <v/>
      </c>
      <c r="F171" s="10">
        <f>IF($K171="","",INDEX(Конструктор!$L$2:$L$1212,$K171))</f>
        <v/>
      </c>
      <c r="G171" s="10">
        <f>IF($K171="","",INDEX(Конструктор!$M$2:$M$1212,$K171))</f>
        <v/>
      </c>
      <c r="H171" s="10">
        <f>IF($K171="","",INDEX(Конструктор!$N$2:$N$1212,$K171))</f>
        <v/>
      </c>
      <c r="I171" s="10">
        <f>IF($K171="","",INDEX(Конструктор!$O$2:$O$1212,$K171))</f>
        <v/>
      </c>
      <c r="J171" s="10">
        <f>IF($K171="","",INDEX(Конструктор!$P$2:$P$1212,$K171))</f>
        <v/>
      </c>
      <c r="K171">
        <f>IFERROR(MATCH(151,Конструктор!$T$2:$T$1212,0),"")</f>
        <v/>
      </c>
      <c r="L171">
        <f>IF($K171="","","показать")</f>
        <v/>
      </c>
    </row>
    <row r="172" hidden="1">
      <c r="A172">
        <f>IF($K172="","",152)</f>
        <v/>
      </c>
      <c r="B172">
        <f>IF($K172="","",INDEX(Конструктор!$C$2:$C$1212,$K172))</f>
        <v/>
      </c>
      <c r="C172" s="8">
        <f>IF($K172="","",INDEX(Конструктор!$D$2:$D$1212,$K172)&amp;IF(INDEX(Конструктор!$J$2:$J$1212,$K172)&lt;&gt;""," — "&amp;INDEX(Конструктор!$J$2:$J$1212,$K172),""))</f>
        <v/>
      </c>
      <c r="D172">
        <f>IF($K172="","",INDEX(Конструктор!$E$2:$E$1212,$K172))</f>
        <v/>
      </c>
      <c r="E172" s="10">
        <f>IF($K172="","",INDEX(Конструктор!$H$2:$H$1212,$K172))</f>
        <v/>
      </c>
      <c r="F172" s="10">
        <f>IF($K172="","",INDEX(Конструктор!$L$2:$L$1212,$K172))</f>
        <v/>
      </c>
      <c r="G172" s="10">
        <f>IF($K172="","",INDEX(Конструктор!$M$2:$M$1212,$K172))</f>
        <v/>
      </c>
      <c r="H172" s="10">
        <f>IF($K172="","",INDEX(Конструктор!$N$2:$N$1212,$K172))</f>
        <v/>
      </c>
      <c r="I172" s="10">
        <f>IF($K172="","",INDEX(Конструктор!$O$2:$O$1212,$K172))</f>
        <v/>
      </c>
      <c r="J172" s="10">
        <f>IF($K172="","",INDEX(Конструктор!$P$2:$P$1212,$K172))</f>
        <v/>
      </c>
      <c r="K172">
        <f>IFERROR(MATCH(152,Конструктор!$T$2:$T$1212,0),"")</f>
        <v/>
      </c>
      <c r="L172">
        <f>IF($K172="","","показать")</f>
        <v/>
      </c>
    </row>
    <row r="173" hidden="1">
      <c r="A173">
        <f>IF($K173="","",153)</f>
        <v/>
      </c>
      <c r="B173">
        <f>IF($K173="","",INDEX(Конструктор!$C$2:$C$1212,$K173))</f>
        <v/>
      </c>
      <c r="C173" s="8">
        <f>IF($K173="","",INDEX(Конструктор!$D$2:$D$1212,$K173)&amp;IF(INDEX(Конструктор!$J$2:$J$1212,$K173)&lt;&gt;""," — "&amp;INDEX(Конструктор!$J$2:$J$1212,$K173),""))</f>
        <v/>
      </c>
      <c r="D173">
        <f>IF($K173="","",INDEX(Конструктор!$E$2:$E$1212,$K173))</f>
        <v/>
      </c>
      <c r="E173" s="10">
        <f>IF($K173="","",INDEX(Конструктор!$H$2:$H$1212,$K173))</f>
        <v/>
      </c>
      <c r="F173" s="10">
        <f>IF($K173="","",INDEX(Конструктор!$L$2:$L$1212,$K173))</f>
        <v/>
      </c>
      <c r="G173" s="10">
        <f>IF($K173="","",INDEX(Конструктор!$M$2:$M$1212,$K173))</f>
        <v/>
      </c>
      <c r="H173" s="10">
        <f>IF($K173="","",INDEX(Конструктор!$N$2:$N$1212,$K173))</f>
        <v/>
      </c>
      <c r="I173" s="10">
        <f>IF($K173="","",INDEX(Конструктор!$O$2:$O$1212,$K173))</f>
        <v/>
      </c>
      <c r="J173" s="10">
        <f>IF($K173="","",INDEX(Конструктор!$P$2:$P$1212,$K173))</f>
        <v/>
      </c>
      <c r="K173">
        <f>IFERROR(MATCH(153,Конструктор!$T$2:$T$1212,0),"")</f>
        <v/>
      </c>
      <c r="L173">
        <f>IF($K173="","","показать")</f>
        <v/>
      </c>
    </row>
    <row r="174" hidden="1">
      <c r="A174">
        <f>IF($K174="","",154)</f>
        <v/>
      </c>
      <c r="B174">
        <f>IF($K174="","",INDEX(Конструктор!$C$2:$C$1212,$K174))</f>
        <v/>
      </c>
      <c r="C174" s="8">
        <f>IF($K174="","",INDEX(Конструктор!$D$2:$D$1212,$K174)&amp;IF(INDEX(Конструктор!$J$2:$J$1212,$K174)&lt;&gt;""," — "&amp;INDEX(Конструктор!$J$2:$J$1212,$K174),""))</f>
        <v/>
      </c>
      <c r="D174">
        <f>IF($K174="","",INDEX(Конструктор!$E$2:$E$1212,$K174))</f>
        <v/>
      </c>
      <c r="E174" s="10">
        <f>IF($K174="","",INDEX(Конструктор!$H$2:$H$1212,$K174))</f>
        <v/>
      </c>
      <c r="F174" s="10">
        <f>IF($K174="","",INDEX(Конструктор!$L$2:$L$1212,$K174))</f>
        <v/>
      </c>
      <c r="G174" s="10">
        <f>IF($K174="","",INDEX(Конструктор!$M$2:$M$1212,$K174))</f>
        <v/>
      </c>
      <c r="H174" s="10">
        <f>IF($K174="","",INDEX(Конструктор!$N$2:$N$1212,$K174))</f>
        <v/>
      </c>
      <c r="I174" s="10">
        <f>IF($K174="","",INDEX(Конструктор!$O$2:$O$1212,$K174))</f>
        <v/>
      </c>
      <c r="J174" s="10">
        <f>IF($K174="","",INDEX(Конструктор!$P$2:$P$1212,$K174))</f>
        <v/>
      </c>
      <c r="K174">
        <f>IFERROR(MATCH(154,Конструктор!$T$2:$T$1212,0),"")</f>
        <v/>
      </c>
      <c r="L174">
        <f>IF($K174="","","показать")</f>
        <v/>
      </c>
    </row>
    <row r="175" hidden="1">
      <c r="A175">
        <f>IF($K175="","",155)</f>
        <v/>
      </c>
      <c r="B175">
        <f>IF($K175="","",INDEX(Конструктор!$C$2:$C$1212,$K175))</f>
        <v/>
      </c>
      <c r="C175" s="8">
        <f>IF($K175="","",INDEX(Конструктор!$D$2:$D$1212,$K175)&amp;IF(INDEX(Конструктор!$J$2:$J$1212,$K175)&lt;&gt;""," — "&amp;INDEX(Конструктор!$J$2:$J$1212,$K175),""))</f>
        <v/>
      </c>
      <c r="D175">
        <f>IF($K175="","",INDEX(Конструктор!$E$2:$E$1212,$K175))</f>
        <v/>
      </c>
      <c r="E175" s="10">
        <f>IF($K175="","",INDEX(Конструктор!$H$2:$H$1212,$K175))</f>
        <v/>
      </c>
      <c r="F175" s="10">
        <f>IF($K175="","",INDEX(Конструктор!$L$2:$L$1212,$K175))</f>
        <v/>
      </c>
      <c r="G175" s="10">
        <f>IF($K175="","",INDEX(Конструктор!$M$2:$M$1212,$K175))</f>
        <v/>
      </c>
      <c r="H175" s="10">
        <f>IF($K175="","",INDEX(Конструктор!$N$2:$N$1212,$K175))</f>
        <v/>
      </c>
      <c r="I175" s="10">
        <f>IF($K175="","",INDEX(Конструктор!$O$2:$O$1212,$K175))</f>
        <v/>
      </c>
      <c r="J175" s="10">
        <f>IF($K175="","",INDEX(Конструктор!$P$2:$P$1212,$K175))</f>
        <v/>
      </c>
      <c r="K175">
        <f>IFERROR(MATCH(155,Конструктор!$T$2:$T$1212,0),"")</f>
        <v/>
      </c>
      <c r="L175">
        <f>IF($K175="","","показать")</f>
        <v/>
      </c>
    </row>
    <row r="176" hidden="1">
      <c r="A176">
        <f>IF($K176="","",156)</f>
        <v/>
      </c>
      <c r="B176">
        <f>IF($K176="","",INDEX(Конструктор!$C$2:$C$1212,$K176))</f>
        <v/>
      </c>
      <c r="C176" s="8">
        <f>IF($K176="","",INDEX(Конструктор!$D$2:$D$1212,$K176)&amp;IF(INDEX(Конструктор!$J$2:$J$1212,$K176)&lt;&gt;""," — "&amp;INDEX(Конструктор!$J$2:$J$1212,$K176),""))</f>
        <v/>
      </c>
      <c r="D176">
        <f>IF($K176="","",INDEX(Конструктор!$E$2:$E$1212,$K176))</f>
        <v/>
      </c>
      <c r="E176" s="10">
        <f>IF($K176="","",INDEX(Конструктор!$H$2:$H$1212,$K176))</f>
        <v/>
      </c>
      <c r="F176" s="10">
        <f>IF($K176="","",INDEX(Конструктор!$L$2:$L$1212,$K176))</f>
        <v/>
      </c>
      <c r="G176" s="10">
        <f>IF($K176="","",INDEX(Конструктор!$M$2:$M$1212,$K176))</f>
        <v/>
      </c>
      <c r="H176" s="10">
        <f>IF($K176="","",INDEX(Конструктор!$N$2:$N$1212,$K176))</f>
        <v/>
      </c>
      <c r="I176" s="10">
        <f>IF($K176="","",INDEX(Конструктор!$O$2:$O$1212,$K176))</f>
        <v/>
      </c>
      <c r="J176" s="10">
        <f>IF($K176="","",INDEX(Конструктор!$P$2:$P$1212,$K176))</f>
        <v/>
      </c>
      <c r="K176">
        <f>IFERROR(MATCH(156,Конструктор!$T$2:$T$1212,0),"")</f>
        <v/>
      </c>
      <c r="L176">
        <f>IF($K176="","","показать")</f>
        <v/>
      </c>
    </row>
    <row r="177" hidden="1">
      <c r="A177">
        <f>IF($K177="","",157)</f>
        <v/>
      </c>
      <c r="B177">
        <f>IF($K177="","",INDEX(Конструктор!$C$2:$C$1212,$K177))</f>
        <v/>
      </c>
      <c r="C177" s="8">
        <f>IF($K177="","",INDEX(Конструктор!$D$2:$D$1212,$K177)&amp;IF(INDEX(Конструктор!$J$2:$J$1212,$K177)&lt;&gt;""," — "&amp;INDEX(Конструктор!$J$2:$J$1212,$K177),""))</f>
        <v/>
      </c>
      <c r="D177">
        <f>IF($K177="","",INDEX(Конструктор!$E$2:$E$1212,$K177))</f>
        <v/>
      </c>
      <c r="E177" s="10">
        <f>IF($K177="","",INDEX(Конструктор!$H$2:$H$1212,$K177))</f>
        <v/>
      </c>
      <c r="F177" s="10">
        <f>IF($K177="","",INDEX(Конструктор!$L$2:$L$1212,$K177))</f>
        <v/>
      </c>
      <c r="G177" s="10">
        <f>IF($K177="","",INDEX(Конструктор!$M$2:$M$1212,$K177))</f>
        <v/>
      </c>
      <c r="H177" s="10">
        <f>IF($K177="","",INDEX(Конструктор!$N$2:$N$1212,$K177))</f>
        <v/>
      </c>
      <c r="I177" s="10">
        <f>IF($K177="","",INDEX(Конструктор!$O$2:$O$1212,$K177))</f>
        <v/>
      </c>
      <c r="J177" s="10">
        <f>IF($K177="","",INDEX(Конструктор!$P$2:$P$1212,$K177))</f>
        <v/>
      </c>
      <c r="K177">
        <f>IFERROR(MATCH(157,Конструктор!$T$2:$T$1212,0),"")</f>
        <v/>
      </c>
      <c r="L177">
        <f>IF($K177="","","показать")</f>
        <v/>
      </c>
    </row>
    <row r="178" hidden="1">
      <c r="A178">
        <f>IF($K178="","",158)</f>
        <v/>
      </c>
      <c r="B178">
        <f>IF($K178="","",INDEX(Конструктор!$C$2:$C$1212,$K178))</f>
        <v/>
      </c>
      <c r="C178" s="8">
        <f>IF($K178="","",INDEX(Конструктор!$D$2:$D$1212,$K178)&amp;IF(INDEX(Конструктор!$J$2:$J$1212,$K178)&lt;&gt;""," — "&amp;INDEX(Конструктор!$J$2:$J$1212,$K178),""))</f>
        <v/>
      </c>
      <c r="D178">
        <f>IF($K178="","",INDEX(Конструктор!$E$2:$E$1212,$K178))</f>
        <v/>
      </c>
      <c r="E178" s="10">
        <f>IF($K178="","",INDEX(Конструктор!$H$2:$H$1212,$K178))</f>
        <v/>
      </c>
      <c r="F178" s="10">
        <f>IF($K178="","",INDEX(Конструктор!$L$2:$L$1212,$K178))</f>
        <v/>
      </c>
      <c r="G178" s="10">
        <f>IF($K178="","",INDEX(Конструктор!$M$2:$M$1212,$K178))</f>
        <v/>
      </c>
      <c r="H178" s="10">
        <f>IF($K178="","",INDEX(Конструктор!$N$2:$N$1212,$K178))</f>
        <v/>
      </c>
      <c r="I178" s="10">
        <f>IF($K178="","",INDEX(Конструктор!$O$2:$O$1212,$K178))</f>
        <v/>
      </c>
      <c r="J178" s="10">
        <f>IF($K178="","",INDEX(Конструктор!$P$2:$P$1212,$K178))</f>
        <v/>
      </c>
      <c r="K178">
        <f>IFERROR(MATCH(158,Конструктор!$T$2:$T$1212,0),"")</f>
        <v/>
      </c>
      <c r="L178">
        <f>IF($K178="","","показать")</f>
        <v/>
      </c>
    </row>
    <row r="179" hidden="1">
      <c r="A179">
        <f>IF($K179="","",159)</f>
        <v/>
      </c>
      <c r="B179">
        <f>IF($K179="","",INDEX(Конструктор!$C$2:$C$1212,$K179))</f>
        <v/>
      </c>
      <c r="C179" s="8">
        <f>IF($K179="","",INDEX(Конструктор!$D$2:$D$1212,$K179)&amp;IF(INDEX(Конструктор!$J$2:$J$1212,$K179)&lt;&gt;""," — "&amp;INDEX(Конструктор!$J$2:$J$1212,$K179),""))</f>
        <v/>
      </c>
      <c r="D179">
        <f>IF($K179="","",INDEX(Конструктор!$E$2:$E$1212,$K179))</f>
        <v/>
      </c>
      <c r="E179" s="10">
        <f>IF($K179="","",INDEX(Конструктор!$H$2:$H$1212,$K179))</f>
        <v/>
      </c>
      <c r="F179" s="10">
        <f>IF($K179="","",INDEX(Конструктор!$L$2:$L$1212,$K179))</f>
        <v/>
      </c>
      <c r="G179" s="10">
        <f>IF($K179="","",INDEX(Конструктор!$M$2:$M$1212,$K179))</f>
        <v/>
      </c>
      <c r="H179" s="10">
        <f>IF($K179="","",INDEX(Конструктор!$N$2:$N$1212,$K179))</f>
        <v/>
      </c>
      <c r="I179" s="10">
        <f>IF($K179="","",INDEX(Конструктор!$O$2:$O$1212,$K179))</f>
        <v/>
      </c>
      <c r="J179" s="10">
        <f>IF($K179="","",INDEX(Конструктор!$P$2:$P$1212,$K179))</f>
        <v/>
      </c>
      <c r="K179">
        <f>IFERROR(MATCH(159,Конструктор!$T$2:$T$1212,0),"")</f>
        <v/>
      </c>
      <c r="L179">
        <f>IF($K179="","","показать")</f>
        <v/>
      </c>
    </row>
    <row r="180" hidden="1">
      <c r="A180">
        <f>IF($K180="","",160)</f>
        <v/>
      </c>
      <c r="B180">
        <f>IF($K180="","",INDEX(Конструктор!$C$2:$C$1212,$K180))</f>
        <v/>
      </c>
      <c r="C180" s="8">
        <f>IF($K180="","",INDEX(Конструктор!$D$2:$D$1212,$K180)&amp;IF(INDEX(Конструктор!$J$2:$J$1212,$K180)&lt;&gt;""," — "&amp;INDEX(Конструктор!$J$2:$J$1212,$K180),""))</f>
        <v/>
      </c>
      <c r="D180">
        <f>IF($K180="","",INDEX(Конструктор!$E$2:$E$1212,$K180))</f>
        <v/>
      </c>
      <c r="E180" s="10">
        <f>IF($K180="","",INDEX(Конструктор!$H$2:$H$1212,$K180))</f>
        <v/>
      </c>
      <c r="F180" s="10">
        <f>IF($K180="","",INDEX(Конструктор!$L$2:$L$1212,$K180))</f>
        <v/>
      </c>
      <c r="G180" s="10">
        <f>IF($K180="","",INDEX(Конструктор!$M$2:$M$1212,$K180))</f>
        <v/>
      </c>
      <c r="H180" s="10">
        <f>IF($K180="","",INDEX(Конструктор!$N$2:$N$1212,$K180))</f>
        <v/>
      </c>
      <c r="I180" s="10">
        <f>IF($K180="","",INDEX(Конструктор!$O$2:$O$1212,$K180))</f>
        <v/>
      </c>
      <c r="J180" s="10">
        <f>IF($K180="","",INDEX(Конструктор!$P$2:$P$1212,$K180))</f>
        <v/>
      </c>
      <c r="K180">
        <f>IFERROR(MATCH(160,Конструктор!$T$2:$T$1212,0),"")</f>
        <v/>
      </c>
      <c r="L180">
        <f>IF($K180="","","показать")</f>
        <v/>
      </c>
    </row>
    <row r="181" hidden="1">
      <c r="A181">
        <f>IF($K181="","",161)</f>
        <v/>
      </c>
      <c r="B181">
        <f>IF($K181="","",INDEX(Конструктор!$C$2:$C$1212,$K181))</f>
        <v/>
      </c>
      <c r="C181" s="8">
        <f>IF($K181="","",INDEX(Конструктор!$D$2:$D$1212,$K181)&amp;IF(INDEX(Конструктор!$J$2:$J$1212,$K181)&lt;&gt;""," — "&amp;INDEX(Конструктор!$J$2:$J$1212,$K181),""))</f>
        <v/>
      </c>
      <c r="D181">
        <f>IF($K181="","",INDEX(Конструктор!$E$2:$E$1212,$K181))</f>
        <v/>
      </c>
      <c r="E181" s="10">
        <f>IF($K181="","",INDEX(Конструктор!$H$2:$H$1212,$K181))</f>
        <v/>
      </c>
      <c r="F181" s="10">
        <f>IF($K181="","",INDEX(Конструктор!$L$2:$L$1212,$K181))</f>
        <v/>
      </c>
      <c r="G181" s="10">
        <f>IF($K181="","",INDEX(Конструктор!$M$2:$M$1212,$K181))</f>
        <v/>
      </c>
      <c r="H181" s="10">
        <f>IF($K181="","",INDEX(Конструктор!$N$2:$N$1212,$K181))</f>
        <v/>
      </c>
      <c r="I181" s="10">
        <f>IF($K181="","",INDEX(Конструктор!$O$2:$O$1212,$K181))</f>
        <v/>
      </c>
      <c r="J181" s="10">
        <f>IF($K181="","",INDEX(Конструктор!$P$2:$P$1212,$K181))</f>
        <v/>
      </c>
      <c r="K181">
        <f>IFERROR(MATCH(161,Конструктор!$T$2:$T$1212,0),"")</f>
        <v/>
      </c>
      <c r="L181">
        <f>IF($K181="","","показать")</f>
        <v/>
      </c>
    </row>
    <row r="182" hidden="1">
      <c r="A182">
        <f>IF($K182="","",162)</f>
        <v/>
      </c>
      <c r="B182">
        <f>IF($K182="","",INDEX(Конструктор!$C$2:$C$1212,$K182))</f>
        <v/>
      </c>
      <c r="C182" s="8">
        <f>IF($K182="","",INDEX(Конструктор!$D$2:$D$1212,$K182)&amp;IF(INDEX(Конструктор!$J$2:$J$1212,$K182)&lt;&gt;""," — "&amp;INDEX(Конструктор!$J$2:$J$1212,$K182),""))</f>
        <v/>
      </c>
      <c r="D182">
        <f>IF($K182="","",INDEX(Конструктор!$E$2:$E$1212,$K182))</f>
        <v/>
      </c>
      <c r="E182" s="10">
        <f>IF($K182="","",INDEX(Конструктор!$H$2:$H$1212,$K182))</f>
        <v/>
      </c>
      <c r="F182" s="10">
        <f>IF($K182="","",INDEX(Конструктор!$L$2:$L$1212,$K182))</f>
        <v/>
      </c>
      <c r="G182" s="10">
        <f>IF($K182="","",INDEX(Конструктор!$M$2:$M$1212,$K182))</f>
        <v/>
      </c>
      <c r="H182" s="10">
        <f>IF($K182="","",INDEX(Конструктор!$N$2:$N$1212,$K182))</f>
        <v/>
      </c>
      <c r="I182" s="10">
        <f>IF($K182="","",INDEX(Конструктор!$O$2:$O$1212,$K182))</f>
        <v/>
      </c>
      <c r="J182" s="10">
        <f>IF($K182="","",INDEX(Конструктор!$P$2:$P$1212,$K182))</f>
        <v/>
      </c>
      <c r="K182">
        <f>IFERROR(MATCH(162,Конструктор!$T$2:$T$1212,0),"")</f>
        <v/>
      </c>
      <c r="L182">
        <f>IF($K182="","","показать")</f>
        <v/>
      </c>
    </row>
    <row r="183" hidden="1">
      <c r="A183">
        <f>IF($K183="","",163)</f>
        <v/>
      </c>
      <c r="B183">
        <f>IF($K183="","",INDEX(Конструктор!$C$2:$C$1212,$K183))</f>
        <v/>
      </c>
      <c r="C183" s="8">
        <f>IF($K183="","",INDEX(Конструктор!$D$2:$D$1212,$K183)&amp;IF(INDEX(Конструктор!$J$2:$J$1212,$K183)&lt;&gt;""," — "&amp;INDEX(Конструктор!$J$2:$J$1212,$K183),""))</f>
        <v/>
      </c>
      <c r="D183">
        <f>IF($K183="","",INDEX(Конструктор!$E$2:$E$1212,$K183))</f>
        <v/>
      </c>
      <c r="E183" s="10">
        <f>IF($K183="","",INDEX(Конструктор!$H$2:$H$1212,$K183))</f>
        <v/>
      </c>
      <c r="F183" s="10">
        <f>IF($K183="","",INDEX(Конструктор!$L$2:$L$1212,$K183))</f>
        <v/>
      </c>
      <c r="G183" s="10">
        <f>IF($K183="","",INDEX(Конструктор!$M$2:$M$1212,$K183))</f>
        <v/>
      </c>
      <c r="H183" s="10">
        <f>IF($K183="","",INDEX(Конструктор!$N$2:$N$1212,$K183))</f>
        <v/>
      </c>
      <c r="I183" s="10">
        <f>IF($K183="","",INDEX(Конструктор!$O$2:$O$1212,$K183))</f>
        <v/>
      </c>
      <c r="J183" s="10">
        <f>IF($K183="","",INDEX(Конструктор!$P$2:$P$1212,$K183))</f>
        <v/>
      </c>
      <c r="K183">
        <f>IFERROR(MATCH(163,Конструктор!$T$2:$T$1212,0),"")</f>
        <v/>
      </c>
      <c r="L183">
        <f>IF($K183="","","показать")</f>
        <v/>
      </c>
    </row>
    <row r="184" hidden="1">
      <c r="A184">
        <f>IF($K184="","",164)</f>
        <v/>
      </c>
      <c r="B184">
        <f>IF($K184="","",INDEX(Конструктор!$C$2:$C$1212,$K184))</f>
        <v/>
      </c>
      <c r="C184" s="8">
        <f>IF($K184="","",INDEX(Конструктор!$D$2:$D$1212,$K184)&amp;IF(INDEX(Конструктор!$J$2:$J$1212,$K184)&lt;&gt;""," — "&amp;INDEX(Конструктор!$J$2:$J$1212,$K184),""))</f>
        <v/>
      </c>
      <c r="D184">
        <f>IF($K184="","",INDEX(Конструктор!$E$2:$E$1212,$K184))</f>
        <v/>
      </c>
      <c r="E184" s="10">
        <f>IF($K184="","",INDEX(Конструктор!$H$2:$H$1212,$K184))</f>
        <v/>
      </c>
      <c r="F184" s="10">
        <f>IF($K184="","",INDEX(Конструктор!$L$2:$L$1212,$K184))</f>
        <v/>
      </c>
      <c r="G184" s="10">
        <f>IF($K184="","",INDEX(Конструктор!$M$2:$M$1212,$K184))</f>
        <v/>
      </c>
      <c r="H184" s="10">
        <f>IF($K184="","",INDEX(Конструктор!$N$2:$N$1212,$K184))</f>
        <v/>
      </c>
      <c r="I184" s="10">
        <f>IF($K184="","",INDEX(Конструктор!$O$2:$O$1212,$K184))</f>
        <v/>
      </c>
      <c r="J184" s="10">
        <f>IF($K184="","",INDEX(Конструктор!$P$2:$P$1212,$K184))</f>
        <v/>
      </c>
      <c r="K184">
        <f>IFERROR(MATCH(164,Конструктор!$T$2:$T$1212,0),"")</f>
        <v/>
      </c>
      <c r="L184">
        <f>IF($K184="","","показать")</f>
        <v/>
      </c>
    </row>
    <row r="185" hidden="1">
      <c r="A185">
        <f>IF($K185="","",165)</f>
        <v/>
      </c>
      <c r="B185">
        <f>IF($K185="","",INDEX(Конструктор!$C$2:$C$1212,$K185))</f>
        <v/>
      </c>
      <c r="C185" s="8">
        <f>IF($K185="","",INDEX(Конструктор!$D$2:$D$1212,$K185)&amp;IF(INDEX(Конструктор!$J$2:$J$1212,$K185)&lt;&gt;""," — "&amp;INDEX(Конструктор!$J$2:$J$1212,$K185),""))</f>
        <v/>
      </c>
      <c r="D185">
        <f>IF($K185="","",INDEX(Конструктор!$E$2:$E$1212,$K185))</f>
        <v/>
      </c>
      <c r="E185" s="10">
        <f>IF($K185="","",INDEX(Конструктор!$H$2:$H$1212,$K185))</f>
        <v/>
      </c>
      <c r="F185" s="10">
        <f>IF($K185="","",INDEX(Конструктор!$L$2:$L$1212,$K185))</f>
        <v/>
      </c>
      <c r="G185" s="10">
        <f>IF($K185="","",INDEX(Конструктор!$M$2:$M$1212,$K185))</f>
        <v/>
      </c>
      <c r="H185" s="10">
        <f>IF($K185="","",INDEX(Конструктор!$N$2:$N$1212,$K185))</f>
        <v/>
      </c>
      <c r="I185" s="10">
        <f>IF($K185="","",INDEX(Конструктор!$O$2:$O$1212,$K185))</f>
        <v/>
      </c>
      <c r="J185" s="10">
        <f>IF($K185="","",INDEX(Конструктор!$P$2:$P$1212,$K185))</f>
        <v/>
      </c>
      <c r="K185">
        <f>IFERROR(MATCH(165,Конструктор!$T$2:$T$1212,0),"")</f>
        <v/>
      </c>
      <c r="L185">
        <f>IF($K185="","","показать")</f>
        <v/>
      </c>
    </row>
    <row r="186" hidden="1">
      <c r="A186">
        <f>IF($K186="","",166)</f>
        <v/>
      </c>
      <c r="B186">
        <f>IF($K186="","",INDEX(Конструктор!$C$2:$C$1212,$K186))</f>
        <v/>
      </c>
      <c r="C186" s="8">
        <f>IF($K186="","",INDEX(Конструктор!$D$2:$D$1212,$K186)&amp;IF(INDEX(Конструктор!$J$2:$J$1212,$K186)&lt;&gt;""," — "&amp;INDEX(Конструктор!$J$2:$J$1212,$K186),""))</f>
        <v/>
      </c>
      <c r="D186">
        <f>IF($K186="","",INDEX(Конструктор!$E$2:$E$1212,$K186))</f>
        <v/>
      </c>
      <c r="E186" s="10">
        <f>IF($K186="","",INDEX(Конструктор!$H$2:$H$1212,$K186))</f>
        <v/>
      </c>
      <c r="F186" s="10">
        <f>IF($K186="","",INDEX(Конструктор!$L$2:$L$1212,$K186))</f>
        <v/>
      </c>
      <c r="G186" s="10">
        <f>IF($K186="","",INDEX(Конструктор!$M$2:$M$1212,$K186))</f>
        <v/>
      </c>
      <c r="H186" s="10">
        <f>IF($K186="","",INDEX(Конструктор!$N$2:$N$1212,$K186))</f>
        <v/>
      </c>
      <c r="I186" s="10">
        <f>IF($K186="","",INDEX(Конструктор!$O$2:$O$1212,$K186))</f>
        <v/>
      </c>
      <c r="J186" s="10">
        <f>IF($K186="","",INDEX(Конструктор!$P$2:$P$1212,$K186))</f>
        <v/>
      </c>
      <c r="K186">
        <f>IFERROR(MATCH(166,Конструктор!$T$2:$T$1212,0),"")</f>
        <v/>
      </c>
      <c r="L186">
        <f>IF($K186="","","показать")</f>
        <v/>
      </c>
    </row>
    <row r="187" hidden="1">
      <c r="A187">
        <f>IF($K187="","",167)</f>
        <v/>
      </c>
      <c r="B187">
        <f>IF($K187="","",INDEX(Конструктор!$C$2:$C$1212,$K187))</f>
        <v/>
      </c>
      <c r="C187" s="8">
        <f>IF($K187="","",INDEX(Конструктор!$D$2:$D$1212,$K187)&amp;IF(INDEX(Конструктор!$J$2:$J$1212,$K187)&lt;&gt;""," — "&amp;INDEX(Конструктор!$J$2:$J$1212,$K187),""))</f>
        <v/>
      </c>
      <c r="D187">
        <f>IF($K187="","",INDEX(Конструктор!$E$2:$E$1212,$K187))</f>
        <v/>
      </c>
      <c r="E187" s="10">
        <f>IF($K187="","",INDEX(Конструктор!$H$2:$H$1212,$K187))</f>
        <v/>
      </c>
      <c r="F187" s="10">
        <f>IF($K187="","",INDEX(Конструктор!$L$2:$L$1212,$K187))</f>
        <v/>
      </c>
      <c r="G187" s="10">
        <f>IF($K187="","",INDEX(Конструктор!$M$2:$M$1212,$K187))</f>
        <v/>
      </c>
      <c r="H187" s="10">
        <f>IF($K187="","",INDEX(Конструктор!$N$2:$N$1212,$K187))</f>
        <v/>
      </c>
      <c r="I187" s="10">
        <f>IF($K187="","",INDEX(Конструктор!$O$2:$O$1212,$K187))</f>
        <v/>
      </c>
      <c r="J187" s="10">
        <f>IF($K187="","",INDEX(Конструктор!$P$2:$P$1212,$K187))</f>
        <v/>
      </c>
      <c r="K187">
        <f>IFERROR(MATCH(167,Конструктор!$T$2:$T$1212,0),"")</f>
        <v/>
      </c>
      <c r="L187">
        <f>IF($K187="","","показать")</f>
        <v/>
      </c>
    </row>
    <row r="188" hidden="1">
      <c r="A188">
        <f>IF($K188="","",168)</f>
        <v/>
      </c>
      <c r="B188">
        <f>IF($K188="","",INDEX(Конструктор!$C$2:$C$1212,$K188))</f>
        <v/>
      </c>
      <c r="C188" s="8">
        <f>IF($K188="","",INDEX(Конструктор!$D$2:$D$1212,$K188)&amp;IF(INDEX(Конструктор!$J$2:$J$1212,$K188)&lt;&gt;""," — "&amp;INDEX(Конструктор!$J$2:$J$1212,$K188),""))</f>
        <v/>
      </c>
      <c r="D188">
        <f>IF($K188="","",INDEX(Конструктор!$E$2:$E$1212,$K188))</f>
        <v/>
      </c>
      <c r="E188" s="10">
        <f>IF($K188="","",INDEX(Конструктор!$H$2:$H$1212,$K188))</f>
        <v/>
      </c>
      <c r="F188" s="10">
        <f>IF($K188="","",INDEX(Конструктор!$L$2:$L$1212,$K188))</f>
        <v/>
      </c>
      <c r="G188" s="10">
        <f>IF($K188="","",INDEX(Конструктор!$M$2:$M$1212,$K188))</f>
        <v/>
      </c>
      <c r="H188" s="10">
        <f>IF($K188="","",INDEX(Конструктор!$N$2:$N$1212,$K188))</f>
        <v/>
      </c>
      <c r="I188" s="10">
        <f>IF($K188="","",INDEX(Конструктор!$O$2:$O$1212,$K188))</f>
        <v/>
      </c>
      <c r="J188" s="10">
        <f>IF($K188="","",INDEX(Конструктор!$P$2:$P$1212,$K188))</f>
        <v/>
      </c>
      <c r="K188">
        <f>IFERROR(MATCH(168,Конструктор!$T$2:$T$1212,0),"")</f>
        <v/>
      </c>
      <c r="L188">
        <f>IF($K188="","","показать")</f>
        <v/>
      </c>
    </row>
    <row r="189" hidden="1">
      <c r="A189">
        <f>IF($K189="","",169)</f>
        <v/>
      </c>
      <c r="B189">
        <f>IF($K189="","",INDEX(Конструктор!$C$2:$C$1212,$K189))</f>
        <v/>
      </c>
      <c r="C189" s="8">
        <f>IF($K189="","",INDEX(Конструктор!$D$2:$D$1212,$K189)&amp;IF(INDEX(Конструктор!$J$2:$J$1212,$K189)&lt;&gt;""," — "&amp;INDEX(Конструктор!$J$2:$J$1212,$K189),""))</f>
        <v/>
      </c>
      <c r="D189">
        <f>IF($K189="","",INDEX(Конструктор!$E$2:$E$1212,$K189))</f>
        <v/>
      </c>
      <c r="E189" s="10">
        <f>IF($K189="","",INDEX(Конструктор!$H$2:$H$1212,$K189))</f>
        <v/>
      </c>
      <c r="F189" s="10">
        <f>IF($K189="","",INDEX(Конструктор!$L$2:$L$1212,$K189))</f>
        <v/>
      </c>
      <c r="G189" s="10">
        <f>IF($K189="","",INDEX(Конструктор!$M$2:$M$1212,$K189))</f>
        <v/>
      </c>
      <c r="H189" s="10">
        <f>IF($K189="","",INDEX(Конструктор!$N$2:$N$1212,$K189))</f>
        <v/>
      </c>
      <c r="I189" s="10">
        <f>IF($K189="","",INDEX(Конструктор!$O$2:$O$1212,$K189))</f>
        <v/>
      </c>
      <c r="J189" s="10">
        <f>IF($K189="","",INDEX(Конструктор!$P$2:$P$1212,$K189))</f>
        <v/>
      </c>
      <c r="K189">
        <f>IFERROR(MATCH(169,Конструктор!$T$2:$T$1212,0),"")</f>
        <v/>
      </c>
      <c r="L189">
        <f>IF($K189="","","показать")</f>
        <v/>
      </c>
    </row>
    <row r="190" hidden="1">
      <c r="A190">
        <f>IF($K190="","",170)</f>
        <v/>
      </c>
      <c r="B190">
        <f>IF($K190="","",INDEX(Конструктор!$C$2:$C$1212,$K190))</f>
        <v/>
      </c>
      <c r="C190" s="8">
        <f>IF($K190="","",INDEX(Конструктор!$D$2:$D$1212,$K190)&amp;IF(INDEX(Конструктор!$J$2:$J$1212,$K190)&lt;&gt;""," — "&amp;INDEX(Конструктор!$J$2:$J$1212,$K190),""))</f>
        <v/>
      </c>
      <c r="D190">
        <f>IF($K190="","",INDEX(Конструктор!$E$2:$E$1212,$K190))</f>
        <v/>
      </c>
      <c r="E190" s="10">
        <f>IF($K190="","",INDEX(Конструктор!$H$2:$H$1212,$K190))</f>
        <v/>
      </c>
      <c r="F190" s="10">
        <f>IF($K190="","",INDEX(Конструктор!$L$2:$L$1212,$K190))</f>
        <v/>
      </c>
      <c r="G190" s="10">
        <f>IF($K190="","",INDEX(Конструктор!$M$2:$M$1212,$K190))</f>
        <v/>
      </c>
      <c r="H190" s="10">
        <f>IF($K190="","",INDEX(Конструктор!$N$2:$N$1212,$K190))</f>
        <v/>
      </c>
      <c r="I190" s="10">
        <f>IF($K190="","",INDEX(Конструктор!$O$2:$O$1212,$K190))</f>
        <v/>
      </c>
      <c r="J190" s="10">
        <f>IF($K190="","",INDEX(Конструктор!$P$2:$P$1212,$K190))</f>
        <v/>
      </c>
      <c r="K190">
        <f>IFERROR(MATCH(170,Конструктор!$T$2:$T$1212,0),"")</f>
        <v/>
      </c>
      <c r="L190">
        <f>IF($K190="","","показать")</f>
        <v/>
      </c>
    </row>
    <row r="191" hidden="1">
      <c r="A191">
        <f>IF($K191="","",171)</f>
        <v/>
      </c>
      <c r="B191">
        <f>IF($K191="","",INDEX(Конструктор!$C$2:$C$1212,$K191))</f>
        <v/>
      </c>
      <c r="C191" s="8">
        <f>IF($K191="","",INDEX(Конструктор!$D$2:$D$1212,$K191)&amp;IF(INDEX(Конструктор!$J$2:$J$1212,$K191)&lt;&gt;""," — "&amp;INDEX(Конструктор!$J$2:$J$1212,$K191),""))</f>
        <v/>
      </c>
      <c r="D191">
        <f>IF($K191="","",INDEX(Конструктор!$E$2:$E$1212,$K191))</f>
        <v/>
      </c>
      <c r="E191" s="10">
        <f>IF($K191="","",INDEX(Конструктор!$H$2:$H$1212,$K191))</f>
        <v/>
      </c>
      <c r="F191" s="10">
        <f>IF($K191="","",INDEX(Конструктор!$L$2:$L$1212,$K191))</f>
        <v/>
      </c>
      <c r="G191" s="10">
        <f>IF($K191="","",INDEX(Конструктор!$M$2:$M$1212,$K191))</f>
        <v/>
      </c>
      <c r="H191" s="10">
        <f>IF($K191="","",INDEX(Конструктор!$N$2:$N$1212,$K191))</f>
        <v/>
      </c>
      <c r="I191" s="10">
        <f>IF($K191="","",INDEX(Конструктор!$O$2:$O$1212,$K191))</f>
        <v/>
      </c>
      <c r="J191" s="10">
        <f>IF($K191="","",INDEX(Конструктор!$P$2:$P$1212,$K191))</f>
        <v/>
      </c>
      <c r="K191">
        <f>IFERROR(MATCH(171,Конструктор!$T$2:$T$1212,0),"")</f>
        <v/>
      </c>
      <c r="L191">
        <f>IF($K191="","","показать")</f>
        <v/>
      </c>
    </row>
    <row r="192" hidden="1">
      <c r="A192">
        <f>IF($K192="","",172)</f>
        <v/>
      </c>
      <c r="B192">
        <f>IF($K192="","",INDEX(Конструктор!$C$2:$C$1212,$K192))</f>
        <v/>
      </c>
      <c r="C192" s="8">
        <f>IF($K192="","",INDEX(Конструктор!$D$2:$D$1212,$K192)&amp;IF(INDEX(Конструктор!$J$2:$J$1212,$K192)&lt;&gt;""," — "&amp;INDEX(Конструктор!$J$2:$J$1212,$K192),""))</f>
        <v/>
      </c>
      <c r="D192">
        <f>IF($K192="","",INDEX(Конструктор!$E$2:$E$1212,$K192))</f>
        <v/>
      </c>
      <c r="E192" s="10">
        <f>IF($K192="","",INDEX(Конструктор!$H$2:$H$1212,$K192))</f>
        <v/>
      </c>
      <c r="F192" s="10">
        <f>IF($K192="","",INDEX(Конструктор!$L$2:$L$1212,$K192))</f>
        <v/>
      </c>
      <c r="G192" s="10">
        <f>IF($K192="","",INDEX(Конструктор!$M$2:$M$1212,$K192))</f>
        <v/>
      </c>
      <c r="H192" s="10">
        <f>IF($K192="","",INDEX(Конструктор!$N$2:$N$1212,$K192))</f>
        <v/>
      </c>
      <c r="I192" s="10">
        <f>IF($K192="","",INDEX(Конструктор!$O$2:$O$1212,$K192))</f>
        <v/>
      </c>
      <c r="J192" s="10">
        <f>IF($K192="","",INDEX(Конструктор!$P$2:$P$1212,$K192))</f>
        <v/>
      </c>
      <c r="K192">
        <f>IFERROR(MATCH(172,Конструктор!$T$2:$T$1212,0),"")</f>
        <v/>
      </c>
      <c r="L192">
        <f>IF($K192="","","показать")</f>
        <v/>
      </c>
    </row>
    <row r="193" hidden="1">
      <c r="A193">
        <f>IF($K193="","",173)</f>
        <v/>
      </c>
      <c r="B193">
        <f>IF($K193="","",INDEX(Конструктор!$C$2:$C$1212,$K193))</f>
        <v/>
      </c>
      <c r="C193" s="8">
        <f>IF($K193="","",INDEX(Конструктор!$D$2:$D$1212,$K193)&amp;IF(INDEX(Конструктор!$J$2:$J$1212,$K193)&lt;&gt;""," — "&amp;INDEX(Конструктор!$J$2:$J$1212,$K193),""))</f>
        <v/>
      </c>
      <c r="D193">
        <f>IF($K193="","",INDEX(Конструктор!$E$2:$E$1212,$K193))</f>
        <v/>
      </c>
      <c r="E193" s="10">
        <f>IF($K193="","",INDEX(Конструктор!$H$2:$H$1212,$K193))</f>
        <v/>
      </c>
      <c r="F193" s="10">
        <f>IF($K193="","",INDEX(Конструктор!$L$2:$L$1212,$K193))</f>
        <v/>
      </c>
      <c r="G193" s="10">
        <f>IF($K193="","",INDEX(Конструктор!$M$2:$M$1212,$K193))</f>
        <v/>
      </c>
      <c r="H193" s="10">
        <f>IF($K193="","",INDEX(Конструктор!$N$2:$N$1212,$K193))</f>
        <v/>
      </c>
      <c r="I193" s="10">
        <f>IF($K193="","",INDEX(Конструктор!$O$2:$O$1212,$K193))</f>
        <v/>
      </c>
      <c r="J193" s="10">
        <f>IF($K193="","",INDEX(Конструктор!$P$2:$P$1212,$K193))</f>
        <v/>
      </c>
      <c r="K193">
        <f>IFERROR(MATCH(173,Конструктор!$T$2:$T$1212,0),"")</f>
        <v/>
      </c>
      <c r="L193">
        <f>IF($K193="","","показать")</f>
        <v/>
      </c>
    </row>
    <row r="194" hidden="1">
      <c r="A194">
        <f>IF($K194="","",174)</f>
        <v/>
      </c>
      <c r="B194">
        <f>IF($K194="","",INDEX(Конструктор!$C$2:$C$1212,$K194))</f>
        <v/>
      </c>
      <c r="C194" s="8">
        <f>IF($K194="","",INDEX(Конструктор!$D$2:$D$1212,$K194)&amp;IF(INDEX(Конструктор!$J$2:$J$1212,$K194)&lt;&gt;""," — "&amp;INDEX(Конструктор!$J$2:$J$1212,$K194),""))</f>
        <v/>
      </c>
      <c r="D194">
        <f>IF($K194="","",INDEX(Конструктор!$E$2:$E$1212,$K194))</f>
        <v/>
      </c>
      <c r="E194" s="10">
        <f>IF($K194="","",INDEX(Конструктор!$H$2:$H$1212,$K194))</f>
        <v/>
      </c>
      <c r="F194" s="10">
        <f>IF($K194="","",INDEX(Конструктор!$L$2:$L$1212,$K194))</f>
        <v/>
      </c>
      <c r="G194" s="10">
        <f>IF($K194="","",INDEX(Конструктор!$M$2:$M$1212,$K194))</f>
        <v/>
      </c>
      <c r="H194" s="10">
        <f>IF($K194="","",INDEX(Конструктор!$N$2:$N$1212,$K194))</f>
        <v/>
      </c>
      <c r="I194" s="10">
        <f>IF($K194="","",INDEX(Конструктор!$O$2:$O$1212,$K194))</f>
        <v/>
      </c>
      <c r="J194" s="10">
        <f>IF($K194="","",INDEX(Конструктор!$P$2:$P$1212,$K194))</f>
        <v/>
      </c>
      <c r="K194">
        <f>IFERROR(MATCH(174,Конструктор!$T$2:$T$1212,0),"")</f>
        <v/>
      </c>
      <c r="L194">
        <f>IF($K194="","","показать")</f>
        <v/>
      </c>
    </row>
    <row r="195" hidden="1">
      <c r="A195">
        <f>IF($K195="","",175)</f>
        <v/>
      </c>
      <c r="B195">
        <f>IF($K195="","",INDEX(Конструктор!$C$2:$C$1212,$K195))</f>
        <v/>
      </c>
      <c r="C195" s="8">
        <f>IF($K195="","",INDEX(Конструктор!$D$2:$D$1212,$K195)&amp;IF(INDEX(Конструктор!$J$2:$J$1212,$K195)&lt;&gt;""," — "&amp;INDEX(Конструктор!$J$2:$J$1212,$K195),""))</f>
        <v/>
      </c>
      <c r="D195">
        <f>IF($K195="","",INDEX(Конструктор!$E$2:$E$1212,$K195))</f>
        <v/>
      </c>
      <c r="E195" s="10">
        <f>IF($K195="","",INDEX(Конструктор!$H$2:$H$1212,$K195))</f>
        <v/>
      </c>
      <c r="F195" s="10">
        <f>IF($K195="","",INDEX(Конструктор!$L$2:$L$1212,$K195))</f>
        <v/>
      </c>
      <c r="G195" s="10">
        <f>IF($K195="","",INDEX(Конструктор!$M$2:$M$1212,$K195))</f>
        <v/>
      </c>
      <c r="H195" s="10">
        <f>IF($K195="","",INDEX(Конструктор!$N$2:$N$1212,$K195))</f>
        <v/>
      </c>
      <c r="I195" s="10">
        <f>IF($K195="","",INDEX(Конструктор!$O$2:$O$1212,$K195))</f>
        <v/>
      </c>
      <c r="J195" s="10">
        <f>IF($K195="","",INDEX(Конструктор!$P$2:$P$1212,$K195))</f>
        <v/>
      </c>
      <c r="K195">
        <f>IFERROR(MATCH(175,Конструктор!$T$2:$T$1212,0),"")</f>
        <v/>
      </c>
      <c r="L195">
        <f>IF($K195="","","показать")</f>
        <v/>
      </c>
    </row>
    <row r="196" hidden="1">
      <c r="A196">
        <f>IF($K196="","",176)</f>
        <v/>
      </c>
      <c r="B196">
        <f>IF($K196="","",INDEX(Конструктор!$C$2:$C$1212,$K196))</f>
        <v/>
      </c>
      <c r="C196" s="8">
        <f>IF($K196="","",INDEX(Конструктор!$D$2:$D$1212,$K196)&amp;IF(INDEX(Конструктор!$J$2:$J$1212,$K196)&lt;&gt;""," — "&amp;INDEX(Конструктор!$J$2:$J$1212,$K196),""))</f>
        <v/>
      </c>
      <c r="D196">
        <f>IF($K196="","",INDEX(Конструктор!$E$2:$E$1212,$K196))</f>
        <v/>
      </c>
      <c r="E196" s="10">
        <f>IF($K196="","",INDEX(Конструктор!$H$2:$H$1212,$K196))</f>
        <v/>
      </c>
      <c r="F196" s="10">
        <f>IF($K196="","",INDEX(Конструктор!$L$2:$L$1212,$K196))</f>
        <v/>
      </c>
      <c r="G196" s="10">
        <f>IF($K196="","",INDEX(Конструктор!$M$2:$M$1212,$K196))</f>
        <v/>
      </c>
      <c r="H196" s="10">
        <f>IF($K196="","",INDEX(Конструктор!$N$2:$N$1212,$K196))</f>
        <v/>
      </c>
      <c r="I196" s="10">
        <f>IF($K196="","",INDEX(Конструктор!$O$2:$O$1212,$K196))</f>
        <v/>
      </c>
      <c r="J196" s="10">
        <f>IF($K196="","",INDEX(Конструктор!$P$2:$P$1212,$K196))</f>
        <v/>
      </c>
      <c r="K196">
        <f>IFERROR(MATCH(176,Конструктор!$T$2:$T$1212,0),"")</f>
        <v/>
      </c>
      <c r="L196">
        <f>IF($K196="","","показать")</f>
        <v/>
      </c>
    </row>
    <row r="197" hidden="1">
      <c r="A197">
        <f>IF($K197="","",177)</f>
        <v/>
      </c>
      <c r="B197">
        <f>IF($K197="","",INDEX(Конструктор!$C$2:$C$1212,$K197))</f>
        <v/>
      </c>
      <c r="C197" s="8">
        <f>IF($K197="","",INDEX(Конструктор!$D$2:$D$1212,$K197)&amp;IF(INDEX(Конструктор!$J$2:$J$1212,$K197)&lt;&gt;""," — "&amp;INDEX(Конструктор!$J$2:$J$1212,$K197),""))</f>
        <v/>
      </c>
      <c r="D197">
        <f>IF($K197="","",INDEX(Конструктор!$E$2:$E$1212,$K197))</f>
        <v/>
      </c>
      <c r="E197" s="10">
        <f>IF($K197="","",INDEX(Конструктор!$H$2:$H$1212,$K197))</f>
        <v/>
      </c>
      <c r="F197" s="10">
        <f>IF($K197="","",INDEX(Конструктор!$L$2:$L$1212,$K197))</f>
        <v/>
      </c>
      <c r="G197" s="10">
        <f>IF($K197="","",INDEX(Конструктор!$M$2:$M$1212,$K197))</f>
        <v/>
      </c>
      <c r="H197" s="10">
        <f>IF($K197="","",INDEX(Конструктор!$N$2:$N$1212,$K197))</f>
        <v/>
      </c>
      <c r="I197" s="10">
        <f>IF($K197="","",INDEX(Конструктор!$O$2:$O$1212,$K197))</f>
        <v/>
      </c>
      <c r="J197" s="10">
        <f>IF($K197="","",INDEX(Конструктор!$P$2:$P$1212,$K197))</f>
        <v/>
      </c>
      <c r="K197">
        <f>IFERROR(MATCH(177,Конструктор!$T$2:$T$1212,0),"")</f>
        <v/>
      </c>
      <c r="L197">
        <f>IF($K197="","","показать")</f>
        <v/>
      </c>
    </row>
    <row r="198" hidden="1">
      <c r="A198">
        <f>IF($K198="","",178)</f>
        <v/>
      </c>
      <c r="B198">
        <f>IF($K198="","",INDEX(Конструктор!$C$2:$C$1212,$K198))</f>
        <v/>
      </c>
      <c r="C198" s="8">
        <f>IF($K198="","",INDEX(Конструктор!$D$2:$D$1212,$K198)&amp;IF(INDEX(Конструктор!$J$2:$J$1212,$K198)&lt;&gt;""," — "&amp;INDEX(Конструктор!$J$2:$J$1212,$K198),""))</f>
        <v/>
      </c>
      <c r="D198">
        <f>IF($K198="","",INDEX(Конструктор!$E$2:$E$1212,$K198))</f>
        <v/>
      </c>
      <c r="E198" s="10">
        <f>IF($K198="","",INDEX(Конструктор!$H$2:$H$1212,$K198))</f>
        <v/>
      </c>
      <c r="F198" s="10">
        <f>IF($K198="","",INDEX(Конструктор!$L$2:$L$1212,$K198))</f>
        <v/>
      </c>
      <c r="G198" s="10">
        <f>IF($K198="","",INDEX(Конструктор!$M$2:$M$1212,$K198))</f>
        <v/>
      </c>
      <c r="H198" s="10">
        <f>IF($K198="","",INDEX(Конструктор!$N$2:$N$1212,$K198))</f>
        <v/>
      </c>
      <c r="I198" s="10">
        <f>IF($K198="","",INDEX(Конструктор!$O$2:$O$1212,$K198))</f>
        <v/>
      </c>
      <c r="J198" s="10">
        <f>IF($K198="","",INDEX(Конструктор!$P$2:$P$1212,$K198))</f>
        <v/>
      </c>
      <c r="K198">
        <f>IFERROR(MATCH(178,Конструктор!$T$2:$T$1212,0),"")</f>
        <v/>
      </c>
      <c r="L198">
        <f>IF($K198="","","показать")</f>
        <v/>
      </c>
    </row>
    <row r="199" hidden="1">
      <c r="A199">
        <f>IF($K199="","",179)</f>
        <v/>
      </c>
      <c r="B199">
        <f>IF($K199="","",INDEX(Конструктор!$C$2:$C$1212,$K199))</f>
        <v/>
      </c>
      <c r="C199" s="8">
        <f>IF($K199="","",INDEX(Конструктор!$D$2:$D$1212,$K199)&amp;IF(INDEX(Конструктор!$J$2:$J$1212,$K199)&lt;&gt;""," — "&amp;INDEX(Конструктор!$J$2:$J$1212,$K199),""))</f>
        <v/>
      </c>
      <c r="D199">
        <f>IF($K199="","",INDEX(Конструктор!$E$2:$E$1212,$K199))</f>
        <v/>
      </c>
      <c r="E199" s="10">
        <f>IF($K199="","",INDEX(Конструктор!$H$2:$H$1212,$K199))</f>
        <v/>
      </c>
      <c r="F199" s="10">
        <f>IF($K199="","",INDEX(Конструктор!$L$2:$L$1212,$K199))</f>
        <v/>
      </c>
      <c r="G199" s="10">
        <f>IF($K199="","",INDEX(Конструктор!$M$2:$M$1212,$K199))</f>
        <v/>
      </c>
      <c r="H199" s="10">
        <f>IF($K199="","",INDEX(Конструктор!$N$2:$N$1212,$K199))</f>
        <v/>
      </c>
      <c r="I199" s="10">
        <f>IF($K199="","",INDEX(Конструктор!$O$2:$O$1212,$K199))</f>
        <v/>
      </c>
      <c r="J199" s="10">
        <f>IF($K199="","",INDEX(Конструктор!$P$2:$P$1212,$K199))</f>
        <v/>
      </c>
      <c r="K199">
        <f>IFERROR(MATCH(179,Конструктор!$T$2:$T$1212,0),"")</f>
        <v/>
      </c>
      <c r="L199">
        <f>IF($K199="","","показать")</f>
        <v/>
      </c>
    </row>
    <row r="200" hidden="1">
      <c r="A200">
        <f>IF($K200="","",180)</f>
        <v/>
      </c>
      <c r="B200">
        <f>IF($K200="","",INDEX(Конструктор!$C$2:$C$1212,$K200))</f>
        <v/>
      </c>
      <c r="C200" s="8">
        <f>IF($K200="","",INDEX(Конструктор!$D$2:$D$1212,$K200)&amp;IF(INDEX(Конструктор!$J$2:$J$1212,$K200)&lt;&gt;""," — "&amp;INDEX(Конструктор!$J$2:$J$1212,$K200),""))</f>
        <v/>
      </c>
      <c r="D200">
        <f>IF($K200="","",INDEX(Конструктор!$E$2:$E$1212,$K200))</f>
        <v/>
      </c>
      <c r="E200" s="10">
        <f>IF($K200="","",INDEX(Конструктор!$H$2:$H$1212,$K200))</f>
        <v/>
      </c>
      <c r="F200" s="10">
        <f>IF($K200="","",INDEX(Конструктор!$L$2:$L$1212,$K200))</f>
        <v/>
      </c>
      <c r="G200" s="10">
        <f>IF($K200="","",INDEX(Конструктор!$M$2:$M$1212,$K200))</f>
        <v/>
      </c>
      <c r="H200" s="10">
        <f>IF($K200="","",INDEX(Конструктор!$N$2:$N$1212,$K200))</f>
        <v/>
      </c>
      <c r="I200" s="10">
        <f>IF($K200="","",INDEX(Конструктор!$O$2:$O$1212,$K200))</f>
        <v/>
      </c>
      <c r="J200" s="10">
        <f>IF($K200="","",INDEX(Конструктор!$P$2:$P$1212,$K200))</f>
        <v/>
      </c>
      <c r="K200">
        <f>IFERROR(MATCH(180,Конструктор!$T$2:$T$1212,0),"")</f>
        <v/>
      </c>
      <c r="L200">
        <f>IF($K200="","","показать")</f>
        <v/>
      </c>
    </row>
    <row r="201" hidden="1">
      <c r="A201">
        <f>IF($K201="","",181)</f>
        <v/>
      </c>
      <c r="B201">
        <f>IF($K201="","",INDEX(Конструктор!$C$2:$C$1212,$K201))</f>
        <v/>
      </c>
      <c r="C201" s="8">
        <f>IF($K201="","",INDEX(Конструктор!$D$2:$D$1212,$K201)&amp;IF(INDEX(Конструктор!$J$2:$J$1212,$K201)&lt;&gt;""," — "&amp;INDEX(Конструктор!$J$2:$J$1212,$K201),""))</f>
        <v/>
      </c>
      <c r="D201">
        <f>IF($K201="","",INDEX(Конструктор!$E$2:$E$1212,$K201))</f>
        <v/>
      </c>
      <c r="E201" s="10">
        <f>IF($K201="","",INDEX(Конструктор!$H$2:$H$1212,$K201))</f>
        <v/>
      </c>
      <c r="F201" s="10">
        <f>IF($K201="","",INDEX(Конструктор!$L$2:$L$1212,$K201))</f>
        <v/>
      </c>
      <c r="G201" s="10">
        <f>IF($K201="","",INDEX(Конструктор!$M$2:$M$1212,$K201))</f>
        <v/>
      </c>
      <c r="H201" s="10">
        <f>IF($K201="","",INDEX(Конструктор!$N$2:$N$1212,$K201))</f>
        <v/>
      </c>
      <c r="I201" s="10">
        <f>IF($K201="","",INDEX(Конструктор!$O$2:$O$1212,$K201))</f>
        <v/>
      </c>
      <c r="J201" s="10">
        <f>IF($K201="","",INDEX(Конструктор!$P$2:$P$1212,$K201))</f>
        <v/>
      </c>
      <c r="K201">
        <f>IFERROR(MATCH(181,Конструктор!$T$2:$T$1212,0),"")</f>
        <v/>
      </c>
      <c r="L201">
        <f>IF($K201="","","показать")</f>
        <v/>
      </c>
    </row>
    <row r="202" hidden="1">
      <c r="A202">
        <f>IF($K202="","",182)</f>
        <v/>
      </c>
      <c r="B202">
        <f>IF($K202="","",INDEX(Конструктор!$C$2:$C$1212,$K202))</f>
        <v/>
      </c>
      <c r="C202" s="8">
        <f>IF($K202="","",INDEX(Конструктор!$D$2:$D$1212,$K202)&amp;IF(INDEX(Конструктор!$J$2:$J$1212,$K202)&lt;&gt;""," — "&amp;INDEX(Конструктор!$J$2:$J$1212,$K202),""))</f>
        <v/>
      </c>
      <c r="D202">
        <f>IF($K202="","",INDEX(Конструктор!$E$2:$E$1212,$K202))</f>
        <v/>
      </c>
      <c r="E202" s="10">
        <f>IF($K202="","",INDEX(Конструктор!$H$2:$H$1212,$K202))</f>
        <v/>
      </c>
      <c r="F202" s="10">
        <f>IF($K202="","",INDEX(Конструктор!$L$2:$L$1212,$K202))</f>
        <v/>
      </c>
      <c r="G202" s="10">
        <f>IF($K202="","",INDEX(Конструктор!$M$2:$M$1212,$K202))</f>
        <v/>
      </c>
      <c r="H202" s="10">
        <f>IF($K202="","",INDEX(Конструктор!$N$2:$N$1212,$K202))</f>
        <v/>
      </c>
      <c r="I202" s="10">
        <f>IF($K202="","",INDEX(Конструктор!$O$2:$O$1212,$K202))</f>
        <v/>
      </c>
      <c r="J202" s="10">
        <f>IF($K202="","",INDEX(Конструктор!$P$2:$P$1212,$K202))</f>
        <v/>
      </c>
      <c r="K202">
        <f>IFERROR(MATCH(182,Конструктор!$T$2:$T$1212,0),"")</f>
        <v/>
      </c>
      <c r="L202">
        <f>IF($K202="","","показать")</f>
        <v/>
      </c>
    </row>
    <row r="203" hidden="1">
      <c r="A203">
        <f>IF($K203="","",183)</f>
        <v/>
      </c>
      <c r="B203">
        <f>IF($K203="","",INDEX(Конструктор!$C$2:$C$1212,$K203))</f>
        <v/>
      </c>
      <c r="C203" s="8">
        <f>IF($K203="","",INDEX(Конструктор!$D$2:$D$1212,$K203)&amp;IF(INDEX(Конструктор!$J$2:$J$1212,$K203)&lt;&gt;""," — "&amp;INDEX(Конструктор!$J$2:$J$1212,$K203),""))</f>
        <v/>
      </c>
      <c r="D203">
        <f>IF($K203="","",INDEX(Конструктор!$E$2:$E$1212,$K203))</f>
        <v/>
      </c>
      <c r="E203" s="10">
        <f>IF($K203="","",INDEX(Конструктор!$H$2:$H$1212,$K203))</f>
        <v/>
      </c>
      <c r="F203" s="10">
        <f>IF($K203="","",INDEX(Конструктор!$L$2:$L$1212,$K203))</f>
        <v/>
      </c>
      <c r="G203" s="10">
        <f>IF($K203="","",INDEX(Конструктор!$M$2:$M$1212,$K203))</f>
        <v/>
      </c>
      <c r="H203" s="10">
        <f>IF($K203="","",INDEX(Конструктор!$N$2:$N$1212,$K203))</f>
        <v/>
      </c>
      <c r="I203" s="10">
        <f>IF($K203="","",INDEX(Конструктор!$O$2:$O$1212,$K203))</f>
        <v/>
      </c>
      <c r="J203" s="10">
        <f>IF($K203="","",INDEX(Конструктор!$P$2:$P$1212,$K203))</f>
        <v/>
      </c>
      <c r="K203">
        <f>IFERROR(MATCH(183,Конструктор!$T$2:$T$1212,0),"")</f>
        <v/>
      </c>
      <c r="L203">
        <f>IF($K203="","","показать")</f>
        <v/>
      </c>
    </row>
    <row r="204" hidden="1">
      <c r="A204">
        <f>IF($K204="","",184)</f>
        <v/>
      </c>
      <c r="B204">
        <f>IF($K204="","",INDEX(Конструктор!$C$2:$C$1212,$K204))</f>
        <v/>
      </c>
      <c r="C204" s="8">
        <f>IF($K204="","",INDEX(Конструктор!$D$2:$D$1212,$K204)&amp;IF(INDEX(Конструктор!$J$2:$J$1212,$K204)&lt;&gt;""," — "&amp;INDEX(Конструктор!$J$2:$J$1212,$K204),""))</f>
        <v/>
      </c>
      <c r="D204">
        <f>IF($K204="","",INDEX(Конструктор!$E$2:$E$1212,$K204))</f>
        <v/>
      </c>
      <c r="E204" s="10">
        <f>IF($K204="","",INDEX(Конструктор!$H$2:$H$1212,$K204))</f>
        <v/>
      </c>
      <c r="F204" s="10">
        <f>IF($K204="","",INDEX(Конструктор!$L$2:$L$1212,$K204))</f>
        <v/>
      </c>
      <c r="G204" s="10">
        <f>IF($K204="","",INDEX(Конструктор!$M$2:$M$1212,$K204))</f>
        <v/>
      </c>
      <c r="H204" s="10">
        <f>IF($K204="","",INDEX(Конструктор!$N$2:$N$1212,$K204))</f>
        <v/>
      </c>
      <c r="I204" s="10">
        <f>IF($K204="","",INDEX(Конструктор!$O$2:$O$1212,$K204))</f>
        <v/>
      </c>
      <c r="J204" s="10">
        <f>IF($K204="","",INDEX(Конструктор!$P$2:$P$1212,$K204))</f>
        <v/>
      </c>
      <c r="K204">
        <f>IFERROR(MATCH(184,Конструктор!$T$2:$T$1212,0),"")</f>
        <v/>
      </c>
      <c r="L204">
        <f>IF($K204="","","показать")</f>
        <v/>
      </c>
    </row>
    <row r="205" hidden="1">
      <c r="A205">
        <f>IF($K205="","",185)</f>
        <v/>
      </c>
      <c r="B205">
        <f>IF($K205="","",INDEX(Конструктор!$C$2:$C$1212,$K205))</f>
        <v/>
      </c>
      <c r="C205" s="8">
        <f>IF($K205="","",INDEX(Конструктор!$D$2:$D$1212,$K205)&amp;IF(INDEX(Конструктор!$J$2:$J$1212,$K205)&lt;&gt;""," — "&amp;INDEX(Конструктор!$J$2:$J$1212,$K205),""))</f>
        <v/>
      </c>
      <c r="D205">
        <f>IF($K205="","",INDEX(Конструктор!$E$2:$E$1212,$K205))</f>
        <v/>
      </c>
      <c r="E205" s="10">
        <f>IF($K205="","",INDEX(Конструктор!$H$2:$H$1212,$K205))</f>
        <v/>
      </c>
      <c r="F205" s="10">
        <f>IF($K205="","",INDEX(Конструктор!$L$2:$L$1212,$K205))</f>
        <v/>
      </c>
      <c r="G205" s="10">
        <f>IF($K205="","",INDEX(Конструктор!$M$2:$M$1212,$K205))</f>
        <v/>
      </c>
      <c r="H205" s="10">
        <f>IF($K205="","",INDEX(Конструктор!$N$2:$N$1212,$K205))</f>
        <v/>
      </c>
      <c r="I205" s="10">
        <f>IF($K205="","",INDEX(Конструктор!$O$2:$O$1212,$K205))</f>
        <v/>
      </c>
      <c r="J205" s="10">
        <f>IF($K205="","",INDEX(Конструктор!$P$2:$P$1212,$K205))</f>
        <v/>
      </c>
      <c r="K205">
        <f>IFERROR(MATCH(185,Конструктор!$T$2:$T$1212,0),"")</f>
        <v/>
      </c>
      <c r="L205">
        <f>IF($K205="","","показать")</f>
        <v/>
      </c>
    </row>
    <row r="206" hidden="1">
      <c r="A206">
        <f>IF($K206="","",186)</f>
        <v/>
      </c>
      <c r="B206">
        <f>IF($K206="","",INDEX(Конструктор!$C$2:$C$1212,$K206))</f>
        <v/>
      </c>
      <c r="C206" s="8">
        <f>IF($K206="","",INDEX(Конструктор!$D$2:$D$1212,$K206)&amp;IF(INDEX(Конструктор!$J$2:$J$1212,$K206)&lt;&gt;""," — "&amp;INDEX(Конструктор!$J$2:$J$1212,$K206),""))</f>
        <v/>
      </c>
      <c r="D206">
        <f>IF($K206="","",INDEX(Конструктор!$E$2:$E$1212,$K206))</f>
        <v/>
      </c>
      <c r="E206" s="10">
        <f>IF($K206="","",INDEX(Конструктор!$H$2:$H$1212,$K206))</f>
        <v/>
      </c>
      <c r="F206" s="10">
        <f>IF($K206="","",INDEX(Конструктор!$L$2:$L$1212,$K206))</f>
        <v/>
      </c>
      <c r="G206" s="10">
        <f>IF($K206="","",INDEX(Конструктор!$M$2:$M$1212,$K206))</f>
        <v/>
      </c>
      <c r="H206" s="10">
        <f>IF($K206="","",INDEX(Конструктор!$N$2:$N$1212,$K206))</f>
        <v/>
      </c>
      <c r="I206" s="10">
        <f>IF($K206="","",INDEX(Конструктор!$O$2:$O$1212,$K206))</f>
        <v/>
      </c>
      <c r="J206" s="10">
        <f>IF($K206="","",INDEX(Конструктор!$P$2:$P$1212,$K206))</f>
        <v/>
      </c>
      <c r="K206">
        <f>IFERROR(MATCH(186,Конструктор!$T$2:$T$1212,0),"")</f>
        <v/>
      </c>
      <c r="L206">
        <f>IF($K206="","","показать")</f>
        <v/>
      </c>
    </row>
    <row r="207" hidden="1">
      <c r="A207">
        <f>IF($K207="","",187)</f>
        <v/>
      </c>
      <c r="B207">
        <f>IF($K207="","",INDEX(Конструктор!$C$2:$C$1212,$K207))</f>
        <v/>
      </c>
      <c r="C207" s="8">
        <f>IF($K207="","",INDEX(Конструктор!$D$2:$D$1212,$K207)&amp;IF(INDEX(Конструктор!$J$2:$J$1212,$K207)&lt;&gt;""," — "&amp;INDEX(Конструктор!$J$2:$J$1212,$K207),""))</f>
        <v/>
      </c>
      <c r="D207">
        <f>IF($K207="","",INDEX(Конструктор!$E$2:$E$1212,$K207))</f>
        <v/>
      </c>
      <c r="E207" s="10">
        <f>IF($K207="","",INDEX(Конструктор!$H$2:$H$1212,$K207))</f>
        <v/>
      </c>
      <c r="F207" s="10">
        <f>IF($K207="","",INDEX(Конструктор!$L$2:$L$1212,$K207))</f>
        <v/>
      </c>
      <c r="G207" s="10">
        <f>IF($K207="","",INDEX(Конструктор!$M$2:$M$1212,$K207))</f>
        <v/>
      </c>
      <c r="H207" s="10">
        <f>IF($K207="","",INDEX(Конструктор!$N$2:$N$1212,$K207))</f>
        <v/>
      </c>
      <c r="I207" s="10">
        <f>IF($K207="","",INDEX(Конструктор!$O$2:$O$1212,$K207))</f>
        <v/>
      </c>
      <c r="J207" s="10">
        <f>IF($K207="","",INDEX(Конструктор!$P$2:$P$1212,$K207))</f>
        <v/>
      </c>
      <c r="K207">
        <f>IFERROR(MATCH(187,Конструктор!$T$2:$T$1212,0),"")</f>
        <v/>
      </c>
      <c r="L207">
        <f>IF($K207="","","показать")</f>
        <v/>
      </c>
    </row>
    <row r="208" hidden="1">
      <c r="A208">
        <f>IF($K208="","",188)</f>
        <v/>
      </c>
      <c r="B208">
        <f>IF($K208="","",INDEX(Конструктор!$C$2:$C$1212,$K208))</f>
        <v/>
      </c>
      <c r="C208" s="8">
        <f>IF($K208="","",INDEX(Конструктор!$D$2:$D$1212,$K208)&amp;IF(INDEX(Конструктор!$J$2:$J$1212,$K208)&lt;&gt;""," — "&amp;INDEX(Конструктор!$J$2:$J$1212,$K208),""))</f>
        <v/>
      </c>
      <c r="D208">
        <f>IF($K208="","",INDEX(Конструктор!$E$2:$E$1212,$K208))</f>
        <v/>
      </c>
      <c r="E208" s="10">
        <f>IF($K208="","",INDEX(Конструктор!$H$2:$H$1212,$K208))</f>
        <v/>
      </c>
      <c r="F208" s="10">
        <f>IF($K208="","",INDEX(Конструктор!$L$2:$L$1212,$K208))</f>
        <v/>
      </c>
      <c r="G208" s="10">
        <f>IF($K208="","",INDEX(Конструктор!$M$2:$M$1212,$K208))</f>
        <v/>
      </c>
      <c r="H208" s="10">
        <f>IF($K208="","",INDEX(Конструктор!$N$2:$N$1212,$K208))</f>
        <v/>
      </c>
      <c r="I208" s="10">
        <f>IF($K208="","",INDEX(Конструктор!$O$2:$O$1212,$K208))</f>
        <v/>
      </c>
      <c r="J208" s="10">
        <f>IF($K208="","",INDEX(Конструктор!$P$2:$P$1212,$K208))</f>
        <v/>
      </c>
      <c r="K208">
        <f>IFERROR(MATCH(188,Конструктор!$T$2:$T$1212,0),"")</f>
        <v/>
      </c>
      <c r="L208">
        <f>IF($K208="","","показать")</f>
        <v/>
      </c>
    </row>
    <row r="209" hidden="1">
      <c r="A209">
        <f>IF($K209="","",189)</f>
        <v/>
      </c>
      <c r="B209">
        <f>IF($K209="","",INDEX(Конструктор!$C$2:$C$1212,$K209))</f>
        <v/>
      </c>
      <c r="C209" s="8">
        <f>IF($K209="","",INDEX(Конструктор!$D$2:$D$1212,$K209)&amp;IF(INDEX(Конструктор!$J$2:$J$1212,$K209)&lt;&gt;""," — "&amp;INDEX(Конструктор!$J$2:$J$1212,$K209),""))</f>
        <v/>
      </c>
      <c r="D209">
        <f>IF($K209="","",INDEX(Конструктор!$E$2:$E$1212,$K209))</f>
        <v/>
      </c>
      <c r="E209" s="10">
        <f>IF($K209="","",INDEX(Конструктор!$H$2:$H$1212,$K209))</f>
        <v/>
      </c>
      <c r="F209" s="10">
        <f>IF($K209="","",INDEX(Конструктор!$L$2:$L$1212,$K209))</f>
        <v/>
      </c>
      <c r="G209" s="10">
        <f>IF($K209="","",INDEX(Конструктор!$M$2:$M$1212,$K209))</f>
        <v/>
      </c>
      <c r="H209" s="10">
        <f>IF($K209="","",INDEX(Конструктор!$N$2:$N$1212,$K209))</f>
        <v/>
      </c>
      <c r="I209" s="10">
        <f>IF($K209="","",INDEX(Конструктор!$O$2:$O$1212,$K209))</f>
        <v/>
      </c>
      <c r="J209" s="10">
        <f>IF($K209="","",INDEX(Конструктор!$P$2:$P$1212,$K209))</f>
        <v/>
      </c>
      <c r="K209">
        <f>IFERROR(MATCH(189,Конструктор!$T$2:$T$1212,0),"")</f>
        <v/>
      </c>
      <c r="L209">
        <f>IF($K209="","","показать")</f>
        <v/>
      </c>
    </row>
    <row r="210" hidden="1">
      <c r="A210">
        <f>IF($K210="","",190)</f>
        <v/>
      </c>
      <c r="B210">
        <f>IF($K210="","",INDEX(Конструктор!$C$2:$C$1212,$K210))</f>
        <v/>
      </c>
      <c r="C210" s="8">
        <f>IF($K210="","",INDEX(Конструктор!$D$2:$D$1212,$K210)&amp;IF(INDEX(Конструктор!$J$2:$J$1212,$K210)&lt;&gt;""," — "&amp;INDEX(Конструктор!$J$2:$J$1212,$K210),""))</f>
        <v/>
      </c>
      <c r="D210">
        <f>IF($K210="","",INDEX(Конструктор!$E$2:$E$1212,$K210))</f>
        <v/>
      </c>
      <c r="E210" s="10">
        <f>IF($K210="","",INDEX(Конструктор!$H$2:$H$1212,$K210))</f>
        <v/>
      </c>
      <c r="F210" s="10">
        <f>IF($K210="","",INDEX(Конструктор!$L$2:$L$1212,$K210))</f>
        <v/>
      </c>
      <c r="G210" s="10">
        <f>IF($K210="","",INDEX(Конструктор!$M$2:$M$1212,$K210))</f>
        <v/>
      </c>
      <c r="H210" s="10">
        <f>IF($K210="","",INDEX(Конструктор!$N$2:$N$1212,$K210))</f>
        <v/>
      </c>
      <c r="I210" s="10">
        <f>IF($K210="","",INDEX(Конструктор!$O$2:$O$1212,$K210))</f>
        <v/>
      </c>
      <c r="J210" s="10">
        <f>IF($K210="","",INDEX(Конструктор!$P$2:$P$1212,$K210))</f>
        <v/>
      </c>
      <c r="K210">
        <f>IFERROR(MATCH(190,Конструктор!$T$2:$T$1212,0),"")</f>
        <v/>
      </c>
      <c r="L210">
        <f>IF($K210="","","показать")</f>
        <v/>
      </c>
    </row>
    <row r="211" hidden="1">
      <c r="A211">
        <f>IF($K211="","",191)</f>
        <v/>
      </c>
      <c r="B211">
        <f>IF($K211="","",INDEX(Конструктор!$C$2:$C$1212,$K211))</f>
        <v/>
      </c>
      <c r="C211" s="8">
        <f>IF($K211="","",INDEX(Конструктор!$D$2:$D$1212,$K211)&amp;IF(INDEX(Конструктор!$J$2:$J$1212,$K211)&lt;&gt;""," — "&amp;INDEX(Конструктор!$J$2:$J$1212,$K211),""))</f>
        <v/>
      </c>
      <c r="D211">
        <f>IF($K211="","",INDEX(Конструктор!$E$2:$E$1212,$K211))</f>
        <v/>
      </c>
      <c r="E211" s="10">
        <f>IF($K211="","",INDEX(Конструктор!$H$2:$H$1212,$K211))</f>
        <v/>
      </c>
      <c r="F211" s="10">
        <f>IF($K211="","",INDEX(Конструктор!$L$2:$L$1212,$K211))</f>
        <v/>
      </c>
      <c r="G211" s="10">
        <f>IF($K211="","",INDEX(Конструктор!$M$2:$M$1212,$K211))</f>
        <v/>
      </c>
      <c r="H211" s="10">
        <f>IF($K211="","",INDEX(Конструктор!$N$2:$N$1212,$K211))</f>
        <v/>
      </c>
      <c r="I211" s="10">
        <f>IF($K211="","",INDEX(Конструктор!$O$2:$O$1212,$K211))</f>
        <v/>
      </c>
      <c r="J211" s="10">
        <f>IF($K211="","",INDEX(Конструктор!$P$2:$P$1212,$K211))</f>
        <v/>
      </c>
      <c r="K211">
        <f>IFERROR(MATCH(191,Конструктор!$T$2:$T$1212,0),"")</f>
        <v/>
      </c>
      <c r="L211">
        <f>IF($K211="","","показать")</f>
        <v/>
      </c>
    </row>
    <row r="212" hidden="1">
      <c r="A212">
        <f>IF($K212="","",192)</f>
        <v/>
      </c>
      <c r="B212">
        <f>IF($K212="","",INDEX(Конструктор!$C$2:$C$1212,$K212))</f>
        <v/>
      </c>
      <c r="C212" s="8">
        <f>IF($K212="","",INDEX(Конструктор!$D$2:$D$1212,$K212)&amp;IF(INDEX(Конструктор!$J$2:$J$1212,$K212)&lt;&gt;""," — "&amp;INDEX(Конструктор!$J$2:$J$1212,$K212),""))</f>
        <v/>
      </c>
      <c r="D212">
        <f>IF($K212="","",INDEX(Конструктор!$E$2:$E$1212,$K212))</f>
        <v/>
      </c>
      <c r="E212" s="10">
        <f>IF($K212="","",INDEX(Конструктор!$H$2:$H$1212,$K212))</f>
        <v/>
      </c>
      <c r="F212" s="10">
        <f>IF($K212="","",INDEX(Конструктор!$L$2:$L$1212,$K212))</f>
        <v/>
      </c>
      <c r="G212" s="10">
        <f>IF($K212="","",INDEX(Конструктор!$M$2:$M$1212,$K212))</f>
        <v/>
      </c>
      <c r="H212" s="10">
        <f>IF($K212="","",INDEX(Конструктор!$N$2:$N$1212,$K212))</f>
        <v/>
      </c>
      <c r="I212" s="10">
        <f>IF($K212="","",INDEX(Конструктор!$O$2:$O$1212,$K212))</f>
        <v/>
      </c>
      <c r="J212" s="10">
        <f>IF($K212="","",INDEX(Конструктор!$P$2:$P$1212,$K212))</f>
        <v/>
      </c>
      <c r="K212">
        <f>IFERROR(MATCH(192,Конструктор!$T$2:$T$1212,0),"")</f>
        <v/>
      </c>
      <c r="L212">
        <f>IF($K212="","","показать")</f>
        <v/>
      </c>
    </row>
    <row r="213" hidden="1">
      <c r="A213">
        <f>IF($K213="","",193)</f>
        <v/>
      </c>
      <c r="B213">
        <f>IF($K213="","",INDEX(Конструктор!$C$2:$C$1212,$K213))</f>
        <v/>
      </c>
      <c r="C213" s="8">
        <f>IF($K213="","",INDEX(Конструктор!$D$2:$D$1212,$K213)&amp;IF(INDEX(Конструктор!$J$2:$J$1212,$K213)&lt;&gt;""," — "&amp;INDEX(Конструктор!$J$2:$J$1212,$K213),""))</f>
        <v/>
      </c>
      <c r="D213">
        <f>IF($K213="","",INDEX(Конструктор!$E$2:$E$1212,$K213))</f>
        <v/>
      </c>
      <c r="E213" s="10">
        <f>IF($K213="","",INDEX(Конструктор!$H$2:$H$1212,$K213))</f>
        <v/>
      </c>
      <c r="F213" s="10">
        <f>IF($K213="","",INDEX(Конструктор!$L$2:$L$1212,$K213))</f>
        <v/>
      </c>
      <c r="G213" s="10">
        <f>IF($K213="","",INDEX(Конструктор!$M$2:$M$1212,$K213))</f>
        <v/>
      </c>
      <c r="H213" s="10">
        <f>IF($K213="","",INDEX(Конструктор!$N$2:$N$1212,$K213))</f>
        <v/>
      </c>
      <c r="I213" s="10">
        <f>IF($K213="","",INDEX(Конструктор!$O$2:$O$1212,$K213))</f>
        <v/>
      </c>
      <c r="J213" s="10">
        <f>IF($K213="","",INDEX(Конструктор!$P$2:$P$1212,$K213))</f>
        <v/>
      </c>
      <c r="K213">
        <f>IFERROR(MATCH(193,Конструктор!$T$2:$T$1212,0),"")</f>
        <v/>
      </c>
      <c r="L213">
        <f>IF($K213="","","показать")</f>
        <v/>
      </c>
    </row>
    <row r="214" hidden="1">
      <c r="A214">
        <f>IF($K214="","",194)</f>
        <v/>
      </c>
      <c r="B214">
        <f>IF($K214="","",INDEX(Конструктор!$C$2:$C$1212,$K214))</f>
        <v/>
      </c>
      <c r="C214" s="8">
        <f>IF($K214="","",INDEX(Конструктор!$D$2:$D$1212,$K214)&amp;IF(INDEX(Конструктор!$J$2:$J$1212,$K214)&lt;&gt;""," — "&amp;INDEX(Конструктор!$J$2:$J$1212,$K214),""))</f>
        <v/>
      </c>
      <c r="D214">
        <f>IF($K214="","",INDEX(Конструктор!$E$2:$E$1212,$K214))</f>
        <v/>
      </c>
      <c r="E214" s="10">
        <f>IF($K214="","",INDEX(Конструктор!$H$2:$H$1212,$K214))</f>
        <v/>
      </c>
      <c r="F214" s="10">
        <f>IF($K214="","",INDEX(Конструктор!$L$2:$L$1212,$K214))</f>
        <v/>
      </c>
      <c r="G214" s="10">
        <f>IF($K214="","",INDEX(Конструктор!$M$2:$M$1212,$K214))</f>
        <v/>
      </c>
      <c r="H214" s="10">
        <f>IF($K214="","",INDEX(Конструктор!$N$2:$N$1212,$K214))</f>
        <v/>
      </c>
      <c r="I214" s="10">
        <f>IF($K214="","",INDEX(Конструктор!$O$2:$O$1212,$K214))</f>
        <v/>
      </c>
      <c r="J214" s="10">
        <f>IF($K214="","",INDEX(Конструктор!$P$2:$P$1212,$K214))</f>
        <v/>
      </c>
      <c r="K214">
        <f>IFERROR(MATCH(194,Конструктор!$T$2:$T$1212,0),"")</f>
        <v/>
      </c>
      <c r="L214">
        <f>IF($K214="","","показать")</f>
        <v/>
      </c>
    </row>
    <row r="215" hidden="1">
      <c r="A215">
        <f>IF($K215="","",195)</f>
        <v/>
      </c>
      <c r="B215">
        <f>IF($K215="","",INDEX(Конструктор!$C$2:$C$1212,$K215))</f>
        <v/>
      </c>
      <c r="C215" s="8">
        <f>IF($K215="","",INDEX(Конструктор!$D$2:$D$1212,$K215)&amp;IF(INDEX(Конструктор!$J$2:$J$1212,$K215)&lt;&gt;""," — "&amp;INDEX(Конструктор!$J$2:$J$1212,$K215),""))</f>
        <v/>
      </c>
      <c r="D215">
        <f>IF($K215="","",INDEX(Конструктор!$E$2:$E$1212,$K215))</f>
        <v/>
      </c>
      <c r="E215" s="10">
        <f>IF($K215="","",INDEX(Конструктор!$H$2:$H$1212,$K215))</f>
        <v/>
      </c>
      <c r="F215" s="10">
        <f>IF($K215="","",INDEX(Конструктор!$L$2:$L$1212,$K215))</f>
        <v/>
      </c>
      <c r="G215" s="10">
        <f>IF($K215="","",INDEX(Конструктор!$M$2:$M$1212,$K215))</f>
        <v/>
      </c>
      <c r="H215" s="10">
        <f>IF($K215="","",INDEX(Конструктор!$N$2:$N$1212,$K215))</f>
        <v/>
      </c>
      <c r="I215" s="10">
        <f>IF($K215="","",INDEX(Конструктор!$O$2:$O$1212,$K215))</f>
        <v/>
      </c>
      <c r="J215" s="10">
        <f>IF($K215="","",INDEX(Конструктор!$P$2:$P$1212,$K215))</f>
        <v/>
      </c>
      <c r="K215">
        <f>IFERROR(MATCH(195,Конструктор!$T$2:$T$1212,0),"")</f>
        <v/>
      </c>
      <c r="L215">
        <f>IF($K215="","","показать")</f>
        <v/>
      </c>
    </row>
    <row r="216" hidden="1">
      <c r="A216">
        <f>IF($K216="","",196)</f>
        <v/>
      </c>
      <c r="B216">
        <f>IF($K216="","",INDEX(Конструктор!$C$2:$C$1212,$K216))</f>
        <v/>
      </c>
      <c r="C216" s="8">
        <f>IF($K216="","",INDEX(Конструктор!$D$2:$D$1212,$K216)&amp;IF(INDEX(Конструктор!$J$2:$J$1212,$K216)&lt;&gt;""," — "&amp;INDEX(Конструктор!$J$2:$J$1212,$K216),""))</f>
        <v/>
      </c>
      <c r="D216">
        <f>IF($K216="","",INDEX(Конструктор!$E$2:$E$1212,$K216))</f>
        <v/>
      </c>
      <c r="E216" s="10">
        <f>IF($K216="","",INDEX(Конструктор!$H$2:$H$1212,$K216))</f>
        <v/>
      </c>
      <c r="F216" s="10">
        <f>IF($K216="","",INDEX(Конструктор!$L$2:$L$1212,$K216))</f>
        <v/>
      </c>
      <c r="G216" s="10">
        <f>IF($K216="","",INDEX(Конструктор!$M$2:$M$1212,$K216))</f>
        <v/>
      </c>
      <c r="H216" s="10">
        <f>IF($K216="","",INDEX(Конструктор!$N$2:$N$1212,$K216))</f>
        <v/>
      </c>
      <c r="I216" s="10">
        <f>IF($K216="","",INDEX(Конструктор!$O$2:$O$1212,$K216))</f>
        <v/>
      </c>
      <c r="J216" s="10">
        <f>IF($K216="","",INDEX(Конструктор!$P$2:$P$1212,$K216))</f>
        <v/>
      </c>
      <c r="K216">
        <f>IFERROR(MATCH(196,Конструктор!$T$2:$T$1212,0),"")</f>
        <v/>
      </c>
      <c r="L216">
        <f>IF($K216="","","показать")</f>
        <v/>
      </c>
    </row>
    <row r="217" hidden="1">
      <c r="A217">
        <f>IF($K217="","",197)</f>
        <v/>
      </c>
      <c r="B217">
        <f>IF($K217="","",INDEX(Конструктор!$C$2:$C$1212,$K217))</f>
        <v/>
      </c>
      <c r="C217" s="8">
        <f>IF($K217="","",INDEX(Конструктор!$D$2:$D$1212,$K217)&amp;IF(INDEX(Конструктор!$J$2:$J$1212,$K217)&lt;&gt;""," — "&amp;INDEX(Конструктор!$J$2:$J$1212,$K217),""))</f>
        <v/>
      </c>
      <c r="D217">
        <f>IF($K217="","",INDEX(Конструктор!$E$2:$E$1212,$K217))</f>
        <v/>
      </c>
      <c r="E217" s="10">
        <f>IF($K217="","",INDEX(Конструктор!$H$2:$H$1212,$K217))</f>
        <v/>
      </c>
      <c r="F217" s="10">
        <f>IF($K217="","",INDEX(Конструктор!$L$2:$L$1212,$K217))</f>
        <v/>
      </c>
      <c r="G217" s="10">
        <f>IF($K217="","",INDEX(Конструктор!$M$2:$M$1212,$K217))</f>
        <v/>
      </c>
      <c r="H217" s="10">
        <f>IF($K217="","",INDEX(Конструктор!$N$2:$N$1212,$K217))</f>
        <v/>
      </c>
      <c r="I217" s="10">
        <f>IF($K217="","",INDEX(Конструктор!$O$2:$O$1212,$K217))</f>
        <v/>
      </c>
      <c r="J217" s="10">
        <f>IF($K217="","",INDEX(Конструктор!$P$2:$P$1212,$K217))</f>
        <v/>
      </c>
      <c r="K217">
        <f>IFERROR(MATCH(197,Конструктор!$T$2:$T$1212,0),"")</f>
        <v/>
      </c>
      <c r="L217">
        <f>IF($K217="","","показать")</f>
        <v/>
      </c>
    </row>
    <row r="218" hidden="1">
      <c r="A218">
        <f>IF($K218="","",198)</f>
        <v/>
      </c>
      <c r="B218">
        <f>IF($K218="","",INDEX(Конструктор!$C$2:$C$1212,$K218))</f>
        <v/>
      </c>
      <c r="C218" s="8">
        <f>IF($K218="","",INDEX(Конструктор!$D$2:$D$1212,$K218)&amp;IF(INDEX(Конструктор!$J$2:$J$1212,$K218)&lt;&gt;""," — "&amp;INDEX(Конструктор!$J$2:$J$1212,$K218),""))</f>
        <v/>
      </c>
      <c r="D218">
        <f>IF($K218="","",INDEX(Конструктор!$E$2:$E$1212,$K218))</f>
        <v/>
      </c>
      <c r="E218" s="10">
        <f>IF($K218="","",INDEX(Конструктор!$H$2:$H$1212,$K218))</f>
        <v/>
      </c>
      <c r="F218" s="10">
        <f>IF($K218="","",INDEX(Конструктор!$L$2:$L$1212,$K218))</f>
        <v/>
      </c>
      <c r="G218" s="10">
        <f>IF($K218="","",INDEX(Конструктор!$M$2:$M$1212,$K218))</f>
        <v/>
      </c>
      <c r="H218" s="10">
        <f>IF($K218="","",INDEX(Конструктор!$N$2:$N$1212,$K218))</f>
        <v/>
      </c>
      <c r="I218" s="10">
        <f>IF($K218="","",INDEX(Конструктор!$O$2:$O$1212,$K218))</f>
        <v/>
      </c>
      <c r="J218" s="10">
        <f>IF($K218="","",INDEX(Конструктор!$P$2:$P$1212,$K218))</f>
        <v/>
      </c>
      <c r="K218">
        <f>IFERROR(MATCH(198,Конструктор!$T$2:$T$1212,0),"")</f>
        <v/>
      </c>
      <c r="L218">
        <f>IF($K218="","","показать")</f>
        <v/>
      </c>
    </row>
    <row r="219" hidden="1">
      <c r="A219">
        <f>IF($K219="","",199)</f>
        <v/>
      </c>
      <c r="B219">
        <f>IF($K219="","",INDEX(Конструктор!$C$2:$C$1212,$K219))</f>
        <v/>
      </c>
      <c r="C219" s="8">
        <f>IF($K219="","",INDEX(Конструктор!$D$2:$D$1212,$K219)&amp;IF(INDEX(Конструктор!$J$2:$J$1212,$K219)&lt;&gt;""," — "&amp;INDEX(Конструктор!$J$2:$J$1212,$K219),""))</f>
        <v/>
      </c>
      <c r="D219">
        <f>IF($K219="","",INDEX(Конструктор!$E$2:$E$1212,$K219))</f>
        <v/>
      </c>
      <c r="E219" s="10">
        <f>IF($K219="","",INDEX(Конструктор!$H$2:$H$1212,$K219))</f>
        <v/>
      </c>
      <c r="F219" s="10">
        <f>IF($K219="","",INDEX(Конструктор!$L$2:$L$1212,$K219))</f>
        <v/>
      </c>
      <c r="G219" s="10">
        <f>IF($K219="","",INDEX(Конструктор!$M$2:$M$1212,$K219))</f>
        <v/>
      </c>
      <c r="H219" s="10">
        <f>IF($K219="","",INDEX(Конструктор!$N$2:$N$1212,$K219))</f>
        <v/>
      </c>
      <c r="I219" s="10">
        <f>IF($K219="","",INDEX(Конструктор!$O$2:$O$1212,$K219))</f>
        <v/>
      </c>
      <c r="J219" s="10">
        <f>IF($K219="","",INDEX(Конструктор!$P$2:$P$1212,$K219))</f>
        <v/>
      </c>
      <c r="K219">
        <f>IFERROR(MATCH(199,Конструктор!$T$2:$T$1212,0),"")</f>
        <v/>
      </c>
      <c r="L219">
        <f>IF($K219="","","показать")</f>
        <v/>
      </c>
    </row>
    <row r="220" hidden="1">
      <c r="A220">
        <f>IF($K220="","",200)</f>
        <v/>
      </c>
      <c r="B220">
        <f>IF($K220="","",INDEX(Конструктор!$C$2:$C$1212,$K220))</f>
        <v/>
      </c>
      <c r="C220" s="8">
        <f>IF($K220="","",INDEX(Конструктор!$D$2:$D$1212,$K220)&amp;IF(INDEX(Конструктор!$J$2:$J$1212,$K220)&lt;&gt;""," — "&amp;INDEX(Конструктор!$J$2:$J$1212,$K220),""))</f>
        <v/>
      </c>
      <c r="D220">
        <f>IF($K220="","",INDEX(Конструктор!$E$2:$E$1212,$K220))</f>
        <v/>
      </c>
      <c r="E220" s="10">
        <f>IF($K220="","",INDEX(Конструктор!$H$2:$H$1212,$K220))</f>
        <v/>
      </c>
      <c r="F220" s="10">
        <f>IF($K220="","",INDEX(Конструктор!$L$2:$L$1212,$K220))</f>
        <v/>
      </c>
      <c r="G220" s="10">
        <f>IF($K220="","",INDEX(Конструктор!$M$2:$M$1212,$K220))</f>
        <v/>
      </c>
      <c r="H220" s="10">
        <f>IF($K220="","",INDEX(Конструктор!$N$2:$N$1212,$K220))</f>
        <v/>
      </c>
      <c r="I220" s="10">
        <f>IF($K220="","",INDEX(Конструктор!$O$2:$O$1212,$K220))</f>
        <v/>
      </c>
      <c r="J220" s="10">
        <f>IF($K220="","",INDEX(Конструктор!$P$2:$P$1212,$K220))</f>
        <v/>
      </c>
      <c r="K220">
        <f>IFERROR(MATCH(200,Конструктор!$T$2:$T$1212,0),"")</f>
        <v/>
      </c>
      <c r="L220">
        <f>IF($K220="","","показать")</f>
        <v/>
      </c>
    </row>
    <row r="221" hidden="1">
      <c r="A221">
        <f>IF($K221="","",201)</f>
        <v/>
      </c>
      <c r="B221">
        <f>IF($K221="","",INDEX(Конструктор!$C$2:$C$1212,$K221))</f>
        <v/>
      </c>
      <c r="C221" s="8">
        <f>IF($K221="","",INDEX(Конструктор!$D$2:$D$1212,$K221)&amp;IF(INDEX(Конструктор!$J$2:$J$1212,$K221)&lt;&gt;""," — "&amp;INDEX(Конструктор!$J$2:$J$1212,$K221),""))</f>
        <v/>
      </c>
      <c r="D221">
        <f>IF($K221="","",INDEX(Конструктор!$E$2:$E$1212,$K221))</f>
        <v/>
      </c>
      <c r="E221" s="10">
        <f>IF($K221="","",INDEX(Конструктор!$H$2:$H$1212,$K221))</f>
        <v/>
      </c>
      <c r="F221" s="10">
        <f>IF($K221="","",INDEX(Конструктор!$L$2:$L$1212,$K221))</f>
        <v/>
      </c>
      <c r="G221" s="10">
        <f>IF($K221="","",INDEX(Конструктор!$M$2:$M$1212,$K221))</f>
        <v/>
      </c>
      <c r="H221" s="10">
        <f>IF($K221="","",INDEX(Конструктор!$N$2:$N$1212,$K221))</f>
        <v/>
      </c>
      <c r="I221" s="10">
        <f>IF($K221="","",INDEX(Конструктор!$O$2:$O$1212,$K221))</f>
        <v/>
      </c>
      <c r="J221" s="10">
        <f>IF($K221="","",INDEX(Конструктор!$P$2:$P$1212,$K221))</f>
        <v/>
      </c>
      <c r="K221">
        <f>IFERROR(MATCH(201,Конструктор!$T$2:$T$1212,0),"")</f>
        <v/>
      </c>
      <c r="L221">
        <f>IF($K221="","","показать")</f>
        <v/>
      </c>
    </row>
    <row r="222" hidden="1">
      <c r="A222">
        <f>IF($K222="","",202)</f>
        <v/>
      </c>
      <c r="B222">
        <f>IF($K222="","",INDEX(Конструктор!$C$2:$C$1212,$K222))</f>
        <v/>
      </c>
      <c r="C222" s="8">
        <f>IF($K222="","",INDEX(Конструктор!$D$2:$D$1212,$K222)&amp;IF(INDEX(Конструктор!$J$2:$J$1212,$K222)&lt;&gt;""," — "&amp;INDEX(Конструктор!$J$2:$J$1212,$K222),""))</f>
        <v/>
      </c>
      <c r="D222">
        <f>IF($K222="","",INDEX(Конструктор!$E$2:$E$1212,$K222))</f>
        <v/>
      </c>
      <c r="E222" s="10">
        <f>IF($K222="","",INDEX(Конструктор!$H$2:$H$1212,$K222))</f>
        <v/>
      </c>
      <c r="F222" s="10">
        <f>IF($K222="","",INDEX(Конструктор!$L$2:$L$1212,$K222))</f>
        <v/>
      </c>
      <c r="G222" s="10">
        <f>IF($K222="","",INDEX(Конструктор!$M$2:$M$1212,$K222))</f>
        <v/>
      </c>
      <c r="H222" s="10">
        <f>IF($K222="","",INDEX(Конструктор!$N$2:$N$1212,$K222))</f>
        <v/>
      </c>
      <c r="I222" s="10">
        <f>IF($K222="","",INDEX(Конструктор!$O$2:$O$1212,$K222))</f>
        <v/>
      </c>
      <c r="J222" s="10">
        <f>IF($K222="","",INDEX(Конструктор!$P$2:$P$1212,$K222))</f>
        <v/>
      </c>
      <c r="K222">
        <f>IFERROR(MATCH(202,Конструктор!$T$2:$T$1212,0),"")</f>
        <v/>
      </c>
      <c r="L222">
        <f>IF($K222="","","показать")</f>
        <v/>
      </c>
    </row>
    <row r="223" hidden="1">
      <c r="A223">
        <f>IF($K223="","",203)</f>
        <v/>
      </c>
      <c r="B223">
        <f>IF($K223="","",INDEX(Конструктор!$C$2:$C$1212,$K223))</f>
        <v/>
      </c>
      <c r="C223" s="8">
        <f>IF($K223="","",INDEX(Конструктор!$D$2:$D$1212,$K223)&amp;IF(INDEX(Конструктор!$J$2:$J$1212,$K223)&lt;&gt;""," — "&amp;INDEX(Конструктор!$J$2:$J$1212,$K223),""))</f>
        <v/>
      </c>
      <c r="D223">
        <f>IF($K223="","",INDEX(Конструктор!$E$2:$E$1212,$K223))</f>
        <v/>
      </c>
      <c r="E223" s="10">
        <f>IF($K223="","",INDEX(Конструктор!$H$2:$H$1212,$K223))</f>
        <v/>
      </c>
      <c r="F223" s="10">
        <f>IF($K223="","",INDEX(Конструктор!$L$2:$L$1212,$K223))</f>
        <v/>
      </c>
      <c r="G223" s="10">
        <f>IF($K223="","",INDEX(Конструктор!$M$2:$M$1212,$K223))</f>
        <v/>
      </c>
      <c r="H223" s="10">
        <f>IF($K223="","",INDEX(Конструктор!$N$2:$N$1212,$K223))</f>
        <v/>
      </c>
      <c r="I223" s="10">
        <f>IF($K223="","",INDEX(Конструктор!$O$2:$O$1212,$K223))</f>
        <v/>
      </c>
      <c r="J223" s="10">
        <f>IF($K223="","",INDEX(Конструктор!$P$2:$P$1212,$K223))</f>
        <v/>
      </c>
      <c r="K223">
        <f>IFERROR(MATCH(203,Конструктор!$T$2:$T$1212,0),"")</f>
        <v/>
      </c>
      <c r="L223">
        <f>IF($K223="","","показать")</f>
        <v/>
      </c>
    </row>
    <row r="224" hidden="1">
      <c r="A224">
        <f>IF($K224="","",204)</f>
        <v/>
      </c>
      <c r="B224">
        <f>IF($K224="","",INDEX(Конструктор!$C$2:$C$1212,$K224))</f>
        <v/>
      </c>
      <c r="C224" s="8">
        <f>IF($K224="","",INDEX(Конструктор!$D$2:$D$1212,$K224)&amp;IF(INDEX(Конструктор!$J$2:$J$1212,$K224)&lt;&gt;""," — "&amp;INDEX(Конструктор!$J$2:$J$1212,$K224),""))</f>
        <v/>
      </c>
      <c r="D224">
        <f>IF($K224="","",INDEX(Конструктор!$E$2:$E$1212,$K224))</f>
        <v/>
      </c>
      <c r="E224" s="10">
        <f>IF($K224="","",INDEX(Конструктор!$H$2:$H$1212,$K224))</f>
        <v/>
      </c>
      <c r="F224" s="10">
        <f>IF($K224="","",INDEX(Конструктор!$L$2:$L$1212,$K224))</f>
        <v/>
      </c>
      <c r="G224" s="10">
        <f>IF($K224="","",INDEX(Конструктор!$M$2:$M$1212,$K224))</f>
        <v/>
      </c>
      <c r="H224" s="10">
        <f>IF($K224="","",INDEX(Конструктор!$N$2:$N$1212,$K224))</f>
        <v/>
      </c>
      <c r="I224" s="10">
        <f>IF($K224="","",INDEX(Конструктор!$O$2:$O$1212,$K224))</f>
        <v/>
      </c>
      <c r="J224" s="10">
        <f>IF($K224="","",INDEX(Конструктор!$P$2:$P$1212,$K224))</f>
        <v/>
      </c>
      <c r="K224">
        <f>IFERROR(MATCH(204,Конструктор!$T$2:$T$1212,0),"")</f>
        <v/>
      </c>
      <c r="L224">
        <f>IF($K224="","","показать")</f>
        <v/>
      </c>
    </row>
    <row r="225" hidden="1">
      <c r="A225">
        <f>IF($K225="","",205)</f>
        <v/>
      </c>
      <c r="B225">
        <f>IF($K225="","",INDEX(Конструктор!$C$2:$C$1212,$K225))</f>
        <v/>
      </c>
      <c r="C225" s="8">
        <f>IF($K225="","",INDEX(Конструктор!$D$2:$D$1212,$K225)&amp;IF(INDEX(Конструктор!$J$2:$J$1212,$K225)&lt;&gt;""," — "&amp;INDEX(Конструктор!$J$2:$J$1212,$K225),""))</f>
        <v/>
      </c>
      <c r="D225">
        <f>IF($K225="","",INDEX(Конструктор!$E$2:$E$1212,$K225))</f>
        <v/>
      </c>
      <c r="E225" s="10">
        <f>IF($K225="","",INDEX(Конструктор!$H$2:$H$1212,$K225))</f>
        <v/>
      </c>
      <c r="F225" s="10">
        <f>IF($K225="","",INDEX(Конструктор!$L$2:$L$1212,$K225))</f>
        <v/>
      </c>
      <c r="G225" s="10">
        <f>IF($K225="","",INDEX(Конструктор!$M$2:$M$1212,$K225))</f>
        <v/>
      </c>
      <c r="H225" s="10">
        <f>IF($K225="","",INDEX(Конструктор!$N$2:$N$1212,$K225))</f>
        <v/>
      </c>
      <c r="I225" s="10">
        <f>IF($K225="","",INDEX(Конструктор!$O$2:$O$1212,$K225))</f>
        <v/>
      </c>
      <c r="J225" s="10">
        <f>IF($K225="","",INDEX(Конструктор!$P$2:$P$1212,$K225))</f>
        <v/>
      </c>
      <c r="K225">
        <f>IFERROR(MATCH(205,Конструктор!$T$2:$T$1212,0),"")</f>
        <v/>
      </c>
      <c r="L225">
        <f>IF($K225="","","показать")</f>
        <v/>
      </c>
    </row>
    <row r="226" hidden="1">
      <c r="A226">
        <f>IF($K226="","",206)</f>
        <v/>
      </c>
      <c r="B226">
        <f>IF($K226="","",INDEX(Конструктор!$C$2:$C$1212,$K226))</f>
        <v/>
      </c>
      <c r="C226" s="8">
        <f>IF($K226="","",INDEX(Конструктор!$D$2:$D$1212,$K226)&amp;IF(INDEX(Конструктор!$J$2:$J$1212,$K226)&lt;&gt;""," — "&amp;INDEX(Конструктор!$J$2:$J$1212,$K226),""))</f>
        <v/>
      </c>
      <c r="D226">
        <f>IF($K226="","",INDEX(Конструктор!$E$2:$E$1212,$K226))</f>
        <v/>
      </c>
      <c r="E226" s="10">
        <f>IF($K226="","",INDEX(Конструктор!$H$2:$H$1212,$K226))</f>
        <v/>
      </c>
      <c r="F226" s="10">
        <f>IF($K226="","",INDEX(Конструктор!$L$2:$L$1212,$K226))</f>
        <v/>
      </c>
      <c r="G226" s="10">
        <f>IF($K226="","",INDEX(Конструктор!$M$2:$M$1212,$K226))</f>
        <v/>
      </c>
      <c r="H226" s="10">
        <f>IF($K226="","",INDEX(Конструктор!$N$2:$N$1212,$K226))</f>
        <v/>
      </c>
      <c r="I226" s="10">
        <f>IF($K226="","",INDEX(Конструктор!$O$2:$O$1212,$K226))</f>
        <v/>
      </c>
      <c r="J226" s="10">
        <f>IF($K226="","",INDEX(Конструктор!$P$2:$P$1212,$K226))</f>
        <v/>
      </c>
      <c r="K226">
        <f>IFERROR(MATCH(206,Конструктор!$T$2:$T$1212,0),"")</f>
        <v/>
      </c>
      <c r="L226">
        <f>IF($K226="","","показать")</f>
        <v/>
      </c>
    </row>
    <row r="227" hidden="1">
      <c r="A227">
        <f>IF($K227="","",207)</f>
        <v/>
      </c>
      <c r="B227">
        <f>IF($K227="","",INDEX(Конструктор!$C$2:$C$1212,$K227))</f>
        <v/>
      </c>
      <c r="C227" s="8">
        <f>IF($K227="","",INDEX(Конструктор!$D$2:$D$1212,$K227)&amp;IF(INDEX(Конструктор!$J$2:$J$1212,$K227)&lt;&gt;""," — "&amp;INDEX(Конструктор!$J$2:$J$1212,$K227),""))</f>
        <v/>
      </c>
      <c r="D227">
        <f>IF($K227="","",INDEX(Конструктор!$E$2:$E$1212,$K227))</f>
        <v/>
      </c>
      <c r="E227" s="10">
        <f>IF($K227="","",INDEX(Конструктор!$H$2:$H$1212,$K227))</f>
        <v/>
      </c>
      <c r="F227" s="10">
        <f>IF($K227="","",INDEX(Конструктор!$L$2:$L$1212,$K227))</f>
        <v/>
      </c>
      <c r="G227" s="10">
        <f>IF($K227="","",INDEX(Конструктор!$M$2:$M$1212,$K227))</f>
        <v/>
      </c>
      <c r="H227" s="10">
        <f>IF($K227="","",INDEX(Конструктор!$N$2:$N$1212,$K227))</f>
        <v/>
      </c>
      <c r="I227" s="10">
        <f>IF($K227="","",INDEX(Конструктор!$O$2:$O$1212,$K227))</f>
        <v/>
      </c>
      <c r="J227" s="10">
        <f>IF($K227="","",INDEX(Конструктор!$P$2:$P$1212,$K227))</f>
        <v/>
      </c>
      <c r="K227">
        <f>IFERROR(MATCH(207,Конструктор!$T$2:$T$1212,0),"")</f>
        <v/>
      </c>
      <c r="L227">
        <f>IF($K227="","","показать")</f>
        <v/>
      </c>
    </row>
    <row r="228" hidden="1">
      <c r="A228">
        <f>IF($K228="","",208)</f>
        <v/>
      </c>
      <c r="B228">
        <f>IF($K228="","",INDEX(Конструктор!$C$2:$C$1212,$K228))</f>
        <v/>
      </c>
      <c r="C228" s="8">
        <f>IF($K228="","",INDEX(Конструктор!$D$2:$D$1212,$K228)&amp;IF(INDEX(Конструктор!$J$2:$J$1212,$K228)&lt;&gt;""," — "&amp;INDEX(Конструктор!$J$2:$J$1212,$K228),""))</f>
        <v/>
      </c>
      <c r="D228">
        <f>IF($K228="","",INDEX(Конструктор!$E$2:$E$1212,$K228))</f>
        <v/>
      </c>
      <c r="E228" s="10">
        <f>IF($K228="","",INDEX(Конструктор!$H$2:$H$1212,$K228))</f>
        <v/>
      </c>
      <c r="F228" s="10">
        <f>IF($K228="","",INDEX(Конструктор!$L$2:$L$1212,$K228))</f>
        <v/>
      </c>
      <c r="G228" s="10">
        <f>IF($K228="","",INDEX(Конструктор!$M$2:$M$1212,$K228))</f>
        <v/>
      </c>
      <c r="H228" s="10">
        <f>IF($K228="","",INDEX(Конструктор!$N$2:$N$1212,$K228))</f>
        <v/>
      </c>
      <c r="I228" s="10">
        <f>IF($K228="","",INDEX(Конструктор!$O$2:$O$1212,$K228))</f>
        <v/>
      </c>
      <c r="J228" s="10">
        <f>IF($K228="","",INDEX(Конструктор!$P$2:$P$1212,$K228))</f>
        <v/>
      </c>
      <c r="K228">
        <f>IFERROR(MATCH(208,Конструктор!$T$2:$T$1212,0),"")</f>
        <v/>
      </c>
      <c r="L228">
        <f>IF($K228="","","показать")</f>
        <v/>
      </c>
    </row>
    <row r="229" hidden="1">
      <c r="A229">
        <f>IF($K229="","",209)</f>
        <v/>
      </c>
      <c r="B229">
        <f>IF($K229="","",INDEX(Конструктор!$C$2:$C$1212,$K229))</f>
        <v/>
      </c>
      <c r="C229" s="8">
        <f>IF($K229="","",INDEX(Конструктор!$D$2:$D$1212,$K229)&amp;IF(INDEX(Конструктор!$J$2:$J$1212,$K229)&lt;&gt;""," — "&amp;INDEX(Конструктор!$J$2:$J$1212,$K229),""))</f>
        <v/>
      </c>
      <c r="D229">
        <f>IF($K229="","",INDEX(Конструктор!$E$2:$E$1212,$K229))</f>
        <v/>
      </c>
      <c r="E229" s="10">
        <f>IF($K229="","",INDEX(Конструктор!$H$2:$H$1212,$K229))</f>
        <v/>
      </c>
      <c r="F229" s="10">
        <f>IF($K229="","",INDEX(Конструктор!$L$2:$L$1212,$K229))</f>
        <v/>
      </c>
      <c r="G229" s="10">
        <f>IF($K229="","",INDEX(Конструктор!$M$2:$M$1212,$K229))</f>
        <v/>
      </c>
      <c r="H229" s="10">
        <f>IF($K229="","",INDEX(Конструктор!$N$2:$N$1212,$K229))</f>
        <v/>
      </c>
      <c r="I229" s="10">
        <f>IF($K229="","",INDEX(Конструктор!$O$2:$O$1212,$K229))</f>
        <v/>
      </c>
      <c r="J229" s="10">
        <f>IF($K229="","",INDEX(Конструктор!$P$2:$P$1212,$K229))</f>
        <v/>
      </c>
      <c r="K229">
        <f>IFERROR(MATCH(209,Конструктор!$T$2:$T$1212,0),"")</f>
        <v/>
      </c>
      <c r="L229">
        <f>IF($K229="","","показать")</f>
        <v/>
      </c>
    </row>
    <row r="230" hidden="1">
      <c r="A230">
        <f>IF($K230="","",210)</f>
        <v/>
      </c>
      <c r="B230">
        <f>IF($K230="","",INDEX(Конструктор!$C$2:$C$1212,$K230))</f>
        <v/>
      </c>
      <c r="C230" s="8">
        <f>IF($K230="","",INDEX(Конструктор!$D$2:$D$1212,$K230)&amp;IF(INDEX(Конструктор!$J$2:$J$1212,$K230)&lt;&gt;""," — "&amp;INDEX(Конструктор!$J$2:$J$1212,$K230),""))</f>
        <v/>
      </c>
      <c r="D230">
        <f>IF($K230="","",INDEX(Конструктор!$E$2:$E$1212,$K230))</f>
        <v/>
      </c>
      <c r="E230" s="10">
        <f>IF($K230="","",INDEX(Конструктор!$H$2:$H$1212,$K230))</f>
        <v/>
      </c>
      <c r="F230" s="10">
        <f>IF($K230="","",INDEX(Конструктор!$L$2:$L$1212,$K230))</f>
        <v/>
      </c>
      <c r="G230" s="10">
        <f>IF($K230="","",INDEX(Конструктор!$M$2:$M$1212,$K230))</f>
        <v/>
      </c>
      <c r="H230" s="10">
        <f>IF($K230="","",INDEX(Конструктор!$N$2:$N$1212,$K230))</f>
        <v/>
      </c>
      <c r="I230" s="10">
        <f>IF($K230="","",INDEX(Конструктор!$O$2:$O$1212,$K230))</f>
        <v/>
      </c>
      <c r="J230" s="10">
        <f>IF($K230="","",INDEX(Конструктор!$P$2:$P$1212,$K230))</f>
        <v/>
      </c>
      <c r="K230">
        <f>IFERROR(MATCH(210,Конструктор!$T$2:$T$1212,0),"")</f>
        <v/>
      </c>
      <c r="L230">
        <f>IF($K230="","","показать")</f>
        <v/>
      </c>
    </row>
    <row r="231" hidden="1">
      <c r="A231">
        <f>IF($K231="","",211)</f>
        <v/>
      </c>
      <c r="B231">
        <f>IF($K231="","",INDEX(Конструктор!$C$2:$C$1212,$K231))</f>
        <v/>
      </c>
      <c r="C231" s="8">
        <f>IF($K231="","",INDEX(Конструктор!$D$2:$D$1212,$K231)&amp;IF(INDEX(Конструктор!$J$2:$J$1212,$K231)&lt;&gt;""," — "&amp;INDEX(Конструктор!$J$2:$J$1212,$K231),""))</f>
        <v/>
      </c>
      <c r="D231">
        <f>IF($K231="","",INDEX(Конструктор!$E$2:$E$1212,$K231))</f>
        <v/>
      </c>
      <c r="E231" s="10">
        <f>IF($K231="","",INDEX(Конструктор!$H$2:$H$1212,$K231))</f>
        <v/>
      </c>
      <c r="F231" s="10">
        <f>IF($K231="","",INDEX(Конструктор!$L$2:$L$1212,$K231))</f>
        <v/>
      </c>
      <c r="G231" s="10">
        <f>IF($K231="","",INDEX(Конструктор!$M$2:$M$1212,$K231))</f>
        <v/>
      </c>
      <c r="H231" s="10">
        <f>IF($K231="","",INDEX(Конструктор!$N$2:$N$1212,$K231))</f>
        <v/>
      </c>
      <c r="I231" s="10">
        <f>IF($K231="","",INDEX(Конструктор!$O$2:$O$1212,$K231))</f>
        <v/>
      </c>
      <c r="J231" s="10">
        <f>IF($K231="","",INDEX(Конструктор!$P$2:$P$1212,$K231))</f>
        <v/>
      </c>
      <c r="K231">
        <f>IFERROR(MATCH(211,Конструктор!$T$2:$T$1212,0),"")</f>
        <v/>
      </c>
      <c r="L231">
        <f>IF($K231="","","показать")</f>
        <v/>
      </c>
    </row>
    <row r="232" hidden="1">
      <c r="A232">
        <f>IF($K232="","",212)</f>
        <v/>
      </c>
      <c r="B232">
        <f>IF($K232="","",INDEX(Конструктор!$C$2:$C$1212,$K232))</f>
        <v/>
      </c>
      <c r="C232" s="8">
        <f>IF($K232="","",INDEX(Конструктор!$D$2:$D$1212,$K232)&amp;IF(INDEX(Конструктор!$J$2:$J$1212,$K232)&lt;&gt;""," — "&amp;INDEX(Конструктор!$J$2:$J$1212,$K232),""))</f>
        <v/>
      </c>
      <c r="D232">
        <f>IF($K232="","",INDEX(Конструктор!$E$2:$E$1212,$K232))</f>
        <v/>
      </c>
      <c r="E232" s="10">
        <f>IF($K232="","",INDEX(Конструктор!$H$2:$H$1212,$K232))</f>
        <v/>
      </c>
      <c r="F232" s="10">
        <f>IF($K232="","",INDEX(Конструктор!$L$2:$L$1212,$K232))</f>
        <v/>
      </c>
      <c r="G232" s="10">
        <f>IF($K232="","",INDEX(Конструктор!$M$2:$M$1212,$K232))</f>
        <v/>
      </c>
      <c r="H232" s="10">
        <f>IF($K232="","",INDEX(Конструктор!$N$2:$N$1212,$K232))</f>
        <v/>
      </c>
      <c r="I232" s="10">
        <f>IF($K232="","",INDEX(Конструктор!$O$2:$O$1212,$K232))</f>
        <v/>
      </c>
      <c r="J232" s="10">
        <f>IF($K232="","",INDEX(Конструктор!$P$2:$P$1212,$K232))</f>
        <v/>
      </c>
      <c r="K232">
        <f>IFERROR(MATCH(212,Конструктор!$T$2:$T$1212,0),"")</f>
        <v/>
      </c>
      <c r="L232">
        <f>IF($K232="","","показать")</f>
        <v/>
      </c>
    </row>
    <row r="233" hidden="1">
      <c r="A233">
        <f>IF($K233="","",213)</f>
        <v/>
      </c>
      <c r="B233">
        <f>IF($K233="","",INDEX(Конструктор!$C$2:$C$1212,$K233))</f>
        <v/>
      </c>
      <c r="C233" s="8">
        <f>IF($K233="","",INDEX(Конструктор!$D$2:$D$1212,$K233)&amp;IF(INDEX(Конструктор!$J$2:$J$1212,$K233)&lt;&gt;""," — "&amp;INDEX(Конструктор!$J$2:$J$1212,$K233),""))</f>
        <v/>
      </c>
      <c r="D233">
        <f>IF($K233="","",INDEX(Конструктор!$E$2:$E$1212,$K233))</f>
        <v/>
      </c>
      <c r="E233" s="10">
        <f>IF($K233="","",INDEX(Конструктор!$H$2:$H$1212,$K233))</f>
        <v/>
      </c>
      <c r="F233" s="10">
        <f>IF($K233="","",INDEX(Конструктор!$L$2:$L$1212,$K233))</f>
        <v/>
      </c>
      <c r="G233" s="10">
        <f>IF($K233="","",INDEX(Конструктор!$M$2:$M$1212,$K233))</f>
        <v/>
      </c>
      <c r="H233" s="10">
        <f>IF($K233="","",INDEX(Конструктор!$N$2:$N$1212,$K233))</f>
        <v/>
      </c>
      <c r="I233" s="10">
        <f>IF($K233="","",INDEX(Конструктор!$O$2:$O$1212,$K233))</f>
        <v/>
      </c>
      <c r="J233" s="10">
        <f>IF($K233="","",INDEX(Конструктор!$P$2:$P$1212,$K233))</f>
        <v/>
      </c>
      <c r="K233">
        <f>IFERROR(MATCH(213,Конструктор!$T$2:$T$1212,0),"")</f>
        <v/>
      </c>
      <c r="L233">
        <f>IF($K233="","","показать")</f>
        <v/>
      </c>
    </row>
    <row r="234" hidden="1">
      <c r="A234">
        <f>IF($K234="","",214)</f>
        <v/>
      </c>
      <c r="B234">
        <f>IF($K234="","",INDEX(Конструктор!$C$2:$C$1212,$K234))</f>
        <v/>
      </c>
      <c r="C234" s="8">
        <f>IF($K234="","",INDEX(Конструктор!$D$2:$D$1212,$K234)&amp;IF(INDEX(Конструктор!$J$2:$J$1212,$K234)&lt;&gt;""," — "&amp;INDEX(Конструктор!$J$2:$J$1212,$K234),""))</f>
        <v/>
      </c>
      <c r="D234">
        <f>IF($K234="","",INDEX(Конструктор!$E$2:$E$1212,$K234))</f>
        <v/>
      </c>
      <c r="E234" s="10">
        <f>IF($K234="","",INDEX(Конструктор!$H$2:$H$1212,$K234))</f>
        <v/>
      </c>
      <c r="F234" s="10">
        <f>IF($K234="","",INDEX(Конструктор!$L$2:$L$1212,$K234))</f>
        <v/>
      </c>
      <c r="G234" s="10">
        <f>IF($K234="","",INDEX(Конструктор!$M$2:$M$1212,$K234))</f>
        <v/>
      </c>
      <c r="H234" s="10">
        <f>IF($K234="","",INDEX(Конструктор!$N$2:$N$1212,$K234))</f>
        <v/>
      </c>
      <c r="I234" s="10">
        <f>IF($K234="","",INDEX(Конструктор!$O$2:$O$1212,$K234))</f>
        <v/>
      </c>
      <c r="J234" s="10">
        <f>IF($K234="","",INDEX(Конструктор!$P$2:$P$1212,$K234))</f>
        <v/>
      </c>
      <c r="K234">
        <f>IFERROR(MATCH(214,Конструктор!$T$2:$T$1212,0),"")</f>
        <v/>
      </c>
      <c r="L234">
        <f>IF($K234="","","показать")</f>
        <v/>
      </c>
    </row>
    <row r="235" hidden="1">
      <c r="A235">
        <f>IF($K235="","",215)</f>
        <v/>
      </c>
      <c r="B235">
        <f>IF($K235="","",INDEX(Конструктор!$C$2:$C$1212,$K235))</f>
        <v/>
      </c>
      <c r="C235" s="8">
        <f>IF($K235="","",INDEX(Конструктор!$D$2:$D$1212,$K235)&amp;IF(INDEX(Конструктор!$J$2:$J$1212,$K235)&lt;&gt;""," — "&amp;INDEX(Конструктор!$J$2:$J$1212,$K235),""))</f>
        <v/>
      </c>
      <c r="D235">
        <f>IF($K235="","",INDEX(Конструктор!$E$2:$E$1212,$K235))</f>
        <v/>
      </c>
      <c r="E235" s="10">
        <f>IF($K235="","",INDEX(Конструктор!$H$2:$H$1212,$K235))</f>
        <v/>
      </c>
      <c r="F235" s="10">
        <f>IF($K235="","",INDEX(Конструктор!$L$2:$L$1212,$K235))</f>
        <v/>
      </c>
      <c r="G235" s="10">
        <f>IF($K235="","",INDEX(Конструктор!$M$2:$M$1212,$K235))</f>
        <v/>
      </c>
      <c r="H235" s="10">
        <f>IF($K235="","",INDEX(Конструктор!$N$2:$N$1212,$K235))</f>
        <v/>
      </c>
      <c r="I235" s="10">
        <f>IF($K235="","",INDEX(Конструктор!$O$2:$O$1212,$K235))</f>
        <v/>
      </c>
      <c r="J235" s="10">
        <f>IF($K235="","",INDEX(Конструктор!$P$2:$P$1212,$K235))</f>
        <v/>
      </c>
      <c r="K235">
        <f>IFERROR(MATCH(215,Конструктор!$T$2:$T$1212,0),"")</f>
        <v/>
      </c>
      <c r="L235">
        <f>IF($K235="","","показать")</f>
        <v/>
      </c>
    </row>
    <row r="236" hidden="1">
      <c r="A236">
        <f>IF($K236="","",216)</f>
        <v/>
      </c>
      <c r="B236">
        <f>IF($K236="","",INDEX(Конструктор!$C$2:$C$1212,$K236))</f>
        <v/>
      </c>
      <c r="C236" s="8">
        <f>IF($K236="","",INDEX(Конструктор!$D$2:$D$1212,$K236)&amp;IF(INDEX(Конструктор!$J$2:$J$1212,$K236)&lt;&gt;""," — "&amp;INDEX(Конструктор!$J$2:$J$1212,$K236),""))</f>
        <v/>
      </c>
      <c r="D236">
        <f>IF($K236="","",INDEX(Конструктор!$E$2:$E$1212,$K236))</f>
        <v/>
      </c>
      <c r="E236" s="10">
        <f>IF($K236="","",INDEX(Конструктор!$H$2:$H$1212,$K236))</f>
        <v/>
      </c>
      <c r="F236" s="10">
        <f>IF($K236="","",INDEX(Конструктор!$L$2:$L$1212,$K236))</f>
        <v/>
      </c>
      <c r="G236" s="10">
        <f>IF($K236="","",INDEX(Конструктор!$M$2:$M$1212,$K236))</f>
        <v/>
      </c>
      <c r="H236" s="10">
        <f>IF($K236="","",INDEX(Конструктор!$N$2:$N$1212,$K236))</f>
        <v/>
      </c>
      <c r="I236" s="10">
        <f>IF($K236="","",INDEX(Конструктор!$O$2:$O$1212,$K236))</f>
        <v/>
      </c>
      <c r="J236" s="10">
        <f>IF($K236="","",INDEX(Конструктор!$P$2:$P$1212,$K236))</f>
        <v/>
      </c>
      <c r="K236">
        <f>IFERROR(MATCH(216,Конструктор!$T$2:$T$1212,0),"")</f>
        <v/>
      </c>
      <c r="L236">
        <f>IF($K236="","","показать")</f>
        <v/>
      </c>
    </row>
    <row r="237" hidden="1">
      <c r="A237">
        <f>IF($K237="","",217)</f>
        <v/>
      </c>
      <c r="B237">
        <f>IF($K237="","",INDEX(Конструктор!$C$2:$C$1212,$K237))</f>
        <v/>
      </c>
      <c r="C237" s="8">
        <f>IF($K237="","",INDEX(Конструктор!$D$2:$D$1212,$K237)&amp;IF(INDEX(Конструктор!$J$2:$J$1212,$K237)&lt;&gt;""," — "&amp;INDEX(Конструктор!$J$2:$J$1212,$K237),""))</f>
        <v/>
      </c>
      <c r="D237">
        <f>IF($K237="","",INDEX(Конструктор!$E$2:$E$1212,$K237))</f>
        <v/>
      </c>
      <c r="E237" s="10">
        <f>IF($K237="","",INDEX(Конструктор!$H$2:$H$1212,$K237))</f>
        <v/>
      </c>
      <c r="F237" s="10">
        <f>IF($K237="","",INDEX(Конструктор!$L$2:$L$1212,$K237))</f>
        <v/>
      </c>
      <c r="G237" s="10">
        <f>IF($K237="","",INDEX(Конструктор!$M$2:$M$1212,$K237))</f>
        <v/>
      </c>
      <c r="H237" s="10">
        <f>IF($K237="","",INDEX(Конструктор!$N$2:$N$1212,$K237))</f>
        <v/>
      </c>
      <c r="I237" s="10">
        <f>IF($K237="","",INDEX(Конструктор!$O$2:$O$1212,$K237))</f>
        <v/>
      </c>
      <c r="J237" s="10">
        <f>IF($K237="","",INDEX(Конструктор!$P$2:$P$1212,$K237))</f>
        <v/>
      </c>
      <c r="K237">
        <f>IFERROR(MATCH(217,Конструктор!$T$2:$T$1212,0),"")</f>
        <v/>
      </c>
      <c r="L237">
        <f>IF($K237="","","показать")</f>
        <v/>
      </c>
    </row>
    <row r="238" hidden="1">
      <c r="A238">
        <f>IF($K238="","",218)</f>
        <v/>
      </c>
      <c r="B238">
        <f>IF($K238="","",INDEX(Конструктор!$C$2:$C$1212,$K238))</f>
        <v/>
      </c>
      <c r="C238" s="8">
        <f>IF($K238="","",INDEX(Конструктор!$D$2:$D$1212,$K238)&amp;IF(INDEX(Конструктор!$J$2:$J$1212,$K238)&lt;&gt;""," — "&amp;INDEX(Конструктор!$J$2:$J$1212,$K238),""))</f>
        <v/>
      </c>
      <c r="D238">
        <f>IF($K238="","",INDEX(Конструктор!$E$2:$E$1212,$K238))</f>
        <v/>
      </c>
      <c r="E238" s="10">
        <f>IF($K238="","",INDEX(Конструктор!$H$2:$H$1212,$K238))</f>
        <v/>
      </c>
      <c r="F238" s="10">
        <f>IF($K238="","",INDEX(Конструктор!$L$2:$L$1212,$K238))</f>
        <v/>
      </c>
      <c r="G238" s="10">
        <f>IF($K238="","",INDEX(Конструктор!$M$2:$M$1212,$K238))</f>
        <v/>
      </c>
      <c r="H238" s="10">
        <f>IF($K238="","",INDEX(Конструктор!$N$2:$N$1212,$K238))</f>
        <v/>
      </c>
      <c r="I238" s="10">
        <f>IF($K238="","",INDEX(Конструктор!$O$2:$O$1212,$K238))</f>
        <v/>
      </c>
      <c r="J238" s="10">
        <f>IF($K238="","",INDEX(Конструктор!$P$2:$P$1212,$K238))</f>
        <v/>
      </c>
      <c r="K238">
        <f>IFERROR(MATCH(218,Конструктор!$T$2:$T$1212,0),"")</f>
        <v/>
      </c>
      <c r="L238">
        <f>IF($K238="","","показать")</f>
        <v/>
      </c>
    </row>
    <row r="239" hidden="1">
      <c r="A239">
        <f>IF($K239="","",219)</f>
        <v/>
      </c>
      <c r="B239">
        <f>IF($K239="","",INDEX(Конструктор!$C$2:$C$1212,$K239))</f>
        <v/>
      </c>
      <c r="C239" s="8">
        <f>IF($K239="","",INDEX(Конструктор!$D$2:$D$1212,$K239)&amp;IF(INDEX(Конструктор!$J$2:$J$1212,$K239)&lt;&gt;""," — "&amp;INDEX(Конструктор!$J$2:$J$1212,$K239),""))</f>
        <v/>
      </c>
      <c r="D239">
        <f>IF($K239="","",INDEX(Конструктор!$E$2:$E$1212,$K239))</f>
        <v/>
      </c>
      <c r="E239" s="10">
        <f>IF($K239="","",INDEX(Конструктор!$H$2:$H$1212,$K239))</f>
        <v/>
      </c>
      <c r="F239" s="10">
        <f>IF($K239="","",INDEX(Конструктор!$L$2:$L$1212,$K239))</f>
        <v/>
      </c>
      <c r="G239" s="10">
        <f>IF($K239="","",INDEX(Конструктор!$M$2:$M$1212,$K239))</f>
        <v/>
      </c>
      <c r="H239" s="10">
        <f>IF($K239="","",INDEX(Конструктор!$N$2:$N$1212,$K239))</f>
        <v/>
      </c>
      <c r="I239" s="10">
        <f>IF($K239="","",INDEX(Конструктор!$O$2:$O$1212,$K239))</f>
        <v/>
      </c>
      <c r="J239" s="10">
        <f>IF($K239="","",INDEX(Конструктор!$P$2:$P$1212,$K239))</f>
        <v/>
      </c>
      <c r="K239">
        <f>IFERROR(MATCH(219,Конструктор!$T$2:$T$1212,0),"")</f>
        <v/>
      </c>
      <c r="L239">
        <f>IF($K239="","","показать")</f>
        <v/>
      </c>
    </row>
    <row r="240" hidden="1">
      <c r="A240">
        <f>IF($K240="","",220)</f>
        <v/>
      </c>
      <c r="B240">
        <f>IF($K240="","",INDEX(Конструктор!$C$2:$C$1212,$K240))</f>
        <v/>
      </c>
      <c r="C240" s="8">
        <f>IF($K240="","",INDEX(Конструктор!$D$2:$D$1212,$K240)&amp;IF(INDEX(Конструктор!$J$2:$J$1212,$K240)&lt;&gt;""," — "&amp;INDEX(Конструктор!$J$2:$J$1212,$K240),""))</f>
        <v/>
      </c>
      <c r="D240">
        <f>IF($K240="","",INDEX(Конструктор!$E$2:$E$1212,$K240))</f>
        <v/>
      </c>
      <c r="E240" s="10">
        <f>IF($K240="","",INDEX(Конструктор!$H$2:$H$1212,$K240))</f>
        <v/>
      </c>
      <c r="F240" s="10">
        <f>IF($K240="","",INDEX(Конструктор!$L$2:$L$1212,$K240))</f>
        <v/>
      </c>
      <c r="G240" s="10">
        <f>IF($K240="","",INDEX(Конструктор!$M$2:$M$1212,$K240))</f>
        <v/>
      </c>
      <c r="H240" s="10">
        <f>IF($K240="","",INDEX(Конструктор!$N$2:$N$1212,$K240))</f>
        <v/>
      </c>
      <c r="I240" s="10">
        <f>IF($K240="","",INDEX(Конструктор!$O$2:$O$1212,$K240))</f>
        <v/>
      </c>
      <c r="J240" s="10">
        <f>IF($K240="","",INDEX(Конструктор!$P$2:$P$1212,$K240))</f>
        <v/>
      </c>
      <c r="K240">
        <f>IFERROR(MATCH(220,Конструктор!$T$2:$T$1212,0),"")</f>
        <v/>
      </c>
      <c r="L240">
        <f>IF($K240="","","показать")</f>
        <v/>
      </c>
    </row>
    <row r="241" hidden="1">
      <c r="A241">
        <f>IF($K241="","",221)</f>
        <v/>
      </c>
      <c r="B241">
        <f>IF($K241="","",INDEX(Конструктор!$C$2:$C$1212,$K241))</f>
        <v/>
      </c>
      <c r="C241" s="8">
        <f>IF($K241="","",INDEX(Конструктор!$D$2:$D$1212,$K241)&amp;IF(INDEX(Конструктор!$J$2:$J$1212,$K241)&lt;&gt;""," — "&amp;INDEX(Конструктор!$J$2:$J$1212,$K241),""))</f>
        <v/>
      </c>
      <c r="D241">
        <f>IF($K241="","",INDEX(Конструктор!$E$2:$E$1212,$K241))</f>
        <v/>
      </c>
      <c r="E241" s="10">
        <f>IF($K241="","",INDEX(Конструктор!$H$2:$H$1212,$K241))</f>
        <v/>
      </c>
      <c r="F241" s="10">
        <f>IF($K241="","",INDEX(Конструктор!$L$2:$L$1212,$K241))</f>
        <v/>
      </c>
      <c r="G241" s="10">
        <f>IF($K241="","",INDEX(Конструктор!$M$2:$M$1212,$K241))</f>
        <v/>
      </c>
      <c r="H241" s="10">
        <f>IF($K241="","",INDEX(Конструктор!$N$2:$N$1212,$K241))</f>
        <v/>
      </c>
      <c r="I241" s="10">
        <f>IF($K241="","",INDEX(Конструктор!$O$2:$O$1212,$K241))</f>
        <v/>
      </c>
      <c r="J241" s="10">
        <f>IF($K241="","",INDEX(Конструктор!$P$2:$P$1212,$K241))</f>
        <v/>
      </c>
      <c r="K241">
        <f>IFERROR(MATCH(221,Конструктор!$T$2:$T$1212,0),"")</f>
        <v/>
      </c>
      <c r="L241">
        <f>IF($K241="","","показать")</f>
        <v/>
      </c>
    </row>
    <row r="242" hidden="1">
      <c r="A242">
        <f>IF($K242="","",222)</f>
        <v/>
      </c>
      <c r="B242">
        <f>IF($K242="","",INDEX(Конструктор!$C$2:$C$1212,$K242))</f>
        <v/>
      </c>
      <c r="C242" s="8">
        <f>IF($K242="","",INDEX(Конструктор!$D$2:$D$1212,$K242)&amp;IF(INDEX(Конструктор!$J$2:$J$1212,$K242)&lt;&gt;""," — "&amp;INDEX(Конструктор!$J$2:$J$1212,$K242),""))</f>
        <v/>
      </c>
      <c r="D242">
        <f>IF($K242="","",INDEX(Конструктор!$E$2:$E$1212,$K242))</f>
        <v/>
      </c>
      <c r="E242" s="10">
        <f>IF($K242="","",INDEX(Конструктор!$H$2:$H$1212,$K242))</f>
        <v/>
      </c>
      <c r="F242" s="10">
        <f>IF($K242="","",INDEX(Конструктор!$L$2:$L$1212,$K242))</f>
        <v/>
      </c>
      <c r="G242" s="10">
        <f>IF($K242="","",INDEX(Конструктор!$M$2:$M$1212,$K242))</f>
        <v/>
      </c>
      <c r="H242" s="10">
        <f>IF($K242="","",INDEX(Конструктор!$N$2:$N$1212,$K242))</f>
        <v/>
      </c>
      <c r="I242" s="10">
        <f>IF($K242="","",INDEX(Конструктор!$O$2:$O$1212,$K242))</f>
        <v/>
      </c>
      <c r="J242" s="10">
        <f>IF($K242="","",INDEX(Конструктор!$P$2:$P$1212,$K242))</f>
        <v/>
      </c>
      <c r="K242">
        <f>IFERROR(MATCH(222,Конструктор!$T$2:$T$1212,0),"")</f>
        <v/>
      </c>
      <c r="L242">
        <f>IF($K242="","","показать")</f>
        <v/>
      </c>
    </row>
    <row r="243" hidden="1">
      <c r="A243">
        <f>IF($K243="","",223)</f>
        <v/>
      </c>
      <c r="B243">
        <f>IF($K243="","",INDEX(Конструктор!$C$2:$C$1212,$K243))</f>
        <v/>
      </c>
      <c r="C243" s="8">
        <f>IF($K243="","",INDEX(Конструктор!$D$2:$D$1212,$K243)&amp;IF(INDEX(Конструктор!$J$2:$J$1212,$K243)&lt;&gt;""," — "&amp;INDEX(Конструктор!$J$2:$J$1212,$K243),""))</f>
        <v/>
      </c>
      <c r="D243">
        <f>IF($K243="","",INDEX(Конструктор!$E$2:$E$1212,$K243))</f>
        <v/>
      </c>
      <c r="E243" s="10">
        <f>IF($K243="","",INDEX(Конструктор!$H$2:$H$1212,$K243))</f>
        <v/>
      </c>
      <c r="F243" s="10">
        <f>IF($K243="","",INDEX(Конструктор!$L$2:$L$1212,$K243))</f>
        <v/>
      </c>
      <c r="G243" s="10">
        <f>IF($K243="","",INDEX(Конструктор!$M$2:$M$1212,$K243))</f>
        <v/>
      </c>
      <c r="H243" s="10">
        <f>IF($K243="","",INDEX(Конструктор!$N$2:$N$1212,$K243))</f>
        <v/>
      </c>
      <c r="I243" s="10">
        <f>IF($K243="","",INDEX(Конструктор!$O$2:$O$1212,$K243))</f>
        <v/>
      </c>
      <c r="J243" s="10">
        <f>IF($K243="","",INDEX(Конструктор!$P$2:$P$1212,$K243))</f>
        <v/>
      </c>
      <c r="K243">
        <f>IFERROR(MATCH(223,Конструктор!$T$2:$T$1212,0),"")</f>
        <v/>
      </c>
      <c r="L243">
        <f>IF($K243="","","показать")</f>
        <v/>
      </c>
    </row>
    <row r="244" hidden="1">
      <c r="A244">
        <f>IF($K244="","",224)</f>
        <v/>
      </c>
      <c r="B244">
        <f>IF($K244="","",INDEX(Конструктор!$C$2:$C$1212,$K244))</f>
        <v/>
      </c>
      <c r="C244" s="8">
        <f>IF($K244="","",INDEX(Конструктор!$D$2:$D$1212,$K244)&amp;IF(INDEX(Конструктор!$J$2:$J$1212,$K244)&lt;&gt;""," — "&amp;INDEX(Конструктор!$J$2:$J$1212,$K244),""))</f>
        <v/>
      </c>
      <c r="D244">
        <f>IF($K244="","",INDEX(Конструктор!$E$2:$E$1212,$K244))</f>
        <v/>
      </c>
      <c r="E244" s="10">
        <f>IF($K244="","",INDEX(Конструктор!$H$2:$H$1212,$K244))</f>
        <v/>
      </c>
      <c r="F244" s="10">
        <f>IF($K244="","",INDEX(Конструктор!$L$2:$L$1212,$K244))</f>
        <v/>
      </c>
      <c r="G244" s="10">
        <f>IF($K244="","",INDEX(Конструктор!$M$2:$M$1212,$K244))</f>
        <v/>
      </c>
      <c r="H244" s="10">
        <f>IF($K244="","",INDEX(Конструктор!$N$2:$N$1212,$K244))</f>
        <v/>
      </c>
      <c r="I244" s="10">
        <f>IF($K244="","",INDEX(Конструктор!$O$2:$O$1212,$K244))</f>
        <v/>
      </c>
      <c r="J244" s="10">
        <f>IF($K244="","",INDEX(Конструктор!$P$2:$P$1212,$K244))</f>
        <v/>
      </c>
      <c r="K244">
        <f>IFERROR(MATCH(224,Конструктор!$T$2:$T$1212,0),"")</f>
        <v/>
      </c>
      <c r="L244">
        <f>IF($K244="","","показать")</f>
        <v/>
      </c>
    </row>
    <row r="245" hidden="1">
      <c r="A245">
        <f>IF($K245="","",225)</f>
        <v/>
      </c>
      <c r="B245">
        <f>IF($K245="","",INDEX(Конструктор!$C$2:$C$1212,$K245))</f>
        <v/>
      </c>
      <c r="C245" s="8">
        <f>IF($K245="","",INDEX(Конструктор!$D$2:$D$1212,$K245)&amp;IF(INDEX(Конструктор!$J$2:$J$1212,$K245)&lt;&gt;""," — "&amp;INDEX(Конструктор!$J$2:$J$1212,$K245),""))</f>
        <v/>
      </c>
      <c r="D245">
        <f>IF($K245="","",INDEX(Конструктор!$E$2:$E$1212,$K245))</f>
        <v/>
      </c>
      <c r="E245" s="10">
        <f>IF($K245="","",INDEX(Конструктор!$H$2:$H$1212,$K245))</f>
        <v/>
      </c>
      <c r="F245" s="10">
        <f>IF($K245="","",INDEX(Конструктор!$L$2:$L$1212,$K245))</f>
        <v/>
      </c>
      <c r="G245" s="10">
        <f>IF($K245="","",INDEX(Конструктор!$M$2:$M$1212,$K245))</f>
        <v/>
      </c>
      <c r="H245" s="10">
        <f>IF($K245="","",INDEX(Конструктор!$N$2:$N$1212,$K245))</f>
        <v/>
      </c>
      <c r="I245" s="10">
        <f>IF($K245="","",INDEX(Конструктор!$O$2:$O$1212,$K245))</f>
        <v/>
      </c>
      <c r="J245" s="10">
        <f>IF($K245="","",INDEX(Конструктор!$P$2:$P$1212,$K245))</f>
        <v/>
      </c>
      <c r="K245">
        <f>IFERROR(MATCH(225,Конструктор!$T$2:$T$1212,0),"")</f>
        <v/>
      </c>
      <c r="L245">
        <f>IF($K245="","","показать")</f>
        <v/>
      </c>
    </row>
    <row r="246" hidden="1">
      <c r="A246">
        <f>IF($K246="","",226)</f>
        <v/>
      </c>
      <c r="B246">
        <f>IF($K246="","",INDEX(Конструктор!$C$2:$C$1212,$K246))</f>
        <v/>
      </c>
      <c r="C246" s="8">
        <f>IF($K246="","",INDEX(Конструктор!$D$2:$D$1212,$K246)&amp;IF(INDEX(Конструктор!$J$2:$J$1212,$K246)&lt;&gt;""," — "&amp;INDEX(Конструктор!$J$2:$J$1212,$K246),""))</f>
        <v/>
      </c>
      <c r="D246">
        <f>IF($K246="","",INDEX(Конструктор!$E$2:$E$1212,$K246))</f>
        <v/>
      </c>
      <c r="E246" s="10">
        <f>IF($K246="","",INDEX(Конструктор!$H$2:$H$1212,$K246))</f>
        <v/>
      </c>
      <c r="F246" s="10">
        <f>IF($K246="","",INDEX(Конструктор!$L$2:$L$1212,$K246))</f>
        <v/>
      </c>
      <c r="G246" s="10">
        <f>IF($K246="","",INDEX(Конструктор!$M$2:$M$1212,$K246))</f>
        <v/>
      </c>
      <c r="H246" s="10">
        <f>IF($K246="","",INDEX(Конструктор!$N$2:$N$1212,$K246))</f>
        <v/>
      </c>
      <c r="I246" s="10">
        <f>IF($K246="","",INDEX(Конструктор!$O$2:$O$1212,$K246))</f>
        <v/>
      </c>
      <c r="J246" s="10">
        <f>IF($K246="","",INDEX(Конструктор!$P$2:$P$1212,$K246))</f>
        <v/>
      </c>
      <c r="K246">
        <f>IFERROR(MATCH(226,Конструктор!$T$2:$T$1212,0),"")</f>
        <v/>
      </c>
      <c r="L246">
        <f>IF($K246="","","показать")</f>
        <v/>
      </c>
    </row>
    <row r="247" hidden="1">
      <c r="A247">
        <f>IF($K247="","",227)</f>
        <v/>
      </c>
      <c r="B247">
        <f>IF($K247="","",INDEX(Конструктор!$C$2:$C$1212,$K247))</f>
        <v/>
      </c>
      <c r="C247" s="8">
        <f>IF($K247="","",INDEX(Конструктор!$D$2:$D$1212,$K247)&amp;IF(INDEX(Конструктор!$J$2:$J$1212,$K247)&lt;&gt;""," — "&amp;INDEX(Конструктор!$J$2:$J$1212,$K247),""))</f>
        <v/>
      </c>
      <c r="D247">
        <f>IF($K247="","",INDEX(Конструктор!$E$2:$E$1212,$K247))</f>
        <v/>
      </c>
      <c r="E247" s="10">
        <f>IF($K247="","",INDEX(Конструктор!$H$2:$H$1212,$K247))</f>
        <v/>
      </c>
      <c r="F247" s="10">
        <f>IF($K247="","",INDEX(Конструктор!$L$2:$L$1212,$K247))</f>
        <v/>
      </c>
      <c r="G247" s="10">
        <f>IF($K247="","",INDEX(Конструктор!$M$2:$M$1212,$K247))</f>
        <v/>
      </c>
      <c r="H247" s="10">
        <f>IF($K247="","",INDEX(Конструктор!$N$2:$N$1212,$K247))</f>
        <v/>
      </c>
      <c r="I247" s="10">
        <f>IF($K247="","",INDEX(Конструктор!$O$2:$O$1212,$K247))</f>
        <v/>
      </c>
      <c r="J247" s="10">
        <f>IF($K247="","",INDEX(Конструктор!$P$2:$P$1212,$K247))</f>
        <v/>
      </c>
      <c r="K247">
        <f>IFERROR(MATCH(227,Конструктор!$T$2:$T$1212,0),"")</f>
        <v/>
      </c>
      <c r="L247">
        <f>IF($K247="","","показать")</f>
        <v/>
      </c>
    </row>
    <row r="248" hidden="1">
      <c r="A248">
        <f>IF($K248="","",228)</f>
        <v/>
      </c>
      <c r="B248">
        <f>IF($K248="","",INDEX(Конструктор!$C$2:$C$1212,$K248))</f>
        <v/>
      </c>
      <c r="C248" s="8">
        <f>IF($K248="","",INDEX(Конструктор!$D$2:$D$1212,$K248)&amp;IF(INDEX(Конструктор!$J$2:$J$1212,$K248)&lt;&gt;""," — "&amp;INDEX(Конструктор!$J$2:$J$1212,$K248),""))</f>
        <v/>
      </c>
      <c r="D248">
        <f>IF($K248="","",INDEX(Конструктор!$E$2:$E$1212,$K248))</f>
        <v/>
      </c>
      <c r="E248" s="10">
        <f>IF($K248="","",INDEX(Конструктор!$H$2:$H$1212,$K248))</f>
        <v/>
      </c>
      <c r="F248" s="10">
        <f>IF($K248="","",INDEX(Конструктор!$L$2:$L$1212,$K248))</f>
        <v/>
      </c>
      <c r="G248" s="10">
        <f>IF($K248="","",INDEX(Конструктор!$M$2:$M$1212,$K248))</f>
        <v/>
      </c>
      <c r="H248" s="10">
        <f>IF($K248="","",INDEX(Конструктор!$N$2:$N$1212,$K248))</f>
        <v/>
      </c>
      <c r="I248" s="10">
        <f>IF($K248="","",INDEX(Конструктор!$O$2:$O$1212,$K248))</f>
        <v/>
      </c>
      <c r="J248" s="10">
        <f>IF($K248="","",INDEX(Конструктор!$P$2:$P$1212,$K248))</f>
        <v/>
      </c>
      <c r="K248">
        <f>IFERROR(MATCH(228,Конструктор!$T$2:$T$1212,0),"")</f>
        <v/>
      </c>
      <c r="L248">
        <f>IF($K248="","","показать")</f>
        <v/>
      </c>
    </row>
    <row r="249" hidden="1">
      <c r="A249">
        <f>IF($K249="","",229)</f>
        <v/>
      </c>
      <c r="B249">
        <f>IF($K249="","",INDEX(Конструктор!$C$2:$C$1212,$K249))</f>
        <v/>
      </c>
      <c r="C249" s="8">
        <f>IF($K249="","",INDEX(Конструктор!$D$2:$D$1212,$K249)&amp;IF(INDEX(Конструктор!$J$2:$J$1212,$K249)&lt;&gt;""," — "&amp;INDEX(Конструктор!$J$2:$J$1212,$K249),""))</f>
        <v/>
      </c>
      <c r="D249">
        <f>IF($K249="","",INDEX(Конструктор!$E$2:$E$1212,$K249))</f>
        <v/>
      </c>
      <c r="E249" s="10">
        <f>IF($K249="","",INDEX(Конструктор!$H$2:$H$1212,$K249))</f>
        <v/>
      </c>
      <c r="F249" s="10">
        <f>IF($K249="","",INDEX(Конструктор!$L$2:$L$1212,$K249))</f>
        <v/>
      </c>
      <c r="G249" s="10">
        <f>IF($K249="","",INDEX(Конструктор!$M$2:$M$1212,$K249))</f>
        <v/>
      </c>
      <c r="H249" s="10">
        <f>IF($K249="","",INDEX(Конструктор!$N$2:$N$1212,$K249))</f>
        <v/>
      </c>
      <c r="I249" s="10">
        <f>IF($K249="","",INDEX(Конструктор!$O$2:$O$1212,$K249))</f>
        <v/>
      </c>
      <c r="J249" s="10">
        <f>IF($K249="","",INDEX(Конструктор!$P$2:$P$1212,$K249))</f>
        <v/>
      </c>
      <c r="K249">
        <f>IFERROR(MATCH(229,Конструктор!$T$2:$T$1212,0),"")</f>
        <v/>
      </c>
      <c r="L249">
        <f>IF($K249="","","показать")</f>
        <v/>
      </c>
    </row>
    <row r="250" hidden="1">
      <c r="A250">
        <f>IF($K250="","",230)</f>
        <v/>
      </c>
      <c r="B250">
        <f>IF($K250="","",INDEX(Конструктор!$C$2:$C$1212,$K250))</f>
        <v/>
      </c>
      <c r="C250" s="8">
        <f>IF($K250="","",INDEX(Конструктор!$D$2:$D$1212,$K250)&amp;IF(INDEX(Конструктор!$J$2:$J$1212,$K250)&lt;&gt;""," — "&amp;INDEX(Конструктор!$J$2:$J$1212,$K250),""))</f>
        <v/>
      </c>
      <c r="D250">
        <f>IF($K250="","",INDEX(Конструктор!$E$2:$E$1212,$K250))</f>
        <v/>
      </c>
      <c r="E250" s="10">
        <f>IF($K250="","",INDEX(Конструктор!$H$2:$H$1212,$K250))</f>
        <v/>
      </c>
      <c r="F250" s="10">
        <f>IF($K250="","",INDEX(Конструктор!$L$2:$L$1212,$K250))</f>
        <v/>
      </c>
      <c r="G250" s="10">
        <f>IF($K250="","",INDEX(Конструктор!$M$2:$M$1212,$K250))</f>
        <v/>
      </c>
      <c r="H250" s="10">
        <f>IF($K250="","",INDEX(Конструктор!$N$2:$N$1212,$K250))</f>
        <v/>
      </c>
      <c r="I250" s="10">
        <f>IF($K250="","",INDEX(Конструктор!$O$2:$O$1212,$K250))</f>
        <v/>
      </c>
      <c r="J250" s="10">
        <f>IF($K250="","",INDEX(Конструктор!$P$2:$P$1212,$K250))</f>
        <v/>
      </c>
      <c r="K250">
        <f>IFERROR(MATCH(230,Конструктор!$T$2:$T$1212,0),"")</f>
        <v/>
      </c>
      <c r="L250">
        <f>IF($K250="","","показать")</f>
        <v/>
      </c>
    </row>
    <row r="251" hidden="1">
      <c r="A251">
        <f>IF($K251="","",231)</f>
        <v/>
      </c>
      <c r="B251">
        <f>IF($K251="","",INDEX(Конструктор!$C$2:$C$1212,$K251))</f>
        <v/>
      </c>
      <c r="C251" s="8">
        <f>IF($K251="","",INDEX(Конструктор!$D$2:$D$1212,$K251)&amp;IF(INDEX(Конструктор!$J$2:$J$1212,$K251)&lt;&gt;""," — "&amp;INDEX(Конструктор!$J$2:$J$1212,$K251),""))</f>
        <v/>
      </c>
      <c r="D251">
        <f>IF($K251="","",INDEX(Конструктор!$E$2:$E$1212,$K251))</f>
        <v/>
      </c>
      <c r="E251" s="10">
        <f>IF($K251="","",INDEX(Конструктор!$H$2:$H$1212,$K251))</f>
        <v/>
      </c>
      <c r="F251" s="10">
        <f>IF($K251="","",INDEX(Конструктор!$L$2:$L$1212,$K251))</f>
        <v/>
      </c>
      <c r="G251" s="10">
        <f>IF($K251="","",INDEX(Конструктор!$M$2:$M$1212,$K251))</f>
        <v/>
      </c>
      <c r="H251" s="10">
        <f>IF($K251="","",INDEX(Конструктор!$N$2:$N$1212,$K251))</f>
        <v/>
      </c>
      <c r="I251" s="10">
        <f>IF($K251="","",INDEX(Конструктор!$O$2:$O$1212,$K251))</f>
        <v/>
      </c>
      <c r="J251" s="10">
        <f>IF($K251="","",INDEX(Конструктор!$P$2:$P$1212,$K251))</f>
        <v/>
      </c>
      <c r="K251">
        <f>IFERROR(MATCH(231,Конструктор!$T$2:$T$1212,0),"")</f>
        <v/>
      </c>
      <c r="L251">
        <f>IF($K251="","","показать")</f>
        <v/>
      </c>
    </row>
    <row r="252" hidden="1">
      <c r="A252">
        <f>IF($K252="","",232)</f>
        <v/>
      </c>
      <c r="B252">
        <f>IF($K252="","",INDEX(Конструктор!$C$2:$C$1212,$K252))</f>
        <v/>
      </c>
      <c r="C252" s="8">
        <f>IF($K252="","",INDEX(Конструктор!$D$2:$D$1212,$K252)&amp;IF(INDEX(Конструктор!$J$2:$J$1212,$K252)&lt;&gt;""," — "&amp;INDEX(Конструктор!$J$2:$J$1212,$K252),""))</f>
        <v/>
      </c>
      <c r="D252">
        <f>IF($K252="","",INDEX(Конструктор!$E$2:$E$1212,$K252))</f>
        <v/>
      </c>
      <c r="E252" s="10">
        <f>IF($K252="","",INDEX(Конструктор!$H$2:$H$1212,$K252))</f>
        <v/>
      </c>
      <c r="F252" s="10">
        <f>IF($K252="","",INDEX(Конструктор!$L$2:$L$1212,$K252))</f>
        <v/>
      </c>
      <c r="G252" s="10">
        <f>IF($K252="","",INDEX(Конструктор!$M$2:$M$1212,$K252))</f>
        <v/>
      </c>
      <c r="H252" s="10">
        <f>IF($K252="","",INDEX(Конструктор!$N$2:$N$1212,$K252))</f>
        <v/>
      </c>
      <c r="I252" s="10">
        <f>IF($K252="","",INDEX(Конструктор!$O$2:$O$1212,$K252))</f>
        <v/>
      </c>
      <c r="J252" s="10">
        <f>IF($K252="","",INDEX(Конструктор!$P$2:$P$1212,$K252))</f>
        <v/>
      </c>
      <c r="K252">
        <f>IFERROR(MATCH(232,Конструктор!$T$2:$T$1212,0),"")</f>
        <v/>
      </c>
      <c r="L252">
        <f>IF($K252="","","показать")</f>
        <v/>
      </c>
    </row>
    <row r="253" hidden="1">
      <c r="A253">
        <f>IF($K253="","",233)</f>
        <v/>
      </c>
      <c r="B253">
        <f>IF($K253="","",INDEX(Конструктор!$C$2:$C$1212,$K253))</f>
        <v/>
      </c>
      <c r="C253" s="8">
        <f>IF($K253="","",INDEX(Конструктор!$D$2:$D$1212,$K253)&amp;IF(INDEX(Конструктор!$J$2:$J$1212,$K253)&lt;&gt;""," — "&amp;INDEX(Конструктор!$J$2:$J$1212,$K253),""))</f>
        <v/>
      </c>
      <c r="D253">
        <f>IF($K253="","",INDEX(Конструктор!$E$2:$E$1212,$K253))</f>
        <v/>
      </c>
      <c r="E253" s="10">
        <f>IF($K253="","",INDEX(Конструктор!$H$2:$H$1212,$K253))</f>
        <v/>
      </c>
      <c r="F253" s="10">
        <f>IF($K253="","",INDEX(Конструктор!$L$2:$L$1212,$K253))</f>
        <v/>
      </c>
      <c r="G253" s="10">
        <f>IF($K253="","",INDEX(Конструктор!$M$2:$M$1212,$K253))</f>
        <v/>
      </c>
      <c r="H253" s="10">
        <f>IF($K253="","",INDEX(Конструктор!$N$2:$N$1212,$K253))</f>
        <v/>
      </c>
      <c r="I253" s="10">
        <f>IF($K253="","",INDEX(Конструктор!$O$2:$O$1212,$K253))</f>
        <v/>
      </c>
      <c r="J253" s="10">
        <f>IF($K253="","",INDEX(Конструктор!$P$2:$P$1212,$K253))</f>
        <v/>
      </c>
      <c r="K253">
        <f>IFERROR(MATCH(233,Конструктор!$T$2:$T$1212,0),"")</f>
        <v/>
      </c>
      <c r="L253">
        <f>IF($K253="","","показать")</f>
        <v/>
      </c>
    </row>
    <row r="254" hidden="1">
      <c r="A254">
        <f>IF($K254="","",234)</f>
        <v/>
      </c>
      <c r="B254">
        <f>IF($K254="","",INDEX(Конструктор!$C$2:$C$1212,$K254))</f>
        <v/>
      </c>
      <c r="C254" s="8">
        <f>IF($K254="","",INDEX(Конструктор!$D$2:$D$1212,$K254)&amp;IF(INDEX(Конструктор!$J$2:$J$1212,$K254)&lt;&gt;""," — "&amp;INDEX(Конструктор!$J$2:$J$1212,$K254),""))</f>
        <v/>
      </c>
      <c r="D254">
        <f>IF($K254="","",INDEX(Конструктор!$E$2:$E$1212,$K254))</f>
        <v/>
      </c>
      <c r="E254" s="10">
        <f>IF($K254="","",INDEX(Конструктор!$H$2:$H$1212,$K254))</f>
        <v/>
      </c>
      <c r="F254" s="10">
        <f>IF($K254="","",INDEX(Конструктор!$L$2:$L$1212,$K254))</f>
        <v/>
      </c>
      <c r="G254" s="10">
        <f>IF($K254="","",INDEX(Конструктор!$M$2:$M$1212,$K254))</f>
        <v/>
      </c>
      <c r="H254" s="10">
        <f>IF($K254="","",INDEX(Конструктор!$N$2:$N$1212,$K254))</f>
        <v/>
      </c>
      <c r="I254" s="10">
        <f>IF($K254="","",INDEX(Конструктор!$O$2:$O$1212,$K254))</f>
        <v/>
      </c>
      <c r="J254" s="10">
        <f>IF($K254="","",INDEX(Конструктор!$P$2:$P$1212,$K254))</f>
        <v/>
      </c>
      <c r="K254">
        <f>IFERROR(MATCH(234,Конструктор!$T$2:$T$1212,0),"")</f>
        <v/>
      </c>
      <c r="L254">
        <f>IF($K254="","","показать")</f>
        <v/>
      </c>
    </row>
    <row r="255" hidden="1">
      <c r="A255">
        <f>IF($K255="","",235)</f>
        <v/>
      </c>
      <c r="B255">
        <f>IF($K255="","",INDEX(Конструктор!$C$2:$C$1212,$K255))</f>
        <v/>
      </c>
      <c r="C255" s="8">
        <f>IF($K255="","",INDEX(Конструктор!$D$2:$D$1212,$K255)&amp;IF(INDEX(Конструктор!$J$2:$J$1212,$K255)&lt;&gt;""," — "&amp;INDEX(Конструктор!$J$2:$J$1212,$K255),""))</f>
        <v/>
      </c>
      <c r="D255">
        <f>IF($K255="","",INDEX(Конструктор!$E$2:$E$1212,$K255))</f>
        <v/>
      </c>
      <c r="E255" s="10">
        <f>IF($K255="","",INDEX(Конструктор!$H$2:$H$1212,$K255))</f>
        <v/>
      </c>
      <c r="F255" s="10">
        <f>IF($K255="","",INDEX(Конструктор!$L$2:$L$1212,$K255))</f>
        <v/>
      </c>
      <c r="G255" s="10">
        <f>IF($K255="","",INDEX(Конструктор!$M$2:$M$1212,$K255))</f>
        <v/>
      </c>
      <c r="H255" s="10">
        <f>IF($K255="","",INDEX(Конструктор!$N$2:$N$1212,$K255))</f>
        <v/>
      </c>
      <c r="I255" s="10">
        <f>IF($K255="","",INDEX(Конструктор!$O$2:$O$1212,$K255))</f>
        <v/>
      </c>
      <c r="J255" s="10">
        <f>IF($K255="","",INDEX(Конструктор!$P$2:$P$1212,$K255))</f>
        <v/>
      </c>
      <c r="K255">
        <f>IFERROR(MATCH(235,Конструктор!$T$2:$T$1212,0),"")</f>
        <v/>
      </c>
      <c r="L255">
        <f>IF($K255="","","показать")</f>
        <v/>
      </c>
    </row>
    <row r="256" hidden="1">
      <c r="A256">
        <f>IF($K256="","",236)</f>
        <v/>
      </c>
      <c r="B256">
        <f>IF($K256="","",INDEX(Конструктор!$C$2:$C$1212,$K256))</f>
        <v/>
      </c>
      <c r="C256" s="8">
        <f>IF($K256="","",INDEX(Конструктор!$D$2:$D$1212,$K256)&amp;IF(INDEX(Конструктор!$J$2:$J$1212,$K256)&lt;&gt;""," — "&amp;INDEX(Конструктор!$J$2:$J$1212,$K256),""))</f>
        <v/>
      </c>
      <c r="D256">
        <f>IF($K256="","",INDEX(Конструктор!$E$2:$E$1212,$K256))</f>
        <v/>
      </c>
      <c r="E256" s="10">
        <f>IF($K256="","",INDEX(Конструктор!$H$2:$H$1212,$K256))</f>
        <v/>
      </c>
      <c r="F256" s="10">
        <f>IF($K256="","",INDEX(Конструктор!$L$2:$L$1212,$K256))</f>
        <v/>
      </c>
      <c r="G256" s="10">
        <f>IF($K256="","",INDEX(Конструктор!$M$2:$M$1212,$K256))</f>
        <v/>
      </c>
      <c r="H256" s="10">
        <f>IF($K256="","",INDEX(Конструктор!$N$2:$N$1212,$K256))</f>
        <v/>
      </c>
      <c r="I256" s="10">
        <f>IF($K256="","",INDEX(Конструктор!$O$2:$O$1212,$K256))</f>
        <v/>
      </c>
      <c r="J256" s="10">
        <f>IF($K256="","",INDEX(Конструктор!$P$2:$P$1212,$K256))</f>
        <v/>
      </c>
      <c r="K256">
        <f>IFERROR(MATCH(236,Конструктор!$T$2:$T$1212,0),"")</f>
        <v/>
      </c>
      <c r="L256">
        <f>IF($K256="","","показать")</f>
        <v/>
      </c>
    </row>
    <row r="257" hidden="1">
      <c r="A257">
        <f>IF($K257="","",237)</f>
        <v/>
      </c>
      <c r="B257">
        <f>IF($K257="","",INDEX(Конструктор!$C$2:$C$1212,$K257))</f>
        <v/>
      </c>
      <c r="C257" s="8">
        <f>IF($K257="","",INDEX(Конструктор!$D$2:$D$1212,$K257)&amp;IF(INDEX(Конструктор!$J$2:$J$1212,$K257)&lt;&gt;""," — "&amp;INDEX(Конструктор!$J$2:$J$1212,$K257),""))</f>
        <v/>
      </c>
      <c r="D257">
        <f>IF($K257="","",INDEX(Конструктор!$E$2:$E$1212,$K257))</f>
        <v/>
      </c>
      <c r="E257" s="10">
        <f>IF($K257="","",INDEX(Конструктор!$H$2:$H$1212,$K257))</f>
        <v/>
      </c>
      <c r="F257" s="10">
        <f>IF($K257="","",INDEX(Конструктор!$L$2:$L$1212,$K257))</f>
        <v/>
      </c>
      <c r="G257" s="10">
        <f>IF($K257="","",INDEX(Конструктор!$M$2:$M$1212,$K257))</f>
        <v/>
      </c>
      <c r="H257" s="10">
        <f>IF($K257="","",INDEX(Конструктор!$N$2:$N$1212,$K257))</f>
        <v/>
      </c>
      <c r="I257" s="10">
        <f>IF($K257="","",INDEX(Конструктор!$O$2:$O$1212,$K257))</f>
        <v/>
      </c>
      <c r="J257" s="10">
        <f>IF($K257="","",INDEX(Конструктор!$P$2:$P$1212,$K257))</f>
        <v/>
      </c>
      <c r="K257">
        <f>IFERROR(MATCH(237,Конструктор!$T$2:$T$1212,0),"")</f>
        <v/>
      </c>
      <c r="L257">
        <f>IF($K257="","","показать")</f>
        <v/>
      </c>
    </row>
    <row r="258" hidden="1">
      <c r="A258">
        <f>IF($K258="","",238)</f>
        <v/>
      </c>
      <c r="B258">
        <f>IF($K258="","",INDEX(Конструктор!$C$2:$C$1212,$K258))</f>
        <v/>
      </c>
      <c r="C258" s="8">
        <f>IF($K258="","",INDEX(Конструктор!$D$2:$D$1212,$K258)&amp;IF(INDEX(Конструктор!$J$2:$J$1212,$K258)&lt;&gt;""," — "&amp;INDEX(Конструктор!$J$2:$J$1212,$K258),""))</f>
        <v/>
      </c>
      <c r="D258">
        <f>IF($K258="","",INDEX(Конструктор!$E$2:$E$1212,$K258))</f>
        <v/>
      </c>
      <c r="E258" s="10">
        <f>IF($K258="","",INDEX(Конструктор!$H$2:$H$1212,$K258))</f>
        <v/>
      </c>
      <c r="F258" s="10">
        <f>IF($K258="","",INDEX(Конструктор!$L$2:$L$1212,$K258))</f>
        <v/>
      </c>
      <c r="G258" s="10">
        <f>IF($K258="","",INDEX(Конструктор!$M$2:$M$1212,$K258))</f>
        <v/>
      </c>
      <c r="H258" s="10">
        <f>IF($K258="","",INDEX(Конструктор!$N$2:$N$1212,$K258))</f>
        <v/>
      </c>
      <c r="I258" s="10">
        <f>IF($K258="","",INDEX(Конструктор!$O$2:$O$1212,$K258))</f>
        <v/>
      </c>
      <c r="J258" s="10">
        <f>IF($K258="","",INDEX(Конструктор!$P$2:$P$1212,$K258))</f>
        <v/>
      </c>
      <c r="K258">
        <f>IFERROR(MATCH(238,Конструктор!$T$2:$T$1212,0),"")</f>
        <v/>
      </c>
      <c r="L258">
        <f>IF($K258="","","показать")</f>
        <v/>
      </c>
    </row>
    <row r="259" hidden="1">
      <c r="A259">
        <f>IF($K259="","",239)</f>
        <v/>
      </c>
      <c r="B259">
        <f>IF($K259="","",INDEX(Конструктор!$C$2:$C$1212,$K259))</f>
        <v/>
      </c>
      <c r="C259" s="8">
        <f>IF($K259="","",INDEX(Конструктор!$D$2:$D$1212,$K259)&amp;IF(INDEX(Конструктор!$J$2:$J$1212,$K259)&lt;&gt;""," — "&amp;INDEX(Конструктор!$J$2:$J$1212,$K259),""))</f>
        <v/>
      </c>
      <c r="D259">
        <f>IF($K259="","",INDEX(Конструктор!$E$2:$E$1212,$K259))</f>
        <v/>
      </c>
      <c r="E259" s="10">
        <f>IF($K259="","",INDEX(Конструктор!$H$2:$H$1212,$K259))</f>
        <v/>
      </c>
      <c r="F259" s="10">
        <f>IF($K259="","",INDEX(Конструктор!$L$2:$L$1212,$K259))</f>
        <v/>
      </c>
      <c r="G259" s="10">
        <f>IF($K259="","",INDEX(Конструктор!$M$2:$M$1212,$K259))</f>
        <v/>
      </c>
      <c r="H259" s="10">
        <f>IF($K259="","",INDEX(Конструктор!$N$2:$N$1212,$K259))</f>
        <v/>
      </c>
      <c r="I259" s="10">
        <f>IF($K259="","",INDEX(Конструктор!$O$2:$O$1212,$K259))</f>
        <v/>
      </c>
      <c r="J259" s="10">
        <f>IF($K259="","",INDEX(Конструктор!$P$2:$P$1212,$K259))</f>
        <v/>
      </c>
      <c r="K259">
        <f>IFERROR(MATCH(239,Конструктор!$T$2:$T$1212,0),"")</f>
        <v/>
      </c>
      <c r="L259">
        <f>IF($K259="","","показать")</f>
        <v/>
      </c>
    </row>
    <row r="260" hidden="1">
      <c r="A260">
        <f>IF($K260="","",240)</f>
        <v/>
      </c>
      <c r="B260">
        <f>IF($K260="","",INDEX(Конструктор!$C$2:$C$1212,$K260))</f>
        <v/>
      </c>
      <c r="C260" s="8">
        <f>IF($K260="","",INDEX(Конструктор!$D$2:$D$1212,$K260)&amp;IF(INDEX(Конструктор!$J$2:$J$1212,$K260)&lt;&gt;""," — "&amp;INDEX(Конструктор!$J$2:$J$1212,$K260),""))</f>
        <v/>
      </c>
      <c r="D260">
        <f>IF($K260="","",INDEX(Конструктор!$E$2:$E$1212,$K260))</f>
        <v/>
      </c>
      <c r="E260" s="10">
        <f>IF($K260="","",INDEX(Конструктор!$H$2:$H$1212,$K260))</f>
        <v/>
      </c>
      <c r="F260" s="10">
        <f>IF($K260="","",INDEX(Конструктор!$L$2:$L$1212,$K260))</f>
        <v/>
      </c>
      <c r="G260" s="10">
        <f>IF($K260="","",INDEX(Конструктор!$M$2:$M$1212,$K260))</f>
        <v/>
      </c>
      <c r="H260" s="10">
        <f>IF($K260="","",INDEX(Конструктор!$N$2:$N$1212,$K260))</f>
        <v/>
      </c>
      <c r="I260" s="10">
        <f>IF($K260="","",INDEX(Конструктор!$O$2:$O$1212,$K260))</f>
        <v/>
      </c>
      <c r="J260" s="10">
        <f>IF($K260="","",INDEX(Конструктор!$P$2:$P$1212,$K260))</f>
        <v/>
      </c>
      <c r="K260">
        <f>IFERROR(MATCH(240,Конструктор!$T$2:$T$1212,0),"")</f>
        <v/>
      </c>
      <c r="L260">
        <f>IF($K260="","","показать")</f>
        <v/>
      </c>
    </row>
    <row r="261" hidden="1">
      <c r="A261">
        <f>IF($K261="","",241)</f>
        <v/>
      </c>
      <c r="B261">
        <f>IF($K261="","",INDEX(Конструктор!$C$2:$C$1212,$K261))</f>
        <v/>
      </c>
      <c r="C261" s="8">
        <f>IF($K261="","",INDEX(Конструктор!$D$2:$D$1212,$K261)&amp;IF(INDEX(Конструктор!$J$2:$J$1212,$K261)&lt;&gt;""," — "&amp;INDEX(Конструктор!$J$2:$J$1212,$K261),""))</f>
        <v/>
      </c>
      <c r="D261">
        <f>IF($K261="","",INDEX(Конструктор!$E$2:$E$1212,$K261))</f>
        <v/>
      </c>
      <c r="E261" s="10">
        <f>IF($K261="","",INDEX(Конструктор!$H$2:$H$1212,$K261))</f>
        <v/>
      </c>
      <c r="F261" s="10">
        <f>IF($K261="","",INDEX(Конструктор!$L$2:$L$1212,$K261))</f>
        <v/>
      </c>
      <c r="G261" s="10">
        <f>IF($K261="","",INDEX(Конструктор!$M$2:$M$1212,$K261))</f>
        <v/>
      </c>
      <c r="H261" s="10">
        <f>IF($K261="","",INDEX(Конструктор!$N$2:$N$1212,$K261))</f>
        <v/>
      </c>
      <c r="I261" s="10">
        <f>IF($K261="","",INDEX(Конструктор!$O$2:$O$1212,$K261))</f>
        <v/>
      </c>
      <c r="J261" s="10">
        <f>IF($K261="","",INDEX(Конструктор!$P$2:$P$1212,$K261))</f>
        <v/>
      </c>
      <c r="K261">
        <f>IFERROR(MATCH(241,Конструктор!$T$2:$T$1212,0),"")</f>
        <v/>
      </c>
      <c r="L261">
        <f>IF($K261="","","показать")</f>
        <v/>
      </c>
    </row>
    <row r="262" hidden="1">
      <c r="A262">
        <f>IF($K262="","",242)</f>
        <v/>
      </c>
      <c r="B262">
        <f>IF($K262="","",INDEX(Конструктор!$C$2:$C$1212,$K262))</f>
        <v/>
      </c>
      <c r="C262" s="8">
        <f>IF($K262="","",INDEX(Конструктор!$D$2:$D$1212,$K262)&amp;IF(INDEX(Конструктор!$J$2:$J$1212,$K262)&lt;&gt;""," — "&amp;INDEX(Конструктор!$J$2:$J$1212,$K262),""))</f>
        <v/>
      </c>
      <c r="D262">
        <f>IF($K262="","",INDEX(Конструктор!$E$2:$E$1212,$K262))</f>
        <v/>
      </c>
      <c r="E262" s="10">
        <f>IF($K262="","",INDEX(Конструктор!$H$2:$H$1212,$K262))</f>
        <v/>
      </c>
      <c r="F262" s="10">
        <f>IF($K262="","",INDEX(Конструктор!$L$2:$L$1212,$K262))</f>
        <v/>
      </c>
      <c r="G262" s="10">
        <f>IF($K262="","",INDEX(Конструктор!$M$2:$M$1212,$K262))</f>
        <v/>
      </c>
      <c r="H262" s="10">
        <f>IF($K262="","",INDEX(Конструктор!$N$2:$N$1212,$K262))</f>
        <v/>
      </c>
      <c r="I262" s="10">
        <f>IF($K262="","",INDEX(Конструктор!$O$2:$O$1212,$K262))</f>
        <v/>
      </c>
      <c r="J262" s="10">
        <f>IF($K262="","",INDEX(Конструктор!$P$2:$P$1212,$K262))</f>
        <v/>
      </c>
      <c r="K262">
        <f>IFERROR(MATCH(242,Конструктор!$T$2:$T$1212,0),"")</f>
        <v/>
      </c>
      <c r="L262">
        <f>IF($K262="","","показать")</f>
        <v/>
      </c>
    </row>
    <row r="263" hidden="1">
      <c r="A263">
        <f>IF($K263="","",243)</f>
        <v/>
      </c>
      <c r="B263">
        <f>IF($K263="","",INDEX(Конструктор!$C$2:$C$1212,$K263))</f>
        <v/>
      </c>
      <c r="C263" s="8">
        <f>IF($K263="","",INDEX(Конструктор!$D$2:$D$1212,$K263)&amp;IF(INDEX(Конструктор!$J$2:$J$1212,$K263)&lt;&gt;""," — "&amp;INDEX(Конструктор!$J$2:$J$1212,$K263),""))</f>
        <v/>
      </c>
      <c r="D263">
        <f>IF($K263="","",INDEX(Конструктор!$E$2:$E$1212,$K263))</f>
        <v/>
      </c>
      <c r="E263" s="10">
        <f>IF($K263="","",INDEX(Конструктор!$H$2:$H$1212,$K263))</f>
        <v/>
      </c>
      <c r="F263" s="10">
        <f>IF($K263="","",INDEX(Конструктор!$L$2:$L$1212,$K263))</f>
        <v/>
      </c>
      <c r="G263" s="10">
        <f>IF($K263="","",INDEX(Конструктор!$M$2:$M$1212,$K263))</f>
        <v/>
      </c>
      <c r="H263" s="10">
        <f>IF($K263="","",INDEX(Конструктор!$N$2:$N$1212,$K263))</f>
        <v/>
      </c>
      <c r="I263" s="10">
        <f>IF($K263="","",INDEX(Конструктор!$O$2:$O$1212,$K263))</f>
        <v/>
      </c>
      <c r="J263" s="10">
        <f>IF($K263="","",INDEX(Конструктор!$P$2:$P$1212,$K263))</f>
        <v/>
      </c>
      <c r="K263">
        <f>IFERROR(MATCH(243,Конструктор!$T$2:$T$1212,0),"")</f>
        <v/>
      </c>
      <c r="L263">
        <f>IF($K263="","","показать")</f>
        <v/>
      </c>
    </row>
    <row r="264" hidden="1">
      <c r="A264">
        <f>IF($K264="","",244)</f>
        <v/>
      </c>
      <c r="B264">
        <f>IF($K264="","",INDEX(Конструктор!$C$2:$C$1212,$K264))</f>
        <v/>
      </c>
      <c r="C264" s="8">
        <f>IF($K264="","",INDEX(Конструктор!$D$2:$D$1212,$K264)&amp;IF(INDEX(Конструктор!$J$2:$J$1212,$K264)&lt;&gt;""," — "&amp;INDEX(Конструктор!$J$2:$J$1212,$K264),""))</f>
        <v/>
      </c>
      <c r="D264">
        <f>IF($K264="","",INDEX(Конструктор!$E$2:$E$1212,$K264))</f>
        <v/>
      </c>
      <c r="E264" s="10">
        <f>IF($K264="","",INDEX(Конструктор!$H$2:$H$1212,$K264))</f>
        <v/>
      </c>
      <c r="F264" s="10">
        <f>IF($K264="","",INDEX(Конструктор!$L$2:$L$1212,$K264))</f>
        <v/>
      </c>
      <c r="G264" s="10">
        <f>IF($K264="","",INDEX(Конструктор!$M$2:$M$1212,$K264))</f>
        <v/>
      </c>
      <c r="H264" s="10">
        <f>IF($K264="","",INDEX(Конструктор!$N$2:$N$1212,$K264))</f>
        <v/>
      </c>
      <c r="I264" s="10">
        <f>IF($K264="","",INDEX(Конструктор!$O$2:$O$1212,$K264))</f>
        <v/>
      </c>
      <c r="J264" s="10">
        <f>IF($K264="","",INDEX(Конструктор!$P$2:$P$1212,$K264))</f>
        <v/>
      </c>
      <c r="K264">
        <f>IFERROR(MATCH(244,Конструктор!$T$2:$T$1212,0),"")</f>
        <v/>
      </c>
      <c r="L264">
        <f>IF($K264="","","показать")</f>
        <v/>
      </c>
    </row>
    <row r="265" hidden="1">
      <c r="A265">
        <f>IF($K265="","",245)</f>
        <v/>
      </c>
      <c r="B265">
        <f>IF($K265="","",INDEX(Конструктор!$C$2:$C$1212,$K265))</f>
        <v/>
      </c>
      <c r="C265" s="8">
        <f>IF($K265="","",INDEX(Конструктор!$D$2:$D$1212,$K265)&amp;IF(INDEX(Конструктор!$J$2:$J$1212,$K265)&lt;&gt;""," — "&amp;INDEX(Конструктор!$J$2:$J$1212,$K265),""))</f>
        <v/>
      </c>
      <c r="D265">
        <f>IF($K265="","",INDEX(Конструктор!$E$2:$E$1212,$K265))</f>
        <v/>
      </c>
      <c r="E265" s="10">
        <f>IF($K265="","",INDEX(Конструктор!$H$2:$H$1212,$K265))</f>
        <v/>
      </c>
      <c r="F265" s="10">
        <f>IF($K265="","",INDEX(Конструктор!$L$2:$L$1212,$K265))</f>
        <v/>
      </c>
      <c r="G265" s="10">
        <f>IF($K265="","",INDEX(Конструктор!$M$2:$M$1212,$K265))</f>
        <v/>
      </c>
      <c r="H265" s="10">
        <f>IF($K265="","",INDEX(Конструктор!$N$2:$N$1212,$K265))</f>
        <v/>
      </c>
      <c r="I265" s="10">
        <f>IF($K265="","",INDEX(Конструктор!$O$2:$O$1212,$K265))</f>
        <v/>
      </c>
      <c r="J265" s="10">
        <f>IF($K265="","",INDEX(Конструктор!$P$2:$P$1212,$K265))</f>
        <v/>
      </c>
      <c r="K265">
        <f>IFERROR(MATCH(245,Конструктор!$T$2:$T$1212,0),"")</f>
        <v/>
      </c>
      <c r="L265">
        <f>IF($K265="","","показать")</f>
        <v/>
      </c>
    </row>
    <row r="266" hidden="1">
      <c r="A266">
        <f>IF($K266="","",246)</f>
        <v/>
      </c>
      <c r="B266">
        <f>IF($K266="","",INDEX(Конструктор!$C$2:$C$1212,$K266))</f>
        <v/>
      </c>
      <c r="C266" s="8">
        <f>IF($K266="","",INDEX(Конструктор!$D$2:$D$1212,$K266)&amp;IF(INDEX(Конструктор!$J$2:$J$1212,$K266)&lt;&gt;""," — "&amp;INDEX(Конструктор!$J$2:$J$1212,$K266),""))</f>
        <v/>
      </c>
      <c r="D266">
        <f>IF($K266="","",INDEX(Конструктор!$E$2:$E$1212,$K266))</f>
        <v/>
      </c>
      <c r="E266" s="10">
        <f>IF($K266="","",INDEX(Конструктор!$H$2:$H$1212,$K266))</f>
        <v/>
      </c>
      <c r="F266" s="10">
        <f>IF($K266="","",INDEX(Конструктор!$L$2:$L$1212,$K266))</f>
        <v/>
      </c>
      <c r="G266" s="10">
        <f>IF($K266="","",INDEX(Конструктор!$M$2:$M$1212,$K266))</f>
        <v/>
      </c>
      <c r="H266" s="10">
        <f>IF($K266="","",INDEX(Конструктор!$N$2:$N$1212,$K266))</f>
        <v/>
      </c>
      <c r="I266" s="10">
        <f>IF($K266="","",INDEX(Конструктор!$O$2:$O$1212,$K266))</f>
        <v/>
      </c>
      <c r="J266" s="10">
        <f>IF($K266="","",INDEX(Конструктор!$P$2:$P$1212,$K266))</f>
        <v/>
      </c>
      <c r="K266">
        <f>IFERROR(MATCH(246,Конструктор!$T$2:$T$1212,0),"")</f>
        <v/>
      </c>
      <c r="L266">
        <f>IF($K266="","","показать")</f>
        <v/>
      </c>
    </row>
    <row r="267" hidden="1">
      <c r="A267">
        <f>IF($K267="","",247)</f>
        <v/>
      </c>
      <c r="B267">
        <f>IF($K267="","",INDEX(Конструктор!$C$2:$C$1212,$K267))</f>
        <v/>
      </c>
      <c r="C267" s="8">
        <f>IF($K267="","",INDEX(Конструктор!$D$2:$D$1212,$K267)&amp;IF(INDEX(Конструктор!$J$2:$J$1212,$K267)&lt;&gt;""," — "&amp;INDEX(Конструктор!$J$2:$J$1212,$K267),""))</f>
        <v/>
      </c>
      <c r="D267">
        <f>IF($K267="","",INDEX(Конструктор!$E$2:$E$1212,$K267))</f>
        <v/>
      </c>
      <c r="E267" s="10">
        <f>IF($K267="","",INDEX(Конструктор!$H$2:$H$1212,$K267))</f>
        <v/>
      </c>
      <c r="F267" s="10">
        <f>IF($K267="","",INDEX(Конструктор!$L$2:$L$1212,$K267))</f>
        <v/>
      </c>
      <c r="G267" s="10">
        <f>IF($K267="","",INDEX(Конструктор!$M$2:$M$1212,$K267))</f>
        <v/>
      </c>
      <c r="H267" s="10">
        <f>IF($K267="","",INDEX(Конструктор!$N$2:$N$1212,$K267))</f>
        <v/>
      </c>
      <c r="I267" s="10">
        <f>IF($K267="","",INDEX(Конструктор!$O$2:$O$1212,$K267))</f>
        <v/>
      </c>
      <c r="J267" s="10">
        <f>IF($K267="","",INDEX(Конструктор!$P$2:$P$1212,$K267))</f>
        <v/>
      </c>
      <c r="K267">
        <f>IFERROR(MATCH(247,Конструктор!$T$2:$T$1212,0),"")</f>
        <v/>
      </c>
      <c r="L267">
        <f>IF($K267="","","показать")</f>
        <v/>
      </c>
    </row>
    <row r="268" hidden="1">
      <c r="A268">
        <f>IF($K268="","",248)</f>
        <v/>
      </c>
      <c r="B268">
        <f>IF($K268="","",INDEX(Конструктор!$C$2:$C$1212,$K268))</f>
        <v/>
      </c>
      <c r="C268" s="8">
        <f>IF($K268="","",INDEX(Конструктор!$D$2:$D$1212,$K268)&amp;IF(INDEX(Конструктор!$J$2:$J$1212,$K268)&lt;&gt;""," — "&amp;INDEX(Конструктор!$J$2:$J$1212,$K268),""))</f>
        <v/>
      </c>
      <c r="D268">
        <f>IF($K268="","",INDEX(Конструктор!$E$2:$E$1212,$K268))</f>
        <v/>
      </c>
      <c r="E268" s="10">
        <f>IF($K268="","",INDEX(Конструктор!$H$2:$H$1212,$K268))</f>
        <v/>
      </c>
      <c r="F268" s="10">
        <f>IF($K268="","",INDEX(Конструктор!$L$2:$L$1212,$K268))</f>
        <v/>
      </c>
      <c r="G268" s="10">
        <f>IF($K268="","",INDEX(Конструктор!$M$2:$M$1212,$K268))</f>
        <v/>
      </c>
      <c r="H268" s="10">
        <f>IF($K268="","",INDEX(Конструктор!$N$2:$N$1212,$K268))</f>
        <v/>
      </c>
      <c r="I268" s="10">
        <f>IF($K268="","",INDEX(Конструктор!$O$2:$O$1212,$K268))</f>
        <v/>
      </c>
      <c r="J268" s="10">
        <f>IF($K268="","",INDEX(Конструктор!$P$2:$P$1212,$K268))</f>
        <v/>
      </c>
      <c r="K268">
        <f>IFERROR(MATCH(248,Конструктор!$T$2:$T$1212,0),"")</f>
        <v/>
      </c>
      <c r="L268">
        <f>IF($K268="","","показать")</f>
        <v/>
      </c>
    </row>
    <row r="269" hidden="1">
      <c r="A269">
        <f>IF($K269="","",249)</f>
        <v/>
      </c>
      <c r="B269">
        <f>IF($K269="","",INDEX(Конструктор!$C$2:$C$1212,$K269))</f>
        <v/>
      </c>
      <c r="C269" s="8">
        <f>IF($K269="","",INDEX(Конструктор!$D$2:$D$1212,$K269)&amp;IF(INDEX(Конструктор!$J$2:$J$1212,$K269)&lt;&gt;""," — "&amp;INDEX(Конструктор!$J$2:$J$1212,$K269),""))</f>
        <v/>
      </c>
      <c r="D269">
        <f>IF($K269="","",INDEX(Конструктор!$E$2:$E$1212,$K269))</f>
        <v/>
      </c>
      <c r="E269" s="10">
        <f>IF($K269="","",INDEX(Конструктор!$H$2:$H$1212,$K269))</f>
        <v/>
      </c>
      <c r="F269" s="10">
        <f>IF($K269="","",INDEX(Конструктор!$L$2:$L$1212,$K269))</f>
        <v/>
      </c>
      <c r="G269" s="10">
        <f>IF($K269="","",INDEX(Конструктор!$M$2:$M$1212,$K269))</f>
        <v/>
      </c>
      <c r="H269" s="10">
        <f>IF($K269="","",INDEX(Конструктор!$N$2:$N$1212,$K269))</f>
        <v/>
      </c>
      <c r="I269" s="10">
        <f>IF($K269="","",INDEX(Конструктор!$O$2:$O$1212,$K269))</f>
        <v/>
      </c>
      <c r="J269" s="10">
        <f>IF($K269="","",INDEX(Конструктор!$P$2:$P$1212,$K269))</f>
        <v/>
      </c>
      <c r="K269">
        <f>IFERROR(MATCH(249,Конструктор!$T$2:$T$1212,0),"")</f>
        <v/>
      </c>
      <c r="L269">
        <f>IF($K269="","","показать")</f>
        <v/>
      </c>
    </row>
    <row r="270" hidden="1">
      <c r="A270">
        <f>IF($K270="","",250)</f>
        <v/>
      </c>
      <c r="B270">
        <f>IF($K270="","",INDEX(Конструктор!$C$2:$C$1212,$K270))</f>
        <v/>
      </c>
      <c r="C270" s="8">
        <f>IF($K270="","",INDEX(Конструктор!$D$2:$D$1212,$K270)&amp;IF(INDEX(Конструктор!$J$2:$J$1212,$K270)&lt;&gt;""," — "&amp;INDEX(Конструктор!$J$2:$J$1212,$K270),""))</f>
        <v/>
      </c>
      <c r="D270">
        <f>IF($K270="","",INDEX(Конструктор!$E$2:$E$1212,$K270))</f>
        <v/>
      </c>
      <c r="E270" s="10">
        <f>IF($K270="","",INDEX(Конструктор!$H$2:$H$1212,$K270))</f>
        <v/>
      </c>
      <c r="F270" s="10">
        <f>IF($K270="","",INDEX(Конструктор!$L$2:$L$1212,$K270))</f>
        <v/>
      </c>
      <c r="G270" s="10">
        <f>IF($K270="","",INDEX(Конструктор!$M$2:$M$1212,$K270))</f>
        <v/>
      </c>
      <c r="H270" s="10">
        <f>IF($K270="","",INDEX(Конструктор!$N$2:$N$1212,$K270))</f>
        <v/>
      </c>
      <c r="I270" s="10">
        <f>IF($K270="","",INDEX(Конструктор!$O$2:$O$1212,$K270))</f>
        <v/>
      </c>
      <c r="J270" s="10">
        <f>IF($K270="","",INDEX(Конструктор!$P$2:$P$1212,$K270))</f>
        <v/>
      </c>
      <c r="K270">
        <f>IFERROR(MATCH(250,Конструктор!$T$2:$T$1212,0),"")</f>
        <v/>
      </c>
      <c r="L270">
        <f>IF($K270="","","показать")</f>
        <v/>
      </c>
    </row>
    <row r="271" hidden="1">
      <c r="A271">
        <f>IF($K271="","",251)</f>
        <v/>
      </c>
      <c r="B271">
        <f>IF($K271="","",INDEX(Конструктор!$C$2:$C$1212,$K271))</f>
        <v/>
      </c>
      <c r="C271" s="8">
        <f>IF($K271="","",INDEX(Конструктор!$D$2:$D$1212,$K271)&amp;IF(INDEX(Конструктор!$J$2:$J$1212,$K271)&lt;&gt;""," — "&amp;INDEX(Конструктор!$J$2:$J$1212,$K271),""))</f>
        <v/>
      </c>
      <c r="D271">
        <f>IF($K271="","",INDEX(Конструктор!$E$2:$E$1212,$K271))</f>
        <v/>
      </c>
      <c r="E271" s="10">
        <f>IF($K271="","",INDEX(Конструктор!$H$2:$H$1212,$K271))</f>
        <v/>
      </c>
      <c r="F271" s="10">
        <f>IF($K271="","",INDEX(Конструктор!$L$2:$L$1212,$K271))</f>
        <v/>
      </c>
      <c r="G271" s="10">
        <f>IF($K271="","",INDEX(Конструктор!$M$2:$M$1212,$K271))</f>
        <v/>
      </c>
      <c r="H271" s="10">
        <f>IF($K271="","",INDEX(Конструктор!$N$2:$N$1212,$K271))</f>
        <v/>
      </c>
      <c r="I271" s="10">
        <f>IF($K271="","",INDEX(Конструктор!$O$2:$O$1212,$K271))</f>
        <v/>
      </c>
      <c r="J271" s="10">
        <f>IF($K271="","",INDEX(Конструктор!$P$2:$P$1212,$K271))</f>
        <v/>
      </c>
      <c r="K271">
        <f>IFERROR(MATCH(251,Конструктор!$T$2:$T$1212,0),"")</f>
        <v/>
      </c>
      <c r="L271">
        <f>IF($K271="","","показать")</f>
        <v/>
      </c>
    </row>
    <row r="272" hidden="1">
      <c r="A272">
        <f>IF($K272="","",252)</f>
        <v/>
      </c>
      <c r="B272">
        <f>IF($K272="","",INDEX(Конструктор!$C$2:$C$1212,$K272))</f>
        <v/>
      </c>
      <c r="C272" s="8">
        <f>IF($K272="","",INDEX(Конструктор!$D$2:$D$1212,$K272)&amp;IF(INDEX(Конструктор!$J$2:$J$1212,$K272)&lt;&gt;""," — "&amp;INDEX(Конструктор!$J$2:$J$1212,$K272),""))</f>
        <v/>
      </c>
      <c r="D272">
        <f>IF($K272="","",INDEX(Конструктор!$E$2:$E$1212,$K272))</f>
        <v/>
      </c>
      <c r="E272" s="10">
        <f>IF($K272="","",INDEX(Конструктор!$H$2:$H$1212,$K272))</f>
        <v/>
      </c>
      <c r="F272" s="10">
        <f>IF($K272="","",INDEX(Конструктор!$L$2:$L$1212,$K272))</f>
        <v/>
      </c>
      <c r="G272" s="10">
        <f>IF($K272="","",INDEX(Конструктор!$M$2:$M$1212,$K272))</f>
        <v/>
      </c>
      <c r="H272" s="10">
        <f>IF($K272="","",INDEX(Конструктор!$N$2:$N$1212,$K272))</f>
        <v/>
      </c>
      <c r="I272" s="10">
        <f>IF($K272="","",INDEX(Конструктор!$O$2:$O$1212,$K272))</f>
        <v/>
      </c>
      <c r="J272" s="10">
        <f>IF($K272="","",INDEX(Конструктор!$P$2:$P$1212,$K272))</f>
        <v/>
      </c>
      <c r="K272">
        <f>IFERROR(MATCH(252,Конструктор!$T$2:$T$1212,0),"")</f>
        <v/>
      </c>
      <c r="L272">
        <f>IF($K272="","","показать")</f>
        <v/>
      </c>
    </row>
    <row r="273" hidden="1">
      <c r="A273">
        <f>IF($K273="","",253)</f>
        <v/>
      </c>
      <c r="B273">
        <f>IF($K273="","",INDEX(Конструктор!$C$2:$C$1212,$K273))</f>
        <v/>
      </c>
      <c r="C273" s="8">
        <f>IF($K273="","",INDEX(Конструктор!$D$2:$D$1212,$K273)&amp;IF(INDEX(Конструктор!$J$2:$J$1212,$K273)&lt;&gt;""," — "&amp;INDEX(Конструктор!$J$2:$J$1212,$K273),""))</f>
        <v/>
      </c>
      <c r="D273">
        <f>IF($K273="","",INDEX(Конструктор!$E$2:$E$1212,$K273))</f>
        <v/>
      </c>
      <c r="E273" s="10">
        <f>IF($K273="","",INDEX(Конструктор!$H$2:$H$1212,$K273))</f>
        <v/>
      </c>
      <c r="F273" s="10">
        <f>IF($K273="","",INDEX(Конструктор!$L$2:$L$1212,$K273))</f>
        <v/>
      </c>
      <c r="G273" s="10">
        <f>IF($K273="","",INDEX(Конструктор!$M$2:$M$1212,$K273))</f>
        <v/>
      </c>
      <c r="H273" s="10">
        <f>IF($K273="","",INDEX(Конструктор!$N$2:$N$1212,$K273))</f>
        <v/>
      </c>
      <c r="I273" s="10">
        <f>IF($K273="","",INDEX(Конструктор!$O$2:$O$1212,$K273))</f>
        <v/>
      </c>
      <c r="J273" s="10">
        <f>IF($K273="","",INDEX(Конструктор!$P$2:$P$1212,$K273))</f>
        <v/>
      </c>
      <c r="K273">
        <f>IFERROR(MATCH(253,Конструктор!$T$2:$T$1212,0),"")</f>
        <v/>
      </c>
      <c r="L273">
        <f>IF($K273="","","показать")</f>
        <v/>
      </c>
    </row>
    <row r="274" hidden="1">
      <c r="A274">
        <f>IF($K274="","",254)</f>
        <v/>
      </c>
      <c r="B274">
        <f>IF($K274="","",INDEX(Конструктор!$C$2:$C$1212,$K274))</f>
        <v/>
      </c>
      <c r="C274" s="8">
        <f>IF($K274="","",INDEX(Конструктор!$D$2:$D$1212,$K274)&amp;IF(INDEX(Конструктор!$J$2:$J$1212,$K274)&lt;&gt;""," — "&amp;INDEX(Конструктор!$J$2:$J$1212,$K274),""))</f>
        <v/>
      </c>
      <c r="D274">
        <f>IF($K274="","",INDEX(Конструктор!$E$2:$E$1212,$K274))</f>
        <v/>
      </c>
      <c r="E274" s="10">
        <f>IF($K274="","",INDEX(Конструктор!$H$2:$H$1212,$K274))</f>
        <v/>
      </c>
      <c r="F274" s="10">
        <f>IF($K274="","",INDEX(Конструктор!$L$2:$L$1212,$K274))</f>
        <v/>
      </c>
      <c r="G274" s="10">
        <f>IF($K274="","",INDEX(Конструктор!$M$2:$M$1212,$K274))</f>
        <v/>
      </c>
      <c r="H274" s="10">
        <f>IF($K274="","",INDEX(Конструктор!$N$2:$N$1212,$K274))</f>
        <v/>
      </c>
      <c r="I274" s="10">
        <f>IF($K274="","",INDEX(Конструктор!$O$2:$O$1212,$K274))</f>
        <v/>
      </c>
      <c r="J274" s="10">
        <f>IF($K274="","",INDEX(Конструктор!$P$2:$P$1212,$K274))</f>
        <v/>
      </c>
      <c r="K274">
        <f>IFERROR(MATCH(254,Конструктор!$T$2:$T$1212,0),"")</f>
        <v/>
      </c>
      <c r="L274">
        <f>IF($K274="","","показать")</f>
        <v/>
      </c>
    </row>
    <row r="275" hidden="1">
      <c r="A275">
        <f>IF($K275="","",255)</f>
        <v/>
      </c>
      <c r="B275">
        <f>IF($K275="","",INDEX(Конструктор!$C$2:$C$1212,$K275))</f>
        <v/>
      </c>
      <c r="C275" s="8">
        <f>IF($K275="","",INDEX(Конструктор!$D$2:$D$1212,$K275)&amp;IF(INDEX(Конструктор!$J$2:$J$1212,$K275)&lt;&gt;""," — "&amp;INDEX(Конструктор!$J$2:$J$1212,$K275),""))</f>
        <v/>
      </c>
      <c r="D275">
        <f>IF($K275="","",INDEX(Конструктор!$E$2:$E$1212,$K275))</f>
        <v/>
      </c>
      <c r="E275" s="10">
        <f>IF($K275="","",INDEX(Конструктор!$H$2:$H$1212,$K275))</f>
        <v/>
      </c>
      <c r="F275" s="10">
        <f>IF($K275="","",INDEX(Конструктор!$L$2:$L$1212,$K275))</f>
        <v/>
      </c>
      <c r="G275" s="10">
        <f>IF($K275="","",INDEX(Конструктор!$M$2:$M$1212,$K275))</f>
        <v/>
      </c>
      <c r="H275" s="10">
        <f>IF($K275="","",INDEX(Конструктор!$N$2:$N$1212,$K275))</f>
        <v/>
      </c>
      <c r="I275" s="10">
        <f>IF($K275="","",INDEX(Конструктор!$O$2:$O$1212,$K275))</f>
        <v/>
      </c>
      <c r="J275" s="10">
        <f>IF($K275="","",INDEX(Конструктор!$P$2:$P$1212,$K275))</f>
        <v/>
      </c>
      <c r="K275">
        <f>IFERROR(MATCH(255,Конструктор!$T$2:$T$1212,0),"")</f>
        <v/>
      </c>
      <c r="L275">
        <f>IF($K275="","","показать")</f>
        <v/>
      </c>
    </row>
    <row r="276" hidden="1">
      <c r="A276">
        <f>IF($K276="","",256)</f>
        <v/>
      </c>
      <c r="B276">
        <f>IF($K276="","",INDEX(Конструктор!$C$2:$C$1212,$K276))</f>
        <v/>
      </c>
      <c r="C276" s="8">
        <f>IF($K276="","",INDEX(Конструктор!$D$2:$D$1212,$K276)&amp;IF(INDEX(Конструктор!$J$2:$J$1212,$K276)&lt;&gt;""," — "&amp;INDEX(Конструктор!$J$2:$J$1212,$K276),""))</f>
        <v/>
      </c>
      <c r="D276">
        <f>IF($K276="","",INDEX(Конструктор!$E$2:$E$1212,$K276))</f>
        <v/>
      </c>
      <c r="E276" s="10">
        <f>IF($K276="","",INDEX(Конструктор!$H$2:$H$1212,$K276))</f>
        <v/>
      </c>
      <c r="F276" s="10">
        <f>IF($K276="","",INDEX(Конструктор!$L$2:$L$1212,$K276))</f>
        <v/>
      </c>
      <c r="G276" s="10">
        <f>IF($K276="","",INDEX(Конструктор!$M$2:$M$1212,$K276))</f>
        <v/>
      </c>
      <c r="H276" s="10">
        <f>IF($K276="","",INDEX(Конструктор!$N$2:$N$1212,$K276))</f>
        <v/>
      </c>
      <c r="I276" s="10">
        <f>IF($K276="","",INDEX(Конструктор!$O$2:$O$1212,$K276))</f>
        <v/>
      </c>
      <c r="J276" s="10">
        <f>IF($K276="","",INDEX(Конструктор!$P$2:$P$1212,$K276))</f>
        <v/>
      </c>
      <c r="K276">
        <f>IFERROR(MATCH(256,Конструктор!$T$2:$T$1212,0),"")</f>
        <v/>
      </c>
      <c r="L276">
        <f>IF($K276="","","показать")</f>
        <v/>
      </c>
    </row>
    <row r="277" hidden="1">
      <c r="A277">
        <f>IF($K277="","",257)</f>
        <v/>
      </c>
      <c r="B277">
        <f>IF($K277="","",INDEX(Конструктор!$C$2:$C$1212,$K277))</f>
        <v/>
      </c>
      <c r="C277" s="8">
        <f>IF($K277="","",INDEX(Конструктор!$D$2:$D$1212,$K277)&amp;IF(INDEX(Конструктор!$J$2:$J$1212,$K277)&lt;&gt;""," — "&amp;INDEX(Конструктор!$J$2:$J$1212,$K277),""))</f>
        <v/>
      </c>
      <c r="D277">
        <f>IF($K277="","",INDEX(Конструктор!$E$2:$E$1212,$K277))</f>
        <v/>
      </c>
      <c r="E277" s="10">
        <f>IF($K277="","",INDEX(Конструктор!$H$2:$H$1212,$K277))</f>
        <v/>
      </c>
      <c r="F277" s="10">
        <f>IF($K277="","",INDEX(Конструктор!$L$2:$L$1212,$K277))</f>
        <v/>
      </c>
      <c r="G277" s="10">
        <f>IF($K277="","",INDEX(Конструктор!$M$2:$M$1212,$K277))</f>
        <v/>
      </c>
      <c r="H277" s="10">
        <f>IF($K277="","",INDEX(Конструктор!$N$2:$N$1212,$K277))</f>
        <v/>
      </c>
      <c r="I277" s="10">
        <f>IF($K277="","",INDEX(Конструктор!$O$2:$O$1212,$K277))</f>
        <v/>
      </c>
      <c r="J277" s="10">
        <f>IF($K277="","",INDEX(Конструктор!$P$2:$P$1212,$K277))</f>
        <v/>
      </c>
      <c r="K277">
        <f>IFERROR(MATCH(257,Конструктор!$T$2:$T$1212,0),"")</f>
        <v/>
      </c>
      <c r="L277">
        <f>IF($K277="","","показать")</f>
        <v/>
      </c>
    </row>
    <row r="278" hidden="1">
      <c r="A278">
        <f>IF($K278="","",258)</f>
        <v/>
      </c>
      <c r="B278">
        <f>IF($K278="","",INDEX(Конструктор!$C$2:$C$1212,$K278))</f>
        <v/>
      </c>
      <c r="C278" s="8">
        <f>IF($K278="","",INDEX(Конструктор!$D$2:$D$1212,$K278)&amp;IF(INDEX(Конструктор!$J$2:$J$1212,$K278)&lt;&gt;""," — "&amp;INDEX(Конструктор!$J$2:$J$1212,$K278),""))</f>
        <v/>
      </c>
      <c r="D278">
        <f>IF($K278="","",INDEX(Конструктор!$E$2:$E$1212,$K278))</f>
        <v/>
      </c>
      <c r="E278" s="10">
        <f>IF($K278="","",INDEX(Конструктор!$H$2:$H$1212,$K278))</f>
        <v/>
      </c>
      <c r="F278" s="10">
        <f>IF($K278="","",INDEX(Конструктор!$L$2:$L$1212,$K278))</f>
        <v/>
      </c>
      <c r="G278" s="10">
        <f>IF($K278="","",INDEX(Конструктор!$M$2:$M$1212,$K278))</f>
        <v/>
      </c>
      <c r="H278" s="10">
        <f>IF($K278="","",INDEX(Конструктор!$N$2:$N$1212,$K278))</f>
        <v/>
      </c>
      <c r="I278" s="10">
        <f>IF($K278="","",INDEX(Конструктор!$O$2:$O$1212,$K278))</f>
        <v/>
      </c>
      <c r="J278" s="10">
        <f>IF($K278="","",INDEX(Конструктор!$P$2:$P$1212,$K278))</f>
        <v/>
      </c>
      <c r="K278">
        <f>IFERROR(MATCH(258,Конструктор!$T$2:$T$1212,0),"")</f>
        <v/>
      </c>
      <c r="L278">
        <f>IF($K278="","","показать")</f>
        <v/>
      </c>
    </row>
    <row r="279" hidden="1">
      <c r="A279">
        <f>IF($K279="","",259)</f>
        <v/>
      </c>
      <c r="B279">
        <f>IF($K279="","",INDEX(Конструктор!$C$2:$C$1212,$K279))</f>
        <v/>
      </c>
      <c r="C279" s="8">
        <f>IF($K279="","",INDEX(Конструктор!$D$2:$D$1212,$K279)&amp;IF(INDEX(Конструктор!$J$2:$J$1212,$K279)&lt;&gt;""," — "&amp;INDEX(Конструктор!$J$2:$J$1212,$K279),""))</f>
        <v/>
      </c>
      <c r="D279">
        <f>IF($K279="","",INDEX(Конструктор!$E$2:$E$1212,$K279))</f>
        <v/>
      </c>
      <c r="E279" s="10">
        <f>IF($K279="","",INDEX(Конструктор!$H$2:$H$1212,$K279))</f>
        <v/>
      </c>
      <c r="F279" s="10">
        <f>IF($K279="","",INDEX(Конструктор!$L$2:$L$1212,$K279))</f>
        <v/>
      </c>
      <c r="G279" s="10">
        <f>IF($K279="","",INDEX(Конструктор!$M$2:$M$1212,$K279))</f>
        <v/>
      </c>
      <c r="H279" s="10">
        <f>IF($K279="","",INDEX(Конструктор!$N$2:$N$1212,$K279))</f>
        <v/>
      </c>
      <c r="I279" s="10">
        <f>IF($K279="","",INDEX(Конструктор!$O$2:$O$1212,$K279))</f>
        <v/>
      </c>
      <c r="J279" s="10">
        <f>IF($K279="","",INDEX(Конструктор!$P$2:$P$1212,$K279))</f>
        <v/>
      </c>
      <c r="K279">
        <f>IFERROR(MATCH(259,Конструктор!$T$2:$T$1212,0),"")</f>
        <v/>
      </c>
      <c r="L279">
        <f>IF($K279="","","показать")</f>
        <v/>
      </c>
    </row>
    <row r="280" hidden="1">
      <c r="A280">
        <f>IF($K280="","",260)</f>
        <v/>
      </c>
      <c r="B280">
        <f>IF($K280="","",INDEX(Конструктор!$C$2:$C$1212,$K280))</f>
        <v/>
      </c>
      <c r="C280" s="8">
        <f>IF($K280="","",INDEX(Конструктор!$D$2:$D$1212,$K280)&amp;IF(INDEX(Конструктор!$J$2:$J$1212,$K280)&lt;&gt;""," — "&amp;INDEX(Конструктор!$J$2:$J$1212,$K280),""))</f>
        <v/>
      </c>
      <c r="D280">
        <f>IF($K280="","",INDEX(Конструктор!$E$2:$E$1212,$K280))</f>
        <v/>
      </c>
      <c r="E280" s="10">
        <f>IF($K280="","",INDEX(Конструктор!$H$2:$H$1212,$K280))</f>
        <v/>
      </c>
      <c r="F280" s="10">
        <f>IF($K280="","",INDEX(Конструктор!$L$2:$L$1212,$K280))</f>
        <v/>
      </c>
      <c r="G280" s="10">
        <f>IF($K280="","",INDEX(Конструктор!$M$2:$M$1212,$K280))</f>
        <v/>
      </c>
      <c r="H280" s="10">
        <f>IF($K280="","",INDEX(Конструктор!$N$2:$N$1212,$K280))</f>
        <v/>
      </c>
      <c r="I280" s="10">
        <f>IF($K280="","",INDEX(Конструктор!$O$2:$O$1212,$K280))</f>
        <v/>
      </c>
      <c r="J280" s="10">
        <f>IF($K280="","",INDEX(Конструктор!$P$2:$P$1212,$K280))</f>
        <v/>
      </c>
      <c r="K280">
        <f>IFERROR(MATCH(260,Конструктор!$T$2:$T$1212,0),"")</f>
        <v/>
      </c>
      <c r="L280">
        <f>IF($K280="","","показать")</f>
        <v/>
      </c>
    </row>
    <row r="281" hidden="1">
      <c r="A281">
        <f>IF($K281="","",261)</f>
        <v/>
      </c>
      <c r="B281">
        <f>IF($K281="","",INDEX(Конструктор!$C$2:$C$1212,$K281))</f>
        <v/>
      </c>
      <c r="C281" s="8">
        <f>IF($K281="","",INDEX(Конструктор!$D$2:$D$1212,$K281)&amp;IF(INDEX(Конструктор!$J$2:$J$1212,$K281)&lt;&gt;""," — "&amp;INDEX(Конструктор!$J$2:$J$1212,$K281),""))</f>
        <v/>
      </c>
      <c r="D281">
        <f>IF($K281="","",INDEX(Конструктор!$E$2:$E$1212,$K281))</f>
        <v/>
      </c>
      <c r="E281" s="10">
        <f>IF($K281="","",INDEX(Конструктор!$H$2:$H$1212,$K281))</f>
        <v/>
      </c>
      <c r="F281" s="10">
        <f>IF($K281="","",INDEX(Конструктор!$L$2:$L$1212,$K281))</f>
        <v/>
      </c>
      <c r="G281" s="10">
        <f>IF($K281="","",INDEX(Конструктор!$M$2:$M$1212,$K281))</f>
        <v/>
      </c>
      <c r="H281" s="10">
        <f>IF($K281="","",INDEX(Конструктор!$N$2:$N$1212,$K281))</f>
        <v/>
      </c>
      <c r="I281" s="10">
        <f>IF($K281="","",INDEX(Конструктор!$O$2:$O$1212,$K281))</f>
        <v/>
      </c>
      <c r="J281" s="10">
        <f>IF($K281="","",INDEX(Конструктор!$P$2:$P$1212,$K281))</f>
        <v/>
      </c>
      <c r="K281">
        <f>IFERROR(MATCH(261,Конструктор!$T$2:$T$1212,0),"")</f>
        <v/>
      </c>
      <c r="L281">
        <f>IF($K281="","","показать")</f>
        <v/>
      </c>
    </row>
    <row r="282" hidden="1">
      <c r="A282">
        <f>IF($K282="","",262)</f>
        <v/>
      </c>
      <c r="B282">
        <f>IF($K282="","",INDEX(Конструктор!$C$2:$C$1212,$K282))</f>
        <v/>
      </c>
      <c r="C282" s="8">
        <f>IF($K282="","",INDEX(Конструктор!$D$2:$D$1212,$K282)&amp;IF(INDEX(Конструктор!$J$2:$J$1212,$K282)&lt;&gt;""," — "&amp;INDEX(Конструктор!$J$2:$J$1212,$K282),""))</f>
        <v/>
      </c>
      <c r="D282">
        <f>IF($K282="","",INDEX(Конструктор!$E$2:$E$1212,$K282))</f>
        <v/>
      </c>
      <c r="E282" s="10">
        <f>IF($K282="","",INDEX(Конструктор!$H$2:$H$1212,$K282))</f>
        <v/>
      </c>
      <c r="F282" s="10">
        <f>IF($K282="","",INDEX(Конструктор!$L$2:$L$1212,$K282))</f>
        <v/>
      </c>
      <c r="G282" s="10">
        <f>IF($K282="","",INDEX(Конструктор!$M$2:$M$1212,$K282))</f>
        <v/>
      </c>
      <c r="H282" s="10">
        <f>IF($K282="","",INDEX(Конструктор!$N$2:$N$1212,$K282))</f>
        <v/>
      </c>
      <c r="I282" s="10">
        <f>IF($K282="","",INDEX(Конструктор!$O$2:$O$1212,$K282))</f>
        <v/>
      </c>
      <c r="J282" s="10">
        <f>IF($K282="","",INDEX(Конструктор!$P$2:$P$1212,$K282))</f>
        <v/>
      </c>
      <c r="K282">
        <f>IFERROR(MATCH(262,Конструктор!$T$2:$T$1212,0),"")</f>
        <v/>
      </c>
      <c r="L282">
        <f>IF($K282="","","показать")</f>
        <v/>
      </c>
    </row>
    <row r="283" hidden="1">
      <c r="A283">
        <f>IF($K283="","",263)</f>
        <v/>
      </c>
      <c r="B283">
        <f>IF($K283="","",INDEX(Конструктор!$C$2:$C$1212,$K283))</f>
        <v/>
      </c>
      <c r="C283" s="8">
        <f>IF($K283="","",INDEX(Конструктор!$D$2:$D$1212,$K283)&amp;IF(INDEX(Конструктор!$J$2:$J$1212,$K283)&lt;&gt;""," — "&amp;INDEX(Конструктор!$J$2:$J$1212,$K283),""))</f>
        <v/>
      </c>
      <c r="D283">
        <f>IF($K283="","",INDEX(Конструктор!$E$2:$E$1212,$K283))</f>
        <v/>
      </c>
      <c r="E283" s="10">
        <f>IF($K283="","",INDEX(Конструктор!$H$2:$H$1212,$K283))</f>
        <v/>
      </c>
      <c r="F283" s="10">
        <f>IF($K283="","",INDEX(Конструктор!$L$2:$L$1212,$K283))</f>
        <v/>
      </c>
      <c r="G283" s="10">
        <f>IF($K283="","",INDEX(Конструктор!$M$2:$M$1212,$K283))</f>
        <v/>
      </c>
      <c r="H283" s="10">
        <f>IF($K283="","",INDEX(Конструктор!$N$2:$N$1212,$K283))</f>
        <v/>
      </c>
      <c r="I283" s="10">
        <f>IF($K283="","",INDEX(Конструктор!$O$2:$O$1212,$K283))</f>
        <v/>
      </c>
      <c r="J283" s="10">
        <f>IF($K283="","",INDEX(Конструктор!$P$2:$P$1212,$K283))</f>
        <v/>
      </c>
      <c r="K283">
        <f>IFERROR(MATCH(263,Конструктор!$T$2:$T$1212,0),"")</f>
        <v/>
      </c>
      <c r="L283">
        <f>IF($K283="","","показать")</f>
        <v/>
      </c>
    </row>
    <row r="284" hidden="1">
      <c r="A284">
        <f>IF($K284="","",264)</f>
        <v/>
      </c>
      <c r="B284">
        <f>IF($K284="","",INDEX(Конструктор!$C$2:$C$1212,$K284))</f>
        <v/>
      </c>
      <c r="C284" s="8">
        <f>IF($K284="","",INDEX(Конструктор!$D$2:$D$1212,$K284)&amp;IF(INDEX(Конструктор!$J$2:$J$1212,$K284)&lt;&gt;""," — "&amp;INDEX(Конструктор!$J$2:$J$1212,$K284),""))</f>
        <v/>
      </c>
      <c r="D284">
        <f>IF($K284="","",INDEX(Конструктор!$E$2:$E$1212,$K284))</f>
        <v/>
      </c>
      <c r="E284" s="10">
        <f>IF($K284="","",INDEX(Конструктор!$H$2:$H$1212,$K284))</f>
        <v/>
      </c>
      <c r="F284" s="10">
        <f>IF($K284="","",INDEX(Конструктор!$L$2:$L$1212,$K284))</f>
        <v/>
      </c>
      <c r="G284" s="10">
        <f>IF($K284="","",INDEX(Конструктор!$M$2:$M$1212,$K284))</f>
        <v/>
      </c>
      <c r="H284" s="10">
        <f>IF($K284="","",INDEX(Конструктор!$N$2:$N$1212,$K284))</f>
        <v/>
      </c>
      <c r="I284" s="10">
        <f>IF($K284="","",INDEX(Конструктор!$O$2:$O$1212,$K284))</f>
        <v/>
      </c>
      <c r="J284" s="10">
        <f>IF($K284="","",INDEX(Конструктор!$P$2:$P$1212,$K284))</f>
        <v/>
      </c>
      <c r="K284">
        <f>IFERROR(MATCH(264,Конструктор!$T$2:$T$1212,0),"")</f>
        <v/>
      </c>
      <c r="L284">
        <f>IF($K284="","","показать")</f>
        <v/>
      </c>
    </row>
    <row r="285" hidden="1">
      <c r="A285">
        <f>IF($K285="","",265)</f>
        <v/>
      </c>
      <c r="B285">
        <f>IF($K285="","",INDEX(Конструктор!$C$2:$C$1212,$K285))</f>
        <v/>
      </c>
      <c r="C285" s="8">
        <f>IF($K285="","",INDEX(Конструктор!$D$2:$D$1212,$K285)&amp;IF(INDEX(Конструктор!$J$2:$J$1212,$K285)&lt;&gt;""," — "&amp;INDEX(Конструктор!$J$2:$J$1212,$K285),""))</f>
        <v/>
      </c>
      <c r="D285">
        <f>IF($K285="","",INDEX(Конструктор!$E$2:$E$1212,$K285))</f>
        <v/>
      </c>
      <c r="E285" s="10">
        <f>IF($K285="","",INDEX(Конструктор!$H$2:$H$1212,$K285))</f>
        <v/>
      </c>
      <c r="F285" s="10">
        <f>IF($K285="","",INDEX(Конструктор!$L$2:$L$1212,$K285))</f>
        <v/>
      </c>
      <c r="G285" s="10">
        <f>IF($K285="","",INDEX(Конструктор!$M$2:$M$1212,$K285))</f>
        <v/>
      </c>
      <c r="H285" s="10">
        <f>IF($K285="","",INDEX(Конструктор!$N$2:$N$1212,$K285))</f>
        <v/>
      </c>
      <c r="I285" s="10">
        <f>IF($K285="","",INDEX(Конструктор!$O$2:$O$1212,$K285))</f>
        <v/>
      </c>
      <c r="J285" s="10">
        <f>IF($K285="","",INDEX(Конструктор!$P$2:$P$1212,$K285))</f>
        <v/>
      </c>
      <c r="K285">
        <f>IFERROR(MATCH(265,Конструктор!$T$2:$T$1212,0),"")</f>
        <v/>
      </c>
      <c r="L285">
        <f>IF($K285="","","показать")</f>
        <v/>
      </c>
    </row>
    <row r="286" hidden="1">
      <c r="A286">
        <f>IF($K286="","",266)</f>
        <v/>
      </c>
      <c r="B286">
        <f>IF($K286="","",INDEX(Конструктор!$C$2:$C$1212,$K286))</f>
        <v/>
      </c>
      <c r="C286" s="8">
        <f>IF($K286="","",INDEX(Конструктор!$D$2:$D$1212,$K286)&amp;IF(INDEX(Конструктор!$J$2:$J$1212,$K286)&lt;&gt;""," — "&amp;INDEX(Конструктор!$J$2:$J$1212,$K286),""))</f>
        <v/>
      </c>
      <c r="D286">
        <f>IF($K286="","",INDEX(Конструктор!$E$2:$E$1212,$K286))</f>
        <v/>
      </c>
      <c r="E286" s="10">
        <f>IF($K286="","",INDEX(Конструктор!$H$2:$H$1212,$K286))</f>
        <v/>
      </c>
      <c r="F286" s="10">
        <f>IF($K286="","",INDEX(Конструктор!$L$2:$L$1212,$K286))</f>
        <v/>
      </c>
      <c r="G286" s="10">
        <f>IF($K286="","",INDEX(Конструктор!$M$2:$M$1212,$K286))</f>
        <v/>
      </c>
      <c r="H286" s="10">
        <f>IF($K286="","",INDEX(Конструктор!$N$2:$N$1212,$K286))</f>
        <v/>
      </c>
      <c r="I286" s="10">
        <f>IF($K286="","",INDEX(Конструктор!$O$2:$O$1212,$K286))</f>
        <v/>
      </c>
      <c r="J286" s="10">
        <f>IF($K286="","",INDEX(Конструктор!$P$2:$P$1212,$K286))</f>
        <v/>
      </c>
      <c r="K286">
        <f>IFERROR(MATCH(266,Конструктор!$T$2:$T$1212,0),"")</f>
        <v/>
      </c>
      <c r="L286">
        <f>IF($K286="","","показать")</f>
        <v/>
      </c>
    </row>
    <row r="287" hidden="1">
      <c r="A287">
        <f>IF($K287="","",267)</f>
        <v/>
      </c>
      <c r="B287">
        <f>IF($K287="","",INDEX(Конструктор!$C$2:$C$1212,$K287))</f>
        <v/>
      </c>
      <c r="C287" s="8">
        <f>IF($K287="","",INDEX(Конструктор!$D$2:$D$1212,$K287)&amp;IF(INDEX(Конструктор!$J$2:$J$1212,$K287)&lt;&gt;""," — "&amp;INDEX(Конструктор!$J$2:$J$1212,$K287),""))</f>
        <v/>
      </c>
      <c r="D287">
        <f>IF($K287="","",INDEX(Конструктор!$E$2:$E$1212,$K287))</f>
        <v/>
      </c>
      <c r="E287" s="10">
        <f>IF($K287="","",INDEX(Конструктор!$H$2:$H$1212,$K287))</f>
        <v/>
      </c>
      <c r="F287" s="10">
        <f>IF($K287="","",INDEX(Конструктор!$L$2:$L$1212,$K287))</f>
        <v/>
      </c>
      <c r="G287" s="10">
        <f>IF($K287="","",INDEX(Конструктор!$M$2:$M$1212,$K287))</f>
        <v/>
      </c>
      <c r="H287" s="10">
        <f>IF($K287="","",INDEX(Конструктор!$N$2:$N$1212,$K287))</f>
        <v/>
      </c>
      <c r="I287" s="10">
        <f>IF($K287="","",INDEX(Конструктор!$O$2:$O$1212,$K287))</f>
        <v/>
      </c>
      <c r="J287" s="10">
        <f>IF($K287="","",INDEX(Конструктор!$P$2:$P$1212,$K287))</f>
        <v/>
      </c>
      <c r="K287">
        <f>IFERROR(MATCH(267,Конструктор!$T$2:$T$1212,0),"")</f>
        <v/>
      </c>
      <c r="L287">
        <f>IF($K287="","","показать")</f>
        <v/>
      </c>
    </row>
    <row r="288" hidden="1">
      <c r="A288">
        <f>IF($K288="","",268)</f>
        <v/>
      </c>
      <c r="B288">
        <f>IF($K288="","",INDEX(Конструктор!$C$2:$C$1212,$K288))</f>
        <v/>
      </c>
      <c r="C288" s="8">
        <f>IF($K288="","",INDEX(Конструктор!$D$2:$D$1212,$K288)&amp;IF(INDEX(Конструктор!$J$2:$J$1212,$K288)&lt;&gt;""," — "&amp;INDEX(Конструктор!$J$2:$J$1212,$K288),""))</f>
        <v/>
      </c>
      <c r="D288">
        <f>IF($K288="","",INDEX(Конструктор!$E$2:$E$1212,$K288))</f>
        <v/>
      </c>
      <c r="E288" s="10">
        <f>IF($K288="","",INDEX(Конструктор!$H$2:$H$1212,$K288))</f>
        <v/>
      </c>
      <c r="F288" s="10">
        <f>IF($K288="","",INDEX(Конструктор!$L$2:$L$1212,$K288))</f>
        <v/>
      </c>
      <c r="G288" s="10">
        <f>IF($K288="","",INDEX(Конструктор!$M$2:$M$1212,$K288))</f>
        <v/>
      </c>
      <c r="H288" s="10">
        <f>IF($K288="","",INDEX(Конструктор!$N$2:$N$1212,$K288))</f>
        <v/>
      </c>
      <c r="I288" s="10">
        <f>IF($K288="","",INDEX(Конструктор!$O$2:$O$1212,$K288))</f>
        <v/>
      </c>
      <c r="J288" s="10">
        <f>IF($K288="","",INDEX(Конструктор!$P$2:$P$1212,$K288))</f>
        <v/>
      </c>
      <c r="K288">
        <f>IFERROR(MATCH(268,Конструктор!$T$2:$T$1212,0),"")</f>
        <v/>
      </c>
      <c r="L288">
        <f>IF($K288="","","показать")</f>
        <v/>
      </c>
    </row>
    <row r="289" hidden="1">
      <c r="A289">
        <f>IF($K289="","",269)</f>
        <v/>
      </c>
      <c r="B289">
        <f>IF($K289="","",INDEX(Конструктор!$C$2:$C$1212,$K289))</f>
        <v/>
      </c>
      <c r="C289" s="8">
        <f>IF($K289="","",INDEX(Конструктор!$D$2:$D$1212,$K289)&amp;IF(INDEX(Конструктор!$J$2:$J$1212,$K289)&lt;&gt;""," — "&amp;INDEX(Конструктор!$J$2:$J$1212,$K289),""))</f>
        <v/>
      </c>
      <c r="D289">
        <f>IF($K289="","",INDEX(Конструктор!$E$2:$E$1212,$K289))</f>
        <v/>
      </c>
      <c r="E289" s="10">
        <f>IF($K289="","",INDEX(Конструктор!$H$2:$H$1212,$K289))</f>
        <v/>
      </c>
      <c r="F289" s="10">
        <f>IF($K289="","",INDEX(Конструктор!$L$2:$L$1212,$K289))</f>
        <v/>
      </c>
      <c r="G289" s="10">
        <f>IF($K289="","",INDEX(Конструктор!$M$2:$M$1212,$K289))</f>
        <v/>
      </c>
      <c r="H289" s="10">
        <f>IF($K289="","",INDEX(Конструктор!$N$2:$N$1212,$K289))</f>
        <v/>
      </c>
      <c r="I289" s="10">
        <f>IF($K289="","",INDEX(Конструктор!$O$2:$O$1212,$K289))</f>
        <v/>
      </c>
      <c r="J289" s="10">
        <f>IF($K289="","",INDEX(Конструктор!$P$2:$P$1212,$K289))</f>
        <v/>
      </c>
      <c r="K289">
        <f>IFERROR(MATCH(269,Конструктор!$T$2:$T$1212,0),"")</f>
        <v/>
      </c>
      <c r="L289">
        <f>IF($K289="","","показать")</f>
        <v/>
      </c>
    </row>
    <row r="290" hidden="1">
      <c r="A290">
        <f>IF($K290="","",270)</f>
        <v/>
      </c>
      <c r="B290">
        <f>IF($K290="","",INDEX(Конструктор!$C$2:$C$1212,$K290))</f>
        <v/>
      </c>
      <c r="C290" s="8">
        <f>IF($K290="","",INDEX(Конструктор!$D$2:$D$1212,$K290)&amp;IF(INDEX(Конструктор!$J$2:$J$1212,$K290)&lt;&gt;""," — "&amp;INDEX(Конструктор!$J$2:$J$1212,$K290),""))</f>
        <v/>
      </c>
      <c r="D290">
        <f>IF($K290="","",INDEX(Конструктор!$E$2:$E$1212,$K290))</f>
        <v/>
      </c>
      <c r="E290" s="10">
        <f>IF($K290="","",INDEX(Конструктор!$H$2:$H$1212,$K290))</f>
        <v/>
      </c>
      <c r="F290" s="10">
        <f>IF($K290="","",INDEX(Конструктор!$L$2:$L$1212,$K290))</f>
        <v/>
      </c>
      <c r="G290" s="10">
        <f>IF($K290="","",INDEX(Конструктор!$M$2:$M$1212,$K290))</f>
        <v/>
      </c>
      <c r="H290" s="10">
        <f>IF($K290="","",INDEX(Конструктор!$N$2:$N$1212,$K290))</f>
        <v/>
      </c>
      <c r="I290" s="10">
        <f>IF($K290="","",INDEX(Конструктор!$O$2:$O$1212,$K290))</f>
        <v/>
      </c>
      <c r="J290" s="10">
        <f>IF($K290="","",INDEX(Конструктор!$P$2:$P$1212,$K290))</f>
        <v/>
      </c>
      <c r="K290">
        <f>IFERROR(MATCH(270,Конструктор!$T$2:$T$1212,0),"")</f>
        <v/>
      </c>
      <c r="L290">
        <f>IF($K290="","","показать")</f>
        <v/>
      </c>
    </row>
    <row r="291" hidden="1">
      <c r="A291">
        <f>IF($K291="","",271)</f>
        <v/>
      </c>
      <c r="B291">
        <f>IF($K291="","",INDEX(Конструктор!$C$2:$C$1212,$K291))</f>
        <v/>
      </c>
      <c r="C291" s="8">
        <f>IF($K291="","",INDEX(Конструктор!$D$2:$D$1212,$K291)&amp;IF(INDEX(Конструктор!$J$2:$J$1212,$K291)&lt;&gt;""," — "&amp;INDEX(Конструктор!$J$2:$J$1212,$K291),""))</f>
        <v/>
      </c>
      <c r="D291">
        <f>IF($K291="","",INDEX(Конструктор!$E$2:$E$1212,$K291))</f>
        <v/>
      </c>
      <c r="E291" s="10">
        <f>IF($K291="","",INDEX(Конструктор!$H$2:$H$1212,$K291))</f>
        <v/>
      </c>
      <c r="F291" s="10">
        <f>IF($K291="","",INDEX(Конструктор!$L$2:$L$1212,$K291))</f>
        <v/>
      </c>
      <c r="G291" s="10">
        <f>IF($K291="","",INDEX(Конструктор!$M$2:$M$1212,$K291))</f>
        <v/>
      </c>
      <c r="H291" s="10">
        <f>IF($K291="","",INDEX(Конструктор!$N$2:$N$1212,$K291))</f>
        <v/>
      </c>
      <c r="I291" s="10">
        <f>IF($K291="","",INDEX(Конструктор!$O$2:$O$1212,$K291))</f>
        <v/>
      </c>
      <c r="J291" s="10">
        <f>IF($K291="","",INDEX(Конструктор!$P$2:$P$1212,$K291))</f>
        <v/>
      </c>
      <c r="K291">
        <f>IFERROR(MATCH(271,Конструктор!$T$2:$T$1212,0),"")</f>
        <v/>
      </c>
      <c r="L291">
        <f>IF($K291="","","показать")</f>
        <v/>
      </c>
    </row>
    <row r="292" hidden="1">
      <c r="A292">
        <f>IF($K292="","",272)</f>
        <v/>
      </c>
      <c r="B292">
        <f>IF($K292="","",INDEX(Конструктор!$C$2:$C$1212,$K292))</f>
        <v/>
      </c>
      <c r="C292" s="8">
        <f>IF($K292="","",INDEX(Конструктор!$D$2:$D$1212,$K292)&amp;IF(INDEX(Конструктор!$J$2:$J$1212,$K292)&lt;&gt;""," — "&amp;INDEX(Конструктор!$J$2:$J$1212,$K292),""))</f>
        <v/>
      </c>
      <c r="D292">
        <f>IF($K292="","",INDEX(Конструктор!$E$2:$E$1212,$K292))</f>
        <v/>
      </c>
      <c r="E292" s="10">
        <f>IF($K292="","",INDEX(Конструктор!$H$2:$H$1212,$K292))</f>
        <v/>
      </c>
      <c r="F292" s="10">
        <f>IF($K292="","",INDEX(Конструктор!$L$2:$L$1212,$K292))</f>
        <v/>
      </c>
      <c r="G292" s="10">
        <f>IF($K292="","",INDEX(Конструктор!$M$2:$M$1212,$K292))</f>
        <v/>
      </c>
      <c r="H292" s="10">
        <f>IF($K292="","",INDEX(Конструктор!$N$2:$N$1212,$K292))</f>
        <v/>
      </c>
      <c r="I292" s="10">
        <f>IF($K292="","",INDEX(Конструктор!$O$2:$O$1212,$K292))</f>
        <v/>
      </c>
      <c r="J292" s="10">
        <f>IF($K292="","",INDEX(Конструктор!$P$2:$P$1212,$K292))</f>
        <v/>
      </c>
      <c r="K292">
        <f>IFERROR(MATCH(272,Конструктор!$T$2:$T$1212,0),"")</f>
        <v/>
      </c>
      <c r="L292">
        <f>IF($K292="","","показать")</f>
        <v/>
      </c>
    </row>
    <row r="293" hidden="1">
      <c r="A293">
        <f>IF($K293="","",273)</f>
        <v/>
      </c>
      <c r="B293">
        <f>IF($K293="","",INDEX(Конструктор!$C$2:$C$1212,$K293))</f>
        <v/>
      </c>
      <c r="C293" s="8">
        <f>IF($K293="","",INDEX(Конструктор!$D$2:$D$1212,$K293)&amp;IF(INDEX(Конструктор!$J$2:$J$1212,$K293)&lt;&gt;""," — "&amp;INDEX(Конструктор!$J$2:$J$1212,$K293),""))</f>
        <v/>
      </c>
      <c r="D293">
        <f>IF($K293="","",INDEX(Конструктор!$E$2:$E$1212,$K293))</f>
        <v/>
      </c>
      <c r="E293" s="10">
        <f>IF($K293="","",INDEX(Конструктор!$H$2:$H$1212,$K293))</f>
        <v/>
      </c>
      <c r="F293" s="10">
        <f>IF($K293="","",INDEX(Конструктор!$L$2:$L$1212,$K293))</f>
        <v/>
      </c>
      <c r="G293" s="10">
        <f>IF($K293="","",INDEX(Конструктор!$M$2:$M$1212,$K293))</f>
        <v/>
      </c>
      <c r="H293" s="10">
        <f>IF($K293="","",INDEX(Конструктор!$N$2:$N$1212,$K293))</f>
        <v/>
      </c>
      <c r="I293" s="10">
        <f>IF($K293="","",INDEX(Конструктор!$O$2:$O$1212,$K293))</f>
        <v/>
      </c>
      <c r="J293" s="10">
        <f>IF($K293="","",INDEX(Конструктор!$P$2:$P$1212,$K293))</f>
        <v/>
      </c>
      <c r="K293">
        <f>IFERROR(MATCH(273,Конструктор!$T$2:$T$1212,0),"")</f>
        <v/>
      </c>
      <c r="L293">
        <f>IF($K293="","","показать")</f>
        <v/>
      </c>
    </row>
    <row r="294" hidden="1">
      <c r="A294">
        <f>IF($K294="","",274)</f>
        <v/>
      </c>
      <c r="B294">
        <f>IF($K294="","",INDEX(Конструктор!$C$2:$C$1212,$K294))</f>
        <v/>
      </c>
      <c r="C294" s="8">
        <f>IF($K294="","",INDEX(Конструктор!$D$2:$D$1212,$K294)&amp;IF(INDEX(Конструктор!$J$2:$J$1212,$K294)&lt;&gt;""," — "&amp;INDEX(Конструктор!$J$2:$J$1212,$K294),""))</f>
        <v/>
      </c>
      <c r="D294">
        <f>IF($K294="","",INDEX(Конструктор!$E$2:$E$1212,$K294))</f>
        <v/>
      </c>
      <c r="E294" s="10">
        <f>IF($K294="","",INDEX(Конструктор!$H$2:$H$1212,$K294))</f>
        <v/>
      </c>
      <c r="F294" s="10">
        <f>IF($K294="","",INDEX(Конструктор!$L$2:$L$1212,$K294))</f>
        <v/>
      </c>
      <c r="G294" s="10">
        <f>IF($K294="","",INDEX(Конструктор!$M$2:$M$1212,$K294))</f>
        <v/>
      </c>
      <c r="H294" s="10">
        <f>IF($K294="","",INDEX(Конструктор!$N$2:$N$1212,$K294))</f>
        <v/>
      </c>
      <c r="I294" s="10">
        <f>IF($K294="","",INDEX(Конструктор!$O$2:$O$1212,$K294))</f>
        <v/>
      </c>
      <c r="J294" s="10">
        <f>IF($K294="","",INDEX(Конструктор!$P$2:$P$1212,$K294))</f>
        <v/>
      </c>
      <c r="K294">
        <f>IFERROR(MATCH(274,Конструктор!$T$2:$T$1212,0),"")</f>
        <v/>
      </c>
      <c r="L294">
        <f>IF($K294="","","показать")</f>
        <v/>
      </c>
    </row>
    <row r="295" hidden="1">
      <c r="A295">
        <f>IF($K295="","",275)</f>
        <v/>
      </c>
      <c r="B295">
        <f>IF($K295="","",INDEX(Конструктор!$C$2:$C$1212,$K295))</f>
        <v/>
      </c>
      <c r="C295" s="8">
        <f>IF($K295="","",INDEX(Конструктор!$D$2:$D$1212,$K295)&amp;IF(INDEX(Конструктор!$J$2:$J$1212,$K295)&lt;&gt;""," — "&amp;INDEX(Конструктор!$J$2:$J$1212,$K295),""))</f>
        <v/>
      </c>
      <c r="D295">
        <f>IF($K295="","",INDEX(Конструктор!$E$2:$E$1212,$K295))</f>
        <v/>
      </c>
      <c r="E295" s="10">
        <f>IF($K295="","",INDEX(Конструктор!$H$2:$H$1212,$K295))</f>
        <v/>
      </c>
      <c r="F295" s="10">
        <f>IF($K295="","",INDEX(Конструктор!$L$2:$L$1212,$K295))</f>
        <v/>
      </c>
      <c r="G295" s="10">
        <f>IF($K295="","",INDEX(Конструктор!$M$2:$M$1212,$K295))</f>
        <v/>
      </c>
      <c r="H295" s="10">
        <f>IF($K295="","",INDEX(Конструктор!$N$2:$N$1212,$K295))</f>
        <v/>
      </c>
      <c r="I295" s="10">
        <f>IF($K295="","",INDEX(Конструктор!$O$2:$O$1212,$K295))</f>
        <v/>
      </c>
      <c r="J295" s="10">
        <f>IF($K295="","",INDEX(Конструктор!$P$2:$P$1212,$K295))</f>
        <v/>
      </c>
      <c r="K295">
        <f>IFERROR(MATCH(275,Конструктор!$T$2:$T$1212,0),"")</f>
        <v/>
      </c>
      <c r="L295">
        <f>IF($K295="","","показать")</f>
        <v/>
      </c>
    </row>
    <row r="296" hidden="1">
      <c r="A296">
        <f>IF($K296="","",276)</f>
        <v/>
      </c>
      <c r="B296">
        <f>IF($K296="","",INDEX(Конструктор!$C$2:$C$1212,$K296))</f>
        <v/>
      </c>
      <c r="C296" s="8">
        <f>IF($K296="","",INDEX(Конструктор!$D$2:$D$1212,$K296)&amp;IF(INDEX(Конструктор!$J$2:$J$1212,$K296)&lt;&gt;""," — "&amp;INDEX(Конструктор!$J$2:$J$1212,$K296),""))</f>
        <v/>
      </c>
      <c r="D296">
        <f>IF($K296="","",INDEX(Конструктор!$E$2:$E$1212,$K296))</f>
        <v/>
      </c>
      <c r="E296" s="10">
        <f>IF($K296="","",INDEX(Конструктор!$H$2:$H$1212,$K296))</f>
        <v/>
      </c>
      <c r="F296" s="10">
        <f>IF($K296="","",INDEX(Конструктор!$L$2:$L$1212,$K296))</f>
        <v/>
      </c>
      <c r="G296" s="10">
        <f>IF($K296="","",INDEX(Конструктор!$M$2:$M$1212,$K296))</f>
        <v/>
      </c>
      <c r="H296" s="10">
        <f>IF($K296="","",INDEX(Конструктор!$N$2:$N$1212,$K296))</f>
        <v/>
      </c>
      <c r="I296" s="10">
        <f>IF($K296="","",INDEX(Конструктор!$O$2:$O$1212,$K296))</f>
        <v/>
      </c>
      <c r="J296" s="10">
        <f>IF($K296="","",INDEX(Конструктор!$P$2:$P$1212,$K296))</f>
        <v/>
      </c>
      <c r="K296">
        <f>IFERROR(MATCH(276,Конструктор!$T$2:$T$1212,0),"")</f>
        <v/>
      </c>
      <c r="L296">
        <f>IF($K296="","","показать")</f>
        <v/>
      </c>
    </row>
    <row r="297" hidden="1">
      <c r="A297">
        <f>IF($K297="","",277)</f>
        <v/>
      </c>
      <c r="B297">
        <f>IF($K297="","",INDEX(Конструктор!$C$2:$C$1212,$K297))</f>
        <v/>
      </c>
      <c r="C297" s="8">
        <f>IF($K297="","",INDEX(Конструктор!$D$2:$D$1212,$K297)&amp;IF(INDEX(Конструктор!$J$2:$J$1212,$K297)&lt;&gt;""," — "&amp;INDEX(Конструктор!$J$2:$J$1212,$K297),""))</f>
        <v/>
      </c>
      <c r="D297">
        <f>IF($K297="","",INDEX(Конструктор!$E$2:$E$1212,$K297))</f>
        <v/>
      </c>
      <c r="E297" s="10">
        <f>IF($K297="","",INDEX(Конструктор!$H$2:$H$1212,$K297))</f>
        <v/>
      </c>
      <c r="F297" s="10">
        <f>IF($K297="","",INDEX(Конструктор!$L$2:$L$1212,$K297))</f>
        <v/>
      </c>
      <c r="G297" s="10">
        <f>IF($K297="","",INDEX(Конструктор!$M$2:$M$1212,$K297))</f>
        <v/>
      </c>
      <c r="H297" s="10">
        <f>IF($K297="","",INDEX(Конструктор!$N$2:$N$1212,$K297))</f>
        <v/>
      </c>
      <c r="I297" s="10">
        <f>IF($K297="","",INDEX(Конструктор!$O$2:$O$1212,$K297))</f>
        <v/>
      </c>
      <c r="J297" s="10">
        <f>IF($K297="","",INDEX(Конструктор!$P$2:$P$1212,$K297))</f>
        <v/>
      </c>
      <c r="K297">
        <f>IFERROR(MATCH(277,Конструктор!$T$2:$T$1212,0),"")</f>
        <v/>
      </c>
      <c r="L297">
        <f>IF($K297="","","показать")</f>
        <v/>
      </c>
    </row>
    <row r="298" hidden="1">
      <c r="A298">
        <f>IF($K298="","",278)</f>
        <v/>
      </c>
      <c r="B298">
        <f>IF($K298="","",INDEX(Конструктор!$C$2:$C$1212,$K298))</f>
        <v/>
      </c>
      <c r="C298" s="8">
        <f>IF($K298="","",INDEX(Конструктор!$D$2:$D$1212,$K298)&amp;IF(INDEX(Конструктор!$J$2:$J$1212,$K298)&lt;&gt;""," — "&amp;INDEX(Конструктор!$J$2:$J$1212,$K298),""))</f>
        <v/>
      </c>
      <c r="D298">
        <f>IF($K298="","",INDEX(Конструктор!$E$2:$E$1212,$K298))</f>
        <v/>
      </c>
      <c r="E298" s="10">
        <f>IF($K298="","",INDEX(Конструктор!$H$2:$H$1212,$K298))</f>
        <v/>
      </c>
      <c r="F298" s="10">
        <f>IF($K298="","",INDEX(Конструктор!$L$2:$L$1212,$K298))</f>
        <v/>
      </c>
      <c r="G298" s="10">
        <f>IF($K298="","",INDEX(Конструктор!$M$2:$M$1212,$K298))</f>
        <v/>
      </c>
      <c r="H298" s="10">
        <f>IF($K298="","",INDEX(Конструктор!$N$2:$N$1212,$K298))</f>
        <v/>
      </c>
      <c r="I298" s="10">
        <f>IF($K298="","",INDEX(Конструктор!$O$2:$O$1212,$K298))</f>
        <v/>
      </c>
      <c r="J298" s="10">
        <f>IF($K298="","",INDEX(Конструктор!$P$2:$P$1212,$K298))</f>
        <v/>
      </c>
      <c r="K298">
        <f>IFERROR(MATCH(278,Конструктор!$T$2:$T$1212,0),"")</f>
        <v/>
      </c>
      <c r="L298">
        <f>IF($K298="","","показать")</f>
        <v/>
      </c>
    </row>
    <row r="299" hidden="1">
      <c r="A299">
        <f>IF($K299="","",279)</f>
        <v/>
      </c>
      <c r="B299">
        <f>IF($K299="","",INDEX(Конструктор!$C$2:$C$1212,$K299))</f>
        <v/>
      </c>
      <c r="C299" s="8">
        <f>IF($K299="","",INDEX(Конструктор!$D$2:$D$1212,$K299)&amp;IF(INDEX(Конструктор!$J$2:$J$1212,$K299)&lt;&gt;""," — "&amp;INDEX(Конструктор!$J$2:$J$1212,$K299),""))</f>
        <v/>
      </c>
      <c r="D299">
        <f>IF($K299="","",INDEX(Конструктор!$E$2:$E$1212,$K299))</f>
        <v/>
      </c>
      <c r="E299" s="10">
        <f>IF($K299="","",INDEX(Конструктор!$H$2:$H$1212,$K299))</f>
        <v/>
      </c>
      <c r="F299" s="10">
        <f>IF($K299="","",INDEX(Конструктор!$L$2:$L$1212,$K299))</f>
        <v/>
      </c>
      <c r="G299" s="10">
        <f>IF($K299="","",INDEX(Конструктор!$M$2:$M$1212,$K299))</f>
        <v/>
      </c>
      <c r="H299" s="10">
        <f>IF($K299="","",INDEX(Конструктор!$N$2:$N$1212,$K299))</f>
        <v/>
      </c>
      <c r="I299" s="10">
        <f>IF($K299="","",INDEX(Конструктор!$O$2:$O$1212,$K299))</f>
        <v/>
      </c>
      <c r="J299" s="10">
        <f>IF($K299="","",INDEX(Конструктор!$P$2:$P$1212,$K299))</f>
        <v/>
      </c>
      <c r="K299">
        <f>IFERROR(MATCH(279,Конструктор!$T$2:$T$1212,0),"")</f>
        <v/>
      </c>
      <c r="L299">
        <f>IF($K299="","","показать")</f>
        <v/>
      </c>
    </row>
    <row r="300" hidden="1">
      <c r="A300">
        <f>IF($K300="","",280)</f>
        <v/>
      </c>
      <c r="B300">
        <f>IF($K300="","",INDEX(Конструктор!$C$2:$C$1212,$K300))</f>
        <v/>
      </c>
      <c r="C300" s="8">
        <f>IF($K300="","",INDEX(Конструктор!$D$2:$D$1212,$K300)&amp;IF(INDEX(Конструктор!$J$2:$J$1212,$K300)&lt;&gt;""," — "&amp;INDEX(Конструктор!$J$2:$J$1212,$K300),""))</f>
        <v/>
      </c>
      <c r="D300">
        <f>IF($K300="","",INDEX(Конструктор!$E$2:$E$1212,$K300))</f>
        <v/>
      </c>
      <c r="E300" s="10">
        <f>IF($K300="","",INDEX(Конструктор!$H$2:$H$1212,$K300))</f>
        <v/>
      </c>
      <c r="F300" s="10">
        <f>IF($K300="","",INDEX(Конструктор!$L$2:$L$1212,$K300))</f>
        <v/>
      </c>
      <c r="G300" s="10">
        <f>IF($K300="","",INDEX(Конструктор!$M$2:$M$1212,$K300))</f>
        <v/>
      </c>
      <c r="H300" s="10">
        <f>IF($K300="","",INDEX(Конструктор!$N$2:$N$1212,$K300))</f>
        <v/>
      </c>
      <c r="I300" s="10">
        <f>IF($K300="","",INDEX(Конструктор!$O$2:$O$1212,$K300))</f>
        <v/>
      </c>
      <c r="J300" s="10">
        <f>IF($K300="","",INDEX(Конструктор!$P$2:$P$1212,$K300))</f>
        <v/>
      </c>
      <c r="K300">
        <f>IFERROR(MATCH(280,Конструктор!$T$2:$T$1212,0),"")</f>
        <v/>
      </c>
      <c r="L300">
        <f>IF($K300="","","показать")</f>
        <v/>
      </c>
    </row>
    <row r="301" hidden="1">
      <c r="A301">
        <f>IF($K301="","",281)</f>
        <v/>
      </c>
      <c r="B301">
        <f>IF($K301="","",INDEX(Конструктор!$C$2:$C$1212,$K301))</f>
        <v/>
      </c>
      <c r="C301" s="8">
        <f>IF($K301="","",INDEX(Конструктор!$D$2:$D$1212,$K301)&amp;IF(INDEX(Конструктор!$J$2:$J$1212,$K301)&lt;&gt;""," — "&amp;INDEX(Конструктор!$J$2:$J$1212,$K301),""))</f>
        <v/>
      </c>
      <c r="D301">
        <f>IF($K301="","",INDEX(Конструктор!$E$2:$E$1212,$K301))</f>
        <v/>
      </c>
      <c r="E301" s="10">
        <f>IF($K301="","",INDEX(Конструктор!$H$2:$H$1212,$K301))</f>
        <v/>
      </c>
      <c r="F301" s="10">
        <f>IF($K301="","",INDEX(Конструктор!$L$2:$L$1212,$K301))</f>
        <v/>
      </c>
      <c r="G301" s="10">
        <f>IF($K301="","",INDEX(Конструктор!$M$2:$M$1212,$K301))</f>
        <v/>
      </c>
      <c r="H301" s="10">
        <f>IF($K301="","",INDEX(Конструктор!$N$2:$N$1212,$K301))</f>
        <v/>
      </c>
      <c r="I301" s="10">
        <f>IF($K301="","",INDEX(Конструктор!$O$2:$O$1212,$K301))</f>
        <v/>
      </c>
      <c r="J301" s="10">
        <f>IF($K301="","",INDEX(Конструктор!$P$2:$P$1212,$K301))</f>
        <v/>
      </c>
      <c r="K301">
        <f>IFERROR(MATCH(281,Конструктор!$T$2:$T$1212,0),"")</f>
        <v/>
      </c>
      <c r="L301">
        <f>IF($K301="","","показать")</f>
        <v/>
      </c>
    </row>
    <row r="302" hidden="1">
      <c r="A302">
        <f>IF($K302="","",282)</f>
        <v/>
      </c>
      <c r="B302">
        <f>IF($K302="","",INDEX(Конструктор!$C$2:$C$1212,$K302))</f>
        <v/>
      </c>
      <c r="C302" s="8">
        <f>IF($K302="","",INDEX(Конструктор!$D$2:$D$1212,$K302)&amp;IF(INDEX(Конструктор!$J$2:$J$1212,$K302)&lt;&gt;""," — "&amp;INDEX(Конструктор!$J$2:$J$1212,$K302),""))</f>
        <v/>
      </c>
      <c r="D302">
        <f>IF($K302="","",INDEX(Конструктор!$E$2:$E$1212,$K302))</f>
        <v/>
      </c>
      <c r="E302" s="10">
        <f>IF($K302="","",INDEX(Конструктор!$H$2:$H$1212,$K302))</f>
        <v/>
      </c>
      <c r="F302" s="10">
        <f>IF($K302="","",INDEX(Конструктор!$L$2:$L$1212,$K302))</f>
        <v/>
      </c>
      <c r="G302" s="10">
        <f>IF($K302="","",INDEX(Конструктор!$M$2:$M$1212,$K302))</f>
        <v/>
      </c>
      <c r="H302" s="10">
        <f>IF($K302="","",INDEX(Конструктор!$N$2:$N$1212,$K302))</f>
        <v/>
      </c>
      <c r="I302" s="10">
        <f>IF($K302="","",INDEX(Конструктор!$O$2:$O$1212,$K302))</f>
        <v/>
      </c>
      <c r="J302" s="10">
        <f>IF($K302="","",INDEX(Конструктор!$P$2:$P$1212,$K302))</f>
        <v/>
      </c>
      <c r="K302">
        <f>IFERROR(MATCH(282,Конструктор!$T$2:$T$1212,0),"")</f>
        <v/>
      </c>
      <c r="L302">
        <f>IF($K302="","","показать")</f>
        <v/>
      </c>
    </row>
    <row r="303" hidden="1">
      <c r="A303">
        <f>IF($K303="","",283)</f>
        <v/>
      </c>
      <c r="B303">
        <f>IF($K303="","",INDEX(Конструктор!$C$2:$C$1212,$K303))</f>
        <v/>
      </c>
      <c r="C303" s="8">
        <f>IF($K303="","",INDEX(Конструктор!$D$2:$D$1212,$K303)&amp;IF(INDEX(Конструктор!$J$2:$J$1212,$K303)&lt;&gt;""," — "&amp;INDEX(Конструктор!$J$2:$J$1212,$K303),""))</f>
        <v/>
      </c>
      <c r="D303">
        <f>IF($K303="","",INDEX(Конструктор!$E$2:$E$1212,$K303))</f>
        <v/>
      </c>
      <c r="E303" s="10">
        <f>IF($K303="","",INDEX(Конструктор!$H$2:$H$1212,$K303))</f>
        <v/>
      </c>
      <c r="F303" s="10">
        <f>IF($K303="","",INDEX(Конструктор!$L$2:$L$1212,$K303))</f>
        <v/>
      </c>
      <c r="G303" s="10">
        <f>IF($K303="","",INDEX(Конструктор!$M$2:$M$1212,$K303))</f>
        <v/>
      </c>
      <c r="H303" s="10">
        <f>IF($K303="","",INDEX(Конструктор!$N$2:$N$1212,$K303))</f>
        <v/>
      </c>
      <c r="I303" s="10">
        <f>IF($K303="","",INDEX(Конструктор!$O$2:$O$1212,$K303))</f>
        <v/>
      </c>
      <c r="J303" s="10">
        <f>IF($K303="","",INDEX(Конструктор!$P$2:$P$1212,$K303))</f>
        <v/>
      </c>
      <c r="K303">
        <f>IFERROR(MATCH(283,Конструктор!$T$2:$T$1212,0),"")</f>
        <v/>
      </c>
      <c r="L303">
        <f>IF($K303="","","показать")</f>
        <v/>
      </c>
    </row>
    <row r="304" hidden="1">
      <c r="A304">
        <f>IF($K304="","",284)</f>
        <v/>
      </c>
      <c r="B304">
        <f>IF($K304="","",INDEX(Конструктор!$C$2:$C$1212,$K304))</f>
        <v/>
      </c>
      <c r="C304" s="8">
        <f>IF($K304="","",INDEX(Конструктор!$D$2:$D$1212,$K304)&amp;IF(INDEX(Конструктор!$J$2:$J$1212,$K304)&lt;&gt;""," — "&amp;INDEX(Конструктор!$J$2:$J$1212,$K304),""))</f>
        <v/>
      </c>
      <c r="D304">
        <f>IF($K304="","",INDEX(Конструктор!$E$2:$E$1212,$K304))</f>
        <v/>
      </c>
      <c r="E304" s="10">
        <f>IF($K304="","",INDEX(Конструктор!$H$2:$H$1212,$K304))</f>
        <v/>
      </c>
      <c r="F304" s="10">
        <f>IF($K304="","",INDEX(Конструктор!$L$2:$L$1212,$K304))</f>
        <v/>
      </c>
      <c r="G304" s="10">
        <f>IF($K304="","",INDEX(Конструктор!$M$2:$M$1212,$K304))</f>
        <v/>
      </c>
      <c r="H304" s="10">
        <f>IF($K304="","",INDEX(Конструктор!$N$2:$N$1212,$K304))</f>
        <v/>
      </c>
      <c r="I304" s="10">
        <f>IF($K304="","",INDEX(Конструктор!$O$2:$O$1212,$K304))</f>
        <v/>
      </c>
      <c r="J304" s="10">
        <f>IF($K304="","",INDEX(Конструктор!$P$2:$P$1212,$K304))</f>
        <v/>
      </c>
      <c r="K304">
        <f>IFERROR(MATCH(284,Конструктор!$T$2:$T$1212,0),"")</f>
        <v/>
      </c>
      <c r="L304">
        <f>IF($K304="","","показать")</f>
        <v/>
      </c>
    </row>
    <row r="305" hidden="1">
      <c r="A305">
        <f>IF($K305="","",285)</f>
        <v/>
      </c>
      <c r="B305">
        <f>IF($K305="","",INDEX(Конструктор!$C$2:$C$1212,$K305))</f>
        <v/>
      </c>
      <c r="C305" s="8">
        <f>IF($K305="","",INDEX(Конструктор!$D$2:$D$1212,$K305)&amp;IF(INDEX(Конструктор!$J$2:$J$1212,$K305)&lt;&gt;""," — "&amp;INDEX(Конструктор!$J$2:$J$1212,$K305),""))</f>
        <v/>
      </c>
      <c r="D305">
        <f>IF($K305="","",INDEX(Конструктор!$E$2:$E$1212,$K305))</f>
        <v/>
      </c>
      <c r="E305" s="10">
        <f>IF($K305="","",INDEX(Конструктор!$H$2:$H$1212,$K305))</f>
        <v/>
      </c>
      <c r="F305" s="10">
        <f>IF($K305="","",INDEX(Конструктор!$L$2:$L$1212,$K305))</f>
        <v/>
      </c>
      <c r="G305" s="10">
        <f>IF($K305="","",INDEX(Конструктор!$M$2:$M$1212,$K305))</f>
        <v/>
      </c>
      <c r="H305" s="10">
        <f>IF($K305="","",INDEX(Конструктор!$N$2:$N$1212,$K305))</f>
        <v/>
      </c>
      <c r="I305" s="10">
        <f>IF($K305="","",INDEX(Конструктор!$O$2:$O$1212,$K305))</f>
        <v/>
      </c>
      <c r="J305" s="10">
        <f>IF($K305="","",INDEX(Конструктор!$P$2:$P$1212,$K305))</f>
        <v/>
      </c>
      <c r="K305">
        <f>IFERROR(MATCH(285,Конструктор!$T$2:$T$1212,0),"")</f>
        <v/>
      </c>
      <c r="L305">
        <f>IF($K305="","","показать")</f>
        <v/>
      </c>
    </row>
    <row r="306" hidden="1">
      <c r="A306">
        <f>IF($K306="","",286)</f>
        <v/>
      </c>
      <c r="B306">
        <f>IF($K306="","",INDEX(Конструктор!$C$2:$C$1212,$K306))</f>
        <v/>
      </c>
      <c r="C306" s="8">
        <f>IF($K306="","",INDEX(Конструктор!$D$2:$D$1212,$K306)&amp;IF(INDEX(Конструктор!$J$2:$J$1212,$K306)&lt;&gt;""," — "&amp;INDEX(Конструктор!$J$2:$J$1212,$K306),""))</f>
        <v/>
      </c>
      <c r="D306">
        <f>IF($K306="","",INDEX(Конструктор!$E$2:$E$1212,$K306))</f>
        <v/>
      </c>
      <c r="E306" s="10">
        <f>IF($K306="","",INDEX(Конструктор!$H$2:$H$1212,$K306))</f>
        <v/>
      </c>
      <c r="F306" s="10">
        <f>IF($K306="","",INDEX(Конструктор!$L$2:$L$1212,$K306))</f>
        <v/>
      </c>
      <c r="G306" s="10">
        <f>IF($K306="","",INDEX(Конструктор!$M$2:$M$1212,$K306))</f>
        <v/>
      </c>
      <c r="H306" s="10">
        <f>IF($K306="","",INDEX(Конструктор!$N$2:$N$1212,$K306))</f>
        <v/>
      </c>
      <c r="I306" s="10">
        <f>IF($K306="","",INDEX(Конструктор!$O$2:$O$1212,$K306))</f>
        <v/>
      </c>
      <c r="J306" s="10">
        <f>IF($K306="","",INDEX(Конструктор!$P$2:$P$1212,$K306))</f>
        <v/>
      </c>
      <c r="K306">
        <f>IFERROR(MATCH(286,Конструктор!$T$2:$T$1212,0),"")</f>
        <v/>
      </c>
      <c r="L306">
        <f>IF($K306="","","показать")</f>
        <v/>
      </c>
    </row>
    <row r="307" hidden="1">
      <c r="A307">
        <f>IF($K307="","",287)</f>
        <v/>
      </c>
      <c r="B307">
        <f>IF($K307="","",INDEX(Конструктор!$C$2:$C$1212,$K307))</f>
        <v/>
      </c>
      <c r="C307" s="8">
        <f>IF($K307="","",INDEX(Конструктор!$D$2:$D$1212,$K307)&amp;IF(INDEX(Конструктор!$J$2:$J$1212,$K307)&lt;&gt;""," — "&amp;INDEX(Конструктор!$J$2:$J$1212,$K307),""))</f>
        <v/>
      </c>
      <c r="D307">
        <f>IF($K307="","",INDEX(Конструктор!$E$2:$E$1212,$K307))</f>
        <v/>
      </c>
      <c r="E307" s="10">
        <f>IF($K307="","",INDEX(Конструктор!$H$2:$H$1212,$K307))</f>
        <v/>
      </c>
      <c r="F307" s="10">
        <f>IF($K307="","",INDEX(Конструктор!$L$2:$L$1212,$K307))</f>
        <v/>
      </c>
      <c r="G307" s="10">
        <f>IF($K307="","",INDEX(Конструктор!$M$2:$M$1212,$K307))</f>
        <v/>
      </c>
      <c r="H307" s="10">
        <f>IF($K307="","",INDEX(Конструктор!$N$2:$N$1212,$K307))</f>
        <v/>
      </c>
      <c r="I307" s="10">
        <f>IF($K307="","",INDEX(Конструктор!$O$2:$O$1212,$K307))</f>
        <v/>
      </c>
      <c r="J307" s="10">
        <f>IF($K307="","",INDEX(Конструктор!$P$2:$P$1212,$K307))</f>
        <v/>
      </c>
      <c r="K307">
        <f>IFERROR(MATCH(287,Конструктор!$T$2:$T$1212,0),"")</f>
        <v/>
      </c>
      <c r="L307">
        <f>IF($K307="","","показать")</f>
        <v/>
      </c>
    </row>
    <row r="308" hidden="1">
      <c r="A308">
        <f>IF($K308="","",288)</f>
        <v/>
      </c>
      <c r="B308">
        <f>IF($K308="","",INDEX(Конструктор!$C$2:$C$1212,$K308))</f>
        <v/>
      </c>
      <c r="C308" s="8">
        <f>IF($K308="","",INDEX(Конструктор!$D$2:$D$1212,$K308)&amp;IF(INDEX(Конструктор!$J$2:$J$1212,$K308)&lt;&gt;""," — "&amp;INDEX(Конструктор!$J$2:$J$1212,$K308),""))</f>
        <v/>
      </c>
      <c r="D308">
        <f>IF($K308="","",INDEX(Конструктор!$E$2:$E$1212,$K308))</f>
        <v/>
      </c>
      <c r="E308" s="10">
        <f>IF($K308="","",INDEX(Конструктор!$H$2:$H$1212,$K308))</f>
        <v/>
      </c>
      <c r="F308" s="10">
        <f>IF($K308="","",INDEX(Конструктор!$L$2:$L$1212,$K308))</f>
        <v/>
      </c>
      <c r="G308" s="10">
        <f>IF($K308="","",INDEX(Конструктор!$M$2:$M$1212,$K308))</f>
        <v/>
      </c>
      <c r="H308" s="10">
        <f>IF($K308="","",INDEX(Конструктор!$N$2:$N$1212,$K308))</f>
        <v/>
      </c>
      <c r="I308" s="10">
        <f>IF($K308="","",INDEX(Конструктор!$O$2:$O$1212,$K308))</f>
        <v/>
      </c>
      <c r="J308" s="10">
        <f>IF($K308="","",INDEX(Конструктор!$P$2:$P$1212,$K308))</f>
        <v/>
      </c>
      <c r="K308">
        <f>IFERROR(MATCH(288,Конструктор!$T$2:$T$1212,0),"")</f>
        <v/>
      </c>
      <c r="L308">
        <f>IF($K308="","","показать")</f>
        <v/>
      </c>
    </row>
    <row r="309" hidden="1">
      <c r="A309">
        <f>IF($K309="","",289)</f>
        <v/>
      </c>
      <c r="B309">
        <f>IF($K309="","",INDEX(Конструктор!$C$2:$C$1212,$K309))</f>
        <v/>
      </c>
      <c r="C309" s="8">
        <f>IF($K309="","",INDEX(Конструктор!$D$2:$D$1212,$K309)&amp;IF(INDEX(Конструктор!$J$2:$J$1212,$K309)&lt;&gt;""," — "&amp;INDEX(Конструктор!$J$2:$J$1212,$K309),""))</f>
        <v/>
      </c>
      <c r="D309">
        <f>IF($K309="","",INDEX(Конструктор!$E$2:$E$1212,$K309))</f>
        <v/>
      </c>
      <c r="E309" s="10">
        <f>IF($K309="","",INDEX(Конструктор!$H$2:$H$1212,$K309))</f>
        <v/>
      </c>
      <c r="F309" s="10">
        <f>IF($K309="","",INDEX(Конструктор!$L$2:$L$1212,$K309))</f>
        <v/>
      </c>
      <c r="G309" s="10">
        <f>IF($K309="","",INDEX(Конструктор!$M$2:$M$1212,$K309))</f>
        <v/>
      </c>
      <c r="H309" s="10">
        <f>IF($K309="","",INDEX(Конструктор!$N$2:$N$1212,$K309))</f>
        <v/>
      </c>
      <c r="I309" s="10">
        <f>IF($K309="","",INDEX(Конструктор!$O$2:$O$1212,$K309))</f>
        <v/>
      </c>
      <c r="J309" s="10">
        <f>IF($K309="","",INDEX(Конструктор!$P$2:$P$1212,$K309))</f>
        <v/>
      </c>
      <c r="K309">
        <f>IFERROR(MATCH(289,Конструктор!$T$2:$T$1212,0),"")</f>
        <v/>
      </c>
      <c r="L309">
        <f>IF($K309="","","показать")</f>
        <v/>
      </c>
    </row>
    <row r="310" hidden="1">
      <c r="A310">
        <f>IF($K310="","",290)</f>
        <v/>
      </c>
      <c r="B310">
        <f>IF($K310="","",INDEX(Конструктор!$C$2:$C$1212,$K310))</f>
        <v/>
      </c>
      <c r="C310" s="8">
        <f>IF($K310="","",INDEX(Конструктор!$D$2:$D$1212,$K310)&amp;IF(INDEX(Конструктор!$J$2:$J$1212,$K310)&lt;&gt;""," — "&amp;INDEX(Конструктор!$J$2:$J$1212,$K310),""))</f>
        <v/>
      </c>
      <c r="D310">
        <f>IF($K310="","",INDEX(Конструктор!$E$2:$E$1212,$K310))</f>
        <v/>
      </c>
      <c r="E310" s="10">
        <f>IF($K310="","",INDEX(Конструктор!$H$2:$H$1212,$K310))</f>
        <v/>
      </c>
      <c r="F310" s="10">
        <f>IF($K310="","",INDEX(Конструктор!$L$2:$L$1212,$K310))</f>
        <v/>
      </c>
      <c r="G310" s="10">
        <f>IF($K310="","",INDEX(Конструктор!$M$2:$M$1212,$K310))</f>
        <v/>
      </c>
      <c r="H310" s="10">
        <f>IF($K310="","",INDEX(Конструктор!$N$2:$N$1212,$K310))</f>
        <v/>
      </c>
      <c r="I310" s="10">
        <f>IF($K310="","",INDEX(Конструктор!$O$2:$O$1212,$K310))</f>
        <v/>
      </c>
      <c r="J310" s="10">
        <f>IF($K310="","",INDEX(Конструктор!$P$2:$P$1212,$K310))</f>
        <v/>
      </c>
      <c r="K310">
        <f>IFERROR(MATCH(290,Конструктор!$T$2:$T$1212,0),"")</f>
        <v/>
      </c>
      <c r="L310">
        <f>IF($K310="","","показать")</f>
        <v/>
      </c>
    </row>
    <row r="311" hidden="1">
      <c r="A311">
        <f>IF($K311="","",291)</f>
        <v/>
      </c>
      <c r="B311">
        <f>IF($K311="","",INDEX(Конструктор!$C$2:$C$1212,$K311))</f>
        <v/>
      </c>
      <c r="C311" s="8">
        <f>IF($K311="","",INDEX(Конструктор!$D$2:$D$1212,$K311)&amp;IF(INDEX(Конструктор!$J$2:$J$1212,$K311)&lt;&gt;""," — "&amp;INDEX(Конструктор!$J$2:$J$1212,$K311),""))</f>
        <v/>
      </c>
      <c r="D311">
        <f>IF($K311="","",INDEX(Конструктор!$E$2:$E$1212,$K311))</f>
        <v/>
      </c>
      <c r="E311" s="10">
        <f>IF($K311="","",INDEX(Конструктор!$H$2:$H$1212,$K311))</f>
        <v/>
      </c>
      <c r="F311" s="10">
        <f>IF($K311="","",INDEX(Конструктор!$L$2:$L$1212,$K311))</f>
        <v/>
      </c>
      <c r="G311" s="10">
        <f>IF($K311="","",INDEX(Конструктор!$M$2:$M$1212,$K311))</f>
        <v/>
      </c>
      <c r="H311" s="10">
        <f>IF($K311="","",INDEX(Конструктор!$N$2:$N$1212,$K311))</f>
        <v/>
      </c>
      <c r="I311" s="10">
        <f>IF($K311="","",INDEX(Конструктор!$O$2:$O$1212,$K311))</f>
        <v/>
      </c>
      <c r="J311" s="10">
        <f>IF($K311="","",INDEX(Конструктор!$P$2:$P$1212,$K311))</f>
        <v/>
      </c>
      <c r="K311">
        <f>IFERROR(MATCH(291,Конструктор!$T$2:$T$1212,0),"")</f>
        <v/>
      </c>
      <c r="L311">
        <f>IF($K311="","","показать")</f>
        <v/>
      </c>
    </row>
    <row r="312" hidden="1">
      <c r="A312">
        <f>IF($K312="","",292)</f>
        <v/>
      </c>
      <c r="B312">
        <f>IF($K312="","",INDEX(Конструктор!$C$2:$C$1212,$K312))</f>
        <v/>
      </c>
      <c r="C312" s="8">
        <f>IF($K312="","",INDEX(Конструктор!$D$2:$D$1212,$K312)&amp;IF(INDEX(Конструктор!$J$2:$J$1212,$K312)&lt;&gt;""," — "&amp;INDEX(Конструктор!$J$2:$J$1212,$K312),""))</f>
        <v/>
      </c>
      <c r="D312">
        <f>IF($K312="","",INDEX(Конструктор!$E$2:$E$1212,$K312))</f>
        <v/>
      </c>
      <c r="E312" s="10">
        <f>IF($K312="","",INDEX(Конструктор!$H$2:$H$1212,$K312))</f>
        <v/>
      </c>
      <c r="F312" s="10">
        <f>IF($K312="","",INDEX(Конструктор!$L$2:$L$1212,$K312))</f>
        <v/>
      </c>
      <c r="G312" s="10">
        <f>IF($K312="","",INDEX(Конструктор!$M$2:$M$1212,$K312))</f>
        <v/>
      </c>
      <c r="H312" s="10">
        <f>IF($K312="","",INDEX(Конструктор!$N$2:$N$1212,$K312))</f>
        <v/>
      </c>
      <c r="I312" s="10">
        <f>IF($K312="","",INDEX(Конструктор!$O$2:$O$1212,$K312))</f>
        <v/>
      </c>
      <c r="J312" s="10">
        <f>IF($K312="","",INDEX(Конструктор!$P$2:$P$1212,$K312))</f>
        <v/>
      </c>
      <c r="K312">
        <f>IFERROR(MATCH(292,Конструктор!$T$2:$T$1212,0),"")</f>
        <v/>
      </c>
      <c r="L312">
        <f>IF($K312="","","показать")</f>
        <v/>
      </c>
    </row>
    <row r="313" hidden="1">
      <c r="A313">
        <f>IF($K313="","",293)</f>
        <v/>
      </c>
      <c r="B313">
        <f>IF($K313="","",INDEX(Конструктор!$C$2:$C$1212,$K313))</f>
        <v/>
      </c>
      <c r="C313" s="8">
        <f>IF($K313="","",INDEX(Конструктор!$D$2:$D$1212,$K313)&amp;IF(INDEX(Конструктор!$J$2:$J$1212,$K313)&lt;&gt;""," — "&amp;INDEX(Конструктор!$J$2:$J$1212,$K313),""))</f>
        <v/>
      </c>
      <c r="D313">
        <f>IF($K313="","",INDEX(Конструктор!$E$2:$E$1212,$K313))</f>
        <v/>
      </c>
      <c r="E313" s="10">
        <f>IF($K313="","",INDEX(Конструктор!$H$2:$H$1212,$K313))</f>
        <v/>
      </c>
      <c r="F313" s="10">
        <f>IF($K313="","",INDEX(Конструктор!$L$2:$L$1212,$K313))</f>
        <v/>
      </c>
      <c r="G313" s="10">
        <f>IF($K313="","",INDEX(Конструктор!$M$2:$M$1212,$K313))</f>
        <v/>
      </c>
      <c r="H313" s="10">
        <f>IF($K313="","",INDEX(Конструктор!$N$2:$N$1212,$K313))</f>
        <v/>
      </c>
      <c r="I313" s="10">
        <f>IF($K313="","",INDEX(Конструктор!$O$2:$O$1212,$K313))</f>
        <v/>
      </c>
      <c r="J313" s="10">
        <f>IF($K313="","",INDEX(Конструктор!$P$2:$P$1212,$K313))</f>
        <v/>
      </c>
      <c r="K313">
        <f>IFERROR(MATCH(293,Конструктор!$T$2:$T$1212,0),"")</f>
        <v/>
      </c>
      <c r="L313">
        <f>IF($K313="","","показать")</f>
        <v/>
      </c>
    </row>
    <row r="314" hidden="1">
      <c r="A314">
        <f>IF($K314="","",294)</f>
        <v/>
      </c>
      <c r="B314">
        <f>IF($K314="","",INDEX(Конструктор!$C$2:$C$1212,$K314))</f>
        <v/>
      </c>
      <c r="C314" s="8">
        <f>IF($K314="","",INDEX(Конструктор!$D$2:$D$1212,$K314)&amp;IF(INDEX(Конструктор!$J$2:$J$1212,$K314)&lt;&gt;""," — "&amp;INDEX(Конструктор!$J$2:$J$1212,$K314),""))</f>
        <v/>
      </c>
      <c r="D314">
        <f>IF($K314="","",INDEX(Конструктор!$E$2:$E$1212,$K314))</f>
        <v/>
      </c>
      <c r="E314" s="10">
        <f>IF($K314="","",INDEX(Конструктор!$H$2:$H$1212,$K314))</f>
        <v/>
      </c>
      <c r="F314" s="10">
        <f>IF($K314="","",INDEX(Конструктор!$L$2:$L$1212,$K314))</f>
        <v/>
      </c>
      <c r="G314" s="10">
        <f>IF($K314="","",INDEX(Конструктор!$M$2:$M$1212,$K314))</f>
        <v/>
      </c>
      <c r="H314" s="10">
        <f>IF($K314="","",INDEX(Конструктор!$N$2:$N$1212,$K314))</f>
        <v/>
      </c>
      <c r="I314" s="10">
        <f>IF($K314="","",INDEX(Конструктор!$O$2:$O$1212,$K314))</f>
        <v/>
      </c>
      <c r="J314" s="10">
        <f>IF($K314="","",INDEX(Конструктор!$P$2:$P$1212,$K314))</f>
        <v/>
      </c>
      <c r="K314">
        <f>IFERROR(MATCH(294,Конструктор!$T$2:$T$1212,0),"")</f>
        <v/>
      </c>
      <c r="L314">
        <f>IF($K314="","","показать")</f>
        <v/>
      </c>
    </row>
    <row r="315" hidden="1">
      <c r="A315">
        <f>IF($K315="","",295)</f>
        <v/>
      </c>
      <c r="B315">
        <f>IF($K315="","",INDEX(Конструктор!$C$2:$C$1212,$K315))</f>
        <v/>
      </c>
      <c r="C315" s="8">
        <f>IF($K315="","",INDEX(Конструктор!$D$2:$D$1212,$K315)&amp;IF(INDEX(Конструктор!$J$2:$J$1212,$K315)&lt;&gt;""," — "&amp;INDEX(Конструктор!$J$2:$J$1212,$K315),""))</f>
        <v/>
      </c>
      <c r="D315">
        <f>IF($K315="","",INDEX(Конструктор!$E$2:$E$1212,$K315))</f>
        <v/>
      </c>
      <c r="E315" s="10">
        <f>IF($K315="","",INDEX(Конструктор!$H$2:$H$1212,$K315))</f>
        <v/>
      </c>
      <c r="F315" s="10">
        <f>IF($K315="","",INDEX(Конструктор!$L$2:$L$1212,$K315))</f>
        <v/>
      </c>
      <c r="G315" s="10">
        <f>IF($K315="","",INDEX(Конструктор!$M$2:$M$1212,$K315))</f>
        <v/>
      </c>
      <c r="H315" s="10">
        <f>IF($K315="","",INDEX(Конструктор!$N$2:$N$1212,$K315))</f>
        <v/>
      </c>
      <c r="I315" s="10">
        <f>IF($K315="","",INDEX(Конструктор!$O$2:$O$1212,$K315))</f>
        <v/>
      </c>
      <c r="J315" s="10">
        <f>IF($K315="","",INDEX(Конструктор!$P$2:$P$1212,$K315))</f>
        <v/>
      </c>
      <c r="K315">
        <f>IFERROR(MATCH(295,Конструктор!$T$2:$T$1212,0),"")</f>
        <v/>
      </c>
      <c r="L315">
        <f>IF($K315="","","показать")</f>
        <v/>
      </c>
    </row>
    <row r="316" hidden="1">
      <c r="A316">
        <f>IF($K316="","",296)</f>
        <v/>
      </c>
      <c r="B316">
        <f>IF($K316="","",INDEX(Конструктор!$C$2:$C$1212,$K316))</f>
        <v/>
      </c>
      <c r="C316" s="8">
        <f>IF($K316="","",INDEX(Конструктор!$D$2:$D$1212,$K316)&amp;IF(INDEX(Конструктор!$J$2:$J$1212,$K316)&lt;&gt;""," — "&amp;INDEX(Конструктор!$J$2:$J$1212,$K316),""))</f>
        <v/>
      </c>
      <c r="D316">
        <f>IF($K316="","",INDEX(Конструктор!$E$2:$E$1212,$K316))</f>
        <v/>
      </c>
      <c r="E316" s="10">
        <f>IF($K316="","",INDEX(Конструктор!$H$2:$H$1212,$K316))</f>
        <v/>
      </c>
      <c r="F316" s="10">
        <f>IF($K316="","",INDEX(Конструктор!$L$2:$L$1212,$K316))</f>
        <v/>
      </c>
      <c r="G316" s="10">
        <f>IF($K316="","",INDEX(Конструктор!$M$2:$M$1212,$K316))</f>
        <v/>
      </c>
      <c r="H316" s="10">
        <f>IF($K316="","",INDEX(Конструктор!$N$2:$N$1212,$K316))</f>
        <v/>
      </c>
      <c r="I316" s="10">
        <f>IF($K316="","",INDEX(Конструктор!$O$2:$O$1212,$K316))</f>
        <v/>
      </c>
      <c r="J316" s="10">
        <f>IF($K316="","",INDEX(Конструктор!$P$2:$P$1212,$K316))</f>
        <v/>
      </c>
      <c r="K316">
        <f>IFERROR(MATCH(296,Конструктор!$T$2:$T$1212,0),"")</f>
        <v/>
      </c>
      <c r="L316">
        <f>IF($K316="","","показать")</f>
        <v/>
      </c>
    </row>
    <row r="317" hidden="1">
      <c r="A317">
        <f>IF($K317="","",297)</f>
        <v/>
      </c>
      <c r="B317">
        <f>IF($K317="","",INDEX(Конструктор!$C$2:$C$1212,$K317))</f>
        <v/>
      </c>
      <c r="C317" s="8">
        <f>IF($K317="","",INDEX(Конструктор!$D$2:$D$1212,$K317)&amp;IF(INDEX(Конструктор!$J$2:$J$1212,$K317)&lt;&gt;""," — "&amp;INDEX(Конструктор!$J$2:$J$1212,$K317),""))</f>
        <v/>
      </c>
      <c r="D317">
        <f>IF($K317="","",INDEX(Конструктор!$E$2:$E$1212,$K317))</f>
        <v/>
      </c>
      <c r="E317" s="10">
        <f>IF($K317="","",INDEX(Конструктор!$H$2:$H$1212,$K317))</f>
        <v/>
      </c>
      <c r="F317" s="10">
        <f>IF($K317="","",INDEX(Конструктор!$L$2:$L$1212,$K317))</f>
        <v/>
      </c>
      <c r="G317" s="10">
        <f>IF($K317="","",INDEX(Конструктор!$M$2:$M$1212,$K317))</f>
        <v/>
      </c>
      <c r="H317" s="10">
        <f>IF($K317="","",INDEX(Конструктор!$N$2:$N$1212,$K317))</f>
        <v/>
      </c>
      <c r="I317" s="10">
        <f>IF($K317="","",INDEX(Конструктор!$O$2:$O$1212,$K317))</f>
        <v/>
      </c>
      <c r="J317" s="10">
        <f>IF($K317="","",INDEX(Конструктор!$P$2:$P$1212,$K317))</f>
        <v/>
      </c>
      <c r="K317">
        <f>IFERROR(MATCH(297,Конструктор!$T$2:$T$1212,0),"")</f>
        <v/>
      </c>
      <c r="L317">
        <f>IF($K317="","","показать")</f>
        <v/>
      </c>
    </row>
    <row r="318" hidden="1">
      <c r="A318">
        <f>IF($K318="","",298)</f>
        <v/>
      </c>
      <c r="B318">
        <f>IF($K318="","",INDEX(Конструктор!$C$2:$C$1212,$K318))</f>
        <v/>
      </c>
      <c r="C318" s="8">
        <f>IF($K318="","",INDEX(Конструктор!$D$2:$D$1212,$K318)&amp;IF(INDEX(Конструктор!$J$2:$J$1212,$K318)&lt;&gt;""," — "&amp;INDEX(Конструктор!$J$2:$J$1212,$K318),""))</f>
        <v/>
      </c>
      <c r="D318">
        <f>IF($K318="","",INDEX(Конструктор!$E$2:$E$1212,$K318))</f>
        <v/>
      </c>
      <c r="E318" s="10">
        <f>IF($K318="","",INDEX(Конструктор!$H$2:$H$1212,$K318))</f>
        <v/>
      </c>
      <c r="F318" s="10">
        <f>IF($K318="","",INDEX(Конструктор!$L$2:$L$1212,$K318))</f>
        <v/>
      </c>
      <c r="G318" s="10">
        <f>IF($K318="","",INDEX(Конструктор!$M$2:$M$1212,$K318))</f>
        <v/>
      </c>
      <c r="H318" s="10">
        <f>IF($K318="","",INDEX(Конструктор!$N$2:$N$1212,$K318))</f>
        <v/>
      </c>
      <c r="I318" s="10">
        <f>IF($K318="","",INDEX(Конструктор!$O$2:$O$1212,$K318))</f>
        <v/>
      </c>
      <c r="J318" s="10">
        <f>IF($K318="","",INDEX(Конструктор!$P$2:$P$1212,$K318))</f>
        <v/>
      </c>
      <c r="K318">
        <f>IFERROR(MATCH(298,Конструктор!$T$2:$T$1212,0),"")</f>
        <v/>
      </c>
      <c r="L318">
        <f>IF($K318="","","показать")</f>
        <v/>
      </c>
    </row>
    <row r="319" hidden="1">
      <c r="A319">
        <f>IF($K319="","",299)</f>
        <v/>
      </c>
      <c r="B319">
        <f>IF($K319="","",INDEX(Конструктор!$C$2:$C$1212,$K319))</f>
        <v/>
      </c>
      <c r="C319" s="8">
        <f>IF($K319="","",INDEX(Конструктор!$D$2:$D$1212,$K319)&amp;IF(INDEX(Конструктор!$J$2:$J$1212,$K319)&lt;&gt;""," — "&amp;INDEX(Конструктор!$J$2:$J$1212,$K319),""))</f>
        <v/>
      </c>
      <c r="D319">
        <f>IF($K319="","",INDEX(Конструктор!$E$2:$E$1212,$K319))</f>
        <v/>
      </c>
      <c r="E319" s="10">
        <f>IF($K319="","",INDEX(Конструктор!$H$2:$H$1212,$K319))</f>
        <v/>
      </c>
      <c r="F319" s="10">
        <f>IF($K319="","",INDEX(Конструктор!$L$2:$L$1212,$K319))</f>
        <v/>
      </c>
      <c r="G319" s="10">
        <f>IF($K319="","",INDEX(Конструктор!$M$2:$M$1212,$K319))</f>
        <v/>
      </c>
      <c r="H319" s="10">
        <f>IF($K319="","",INDEX(Конструктор!$N$2:$N$1212,$K319))</f>
        <v/>
      </c>
      <c r="I319" s="10">
        <f>IF($K319="","",INDEX(Конструктор!$O$2:$O$1212,$K319))</f>
        <v/>
      </c>
      <c r="J319" s="10">
        <f>IF($K319="","",INDEX(Конструктор!$P$2:$P$1212,$K319))</f>
        <v/>
      </c>
      <c r="K319">
        <f>IFERROR(MATCH(299,Конструктор!$T$2:$T$1212,0),"")</f>
        <v/>
      </c>
      <c r="L319">
        <f>IF($K319="","","показать")</f>
        <v/>
      </c>
    </row>
    <row r="320" hidden="1">
      <c r="A320">
        <f>IF($K320="","",300)</f>
        <v/>
      </c>
      <c r="B320">
        <f>IF($K320="","",INDEX(Конструктор!$C$2:$C$1212,$K320))</f>
        <v/>
      </c>
      <c r="C320" s="8">
        <f>IF($K320="","",INDEX(Конструктор!$D$2:$D$1212,$K320)&amp;IF(INDEX(Конструктор!$J$2:$J$1212,$K320)&lt;&gt;""," — "&amp;INDEX(Конструктор!$J$2:$J$1212,$K320),""))</f>
        <v/>
      </c>
      <c r="D320">
        <f>IF($K320="","",INDEX(Конструктор!$E$2:$E$1212,$K320))</f>
        <v/>
      </c>
      <c r="E320" s="10">
        <f>IF($K320="","",INDEX(Конструктор!$H$2:$H$1212,$K320))</f>
        <v/>
      </c>
      <c r="F320" s="10">
        <f>IF($K320="","",INDEX(Конструктор!$L$2:$L$1212,$K320))</f>
        <v/>
      </c>
      <c r="G320" s="10">
        <f>IF($K320="","",INDEX(Конструктор!$M$2:$M$1212,$K320))</f>
        <v/>
      </c>
      <c r="H320" s="10">
        <f>IF($K320="","",INDEX(Конструктор!$N$2:$N$1212,$K320))</f>
        <v/>
      </c>
      <c r="I320" s="10">
        <f>IF($K320="","",INDEX(Конструктор!$O$2:$O$1212,$K320))</f>
        <v/>
      </c>
      <c r="J320" s="10">
        <f>IF($K320="","",INDEX(Конструктор!$P$2:$P$1212,$K320))</f>
        <v/>
      </c>
      <c r="K320">
        <f>IFERROR(MATCH(300,Конструктор!$T$2:$T$1212,0),"")</f>
        <v/>
      </c>
      <c r="L320">
        <f>IF($K320="","","показать")</f>
        <v/>
      </c>
    </row>
    <row r="321" hidden="1">
      <c r="A321">
        <f>IF($K321="","",301)</f>
        <v/>
      </c>
      <c r="B321">
        <f>IF($K321="","",INDEX(Конструктор!$C$2:$C$1212,$K321))</f>
        <v/>
      </c>
      <c r="C321" s="8">
        <f>IF($K321="","",INDEX(Конструктор!$D$2:$D$1212,$K321)&amp;IF(INDEX(Конструктор!$J$2:$J$1212,$K321)&lt;&gt;""," — "&amp;INDEX(Конструктор!$J$2:$J$1212,$K321),""))</f>
        <v/>
      </c>
      <c r="D321">
        <f>IF($K321="","",INDEX(Конструктор!$E$2:$E$1212,$K321))</f>
        <v/>
      </c>
      <c r="E321" s="10">
        <f>IF($K321="","",INDEX(Конструктор!$H$2:$H$1212,$K321))</f>
        <v/>
      </c>
      <c r="F321" s="10">
        <f>IF($K321="","",INDEX(Конструктор!$L$2:$L$1212,$K321))</f>
        <v/>
      </c>
      <c r="G321" s="10">
        <f>IF($K321="","",INDEX(Конструктор!$M$2:$M$1212,$K321))</f>
        <v/>
      </c>
      <c r="H321" s="10">
        <f>IF($K321="","",INDEX(Конструктор!$N$2:$N$1212,$K321))</f>
        <v/>
      </c>
      <c r="I321" s="10">
        <f>IF($K321="","",INDEX(Конструктор!$O$2:$O$1212,$K321))</f>
        <v/>
      </c>
      <c r="J321" s="10">
        <f>IF($K321="","",INDEX(Конструктор!$P$2:$P$1212,$K321))</f>
        <v/>
      </c>
      <c r="K321">
        <f>IFERROR(MATCH(301,Конструктор!$T$2:$T$1212,0),"")</f>
        <v/>
      </c>
      <c r="L321">
        <f>IF($K321="","","показать")</f>
        <v/>
      </c>
    </row>
    <row r="322" hidden="1">
      <c r="A322">
        <f>IF($K322="","",302)</f>
        <v/>
      </c>
      <c r="B322">
        <f>IF($K322="","",INDEX(Конструктор!$C$2:$C$1212,$K322))</f>
        <v/>
      </c>
      <c r="C322" s="8">
        <f>IF($K322="","",INDEX(Конструктор!$D$2:$D$1212,$K322)&amp;IF(INDEX(Конструктор!$J$2:$J$1212,$K322)&lt;&gt;""," — "&amp;INDEX(Конструктор!$J$2:$J$1212,$K322),""))</f>
        <v/>
      </c>
      <c r="D322">
        <f>IF($K322="","",INDEX(Конструктор!$E$2:$E$1212,$K322))</f>
        <v/>
      </c>
      <c r="E322" s="10">
        <f>IF($K322="","",INDEX(Конструктор!$H$2:$H$1212,$K322))</f>
        <v/>
      </c>
      <c r="F322" s="10">
        <f>IF($K322="","",INDEX(Конструктор!$L$2:$L$1212,$K322))</f>
        <v/>
      </c>
      <c r="G322" s="10">
        <f>IF($K322="","",INDEX(Конструктор!$M$2:$M$1212,$K322))</f>
        <v/>
      </c>
      <c r="H322" s="10">
        <f>IF($K322="","",INDEX(Конструктор!$N$2:$N$1212,$K322))</f>
        <v/>
      </c>
      <c r="I322" s="10">
        <f>IF($K322="","",INDEX(Конструктор!$O$2:$O$1212,$K322))</f>
        <v/>
      </c>
      <c r="J322" s="10">
        <f>IF($K322="","",INDEX(Конструктор!$P$2:$P$1212,$K322))</f>
        <v/>
      </c>
      <c r="K322">
        <f>IFERROR(MATCH(302,Конструктор!$T$2:$T$1212,0),"")</f>
        <v/>
      </c>
      <c r="L322">
        <f>IF($K322="","","показать")</f>
        <v/>
      </c>
    </row>
    <row r="323" hidden="1">
      <c r="A323">
        <f>IF($K323="","",303)</f>
        <v/>
      </c>
      <c r="B323">
        <f>IF($K323="","",INDEX(Конструктор!$C$2:$C$1212,$K323))</f>
        <v/>
      </c>
      <c r="C323" s="8">
        <f>IF($K323="","",INDEX(Конструктор!$D$2:$D$1212,$K323)&amp;IF(INDEX(Конструктор!$J$2:$J$1212,$K323)&lt;&gt;""," — "&amp;INDEX(Конструктор!$J$2:$J$1212,$K323),""))</f>
        <v/>
      </c>
      <c r="D323">
        <f>IF($K323="","",INDEX(Конструктор!$E$2:$E$1212,$K323))</f>
        <v/>
      </c>
      <c r="E323" s="10">
        <f>IF($K323="","",INDEX(Конструктор!$H$2:$H$1212,$K323))</f>
        <v/>
      </c>
      <c r="F323" s="10">
        <f>IF($K323="","",INDEX(Конструктор!$L$2:$L$1212,$K323))</f>
        <v/>
      </c>
      <c r="G323" s="10">
        <f>IF($K323="","",INDEX(Конструктор!$M$2:$M$1212,$K323))</f>
        <v/>
      </c>
      <c r="H323" s="10">
        <f>IF($K323="","",INDEX(Конструктор!$N$2:$N$1212,$K323))</f>
        <v/>
      </c>
      <c r="I323" s="10">
        <f>IF($K323="","",INDEX(Конструктор!$O$2:$O$1212,$K323))</f>
        <v/>
      </c>
      <c r="J323" s="10">
        <f>IF($K323="","",INDEX(Конструктор!$P$2:$P$1212,$K323))</f>
        <v/>
      </c>
      <c r="K323">
        <f>IFERROR(MATCH(303,Конструктор!$T$2:$T$1212,0),"")</f>
        <v/>
      </c>
      <c r="L323">
        <f>IF($K323="","","показать")</f>
        <v/>
      </c>
    </row>
    <row r="324" hidden="1">
      <c r="A324">
        <f>IF($K324="","",304)</f>
        <v/>
      </c>
      <c r="B324">
        <f>IF($K324="","",INDEX(Конструктор!$C$2:$C$1212,$K324))</f>
        <v/>
      </c>
      <c r="C324" s="8">
        <f>IF($K324="","",INDEX(Конструктор!$D$2:$D$1212,$K324)&amp;IF(INDEX(Конструктор!$J$2:$J$1212,$K324)&lt;&gt;""," — "&amp;INDEX(Конструктор!$J$2:$J$1212,$K324),""))</f>
        <v/>
      </c>
      <c r="D324">
        <f>IF($K324="","",INDEX(Конструктор!$E$2:$E$1212,$K324))</f>
        <v/>
      </c>
      <c r="E324" s="10">
        <f>IF($K324="","",INDEX(Конструктор!$H$2:$H$1212,$K324))</f>
        <v/>
      </c>
      <c r="F324" s="10">
        <f>IF($K324="","",INDEX(Конструктор!$L$2:$L$1212,$K324))</f>
        <v/>
      </c>
      <c r="G324" s="10">
        <f>IF($K324="","",INDEX(Конструктор!$M$2:$M$1212,$K324))</f>
        <v/>
      </c>
      <c r="H324" s="10">
        <f>IF($K324="","",INDEX(Конструктор!$N$2:$N$1212,$K324))</f>
        <v/>
      </c>
      <c r="I324" s="10">
        <f>IF($K324="","",INDEX(Конструктор!$O$2:$O$1212,$K324))</f>
        <v/>
      </c>
      <c r="J324" s="10">
        <f>IF($K324="","",INDEX(Конструктор!$P$2:$P$1212,$K324))</f>
        <v/>
      </c>
      <c r="K324">
        <f>IFERROR(MATCH(304,Конструктор!$T$2:$T$1212,0),"")</f>
        <v/>
      </c>
      <c r="L324">
        <f>IF($K324="","","показать")</f>
        <v/>
      </c>
    </row>
    <row r="325" hidden="1">
      <c r="A325">
        <f>IF($K325="","",305)</f>
        <v/>
      </c>
      <c r="B325">
        <f>IF($K325="","",INDEX(Конструктор!$C$2:$C$1212,$K325))</f>
        <v/>
      </c>
      <c r="C325" s="8">
        <f>IF($K325="","",INDEX(Конструктор!$D$2:$D$1212,$K325)&amp;IF(INDEX(Конструктор!$J$2:$J$1212,$K325)&lt;&gt;""," — "&amp;INDEX(Конструктор!$J$2:$J$1212,$K325),""))</f>
        <v/>
      </c>
      <c r="D325">
        <f>IF($K325="","",INDEX(Конструктор!$E$2:$E$1212,$K325))</f>
        <v/>
      </c>
      <c r="E325" s="10">
        <f>IF($K325="","",INDEX(Конструктор!$H$2:$H$1212,$K325))</f>
        <v/>
      </c>
      <c r="F325" s="10">
        <f>IF($K325="","",INDEX(Конструктор!$L$2:$L$1212,$K325))</f>
        <v/>
      </c>
      <c r="G325" s="10">
        <f>IF($K325="","",INDEX(Конструктор!$M$2:$M$1212,$K325))</f>
        <v/>
      </c>
      <c r="H325" s="10">
        <f>IF($K325="","",INDEX(Конструктор!$N$2:$N$1212,$K325))</f>
        <v/>
      </c>
      <c r="I325" s="10">
        <f>IF($K325="","",INDEX(Конструктор!$O$2:$O$1212,$K325))</f>
        <v/>
      </c>
      <c r="J325" s="10">
        <f>IF($K325="","",INDEX(Конструктор!$P$2:$P$1212,$K325))</f>
        <v/>
      </c>
      <c r="K325">
        <f>IFERROR(MATCH(305,Конструктор!$T$2:$T$1212,0),"")</f>
        <v/>
      </c>
      <c r="L325">
        <f>IF($K325="","","показать")</f>
        <v/>
      </c>
    </row>
    <row r="326" hidden="1">
      <c r="A326">
        <f>IF($K326="","",306)</f>
        <v/>
      </c>
      <c r="B326">
        <f>IF($K326="","",INDEX(Конструктор!$C$2:$C$1212,$K326))</f>
        <v/>
      </c>
      <c r="C326" s="8">
        <f>IF($K326="","",INDEX(Конструктор!$D$2:$D$1212,$K326)&amp;IF(INDEX(Конструктор!$J$2:$J$1212,$K326)&lt;&gt;""," — "&amp;INDEX(Конструктор!$J$2:$J$1212,$K326),""))</f>
        <v/>
      </c>
      <c r="D326">
        <f>IF($K326="","",INDEX(Конструктор!$E$2:$E$1212,$K326))</f>
        <v/>
      </c>
      <c r="E326" s="10">
        <f>IF($K326="","",INDEX(Конструктор!$H$2:$H$1212,$K326))</f>
        <v/>
      </c>
      <c r="F326" s="10">
        <f>IF($K326="","",INDEX(Конструктор!$L$2:$L$1212,$K326))</f>
        <v/>
      </c>
      <c r="G326" s="10">
        <f>IF($K326="","",INDEX(Конструктор!$M$2:$M$1212,$K326))</f>
        <v/>
      </c>
      <c r="H326" s="10">
        <f>IF($K326="","",INDEX(Конструктор!$N$2:$N$1212,$K326))</f>
        <v/>
      </c>
      <c r="I326" s="10">
        <f>IF($K326="","",INDEX(Конструктор!$O$2:$O$1212,$K326))</f>
        <v/>
      </c>
      <c r="J326" s="10">
        <f>IF($K326="","",INDEX(Конструктор!$P$2:$P$1212,$K326))</f>
        <v/>
      </c>
      <c r="K326">
        <f>IFERROR(MATCH(306,Конструктор!$T$2:$T$1212,0),"")</f>
        <v/>
      </c>
      <c r="L326">
        <f>IF($K326="","","показать")</f>
        <v/>
      </c>
    </row>
    <row r="327" hidden="1">
      <c r="A327">
        <f>IF($K327="","",307)</f>
        <v/>
      </c>
      <c r="B327">
        <f>IF($K327="","",INDEX(Конструктор!$C$2:$C$1212,$K327))</f>
        <v/>
      </c>
      <c r="C327" s="8">
        <f>IF($K327="","",INDEX(Конструктор!$D$2:$D$1212,$K327)&amp;IF(INDEX(Конструктор!$J$2:$J$1212,$K327)&lt;&gt;""," — "&amp;INDEX(Конструктор!$J$2:$J$1212,$K327),""))</f>
        <v/>
      </c>
      <c r="D327">
        <f>IF($K327="","",INDEX(Конструктор!$E$2:$E$1212,$K327))</f>
        <v/>
      </c>
      <c r="E327" s="10">
        <f>IF($K327="","",INDEX(Конструктор!$H$2:$H$1212,$K327))</f>
        <v/>
      </c>
      <c r="F327" s="10">
        <f>IF($K327="","",INDEX(Конструктор!$L$2:$L$1212,$K327))</f>
        <v/>
      </c>
      <c r="G327" s="10">
        <f>IF($K327="","",INDEX(Конструктор!$M$2:$M$1212,$K327))</f>
        <v/>
      </c>
      <c r="H327" s="10">
        <f>IF($K327="","",INDEX(Конструктор!$N$2:$N$1212,$K327))</f>
        <v/>
      </c>
      <c r="I327" s="10">
        <f>IF($K327="","",INDEX(Конструктор!$O$2:$O$1212,$K327))</f>
        <v/>
      </c>
      <c r="J327" s="10">
        <f>IF($K327="","",INDEX(Конструктор!$P$2:$P$1212,$K327))</f>
        <v/>
      </c>
      <c r="K327">
        <f>IFERROR(MATCH(307,Конструктор!$T$2:$T$1212,0),"")</f>
        <v/>
      </c>
      <c r="L327">
        <f>IF($K327="","","показать")</f>
        <v/>
      </c>
    </row>
    <row r="328" hidden="1">
      <c r="A328">
        <f>IF($K328="","",308)</f>
        <v/>
      </c>
      <c r="B328">
        <f>IF($K328="","",INDEX(Конструктор!$C$2:$C$1212,$K328))</f>
        <v/>
      </c>
      <c r="C328" s="8">
        <f>IF($K328="","",INDEX(Конструктор!$D$2:$D$1212,$K328)&amp;IF(INDEX(Конструктор!$J$2:$J$1212,$K328)&lt;&gt;""," — "&amp;INDEX(Конструктор!$J$2:$J$1212,$K328),""))</f>
        <v/>
      </c>
      <c r="D328">
        <f>IF($K328="","",INDEX(Конструктор!$E$2:$E$1212,$K328))</f>
        <v/>
      </c>
      <c r="E328" s="10">
        <f>IF($K328="","",INDEX(Конструктор!$H$2:$H$1212,$K328))</f>
        <v/>
      </c>
      <c r="F328" s="10">
        <f>IF($K328="","",INDEX(Конструктор!$L$2:$L$1212,$K328))</f>
        <v/>
      </c>
      <c r="G328" s="10">
        <f>IF($K328="","",INDEX(Конструктор!$M$2:$M$1212,$K328))</f>
        <v/>
      </c>
      <c r="H328" s="10">
        <f>IF($K328="","",INDEX(Конструктор!$N$2:$N$1212,$K328))</f>
        <v/>
      </c>
      <c r="I328" s="10">
        <f>IF($K328="","",INDEX(Конструктор!$O$2:$O$1212,$K328))</f>
        <v/>
      </c>
      <c r="J328" s="10">
        <f>IF($K328="","",INDEX(Конструктор!$P$2:$P$1212,$K328))</f>
        <v/>
      </c>
      <c r="K328">
        <f>IFERROR(MATCH(308,Конструктор!$T$2:$T$1212,0),"")</f>
        <v/>
      </c>
      <c r="L328">
        <f>IF($K328="","","показать")</f>
        <v/>
      </c>
    </row>
    <row r="329" hidden="1">
      <c r="A329">
        <f>IF($K329="","",309)</f>
        <v/>
      </c>
      <c r="B329">
        <f>IF($K329="","",INDEX(Конструктор!$C$2:$C$1212,$K329))</f>
        <v/>
      </c>
      <c r="C329" s="8">
        <f>IF($K329="","",INDEX(Конструктор!$D$2:$D$1212,$K329)&amp;IF(INDEX(Конструктор!$J$2:$J$1212,$K329)&lt;&gt;""," — "&amp;INDEX(Конструктор!$J$2:$J$1212,$K329),""))</f>
        <v/>
      </c>
      <c r="D329">
        <f>IF($K329="","",INDEX(Конструктор!$E$2:$E$1212,$K329))</f>
        <v/>
      </c>
      <c r="E329" s="10">
        <f>IF($K329="","",INDEX(Конструктор!$H$2:$H$1212,$K329))</f>
        <v/>
      </c>
      <c r="F329" s="10">
        <f>IF($K329="","",INDEX(Конструктор!$L$2:$L$1212,$K329))</f>
        <v/>
      </c>
      <c r="G329" s="10">
        <f>IF($K329="","",INDEX(Конструктор!$M$2:$M$1212,$K329))</f>
        <v/>
      </c>
      <c r="H329" s="10">
        <f>IF($K329="","",INDEX(Конструктор!$N$2:$N$1212,$K329))</f>
        <v/>
      </c>
      <c r="I329" s="10">
        <f>IF($K329="","",INDEX(Конструктор!$O$2:$O$1212,$K329))</f>
        <v/>
      </c>
      <c r="J329" s="10">
        <f>IF($K329="","",INDEX(Конструктор!$P$2:$P$1212,$K329))</f>
        <v/>
      </c>
      <c r="K329">
        <f>IFERROR(MATCH(309,Конструктор!$T$2:$T$1212,0),"")</f>
        <v/>
      </c>
      <c r="L329">
        <f>IF($K329="","","показать")</f>
        <v/>
      </c>
    </row>
    <row r="330" hidden="1">
      <c r="A330">
        <f>IF($K330="","",310)</f>
        <v/>
      </c>
      <c r="B330">
        <f>IF($K330="","",INDEX(Конструктор!$C$2:$C$1212,$K330))</f>
        <v/>
      </c>
      <c r="C330" s="8">
        <f>IF($K330="","",INDEX(Конструктор!$D$2:$D$1212,$K330)&amp;IF(INDEX(Конструктор!$J$2:$J$1212,$K330)&lt;&gt;""," — "&amp;INDEX(Конструктор!$J$2:$J$1212,$K330),""))</f>
        <v/>
      </c>
      <c r="D330">
        <f>IF($K330="","",INDEX(Конструктор!$E$2:$E$1212,$K330))</f>
        <v/>
      </c>
      <c r="E330" s="10">
        <f>IF($K330="","",INDEX(Конструктор!$H$2:$H$1212,$K330))</f>
        <v/>
      </c>
      <c r="F330" s="10">
        <f>IF($K330="","",INDEX(Конструктор!$L$2:$L$1212,$K330))</f>
        <v/>
      </c>
      <c r="G330" s="10">
        <f>IF($K330="","",INDEX(Конструктор!$M$2:$M$1212,$K330))</f>
        <v/>
      </c>
      <c r="H330" s="10">
        <f>IF($K330="","",INDEX(Конструктор!$N$2:$N$1212,$K330))</f>
        <v/>
      </c>
      <c r="I330" s="10">
        <f>IF($K330="","",INDEX(Конструктор!$O$2:$O$1212,$K330))</f>
        <v/>
      </c>
      <c r="J330" s="10">
        <f>IF($K330="","",INDEX(Конструктор!$P$2:$P$1212,$K330))</f>
        <v/>
      </c>
      <c r="K330">
        <f>IFERROR(MATCH(310,Конструктор!$T$2:$T$1212,0),"")</f>
        <v/>
      </c>
      <c r="L330">
        <f>IF($K330="","","показать")</f>
        <v/>
      </c>
    </row>
    <row r="331" hidden="1">
      <c r="A331">
        <f>IF($K331="","",311)</f>
        <v/>
      </c>
      <c r="B331">
        <f>IF($K331="","",INDEX(Конструктор!$C$2:$C$1212,$K331))</f>
        <v/>
      </c>
      <c r="C331" s="8">
        <f>IF($K331="","",INDEX(Конструктор!$D$2:$D$1212,$K331)&amp;IF(INDEX(Конструктор!$J$2:$J$1212,$K331)&lt;&gt;""," — "&amp;INDEX(Конструктор!$J$2:$J$1212,$K331),""))</f>
        <v/>
      </c>
      <c r="D331">
        <f>IF($K331="","",INDEX(Конструктор!$E$2:$E$1212,$K331))</f>
        <v/>
      </c>
      <c r="E331" s="10">
        <f>IF($K331="","",INDEX(Конструктор!$H$2:$H$1212,$K331))</f>
        <v/>
      </c>
      <c r="F331" s="10">
        <f>IF($K331="","",INDEX(Конструктор!$L$2:$L$1212,$K331))</f>
        <v/>
      </c>
      <c r="G331" s="10">
        <f>IF($K331="","",INDEX(Конструктор!$M$2:$M$1212,$K331))</f>
        <v/>
      </c>
      <c r="H331" s="10">
        <f>IF($K331="","",INDEX(Конструктор!$N$2:$N$1212,$K331))</f>
        <v/>
      </c>
      <c r="I331" s="10">
        <f>IF($K331="","",INDEX(Конструктор!$O$2:$O$1212,$K331))</f>
        <v/>
      </c>
      <c r="J331" s="10">
        <f>IF($K331="","",INDEX(Конструктор!$P$2:$P$1212,$K331))</f>
        <v/>
      </c>
      <c r="K331">
        <f>IFERROR(MATCH(311,Конструктор!$T$2:$T$1212,0),"")</f>
        <v/>
      </c>
      <c r="L331">
        <f>IF($K331="","","показать")</f>
        <v/>
      </c>
    </row>
    <row r="332" hidden="1">
      <c r="A332">
        <f>IF($K332="","",312)</f>
        <v/>
      </c>
      <c r="B332">
        <f>IF($K332="","",INDEX(Конструктор!$C$2:$C$1212,$K332))</f>
        <v/>
      </c>
      <c r="C332" s="8">
        <f>IF($K332="","",INDEX(Конструктор!$D$2:$D$1212,$K332)&amp;IF(INDEX(Конструктор!$J$2:$J$1212,$K332)&lt;&gt;""," — "&amp;INDEX(Конструктор!$J$2:$J$1212,$K332),""))</f>
        <v/>
      </c>
      <c r="D332">
        <f>IF($K332="","",INDEX(Конструктор!$E$2:$E$1212,$K332))</f>
        <v/>
      </c>
      <c r="E332" s="10">
        <f>IF($K332="","",INDEX(Конструктор!$H$2:$H$1212,$K332))</f>
        <v/>
      </c>
      <c r="F332" s="10">
        <f>IF($K332="","",INDEX(Конструктор!$L$2:$L$1212,$K332))</f>
        <v/>
      </c>
      <c r="G332" s="10">
        <f>IF($K332="","",INDEX(Конструктор!$M$2:$M$1212,$K332))</f>
        <v/>
      </c>
      <c r="H332" s="10">
        <f>IF($K332="","",INDEX(Конструктор!$N$2:$N$1212,$K332))</f>
        <v/>
      </c>
      <c r="I332" s="10">
        <f>IF($K332="","",INDEX(Конструктор!$O$2:$O$1212,$K332))</f>
        <v/>
      </c>
      <c r="J332" s="10">
        <f>IF($K332="","",INDEX(Конструктор!$P$2:$P$1212,$K332))</f>
        <v/>
      </c>
      <c r="K332">
        <f>IFERROR(MATCH(312,Конструктор!$T$2:$T$1212,0),"")</f>
        <v/>
      </c>
      <c r="L332">
        <f>IF($K332="","","показать")</f>
        <v/>
      </c>
    </row>
    <row r="333" hidden="1">
      <c r="A333">
        <f>IF($K333="","",313)</f>
        <v/>
      </c>
      <c r="B333">
        <f>IF($K333="","",INDEX(Конструктор!$C$2:$C$1212,$K333))</f>
        <v/>
      </c>
      <c r="C333" s="8">
        <f>IF($K333="","",INDEX(Конструктор!$D$2:$D$1212,$K333)&amp;IF(INDEX(Конструктор!$J$2:$J$1212,$K333)&lt;&gt;""," — "&amp;INDEX(Конструктор!$J$2:$J$1212,$K333),""))</f>
        <v/>
      </c>
      <c r="D333">
        <f>IF($K333="","",INDEX(Конструктор!$E$2:$E$1212,$K333))</f>
        <v/>
      </c>
      <c r="E333" s="10">
        <f>IF($K333="","",INDEX(Конструктор!$H$2:$H$1212,$K333))</f>
        <v/>
      </c>
      <c r="F333" s="10">
        <f>IF($K333="","",INDEX(Конструктор!$L$2:$L$1212,$K333))</f>
        <v/>
      </c>
      <c r="G333" s="10">
        <f>IF($K333="","",INDEX(Конструктор!$M$2:$M$1212,$K333))</f>
        <v/>
      </c>
      <c r="H333" s="10">
        <f>IF($K333="","",INDEX(Конструктор!$N$2:$N$1212,$K333))</f>
        <v/>
      </c>
      <c r="I333" s="10">
        <f>IF($K333="","",INDEX(Конструктор!$O$2:$O$1212,$K333))</f>
        <v/>
      </c>
      <c r="J333" s="10">
        <f>IF($K333="","",INDEX(Конструктор!$P$2:$P$1212,$K333))</f>
        <v/>
      </c>
      <c r="K333">
        <f>IFERROR(MATCH(313,Конструктор!$T$2:$T$1212,0),"")</f>
        <v/>
      </c>
      <c r="L333">
        <f>IF($K333="","","показать")</f>
        <v/>
      </c>
    </row>
    <row r="334" hidden="1">
      <c r="A334">
        <f>IF($K334="","",314)</f>
        <v/>
      </c>
      <c r="B334">
        <f>IF($K334="","",INDEX(Конструктор!$C$2:$C$1212,$K334))</f>
        <v/>
      </c>
      <c r="C334" s="8">
        <f>IF($K334="","",INDEX(Конструктор!$D$2:$D$1212,$K334)&amp;IF(INDEX(Конструктор!$J$2:$J$1212,$K334)&lt;&gt;""," — "&amp;INDEX(Конструктор!$J$2:$J$1212,$K334),""))</f>
        <v/>
      </c>
      <c r="D334">
        <f>IF($K334="","",INDEX(Конструктор!$E$2:$E$1212,$K334))</f>
        <v/>
      </c>
      <c r="E334" s="10">
        <f>IF($K334="","",INDEX(Конструктор!$H$2:$H$1212,$K334))</f>
        <v/>
      </c>
      <c r="F334" s="10">
        <f>IF($K334="","",INDEX(Конструктор!$L$2:$L$1212,$K334))</f>
        <v/>
      </c>
      <c r="G334" s="10">
        <f>IF($K334="","",INDEX(Конструктор!$M$2:$M$1212,$K334))</f>
        <v/>
      </c>
      <c r="H334" s="10">
        <f>IF($K334="","",INDEX(Конструктор!$N$2:$N$1212,$K334))</f>
        <v/>
      </c>
      <c r="I334" s="10">
        <f>IF($K334="","",INDEX(Конструктор!$O$2:$O$1212,$K334))</f>
        <v/>
      </c>
      <c r="J334" s="10">
        <f>IF($K334="","",INDEX(Конструктор!$P$2:$P$1212,$K334))</f>
        <v/>
      </c>
      <c r="K334">
        <f>IFERROR(MATCH(314,Конструктор!$T$2:$T$1212,0),"")</f>
        <v/>
      </c>
      <c r="L334">
        <f>IF($K334="","","показать")</f>
        <v/>
      </c>
    </row>
    <row r="335" hidden="1">
      <c r="A335">
        <f>IF($K335="","",315)</f>
        <v/>
      </c>
      <c r="B335">
        <f>IF($K335="","",INDEX(Конструктор!$C$2:$C$1212,$K335))</f>
        <v/>
      </c>
      <c r="C335" s="8">
        <f>IF($K335="","",INDEX(Конструктор!$D$2:$D$1212,$K335)&amp;IF(INDEX(Конструктор!$J$2:$J$1212,$K335)&lt;&gt;""," — "&amp;INDEX(Конструктор!$J$2:$J$1212,$K335),""))</f>
        <v/>
      </c>
      <c r="D335">
        <f>IF($K335="","",INDEX(Конструктор!$E$2:$E$1212,$K335))</f>
        <v/>
      </c>
      <c r="E335" s="10">
        <f>IF($K335="","",INDEX(Конструктор!$H$2:$H$1212,$K335))</f>
        <v/>
      </c>
      <c r="F335" s="10">
        <f>IF($K335="","",INDEX(Конструктор!$L$2:$L$1212,$K335))</f>
        <v/>
      </c>
      <c r="G335" s="10">
        <f>IF($K335="","",INDEX(Конструктор!$M$2:$M$1212,$K335))</f>
        <v/>
      </c>
      <c r="H335" s="10">
        <f>IF($K335="","",INDEX(Конструктор!$N$2:$N$1212,$K335))</f>
        <v/>
      </c>
      <c r="I335" s="10">
        <f>IF($K335="","",INDEX(Конструктор!$O$2:$O$1212,$K335))</f>
        <v/>
      </c>
      <c r="J335" s="10">
        <f>IF($K335="","",INDEX(Конструктор!$P$2:$P$1212,$K335))</f>
        <v/>
      </c>
      <c r="K335">
        <f>IFERROR(MATCH(315,Конструктор!$T$2:$T$1212,0),"")</f>
        <v/>
      </c>
      <c r="L335">
        <f>IF($K335="","","показать")</f>
        <v/>
      </c>
    </row>
    <row r="336" hidden="1">
      <c r="A336">
        <f>IF($K336="","",316)</f>
        <v/>
      </c>
      <c r="B336">
        <f>IF($K336="","",INDEX(Конструктор!$C$2:$C$1212,$K336))</f>
        <v/>
      </c>
      <c r="C336" s="8">
        <f>IF($K336="","",INDEX(Конструктор!$D$2:$D$1212,$K336)&amp;IF(INDEX(Конструктор!$J$2:$J$1212,$K336)&lt;&gt;""," — "&amp;INDEX(Конструктор!$J$2:$J$1212,$K336),""))</f>
        <v/>
      </c>
      <c r="D336">
        <f>IF($K336="","",INDEX(Конструктор!$E$2:$E$1212,$K336))</f>
        <v/>
      </c>
      <c r="E336" s="10">
        <f>IF($K336="","",INDEX(Конструктор!$H$2:$H$1212,$K336))</f>
        <v/>
      </c>
      <c r="F336" s="10">
        <f>IF($K336="","",INDEX(Конструктор!$L$2:$L$1212,$K336))</f>
        <v/>
      </c>
      <c r="G336" s="10">
        <f>IF($K336="","",INDEX(Конструктор!$M$2:$M$1212,$K336))</f>
        <v/>
      </c>
      <c r="H336" s="10">
        <f>IF($K336="","",INDEX(Конструктор!$N$2:$N$1212,$K336))</f>
        <v/>
      </c>
      <c r="I336" s="10">
        <f>IF($K336="","",INDEX(Конструктор!$O$2:$O$1212,$K336))</f>
        <v/>
      </c>
      <c r="J336" s="10">
        <f>IF($K336="","",INDEX(Конструктор!$P$2:$P$1212,$K336))</f>
        <v/>
      </c>
      <c r="K336">
        <f>IFERROR(MATCH(316,Конструктор!$T$2:$T$1212,0),"")</f>
        <v/>
      </c>
      <c r="L336">
        <f>IF($K336="","","показать")</f>
        <v/>
      </c>
    </row>
    <row r="337" hidden="1">
      <c r="A337">
        <f>IF($K337="","",317)</f>
        <v/>
      </c>
      <c r="B337">
        <f>IF($K337="","",INDEX(Конструктор!$C$2:$C$1212,$K337))</f>
        <v/>
      </c>
      <c r="C337" s="8">
        <f>IF($K337="","",INDEX(Конструктор!$D$2:$D$1212,$K337)&amp;IF(INDEX(Конструктор!$J$2:$J$1212,$K337)&lt;&gt;""," — "&amp;INDEX(Конструктор!$J$2:$J$1212,$K337),""))</f>
        <v/>
      </c>
      <c r="D337">
        <f>IF($K337="","",INDEX(Конструктор!$E$2:$E$1212,$K337))</f>
        <v/>
      </c>
      <c r="E337" s="10">
        <f>IF($K337="","",INDEX(Конструктор!$H$2:$H$1212,$K337))</f>
        <v/>
      </c>
      <c r="F337" s="10">
        <f>IF($K337="","",INDEX(Конструктор!$L$2:$L$1212,$K337))</f>
        <v/>
      </c>
      <c r="G337" s="10">
        <f>IF($K337="","",INDEX(Конструктор!$M$2:$M$1212,$K337))</f>
        <v/>
      </c>
      <c r="H337" s="10">
        <f>IF($K337="","",INDEX(Конструктор!$N$2:$N$1212,$K337))</f>
        <v/>
      </c>
      <c r="I337" s="10">
        <f>IF($K337="","",INDEX(Конструктор!$O$2:$O$1212,$K337))</f>
        <v/>
      </c>
      <c r="J337" s="10">
        <f>IF($K337="","",INDEX(Конструктор!$P$2:$P$1212,$K337))</f>
        <v/>
      </c>
      <c r="K337">
        <f>IFERROR(MATCH(317,Конструктор!$T$2:$T$1212,0),"")</f>
        <v/>
      </c>
      <c r="L337">
        <f>IF($K337="","","показать")</f>
        <v/>
      </c>
    </row>
    <row r="338" hidden="1">
      <c r="A338">
        <f>IF($K338="","",318)</f>
        <v/>
      </c>
      <c r="B338">
        <f>IF($K338="","",INDEX(Конструктор!$C$2:$C$1212,$K338))</f>
        <v/>
      </c>
      <c r="C338" s="8">
        <f>IF($K338="","",INDEX(Конструктор!$D$2:$D$1212,$K338)&amp;IF(INDEX(Конструктор!$J$2:$J$1212,$K338)&lt;&gt;""," — "&amp;INDEX(Конструктор!$J$2:$J$1212,$K338),""))</f>
        <v/>
      </c>
      <c r="D338">
        <f>IF($K338="","",INDEX(Конструктор!$E$2:$E$1212,$K338))</f>
        <v/>
      </c>
      <c r="E338" s="10">
        <f>IF($K338="","",INDEX(Конструктор!$H$2:$H$1212,$K338))</f>
        <v/>
      </c>
      <c r="F338" s="10">
        <f>IF($K338="","",INDEX(Конструктор!$L$2:$L$1212,$K338))</f>
        <v/>
      </c>
      <c r="G338" s="10">
        <f>IF($K338="","",INDEX(Конструктор!$M$2:$M$1212,$K338))</f>
        <v/>
      </c>
      <c r="H338" s="10">
        <f>IF($K338="","",INDEX(Конструктор!$N$2:$N$1212,$K338))</f>
        <v/>
      </c>
      <c r="I338" s="10">
        <f>IF($K338="","",INDEX(Конструктор!$O$2:$O$1212,$K338))</f>
        <v/>
      </c>
      <c r="J338" s="10">
        <f>IF($K338="","",INDEX(Конструктор!$P$2:$P$1212,$K338))</f>
        <v/>
      </c>
      <c r="K338">
        <f>IFERROR(MATCH(318,Конструктор!$T$2:$T$1212,0),"")</f>
        <v/>
      </c>
      <c r="L338">
        <f>IF($K338="","","показать")</f>
        <v/>
      </c>
    </row>
    <row r="339" hidden="1">
      <c r="A339">
        <f>IF($K339="","",319)</f>
        <v/>
      </c>
      <c r="B339">
        <f>IF($K339="","",INDEX(Конструктор!$C$2:$C$1212,$K339))</f>
        <v/>
      </c>
      <c r="C339" s="8">
        <f>IF($K339="","",INDEX(Конструктор!$D$2:$D$1212,$K339)&amp;IF(INDEX(Конструктор!$J$2:$J$1212,$K339)&lt;&gt;""," — "&amp;INDEX(Конструктор!$J$2:$J$1212,$K339),""))</f>
        <v/>
      </c>
      <c r="D339">
        <f>IF($K339="","",INDEX(Конструктор!$E$2:$E$1212,$K339))</f>
        <v/>
      </c>
      <c r="E339" s="10">
        <f>IF($K339="","",INDEX(Конструктор!$H$2:$H$1212,$K339))</f>
        <v/>
      </c>
      <c r="F339" s="10">
        <f>IF($K339="","",INDEX(Конструктор!$L$2:$L$1212,$K339))</f>
        <v/>
      </c>
      <c r="G339" s="10">
        <f>IF($K339="","",INDEX(Конструктор!$M$2:$M$1212,$K339))</f>
        <v/>
      </c>
      <c r="H339" s="10">
        <f>IF($K339="","",INDEX(Конструктор!$N$2:$N$1212,$K339))</f>
        <v/>
      </c>
      <c r="I339" s="10">
        <f>IF($K339="","",INDEX(Конструктор!$O$2:$O$1212,$K339))</f>
        <v/>
      </c>
      <c r="J339" s="10">
        <f>IF($K339="","",INDEX(Конструктор!$P$2:$P$1212,$K339))</f>
        <v/>
      </c>
      <c r="K339">
        <f>IFERROR(MATCH(319,Конструктор!$T$2:$T$1212,0),"")</f>
        <v/>
      </c>
      <c r="L339">
        <f>IF($K339="","","показать")</f>
        <v/>
      </c>
    </row>
    <row r="340" hidden="1">
      <c r="A340">
        <f>IF($K340="","",320)</f>
        <v/>
      </c>
      <c r="B340">
        <f>IF($K340="","",INDEX(Конструктор!$C$2:$C$1212,$K340))</f>
        <v/>
      </c>
      <c r="C340" s="8">
        <f>IF($K340="","",INDEX(Конструктор!$D$2:$D$1212,$K340)&amp;IF(INDEX(Конструктор!$J$2:$J$1212,$K340)&lt;&gt;""," — "&amp;INDEX(Конструктор!$J$2:$J$1212,$K340),""))</f>
        <v/>
      </c>
      <c r="D340">
        <f>IF($K340="","",INDEX(Конструктор!$E$2:$E$1212,$K340))</f>
        <v/>
      </c>
      <c r="E340" s="10">
        <f>IF($K340="","",INDEX(Конструктор!$H$2:$H$1212,$K340))</f>
        <v/>
      </c>
      <c r="F340" s="10">
        <f>IF($K340="","",INDEX(Конструктор!$L$2:$L$1212,$K340))</f>
        <v/>
      </c>
      <c r="G340" s="10">
        <f>IF($K340="","",INDEX(Конструктор!$M$2:$M$1212,$K340))</f>
        <v/>
      </c>
      <c r="H340" s="10">
        <f>IF($K340="","",INDEX(Конструктор!$N$2:$N$1212,$K340))</f>
        <v/>
      </c>
      <c r="I340" s="10">
        <f>IF($K340="","",INDEX(Конструктор!$O$2:$O$1212,$K340))</f>
        <v/>
      </c>
      <c r="J340" s="10">
        <f>IF($K340="","",INDEX(Конструктор!$P$2:$P$1212,$K340))</f>
        <v/>
      </c>
      <c r="K340">
        <f>IFERROR(MATCH(320,Конструктор!$T$2:$T$1212,0),"")</f>
        <v/>
      </c>
      <c r="L340">
        <f>IF($K340="","","показать")</f>
        <v/>
      </c>
    </row>
    <row r="341" hidden="1">
      <c r="A341">
        <f>IF($K341="","",321)</f>
        <v/>
      </c>
      <c r="B341">
        <f>IF($K341="","",INDEX(Конструктор!$C$2:$C$1212,$K341))</f>
        <v/>
      </c>
      <c r="C341" s="8">
        <f>IF($K341="","",INDEX(Конструктор!$D$2:$D$1212,$K341)&amp;IF(INDEX(Конструктор!$J$2:$J$1212,$K341)&lt;&gt;""," — "&amp;INDEX(Конструктор!$J$2:$J$1212,$K341),""))</f>
        <v/>
      </c>
      <c r="D341">
        <f>IF($K341="","",INDEX(Конструктор!$E$2:$E$1212,$K341))</f>
        <v/>
      </c>
      <c r="E341" s="10">
        <f>IF($K341="","",INDEX(Конструктор!$H$2:$H$1212,$K341))</f>
        <v/>
      </c>
      <c r="F341" s="10">
        <f>IF($K341="","",INDEX(Конструктор!$L$2:$L$1212,$K341))</f>
        <v/>
      </c>
      <c r="G341" s="10">
        <f>IF($K341="","",INDEX(Конструктор!$M$2:$M$1212,$K341))</f>
        <v/>
      </c>
      <c r="H341" s="10">
        <f>IF($K341="","",INDEX(Конструктор!$N$2:$N$1212,$K341))</f>
        <v/>
      </c>
      <c r="I341" s="10">
        <f>IF($K341="","",INDEX(Конструктор!$O$2:$O$1212,$K341))</f>
        <v/>
      </c>
      <c r="J341" s="10">
        <f>IF($K341="","",INDEX(Конструктор!$P$2:$P$1212,$K341))</f>
        <v/>
      </c>
      <c r="K341">
        <f>IFERROR(MATCH(321,Конструктор!$T$2:$T$1212,0),"")</f>
        <v/>
      </c>
      <c r="L341">
        <f>IF($K341="","","показать")</f>
        <v/>
      </c>
    </row>
    <row r="342" hidden="1">
      <c r="A342">
        <f>IF($K342="","",322)</f>
        <v/>
      </c>
      <c r="B342">
        <f>IF($K342="","",INDEX(Конструктор!$C$2:$C$1212,$K342))</f>
        <v/>
      </c>
      <c r="C342" s="8">
        <f>IF($K342="","",INDEX(Конструктор!$D$2:$D$1212,$K342)&amp;IF(INDEX(Конструктор!$J$2:$J$1212,$K342)&lt;&gt;""," — "&amp;INDEX(Конструктор!$J$2:$J$1212,$K342),""))</f>
        <v/>
      </c>
      <c r="D342">
        <f>IF($K342="","",INDEX(Конструктор!$E$2:$E$1212,$K342))</f>
        <v/>
      </c>
      <c r="E342" s="10">
        <f>IF($K342="","",INDEX(Конструктор!$H$2:$H$1212,$K342))</f>
        <v/>
      </c>
      <c r="F342" s="10">
        <f>IF($K342="","",INDEX(Конструктор!$L$2:$L$1212,$K342))</f>
        <v/>
      </c>
      <c r="G342" s="10">
        <f>IF($K342="","",INDEX(Конструктор!$M$2:$M$1212,$K342))</f>
        <v/>
      </c>
      <c r="H342" s="10">
        <f>IF($K342="","",INDEX(Конструктор!$N$2:$N$1212,$K342))</f>
        <v/>
      </c>
      <c r="I342" s="10">
        <f>IF($K342="","",INDEX(Конструктор!$O$2:$O$1212,$K342))</f>
        <v/>
      </c>
      <c r="J342" s="10">
        <f>IF($K342="","",INDEX(Конструктор!$P$2:$P$1212,$K342))</f>
        <v/>
      </c>
      <c r="K342">
        <f>IFERROR(MATCH(322,Конструктор!$T$2:$T$1212,0),"")</f>
        <v/>
      </c>
      <c r="L342">
        <f>IF($K342="","","показать")</f>
        <v/>
      </c>
    </row>
    <row r="343" hidden="1">
      <c r="A343">
        <f>IF($K343="","",323)</f>
        <v/>
      </c>
      <c r="B343">
        <f>IF($K343="","",INDEX(Конструктор!$C$2:$C$1212,$K343))</f>
        <v/>
      </c>
      <c r="C343" s="8">
        <f>IF($K343="","",INDEX(Конструктор!$D$2:$D$1212,$K343)&amp;IF(INDEX(Конструктор!$J$2:$J$1212,$K343)&lt;&gt;""," — "&amp;INDEX(Конструктор!$J$2:$J$1212,$K343),""))</f>
        <v/>
      </c>
      <c r="D343">
        <f>IF($K343="","",INDEX(Конструктор!$E$2:$E$1212,$K343))</f>
        <v/>
      </c>
      <c r="E343" s="10">
        <f>IF($K343="","",INDEX(Конструктор!$H$2:$H$1212,$K343))</f>
        <v/>
      </c>
      <c r="F343" s="10">
        <f>IF($K343="","",INDEX(Конструктор!$L$2:$L$1212,$K343))</f>
        <v/>
      </c>
      <c r="G343" s="10">
        <f>IF($K343="","",INDEX(Конструктор!$M$2:$M$1212,$K343))</f>
        <v/>
      </c>
      <c r="H343" s="10">
        <f>IF($K343="","",INDEX(Конструктор!$N$2:$N$1212,$K343))</f>
        <v/>
      </c>
      <c r="I343" s="10">
        <f>IF($K343="","",INDEX(Конструктор!$O$2:$O$1212,$K343))</f>
        <v/>
      </c>
      <c r="J343" s="10">
        <f>IF($K343="","",INDEX(Конструктор!$P$2:$P$1212,$K343))</f>
        <v/>
      </c>
      <c r="K343">
        <f>IFERROR(MATCH(323,Конструктор!$T$2:$T$1212,0),"")</f>
        <v/>
      </c>
      <c r="L343">
        <f>IF($K343="","","показать")</f>
        <v/>
      </c>
    </row>
    <row r="344" hidden="1">
      <c r="A344">
        <f>IF($K344="","",324)</f>
        <v/>
      </c>
      <c r="B344">
        <f>IF($K344="","",INDEX(Конструктор!$C$2:$C$1212,$K344))</f>
        <v/>
      </c>
      <c r="C344" s="8">
        <f>IF($K344="","",INDEX(Конструктор!$D$2:$D$1212,$K344)&amp;IF(INDEX(Конструктор!$J$2:$J$1212,$K344)&lt;&gt;""," — "&amp;INDEX(Конструктор!$J$2:$J$1212,$K344),""))</f>
        <v/>
      </c>
      <c r="D344">
        <f>IF($K344="","",INDEX(Конструктор!$E$2:$E$1212,$K344))</f>
        <v/>
      </c>
      <c r="E344" s="10">
        <f>IF($K344="","",INDEX(Конструктор!$H$2:$H$1212,$K344))</f>
        <v/>
      </c>
      <c r="F344" s="10">
        <f>IF($K344="","",INDEX(Конструктор!$L$2:$L$1212,$K344))</f>
        <v/>
      </c>
      <c r="G344" s="10">
        <f>IF($K344="","",INDEX(Конструктор!$M$2:$M$1212,$K344))</f>
        <v/>
      </c>
      <c r="H344" s="10">
        <f>IF($K344="","",INDEX(Конструктор!$N$2:$N$1212,$K344))</f>
        <v/>
      </c>
      <c r="I344" s="10">
        <f>IF($K344="","",INDEX(Конструктор!$O$2:$O$1212,$K344))</f>
        <v/>
      </c>
      <c r="J344" s="10">
        <f>IF($K344="","",INDEX(Конструктор!$P$2:$P$1212,$K344))</f>
        <v/>
      </c>
      <c r="K344">
        <f>IFERROR(MATCH(324,Конструктор!$T$2:$T$1212,0),"")</f>
        <v/>
      </c>
      <c r="L344">
        <f>IF($K344="","","показать")</f>
        <v/>
      </c>
    </row>
    <row r="345" hidden="1">
      <c r="A345">
        <f>IF($K345="","",325)</f>
        <v/>
      </c>
      <c r="B345">
        <f>IF($K345="","",INDEX(Конструктор!$C$2:$C$1212,$K345))</f>
        <v/>
      </c>
      <c r="C345" s="8">
        <f>IF($K345="","",INDEX(Конструктор!$D$2:$D$1212,$K345)&amp;IF(INDEX(Конструктор!$J$2:$J$1212,$K345)&lt;&gt;""," — "&amp;INDEX(Конструктор!$J$2:$J$1212,$K345),""))</f>
        <v/>
      </c>
      <c r="D345">
        <f>IF($K345="","",INDEX(Конструктор!$E$2:$E$1212,$K345))</f>
        <v/>
      </c>
      <c r="E345" s="10">
        <f>IF($K345="","",INDEX(Конструктор!$H$2:$H$1212,$K345))</f>
        <v/>
      </c>
      <c r="F345" s="10">
        <f>IF($K345="","",INDEX(Конструктор!$L$2:$L$1212,$K345))</f>
        <v/>
      </c>
      <c r="G345" s="10">
        <f>IF($K345="","",INDEX(Конструктор!$M$2:$M$1212,$K345))</f>
        <v/>
      </c>
      <c r="H345" s="10">
        <f>IF($K345="","",INDEX(Конструктор!$N$2:$N$1212,$K345))</f>
        <v/>
      </c>
      <c r="I345" s="10">
        <f>IF($K345="","",INDEX(Конструктор!$O$2:$O$1212,$K345))</f>
        <v/>
      </c>
      <c r="J345" s="10">
        <f>IF($K345="","",INDEX(Конструктор!$P$2:$P$1212,$K345))</f>
        <v/>
      </c>
      <c r="K345">
        <f>IFERROR(MATCH(325,Конструктор!$T$2:$T$1212,0),"")</f>
        <v/>
      </c>
      <c r="L345">
        <f>IF($K345="","","показать")</f>
        <v/>
      </c>
    </row>
    <row r="346" hidden="1">
      <c r="A346">
        <f>IF($K346="","",326)</f>
        <v/>
      </c>
      <c r="B346">
        <f>IF($K346="","",INDEX(Конструктор!$C$2:$C$1212,$K346))</f>
        <v/>
      </c>
      <c r="C346" s="8">
        <f>IF($K346="","",INDEX(Конструктор!$D$2:$D$1212,$K346)&amp;IF(INDEX(Конструктор!$J$2:$J$1212,$K346)&lt;&gt;""," — "&amp;INDEX(Конструктор!$J$2:$J$1212,$K346),""))</f>
        <v/>
      </c>
      <c r="D346">
        <f>IF($K346="","",INDEX(Конструктор!$E$2:$E$1212,$K346))</f>
        <v/>
      </c>
      <c r="E346" s="10">
        <f>IF($K346="","",INDEX(Конструктор!$H$2:$H$1212,$K346))</f>
        <v/>
      </c>
      <c r="F346" s="10">
        <f>IF($K346="","",INDEX(Конструктор!$L$2:$L$1212,$K346))</f>
        <v/>
      </c>
      <c r="G346" s="10">
        <f>IF($K346="","",INDEX(Конструктор!$M$2:$M$1212,$K346))</f>
        <v/>
      </c>
      <c r="H346" s="10">
        <f>IF($K346="","",INDEX(Конструктор!$N$2:$N$1212,$K346))</f>
        <v/>
      </c>
      <c r="I346" s="10">
        <f>IF($K346="","",INDEX(Конструктор!$O$2:$O$1212,$K346))</f>
        <v/>
      </c>
      <c r="J346" s="10">
        <f>IF($K346="","",INDEX(Конструктор!$P$2:$P$1212,$K346))</f>
        <v/>
      </c>
      <c r="K346">
        <f>IFERROR(MATCH(326,Конструктор!$T$2:$T$1212,0),"")</f>
        <v/>
      </c>
      <c r="L346">
        <f>IF($K346="","","показать")</f>
        <v/>
      </c>
    </row>
    <row r="347" hidden="1">
      <c r="A347">
        <f>IF($K347="","",327)</f>
        <v/>
      </c>
      <c r="B347">
        <f>IF($K347="","",INDEX(Конструктор!$C$2:$C$1212,$K347))</f>
        <v/>
      </c>
      <c r="C347" s="8">
        <f>IF($K347="","",INDEX(Конструктор!$D$2:$D$1212,$K347)&amp;IF(INDEX(Конструктор!$J$2:$J$1212,$K347)&lt;&gt;""," — "&amp;INDEX(Конструктор!$J$2:$J$1212,$K347),""))</f>
        <v/>
      </c>
      <c r="D347">
        <f>IF($K347="","",INDEX(Конструктор!$E$2:$E$1212,$K347))</f>
        <v/>
      </c>
      <c r="E347" s="10">
        <f>IF($K347="","",INDEX(Конструктор!$H$2:$H$1212,$K347))</f>
        <v/>
      </c>
      <c r="F347" s="10">
        <f>IF($K347="","",INDEX(Конструктор!$L$2:$L$1212,$K347))</f>
        <v/>
      </c>
      <c r="G347" s="10">
        <f>IF($K347="","",INDEX(Конструктор!$M$2:$M$1212,$K347))</f>
        <v/>
      </c>
      <c r="H347" s="10">
        <f>IF($K347="","",INDEX(Конструктор!$N$2:$N$1212,$K347))</f>
        <v/>
      </c>
      <c r="I347" s="10">
        <f>IF($K347="","",INDEX(Конструктор!$O$2:$O$1212,$K347))</f>
        <v/>
      </c>
      <c r="J347" s="10">
        <f>IF($K347="","",INDEX(Конструктор!$P$2:$P$1212,$K347))</f>
        <v/>
      </c>
      <c r="K347">
        <f>IFERROR(MATCH(327,Конструктор!$T$2:$T$1212,0),"")</f>
        <v/>
      </c>
      <c r="L347">
        <f>IF($K347="","","показать")</f>
        <v/>
      </c>
    </row>
    <row r="348" hidden="1">
      <c r="A348">
        <f>IF($K348="","",328)</f>
        <v/>
      </c>
      <c r="B348">
        <f>IF($K348="","",INDEX(Конструктор!$C$2:$C$1212,$K348))</f>
        <v/>
      </c>
      <c r="C348" s="8">
        <f>IF($K348="","",INDEX(Конструктор!$D$2:$D$1212,$K348)&amp;IF(INDEX(Конструктор!$J$2:$J$1212,$K348)&lt;&gt;""," — "&amp;INDEX(Конструктор!$J$2:$J$1212,$K348),""))</f>
        <v/>
      </c>
      <c r="D348">
        <f>IF($K348="","",INDEX(Конструктор!$E$2:$E$1212,$K348))</f>
        <v/>
      </c>
      <c r="E348" s="10">
        <f>IF($K348="","",INDEX(Конструктор!$H$2:$H$1212,$K348))</f>
        <v/>
      </c>
      <c r="F348" s="10">
        <f>IF($K348="","",INDEX(Конструктор!$L$2:$L$1212,$K348))</f>
        <v/>
      </c>
      <c r="G348" s="10">
        <f>IF($K348="","",INDEX(Конструктор!$M$2:$M$1212,$K348))</f>
        <v/>
      </c>
      <c r="H348" s="10">
        <f>IF($K348="","",INDEX(Конструктор!$N$2:$N$1212,$K348))</f>
        <v/>
      </c>
      <c r="I348" s="10">
        <f>IF($K348="","",INDEX(Конструктор!$O$2:$O$1212,$K348))</f>
        <v/>
      </c>
      <c r="J348" s="10">
        <f>IF($K348="","",INDEX(Конструктор!$P$2:$P$1212,$K348))</f>
        <v/>
      </c>
      <c r="K348">
        <f>IFERROR(MATCH(328,Конструктор!$T$2:$T$1212,0),"")</f>
        <v/>
      </c>
      <c r="L348">
        <f>IF($K348="","","показать")</f>
        <v/>
      </c>
    </row>
    <row r="349" hidden="1">
      <c r="A349">
        <f>IF($K349="","",329)</f>
        <v/>
      </c>
      <c r="B349">
        <f>IF($K349="","",INDEX(Конструктор!$C$2:$C$1212,$K349))</f>
        <v/>
      </c>
      <c r="C349" s="8">
        <f>IF($K349="","",INDEX(Конструктор!$D$2:$D$1212,$K349)&amp;IF(INDEX(Конструктор!$J$2:$J$1212,$K349)&lt;&gt;""," — "&amp;INDEX(Конструктор!$J$2:$J$1212,$K349),""))</f>
        <v/>
      </c>
      <c r="D349">
        <f>IF($K349="","",INDEX(Конструктор!$E$2:$E$1212,$K349))</f>
        <v/>
      </c>
      <c r="E349" s="10">
        <f>IF($K349="","",INDEX(Конструктор!$H$2:$H$1212,$K349))</f>
        <v/>
      </c>
      <c r="F349" s="10">
        <f>IF($K349="","",INDEX(Конструктор!$L$2:$L$1212,$K349))</f>
        <v/>
      </c>
      <c r="G349" s="10">
        <f>IF($K349="","",INDEX(Конструктор!$M$2:$M$1212,$K349))</f>
        <v/>
      </c>
      <c r="H349" s="10">
        <f>IF($K349="","",INDEX(Конструктор!$N$2:$N$1212,$K349))</f>
        <v/>
      </c>
      <c r="I349" s="10">
        <f>IF($K349="","",INDEX(Конструктор!$O$2:$O$1212,$K349))</f>
        <v/>
      </c>
      <c r="J349" s="10">
        <f>IF($K349="","",INDEX(Конструктор!$P$2:$P$1212,$K349))</f>
        <v/>
      </c>
      <c r="K349">
        <f>IFERROR(MATCH(329,Конструктор!$T$2:$T$1212,0),"")</f>
        <v/>
      </c>
      <c r="L349">
        <f>IF($K349="","","показать")</f>
        <v/>
      </c>
    </row>
    <row r="350" hidden="1">
      <c r="A350">
        <f>IF($K350="","",330)</f>
        <v/>
      </c>
      <c r="B350">
        <f>IF($K350="","",INDEX(Конструктор!$C$2:$C$1212,$K350))</f>
        <v/>
      </c>
      <c r="C350" s="8">
        <f>IF($K350="","",INDEX(Конструктор!$D$2:$D$1212,$K350)&amp;IF(INDEX(Конструктор!$J$2:$J$1212,$K350)&lt;&gt;""," — "&amp;INDEX(Конструктор!$J$2:$J$1212,$K350),""))</f>
        <v/>
      </c>
      <c r="D350">
        <f>IF($K350="","",INDEX(Конструктор!$E$2:$E$1212,$K350))</f>
        <v/>
      </c>
      <c r="E350" s="10">
        <f>IF($K350="","",INDEX(Конструктор!$H$2:$H$1212,$K350))</f>
        <v/>
      </c>
      <c r="F350" s="10">
        <f>IF($K350="","",INDEX(Конструктор!$L$2:$L$1212,$K350))</f>
        <v/>
      </c>
      <c r="G350" s="10">
        <f>IF($K350="","",INDEX(Конструктор!$M$2:$M$1212,$K350))</f>
        <v/>
      </c>
      <c r="H350" s="10">
        <f>IF($K350="","",INDEX(Конструктор!$N$2:$N$1212,$K350))</f>
        <v/>
      </c>
      <c r="I350" s="10">
        <f>IF($K350="","",INDEX(Конструктор!$O$2:$O$1212,$K350))</f>
        <v/>
      </c>
      <c r="J350" s="10">
        <f>IF($K350="","",INDEX(Конструктор!$P$2:$P$1212,$K350))</f>
        <v/>
      </c>
      <c r="K350">
        <f>IFERROR(MATCH(330,Конструктор!$T$2:$T$1212,0),"")</f>
        <v/>
      </c>
      <c r="L350">
        <f>IF($K350="","","показать")</f>
        <v/>
      </c>
    </row>
    <row r="351" hidden="1">
      <c r="A351">
        <f>IF($K351="","",331)</f>
        <v/>
      </c>
      <c r="B351">
        <f>IF($K351="","",INDEX(Конструктор!$C$2:$C$1212,$K351))</f>
        <v/>
      </c>
      <c r="C351" s="8">
        <f>IF($K351="","",INDEX(Конструктор!$D$2:$D$1212,$K351)&amp;IF(INDEX(Конструктор!$J$2:$J$1212,$K351)&lt;&gt;""," — "&amp;INDEX(Конструктор!$J$2:$J$1212,$K351),""))</f>
        <v/>
      </c>
      <c r="D351">
        <f>IF($K351="","",INDEX(Конструктор!$E$2:$E$1212,$K351))</f>
        <v/>
      </c>
      <c r="E351" s="10">
        <f>IF($K351="","",INDEX(Конструктор!$H$2:$H$1212,$K351))</f>
        <v/>
      </c>
      <c r="F351" s="10">
        <f>IF($K351="","",INDEX(Конструктор!$L$2:$L$1212,$K351))</f>
        <v/>
      </c>
      <c r="G351" s="10">
        <f>IF($K351="","",INDEX(Конструктор!$M$2:$M$1212,$K351))</f>
        <v/>
      </c>
      <c r="H351" s="10">
        <f>IF($K351="","",INDEX(Конструктор!$N$2:$N$1212,$K351))</f>
        <v/>
      </c>
      <c r="I351" s="10">
        <f>IF($K351="","",INDEX(Конструктор!$O$2:$O$1212,$K351))</f>
        <v/>
      </c>
      <c r="J351" s="10">
        <f>IF($K351="","",INDEX(Конструктор!$P$2:$P$1212,$K351))</f>
        <v/>
      </c>
      <c r="K351">
        <f>IFERROR(MATCH(331,Конструктор!$T$2:$T$1212,0),"")</f>
        <v/>
      </c>
      <c r="L351">
        <f>IF($K351="","","показать")</f>
        <v/>
      </c>
    </row>
    <row r="352" hidden="1">
      <c r="A352">
        <f>IF($K352="","",332)</f>
        <v/>
      </c>
      <c r="B352">
        <f>IF($K352="","",INDEX(Конструктор!$C$2:$C$1212,$K352))</f>
        <v/>
      </c>
      <c r="C352" s="8">
        <f>IF($K352="","",INDEX(Конструктор!$D$2:$D$1212,$K352)&amp;IF(INDEX(Конструктор!$J$2:$J$1212,$K352)&lt;&gt;""," — "&amp;INDEX(Конструктор!$J$2:$J$1212,$K352),""))</f>
        <v/>
      </c>
      <c r="D352">
        <f>IF($K352="","",INDEX(Конструктор!$E$2:$E$1212,$K352))</f>
        <v/>
      </c>
      <c r="E352" s="10">
        <f>IF($K352="","",INDEX(Конструктор!$H$2:$H$1212,$K352))</f>
        <v/>
      </c>
      <c r="F352" s="10">
        <f>IF($K352="","",INDEX(Конструктор!$L$2:$L$1212,$K352))</f>
        <v/>
      </c>
      <c r="G352" s="10">
        <f>IF($K352="","",INDEX(Конструктор!$M$2:$M$1212,$K352))</f>
        <v/>
      </c>
      <c r="H352" s="10">
        <f>IF($K352="","",INDEX(Конструктор!$N$2:$N$1212,$K352))</f>
        <v/>
      </c>
      <c r="I352" s="10">
        <f>IF($K352="","",INDEX(Конструктор!$O$2:$O$1212,$K352))</f>
        <v/>
      </c>
      <c r="J352" s="10">
        <f>IF($K352="","",INDEX(Конструктор!$P$2:$P$1212,$K352))</f>
        <v/>
      </c>
      <c r="K352">
        <f>IFERROR(MATCH(332,Конструктор!$T$2:$T$1212,0),"")</f>
        <v/>
      </c>
      <c r="L352">
        <f>IF($K352="","","показать")</f>
        <v/>
      </c>
    </row>
    <row r="353" hidden="1">
      <c r="A353">
        <f>IF($K353="","",333)</f>
        <v/>
      </c>
      <c r="B353">
        <f>IF($K353="","",INDEX(Конструктор!$C$2:$C$1212,$K353))</f>
        <v/>
      </c>
      <c r="C353" s="8">
        <f>IF($K353="","",INDEX(Конструктор!$D$2:$D$1212,$K353)&amp;IF(INDEX(Конструктор!$J$2:$J$1212,$K353)&lt;&gt;""," — "&amp;INDEX(Конструктор!$J$2:$J$1212,$K353),""))</f>
        <v/>
      </c>
      <c r="D353">
        <f>IF($K353="","",INDEX(Конструктор!$E$2:$E$1212,$K353))</f>
        <v/>
      </c>
      <c r="E353" s="10">
        <f>IF($K353="","",INDEX(Конструктор!$H$2:$H$1212,$K353))</f>
        <v/>
      </c>
      <c r="F353" s="10">
        <f>IF($K353="","",INDEX(Конструктор!$L$2:$L$1212,$K353))</f>
        <v/>
      </c>
      <c r="G353" s="10">
        <f>IF($K353="","",INDEX(Конструктор!$M$2:$M$1212,$K353))</f>
        <v/>
      </c>
      <c r="H353" s="10">
        <f>IF($K353="","",INDEX(Конструктор!$N$2:$N$1212,$K353))</f>
        <v/>
      </c>
      <c r="I353" s="10">
        <f>IF($K353="","",INDEX(Конструктор!$O$2:$O$1212,$K353))</f>
        <v/>
      </c>
      <c r="J353" s="10">
        <f>IF($K353="","",INDEX(Конструктор!$P$2:$P$1212,$K353))</f>
        <v/>
      </c>
      <c r="K353">
        <f>IFERROR(MATCH(333,Конструктор!$T$2:$T$1212,0),"")</f>
        <v/>
      </c>
      <c r="L353">
        <f>IF($K353="","","показать")</f>
        <v/>
      </c>
    </row>
    <row r="354" hidden="1">
      <c r="A354">
        <f>IF($K354="","",334)</f>
        <v/>
      </c>
      <c r="B354">
        <f>IF($K354="","",INDEX(Конструктор!$C$2:$C$1212,$K354))</f>
        <v/>
      </c>
      <c r="C354" s="8">
        <f>IF($K354="","",INDEX(Конструктор!$D$2:$D$1212,$K354)&amp;IF(INDEX(Конструктор!$J$2:$J$1212,$K354)&lt;&gt;""," — "&amp;INDEX(Конструктор!$J$2:$J$1212,$K354),""))</f>
        <v/>
      </c>
      <c r="D354">
        <f>IF($K354="","",INDEX(Конструктор!$E$2:$E$1212,$K354))</f>
        <v/>
      </c>
      <c r="E354" s="10">
        <f>IF($K354="","",INDEX(Конструктор!$H$2:$H$1212,$K354))</f>
        <v/>
      </c>
      <c r="F354" s="10">
        <f>IF($K354="","",INDEX(Конструктор!$L$2:$L$1212,$K354))</f>
        <v/>
      </c>
      <c r="G354" s="10">
        <f>IF($K354="","",INDEX(Конструктор!$M$2:$M$1212,$K354))</f>
        <v/>
      </c>
      <c r="H354" s="10">
        <f>IF($K354="","",INDEX(Конструктор!$N$2:$N$1212,$K354))</f>
        <v/>
      </c>
      <c r="I354" s="10">
        <f>IF($K354="","",INDEX(Конструктор!$O$2:$O$1212,$K354))</f>
        <v/>
      </c>
      <c r="J354" s="10">
        <f>IF($K354="","",INDEX(Конструктор!$P$2:$P$1212,$K354))</f>
        <v/>
      </c>
      <c r="K354">
        <f>IFERROR(MATCH(334,Конструктор!$T$2:$T$1212,0),"")</f>
        <v/>
      </c>
      <c r="L354">
        <f>IF($K354="","","показать")</f>
        <v/>
      </c>
    </row>
    <row r="355" hidden="1">
      <c r="A355">
        <f>IF($K355="","",335)</f>
        <v/>
      </c>
      <c r="B355">
        <f>IF($K355="","",INDEX(Конструктор!$C$2:$C$1212,$K355))</f>
        <v/>
      </c>
      <c r="C355" s="8">
        <f>IF($K355="","",INDEX(Конструктор!$D$2:$D$1212,$K355)&amp;IF(INDEX(Конструктор!$J$2:$J$1212,$K355)&lt;&gt;""," — "&amp;INDEX(Конструктор!$J$2:$J$1212,$K355),""))</f>
        <v/>
      </c>
      <c r="D355">
        <f>IF($K355="","",INDEX(Конструктор!$E$2:$E$1212,$K355))</f>
        <v/>
      </c>
      <c r="E355" s="10">
        <f>IF($K355="","",INDEX(Конструктор!$H$2:$H$1212,$K355))</f>
        <v/>
      </c>
      <c r="F355" s="10">
        <f>IF($K355="","",INDEX(Конструктор!$L$2:$L$1212,$K355))</f>
        <v/>
      </c>
      <c r="G355" s="10">
        <f>IF($K355="","",INDEX(Конструктор!$M$2:$M$1212,$K355))</f>
        <v/>
      </c>
      <c r="H355" s="10">
        <f>IF($K355="","",INDEX(Конструктор!$N$2:$N$1212,$K355))</f>
        <v/>
      </c>
      <c r="I355" s="10">
        <f>IF($K355="","",INDEX(Конструктор!$O$2:$O$1212,$K355))</f>
        <v/>
      </c>
      <c r="J355" s="10">
        <f>IF($K355="","",INDEX(Конструктор!$P$2:$P$1212,$K355))</f>
        <v/>
      </c>
      <c r="K355">
        <f>IFERROR(MATCH(335,Конструктор!$T$2:$T$1212,0),"")</f>
        <v/>
      </c>
      <c r="L355">
        <f>IF($K355="","","показать")</f>
        <v/>
      </c>
    </row>
    <row r="356" hidden="1">
      <c r="A356">
        <f>IF($K356="","",336)</f>
        <v/>
      </c>
      <c r="B356">
        <f>IF($K356="","",INDEX(Конструктор!$C$2:$C$1212,$K356))</f>
        <v/>
      </c>
      <c r="C356" s="8">
        <f>IF($K356="","",INDEX(Конструктор!$D$2:$D$1212,$K356)&amp;IF(INDEX(Конструктор!$J$2:$J$1212,$K356)&lt;&gt;""," — "&amp;INDEX(Конструктор!$J$2:$J$1212,$K356),""))</f>
        <v/>
      </c>
      <c r="D356">
        <f>IF($K356="","",INDEX(Конструктор!$E$2:$E$1212,$K356))</f>
        <v/>
      </c>
      <c r="E356" s="10">
        <f>IF($K356="","",INDEX(Конструктор!$H$2:$H$1212,$K356))</f>
        <v/>
      </c>
      <c r="F356" s="10">
        <f>IF($K356="","",INDEX(Конструктор!$L$2:$L$1212,$K356))</f>
        <v/>
      </c>
      <c r="G356" s="10">
        <f>IF($K356="","",INDEX(Конструктор!$M$2:$M$1212,$K356))</f>
        <v/>
      </c>
      <c r="H356" s="10">
        <f>IF($K356="","",INDEX(Конструктор!$N$2:$N$1212,$K356))</f>
        <v/>
      </c>
      <c r="I356" s="10">
        <f>IF($K356="","",INDEX(Конструктор!$O$2:$O$1212,$K356))</f>
        <v/>
      </c>
      <c r="J356" s="10">
        <f>IF($K356="","",INDEX(Конструктор!$P$2:$P$1212,$K356))</f>
        <v/>
      </c>
      <c r="K356">
        <f>IFERROR(MATCH(336,Конструктор!$T$2:$T$1212,0),"")</f>
        <v/>
      </c>
      <c r="L356">
        <f>IF($K356="","","показать")</f>
        <v/>
      </c>
    </row>
    <row r="357" hidden="1">
      <c r="A357">
        <f>IF($K357="","",337)</f>
        <v/>
      </c>
      <c r="B357">
        <f>IF($K357="","",INDEX(Конструктор!$C$2:$C$1212,$K357))</f>
        <v/>
      </c>
      <c r="C357" s="8">
        <f>IF($K357="","",INDEX(Конструктор!$D$2:$D$1212,$K357)&amp;IF(INDEX(Конструктор!$J$2:$J$1212,$K357)&lt;&gt;""," — "&amp;INDEX(Конструктор!$J$2:$J$1212,$K357),""))</f>
        <v/>
      </c>
      <c r="D357">
        <f>IF($K357="","",INDEX(Конструктор!$E$2:$E$1212,$K357))</f>
        <v/>
      </c>
      <c r="E357" s="10">
        <f>IF($K357="","",INDEX(Конструктор!$H$2:$H$1212,$K357))</f>
        <v/>
      </c>
      <c r="F357" s="10">
        <f>IF($K357="","",INDEX(Конструктор!$L$2:$L$1212,$K357))</f>
        <v/>
      </c>
      <c r="G357" s="10">
        <f>IF($K357="","",INDEX(Конструктор!$M$2:$M$1212,$K357))</f>
        <v/>
      </c>
      <c r="H357" s="10">
        <f>IF($K357="","",INDEX(Конструктор!$N$2:$N$1212,$K357))</f>
        <v/>
      </c>
      <c r="I357" s="10">
        <f>IF($K357="","",INDEX(Конструктор!$O$2:$O$1212,$K357))</f>
        <v/>
      </c>
      <c r="J357" s="10">
        <f>IF($K357="","",INDEX(Конструктор!$P$2:$P$1212,$K357))</f>
        <v/>
      </c>
      <c r="K357">
        <f>IFERROR(MATCH(337,Конструктор!$T$2:$T$1212,0),"")</f>
        <v/>
      </c>
      <c r="L357">
        <f>IF($K357="","","показать")</f>
        <v/>
      </c>
    </row>
    <row r="358" hidden="1">
      <c r="A358">
        <f>IF($K358="","",338)</f>
        <v/>
      </c>
      <c r="B358">
        <f>IF($K358="","",INDEX(Конструктор!$C$2:$C$1212,$K358))</f>
        <v/>
      </c>
      <c r="C358" s="8">
        <f>IF($K358="","",INDEX(Конструктор!$D$2:$D$1212,$K358)&amp;IF(INDEX(Конструктор!$J$2:$J$1212,$K358)&lt;&gt;""," — "&amp;INDEX(Конструктор!$J$2:$J$1212,$K358),""))</f>
        <v/>
      </c>
      <c r="D358">
        <f>IF($K358="","",INDEX(Конструктор!$E$2:$E$1212,$K358))</f>
        <v/>
      </c>
      <c r="E358" s="10">
        <f>IF($K358="","",INDEX(Конструктор!$H$2:$H$1212,$K358))</f>
        <v/>
      </c>
      <c r="F358" s="10">
        <f>IF($K358="","",INDEX(Конструктор!$L$2:$L$1212,$K358))</f>
        <v/>
      </c>
      <c r="G358" s="10">
        <f>IF($K358="","",INDEX(Конструктор!$M$2:$M$1212,$K358))</f>
        <v/>
      </c>
      <c r="H358" s="10">
        <f>IF($K358="","",INDEX(Конструктор!$N$2:$N$1212,$K358))</f>
        <v/>
      </c>
      <c r="I358" s="10">
        <f>IF($K358="","",INDEX(Конструктор!$O$2:$O$1212,$K358))</f>
        <v/>
      </c>
      <c r="J358" s="10">
        <f>IF($K358="","",INDEX(Конструктор!$P$2:$P$1212,$K358))</f>
        <v/>
      </c>
      <c r="K358">
        <f>IFERROR(MATCH(338,Конструктор!$T$2:$T$1212,0),"")</f>
        <v/>
      </c>
      <c r="L358">
        <f>IF($K358="","","показать")</f>
        <v/>
      </c>
    </row>
    <row r="359" hidden="1">
      <c r="A359">
        <f>IF($K359="","",339)</f>
        <v/>
      </c>
      <c r="B359">
        <f>IF($K359="","",INDEX(Конструктор!$C$2:$C$1212,$K359))</f>
        <v/>
      </c>
      <c r="C359" s="8">
        <f>IF($K359="","",INDEX(Конструктор!$D$2:$D$1212,$K359)&amp;IF(INDEX(Конструктор!$J$2:$J$1212,$K359)&lt;&gt;""," — "&amp;INDEX(Конструктор!$J$2:$J$1212,$K359),""))</f>
        <v/>
      </c>
      <c r="D359">
        <f>IF($K359="","",INDEX(Конструктор!$E$2:$E$1212,$K359))</f>
        <v/>
      </c>
      <c r="E359" s="10">
        <f>IF($K359="","",INDEX(Конструктор!$H$2:$H$1212,$K359))</f>
        <v/>
      </c>
      <c r="F359" s="10">
        <f>IF($K359="","",INDEX(Конструктор!$L$2:$L$1212,$K359))</f>
        <v/>
      </c>
      <c r="G359" s="10">
        <f>IF($K359="","",INDEX(Конструктор!$M$2:$M$1212,$K359))</f>
        <v/>
      </c>
      <c r="H359" s="10">
        <f>IF($K359="","",INDEX(Конструктор!$N$2:$N$1212,$K359))</f>
        <v/>
      </c>
      <c r="I359" s="10">
        <f>IF($K359="","",INDEX(Конструктор!$O$2:$O$1212,$K359))</f>
        <v/>
      </c>
      <c r="J359" s="10">
        <f>IF($K359="","",INDEX(Конструктор!$P$2:$P$1212,$K359))</f>
        <v/>
      </c>
      <c r="K359">
        <f>IFERROR(MATCH(339,Конструктор!$T$2:$T$1212,0),"")</f>
        <v/>
      </c>
      <c r="L359">
        <f>IF($K359="","","показать")</f>
        <v/>
      </c>
    </row>
    <row r="360" hidden="1">
      <c r="A360">
        <f>IF($K360="","",340)</f>
        <v/>
      </c>
      <c r="B360">
        <f>IF($K360="","",INDEX(Конструктор!$C$2:$C$1212,$K360))</f>
        <v/>
      </c>
      <c r="C360" s="8">
        <f>IF($K360="","",INDEX(Конструктор!$D$2:$D$1212,$K360)&amp;IF(INDEX(Конструктор!$J$2:$J$1212,$K360)&lt;&gt;""," — "&amp;INDEX(Конструктор!$J$2:$J$1212,$K360),""))</f>
        <v/>
      </c>
      <c r="D360">
        <f>IF($K360="","",INDEX(Конструктор!$E$2:$E$1212,$K360))</f>
        <v/>
      </c>
      <c r="E360" s="10">
        <f>IF($K360="","",INDEX(Конструктор!$H$2:$H$1212,$K360))</f>
        <v/>
      </c>
      <c r="F360" s="10">
        <f>IF($K360="","",INDEX(Конструктор!$L$2:$L$1212,$K360))</f>
        <v/>
      </c>
      <c r="G360" s="10">
        <f>IF($K360="","",INDEX(Конструктор!$M$2:$M$1212,$K360))</f>
        <v/>
      </c>
      <c r="H360" s="10">
        <f>IF($K360="","",INDEX(Конструктор!$N$2:$N$1212,$K360))</f>
        <v/>
      </c>
      <c r="I360" s="10">
        <f>IF($K360="","",INDEX(Конструктор!$O$2:$O$1212,$K360))</f>
        <v/>
      </c>
      <c r="J360" s="10">
        <f>IF($K360="","",INDEX(Конструктор!$P$2:$P$1212,$K360))</f>
        <v/>
      </c>
      <c r="K360">
        <f>IFERROR(MATCH(340,Конструктор!$T$2:$T$1212,0),"")</f>
        <v/>
      </c>
      <c r="L360">
        <f>IF($K360="","","показать")</f>
        <v/>
      </c>
    </row>
    <row r="361" hidden="1">
      <c r="A361">
        <f>IF($K361="","",341)</f>
        <v/>
      </c>
      <c r="B361">
        <f>IF($K361="","",INDEX(Конструктор!$C$2:$C$1212,$K361))</f>
        <v/>
      </c>
      <c r="C361" s="8">
        <f>IF($K361="","",INDEX(Конструктор!$D$2:$D$1212,$K361)&amp;IF(INDEX(Конструктор!$J$2:$J$1212,$K361)&lt;&gt;""," — "&amp;INDEX(Конструктор!$J$2:$J$1212,$K361),""))</f>
        <v/>
      </c>
      <c r="D361">
        <f>IF($K361="","",INDEX(Конструктор!$E$2:$E$1212,$K361))</f>
        <v/>
      </c>
      <c r="E361" s="10">
        <f>IF($K361="","",INDEX(Конструктор!$H$2:$H$1212,$K361))</f>
        <v/>
      </c>
      <c r="F361" s="10">
        <f>IF($K361="","",INDEX(Конструктор!$L$2:$L$1212,$K361))</f>
        <v/>
      </c>
      <c r="G361" s="10">
        <f>IF($K361="","",INDEX(Конструктор!$M$2:$M$1212,$K361))</f>
        <v/>
      </c>
      <c r="H361" s="10">
        <f>IF($K361="","",INDEX(Конструктор!$N$2:$N$1212,$K361))</f>
        <v/>
      </c>
      <c r="I361" s="10">
        <f>IF($K361="","",INDEX(Конструктор!$O$2:$O$1212,$K361))</f>
        <v/>
      </c>
      <c r="J361" s="10">
        <f>IF($K361="","",INDEX(Конструктор!$P$2:$P$1212,$K361))</f>
        <v/>
      </c>
      <c r="K361">
        <f>IFERROR(MATCH(341,Конструктор!$T$2:$T$1212,0),"")</f>
        <v/>
      </c>
      <c r="L361">
        <f>IF($K361="","","показать")</f>
        <v/>
      </c>
    </row>
    <row r="362" hidden="1">
      <c r="A362">
        <f>IF($K362="","",342)</f>
        <v/>
      </c>
      <c r="B362">
        <f>IF($K362="","",INDEX(Конструктор!$C$2:$C$1212,$K362))</f>
        <v/>
      </c>
      <c r="C362" s="8">
        <f>IF($K362="","",INDEX(Конструктор!$D$2:$D$1212,$K362)&amp;IF(INDEX(Конструктор!$J$2:$J$1212,$K362)&lt;&gt;""," — "&amp;INDEX(Конструктор!$J$2:$J$1212,$K362),""))</f>
        <v/>
      </c>
      <c r="D362">
        <f>IF($K362="","",INDEX(Конструктор!$E$2:$E$1212,$K362))</f>
        <v/>
      </c>
      <c r="E362" s="10">
        <f>IF($K362="","",INDEX(Конструктор!$H$2:$H$1212,$K362))</f>
        <v/>
      </c>
      <c r="F362" s="10">
        <f>IF($K362="","",INDEX(Конструктор!$L$2:$L$1212,$K362))</f>
        <v/>
      </c>
      <c r="G362" s="10">
        <f>IF($K362="","",INDEX(Конструктор!$M$2:$M$1212,$K362))</f>
        <v/>
      </c>
      <c r="H362" s="10">
        <f>IF($K362="","",INDEX(Конструктор!$N$2:$N$1212,$K362))</f>
        <v/>
      </c>
      <c r="I362" s="10">
        <f>IF($K362="","",INDEX(Конструктор!$O$2:$O$1212,$K362))</f>
        <v/>
      </c>
      <c r="J362" s="10">
        <f>IF($K362="","",INDEX(Конструктор!$P$2:$P$1212,$K362))</f>
        <v/>
      </c>
      <c r="K362">
        <f>IFERROR(MATCH(342,Конструктор!$T$2:$T$1212,0),"")</f>
        <v/>
      </c>
      <c r="L362">
        <f>IF($K362="","","показать")</f>
        <v/>
      </c>
    </row>
    <row r="363" hidden="1">
      <c r="A363">
        <f>IF($K363="","",343)</f>
        <v/>
      </c>
      <c r="B363">
        <f>IF($K363="","",INDEX(Конструктор!$C$2:$C$1212,$K363))</f>
        <v/>
      </c>
      <c r="C363" s="8">
        <f>IF($K363="","",INDEX(Конструктор!$D$2:$D$1212,$K363)&amp;IF(INDEX(Конструктор!$J$2:$J$1212,$K363)&lt;&gt;""," — "&amp;INDEX(Конструктор!$J$2:$J$1212,$K363),""))</f>
        <v/>
      </c>
      <c r="D363">
        <f>IF($K363="","",INDEX(Конструктор!$E$2:$E$1212,$K363))</f>
        <v/>
      </c>
      <c r="E363" s="10">
        <f>IF($K363="","",INDEX(Конструктор!$H$2:$H$1212,$K363))</f>
        <v/>
      </c>
      <c r="F363" s="10">
        <f>IF($K363="","",INDEX(Конструктор!$L$2:$L$1212,$K363))</f>
        <v/>
      </c>
      <c r="G363" s="10">
        <f>IF($K363="","",INDEX(Конструктор!$M$2:$M$1212,$K363))</f>
        <v/>
      </c>
      <c r="H363" s="10">
        <f>IF($K363="","",INDEX(Конструктор!$N$2:$N$1212,$K363))</f>
        <v/>
      </c>
      <c r="I363" s="10">
        <f>IF($K363="","",INDEX(Конструктор!$O$2:$O$1212,$K363))</f>
        <v/>
      </c>
      <c r="J363" s="10">
        <f>IF($K363="","",INDEX(Конструктор!$P$2:$P$1212,$K363))</f>
        <v/>
      </c>
      <c r="K363">
        <f>IFERROR(MATCH(343,Конструктор!$T$2:$T$1212,0),"")</f>
        <v/>
      </c>
      <c r="L363">
        <f>IF($K363="","","показать")</f>
        <v/>
      </c>
    </row>
    <row r="364" hidden="1">
      <c r="A364">
        <f>IF($K364="","",344)</f>
        <v/>
      </c>
      <c r="B364">
        <f>IF($K364="","",INDEX(Конструктор!$C$2:$C$1212,$K364))</f>
        <v/>
      </c>
      <c r="C364" s="8">
        <f>IF($K364="","",INDEX(Конструктор!$D$2:$D$1212,$K364)&amp;IF(INDEX(Конструктор!$J$2:$J$1212,$K364)&lt;&gt;""," — "&amp;INDEX(Конструктор!$J$2:$J$1212,$K364),""))</f>
        <v/>
      </c>
      <c r="D364">
        <f>IF($K364="","",INDEX(Конструктор!$E$2:$E$1212,$K364))</f>
        <v/>
      </c>
      <c r="E364" s="10">
        <f>IF($K364="","",INDEX(Конструктор!$H$2:$H$1212,$K364))</f>
        <v/>
      </c>
      <c r="F364" s="10">
        <f>IF($K364="","",INDEX(Конструктор!$L$2:$L$1212,$K364))</f>
        <v/>
      </c>
      <c r="G364" s="10">
        <f>IF($K364="","",INDEX(Конструктор!$M$2:$M$1212,$K364))</f>
        <v/>
      </c>
      <c r="H364" s="10">
        <f>IF($K364="","",INDEX(Конструктор!$N$2:$N$1212,$K364))</f>
        <v/>
      </c>
      <c r="I364" s="10">
        <f>IF($K364="","",INDEX(Конструктор!$O$2:$O$1212,$K364))</f>
        <v/>
      </c>
      <c r="J364" s="10">
        <f>IF($K364="","",INDEX(Конструктор!$P$2:$P$1212,$K364))</f>
        <v/>
      </c>
      <c r="K364">
        <f>IFERROR(MATCH(344,Конструктор!$T$2:$T$1212,0),"")</f>
        <v/>
      </c>
      <c r="L364">
        <f>IF($K364="","","показать")</f>
        <v/>
      </c>
    </row>
    <row r="365" hidden="1">
      <c r="A365">
        <f>IF($K365="","",345)</f>
        <v/>
      </c>
      <c r="B365">
        <f>IF($K365="","",INDEX(Конструктор!$C$2:$C$1212,$K365))</f>
        <v/>
      </c>
      <c r="C365" s="8">
        <f>IF($K365="","",INDEX(Конструктор!$D$2:$D$1212,$K365)&amp;IF(INDEX(Конструктор!$J$2:$J$1212,$K365)&lt;&gt;""," — "&amp;INDEX(Конструктор!$J$2:$J$1212,$K365),""))</f>
        <v/>
      </c>
      <c r="D365">
        <f>IF($K365="","",INDEX(Конструктор!$E$2:$E$1212,$K365))</f>
        <v/>
      </c>
      <c r="E365" s="10">
        <f>IF($K365="","",INDEX(Конструктор!$H$2:$H$1212,$K365))</f>
        <v/>
      </c>
      <c r="F365" s="10">
        <f>IF($K365="","",INDEX(Конструктор!$L$2:$L$1212,$K365))</f>
        <v/>
      </c>
      <c r="G365" s="10">
        <f>IF($K365="","",INDEX(Конструктор!$M$2:$M$1212,$K365))</f>
        <v/>
      </c>
      <c r="H365" s="10">
        <f>IF($K365="","",INDEX(Конструктор!$N$2:$N$1212,$K365))</f>
        <v/>
      </c>
      <c r="I365" s="10">
        <f>IF($K365="","",INDEX(Конструктор!$O$2:$O$1212,$K365))</f>
        <v/>
      </c>
      <c r="J365" s="10">
        <f>IF($K365="","",INDEX(Конструктор!$P$2:$P$1212,$K365))</f>
        <v/>
      </c>
      <c r="K365">
        <f>IFERROR(MATCH(345,Конструктор!$T$2:$T$1212,0),"")</f>
        <v/>
      </c>
      <c r="L365">
        <f>IF($K365="","","показать")</f>
        <v/>
      </c>
    </row>
    <row r="366" hidden="1">
      <c r="A366">
        <f>IF($K366="","",346)</f>
        <v/>
      </c>
      <c r="B366">
        <f>IF($K366="","",INDEX(Конструктор!$C$2:$C$1212,$K366))</f>
        <v/>
      </c>
      <c r="C366" s="8">
        <f>IF($K366="","",INDEX(Конструктор!$D$2:$D$1212,$K366)&amp;IF(INDEX(Конструктор!$J$2:$J$1212,$K366)&lt;&gt;""," — "&amp;INDEX(Конструктор!$J$2:$J$1212,$K366),""))</f>
        <v/>
      </c>
      <c r="D366">
        <f>IF($K366="","",INDEX(Конструктор!$E$2:$E$1212,$K366))</f>
        <v/>
      </c>
      <c r="E366" s="10">
        <f>IF($K366="","",INDEX(Конструктор!$H$2:$H$1212,$K366))</f>
        <v/>
      </c>
      <c r="F366" s="10">
        <f>IF($K366="","",INDEX(Конструктор!$L$2:$L$1212,$K366))</f>
        <v/>
      </c>
      <c r="G366" s="10">
        <f>IF($K366="","",INDEX(Конструктор!$M$2:$M$1212,$K366))</f>
        <v/>
      </c>
      <c r="H366" s="10">
        <f>IF($K366="","",INDEX(Конструктор!$N$2:$N$1212,$K366))</f>
        <v/>
      </c>
      <c r="I366" s="10">
        <f>IF($K366="","",INDEX(Конструктор!$O$2:$O$1212,$K366))</f>
        <v/>
      </c>
      <c r="J366" s="10">
        <f>IF($K366="","",INDEX(Конструктор!$P$2:$P$1212,$K366))</f>
        <v/>
      </c>
      <c r="K366">
        <f>IFERROR(MATCH(346,Конструктор!$T$2:$T$1212,0),"")</f>
        <v/>
      </c>
      <c r="L366">
        <f>IF($K366="","","показать")</f>
        <v/>
      </c>
    </row>
    <row r="367" hidden="1">
      <c r="A367">
        <f>IF($K367="","",347)</f>
        <v/>
      </c>
      <c r="B367">
        <f>IF($K367="","",INDEX(Конструктор!$C$2:$C$1212,$K367))</f>
        <v/>
      </c>
      <c r="C367" s="8">
        <f>IF($K367="","",INDEX(Конструктор!$D$2:$D$1212,$K367)&amp;IF(INDEX(Конструктор!$J$2:$J$1212,$K367)&lt;&gt;""," — "&amp;INDEX(Конструктор!$J$2:$J$1212,$K367),""))</f>
        <v/>
      </c>
      <c r="D367">
        <f>IF($K367="","",INDEX(Конструктор!$E$2:$E$1212,$K367))</f>
        <v/>
      </c>
      <c r="E367" s="10">
        <f>IF($K367="","",INDEX(Конструктор!$H$2:$H$1212,$K367))</f>
        <v/>
      </c>
      <c r="F367" s="10">
        <f>IF($K367="","",INDEX(Конструктор!$L$2:$L$1212,$K367))</f>
        <v/>
      </c>
      <c r="G367" s="10">
        <f>IF($K367="","",INDEX(Конструктор!$M$2:$M$1212,$K367))</f>
        <v/>
      </c>
      <c r="H367" s="10">
        <f>IF($K367="","",INDEX(Конструктор!$N$2:$N$1212,$K367))</f>
        <v/>
      </c>
      <c r="I367" s="10">
        <f>IF($K367="","",INDEX(Конструктор!$O$2:$O$1212,$K367))</f>
        <v/>
      </c>
      <c r="J367" s="10">
        <f>IF($K367="","",INDEX(Конструктор!$P$2:$P$1212,$K367))</f>
        <v/>
      </c>
      <c r="K367">
        <f>IFERROR(MATCH(347,Конструктор!$T$2:$T$1212,0),"")</f>
        <v/>
      </c>
      <c r="L367">
        <f>IF($K367="","","показать")</f>
        <v/>
      </c>
    </row>
    <row r="368" hidden="1">
      <c r="A368">
        <f>IF($K368="","",348)</f>
        <v/>
      </c>
      <c r="B368">
        <f>IF($K368="","",INDEX(Конструктор!$C$2:$C$1212,$K368))</f>
        <v/>
      </c>
      <c r="C368" s="8">
        <f>IF($K368="","",INDEX(Конструктор!$D$2:$D$1212,$K368)&amp;IF(INDEX(Конструктор!$J$2:$J$1212,$K368)&lt;&gt;""," — "&amp;INDEX(Конструктор!$J$2:$J$1212,$K368),""))</f>
        <v/>
      </c>
      <c r="D368">
        <f>IF($K368="","",INDEX(Конструктор!$E$2:$E$1212,$K368))</f>
        <v/>
      </c>
      <c r="E368" s="10">
        <f>IF($K368="","",INDEX(Конструктор!$H$2:$H$1212,$K368))</f>
        <v/>
      </c>
      <c r="F368" s="10">
        <f>IF($K368="","",INDEX(Конструктор!$L$2:$L$1212,$K368))</f>
        <v/>
      </c>
      <c r="G368" s="10">
        <f>IF($K368="","",INDEX(Конструктор!$M$2:$M$1212,$K368))</f>
        <v/>
      </c>
      <c r="H368" s="10">
        <f>IF($K368="","",INDEX(Конструктор!$N$2:$N$1212,$K368))</f>
        <v/>
      </c>
      <c r="I368" s="10">
        <f>IF($K368="","",INDEX(Конструктор!$O$2:$O$1212,$K368))</f>
        <v/>
      </c>
      <c r="J368" s="10">
        <f>IF($K368="","",INDEX(Конструктор!$P$2:$P$1212,$K368))</f>
        <v/>
      </c>
      <c r="K368">
        <f>IFERROR(MATCH(348,Конструктор!$T$2:$T$1212,0),"")</f>
        <v/>
      </c>
      <c r="L368">
        <f>IF($K368="","","показать")</f>
        <v/>
      </c>
    </row>
    <row r="369" hidden="1">
      <c r="A369">
        <f>IF($K369="","",349)</f>
        <v/>
      </c>
      <c r="B369">
        <f>IF($K369="","",INDEX(Конструктор!$C$2:$C$1212,$K369))</f>
        <v/>
      </c>
      <c r="C369" s="8">
        <f>IF($K369="","",INDEX(Конструктор!$D$2:$D$1212,$K369)&amp;IF(INDEX(Конструктор!$J$2:$J$1212,$K369)&lt;&gt;""," — "&amp;INDEX(Конструктор!$J$2:$J$1212,$K369),""))</f>
        <v/>
      </c>
      <c r="D369">
        <f>IF($K369="","",INDEX(Конструктор!$E$2:$E$1212,$K369))</f>
        <v/>
      </c>
      <c r="E369" s="10">
        <f>IF($K369="","",INDEX(Конструктор!$H$2:$H$1212,$K369))</f>
        <v/>
      </c>
      <c r="F369" s="10">
        <f>IF($K369="","",INDEX(Конструктор!$L$2:$L$1212,$K369))</f>
        <v/>
      </c>
      <c r="G369" s="10">
        <f>IF($K369="","",INDEX(Конструктор!$M$2:$M$1212,$K369))</f>
        <v/>
      </c>
      <c r="H369" s="10">
        <f>IF($K369="","",INDEX(Конструктор!$N$2:$N$1212,$K369))</f>
        <v/>
      </c>
      <c r="I369" s="10">
        <f>IF($K369="","",INDEX(Конструктор!$O$2:$O$1212,$K369))</f>
        <v/>
      </c>
      <c r="J369" s="10">
        <f>IF($K369="","",INDEX(Конструктор!$P$2:$P$1212,$K369))</f>
        <v/>
      </c>
      <c r="K369">
        <f>IFERROR(MATCH(349,Конструктор!$T$2:$T$1212,0),"")</f>
        <v/>
      </c>
      <c r="L369">
        <f>IF($K369="","","показать")</f>
        <v/>
      </c>
    </row>
    <row r="370" hidden="1">
      <c r="A370">
        <f>IF($K370="","",350)</f>
        <v/>
      </c>
      <c r="B370">
        <f>IF($K370="","",INDEX(Конструктор!$C$2:$C$1212,$K370))</f>
        <v/>
      </c>
      <c r="C370" s="8">
        <f>IF($K370="","",INDEX(Конструктор!$D$2:$D$1212,$K370)&amp;IF(INDEX(Конструктор!$J$2:$J$1212,$K370)&lt;&gt;""," — "&amp;INDEX(Конструктор!$J$2:$J$1212,$K370),""))</f>
        <v/>
      </c>
      <c r="D370">
        <f>IF($K370="","",INDEX(Конструктор!$E$2:$E$1212,$K370))</f>
        <v/>
      </c>
      <c r="E370" s="10">
        <f>IF($K370="","",INDEX(Конструктор!$H$2:$H$1212,$K370))</f>
        <v/>
      </c>
      <c r="F370" s="10">
        <f>IF($K370="","",INDEX(Конструктор!$L$2:$L$1212,$K370))</f>
        <v/>
      </c>
      <c r="G370" s="10">
        <f>IF($K370="","",INDEX(Конструктор!$M$2:$M$1212,$K370))</f>
        <v/>
      </c>
      <c r="H370" s="10">
        <f>IF($K370="","",INDEX(Конструктор!$N$2:$N$1212,$K370))</f>
        <v/>
      </c>
      <c r="I370" s="10">
        <f>IF($K370="","",INDEX(Конструктор!$O$2:$O$1212,$K370))</f>
        <v/>
      </c>
      <c r="J370" s="10">
        <f>IF($K370="","",INDEX(Конструктор!$P$2:$P$1212,$K370))</f>
        <v/>
      </c>
      <c r="K370">
        <f>IFERROR(MATCH(350,Конструктор!$T$2:$T$1212,0),"")</f>
        <v/>
      </c>
      <c r="L370">
        <f>IF($K370="","","показать")</f>
        <v/>
      </c>
    </row>
    <row r="371" hidden="1">
      <c r="A371">
        <f>IF($K371="","",351)</f>
        <v/>
      </c>
      <c r="B371">
        <f>IF($K371="","",INDEX(Конструктор!$C$2:$C$1212,$K371))</f>
        <v/>
      </c>
      <c r="C371" s="8">
        <f>IF($K371="","",INDEX(Конструктор!$D$2:$D$1212,$K371)&amp;IF(INDEX(Конструктор!$J$2:$J$1212,$K371)&lt;&gt;""," — "&amp;INDEX(Конструктор!$J$2:$J$1212,$K371),""))</f>
        <v/>
      </c>
      <c r="D371">
        <f>IF($K371="","",INDEX(Конструктор!$E$2:$E$1212,$K371))</f>
        <v/>
      </c>
      <c r="E371" s="10">
        <f>IF($K371="","",INDEX(Конструктор!$H$2:$H$1212,$K371))</f>
        <v/>
      </c>
      <c r="F371" s="10">
        <f>IF($K371="","",INDEX(Конструктор!$L$2:$L$1212,$K371))</f>
        <v/>
      </c>
      <c r="G371" s="10">
        <f>IF($K371="","",INDEX(Конструктор!$M$2:$M$1212,$K371))</f>
        <v/>
      </c>
      <c r="H371" s="10">
        <f>IF($K371="","",INDEX(Конструктор!$N$2:$N$1212,$K371))</f>
        <v/>
      </c>
      <c r="I371" s="10">
        <f>IF($K371="","",INDEX(Конструктор!$O$2:$O$1212,$K371))</f>
        <v/>
      </c>
      <c r="J371" s="10">
        <f>IF($K371="","",INDEX(Конструктор!$P$2:$P$1212,$K371))</f>
        <v/>
      </c>
      <c r="K371">
        <f>IFERROR(MATCH(351,Конструктор!$T$2:$T$1212,0),"")</f>
        <v/>
      </c>
      <c r="L371">
        <f>IF($K371="","","показать")</f>
        <v/>
      </c>
    </row>
    <row r="372" hidden="1">
      <c r="A372">
        <f>IF($K372="","",352)</f>
        <v/>
      </c>
      <c r="B372">
        <f>IF($K372="","",INDEX(Конструктор!$C$2:$C$1212,$K372))</f>
        <v/>
      </c>
      <c r="C372" s="8">
        <f>IF($K372="","",INDEX(Конструктор!$D$2:$D$1212,$K372)&amp;IF(INDEX(Конструктор!$J$2:$J$1212,$K372)&lt;&gt;""," — "&amp;INDEX(Конструктор!$J$2:$J$1212,$K372),""))</f>
        <v/>
      </c>
      <c r="D372">
        <f>IF($K372="","",INDEX(Конструктор!$E$2:$E$1212,$K372))</f>
        <v/>
      </c>
      <c r="E372" s="10">
        <f>IF($K372="","",INDEX(Конструктор!$H$2:$H$1212,$K372))</f>
        <v/>
      </c>
      <c r="F372" s="10">
        <f>IF($K372="","",INDEX(Конструктор!$L$2:$L$1212,$K372))</f>
        <v/>
      </c>
      <c r="G372" s="10">
        <f>IF($K372="","",INDEX(Конструктор!$M$2:$M$1212,$K372))</f>
        <v/>
      </c>
      <c r="H372" s="10">
        <f>IF($K372="","",INDEX(Конструктор!$N$2:$N$1212,$K372))</f>
        <v/>
      </c>
      <c r="I372" s="10">
        <f>IF($K372="","",INDEX(Конструктор!$O$2:$O$1212,$K372))</f>
        <v/>
      </c>
      <c r="J372" s="10">
        <f>IF($K372="","",INDEX(Конструктор!$P$2:$P$1212,$K372))</f>
        <v/>
      </c>
      <c r="K372">
        <f>IFERROR(MATCH(352,Конструктор!$T$2:$T$1212,0),"")</f>
        <v/>
      </c>
      <c r="L372">
        <f>IF($K372="","","показать")</f>
        <v/>
      </c>
    </row>
    <row r="373" hidden="1">
      <c r="A373">
        <f>IF($K373="","",353)</f>
        <v/>
      </c>
      <c r="B373">
        <f>IF($K373="","",INDEX(Конструктор!$C$2:$C$1212,$K373))</f>
        <v/>
      </c>
      <c r="C373" s="8">
        <f>IF($K373="","",INDEX(Конструктор!$D$2:$D$1212,$K373)&amp;IF(INDEX(Конструктор!$J$2:$J$1212,$K373)&lt;&gt;""," — "&amp;INDEX(Конструктор!$J$2:$J$1212,$K373),""))</f>
        <v/>
      </c>
      <c r="D373">
        <f>IF($K373="","",INDEX(Конструктор!$E$2:$E$1212,$K373))</f>
        <v/>
      </c>
      <c r="E373" s="10">
        <f>IF($K373="","",INDEX(Конструктор!$H$2:$H$1212,$K373))</f>
        <v/>
      </c>
      <c r="F373" s="10">
        <f>IF($K373="","",INDEX(Конструктор!$L$2:$L$1212,$K373))</f>
        <v/>
      </c>
      <c r="G373" s="10">
        <f>IF($K373="","",INDEX(Конструктор!$M$2:$M$1212,$K373))</f>
        <v/>
      </c>
      <c r="H373" s="10">
        <f>IF($K373="","",INDEX(Конструктор!$N$2:$N$1212,$K373))</f>
        <v/>
      </c>
      <c r="I373" s="10">
        <f>IF($K373="","",INDEX(Конструктор!$O$2:$O$1212,$K373))</f>
        <v/>
      </c>
      <c r="J373" s="10">
        <f>IF($K373="","",INDEX(Конструктор!$P$2:$P$1212,$K373))</f>
        <v/>
      </c>
      <c r="K373">
        <f>IFERROR(MATCH(353,Конструктор!$T$2:$T$1212,0),"")</f>
        <v/>
      </c>
      <c r="L373">
        <f>IF($K373="","","показать")</f>
        <v/>
      </c>
    </row>
    <row r="374" hidden="1">
      <c r="A374">
        <f>IF($K374="","",354)</f>
        <v/>
      </c>
      <c r="B374">
        <f>IF($K374="","",INDEX(Конструктор!$C$2:$C$1212,$K374))</f>
        <v/>
      </c>
      <c r="C374" s="8">
        <f>IF($K374="","",INDEX(Конструктор!$D$2:$D$1212,$K374)&amp;IF(INDEX(Конструктор!$J$2:$J$1212,$K374)&lt;&gt;""," — "&amp;INDEX(Конструктор!$J$2:$J$1212,$K374),""))</f>
        <v/>
      </c>
      <c r="D374">
        <f>IF($K374="","",INDEX(Конструктор!$E$2:$E$1212,$K374))</f>
        <v/>
      </c>
      <c r="E374" s="10">
        <f>IF($K374="","",INDEX(Конструктор!$H$2:$H$1212,$K374))</f>
        <v/>
      </c>
      <c r="F374" s="10">
        <f>IF($K374="","",INDEX(Конструктор!$L$2:$L$1212,$K374))</f>
        <v/>
      </c>
      <c r="G374" s="10">
        <f>IF($K374="","",INDEX(Конструктор!$M$2:$M$1212,$K374))</f>
        <v/>
      </c>
      <c r="H374" s="10">
        <f>IF($K374="","",INDEX(Конструктор!$N$2:$N$1212,$K374))</f>
        <v/>
      </c>
      <c r="I374" s="10">
        <f>IF($K374="","",INDEX(Конструктор!$O$2:$O$1212,$K374))</f>
        <v/>
      </c>
      <c r="J374" s="10">
        <f>IF($K374="","",INDEX(Конструктор!$P$2:$P$1212,$K374))</f>
        <v/>
      </c>
      <c r="K374">
        <f>IFERROR(MATCH(354,Конструктор!$T$2:$T$1212,0),"")</f>
        <v/>
      </c>
      <c r="L374">
        <f>IF($K374="","","показать")</f>
        <v/>
      </c>
    </row>
    <row r="375" hidden="1">
      <c r="A375">
        <f>IF($K375="","",355)</f>
        <v/>
      </c>
      <c r="B375">
        <f>IF($K375="","",INDEX(Конструктор!$C$2:$C$1212,$K375))</f>
        <v/>
      </c>
      <c r="C375" s="8">
        <f>IF($K375="","",INDEX(Конструктор!$D$2:$D$1212,$K375)&amp;IF(INDEX(Конструктор!$J$2:$J$1212,$K375)&lt;&gt;""," — "&amp;INDEX(Конструктор!$J$2:$J$1212,$K375),""))</f>
        <v/>
      </c>
      <c r="D375">
        <f>IF($K375="","",INDEX(Конструктор!$E$2:$E$1212,$K375))</f>
        <v/>
      </c>
      <c r="E375" s="10">
        <f>IF($K375="","",INDEX(Конструктор!$H$2:$H$1212,$K375))</f>
        <v/>
      </c>
      <c r="F375" s="10">
        <f>IF($K375="","",INDEX(Конструктор!$L$2:$L$1212,$K375))</f>
        <v/>
      </c>
      <c r="G375" s="10">
        <f>IF($K375="","",INDEX(Конструктор!$M$2:$M$1212,$K375))</f>
        <v/>
      </c>
      <c r="H375" s="10">
        <f>IF($K375="","",INDEX(Конструктор!$N$2:$N$1212,$K375))</f>
        <v/>
      </c>
      <c r="I375" s="10">
        <f>IF($K375="","",INDEX(Конструктор!$O$2:$O$1212,$K375))</f>
        <v/>
      </c>
      <c r="J375" s="10">
        <f>IF($K375="","",INDEX(Конструктор!$P$2:$P$1212,$K375))</f>
        <v/>
      </c>
      <c r="K375">
        <f>IFERROR(MATCH(355,Конструктор!$T$2:$T$1212,0),"")</f>
        <v/>
      </c>
      <c r="L375">
        <f>IF($K375="","","показать")</f>
        <v/>
      </c>
    </row>
    <row r="376" hidden="1">
      <c r="A376">
        <f>IF($K376="","",356)</f>
        <v/>
      </c>
      <c r="B376">
        <f>IF($K376="","",INDEX(Конструктор!$C$2:$C$1212,$K376))</f>
        <v/>
      </c>
      <c r="C376" s="8">
        <f>IF($K376="","",INDEX(Конструктор!$D$2:$D$1212,$K376)&amp;IF(INDEX(Конструктор!$J$2:$J$1212,$K376)&lt;&gt;""," — "&amp;INDEX(Конструктор!$J$2:$J$1212,$K376),""))</f>
        <v/>
      </c>
      <c r="D376">
        <f>IF($K376="","",INDEX(Конструктор!$E$2:$E$1212,$K376))</f>
        <v/>
      </c>
      <c r="E376" s="10">
        <f>IF($K376="","",INDEX(Конструктор!$H$2:$H$1212,$K376))</f>
        <v/>
      </c>
      <c r="F376" s="10">
        <f>IF($K376="","",INDEX(Конструктор!$L$2:$L$1212,$K376))</f>
        <v/>
      </c>
      <c r="G376" s="10">
        <f>IF($K376="","",INDEX(Конструктор!$M$2:$M$1212,$K376))</f>
        <v/>
      </c>
      <c r="H376" s="10">
        <f>IF($K376="","",INDEX(Конструктор!$N$2:$N$1212,$K376))</f>
        <v/>
      </c>
      <c r="I376" s="10">
        <f>IF($K376="","",INDEX(Конструктор!$O$2:$O$1212,$K376))</f>
        <v/>
      </c>
      <c r="J376" s="10">
        <f>IF($K376="","",INDEX(Конструктор!$P$2:$P$1212,$K376))</f>
        <v/>
      </c>
      <c r="K376">
        <f>IFERROR(MATCH(356,Конструктор!$T$2:$T$1212,0),"")</f>
        <v/>
      </c>
      <c r="L376">
        <f>IF($K376="","","показать")</f>
        <v/>
      </c>
    </row>
    <row r="377" hidden="1">
      <c r="A377">
        <f>IF($K377="","",357)</f>
        <v/>
      </c>
      <c r="B377">
        <f>IF($K377="","",INDEX(Конструктор!$C$2:$C$1212,$K377))</f>
        <v/>
      </c>
      <c r="C377" s="8">
        <f>IF($K377="","",INDEX(Конструктор!$D$2:$D$1212,$K377)&amp;IF(INDEX(Конструктор!$J$2:$J$1212,$K377)&lt;&gt;""," — "&amp;INDEX(Конструктор!$J$2:$J$1212,$K377),""))</f>
        <v/>
      </c>
      <c r="D377">
        <f>IF($K377="","",INDEX(Конструктор!$E$2:$E$1212,$K377))</f>
        <v/>
      </c>
      <c r="E377" s="10">
        <f>IF($K377="","",INDEX(Конструктор!$H$2:$H$1212,$K377))</f>
        <v/>
      </c>
      <c r="F377" s="10">
        <f>IF($K377="","",INDEX(Конструктор!$L$2:$L$1212,$K377))</f>
        <v/>
      </c>
      <c r="G377" s="10">
        <f>IF($K377="","",INDEX(Конструктор!$M$2:$M$1212,$K377))</f>
        <v/>
      </c>
      <c r="H377" s="10">
        <f>IF($K377="","",INDEX(Конструктор!$N$2:$N$1212,$K377))</f>
        <v/>
      </c>
      <c r="I377" s="10">
        <f>IF($K377="","",INDEX(Конструктор!$O$2:$O$1212,$K377))</f>
        <v/>
      </c>
      <c r="J377" s="10">
        <f>IF($K377="","",INDEX(Конструктор!$P$2:$P$1212,$K377))</f>
        <v/>
      </c>
      <c r="K377">
        <f>IFERROR(MATCH(357,Конструктор!$T$2:$T$1212,0),"")</f>
        <v/>
      </c>
      <c r="L377">
        <f>IF($K377="","","показать")</f>
        <v/>
      </c>
    </row>
    <row r="378" hidden="1">
      <c r="A378">
        <f>IF($K378="","",358)</f>
        <v/>
      </c>
      <c r="B378">
        <f>IF($K378="","",INDEX(Конструктор!$C$2:$C$1212,$K378))</f>
        <v/>
      </c>
      <c r="C378" s="8">
        <f>IF($K378="","",INDEX(Конструктор!$D$2:$D$1212,$K378)&amp;IF(INDEX(Конструктор!$J$2:$J$1212,$K378)&lt;&gt;""," — "&amp;INDEX(Конструктор!$J$2:$J$1212,$K378),""))</f>
        <v/>
      </c>
      <c r="D378">
        <f>IF($K378="","",INDEX(Конструктор!$E$2:$E$1212,$K378))</f>
        <v/>
      </c>
      <c r="E378" s="10">
        <f>IF($K378="","",INDEX(Конструктор!$H$2:$H$1212,$K378))</f>
        <v/>
      </c>
      <c r="F378" s="10">
        <f>IF($K378="","",INDEX(Конструктор!$L$2:$L$1212,$K378))</f>
        <v/>
      </c>
      <c r="G378" s="10">
        <f>IF($K378="","",INDEX(Конструктор!$M$2:$M$1212,$K378))</f>
        <v/>
      </c>
      <c r="H378" s="10">
        <f>IF($K378="","",INDEX(Конструктор!$N$2:$N$1212,$K378))</f>
        <v/>
      </c>
      <c r="I378" s="10">
        <f>IF($K378="","",INDEX(Конструктор!$O$2:$O$1212,$K378))</f>
        <v/>
      </c>
      <c r="J378" s="10">
        <f>IF($K378="","",INDEX(Конструктор!$P$2:$P$1212,$K378))</f>
        <v/>
      </c>
      <c r="K378">
        <f>IFERROR(MATCH(358,Конструктор!$T$2:$T$1212,0),"")</f>
        <v/>
      </c>
      <c r="L378">
        <f>IF($K378="","","показать")</f>
        <v/>
      </c>
    </row>
    <row r="379" hidden="1">
      <c r="A379">
        <f>IF($K379="","",359)</f>
        <v/>
      </c>
      <c r="B379">
        <f>IF($K379="","",INDEX(Конструктор!$C$2:$C$1212,$K379))</f>
        <v/>
      </c>
      <c r="C379" s="8">
        <f>IF($K379="","",INDEX(Конструктор!$D$2:$D$1212,$K379)&amp;IF(INDEX(Конструктор!$J$2:$J$1212,$K379)&lt;&gt;""," — "&amp;INDEX(Конструктор!$J$2:$J$1212,$K379),""))</f>
        <v/>
      </c>
      <c r="D379">
        <f>IF($K379="","",INDEX(Конструктор!$E$2:$E$1212,$K379))</f>
        <v/>
      </c>
      <c r="E379" s="10">
        <f>IF($K379="","",INDEX(Конструктор!$H$2:$H$1212,$K379))</f>
        <v/>
      </c>
      <c r="F379" s="10">
        <f>IF($K379="","",INDEX(Конструктор!$L$2:$L$1212,$K379))</f>
        <v/>
      </c>
      <c r="G379" s="10">
        <f>IF($K379="","",INDEX(Конструктор!$M$2:$M$1212,$K379))</f>
        <v/>
      </c>
      <c r="H379" s="10">
        <f>IF($K379="","",INDEX(Конструктор!$N$2:$N$1212,$K379))</f>
        <v/>
      </c>
      <c r="I379" s="10">
        <f>IF($K379="","",INDEX(Конструктор!$O$2:$O$1212,$K379))</f>
        <v/>
      </c>
      <c r="J379" s="10">
        <f>IF($K379="","",INDEX(Конструктор!$P$2:$P$1212,$K379))</f>
        <v/>
      </c>
      <c r="K379">
        <f>IFERROR(MATCH(359,Конструктор!$T$2:$T$1212,0),"")</f>
        <v/>
      </c>
      <c r="L379">
        <f>IF($K379="","","показать")</f>
        <v/>
      </c>
    </row>
    <row r="380" hidden="1">
      <c r="A380">
        <f>IF($K380="","",360)</f>
        <v/>
      </c>
      <c r="B380">
        <f>IF($K380="","",INDEX(Конструктор!$C$2:$C$1212,$K380))</f>
        <v/>
      </c>
      <c r="C380" s="8">
        <f>IF($K380="","",INDEX(Конструктор!$D$2:$D$1212,$K380)&amp;IF(INDEX(Конструктор!$J$2:$J$1212,$K380)&lt;&gt;""," — "&amp;INDEX(Конструктор!$J$2:$J$1212,$K380),""))</f>
        <v/>
      </c>
      <c r="D380">
        <f>IF($K380="","",INDEX(Конструктор!$E$2:$E$1212,$K380))</f>
        <v/>
      </c>
      <c r="E380" s="10">
        <f>IF($K380="","",INDEX(Конструктор!$H$2:$H$1212,$K380))</f>
        <v/>
      </c>
      <c r="F380" s="10">
        <f>IF($K380="","",INDEX(Конструктор!$L$2:$L$1212,$K380))</f>
        <v/>
      </c>
      <c r="G380" s="10">
        <f>IF($K380="","",INDEX(Конструктор!$M$2:$M$1212,$K380))</f>
        <v/>
      </c>
      <c r="H380" s="10">
        <f>IF($K380="","",INDEX(Конструктор!$N$2:$N$1212,$K380))</f>
        <v/>
      </c>
      <c r="I380" s="10">
        <f>IF($K380="","",INDEX(Конструктор!$O$2:$O$1212,$K380))</f>
        <v/>
      </c>
      <c r="J380" s="10">
        <f>IF($K380="","",INDEX(Конструктор!$P$2:$P$1212,$K380))</f>
        <v/>
      </c>
      <c r="K380">
        <f>IFERROR(MATCH(360,Конструктор!$T$2:$T$1212,0),"")</f>
        <v/>
      </c>
      <c r="L380">
        <f>IF($K380="","","показать")</f>
        <v/>
      </c>
    </row>
    <row r="381" hidden="1">
      <c r="A381">
        <f>IF($K381="","",361)</f>
        <v/>
      </c>
      <c r="B381">
        <f>IF($K381="","",INDEX(Конструктор!$C$2:$C$1212,$K381))</f>
        <v/>
      </c>
      <c r="C381" s="8">
        <f>IF($K381="","",INDEX(Конструктор!$D$2:$D$1212,$K381)&amp;IF(INDEX(Конструктор!$J$2:$J$1212,$K381)&lt;&gt;""," — "&amp;INDEX(Конструктор!$J$2:$J$1212,$K381),""))</f>
        <v/>
      </c>
      <c r="D381">
        <f>IF($K381="","",INDEX(Конструктор!$E$2:$E$1212,$K381))</f>
        <v/>
      </c>
      <c r="E381" s="10">
        <f>IF($K381="","",INDEX(Конструктор!$H$2:$H$1212,$K381))</f>
        <v/>
      </c>
      <c r="F381" s="10">
        <f>IF($K381="","",INDEX(Конструктор!$L$2:$L$1212,$K381))</f>
        <v/>
      </c>
      <c r="G381" s="10">
        <f>IF($K381="","",INDEX(Конструктор!$M$2:$M$1212,$K381))</f>
        <v/>
      </c>
      <c r="H381" s="10">
        <f>IF($K381="","",INDEX(Конструктор!$N$2:$N$1212,$K381))</f>
        <v/>
      </c>
      <c r="I381" s="10">
        <f>IF($K381="","",INDEX(Конструктор!$O$2:$O$1212,$K381))</f>
        <v/>
      </c>
      <c r="J381" s="10">
        <f>IF($K381="","",INDEX(Конструктор!$P$2:$P$1212,$K381))</f>
        <v/>
      </c>
      <c r="K381">
        <f>IFERROR(MATCH(361,Конструктор!$T$2:$T$1212,0),"")</f>
        <v/>
      </c>
      <c r="L381">
        <f>IF($K381="","","показать")</f>
        <v/>
      </c>
    </row>
    <row r="382" hidden="1">
      <c r="A382">
        <f>IF($K382="","",362)</f>
        <v/>
      </c>
      <c r="B382">
        <f>IF($K382="","",INDEX(Конструктор!$C$2:$C$1212,$K382))</f>
        <v/>
      </c>
      <c r="C382" s="8">
        <f>IF($K382="","",INDEX(Конструктор!$D$2:$D$1212,$K382)&amp;IF(INDEX(Конструктор!$J$2:$J$1212,$K382)&lt;&gt;""," — "&amp;INDEX(Конструктор!$J$2:$J$1212,$K382),""))</f>
        <v/>
      </c>
      <c r="D382">
        <f>IF($K382="","",INDEX(Конструктор!$E$2:$E$1212,$K382))</f>
        <v/>
      </c>
      <c r="E382" s="10">
        <f>IF($K382="","",INDEX(Конструктор!$H$2:$H$1212,$K382))</f>
        <v/>
      </c>
      <c r="F382" s="10">
        <f>IF($K382="","",INDEX(Конструктор!$L$2:$L$1212,$K382))</f>
        <v/>
      </c>
      <c r="G382" s="10">
        <f>IF($K382="","",INDEX(Конструктор!$M$2:$M$1212,$K382))</f>
        <v/>
      </c>
      <c r="H382" s="10">
        <f>IF($K382="","",INDEX(Конструктор!$N$2:$N$1212,$K382))</f>
        <v/>
      </c>
      <c r="I382" s="10">
        <f>IF($K382="","",INDEX(Конструктор!$O$2:$O$1212,$K382))</f>
        <v/>
      </c>
      <c r="J382" s="10">
        <f>IF($K382="","",INDEX(Конструктор!$P$2:$P$1212,$K382))</f>
        <v/>
      </c>
      <c r="K382">
        <f>IFERROR(MATCH(362,Конструктор!$T$2:$T$1212,0),"")</f>
        <v/>
      </c>
      <c r="L382">
        <f>IF($K382="","","показать")</f>
        <v/>
      </c>
    </row>
    <row r="383" hidden="1">
      <c r="A383">
        <f>IF($K383="","",363)</f>
        <v/>
      </c>
      <c r="B383">
        <f>IF($K383="","",INDEX(Конструктор!$C$2:$C$1212,$K383))</f>
        <v/>
      </c>
      <c r="C383" s="8">
        <f>IF($K383="","",INDEX(Конструктор!$D$2:$D$1212,$K383)&amp;IF(INDEX(Конструктор!$J$2:$J$1212,$K383)&lt;&gt;""," — "&amp;INDEX(Конструктор!$J$2:$J$1212,$K383),""))</f>
        <v/>
      </c>
      <c r="D383">
        <f>IF($K383="","",INDEX(Конструктор!$E$2:$E$1212,$K383))</f>
        <v/>
      </c>
      <c r="E383" s="10">
        <f>IF($K383="","",INDEX(Конструктор!$H$2:$H$1212,$K383))</f>
        <v/>
      </c>
      <c r="F383" s="10">
        <f>IF($K383="","",INDEX(Конструктор!$L$2:$L$1212,$K383))</f>
        <v/>
      </c>
      <c r="G383" s="10">
        <f>IF($K383="","",INDEX(Конструктор!$M$2:$M$1212,$K383))</f>
        <v/>
      </c>
      <c r="H383" s="10">
        <f>IF($K383="","",INDEX(Конструктор!$N$2:$N$1212,$K383))</f>
        <v/>
      </c>
      <c r="I383" s="10">
        <f>IF($K383="","",INDEX(Конструктор!$O$2:$O$1212,$K383))</f>
        <v/>
      </c>
      <c r="J383" s="10">
        <f>IF($K383="","",INDEX(Конструктор!$P$2:$P$1212,$K383))</f>
        <v/>
      </c>
      <c r="K383">
        <f>IFERROR(MATCH(363,Конструктор!$T$2:$T$1212,0),"")</f>
        <v/>
      </c>
      <c r="L383">
        <f>IF($K383="","","показать")</f>
        <v/>
      </c>
    </row>
    <row r="384" hidden="1">
      <c r="A384">
        <f>IF($K384="","",364)</f>
        <v/>
      </c>
      <c r="B384">
        <f>IF($K384="","",INDEX(Конструктор!$C$2:$C$1212,$K384))</f>
        <v/>
      </c>
      <c r="C384" s="8">
        <f>IF($K384="","",INDEX(Конструктор!$D$2:$D$1212,$K384)&amp;IF(INDEX(Конструктор!$J$2:$J$1212,$K384)&lt;&gt;""," — "&amp;INDEX(Конструктор!$J$2:$J$1212,$K384),""))</f>
        <v/>
      </c>
      <c r="D384">
        <f>IF($K384="","",INDEX(Конструктор!$E$2:$E$1212,$K384))</f>
        <v/>
      </c>
      <c r="E384" s="10">
        <f>IF($K384="","",INDEX(Конструктор!$H$2:$H$1212,$K384))</f>
        <v/>
      </c>
      <c r="F384" s="10">
        <f>IF($K384="","",INDEX(Конструктор!$L$2:$L$1212,$K384))</f>
        <v/>
      </c>
      <c r="G384" s="10">
        <f>IF($K384="","",INDEX(Конструктор!$M$2:$M$1212,$K384))</f>
        <v/>
      </c>
      <c r="H384" s="10">
        <f>IF($K384="","",INDEX(Конструктор!$N$2:$N$1212,$K384))</f>
        <v/>
      </c>
      <c r="I384" s="10">
        <f>IF($K384="","",INDEX(Конструктор!$O$2:$O$1212,$K384))</f>
        <v/>
      </c>
      <c r="J384" s="10">
        <f>IF($K384="","",INDEX(Конструктор!$P$2:$P$1212,$K384))</f>
        <v/>
      </c>
      <c r="K384">
        <f>IFERROR(MATCH(364,Конструктор!$T$2:$T$1212,0),"")</f>
        <v/>
      </c>
      <c r="L384">
        <f>IF($K384="","","показать")</f>
        <v/>
      </c>
    </row>
    <row r="385" hidden="1">
      <c r="A385">
        <f>IF($K385="","",365)</f>
        <v/>
      </c>
      <c r="B385">
        <f>IF($K385="","",INDEX(Конструктор!$C$2:$C$1212,$K385))</f>
        <v/>
      </c>
      <c r="C385" s="8">
        <f>IF($K385="","",INDEX(Конструктор!$D$2:$D$1212,$K385)&amp;IF(INDEX(Конструктор!$J$2:$J$1212,$K385)&lt;&gt;""," — "&amp;INDEX(Конструктор!$J$2:$J$1212,$K385),""))</f>
        <v/>
      </c>
      <c r="D385">
        <f>IF($K385="","",INDEX(Конструктор!$E$2:$E$1212,$K385))</f>
        <v/>
      </c>
      <c r="E385" s="10">
        <f>IF($K385="","",INDEX(Конструктор!$H$2:$H$1212,$K385))</f>
        <v/>
      </c>
      <c r="F385" s="10">
        <f>IF($K385="","",INDEX(Конструктор!$L$2:$L$1212,$K385))</f>
        <v/>
      </c>
      <c r="G385" s="10">
        <f>IF($K385="","",INDEX(Конструктор!$M$2:$M$1212,$K385))</f>
        <v/>
      </c>
      <c r="H385" s="10">
        <f>IF($K385="","",INDEX(Конструктор!$N$2:$N$1212,$K385))</f>
        <v/>
      </c>
      <c r="I385" s="10">
        <f>IF($K385="","",INDEX(Конструктор!$O$2:$O$1212,$K385))</f>
        <v/>
      </c>
      <c r="J385" s="10">
        <f>IF($K385="","",INDEX(Конструктор!$P$2:$P$1212,$K385))</f>
        <v/>
      </c>
      <c r="K385">
        <f>IFERROR(MATCH(365,Конструктор!$T$2:$T$1212,0),"")</f>
        <v/>
      </c>
      <c r="L385">
        <f>IF($K385="","","показать")</f>
        <v/>
      </c>
    </row>
    <row r="386" hidden="1">
      <c r="A386">
        <f>IF($K386="","",366)</f>
        <v/>
      </c>
      <c r="B386">
        <f>IF($K386="","",INDEX(Конструктор!$C$2:$C$1212,$K386))</f>
        <v/>
      </c>
      <c r="C386" s="8">
        <f>IF($K386="","",INDEX(Конструктор!$D$2:$D$1212,$K386)&amp;IF(INDEX(Конструктор!$J$2:$J$1212,$K386)&lt;&gt;""," — "&amp;INDEX(Конструктор!$J$2:$J$1212,$K386),""))</f>
        <v/>
      </c>
      <c r="D386">
        <f>IF($K386="","",INDEX(Конструктор!$E$2:$E$1212,$K386))</f>
        <v/>
      </c>
      <c r="E386" s="10">
        <f>IF($K386="","",INDEX(Конструктор!$H$2:$H$1212,$K386))</f>
        <v/>
      </c>
      <c r="F386" s="10">
        <f>IF($K386="","",INDEX(Конструктор!$L$2:$L$1212,$K386))</f>
        <v/>
      </c>
      <c r="G386" s="10">
        <f>IF($K386="","",INDEX(Конструктор!$M$2:$M$1212,$K386))</f>
        <v/>
      </c>
      <c r="H386" s="10">
        <f>IF($K386="","",INDEX(Конструктор!$N$2:$N$1212,$K386))</f>
        <v/>
      </c>
      <c r="I386" s="10">
        <f>IF($K386="","",INDEX(Конструктор!$O$2:$O$1212,$K386))</f>
        <v/>
      </c>
      <c r="J386" s="10">
        <f>IF($K386="","",INDEX(Конструктор!$P$2:$P$1212,$K386))</f>
        <v/>
      </c>
      <c r="K386">
        <f>IFERROR(MATCH(366,Конструктор!$T$2:$T$1212,0),"")</f>
        <v/>
      </c>
      <c r="L386">
        <f>IF($K386="","","показать")</f>
        <v/>
      </c>
    </row>
    <row r="387" hidden="1">
      <c r="A387">
        <f>IF($K387="","",367)</f>
        <v/>
      </c>
      <c r="B387">
        <f>IF($K387="","",INDEX(Конструктор!$C$2:$C$1212,$K387))</f>
        <v/>
      </c>
      <c r="C387" s="8">
        <f>IF($K387="","",INDEX(Конструктор!$D$2:$D$1212,$K387)&amp;IF(INDEX(Конструктор!$J$2:$J$1212,$K387)&lt;&gt;""," — "&amp;INDEX(Конструктор!$J$2:$J$1212,$K387),""))</f>
        <v/>
      </c>
      <c r="D387">
        <f>IF($K387="","",INDEX(Конструктор!$E$2:$E$1212,$K387))</f>
        <v/>
      </c>
      <c r="E387" s="10">
        <f>IF($K387="","",INDEX(Конструктор!$H$2:$H$1212,$K387))</f>
        <v/>
      </c>
      <c r="F387" s="10">
        <f>IF($K387="","",INDEX(Конструктор!$L$2:$L$1212,$K387))</f>
        <v/>
      </c>
      <c r="G387" s="10">
        <f>IF($K387="","",INDEX(Конструктор!$M$2:$M$1212,$K387))</f>
        <v/>
      </c>
      <c r="H387" s="10">
        <f>IF($K387="","",INDEX(Конструктор!$N$2:$N$1212,$K387))</f>
        <v/>
      </c>
      <c r="I387" s="10">
        <f>IF($K387="","",INDEX(Конструктор!$O$2:$O$1212,$K387))</f>
        <v/>
      </c>
      <c r="J387" s="10">
        <f>IF($K387="","",INDEX(Конструктор!$P$2:$P$1212,$K387))</f>
        <v/>
      </c>
      <c r="K387">
        <f>IFERROR(MATCH(367,Конструктор!$T$2:$T$1212,0),"")</f>
        <v/>
      </c>
      <c r="L387">
        <f>IF($K387="","","показать")</f>
        <v/>
      </c>
    </row>
    <row r="388" hidden="1">
      <c r="A388">
        <f>IF($K388="","",368)</f>
        <v/>
      </c>
      <c r="B388">
        <f>IF($K388="","",INDEX(Конструктор!$C$2:$C$1212,$K388))</f>
        <v/>
      </c>
      <c r="C388" s="8">
        <f>IF($K388="","",INDEX(Конструктор!$D$2:$D$1212,$K388)&amp;IF(INDEX(Конструктор!$J$2:$J$1212,$K388)&lt;&gt;""," — "&amp;INDEX(Конструктор!$J$2:$J$1212,$K388),""))</f>
        <v/>
      </c>
      <c r="D388">
        <f>IF($K388="","",INDEX(Конструктор!$E$2:$E$1212,$K388))</f>
        <v/>
      </c>
      <c r="E388" s="10">
        <f>IF($K388="","",INDEX(Конструктор!$H$2:$H$1212,$K388))</f>
        <v/>
      </c>
      <c r="F388" s="10">
        <f>IF($K388="","",INDEX(Конструктор!$L$2:$L$1212,$K388))</f>
        <v/>
      </c>
      <c r="G388" s="10">
        <f>IF($K388="","",INDEX(Конструктор!$M$2:$M$1212,$K388))</f>
        <v/>
      </c>
      <c r="H388" s="10">
        <f>IF($K388="","",INDEX(Конструктор!$N$2:$N$1212,$K388))</f>
        <v/>
      </c>
      <c r="I388" s="10">
        <f>IF($K388="","",INDEX(Конструктор!$O$2:$O$1212,$K388))</f>
        <v/>
      </c>
      <c r="J388" s="10">
        <f>IF($K388="","",INDEX(Конструктор!$P$2:$P$1212,$K388))</f>
        <v/>
      </c>
      <c r="K388">
        <f>IFERROR(MATCH(368,Конструктор!$T$2:$T$1212,0),"")</f>
        <v/>
      </c>
      <c r="L388">
        <f>IF($K388="","","показать")</f>
        <v/>
      </c>
    </row>
    <row r="389" hidden="1">
      <c r="A389">
        <f>IF($K389="","",369)</f>
        <v/>
      </c>
      <c r="B389">
        <f>IF($K389="","",INDEX(Конструктор!$C$2:$C$1212,$K389))</f>
        <v/>
      </c>
      <c r="C389" s="8">
        <f>IF($K389="","",INDEX(Конструктор!$D$2:$D$1212,$K389)&amp;IF(INDEX(Конструктор!$J$2:$J$1212,$K389)&lt;&gt;""," — "&amp;INDEX(Конструктор!$J$2:$J$1212,$K389),""))</f>
        <v/>
      </c>
      <c r="D389">
        <f>IF($K389="","",INDEX(Конструктор!$E$2:$E$1212,$K389))</f>
        <v/>
      </c>
      <c r="E389" s="10">
        <f>IF($K389="","",INDEX(Конструктор!$H$2:$H$1212,$K389))</f>
        <v/>
      </c>
      <c r="F389" s="10">
        <f>IF($K389="","",INDEX(Конструктор!$L$2:$L$1212,$K389))</f>
        <v/>
      </c>
      <c r="G389" s="10">
        <f>IF($K389="","",INDEX(Конструктор!$M$2:$M$1212,$K389))</f>
        <v/>
      </c>
      <c r="H389" s="10">
        <f>IF($K389="","",INDEX(Конструктор!$N$2:$N$1212,$K389))</f>
        <v/>
      </c>
      <c r="I389" s="10">
        <f>IF($K389="","",INDEX(Конструктор!$O$2:$O$1212,$K389))</f>
        <v/>
      </c>
      <c r="J389" s="10">
        <f>IF($K389="","",INDEX(Конструктор!$P$2:$P$1212,$K389))</f>
        <v/>
      </c>
      <c r="K389">
        <f>IFERROR(MATCH(369,Конструктор!$T$2:$T$1212,0),"")</f>
        <v/>
      </c>
      <c r="L389">
        <f>IF($K389="","","показать")</f>
        <v/>
      </c>
    </row>
    <row r="390" hidden="1">
      <c r="A390">
        <f>IF($K390="","",370)</f>
        <v/>
      </c>
      <c r="B390">
        <f>IF($K390="","",INDEX(Конструктор!$C$2:$C$1212,$K390))</f>
        <v/>
      </c>
      <c r="C390" s="8">
        <f>IF($K390="","",INDEX(Конструктор!$D$2:$D$1212,$K390)&amp;IF(INDEX(Конструктор!$J$2:$J$1212,$K390)&lt;&gt;""," — "&amp;INDEX(Конструктор!$J$2:$J$1212,$K390),""))</f>
        <v/>
      </c>
      <c r="D390">
        <f>IF($K390="","",INDEX(Конструктор!$E$2:$E$1212,$K390))</f>
        <v/>
      </c>
      <c r="E390" s="10">
        <f>IF($K390="","",INDEX(Конструктор!$H$2:$H$1212,$K390))</f>
        <v/>
      </c>
      <c r="F390" s="10">
        <f>IF($K390="","",INDEX(Конструктор!$L$2:$L$1212,$K390))</f>
        <v/>
      </c>
      <c r="G390" s="10">
        <f>IF($K390="","",INDEX(Конструктор!$M$2:$M$1212,$K390))</f>
        <v/>
      </c>
      <c r="H390" s="10">
        <f>IF($K390="","",INDEX(Конструктор!$N$2:$N$1212,$K390))</f>
        <v/>
      </c>
      <c r="I390" s="10">
        <f>IF($K390="","",INDEX(Конструктор!$O$2:$O$1212,$K390))</f>
        <v/>
      </c>
      <c r="J390" s="10">
        <f>IF($K390="","",INDEX(Конструктор!$P$2:$P$1212,$K390))</f>
        <v/>
      </c>
      <c r="K390">
        <f>IFERROR(MATCH(370,Конструктор!$T$2:$T$1212,0),"")</f>
        <v/>
      </c>
      <c r="L390">
        <f>IF($K390="","","показать")</f>
        <v/>
      </c>
    </row>
    <row r="391" hidden="1">
      <c r="A391">
        <f>IF($K391="","",371)</f>
        <v/>
      </c>
      <c r="B391">
        <f>IF($K391="","",INDEX(Конструктор!$C$2:$C$1212,$K391))</f>
        <v/>
      </c>
      <c r="C391" s="8">
        <f>IF($K391="","",INDEX(Конструктор!$D$2:$D$1212,$K391)&amp;IF(INDEX(Конструктор!$J$2:$J$1212,$K391)&lt;&gt;""," — "&amp;INDEX(Конструктор!$J$2:$J$1212,$K391),""))</f>
        <v/>
      </c>
      <c r="D391">
        <f>IF($K391="","",INDEX(Конструктор!$E$2:$E$1212,$K391))</f>
        <v/>
      </c>
      <c r="E391" s="10">
        <f>IF($K391="","",INDEX(Конструктор!$H$2:$H$1212,$K391))</f>
        <v/>
      </c>
      <c r="F391" s="10">
        <f>IF($K391="","",INDEX(Конструктор!$L$2:$L$1212,$K391))</f>
        <v/>
      </c>
      <c r="G391" s="10">
        <f>IF($K391="","",INDEX(Конструктор!$M$2:$M$1212,$K391))</f>
        <v/>
      </c>
      <c r="H391" s="10">
        <f>IF($K391="","",INDEX(Конструктор!$N$2:$N$1212,$K391))</f>
        <v/>
      </c>
      <c r="I391" s="10">
        <f>IF($K391="","",INDEX(Конструктор!$O$2:$O$1212,$K391))</f>
        <v/>
      </c>
      <c r="J391" s="10">
        <f>IF($K391="","",INDEX(Конструктор!$P$2:$P$1212,$K391))</f>
        <v/>
      </c>
      <c r="K391">
        <f>IFERROR(MATCH(371,Конструктор!$T$2:$T$1212,0),"")</f>
        <v/>
      </c>
      <c r="L391">
        <f>IF($K391="","","показать")</f>
        <v/>
      </c>
    </row>
    <row r="392" hidden="1">
      <c r="A392">
        <f>IF($K392="","",372)</f>
        <v/>
      </c>
      <c r="B392">
        <f>IF($K392="","",INDEX(Конструктор!$C$2:$C$1212,$K392))</f>
        <v/>
      </c>
      <c r="C392" s="8">
        <f>IF($K392="","",INDEX(Конструктор!$D$2:$D$1212,$K392)&amp;IF(INDEX(Конструктор!$J$2:$J$1212,$K392)&lt;&gt;""," — "&amp;INDEX(Конструктор!$J$2:$J$1212,$K392),""))</f>
        <v/>
      </c>
      <c r="D392">
        <f>IF($K392="","",INDEX(Конструктор!$E$2:$E$1212,$K392))</f>
        <v/>
      </c>
      <c r="E392" s="10">
        <f>IF($K392="","",INDEX(Конструктор!$H$2:$H$1212,$K392))</f>
        <v/>
      </c>
      <c r="F392" s="10">
        <f>IF($K392="","",INDEX(Конструктор!$L$2:$L$1212,$K392))</f>
        <v/>
      </c>
      <c r="G392" s="10">
        <f>IF($K392="","",INDEX(Конструктор!$M$2:$M$1212,$K392))</f>
        <v/>
      </c>
      <c r="H392" s="10">
        <f>IF($K392="","",INDEX(Конструктор!$N$2:$N$1212,$K392))</f>
        <v/>
      </c>
      <c r="I392" s="10">
        <f>IF($K392="","",INDEX(Конструктор!$O$2:$O$1212,$K392))</f>
        <v/>
      </c>
      <c r="J392" s="10">
        <f>IF($K392="","",INDEX(Конструктор!$P$2:$P$1212,$K392))</f>
        <v/>
      </c>
      <c r="K392">
        <f>IFERROR(MATCH(372,Конструктор!$T$2:$T$1212,0),"")</f>
        <v/>
      </c>
      <c r="L392">
        <f>IF($K392="","","показать")</f>
        <v/>
      </c>
    </row>
    <row r="393" hidden="1">
      <c r="A393">
        <f>IF($K393="","",373)</f>
        <v/>
      </c>
      <c r="B393">
        <f>IF($K393="","",INDEX(Конструктор!$C$2:$C$1212,$K393))</f>
        <v/>
      </c>
      <c r="C393" s="8">
        <f>IF($K393="","",INDEX(Конструктор!$D$2:$D$1212,$K393)&amp;IF(INDEX(Конструктор!$J$2:$J$1212,$K393)&lt;&gt;""," — "&amp;INDEX(Конструктор!$J$2:$J$1212,$K393),""))</f>
        <v/>
      </c>
      <c r="D393">
        <f>IF($K393="","",INDEX(Конструктор!$E$2:$E$1212,$K393))</f>
        <v/>
      </c>
      <c r="E393" s="10">
        <f>IF($K393="","",INDEX(Конструктор!$H$2:$H$1212,$K393))</f>
        <v/>
      </c>
      <c r="F393" s="10">
        <f>IF($K393="","",INDEX(Конструктор!$L$2:$L$1212,$K393))</f>
        <v/>
      </c>
      <c r="G393" s="10">
        <f>IF($K393="","",INDEX(Конструктор!$M$2:$M$1212,$K393))</f>
        <v/>
      </c>
      <c r="H393" s="10">
        <f>IF($K393="","",INDEX(Конструктор!$N$2:$N$1212,$K393))</f>
        <v/>
      </c>
      <c r="I393" s="10">
        <f>IF($K393="","",INDEX(Конструктор!$O$2:$O$1212,$K393))</f>
        <v/>
      </c>
      <c r="J393" s="10">
        <f>IF($K393="","",INDEX(Конструктор!$P$2:$P$1212,$K393))</f>
        <v/>
      </c>
      <c r="K393">
        <f>IFERROR(MATCH(373,Конструктор!$T$2:$T$1212,0),"")</f>
        <v/>
      </c>
      <c r="L393">
        <f>IF($K393="","","показать")</f>
        <v/>
      </c>
    </row>
    <row r="394" hidden="1">
      <c r="A394">
        <f>IF($K394="","",374)</f>
        <v/>
      </c>
      <c r="B394">
        <f>IF($K394="","",INDEX(Конструктор!$C$2:$C$1212,$K394))</f>
        <v/>
      </c>
      <c r="C394" s="8">
        <f>IF($K394="","",INDEX(Конструктор!$D$2:$D$1212,$K394)&amp;IF(INDEX(Конструктор!$J$2:$J$1212,$K394)&lt;&gt;""," — "&amp;INDEX(Конструктор!$J$2:$J$1212,$K394),""))</f>
        <v/>
      </c>
      <c r="D394">
        <f>IF($K394="","",INDEX(Конструктор!$E$2:$E$1212,$K394))</f>
        <v/>
      </c>
      <c r="E394" s="10">
        <f>IF($K394="","",INDEX(Конструктор!$H$2:$H$1212,$K394))</f>
        <v/>
      </c>
      <c r="F394" s="10">
        <f>IF($K394="","",INDEX(Конструктор!$L$2:$L$1212,$K394))</f>
        <v/>
      </c>
      <c r="G394" s="10">
        <f>IF($K394="","",INDEX(Конструктор!$M$2:$M$1212,$K394))</f>
        <v/>
      </c>
      <c r="H394" s="10">
        <f>IF($K394="","",INDEX(Конструктор!$N$2:$N$1212,$K394))</f>
        <v/>
      </c>
      <c r="I394" s="10">
        <f>IF($K394="","",INDEX(Конструктор!$O$2:$O$1212,$K394))</f>
        <v/>
      </c>
      <c r="J394" s="10">
        <f>IF($K394="","",INDEX(Конструктор!$P$2:$P$1212,$K394))</f>
        <v/>
      </c>
      <c r="K394">
        <f>IFERROR(MATCH(374,Конструктор!$T$2:$T$1212,0),"")</f>
        <v/>
      </c>
      <c r="L394">
        <f>IF($K394="","","показать")</f>
        <v/>
      </c>
    </row>
    <row r="395" hidden="1">
      <c r="A395">
        <f>IF($K395="","",375)</f>
        <v/>
      </c>
      <c r="B395">
        <f>IF($K395="","",INDEX(Конструктор!$C$2:$C$1212,$K395))</f>
        <v/>
      </c>
      <c r="C395" s="8">
        <f>IF($K395="","",INDEX(Конструктор!$D$2:$D$1212,$K395)&amp;IF(INDEX(Конструктор!$J$2:$J$1212,$K395)&lt;&gt;""," — "&amp;INDEX(Конструктор!$J$2:$J$1212,$K395),""))</f>
        <v/>
      </c>
      <c r="D395">
        <f>IF($K395="","",INDEX(Конструктор!$E$2:$E$1212,$K395))</f>
        <v/>
      </c>
      <c r="E395" s="10">
        <f>IF($K395="","",INDEX(Конструктор!$H$2:$H$1212,$K395))</f>
        <v/>
      </c>
      <c r="F395" s="10">
        <f>IF($K395="","",INDEX(Конструктор!$L$2:$L$1212,$K395))</f>
        <v/>
      </c>
      <c r="G395" s="10">
        <f>IF($K395="","",INDEX(Конструктор!$M$2:$M$1212,$K395))</f>
        <v/>
      </c>
      <c r="H395" s="10">
        <f>IF($K395="","",INDEX(Конструктор!$N$2:$N$1212,$K395))</f>
        <v/>
      </c>
      <c r="I395" s="10">
        <f>IF($K395="","",INDEX(Конструктор!$O$2:$O$1212,$K395))</f>
        <v/>
      </c>
      <c r="J395" s="10">
        <f>IF($K395="","",INDEX(Конструктор!$P$2:$P$1212,$K395))</f>
        <v/>
      </c>
      <c r="K395">
        <f>IFERROR(MATCH(375,Конструктор!$T$2:$T$1212,0),"")</f>
        <v/>
      </c>
      <c r="L395">
        <f>IF($K395="","","показать")</f>
        <v/>
      </c>
    </row>
    <row r="396" hidden="1">
      <c r="A396">
        <f>IF($K396="","",376)</f>
        <v/>
      </c>
      <c r="B396">
        <f>IF($K396="","",INDEX(Конструктор!$C$2:$C$1212,$K396))</f>
        <v/>
      </c>
      <c r="C396" s="8">
        <f>IF($K396="","",INDEX(Конструктор!$D$2:$D$1212,$K396)&amp;IF(INDEX(Конструктор!$J$2:$J$1212,$K396)&lt;&gt;""," — "&amp;INDEX(Конструктор!$J$2:$J$1212,$K396),""))</f>
        <v/>
      </c>
      <c r="D396">
        <f>IF($K396="","",INDEX(Конструктор!$E$2:$E$1212,$K396))</f>
        <v/>
      </c>
      <c r="E396" s="10">
        <f>IF($K396="","",INDEX(Конструктор!$H$2:$H$1212,$K396))</f>
        <v/>
      </c>
      <c r="F396" s="10">
        <f>IF($K396="","",INDEX(Конструктор!$L$2:$L$1212,$K396))</f>
        <v/>
      </c>
      <c r="G396" s="10">
        <f>IF($K396="","",INDEX(Конструктор!$M$2:$M$1212,$K396))</f>
        <v/>
      </c>
      <c r="H396" s="10">
        <f>IF($K396="","",INDEX(Конструктор!$N$2:$N$1212,$K396))</f>
        <v/>
      </c>
      <c r="I396" s="10">
        <f>IF($K396="","",INDEX(Конструктор!$O$2:$O$1212,$K396))</f>
        <v/>
      </c>
      <c r="J396" s="10">
        <f>IF($K396="","",INDEX(Конструктор!$P$2:$P$1212,$K396))</f>
        <v/>
      </c>
      <c r="K396">
        <f>IFERROR(MATCH(376,Конструктор!$T$2:$T$1212,0),"")</f>
        <v/>
      </c>
      <c r="L396">
        <f>IF($K396="","","показать")</f>
        <v/>
      </c>
    </row>
    <row r="397" hidden="1">
      <c r="A397">
        <f>IF($K397="","",377)</f>
        <v/>
      </c>
      <c r="B397">
        <f>IF($K397="","",INDEX(Конструктор!$C$2:$C$1212,$K397))</f>
        <v/>
      </c>
      <c r="C397" s="8">
        <f>IF($K397="","",INDEX(Конструктор!$D$2:$D$1212,$K397)&amp;IF(INDEX(Конструктор!$J$2:$J$1212,$K397)&lt;&gt;""," — "&amp;INDEX(Конструктор!$J$2:$J$1212,$K397),""))</f>
        <v/>
      </c>
      <c r="D397">
        <f>IF($K397="","",INDEX(Конструктор!$E$2:$E$1212,$K397))</f>
        <v/>
      </c>
      <c r="E397" s="10">
        <f>IF($K397="","",INDEX(Конструктор!$H$2:$H$1212,$K397))</f>
        <v/>
      </c>
      <c r="F397" s="10">
        <f>IF($K397="","",INDEX(Конструктор!$L$2:$L$1212,$K397))</f>
        <v/>
      </c>
      <c r="G397" s="10">
        <f>IF($K397="","",INDEX(Конструктор!$M$2:$M$1212,$K397))</f>
        <v/>
      </c>
      <c r="H397" s="10">
        <f>IF($K397="","",INDEX(Конструктор!$N$2:$N$1212,$K397))</f>
        <v/>
      </c>
      <c r="I397" s="10">
        <f>IF($K397="","",INDEX(Конструктор!$O$2:$O$1212,$K397))</f>
        <v/>
      </c>
      <c r="J397" s="10">
        <f>IF($K397="","",INDEX(Конструктор!$P$2:$P$1212,$K397))</f>
        <v/>
      </c>
      <c r="K397">
        <f>IFERROR(MATCH(377,Конструктор!$T$2:$T$1212,0),"")</f>
        <v/>
      </c>
      <c r="L397">
        <f>IF($K397="","","показать")</f>
        <v/>
      </c>
    </row>
    <row r="398" hidden="1">
      <c r="A398">
        <f>IF($K398="","",378)</f>
        <v/>
      </c>
      <c r="B398">
        <f>IF($K398="","",INDEX(Конструктор!$C$2:$C$1212,$K398))</f>
        <v/>
      </c>
      <c r="C398" s="8">
        <f>IF($K398="","",INDEX(Конструктор!$D$2:$D$1212,$K398)&amp;IF(INDEX(Конструктор!$J$2:$J$1212,$K398)&lt;&gt;""," — "&amp;INDEX(Конструктор!$J$2:$J$1212,$K398),""))</f>
        <v/>
      </c>
      <c r="D398">
        <f>IF($K398="","",INDEX(Конструктор!$E$2:$E$1212,$K398))</f>
        <v/>
      </c>
      <c r="E398" s="10">
        <f>IF($K398="","",INDEX(Конструктор!$H$2:$H$1212,$K398))</f>
        <v/>
      </c>
      <c r="F398" s="10">
        <f>IF($K398="","",INDEX(Конструктор!$L$2:$L$1212,$K398))</f>
        <v/>
      </c>
      <c r="G398" s="10">
        <f>IF($K398="","",INDEX(Конструктор!$M$2:$M$1212,$K398))</f>
        <v/>
      </c>
      <c r="H398" s="10">
        <f>IF($K398="","",INDEX(Конструктор!$N$2:$N$1212,$K398))</f>
        <v/>
      </c>
      <c r="I398" s="10">
        <f>IF($K398="","",INDEX(Конструктор!$O$2:$O$1212,$K398))</f>
        <v/>
      </c>
      <c r="J398" s="10">
        <f>IF($K398="","",INDEX(Конструктор!$P$2:$P$1212,$K398))</f>
        <v/>
      </c>
      <c r="K398">
        <f>IFERROR(MATCH(378,Конструктор!$T$2:$T$1212,0),"")</f>
        <v/>
      </c>
      <c r="L398">
        <f>IF($K398="","","показать")</f>
        <v/>
      </c>
    </row>
    <row r="399" hidden="1">
      <c r="A399">
        <f>IF($K399="","",379)</f>
        <v/>
      </c>
      <c r="B399">
        <f>IF($K399="","",INDEX(Конструктор!$C$2:$C$1212,$K399))</f>
        <v/>
      </c>
      <c r="C399" s="8">
        <f>IF($K399="","",INDEX(Конструктор!$D$2:$D$1212,$K399)&amp;IF(INDEX(Конструктор!$J$2:$J$1212,$K399)&lt;&gt;""," — "&amp;INDEX(Конструктор!$J$2:$J$1212,$K399),""))</f>
        <v/>
      </c>
      <c r="D399">
        <f>IF($K399="","",INDEX(Конструктор!$E$2:$E$1212,$K399))</f>
        <v/>
      </c>
      <c r="E399" s="10">
        <f>IF($K399="","",INDEX(Конструктор!$H$2:$H$1212,$K399))</f>
        <v/>
      </c>
      <c r="F399" s="10">
        <f>IF($K399="","",INDEX(Конструктор!$L$2:$L$1212,$K399))</f>
        <v/>
      </c>
      <c r="G399" s="10">
        <f>IF($K399="","",INDEX(Конструктор!$M$2:$M$1212,$K399))</f>
        <v/>
      </c>
      <c r="H399" s="10">
        <f>IF($K399="","",INDEX(Конструктор!$N$2:$N$1212,$K399))</f>
        <v/>
      </c>
      <c r="I399" s="10">
        <f>IF($K399="","",INDEX(Конструктор!$O$2:$O$1212,$K399))</f>
        <v/>
      </c>
      <c r="J399" s="10">
        <f>IF($K399="","",INDEX(Конструктор!$P$2:$P$1212,$K399))</f>
        <v/>
      </c>
      <c r="K399">
        <f>IFERROR(MATCH(379,Конструктор!$T$2:$T$1212,0),"")</f>
        <v/>
      </c>
      <c r="L399">
        <f>IF($K399="","","показать")</f>
        <v/>
      </c>
    </row>
    <row r="400" hidden="1">
      <c r="A400">
        <f>IF($K400="","",380)</f>
        <v/>
      </c>
      <c r="B400">
        <f>IF($K400="","",INDEX(Конструктор!$C$2:$C$1212,$K400))</f>
        <v/>
      </c>
      <c r="C400" s="8">
        <f>IF($K400="","",INDEX(Конструктор!$D$2:$D$1212,$K400)&amp;IF(INDEX(Конструктор!$J$2:$J$1212,$K400)&lt;&gt;""," — "&amp;INDEX(Конструктор!$J$2:$J$1212,$K400),""))</f>
        <v/>
      </c>
      <c r="D400">
        <f>IF($K400="","",INDEX(Конструктор!$E$2:$E$1212,$K400))</f>
        <v/>
      </c>
      <c r="E400" s="10">
        <f>IF($K400="","",INDEX(Конструктор!$H$2:$H$1212,$K400))</f>
        <v/>
      </c>
      <c r="F400" s="10">
        <f>IF($K400="","",INDEX(Конструктор!$L$2:$L$1212,$K400))</f>
        <v/>
      </c>
      <c r="G400" s="10">
        <f>IF($K400="","",INDEX(Конструктор!$M$2:$M$1212,$K400))</f>
        <v/>
      </c>
      <c r="H400" s="10">
        <f>IF($K400="","",INDEX(Конструктор!$N$2:$N$1212,$K400))</f>
        <v/>
      </c>
      <c r="I400" s="10">
        <f>IF($K400="","",INDEX(Конструктор!$O$2:$O$1212,$K400))</f>
        <v/>
      </c>
      <c r="J400" s="10">
        <f>IF($K400="","",INDEX(Конструктор!$P$2:$P$1212,$K400))</f>
        <v/>
      </c>
      <c r="K400">
        <f>IFERROR(MATCH(380,Конструктор!$T$2:$T$1212,0),"")</f>
        <v/>
      </c>
      <c r="L400">
        <f>IF($K400="","","показать")</f>
        <v/>
      </c>
    </row>
    <row r="401" hidden="1">
      <c r="A401">
        <f>IF($K401="","",381)</f>
        <v/>
      </c>
      <c r="B401">
        <f>IF($K401="","",INDEX(Конструктор!$C$2:$C$1212,$K401))</f>
        <v/>
      </c>
      <c r="C401" s="8">
        <f>IF($K401="","",INDEX(Конструктор!$D$2:$D$1212,$K401)&amp;IF(INDEX(Конструктор!$J$2:$J$1212,$K401)&lt;&gt;""," — "&amp;INDEX(Конструктор!$J$2:$J$1212,$K401),""))</f>
        <v/>
      </c>
      <c r="D401">
        <f>IF($K401="","",INDEX(Конструктор!$E$2:$E$1212,$K401))</f>
        <v/>
      </c>
      <c r="E401" s="10">
        <f>IF($K401="","",INDEX(Конструктор!$H$2:$H$1212,$K401))</f>
        <v/>
      </c>
      <c r="F401" s="10">
        <f>IF($K401="","",INDEX(Конструктор!$L$2:$L$1212,$K401))</f>
        <v/>
      </c>
      <c r="G401" s="10">
        <f>IF($K401="","",INDEX(Конструктор!$M$2:$M$1212,$K401))</f>
        <v/>
      </c>
      <c r="H401" s="10">
        <f>IF($K401="","",INDEX(Конструктор!$N$2:$N$1212,$K401))</f>
        <v/>
      </c>
      <c r="I401" s="10">
        <f>IF($K401="","",INDEX(Конструктор!$O$2:$O$1212,$K401))</f>
        <v/>
      </c>
      <c r="J401" s="10">
        <f>IF($K401="","",INDEX(Конструктор!$P$2:$P$1212,$K401))</f>
        <v/>
      </c>
      <c r="K401">
        <f>IFERROR(MATCH(381,Конструктор!$T$2:$T$1212,0),"")</f>
        <v/>
      </c>
      <c r="L401">
        <f>IF($K401="","","показать")</f>
        <v/>
      </c>
    </row>
    <row r="402" hidden="1">
      <c r="A402">
        <f>IF($K402="","",382)</f>
        <v/>
      </c>
      <c r="B402">
        <f>IF($K402="","",INDEX(Конструктор!$C$2:$C$1212,$K402))</f>
        <v/>
      </c>
      <c r="C402" s="8">
        <f>IF($K402="","",INDEX(Конструктор!$D$2:$D$1212,$K402)&amp;IF(INDEX(Конструктор!$J$2:$J$1212,$K402)&lt;&gt;""," — "&amp;INDEX(Конструктор!$J$2:$J$1212,$K402),""))</f>
        <v/>
      </c>
      <c r="D402">
        <f>IF($K402="","",INDEX(Конструктор!$E$2:$E$1212,$K402))</f>
        <v/>
      </c>
      <c r="E402" s="10">
        <f>IF($K402="","",INDEX(Конструктор!$H$2:$H$1212,$K402))</f>
        <v/>
      </c>
      <c r="F402" s="10">
        <f>IF($K402="","",INDEX(Конструктор!$L$2:$L$1212,$K402))</f>
        <v/>
      </c>
      <c r="G402" s="10">
        <f>IF($K402="","",INDEX(Конструктор!$M$2:$M$1212,$K402))</f>
        <v/>
      </c>
      <c r="H402" s="10">
        <f>IF($K402="","",INDEX(Конструктор!$N$2:$N$1212,$K402))</f>
        <v/>
      </c>
      <c r="I402" s="10">
        <f>IF($K402="","",INDEX(Конструктор!$O$2:$O$1212,$K402))</f>
        <v/>
      </c>
      <c r="J402" s="10">
        <f>IF($K402="","",INDEX(Конструктор!$P$2:$P$1212,$K402))</f>
        <v/>
      </c>
      <c r="K402">
        <f>IFERROR(MATCH(382,Конструктор!$T$2:$T$1212,0),"")</f>
        <v/>
      </c>
      <c r="L402">
        <f>IF($K402="","","показать")</f>
        <v/>
      </c>
    </row>
    <row r="403" hidden="1">
      <c r="A403">
        <f>IF($K403="","",383)</f>
        <v/>
      </c>
      <c r="B403">
        <f>IF($K403="","",INDEX(Конструктор!$C$2:$C$1212,$K403))</f>
        <v/>
      </c>
      <c r="C403" s="8">
        <f>IF($K403="","",INDEX(Конструктор!$D$2:$D$1212,$K403)&amp;IF(INDEX(Конструктор!$J$2:$J$1212,$K403)&lt;&gt;""," — "&amp;INDEX(Конструктор!$J$2:$J$1212,$K403),""))</f>
        <v/>
      </c>
      <c r="D403">
        <f>IF($K403="","",INDEX(Конструктор!$E$2:$E$1212,$K403))</f>
        <v/>
      </c>
      <c r="E403" s="10">
        <f>IF($K403="","",INDEX(Конструктор!$H$2:$H$1212,$K403))</f>
        <v/>
      </c>
      <c r="F403" s="10">
        <f>IF($K403="","",INDEX(Конструктор!$L$2:$L$1212,$K403))</f>
        <v/>
      </c>
      <c r="G403" s="10">
        <f>IF($K403="","",INDEX(Конструктор!$M$2:$M$1212,$K403))</f>
        <v/>
      </c>
      <c r="H403" s="10">
        <f>IF($K403="","",INDEX(Конструктор!$N$2:$N$1212,$K403))</f>
        <v/>
      </c>
      <c r="I403" s="10">
        <f>IF($K403="","",INDEX(Конструктор!$O$2:$O$1212,$K403))</f>
        <v/>
      </c>
      <c r="J403" s="10">
        <f>IF($K403="","",INDEX(Конструктор!$P$2:$P$1212,$K403))</f>
        <v/>
      </c>
      <c r="K403">
        <f>IFERROR(MATCH(383,Конструктор!$T$2:$T$1212,0),"")</f>
        <v/>
      </c>
      <c r="L403">
        <f>IF($K403="","","показать")</f>
        <v/>
      </c>
    </row>
    <row r="404" hidden="1">
      <c r="A404">
        <f>IF($K404="","",384)</f>
        <v/>
      </c>
      <c r="B404">
        <f>IF($K404="","",INDEX(Конструктор!$C$2:$C$1212,$K404))</f>
        <v/>
      </c>
      <c r="C404" s="8">
        <f>IF($K404="","",INDEX(Конструктор!$D$2:$D$1212,$K404)&amp;IF(INDEX(Конструктор!$J$2:$J$1212,$K404)&lt;&gt;""," — "&amp;INDEX(Конструктор!$J$2:$J$1212,$K404),""))</f>
        <v/>
      </c>
      <c r="D404">
        <f>IF($K404="","",INDEX(Конструктор!$E$2:$E$1212,$K404))</f>
        <v/>
      </c>
      <c r="E404" s="10">
        <f>IF($K404="","",INDEX(Конструктор!$H$2:$H$1212,$K404))</f>
        <v/>
      </c>
      <c r="F404" s="10">
        <f>IF($K404="","",INDEX(Конструктор!$L$2:$L$1212,$K404))</f>
        <v/>
      </c>
      <c r="G404" s="10">
        <f>IF($K404="","",INDEX(Конструктор!$M$2:$M$1212,$K404))</f>
        <v/>
      </c>
      <c r="H404" s="10">
        <f>IF($K404="","",INDEX(Конструктор!$N$2:$N$1212,$K404))</f>
        <v/>
      </c>
      <c r="I404" s="10">
        <f>IF($K404="","",INDEX(Конструктор!$O$2:$O$1212,$K404))</f>
        <v/>
      </c>
      <c r="J404" s="10">
        <f>IF($K404="","",INDEX(Конструктор!$P$2:$P$1212,$K404))</f>
        <v/>
      </c>
      <c r="K404">
        <f>IFERROR(MATCH(384,Конструктор!$T$2:$T$1212,0),"")</f>
        <v/>
      </c>
      <c r="L404">
        <f>IF($K404="","","показать")</f>
        <v/>
      </c>
    </row>
    <row r="405" hidden="1">
      <c r="A405">
        <f>IF($K405="","",385)</f>
        <v/>
      </c>
      <c r="B405">
        <f>IF($K405="","",INDEX(Конструктор!$C$2:$C$1212,$K405))</f>
        <v/>
      </c>
      <c r="C405" s="8">
        <f>IF($K405="","",INDEX(Конструктор!$D$2:$D$1212,$K405)&amp;IF(INDEX(Конструктор!$J$2:$J$1212,$K405)&lt;&gt;""," — "&amp;INDEX(Конструктор!$J$2:$J$1212,$K405),""))</f>
        <v/>
      </c>
      <c r="D405">
        <f>IF($K405="","",INDEX(Конструктор!$E$2:$E$1212,$K405))</f>
        <v/>
      </c>
      <c r="E405" s="10">
        <f>IF($K405="","",INDEX(Конструктор!$H$2:$H$1212,$K405))</f>
        <v/>
      </c>
      <c r="F405" s="10">
        <f>IF($K405="","",INDEX(Конструктор!$L$2:$L$1212,$K405))</f>
        <v/>
      </c>
      <c r="G405" s="10">
        <f>IF($K405="","",INDEX(Конструктор!$M$2:$M$1212,$K405))</f>
        <v/>
      </c>
      <c r="H405" s="10">
        <f>IF($K405="","",INDEX(Конструктор!$N$2:$N$1212,$K405))</f>
        <v/>
      </c>
      <c r="I405" s="10">
        <f>IF($K405="","",INDEX(Конструктор!$O$2:$O$1212,$K405))</f>
        <v/>
      </c>
      <c r="J405" s="10">
        <f>IF($K405="","",INDEX(Конструктор!$P$2:$P$1212,$K405))</f>
        <v/>
      </c>
      <c r="K405">
        <f>IFERROR(MATCH(385,Конструктор!$T$2:$T$1212,0),"")</f>
        <v/>
      </c>
      <c r="L405">
        <f>IF($K405="","","показать")</f>
        <v/>
      </c>
    </row>
    <row r="406" hidden="1">
      <c r="A406">
        <f>IF($K406="","",386)</f>
        <v/>
      </c>
      <c r="B406">
        <f>IF($K406="","",INDEX(Конструктор!$C$2:$C$1212,$K406))</f>
        <v/>
      </c>
      <c r="C406" s="8">
        <f>IF($K406="","",INDEX(Конструктор!$D$2:$D$1212,$K406)&amp;IF(INDEX(Конструктор!$J$2:$J$1212,$K406)&lt;&gt;""," — "&amp;INDEX(Конструктор!$J$2:$J$1212,$K406),""))</f>
        <v/>
      </c>
      <c r="D406">
        <f>IF($K406="","",INDEX(Конструктор!$E$2:$E$1212,$K406))</f>
        <v/>
      </c>
      <c r="E406" s="10">
        <f>IF($K406="","",INDEX(Конструктор!$H$2:$H$1212,$K406))</f>
        <v/>
      </c>
      <c r="F406" s="10">
        <f>IF($K406="","",INDEX(Конструктор!$L$2:$L$1212,$K406))</f>
        <v/>
      </c>
      <c r="G406" s="10">
        <f>IF($K406="","",INDEX(Конструктор!$M$2:$M$1212,$K406))</f>
        <v/>
      </c>
      <c r="H406" s="10">
        <f>IF($K406="","",INDEX(Конструктор!$N$2:$N$1212,$K406))</f>
        <v/>
      </c>
      <c r="I406" s="10">
        <f>IF($K406="","",INDEX(Конструктор!$O$2:$O$1212,$K406))</f>
        <v/>
      </c>
      <c r="J406" s="10">
        <f>IF($K406="","",INDEX(Конструктор!$P$2:$P$1212,$K406))</f>
        <v/>
      </c>
      <c r="K406">
        <f>IFERROR(MATCH(386,Конструктор!$T$2:$T$1212,0),"")</f>
        <v/>
      </c>
      <c r="L406">
        <f>IF($K406="","","показать")</f>
        <v/>
      </c>
    </row>
    <row r="407" hidden="1">
      <c r="A407">
        <f>IF($K407="","",387)</f>
        <v/>
      </c>
      <c r="B407">
        <f>IF($K407="","",INDEX(Конструктор!$C$2:$C$1212,$K407))</f>
        <v/>
      </c>
      <c r="C407" s="8">
        <f>IF($K407="","",INDEX(Конструктор!$D$2:$D$1212,$K407)&amp;IF(INDEX(Конструктор!$J$2:$J$1212,$K407)&lt;&gt;""," — "&amp;INDEX(Конструктор!$J$2:$J$1212,$K407),""))</f>
        <v/>
      </c>
      <c r="D407">
        <f>IF($K407="","",INDEX(Конструктор!$E$2:$E$1212,$K407))</f>
        <v/>
      </c>
      <c r="E407" s="10">
        <f>IF($K407="","",INDEX(Конструктор!$H$2:$H$1212,$K407))</f>
        <v/>
      </c>
      <c r="F407" s="10">
        <f>IF($K407="","",INDEX(Конструктор!$L$2:$L$1212,$K407))</f>
        <v/>
      </c>
      <c r="G407" s="10">
        <f>IF($K407="","",INDEX(Конструктор!$M$2:$M$1212,$K407))</f>
        <v/>
      </c>
      <c r="H407" s="10">
        <f>IF($K407="","",INDEX(Конструктор!$N$2:$N$1212,$K407))</f>
        <v/>
      </c>
      <c r="I407" s="10">
        <f>IF($K407="","",INDEX(Конструктор!$O$2:$O$1212,$K407))</f>
        <v/>
      </c>
      <c r="J407" s="10">
        <f>IF($K407="","",INDEX(Конструктор!$P$2:$P$1212,$K407))</f>
        <v/>
      </c>
      <c r="K407">
        <f>IFERROR(MATCH(387,Конструктор!$T$2:$T$1212,0),"")</f>
        <v/>
      </c>
      <c r="L407">
        <f>IF($K407="","","показать")</f>
        <v/>
      </c>
    </row>
    <row r="408" hidden="1">
      <c r="A408">
        <f>IF($K408="","",388)</f>
        <v/>
      </c>
      <c r="B408">
        <f>IF($K408="","",INDEX(Конструктор!$C$2:$C$1212,$K408))</f>
        <v/>
      </c>
      <c r="C408" s="8">
        <f>IF($K408="","",INDEX(Конструктор!$D$2:$D$1212,$K408)&amp;IF(INDEX(Конструктор!$J$2:$J$1212,$K408)&lt;&gt;""," — "&amp;INDEX(Конструктор!$J$2:$J$1212,$K408),""))</f>
        <v/>
      </c>
      <c r="D408">
        <f>IF($K408="","",INDEX(Конструктор!$E$2:$E$1212,$K408))</f>
        <v/>
      </c>
      <c r="E408" s="10">
        <f>IF($K408="","",INDEX(Конструктор!$H$2:$H$1212,$K408))</f>
        <v/>
      </c>
      <c r="F408" s="10">
        <f>IF($K408="","",INDEX(Конструктор!$L$2:$L$1212,$K408))</f>
        <v/>
      </c>
      <c r="G408" s="10">
        <f>IF($K408="","",INDEX(Конструктор!$M$2:$M$1212,$K408))</f>
        <v/>
      </c>
      <c r="H408" s="10">
        <f>IF($K408="","",INDEX(Конструктор!$N$2:$N$1212,$K408))</f>
        <v/>
      </c>
      <c r="I408" s="10">
        <f>IF($K408="","",INDEX(Конструктор!$O$2:$O$1212,$K408))</f>
        <v/>
      </c>
      <c r="J408" s="10">
        <f>IF($K408="","",INDEX(Конструктор!$P$2:$P$1212,$K408))</f>
        <v/>
      </c>
      <c r="K408">
        <f>IFERROR(MATCH(388,Конструктор!$T$2:$T$1212,0),"")</f>
        <v/>
      </c>
      <c r="L408">
        <f>IF($K408="","","показать")</f>
        <v/>
      </c>
    </row>
    <row r="409" hidden="1">
      <c r="A409">
        <f>IF($K409="","",389)</f>
        <v/>
      </c>
      <c r="B409">
        <f>IF($K409="","",INDEX(Конструктор!$C$2:$C$1212,$K409))</f>
        <v/>
      </c>
      <c r="C409" s="8">
        <f>IF($K409="","",INDEX(Конструктор!$D$2:$D$1212,$K409)&amp;IF(INDEX(Конструктор!$J$2:$J$1212,$K409)&lt;&gt;""," — "&amp;INDEX(Конструктор!$J$2:$J$1212,$K409),""))</f>
        <v/>
      </c>
      <c r="D409">
        <f>IF($K409="","",INDEX(Конструктор!$E$2:$E$1212,$K409))</f>
        <v/>
      </c>
      <c r="E409" s="10">
        <f>IF($K409="","",INDEX(Конструктор!$H$2:$H$1212,$K409))</f>
        <v/>
      </c>
      <c r="F409" s="10">
        <f>IF($K409="","",INDEX(Конструктор!$L$2:$L$1212,$K409))</f>
        <v/>
      </c>
      <c r="G409" s="10">
        <f>IF($K409="","",INDEX(Конструктор!$M$2:$M$1212,$K409))</f>
        <v/>
      </c>
      <c r="H409" s="10">
        <f>IF($K409="","",INDEX(Конструктор!$N$2:$N$1212,$K409))</f>
        <v/>
      </c>
      <c r="I409" s="10">
        <f>IF($K409="","",INDEX(Конструктор!$O$2:$O$1212,$K409))</f>
        <v/>
      </c>
      <c r="J409" s="10">
        <f>IF($K409="","",INDEX(Конструктор!$P$2:$P$1212,$K409))</f>
        <v/>
      </c>
      <c r="K409">
        <f>IFERROR(MATCH(389,Конструктор!$T$2:$T$1212,0),"")</f>
        <v/>
      </c>
      <c r="L409">
        <f>IF($K409="","","показать")</f>
        <v/>
      </c>
    </row>
    <row r="410" hidden="1">
      <c r="A410">
        <f>IF($K410="","",390)</f>
        <v/>
      </c>
      <c r="B410">
        <f>IF($K410="","",INDEX(Конструктор!$C$2:$C$1212,$K410))</f>
        <v/>
      </c>
      <c r="C410" s="8">
        <f>IF($K410="","",INDEX(Конструктор!$D$2:$D$1212,$K410)&amp;IF(INDEX(Конструктор!$J$2:$J$1212,$K410)&lt;&gt;""," — "&amp;INDEX(Конструктор!$J$2:$J$1212,$K410),""))</f>
        <v/>
      </c>
      <c r="D410">
        <f>IF($K410="","",INDEX(Конструктор!$E$2:$E$1212,$K410))</f>
        <v/>
      </c>
      <c r="E410" s="10">
        <f>IF($K410="","",INDEX(Конструктор!$H$2:$H$1212,$K410))</f>
        <v/>
      </c>
      <c r="F410" s="10">
        <f>IF($K410="","",INDEX(Конструктор!$L$2:$L$1212,$K410))</f>
        <v/>
      </c>
      <c r="G410" s="10">
        <f>IF($K410="","",INDEX(Конструктор!$M$2:$M$1212,$K410))</f>
        <v/>
      </c>
      <c r="H410" s="10">
        <f>IF($K410="","",INDEX(Конструктор!$N$2:$N$1212,$K410))</f>
        <v/>
      </c>
      <c r="I410" s="10">
        <f>IF($K410="","",INDEX(Конструктор!$O$2:$O$1212,$K410))</f>
        <v/>
      </c>
      <c r="J410" s="10">
        <f>IF($K410="","",INDEX(Конструктор!$P$2:$P$1212,$K410))</f>
        <v/>
      </c>
      <c r="K410">
        <f>IFERROR(MATCH(390,Конструктор!$T$2:$T$1212,0),"")</f>
        <v/>
      </c>
      <c r="L410">
        <f>IF($K410="","","показать")</f>
        <v/>
      </c>
    </row>
    <row r="411" hidden="1">
      <c r="A411">
        <f>IF($K411="","",391)</f>
        <v/>
      </c>
      <c r="B411">
        <f>IF($K411="","",INDEX(Конструктор!$C$2:$C$1212,$K411))</f>
        <v/>
      </c>
      <c r="C411" s="8">
        <f>IF($K411="","",INDEX(Конструктор!$D$2:$D$1212,$K411)&amp;IF(INDEX(Конструктор!$J$2:$J$1212,$K411)&lt;&gt;""," — "&amp;INDEX(Конструктор!$J$2:$J$1212,$K411),""))</f>
        <v/>
      </c>
      <c r="D411">
        <f>IF($K411="","",INDEX(Конструктор!$E$2:$E$1212,$K411))</f>
        <v/>
      </c>
      <c r="E411" s="10">
        <f>IF($K411="","",INDEX(Конструктор!$H$2:$H$1212,$K411))</f>
        <v/>
      </c>
      <c r="F411" s="10">
        <f>IF($K411="","",INDEX(Конструктор!$L$2:$L$1212,$K411))</f>
        <v/>
      </c>
      <c r="G411" s="10">
        <f>IF($K411="","",INDEX(Конструктор!$M$2:$M$1212,$K411))</f>
        <v/>
      </c>
      <c r="H411" s="10">
        <f>IF($K411="","",INDEX(Конструктор!$N$2:$N$1212,$K411))</f>
        <v/>
      </c>
      <c r="I411" s="10">
        <f>IF($K411="","",INDEX(Конструктор!$O$2:$O$1212,$K411))</f>
        <v/>
      </c>
      <c r="J411" s="10">
        <f>IF($K411="","",INDEX(Конструктор!$P$2:$P$1212,$K411))</f>
        <v/>
      </c>
      <c r="K411">
        <f>IFERROR(MATCH(391,Конструктор!$T$2:$T$1212,0),"")</f>
        <v/>
      </c>
      <c r="L411">
        <f>IF($K411="","","показать")</f>
        <v/>
      </c>
    </row>
    <row r="412" hidden="1">
      <c r="A412">
        <f>IF($K412="","",392)</f>
        <v/>
      </c>
      <c r="B412">
        <f>IF($K412="","",INDEX(Конструктор!$C$2:$C$1212,$K412))</f>
        <v/>
      </c>
      <c r="C412" s="8">
        <f>IF($K412="","",INDEX(Конструктор!$D$2:$D$1212,$K412)&amp;IF(INDEX(Конструктор!$J$2:$J$1212,$K412)&lt;&gt;""," — "&amp;INDEX(Конструктор!$J$2:$J$1212,$K412),""))</f>
        <v/>
      </c>
      <c r="D412">
        <f>IF($K412="","",INDEX(Конструктор!$E$2:$E$1212,$K412))</f>
        <v/>
      </c>
      <c r="E412" s="10">
        <f>IF($K412="","",INDEX(Конструктор!$H$2:$H$1212,$K412))</f>
        <v/>
      </c>
      <c r="F412" s="10">
        <f>IF($K412="","",INDEX(Конструктор!$L$2:$L$1212,$K412))</f>
        <v/>
      </c>
      <c r="G412" s="10">
        <f>IF($K412="","",INDEX(Конструктор!$M$2:$M$1212,$K412))</f>
        <v/>
      </c>
      <c r="H412" s="10">
        <f>IF($K412="","",INDEX(Конструктор!$N$2:$N$1212,$K412))</f>
        <v/>
      </c>
      <c r="I412" s="10">
        <f>IF($K412="","",INDEX(Конструктор!$O$2:$O$1212,$K412))</f>
        <v/>
      </c>
      <c r="J412" s="10">
        <f>IF($K412="","",INDEX(Конструктор!$P$2:$P$1212,$K412))</f>
        <v/>
      </c>
      <c r="K412">
        <f>IFERROR(MATCH(392,Конструктор!$T$2:$T$1212,0),"")</f>
        <v/>
      </c>
      <c r="L412">
        <f>IF($K412="","","показать")</f>
        <v/>
      </c>
    </row>
    <row r="413" hidden="1">
      <c r="A413">
        <f>IF($K413="","",393)</f>
        <v/>
      </c>
      <c r="B413">
        <f>IF($K413="","",INDEX(Конструктор!$C$2:$C$1212,$K413))</f>
        <v/>
      </c>
      <c r="C413" s="8">
        <f>IF($K413="","",INDEX(Конструктор!$D$2:$D$1212,$K413)&amp;IF(INDEX(Конструктор!$J$2:$J$1212,$K413)&lt;&gt;""," — "&amp;INDEX(Конструктор!$J$2:$J$1212,$K413),""))</f>
        <v/>
      </c>
      <c r="D413">
        <f>IF($K413="","",INDEX(Конструктор!$E$2:$E$1212,$K413))</f>
        <v/>
      </c>
      <c r="E413" s="10">
        <f>IF($K413="","",INDEX(Конструктор!$H$2:$H$1212,$K413))</f>
        <v/>
      </c>
      <c r="F413" s="10">
        <f>IF($K413="","",INDEX(Конструктор!$L$2:$L$1212,$K413))</f>
        <v/>
      </c>
      <c r="G413" s="10">
        <f>IF($K413="","",INDEX(Конструктор!$M$2:$M$1212,$K413))</f>
        <v/>
      </c>
      <c r="H413" s="10">
        <f>IF($K413="","",INDEX(Конструктор!$N$2:$N$1212,$K413))</f>
        <v/>
      </c>
      <c r="I413" s="10">
        <f>IF($K413="","",INDEX(Конструктор!$O$2:$O$1212,$K413))</f>
        <v/>
      </c>
      <c r="J413" s="10">
        <f>IF($K413="","",INDEX(Конструктор!$P$2:$P$1212,$K413))</f>
        <v/>
      </c>
      <c r="K413">
        <f>IFERROR(MATCH(393,Конструктор!$T$2:$T$1212,0),"")</f>
        <v/>
      </c>
      <c r="L413">
        <f>IF($K413="","","показать")</f>
        <v/>
      </c>
    </row>
    <row r="414" hidden="1">
      <c r="A414">
        <f>IF($K414="","",394)</f>
        <v/>
      </c>
      <c r="B414">
        <f>IF($K414="","",INDEX(Конструктор!$C$2:$C$1212,$K414))</f>
        <v/>
      </c>
      <c r="C414" s="8">
        <f>IF($K414="","",INDEX(Конструктор!$D$2:$D$1212,$K414)&amp;IF(INDEX(Конструктор!$J$2:$J$1212,$K414)&lt;&gt;""," — "&amp;INDEX(Конструктор!$J$2:$J$1212,$K414),""))</f>
        <v/>
      </c>
      <c r="D414">
        <f>IF($K414="","",INDEX(Конструктор!$E$2:$E$1212,$K414))</f>
        <v/>
      </c>
      <c r="E414" s="10">
        <f>IF($K414="","",INDEX(Конструктор!$H$2:$H$1212,$K414))</f>
        <v/>
      </c>
      <c r="F414" s="10">
        <f>IF($K414="","",INDEX(Конструктор!$L$2:$L$1212,$K414))</f>
        <v/>
      </c>
      <c r="G414" s="10">
        <f>IF($K414="","",INDEX(Конструктор!$M$2:$M$1212,$K414))</f>
        <v/>
      </c>
      <c r="H414" s="10">
        <f>IF($K414="","",INDEX(Конструктор!$N$2:$N$1212,$K414))</f>
        <v/>
      </c>
      <c r="I414" s="10">
        <f>IF($K414="","",INDEX(Конструктор!$O$2:$O$1212,$K414))</f>
        <v/>
      </c>
      <c r="J414" s="10">
        <f>IF($K414="","",INDEX(Конструктор!$P$2:$P$1212,$K414))</f>
        <v/>
      </c>
      <c r="K414">
        <f>IFERROR(MATCH(394,Конструктор!$T$2:$T$1212,0),"")</f>
        <v/>
      </c>
      <c r="L414">
        <f>IF($K414="","","показать")</f>
        <v/>
      </c>
    </row>
    <row r="415" hidden="1">
      <c r="A415">
        <f>IF($K415="","",395)</f>
        <v/>
      </c>
      <c r="B415">
        <f>IF($K415="","",INDEX(Конструктор!$C$2:$C$1212,$K415))</f>
        <v/>
      </c>
      <c r="C415" s="8">
        <f>IF($K415="","",INDEX(Конструктор!$D$2:$D$1212,$K415)&amp;IF(INDEX(Конструктор!$J$2:$J$1212,$K415)&lt;&gt;""," — "&amp;INDEX(Конструктор!$J$2:$J$1212,$K415),""))</f>
        <v/>
      </c>
      <c r="D415">
        <f>IF($K415="","",INDEX(Конструктор!$E$2:$E$1212,$K415))</f>
        <v/>
      </c>
      <c r="E415" s="10">
        <f>IF($K415="","",INDEX(Конструктор!$H$2:$H$1212,$K415))</f>
        <v/>
      </c>
      <c r="F415" s="10">
        <f>IF($K415="","",INDEX(Конструктор!$L$2:$L$1212,$K415))</f>
        <v/>
      </c>
      <c r="G415" s="10">
        <f>IF($K415="","",INDEX(Конструктор!$M$2:$M$1212,$K415))</f>
        <v/>
      </c>
      <c r="H415" s="10">
        <f>IF($K415="","",INDEX(Конструктор!$N$2:$N$1212,$K415))</f>
        <v/>
      </c>
      <c r="I415" s="10">
        <f>IF($K415="","",INDEX(Конструктор!$O$2:$O$1212,$K415))</f>
        <v/>
      </c>
      <c r="J415" s="10">
        <f>IF($K415="","",INDEX(Конструктор!$P$2:$P$1212,$K415))</f>
        <v/>
      </c>
      <c r="K415">
        <f>IFERROR(MATCH(395,Конструктор!$T$2:$T$1212,0),"")</f>
        <v/>
      </c>
      <c r="L415">
        <f>IF($K415="","","показать")</f>
        <v/>
      </c>
    </row>
    <row r="416" hidden="1">
      <c r="A416">
        <f>IF($K416="","",396)</f>
        <v/>
      </c>
      <c r="B416">
        <f>IF($K416="","",INDEX(Конструктор!$C$2:$C$1212,$K416))</f>
        <v/>
      </c>
      <c r="C416" s="8">
        <f>IF($K416="","",INDEX(Конструктор!$D$2:$D$1212,$K416)&amp;IF(INDEX(Конструктор!$J$2:$J$1212,$K416)&lt;&gt;""," — "&amp;INDEX(Конструктор!$J$2:$J$1212,$K416),""))</f>
        <v/>
      </c>
      <c r="D416">
        <f>IF($K416="","",INDEX(Конструктор!$E$2:$E$1212,$K416))</f>
        <v/>
      </c>
      <c r="E416" s="10">
        <f>IF($K416="","",INDEX(Конструктор!$H$2:$H$1212,$K416))</f>
        <v/>
      </c>
      <c r="F416" s="10">
        <f>IF($K416="","",INDEX(Конструктор!$L$2:$L$1212,$K416))</f>
        <v/>
      </c>
      <c r="G416" s="10">
        <f>IF($K416="","",INDEX(Конструктор!$M$2:$M$1212,$K416))</f>
        <v/>
      </c>
      <c r="H416" s="10">
        <f>IF($K416="","",INDEX(Конструктор!$N$2:$N$1212,$K416))</f>
        <v/>
      </c>
      <c r="I416" s="10">
        <f>IF($K416="","",INDEX(Конструктор!$O$2:$O$1212,$K416))</f>
        <v/>
      </c>
      <c r="J416" s="10">
        <f>IF($K416="","",INDEX(Конструктор!$P$2:$P$1212,$K416))</f>
        <v/>
      </c>
      <c r="K416">
        <f>IFERROR(MATCH(396,Конструктор!$T$2:$T$1212,0),"")</f>
        <v/>
      </c>
      <c r="L416">
        <f>IF($K416="","","показать")</f>
        <v/>
      </c>
    </row>
    <row r="417" hidden="1">
      <c r="A417">
        <f>IF($K417="","",397)</f>
        <v/>
      </c>
      <c r="B417">
        <f>IF($K417="","",INDEX(Конструктор!$C$2:$C$1212,$K417))</f>
        <v/>
      </c>
      <c r="C417" s="8">
        <f>IF($K417="","",INDEX(Конструктор!$D$2:$D$1212,$K417)&amp;IF(INDEX(Конструктор!$J$2:$J$1212,$K417)&lt;&gt;""," — "&amp;INDEX(Конструктор!$J$2:$J$1212,$K417),""))</f>
        <v/>
      </c>
      <c r="D417">
        <f>IF($K417="","",INDEX(Конструктор!$E$2:$E$1212,$K417))</f>
        <v/>
      </c>
      <c r="E417" s="10">
        <f>IF($K417="","",INDEX(Конструктор!$H$2:$H$1212,$K417))</f>
        <v/>
      </c>
      <c r="F417" s="10">
        <f>IF($K417="","",INDEX(Конструктор!$L$2:$L$1212,$K417))</f>
        <v/>
      </c>
      <c r="G417" s="10">
        <f>IF($K417="","",INDEX(Конструктор!$M$2:$M$1212,$K417))</f>
        <v/>
      </c>
      <c r="H417" s="10">
        <f>IF($K417="","",INDEX(Конструктор!$N$2:$N$1212,$K417))</f>
        <v/>
      </c>
      <c r="I417" s="10">
        <f>IF($K417="","",INDEX(Конструктор!$O$2:$O$1212,$K417))</f>
        <v/>
      </c>
      <c r="J417" s="10">
        <f>IF($K417="","",INDEX(Конструктор!$P$2:$P$1212,$K417))</f>
        <v/>
      </c>
      <c r="K417">
        <f>IFERROR(MATCH(397,Конструктор!$T$2:$T$1212,0),"")</f>
        <v/>
      </c>
      <c r="L417">
        <f>IF($K417="","","показать")</f>
        <v/>
      </c>
    </row>
    <row r="418" hidden="1">
      <c r="A418">
        <f>IF($K418="","",398)</f>
        <v/>
      </c>
      <c r="B418">
        <f>IF($K418="","",INDEX(Конструктор!$C$2:$C$1212,$K418))</f>
        <v/>
      </c>
      <c r="C418" s="8">
        <f>IF($K418="","",INDEX(Конструктор!$D$2:$D$1212,$K418)&amp;IF(INDEX(Конструктор!$J$2:$J$1212,$K418)&lt;&gt;""," — "&amp;INDEX(Конструктор!$J$2:$J$1212,$K418),""))</f>
        <v/>
      </c>
      <c r="D418">
        <f>IF($K418="","",INDEX(Конструктор!$E$2:$E$1212,$K418))</f>
        <v/>
      </c>
      <c r="E418" s="10">
        <f>IF($K418="","",INDEX(Конструктор!$H$2:$H$1212,$K418))</f>
        <v/>
      </c>
      <c r="F418" s="10">
        <f>IF($K418="","",INDEX(Конструктор!$L$2:$L$1212,$K418))</f>
        <v/>
      </c>
      <c r="G418" s="10">
        <f>IF($K418="","",INDEX(Конструктор!$M$2:$M$1212,$K418))</f>
        <v/>
      </c>
      <c r="H418" s="10">
        <f>IF($K418="","",INDEX(Конструктор!$N$2:$N$1212,$K418))</f>
        <v/>
      </c>
      <c r="I418" s="10">
        <f>IF($K418="","",INDEX(Конструктор!$O$2:$O$1212,$K418))</f>
        <v/>
      </c>
      <c r="J418" s="10">
        <f>IF($K418="","",INDEX(Конструктор!$P$2:$P$1212,$K418))</f>
        <v/>
      </c>
      <c r="K418">
        <f>IFERROR(MATCH(398,Конструктор!$T$2:$T$1212,0),"")</f>
        <v/>
      </c>
      <c r="L418">
        <f>IF($K418="","","показать")</f>
        <v/>
      </c>
    </row>
    <row r="419" hidden="1">
      <c r="A419">
        <f>IF($K419="","",399)</f>
        <v/>
      </c>
      <c r="B419">
        <f>IF($K419="","",INDEX(Конструктор!$C$2:$C$1212,$K419))</f>
        <v/>
      </c>
      <c r="C419" s="8">
        <f>IF($K419="","",INDEX(Конструктор!$D$2:$D$1212,$K419)&amp;IF(INDEX(Конструктор!$J$2:$J$1212,$K419)&lt;&gt;""," — "&amp;INDEX(Конструктор!$J$2:$J$1212,$K419),""))</f>
        <v/>
      </c>
      <c r="D419">
        <f>IF($K419="","",INDEX(Конструктор!$E$2:$E$1212,$K419))</f>
        <v/>
      </c>
      <c r="E419" s="10">
        <f>IF($K419="","",INDEX(Конструктор!$H$2:$H$1212,$K419))</f>
        <v/>
      </c>
      <c r="F419" s="10">
        <f>IF($K419="","",INDEX(Конструктор!$L$2:$L$1212,$K419))</f>
        <v/>
      </c>
      <c r="G419" s="10">
        <f>IF($K419="","",INDEX(Конструктор!$M$2:$M$1212,$K419))</f>
        <v/>
      </c>
      <c r="H419" s="10">
        <f>IF($K419="","",INDEX(Конструктор!$N$2:$N$1212,$K419))</f>
        <v/>
      </c>
      <c r="I419" s="10">
        <f>IF($K419="","",INDEX(Конструктор!$O$2:$O$1212,$K419))</f>
        <v/>
      </c>
      <c r="J419" s="10">
        <f>IF($K419="","",INDEX(Конструктор!$P$2:$P$1212,$K419))</f>
        <v/>
      </c>
      <c r="K419">
        <f>IFERROR(MATCH(399,Конструктор!$T$2:$T$1212,0),"")</f>
        <v/>
      </c>
      <c r="L419">
        <f>IF($K419="","","показать")</f>
        <v/>
      </c>
    </row>
    <row r="420" hidden="1">
      <c r="A420">
        <f>IF($K420="","",400)</f>
        <v/>
      </c>
      <c r="B420">
        <f>IF($K420="","",INDEX(Конструктор!$C$2:$C$1212,$K420))</f>
        <v/>
      </c>
      <c r="C420" s="8">
        <f>IF($K420="","",INDEX(Конструктор!$D$2:$D$1212,$K420)&amp;IF(INDEX(Конструктор!$J$2:$J$1212,$K420)&lt;&gt;""," — "&amp;INDEX(Конструктор!$J$2:$J$1212,$K420),""))</f>
        <v/>
      </c>
      <c r="D420">
        <f>IF($K420="","",INDEX(Конструктор!$E$2:$E$1212,$K420))</f>
        <v/>
      </c>
      <c r="E420" s="10">
        <f>IF($K420="","",INDEX(Конструктор!$H$2:$H$1212,$K420))</f>
        <v/>
      </c>
      <c r="F420" s="10">
        <f>IF($K420="","",INDEX(Конструктор!$L$2:$L$1212,$K420))</f>
        <v/>
      </c>
      <c r="G420" s="10">
        <f>IF($K420="","",INDEX(Конструктор!$M$2:$M$1212,$K420))</f>
        <v/>
      </c>
      <c r="H420" s="10">
        <f>IF($K420="","",INDEX(Конструктор!$N$2:$N$1212,$K420))</f>
        <v/>
      </c>
      <c r="I420" s="10">
        <f>IF($K420="","",INDEX(Конструктор!$O$2:$O$1212,$K420))</f>
        <v/>
      </c>
      <c r="J420" s="10">
        <f>IF($K420="","",INDEX(Конструктор!$P$2:$P$1212,$K420))</f>
        <v/>
      </c>
      <c r="K420">
        <f>IFERROR(MATCH(400,Конструктор!$T$2:$T$1212,0),"")</f>
        <v/>
      </c>
      <c r="L420">
        <f>IF($K420="","","показать")</f>
        <v/>
      </c>
    </row>
    <row r="421" hidden="1">
      <c r="A421">
        <f>IF($K421="","",401)</f>
        <v/>
      </c>
      <c r="B421">
        <f>IF($K421="","",INDEX(Конструктор!$C$2:$C$1212,$K421))</f>
        <v/>
      </c>
      <c r="C421" s="8">
        <f>IF($K421="","",INDEX(Конструктор!$D$2:$D$1212,$K421)&amp;IF(INDEX(Конструктор!$J$2:$J$1212,$K421)&lt;&gt;""," — "&amp;INDEX(Конструктор!$J$2:$J$1212,$K421),""))</f>
        <v/>
      </c>
      <c r="D421">
        <f>IF($K421="","",INDEX(Конструктор!$E$2:$E$1212,$K421))</f>
        <v/>
      </c>
      <c r="E421" s="10">
        <f>IF($K421="","",INDEX(Конструктор!$H$2:$H$1212,$K421))</f>
        <v/>
      </c>
      <c r="F421" s="10">
        <f>IF($K421="","",INDEX(Конструктор!$L$2:$L$1212,$K421))</f>
        <v/>
      </c>
      <c r="G421" s="10">
        <f>IF($K421="","",INDEX(Конструктор!$M$2:$M$1212,$K421))</f>
        <v/>
      </c>
      <c r="H421" s="10">
        <f>IF($K421="","",INDEX(Конструктор!$N$2:$N$1212,$K421))</f>
        <v/>
      </c>
      <c r="I421" s="10">
        <f>IF($K421="","",INDEX(Конструктор!$O$2:$O$1212,$K421))</f>
        <v/>
      </c>
      <c r="J421" s="10">
        <f>IF($K421="","",INDEX(Конструктор!$P$2:$P$1212,$K421))</f>
        <v/>
      </c>
      <c r="K421">
        <f>IFERROR(MATCH(401,Конструктор!$T$2:$T$1212,0),"")</f>
        <v/>
      </c>
      <c r="L421">
        <f>IF($K421="","","показать")</f>
        <v/>
      </c>
    </row>
    <row r="422" hidden="1">
      <c r="A422">
        <f>IF($K422="","",402)</f>
        <v/>
      </c>
      <c r="B422">
        <f>IF($K422="","",INDEX(Конструктор!$C$2:$C$1212,$K422))</f>
        <v/>
      </c>
      <c r="C422" s="8">
        <f>IF($K422="","",INDEX(Конструктор!$D$2:$D$1212,$K422)&amp;IF(INDEX(Конструктор!$J$2:$J$1212,$K422)&lt;&gt;""," — "&amp;INDEX(Конструктор!$J$2:$J$1212,$K422),""))</f>
        <v/>
      </c>
      <c r="D422">
        <f>IF($K422="","",INDEX(Конструктор!$E$2:$E$1212,$K422))</f>
        <v/>
      </c>
      <c r="E422" s="10">
        <f>IF($K422="","",INDEX(Конструктор!$H$2:$H$1212,$K422))</f>
        <v/>
      </c>
      <c r="F422" s="10">
        <f>IF($K422="","",INDEX(Конструктор!$L$2:$L$1212,$K422))</f>
        <v/>
      </c>
      <c r="G422" s="10">
        <f>IF($K422="","",INDEX(Конструктор!$M$2:$M$1212,$K422))</f>
        <v/>
      </c>
      <c r="H422" s="10">
        <f>IF($K422="","",INDEX(Конструктор!$N$2:$N$1212,$K422))</f>
        <v/>
      </c>
      <c r="I422" s="10">
        <f>IF($K422="","",INDEX(Конструктор!$O$2:$O$1212,$K422))</f>
        <v/>
      </c>
      <c r="J422" s="10">
        <f>IF($K422="","",INDEX(Конструктор!$P$2:$P$1212,$K422))</f>
        <v/>
      </c>
      <c r="K422">
        <f>IFERROR(MATCH(402,Конструктор!$T$2:$T$1212,0),"")</f>
        <v/>
      </c>
      <c r="L422">
        <f>IF($K422="","","показать")</f>
        <v/>
      </c>
    </row>
    <row r="423" hidden="1">
      <c r="A423">
        <f>IF($K423="","",403)</f>
        <v/>
      </c>
      <c r="B423">
        <f>IF($K423="","",INDEX(Конструктор!$C$2:$C$1212,$K423))</f>
        <v/>
      </c>
      <c r="C423" s="8">
        <f>IF($K423="","",INDEX(Конструктор!$D$2:$D$1212,$K423)&amp;IF(INDEX(Конструктор!$J$2:$J$1212,$K423)&lt;&gt;""," — "&amp;INDEX(Конструктор!$J$2:$J$1212,$K423),""))</f>
        <v/>
      </c>
      <c r="D423">
        <f>IF($K423="","",INDEX(Конструктор!$E$2:$E$1212,$K423))</f>
        <v/>
      </c>
      <c r="E423" s="10">
        <f>IF($K423="","",INDEX(Конструктор!$H$2:$H$1212,$K423))</f>
        <v/>
      </c>
      <c r="F423" s="10">
        <f>IF($K423="","",INDEX(Конструктор!$L$2:$L$1212,$K423))</f>
        <v/>
      </c>
      <c r="G423" s="10">
        <f>IF($K423="","",INDEX(Конструктор!$M$2:$M$1212,$K423))</f>
        <v/>
      </c>
      <c r="H423" s="10">
        <f>IF($K423="","",INDEX(Конструктор!$N$2:$N$1212,$K423))</f>
        <v/>
      </c>
      <c r="I423" s="10">
        <f>IF($K423="","",INDEX(Конструктор!$O$2:$O$1212,$K423))</f>
        <v/>
      </c>
      <c r="J423" s="10">
        <f>IF($K423="","",INDEX(Конструктор!$P$2:$P$1212,$K423))</f>
        <v/>
      </c>
      <c r="K423">
        <f>IFERROR(MATCH(403,Конструктор!$T$2:$T$1212,0),"")</f>
        <v/>
      </c>
      <c r="L423">
        <f>IF($K423="","","показать")</f>
        <v/>
      </c>
    </row>
    <row r="424" hidden="1">
      <c r="A424">
        <f>IF($K424="","",404)</f>
        <v/>
      </c>
      <c r="B424">
        <f>IF($K424="","",INDEX(Конструктор!$C$2:$C$1212,$K424))</f>
        <v/>
      </c>
      <c r="C424" s="8">
        <f>IF($K424="","",INDEX(Конструктор!$D$2:$D$1212,$K424)&amp;IF(INDEX(Конструктор!$J$2:$J$1212,$K424)&lt;&gt;""," — "&amp;INDEX(Конструктор!$J$2:$J$1212,$K424),""))</f>
        <v/>
      </c>
      <c r="D424">
        <f>IF($K424="","",INDEX(Конструктор!$E$2:$E$1212,$K424))</f>
        <v/>
      </c>
      <c r="E424" s="10">
        <f>IF($K424="","",INDEX(Конструктор!$H$2:$H$1212,$K424))</f>
        <v/>
      </c>
      <c r="F424" s="10">
        <f>IF($K424="","",INDEX(Конструктор!$L$2:$L$1212,$K424))</f>
        <v/>
      </c>
      <c r="G424" s="10">
        <f>IF($K424="","",INDEX(Конструктор!$M$2:$M$1212,$K424))</f>
        <v/>
      </c>
      <c r="H424" s="10">
        <f>IF($K424="","",INDEX(Конструктор!$N$2:$N$1212,$K424))</f>
        <v/>
      </c>
      <c r="I424" s="10">
        <f>IF($K424="","",INDEX(Конструктор!$O$2:$O$1212,$K424))</f>
        <v/>
      </c>
      <c r="J424" s="10">
        <f>IF($K424="","",INDEX(Конструктор!$P$2:$P$1212,$K424))</f>
        <v/>
      </c>
      <c r="K424">
        <f>IFERROR(MATCH(404,Конструктор!$T$2:$T$1212,0),"")</f>
        <v/>
      </c>
      <c r="L424">
        <f>IF($K424="","","показать")</f>
        <v/>
      </c>
    </row>
    <row r="425" hidden="1">
      <c r="A425">
        <f>IF($K425="","",405)</f>
        <v/>
      </c>
      <c r="B425">
        <f>IF($K425="","",INDEX(Конструктор!$C$2:$C$1212,$K425))</f>
        <v/>
      </c>
      <c r="C425" s="8">
        <f>IF($K425="","",INDEX(Конструктор!$D$2:$D$1212,$K425)&amp;IF(INDEX(Конструктор!$J$2:$J$1212,$K425)&lt;&gt;""," — "&amp;INDEX(Конструктор!$J$2:$J$1212,$K425),""))</f>
        <v/>
      </c>
      <c r="D425">
        <f>IF($K425="","",INDEX(Конструктор!$E$2:$E$1212,$K425))</f>
        <v/>
      </c>
      <c r="E425" s="10">
        <f>IF($K425="","",INDEX(Конструктор!$H$2:$H$1212,$K425))</f>
        <v/>
      </c>
      <c r="F425" s="10">
        <f>IF($K425="","",INDEX(Конструктор!$L$2:$L$1212,$K425))</f>
        <v/>
      </c>
      <c r="G425" s="10">
        <f>IF($K425="","",INDEX(Конструктор!$M$2:$M$1212,$K425))</f>
        <v/>
      </c>
      <c r="H425" s="10">
        <f>IF($K425="","",INDEX(Конструктор!$N$2:$N$1212,$K425))</f>
        <v/>
      </c>
      <c r="I425" s="10">
        <f>IF($K425="","",INDEX(Конструктор!$O$2:$O$1212,$K425))</f>
        <v/>
      </c>
      <c r="J425" s="10">
        <f>IF($K425="","",INDEX(Конструктор!$P$2:$P$1212,$K425))</f>
        <v/>
      </c>
      <c r="K425">
        <f>IFERROR(MATCH(405,Конструктор!$T$2:$T$1212,0),"")</f>
        <v/>
      </c>
      <c r="L425">
        <f>IF($K425="","","показать")</f>
        <v/>
      </c>
    </row>
    <row r="426" hidden="1">
      <c r="A426">
        <f>IF($K426="","",406)</f>
        <v/>
      </c>
      <c r="B426">
        <f>IF($K426="","",INDEX(Конструктор!$C$2:$C$1212,$K426))</f>
        <v/>
      </c>
      <c r="C426" s="8">
        <f>IF($K426="","",INDEX(Конструктор!$D$2:$D$1212,$K426)&amp;IF(INDEX(Конструктор!$J$2:$J$1212,$K426)&lt;&gt;""," — "&amp;INDEX(Конструктор!$J$2:$J$1212,$K426),""))</f>
        <v/>
      </c>
      <c r="D426">
        <f>IF($K426="","",INDEX(Конструктор!$E$2:$E$1212,$K426))</f>
        <v/>
      </c>
      <c r="E426" s="10">
        <f>IF($K426="","",INDEX(Конструктор!$H$2:$H$1212,$K426))</f>
        <v/>
      </c>
      <c r="F426" s="10">
        <f>IF($K426="","",INDEX(Конструктор!$L$2:$L$1212,$K426))</f>
        <v/>
      </c>
      <c r="G426" s="10">
        <f>IF($K426="","",INDEX(Конструктор!$M$2:$M$1212,$K426))</f>
        <v/>
      </c>
      <c r="H426" s="10">
        <f>IF($K426="","",INDEX(Конструктор!$N$2:$N$1212,$K426))</f>
        <v/>
      </c>
      <c r="I426" s="10">
        <f>IF($K426="","",INDEX(Конструктор!$O$2:$O$1212,$K426))</f>
        <v/>
      </c>
      <c r="J426" s="10">
        <f>IF($K426="","",INDEX(Конструктор!$P$2:$P$1212,$K426))</f>
        <v/>
      </c>
      <c r="K426">
        <f>IFERROR(MATCH(406,Конструктор!$T$2:$T$1212,0),"")</f>
        <v/>
      </c>
      <c r="L426">
        <f>IF($K426="","","показать")</f>
        <v/>
      </c>
    </row>
    <row r="427" hidden="1">
      <c r="A427">
        <f>IF($K427="","",407)</f>
        <v/>
      </c>
      <c r="B427">
        <f>IF($K427="","",INDEX(Конструктор!$C$2:$C$1212,$K427))</f>
        <v/>
      </c>
      <c r="C427" s="8">
        <f>IF($K427="","",INDEX(Конструктор!$D$2:$D$1212,$K427)&amp;IF(INDEX(Конструктор!$J$2:$J$1212,$K427)&lt;&gt;""," — "&amp;INDEX(Конструктор!$J$2:$J$1212,$K427),""))</f>
        <v/>
      </c>
      <c r="D427">
        <f>IF($K427="","",INDEX(Конструктор!$E$2:$E$1212,$K427))</f>
        <v/>
      </c>
      <c r="E427" s="10">
        <f>IF($K427="","",INDEX(Конструктор!$H$2:$H$1212,$K427))</f>
        <v/>
      </c>
      <c r="F427" s="10">
        <f>IF($K427="","",INDEX(Конструктор!$L$2:$L$1212,$K427))</f>
        <v/>
      </c>
      <c r="G427" s="10">
        <f>IF($K427="","",INDEX(Конструктор!$M$2:$M$1212,$K427))</f>
        <v/>
      </c>
      <c r="H427" s="10">
        <f>IF($K427="","",INDEX(Конструктор!$N$2:$N$1212,$K427))</f>
        <v/>
      </c>
      <c r="I427" s="10">
        <f>IF($K427="","",INDEX(Конструктор!$O$2:$O$1212,$K427))</f>
        <v/>
      </c>
      <c r="J427" s="10">
        <f>IF($K427="","",INDEX(Конструктор!$P$2:$P$1212,$K427))</f>
        <v/>
      </c>
      <c r="K427">
        <f>IFERROR(MATCH(407,Конструктор!$T$2:$T$1212,0),"")</f>
        <v/>
      </c>
      <c r="L427">
        <f>IF($K427="","","показать")</f>
        <v/>
      </c>
    </row>
    <row r="428" hidden="1">
      <c r="A428">
        <f>IF($K428="","",408)</f>
        <v/>
      </c>
      <c r="B428">
        <f>IF($K428="","",INDEX(Конструктор!$C$2:$C$1212,$K428))</f>
        <v/>
      </c>
      <c r="C428" s="8">
        <f>IF($K428="","",INDEX(Конструктор!$D$2:$D$1212,$K428)&amp;IF(INDEX(Конструктор!$J$2:$J$1212,$K428)&lt;&gt;""," — "&amp;INDEX(Конструктор!$J$2:$J$1212,$K428),""))</f>
        <v/>
      </c>
      <c r="D428">
        <f>IF($K428="","",INDEX(Конструктор!$E$2:$E$1212,$K428))</f>
        <v/>
      </c>
      <c r="E428" s="10">
        <f>IF($K428="","",INDEX(Конструктор!$H$2:$H$1212,$K428))</f>
        <v/>
      </c>
      <c r="F428" s="10">
        <f>IF($K428="","",INDEX(Конструктор!$L$2:$L$1212,$K428))</f>
        <v/>
      </c>
      <c r="G428" s="10">
        <f>IF($K428="","",INDEX(Конструктор!$M$2:$M$1212,$K428))</f>
        <v/>
      </c>
      <c r="H428" s="10">
        <f>IF($K428="","",INDEX(Конструктор!$N$2:$N$1212,$K428))</f>
        <v/>
      </c>
      <c r="I428" s="10">
        <f>IF($K428="","",INDEX(Конструктор!$O$2:$O$1212,$K428))</f>
        <v/>
      </c>
      <c r="J428" s="10">
        <f>IF($K428="","",INDEX(Конструктор!$P$2:$P$1212,$K428))</f>
        <v/>
      </c>
      <c r="K428">
        <f>IFERROR(MATCH(408,Конструктор!$T$2:$T$1212,0),"")</f>
        <v/>
      </c>
      <c r="L428">
        <f>IF($K428="","","показать")</f>
        <v/>
      </c>
    </row>
    <row r="429" hidden="1">
      <c r="A429">
        <f>IF($K429="","",409)</f>
        <v/>
      </c>
      <c r="B429">
        <f>IF($K429="","",INDEX(Конструктор!$C$2:$C$1212,$K429))</f>
        <v/>
      </c>
      <c r="C429" s="8">
        <f>IF($K429="","",INDEX(Конструктор!$D$2:$D$1212,$K429)&amp;IF(INDEX(Конструктор!$J$2:$J$1212,$K429)&lt;&gt;""," — "&amp;INDEX(Конструктор!$J$2:$J$1212,$K429),""))</f>
        <v/>
      </c>
      <c r="D429">
        <f>IF($K429="","",INDEX(Конструктор!$E$2:$E$1212,$K429))</f>
        <v/>
      </c>
      <c r="E429" s="10">
        <f>IF($K429="","",INDEX(Конструктор!$H$2:$H$1212,$K429))</f>
        <v/>
      </c>
      <c r="F429" s="10">
        <f>IF($K429="","",INDEX(Конструктор!$L$2:$L$1212,$K429))</f>
        <v/>
      </c>
      <c r="G429" s="10">
        <f>IF($K429="","",INDEX(Конструктор!$M$2:$M$1212,$K429))</f>
        <v/>
      </c>
      <c r="H429" s="10">
        <f>IF($K429="","",INDEX(Конструктор!$N$2:$N$1212,$K429))</f>
        <v/>
      </c>
      <c r="I429" s="10">
        <f>IF($K429="","",INDEX(Конструктор!$O$2:$O$1212,$K429))</f>
        <v/>
      </c>
      <c r="J429" s="10">
        <f>IF($K429="","",INDEX(Конструктор!$P$2:$P$1212,$K429))</f>
        <v/>
      </c>
      <c r="K429">
        <f>IFERROR(MATCH(409,Конструктор!$T$2:$T$1212,0),"")</f>
        <v/>
      </c>
      <c r="L429">
        <f>IF($K429="","","показать")</f>
        <v/>
      </c>
    </row>
    <row r="430" hidden="1">
      <c r="A430">
        <f>IF($K430="","",410)</f>
        <v/>
      </c>
      <c r="B430">
        <f>IF($K430="","",INDEX(Конструктор!$C$2:$C$1212,$K430))</f>
        <v/>
      </c>
      <c r="C430" s="8">
        <f>IF($K430="","",INDEX(Конструктор!$D$2:$D$1212,$K430)&amp;IF(INDEX(Конструктор!$J$2:$J$1212,$K430)&lt;&gt;""," — "&amp;INDEX(Конструктор!$J$2:$J$1212,$K430),""))</f>
        <v/>
      </c>
      <c r="D430">
        <f>IF($K430="","",INDEX(Конструктор!$E$2:$E$1212,$K430))</f>
        <v/>
      </c>
      <c r="E430" s="10">
        <f>IF($K430="","",INDEX(Конструктор!$H$2:$H$1212,$K430))</f>
        <v/>
      </c>
      <c r="F430" s="10">
        <f>IF($K430="","",INDEX(Конструктор!$L$2:$L$1212,$K430))</f>
        <v/>
      </c>
      <c r="G430" s="10">
        <f>IF($K430="","",INDEX(Конструктор!$M$2:$M$1212,$K430))</f>
        <v/>
      </c>
      <c r="H430" s="10">
        <f>IF($K430="","",INDEX(Конструктор!$N$2:$N$1212,$K430))</f>
        <v/>
      </c>
      <c r="I430" s="10">
        <f>IF($K430="","",INDEX(Конструктор!$O$2:$O$1212,$K430))</f>
        <v/>
      </c>
      <c r="J430" s="10">
        <f>IF($K430="","",INDEX(Конструктор!$P$2:$P$1212,$K430))</f>
        <v/>
      </c>
      <c r="K430">
        <f>IFERROR(MATCH(410,Конструктор!$T$2:$T$1212,0),"")</f>
        <v/>
      </c>
      <c r="L430">
        <f>IF($K430="","","показать")</f>
        <v/>
      </c>
    </row>
    <row r="431" hidden="1">
      <c r="A431">
        <f>IF($K431="","",411)</f>
        <v/>
      </c>
      <c r="B431">
        <f>IF($K431="","",INDEX(Конструктор!$C$2:$C$1212,$K431))</f>
        <v/>
      </c>
      <c r="C431" s="8">
        <f>IF($K431="","",INDEX(Конструктор!$D$2:$D$1212,$K431)&amp;IF(INDEX(Конструктор!$J$2:$J$1212,$K431)&lt;&gt;""," — "&amp;INDEX(Конструктор!$J$2:$J$1212,$K431),""))</f>
        <v/>
      </c>
      <c r="D431">
        <f>IF($K431="","",INDEX(Конструктор!$E$2:$E$1212,$K431))</f>
        <v/>
      </c>
      <c r="E431" s="10">
        <f>IF($K431="","",INDEX(Конструктор!$H$2:$H$1212,$K431))</f>
        <v/>
      </c>
      <c r="F431" s="10">
        <f>IF($K431="","",INDEX(Конструктор!$L$2:$L$1212,$K431))</f>
        <v/>
      </c>
      <c r="G431" s="10">
        <f>IF($K431="","",INDEX(Конструктор!$M$2:$M$1212,$K431))</f>
        <v/>
      </c>
      <c r="H431" s="10">
        <f>IF($K431="","",INDEX(Конструктор!$N$2:$N$1212,$K431))</f>
        <v/>
      </c>
      <c r="I431" s="10">
        <f>IF($K431="","",INDEX(Конструктор!$O$2:$O$1212,$K431))</f>
        <v/>
      </c>
      <c r="J431" s="10">
        <f>IF($K431="","",INDEX(Конструктор!$P$2:$P$1212,$K431))</f>
        <v/>
      </c>
      <c r="K431">
        <f>IFERROR(MATCH(411,Конструктор!$T$2:$T$1212,0),"")</f>
        <v/>
      </c>
      <c r="L431">
        <f>IF($K431="","","показать")</f>
        <v/>
      </c>
    </row>
    <row r="432" hidden="1">
      <c r="A432">
        <f>IF($K432="","",412)</f>
        <v/>
      </c>
      <c r="B432">
        <f>IF($K432="","",INDEX(Конструктор!$C$2:$C$1212,$K432))</f>
        <v/>
      </c>
      <c r="C432" s="8">
        <f>IF($K432="","",INDEX(Конструктор!$D$2:$D$1212,$K432)&amp;IF(INDEX(Конструктор!$J$2:$J$1212,$K432)&lt;&gt;""," — "&amp;INDEX(Конструктор!$J$2:$J$1212,$K432),""))</f>
        <v/>
      </c>
      <c r="D432">
        <f>IF($K432="","",INDEX(Конструктор!$E$2:$E$1212,$K432))</f>
        <v/>
      </c>
      <c r="E432" s="10">
        <f>IF($K432="","",INDEX(Конструктор!$H$2:$H$1212,$K432))</f>
        <v/>
      </c>
      <c r="F432" s="10">
        <f>IF($K432="","",INDEX(Конструктор!$L$2:$L$1212,$K432))</f>
        <v/>
      </c>
      <c r="G432" s="10">
        <f>IF($K432="","",INDEX(Конструктор!$M$2:$M$1212,$K432))</f>
        <v/>
      </c>
      <c r="H432" s="10">
        <f>IF($K432="","",INDEX(Конструктор!$N$2:$N$1212,$K432))</f>
        <v/>
      </c>
      <c r="I432" s="10">
        <f>IF($K432="","",INDEX(Конструктор!$O$2:$O$1212,$K432))</f>
        <v/>
      </c>
      <c r="J432" s="10">
        <f>IF($K432="","",INDEX(Конструктор!$P$2:$P$1212,$K432))</f>
        <v/>
      </c>
      <c r="K432">
        <f>IFERROR(MATCH(412,Конструктор!$T$2:$T$1212,0),"")</f>
        <v/>
      </c>
      <c r="L432">
        <f>IF($K432="","","показать")</f>
        <v/>
      </c>
    </row>
    <row r="433" hidden="1">
      <c r="A433">
        <f>IF($K433="","",413)</f>
        <v/>
      </c>
      <c r="B433">
        <f>IF($K433="","",INDEX(Конструктор!$C$2:$C$1212,$K433))</f>
        <v/>
      </c>
      <c r="C433" s="8">
        <f>IF($K433="","",INDEX(Конструктор!$D$2:$D$1212,$K433)&amp;IF(INDEX(Конструктор!$J$2:$J$1212,$K433)&lt;&gt;""," — "&amp;INDEX(Конструктор!$J$2:$J$1212,$K433),""))</f>
        <v/>
      </c>
      <c r="D433">
        <f>IF($K433="","",INDEX(Конструктор!$E$2:$E$1212,$K433))</f>
        <v/>
      </c>
      <c r="E433" s="10">
        <f>IF($K433="","",INDEX(Конструктор!$H$2:$H$1212,$K433))</f>
        <v/>
      </c>
      <c r="F433" s="10">
        <f>IF($K433="","",INDEX(Конструктор!$L$2:$L$1212,$K433))</f>
        <v/>
      </c>
      <c r="G433" s="10">
        <f>IF($K433="","",INDEX(Конструктор!$M$2:$M$1212,$K433))</f>
        <v/>
      </c>
      <c r="H433" s="10">
        <f>IF($K433="","",INDEX(Конструктор!$N$2:$N$1212,$K433))</f>
        <v/>
      </c>
      <c r="I433" s="10">
        <f>IF($K433="","",INDEX(Конструктор!$O$2:$O$1212,$K433))</f>
        <v/>
      </c>
      <c r="J433" s="10">
        <f>IF($K433="","",INDEX(Конструктор!$P$2:$P$1212,$K433))</f>
        <v/>
      </c>
      <c r="K433">
        <f>IFERROR(MATCH(413,Конструктор!$T$2:$T$1212,0),"")</f>
        <v/>
      </c>
      <c r="L433">
        <f>IF($K433="","","показать")</f>
        <v/>
      </c>
    </row>
    <row r="434" hidden="1">
      <c r="A434">
        <f>IF($K434="","",414)</f>
        <v/>
      </c>
      <c r="B434">
        <f>IF($K434="","",INDEX(Конструктор!$C$2:$C$1212,$K434))</f>
        <v/>
      </c>
      <c r="C434" s="8">
        <f>IF($K434="","",INDEX(Конструктор!$D$2:$D$1212,$K434)&amp;IF(INDEX(Конструктор!$J$2:$J$1212,$K434)&lt;&gt;""," — "&amp;INDEX(Конструктор!$J$2:$J$1212,$K434),""))</f>
        <v/>
      </c>
      <c r="D434">
        <f>IF($K434="","",INDEX(Конструктор!$E$2:$E$1212,$K434))</f>
        <v/>
      </c>
      <c r="E434" s="10">
        <f>IF($K434="","",INDEX(Конструктор!$H$2:$H$1212,$K434))</f>
        <v/>
      </c>
      <c r="F434" s="10">
        <f>IF($K434="","",INDEX(Конструктор!$L$2:$L$1212,$K434))</f>
        <v/>
      </c>
      <c r="G434" s="10">
        <f>IF($K434="","",INDEX(Конструктор!$M$2:$M$1212,$K434))</f>
        <v/>
      </c>
      <c r="H434" s="10">
        <f>IF($K434="","",INDEX(Конструктор!$N$2:$N$1212,$K434))</f>
        <v/>
      </c>
      <c r="I434" s="10">
        <f>IF($K434="","",INDEX(Конструктор!$O$2:$O$1212,$K434))</f>
        <v/>
      </c>
      <c r="J434" s="10">
        <f>IF($K434="","",INDEX(Конструктор!$P$2:$P$1212,$K434))</f>
        <v/>
      </c>
      <c r="K434">
        <f>IFERROR(MATCH(414,Конструктор!$T$2:$T$1212,0),"")</f>
        <v/>
      </c>
      <c r="L434">
        <f>IF($K434="","","показать")</f>
        <v/>
      </c>
    </row>
    <row r="435" hidden="1">
      <c r="A435">
        <f>IF($K435="","",415)</f>
        <v/>
      </c>
      <c r="B435">
        <f>IF($K435="","",INDEX(Конструктор!$C$2:$C$1212,$K435))</f>
        <v/>
      </c>
      <c r="C435" s="8">
        <f>IF($K435="","",INDEX(Конструктор!$D$2:$D$1212,$K435)&amp;IF(INDEX(Конструктор!$J$2:$J$1212,$K435)&lt;&gt;""," — "&amp;INDEX(Конструктор!$J$2:$J$1212,$K435),""))</f>
        <v/>
      </c>
      <c r="D435">
        <f>IF($K435="","",INDEX(Конструктор!$E$2:$E$1212,$K435))</f>
        <v/>
      </c>
      <c r="E435" s="10">
        <f>IF($K435="","",INDEX(Конструктор!$H$2:$H$1212,$K435))</f>
        <v/>
      </c>
      <c r="F435" s="10">
        <f>IF($K435="","",INDEX(Конструктор!$L$2:$L$1212,$K435))</f>
        <v/>
      </c>
      <c r="G435" s="10">
        <f>IF($K435="","",INDEX(Конструктор!$M$2:$M$1212,$K435))</f>
        <v/>
      </c>
      <c r="H435" s="10">
        <f>IF($K435="","",INDEX(Конструктор!$N$2:$N$1212,$K435))</f>
        <v/>
      </c>
      <c r="I435" s="10">
        <f>IF($K435="","",INDEX(Конструктор!$O$2:$O$1212,$K435))</f>
        <v/>
      </c>
      <c r="J435" s="10">
        <f>IF($K435="","",INDEX(Конструктор!$P$2:$P$1212,$K435))</f>
        <v/>
      </c>
      <c r="K435">
        <f>IFERROR(MATCH(415,Конструктор!$T$2:$T$1212,0),"")</f>
        <v/>
      </c>
      <c r="L435">
        <f>IF($K435="","","показать")</f>
        <v/>
      </c>
    </row>
    <row r="436" hidden="1">
      <c r="A436">
        <f>IF($K436="","",416)</f>
        <v/>
      </c>
      <c r="B436">
        <f>IF($K436="","",INDEX(Конструктор!$C$2:$C$1212,$K436))</f>
        <v/>
      </c>
      <c r="C436" s="8">
        <f>IF($K436="","",INDEX(Конструктор!$D$2:$D$1212,$K436)&amp;IF(INDEX(Конструктор!$J$2:$J$1212,$K436)&lt;&gt;""," — "&amp;INDEX(Конструктор!$J$2:$J$1212,$K436),""))</f>
        <v/>
      </c>
      <c r="D436">
        <f>IF($K436="","",INDEX(Конструктор!$E$2:$E$1212,$K436))</f>
        <v/>
      </c>
      <c r="E436" s="10">
        <f>IF($K436="","",INDEX(Конструктор!$H$2:$H$1212,$K436))</f>
        <v/>
      </c>
      <c r="F436" s="10">
        <f>IF($K436="","",INDEX(Конструктор!$L$2:$L$1212,$K436))</f>
        <v/>
      </c>
      <c r="G436" s="10">
        <f>IF($K436="","",INDEX(Конструктор!$M$2:$M$1212,$K436))</f>
        <v/>
      </c>
      <c r="H436" s="10">
        <f>IF($K436="","",INDEX(Конструктор!$N$2:$N$1212,$K436))</f>
        <v/>
      </c>
      <c r="I436" s="10">
        <f>IF($K436="","",INDEX(Конструктор!$O$2:$O$1212,$K436))</f>
        <v/>
      </c>
      <c r="J436" s="10">
        <f>IF($K436="","",INDEX(Конструктор!$P$2:$P$1212,$K436))</f>
        <v/>
      </c>
      <c r="K436">
        <f>IFERROR(MATCH(416,Конструктор!$T$2:$T$1212,0),"")</f>
        <v/>
      </c>
      <c r="L436">
        <f>IF($K436="","","показать")</f>
        <v/>
      </c>
    </row>
    <row r="437" hidden="1">
      <c r="A437">
        <f>IF($K437="","",417)</f>
        <v/>
      </c>
      <c r="B437">
        <f>IF($K437="","",INDEX(Конструктор!$C$2:$C$1212,$K437))</f>
        <v/>
      </c>
      <c r="C437" s="8">
        <f>IF($K437="","",INDEX(Конструктор!$D$2:$D$1212,$K437)&amp;IF(INDEX(Конструктор!$J$2:$J$1212,$K437)&lt;&gt;""," — "&amp;INDEX(Конструктор!$J$2:$J$1212,$K437),""))</f>
        <v/>
      </c>
      <c r="D437">
        <f>IF($K437="","",INDEX(Конструктор!$E$2:$E$1212,$K437))</f>
        <v/>
      </c>
      <c r="E437" s="10">
        <f>IF($K437="","",INDEX(Конструктор!$H$2:$H$1212,$K437))</f>
        <v/>
      </c>
      <c r="F437" s="10">
        <f>IF($K437="","",INDEX(Конструктор!$L$2:$L$1212,$K437))</f>
        <v/>
      </c>
      <c r="G437" s="10">
        <f>IF($K437="","",INDEX(Конструктор!$M$2:$M$1212,$K437))</f>
        <v/>
      </c>
      <c r="H437" s="10">
        <f>IF($K437="","",INDEX(Конструктор!$N$2:$N$1212,$K437))</f>
        <v/>
      </c>
      <c r="I437" s="10">
        <f>IF($K437="","",INDEX(Конструктор!$O$2:$O$1212,$K437))</f>
        <v/>
      </c>
      <c r="J437" s="10">
        <f>IF($K437="","",INDEX(Конструктор!$P$2:$P$1212,$K437))</f>
        <v/>
      </c>
      <c r="K437">
        <f>IFERROR(MATCH(417,Конструктор!$T$2:$T$1212,0),"")</f>
        <v/>
      </c>
      <c r="L437">
        <f>IF($K437="","","показать")</f>
        <v/>
      </c>
    </row>
    <row r="438" hidden="1">
      <c r="A438">
        <f>IF($K438="","",418)</f>
        <v/>
      </c>
      <c r="B438">
        <f>IF($K438="","",INDEX(Конструктор!$C$2:$C$1212,$K438))</f>
        <v/>
      </c>
      <c r="C438" s="8">
        <f>IF($K438="","",INDEX(Конструктор!$D$2:$D$1212,$K438)&amp;IF(INDEX(Конструктор!$J$2:$J$1212,$K438)&lt;&gt;""," — "&amp;INDEX(Конструктор!$J$2:$J$1212,$K438),""))</f>
        <v/>
      </c>
      <c r="D438">
        <f>IF($K438="","",INDEX(Конструктор!$E$2:$E$1212,$K438))</f>
        <v/>
      </c>
      <c r="E438" s="10">
        <f>IF($K438="","",INDEX(Конструктор!$H$2:$H$1212,$K438))</f>
        <v/>
      </c>
      <c r="F438" s="10">
        <f>IF($K438="","",INDEX(Конструктор!$L$2:$L$1212,$K438))</f>
        <v/>
      </c>
      <c r="G438" s="10">
        <f>IF($K438="","",INDEX(Конструктор!$M$2:$M$1212,$K438))</f>
        <v/>
      </c>
      <c r="H438" s="10">
        <f>IF($K438="","",INDEX(Конструктор!$N$2:$N$1212,$K438))</f>
        <v/>
      </c>
      <c r="I438" s="10">
        <f>IF($K438="","",INDEX(Конструктор!$O$2:$O$1212,$K438))</f>
        <v/>
      </c>
      <c r="J438" s="10">
        <f>IF($K438="","",INDEX(Конструктор!$P$2:$P$1212,$K438))</f>
        <v/>
      </c>
      <c r="K438">
        <f>IFERROR(MATCH(418,Конструктор!$T$2:$T$1212,0),"")</f>
        <v/>
      </c>
      <c r="L438">
        <f>IF($K438="","","показать")</f>
        <v/>
      </c>
    </row>
    <row r="439" hidden="1">
      <c r="A439">
        <f>IF($K439="","",419)</f>
        <v/>
      </c>
      <c r="B439">
        <f>IF($K439="","",INDEX(Конструктор!$C$2:$C$1212,$K439))</f>
        <v/>
      </c>
      <c r="C439" s="8">
        <f>IF($K439="","",INDEX(Конструктор!$D$2:$D$1212,$K439)&amp;IF(INDEX(Конструктор!$J$2:$J$1212,$K439)&lt;&gt;""," — "&amp;INDEX(Конструктор!$J$2:$J$1212,$K439),""))</f>
        <v/>
      </c>
      <c r="D439">
        <f>IF($K439="","",INDEX(Конструктор!$E$2:$E$1212,$K439))</f>
        <v/>
      </c>
      <c r="E439" s="10">
        <f>IF($K439="","",INDEX(Конструктор!$H$2:$H$1212,$K439))</f>
        <v/>
      </c>
      <c r="F439" s="10">
        <f>IF($K439="","",INDEX(Конструктор!$L$2:$L$1212,$K439))</f>
        <v/>
      </c>
      <c r="G439" s="10">
        <f>IF($K439="","",INDEX(Конструктор!$M$2:$M$1212,$K439))</f>
        <v/>
      </c>
      <c r="H439" s="10">
        <f>IF($K439="","",INDEX(Конструктор!$N$2:$N$1212,$K439))</f>
        <v/>
      </c>
      <c r="I439" s="10">
        <f>IF($K439="","",INDEX(Конструктор!$O$2:$O$1212,$K439))</f>
        <v/>
      </c>
      <c r="J439" s="10">
        <f>IF($K439="","",INDEX(Конструктор!$P$2:$P$1212,$K439))</f>
        <v/>
      </c>
      <c r="K439">
        <f>IFERROR(MATCH(419,Конструктор!$T$2:$T$1212,0),"")</f>
        <v/>
      </c>
      <c r="L439">
        <f>IF($K439="","","показать")</f>
        <v/>
      </c>
    </row>
    <row r="440" hidden="1">
      <c r="A440">
        <f>IF($K440="","",420)</f>
        <v/>
      </c>
      <c r="B440">
        <f>IF($K440="","",INDEX(Конструктор!$C$2:$C$1212,$K440))</f>
        <v/>
      </c>
      <c r="C440" s="8">
        <f>IF($K440="","",INDEX(Конструктор!$D$2:$D$1212,$K440)&amp;IF(INDEX(Конструктор!$J$2:$J$1212,$K440)&lt;&gt;""," — "&amp;INDEX(Конструктор!$J$2:$J$1212,$K440),""))</f>
        <v/>
      </c>
      <c r="D440">
        <f>IF($K440="","",INDEX(Конструктор!$E$2:$E$1212,$K440))</f>
        <v/>
      </c>
      <c r="E440" s="10">
        <f>IF($K440="","",INDEX(Конструктор!$H$2:$H$1212,$K440))</f>
        <v/>
      </c>
      <c r="F440" s="10">
        <f>IF($K440="","",INDEX(Конструктор!$L$2:$L$1212,$K440))</f>
        <v/>
      </c>
      <c r="G440" s="10">
        <f>IF($K440="","",INDEX(Конструктор!$M$2:$M$1212,$K440))</f>
        <v/>
      </c>
      <c r="H440" s="10">
        <f>IF($K440="","",INDEX(Конструктор!$N$2:$N$1212,$K440))</f>
        <v/>
      </c>
      <c r="I440" s="10">
        <f>IF($K440="","",INDEX(Конструктор!$O$2:$O$1212,$K440))</f>
        <v/>
      </c>
      <c r="J440" s="10">
        <f>IF($K440="","",INDEX(Конструктор!$P$2:$P$1212,$K440))</f>
        <v/>
      </c>
      <c r="K440">
        <f>IFERROR(MATCH(420,Конструктор!$T$2:$T$1212,0),"")</f>
        <v/>
      </c>
      <c r="L440">
        <f>IF($K440="","","показать")</f>
        <v/>
      </c>
    </row>
    <row r="441" hidden="1">
      <c r="A441">
        <f>IF($K441="","",421)</f>
        <v/>
      </c>
      <c r="B441">
        <f>IF($K441="","",INDEX(Конструктор!$C$2:$C$1212,$K441))</f>
        <v/>
      </c>
      <c r="C441" s="8">
        <f>IF($K441="","",INDEX(Конструктор!$D$2:$D$1212,$K441)&amp;IF(INDEX(Конструктор!$J$2:$J$1212,$K441)&lt;&gt;""," — "&amp;INDEX(Конструктор!$J$2:$J$1212,$K441),""))</f>
        <v/>
      </c>
      <c r="D441">
        <f>IF($K441="","",INDEX(Конструктор!$E$2:$E$1212,$K441))</f>
        <v/>
      </c>
      <c r="E441" s="10">
        <f>IF($K441="","",INDEX(Конструктор!$H$2:$H$1212,$K441))</f>
        <v/>
      </c>
      <c r="F441" s="10">
        <f>IF($K441="","",INDEX(Конструктор!$L$2:$L$1212,$K441))</f>
        <v/>
      </c>
      <c r="G441" s="10">
        <f>IF($K441="","",INDEX(Конструктор!$M$2:$M$1212,$K441))</f>
        <v/>
      </c>
      <c r="H441" s="10">
        <f>IF($K441="","",INDEX(Конструктор!$N$2:$N$1212,$K441))</f>
        <v/>
      </c>
      <c r="I441" s="10">
        <f>IF($K441="","",INDEX(Конструктор!$O$2:$O$1212,$K441))</f>
        <v/>
      </c>
      <c r="J441" s="10">
        <f>IF($K441="","",INDEX(Конструктор!$P$2:$P$1212,$K441))</f>
        <v/>
      </c>
      <c r="K441">
        <f>IFERROR(MATCH(421,Конструктор!$T$2:$T$1212,0),"")</f>
        <v/>
      </c>
      <c r="L441">
        <f>IF($K441="","","показать")</f>
        <v/>
      </c>
    </row>
    <row r="442" hidden="1">
      <c r="A442">
        <f>IF($K442="","",422)</f>
        <v/>
      </c>
      <c r="B442">
        <f>IF($K442="","",INDEX(Конструктор!$C$2:$C$1212,$K442))</f>
        <v/>
      </c>
      <c r="C442" s="8">
        <f>IF($K442="","",INDEX(Конструктор!$D$2:$D$1212,$K442)&amp;IF(INDEX(Конструктор!$J$2:$J$1212,$K442)&lt;&gt;""," — "&amp;INDEX(Конструктор!$J$2:$J$1212,$K442),""))</f>
        <v/>
      </c>
      <c r="D442">
        <f>IF($K442="","",INDEX(Конструктор!$E$2:$E$1212,$K442))</f>
        <v/>
      </c>
      <c r="E442" s="10">
        <f>IF($K442="","",INDEX(Конструктор!$H$2:$H$1212,$K442))</f>
        <v/>
      </c>
      <c r="F442" s="10">
        <f>IF($K442="","",INDEX(Конструктор!$L$2:$L$1212,$K442))</f>
        <v/>
      </c>
      <c r="G442" s="10">
        <f>IF($K442="","",INDEX(Конструктор!$M$2:$M$1212,$K442))</f>
        <v/>
      </c>
      <c r="H442" s="10">
        <f>IF($K442="","",INDEX(Конструктор!$N$2:$N$1212,$K442))</f>
        <v/>
      </c>
      <c r="I442" s="10">
        <f>IF($K442="","",INDEX(Конструктор!$O$2:$O$1212,$K442))</f>
        <v/>
      </c>
      <c r="J442" s="10">
        <f>IF($K442="","",INDEX(Конструктор!$P$2:$P$1212,$K442))</f>
        <v/>
      </c>
      <c r="K442">
        <f>IFERROR(MATCH(422,Конструктор!$T$2:$T$1212,0),"")</f>
        <v/>
      </c>
      <c r="L442">
        <f>IF($K442="","","показать")</f>
        <v/>
      </c>
    </row>
    <row r="443" hidden="1">
      <c r="A443">
        <f>IF($K443="","",423)</f>
        <v/>
      </c>
      <c r="B443">
        <f>IF($K443="","",INDEX(Конструктор!$C$2:$C$1212,$K443))</f>
        <v/>
      </c>
      <c r="C443" s="8">
        <f>IF($K443="","",INDEX(Конструктор!$D$2:$D$1212,$K443)&amp;IF(INDEX(Конструктор!$J$2:$J$1212,$K443)&lt;&gt;""," — "&amp;INDEX(Конструктор!$J$2:$J$1212,$K443),""))</f>
        <v/>
      </c>
      <c r="D443">
        <f>IF($K443="","",INDEX(Конструктор!$E$2:$E$1212,$K443))</f>
        <v/>
      </c>
      <c r="E443" s="10">
        <f>IF($K443="","",INDEX(Конструктор!$H$2:$H$1212,$K443))</f>
        <v/>
      </c>
      <c r="F443" s="10">
        <f>IF($K443="","",INDEX(Конструктор!$L$2:$L$1212,$K443))</f>
        <v/>
      </c>
      <c r="G443" s="10">
        <f>IF($K443="","",INDEX(Конструктор!$M$2:$M$1212,$K443))</f>
        <v/>
      </c>
      <c r="H443" s="10">
        <f>IF($K443="","",INDEX(Конструктор!$N$2:$N$1212,$K443))</f>
        <v/>
      </c>
      <c r="I443" s="10">
        <f>IF($K443="","",INDEX(Конструктор!$O$2:$O$1212,$K443))</f>
        <v/>
      </c>
      <c r="J443" s="10">
        <f>IF($K443="","",INDEX(Конструктор!$P$2:$P$1212,$K443))</f>
        <v/>
      </c>
      <c r="K443">
        <f>IFERROR(MATCH(423,Конструктор!$T$2:$T$1212,0),"")</f>
        <v/>
      </c>
      <c r="L443">
        <f>IF($K443="","","показать")</f>
        <v/>
      </c>
    </row>
    <row r="444" hidden="1">
      <c r="A444">
        <f>IF($K444="","",424)</f>
        <v/>
      </c>
      <c r="B444">
        <f>IF($K444="","",INDEX(Конструктор!$C$2:$C$1212,$K444))</f>
        <v/>
      </c>
      <c r="C444" s="8">
        <f>IF($K444="","",INDEX(Конструктор!$D$2:$D$1212,$K444)&amp;IF(INDEX(Конструктор!$J$2:$J$1212,$K444)&lt;&gt;""," — "&amp;INDEX(Конструктор!$J$2:$J$1212,$K444),""))</f>
        <v/>
      </c>
      <c r="D444">
        <f>IF($K444="","",INDEX(Конструктор!$E$2:$E$1212,$K444))</f>
        <v/>
      </c>
      <c r="E444" s="10">
        <f>IF($K444="","",INDEX(Конструктор!$H$2:$H$1212,$K444))</f>
        <v/>
      </c>
      <c r="F444" s="10">
        <f>IF($K444="","",INDEX(Конструктор!$L$2:$L$1212,$K444))</f>
        <v/>
      </c>
      <c r="G444" s="10">
        <f>IF($K444="","",INDEX(Конструктор!$M$2:$M$1212,$K444))</f>
        <v/>
      </c>
      <c r="H444" s="10">
        <f>IF($K444="","",INDEX(Конструктор!$N$2:$N$1212,$K444))</f>
        <v/>
      </c>
      <c r="I444" s="10">
        <f>IF($K444="","",INDEX(Конструктор!$O$2:$O$1212,$K444))</f>
        <v/>
      </c>
      <c r="J444" s="10">
        <f>IF($K444="","",INDEX(Конструктор!$P$2:$P$1212,$K444))</f>
        <v/>
      </c>
      <c r="K444">
        <f>IFERROR(MATCH(424,Конструктор!$T$2:$T$1212,0),"")</f>
        <v/>
      </c>
      <c r="L444">
        <f>IF($K444="","","показать")</f>
        <v/>
      </c>
    </row>
    <row r="445" hidden="1">
      <c r="A445">
        <f>IF($K445="","",425)</f>
        <v/>
      </c>
      <c r="B445">
        <f>IF($K445="","",INDEX(Конструктор!$C$2:$C$1212,$K445))</f>
        <v/>
      </c>
      <c r="C445" s="8">
        <f>IF($K445="","",INDEX(Конструктор!$D$2:$D$1212,$K445)&amp;IF(INDEX(Конструктор!$J$2:$J$1212,$K445)&lt;&gt;""," — "&amp;INDEX(Конструктор!$J$2:$J$1212,$K445),""))</f>
        <v/>
      </c>
      <c r="D445">
        <f>IF($K445="","",INDEX(Конструктор!$E$2:$E$1212,$K445))</f>
        <v/>
      </c>
      <c r="E445" s="10">
        <f>IF($K445="","",INDEX(Конструктор!$H$2:$H$1212,$K445))</f>
        <v/>
      </c>
      <c r="F445" s="10">
        <f>IF($K445="","",INDEX(Конструктор!$L$2:$L$1212,$K445))</f>
        <v/>
      </c>
      <c r="G445" s="10">
        <f>IF($K445="","",INDEX(Конструктор!$M$2:$M$1212,$K445))</f>
        <v/>
      </c>
      <c r="H445" s="10">
        <f>IF($K445="","",INDEX(Конструктор!$N$2:$N$1212,$K445))</f>
        <v/>
      </c>
      <c r="I445" s="10">
        <f>IF($K445="","",INDEX(Конструктор!$O$2:$O$1212,$K445))</f>
        <v/>
      </c>
      <c r="J445" s="10">
        <f>IF($K445="","",INDEX(Конструктор!$P$2:$P$1212,$K445))</f>
        <v/>
      </c>
      <c r="K445">
        <f>IFERROR(MATCH(425,Конструктор!$T$2:$T$1212,0),"")</f>
        <v/>
      </c>
      <c r="L445">
        <f>IF($K445="","","показать")</f>
        <v/>
      </c>
    </row>
    <row r="446" hidden="1">
      <c r="A446">
        <f>IF($K446="","",426)</f>
        <v/>
      </c>
      <c r="B446">
        <f>IF($K446="","",INDEX(Конструктор!$C$2:$C$1212,$K446))</f>
        <v/>
      </c>
      <c r="C446" s="8">
        <f>IF($K446="","",INDEX(Конструктор!$D$2:$D$1212,$K446)&amp;IF(INDEX(Конструктор!$J$2:$J$1212,$K446)&lt;&gt;""," — "&amp;INDEX(Конструктор!$J$2:$J$1212,$K446),""))</f>
        <v/>
      </c>
      <c r="D446">
        <f>IF($K446="","",INDEX(Конструктор!$E$2:$E$1212,$K446))</f>
        <v/>
      </c>
      <c r="E446" s="10">
        <f>IF($K446="","",INDEX(Конструктор!$H$2:$H$1212,$K446))</f>
        <v/>
      </c>
      <c r="F446" s="10">
        <f>IF($K446="","",INDEX(Конструктор!$L$2:$L$1212,$K446))</f>
        <v/>
      </c>
      <c r="G446" s="10">
        <f>IF($K446="","",INDEX(Конструктор!$M$2:$M$1212,$K446))</f>
        <v/>
      </c>
      <c r="H446" s="10">
        <f>IF($K446="","",INDEX(Конструктор!$N$2:$N$1212,$K446))</f>
        <v/>
      </c>
      <c r="I446" s="10">
        <f>IF($K446="","",INDEX(Конструктор!$O$2:$O$1212,$K446))</f>
        <v/>
      </c>
      <c r="J446" s="10">
        <f>IF($K446="","",INDEX(Конструктор!$P$2:$P$1212,$K446))</f>
        <v/>
      </c>
      <c r="K446">
        <f>IFERROR(MATCH(426,Конструктор!$T$2:$T$1212,0),"")</f>
        <v/>
      </c>
      <c r="L446">
        <f>IF($K446="","","показать")</f>
        <v/>
      </c>
    </row>
    <row r="447" hidden="1">
      <c r="A447">
        <f>IF($K447="","",427)</f>
        <v/>
      </c>
      <c r="B447">
        <f>IF($K447="","",INDEX(Конструктор!$C$2:$C$1212,$K447))</f>
        <v/>
      </c>
      <c r="C447" s="8">
        <f>IF($K447="","",INDEX(Конструктор!$D$2:$D$1212,$K447)&amp;IF(INDEX(Конструктор!$J$2:$J$1212,$K447)&lt;&gt;""," — "&amp;INDEX(Конструктор!$J$2:$J$1212,$K447),""))</f>
        <v/>
      </c>
      <c r="D447">
        <f>IF($K447="","",INDEX(Конструктор!$E$2:$E$1212,$K447))</f>
        <v/>
      </c>
      <c r="E447" s="10">
        <f>IF($K447="","",INDEX(Конструктор!$H$2:$H$1212,$K447))</f>
        <v/>
      </c>
      <c r="F447" s="10">
        <f>IF($K447="","",INDEX(Конструктор!$L$2:$L$1212,$K447))</f>
        <v/>
      </c>
      <c r="G447" s="10">
        <f>IF($K447="","",INDEX(Конструктор!$M$2:$M$1212,$K447))</f>
        <v/>
      </c>
      <c r="H447" s="10">
        <f>IF($K447="","",INDEX(Конструктор!$N$2:$N$1212,$K447))</f>
        <v/>
      </c>
      <c r="I447" s="10">
        <f>IF($K447="","",INDEX(Конструктор!$O$2:$O$1212,$K447))</f>
        <v/>
      </c>
      <c r="J447" s="10">
        <f>IF($K447="","",INDEX(Конструктор!$P$2:$P$1212,$K447))</f>
        <v/>
      </c>
      <c r="K447">
        <f>IFERROR(MATCH(427,Конструктор!$T$2:$T$1212,0),"")</f>
        <v/>
      </c>
      <c r="L447">
        <f>IF($K447="","","показать")</f>
        <v/>
      </c>
    </row>
    <row r="448" hidden="1">
      <c r="A448">
        <f>IF($K448="","",428)</f>
        <v/>
      </c>
      <c r="B448">
        <f>IF($K448="","",INDEX(Конструктор!$C$2:$C$1212,$K448))</f>
        <v/>
      </c>
      <c r="C448" s="8">
        <f>IF($K448="","",INDEX(Конструктор!$D$2:$D$1212,$K448)&amp;IF(INDEX(Конструктор!$J$2:$J$1212,$K448)&lt;&gt;""," — "&amp;INDEX(Конструктор!$J$2:$J$1212,$K448),""))</f>
        <v/>
      </c>
      <c r="D448">
        <f>IF($K448="","",INDEX(Конструктор!$E$2:$E$1212,$K448))</f>
        <v/>
      </c>
      <c r="E448" s="10">
        <f>IF($K448="","",INDEX(Конструктор!$H$2:$H$1212,$K448))</f>
        <v/>
      </c>
      <c r="F448" s="10">
        <f>IF($K448="","",INDEX(Конструктор!$L$2:$L$1212,$K448))</f>
        <v/>
      </c>
      <c r="G448" s="10">
        <f>IF($K448="","",INDEX(Конструктор!$M$2:$M$1212,$K448))</f>
        <v/>
      </c>
      <c r="H448" s="10">
        <f>IF($K448="","",INDEX(Конструктор!$N$2:$N$1212,$K448))</f>
        <v/>
      </c>
      <c r="I448" s="10">
        <f>IF($K448="","",INDEX(Конструктор!$O$2:$O$1212,$K448))</f>
        <v/>
      </c>
      <c r="J448" s="10">
        <f>IF($K448="","",INDEX(Конструктор!$P$2:$P$1212,$K448))</f>
        <v/>
      </c>
      <c r="K448">
        <f>IFERROR(MATCH(428,Конструктор!$T$2:$T$1212,0),"")</f>
        <v/>
      </c>
      <c r="L448">
        <f>IF($K448="","","показать")</f>
        <v/>
      </c>
    </row>
    <row r="449" hidden="1">
      <c r="A449">
        <f>IF($K449="","",429)</f>
        <v/>
      </c>
      <c r="B449">
        <f>IF($K449="","",INDEX(Конструктор!$C$2:$C$1212,$K449))</f>
        <v/>
      </c>
      <c r="C449" s="8">
        <f>IF($K449="","",INDEX(Конструктор!$D$2:$D$1212,$K449)&amp;IF(INDEX(Конструктор!$J$2:$J$1212,$K449)&lt;&gt;""," — "&amp;INDEX(Конструктор!$J$2:$J$1212,$K449),""))</f>
        <v/>
      </c>
      <c r="D449">
        <f>IF($K449="","",INDEX(Конструктор!$E$2:$E$1212,$K449))</f>
        <v/>
      </c>
      <c r="E449" s="10">
        <f>IF($K449="","",INDEX(Конструктор!$H$2:$H$1212,$K449))</f>
        <v/>
      </c>
      <c r="F449" s="10">
        <f>IF($K449="","",INDEX(Конструктор!$L$2:$L$1212,$K449))</f>
        <v/>
      </c>
      <c r="G449" s="10">
        <f>IF($K449="","",INDEX(Конструктор!$M$2:$M$1212,$K449))</f>
        <v/>
      </c>
      <c r="H449" s="10">
        <f>IF($K449="","",INDEX(Конструктор!$N$2:$N$1212,$K449))</f>
        <v/>
      </c>
      <c r="I449" s="10">
        <f>IF($K449="","",INDEX(Конструктор!$O$2:$O$1212,$K449))</f>
        <v/>
      </c>
      <c r="J449" s="10">
        <f>IF($K449="","",INDEX(Конструктор!$P$2:$P$1212,$K449))</f>
        <v/>
      </c>
      <c r="K449">
        <f>IFERROR(MATCH(429,Конструктор!$T$2:$T$1212,0),"")</f>
        <v/>
      </c>
      <c r="L449">
        <f>IF($K449="","","показать")</f>
        <v/>
      </c>
    </row>
    <row r="450" hidden="1">
      <c r="A450">
        <f>IF($K450="","",430)</f>
        <v/>
      </c>
      <c r="B450">
        <f>IF($K450="","",INDEX(Конструктор!$C$2:$C$1212,$K450))</f>
        <v/>
      </c>
      <c r="C450" s="8">
        <f>IF($K450="","",INDEX(Конструктор!$D$2:$D$1212,$K450)&amp;IF(INDEX(Конструктор!$J$2:$J$1212,$K450)&lt;&gt;""," — "&amp;INDEX(Конструктор!$J$2:$J$1212,$K450),""))</f>
        <v/>
      </c>
      <c r="D450">
        <f>IF($K450="","",INDEX(Конструктор!$E$2:$E$1212,$K450))</f>
        <v/>
      </c>
      <c r="E450" s="10">
        <f>IF($K450="","",INDEX(Конструктор!$H$2:$H$1212,$K450))</f>
        <v/>
      </c>
      <c r="F450" s="10">
        <f>IF($K450="","",INDEX(Конструктор!$L$2:$L$1212,$K450))</f>
        <v/>
      </c>
      <c r="G450" s="10">
        <f>IF($K450="","",INDEX(Конструктор!$M$2:$M$1212,$K450))</f>
        <v/>
      </c>
      <c r="H450" s="10">
        <f>IF($K450="","",INDEX(Конструктор!$N$2:$N$1212,$K450))</f>
        <v/>
      </c>
      <c r="I450" s="10">
        <f>IF($K450="","",INDEX(Конструктор!$O$2:$O$1212,$K450))</f>
        <v/>
      </c>
      <c r="J450" s="10">
        <f>IF($K450="","",INDEX(Конструктор!$P$2:$P$1212,$K450))</f>
        <v/>
      </c>
      <c r="K450">
        <f>IFERROR(MATCH(430,Конструктор!$T$2:$T$1212,0),"")</f>
        <v/>
      </c>
      <c r="L450">
        <f>IF($K450="","","показать")</f>
        <v/>
      </c>
    </row>
    <row r="451" hidden="1">
      <c r="A451">
        <f>IF($K451="","",431)</f>
        <v/>
      </c>
      <c r="B451">
        <f>IF($K451="","",INDEX(Конструктор!$C$2:$C$1212,$K451))</f>
        <v/>
      </c>
      <c r="C451" s="8">
        <f>IF($K451="","",INDEX(Конструктор!$D$2:$D$1212,$K451)&amp;IF(INDEX(Конструктор!$J$2:$J$1212,$K451)&lt;&gt;""," — "&amp;INDEX(Конструктор!$J$2:$J$1212,$K451),""))</f>
        <v/>
      </c>
      <c r="D451">
        <f>IF($K451="","",INDEX(Конструктор!$E$2:$E$1212,$K451))</f>
        <v/>
      </c>
      <c r="E451" s="10">
        <f>IF($K451="","",INDEX(Конструктор!$H$2:$H$1212,$K451))</f>
        <v/>
      </c>
      <c r="F451" s="10">
        <f>IF($K451="","",INDEX(Конструктор!$L$2:$L$1212,$K451))</f>
        <v/>
      </c>
      <c r="G451" s="10">
        <f>IF($K451="","",INDEX(Конструктор!$M$2:$M$1212,$K451))</f>
        <v/>
      </c>
      <c r="H451" s="10">
        <f>IF($K451="","",INDEX(Конструктор!$N$2:$N$1212,$K451))</f>
        <v/>
      </c>
      <c r="I451" s="10">
        <f>IF($K451="","",INDEX(Конструктор!$O$2:$O$1212,$K451))</f>
        <v/>
      </c>
      <c r="J451" s="10">
        <f>IF($K451="","",INDEX(Конструктор!$P$2:$P$1212,$K451))</f>
        <v/>
      </c>
      <c r="K451">
        <f>IFERROR(MATCH(431,Конструктор!$T$2:$T$1212,0),"")</f>
        <v/>
      </c>
      <c r="L451">
        <f>IF($K451="","","показать")</f>
        <v/>
      </c>
    </row>
    <row r="452" hidden="1">
      <c r="A452">
        <f>IF($K452="","",432)</f>
        <v/>
      </c>
      <c r="B452">
        <f>IF($K452="","",INDEX(Конструктор!$C$2:$C$1212,$K452))</f>
        <v/>
      </c>
      <c r="C452" s="8">
        <f>IF($K452="","",INDEX(Конструктор!$D$2:$D$1212,$K452)&amp;IF(INDEX(Конструктор!$J$2:$J$1212,$K452)&lt;&gt;""," — "&amp;INDEX(Конструктор!$J$2:$J$1212,$K452),""))</f>
        <v/>
      </c>
      <c r="D452">
        <f>IF($K452="","",INDEX(Конструктор!$E$2:$E$1212,$K452))</f>
        <v/>
      </c>
      <c r="E452" s="10">
        <f>IF($K452="","",INDEX(Конструктор!$H$2:$H$1212,$K452))</f>
        <v/>
      </c>
      <c r="F452" s="10">
        <f>IF($K452="","",INDEX(Конструктор!$L$2:$L$1212,$K452))</f>
        <v/>
      </c>
      <c r="G452" s="10">
        <f>IF($K452="","",INDEX(Конструктор!$M$2:$M$1212,$K452))</f>
        <v/>
      </c>
      <c r="H452" s="10">
        <f>IF($K452="","",INDEX(Конструктор!$N$2:$N$1212,$K452))</f>
        <v/>
      </c>
      <c r="I452" s="10">
        <f>IF($K452="","",INDEX(Конструктор!$O$2:$O$1212,$K452))</f>
        <v/>
      </c>
      <c r="J452" s="10">
        <f>IF($K452="","",INDEX(Конструктор!$P$2:$P$1212,$K452))</f>
        <v/>
      </c>
      <c r="K452">
        <f>IFERROR(MATCH(432,Конструктор!$T$2:$T$1212,0),"")</f>
        <v/>
      </c>
      <c r="L452">
        <f>IF($K452="","","показать")</f>
        <v/>
      </c>
    </row>
    <row r="453" hidden="1">
      <c r="A453">
        <f>IF($K453="","",433)</f>
        <v/>
      </c>
      <c r="B453">
        <f>IF($K453="","",INDEX(Конструктор!$C$2:$C$1212,$K453))</f>
        <v/>
      </c>
      <c r="C453" s="8">
        <f>IF($K453="","",INDEX(Конструктор!$D$2:$D$1212,$K453)&amp;IF(INDEX(Конструктор!$J$2:$J$1212,$K453)&lt;&gt;""," — "&amp;INDEX(Конструктор!$J$2:$J$1212,$K453),""))</f>
        <v/>
      </c>
      <c r="D453">
        <f>IF($K453="","",INDEX(Конструктор!$E$2:$E$1212,$K453))</f>
        <v/>
      </c>
      <c r="E453" s="10">
        <f>IF($K453="","",INDEX(Конструктор!$H$2:$H$1212,$K453))</f>
        <v/>
      </c>
      <c r="F453" s="10">
        <f>IF($K453="","",INDEX(Конструктор!$L$2:$L$1212,$K453))</f>
        <v/>
      </c>
      <c r="G453" s="10">
        <f>IF($K453="","",INDEX(Конструктор!$M$2:$M$1212,$K453))</f>
        <v/>
      </c>
      <c r="H453" s="10">
        <f>IF($K453="","",INDEX(Конструктор!$N$2:$N$1212,$K453))</f>
        <v/>
      </c>
      <c r="I453" s="10">
        <f>IF($K453="","",INDEX(Конструктор!$O$2:$O$1212,$K453))</f>
        <v/>
      </c>
      <c r="J453" s="10">
        <f>IF($K453="","",INDEX(Конструктор!$P$2:$P$1212,$K453))</f>
        <v/>
      </c>
      <c r="K453">
        <f>IFERROR(MATCH(433,Конструктор!$T$2:$T$1212,0),"")</f>
        <v/>
      </c>
      <c r="L453">
        <f>IF($K453="","","показать")</f>
        <v/>
      </c>
    </row>
    <row r="454" hidden="1">
      <c r="A454">
        <f>IF($K454="","",434)</f>
        <v/>
      </c>
      <c r="B454">
        <f>IF($K454="","",INDEX(Конструктор!$C$2:$C$1212,$K454))</f>
        <v/>
      </c>
      <c r="C454" s="8">
        <f>IF($K454="","",INDEX(Конструктор!$D$2:$D$1212,$K454)&amp;IF(INDEX(Конструктор!$J$2:$J$1212,$K454)&lt;&gt;""," — "&amp;INDEX(Конструктор!$J$2:$J$1212,$K454),""))</f>
        <v/>
      </c>
      <c r="D454">
        <f>IF($K454="","",INDEX(Конструктор!$E$2:$E$1212,$K454))</f>
        <v/>
      </c>
      <c r="E454" s="10">
        <f>IF($K454="","",INDEX(Конструктор!$H$2:$H$1212,$K454))</f>
        <v/>
      </c>
      <c r="F454" s="10">
        <f>IF($K454="","",INDEX(Конструктор!$L$2:$L$1212,$K454))</f>
        <v/>
      </c>
      <c r="G454" s="10">
        <f>IF($K454="","",INDEX(Конструктор!$M$2:$M$1212,$K454))</f>
        <v/>
      </c>
      <c r="H454" s="10">
        <f>IF($K454="","",INDEX(Конструктор!$N$2:$N$1212,$K454))</f>
        <v/>
      </c>
      <c r="I454" s="10">
        <f>IF($K454="","",INDEX(Конструктор!$O$2:$O$1212,$K454))</f>
        <v/>
      </c>
      <c r="J454" s="10">
        <f>IF($K454="","",INDEX(Конструктор!$P$2:$P$1212,$K454))</f>
        <v/>
      </c>
      <c r="K454">
        <f>IFERROR(MATCH(434,Конструктор!$T$2:$T$1212,0),"")</f>
        <v/>
      </c>
      <c r="L454">
        <f>IF($K454="","","показать")</f>
        <v/>
      </c>
    </row>
    <row r="455" hidden="1">
      <c r="A455">
        <f>IF($K455="","",435)</f>
        <v/>
      </c>
      <c r="B455">
        <f>IF($K455="","",INDEX(Конструктор!$C$2:$C$1212,$K455))</f>
        <v/>
      </c>
      <c r="C455" s="8">
        <f>IF($K455="","",INDEX(Конструктор!$D$2:$D$1212,$K455)&amp;IF(INDEX(Конструктор!$J$2:$J$1212,$K455)&lt;&gt;""," — "&amp;INDEX(Конструктор!$J$2:$J$1212,$K455),""))</f>
        <v/>
      </c>
      <c r="D455">
        <f>IF($K455="","",INDEX(Конструктор!$E$2:$E$1212,$K455))</f>
        <v/>
      </c>
      <c r="E455" s="10">
        <f>IF($K455="","",INDEX(Конструктор!$H$2:$H$1212,$K455))</f>
        <v/>
      </c>
      <c r="F455" s="10">
        <f>IF($K455="","",INDEX(Конструктор!$L$2:$L$1212,$K455))</f>
        <v/>
      </c>
      <c r="G455" s="10">
        <f>IF($K455="","",INDEX(Конструктор!$M$2:$M$1212,$K455))</f>
        <v/>
      </c>
      <c r="H455" s="10">
        <f>IF($K455="","",INDEX(Конструктор!$N$2:$N$1212,$K455))</f>
        <v/>
      </c>
      <c r="I455" s="10">
        <f>IF($K455="","",INDEX(Конструктор!$O$2:$O$1212,$K455))</f>
        <v/>
      </c>
      <c r="J455" s="10">
        <f>IF($K455="","",INDEX(Конструктор!$P$2:$P$1212,$K455))</f>
        <v/>
      </c>
      <c r="K455">
        <f>IFERROR(MATCH(435,Конструктор!$T$2:$T$1212,0),"")</f>
        <v/>
      </c>
      <c r="L455">
        <f>IF($K455="","","показать")</f>
        <v/>
      </c>
    </row>
    <row r="456" hidden="1">
      <c r="A456">
        <f>IF($K456="","",436)</f>
        <v/>
      </c>
      <c r="B456">
        <f>IF($K456="","",INDEX(Конструктор!$C$2:$C$1212,$K456))</f>
        <v/>
      </c>
      <c r="C456" s="8">
        <f>IF($K456="","",INDEX(Конструктор!$D$2:$D$1212,$K456)&amp;IF(INDEX(Конструктор!$J$2:$J$1212,$K456)&lt;&gt;""," — "&amp;INDEX(Конструктор!$J$2:$J$1212,$K456),""))</f>
        <v/>
      </c>
      <c r="D456">
        <f>IF($K456="","",INDEX(Конструктор!$E$2:$E$1212,$K456))</f>
        <v/>
      </c>
      <c r="E456" s="10">
        <f>IF($K456="","",INDEX(Конструктор!$H$2:$H$1212,$K456))</f>
        <v/>
      </c>
      <c r="F456" s="10">
        <f>IF($K456="","",INDEX(Конструктор!$L$2:$L$1212,$K456))</f>
        <v/>
      </c>
      <c r="G456" s="10">
        <f>IF($K456="","",INDEX(Конструктор!$M$2:$M$1212,$K456))</f>
        <v/>
      </c>
      <c r="H456" s="10">
        <f>IF($K456="","",INDEX(Конструктор!$N$2:$N$1212,$K456))</f>
        <v/>
      </c>
      <c r="I456" s="10">
        <f>IF($K456="","",INDEX(Конструктор!$O$2:$O$1212,$K456))</f>
        <v/>
      </c>
      <c r="J456" s="10">
        <f>IF($K456="","",INDEX(Конструктор!$P$2:$P$1212,$K456))</f>
        <v/>
      </c>
      <c r="K456">
        <f>IFERROR(MATCH(436,Конструктор!$T$2:$T$1212,0),"")</f>
        <v/>
      </c>
      <c r="L456">
        <f>IF($K456="","","показать")</f>
        <v/>
      </c>
    </row>
    <row r="457" hidden="1">
      <c r="A457">
        <f>IF($K457="","",437)</f>
        <v/>
      </c>
      <c r="B457">
        <f>IF($K457="","",INDEX(Конструктор!$C$2:$C$1212,$K457))</f>
        <v/>
      </c>
      <c r="C457" s="8">
        <f>IF($K457="","",INDEX(Конструктор!$D$2:$D$1212,$K457)&amp;IF(INDEX(Конструктор!$J$2:$J$1212,$K457)&lt;&gt;""," — "&amp;INDEX(Конструктор!$J$2:$J$1212,$K457),""))</f>
        <v/>
      </c>
      <c r="D457">
        <f>IF($K457="","",INDEX(Конструктор!$E$2:$E$1212,$K457))</f>
        <v/>
      </c>
      <c r="E457" s="10">
        <f>IF($K457="","",INDEX(Конструктор!$H$2:$H$1212,$K457))</f>
        <v/>
      </c>
      <c r="F457" s="10">
        <f>IF($K457="","",INDEX(Конструктор!$L$2:$L$1212,$K457))</f>
        <v/>
      </c>
      <c r="G457" s="10">
        <f>IF($K457="","",INDEX(Конструктор!$M$2:$M$1212,$K457))</f>
        <v/>
      </c>
      <c r="H457" s="10">
        <f>IF($K457="","",INDEX(Конструктор!$N$2:$N$1212,$K457))</f>
        <v/>
      </c>
      <c r="I457" s="10">
        <f>IF($K457="","",INDEX(Конструктор!$O$2:$O$1212,$K457))</f>
        <v/>
      </c>
      <c r="J457" s="10">
        <f>IF($K457="","",INDEX(Конструктор!$P$2:$P$1212,$K457))</f>
        <v/>
      </c>
      <c r="K457">
        <f>IFERROR(MATCH(437,Конструктор!$T$2:$T$1212,0),"")</f>
        <v/>
      </c>
      <c r="L457">
        <f>IF($K457="","","показать")</f>
        <v/>
      </c>
    </row>
    <row r="458" hidden="1">
      <c r="A458">
        <f>IF($K458="","",438)</f>
        <v/>
      </c>
      <c r="B458">
        <f>IF($K458="","",INDEX(Конструктор!$C$2:$C$1212,$K458))</f>
        <v/>
      </c>
      <c r="C458" s="8">
        <f>IF($K458="","",INDEX(Конструктор!$D$2:$D$1212,$K458)&amp;IF(INDEX(Конструктор!$J$2:$J$1212,$K458)&lt;&gt;""," — "&amp;INDEX(Конструктор!$J$2:$J$1212,$K458),""))</f>
        <v/>
      </c>
      <c r="D458">
        <f>IF($K458="","",INDEX(Конструктор!$E$2:$E$1212,$K458))</f>
        <v/>
      </c>
      <c r="E458" s="10">
        <f>IF($K458="","",INDEX(Конструктор!$H$2:$H$1212,$K458))</f>
        <v/>
      </c>
      <c r="F458" s="10">
        <f>IF($K458="","",INDEX(Конструктор!$L$2:$L$1212,$K458))</f>
        <v/>
      </c>
      <c r="G458" s="10">
        <f>IF($K458="","",INDEX(Конструктор!$M$2:$M$1212,$K458))</f>
        <v/>
      </c>
      <c r="H458" s="10">
        <f>IF($K458="","",INDEX(Конструктор!$N$2:$N$1212,$K458))</f>
        <v/>
      </c>
      <c r="I458" s="10">
        <f>IF($K458="","",INDEX(Конструктор!$O$2:$O$1212,$K458))</f>
        <v/>
      </c>
      <c r="J458" s="10">
        <f>IF($K458="","",INDEX(Конструктор!$P$2:$P$1212,$K458))</f>
        <v/>
      </c>
      <c r="K458">
        <f>IFERROR(MATCH(438,Конструктор!$T$2:$T$1212,0),"")</f>
        <v/>
      </c>
      <c r="L458">
        <f>IF($K458="","","показать")</f>
        <v/>
      </c>
    </row>
    <row r="459" hidden="1">
      <c r="A459">
        <f>IF($K459="","",439)</f>
        <v/>
      </c>
      <c r="B459">
        <f>IF($K459="","",INDEX(Конструктор!$C$2:$C$1212,$K459))</f>
        <v/>
      </c>
      <c r="C459" s="8">
        <f>IF($K459="","",INDEX(Конструктор!$D$2:$D$1212,$K459)&amp;IF(INDEX(Конструктор!$J$2:$J$1212,$K459)&lt;&gt;""," — "&amp;INDEX(Конструктор!$J$2:$J$1212,$K459),""))</f>
        <v/>
      </c>
      <c r="D459">
        <f>IF($K459="","",INDEX(Конструктор!$E$2:$E$1212,$K459))</f>
        <v/>
      </c>
      <c r="E459" s="10">
        <f>IF($K459="","",INDEX(Конструктор!$H$2:$H$1212,$K459))</f>
        <v/>
      </c>
      <c r="F459" s="10">
        <f>IF($K459="","",INDEX(Конструктор!$L$2:$L$1212,$K459))</f>
        <v/>
      </c>
      <c r="G459" s="10">
        <f>IF($K459="","",INDEX(Конструктор!$M$2:$M$1212,$K459))</f>
        <v/>
      </c>
      <c r="H459" s="10">
        <f>IF($K459="","",INDEX(Конструктор!$N$2:$N$1212,$K459))</f>
        <v/>
      </c>
      <c r="I459" s="10">
        <f>IF($K459="","",INDEX(Конструктор!$O$2:$O$1212,$K459))</f>
        <v/>
      </c>
      <c r="J459" s="10">
        <f>IF($K459="","",INDEX(Конструктор!$P$2:$P$1212,$K459))</f>
        <v/>
      </c>
      <c r="K459">
        <f>IFERROR(MATCH(439,Конструктор!$T$2:$T$1212,0),"")</f>
        <v/>
      </c>
      <c r="L459">
        <f>IF($K459="","","показать")</f>
        <v/>
      </c>
    </row>
    <row r="460" hidden="1">
      <c r="A460">
        <f>IF($K460="","",440)</f>
        <v/>
      </c>
      <c r="B460">
        <f>IF($K460="","",INDEX(Конструктор!$C$2:$C$1212,$K460))</f>
        <v/>
      </c>
      <c r="C460" s="8">
        <f>IF($K460="","",INDEX(Конструктор!$D$2:$D$1212,$K460)&amp;IF(INDEX(Конструктор!$J$2:$J$1212,$K460)&lt;&gt;""," — "&amp;INDEX(Конструктор!$J$2:$J$1212,$K460),""))</f>
        <v/>
      </c>
      <c r="D460">
        <f>IF($K460="","",INDEX(Конструктор!$E$2:$E$1212,$K460))</f>
        <v/>
      </c>
      <c r="E460" s="10">
        <f>IF($K460="","",INDEX(Конструктор!$H$2:$H$1212,$K460))</f>
        <v/>
      </c>
      <c r="F460" s="10">
        <f>IF($K460="","",INDEX(Конструктор!$L$2:$L$1212,$K460))</f>
        <v/>
      </c>
      <c r="G460" s="10">
        <f>IF($K460="","",INDEX(Конструктор!$M$2:$M$1212,$K460))</f>
        <v/>
      </c>
      <c r="H460" s="10">
        <f>IF($K460="","",INDEX(Конструктор!$N$2:$N$1212,$K460))</f>
        <v/>
      </c>
      <c r="I460" s="10">
        <f>IF($K460="","",INDEX(Конструктор!$O$2:$O$1212,$K460))</f>
        <v/>
      </c>
      <c r="J460" s="10">
        <f>IF($K460="","",INDEX(Конструктор!$P$2:$P$1212,$K460))</f>
        <v/>
      </c>
      <c r="K460">
        <f>IFERROR(MATCH(440,Конструктор!$T$2:$T$1212,0),"")</f>
        <v/>
      </c>
      <c r="L460">
        <f>IF($K460="","","показать")</f>
        <v/>
      </c>
    </row>
    <row r="461" hidden="1">
      <c r="A461">
        <f>IF($K461="","",441)</f>
        <v/>
      </c>
      <c r="B461">
        <f>IF($K461="","",INDEX(Конструктор!$C$2:$C$1212,$K461))</f>
        <v/>
      </c>
      <c r="C461" s="8">
        <f>IF($K461="","",INDEX(Конструктор!$D$2:$D$1212,$K461)&amp;IF(INDEX(Конструктор!$J$2:$J$1212,$K461)&lt;&gt;""," — "&amp;INDEX(Конструктор!$J$2:$J$1212,$K461),""))</f>
        <v/>
      </c>
      <c r="D461">
        <f>IF($K461="","",INDEX(Конструктор!$E$2:$E$1212,$K461))</f>
        <v/>
      </c>
      <c r="E461" s="10">
        <f>IF($K461="","",INDEX(Конструктор!$H$2:$H$1212,$K461))</f>
        <v/>
      </c>
      <c r="F461" s="10">
        <f>IF($K461="","",INDEX(Конструктор!$L$2:$L$1212,$K461))</f>
        <v/>
      </c>
      <c r="G461" s="10">
        <f>IF($K461="","",INDEX(Конструктор!$M$2:$M$1212,$K461))</f>
        <v/>
      </c>
      <c r="H461" s="10">
        <f>IF($K461="","",INDEX(Конструктор!$N$2:$N$1212,$K461))</f>
        <v/>
      </c>
      <c r="I461" s="10">
        <f>IF($K461="","",INDEX(Конструктор!$O$2:$O$1212,$K461))</f>
        <v/>
      </c>
      <c r="J461" s="10">
        <f>IF($K461="","",INDEX(Конструктор!$P$2:$P$1212,$K461))</f>
        <v/>
      </c>
      <c r="K461">
        <f>IFERROR(MATCH(441,Конструктор!$T$2:$T$1212,0),"")</f>
        <v/>
      </c>
      <c r="L461">
        <f>IF($K461="","","показать")</f>
        <v/>
      </c>
    </row>
    <row r="462" hidden="1">
      <c r="A462">
        <f>IF($K462="","",442)</f>
        <v/>
      </c>
      <c r="B462">
        <f>IF($K462="","",INDEX(Конструктор!$C$2:$C$1212,$K462))</f>
        <v/>
      </c>
      <c r="C462" s="8">
        <f>IF($K462="","",INDEX(Конструктор!$D$2:$D$1212,$K462)&amp;IF(INDEX(Конструктор!$J$2:$J$1212,$K462)&lt;&gt;""," — "&amp;INDEX(Конструктор!$J$2:$J$1212,$K462),""))</f>
        <v/>
      </c>
      <c r="D462">
        <f>IF($K462="","",INDEX(Конструктор!$E$2:$E$1212,$K462))</f>
        <v/>
      </c>
      <c r="E462" s="10">
        <f>IF($K462="","",INDEX(Конструктор!$H$2:$H$1212,$K462))</f>
        <v/>
      </c>
      <c r="F462" s="10">
        <f>IF($K462="","",INDEX(Конструктор!$L$2:$L$1212,$K462))</f>
        <v/>
      </c>
      <c r="G462" s="10">
        <f>IF($K462="","",INDEX(Конструктор!$M$2:$M$1212,$K462))</f>
        <v/>
      </c>
      <c r="H462" s="10">
        <f>IF($K462="","",INDEX(Конструктор!$N$2:$N$1212,$K462))</f>
        <v/>
      </c>
      <c r="I462" s="10">
        <f>IF($K462="","",INDEX(Конструктор!$O$2:$O$1212,$K462))</f>
        <v/>
      </c>
      <c r="J462" s="10">
        <f>IF($K462="","",INDEX(Конструктор!$P$2:$P$1212,$K462))</f>
        <v/>
      </c>
      <c r="K462">
        <f>IFERROR(MATCH(442,Конструктор!$T$2:$T$1212,0),"")</f>
        <v/>
      </c>
      <c r="L462">
        <f>IF($K462="","","показать")</f>
        <v/>
      </c>
    </row>
    <row r="463" hidden="1">
      <c r="A463">
        <f>IF($K463="","",443)</f>
        <v/>
      </c>
      <c r="B463">
        <f>IF($K463="","",INDEX(Конструктор!$C$2:$C$1212,$K463))</f>
        <v/>
      </c>
      <c r="C463" s="8">
        <f>IF($K463="","",INDEX(Конструктор!$D$2:$D$1212,$K463)&amp;IF(INDEX(Конструктор!$J$2:$J$1212,$K463)&lt;&gt;""," — "&amp;INDEX(Конструктор!$J$2:$J$1212,$K463),""))</f>
        <v/>
      </c>
      <c r="D463">
        <f>IF($K463="","",INDEX(Конструктор!$E$2:$E$1212,$K463))</f>
        <v/>
      </c>
      <c r="E463" s="10">
        <f>IF($K463="","",INDEX(Конструктор!$H$2:$H$1212,$K463))</f>
        <v/>
      </c>
      <c r="F463" s="10">
        <f>IF($K463="","",INDEX(Конструктор!$L$2:$L$1212,$K463))</f>
        <v/>
      </c>
      <c r="G463" s="10">
        <f>IF($K463="","",INDEX(Конструктор!$M$2:$M$1212,$K463))</f>
        <v/>
      </c>
      <c r="H463" s="10">
        <f>IF($K463="","",INDEX(Конструктор!$N$2:$N$1212,$K463))</f>
        <v/>
      </c>
      <c r="I463" s="10">
        <f>IF($K463="","",INDEX(Конструктор!$O$2:$O$1212,$K463))</f>
        <v/>
      </c>
      <c r="J463" s="10">
        <f>IF($K463="","",INDEX(Конструктор!$P$2:$P$1212,$K463))</f>
        <v/>
      </c>
      <c r="K463">
        <f>IFERROR(MATCH(443,Конструктор!$T$2:$T$1212,0),"")</f>
        <v/>
      </c>
      <c r="L463">
        <f>IF($K463="","","показать")</f>
        <v/>
      </c>
    </row>
    <row r="464" hidden="1">
      <c r="A464">
        <f>IF($K464="","",444)</f>
        <v/>
      </c>
      <c r="B464">
        <f>IF($K464="","",INDEX(Конструктор!$C$2:$C$1212,$K464))</f>
        <v/>
      </c>
      <c r="C464" s="8">
        <f>IF($K464="","",INDEX(Конструктор!$D$2:$D$1212,$K464)&amp;IF(INDEX(Конструктор!$J$2:$J$1212,$K464)&lt;&gt;""," — "&amp;INDEX(Конструктор!$J$2:$J$1212,$K464),""))</f>
        <v/>
      </c>
      <c r="D464">
        <f>IF($K464="","",INDEX(Конструктор!$E$2:$E$1212,$K464))</f>
        <v/>
      </c>
      <c r="E464" s="10">
        <f>IF($K464="","",INDEX(Конструктор!$H$2:$H$1212,$K464))</f>
        <v/>
      </c>
      <c r="F464" s="10">
        <f>IF($K464="","",INDEX(Конструктор!$L$2:$L$1212,$K464))</f>
        <v/>
      </c>
      <c r="G464" s="10">
        <f>IF($K464="","",INDEX(Конструктор!$M$2:$M$1212,$K464))</f>
        <v/>
      </c>
      <c r="H464" s="10">
        <f>IF($K464="","",INDEX(Конструктор!$N$2:$N$1212,$K464))</f>
        <v/>
      </c>
      <c r="I464" s="10">
        <f>IF($K464="","",INDEX(Конструктор!$O$2:$O$1212,$K464))</f>
        <v/>
      </c>
      <c r="J464" s="10">
        <f>IF($K464="","",INDEX(Конструктор!$P$2:$P$1212,$K464))</f>
        <v/>
      </c>
      <c r="K464">
        <f>IFERROR(MATCH(444,Конструктор!$T$2:$T$1212,0),"")</f>
        <v/>
      </c>
      <c r="L464">
        <f>IF($K464="","","показать")</f>
        <v/>
      </c>
    </row>
    <row r="465" hidden="1">
      <c r="A465">
        <f>IF($K465="","",445)</f>
        <v/>
      </c>
      <c r="B465">
        <f>IF($K465="","",INDEX(Конструктор!$C$2:$C$1212,$K465))</f>
        <v/>
      </c>
      <c r="C465" s="8">
        <f>IF($K465="","",INDEX(Конструктор!$D$2:$D$1212,$K465)&amp;IF(INDEX(Конструктор!$J$2:$J$1212,$K465)&lt;&gt;""," — "&amp;INDEX(Конструктор!$J$2:$J$1212,$K465),""))</f>
        <v/>
      </c>
      <c r="D465">
        <f>IF($K465="","",INDEX(Конструктор!$E$2:$E$1212,$K465))</f>
        <v/>
      </c>
      <c r="E465" s="10">
        <f>IF($K465="","",INDEX(Конструктор!$H$2:$H$1212,$K465))</f>
        <v/>
      </c>
      <c r="F465" s="10">
        <f>IF($K465="","",INDEX(Конструктор!$L$2:$L$1212,$K465))</f>
        <v/>
      </c>
      <c r="G465" s="10">
        <f>IF($K465="","",INDEX(Конструктор!$M$2:$M$1212,$K465))</f>
        <v/>
      </c>
      <c r="H465" s="10">
        <f>IF($K465="","",INDEX(Конструктор!$N$2:$N$1212,$K465))</f>
        <v/>
      </c>
      <c r="I465" s="10">
        <f>IF($K465="","",INDEX(Конструктор!$O$2:$O$1212,$K465))</f>
        <v/>
      </c>
      <c r="J465" s="10">
        <f>IF($K465="","",INDEX(Конструктор!$P$2:$P$1212,$K465))</f>
        <v/>
      </c>
      <c r="K465">
        <f>IFERROR(MATCH(445,Конструктор!$T$2:$T$1212,0),"")</f>
        <v/>
      </c>
      <c r="L465">
        <f>IF($K465="","","показать")</f>
        <v/>
      </c>
    </row>
    <row r="466" hidden="1">
      <c r="A466">
        <f>IF($K466="","",446)</f>
        <v/>
      </c>
      <c r="B466">
        <f>IF($K466="","",INDEX(Конструктор!$C$2:$C$1212,$K466))</f>
        <v/>
      </c>
      <c r="C466" s="8">
        <f>IF($K466="","",INDEX(Конструктор!$D$2:$D$1212,$K466)&amp;IF(INDEX(Конструктор!$J$2:$J$1212,$K466)&lt;&gt;""," — "&amp;INDEX(Конструктор!$J$2:$J$1212,$K466),""))</f>
        <v/>
      </c>
      <c r="D466">
        <f>IF($K466="","",INDEX(Конструктор!$E$2:$E$1212,$K466))</f>
        <v/>
      </c>
      <c r="E466" s="10">
        <f>IF($K466="","",INDEX(Конструктор!$H$2:$H$1212,$K466))</f>
        <v/>
      </c>
      <c r="F466" s="10">
        <f>IF($K466="","",INDEX(Конструктор!$L$2:$L$1212,$K466))</f>
        <v/>
      </c>
      <c r="G466" s="10">
        <f>IF($K466="","",INDEX(Конструктор!$M$2:$M$1212,$K466))</f>
        <v/>
      </c>
      <c r="H466" s="10">
        <f>IF($K466="","",INDEX(Конструктор!$N$2:$N$1212,$K466))</f>
        <v/>
      </c>
      <c r="I466" s="10">
        <f>IF($K466="","",INDEX(Конструктор!$O$2:$O$1212,$K466))</f>
        <v/>
      </c>
      <c r="J466" s="10">
        <f>IF($K466="","",INDEX(Конструктор!$P$2:$P$1212,$K466))</f>
        <v/>
      </c>
      <c r="K466">
        <f>IFERROR(MATCH(446,Конструктор!$T$2:$T$1212,0),"")</f>
        <v/>
      </c>
      <c r="L466">
        <f>IF($K466="","","показать")</f>
        <v/>
      </c>
    </row>
    <row r="467" hidden="1">
      <c r="A467">
        <f>IF($K467="","",447)</f>
        <v/>
      </c>
      <c r="B467">
        <f>IF($K467="","",INDEX(Конструктор!$C$2:$C$1212,$K467))</f>
        <v/>
      </c>
      <c r="C467" s="8">
        <f>IF($K467="","",INDEX(Конструктор!$D$2:$D$1212,$K467)&amp;IF(INDEX(Конструктор!$J$2:$J$1212,$K467)&lt;&gt;""," — "&amp;INDEX(Конструктор!$J$2:$J$1212,$K467),""))</f>
        <v/>
      </c>
      <c r="D467">
        <f>IF($K467="","",INDEX(Конструктор!$E$2:$E$1212,$K467))</f>
        <v/>
      </c>
      <c r="E467" s="10">
        <f>IF($K467="","",INDEX(Конструктор!$H$2:$H$1212,$K467))</f>
        <v/>
      </c>
      <c r="F467" s="10">
        <f>IF($K467="","",INDEX(Конструктор!$L$2:$L$1212,$K467))</f>
        <v/>
      </c>
      <c r="G467" s="10">
        <f>IF($K467="","",INDEX(Конструктор!$M$2:$M$1212,$K467))</f>
        <v/>
      </c>
      <c r="H467" s="10">
        <f>IF($K467="","",INDEX(Конструктор!$N$2:$N$1212,$K467))</f>
        <v/>
      </c>
      <c r="I467" s="10">
        <f>IF($K467="","",INDEX(Конструктор!$O$2:$O$1212,$K467))</f>
        <v/>
      </c>
      <c r="J467" s="10">
        <f>IF($K467="","",INDEX(Конструктор!$P$2:$P$1212,$K467))</f>
        <v/>
      </c>
      <c r="K467">
        <f>IFERROR(MATCH(447,Конструктор!$T$2:$T$1212,0),"")</f>
        <v/>
      </c>
      <c r="L467">
        <f>IF($K467="","","показать")</f>
        <v/>
      </c>
    </row>
    <row r="468" hidden="1">
      <c r="A468">
        <f>IF($K468="","",448)</f>
        <v/>
      </c>
      <c r="B468">
        <f>IF($K468="","",INDEX(Конструктор!$C$2:$C$1212,$K468))</f>
        <v/>
      </c>
      <c r="C468" s="8">
        <f>IF($K468="","",INDEX(Конструктор!$D$2:$D$1212,$K468)&amp;IF(INDEX(Конструктор!$J$2:$J$1212,$K468)&lt;&gt;""," — "&amp;INDEX(Конструктор!$J$2:$J$1212,$K468),""))</f>
        <v/>
      </c>
      <c r="D468">
        <f>IF($K468="","",INDEX(Конструктор!$E$2:$E$1212,$K468))</f>
        <v/>
      </c>
      <c r="E468" s="10">
        <f>IF($K468="","",INDEX(Конструктор!$H$2:$H$1212,$K468))</f>
        <v/>
      </c>
      <c r="F468" s="10">
        <f>IF($K468="","",INDEX(Конструктор!$L$2:$L$1212,$K468))</f>
        <v/>
      </c>
      <c r="G468" s="10">
        <f>IF($K468="","",INDEX(Конструктор!$M$2:$M$1212,$K468))</f>
        <v/>
      </c>
      <c r="H468" s="10">
        <f>IF($K468="","",INDEX(Конструктор!$N$2:$N$1212,$K468))</f>
        <v/>
      </c>
      <c r="I468" s="10">
        <f>IF($K468="","",INDEX(Конструктор!$O$2:$O$1212,$K468))</f>
        <v/>
      </c>
      <c r="J468" s="10">
        <f>IF($K468="","",INDEX(Конструктор!$P$2:$P$1212,$K468))</f>
        <v/>
      </c>
      <c r="K468">
        <f>IFERROR(MATCH(448,Конструктор!$T$2:$T$1212,0),"")</f>
        <v/>
      </c>
      <c r="L468">
        <f>IF($K468="","","показать")</f>
        <v/>
      </c>
    </row>
    <row r="469" hidden="1">
      <c r="A469">
        <f>IF($K469="","",449)</f>
        <v/>
      </c>
      <c r="B469">
        <f>IF($K469="","",INDEX(Конструктор!$C$2:$C$1212,$K469))</f>
        <v/>
      </c>
      <c r="C469" s="8">
        <f>IF($K469="","",INDEX(Конструктор!$D$2:$D$1212,$K469)&amp;IF(INDEX(Конструктор!$J$2:$J$1212,$K469)&lt;&gt;""," — "&amp;INDEX(Конструктор!$J$2:$J$1212,$K469),""))</f>
        <v/>
      </c>
      <c r="D469">
        <f>IF($K469="","",INDEX(Конструктор!$E$2:$E$1212,$K469))</f>
        <v/>
      </c>
      <c r="E469" s="10">
        <f>IF($K469="","",INDEX(Конструктор!$H$2:$H$1212,$K469))</f>
        <v/>
      </c>
      <c r="F469" s="10">
        <f>IF($K469="","",INDEX(Конструктор!$L$2:$L$1212,$K469))</f>
        <v/>
      </c>
      <c r="G469" s="10">
        <f>IF($K469="","",INDEX(Конструктор!$M$2:$M$1212,$K469))</f>
        <v/>
      </c>
      <c r="H469" s="10">
        <f>IF($K469="","",INDEX(Конструктор!$N$2:$N$1212,$K469))</f>
        <v/>
      </c>
      <c r="I469" s="10">
        <f>IF($K469="","",INDEX(Конструктор!$O$2:$O$1212,$K469))</f>
        <v/>
      </c>
      <c r="J469" s="10">
        <f>IF($K469="","",INDEX(Конструктор!$P$2:$P$1212,$K469))</f>
        <v/>
      </c>
      <c r="K469">
        <f>IFERROR(MATCH(449,Конструктор!$T$2:$T$1212,0),"")</f>
        <v/>
      </c>
      <c r="L469">
        <f>IF($K469="","","показать")</f>
        <v/>
      </c>
    </row>
    <row r="470" hidden="1">
      <c r="A470">
        <f>IF($K470="","",450)</f>
        <v/>
      </c>
      <c r="B470">
        <f>IF($K470="","",INDEX(Конструктор!$C$2:$C$1212,$K470))</f>
        <v/>
      </c>
      <c r="C470" s="8">
        <f>IF($K470="","",INDEX(Конструктор!$D$2:$D$1212,$K470)&amp;IF(INDEX(Конструктор!$J$2:$J$1212,$K470)&lt;&gt;""," — "&amp;INDEX(Конструктор!$J$2:$J$1212,$K470),""))</f>
        <v/>
      </c>
      <c r="D470">
        <f>IF($K470="","",INDEX(Конструктор!$E$2:$E$1212,$K470))</f>
        <v/>
      </c>
      <c r="E470" s="10">
        <f>IF($K470="","",INDEX(Конструктор!$H$2:$H$1212,$K470))</f>
        <v/>
      </c>
      <c r="F470" s="10">
        <f>IF($K470="","",INDEX(Конструктор!$L$2:$L$1212,$K470))</f>
        <v/>
      </c>
      <c r="G470" s="10">
        <f>IF($K470="","",INDEX(Конструктор!$M$2:$M$1212,$K470))</f>
        <v/>
      </c>
      <c r="H470" s="10">
        <f>IF($K470="","",INDEX(Конструктор!$N$2:$N$1212,$K470))</f>
        <v/>
      </c>
      <c r="I470" s="10">
        <f>IF($K470="","",INDEX(Конструктор!$O$2:$O$1212,$K470))</f>
        <v/>
      </c>
      <c r="J470" s="10">
        <f>IF($K470="","",INDEX(Конструктор!$P$2:$P$1212,$K470))</f>
        <v/>
      </c>
      <c r="K470">
        <f>IFERROR(MATCH(450,Конструктор!$T$2:$T$1212,0),"")</f>
        <v/>
      </c>
      <c r="L470">
        <f>IF($K470="","","показать")</f>
        <v/>
      </c>
    </row>
    <row r="471" hidden="1">
      <c r="A471">
        <f>IF($K471="","",451)</f>
        <v/>
      </c>
      <c r="B471">
        <f>IF($K471="","",INDEX(Конструктор!$C$2:$C$1212,$K471))</f>
        <v/>
      </c>
      <c r="C471" s="8">
        <f>IF($K471="","",INDEX(Конструктор!$D$2:$D$1212,$K471)&amp;IF(INDEX(Конструктор!$J$2:$J$1212,$K471)&lt;&gt;""," — "&amp;INDEX(Конструктор!$J$2:$J$1212,$K471),""))</f>
        <v/>
      </c>
      <c r="D471">
        <f>IF($K471="","",INDEX(Конструктор!$E$2:$E$1212,$K471))</f>
        <v/>
      </c>
      <c r="E471" s="10">
        <f>IF($K471="","",INDEX(Конструктор!$H$2:$H$1212,$K471))</f>
        <v/>
      </c>
      <c r="F471" s="10">
        <f>IF($K471="","",INDEX(Конструктор!$L$2:$L$1212,$K471))</f>
        <v/>
      </c>
      <c r="G471" s="10">
        <f>IF($K471="","",INDEX(Конструктор!$M$2:$M$1212,$K471))</f>
        <v/>
      </c>
      <c r="H471" s="10">
        <f>IF($K471="","",INDEX(Конструктор!$N$2:$N$1212,$K471))</f>
        <v/>
      </c>
      <c r="I471" s="10">
        <f>IF($K471="","",INDEX(Конструктор!$O$2:$O$1212,$K471))</f>
        <v/>
      </c>
      <c r="J471" s="10">
        <f>IF($K471="","",INDEX(Конструктор!$P$2:$P$1212,$K471))</f>
        <v/>
      </c>
      <c r="K471">
        <f>IFERROR(MATCH(451,Конструктор!$T$2:$T$1212,0),"")</f>
        <v/>
      </c>
      <c r="L471">
        <f>IF($K471="","","показать")</f>
        <v/>
      </c>
    </row>
    <row r="472" hidden="1">
      <c r="A472">
        <f>IF($K472="","",452)</f>
        <v/>
      </c>
      <c r="B472">
        <f>IF($K472="","",INDEX(Конструктор!$C$2:$C$1212,$K472))</f>
        <v/>
      </c>
      <c r="C472" s="8">
        <f>IF($K472="","",INDEX(Конструктор!$D$2:$D$1212,$K472)&amp;IF(INDEX(Конструктор!$J$2:$J$1212,$K472)&lt;&gt;""," — "&amp;INDEX(Конструктор!$J$2:$J$1212,$K472),""))</f>
        <v/>
      </c>
      <c r="D472">
        <f>IF($K472="","",INDEX(Конструктор!$E$2:$E$1212,$K472))</f>
        <v/>
      </c>
      <c r="E472" s="10">
        <f>IF($K472="","",INDEX(Конструктор!$H$2:$H$1212,$K472))</f>
        <v/>
      </c>
      <c r="F472" s="10">
        <f>IF($K472="","",INDEX(Конструктор!$L$2:$L$1212,$K472))</f>
        <v/>
      </c>
      <c r="G472" s="10">
        <f>IF($K472="","",INDEX(Конструктор!$M$2:$M$1212,$K472))</f>
        <v/>
      </c>
      <c r="H472" s="10">
        <f>IF($K472="","",INDEX(Конструктор!$N$2:$N$1212,$K472))</f>
        <v/>
      </c>
      <c r="I472" s="10">
        <f>IF($K472="","",INDEX(Конструктор!$O$2:$O$1212,$K472))</f>
        <v/>
      </c>
      <c r="J472" s="10">
        <f>IF($K472="","",INDEX(Конструктор!$P$2:$P$1212,$K472))</f>
        <v/>
      </c>
      <c r="K472">
        <f>IFERROR(MATCH(452,Конструктор!$T$2:$T$1212,0),"")</f>
        <v/>
      </c>
      <c r="L472">
        <f>IF($K472="","","показать")</f>
        <v/>
      </c>
    </row>
    <row r="473" hidden="1">
      <c r="A473">
        <f>IF($K473="","",453)</f>
        <v/>
      </c>
      <c r="B473">
        <f>IF($K473="","",INDEX(Конструктор!$C$2:$C$1212,$K473))</f>
        <v/>
      </c>
      <c r="C473" s="8">
        <f>IF($K473="","",INDEX(Конструктор!$D$2:$D$1212,$K473)&amp;IF(INDEX(Конструктор!$J$2:$J$1212,$K473)&lt;&gt;""," — "&amp;INDEX(Конструктор!$J$2:$J$1212,$K473),""))</f>
        <v/>
      </c>
      <c r="D473">
        <f>IF($K473="","",INDEX(Конструктор!$E$2:$E$1212,$K473))</f>
        <v/>
      </c>
      <c r="E473" s="10">
        <f>IF($K473="","",INDEX(Конструктор!$H$2:$H$1212,$K473))</f>
        <v/>
      </c>
      <c r="F473" s="10">
        <f>IF($K473="","",INDEX(Конструктор!$L$2:$L$1212,$K473))</f>
        <v/>
      </c>
      <c r="G473" s="10">
        <f>IF($K473="","",INDEX(Конструктор!$M$2:$M$1212,$K473))</f>
        <v/>
      </c>
      <c r="H473" s="10">
        <f>IF($K473="","",INDEX(Конструктор!$N$2:$N$1212,$K473))</f>
        <v/>
      </c>
      <c r="I473" s="10">
        <f>IF($K473="","",INDEX(Конструктор!$O$2:$O$1212,$K473))</f>
        <v/>
      </c>
      <c r="J473" s="10">
        <f>IF($K473="","",INDEX(Конструктор!$P$2:$P$1212,$K473))</f>
        <v/>
      </c>
      <c r="K473">
        <f>IFERROR(MATCH(453,Конструктор!$T$2:$T$1212,0),"")</f>
        <v/>
      </c>
      <c r="L473">
        <f>IF($K473="","","показать")</f>
        <v/>
      </c>
    </row>
    <row r="474" hidden="1">
      <c r="A474">
        <f>IF($K474="","",454)</f>
        <v/>
      </c>
      <c r="B474">
        <f>IF($K474="","",INDEX(Конструктор!$C$2:$C$1212,$K474))</f>
        <v/>
      </c>
      <c r="C474" s="8">
        <f>IF($K474="","",INDEX(Конструктор!$D$2:$D$1212,$K474)&amp;IF(INDEX(Конструктор!$J$2:$J$1212,$K474)&lt;&gt;""," — "&amp;INDEX(Конструктор!$J$2:$J$1212,$K474),""))</f>
        <v/>
      </c>
      <c r="D474">
        <f>IF($K474="","",INDEX(Конструктор!$E$2:$E$1212,$K474))</f>
        <v/>
      </c>
      <c r="E474" s="10">
        <f>IF($K474="","",INDEX(Конструктор!$H$2:$H$1212,$K474))</f>
        <v/>
      </c>
      <c r="F474" s="10">
        <f>IF($K474="","",INDEX(Конструктор!$L$2:$L$1212,$K474))</f>
        <v/>
      </c>
      <c r="G474" s="10">
        <f>IF($K474="","",INDEX(Конструктор!$M$2:$M$1212,$K474))</f>
        <v/>
      </c>
      <c r="H474" s="10">
        <f>IF($K474="","",INDEX(Конструктор!$N$2:$N$1212,$K474))</f>
        <v/>
      </c>
      <c r="I474" s="10">
        <f>IF($K474="","",INDEX(Конструктор!$O$2:$O$1212,$K474))</f>
        <v/>
      </c>
      <c r="J474" s="10">
        <f>IF($K474="","",INDEX(Конструктор!$P$2:$P$1212,$K474))</f>
        <v/>
      </c>
      <c r="K474">
        <f>IFERROR(MATCH(454,Конструктор!$T$2:$T$1212,0),"")</f>
        <v/>
      </c>
      <c r="L474">
        <f>IF($K474="","","показать")</f>
        <v/>
      </c>
    </row>
    <row r="475" hidden="1">
      <c r="A475">
        <f>IF($K475="","",455)</f>
        <v/>
      </c>
      <c r="B475">
        <f>IF($K475="","",INDEX(Конструктор!$C$2:$C$1212,$K475))</f>
        <v/>
      </c>
      <c r="C475" s="8">
        <f>IF($K475="","",INDEX(Конструктор!$D$2:$D$1212,$K475)&amp;IF(INDEX(Конструктор!$J$2:$J$1212,$K475)&lt;&gt;""," — "&amp;INDEX(Конструктор!$J$2:$J$1212,$K475),""))</f>
        <v/>
      </c>
      <c r="D475">
        <f>IF($K475="","",INDEX(Конструктор!$E$2:$E$1212,$K475))</f>
        <v/>
      </c>
      <c r="E475" s="10">
        <f>IF($K475="","",INDEX(Конструктор!$H$2:$H$1212,$K475))</f>
        <v/>
      </c>
      <c r="F475" s="10">
        <f>IF($K475="","",INDEX(Конструктор!$L$2:$L$1212,$K475))</f>
        <v/>
      </c>
      <c r="G475" s="10">
        <f>IF($K475="","",INDEX(Конструктор!$M$2:$M$1212,$K475))</f>
        <v/>
      </c>
      <c r="H475" s="10">
        <f>IF($K475="","",INDEX(Конструктор!$N$2:$N$1212,$K475))</f>
        <v/>
      </c>
      <c r="I475" s="10">
        <f>IF($K475="","",INDEX(Конструктор!$O$2:$O$1212,$K475))</f>
        <v/>
      </c>
      <c r="J475" s="10">
        <f>IF($K475="","",INDEX(Конструктор!$P$2:$P$1212,$K475))</f>
        <v/>
      </c>
      <c r="K475">
        <f>IFERROR(MATCH(455,Конструктор!$T$2:$T$1212,0),"")</f>
        <v/>
      </c>
      <c r="L475">
        <f>IF($K475="","","показать")</f>
        <v/>
      </c>
    </row>
    <row r="476" hidden="1">
      <c r="A476">
        <f>IF($K476="","",456)</f>
        <v/>
      </c>
      <c r="B476">
        <f>IF($K476="","",INDEX(Конструктор!$C$2:$C$1212,$K476))</f>
        <v/>
      </c>
      <c r="C476" s="8">
        <f>IF($K476="","",INDEX(Конструктор!$D$2:$D$1212,$K476)&amp;IF(INDEX(Конструктор!$J$2:$J$1212,$K476)&lt;&gt;""," — "&amp;INDEX(Конструктор!$J$2:$J$1212,$K476),""))</f>
        <v/>
      </c>
      <c r="D476">
        <f>IF($K476="","",INDEX(Конструктор!$E$2:$E$1212,$K476))</f>
        <v/>
      </c>
      <c r="E476" s="10">
        <f>IF($K476="","",INDEX(Конструктор!$H$2:$H$1212,$K476))</f>
        <v/>
      </c>
      <c r="F476" s="10">
        <f>IF($K476="","",INDEX(Конструктор!$L$2:$L$1212,$K476))</f>
        <v/>
      </c>
      <c r="G476" s="10">
        <f>IF($K476="","",INDEX(Конструктор!$M$2:$M$1212,$K476))</f>
        <v/>
      </c>
      <c r="H476" s="10">
        <f>IF($K476="","",INDEX(Конструктор!$N$2:$N$1212,$K476))</f>
        <v/>
      </c>
      <c r="I476" s="10">
        <f>IF($K476="","",INDEX(Конструктор!$O$2:$O$1212,$K476))</f>
        <v/>
      </c>
      <c r="J476" s="10">
        <f>IF($K476="","",INDEX(Конструктор!$P$2:$P$1212,$K476))</f>
        <v/>
      </c>
      <c r="K476">
        <f>IFERROR(MATCH(456,Конструктор!$T$2:$T$1212,0),"")</f>
        <v/>
      </c>
      <c r="L476">
        <f>IF($K476="","","показать")</f>
        <v/>
      </c>
    </row>
    <row r="477" hidden="1">
      <c r="A477">
        <f>IF($K477="","",457)</f>
        <v/>
      </c>
      <c r="B477">
        <f>IF($K477="","",INDEX(Конструктор!$C$2:$C$1212,$K477))</f>
        <v/>
      </c>
      <c r="C477" s="8">
        <f>IF($K477="","",INDEX(Конструктор!$D$2:$D$1212,$K477)&amp;IF(INDEX(Конструктор!$J$2:$J$1212,$K477)&lt;&gt;""," — "&amp;INDEX(Конструктор!$J$2:$J$1212,$K477),""))</f>
        <v/>
      </c>
      <c r="D477">
        <f>IF($K477="","",INDEX(Конструктор!$E$2:$E$1212,$K477))</f>
        <v/>
      </c>
      <c r="E477" s="10">
        <f>IF($K477="","",INDEX(Конструктор!$H$2:$H$1212,$K477))</f>
        <v/>
      </c>
      <c r="F477" s="10">
        <f>IF($K477="","",INDEX(Конструктор!$L$2:$L$1212,$K477))</f>
        <v/>
      </c>
      <c r="G477" s="10">
        <f>IF($K477="","",INDEX(Конструктор!$M$2:$M$1212,$K477))</f>
        <v/>
      </c>
      <c r="H477" s="10">
        <f>IF($K477="","",INDEX(Конструктор!$N$2:$N$1212,$K477))</f>
        <v/>
      </c>
      <c r="I477" s="10">
        <f>IF($K477="","",INDEX(Конструктор!$O$2:$O$1212,$K477))</f>
        <v/>
      </c>
      <c r="J477" s="10">
        <f>IF($K477="","",INDEX(Конструктор!$P$2:$P$1212,$K477))</f>
        <v/>
      </c>
      <c r="K477">
        <f>IFERROR(MATCH(457,Конструктор!$T$2:$T$1212,0),"")</f>
        <v/>
      </c>
      <c r="L477">
        <f>IF($K477="","","показать")</f>
        <v/>
      </c>
    </row>
    <row r="478" hidden="1">
      <c r="A478">
        <f>IF($K478="","",458)</f>
        <v/>
      </c>
      <c r="B478">
        <f>IF($K478="","",INDEX(Конструктор!$C$2:$C$1212,$K478))</f>
        <v/>
      </c>
      <c r="C478" s="8">
        <f>IF($K478="","",INDEX(Конструктор!$D$2:$D$1212,$K478)&amp;IF(INDEX(Конструктор!$J$2:$J$1212,$K478)&lt;&gt;""," — "&amp;INDEX(Конструктор!$J$2:$J$1212,$K478),""))</f>
        <v/>
      </c>
      <c r="D478">
        <f>IF($K478="","",INDEX(Конструктор!$E$2:$E$1212,$K478))</f>
        <v/>
      </c>
      <c r="E478" s="10">
        <f>IF($K478="","",INDEX(Конструктор!$H$2:$H$1212,$K478))</f>
        <v/>
      </c>
      <c r="F478" s="10">
        <f>IF($K478="","",INDEX(Конструктор!$L$2:$L$1212,$K478))</f>
        <v/>
      </c>
      <c r="G478" s="10">
        <f>IF($K478="","",INDEX(Конструктор!$M$2:$M$1212,$K478))</f>
        <v/>
      </c>
      <c r="H478" s="10">
        <f>IF($K478="","",INDEX(Конструктор!$N$2:$N$1212,$K478))</f>
        <v/>
      </c>
      <c r="I478" s="10">
        <f>IF($K478="","",INDEX(Конструктор!$O$2:$O$1212,$K478))</f>
        <v/>
      </c>
      <c r="J478" s="10">
        <f>IF($K478="","",INDEX(Конструктор!$P$2:$P$1212,$K478))</f>
        <v/>
      </c>
      <c r="K478">
        <f>IFERROR(MATCH(458,Конструктор!$T$2:$T$1212,0),"")</f>
        <v/>
      </c>
      <c r="L478">
        <f>IF($K478="","","показать")</f>
        <v/>
      </c>
    </row>
    <row r="479" hidden="1">
      <c r="A479">
        <f>IF($K479="","",459)</f>
        <v/>
      </c>
      <c r="B479">
        <f>IF($K479="","",INDEX(Конструктор!$C$2:$C$1212,$K479))</f>
        <v/>
      </c>
      <c r="C479" s="8">
        <f>IF($K479="","",INDEX(Конструктор!$D$2:$D$1212,$K479)&amp;IF(INDEX(Конструктор!$J$2:$J$1212,$K479)&lt;&gt;""," — "&amp;INDEX(Конструктор!$J$2:$J$1212,$K479),""))</f>
        <v/>
      </c>
      <c r="D479">
        <f>IF($K479="","",INDEX(Конструктор!$E$2:$E$1212,$K479))</f>
        <v/>
      </c>
      <c r="E479" s="10">
        <f>IF($K479="","",INDEX(Конструктор!$H$2:$H$1212,$K479))</f>
        <v/>
      </c>
      <c r="F479" s="10">
        <f>IF($K479="","",INDEX(Конструктор!$L$2:$L$1212,$K479))</f>
        <v/>
      </c>
      <c r="G479" s="10">
        <f>IF($K479="","",INDEX(Конструктор!$M$2:$M$1212,$K479))</f>
        <v/>
      </c>
      <c r="H479" s="10">
        <f>IF($K479="","",INDEX(Конструктор!$N$2:$N$1212,$K479))</f>
        <v/>
      </c>
      <c r="I479" s="10">
        <f>IF($K479="","",INDEX(Конструктор!$O$2:$O$1212,$K479))</f>
        <v/>
      </c>
      <c r="J479" s="10">
        <f>IF($K479="","",INDEX(Конструктор!$P$2:$P$1212,$K479))</f>
        <v/>
      </c>
      <c r="K479">
        <f>IFERROR(MATCH(459,Конструктор!$T$2:$T$1212,0),"")</f>
        <v/>
      </c>
      <c r="L479">
        <f>IF($K479="","","показать")</f>
        <v/>
      </c>
    </row>
    <row r="480" hidden="1">
      <c r="A480">
        <f>IF($K480="","",460)</f>
        <v/>
      </c>
      <c r="B480">
        <f>IF($K480="","",INDEX(Конструктор!$C$2:$C$1212,$K480))</f>
        <v/>
      </c>
      <c r="C480" s="8">
        <f>IF($K480="","",INDEX(Конструктор!$D$2:$D$1212,$K480)&amp;IF(INDEX(Конструктор!$J$2:$J$1212,$K480)&lt;&gt;""," — "&amp;INDEX(Конструктор!$J$2:$J$1212,$K480),""))</f>
        <v/>
      </c>
      <c r="D480">
        <f>IF($K480="","",INDEX(Конструктор!$E$2:$E$1212,$K480))</f>
        <v/>
      </c>
      <c r="E480" s="10">
        <f>IF($K480="","",INDEX(Конструктор!$H$2:$H$1212,$K480))</f>
        <v/>
      </c>
      <c r="F480" s="10">
        <f>IF($K480="","",INDEX(Конструктор!$L$2:$L$1212,$K480))</f>
        <v/>
      </c>
      <c r="G480" s="10">
        <f>IF($K480="","",INDEX(Конструктор!$M$2:$M$1212,$K480))</f>
        <v/>
      </c>
      <c r="H480" s="10">
        <f>IF($K480="","",INDEX(Конструктор!$N$2:$N$1212,$K480))</f>
        <v/>
      </c>
      <c r="I480" s="10">
        <f>IF($K480="","",INDEX(Конструктор!$O$2:$O$1212,$K480))</f>
        <v/>
      </c>
      <c r="J480" s="10">
        <f>IF($K480="","",INDEX(Конструктор!$P$2:$P$1212,$K480))</f>
        <v/>
      </c>
      <c r="K480">
        <f>IFERROR(MATCH(460,Конструктор!$T$2:$T$1212,0),"")</f>
        <v/>
      </c>
      <c r="L480">
        <f>IF($K480="","","показать")</f>
        <v/>
      </c>
    </row>
    <row r="481" hidden="1">
      <c r="A481">
        <f>IF($K481="","",461)</f>
        <v/>
      </c>
      <c r="B481">
        <f>IF($K481="","",INDEX(Конструктор!$C$2:$C$1212,$K481))</f>
        <v/>
      </c>
      <c r="C481" s="8">
        <f>IF($K481="","",INDEX(Конструктор!$D$2:$D$1212,$K481)&amp;IF(INDEX(Конструктор!$J$2:$J$1212,$K481)&lt;&gt;""," — "&amp;INDEX(Конструктор!$J$2:$J$1212,$K481),""))</f>
        <v/>
      </c>
      <c r="D481">
        <f>IF($K481="","",INDEX(Конструктор!$E$2:$E$1212,$K481))</f>
        <v/>
      </c>
      <c r="E481" s="10">
        <f>IF($K481="","",INDEX(Конструктор!$H$2:$H$1212,$K481))</f>
        <v/>
      </c>
      <c r="F481" s="10">
        <f>IF($K481="","",INDEX(Конструктор!$L$2:$L$1212,$K481))</f>
        <v/>
      </c>
      <c r="G481" s="10">
        <f>IF($K481="","",INDEX(Конструктор!$M$2:$M$1212,$K481))</f>
        <v/>
      </c>
      <c r="H481" s="10">
        <f>IF($K481="","",INDEX(Конструктор!$N$2:$N$1212,$K481))</f>
        <v/>
      </c>
      <c r="I481" s="10">
        <f>IF($K481="","",INDEX(Конструктор!$O$2:$O$1212,$K481))</f>
        <v/>
      </c>
      <c r="J481" s="10">
        <f>IF($K481="","",INDEX(Конструктор!$P$2:$P$1212,$K481))</f>
        <v/>
      </c>
      <c r="K481">
        <f>IFERROR(MATCH(461,Конструктор!$T$2:$T$1212,0),"")</f>
        <v/>
      </c>
      <c r="L481">
        <f>IF($K481="","","показать")</f>
        <v/>
      </c>
    </row>
    <row r="482" hidden="1">
      <c r="A482">
        <f>IF($K482="","",462)</f>
        <v/>
      </c>
      <c r="B482">
        <f>IF($K482="","",INDEX(Конструктор!$C$2:$C$1212,$K482))</f>
        <v/>
      </c>
      <c r="C482" s="8">
        <f>IF($K482="","",INDEX(Конструктор!$D$2:$D$1212,$K482)&amp;IF(INDEX(Конструктор!$J$2:$J$1212,$K482)&lt;&gt;""," — "&amp;INDEX(Конструктор!$J$2:$J$1212,$K482),""))</f>
        <v/>
      </c>
      <c r="D482">
        <f>IF($K482="","",INDEX(Конструктор!$E$2:$E$1212,$K482))</f>
        <v/>
      </c>
      <c r="E482" s="10">
        <f>IF($K482="","",INDEX(Конструктор!$H$2:$H$1212,$K482))</f>
        <v/>
      </c>
      <c r="F482" s="10">
        <f>IF($K482="","",INDEX(Конструктор!$L$2:$L$1212,$K482))</f>
        <v/>
      </c>
      <c r="G482" s="10">
        <f>IF($K482="","",INDEX(Конструктор!$M$2:$M$1212,$K482))</f>
        <v/>
      </c>
      <c r="H482" s="10">
        <f>IF($K482="","",INDEX(Конструктор!$N$2:$N$1212,$K482))</f>
        <v/>
      </c>
      <c r="I482" s="10">
        <f>IF($K482="","",INDEX(Конструктор!$O$2:$O$1212,$K482))</f>
        <v/>
      </c>
      <c r="J482" s="10">
        <f>IF($K482="","",INDEX(Конструктор!$P$2:$P$1212,$K482))</f>
        <v/>
      </c>
      <c r="K482">
        <f>IFERROR(MATCH(462,Конструктор!$T$2:$T$1212,0),"")</f>
        <v/>
      </c>
      <c r="L482">
        <f>IF($K482="","","показать")</f>
        <v/>
      </c>
    </row>
    <row r="483" hidden="1">
      <c r="A483">
        <f>IF($K483="","",463)</f>
        <v/>
      </c>
      <c r="B483">
        <f>IF($K483="","",INDEX(Конструктор!$C$2:$C$1212,$K483))</f>
        <v/>
      </c>
      <c r="C483" s="8">
        <f>IF($K483="","",INDEX(Конструктор!$D$2:$D$1212,$K483)&amp;IF(INDEX(Конструктор!$J$2:$J$1212,$K483)&lt;&gt;""," — "&amp;INDEX(Конструктор!$J$2:$J$1212,$K483),""))</f>
        <v/>
      </c>
      <c r="D483">
        <f>IF($K483="","",INDEX(Конструктор!$E$2:$E$1212,$K483))</f>
        <v/>
      </c>
      <c r="E483" s="10">
        <f>IF($K483="","",INDEX(Конструктор!$H$2:$H$1212,$K483))</f>
        <v/>
      </c>
      <c r="F483" s="10">
        <f>IF($K483="","",INDEX(Конструктор!$L$2:$L$1212,$K483))</f>
        <v/>
      </c>
      <c r="G483" s="10">
        <f>IF($K483="","",INDEX(Конструктор!$M$2:$M$1212,$K483))</f>
        <v/>
      </c>
      <c r="H483" s="10">
        <f>IF($K483="","",INDEX(Конструктор!$N$2:$N$1212,$K483))</f>
        <v/>
      </c>
      <c r="I483" s="10">
        <f>IF($K483="","",INDEX(Конструктор!$O$2:$O$1212,$K483))</f>
        <v/>
      </c>
      <c r="J483" s="10">
        <f>IF($K483="","",INDEX(Конструктор!$P$2:$P$1212,$K483))</f>
        <v/>
      </c>
      <c r="K483">
        <f>IFERROR(MATCH(463,Конструктор!$T$2:$T$1212,0),"")</f>
        <v/>
      </c>
      <c r="L483">
        <f>IF($K483="","","показать")</f>
        <v/>
      </c>
    </row>
    <row r="484" hidden="1">
      <c r="A484">
        <f>IF($K484="","",464)</f>
        <v/>
      </c>
      <c r="B484">
        <f>IF($K484="","",INDEX(Конструктор!$C$2:$C$1212,$K484))</f>
        <v/>
      </c>
      <c r="C484" s="8">
        <f>IF($K484="","",INDEX(Конструктор!$D$2:$D$1212,$K484)&amp;IF(INDEX(Конструктор!$J$2:$J$1212,$K484)&lt;&gt;""," — "&amp;INDEX(Конструктор!$J$2:$J$1212,$K484),""))</f>
        <v/>
      </c>
      <c r="D484">
        <f>IF($K484="","",INDEX(Конструктор!$E$2:$E$1212,$K484))</f>
        <v/>
      </c>
      <c r="E484" s="10">
        <f>IF($K484="","",INDEX(Конструктор!$H$2:$H$1212,$K484))</f>
        <v/>
      </c>
      <c r="F484" s="10">
        <f>IF($K484="","",INDEX(Конструктор!$L$2:$L$1212,$K484))</f>
        <v/>
      </c>
      <c r="G484" s="10">
        <f>IF($K484="","",INDEX(Конструктор!$M$2:$M$1212,$K484))</f>
        <v/>
      </c>
      <c r="H484" s="10">
        <f>IF($K484="","",INDEX(Конструктор!$N$2:$N$1212,$K484))</f>
        <v/>
      </c>
      <c r="I484" s="10">
        <f>IF($K484="","",INDEX(Конструктор!$O$2:$O$1212,$K484))</f>
        <v/>
      </c>
      <c r="J484" s="10">
        <f>IF($K484="","",INDEX(Конструктор!$P$2:$P$1212,$K484))</f>
        <v/>
      </c>
      <c r="K484">
        <f>IFERROR(MATCH(464,Конструктор!$T$2:$T$1212,0),"")</f>
        <v/>
      </c>
      <c r="L484">
        <f>IF($K484="","","показать")</f>
        <v/>
      </c>
    </row>
    <row r="485" hidden="1">
      <c r="A485">
        <f>IF($K485="","",465)</f>
        <v/>
      </c>
      <c r="B485">
        <f>IF($K485="","",INDEX(Конструктор!$C$2:$C$1212,$K485))</f>
        <v/>
      </c>
      <c r="C485" s="8">
        <f>IF($K485="","",INDEX(Конструктор!$D$2:$D$1212,$K485)&amp;IF(INDEX(Конструктор!$J$2:$J$1212,$K485)&lt;&gt;""," — "&amp;INDEX(Конструктор!$J$2:$J$1212,$K485),""))</f>
        <v/>
      </c>
      <c r="D485">
        <f>IF($K485="","",INDEX(Конструктор!$E$2:$E$1212,$K485))</f>
        <v/>
      </c>
      <c r="E485" s="10">
        <f>IF($K485="","",INDEX(Конструктор!$H$2:$H$1212,$K485))</f>
        <v/>
      </c>
      <c r="F485" s="10">
        <f>IF($K485="","",INDEX(Конструктор!$L$2:$L$1212,$K485))</f>
        <v/>
      </c>
      <c r="G485" s="10">
        <f>IF($K485="","",INDEX(Конструктор!$M$2:$M$1212,$K485))</f>
        <v/>
      </c>
      <c r="H485" s="10">
        <f>IF($K485="","",INDEX(Конструктор!$N$2:$N$1212,$K485))</f>
        <v/>
      </c>
      <c r="I485" s="10">
        <f>IF($K485="","",INDEX(Конструктор!$O$2:$O$1212,$K485))</f>
        <v/>
      </c>
      <c r="J485" s="10">
        <f>IF($K485="","",INDEX(Конструктор!$P$2:$P$1212,$K485))</f>
        <v/>
      </c>
      <c r="K485">
        <f>IFERROR(MATCH(465,Конструктор!$T$2:$T$1212,0),"")</f>
        <v/>
      </c>
      <c r="L485">
        <f>IF($K485="","","показать")</f>
        <v/>
      </c>
    </row>
    <row r="486" hidden="1">
      <c r="A486">
        <f>IF($K486="","",466)</f>
        <v/>
      </c>
      <c r="B486">
        <f>IF($K486="","",INDEX(Конструктор!$C$2:$C$1212,$K486))</f>
        <v/>
      </c>
      <c r="C486" s="8">
        <f>IF($K486="","",INDEX(Конструктор!$D$2:$D$1212,$K486)&amp;IF(INDEX(Конструктор!$J$2:$J$1212,$K486)&lt;&gt;""," — "&amp;INDEX(Конструктор!$J$2:$J$1212,$K486),""))</f>
        <v/>
      </c>
      <c r="D486">
        <f>IF($K486="","",INDEX(Конструктор!$E$2:$E$1212,$K486))</f>
        <v/>
      </c>
      <c r="E486" s="10">
        <f>IF($K486="","",INDEX(Конструктор!$H$2:$H$1212,$K486))</f>
        <v/>
      </c>
      <c r="F486" s="10">
        <f>IF($K486="","",INDEX(Конструктор!$L$2:$L$1212,$K486))</f>
        <v/>
      </c>
      <c r="G486" s="10">
        <f>IF($K486="","",INDEX(Конструктор!$M$2:$M$1212,$K486))</f>
        <v/>
      </c>
      <c r="H486" s="10">
        <f>IF($K486="","",INDEX(Конструктор!$N$2:$N$1212,$K486))</f>
        <v/>
      </c>
      <c r="I486" s="10">
        <f>IF($K486="","",INDEX(Конструктор!$O$2:$O$1212,$K486))</f>
        <v/>
      </c>
      <c r="J486" s="10">
        <f>IF($K486="","",INDEX(Конструктор!$P$2:$P$1212,$K486))</f>
        <v/>
      </c>
      <c r="K486">
        <f>IFERROR(MATCH(466,Конструктор!$T$2:$T$1212,0),"")</f>
        <v/>
      </c>
      <c r="L486">
        <f>IF($K486="","","показать")</f>
        <v/>
      </c>
    </row>
    <row r="487" hidden="1">
      <c r="A487">
        <f>IF($K487="","",467)</f>
        <v/>
      </c>
      <c r="B487">
        <f>IF($K487="","",INDEX(Конструктор!$C$2:$C$1212,$K487))</f>
        <v/>
      </c>
      <c r="C487" s="8">
        <f>IF($K487="","",INDEX(Конструктор!$D$2:$D$1212,$K487)&amp;IF(INDEX(Конструктор!$J$2:$J$1212,$K487)&lt;&gt;""," — "&amp;INDEX(Конструктор!$J$2:$J$1212,$K487),""))</f>
        <v/>
      </c>
      <c r="D487">
        <f>IF($K487="","",INDEX(Конструктор!$E$2:$E$1212,$K487))</f>
        <v/>
      </c>
      <c r="E487" s="10">
        <f>IF($K487="","",INDEX(Конструктор!$H$2:$H$1212,$K487))</f>
        <v/>
      </c>
      <c r="F487" s="10">
        <f>IF($K487="","",INDEX(Конструктор!$L$2:$L$1212,$K487))</f>
        <v/>
      </c>
      <c r="G487" s="10">
        <f>IF($K487="","",INDEX(Конструктор!$M$2:$M$1212,$K487))</f>
        <v/>
      </c>
      <c r="H487" s="10">
        <f>IF($K487="","",INDEX(Конструктор!$N$2:$N$1212,$K487))</f>
        <v/>
      </c>
      <c r="I487" s="10">
        <f>IF($K487="","",INDEX(Конструктор!$O$2:$O$1212,$K487))</f>
        <v/>
      </c>
      <c r="J487" s="10">
        <f>IF($K487="","",INDEX(Конструктор!$P$2:$P$1212,$K487))</f>
        <v/>
      </c>
      <c r="K487">
        <f>IFERROR(MATCH(467,Конструктор!$T$2:$T$1212,0),"")</f>
        <v/>
      </c>
      <c r="L487">
        <f>IF($K487="","","показать")</f>
        <v/>
      </c>
    </row>
    <row r="488" hidden="1">
      <c r="A488">
        <f>IF($K488="","",468)</f>
        <v/>
      </c>
      <c r="B488">
        <f>IF($K488="","",INDEX(Конструктор!$C$2:$C$1212,$K488))</f>
        <v/>
      </c>
      <c r="C488" s="8">
        <f>IF($K488="","",INDEX(Конструктор!$D$2:$D$1212,$K488)&amp;IF(INDEX(Конструктор!$J$2:$J$1212,$K488)&lt;&gt;""," — "&amp;INDEX(Конструктор!$J$2:$J$1212,$K488),""))</f>
        <v/>
      </c>
      <c r="D488">
        <f>IF($K488="","",INDEX(Конструктор!$E$2:$E$1212,$K488))</f>
        <v/>
      </c>
      <c r="E488" s="10">
        <f>IF($K488="","",INDEX(Конструктор!$H$2:$H$1212,$K488))</f>
        <v/>
      </c>
      <c r="F488" s="10">
        <f>IF($K488="","",INDEX(Конструктор!$L$2:$L$1212,$K488))</f>
        <v/>
      </c>
      <c r="G488" s="10">
        <f>IF($K488="","",INDEX(Конструктор!$M$2:$M$1212,$K488))</f>
        <v/>
      </c>
      <c r="H488" s="10">
        <f>IF($K488="","",INDEX(Конструктор!$N$2:$N$1212,$K488))</f>
        <v/>
      </c>
      <c r="I488" s="10">
        <f>IF($K488="","",INDEX(Конструктор!$O$2:$O$1212,$K488))</f>
        <v/>
      </c>
      <c r="J488" s="10">
        <f>IF($K488="","",INDEX(Конструктор!$P$2:$P$1212,$K488))</f>
        <v/>
      </c>
      <c r="K488">
        <f>IFERROR(MATCH(468,Конструктор!$T$2:$T$1212,0),"")</f>
        <v/>
      </c>
      <c r="L488">
        <f>IF($K488="","","показать")</f>
        <v/>
      </c>
    </row>
    <row r="489" hidden="1">
      <c r="A489">
        <f>IF($K489="","",469)</f>
        <v/>
      </c>
      <c r="B489">
        <f>IF($K489="","",INDEX(Конструктор!$C$2:$C$1212,$K489))</f>
        <v/>
      </c>
      <c r="C489" s="8">
        <f>IF($K489="","",INDEX(Конструктор!$D$2:$D$1212,$K489)&amp;IF(INDEX(Конструктор!$J$2:$J$1212,$K489)&lt;&gt;""," — "&amp;INDEX(Конструктор!$J$2:$J$1212,$K489),""))</f>
        <v/>
      </c>
      <c r="D489">
        <f>IF($K489="","",INDEX(Конструктор!$E$2:$E$1212,$K489))</f>
        <v/>
      </c>
      <c r="E489" s="10">
        <f>IF($K489="","",INDEX(Конструктор!$H$2:$H$1212,$K489))</f>
        <v/>
      </c>
      <c r="F489" s="10">
        <f>IF($K489="","",INDEX(Конструктор!$L$2:$L$1212,$K489))</f>
        <v/>
      </c>
      <c r="G489" s="10">
        <f>IF($K489="","",INDEX(Конструктор!$M$2:$M$1212,$K489))</f>
        <v/>
      </c>
      <c r="H489" s="10">
        <f>IF($K489="","",INDEX(Конструктор!$N$2:$N$1212,$K489))</f>
        <v/>
      </c>
      <c r="I489" s="10">
        <f>IF($K489="","",INDEX(Конструктор!$O$2:$O$1212,$K489))</f>
        <v/>
      </c>
      <c r="J489" s="10">
        <f>IF($K489="","",INDEX(Конструктор!$P$2:$P$1212,$K489))</f>
        <v/>
      </c>
      <c r="K489">
        <f>IFERROR(MATCH(469,Конструктор!$T$2:$T$1212,0),"")</f>
        <v/>
      </c>
      <c r="L489">
        <f>IF($K489="","","показать")</f>
        <v/>
      </c>
    </row>
    <row r="490" hidden="1">
      <c r="A490">
        <f>IF($K490="","",470)</f>
        <v/>
      </c>
      <c r="B490">
        <f>IF($K490="","",INDEX(Конструктор!$C$2:$C$1212,$K490))</f>
        <v/>
      </c>
      <c r="C490" s="8">
        <f>IF($K490="","",INDEX(Конструктор!$D$2:$D$1212,$K490)&amp;IF(INDEX(Конструктор!$J$2:$J$1212,$K490)&lt;&gt;""," — "&amp;INDEX(Конструктор!$J$2:$J$1212,$K490),""))</f>
        <v/>
      </c>
      <c r="D490">
        <f>IF($K490="","",INDEX(Конструктор!$E$2:$E$1212,$K490))</f>
        <v/>
      </c>
      <c r="E490" s="10">
        <f>IF($K490="","",INDEX(Конструктор!$H$2:$H$1212,$K490))</f>
        <v/>
      </c>
      <c r="F490" s="10">
        <f>IF($K490="","",INDEX(Конструктор!$L$2:$L$1212,$K490))</f>
        <v/>
      </c>
      <c r="G490" s="10">
        <f>IF($K490="","",INDEX(Конструктор!$M$2:$M$1212,$K490))</f>
        <v/>
      </c>
      <c r="H490" s="10">
        <f>IF($K490="","",INDEX(Конструктор!$N$2:$N$1212,$K490))</f>
        <v/>
      </c>
      <c r="I490" s="10">
        <f>IF($K490="","",INDEX(Конструктор!$O$2:$O$1212,$K490))</f>
        <v/>
      </c>
      <c r="J490" s="10">
        <f>IF($K490="","",INDEX(Конструктор!$P$2:$P$1212,$K490))</f>
        <v/>
      </c>
      <c r="K490">
        <f>IFERROR(MATCH(470,Конструктор!$T$2:$T$1212,0),"")</f>
        <v/>
      </c>
      <c r="L490">
        <f>IF($K490="","","показать")</f>
        <v/>
      </c>
    </row>
    <row r="491" hidden="1">
      <c r="A491">
        <f>IF($K491="","",471)</f>
        <v/>
      </c>
      <c r="B491">
        <f>IF($K491="","",INDEX(Конструктор!$C$2:$C$1212,$K491))</f>
        <v/>
      </c>
      <c r="C491" s="8">
        <f>IF($K491="","",INDEX(Конструктор!$D$2:$D$1212,$K491)&amp;IF(INDEX(Конструктор!$J$2:$J$1212,$K491)&lt;&gt;""," — "&amp;INDEX(Конструктор!$J$2:$J$1212,$K491),""))</f>
        <v/>
      </c>
      <c r="D491">
        <f>IF($K491="","",INDEX(Конструктор!$E$2:$E$1212,$K491))</f>
        <v/>
      </c>
      <c r="E491" s="10">
        <f>IF($K491="","",INDEX(Конструктор!$H$2:$H$1212,$K491))</f>
        <v/>
      </c>
      <c r="F491" s="10">
        <f>IF($K491="","",INDEX(Конструктор!$L$2:$L$1212,$K491))</f>
        <v/>
      </c>
      <c r="G491" s="10">
        <f>IF($K491="","",INDEX(Конструктор!$M$2:$M$1212,$K491))</f>
        <v/>
      </c>
      <c r="H491" s="10">
        <f>IF($K491="","",INDEX(Конструктор!$N$2:$N$1212,$K491))</f>
        <v/>
      </c>
      <c r="I491" s="10">
        <f>IF($K491="","",INDEX(Конструктор!$O$2:$O$1212,$K491))</f>
        <v/>
      </c>
      <c r="J491" s="10">
        <f>IF($K491="","",INDEX(Конструктор!$P$2:$P$1212,$K491))</f>
        <v/>
      </c>
      <c r="K491">
        <f>IFERROR(MATCH(471,Конструктор!$T$2:$T$1212,0),"")</f>
        <v/>
      </c>
      <c r="L491">
        <f>IF($K491="","","показать")</f>
        <v/>
      </c>
    </row>
    <row r="492" hidden="1">
      <c r="A492">
        <f>IF($K492="","",472)</f>
        <v/>
      </c>
      <c r="B492">
        <f>IF($K492="","",INDEX(Конструктор!$C$2:$C$1212,$K492))</f>
        <v/>
      </c>
      <c r="C492" s="8">
        <f>IF($K492="","",INDEX(Конструктор!$D$2:$D$1212,$K492)&amp;IF(INDEX(Конструктор!$J$2:$J$1212,$K492)&lt;&gt;""," — "&amp;INDEX(Конструктор!$J$2:$J$1212,$K492),""))</f>
        <v/>
      </c>
      <c r="D492">
        <f>IF($K492="","",INDEX(Конструктор!$E$2:$E$1212,$K492))</f>
        <v/>
      </c>
      <c r="E492" s="10">
        <f>IF($K492="","",INDEX(Конструктор!$H$2:$H$1212,$K492))</f>
        <v/>
      </c>
      <c r="F492" s="10">
        <f>IF($K492="","",INDEX(Конструктор!$L$2:$L$1212,$K492))</f>
        <v/>
      </c>
      <c r="G492" s="10">
        <f>IF($K492="","",INDEX(Конструктор!$M$2:$M$1212,$K492))</f>
        <v/>
      </c>
      <c r="H492" s="10">
        <f>IF($K492="","",INDEX(Конструктор!$N$2:$N$1212,$K492))</f>
        <v/>
      </c>
      <c r="I492" s="10">
        <f>IF($K492="","",INDEX(Конструктор!$O$2:$O$1212,$K492))</f>
        <v/>
      </c>
      <c r="J492" s="10">
        <f>IF($K492="","",INDEX(Конструктор!$P$2:$P$1212,$K492))</f>
        <v/>
      </c>
      <c r="K492">
        <f>IFERROR(MATCH(472,Конструктор!$T$2:$T$1212,0),"")</f>
        <v/>
      </c>
      <c r="L492">
        <f>IF($K492="","","показать")</f>
        <v/>
      </c>
    </row>
    <row r="493" hidden="1">
      <c r="A493">
        <f>IF($K493="","",473)</f>
        <v/>
      </c>
      <c r="B493">
        <f>IF($K493="","",INDEX(Конструктор!$C$2:$C$1212,$K493))</f>
        <v/>
      </c>
      <c r="C493" s="8">
        <f>IF($K493="","",INDEX(Конструктор!$D$2:$D$1212,$K493)&amp;IF(INDEX(Конструктор!$J$2:$J$1212,$K493)&lt;&gt;""," — "&amp;INDEX(Конструктор!$J$2:$J$1212,$K493),""))</f>
        <v/>
      </c>
      <c r="D493">
        <f>IF($K493="","",INDEX(Конструктор!$E$2:$E$1212,$K493))</f>
        <v/>
      </c>
      <c r="E493" s="10">
        <f>IF($K493="","",INDEX(Конструктор!$H$2:$H$1212,$K493))</f>
        <v/>
      </c>
      <c r="F493" s="10">
        <f>IF($K493="","",INDEX(Конструктор!$L$2:$L$1212,$K493))</f>
        <v/>
      </c>
      <c r="G493" s="10">
        <f>IF($K493="","",INDEX(Конструктор!$M$2:$M$1212,$K493))</f>
        <v/>
      </c>
      <c r="H493" s="10">
        <f>IF($K493="","",INDEX(Конструктор!$N$2:$N$1212,$K493))</f>
        <v/>
      </c>
      <c r="I493" s="10">
        <f>IF($K493="","",INDEX(Конструктор!$O$2:$O$1212,$K493))</f>
        <v/>
      </c>
      <c r="J493" s="10">
        <f>IF($K493="","",INDEX(Конструктор!$P$2:$P$1212,$K493))</f>
        <v/>
      </c>
      <c r="K493">
        <f>IFERROR(MATCH(473,Конструктор!$T$2:$T$1212,0),"")</f>
        <v/>
      </c>
      <c r="L493">
        <f>IF($K493="","","показать")</f>
        <v/>
      </c>
    </row>
    <row r="494" hidden="1">
      <c r="A494">
        <f>IF($K494="","",474)</f>
        <v/>
      </c>
      <c r="B494">
        <f>IF($K494="","",INDEX(Конструктор!$C$2:$C$1212,$K494))</f>
        <v/>
      </c>
      <c r="C494" s="8">
        <f>IF($K494="","",INDEX(Конструктор!$D$2:$D$1212,$K494)&amp;IF(INDEX(Конструктор!$J$2:$J$1212,$K494)&lt;&gt;""," — "&amp;INDEX(Конструктор!$J$2:$J$1212,$K494),""))</f>
        <v/>
      </c>
      <c r="D494">
        <f>IF($K494="","",INDEX(Конструктор!$E$2:$E$1212,$K494))</f>
        <v/>
      </c>
      <c r="E494" s="10">
        <f>IF($K494="","",INDEX(Конструктор!$H$2:$H$1212,$K494))</f>
        <v/>
      </c>
      <c r="F494" s="10">
        <f>IF($K494="","",INDEX(Конструктор!$L$2:$L$1212,$K494))</f>
        <v/>
      </c>
      <c r="G494" s="10">
        <f>IF($K494="","",INDEX(Конструктор!$M$2:$M$1212,$K494))</f>
        <v/>
      </c>
      <c r="H494" s="10">
        <f>IF($K494="","",INDEX(Конструктор!$N$2:$N$1212,$K494))</f>
        <v/>
      </c>
      <c r="I494" s="10">
        <f>IF($K494="","",INDEX(Конструктор!$O$2:$O$1212,$K494))</f>
        <v/>
      </c>
      <c r="J494" s="10">
        <f>IF($K494="","",INDEX(Конструктор!$P$2:$P$1212,$K494))</f>
        <v/>
      </c>
      <c r="K494">
        <f>IFERROR(MATCH(474,Конструктор!$T$2:$T$1212,0),"")</f>
        <v/>
      </c>
      <c r="L494">
        <f>IF($K494="","","показать")</f>
        <v/>
      </c>
    </row>
    <row r="495" hidden="1">
      <c r="A495">
        <f>IF($K495="","",475)</f>
        <v/>
      </c>
      <c r="B495">
        <f>IF($K495="","",INDEX(Конструктор!$C$2:$C$1212,$K495))</f>
        <v/>
      </c>
      <c r="C495" s="8">
        <f>IF($K495="","",INDEX(Конструктор!$D$2:$D$1212,$K495)&amp;IF(INDEX(Конструктор!$J$2:$J$1212,$K495)&lt;&gt;""," — "&amp;INDEX(Конструктор!$J$2:$J$1212,$K495),""))</f>
        <v/>
      </c>
      <c r="D495">
        <f>IF($K495="","",INDEX(Конструктор!$E$2:$E$1212,$K495))</f>
        <v/>
      </c>
      <c r="E495" s="10">
        <f>IF($K495="","",INDEX(Конструктор!$H$2:$H$1212,$K495))</f>
        <v/>
      </c>
      <c r="F495" s="10">
        <f>IF($K495="","",INDEX(Конструктор!$L$2:$L$1212,$K495))</f>
        <v/>
      </c>
      <c r="G495" s="10">
        <f>IF($K495="","",INDEX(Конструктор!$M$2:$M$1212,$K495))</f>
        <v/>
      </c>
      <c r="H495" s="10">
        <f>IF($K495="","",INDEX(Конструктор!$N$2:$N$1212,$K495))</f>
        <v/>
      </c>
      <c r="I495" s="10">
        <f>IF($K495="","",INDEX(Конструктор!$O$2:$O$1212,$K495))</f>
        <v/>
      </c>
      <c r="J495" s="10">
        <f>IF($K495="","",INDEX(Конструктор!$P$2:$P$1212,$K495))</f>
        <v/>
      </c>
      <c r="K495">
        <f>IFERROR(MATCH(475,Конструктор!$T$2:$T$1212,0),"")</f>
        <v/>
      </c>
      <c r="L495">
        <f>IF($K495="","","показать")</f>
        <v/>
      </c>
    </row>
    <row r="496" hidden="1">
      <c r="A496">
        <f>IF($K496="","",476)</f>
        <v/>
      </c>
      <c r="B496">
        <f>IF($K496="","",INDEX(Конструктор!$C$2:$C$1212,$K496))</f>
        <v/>
      </c>
      <c r="C496" s="8">
        <f>IF($K496="","",INDEX(Конструктор!$D$2:$D$1212,$K496)&amp;IF(INDEX(Конструктор!$J$2:$J$1212,$K496)&lt;&gt;""," — "&amp;INDEX(Конструктор!$J$2:$J$1212,$K496),""))</f>
        <v/>
      </c>
      <c r="D496">
        <f>IF($K496="","",INDEX(Конструктор!$E$2:$E$1212,$K496))</f>
        <v/>
      </c>
      <c r="E496" s="10">
        <f>IF($K496="","",INDEX(Конструктор!$H$2:$H$1212,$K496))</f>
        <v/>
      </c>
      <c r="F496" s="10">
        <f>IF($K496="","",INDEX(Конструктор!$L$2:$L$1212,$K496))</f>
        <v/>
      </c>
      <c r="G496" s="10">
        <f>IF($K496="","",INDEX(Конструктор!$M$2:$M$1212,$K496))</f>
        <v/>
      </c>
      <c r="H496" s="10">
        <f>IF($K496="","",INDEX(Конструктор!$N$2:$N$1212,$K496))</f>
        <v/>
      </c>
      <c r="I496" s="10">
        <f>IF($K496="","",INDEX(Конструктор!$O$2:$O$1212,$K496))</f>
        <v/>
      </c>
      <c r="J496" s="10">
        <f>IF($K496="","",INDEX(Конструктор!$P$2:$P$1212,$K496))</f>
        <v/>
      </c>
      <c r="K496">
        <f>IFERROR(MATCH(476,Конструктор!$T$2:$T$1212,0),"")</f>
        <v/>
      </c>
      <c r="L496">
        <f>IF($K496="","","показать")</f>
        <v/>
      </c>
    </row>
    <row r="497" hidden="1">
      <c r="A497">
        <f>IF($K497="","",477)</f>
        <v/>
      </c>
      <c r="B497">
        <f>IF($K497="","",INDEX(Конструктор!$C$2:$C$1212,$K497))</f>
        <v/>
      </c>
      <c r="C497" s="8">
        <f>IF($K497="","",INDEX(Конструктор!$D$2:$D$1212,$K497)&amp;IF(INDEX(Конструктор!$J$2:$J$1212,$K497)&lt;&gt;""," — "&amp;INDEX(Конструктор!$J$2:$J$1212,$K497),""))</f>
        <v/>
      </c>
      <c r="D497">
        <f>IF($K497="","",INDEX(Конструктор!$E$2:$E$1212,$K497))</f>
        <v/>
      </c>
      <c r="E497" s="10">
        <f>IF($K497="","",INDEX(Конструктор!$H$2:$H$1212,$K497))</f>
        <v/>
      </c>
      <c r="F497" s="10">
        <f>IF($K497="","",INDEX(Конструктор!$L$2:$L$1212,$K497))</f>
        <v/>
      </c>
      <c r="G497" s="10">
        <f>IF($K497="","",INDEX(Конструктор!$M$2:$M$1212,$K497))</f>
        <v/>
      </c>
      <c r="H497" s="10">
        <f>IF($K497="","",INDEX(Конструктор!$N$2:$N$1212,$K497))</f>
        <v/>
      </c>
      <c r="I497" s="10">
        <f>IF($K497="","",INDEX(Конструктор!$O$2:$O$1212,$K497))</f>
        <v/>
      </c>
      <c r="J497" s="10">
        <f>IF($K497="","",INDEX(Конструктор!$P$2:$P$1212,$K497))</f>
        <v/>
      </c>
      <c r="K497">
        <f>IFERROR(MATCH(477,Конструктор!$T$2:$T$1212,0),"")</f>
        <v/>
      </c>
      <c r="L497">
        <f>IF($K497="","","показать")</f>
        <v/>
      </c>
    </row>
    <row r="498" hidden="1">
      <c r="A498">
        <f>IF($K498="","",478)</f>
        <v/>
      </c>
      <c r="B498">
        <f>IF($K498="","",INDEX(Конструктор!$C$2:$C$1212,$K498))</f>
        <v/>
      </c>
      <c r="C498" s="8">
        <f>IF($K498="","",INDEX(Конструктор!$D$2:$D$1212,$K498)&amp;IF(INDEX(Конструктор!$J$2:$J$1212,$K498)&lt;&gt;""," — "&amp;INDEX(Конструктор!$J$2:$J$1212,$K498),""))</f>
        <v/>
      </c>
      <c r="D498">
        <f>IF($K498="","",INDEX(Конструктор!$E$2:$E$1212,$K498))</f>
        <v/>
      </c>
      <c r="E498" s="10">
        <f>IF($K498="","",INDEX(Конструктор!$H$2:$H$1212,$K498))</f>
        <v/>
      </c>
      <c r="F498" s="10">
        <f>IF($K498="","",INDEX(Конструктор!$L$2:$L$1212,$K498))</f>
        <v/>
      </c>
      <c r="G498" s="10">
        <f>IF($K498="","",INDEX(Конструктор!$M$2:$M$1212,$K498))</f>
        <v/>
      </c>
      <c r="H498" s="10">
        <f>IF($K498="","",INDEX(Конструктор!$N$2:$N$1212,$K498))</f>
        <v/>
      </c>
      <c r="I498" s="10">
        <f>IF($K498="","",INDEX(Конструктор!$O$2:$O$1212,$K498))</f>
        <v/>
      </c>
      <c r="J498" s="10">
        <f>IF($K498="","",INDEX(Конструктор!$P$2:$P$1212,$K498))</f>
        <v/>
      </c>
      <c r="K498">
        <f>IFERROR(MATCH(478,Конструктор!$T$2:$T$1212,0),"")</f>
        <v/>
      </c>
      <c r="L498">
        <f>IF($K498="","","показать")</f>
        <v/>
      </c>
    </row>
    <row r="499" hidden="1">
      <c r="A499">
        <f>IF($K499="","",479)</f>
        <v/>
      </c>
      <c r="B499">
        <f>IF($K499="","",INDEX(Конструктор!$C$2:$C$1212,$K499))</f>
        <v/>
      </c>
      <c r="C499" s="8">
        <f>IF($K499="","",INDEX(Конструктор!$D$2:$D$1212,$K499)&amp;IF(INDEX(Конструктор!$J$2:$J$1212,$K499)&lt;&gt;""," — "&amp;INDEX(Конструктор!$J$2:$J$1212,$K499),""))</f>
        <v/>
      </c>
      <c r="D499">
        <f>IF($K499="","",INDEX(Конструктор!$E$2:$E$1212,$K499))</f>
        <v/>
      </c>
      <c r="E499" s="10">
        <f>IF($K499="","",INDEX(Конструктор!$H$2:$H$1212,$K499))</f>
        <v/>
      </c>
      <c r="F499" s="10">
        <f>IF($K499="","",INDEX(Конструктор!$L$2:$L$1212,$K499))</f>
        <v/>
      </c>
      <c r="G499" s="10">
        <f>IF($K499="","",INDEX(Конструктор!$M$2:$M$1212,$K499))</f>
        <v/>
      </c>
      <c r="H499" s="10">
        <f>IF($K499="","",INDEX(Конструктор!$N$2:$N$1212,$K499))</f>
        <v/>
      </c>
      <c r="I499" s="10">
        <f>IF($K499="","",INDEX(Конструктор!$O$2:$O$1212,$K499))</f>
        <v/>
      </c>
      <c r="J499" s="10">
        <f>IF($K499="","",INDEX(Конструктор!$P$2:$P$1212,$K499))</f>
        <v/>
      </c>
      <c r="K499">
        <f>IFERROR(MATCH(479,Конструктор!$T$2:$T$1212,0),"")</f>
        <v/>
      </c>
      <c r="L499">
        <f>IF($K499="","","показать")</f>
        <v/>
      </c>
    </row>
    <row r="500" hidden="1">
      <c r="A500">
        <f>IF($K500="","",480)</f>
        <v/>
      </c>
      <c r="B500">
        <f>IF($K500="","",INDEX(Конструктор!$C$2:$C$1212,$K500))</f>
        <v/>
      </c>
      <c r="C500" s="8">
        <f>IF($K500="","",INDEX(Конструктор!$D$2:$D$1212,$K500)&amp;IF(INDEX(Конструктор!$J$2:$J$1212,$K500)&lt;&gt;""," — "&amp;INDEX(Конструктор!$J$2:$J$1212,$K500),""))</f>
        <v/>
      </c>
      <c r="D500">
        <f>IF($K500="","",INDEX(Конструктор!$E$2:$E$1212,$K500))</f>
        <v/>
      </c>
      <c r="E500" s="10">
        <f>IF($K500="","",INDEX(Конструктор!$H$2:$H$1212,$K500))</f>
        <v/>
      </c>
      <c r="F500" s="10">
        <f>IF($K500="","",INDEX(Конструктор!$L$2:$L$1212,$K500))</f>
        <v/>
      </c>
      <c r="G500" s="10">
        <f>IF($K500="","",INDEX(Конструктор!$M$2:$M$1212,$K500))</f>
        <v/>
      </c>
      <c r="H500" s="10">
        <f>IF($K500="","",INDEX(Конструктор!$N$2:$N$1212,$K500))</f>
        <v/>
      </c>
      <c r="I500" s="10">
        <f>IF($K500="","",INDEX(Конструктор!$O$2:$O$1212,$K500))</f>
        <v/>
      </c>
      <c r="J500" s="10">
        <f>IF($K500="","",INDEX(Конструктор!$P$2:$P$1212,$K500))</f>
        <v/>
      </c>
      <c r="K500">
        <f>IFERROR(MATCH(480,Конструктор!$T$2:$T$1212,0),"")</f>
        <v/>
      </c>
      <c r="L500">
        <f>IF($K500="","","показать")</f>
        <v/>
      </c>
    </row>
    <row r="501" hidden="1">
      <c r="A501">
        <f>IF($K501="","",481)</f>
        <v/>
      </c>
      <c r="B501">
        <f>IF($K501="","",INDEX(Конструктор!$C$2:$C$1212,$K501))</f>
        <v/>
      </c>
      <c r="C501" s="8">
        <f>IF($K501="","",INDEX(Конструктор!$D$2:$D$1212,$K501)&amp;IF(INDEX(Конструктор!$J$2:$J$1212,$K501)&lt;&gt;""," — "&amp;INDEX(Конструктор!$J$2:$J$1212,$K501),""))</f>
        <v/>
      </c>
      <c r="D501">
        <f>IF($K501="","",INDEX(Конструктор!$E$2:$E$1212,$K501))</f>
        <v/>
      </c>
      <c r="E501" s="10">
        <f>IF($K501="","",INDEX(Конструктор!$H$2:$H$1212,$K501))</f>
        <v/>
      </c>
      <c r="F501" s="10">
        <f>IF($K501="","",INDEX(Конструктор!$L$2:$L$1212,$K501))</f>
        <v/>
      </c>
      <c r="G501" s="10">
        <f>IF($K501="","",INDEX(Конструктор!$M$2:$M$1212,$K501))</f>
        <v/>
      </c>
      <c r="H501" s="10">
        <f>IF($K501="","",INDEX(Конструктор!$N$2:$N$1212,$K501))</f>
        <v/>
      </c>
      <c r="I501" s="10">
        <f>IF($K501="","",INDEX(Конструктор!$O$2:$O$1212,$K501))</f>
        <v/>
      </c>
      <c r="J501" s="10">
        <f>IF($K501="","",INDEX(Конструктор!$P$2:$P$1212,$K501))</f>
        <v/>
      </c>
      <c r="K501">
        <f>IFERROR(MATCH(481,Конструктор!$T$2:$T$1212,0),"")</f>
        <v/>
      </c>
      <c r="L501">
        <f>IF($K501="","","показать")</f>
        <v/>
      </c>
    </row>
    <row r="502" hidden="1">
      <c r="A502">
        <f>IF($K502="","",482)</f>
        <v/>
      </c>
      <c r="B502">
        <f>IF($K502="","",INDEX(Конструктор!$C$2:$C$1212,$K502))</f>
        <v/>
      </c>
      <c r="C502" s="8">
        <f>IF($K502="","",INDEX(Конструктор!$D$2:$D$1212,$K502)&amp;IF(INDEX(Конструктор!$J$2:$J$1212,$K502)&lt;&gt;""," — "&amp;INDEX(Конструктор!$J$2:$J$1212,$K502),""))</f>
        <v/>
      </c>
      <c r="D502">
        <f>IF($K502="","",INDEX(Конструктор!$E$2:$E$1212,$K502))</f>
        <v/>
      </c>
      <c r="E502" s="10">
        <f>IF($K502="","",INDEX(Конструктор!$H$2:$H$1212,$K502))</f>
        <v/>
      </c>
      <c r="F502" s="10">
        <f>IF($K502="","",INDEX(Конструктор!$L$2:$L$1212,$K502))</f>
        <v/>
      </c>
      <c r="G502" s="10">
        <f>IF($K502="","",INDEX(Конструктор!$M$2:$M$1212,$K502))</f>
        <v/>
      </c>
      <c r="H502" s="10">
        <f>IF($K502="","",INDEX(Конструктор!$N$2:$N$1212,$K502))</f>
        <v/>
      </c>
      <c r="I502" s="10">
        <f>IF($K502="","",INDEX(Конструктор!$O$2:$O$1212,$K502))</f>
        <v/>
      </c>
      <c r="J502" s="10">
        <f>IF($K502="","",INDEX(Конструктор!$P$2:$P$1212,$K502))</f>
        <v/>
      </c>
      <c r="K502">
        <f>IFERROR(MATCH(482,Конструктор!$T$2:$T$1212,0),"")</f>
        <v/>
      </c>
      <c r="L502">
        <f>IF($K502="","","показать")</f>
        <v/>
      </c>
    </row>
    <row r="503" hidden="1">
      <c r="A503">
        <f>IF($K503="","",483)</f>
        <v/>
      </c>
      <c r="B503">
        <f>IF($K503="","",INDEX(Конструктор!$C$2:$C$1212,$K503))</f>
        <v/>
      </c>
      <c r="C503" s="8">
        <f>IF($K503="","",INDEX(Конструктор!$D$2:$D$1212,$K503)&amp;IF(INDEX(Конструктор!$J$2:$J$1212,$K503)&lt;&gt;""," — "&amp;INDEX(Конструктор!$J$2:$J$1212,$K503),""))</f>
        <v/>
      </c>
      <c r="D503">
        <f>IF($K503="","",INDEX(Конструктор!$E$2:$E$1212,$K503))</f>
        <v/>
      </c>
      <c r="E503" s="10">
        <f>IF($K503="","",INDEX(Конструктор!$H$2:$H$1212,$K503))</f>
        <v/>
      </c>
      <c r="F503" s="10">
        <f>IF($K503="","",INDEX(Конструктор!$L$2:$L$1212,$K503))</f>
        <v/>
      </c>
      <c r="G503" s="10">
        <f>IF($K503="","",INDEX(Конструктор!$M$2:$M$1212,$K503))</f>
        <v/>
      </c>
      <c r="H503" s="10">
        <f>IF($K503="","",INDEX(Конструктор!$N$2:$N$1212,$K503))</f>
        <v/>
      </c>
      <c r="I503" s="10">
        <f>IF($K503="","",INDEX(Конструктор!$O$2:$O$1212,$K503))</f>
        <v/>
      </c>
      <c r="J503" s="10">
        <f>IF($K503="","",INDEX(Конструктор!$P$2:$P$1212,$K503))</f>
        <v/>
      </c>
      <c r="K503">
        <f>IFERROR(MATCH(483,Конструктор!$T$2:$T$1212,0),"")</f>
        <v/>
      </c>
      <c r="L503">
        <f>IF($K503="","","показать")</f>
        <v/>
      </c>
    </row>
    <row r="504" hidden="1">
      <c r="A504">
        <f>IF($K504="","",484)</f>
        <v/>
      </c>
      <c r="B504">
        <f>IF($K504="","",INDEX(Конструктор!$C$2:$C$1212,$K504))</f>
        <v/>
      </c>
      <c r="C504" s="8">
        <f>IF($K504="","",INDEX(Конструктор!$D$2:$D$1212,$K504)&amp;IF(INDEX(Конструктор!$J$2:$J$1212,$K504)&lt;&gt;""," — "&amp;INDEX(Конструктор!$J$2:$J$1212,$K504),""))</f>
        <v/>
      </c>
      <c r="D504">
        <f>IF($K504="","",INDEX(Конструктор!$E$2:$E$1212,$K504))</f>
        <v/>
      </c>
      <c r="E504" s="10">
        <f>IF($K504="","",INDEX(Конструктор!$H$2:$H$1212,$K504))</f>
        <v/>
      </c>
      <c r="F504" s="10">
        <f>IF($K504="","",INDEX(Конструктор!$L$2:$L$1212,$K504))</f>
        <v/>
      </c>
      <c r="G504" s="10">
        <f>IF($K504="","",INDEX(Конструктор!$M$2:$M$1212,$K504))</f>
        <v/>
      </c>
      <c r="H504" s="10">
        <f>IF($K504="","",INDEX(Конструктор!$N$2:$N$1212,$K504))</f>
        <v/>
      </c>
      <c r="I504" s="10">
        <f>IF($K504="","",INDEX(Конструктор!$O$2:$O$1212,$K504))</f>
        <v/>
      </c>
      <c r="J504" s="10">
        <f>IF($K504="","",INDEX(Конструктор!$P$2:$P$1212,$K504))</f>
        <v/>
      </c>
      <c r="K504">
        <f>IFERROR(MATCH(484,Конструктор!$T$2:$T$1212,0),"")</f>
        <v/>
      </c>
      <c r="L504">
        <f>IF($K504="","","показать")</f>
        <v/>
      </c>
    </row>
    <row r="505" hidden="1">
      <c r="A505">
        <f>IF($K505="","",485)</f>
        <v/>
      </c>
      <c r="B505">
        <f>IF($K505="","",INDEX(Конструктор!$C$2:$C$1212,$K505))</f>
        <v/>
      </c>
      <c r="C505" s="8">
        <f>IF($K505="","",INDEX(Конструктор!$D$2:$D$1212,$K505)&amp;IF(INDEX(Конструктор!$J$2:$J$1212,$K505)&lt;&gt;""," — "&amp;INDEX(Конструктор!$J$2:$J$1212,$K505),""))</f>
        <v/>
      </c>
      <c r="D505">
        <f>IF($K505="","",INDEX(Конструктор!$E$2:$E$1212,$K505))</f>
        <v/>
      </c>
      <c r="E505" s="10">
        <f>IF($K505="","",INDEX(Конструктор!$H$2:$H$1212,$K505))</f>
        <v/>
      </c>
      <c r="F505" s="10">
        <f>IF($K505="","",INDEX(Конструктор!$L$2:$L$1212,$K505))</f>
        <v/>
      </c>
      <c r="G505" s="10">
        <f>IF($K505="","",INDEX(Конструктор!$M$2:$M$1212,$K505))</f>
        <v/>
      </c>
      <c r="H505" s="10">
        <f>IF($K505="","",INDEX(Конструктор!$N$2:$N$1212,$K505))</f>
        <v/>
      </c>
      <c r="I505" s="10">
        <f>IF($K505="","",INDEX(Конструктор!$O$2:$O$1212,$K505))</f>
        <v/>
      </c>
      <c r="J505" s="10">
        <f>IF($K505="","",INDEX(Конструктор!$P$2:$P$1212,$K505))</f>
        <v/>
      </c>
      <c r="K505">
        <f>IFERROR(MATCH(485,Конструктор!$T$2:$T$1212,0),"")</f>
        <v/>
      </c>
      <c r="L505">
        <f>IF($K505="","","показать")</f>
        <v/>
      </c>
    </row>
    <row r="506" hidden="1">
      <c r="A506">
        <f>IF($K506="","",486)</f>
        <v/>
      </c>
      <c r="B506">
        <f>IF($K506="","",INDEX(Конструктор!$C$2:$C$1212,$K506))</f>
        <v/>
      </c>
      <c r="C506" s="8">
        <f>IF($K506="","",INDEX(Конструктор!$D$2:$D$1212,$K506)&amp;IF(INDEX(Конструктор!$J$2:$J$1212,$K506)&lt;&gt;""," — "&amp;INDEX(Конструктор!$J$2:$J$1212,$K506),""))</f>
        <v/>
      </c>
      <c r="D506">
        <f>IF($K506="","",INDEX(Конструктор!$E$2:$E$1212,$K506))</f>
        <v/>
      </c>
      <c r="E506" s="10">
        <f>IF($K506="","",INDEX(Конструктор!$H$2:$H$1212,$K506))</f>
        <v/>
      </c>
      <c r="F506" s="10">
        <f>IF($K506="","",INDEX(Конструктор!$L$2:$L$1212,$K506))</f>
        <v/>
      </c>
      <c r="G506" s="10">
        <f>IF($K506="","",INDEX(Конструктор!$M$2:$M$1212,$K506))</f>
        <v/>
      </c>
      <c r="H506" s="10">
        <f>IF($K506="","",INDEX(Конструктор!$N$2:$N$1212,$K506))</f>
        <v/>
      </c>
      <c r="I506" s="10">
        <f>IF($K506="","",INDEX(Конструктор!$O$2:$O$1212,$K506))</f>
        <v/>
      </c>
      <c r="J506" s="10">
        <f>IF($K506="","",INDEX(Конструктор!$P$2:$P$1212,$K506))</f>
        <v/>
      </c>
      <c r="K506">
        <f>IFERROR(MATCH(486,Конструктор!$T$2:$T$1212,0),"")</f>
        <v/>
      </c>
      <c r="L506">
        <f>IF($K506="","","показать")</f>
        <v/>
      </c>
    </row>
    <row r="507" hidden="1">
      <c r="A507">
        <f>IF($K507="","",487)</f>
        <v/>
      </c>
      <c r="B507">
        <f>IF($K507="","",INDEX(Конструктор!$C$2:$C$1212,$K507))</f>
        <v/>
      </c>
      <c r="C507" s="8">
        <f>IF($K507="","",INDEX(Конструктор!$D$2:$D$1212,$K507)&amp;IF(INDEX(Конструктор!$J$2:$J$1212,$K507)&lt;&gt;""," — "&amp;INDEX(Конструктор!$J$2:$J$1212,$K507),""))</f>
        <v/>
      </c>
      <c r="D507">
        <f>IF($K507="","",INDEX(Конструктор!$E$2:$E$1212,$K507))</f>
        <v/>
      </c>
      <c r="E507" s="10">
        <f>IF($K507="","",INDEX(Конструктор!$H$2:$H$1212,$K507))</f>
        <v/>
      </c>
      <c r="F507" s="10">
        <f>IF($K507="","",INDEX(Конструктор!$L$2:$L$1212,$K507))</f>
        <v/>
      </c>
      <c r="G507" s="10">
        <f>IF($K507="","",INDEX(Конструктор!$M$2:$M$1212,$K507))</f>
        <v/>
      </c>
      <c r="H507" s="10">
        <f>IF($K507="","",INDEX(Конструктор!$N$2:$N$1212,$K507))</f>
        <v/>
      </c>
      <c r="I507" s="10">
        <f>IF($K507="","",INDEX(Конструктор!$O$2:$O$1212,$K507))</f>
        <v/>
      </c>
      <c r="J507" s="10">
        <f>IF($K507="","",INDEX(Конструктор!$P$2:$P$1212,$K507))</f>
        <v/>
      </c>
      <c r="K507">
        <f>IFERROR(MATCH(487,Конструктор!$T$2:$T$1212,0),"")</f>
        <v/>
      </c>
      <c r="L507">
        <f>IF($K507="","","показать")</f>
        <v/>
      </c>
    </row>
    <row r="508" hidden="1">
      <c r="A508">
        <f>IF($K508="","",488)</f>
        <v/>
      </c>
      <c r="B508">
        <f>IF($K508="","",INDEX(Конструктор!$C$2:$C$1212,$K508))</f>
        <v/>
      </c>
      <c r="C508" s="8">
        <f>IF($K508="","",INDEX(Конструктор!$D$2:$D$1212,$K508)&amp;IF(INDEX(Конструктор!$J$2:$J$1212,$K508)&lt;&gt;""," — "&amp;INDEX(Конструктор!$J$2:$J$1212,$K508),""))</f>
        <v/>
      </c>
      <c r="D508">
        <f>IF($K508="","",INDEX(Конструктор!$E$2:$E$1212,$K508))</f>
        <v/>
      </c>
      <c r="E508" s="10">
        <f>IF($K508="","",INDEX(Конструктор!$H$2:$H$1212,$K508))</f>
        <v/>
      </c>
      <c r="F508" s="10">
        <f>IF($K508="","",INDEX(Конструктор!$L$2:$L$1212,$K508))</f>
        <v/>
      </c>
      <c r="G508" s="10">
        <f>IF($K508="","",INDEX(Конструктор!$M$2:$M$1212,$K508))</f>
        <v/>
      </c>
      <c r="H508" s="10">
        <f>IF($K508="","",INDEX(Конструктор!$N$2:$N$1212,$K508))</f>
        <v/>
      </c>
      <c r="I508" s="10">
        <f>IF($K508="","",INDEX(Конструктор!$O$2:$O$1212,$K508))</f>
        <v/>
      </c>
      <c r="J508" s="10">
        <f>IF($K508="","",INDEX(Конструктор!$P$2:$P$1212,$K508))</f>
        <v/>
      </c>
      <c r="K508">
        <f>IFERROR(MATCH(488,Конструктор!$T$2:$T$1212,0),"")</f>
        <v/>
      </c>
      <c r="L508">
        <f>IF($K508="","","показать")</f>
        <v/>
      </c>
    </row>
    <row r="509" hidden="1">
      <c r="A509">
        <f>IF($K509="","",489)</f>
        <v/>
      </c>
      <c r="B509">
        <f>IF($K509="","",INDEX(Конструктор!$C$2:$C$1212,$K509))</f>
        <v/>
      </c>
      <c r="C509" s="8">
        <f>IF($K509="","",INDEX(Конструктор!$D$2:$D$1212,$K509)&amp;IF(INDEX(Конструктор!$J$2:$J$1212,$K509)&lt;&gt;""," — "&amp;INDEX(Конструктор!$J$2:$J$1212,$K509),""))</f>
        <v/>
      </c>
      <c r="D509">
        <f>IF($K509="","",INDEX(Конструктор!$E$2:$E$1212,$K509))</f>
        <v/>
      </c>
      <c r="E509" s="10">
        <f>IF($K509="","",INDEX(Конструктор!$H$2:$H$1212,$K509))</f>
        <v/>
      </c>
      <c r="F509" s="10">
        <f>IF($K509="","",INDEX(Конструктор!$L$2:$L$1212,$K509))</f>
        <v/>
      </c>
      <c r="G509" s="10">
        <f>IF($K509="","",INDEX(Конструктор!$M$2:$M$1212,$K509))</f>
        <v/>
      </c>
      <c r="H509" s="10">
        <f>IF($K509="","",INDEX(Конструктор!$N$2:$N$1212,$K509))</f>
        <v/>
      </c>
      <c r="I509" s="10">
        <f>IF($K509="","",INDEX(Конструктор!$O$2:$O$1212,$K509))</f>
        <v/>
      </c>
      <c r="J509" s="10">
        <f>IF($K509="","",INDEX(Конструктор!$P$2:$P$1212,$K509))</f>
        <v/>
      </c>
      <c r="K509">
        <f>IFERROR(MATCH(489,Конструктор!$T$2:$T$1212,0),"")</f>
        <v/>
      </c>
      <c r="L509">
        <f>IF($K509="","","показать")</f>
        <v/>
      </c>
    </row>
    <row r="510" hidden="1">
      <c r="A510">
        <f>IF($K510="","",490)</f>
        <v/>
      </c>
      <c r="B510">
        <f>IF($K510="","",INDEX(Конструктор!$C$2:$C$1212,$K510))</f>
        <v/>
      </c>
      <c r="C510" s="8">
        <f>IF($K510="","",INDEX(Конструктор!$D$2:$D$1212,$K510)&amp;IF(INDEX(Конструктор!$J$2:$J$1212,$K510)&lt;&gt;""," — "&amp;INDEX(Конструктор!$J$2:$J$1212,$K510),""))</f>
        <v/>
      </c>
      <c r="D510">
        <f>IF($K510="","",INDEX(Конструктор!$E$2:$E$1212,$K510))</f>
        <v/>
      </c>
      <c r="E510" s="10">
        <f>IF($K510="","",INDEX(Конструктор!$H$2:$H$1212,$K510))</f>
        <v/>
      </c>
      <c r="F510" s="10">
        <f>IF($K510="","",INDEX(Конструктор!$L$2:$L$1212,$K510))</f>
        <v/>
      </c>
      <c r="G510" s="10">
        <f>IF($K510="","",INDEX(Конструктор!$M$2:$M$1212,$K510))</f>
        <v/>
      </c>
      <c r="H510" s="10">
        <f>IF($K510="","",INDEX(Конструктор!$N$2:$N$1212,$K510))</f>
        <v/>
      </c>
      <c r="I510" s="10">
        <f>IF($K510="","",INDEX(Конструктор!$O$2:$O$1212,$K510))</f>
        <v/>
      </c>
      <c r="J510" s="10">
        <f>IF($K510="","",INDEX(Конструктор!$P$2:$P$1212,$K510))</f>
        <v/>
      </c>
      <c r="K510">
        <f>IFERROR(MATCH(490,Конструктор!$T$2:$T$1212,0),"")</f>
        <v/>
      </c>
      <c r="L510">
        <f>IF($K510="","","показать")</f>
        <v/>
      </c>
    </row>
    <row r="511" hidden="1">
      <c r="A511">
        <f>IF($K511="","",491)</f>
        <v/>
      </c>
      <c r="B511">
        <f>IF($K511="","",INDEX(Конструктор!$C$2:$C$1212,$K511))</f>
        <v/>
      </c>
      <c r="C511" s="8">
        <f>IF($K511="","",INDEX(Конструктор!$D$2:$D$1212,$K511)&amp;IF(INDEX(Конструктор!$J$2:$J$1212,$K511)&lt;&gt;""," — "&amp;INDEX(Конструктор!$J$2:$J$1212,$K511),""))</f>
        <v/>
      </c>
      <c r="D511">
        <f>IF($K511="","",INDEX(Конструктор!$E$2:$E$1212,$K511))</f>
        <v/>
      </c>
      <c r="E511" s="10">
        <f>IF($K511="","",INDEX(Конструктор!$H$2:$H$1212,$K511))</f>
        <v/>
      </c>
      <c r="F511" s="10">
        <f>IF($K511="","",INDEX(Конструктор!$L$2:$L$1212,$K511))</f>
        <v/>
      </c>
      <c r="G511" s="10">
        <f>IF($K511="","",INDEX(Конструктор!$M$2:$M$1212,$K511))</f>
        <v/>
      </c>
      <c r="H511" s="10">
        <f>IF($K511="","",INDEX(Конструктор!$N$2:$N$1212,$K511))</f>
        <v/>
      </c>
      <c r="I511" s="10">
        <f>IF($K511="","",INDEX(Конструктор!$O$2:$O$1212,$K511))</f>
        <v/>
      </c>
      <c r="J511" s="10">
        <f>IF($K511="","",INDEX(Конструктор!$P$2:$P$1212,$K511))</f>
        <v/>
      </c>
      <c r="K511">
        <f>IFERROR(MATCH(491,Конструктор!$T$2:$T$1212,0),"")</f>
        <v/>
      </c>
      <c r="L511">
        <f>IF($K511="","","показать")</f>
        <v/>
      </c>
    </row>
    <row r="512" hidden="1">
      <c r="A512">
        <f>IF($K512="","",492)</f>
        <v/>
      </c>
      <c r="B512">
        <f>IF($K512="","",INDEX(Конструктор!$C$2:$C$1212,$K512))</f>
        <v/>
      </c>
      <c r="C512" s="8">
        <f>IF($K512="","",INDEX(Конструктор!$D$2:$D$1212,$K512)&amp;IF(INDEX(Конструктор!$J$2:$J$1212,$K512)&lt;&gt;""," — "&amp;INDEX(Конструктор!$J$2:$J$1212,$K512),""))</f>
        <v/>
      </c>
      <c r="D512">
        <f>IF($K512="","",INDEX(Конструктор!$E$2:$E$1212,$K512))</f>
        <v/>
      </c>
      <c r="E512" s="10">
        <f>IF($K512="","",INDEX(Конструктор!$H$2:$H$1212,$K512))</f>
        <v/>
      </c>
      <c r="F512" s="10">
        <f>IF($K512="","",INDEX(Конструктор!$L$2:$L$1212,$K512))</f>
        <v/>
      </c>
      <c r="G512" s="10">
        <f>IF($K512="","",INDEX(Конструктор!$M$2:$M$1212,$K512))</f>
        <v/>
      </c>
      <c r="H512" s="10">
        <f>IF($K512="","",INDEX(Конструктор!$N$2:$N$1212,$K512))</f>
        <v/>
      </c>
      <c r="I512" s="10">
        <f>IF($K512="","",INDEX(Конструктор!$O$2:$O$1212,$K512))</f>
        <v/>
      </c>
      <c r="J512" s="10">
        <f>IF($K512="","",INDEX(Конструктор!$P$2:$P$1212,$K512))</f>
        <v/>
      </c>
      <c r="K512">
        <f>IFERROR(MATCH(492,Конструктор!$T$2:$T$1212,0),"")</f>
        <v/>
      </c>
      <c r="L512">
        <f>IF($K512="","","показать")</f>
        <v/>
      </c>
    </row>
    <row r="513" hidden="1">
      <c r="A513">
        <f>IF($K513="","",493)</f>
        <v/>
      </c>
      <c r="B513">
        <f>IF($K513="","",INDEX(Конструктор!$C$2:$C$1212,$K513))</f>
        <v/>
      </c>
      <c r="C513" s="8">
        <f>IF($K513="","",INDEX(Конструктор!$D$2:$D$1212,$K513)&amp;IF(INDEX(Конструктор!$J$2:$J$1212,$K513)&lt;&gt;""," — "&amp;INDEX(Конструктор!$J$2:$J$1212,$K513),""))</f>
        <v/>
      </c>
      <c r="D513">
        <f>IF($K513="","",INDEX(Конструктор!$E$2:$E$1212,$K513))</f>
        <v/>
      </c>
      <c r="E513" s="10">
        <f>IF($K513="","",INDEX(Конструктор!$H$2:$H$1212,$K513))</f>
        <v/>
      </c>
      <c r="F513" s="10">
        <f>IF($K513="","",INDEX(Конструктор!$L$2:$L$1212,$K513))</f>
        <v/>
      </c>
      <c r="G513" s="10">
        <f>IF($K513="","",INDEX(Конструктор!$M$2:$M$1212,$K513))</f>
        <v/>
      </c>
      <c r="H513" s="10">
        <f>IF($K513="","",INDEX(Конструктор!$N$2:$N$1212,$K513))</f>
        <v/>
      </c>
      <c r="I513" s="10">
        <f>IF($K513="","",INDEX(Конструктор!$O$2:$O$1212,$K513))</f>
        <v/>
      </c>
      <c r="J513" s="10">
        <f>IF($K513="","",INDEX(Конструктор!$P$2:$P$1212,$K513))</f>
        <v/>
      </c>
      <c r="K513">
        <f>IFERROR(MATCH(493,Конструктор!$T$2:$T$1212,0),"")</f>
        <v/>
      </c>
      <c r="L513">
        <f>IF($K513="","","показать")</f>
        <v/>
      </c>
    </row>
    <row r="514" hidden="1">
      <c r="A514">
        <f>IF($K514="","",494)</f>
        <v/>
      </c>
      <c r="B514">
        <f>IF($K514="","",INDEX(Конструктор!$C$2:$C$1212,$K514))</f>
        <v/>
      </c>
      <c r="C514" s="8">
        <f>IF($K514="","",INDEX(Конструктор!$D$2:$D$1212,$K514)&amp;IF(INDEX(Конструктор!$J$2:$J$1212,$K514)&lt;&gt;""," — "&amp;INDEX(Конструктор!$J$2:$J$1212,$K514),""))</f>
        <v/>
      </c>
      <c r="D514">
        <f>IF($K514="","",INDEX(Конструктор!$E$2:$E$1212,$K514))</f>
        <v/>
      </c>
      <c r="E514" s="10">
        <f>IF($K514="","",INDEX(Конструктор!$H$2:$H$1212,$K514))</f>
        <v/>
      </c>
      <c r="F514" s="10">
        <f>IF($K514="","",INDEX(Конструктор!$L$2:$L$1212,$K514))</f>
        <v/>
      </c>
      <c r="G514" s="10">
        <f>IF($K514="","",INDEX(Конструктор!$M$2:$M$1212,$K514))</f>
        <v/>
      </c>
      <c r="H514" s="10">
        <f>IF($K514="","",INDEX(Конструктор!$N$2:$N$1212,$K514))</f>
        <v/>
      </c>
      <c r="I514" s="10">
        <f>IF($K514="","",INDEX(Конструктор!$O$2:$O$1212,$K514))</f>
        <v/>
      </c>
      <c r="J514" s="10">
        <f>IF($K514="","",INDEX(Конструктор!$P$2:$P$1212,$K514))</f>
        <v/>
      </c>
      <c r="K514">
        <f>IFERROR(MATCH(494,Конструктор!$T$2:$T$1212,0),"")</f>
        <v/>
      </c>
      <c r="L514">
        <f>IF($K514="","","показать")</f>
        <v/>
      </c>
    </row>
    <row r="515" hidden="1">
      <c r="A515">
        <f>IF($K515="","",495)</f>
        <v/>
      </c>
      <c r="B515">
        <f>IF($K515="","",INDEX(Конструктор!$C$2:$C$1212,$K515))</f>
        <v/>
      </c>
      <c r="C515" s="8">
        <f>IF($K515="","",INDEX(Конструктор!$D$2:$D$1212,$K515)&amp;IF(INDEX(Конструктор!$J$2:$J$1212,$K515)&lt;&gt;""," — "&amp;INDEX(Конструктор!$J$2:$J$1212,$K515),""))</f>
        <v/>
      </c>
      <c r="D515">
        <f>IF($K515="","",INDEX(Конструктор!$E$2:$E$1212,$K515))</f>
        <v/>
      </c>
      <c r="E515" s="10">
        <f>IF($K515="","",INDEX(Конструктор!$H$2:$H$1212,$K515))</f>
        <v/>
      </c>
      <c r="F515" s="10">
        <f>IF($K515="","",INDEX(Конструктор!$L$2:$L$1212,$K515))</f>
        <v/>
      </c>
      <c r="G515" s="10">
        <f>IF($K515="","",INDEX(Конструктор!$M$2:$M$1212,$K515))</f>
        <v/>
      </c>
      <c r="H515" s="10">
        <f>IF($K515="","",INDEX(Конструктор!$N$2:$N$1212,$K515))</f>
        <v/>
      </c>
      <c r="I515" s="10">
        <f>IF($K515="","",INDEX(Конструктор!$O$2:$O$1212,$K515))</f>
        <v/>
      </c>
      <c r="J515" s="10">
        <f>IF($K515="","",INDEX(Конструктор!$P$2:$P$1212,$K515))</f>
        <v/>
      </c>
      <c r="K515">
        <f>IFERROR(MATCH(495,Конструктор!$T$2:$T$1212,0),"")</f>
        <v/>
      </c>
      <c r="L515">
        <f>IF($K515="","","показать")</f>
        <v/>
      </c>
    </row>
    <row r="516" hidden="1">
      <c r="A516">
        <f>IF($K516="","",496)</f>
        <v/>
      </c>
      <c r="B516">
        <f>IF($K516="","",INDEX(Конструктор!$C$2:$C$1212,$K516))</f>
        <v/>
      </c>
      <c r="C516" s="8">
        <f>IF($K516="","",INDEX(Конструктор!$D$2:$D$1212,$K516)&amp;IF(INDEX(Конструктор!$J$2:$J$1212,$K516)&lt;&gt;""," — "&amp;INDEX(Конструктор!$J$2:$J$1212,$K516),""))</f>
        <v/>
      </c>
      <c r="D516">
        <f>IF($K516="","",INDEX(Конструктор!$E$2:$E$1212,$K516))</f>
        <v/>
      </c>
      <c r="E516" s="10">
        <f>IF($K516="","",INDEX(Конструктор!$H$2:$H$1212,$K516))</f>
        <v/>
      </c>
      <c r="F516" s="10">
        <f>IF($K516="","",INDEX(Конструктор!$L$2:$L$1212,$K516))</f>
        <v/>
      </c>
      <c r="G516" s="10">
        <f>IF($K516="","",INDEX(Конструктор!$M$2:$M$1212,$K516))</f>
        <v/>
      </c>
      <c r="H516" s="10">
        <f>IF($K516="","",INDEX(Конструктор!$N$2:$N$1212,$K516))</f>
        <v/>
      </c>
      <c r="I516" s="10">
        <f>IF($K516="","",INDEX(Конструктор!$O$2:$O$1212,$K516))</f>
        <v/>
      </c>
      <c r="J516" s="10">
        <f>IF($K516="","",INDEX(Конструктор!$P$2:$P$1212,$K516))</f>
        <v/>
      </c>
      <c r="K516">
        <f>IFERROR(MATCH(496,Конструктор!$T$2:$T$1212,0),"")</f>
        <v/>
      </c>
      <c r="L516">
        <f>IF($K516="","","показать")</f>
        <v/>
      </c>
    </row>
    <row r="517" hidden="1">
      <c r="A517">
        <f>IF($K517="","",497)</f>
        <v/>
      </c>
      <c r="B517">
        <f>IF($K517="","",INDEX(Конструктор!$C$2:$C$1212,$K517))</f>
        <v/>
      </c>
      <c r="C517" s="8">
        <f>IF($K517="","",INDEX(Конструктор!$D$2:$D$1212,$K517)&amp;IF(INDEX(Конструктор!$J$2:$J$1212,$K517)&lt;&gt;""," — "&amp;INDEX(Конструктор!$J$2:$J$1212,$K517),""))</f>
        <v/>
      </c>
      <c r="D517">
        <f>IF($K517="","",INDEX(Конструктор!$E$2:$E$1212,$K517))</f>
        <v/>
      </c>
      <c r="E517" s="10">
        <f>IF($K517="","",INDEX(Конструктор!$H$2:$H$1212,$K517))</f>
        <v/>
      </c>
      <c r="F517" s="10">
        <f>IF($K517="","",INDEX(Конструктор!$L$2:$L$1212,$K517))</f>
        <v/>
      </c>
      <c r="G517" s="10">
        <f>IF($K517="","",INDEX(Конструктор!$M$2:$M$1212,$K517))</f>
        <v/>
      </c>
      <c r="H517" s="10">
        <f>IF($K517="","",INDEX(Конструктор!$N$2:$N$1212,$K517))</f>
        <v/>
      </c>
      <c r="I517" s="10">
        <f>IF($K517="","",INDEX(Конструктор!$O$2:$O$1212,$K517))</f>
        <v/>
      </c>
      <c r="J517" s="10">
        <f>IF($K517="","",INDEX(Конструктор!$P$2:$P$1212,$K517))</f>
        <v/>
      </c>
      <c r="K517">
        <f>IFERROR(MATCH(497,Конструктор!$T$2:$T$1212,0),"")</f>
        <v/>
      </c>
      <c r="L517">
        <f>IF($K517="","","показать")</f>
        <v/>
      </c>
    </row>
    <row r="518" hidden="1">
      <c r="A518">
        <f>IF($K518="","",498)</f>
        <v/>
      </c>
      <c r="B518">
        <f>IF($K518="","",INDEX(Конструктор!$C$2:$C$1212,$K518))</f>
        <v/>
      </c>
      <c r="C518" s="8">
        <f>IF($K518="","",INDEX(Конструктор!$D$2:$D$1212,$K518)&amp;IF(INDEX(Конструктор!$J$2:$J$1212,$K518)&lt;&gt;""," — "&amp;INDEX(Конструктор!$J$2:$J$1212,$K518),""))</f>
        <v/>
      </c>
      <c r="D518">
        <f>IF($K518="","",INDEX(Конструктор!$E$2:$E$1212,$K518))</f>
        <v/>
      </c>
      <c r="E518" s="10">
        <f>IF($K518="","",INDEX(Конструктор!$H$2:$H$1212,$K518))</f>
        <v/>
      </c>
      <c r="F518" s="10">
        <f>IF($K518="","",INDEX(Конструктор!$L$2:$L$1212,$K518))</f>
        <v/>
      </c>
      <c r="G518" s="10">
        <f>IF($K518="","",INDEX(Конструктор!$M$2:$M$1212,$K518))</f>
        <v/>
      </c>
      <c r="H518" s="10">
        <f>IF($K518="","",INDEX(Конструктор!$N$2:$N$1212,$K518))</f>
        <v/>
      </c>
      <c r="I518" s="10">
        <f>IF($K518="","",INDEX(Конструктор!$O$2:$O$1212,$K518))</f>
        <v/>
      </c>
      <c r="J518" s="10">
        <f>IF($K518="","",INDEX(Конструктор!$P$2:$P$1212,$K518))</f>
        <v/>
      </c>
      <c r="K518">
        <f>IFERROR(MATCH(498,Конструктор!$T$2:$T$1212,0),"")</f>
        <v/>
      </c>
      <c r="L518">
        <f>IF($K518="","","показать")</f>
        <v/>
      </c>
    </row>
    <row r="519" hidden="1">
      <c r="A519">
        <f>IF($K519="","",499)</f>
        <v/>
      </c>
      <c r="B519">
        <f>IF($K519="","",INDEX(Конструктор!$C$2:$C$1212,$K519))</f>
        <v/>
      </c>
      <c r="C519" s="8">
        <f>IF($K519="","",INDEX(Конструктор!$D$2:$D$1212,$K519)&amp;IF(INDEX(Конструктор!$J$2:$J$1212,$K519)&lt;&gt;""," — "&amp;INDEX(Конструктор!$J$2:$J$1212,$K519),""))</f>
        <v/>
      </c>
      <c r="D519">
        <f>IF($K519="","",INDEX(Конструктор!$E$2:$E$1212,$K519))</f>
        <v/>
      </c>
      <c r="E519" s="10">
        <f>IF($K519="","",INDEX(Конструктор!$H$2:$H$1212,$K519))</f>
        <v/>
      </c>
      <c r="F519" s="10">
        <f>IF($K519="","",INDEX(Конструктор!$L$2:$L$1212,$K519))</f>
        <v/>
      </c>
      <c r="G519" s="10">
        <f>IF($K519="","",INDEX(Конструктор!$M$2:$M$1212,$K519))</f>
        <v/>
      </c>
      <c r="H519" s="10">
        <f>IF($K519="","",INDEX(Конструктор!$N$2:$N$1212,$K519))</f>
        <v/>
      </c>
      <c r="I519" s="10">
        <f>IF($K519="","",INDEX(Конструктор!$O$2:$O$1212,$K519))</f>
        <v/>
      </c>
      <c r="J519" s="10">
        <f>IF($K519="","",INDEX(Конструктор!$P$2:$P$1212,$K519))</f>
        <v/>
      </c>
      <c r="K519">
        <f>IFERROR(MATCH(499,Конструктор!$T$2:$T$1212,0),"")</f>
        <v/>
      </c>
      <c r="L519">
        <f>IF($K519="","","показать")</f>
        <v/>
      </c>
    </row>
    <row r="520" hidden="1">
      <c r="A520">
        <f>IF($K520="","",500)</f>
        <v/>
      </c>
      <c r="B520">
        <f>IF($K520="","",INDEX(Конструктор!$C$2:$C$1212,$K520))</f>
        <v/>
      </c>
      <c r="C520" s="8">
        <f>IF($K520="","",INDEX(Конструктор!$D$2:$D$1212,$K520)&amp;IF(INDEX(Конструктор!$J$2:$J$1212,$K520)&lt;&gt;""," — "&amp;INDEX(Конструктор!$J$2:$J$1212,$K520),""))</f>
        <v/>
      </c>
      <c r="D520">
        <f>IF($K520="","",INDEX(Конструктор!$E$2:$E$1212,$K520))</f>
        <v/>
      </c>
      <c r="E520" s="10">
        <f>IF($K520="","",INDEX(Конструктор!$H$2:$H$1212,$K520))</f>
        <v/>
      </c>
      <c r="F520" s="10">
        <f>IF($K520="","",INDEX(Конструктор!$L$2:$L$1212,$K520))</f>
        <v/>
      </c>
      <c r="G520" s="10">
        <f>IF($K520="","",INDEX(Конструктор!$M$2:$M$1212,$K520))</f>
        <v/>
      </c>
      <c r="H520" s="10">
        <f>IF($K520="","",INDEX(Конструктор!$N$2:$N$1212,$K520))</f>
        <v/>
      </c>
      <c r="I520" s="10">
        <f>IF($K520="","",INDEX(Конструктор!$O$2:$O$1212,$K520))</f>
        <v/>
      </c>
      <c r="J520" s="10">
        <f>IF($K520="","",INDEX(Конструктор!$P$2:$P$1212,$K520))</f>
        <v/>
      </c>
      <c r="K520">
        <f>IFERROR(MATCH(500,Конструктор!$T$2:$T$1212,0),"")</f>
        <v/>
      </c>
      <c r="L520">
        <f>IF($K520="","","показать")</f>
        <v/>
      </c>
    </row>
    <row r="521" hidden="1">
      <c r="A521">
        <f>IF($K521="","",501)</f>
        <v/>
      </c>
      <c r="B521">
        <f>IF($K521="","",INDEX(Конструктор!$C$2:$C$1212,$K521))</f>
        <v/>
      </c>
      <c r="C521" s="8">
        <f>IF($K521="","",INDEX(Конструктор!$D$2:$D$1212,$K521)&amp;IF(INDEX(Конструктор!$J$2:$J$1212,$K521)&lt;&gt;""," — "&amp;INDEX(Конструктор!$J$2:$J$1212,$K521),""))</f>
        <v/>
      </c>
      <c r="D521">
        <f>IF($K521="","",INDEX(Конструктор!$E$2:$E$1212,$K521))</f>
        <v/>
      </c>
      <c r="E521" s="10">
        <f>IF($K521="","",INDEX(Конструктор!$H$2:$H$1212,$K521))</f>
        <v/>
      </c>
      <c r="F521" s="10">
        <f>IF($K521="","",INDEX(Конструктор!$L$2:$L$1212,$K521))</f>
        <v/>
      </c>
      <c r="G521" s="10">
        <f>IF($K521="","",INDEX(Конструктор!$M$2:$M$1212,$K521))</f>
        <v/>
      </c>
      <c r="H521" s="10">
        <f>IF($K521="","",INDEX(Конструктор!$N$2:$N$1212,$K521))</f>
        <v/>
      </c>
      <c r="I521" s="10">
        <f>IF($K521="","",INDEX(Конструктор!$O$2:$O$1212,$K521))</f>
        <v/>
      </c>
      <c r="J521" s="10">
        <f>IF($K521="","",INDEX(Конструктор!$P$2:$P$1212,$K521))</f>
        <v/>
      </c>
      <c r="K521">
        <f>IFERROR(MATCH(501,Конструктор!$T$2:$T$1212,0),"")</f>
        <v/>
      </c>
      <c r="L521">
        <f>IF($K521="","","показать")</f>
        <v/>
      </c>
    </row>
    <row r="522" hidden="1">
      <c r="A522">
        <f>IF($K522="","",502)</f>
        <v/>
      </c>
      <c r="B522">
        <f>IF($K522="","",INDEX(Конструктор!$C$2:$C$1212,$K522))</f>
        <v/>
      </c>
      <c r="C522" s="8">
        <f>IF($K522="","",INDEX(Конструктор!$D$2:$D$1212,$K522)&amp;IF(INDEX(Конструктор!$J$2:$J$1212,$K522)&lt;&gt;""," — "&amp;INDEX(Конструктор!$J$2:$J$1212,$K522),""))</f>
        <v/>
      </c>
      <c r="D522">
        <f>IF($K522="","",INDEX(Конструктор!$E$2:$E$1212,$K522))</f>
        <v/>
      </c>
      <c r="E522" s="10">
        <f>IF($K522="","",INDEX(Конструктор!$H$2:$H$1212,$K522))</f>
        <v/>
      </c>
      <c r="F522" s="10">
        <f>IF($K522="","",INDEX(Конструктор!$L$2:$L$1212,$K522))</f>
        <v/>
      </c>
      <c r="G522" s="10">
        <f>IF($K522="","",INDEX(Конструктор!$M$2:$M$1212,$K522))</f>
        <v/>
      </c>
      <c r="H522" s="10">
        <f>IF($K522="","",INDEX(Конструктор!$N$2:$N$1212,$K522))</f>
        <v/>
      </c>
      <c r="I522" s="10">
        <f>IF($K522="","",INDEX(Конструктор!$O$2:$O$1212,$K522))</f>
        <v/>
      </c>
      <c r="J522" s="10">
        <f>IF($K522="","",INDEX(Конструктор!$P$2:$P$1212,$K522))</f>
        <v/>
      </c>
      <c r="K522">
        <f>IFERROR(MATCH(502,Конструктор!$T$2:$T$1212,0),"")</f>
        <v/>
      </c>
      <c r="L522">
        <f>IF($K522="","","показать")</f>
        <v/>
      </c>
    </row>
    <row r="523" hidden="1">
      <c r="A523">
        <f>IF($K523="","",503)</f>
        <v/>
      </c>
      <c r="B523">
        <f>IF($K523="","",INDEX(Конструктор!$C$2:$C$1212,$K523))</f>
        <v/>
      </c>
      <c r="C523" s="8">
        <f>IF($K523="","",INDEX(Конструктор!$D$2:$D$1212,$K523)&amp;IF(INDEX(Конструктор!$J$2:$J$1212,$K523)&lt;&gt;""," — "&amp;INDEX(Конструктор!$J$2:$J$1212,$K523),""))</f>
        <v/>
      </c>
      <c r="D523">
        <f>IF($K523="","",INDEX(Конструктор!$E$2:$E$1212,$K523))</f>
        <v/>
      </c>
      <c r="E523" s="10">
        <f>IF($K523="","",INDEX(Конструктор!$H$2:$H$1212,$K523))</f>
        <v/>
      </c>
      <c r="F523" s="10">
        <f>IF($K523="","",INDEX(Конструктор!$L$2:$L$1212,$K523))</f>
        <v/>
      </c>
      <c r="G523" s="10">
        <f>IF($K523="","",INDEX(Конструктор!$M$2:$M$1212,$K523))</f>
        <v/>
      </c>
      <c r="H523" s="10">
        <f>IF($K523="","",INDEX(Конструктор!$N$2:$N$1212,$K523))</f>
        <v/>
      </c>
      <c r="I523" s="10">
        <f>IF($K523="","",INDEX(Конструктор!$O$2:$O$1212,$K523))</f>
        <v/>
      </c>
      <c r="J523" s="10">
        <f>IF($K523="","",INDEX(Конструктор!$P$2:$P$1212,$K523))</f>
        <v/>
      </c>
      <c r="K523">
        <f>IFERROR(MATCH(503,Конструктор!$T$2:$T$1212,0),"")</f>
        <v/>
      </c>
      <c r="L523">
        <f>IF($K523="","","показать")</f>
        <v/>
      </c>
    </row>
    <row r="524" hidden="1">
      <c r="A524">
        <f>IF($K524="","",504)</f>
        <v/>
      </c>
      <c r="B524">
        <f>IF($K524="","",INDEX(Конструктор!$C$2:$C$1212,$K524))</f>
        <v/>
      </c>
      <c r="C524" s="8">
        <f>IF($K524="","",INDEX(Конструктор!$D$2:$D$1212,$K524)&amp;IF(INDEX(Конструктор!$J$2:$J$1212,$K524)&lt;&gt;""," — "&amp;INDEX(Конструктор!$J$2:$J$1212,$K524),""))</f>
        <v/>
      </c>
      <c r="D524">
        <f>IF($K524="","",INDEX(Конструктор!$E$2:$E$1212,$K524))</f>
        <v/>
      </c>
      <c r="E524" s="10">
        <f>IF($K524="","",INDEX(Конструктор!$H$2:$H$1212,$K524))</f>
        <v/>
      </c>
      <c r="F524" s="10">
        <f>IF($K524="","",INDEX(Конструктор!$L$2:$L$1212,$K524))</f>
        <v/>
      </c>
      <c r="G524" s="10">
        <f>IF($K524="","",INDEX(Конструктор!$M$2:$M$1212,$K524))</f>
        <v/>
      </c>
      <c r="H524" s="10">
        <f>IF($K524="","",INDEX(Конструктор!$N$2:$N$1212,$K524))</f>
        <v/>
      </c>
      <c r="I524" s="10">
        <f>IF($K524="","",INDEX(Конструктор!$O$2:$O$1212,$K524))</f>
        <v/>
      </c>
      <c r="J524" s="10">
        <f>IF($K524="","",INDEX(Конструктор!$P$2:$P$1212,$K524))</f>
        <v/>
      </c>
      <c r="K524">
        <f>IFERROR(MATCH(504,Конструктор!$T$2:$T$1212,0),"")</f>
        <v/>
      </c>
      <c r="L524">
        <f>IF($K524="","","показать")</f>
        <v/>
      </c>
    </row>
    <row r="525" hidden="1">
      <c r="A525">
        <f>IF($K525="","",505)</f>
        <v/>
      </c>
      <c r="B525">
        <f>IF($K525="","",INDEX(Конструктор!$C$2:$C$1212,$K525))</f>
        <v/>
      </c>
      <c r="C525" s="8">
        <f>IF($K525="","",INDEX(Конструктор!$D$2:$D$1212,$K525)&amp;IF(INDEX(Конструктор!$J$2:$J$1212,$K525)&lt;&gt;""," — "&amp;INDEX(Конструктор!$J$2:$J$1212,$K525),""))</f>
        <v/>
      </c>
      <c r="D525">
        <f>IF($K525="","",INDEX(Конструктор!$E$2:$E$1212,$K525))</f>
        <v/>
      </c>
      <c r="E525" s="10">
        <f>IF($K525="","",INDEX(Конструктор!$H$2:$H$1212,$K525))</f>
        <v/>
      </c>
      <c r="F525" s="10">
        <f>IF($K525="","",INDEX(Конструктор!$L$2:$L$1212,$K525))</f>
        <v/>
      </c>
      <c r="G525" s="10">
        <f>IF($K525="","",INDEX(Конструктор!$M$2:$M$1212,$K525))</f>
        <v/>
      </c>
      <c r="H525" s="10">
        <f>IF($K525="","",INDEX(Конструктор!$N$2:$N$1212,$K525))</f>
        <v/>
      </c>
      <c r="I525" s="10">
        <f>IF($K525="","",INDEX(Конструктор!$O$2:$O$1212,$K525))</f>
        <v/>
      </c>
      <c r="J525" s="10">
        <f>IF($K525="","",INDEX(Конструктор!$P$2:$P$1212,$K525))</f>
        <v/>
      </c>
      <c r="K525">
        <f>IFERROR(MATCH(505,Конструктор!$T$2:$T$1212,0),"")</f>
        <v/>
      </c>
      <c r="L525">
        <f>IF($K525="","","показать")</f>
        <v/>
      </c>
    </row>
    <row r="526" hidden="1">
      <c r="A526">
        <f>IF($K526="","",506)</f>
        <v/>
      </c>
      <c r="B526">
        <f>IF($K526="","",INDEX(Конструктор!$C$2:$C$1212,$K526))</f>
        <v/>
      </c>
      <c r="C526" s="8">
        <f>IF($K526="","",INDEX(Конструктор!$D$2:$D$1212,$K526)&amp;IF(INDEX(Конструктор!$J$2:$J$1212,$K526)&lt;&gt;""," — "&amp;INDEX(Конструктор!$J$2:$J$1212,$K526),""))</f>
        <v/>
      </c>
      <c r="D526">
        <f>IF($K526="","",INDEX(Конструктор!$E$2:$E$1212,$K526))</f>
        <v/>
      </c>
      <c r="E526" s="10">
        <f>IF($K526="","",INDEX(Конструктор!$H$2:$H$1212,$K526))</f>
        <v/>
      </c>
      <c r="F526" s="10">
        <f>IF($K526="","",INDEX(Конструктор!$L$2:$L$1212,$K526))</f>
        <v/>
      </c>
      <c r="G526" s="10">
        <f>IF($K526="","",INDEX(Конструктор!$M$2:$M$1212,$K526))</f>
        <v/>
      </c>
      <c r="H526" s="10">
        <f>IF($K526="","",INDEX(Конструктор!$N$2:$N$1212,$K526))</f>
        <v/>
      </c>
      <c r="I526" s="10">
        <f>IF($K526="","",INDEX(Конструктор!$O$2:$O$1212,$K526))</f>
        <v/>
      </c>
      <c r="J526" s="10">
        <f>IF($K526="","",INDEX(Конструктор!$P$2:$P$1212,$K526))</f>
        <v/>
      </c>
      <c r="K526">
        <f>IFERROR(MATCH(506,Конструктор!$T$2:$T$1212,0),"")</f>
        <v/>
      </c>
      <c r="L526">
        <f>IF($K526="","","показать")</f>
        <v/>
      </c>
    </row>
    <row r="527" hidden="1">
      <c r="A527">
        <f>IF($K527="","",507)</f>
        <v/>
      </c>
      <c r="B527">
        <f>IF($K527="","",INDEX(Конструктор!$C$2:$C$1212,$K527))</f>
        <v/>
      </c>
      <c r="C527" s="8">
        <f>IF($K527="","",INDEX(Конструктор!$D$2:$D$1212,$K527)&amp;IF(INDEX(Конструктор!$J$2:$J$1212,$K527)&lt;&gt;""," — "&amp;INDEX(Конструктор!$J$2:$J$1212,$K527),""))</f>
        <v/>
      </c>
      <c r="D527">
        <f>IF($K527="","",INDEX(Конструктор!$E$2:$E$1212,$K527))</f>
        <v/>
      </c>
      <c r="E527" s="10">
        <f>IF($K527="","",INDEX(Конструктор!$H$2:$H$1212,$K527))</f>
        <v/>
      </c>
      <c r="F527" s="10">
        <f>IF($K527="","",INDEX(Конструктор!$L$2:$L$1212,$K527))</f>
        <v/>
      </c>
      <c r="G527" s="10">
        <f>IF($K527="","",INDEX(Конструктор!$M$2:$M$1212,$K527))</f>
        <v/>
      </c>
      <c r="H527" s="10">
        <f>IF($K527="","",INDEX(Конструктор!$N$2:$N$1212,$K527))</f>
        <v/>
      </c>
      <c r="I527" s="10">
        <f>IF($K527="","",INDEX(Конструктор!$O$2:$O$1212,$K527))</f>
        <v/>
      </c>
      <c r="J527" s="10">
        <f>IF($K527="","",INDEX(Конструктор!$P$2:$P$1212,$K527))</f>
        <v/>
      </c>
      <c r="K527">
        <f>IFERROR(MATCH(507,Конструктор!$T$2:$T$1212,0),"")</f>
        <v/>
      </c>
      <c r="L527">
        <f>IF($K527="","","показать")</f>
        <v/>
      </c>
    </row>
    <row r="528" hidden="1">
      <c r="A528">
        <f>IF($K528="","",508)</f>
        <v/>
      </c>
      <c r="B528">
        <f>IF($K528="","",INDEX(Конструктор!$C$2:$C$1212,$K528))</f>
        <v/>
      </c>
      <c r="C528" s="8">
        <f>IF($K528="","",INDEX(Конструктор!$D$2:$D$1212,$K528)&amp;IF(INDEX(Конструктор!$J$2:$J$1212,$K528)&lt;&gt;""," — "&amp;INDEX(Конструктор!$J$2:$J$1212,$K528),""))</f>
        <v/>
      </c>
      <c r="D528">
        <f>IF($K528="","",INDEX(Конструктор!$E$2:$E$1212,$K528))</f>
        <v/>
      </c>
      <c r="E528" s="10">
        <f>IF($K528="","",INDEX(Конструктор!$H$2:$H$1212,$K528))</f>
        <v/>
      </c>
      <c r="F528" s="10">
        <f>IF($K528="","",INDEX(Конструктор!$L$2:$L$1212,$K528))</f>
        <v/>
      </c>
      <c r="G528" s="10">
        <f>IF($K528="","",INDEX(Конструктор!$M$2:$M$1212,$K528))</f>
        <v/>
      </c>
      <c r="H528" s="10">
        <f>IF($K528="","",INDEX(Конструктор!$N$2:$N$1212,$K528))</f>
        <v/>
      </c>
      <c r="I528" s="10">
        <f>IF($K528="","",INDEX(Конструктор!$O$2:$O$1212,$K528))</f>
        <v/>
      </c>
      <c r="J528" s="10">
        <f>IF($K528="","",INDEX(Конструктор!$P$2:$P$1212,$K528))</f>
        <v/>
      </c>
      <c r="K528">
        <f>IFERROR(MATCH(508,Конструктор!$T$2:$T$1212,0),"")</f>
        <v/>
      </c>
      <c r="L528">
        <f>IF($K528="","","показать")</f>
        <v/>
      </c>
    </row>
    <row r="529" hidden="1">
      <c r="A529">
        <f>IF($K529="","",509)</f>
        <v/>
      </c>
      <c r="B529">
        <f>IF($K529="","",INDEX(Конструктор!$C$2:$C$1212,$K529))</f>
        <v/>
      </c>
      <c r="C529" s="8">
        <f>IF($K529="","",INDEX(Конструктор!$D$2:$D$1212,$K529)&amp;IF(INDEX(Конструктор!$J$2:$J$1212,$K529)&lt;&gt;""," — "&amp;INDEX(Конструктор!$J$2:$J$1212,$K529),""))</f>
        <v/>
      </c>
      <c r="D529">
        <f>IF($K529="","",INDEX(Конструктор!$E$2:$E$1212,$K529))</f>
        <v/>
      </c>
      <c r="E529" s="10">
        <f>IF($K529="","",INDEX(Конструктор!$H$2:$H$1212,$K529))</f>
        <v/>
      </c>
      <c r="F529" s="10">
        <f>IF($K529="","",INDEX(Конструктор!$L$2:$L$1212,$K529))</f>
        <v/>
      </c>
      <c r="G529" s="10">
        <f>IF($K529="","",INDEX(Конструктор!$M$2:$M$1212,$K529))</f>
        <v/>
      </c>
      <c r="H529" s="10">
        <f>IF($K529="","",INDEX(Конструктор!$N$2:$N$1212,$K529))</f>
        <v/>
      </c>
      <c r="I529" s="10">
        <f>IF($K529="","",INDEX(Конструктор!$O$2:$O$1212,$K529))</f>
        <v/>
      </c>
      <c r="J529" s="10">
        <f>IF($K529="","",INDEX(Конструктор!$P$2:$P$1212,$K529))</f>
        <v/>
      </c>
      <c r="K529">
        <f>IFERROR(MATCH(509,Конструктор!$T$2:$T$1212,0),"")</f>
        <v/>
      </c>
      <c r="L529">
        <f>IF($K529="","","показать")</f>
        <v/>
      </c>
    </row>
    <row r="530" hidden="1">
      <c r="A530">
        <f>IF($K530="","",510)</f>
        <v/>
      </c>
      <c r="B530">
        <f>IF($K530="","",INDEX(Конструктор!$C$2:$C$1212,$K530))</f>
        <v/>
      </c>
      <c r="C530" s="8">
        <f>IF($K530="","",INDEX(Конструктор!$D$2:$D$1212,$K530)&amp;IF(INDEX(Конструктор!$J$2:$J$1212,$K530)&lt;&gt;""," — "&amp;INDEX(Конструктор!$J$2:$J$1212,$K530),""))</f>
        <v/>
      </c>
      <c r="D530">
        <f>IF($K530="","",INDEX(Конструктор!$E$2:$E$1212,$K530))</f>
        <v/>
      </c>
      <c r="E530" s="10">
        <f>IF($K530="","",INDEX(Конструктор!$H$2:$H$1212,$K530))</f>
        <v/>
      </c>
      <c r="F530" s="10">
        <f>IF($K530="","",INDEX(Конструктор!$L$2:$L$1212,$K530))</f>
        <v/>
      </c>
      <c r="G530" s="10">
        <f>IF($K530="","",INDEX(Конструктор!$M$2:$M$1212,$K530))</f>
        <v/>
      </c>
      <c r="H530" s="10">
        <f>IF($K530="","",INDEX(Конструктор!$N$2:$N$1212,$K530))</f>
        <v/>
      </c>
      <c r="I530" s="10">
        <f>IF($K530="","",INDEX(Конструктор!$O$2:$O$1212,$K530))</f>
        <v/>
      </c>
      <c r="J530" s="10">
        <f>IF($K530="","",INDEX(Конструктор!$P$2:$P$1212,$K530))</f>
        <v/>
      </c>
      <c r="K530">
        <f>IFERROR(MATCH(510,Конструктор!$T$2:$T$1212,0),"")</f>
        <v/>
      </c>
      <c r="L530">
        <f>IF($K530="","","показать")</f>
        <v/>
      </c>
    </row>
    <row r="531" hidden="1">
      <c r="A531">
        <f>IF($K531="","",511)</f>
        <v/>
      </c>
      <c r="B531">
        <f>IF($K531="","",INDEX(Конструктор!$C$2:$C$1212,$K531))</f>
        <v/>
      </c>
      <c r="C531" s="8">
        <f>IF($K531="","",INDEX(Конструктор!$D$2:$D$1212,$K531)&amp;IF(INDEX(Конструктор!$J$2:$J$1212,$K531)&lt;&gt;""," — "&amp;INDEX(Конструктор!$J$2:$J$1212,$K531),""))</f>
        <v/>
      </c>
      <c r="D531">
        <f>IF($K531="","",INDEX(Конструктор!$E$2:$E$1212,$K531))</f>
        <v/>
      </c>
      <c r="E531" s="10">
        <f>IF($K531="","",INDEX(Конструктор!$H$2:$H$1212,$K531))</f>
        <v/>
      </c>
      <c r="F531" s="10">
        <f>IF($K531="","",INDEX(Конструктор!$L$2:$L$1212,$K531))</f>
        <v/>
      </c>
      <c r="G531" s="10">
        <f>IF($K531="","",INDEX(Конструктор!$M$2:$M$1212,$K531))</f>
        <v/>
      </c>
      <c r="H531" s="10">
        <f>IF($K531="","",INDEX(Конструктор!$N$2:$N$1212,$K531))</f>
        <v/>
      </c>
      <c r="I531" s="10">
        <f>IF($K531="","",INDEX(Конструктор!$O$2:$O$1212,$K531))</f>
        <v/>
      </c>
      <c r="J531" s="10">
        <f>IF($K531="","",INDEX(Конструктор!$P$2:$P$1212,$K531))</f>
        <v/>
      </c>
      <c r="K531">
        <f>IFERROR(MATCH(511,Конструктор!$T$2:$T$1212,0),"")</f>
        <v/>
      </c>
      <c r="L531">
        <f>IF($K531="","","показать")</f>
        <v/>
      </c>
    </row>
    <row r="532" hidden="1">
      <c r="A532">
        <f>IF($K532="","",512)</f>
        <v/>
      </c>
      <c r="B532">
        <f>IF($K532="","",INDEX(Конструктор!$C$2:$C$1212,$K532))</f>
        <v/>
      </c>
      <c r="C532" s="8">
        <f>IF($K532="","",INDEX(Конструктор!$D$2:$D$1212,$K532)&amp;IF(INDEX(Конструктор!$J$2:$J$1212,$K532)&lt;&gt;""," — "&amp;INDEX(Конструктор!$J$2:$J$1212,$K532),""))</f>
        <v/>
      </c>
      <c r="D532">
        <f>IF($K532="","",INDEX(Конструктор!$E$2:$E$1212,$K532))</f>
        <v/>
      </c>
      <c r="E532" s="10">
        <f>IF($K532="","",INDEX(Конструктор!$H$2:$H$1212,$K532))</f>
        <v/>
      </c>
      <c r="F532" s="10">
        <f>IF($K532="","",INDEX(Конструктор!$L$2:$L$1212,$K532))</f>
        <v/>
      </c>
      <c r="G532" s="10">
        <f>IF($K532="","",INDEX(Конструктор!$M$2:$M$1212,$K532))</f>
        <v/>
      </c>
      <c r="H532" s="10">
        <f>IF($K532="","",INDEX(Конструктор!$N$2:$N$1212,$K532))</f>
        <v/>
      </c>
      <c r="I532" s="10">
        <f>IF($K532="","",INDEX(Конструктор!$O$2:$O$1212,$K532))</f>
        <v/>
      </c>
      <c r="J532" s="10">
        <f>IF($K532="","",INDEX(Конструктор!$P$2:$P$1212,$K532))</f>
        <v/>
      </c>
      <c r="K532">
        <f>IFERROR(MATCH(512,Конструктор!$T$2:$T$1212,0),"")</f>
        <v/>
      </c>
      <c r="L532">
        <f>IF($K532="","","показать")</f>
        <v/>
      </c>
    </row>
    <row r="533" hidden="1">
      <c r="A533">
        <f>IF($K533="","",513)</f>
        <v/>
      </c>
      <c r="B533">
        <f>IF($K533="","",INDEX(Конструктор!$C$2:$C$1212,$K533))</f>
        <v/>
      </c>
      <c r="C533" s="8">
        <f>IF($K533="","",INDEX(Конструктор!$D$2:$D$1212,$K533)&amp;IF(INDEX(Конструктор!$J$2:$J$1212,$K533)&lt;&gt;""," — "&amp;INDEX(Конструктор!$J$2:$J$1212,$K533),""))</f>
        <v/>
      </c>
      <c r="D533">
        <f>IF($K533="","",INDEX(Конструктор!$E$2:$E$1212,$K533))</f>
        <v/>
      </c>
      <c r="E533" s="10">
        <f>IF($K533="","",INDEX(Конструктор!$H$2:$H$1212,$K533))</f>
        <v/>
      </c>
      <c r="F533" s="10">
        <f>IF($K533="","",INDEX(Конструктор!$L$2:$L$1212,$K533))</f>
        <v/>
      </c>
      <c r="G533" s="10">
        <f>IF($K533="","",INDEX(Конструктор!$M$2:$M$1212,$K533))</f>
        <v/>
      </c>
      <c r="H533" s="10">
        <f>IF($K533="","",INDEX(Конструктор!$N$2:$N$1212,$K533))</f>
        <v/>
      </c>
      <c r="I533" s="10">
        <f>IF($K533="","",INDEX(Конструктор!$O$2:$O$1212,$K533))</f>
        <v/>
      </c>
      <c r="J533" s="10">
        <f>IF($K533="","",INDEX(Конструктор!$P$2:$P$1212,$K533))</f>
        <v/>
      </c>
      <c r="K533">
        <f>IFERROR(MATCH(513,Конструктор!$T$2:$T$1212,0),"")</f>
        <v/>
      </c>
      <c r="L533">
        <f>IF($K533="","","показать")</f>
        <v/>
      </c>
    </row>
    <row r="534" hidden="1">
      <c r="A534">
        <f>IF($K534="","",514)</f>
        <v/>
      </c>
      <c r="B534">
        <f>IF($K534="","",INDEX(Конструктор!$C$2:$C$1212,$K534))</f>
        <v/>
      </c>
      <c r="C534" s="8">
        <f>IF($K534="","",INDEX(Конструктор!$D$2:$D$1212,$K534)&amp;IF(INDEX(Конструктор!$J$2:$J$1212,$K534)&lt;&gt;""," — "&amp;INDEX(Конструктор!$J$2:$J$1212,$K534),""))</f>
        <v/>
      </c>
      <c r="D534">
        <f>IF($K534="","",INDEX(Конструктор!$E$2:$E$1212,$K534))</f>
        <v/>
      </c>
      <c r="E534" s="10">
        <f>IF($K534="","",INDEX(Конструктор!$H$2:$H$1212,$K534))</f>
        <v/>
      </c>
      <c r="F534" s="10">
        <f>IF($K534="","",INDEX(Конструктор!$L$2:$L$1212,$K534))</f>
        <v/>
      </c>
      <c r="G534" s="10">
        <f>IF($K534="","",INDEX(Конструктор!$M$2:$M$1212,$K534))</f>
        <v/>
      </c>
      <c r="H534" s="10">
        <f>IF($K534="","",INDEX(Конструктор!$N$2:$N$1212,$K534))</f>
        <v/>
      </c>
      <c r="I534" s="10">
        <f>IF($K534="","",INDEX(Конструктор!$O$2:$O$1212,$K534))</f>
        <v/>
      </c>
      <c r="J534" s="10">
        <f>IF($K534="","",INDEX(Конструктор!$P$2:$P$1212,$K534))</f>
        <v/>
      </c>
      <c r="K534">
        <f>IFERROR(MATCH(514,Конструктор!$T$2:$T$1212,0),"")</f>
        <v/>
      </c>
      <c r="L534">
        <f>IF($K534="","","показать")</f>
        <v/>
      </c>
    </row>
    <row r="535" hidden="1">
      <c r="A535">
        <f>IF($K535="","",515)</f>
        <v/>
      </c>
      <c r="B535">
        <f>IF($K535="","",INDEX(Конструктор!$C$2:$C$1212,$K535))</f>
        <v/>
      </c>
      <c r="C535" s="8">
        <f>IF($K535="","",INDEX(Конструктор!$D$2:$D$1212,$K535)&amp;IF(INDEX(Конструктор!$J$2:$J$1212,$K535)&lt;&gt;""," — "&amp;INDEX(Конструктор!$J$2:$J$1212,$K535),""))</f>
        <v/>
      </c>
      <c r="D535">
        <f>IF($K535="","",INDEX(Конструктор!$E$2:$E$1212,$K535))</f>
        <v/>
      </c>
      <c r="E535" s="10">
        <f>IF($K535="","",INDEX(Конструктор!$H$2:$H$1212,$K535))</f>
        <v/>
      </c>
      <c r="F535" s="10">
        <f>IF($K535="","",INDEX(Конструктор!$L$2:$L$1212,$K535))</f>
        <v/>
      </c>
      <c r="G535" s="10">
        <f>IF($K535="","",INDEX(Конструктор!$M$2:$M$1212,$K535))</f>
        <v/>
      </c>
      <c r="H535" s="10">
        <f>IF($K535="","",INDEX(Конструктор!$N$2:$N$1212,$K535))</f>
        <v/>
      </c>
      <c r="I535" s="10">
        <f>IF($K535="","",INDEX(Конструктор!$O$2:$O$1212,$K535))</f>
        <v/>
      </c>
      <c r="J535" s="10">
        <f>IF($K535="","",INDEX(Конструктор!$P$2:$P$1212,$K535))</f>
        <v/>
      </c>
      <c r="K535">
        <f>IFERROR(MATCH(515,Конструктор!$T$2:$T$1212,0),"")</f>
        <v/>
      </c>
      <c r="L535">
        <f>IF($K535="","","показать")</f>
        <v/>
      </c>
    </row>
    <row r="536" hidden="1">
      <c r="A536">
        <f>IF($K536="","",516)</f>
        <v/>
      </c>
      <c r="B536">
        <f>IF($K536="","",INDEX(Конструктор!$C$2:$C$1212,$K536))</f>
        <v/>
      </c>
      <c r="C536" s="8">
        <f>IF($K536="","",INDEX(Конструктор!$D$2:$D$1212,$K536)&amp;IF(INDEX(Конструктор!$J$2:$J$1212,$K536)&lt;&gt;""," — "&amp;INDEX(Конструктор!$J$2:$J$1212,$K536),""))</f>
        <v/>
      </c>
      <c r="D536">
        <f>IF($K536="","",INDEX(Конструктор!$E$2:$E$1212,$K536))</f>
        <v/>
      </c>
      <c r="E536" s="10">
        <f>IF($K536="","",INDEX(Конструктор!$H$2:$H$1212,$K536))</f>
        <v/>
      </c>
      <c r="F536" s="10">
        <f>IF($K536="","",INDEX(Конструктор!$L$2:$L$1212,$K536))</f>
        <v/>
      </c>
      <c r="G536" s="10">
        <f>IF($K536="","",INDEX(Конструктор!$M$2:$M$1212,$K536))</f>
        <v/>
      </c>
      <c r="H536" s="10">
        <f>IF($K536="","",INDEX(Конструктор!$N$2:$N$1212,$K536))</f>
        <v/>
      </c>
      <c r="I536" s="10">
        <f>IF($K536="","",INDEX(Конструктор!$O$2:$O$1212,$K536))</f>
        <v/>
      </c>
      <c r="J536" s="10">
        <f>IF($K536="","",INDEX(Конструктор!$P$2:$P$1212,$K536))</f>
        <v/>
      </c>
      <c r="K536">
        <f>IFERROR(MATCH(516,Конструктор!$T$2:$T$1212,0),"")</f>
        <v/>
      </c>
      <c r="L536">
        <f>IF($K536="","","показать")</f>
        <v/>
      </c>
    </row>
    <row r="537" hidden="1">
      <c r="A537">
        <f>IF($K537="","",517)</f>
        <v/>
      </c>
      <c r="B537">
        <f>IF($K537="","",INDEX(Конструктор!$C$2:$C$1212,$K537))</f>
        <v/>
      </c>
      <c r="C537" s="8">
        <f>IF($K537="","",INDEX(Конструктор!$D$2:$D$1212,$K537)&amp;IF(INDEX(Конструктор!$J$2:$J$1212,$K537)&lt;&gt;""," — "&amp;INDEX(Конструктор!$J$2:$J$1212,$K537),""))</f>
        <v/>
      </c>
      <c r="D537">
        <f>IF($K537="","",INDEX(Конструктор!$E$2:$E$1212,$K537))</f>
        <v/>
      </c>
      <c r="E537" s="10">
        <f>IF($K537="","",INDEX(Конструктор!$H$2:$H$1212,$K537))</f>
        <v/>
      </c>
      <c r="F537" s="10">
        <f>IF($K537="","",INDEX(Конструктор!$L$2:$L$1212,$K537))</f>
        <v/>
      </c>
      <c r="G537" s="10">
        <f>IF($K537="","",INDEX(Конструктор!$M$2:$M$1212,$K537))</f>
        <v/>
      </c>
      <c r="H537" s="10">
        <f>IF($K537="","",INDEX(Конструктор!$N$2:$N$1212,$K537))</f>
        <v/>
      </c>
      <c r="I537" s="10">
        <f>IF($K537="","",INDEX(Конструктор!$O$2:$O$1212,$K537))</f>
        <v/>
      </c>
      <c r="J537" s="10">
        <f>IF($K537="","",INDEX(Конструктор!$P$2:$P$1212,$K537))</f>
        <v/>
      </c>
      <c r="K537">
        <f>IFERROR(MATCH(517,Конструктор!$T$2:$T$1212,0),"")</f>
        <v/>
      </c>
      <c r="L537">
        <f>IF($K537="","","показать")</f>
        <v/>
      </c>
    </row>
    <row r="538" hidden="1">
      <c r="A538">
        <f>IF($K538="","",518)</f>
        <v/>
      </c>
      <c r="B538">
        <f>IF($K538="","",INDEX(Конструктор!$C$2:$C$1212,$K538))</f>
        <v/>
      </c>
      <c r="C538" s="8">
        <f>IF($K538="","",INDEX(Конструктор!$D$2:$D$1212,$K538)&amp;IF(INDEX(Конструктор!$J$2:$J$1212,$K538)&lt;&gt;""," — "&amp;INDEX(Конструктор!$J$2:$J$1212,$K538),""))</f>
        <v/>
      </c>
      <c r="D538">
        <f>IF($K538="","",INDEX(Конструктор!$E$2:$E$1212,$K538))</f>
        <v/>
      </c>
      <c r="E538" s="10">
        <f>IF($K538="","",INDEX(Конструктор!$H$2:$H$1212,$K538))</f>
        <v/>
      </c>
      <c r="F538" s="10">
        <f>IF($K538="","",INDEX(Конструктор!$L$2:$L$1212,$K538))</f>
        <v/>
      </c>
      <c r="G538" s="10">
        <f>IF($K538="","",INDEX(Конструктор!$M$2:$M$1212,$K538))</f>
        <v/>
      </c>
      <c r="H538" s="10">
        <f>IF($K538="","",INDEX(Конструктор!$N$2:$N$1212,$K538))</f>
        <v/>
      </c>
      <c r="I538" s="10">
        <f>IF($K538="","",INDEX(Конструктор!$O$2:$O$1212,$K538))</f>
        <v/>
      </c>
      <c r="J538" s="10">
        <f>IF($K538="","",INDEX(Конструктор!$P$2:$P$1212,$K538))</f>
        <v/>
      </c>
      <c r="K538">
        <f>IFERROR(MATCH(518,Конструктор!$T$2:$T$1212,0),"")</f>
        <v/>
      </c>
      <c r="L538">
        <f>IF($K538="","","показать")</f>
        <v/>
      </c>
    </row>
    <row r="539" hidden="1">
      <c r="A539">
        <f>IF($K539="","",519)</f>
        <v/>
      </c>
      <c r="B539">
        <f>IF($K539="","",INDEX(Конструктор!$C$2:$C$1212,$K539))</f>
        <v/>
      </c>
      <c r="C539" s="8">
        <f>IF($K539="","",INDEX(Конструктор!$D$2:$D$1212,$K539)&amp;IF(INDEX(Конструктор!$J$2:$J$1212,$K539)&lt;&gt;""," — "&amp;INDEX(Конструктор!$J$2:$J$1212,$K539),""))</f>
        <v/>
      </c>
      <c r="D539">
        <f>IF($K539="","",INDEX(Конструктор!$E$2:$E$1212,$K539))</f>
        <v/>
      </c>
      <c r="E539" s="10">
        <f>IF($K539="","",INDEX(Конструктор!$H$2:$H$1212,$K539))</f>
        <v/>
      </c>
      <c r="F539" s="10">
        <f>IF($K539="","",INDEX(Конструктор!$L$2:$L$1212,$K539))</f>
        <v/>
      </c>
      <c r="G539" s="10">
        <f>IF($K539="","",INDEX(Конструктор!$M$2:$M$1212,$K539))</f>
        <v/>
      </c>
      <c r="H539" s="10">
        <f>IF($K539="","",INDEX(Конструктор!$N$2:$N$1212,$K539))</f>
        <v/>
      </c>
      <c r="I539" s="10">
        <f>IF($K539="","",INDEX(Конструктор!$O$2:$O$1212,$K539))</f>
        <v/>
      </c>
      <c r="J539" s="10">
        <f>IF($K539="","",INDEX(Конструктор!$P$2:$P$1212,$K539))</f>
        <v/>
      </c>
      <c r="K539">
        <f>IFERROR(MATCH(519,Конструктор!$T$2:$T$1212,0),"")</f>
        <v/>
      </c>
      <c r="L539">
        <f>IF($K539="","","показать")</f>
        <v/>
      </c>
    </row>
    <row r="540" hidden="1">
      <c r="A540">
        <f>IF($K540="","",520)</f>
        <v/>
      </c>
      <c r="B540">
        <f>IF($K540="","",INDEX(Конструктор!$C$2:$C$1212,$K540))</f>
        <v/>
      </c>
      <c r="C540" s="8">
        <f>IF($K540="","",INDEX(Конструктор!$D$2:$D$1212,$K540)&amp;IF(INDEX(Конструктор!$J$2:$J$1212,$K540)&lt;&gt;""," — "&amp;INDEX(Конструктор!$J$2:$J$1212,$K540),""))</f>
        <v/>
      </c>
      <c r="D540">
        <f>IF($K540="","",INDEX(Конструктор!$E$2:$E$1212,$K540))</f>
        <v/>
      </c>
      <c r="E540" s="10">
        <f>IF($K540="","",INDEX(Конструктор!$H$2:$H$1212,$K540))</f>
        <v/>
      </c>
      <c r="F540" s="10">
        <f>IF($K540="","",INDEX(Конструктор!$L$2:$L$1212,$K540))</f>
        <v/>
      </c>
      <c r="G540" s="10">
        <f>IF($K540="","",INDEX(Конструктор!$M$2:$M$1212,$K540))</f>
        <v/>
      </c>
      <c r="H540" s="10">
        <f>IF($K540="","",INDEX(Конструктор!$N$2:$N$1212,$K540))</f>
        <v/>
      </c>
      <c r="I540" s="10">
        <f>IF($K540="","",INDEX(Конструктор!$O$2:$O$1212,$K540))</f>
        <v/>
      </c>
      <c r="J540" s="10">
        <f>IF($K540="","",INDEX(Конструктор!$P$2:$P$1212,$K540))</f>
        <v/>
      </c>
      <c r="K540">
        <f>IFERROR(MATCH(520,Конструктор!$T$2:$T$1212,0),"")</f>
        <v/>
      </c>
      <c r="L540">
        <f>IF($K540="","","показать")</f>
        <v/>
      </c>
    </row>
    <row r="541" hidden="1">
      <c r="A541">
        <f>IF($K541="","",521)</f>
        <v/>
      </c>
      <c r="B541">
        <f>IF($K541="","",INDEX(Конструктор!$C$2:$C$1212,$K541))</f>
        <v/>
      </c>
      <c r="C541" s="8">
        <f>IF($K541="","",INDEX(Конструктор!$D$2:$D$1212,$K541)&amp;IF(INDEX(Конструктор!$J$2:$J$1212,$K541)&lt;&gt;""," — "&amp;INDEX(Конструктор!$J$2:$J$1212,$K541),""))</f>
        <v/>
      </c>
      <c r="D541">
        <f>IF($K541="","",INDEX(Конструктор!$E$2:$E$1212,$K541))</f>
        <v/>
      </c>
      <c r="E541" s="10">
        <f>IF($K541="","",INDEX(Конструктор!$H$2:$H$1212,$K541))</f>
        <v/>
      </c>
      <c r="F541" s="10">
        <f>IF($K541="","",INDEX(Конструктор!$L$2:$L$1212,$K541))</f>
        <v/>
      </c>
      <c r="G541" s="10">
        <f>IF($K541="","",INDEX(Конструктор!$M$2:$M$1212,$K541))</f>
        <v/>
      </c>
      <c r="H541" s="10">
        <f>IF($K541="","",INDEX(Конструктор!$N$2:$N$1212,$K541))</f>
        <v/>
      </c>
      <c r="I541" s="10">
        <f>IF($K541="","",INDEX(Конструктор!$O$2:$O$1212,$K541))</f>
        <v/>
      </c>
      <c r="J541" s="10">
        <f>IF($K541="","",INDEX(Конструктор!$P$2:$P$1212,$K541))</f>
        <v/>
      </c>
      <c r="K541">
        <f>IFERROR(MATCH(521,Конструктор!$T$2:$T$1212,0),"")</f>
        <v/>
      </c>
      <c r="L541">
        <f>IF($K541="","","показать")</f>
        <v/>
      </c>
    </row>
    <row r="542" hidden="1">
      <c r="A542">
        <f>IF($K542="","",522)</f>
        <v/>
      </c>
      <c r="B542">
        <f>IF($K542="","",INDEX(Конструктор!$C$2:$C$1212,$K542))</f>
        <v/>
      </c>
      <c r="C542" s="8">
        <f>IF($K542="","",INDEX(Конструктор!$D$2:$D$1212,$K542)&amp;IF(INDEX(Конструктор!$J$2:$J$1212,$K542)&lt;&gt;""," — "&amp;INDEX(Конструктор!$J$2:$J$1212,$K542),""))</f>
        <v/>
      </c>
      <c r="D542">
        <f>IF($K542="","",INDEX(Конструктор!$E$2:$E$1212,$K542))</f>
        <v/>
      </c>
      <c r="E542" s="10">
        <f>IF($K542="","",INDEX(Конструктор!$H$2:$H$1212,$K542))</f>
        <v/>
      </c>
      <c r="F542" s="10">
        <f>IF($K542="","",INDEX(Конструктор!$L$2:$L$1212,$K542))</f>
        <v/>
      </c>
      <c r="G542" s="10">
        <f>IF($K542="","",INDEX(Конструктор!$M$2:$M$1212,$K542))</f>
        <v/>
      </c>
      <c r="H542" s="10">
        <f>IF($K542="","",INDEX(Конструктор!$N$2:$N$1212,$K542))</f>
        <v/>
      </c>
      <c r="I542" s="10">
        <f>IF($K542="","",INDEX(Конструктор!$O$2:$O$1212,$K542))</f>
        <v/>
      </c>
      <c r="J542" s="10">
        <f>IF($K542="","",INDEX(Конструктор!$P$2:$P$1212,$K542))</f>
        <v/>
      </c>
      <c r="K542">
        <f>IFERROR(MATCH(522,Конструктор!$T$2:$T$1212,0),"")</f>
        <v/>
      </c>
      <c r="L542">
        <f>IF($K542="","","показать")</f>
        <v/>
      </c>
    </row>
    <row r="543" hidden="1">
      <c r="A543">
        <f>IF($K543="","",523)</f>
        <v/>
      </c>
      <c r="B543">
        <f>IF($K543="","",INDEX(Конструктор!$C$2:$C$1212,$K543))</f>
        <v/>
      </c>
      <c r="C543" s="8">
        <f>IF($K543="","",INDEX(Конструктор!$D$2:$D$1212,$K543)&amp;IF(INDEX(Конструктор!$J$2:$J$1212,$K543)&lt;&gt;""," — "&amp;INDEX(Конструктор!$J$2:$J$1212,$K543),""))</f>
        <v/>
      </c>
      <c r="D543">
        <f>IF($K543="","",INDEX(Конструктор!$E$2:$E$1212,$K543))</f>
        <v/>
      </c>
      <c r="E543" s="10">
        <f>IF($K543="","",INDEX(Конструктор!$H$2:$H$1212,$K543))</f>
        <v/>
      </c>
      <c r="F543" s="10">
        <f>IF($K543="","",INDEX(Конструктор!$L$2:$L$1212,$K543))</f>
        <v/>
      </c>
      <c r="G543" s="10">
        <f>IF($K543="","",INDEX(Конструктор!$M$2:$M$1212,$K543))</f>
        <v/>
      </c>
      <c r="H543" s="10">
        <f>IF($K543="","",INDEX(Конструктор!$N$2:$N$1212,$K543))</f>
        <v/>
      </c>
      <c r="I543" s="10">
        <f>IF($K543="","",INDEX(Конструктор!$O$2:$O$1212,$K543))</f>
        <v/>
      </c>
      <c r="J543" s="10">
        <f>IF($K543="","",INDEX(Конструктор!$P$2:$P$1212,$K543))</f>
        <v/>
      </c>
      <c r="K543">
        <f>IFERROR(MATCH(523,Конструктор!$T$2:$T$1212,0),"")</f>
        <v/>
      </c>
      <c r="L543">
        <f>IF($K543="","","показать")</f>
        <v/>
      </c>
    </row>
    <row r="544" hidden="1">
      <c r="A544">
        <f>IF($K544="","",524)</f>
        <v/>
      </c>
      <c r="B544">
        <f>IF($K544="","",INDEX(Конструктор!$C$2:$C$1212,$K544))</f>
        <v/>
      </c>
      <c r="C544" s="8">
        <f>IF($K544="","",INDEX(Конструктор!$D$2:$D$1212,$K544)&amp;IF(INDEX(Конструктор!$J$2:$J$1212,$K544)&lt;&gt;""," — "&amp;INDEX(Конструктор!$J$2:$J$1212,$K544),""))</f>
        <v/>
      </c>
      <c r="D544">
        <f>IF($K544="","",INDEX(Конструктор!$E$2:$E$1212,$K544))</f>
        <v/>
      </c>
      <c r="E544" s="10">
        <f>IF($K544="","",INDEX(Конструктор!$H$2:$H$1212,$K544))</f>
        <v/>
      </c>
      <c r="F544" s="10">
        <f>IF($K544="","",INDEX(Конструктор!$L$2:$L$1212,$K544))</f>
        <v/>
      </c>
      <c r="G544" s="10">
        <f>IF($K544="","",INDEX(Конструктор!$M$2:$M$1212,$K544))</f>
        <v/>
      </c>
      <c r="H544" s="10">
        <f>IF($K544="","",INDEX(Конструктор!$N$2:$N$1212,$K544))</f>
        <v/>
      </c>
      <c r="I544" s="10">
        <f>IF($K544="","",INDEX(Конструктор!$O$2:$O$1212,$K544))</f>
        <v/>
      </c>
      <c r="J544" s="10">
        <f>IF($K544="","",INDEX(Конструктор!$P$2:$P$1212,$K544))</f>
        <v/>
      </c>
      <c r="K544">
        <f>IFERROR(MATCH(524,Конструктор!$T$2:$T$1212,0),"")</f>
        <v/>
      </c>
      <c r="L544">
        <f>IF($K544="","","показать")</f>
        <v/>
      </c>
    </row>
    <row r="545" hidden="1">
      <c r="A545">
        <f>IF($K545="","",525)</f>
        <v/>
      </c>
      <c r="B545">
        <f>IF($K545="","",INDEX(Конструктор!$C$2:$C$1212,$K545))</f>
        <v/>
      </c>
      <c r="C545" s="8">
        <f>IF($K545="","",INDEX(Конструктор!$D$2:$D$1212,$K545)&amp;IF(INDEX(Конструктор!$J$2:$J$1212,$K545)&lt;&gt;""," — "&amp;INDEX(Конструктор!$J$2:$J$1212,$K545),""))</f>
        <v/>
      </c>
      <c r="D545">
        <f>IF($K545="","",INDEX(Конструктор!$E$2:$E$1212,$K545))</f>
        <v/>
      </c>
      <c r="E545" s="10">
        <f>IF($K545="","",INDEX(Конструктор!$H$2:$H$1212,$K545))</f>
        <v/>
      </c>
      <c r="F545" s="10">
        <f>IF($K545="","",INDEX(Конструктор!$L$2:$L$1212,$K545))</f>
        <v/>
      </c>
      <c r="G545" s="10">
        <f>IF($K545="","",INDEX(Конструктор!$M$2:$M$1212,$K545))</f>
        <v/>
      </c>
      <c r="H545" s="10">
        <f>IF($K545="","",INDEX(Конструктор!$N$2:$N$1212,$K545))</f>
        <v/>
      </c>
      <c r="I545" s="10">
        <f>IF($K545="","",INDEX(Конструктор!$O$2:$O$1212,$K545))</f>
        <v/>
      </c>
      <c r="J545" s="10">
        <f>IF($K545="","",INDEX(Конструктор!$P$2:$P$1212,$K545))</f>
        <v/>
      </c>
      <c r="K545">
        <f>IFERROR(MATCH(525,Конструктор!$T$2:$T$1212,0),"")</f>
        <v/>
      </c>
      <c r="L545">
        <f>IF($K545="","","показать")</f>
        <v/>
      </c>
    </row>
    <row r="546" hidden="1">
      <c r="A546">
        <f>IF($K546="","",526)</f>
        <v/>
      </c>
      <c r="B546">
        <f>IF($K546="","",INDEX(Конструктор!$C$2:$C$1212,$K546))</f>
        <v/>
      </c>
      <c r="C546" s="8">
        <f>IF($K546="","",INDEX(Конструктор!$D$2:$D$1212,$K546)&amp;IF(INDEX(Конструктор!$J$2:$J$1212,$K546)&lt;&gt;""," — "&amp;INDEX(Конструктор!$J$2:$J$1212,$K546),""))</f>
        <v/>
      </c>
      <c r="D546">
        <f>IF($K546="","",INDEX(Конструктор!$E$2:$E$1212,$K546))</f>
        <v/>
      </c>
      <c r="E546" s="10">
        <f>IF($K546="","",INDEX(Конструктор!$H$2:$H$1212,$K546))</f>
        <v/>
      </c>
      <c r="F546" s="10">
        <f>IF($K546="","",INDEX(Конструктор!$L$2:$L$1212,$K546))</f>
        <v/>
      </c>
      <c r="G546" s="10">
        <f>IF($K546="","",INDEX(Конструктор!$M$2:$M$1212,$K546))</f>
        <v/>
      </c>
      <c r="H546" s="10">
        <f>IF($K546="","",INDEX(Конструктор!$N$2:$N$1212,$K546))</f>
        <v/>
      </c>
      <c r="I546" s="10">
        <f>IF($K546="","",INDEX(Конструктор!$O$2:$O$1212,$K546))</f>
        <v/>
      </c>
      <c r="J546" s="10">
        <f>IF($K546="","",INDEX(Конструктор!$P$2:$P$1212,$K546))</f>
        <v/>
      </c>
      <c r="K546">
        <f>IFERROR(MATCH(526,Конструктор!$T$2:$T$1212,0),"")</f>
        <v/>
      </c>
      <c r="L546">
        <f>IF($K546="","","показать")</f>
        <v/>
      </c>
    </row>
    <row r="547" hidden="1">
      <c r="A547">
        <f>IF($K547="","",527)</f>
        <v/>
      </c>
      <c r="B547">
        <f>IF($K547="","",INDEX(Конструктор!$C$2:$C$1212,$K547))</f>
        <v/>
      </c>
      <c r="C547" s="8">
        <f>IF($K547="","",INDEX(Конструктор!$D$2:$D$1212,$K547)&amp;IF(INDEX(Конструктор!$J$2:$J$1212,$K547)&lt;&gt;""," — "&amp;INDEX(Конструктор!$J$2:$J$1212,$K547),""))</f>
        <v/>
      </c>
      <c r="D547">
        <f>IF($K547="","",INDEX(Конструктор!$E$2:$E$1212,$K547))</f>
        <v/>
      </c>
      <c r="E547" s="10">
        <f>IF($K547="","",INDEX(Конструктор!$H$2:$H$1212,$K547))</f>
        <v/>
      </c>
      <c r="F547" s="10">
        <f>IF($K547="","",INDEX(Конструктор!$L$2:$L$1212,$K547))</f>
        <v/>
      </c>
      <c r="G547" s="10">
        <f>IF($K547="","",INDEX(Конструктор!$M$2:$M$1212,$K547))</f>
        <v/>
      </c>
      <c r="H547" s="10">
        <f>IF($K547="","",INDEX(Конструктор!$N$2:$N$1212,$K547))</f>
        <v/>
      </c>
      <c r="I547" s="10">
        <f>IF($K547="","",INDEX(Конструктор!$O$2:$O$1212,$K547))</f>
        <v/>
      </c>
      <c r="J547" s="10">
        <f>IF($K547="","",INDEX(Конструктор!$P$2:$P$1212,$K547))</f>
        <v/>
      </c>
      <c r="K547">
        <f>IFERROR(MATCH(527,Конструктор!$T$2:$T$1212,0),"")</f>
        <v/>
      </c>
      <c r="L547">
        <f>IF($K547="","","показать")</f>
        <v/>
      </c>
    </row>
    <row r="548" hidden="1">
      <c r="A548">
        <f>IF($K548="","",528)</f>
        <v/>
      </c>
      <c r="B548">
        <f>IF($K548="","",INDEX(Конструктор!$C$2:$C$1212,$K548))</f>
        <v/>
      </c>
      <c r="C548" s="8">
        <f>IF($K548="","",INDEX(Конструктор!$D$2:$D$1212,$K548)&amp;IF(INDEX(Конструктор!$J$2:$J$1212,$K548)&lt;&gt;""," — "&amp;INDEX(Конструктор!$J$2:$J$1212,$K548),""))</f>
        <v/>
      </c>
      <c r="D548">
        <f>IF($K548="","",INDEX(Конструктор!$E$2:$E$1212,$K548))</f>
        <v/>
      </c>
      <c r="E548" s="10">
        <f>IF($K548="","",INDEX(Конструктор!$H$2:$H$1212,$K548))</f>
        <v/>
      </c>
      <c r="F548" s="10">
        <f>IF($K548="","",INDEX(Конструктор!$L$2:$L$1212,$K548))</f>
        <v/>
      </c>
      <c r="G548" s="10">
        <f>IF($K548="","",INDEX(Конструктор!$M$2:$M$1212,$K548))</f>
        <v/>
      </c>
      <c r="H548" s="10">
        <f>IF($K548="","",INDEX(Конструктор!$N$2:$N$1212,$K548))</f>
        <v/>
      </c>
      <c r="I548" s="10">
        <f>IF($K548="","",INDEX(Конструктор!$O$2:$O$1212,$K548))</f>
        <v/>
      </c>
      <c r="J548" s="10">
        <f>IF($K548="","",INDEX(Конструктор!$P$2:$P$1212,$K548))</f>
        <v/>
      </c>
      <c r="K548">
        <f>IFERROR(MATCH(528,Конструктор!$T$2:$T$1212,0),"")</f>
        <v/>
      </c>
      <c r="L548">
        <f>IF($K548="","","показать")</f>
        <v/>
      </c>
    </row>
    <row r="549" hidden="1">
      <c r="A549">
        <f>IF($K549="","",529)</f>
        <v/>
      </c>
      <c r="B549">
        <f>IF($K549="","",INDEX(Конструктор!$C$2:$C$1212,$K549))</f>
        <v/>
      </c>
      <c r="C549" s="8">
        <f>IF($K549="","",INDEX(Конструктор!$D$2:$D$1212,$K549)&amp;IF(INDEX(Конструктор!$J$2:$J$1212,$K549)&lt;&gt;""," — "&amp;INDEX(Конструктор!$J$2:$J$1212,$K549),""))</f>
        <v/>
      </c>
      <c r="D549">
        <f>IF($K549="","",INDEX(Конструктор!$E$2:$E$1212,$K549))</f>
        <v/>
      </c>
      <c r="E549" s="10">
        <f>IF($K549="","",INDEX(Конструктор!$H$2:$H$1212,$K549))</f>
        <v/>
      </c>
      <c r="F549" s="10">
        <f>IF($K549="","",INDEX(Конструктор!$L$2:$L$1212,$K549))</f>
        <v/>
      </c>
      <c r="G549" s="10">
        <f>IF($K549="","",INDEX(Конструктор!$M$2:$M$1212,$K549))</f>
        <v/>
      </c>
      <c r="H549" s="10">
        <f>IF($K549="","",INDEX(Конструктор!$N$2:$N$1212,$K549))</f>
        <v/>
      </c>
      <c r="I549" s="10">
        <f>IF($K549="","",INDEX(Конструктор!$O$2:$O$1212,$K549))</f>
        <v/>
      </c>
      <c r="J549" s="10">
        <f>IF($K549="","",INDEX(Конструктор!$P$2:$P$1212,$K549))</f>
        <v/>
      </c>
      <c r="K549">
        <f>IFERROR(MATCH(529,Конструктор!$T$2:$T$1212,0),"")</f>
        <v/>
      </c>
      <c r="L549">
        <f>IF($K549="","","показать")</f>
        <v/>
      </c>
    </row>
    <row r="550" hidden="1">
      <c r="A550">
        <f>IF($K550="","",530)</f>
        <v/>
      </c>
      <c r="B550">
        <f>IF($K550="","",INDEX(Конструктор!$C$2:$C$1212,$K550))</f>
        <v/>
      </c>
      <c r="C550" s="8">
        <f>IF($K550="","",INDEX(Конструктор!$D$2:$D$1212,$K550)&amp;IF(INDEX(Конструктор!$J$2:$J$1212,$K550)&lt;&gt;""," — "&amp;INDEX(Конструктор!$J$2:$J$1212,$K550),""))</f>
        <v/>
      </c>
      <c r="D550">
        <f>IF($K550="","",INDEX(Конструктор!$E$2:$E$1212,$K550))</f>
        <v/>
      </c>
      <c r="E550" s="10">
        <f>IF($K550="","",INDEX(Конструктор!$H$2:$H$1212,$K550))</f>
        <v/>
      </c>
      <c r="F550" s="10">
        <f>IF($K550="","",INDEX(Конструктор!$L$2:$L$1212,$K550))</f>
        <v/>
      </c>
      <c r="G550" s="10">
        <f>IF($K550="","",INDEX(Конструктор!$M$2:$M$1212,$K550))</f>
        <v/>
      </c>
      <c r="H550" s="10">
        <f>IF($K550="","",INDEX(Конструктор!$N$2:$N$1212,$K550))</f>
        <v/>
      </c>
      <c r="I550" s="10">
        <f>IF($K550="","",INDEX(Конструктор!$O$2:$O$1212,$K550))</f>
        <v/>
      </c>
      <c r="J550" s="10">
        <f>IF($K550="","",INDEX(Конструктор!$P$2:$P$1212,$K550))</f>
        <v/>
      </c>
      <c r="K550">
        <f>IFERROR(MATCH(530,Конструктор!$T$2:$T$1212,0),"")</f>
        <v/>
      </c>
      <c r="L550">
        <f>IF($K550="","","показать")</f>
        <v/>
      </c>
    </row>
    <row r="551" hidden="1">
      <c r="A551">
        <f>IF($K551="","",531)</f>
        <v/>
      </c>
      <c r="B551">
        <f>IF($K551="","",INDEX(Конструктор!$C$2:$C$1212,$K551))</f>
        <v/>
      </c>
      <c r="C551" s="8">
        <f>IF($K551="","",INDEX(Конструктор!$D$2:$D$1212,$K551)&amp;IF(INDEX(Конструктор!$J$2:$J$1212,$K551)&lt;&gt;""," — "&amp;INDEX(Конструктор!$J$2:$J$1212,$K551),""))</f>
        <v/>
      </c>
      <c r="D551">
        <f>IF($K551="","",INDEX(Конструктор!$E$2:$E$1212,$K551))</f>
        <v/>
      </c>
      <c r="E551" s="10">
        <f>IF($K551="","",INDEX(Конструктор!$H$2:$H$1212,$K551))</f>
        <v/>
      </c>
      <c r="F551" s="10">
        <f>IF($K551="","",INDEX(Конструктор!$L$2:$L$1212,$K551))</f>
        <v/>
      </c>
      <c r="G551" s="10">
        <f>IF($K551="","",INDEX(Конструктор!$M$2:$M$1212,$K551))</f>
        <v/>
      </c>
      <c r="H551" s="10">
        <f>IF($K551="","",INDEX(Конструктор!$N$2:$N$1212,$K551))</f>
        <v/>
      </c>
      <c r="I551" s="10">
        <f>IF($K551="","",INDEX(Конструктор!$O$2:$O$1212,$K551))</f>
        <v/>
      </c>
      <c r="J551" s="10">
        <f>IF($K551="","",INDEX(Конструктор!$P$2:$P$1212,$K551))</f>
        <v/>
      </c>
      <c r="K551">
        <f>IFERROR(MATCH(531,Конструктор!$T$2:$T$1212,0),"")</f>
        <v/>
      </c>
      <c r="L551">
        <f>IF($K551="","","показать")</f>
        <v/>
      </c>
    </row>
    <row r="552" hidden="1">
      <c r="A552">
        <f>IF($K552="","",532)</f>
        <v/>
      </c>
      <c r="B552">
        <f>IF($K552="","",INDEX(Конструктор!$C$2:$C$1212,$K552))</f>
        <v/>
      </c>
      <c r="C552" s="8">
        <f>IF($K552="","",INDEX(Конструктор!$D$2:$D$1212,$K552)&amp;IF(INDEX(Конструктор!$J$2:$J$1212,$K552)&lt;&gt;""," — "&amp;INDEX(Конструктор!$J$2:$J$1212,$K552),""))</f>
        <v/>
      </c>
      <c r="D552">
        <f>IF($K552="","",INDEX(Конструктор!$E$2:$E$1212,$K552))</f>
        <v/>
      </c>
      <c r="E552" s="10">
        <f>IF($K552="","",INDEX(Конструктор!$H$2:$H$1212,$K552))</f>
        <v/>
      </c>
      <c r="F552" s="10">
        <f>IF($K552="","",INDEX(Конструктор!$L$2:$L$1212,$K552))</f>
        <v/>
      </c>
      <c r="G552" s="10">
        <f>IF($K552="","",INDEX(Конструктор!$M$2:$M$1212,$K552))</f>
        <v/>
      </c>
      <c r="H552" s="10">
        <f>IF($K552="","",INDEX(Конструктор!$N$2:$N$1212,$K552))</f>
        <v/>
      </c>
      <c r="I552" s="10">
        <f>IF($K552="","",INDEX(Конструктор!$O$2:$O$1212,$K552))</f>
        <v/>
      </c>
      <c r="J552" s="10">
        <f>IF($K552="","",INDEX(Конструктор!$P$2:$P$1212,$K552))</f>
        <v/>
      </c>
      <c r="K552">
        <f>IFERROR(MATCH(532,Конструктор!$T$2:$T$1212,0),"")</f>
        <v/>
      </c>
      <c r="L552">
        <f>IF($K552="","","показать")</f>
        <v/>
      </c>
    </row>
    <row r="553" hidden="1">
      <c r="A553">
        <f>IF($K553="","",533)</f>
        <v/>
      </c>
      <c r="B553">
        <f>IF($K553="","",INDEX(Конструктор!$C$2:$C$1212,$K553))</f>
        <v/>
      </c>
      <c r="C553" s="8">
        <f>IF($K553="","",INDEX(Конструктор!$D$2:$D$1212,$K553)&amp;IF(INDEX(Конструктор!$J$2:$J$1212,$K553)&lt;&gt;""," — "&amp;INDEX(Конструктор!$J$2:$J$1212,$K553),""))</f>
        <v/>
      </c>
      <c r="D553">
        <f>IF($K553="","",INDEX(Конструктор!$E$2:$E$1212,$K553))</f>
        <v/>
      </c>
      <c r="E553" s="10">
        <f>IF($K553="","",INDEX(Конструктор!$H$2:$H$1212,$K553))</f>
        <v/>
      </c>
      <c r="F553" s="10">
        <f>IF($K553="","",INDEX(Конструктор!$L$2:$L$1212,$K553))</f>
        <v/>
      </c>
      <c r="G553" s="10">
        <f>IF($K553="","",INDEX(Конструктор!$M$2:$M$1212,$K553))</f>
        <v/>
      </c>
      <c r="H553" s="10">
        <f>IF($K553="","",INDEX(Конструктор!$N$2:$N$1212,$K553))</f>
        <v/>
      </c>
      <c r="I553" s="10">
        <f>IF($K553="","",INDEX(Конструктор!$O$2:$O$1212,$K553))</f>
        <v/>
      </c>
      <c r="J553" s="10">
        <f>IF($K553="","",INDEX(Конструктор!$P$2:$P$1212,$K553))</f>
        <v/>
      </c>
      <c r="K553">
        <f>IFERROR(MATCH(533,Конструктор!$T$2:$T$1212,0),"")</f>
        <v/>
      </c>
      <c r="L553">
        <f>IF($K553="","","показать")</f>
        <v/>
      </c>
    </row>
    <row r="554" hidden="1">
      <c r="A554">
        <f>IF($K554="","",534)</f>
        <v/>
      </c>
      <c r="B554">
        <f>IF($K554="","",INDEX(Конструктор!$C$2:$C$1212,$K554))</f>
        <v/>
      </c>
      <c r="C554" s="8">
        <f>IF($K554="","",INDEX(Конструктор!$D$2:$D$1212,$K554)&amp;IF(INDEX(Конструктор!$J$2:$J$1212,$K554)&lt;&gt;""," — "&amp;INDEX(Конструктор!$J$2:$J$1212,$K554),""))</f>
        <v/>
      </c>
      <c r="D554">
        <f>IF($K554="","",INDEX(Конструктор!$E$2:$E$1212,$K554))</f>
        <v/>
      </c>
      <c r="E554" s="10">
        <f>IF($K554="","",INDEX(Конструктор!$H$2:$H$1212,$K554))</f>
        <v/>
      </c>
      <c r="F554" s="10">
        <f>IF($K554="","",INDEX(Конструктор!$L$2:$L$1212,$K554))</f>
        <v/>
      </c>
      <c r="G554" s="10">
        <f>IF($K554="","",INDEX(Конструктор!$M$2:$M$1212,$K554))</f>
        <v/>
      </c>
      <c r="H554" s="10">
        <f>IF($K554="","",INDEX(Конструктор!$N$2:$N$1212,$K554))</f>
        <v/>
      </c>
      <c r="I554" s="10">
        <f>IF($K554="","",INDEX(Конструктор!$O$2:$O$1212,$K554))</f>
        <v/>
      </c>
      <c r="J554" s="10">
        <f>IF($K554="","",INDEX(Конструктор!$P$2:$P$1212,$K554))</f>
        <v/>
      </c>
      <c r="K554">
        <f>IFERROR(MATCH(534,Конструктор!$T$2:$T$1212,0),"")</f>
        <v/>
      </c>
      <c r="L554">
        <f>IF($K554="","","показать")</f>
        <v/>
      </c>
    </row>
    <row r="555" hidden="1">
      <c r="A555">
        <f>IF($K555="","",535)</f>
        <v/>
      </c>
      <c r="B555">
        <f>IF($K555="","",INDEX(Конструктор!$C$2:$C$1212,$K555))</f>
        <v/>
      </c>
      <c r="C555" s="8">
        <f>IF($K555="","",INDEX(Конструктор!$D$2:$D$1212,$K555)&amp;IF(INDEX(Конструктор!$J$2:$J$1212,$K555)&lt;&gt;""," — "&amp;INDEX(Конструктор!$J$2:$J$1212,$K555),""))</f>
        <v/>
      </c>
      <c r="D555">
        <f>IF($K555="","",INDEX(Конструктор!$E$2:$E$1212,$K555))</f>
        <v/>
      </c>
      <c r="E555" s="10">
        <f>IF($K555="","",INDEX(Конструктор!$H$2:$H$1212,$K555))</f>
        <v/>
      </c>
      <c r="F555" s="10">
        <f>IF($K555="","",INDEX(Конструктор!$L$2:$L$1212,$K555))</f>
        <v/>
      </c>
      <c r="G555" s="10">
        <f>IF($K555="","",INDEX(Конструктор!$M$2:$M$1212,$K555))</f>
        <v/>
      </c>
      <c r="H555" s="10">
        <f>IF($K555="","",INDEX(Конструктор!$N$2:$N$1212,$K555))</f>
        <v/>
      </c>
      <c r="I555" s="10">
        <f>IF($K555="","",INDEX(Конструктор!$O$2:$O$1212,$K555))</f>
        <v/>
      </c>
      <c r="J555" s="10">
        <f>IF($K555="","",INDEX(Конструктор!$P$2:$P$1212,$K555))</f>
        <v/>
      </c>
      <c r="K555">
        <f>IFERROR(MATCH(535,Конструктор!$T$2:$T$1212,0),"")</f>
        <v/>
      </c>
      <c r="L555">
        <f>IF($K555="","","показать")</f>
        <v/>
      </c>
    </row>
    <row r="556" hidden="1">
      <c r="A556">
        <f>IF($K556="","",536)</f>
        <v/>
      </c>
      <c r="B556">
        <f>IF($K556="","",INDEX(Конструктор!$C$2:$C$1212,$K556))</f>
        <v/>
      </c>
      <c r="C556" s="8">
        <f>IF($K556="","",INDEX(Конструктор!$D$2:$D$1212,$K556)&amp;IF(INDEX(Конструктор!$J$2:$J$1212,$K556)&lt;&gt;""," — "&amp;INDEX(Конструктор!$J$2:$J$1212,$K556),""))</f>
        <v/>
      </c>
      <c r="D556">
        <f>IF($K556="","",INDEX(Конструктор!$E$2:$E$1212,$K556))</f>
        <v/>
      </c>
      <c r="E556" s="10">
        <f>IF($K556="","",INDEX(Конструктор!$H$2:$H$1212,$K556))</f>
        <v/>
      </c>
      <c r="F556" s="10">
        <f>IF($K556="","",INDEX(Конструктор!$L$2:$L$1212,$K556))</f>
        <v/>
      </c>
      <c r="G556" s="10">
        <f>IF($K556="","",INDEX(Конструктор!$M$2:$M$1212,$K556))</f>
        <v/>
      </c>
      <c r="H556" s="10">
        <f>IF($K556="","",INDEX(Конструктор!$N$2:$N$1212,$K556))</f>
        <v/>
      </c>
      <c r="I556" s="10">
        <f>IF($K556="","",INDEX(Конструктор!$O$2:$O$1212,$K556))</f>
        <v/>
      </c>
      <c r="J556" s="10">
        <f>IF($K556="","",INDEX(Конструктор!$P$2:$P$1212,$K556))</f>
        <v/>
      </c>
      <c r="K556">
        <f>IFERROR(MATCH(536,Конструктор!$T$2:$T$1212,0),"")</f>
        <v/>
      </c>
      <c r="L556">
        <f>IF($K556="","","показать")</f>
        <v/>
      </c>
    </row>
    <row r="557" hidden="1">
      <c r="A557">
        <f>IF($K557="","",537)</f>
        <v/>
      </c>
      <c r="B557">
        <f>IF($K557="","",INDEX(Конструктор!$C$2:$C$1212,$K557))</f>
        <v/>
      </c>
      <c r="C557" s="8">
        <f>IF($K557="","",INDEX(Конструктор!$D$2:$D$1212,$K557)&amp;IF(INDEX(Конструктор!$J$2:$J$1212,$K557)&lt;&gt;""," — "&amp;INDEX(Конструктор!$J$2:$J$1212,$K557),""))</f>
        <v/>
      </c>
      <c r="D557">
        <f>IF($K557="","",INDEX(Конструктор!$E$2:$E$1212,$K557))</f>
        <v/>
      </c>
      <c r="E557" s="10">
        <f>IF($K557="","",INDEX(Конструктор!$H$2:$H$1212,$K557))</f>
        <v/>
      </c>
      <c r="F557" s="10">
        <f>IF($K557="","",INDEX(Конструктор!$L$2:$L$1212,$K557))</f>
        <v/>
      </c>
      <c r="G557" s="10">
        <f>IF($K557="","",INDEX(Конструктор!$M$2:$M$1212,$K557))</f>
        <v/>
      </c>
      <c r="H557" s="10">
        <f>IF($K557="","",INDEX(Конструктор!$N$2:$N$1212,$K557))</f>
        <v/>
      </c>
      <c r="I557" s="10">
        <f>IF($K557="","",INDEX(Конструктор!$O$2:$O$1212,$K557))</f>
        <v/>
      </c>
      <c r="J557" s="10">
        <f>IF($K557="","",INDEX(Конструктор!$P$2:$P$1212,$K557))</f>
        <v/>
      </c>
      <c r="K557">
        <f>IFERROR(MATCH(537,Конструктор!$T$2:$T$1212,0),"")</f>
        <v/>
      </c>
      <c r="L557">
        <f>IF($K557="","","показать")</f>
        <v/>
      </c>
    </row>
    <row r="558" hidden="1">
      <c r="A558">
        <f>IF($K558="","",538)</f>
        <v/>
      </c>
      <c r="B558">
        <f>IF($K558="","",INDEX(Конструктор!$C$2:$C$1212,$K558))</f>
        <v/>
      </c>
      <c r="C558" s="8">
        <f>IF($K558="","",INDEX(Конструктор!$D$2:$D$1212,$K558)&amp;IF(INDEX(Конструктор!$J$2:$J$1212,$K558)&lt;&gt;""," — "&amp;INDEX(Конструктор!$J$2:$J$1212,$K558),""))</f>
        <v/>
      </c>
      <c r="D558">
        <f>IF($K558="","",INDEX(Конструктор!$E$2:$E$1212,$K558))</f>
        <v/>
      </c>
      <c r="E558" s="10">
        <f>IF($K558="","",INDEX(Конструктор!$H$2:$H$1212,$K558))</f>
        <v/>
      </c>
      <c r="F558" s="10">
        <f>IF($K558="","",INDEX(Конструктор!$L$2:$L$1212,$K558))</f>
        <v/>
      </c>
      <c r="G558" s="10">
        <f>IF($K558="","",INDEX(Конструктор!$M$2:$M$1212,$K558))</f>
        <v/>
      </c>
      <c r="H558" s="10">
        <f>IF($K558="","",INDEX(Конструктор!$N$2:$N$1212,$K558))</f>
        <v/>
      </c>
      <c r="I558" s="10">
        <f>IF($K558="","",INDEX(Конструктор!$O$2:$O$1212,$K558))</f>
        <v/>
      </c>
      <c r="J558" s="10">
        <f>IF($K558="","",INDEX(Конструктор!$P$2:$P$1212,$K558))</f>
        <v/>
      </c>
      <c r="K558">
        <f>IFERROR(MATCH(538,Конструктор!$T$2:$T$1212,0),"")</f>
        <v/>
      </c>
      <c r="L558">
        <f>IF($K558="","","показать")</f>
        <v/>
      </c>
    </row>
    <row r="559" hidden="1">
      <c r="A559">
        <f>IF($K559="","",539)</f>
        <v/>
      </c>
      <c r="B559">
        <f>IF($K559="","",INDEX(Конструктор!$C$2:$C$1212,$K559))</f>
        <v/>
      </c>
      <c r="C559" s="8">
        <f>IF($K559="","",INDEX(Конструктор!$D$2:$D$1212,$K559)&amp;IF(INDEX(Конструктор!$J$2:$J$1212,$K559)&lt;&gt;""," — "&amp;INDEX(Конструктор!$J$2:$J$1212,$K559),""))</f>
        <v/>
      </c>
      <c r="D559">
        <f>IF($K559="","",INDEX(Конструктор!$E$2:$E$1212,$K559))</f>
        <v/>
      </c>
      <c r="E559" s="10">
        <f>IF($K559="","",INDEX(Конструктор!$H$2:$H$1212,$K559))</f>
        <v/>
      </c>
      <c r="F559" s="10">
        <f>IF($K559="","",INDEX(Конструктор!$L$2:$L$1212,$K559))</f>
        <v/>
      </c>
      <c r="G559" s="10">
        <f>IF($K559="","",INDEX(Конструктор!$M$2:$M$1212,$K559))</f>
        <v/>
      </c>
      <c r="H559" s="10">
        <f>IF($K559="","",INDEX(Конструктор!$N$2:$N$1212,$K559))</f>
        <v/>
      </c>
      <c r="I559" s="10">
        <f>IF($K559="","",INDEX(Конструктор!$O$2:$O$1212,$K559))</f>
        <v/>
      </c>
      <c r="J559" s="10">
        <f>IF($K559="","",INDEX(Конструктор!$P$2:$P$1212,$K559))</f>
        <v/>
      </c>
      <c r="K559">
        <f>IFERROR(MATCH(539,Конструктор!$T$2:$T$1212,0),"")</f>
        <v/>
      </c>
      <c r="L559">
        <f>IF($K559="","","показать")</f>
        <v/>
      </c>
    </row>
    <row r="560" hidden="1">
      <c r="A560">
        <f>IF($K560="","",540)</f>
        <v/>
      </c>
      <c r="B560">
        <f>IF($K560="","",INDEX(Конструктор!$C$2:$C$1212,$K560))</f>
        <v/>
      </c>
      <c r="C560" s="8">
        <f>IF($K560="","",INDEX(Конструктор!$D$2:$D$1212,$K560)&amp;IF(INDEX(Конструктор!$J$2:$J$1212,$K560)&lt;&gt;""," — "&amp;INDEX(Конструктор!$J$2:$J$1212,$K560),""))</f>
        <v/>
      </c>
      <c r="D560">
        <f>IF($K560="","",INDEX(Конструктор!$E$2:$E$1212,$K560))</f>
        <v/>
      </c>
      <c r="E560" s="10">
        <f>IF($K560="","",INDEX(Конструктор!$H$2:$H$1212,$K560))</f>
        <v/>
      </c>
      <c r="F560" s="10">
        <f>IF($K560="","",INDEX(Конструктор!$L$2:$L$1212,$K560))</f>
        <v/>
      </c>
      <c r="G560" s="10">
        <f>IF($K560="","",INDEX(Конструктор!$M$2:$M$1212,$K560))</f>
        <v/>
      </c>
      <c r="H560" s="10">
        <f>IF($K560="","",INDEX(Конструктор!$N$2:$N$1212,$K560))</f>
        <v/>
      </c>
      <c r="I560" s="10">
        <f>IF($K560="","",INDEX(Конструктор!$O$2:$O$1212,$K560))</f>
        <v/>
      </c>
      <c r="J560" s="10">
        <f>IF($K560="","",INDEX(Конструктор!$P$2:$P$1212,$K560))</f>
        <v/>
      </c>
      <c r="K560">
        <f>IFERROR(MATCH(540,Конструктор!$T$2:$T$1212,0),"")</f>
        <v/>
      </c>
      <c r="L560">
        <f>IF($K560="","","показать")</f>
        <v/>
      </c>
    </row>
    <row r="561" hidden="1">
      <c r="A561">
        <f>IF($K561="","",541)</f>
        <v/>
      </c>
      <c r="B561">
        <f>IF($K561="","",INDEX(Конструктор!$C$2:$C$1212,$K561))</f>
        <v/>
      </c>
      <c r="C561" s="8">
        <f>IF($K561="","",INDEX(Конструктор!$D$2:$D$1212,$K561)&amp;IF(INDEX(Конструктор!$J$2:$J$1212,$K561)&lt;&gt;""," — "&amp;INDEX(Конструктор!$J$2:$J$1212,$K561),""))</f>
        <v/>
      </c>
      <c r="D561">
        <f>IF($K561="","",INDEX(Конструктор!$E$2:$E$1212,$K561))</f>
        <v/>
      </c>
      <c r="E561" s="10">
        <f>IF($K561="","",INDEX(Конструктор!$H$2:$H$1212,$K561))</f>
        <v/>
      </c>
      <c r="F561" s="10">
        <f>IF($K561="","",INDEX(Конструктор!$L$2:$L$1212,$K561))</f>
        <v/>
      </c>
      <c r="G561" s="10">
        <f>IF($K561="","",INDEX(Конструктор!$M$2:$M$1212,$K561))</f>
        <v/>
      </c>
      <c r="H561" s="10">
        <f>IF($K561="","",INDEX(Конструктор!$N$2:$N$1212,$K561))</f>
        <v/>
      </c>
      <c r="I561" s="10">
        <f>IF($K561="","",INDEX(Конструктор!$O$2:$O$1212,$K561))</f>
        <v/>
      </c>
      <c r="J561" s="10">
        <f>IF($K561="","",INDEX(Конструктор!$P$2:$P$1212,$K561))</f>
        <v/>
      </c>
      <c r="K561">
        <f>IFERROR(MATCH(541,Конструктор!$T$2:$T$1212,0),"")</f>
        <v/>
      </c>
      <c r="L561">
        <f>IF($K561="","","показать")</f>
        <v/>
      </c>
    </row>
    <row r="562" hidden="1">
      <c r="A562">
        <f>IF($K562="","",542)</f>
        <v/>
      </c>
      <c r="B562">
        <f>IF($K562="","",INDEX(Конструктор!$C$2:$C$1212,$K562))</f>
        <v/>
      </c>
      <c r="C562" s="8">
        <f>IF($K562="","",INDEX(Конструктор!$D$2:$D$1212,$K562)&amp;IF(INDEX(Конструктор!$J$2:$J$1212,$K562)&lt;&gt;""," — "&amp;INDEX(Конструктор!$J$2:$J$1212,$K562),""))</f>
        <v/>
      </c>
      <c r="D562">
        <f>IF($K562="","",INDEX(Конструктор!$E$2:$E$1212,$K562))</f>
        <v/>
      </c>
      <c r="E562" s="10">
        <f>IF($K562="","",INDEX(Конструктор!$H$2:$H$1212,$K562))</f>
        <v/>
      </c>
      <c r="F562" s="10">
        <f>IF($K562="","",INDEX(Конструктор!$L$2:$L$1212,$K562))</f>
        <v/>
      </c>
      <c r="G562" s="10">
        <f>IF($K562="","",INDEX(Конструктор!$M$2:$M$1212,$K562))</f>
        <v/>
      </c>
      <c r="H562" s="10">
        <f>IF($K562="","",INDEX(Конструктор!$N$2:$N$1212,$K562))</f>
        <v/>
      </c>
      <c r="I562" s="10">
        <f>IF($K562="","",INDEX(Конструктор!$O$2:$O$1212,$K562))</f>
        <v/>
      </c>
      <c r="J562" s="10">
        <f>IF($K562="","",INDEX(Конструктор!$P$2:$P$1212,$K562))</f>
        <v/>
      </c>
      <c r="K562">
        <f>IFERROR(MATCH(542,Конструктор!$T$2:$T$1212,0),"")</f>
        <v/>
      </c>
      <c r="L562">
        <f>IF($K562="","","показать")</f>
        <v/>
      </c>
    </row>
    <row r="563" hidden="1">
      <c r="A563">
        <f>IF($K563="","",543)</f>
        <v/>
      </c>
      <c r="B563">
        <f>IF($K563="","",INDEX(Конструктор!$C$2:$C$1212,$K563))</f>
        <v/>
      </c>
      <c r="C563" s="8">
        <f>IF($K563="","",INDEX(Конструктор!$D$2:$D$1212,$K563)&amp;IF(INDEX(Конструктор!$J$2:$J$1212,$K563)&lt;&gt;""," — "&amp;INDEX(Конструктор!$J$2:$J$1212,$K563),""))</f>
        <v/>
      </c>
      <c r="D563">
        <f>IF($K563="","",INDEX(Конструктор!$E$2:$E$1212,$K563))</f>
        <v/>
      </c>
      <c r="E563" s="10">
        <f>IF($K563="","",INDEX(Конструктор!$H$2:$H$1212,$K563))</f>
        <v/>
      </c>
      <c r="F563" s="10">
        <f>IF($K563="","",INDEX(Конструктор!$L$2:$L$1212,$K563))</f>
        <v/>
      </c>
      <c r="G563" s="10">
        <f>IF($K563="","",INDEX(Конструктор!$M$2:$M$1212,$K563))</f>
        <v/>
      </c>
      <c r="H563" s="10">
        <f>IF($K563="","",INDEX(Конструктор!$N$2:$N$1212,$K563))</f>
        <v/>
      </c>
      <c r="I563" s="10">
        <f>IF($K563="","",INDEX(Конструктор!$O$2:$O$1212,$K563))</f>
        <v/>
      </c>
      <c r="J563" s="10">
        <f>IF($K563="","",INDEX(Конструктор!$P$2:$P$1212,$K563))</f>
        <v/>
      </c>
      <c r="K563">
        <f>IFERROR(MATCH(543,Конструктор!$T$2:$T$1212,0),"")</f>
        <v/>
      </c>
      <c r="L563">
        <f>IF($K563="","","показать")</f>
        <v/>
      </c>
    </row>
    <row r="564" hidden="1">
      <c r="A564">
        <f>IF($K564="","",544)</f>
        <v/>
      </c>
      <c r="B564">
        <f>IF($K564="","",INDEX(Конструктор!$C$2:$C$1212,$K564))</f>
        <v/>
      </c>
      <c r="C564" s="8">
        <f>IF($K564="","",INDEX(Конструктор!$D$2:$D$1212,$K564)&amp;IF(INDEX(Конструктор!$J$2:$J$1212,$K564)&lt;&gt;""," — "&amp;INDEX(Конструктор!$J$2:$J$1212,$K564),""))</f>
        <v/>
      </c>
      <c r="D564">
        <f>IF($K564="","",INDEX(Конструктор!$E$2:$E$1212,$K564))</f>
        <v/>
      </c>
      <c r="E564" s="10">
        <f>IF($K564="","",INDEX(Конструктор!$H$2:$H$1212,$K564))</f>
        <v/>
      </c>
      <c r="F564" s="10">
        <f>IF($K564="","",INDEX(Конструктор!$L$2:$L$1212,$K564))</f>
        <v/>
      </c>
      <c r="G564" s="10">
        <f>IF($K564="","",INDEX(Конструктор!$M$2:$M$1212,$K564))</f>
        <v/>
      </c>
      <c r="H564" s="10">
        <f>IF($K564="","",INDEX(Конструктор!$N$2:$N$1212,$K564))</f>
        <v/>
      </c>
      <c r="I564" s="10">
        <f>IF($K564="","",INDEX(Конструктор!$O$2:$O$1212,$K564))</f>
        <v/>
      </c>
      <c r="J564" s="10">
        <f>IF($K564="","",INDEX(Конструктор!$P$2:$P$1212,$K564))</f>
        <v/>
      </c>
      <c r="K564">
        <f>IFERROR(MATCH(544,Конструктор!$T$2:$T$1212,0),"")</f>
        <v/>
      </c>
      <c r="L564">
        <f>IF($K564="","","показать")</f>
        <v/>
      </c>
    </row>
    <row r="565" hidden="1">
      <c r="A565">
        <f>IF($K565="","",545)</f>
        <v/>
      </c>
      <c r="B565">
        <f>IF($K565="","",INDEX(Конструктор!$C$2:$C$1212,$K565))</f>
        <v/>
      </c>
      <c r="C565" s="8">
        <f>IF($K565="","",INDEX(Конструктор!$D$2:$D$1212,$K565)&amp;IF(INDEX(Конструктор!$J$2:$J$1212,$K565)&lt;&gt;""," — "&amp;INDEX(Конструктор!$J$2:$J$1212,$K565),""))</f>
        <v/>
      </c>
      <c r="D565">
        <f>IF($K565="","",INDEX(Конструктор!$E$2:$E$1212,$K565))</f>
        <v/>
      </c>
      <c r="E565" s="10">
        <f>IF($K565="","",INDEX(Конструктор!$H$2:$H$1212,$K565))</f>
        <v/>
      </c>
      <c r="F565" s="10">
        <f>IF($K565="","",INDEX(Конструктор!$L$2:$L$1212,$K565))</f>
        <v/>
      </c>
      <c r="G565" s="10">
        <f>IF($K565="","",INDEX(Конструктор!$M$2:$M$1212,$K565))</f>
        <v/>
      </c>
      <c r="H565" s="10">
        <f>IF($K565="","",INDEX(Конструктор!$N$2:$N$1212,$K565))</f>
        <v/>
      </c>
      <c r="I565" s="10">
        <f>IF($K565="","",INDEX(Конструктор!$O$2:$O$1212,$K565))</f>
        <v/>
      </c>
      <c r="J565" s="10">
        <f>IF($K565="","",INDEX(Конструктор!$P$2:$P$1212,$K565))</f>
        <v/>
      </c>
      <c r="K565">
        <f>IFERROR(MATCH(545,Конструктор!$T$2:$T$1212,0),"")</f>
        <v/>
      </c>
      <c r="L565">
        <f>IF($K565="","","показать")</f>
        <v/>
      </c>
    </row>
    <row r="566" hidden="1">
      <c r="A566">
        <f>IF($K566="","",546)</f>
        <v/>
      </c>
      <c r="B566">
        <f>IF($K566="","",INDEX(Конструктор!$C$2:$C$1212,$K566))</f>
        <v/>
      </c>
      <c r="C566" s="8">
        <f>IF($K566="","",INDEX(Конструктор!$D$2:$D$1212,$K566)&amp;IF(INDEX(Конструктор!$J$2:$J$1212,$K566)&lt;&gt;""," — "&amp;INDEX(Конструктор!$J$2:$J$1212,$K566),""))</f>
        <v/>
      </c>
      <c r="D566">
        <f>IF($K566="","",INDEX(Конструктор!$E$2:$E$1212,$K566))</f>
        <v/>
      </c>
      <c r="E566" s="10">
        <f>IF($K566="","",INDEX(Конструктор!$H$2:$H$1212,$K566))</f>
        <v/>
      </c>
      <c r="F566" s="10">
        <f>IF($K566="","",INDEX(Конструктор!$L$2:$L$1212,$K566))</f>
        <v/>
      </c>
      <c r="G566" s="10">
        <f>IF($K566="","",INDEX(Конструктор!$M$2:$M$1212,$K566))</f>
        <v/>
      </c>
      <c r="H566" s="10">
        <f>IF($K566="","",INDEX(Конструктор!$N$2:$N$1212,$K566))</f>
        <v/>
      </c>
      <c r="I566" s="10">
        <f>IF($K566="","",INDEX(Конструктор!$O$2:$O$1212,$K566))</f>
        <v/>
      </c>
      <c r="J566" s="10">
        <f>IF($K566="","",INDEX(Конструктор!$P$2:$P$1212,$K566))</f>
        <v/>
      </c>
      <c r="K566">
        <f>IFERROR(MATCH(546,Конструктор!$T$2:$T$1212,0),"")</f>
        <v/>
      </c>
      <c r="L566">
        <f>IF($K566="","","показать")</f>
        <v/>
      </c>
    </row>
    <row r="567" hidden="1">
      <c r="A567">
        <f>IF($K567="","",547)</f>
        <v/>
      </c>
      <c r="B567">
        <f>IF($K567="","",INDEX(Конструктор!$C$2:$C$1212,$K567))</f>
        <v/>
      </c>
      <c r="C567" s="8">
        <f>IF($K567="","",INDEX(Конструктор!$D$2:$D$1212,$K567)&amp;IF(INDEX(Конструктор!$J$2:$J$1212,$K567)&lt;&gt;""," — "&amp;INDEX(Конструктор!$J$2:$J$1212,$K567),""))</f>
        <v/>
      </c>
      <c r="D567">
        <f>IF($K567="","",INDEX(Конструктор!$E$2:$E$1212,$K567))</f>
        <v/>
      </c>
      <c r="E567" s="10">
        <f>IF($K567="","",INDEX(Конструктор!$H$2:$H$1212,$K567))</f>
        <v/>
      </c>
      <c r="F567" s="10">
        <f>IF($K567="","",INDEX(Конструктор!$L$2:$L$1212,$K567))</f>
        <v/>
      </c>
      <c r="G567" s="10">
        <f>IF($K567="","",INDEX(Конструктор!$M$2:$M$1212,$K567))</f>
        <v/>
      </c>
      <c r="H567" s="10">
        <f>IF($K567="","",INDEX(Конструктор!$N$2:$N$1212,$K567))</f>
        <v/>
      </c>
      <c r="I567" s="10">
        <f>IF($K567="","",INDEX(Конструктор!$O$2:$O$1212,$K567))</f>
        <v/>
      </c>
      <c r="J567" s="10">
        <f>IF($K567="","",INDEX(Конструктор!$P$2:$P$1212,$K567))</f>
        <v/>
      </c>
      <c r="K567">
        <f>IFERROR(MATCH(547,Конструктор!$T$2:$T$1212,0),"")</f>
        <v/>
      </c>
      <c r="L567">
        <f>IF($K567="","","показать")</f>
        <v/>
      </c>
    </row>
    <row r="568" hidden="1">
      <c r="A568">
        <f>IF($K568="","",548)</f>
        <v/>
      </c>
      <c r="B568">
        <f>IF($K568="","",INDEX(Конструктор!$C$2:$C$1212,$K568))</f>
        <v/>
      </c>
      <c r="C568" s="8">
        <f>IF($K568="","",INDEX(Конструктор!$D$2:$D$1212,$K568)&amp;IF(INDEX(Конструктор!$J$2:$J$1212,$K568)&lt;&gt;""," — "&amp;INDEX(Конструктор!$J$2:$J$1212,$K568),""))</f>
        <v/>
      </c>
      <c r="D568">
        <f>IF($K568="","",INDEX(Конструктор!$E$2:$E$1212,$K568))</f>
        <v/>
      </c>
      <c r="E568" s="10">
        <f>IF($K568="","",INDEX(Конструктор!$H$2:$H$1212,$K568))</f>
        <v/>
      </c>
      <c r="F568" s="10">
        <f>IF($K568="","",INDEX(Конструктор!$L$2:$L$1212,$K568))</f>
        <v/>
      </c>
      <c r="G568" s="10">
        <f>IF($K568="","",INDEX(Конструктор!$M$2:$M$1212,$K568))</f>
        <v/>
      </c>
      <c r="H568" s="10">
        <f>IF($K568="","",INDEX(Конструктор!$N$2:$N$1212,$K568))</f>
        <v/>
      </c>
      <c r="I568" s="10">
        <f>IF($K568="","",INDEX(Конструктор!$O$2:$O$1212,$K568))</f>
        <v/>
      </c>
      <c r="J568" s="10">
        <f>IF($K568="","",INDEX(Конструктор!$P$2:$P$1212,$K568))</f>
        <v/>
      </c>
      <c r="K568">
        <f>IFERROR(MATCH(548,Конструктор!$T$2:$T$1212,0),"")</f>
        <v/>
      </c>
      <c r="L568">
        <f>IF($K568="","","показать")</f>
        <v/>
      </c>
    </row>
    <row r="569" hidden="1">
      <c r="A569">
        <f>IF($K569="","",549)</f>
        <v/>
      </c>
      <c r="B569">
        <f>IF($K569="","",INDEX(Конструктор!$C$2:$C$1212,$K569))</f>
        <v/>
      </c>
      <c r="C569" s="8">
        <f>IF($K569="","",INDEX(Конструктор!$D$2:$D$1212,$K569)&amp;IF(INDEX(Конструктор!$J$2:$J$1212,$K569)&lt;&gt;""," — "&amp;INDEX(Конструктор!$J$2:$J$1212,$K569),""))</f>
        <v/>
      </c>
      <c r="D569">
        <f>IF($K569="","",INDEX(Конструктор!$E$2:$E$1212,$K569))</f>
        <v/>
      </c>
      <c r="E569" s="10">
        <f>IF($K569="","",INDEX(Конструктор!$H$2:$H$1212,$K569))</f>
        <v/>
      </c>
      <c r="F569" s="10">
        <f>IF($K569="","",INDEX(Конструктор!$L$2:$L$1212,$K569))</f>
        <v/>
      </c>
      <c r="G569" s="10">
        <f>IF($K569="","",INDEX(Конструктор!$M$2:$M$1212,$K569))</f>
        <v/>
      </c>
      <c r="H569" s="10">
        <f>IF($K569="","",INDEX(Конструктор!$N$2:$N$1212,$K569))</f>
        <v/>
      </c>
      <c r="I569" s="10">
        <f>IF($K569="","",INDEX(Конструктор!$O$2:$O$1212,$K569))</f>
        <v/>
      </c>
      <c r="J569" s="10">
        <f>IF($K569="","",INDEX(Конструктор!$P$2:$P$1212,$K569))</f>
        <v/>
      </c>
      <c r="K569">
        <f>IFERROR(MATCH(549,Конструктор!$T$2:$T$1212,0),"")</f>
        <v/>
      </c>
      <c r="L569">
        <f>IF($K569="","","показать")</f>
        <v/>
      </c>
    </row>
    <row r="570" hidden="1">
      <c r="A570">
        <f>IF($K570="","",550)</f>
        <v/>
      </c>
      <c r="B570">
        <f>IF($K570="","",INDEX(Конструктор!$C$2:$C$1212,$K570))</f>
        <v/>
      </c>
      <c r="C570" s="8">
        <f>IF($K570="","",INDEX(Конструктор!$D$2:$D$1212,$K570)&amp;IF(INDEX(Конструктор!$J$2:$J$1212,$K570)&lt;&gt;""," — "&amp;INDEX(Конструктор!$J$2:$J$1212,$K570),""))</f>
        <v/>
      </c>
      <c r="D570">
        <f>IF($K570="","",INDEX(Конструктор!$E$2:$E$1212,$K570))</f>
        <v/>
      </c>
      <c r="E570" s="10">
        <f>IF($K570="","",INDEX(Конструктор!$H$2:$H$1212,$K570))</f>
        <v/>
      </c>
      <c r="F570" s="10">
        <f>IF($K570="","",INDEX(Конструктор!$L$2:$L$1212,$K570))</f>
        <v/>
      </c>
      <c r="G570" s="10">
        <f>IF($K570="","",INDEX(Конструктор!$M$2:$M$1212,$K570))</f>
        <v/>
      </c>
      <c r="H570" s="10">
        <f>IF($K570="","",INDEX(Конструктор!$N$2:$N$1212,$K570))</f>
        <v/>
      </c>
      <c r="I570" s="10">
        <f>IF($K570="","",INDEX(Конструктор!$O$2:$O$1212,$K570))</f>
        <v/>
      </c>
      <c r="J570" s="10">
        <f>IF($K570="","",INDEX(Конструктор!$P$2:$P$1212,$K570))</f>
        <v/>
      </c>
      <c r="K570">
        <f>IFERROR(MATCH(550,Конструктор!$T$2:$T$1212,0),"")</f>
        <v/>
      </c>
      <c r="L570">
        <f>IF($K570="","","показать")</f>
        <v/>
      </c>
    </row>
    <row r="571" hidden="1">
      <c r="A571">
        <f>IF($K571="","",551)</f>
        <v/>
      </c>
      <c r="B571">
        <f>IF($K571="","",INDEX(Конструктор!$C$2:$C$1212,$K571))</f>
        <v/>
      </c>
      <c r="C571" s="8">
        <f>IF($K571="","",INDEX(Конструктор!$D$2:$D$1212,$K571)&amp;IF(INDEX(Конструктор!$J$2:$J$1212,$K571)&lt;&gt;""," — "&amp;INDEX(Конструктор!$J$2:$J$1212,$K571),""))</f>
        <v/>
      </c>
      <c r="D571">
        <f>IF($K571="","",INDEX(Конструктор!$E$2:$E$1212,$K571))</f>
        <v/>
      </c>
      <c r="E571" s="10">
        <f>IF($K571="","",INDEX(Конструктор!$H$2:$H$1212,$K571))</f>
        <v/>
      </c>
      <c r="F571" s="10">
        <f>IF($K571="","",INDEX(Конструктор!$L$2:$L$1212,$K571))</f>
        <v/>
      </c>
      <c r="G571" s="10">
        <f>IF($K571="","",INDEX(Конструктор!$M$2:$M$1212,$K571))</f>
        <v/>
      </c>
      <c r="H571" s="10">
        <f>IF($K571="","",INDEX(Конструктор!$N$2:$N$1212,$K571))</f>
        <v/>
      </c>
      <c r="I571" s="10">
        <f>IF($K571="","",INDEX(Конструктор!$O$2:$O$1212,$K571))</f>
        <v/>
      </c>
      <c r="J571" s="10">
        <f>IF($K571="","",INDEX(Конструктор!$P$2:$P$1212,$K571))</f>
        <v/>
      </c>
      <c r="K571">
        <f>IFERROR(MATCH(551,Конструктор!$T$2:$T$1212,0),"")</f>
        <v/>
      </c>
      <c r="L571">
        <f>IF($K571="","","показать")</f>
        <v/>
      </c>
    </row>
    <row r="572" hidden="1">
      <c r="A572">
        <f>IF($K572="","",552)</f>
        <v/>
      </c>
      <c r="B572">
        <f>IF($K572="","",INDEX(Конструктор!$C$2:$C$1212,$K572))</f>
        <v/>
      </c>
      <c r="C572" s="8">
        <f>IF($K572="","",INDEX(Конструктор!$D$2:$D$1212,$K572)&amp;IF(INDEX(Конструктор!$J$2:$J$1212,$K572)&lt;&gt;""," — "&amp;INDEX(Конструктор!$J$2:$J$1212,$K572),""))</f>
        <v/>
      </c>
      <c r="D572">
        <f>IF($K572="","",INDEX(Конструктор!$E$2:$E$1212,$K572))</f>
        <v/>
      </c>
      <c r="E572" s="10">
        <f>IF($K572="","",INDEX(Конструктор!$H$2:$H$1212,$K572))</f>
        <v/>
      </c>
      <c r="F572" s="10">
        <f>IF($K572="","",INDEX(Конструктор!$L$2:$L$1212,$K572))</f>
        <v/>
      </c>
      <c r="G572" s="10">
        <f>IF($K572="","",INDEX(Конструктор!$M$2:$M$1212,$K572))</f>
        <v/>
      </c>
      <c r="H572" s="10">
        <f>IF($K572="","",INDEX(Конструктор!$N$2:$N$1212,$K572))</f>
        <v/>
      </c>
      <c r="I572" s="10">
        <f>IF($K572="","",INDEX(Конструктор!$O$2:$O$1212,$K572))</f>
        <v/>
      </c>
      <c r="J572" s="10">
        <f>IF($K572="","",INDEX(Конструктор!$P$2:$P$1212,$K572))</f>
        <v/>
      </c>
      <c r="K572">
        <f>IFERROR(MATCH(552,Конструктор!$T$2:$T$1212,0),"")</f>
        <v/>
      </c>
      <c r="L572">
        <f>IF($K572="","","показать")</f>
        <v/>
      </c>
    </row>
    <row r="573" hidden="1">
      <c r="A573">
        <f>IF($K573="","",553)</f>
        <v/>
      </c>
      <c r="B573">
        <f>IF($K573="","",INDEX(Конструктор!$C$2:$C$1212,$K573))</f>
        <v/>
      </c>
      <c r="C573" s="8">
        <f>IF($K573="","",INDEX(Конструктор!$D$2:$D$1212,$K573)&amp;IF(INDEX(Конструктор!$J$2:$J$1212,$K573)&lt;&gt;""," — "&amp;INDEX(Конструктор!$J$2:$J$1212,$K573),""))</f>
        <v/>
      </c>
      <c r="D573">
        <f>IF($K573="","",INDEX(Конструктор!$E$2:$E$1212,$K573))</f>
        <v/>
      </c>
      <c r="E573" s="10">
        <f>IF($K573="","",INDEX(Конструктор!$H$2:$H$1212,$K573))</f>
        <v/>
      </c>
      <c r="F573" s="10">
        <f>IF($K573="","",INDEX(Конструктор!$L$2:$L$1212,$K573))</f>
        <v/>
      </c>
      <c r="G573" s="10">
        <f>IF($K573="","",INDEX(Конструктор!$M$2:$M$1212,$K573))</f>
        <v/>
      </c>
      <c r="H573" s="10">
        <f>IF($K573="","",INDEX(Конструктор!$N$2:$N$1212,$K573))</f>
        <v/>
      </c>
      <c r="I573" s="10">
        <f>IF($K573="","",INDEX(Конструктор!$O$2:$O$1212,$K573))</f>
        <v/>
      </c>
      <c r="J573" s="10">
        <f>IF($K573="","",INDEX(Конструктор!$P$2:$P$1212,$K573))</f>
        <v/>
      </c>
      <c r="K573">
        <f>IFERROR(MATCH(553,Конструктор!$T$2:$T$1212,0),"")</f>
        <v/>
      </c>
      <c r="L573">
        <f>IF($K573="","","показать")</f>
        <v/>
      </c>
    </row>
    <row r="574" hidden="1">
      <c r="A574">
        <f>IF($K574="","",554)</f>
        <v/>
      </c>
      <c r="B574">
        <f>IF($K574="","",INDEX(Конструктор!$C$2:$C$1212,$K574))</f>
        <v/>
      </c>
      <c r="C574" s="8">
        <f>IF($K574="","",INDEX(Конструктор!$D$2:$D$1212,$K574)&amp;IF(INDEX(Конструктор!$J$2:$J$1212,$K574)&lt;&gt;""," — "&amp;INDEX(Конструктор!$J$2:$J$1212,$K574),""))</f>
        <v/>
      </c>
      <c r="D574">
        <f>IF($K574="","",INDEX(Конструктор!$E$2:$E$1212,$K574))</f>
        <v/>
      </c>
      <c r="E574" s="10">
        <f>IF($K574="","",INDEX(Конструктор!$H$2:$H$1212,$K574))</f>
        <v/>
      </c>
      <c r="F574" s="10">
        <f>IF($K574="","",INDEX(Конструктор!$L$2:$L$1212,$K574))</f>
        <v/>
      </c>
      <c r="G574" s="10">
        <f>IF($K574="","",INDEX(Конструктор!$M$2:$M$1212,$K574))</f>
        <v/>
      </c>
      <c r="H574" s="10">
        <f>IF($K574="","",INDEX(Конструктор!$N$2:$N$1212,$K574))</f>
        <v/>
      </c>
      <c r="I574" s="10">
        <f>IF($K574="","",INDEX(Конструктор!$O$2:$O$1212,$K574))</f>
        <v/>
      </c>
      <c r="J574" s="10">
        <f>IF($K574="","",INDEX(Конструктор!$P$2:$P$1212,$K574))</f>
        <v/>
      </c>
      <c r="K574">
        <f>IFERROR(MATCH(554,Конструктор!$T$2:$T$1212,0),"")</f>
        <v/>
      </c>
      <c r="L574">
        <f>IF($K574="","","показать")</f>
        <v/>
      </c>
    </row>
    <row r="575" hidden="1">
      <c r="A575">
        <f>IF($K575="","",555)</f>
        <v/>
      </c>
      <c r="B575">
        <f>IF($K575="","",INDEX(Конструктор!$C$2:$C$1212,$K575))</f>
        <v/>
      </c>
      <c r="C575" s="8">
        <f>IF($K575="","",INDEX(Конструктор!$D$2:$D$1212,$K575)&amp;IF(INDEX(Конструктор!$J$2:$J$1212,$K575)&lt;&gt;""," — "&amp;INDEX(Конструктор!$J$2:$J$1212,$K575),""))</f>
        <v/>
      </c>
      <c r="D575">
        <f>IF($K575="","",INDEX(Конструктор!$E$2:$E$1212,$K575))</f>
        <v/>
      </c>
      <c r="E575" s="10">
        <f>IF($K575="","",INDEX(Конструктор!$H$2:$H$1212,$K575))</f>
        <v/>
      </c>
      <c r="F575" s="10">
        <f>IF($K575="","",INDEX(Конструктор!$L$2:$L$1212,$K575))</f>
        <v/>
      </c>
      <c r="G575" s="10">
        <f>IF($K575="","",INDEX(Конструктор!$M$2:$M$1212,$K575))</f>
        <v/>
      </c>
      <c r="H575" s="10">
        <f>IF($K575="","",INDEX(Конструктор!$N$2:$N$1212,$K575))</f>
        <v/>
      </c>
      <c r="I575" s="10">
        <f>IF($K575="","",INDEX(Конструктор!$O$2:$O$1212,$K575))</f>
        <v/>
      </c>
      <c r="J575" s="10">
        <f>IF($K575="","",INDEX(Конструктор!$P$2:$P$1212,$K575))</f>
        <v/>
      </c>
      <c r="K575">
        <f>IFERROR(MATCH(555,Конструктор!$T$2:$T$1212,0),"")</f>
        <v/>
      </c>
      <c r="L575">
        <f>IF($K575="","","показать")</f>
        <v/>
      </c>
    </row>
    <row r="576" hidden="1">
      <c r="A576">
        <f>IF($K576="","",556)</f>
        <v/>
      </c>
      <c r="B576">
        <f>IF($K576="","",INDEX(Конструктор!$C$2:$C$1212,$K576))</f>
        <v/>
      </c>
      <c r="C576" s="8">
        <f>IF($K576="","",INDEX(Конструктор!$D$2:$D$1212,$K576)&amp;IF(INDEX(Конструктор!$J$2:$J$1212,$K576)&lt;&gt;""," — "&amp;INDEX(Конструктор!$J$2:$J$1212,$K576),""))</f>
        <v/>
      </c>
      <c r="D576">
        <f>IF($K576="","",INDEX(Конструктор!$E$2:$E$1212,$K576))</f>
        <v/>
      </c>
      <c r="E576" s="10">
        <f>IF($K576="","",INDEX(Конструктор!$H$2:$H$1212,$K576))</f>
        <v/>
      </c>
      <c r="F576" s="10">
        <f>IF($K576="","",INDEX(Конструктор!$L$2:$L$1212,$K576))</f>
        <v/>
      </c>
      <c r="G576" s="10">
        <f>IF($K576="","",INDEX(Конструктор!$M$2:$M$1212,$K576))</f>
        <v/>
      </c>
      <c r="H576" s="10">
        <f>IF($K576="","",INDEX(Конструктор!$N$2:$N$1212,$K576))</f>
        <v/>
      </c>
      <c r="I576" s="10">
        <f>IF($K576="","",INDEX(Конструктор!$O$2:$O$1212,$K576))</f>
        <v/>
      </c>
      <c r="J576" s="10">
        <f>IF($K576="","",INDEX(Конструктор!$P$2:$P$1212,$K576))</f>
        <v/>
      </c>
      <c r="K576">
        <f>IFERROR(MATCH(556,Конструктор!$T$2:$T$1212,0),"")</f>
        <v/>
      </c>
      <c r="L576">
        <f>IF($K576="","","показать")</f>
        <v/>
      </c>
    </row>
    <row r="577" hidden="1">
      <c r="A577">
        <f>IF($K577="","",557)</f>
        <v/>
      </c>
      <c r="B577">
        <f>IF($K577="","",INDEX(Конструктор!$C$2:$C$1212,$K577))</f>
        <v/>
      </c>
      <c r="C577" s="8">
        <f>IF($K577="","",INDEX(Конструктор!$D$2:$D$1212,$K577)&amp;IF(INDEX(Конструктор!$J$2:$J$1212,$K577)&lt;&gt;""," — "&amp;INDEX(Конструктор!$J$2:$J$1212,$K577),""))</f>
        <v/>
      </c>
      <c r="D577">
        <f>IF($K577="","",INDEX(Конструктор!$E$2:$E$1212,$K577))</f>
        <v/>
      </c>
      <c r="E577" s="10">
        <f>IF($K577="","",INDEX(Конструктор!$H$2:$H$1212,$K577))</f>
        <v/>
      </c>
      <c r="F577" s="10">
        <f>IF($K577="","",INDEX(Конструктор!$L$2:$L$1212,$K577))</f>
        <v/>
      </c>
      <c r="G577" s="10">
        <f>IF($K577="","",INDEX(Конструктор!$M$2:$M$1212,$K577))</f>
        <v/>
      </c>
      <c r="H577" s="10">
        <f>IF($K577="","",INDEX(Конструктор!$N$2:$N$1212,$K577))</f>
        <v/>
      </c>
      <c r="I577" s="10">
        <f>IF($K577="","",INDEX(Конструктор!$O$2:$O$1212,$K577))</f>
        <v/>
      </c>
      <c r="J577" s="10">
        <f>IF($K577="","",INDEX(Конструктор!$P$2:$P$1212,$K577))</f>
        <v/>
      </c>
      <c r="K577">
        <f>IFERROR(MATCH(557,Конструктор!$T$2:$T$1212,0),"")</f>
        <v/>
      </c>
      <c r="L577">
        <f>IF($K577="","","показать")</f>
        <v/>
      </c>
    </row>
    <row r="578" hidden="1">
      <c r="A578">
        <f>IF($K578="","",558)</f>
        <v/>
      </c>
      <c r="B578">
        <f>IF($K578="","",INDEX(Конструктор!$C$2:$C$1212,$K578))</f>
        <v/>
      </c>
      <c r="C578" s="8">
        <f>IF($K578="","",INDEX(Конструктор!$D$2:$D$1212,$K578)&amp;IF(INDEX(Конструктор!$J$2:$J$1212,$K578)&lt;&gt;""," — "&amp;INDEX(Конструктор!$J$2:$J$1212,$K578),""))</f>
        <v/>
      </c>
      <c r="D578">
        <f>IF($K578="","",INDEX(Конструктор!$E$2:$E$1212,$K578))</f>
        <v/>
      </c>
      <c r="E578" s="10">
        <f>IF($K578="","",INDEX(Конструктор!$H$2:$H$1212,$K578))</f>
        <v/>
      </c>
      <c r="F578" s="10">
        <f>IF($K578="","",INDEX(Конструктор!$L$2:$L$1212,$K578))</f>
        <v/>
      </c>
      <c r="G578" s="10">
        <f>IF($K578="","",INDEX(Конструктор!$M$2:$M$1212,$K578))</f>
        <v/>
      </c>
      <c r="H578" s="10">
        <f>IF($K578="","",INDEX(Конструктор!$N$2:$N$1212,$K578))</f>
        <v/>
      </c>
      <c r="I578" s="10">
        <f>IF($K578="","",INDEX(Конструктор!$O$2:$O$1212,$K578))</f>
        <v/>
      </c>
      <c r="J578" s="10">
        <f>IF($K578="","",INDEX(Конструктор!$P$2:$P$1212,$K578))</f>
        <v/>
      </c>
      <c r="K578">
        <f>IFERROR(MATCH(558,Конструктор!$T$2:$T$1212,0),"")</f>
        <v/>
      </c>
      <c r="L578">
        <f>IF($K578="","","показать")</f>
        <v/>
      </c>
    </row>
    <row r="579" hidden="1">
      <c r="A579">
        <f>IF($K579="","",559)</f>
        <v/>
      </c>
      <c r="B579">
        <f>IF($K579="","",INDEX(Конструктор!$C$2:$C$1212,$K579))</f>
        <v/>
      </c>
      <c r="C579" s="8">
        <f>IF($K579="","",INDEX(Конструктор!$D$2:$D$1212,$K579)&amp;IF(INDEX(Конструктор!$J$2:$J$1212,$K579)&lt;&gt;""," — "&amp;INDEX(Конструктор!$J$2:$J$1212,$K579),""))</f>
        <v/>
      </c>
      <c r="D579">
        <f>IF($K579="","",INDEX(Конструктор!$E$2:$E$1212,$K579))</f>
        <v/>
      </c>
      <c r="E579" s="10">
        <f>IF($K579="","",INDEX(Конструктор!$H$2:$H$1212,$K579))</f>
        <v/>
      </c>
      <c r="F579" s="10">
        <f>IF($K579="","",INDEX(Конструктор!$L$2:$L$1212,$K579))</f>
        <v/>
      </c>
      <c r="G579" s="10">
        <f>IF($K579="","",INDEX(Конструктор!$M$2:$M$1212,$K579))</f>
        <v/>
      </c>
      <c r="H579" s="10">
        <f>IF($K579="","",INDEX(Конструктор!$N$2:$N$1212,$K579))</f>
        <v/>
      </c>
      <c r="I579" s="10">
        <f>IF($K579="","",INDEX(Конструктор!$O$2:$O$1212,$K579))</f>
        <v/>
      </c>
      <c r="J579" s="10">
        <f>IF($K579="","",INDEX(Конструктор!$P$2:$P$1212,$K579))</f>
        <v/>
      </c>
      <c r="K579">
        <f>IFERROR(MATCH(559,Конструктор!$T$2:$T$1212,0),"")</f>
        <v/>
      </c>
      <c r="L579">
        <f>IF($K579="","","показать")</f>
        <v/>
      </c>
    </row>
    <row r="580" hidden="1">
      <c r="A580">
        <f>IF($K580="","",560)</f>
        <v/>
      </c>
      <c r="B580">
        <f>IF($K580="","",INDEX(Конструктор!$C$2:$C$1212,$K580))</f>
        <v/>
      </c>
      <c r="C580" s="8">
        <f>IF($K580="","",INDEX(Конструктор!$D$2:$D$1212,$K580)&amp;IF(INDEX(Конструктор!$J$2:$J$1212,$K580)&lt;&gt;""," — "&amp;INDEX(Конструктор!$J$2:$J$1212,$K580),""))</f>
        <v/>
      </c>
      <c r="D580">
        <f>IF($K580="","",INDEX(Конструктор!$E$2:$E$1212,$K580))</f>
        <v/>
      </c>
      <c r="E580" s="10">
        <f>IF($K580="","",INDEX(Конструктор!$H$2:$H$1212,$K580))</f>
        <v/>
      </c>
      <c r="F580" s="10">
        <f>IF($K580="","",INDEX(Конструктор!$L$2:$L$1212,$K580))</f>
        <v/>
      </c>
      <c r="G580" s="10">
        <f>IF($K580="","",INDEX(Конструктор!$M$2:$M$1212,$K580))</f>
        <v/>
      </c>
      <c r="H580" s="10">
        <f>IF($K580="","",INDEX(Конструктор!$N$2:$N$1212,$K580))</f>
        <v/>
      </c>
      <c r="I580" s="10">
        <f>IF($K580="","",INDEX(Конструктор!$O$2:$O$1212,$K580))</f>
        <v/>
      </c>
      <c r="J580" s="10">
        <f>IF($K580="","",INDEX(Конструктор!$P$2:$P$1212,$K580))</f>
        <v/>
      </c>
      <c r="K580">
        <f>IFERROR(MATCH(560,Конструктор!$T$2:$T$1212,0),"")</f>
        <v/>
      </c>
      <c r="L580">
        <f>IF($K580="","","показать")</f>
        <v/>
      </c>
    </row>
    <row r="581" hidden="1">
      <c r="A581">
        <f>IF($K581="","",561)</f>
        <v/>
      </c>
      <c r="B581">
        <f>IF($K581="","",INDEX(Конструктор!$C$2:$C$1212,$K581))</f>
        <v/>
      </c>
      <c r="C581" s="8">
        <f>IF($K581="","",INDEX(Конструктор!$D$2:$D$1212,$K581)&amp;IF(INDEX(Конструктор!$J$2:$J$1212,$K581)&lt;&gt;""," — "&amp;INDEX(Конструктор!$J$2:$J$1212,$K581),""))</f>
        <v/>
      </c>
      <c r="D581">
        <f>IF($K581="","",INDEX(Конструктор!$E$2:$E$1212,$K581))</f>
        <v/>
      </c>
      <c r="E581" s="10">
        <f>IF($K581="","",INDEX(Конструктор!$H$2:$H$1212,$K581))</f>
        <v/>
      </c>
      <c r="F581" s="10">
        <f>IF($K581="","",INDEX(Конструктор!$L$2:$L$1212,$K581))</f>
        <v/>
      </c>
      <c r="G581" s="10">
        <f>IF($K581="","",INDEX(Конструктор!$M$2:$M$1212,$K581))</f>
        <v/>
      </c>
      <c r="H581" s="10">
        <f>IF($K581="","",INDEX(Конструктор!$N$2:$N$1212,$K581))</f>
        <v/>
      </c>
      <c r="I581" s="10">
        <f>IF($K581="","",INDEX(Конструктор!$O$2:$O$1212,$K581))</f>
        <v/>
      </c>
      <c r="J581" s="10">
        <f>IF($K581="","",INDEX(Конструктор!$P$2:$P$1212,$K581))</f>
        <v/>
      </c>
      <c r="K581">
        <f>IFERROR(MATCH(561,Конструктор!$T$2:$T$1212,0),"")</f>
        <v/>
      </c>
      <c r="L581">
        <f>IF($K581="","","показать")</f>
        <v/>
      </c>
    </row>
    <row r="582" hidden="1">
      <c r="A582">
        <f>IF($K582="","",562)</f>
        <v/>
      </c>
      <c r="B582">
        <f>IF($K582="","",INDEX(Конструктор!$C$2:$C$1212,$K582))</f>
        <v/>
      </c>
      <c r="C582" s="8">
        <f>IF($K582="","",INDEX(Конструктор!$D$2:$D$1212,$K582)&amp;IF(INDEX(Конструктор!$J$2:$J$1212,$K582)&lt;&gt;""," — "&amp;INDEX(Конструктор!$J$2:$J$1212,$K582),""))</f>
        <v/>
      </c>
      <c r="D582">
        <f>IF($K582="","",INDEX(Конструктор!$E$2:$E$1212,$K582))</f>
        <v/>
      </c>
      <c r="E582" s="10">
        <f>IF($K582="","",INDEX(Конструктор!$H$2:$H$1212,$K582))</f>
        <v/>
      </c>
      <c r="F582" s="10">
        <f>IF($K582="","",INDEX(Конструктор!$L$2:$L$1212,$K582))</f>
        <v/>
      </c>
      <c r="G582" s="10">
        <f>IF($K582="","",INDEX(Конструктор!$M$2:$M$1212,$K582))</f>
        <v/>
      </c>
      <c r="H582" s="10">
        <f>IF($K582="","",INDEX(Конструктор!$N$2:$N$1212,$K582))</f>
        <v/>
      </c>
      <c r="I582" s="10">
        <f>IF($K582="","",INDEX(Конструктор!$O$2:$O$1212,$K582))</f>
        <v/>
      </c>
      <c r="J582" s="10">
        <f>IF($K582="","",INDEX(Конструктор!$P$2:$P$1212,$K582))</f>
        <v/>
      </c>
      <c r="K582">
        <f>IFERROR(MATCH(562,Конструктор!$T$2:$T$1212,0),"")</f>
        <v/>
      </c>
      <c r="L582">
        <f>IF($K582="","","показать")</f>
        <v/>
      </c>
    </row>
    <row r="583" hidden="1">
      <c r="A583">
        <f>IF($K583="","",563)</f>
        <v/>
      </c>
      <c r="B583">
        <f>IF($K583="","",INDEX(Конструктор!$C$2:$C$1212,$K583))</f>
        <v/>
      </c>
      <c r="C583" s="8">
        <f>IF($K583="","",INDEX(Конструктор!$D$2:$D$1212,$K583)&amp;IF(INDEX(Конструктор!$J$2:$J$1212,$K583)&lt;&gt;""," — "&amp;INDEX(Конструктор!$J$2:$J$1212,$K583),""))</f>
        <v/>
      </c>
      <c r="D583">
        <f>IF($K583="","",INDEX(Конструктор!$E$2:$E$1212,$K583))</f>
        <v/>
      </c>
      <c r="E583" s="10">
        <f>IF($K583="","",INDEX(Конструктор!$H$2:$H$1212,$K583))</f>
        <v/>
      </c>
      <c r="F583" s="10">
        <f>IF($K583="","",INDEX(Конструктор!$L$2:$L$1212,$K583))</f>
        <v/>
      </c>
      <c r="G583" s="10">
        <f>IF($K583="","",INDEX(Конструктор!$M$2:$M$1212,$K583))</f>
        <v/>
      </c>
      <c r="H583" s="10">
        <f>IF($K583="","",INDEX(Конструктор!$N$2:$N$1212,$K583))</f>
        <v/>
      </c>
      <c r="I583" s="10">
        <f>IF($K583="","",INDEX(Конструктор!$O$2:$O$1212,$K583))</f>
        <v/>
      </c>
      <c r="J583" s="10">
        <f>IF($K583="","",INDEX(Конструктор!$P$2:$P$1212,$K583))</f>
        <v/>
      </c>
      <c r="K583">
        <f>IFERROR(MATCH(563,Конструктор!$T$2:$T$1212,0),"")</f>
        <v/>
      </c>
      <c r="L583">
        <f>IF($K583="","","показать")</f>
        <v/>
      </c>
    </row>
    <row r="584" hidden="1">
      <c r="A584">
        <f>IF($K584="","",564)</f>
        <v/>
      </c>
      <c r="B584">
        <f>IF($K584="","",INDEX(Конструктор!$C$2:$C$1212,$K584))</f>
        <v/>
      </c>
      <c r="C584" s="8">
        <f>IF($K584="","",INDEX(Конструктор!$D$2:$D$1212,$K584)&amp;IF(INDEX(Конструктор!$J$2:$J$1212,$K584)&lt;&gt;""," — "&amp;INDEX(Конструктор!$J$2:$J$1212,$K584),""))</f>
        <v/>
      </c>
      <c r="D584">
        <f>IF($K584="","",INDEX(Конструктор!$E$2:$E$1212,$K584))</f>
        <v/>
      </c>
      <c r="E584" s="10">
        <f>IF($K584="","",INDEX(Конструктор!$H$2:$H$1212,$K584))</f>
        <v/>
      </c>
      <c r="F584" s="10">
        <f>IF($K584="","",INDEX(Конструктор!$L$2:$L$1212,$K584))</f>
        <v/>
      </c>
      <c r="G584" s="10">
        <f>IF($K584="","",INDEX(Конструктор!$M$2:$M$1212,$K584))</f>
        <v/>
      </c>
      <c r="H584" s="10">
        <f>IF($K584="","",INDEX(Конструктор!$N$2:$N$1212,$K584))</f>
        <v/>
      </c>
      <c r="I584" s="10">
        <f>IF($K584="","",INDEX(Конструктор!$O$2:$O$1212,$K584))</f>
        <v/>
      </c>
      <c r="J584" s="10">
        <f>IF($K584="","",INDEX(Конструктор!$P$2:$P$1212,$K584))</f>
        <v/>
      </c>
      <c r="K584">
        <f>IFERROR(MATCH(564,Конструктор!$T$2:$T$1212,0),"")</f>
        <v/>
      </c>
      <c r="L584">
        <f>IF($K584="","","показать")</f>
        <v/>
      </c>
    </row>
    <row r="585" hidden="1">
      <c r="A585">
        <f>IF($K585="","",565)</f>
        <v/>
      </c>
      <c r="B585">
        <f>IF($K585="","",INDEX(Конструктор!$C$2:$C$1212,$K585))</f>
        <v/>
      </c>
      <c r="C585" s="8">
        <f>IF($K585="","",INDEX(Конструктор!$D$2:$D$1212,$K585)&amp;IF(INDEX(Конструктор!$J$2:$J$1212,$K585)&lt;&gt;""," — "&amp;INDEX(Конструктор!$J$2:$J$1212,$K585),""))</f>
        <v/>
      </c>
      <c r="D585">
        <f>IF($K585="","",INDEX(Конструктор!$E$2:$E$1212,$K585))</f>
        <v/>
      </c>
      <c r="E585" s="10">
        <f>IF($K585="","",INDEX(Конструктор!$H$2:$H$1212,$K585))</f>
        <v/>
      </c>
      <c r="F585" s="10">
        <f>IF($K585="","",INDEX(Конструктор!$L$2:$L$1212,$K585))</f>
        <v/>
      </c>
      <c r="G585" s="10">
        <f>IF($K585="","",INDEX(Конструктор!$M$2:$M$1212,$K585))</f>
        <v/>
      </c>
      <c r="H585" s="10">
        <f>IF($K585="","",INDEX(Конструктор!$N$2:$N$1212,$K585))</f>
        <v/>
      </c>
      <c r="I585" s="10">
        <f>IF($K585="","",INDEX(Конструктор!$O$2:$O$1212,$K585))</f>
        <v/>
      </c>
      <c r="J585" s="10">
        <f>IF($K585="","",INDEX(Конструктор!$P$2:$P$1212,$K585))</f>
        <v/>
      </c>
      <c r="K585">
        <f>IFERROR(MATCH(565,Конструктор!$T$2:$T$1212,0),"")</f>
        <v/>
      </c>
      <c r="L585">
        <f>IF($K585="","","показать")</f>
        <v/>
      </c>
    </row>
    <row r="586" hidden="1">
      <c r="A586">
        <f>IF($K586="","",566)</f>
        <v/>
      </c>
      <c r="B586">
        <f>IF($K586="","",INDEX(Конструктор!$C$2:$C$1212,$K586))</f>
        <v/>
      </c>
      <c r="C586" s="8">
        <f>IF($K586="","",INDEX(Конструктор!$D$2:$D$1212,$K586)&amp;IF(INDEX(Конструктор!$J$2:$J$1212,$K586)&lt;&gt;""," — "&amp;INDEX(Конструктор!$J$2:$J$1212,$K586),""))</f>
        <v/>
      </c>
      <c r="D586">
        <f>IF($K586="","",INDEX(Конструктор!$E$2:$E$1212,$K586))</f>
        <v/>
      </c>
      <c r="E586" s="10">
        <f>IF($K586="","",INDEX(Конструктор!$H$2:$H$1212,$K586))</f>
        <v/>
      </c>
      <c r="F586" s="10">
        <f>IF($K586="","",INDEX(Конструктор!$L$2:$L$1212,$K586))</f>
        <v/>
      </c>
      <c r="G586" s="10">
        <f>IF($K586="","",INDEX(Конструктор!$M$2:$M$1212,$K586))</f>
        <v/>
      </c>
      <c r="H586" s="10">
        <f>IF($K586="","",INDEX(Конструктор!$N$2:$N$1212,$K586))</f>
        <v/>
      </c>
      <c r="I586" s="10">
        <f>IF($K586="","",INDEX(Конструктор!$O$2:$O$1212,$K586))</f>
        <v/>
      </c>
      <c r="J586" s="10">
        <f>IF($K586="","",INDEX(Конструктор!$P$2:$P$1212,$K586))</f>
        <v/>
      </c>
      <c r="K586">
        <f>IFERROR(MATCH(566,Конструктор!$T$2:$T$1212,0),"")</f>
        <v/>
      </c>
      <c r="L586">
        <f>IF($K586="","","показать")</f>
        <v/>
      </c>
    </row>
    <row r="587" hidden="1">
      <c r="A587">
        <f>IF($K587="","",567)</f>
        <v/>
      </c>
      <c r="B587">
        <f>IF($K587="","",INDEX(Конструктор!$C$2:$C$1212,$K587))</f>
        <v/>
      </c>
      <c r="C587" s="8">
        <f>IF($K587="","",INDEX(Конструктор!$D$2:$D$1212,$K587)&amp;IF(INDEX(Конструктор!$J$2:$J$1212,$K587)&lt;&gt;""," — "&amp;INDEX(Конструктор!$J$2:$J$1212,$K587),""))</f>
        <v/>
      </c>
      <c r="D587">
        <f>IF($K587="","",INDEX(Конструктор!$E$2:$E$1212,$K587))</f>
        <v/>
      </c>
      <c r="E587" s="10">
        <f>IF($K587="","",INDEX(Конструктор!$H$2:$H$1212,$K587))</f>
        <v/>
      </c>
      <c r="F587" s="10">
        <f>IF($K587="","",INDEX(Конструктор!$L$2:$L$1212,$K587))</f>
        <v/>
      </c>
      <c r="G587" s="10">
        <f>IF($K587="","",INDEX(Конструктор!$M$2:$M$1212,$K587))</f>
        <v/>
      </c>
      <c r="H587" s="10">
        <f>IF($K587="","",INDEX(Конструктор!$N$2:$N$1212,$K587))</f>
        <v/>
      </c>
      <c r="I587" s="10">
        <f>IF($K587="","",INDEX(Конструктор!$O$2:$O$1212,$K587))</f>
        <v/>
      </c>
      <c r="J587" s="10">
        <f>IF($K587="","",INDEX(Конструктор!$P$2:$P$1212,$K587))</f>
        <v/>
      </c>
      <c r="K587">
        <f>IFERROR(MATCH(567,Конструктор!$T$2:$T$1212,0),"")</f>
        <v/>
      </c>
      <c r="L587">
        <f>IF($K587="","","показать")</f>
        <v/>
      </c>
    </row>
    <row r="588" hidden="1">
      <c r="A588">
        <f>IF($K588="","",568)</f>
        <v/>
      </c>
      <c r="B588">
        <f>IF($K588="","",INDEX(Конструктор!$C$2:$C$1212,$K588))</f>
        <v/>
      </c>
      <c r="C588" s="8">
        <f>IF($K588="","",INDEX(Конструктор!$D$2:$D$1212,$K588)&amp;IF(INDEX(Конструктор!$J$2:$J$1212,$K588)&lt;&gt;""," — "&amp;INDEX(Конструктор!$J$2:$J$1212,$K588),""))</f>
        <v/>
      </c>
      <c r="D588">
        <f>IF($K588="","",INDEX(Конструктор!$E$2:$E$1212,$K588))</f>
        <v/>
      </c>
      <c r="E588" s="10">
        <f>IF($K588="","",INDEX(Конструктор!$H$2:$H$1212,$K588))</f>
        <v/>
      </c>
      <c r="F588" s="10">
        <f>IF($K588="","",INDEX(Конструктор!$L$2:$L$1212,$K588))</f>
        <v/>
      </c>
      <c r="G588" s="10">
        <f>IF($K588="","",INDEX(Конструктор!$M$2:$M$1212,$K588))</f>
        <v/>
      </c>
      <c r="H588" s="10">
        <f>IF($K588="","",INDEX(Конструктор!$N$2:$N$1212,$K588))</f>
        <v/>
      </c>
      <c r="I588" s="10">
        <f>IF($K588="","",INDEX(Конструктор!$O$2:$O$1212,$K588))</f>
        <v/>
      </c>
      <c r="J588" s="10">
        <f>IF($K588="","",INDEX(Конструктор!$P$2:$P$1212,$K588))</f>
        <v/>
      </c>
      <c r="K588">
        <f>IFERROR(MATCH(568,Конструктор!$T$2:$T$1212,0),"")</f>
        <v/>
      </c>
      <c r="L588">
        <f>IF($K588="","","показать")</f>
        <v/>
      </c>
    </row>
    <row r="589" hidden="1">
      <c r="A589">
        <f>IF($K589="","",569)</f>
        <v/>
      </c>
      <c r="B589">
        <f>IF($K589="","",INDEX(Конструктор!$C$2:$C$1212,$K589))</f>
        <v/>
      </c>
      <c r="C589" s="8">
        <f>IF($K589="","",INDEX(Конструктор!$D$2:$D$1212,$K589)&amp;IF(INDEX(Конструктор!$J$2:$J$1212,$K589)&lt;&gt;""," — "&amp;INDEX(Конструктор!$J$2:$J$1212,$K589),""))</f>
        <v/>
      </c>
      <c r="D589">
        <f>IF($K589="","",INDEX(Конструктор!$E$2:$E$1212,$K589))</f>
        <v/>
      </c>
      <c r="E589" s="10">
        <f>IF($K589="","",INDEX(Конструктор!$H$2:$H$1212,$K589))</f>
        <v/>
      </c>
      <c r="F589" s="10">
        <f>IF($K589="","",INDEX(Конструктор!$L$2:$L$1212,$K589))</f>
        <v/>
      </c>
      <c r="G589" s="10">
        <f>IF($K589="","",INDEX(Конструктор!$M$2:$M$1212,$K589))</f>
        <v/>
      </c>
      <c r="H589" s="10">
        <f>IF($K589="","",INDEX(Конструктор!$N$2:$N$1212,$K589))</f>
        <v/>
      </c>
      <c r="I589" s="10">
        <f>IF($K589="","",INDEX(Конструктор!$O$2:$O$1212,$K589))</f>
        <v/>
      </c>
      <c r="J589" s="10">
        <f>IF($K589="","",INDEX(Конструктор!$P$2:$P$1212,$K589))</f>
        <v/>
      </c>
      <c r="K589">
        <f>IFERROR(MATCH(569,Конструктор!$T$2:$T$1212,0),"")</f>
        <v/>
      </c>
      <c r="L589">
        <f>IF($K589="","","показать")</f>
        <v/>
      </c>
    </row>
    <row r="590" hidden="1">
      <c r="A590">
        <f>IF($K590="","",570)</f>
        <v/>
      </c>
      <c r="B590">
        <f>IF($K590="","",INDEX(Конструктор!$C$2:$C$1212,$K590))</f>
        <v/>
      </c>
      <c r="C590" s="8">
        <f>IF($K590="","",INDEX(Конструктор!$D$2:$D$1212,$K590)&amp;IF(INDEX(Конструктор!$J$2:$J$1212,$K590)&lt;&gt;""," — "&amp;INDEX(Конструктор!$J$2:$J$1212,$K590),""))</f>
        <v/>
      </c>
      <c r="D590">
        <f>IF($K590="","",INDEX(Конструктор!$E$2:$E$1212,$K590))</f>
        <v/>
      </c>
      <c r="E590" s="10">
        <f>IF($K590="","",INDEX(Конструктор!$H$2:$H$1212,$K590))</f>
        <v/>
      </c>
      <c r="F590" s="10">
        <f>IF($K590="","",INDEX(Конструктор!$L$2:$L$1212,$K590))</f>
        <v/>
      </c>
      <c r="G590" s="10">
        <f>IF($K590="","",INDEX(Конструктор!$M$2:$M$1212,$K590))</f>
        <v/>
      </c>
      <c r="H590" s="10">
        <f>IF($K590="","",INDEX(Конструктор!$N$2:$N$1212,$K590))</f>
        <v/>
      </c>
      <c r="I590" s="10">
        <f>IF($K590="","",INDEX(Конструктор!$O$2:$O$1212,$K590))</f>
        <v/>
      </c>
      <c r="J590" s="10">
        <f>IF($K590="","",INDEX(Конструктор!$P$2:$P$1212,$K590))</f>
        <v/>
      </c>
      <c r="K590">
        <f>IFERROR(MATCH(570,Конструктор!$T$2:$T$1212,0),"")</f>
        <v/>
      </c>
      <c r="L590">
        <f>IF($K590="","","показать")</f>
        <v/>
      </c>
    </row>
    <row r="591" hidden="1">
      <c r="A591">
        <f>IF($K591="","",571)</f>
        <v/>
      </c>
      <c r="B591">
        <f>IF($K591="","",INDEX(Конструктор!$C$2:$C$1212,$K591))</f>
        <v/>
      </c>
      <c r="C591" s="8">
        <f>IF($K591="","",INDEX(Конструктор!$D$2:$D$1212,$K591)&amp;IF(INDEX(Конструктор!$J$2:$J$1212,$K591)&lt;&gt;""," — "&amp;INDEX(Конструктор!$J$2:$J$1212,$K591),""))</f>
        <v/>
      </c>
      <c r="D591">
        <f>IF($K591="","",INDEX(Конструктор!$E$2:$E$1212,$K591))</f>
        <v/>
      </c>
      <c r="E591" s="10">
        <f>IF($K591="","",INDEX(Конструктор!$H$2:$H$1212,$K591))</f>
        <v/>
      </c>
      <c r="F591" s="10">
        <f>IF($K591="","",INDEX(Конструктор!$L$2:$L$1212,$K591))</f>
        <v/>
      </c>
      <c r="G591" s="10">
        <f>IF($K591="","",INDEX(Конструктор!$M$2:$M$1212,$K591))</f>
        <v/>
      </c>
      <c r="H591" s="10">
        <f>IF($K591="","",INDEX(Конструктор!$N$2:$N$1212,$K591))</f>
        <v/>
      </c>
      <c r="I591" s="10">
        <f>IF($K591="","",INDEX(Конструктор!$O$2:$O$1212,$K591))</f>
        <v/>
      </c>
      <c r="J591" s="10">
        <f>IF($K591="","",INDEX(Конструктор!$P$2:$P$1212,$K591))</f>
        <v/>
      </c>
      <c r="K591">
        <f>IFERROR(MATCH(571,Конструктор!$T$2:$T$1212,0),"")</f>
        <v/>
      </c>
      <c r="L591">
        <f>IF($K591="","","показать")</f>
        <v/>
      </c>
    </row>
    <row r="592" hidden="1">
      <c r="A592">
        <f>IF($K592="","",572)</f>
        <v/>
      </c>
      <c r="B592">
        <f>IF($K592="","",INDEX(Конструктор!$C$2:$C$1212,$K592))</f>
        <v/>
      </c>
      <c r="C592" s="8">
        <f>IF($K592="","",INDEX(Конструктор!$D$2:$D$1212,$K592)&amp;IF(INDEX(Конструктор!$J$2:$J$1212,$K592)&lt;&gt;""," — "&amp;INDEX(Конструктор!$J$2:$J$1212,$K592),""))</f>
        <v/>
      </c>
      <c r="D592">
        <f>IF($K592="","",INDEX(Конструктор!$E$2:$E$1212,$K592))</f>
        <v/>
      </c>
      <c r="E592" s="10">
        <f>IF($K592="","",INDEX(Конструктор!$H$2:$H$1212,$K592))</f>
        <v/>
      </c>
      <c r="F592" s="10">
        <f>IF($K592="","",INDEX(Конструктор!$L$2:$L$1212,$K592))</f>
        <v/>
      </c>
      <c r="G592" s="10">
        <f>IF($K592="","",INDEX(Конструктор!$M$2:$M$1212,$K592))</f>
        <v/>
      </c>
      <c r="H592" s="10">
        <f>IF($K592="","",INDEX(Конструктор!$N$2:$N$1212,$K592))</f>
        <v/>
      </c>
      <c r="I592" s="10">
        <f>IF($K592="","",INDEX(Конструктор!$O$2:$O$1212,$K592))</f>
        <v/>
      </c>
      <c r="J592" s="10">
        <f>IF($K592="","",INDEX(Конструктор!$P$2:$P$1212,$K592))</f>
        <v/>
      </c>
      <c r="K592">
        <f>IFERROR(MATCH(572,Конструктор!$T$2:$T$1212,0),"")</f>
        <v/>
      </c>
      <c r="L592">
        <f>IF($K592="","","показать")</f>
        <v/>
      </c>
    </row>
    <row r="593" hidden="1">
      <c r="A593">
        <f>IF($K593="","",573)</f>
        <v/>
      </c>
      <c r="B593">
        <f>IF($K593="","",INDEX(Конструктор!$C$2:$C$1212,$K593))</f>
        <v/>
      </c>
      <c r="C593" s="8">
        <f>IF($K593="","",INDEX(Конструктор!$D$2:$D$1212,$K593)&amp;IF(INDEX(Конструктор!$J$2:$J$1212,$K593)&lt;&gt;""," — "&amp;INDEX(Конструктор!$J$2:$J$1212,$K593),""))</f>
        <v/>
      </c>
      <c r="D593">
        <f>IF($K593="","",INDEX(Конструктор!$E$2:$E$1212,$K593))</f>
        <v/>
      </c>
      <c r="E593" s="10">
        <f>IF($K593="","",INDEX(Конструктор!$H$2:$H$1212,$K593))</f>
        <v/>
      </c>
      <c r="F593" s="10">
        <f>IF($K593="","",INDEX(Конструктор!$L$2:$L$1212,$K593))</f>
        <v/>
      </c>
      <c r="G593" s="10">
        <f>IF($K593="","",INDEX(Конструктор!$M$2:$M$1212,$K593))</f>
        <v/>
      </c>
      <c r="H593" s="10">
        <f>IF($K593="","",INDEX(Конструктор!$N$2:$N$1212,$K593))</f>
        <v/>
      </c>
      <c r="I593" s="10">
        <f>IF($K593="","",INDEX(Конструктор!$O$2:$O$1212,$K593))</f>
        <v/>
      </c>
      <c r="J593" s="10">
        <f>IF($K593="","",INDEX(Конструктор!$P$2:$P$1212,$K593))</f>
        <v/>
      </c>
      <c r="K593">
        <f>IFERROR(MATCH(573,Конструктор!$T$2:$T$1212,0),"")</f>
        <v/>
      </c>
      <c r="L593">
        <f>IF($K593="","","показать")</f>
        <v/>
      </c>
    </row>
    <row r="594" hidden="1">
      <c r="A594">
        <f>IF($K594="","",574)</f>
        <v/>
      </c>
      <c r="B594">
        <f>IF($K594="","",INDEX(Конструктор!$C$2:$C$1212,$K594))</f>
        <v/>
      </c>
      <c r="C594" s="8">
        <f>IF($K594="","",INDEX(Конструктор!$D$2:$D$1212,$K594)&amp;IF(INDEX(Конструктор!$J$2:$J$1212,$K594)&lt;&gt;""," — "&amp;INDEX(Конструктор!$J$2:$J$1212,$K594),""))</f>
        <v/>
      </c>
      <c r="D594">
        <f>IF($K594="","",INDEX(Конструктор!$E$2:$E$1212,$K594))</f>
        <v/>
      </c>
      <c r="E594" s="10">
        <f>IF($K594="","",INDEX(Конструктор!$H$2:$H$1212,$K594))</f>
        <v/>
      </c>
      <c r="F594" s="10">
        <f>IF($K594="","",INDEX(Конструктор!$L$2:$L$1212,$K594))</f>
        <v/>
      </c>
      <c r="G594" s="10">
        <f>IF($K594="","",INDEX(Конструктор!$M$2:$M$1212,$K594))</f>
        <v/>
      </c>
      <c r="H594" s="10">
        <f>IF($K594="","",INDEX(Конструктор!$N$2:$N$1212,$K594))</f>
        <v/>
      </c>
      <c r="I594" s="10">
        <f>IF($K594="","",INDEX(Конструктор!$O$2:$O$1212,$K594))</f>
        <v/>
      </c>
      <c r="J594" s="10">
        <f>IF($K594="","",INDEX(Конструктор!$P$2:$P$1212,$K594))</f>
        <v/>
      </c>
      <c r="K594">
        <f>IFERROR(MATCH(574,Конструктор!$T$2:$T$1212,0),"")</f>
        <v/>
      </c>
      <c r="L594">
        <f>IF($K594="","","показать")</f>
        <v/>
      </c>
    </row>
    <row r="595" hidden="1">
      <c r="A595">
        <f>IF($K595="","",575)</f>
        <v/>
      </c>
      <c r="B595">
        <f>IF($K595="","",INDEX(Конструктор!$C$2:$C$1212,$K595))</f>
        <v/>
      </c>
      <c r="C595" s="8">
        <f>IF($K595="","",INDEX(Конструктор!$D$2:$D$1212,$K595)&amp;IF(INDEX(Конструктор!$J$2:$J$1212,$K595)&lt;&gt;""," — "&amp;INDEX(Конструктор!$J$2:$J$1212,$K595),""))</f>
        <v/>
      </c>
      <c r="D595">
        <f>IF($K595="","",INDEX(Конструктор!$E$2:$E$1212,$K595))</f>
        <v/>
      </c>
      <c r="E595" s="10">
        <f>IF($K595="","",INDEX(Конструктор!$H$2:$H$1212,$K595))</f>
        <v/>
      </c>
      <c r="F595" s="10">
        <f>IF($K595="","",INDEX(Конструктор!$L$2:$L$1212,$K595))</f>
        <v/>
      </c>
      <c r="G595" s="10">
        <f>IF($K595="","",INDEX(Конструктор!$M$2:$M$1212,$K595))</f>
        <v/>
      </c>
      <c r="H595" s="10">
        <f>IF($K595="","",INDEX(Конструктор!$N$2:$N$1212,$K595))</f>
        <v/>
      </c>
      <c r="I595" s="10">
        <f>IF($K595="","",INDEX(Конструктор!$O$2:$O$1212,$K595))</f>
        <v/>
      </c>
      <c r="J595" s="10">
        <f>IF($K595="","",INDEX(Конструктор!$P$2:$P$1212,$K595))</f>
        <v/>
      </c>
      <c r="K595">
        <f>IFERROR(MATCH(575,Конструктор!$T$2:$T$1212,0),"")</f>
        <v/>
      </c>
      <c r="L595">
        <f>IF($K595="","","показать")</f>
        <v/>
      </c>
    </row>
    <row r="596" hidden="1">
      <c r="A596">
        <f>IF($K596="","",576)</f>
        <v/>
      </c>
      <c r="B596">
        <f>IF($K596="","",INDEX(Конструктор!$C$2:$C$1212,$K596))</f>
        <v/>
      </c>
      <c r="C596" s="8">
        <f>IF($K596="","",INDEX(Конструктор!$D$2:$D$1212,$K596)&amp;IF(INDEX(Конструктор!$J$2:$J$1212,$K596)&lt;&gt;""," — "&amp;INDEX(Конструктор!$J$2:$J$1212,$K596),""))</f>
        <v/>
      </c>
      <c r="D596">
        <f>IF($K596="","",INDEX(Конструктор!$E$2:$E$1212,$K596))</f>
        <v/>
      </c>
      <c r="E596" s="10">
        <f>IF($K596="","",INDEX(Конструктор!$H$2:$H$1212,$K596))</f>
        <v/>
      </c>
      <c r="F596" s="10">
        <f>IF($K596="","",INDEX(Конструктор!$L$2:$L$1212,$K596))</f>
        <v/>
      </c>
      <c r="G596" s="10">
        <f>IF($K596="","",INDEX(Конструктор!$M$2:$M$1212,$K596))</f>
        <v/>
      </c>
      <c r="H596" s="10">
        <f>IF($K596="","",INDEX(Конструктор!$N$2:$N$1212,$K596))</f>
        <v/>
      </c>
      <c r="I596" s="10">
        <f>IF($K596="","",INDEX(Конструктор!$O$2:$O$1212,$K596))</f>
        <v/>
      </c>
      <c r="J596" s="10">
        <f>IF($K596="","",INDEX(Конструктор!$P$2:$P$1212,$K596))</f>
        <v/>
      </c>
      <c r="K596">
        <f>IFERROR(MATCH(576,Конструктор!$T$2:$T$1212,0),"")</f>
        <v/>
      </c>
      <c r="L596">
        <f>IF($K596="","","показать")</f>
        <v/>
      </c>
    </row>
    <row r="597" hidden="1">
      <c r="A597">
        <f>IF($K597="","",577)</f>
        <v/>
      </c>
      <c r="B597">
        <f>IF($K597="","",INDEX(Конструктор!$C$2:$C$1212,$K597))</f>
        <v/>
      </c>
      <c r="C597" s="8">
        <f>IF($K597="","",INDEX(Конструктор!$D$2:$D$1212,$K597)&amp;IF(INDEX(Конструктор!$J$2:$J$1212,$K597)&lt;&gt;""," — "&amp;INDEX(Конструктор!$J$2:$J$1212,$K597),""))</f>
        <v/>
      </c>
      <c r="D597">
        <f>IF($K597="","",INDEX(Конструктор!$E$2:$E$1212,$K597))</f>
        <v/>
      </c>
      <c r="E597" s="10">
        <f>IF($K597="","",INDEX(Конструктор!$H$2:$H$1212,$K597))</f>
        <v/>
      </c>
      <c r="F597" s="10">
        <f>IF($K597="","",INDEX(Конструктор!$L$2:$L$1212,$K597))</f>
        <v/>
      </c>
      <c r="G597" s="10">
        <f>IF($K597="","",INDEX(Конструктор!$M$2:$M$1212,$K597))</f>
        <v/>
      </c>
      <c r="H597" s="10">
        <f>IF($K597="","",INDEX(Конструктор!$N$2:$N$1212,$K597))</f>
        <v/>
      </c>
      <c r="I597" s="10">
        <f>IF($K597="","",INDEX(Конструктор!$O$2:$O$1212,$K597))</f>
        <v/>
      </c>
      <c r="J597" s="10">
        <f>IF($K597="","",INDEX(Конструктор!$P$2:$P$1212,$K597))</f>
        <v/>
      </c>
      <c r="K597">
        <f>IFERROR(MATCH(577,Конструктор!$T$2:$T$1212,0),"")</f>
        <v/>
      </c>
      <c r="L597">
        <f>IF($K597="","","показать")</f>
        <v/>
      </c>
    </row>
    <row r="598" hidden="1">
      <c r="A598">
        <f>IF($K598="","",578)</f>
        <v/>
      </c>
      <c r="B598">
        <f>IF($K598="","",INDEX(Конструктор!$C$2:$C$1212,$K598))</f>
        <v/>
      </c>
      <c r="C598" s="8">
        <f>IF($K598="","",INDEX(Конструктор!$D$2:$D$1212,$K598)&amp;IF(INDEX(Конструктор!$J$2:$J$1212,$K598)&lt;&gt;""," — "&amp;INDEX(Конструктор!$J$2:$J$1212,$K598),""))</f>
        <v/>
      </c>
      <c r="D598">
        <f>IF($K598="","",INDEX(Конструктор!$E$2:$E$1212,$K598))</f>
        <v/>
      </c>
      <c r="E598" s="10">
        <f>IF($K598="","",INDEX(Конструктор!$H$2:$H$1212,$K598))</f>
        <v/>
      </c>
      <c r="F598" s="10">
        <f>IF($K598="","",INDEX(Конструктор!$L$2:$L$1212,$K598))</f>
        <v/>
      </c>
      <c r="G598" s="10">
        <f>IF($K598="","",INDEX(Конструктор!$M$2:$M$1212,$K598))</f>
        <v/>
      </c>
      <c r="H598" s="10">
        <f>IF($K598="","",INDEX(Конструктор!$N$2:$N$1212,$K598))</f>
        <v/>
      </c>
      <c r="I598" s="10">
        <f>IF($K598="","",INDEX(Конструктор!$O$2:$O$1212,$K598))</f>
        <v/>
      </c>
      <c r="J598" s="10">
        <f>IF($K598="","",INDEX(Конструктор!$P$2:$P$1212,$K598))</f>
        <v/>
      </c>
      <c r="K598">
        <f>IFERROR(MATCH(578,Конструктор!$T$2:$T$1212,0),"")</f>
        <v/>
      </c>
      <c r="L598">
        <f>IF($K598="","","показать")</f>
        <v/>
      </c>
    </row>
    <row r="599" hidden="1">
      <c r="A599">
        <f>IF($K599="","",579)</f>
        <v/>
      </c>
      <c r="B599">
        <f>IF($K599="","",INDEX(Конструктор!$C$2:$C$1212,$K599))</f>
        <v/>
      </c>
      <c r="C599" s="8">
        <f>IF($K599="","",INDEX(Конструктор!$D$2:$D$1212,$K599)&amp;IF(INDEX(Конструктор!$J$2:$J$1212,$K599)&lt;&gt;""," — "&amp;INDEX(Конструктор!$J$2:$J$1212,$K599),""))</f>
        <v/>
      </c>
      <c r="D599">
        <f>IF($K599="","",INDEX(Конструктор!$E$2:$E$1212,$K599))</f>
        <v/>
      </c>
      <c r="E599" s="10">
        <f>IF($K599="","",INDEX(Конструктор!$H$2:$H$1212,$K599))</f>
        <v/>
      </c>
      <c r="F599" s="10">
        <f>IF($K599="","",INDEX(Конструктор!$L$2:$L$1212,$K599))</f>
        <v/>
      </c>
      <c r="G599" s="10">
        <f>IF($K599="","",INDEX(Конструктор!$M$2:$M$1212,$K599))</f>
        <v/>
      </c>
      <c r="H599" s="10">
        <f>IF($K599="","",INDEX(Конструктор!$N$2:$N$1212,$K599))</f>
        <v/>
      </c>
      <c r="I599" s="10">
        <f>IF($K599="","",INDEX(Конструктор!$O$2:$O$1212,$K599))</f>
        <v/>
      </c>
      <c r="J599" s="10">
        <f>IF($K599="","",INDEX(Конструктор!$P$2:$P$1212,$K599))</f>
        <v/>
      </c>
      <c r="K599">
        <f>IFERROR(MATCH(579,Конструктор!$T$2:$T$1212,0),"")</f>
        <v/>
      </c>
      <c r="L599">
        <f>IF($K599="","","показать")</f>
        <v/>
      </c>
    </row>
    <row r="600" hidden="1">
      <c r="A600">
        <f>IF($K600="","",580)</f>
        <v/>
      </c>
      <c r="B600">
        <f>IF($K600="","",INDEX(Конструктор!$C$2:$C$1212,$K600))</f>
        <v/>
      </c>
      <c r="C600" s="8">
        <f>IF($K600="","",INDEX(Конструктор!$D$2:$D$1212,$K600)&amp;IF(INDEX(Конструктор!$J$2:$J$1212,$K600)&lt;&gt;""," — "&amp;INDEX(Конструктор!$J$2:$J$1212,$K600),""))</f>
        <v/>
      </c>
      <c r="D600">
        <f>IF($K600="","",INDEX(Конструктор!$E$2:$E$1212,$K600))</f>
        <v/>
      </c>
      <c r="E600" s="10">
        <f>IF($K600="","",INDEX(Конструктор!$H$2:$H$1212,$K600))</f>
        <v/>
      </c>
      <c r="F600" s="10">
        <f>IF($K600="","",INDEX(Конструктор!$L$2:$L$1212,$K600))</f>
        <v/>
      </c>
      <c r="G600" s="10">
        <f>IF($K600="","",INDEX(Конструктор!$M$2:$M$1212,$K600))</f>
        <v/>
      </c>
      <c r="H600" s="10">
        <f>IF($K600="","",INDEX(Конструктор!$N$2:$N$1212,$K600))</f>
        <v/>
      </c>
      <c r="I600" s="10">
        <f>IF($K600="","",INDEX(Конструктор!$O$2:$O$1212,$K600))</f>
        <v/>
      </c>
      <c r="J600" s="10">
        <f>IF($K600="","",INDEX(Конструктор!$P$2:$P$1212,$K600))</f>
        <v/>
      </c>
      <c r="K600">
        <f>IFERROR(MATCH(580,Конструктор!$T$2:$T$1212,0),"")</f>
        <v/>
      </c>
      <c r="L600">
        <f>IF($K600="","","показать")</f>
        <v/>
      </c>
    </row>
    <row r="601" hidden="1">
      <c r="A601">
        <f>IF($K601="","",581)</f>
        <v/>
      </c>
      <c r="B601">
        <f>IF($K601="","",INDEX(Конструктор!$C$2:$C$1212,$K601))</f>
        <v/>
      </c>
      <c r="C601" s="8">
        <f>IF($K601="","",INDEX(Конструктор!$D$2:$D$1212,$K601)&amp;IF(INDEX(Конструктор!$J$2:$J$1212,$K601)&lt;&gt;""," — "&amp;INDEX(Конструктор!$J$2:$J$1212,$K601),""))</f>
        <v/>
      </c>
      <c r="D601">
        <f>IF($K601="","",INDEX(Конструктор!$E$2:$E$1212,$K601))</f>
        <v/>
      </c>
      <c r="E601" s="10">
        <f>IF($K601="","",INDEX(Конструктор!$H$2:$H$1212,$K601))</f>
        <v/>
      </c>
      <c r="F601" s="10">
        <f>IF($K601="","",INDEX(Конструктор!$L$2:$L$1212,$K601))</f>
        <v/>
      </c>
      <c r="G601" s="10">
        <f>IF($K601="","",INDEX(Конструктор!$M$2:$M$1212,$K601))</f>
        <v/>
      </c>
      <c r="H601" s="10">
        <f>IF($K601="","",INDEX(Конструктор!$N$2:$N$1212,$K601))</f>
        <v/>
      </c>
      <c r="I601" s="10">
        <f>IF($K601="","",INDEX(Конструктор!$O$2:$O$1212,$K601))</f>
        <v/>
      </c>
      <c r="J601" s="10">
        <f>IF($K601="","",INDEX(Конструктор!$P$2:$P$1212,$K601))</f>
        <v/>
      </c>
      <c r="K601">
        <f>IFERROR(MATCH(581,Конструктор!$T$2:$T$1212,0),"")</f>
        <v/>
      </c>
      <c r="L601">
        <f>IF($K601="","","показать")</f>
        <v/>
      </c>
    </row>
    <row r="602" hidden="1">
      <c r="A602">
        <f>IF($K602="","",582)</f>
        <v/>
      </c>
      <c r="B602">
        <f>IF($K602="","",INDEX(Конструктор!$C$2:$C$1212,$K602))</f>
        <v/>
      </c>
      <c r="C602" s="8">
        <f>IF($K602="","",INDEX(Конструктор!$D$2:$D$1212,$K602)&amp;IF(INDEX(Конструктор!$J$2:$J$1212,$K602)&lt;&gt;""," — "&amp;INDEX(Конструктор!$J$2:$J$1212,$K602),""))</f>
        <v/>
      </c>
      <c r="D602">
        <f>IF($K602="","",INDEX(Конструктор!$E$2:$E$1212,$K602))</f>
        <v/>
      </c>
      <c r="E602" s="10">
        <f>IF($K602="","",INDEX(Конструктор!$H$2:$H$1212,$K602))</f>
        <v/>
      </c>
      <c r="F602" s="10">
        <f>IF($K602="","",INDEX(Конструктор!$L$2:$L$1212,$K602))</f>
        <v/>
      </c>
      <c r="G602" s="10">
        <f>IF($K602="","",INDEX(Конструктор!$M$2:$M$1212,$K602))</f>
        <v/>
      </c>
      <c r="H602" s="10">
        <f>IF($K602="","",INDEX(Конструктор!$N$2:$N$1212,$K602))</f>
        <v/>
      </c>
      <c r="I602" s="10">
        <f>IF($K602="","",INDEX(Конструктор!$O$2:$O$1212,$K602))</f>
        <v/>
      </c>
      <c r="J602" s="10">
        <f>IF($K602="","",INDEX(Конструктор!$P$2:$P$1212,$K602))</f>
        <v/>
      </c>
      <c r="K602">
        <f>IFERROR(MATCH(582,Конструктор!$T$2:$T$1212,0),"")</f>
        <v/>
      </c>
      <c r="L602">
        <f>IF($K602="","","показать")</f>
        <v/>
      </c>
    </row>
    <row r="603" hidden="1">
      <c r="A603">
        <f>IF($K603="","",583)</f>
        <v/>
      </c>
      <c r="B603">
        <f>IF($K603="","",INDEX(Конструктор!$C$2:$C$1212,$K603))</f>
        <v/>
      </c>
      <c r="C603" s="8">
        <f>IF($K603="","",INDEX(Конструктор!$D$2:$D$1212,$K603)&amp;IF(INDEX(Конструктор!$J$2:$J$1212,$K603)&lt;&gt;""," — "&amp;INDEX(Конструктор!$J$2:$J$1212,$K603),""))</f>
        <v/>
      </c>
      <c r="D603">
        <f>IF($K603="","",INDEX(Конструктор!$E$2:$E$1212,$K603))</f>
        <v/>
      </c>
      <c r="E603" s="10">
        <f>IF($K603="","",INDEX(Конструктор!$H$2:$H$1212,$K603))</f>
        <v/>
      </c>
      <c r="F603" s="10">
        <f>IF($K603="","",INDEX(Конструктор!$L$2:$L$1212,$K603))</f>
        <v/>
      </c>
      <c r="G603" s="10">
        <f>IF($K603="","",INDEX(Конструктор!$M$2:$M$1212,$K603))</f>
        <v/>
      </c>
      <c r="H603" s="10">
        <f>IF($K603="","",INDEX(Конструктор!$N$2:$N$1212,$K603))</f>
        <v/>
      </c>
      <c r="I603" s="10">
        <f>IF($K603="","",INDEX(Конструктор!$O$2:$O$1212,$K603))</f>
        <v/>
      </c>
      <c r="J603" s="10">
        <f>IF($K603="","",INDEX(Конструктор!$P$2:$P$1212,$K603))</f>
        <v/>
      </c>
      <c r="K603">
        <f>IFERROR(MATCH(583,Конструктор!$T$2:$T$1212,0),"")</f>
        <v/>
      </c>
      <c r="L603">
        <f>IF($K603="","","показать")</f>
        <v/>
      </c>
    </row>
    <row r="604" hidden="1">
      <c r="A604">
        <f>IF($K604="","",584)</f>
        <v/>
      </c>
      <c r="B604">
        <f>IF($K604="","",INDEX(Конструктор!$C$2:$C$1212,$K604))</f>
        <v/>
      </c>
      <c r="C604" s="8">
        <f>IF($K604="","",INDEX(Конструктор!$D$2:$D$1212,$K604)&amp;IF(INDEX(Конструктор!$J$2:$J$1212,$K604)&lt;&gt;""," — "&amp;INDEX(Конструктор!$J$2:$J$1212,$K604),""))</f>
        <v/>
      </c>
      <c r="D604">
        <f>IF($K604="","",INDEX(Конструктор!$E$2:$E$1212,$K604))</f>
        <v/>
      </c>
      <c r="E604" s="10">
        <f>IF($K604="","",INDEX(Конструктор!$H$2:$H$1212,$K604))</f>
        <v/>
      </c>
      <c r="F604" s="10">
        <f>IF($K604="","",INDEX(Конструктор!$L$2:$L$1212,$K604))</f>
        <v/>
      </c>
      <c r="G604" s="10">
        <f>IF($K604="","",INDEX(Конструктор!$M$2:$M$1212,$K604))</f>
        <v/>
      </c>
      <c r="H604" s="10">
        <f>IF($K604="","",INDEX(Конструктор!$N$2:$N$1212,$K604))</f>
        <v/>
      </c>
      <c r="I604" s="10">
        <f>IF($K604="","",INDEX(Конструктор!$O$2:$O$1212,$K604))</f>
        <v/>
      </c>
      <c r="J604" s="10">
        <f>IF($K604="","",INDEX(Конструктор!$P$2:$P$1212,$K604))</f>
        <v/>
      </c>
      <c r="K604">
        <f>IFERROR(MATCH(584,Конструктор!$T$2:$T$1212,0),"")</f>
        <v/>
      </c>
      <c r="L604">
        <f>IF($K604="","","показать")</f>
        <v/>
      </c>
    </row>
    <row r="605" hidden="1">
      <c r="A605">
        <f>IF($K605="","",585)</f>
        <v/>
      </c>
      <c r="B605">
        <f>IF($K605="","",INDEX(Конструктор!$C$2:$C$1212,$K605))</f>
        <v/>
      </c>
      <c r="C605" s="8">
        <f>IF($K605="","",INDEX(Конструктор!$D$2:$D$1212,$K605)&amp;IF(INDEX(Конструктор!$J$2:$J$1212,$K605)&lt;&gt;""," — "&amp;INDEX(Конструктор!$J$2:$J$1212,$K605),""))</f>
        <v/>
      </c>
      <c r="D605">
        <f>IF($K605="","",INDEX(Конструктор!$E$2:$E$1212,$K605))</f>
        <v/>
      </c>
      <c r="E605" s="10">
        <f>IF($K605="","",INDEX(Конструктор!$H$2:$H$1212,$K605))</f>
        <v/>
      </c>
      <c r="F605" s="10">
        <f>IF($K605="","",INDEX(Конструктор!$L$2:$L$1212,$K605))</f>
        <v/>
      </c>
      <c r="G605" s="10">
        <f>IF($K605="","",INDEX(Конструктор!$M$2:$M$1212,$K605))</f>
        <v/>
      </c>
      <c r="H605" s="10">
        <f>IF($K605="","",INDEX(Конструктор!$N$2:$N$1212,$K605))</f>
        <v/>
      </c>
      <c r="I605" s="10">
        <f>IF($K605="","",INDEX(Конструктор!$O$2:$O$1212,$K605))</f>
        <v/>
      </c>
      <c r="J605" s="10">
        <f>IF($K605="","",INDEX(Конструктор!$P$2:$P$1212,$K605))</f>
        <v/>
      </c>
      <c r="K605">
        <f>IFERROR(MATCH(585,Конструктор!$T$2:$T$1212,0),"")</f>
        <v/>
      </c>
      <c r="L605">
        <f>IF($K605="","","показать")</f>
        <v/>
      </c>
    </row>
    <row r="606" hidden="1">
      <c r="A606">
        <f>IF($K606="","",586)</f>
        <v/>
      </c>
      <c r="B606">
        <f>IF($K606="","",INDEX(Конструктор!$C$2:$C$1212,$K606))</f>
        <v/>
      </c>
      <c r="C606" s="8">
        <f>IF($K606="","",INDEX(Конструктор!$D$2:$D$1212,$K606)&amp;IF(INDEX(Конструктор!$J$2:$J$1212,$K606)&lt;&gt;""," — "&amp;INDEX(Конструктор!$J$2:$J$1212,$K606),""))</f>
        <v/>
      </c>
      <c r="D606">
        <f>IF($K606="","",INDEX(Конструктор!$E$2:$E$1212,$K606))</f>
        <v/>
      </c>
      <c r="E606" s="10">
        <f>IF($K606="","",INDEX(Конструктор!$H$2:$H$1212,$K606))</f>
        <v/>
      </c>
      <c r="F606" s="10">
        <f>IF($K606="","",INDEX(Конструктор!$L$2:$L$1212,$K606))</f>
        <v/>
      </c>
      <c r="G606" s="10">
        <f>IF($K606="","",INDEX(Конструктор!$M$2:$M$1212,$K606))</f>
        <v/>
      </c>
      <c r="H606" s="10">
        <f>IF($K606="","",INDEX(Конструктор!$N$2:$N$1212,$K606))</f>
        <v/>
      </c>
      <c r="I606" s="10">
        <f>IF($K606="","",INDEX(Конструктор!$O$2:$O$1212,$K606))</f>
        <v/>
      </c>
      <c r="J606" s="10">
        <f>IF($K606="","",INDEX(Конструктор!$P$2:$P$1212,$K606))</f>
        <v/>
      </c>
      <c r="K606">
        <f>IFERROR(MATCH(586,Конструктор!$T$2:$T$1212,0),"")</f>
        <v/>
      </c>
      <c r="L606">
        <f>IF($K606="","","показать")</f>
        <v/>
      </c>
    </row>
    <row r="607" hidden="1">
      <c r="A607">
        <f>IF($K607="","",587)</f>
        <v/>
      </c>
      <c r="B607">
        <f>IF($K607="","",INDEX(Конструктор!$C$2:$C$1212,$K607))</f>
        <v/>
      </c>
      <c r="C607" s="8">
        <f>IF($K607="","",INDEX(Конструктор!$D$2:$D$1212,$K607)&amp;IF(INDEX(Конструктор!$J$2:$J$1212,$K607)&lt;&gt;""," — "&amp;INDEX(Конструктор!$J$2:$J$1212,$K607),""))</f>
        <v/>
      </c>
      <c r="D607">
        <f>IF($K607="","",INDEX(Конструктор!$E$2:$E$1212,$K607))</f>
        <v/>
      </c>
      <c r="E607" s="10">
        <f>IF($K607="","",INDEX(Конструктор!$H$2:$H$1212,$K607))</f>
        <v/>
      </c>
      <c r="F607" s="10">
        <f>IF($K607="","",INDEX(Конструктор!$L$2:$L$1212,$K607))</f>
        <v/>
      </c>
      <c r="G607" s="10">
        <f>IF($K607="","",INDEX(Конструктор!$M$2:$M$1212,$K607))</f>
        <v/>
      </c>
      <c r="H607" s="10">
        <f>IF($K607="","",INDEX(Конструктор!$N$2:$N$1212,$K607))</f>
        <v/>
      </c>
      <c r="I607" s="10">
        <f>IF($K607="","",INDEX(Конструктор!$O$2:$O$1212,$K607))</f>
        <v/>
      </c>
      <c r="J607" s="10">
        <f>IF($K607="","",INDEX(Конструктор!$P$2:$P$1212,$K607))</f>
        <v/>
      </c>
      <c r="K607">
        <f>IFERROR(MATCH(587,Конструктор!$T$2:$T$1212,0),"")</f>
        <v/>
      </c>
      <c r="L607">
        <f>IF($K607="","","показать")</f>
        <v/>
      </c>
    </row>
    <row r="608" hidden="1">
      <c r="A608">
        <f>IF($K608="","",588)</f>
        <v/>
      </c>
      <c r="B608">
        <f>IF($K608="","",INDEX(Конструктор!$C$2:$C$1212,$K608))</f>
        <v/>
      </c>
      <c r="C608" s="8">
        <f>IF($K608="","",INDEX(Конструктор!$D$2:$D$1212,$K608)&amp;IF(INDEX(Конструктор!$J$2:$J$1212,$K608)&lt;&gt;""," — "&amp;INDEX(Конструктор!$J$2:$J$1212,$K608),""))</f>
        <v/>
      </c>
      <c r="D608">
        <f>IF($K608="","",INDEX(Конструктор!$E$2:$E$1212,$K608))</f>
        <v/>
      </c>
      <c r="E608" s="10">
        <f>IF($K608="","",INDEX(Конструктор!$H$2:$H$1212,$K608))</f>
        <v/>
      </c>
      <c r="F608" s="10">
        <f>IF($K608="","",INDEX(Конструктор!$L$2:$L$1212,$K608))</f>
        <v/>
      </c>
      <c r="G608" s="10">
        <f>IF($K608="","",INDEX(Конструктор!$M$2:$M$1212,$K608))</f>
        <v/>
      </c>
      <c r="H608" s="10">
        <f>IF($K608="","",INDEX(Конструктор!$N$2:$N$1212,$K608))</f>
        <v/>
      </c>
      <c r="I608" s="10">
        <f>IF($K608="","",INDEX(Конструктор!$O$2:$O$1212,$K608))</f>
        <v/>
      </c>
      <c r="J608" s="10">
        <f>IF($K608="","",INDEX(Конструктор!$P$2:$P$1212,$K608))</f>
        <v/>
      </c>
      <c r="K608">
        <f>IFERROR(MATCH(588,Конструктор!$T$2:$T$1212,0),"")</f>
        <v/>
      </c>
      <c r="L608">
        <f>IF($K608="","","показать")</f>
        <v/>
      </c>
    </row>
    <row r="609" hidden="1">
      <c r="A609">
        <f>IF($K609="","",589)</f>
        <v/>
      </c>
      <c r="B609">
        <f>IF($K609="","",INDEX(Конструктор!$C$2:$C$1212,$K609))</f>
        <v/>
      </c>
      <c r="C609" s="8">
        <f>IF($K609="","",INDEX(Конструктор!$D$2:$D$1212,$K609)&amp;IF(INDEX(Конструктор!$J$2:$J$1212,$K609)&lt;&gt;""," — "&amp;INDEX(Конструктор!$J$2:$J$1212,$K609),""))</f>
        <v/>
      </c>
      <c r="D609">
        <f>IF($K609="","",INDEX(Конструктор!$E$2:$E$1212,$K609))</f>
        <v/>
      </c>
      <c r="E609" s="10">
        <f>IF($K609="","",INDEX(Конструктор!$H$2:$H$1212,$K609))</f>
        <v/>
      </c>
      <c r="F609" s="10">
        <f>IF($K609="","",INDEX(Конструктор!$L$2:$L$1212,$K609))</f>
        <v/>
      </c>
      <c r="G609" s="10">
        <f>IF($K609="","",INDEX(Конструктор!$M$2:$M$1212,$K609))</f>
        <v/>
      </c>
      <c r="H609" s="10">
        <f>IF($K609="","",INDEX(Конструктор!$N$2:$N$1212,$K609))</f>
        <v/>
      </c>
      <c r="I609" s="10">
        <f>IF($K609="","",INDEX(Конструктор!$O$2:$O$1212,$K609))</f>
        <v/>
      </c>
      <c r="J609" s="10">
        <f>IF($K609="","",INDEX(Конструктор!$P$2:$P$1212,$K609))</f>
        <v/>
      </c>
      <c r="K609">
        <f>IFERROR(MATCH(589,Конструктор!$T$2:$T$1212,0),"")</f>
        <v/>
      </c>
      <c r="L609">
        <f>IF($K609="","","показать")</f>
        <v/>
      </c>
    </row>
    <row r="610" hidden="1">
      <c r="A610">
        <f>IF($K610="","",590)</f>
        <v/>
      </c>
      <c r="B610">
        <f>IF($K610="","",INDEX(Конструктор!$C$2:$C$1212,$K610))</f>
        <v/>
      </c>
      <c r="C610" s="8">
        <f>IF($K610="","",INDEX(Конструктор!$D$2:$D$1212,$K610)&amp;IF(INDEX(Конструктор!$J$2:$J$1212,$K610)&lt;&gt;""," — "&amp;INDEX(Конструктор!$J$2:$J$1212,$K610),""))</f>
        <v/>
      </c>
      <c r="D610">
        <f>IF($K610="","",INDEX(Конструктор!$E$2:$E$1212,$K610))</f>
        <v/>
      </c>
      <c r="E610" s="10">
        <f>IF($K610="","",INDEX(Конструктор!$H$2:$H$1212,$K610))</f>
        <v/>
      </c>
      <c r="F610" s="10">
        <f>IF($K610="","",INDEX(Конструктор!$L$2:$L$1212,$K610))</f>
        <v/>
      </c>
      <c r="G610" s="10">
        <f>IF($K610="","",INDEX(Конструктор!$M$2:$M$1212,$K610))</f>
        <v/>
      </c>
      <c r="H610" s="10">
        <f>IF($K610="","",INDEX(Конструктор!$N$2:$N$1212,$K610))</f>
        <v/>
      </c>
      <c r="I610" s="10">
        <f>IF($K610="","",INDEX(Конструктор!$O$2:$O$1212,$K610))</f>
        <v/>
      </c>
      <c r="J610" s="10">
        <f>IF($K610="","",INDEX(Конструктор!$P$2:$P$1212,$K610))</f>
        <v/>
      </c>
      <c r="K610">
        <f>IFERROR(MATCH(590,Конструктор!$T$2:$T$1212,0),"")</f>
        <v/>
      </c>
      <c r="L610">
        <f>IF($K610="","","показать")</f>
        <v/>
      </c>
    </row>
    <row r="611" hidden="1">
      <c r="A611">
        <f>IF($K611="","",591)</f>
        <v/>
      </c>
      <c r="B611">
        <f>IF($K611="","",INDEX(Конструктор!$C$2:$C$1212,$K611))</f>
        <v/>
      </c>
      <c r="C611" s="8">
        <f>IF($K611="","",INDEX(Конструктор!$D$2:$D$1212,$K611)&amp;IF(INDEX(Конструктор!$J$2:$J$1212,$K611)&lt;&gt;""," — "&amp;INDEX(Конструктор!$J$2:$J$1212,$K611),""))</f>
        <v/>
      </c>
      <c r="D611">
        <f>IF($K611="","",INDEX(Конструктор!$E$2:$E$1212,$K611))</f>
        <v/>
      </c>
      <c r="E611" s="10">
        <f>IF($K611="","",INDEX(Конструктор!$H$2:$H$1212,$K611))</f>
        <v/>
      </c>
      <c r="F611" s="10">
        <f>IF($K611="","",INDEX(Конструктор!$L$2:$L$1212,$K611))</f>
        <v/>
      </c>
      <c r="G611" s="10">
        <f>IF($K611="","",INDEX(Конструктор!$M$2:$M$1212,$K611))</f>
        <v/>
      </c>
      <c r="H611" s="10">
        <f>IF($K611="","",INDEX(Конструктор!$N$2:$N$1212,$K611))</f>
        <v/>
      </c>
      <c r="I611" s="10">
        <f>IF($K611="","",INDEX(Конструктор!$O$2:$O$1212,$K611))</f>
        <v/>
      </c>
      <c r="J611" s="10">
        <f>IF($K611="","",INDEX(Конструктор!$P$2:$P$1212,$K611))</f>
        <v/>
      </c>
      <c r="K611">
        <f>IFERROR(MATCH(591,Конструктор!$T$2:$T$1212,0),"")</f>
        <v/>
      </c>
      <c r="L611">
        <f>IF($K611="","","показать")</f>
        <v/>
      </c>
    </row>
    <row r="612" hidden="1">
      <c r="A612">
        <f>IF($K612="","",592)</f>
        <v/>
      </c>
      <c r="B612">
        <f>IF($K612="","",INDEX(Конструктор!$C$2:$C$1212,$K612))</f>
        <v/>
      </c>
      <c r="C612" s="8">
        <f>IF($K612="","",INDEX(Конструктор!$D$2:$D$1212,$K612)&amp;IF(INDEX(Конструктор!$J$2:$J$1212,$K612)&lt;&gt;""," — "&amp;INDEX(Конструктор!$J$2:$J$1212,$K612),""))</f>
        <v/>
      </c>
      <c r="D612">
        <f>IF($K612="","",INDEX(Конструктор!$E$2:$E$1212,$K612))</f>
        <v/>
      </c>
      <c r="E612" s="10">
        <f>IF($K612="","",INDEX(Конструктор!$H$2:$H$1212,$K612))</f>
        <v/>
      </c>
      <c r="F612" s="10">
        <f>IF($K612="","",INDEX(Конструктор!$L$2:$L$1212,$K612))</f>
        <v/>
      </c>
      <c r="G612" s="10">
        <f>IF($K612="","",INDEX(Конструктор!$M$2:$M$1212,$K612))</f>
        <v/>
      </c>
      <c r="H612" s="10">
        <f>IF($K612="","",INDEX(Конструктор!$N$2:$N$1212,$K612))</f>
        <v/>
      </c>
      <c r="I612" s="10">
        <f>IF($K612="","",INDEX(Конструктор!$O$2:$O$1212,$K612))</f>
        <v/>
      </c>
      <c r="J612" s="10">
        <f>IF($K612="","",INDEX(Конструктор!$P$2:$P$1212,$K612))</f>
        <v/>
      </c>
      <c r="K612">
        <f>IFERROR(MATCH(592,Конструктор!$T$2:$T$1212,0),"")</f>
        <v/>
      </c>
      <c r="L612">
        <f>IF($K612="","","показать")</f>
        <v/>
      </c>
    </row>
    <row r="613" hidden="1">
      <c r="A613">
        <f>IF($K613="","",593)</f>
        <v/>
      </c>
      <c r="B613">
        <f>IF($K613="","",INDEX(Конструктор!$C$2:$C$1212,$K613))</f>
        <v/>
      </c>
      <c r="C613" s="8">
        <f>IF($K613="","",INDEX(Конструктор!$D$2:$D$1212,$K613)&amp;IF(INDEX(Конструктор!$J$2:$J$1212,$K613)&lt;&gt;""," — "&amp;INDEX(Конструктор!$J$2:$J$1212,$K613),""))</f>
        <v/>
      </c>
      <c r="D613">
        <f>IF($K613="","",INDEX(Конструктор!$E$2:$E$1212,$K613))</f>
        <v/>
      </c>
      <c r="E613" s="10">
        <f>IF($K613="","",INDEX(Конструктор!$H$2:$H$1212,$K613))</f>
        <v/>
      </c>
      <c r="F613" s="10">
        <f>IF($K613="","",INDEX(Конструктор!$L$2:$L$1212,$K613))</f>
        <v/>
      </c>
      <c r="G613" s="10">
        <f>IF($K613="","",INDEX(Конструктор!$M$2:$M$1212,$K613))</f>
        <v/>
      </c>
      <c r="H613" s="10">
        <f>IF($K613="","",INDEX(Конструктор!$N$2:$N$1212,$K613))</f>
        <v/>
      </c>
      <c r="I613" s="10">
        <f>IF($K613="","",INDEX(Конструктор!$O$2:$O$1212,$K613))</f>
        <v/>
      </c>
      <c r="J613" s="10">
        <f>IF($K613="","",INDEX(Конструктор!$P$2:$P$1212,$K613))</f>
        <v/>
      </c>
      <c r="K613">
        <f>IFERROR(MATCH(593,Конструктор!$T$2:$T$1212,0),"")</f>
        <v/>
      </c>
      <c r="L613">
        <f>IF($K613="","","показать")</f>
        <v/>
      </c>
    </row>
    <row r="614" hidden="1">
      <c r="A614">
        <f>IF($K614="","",594)</f>
        <v/>
      </c>
      <c r="B614">
        <f>IF($K614="","",INDEX(Конструктор!$C$2:$C$1212,$K614))</f>
        <v/>
      </c>
      <c r="C614" s="8">
        <f>IF($K614="","",INDEX(Конструктор!$D$2:$D$1212,$K614)&amp;IF(INDEX(Конструктор!$J$2:$J$1212,$K614)&lt;&gt;""," — "&amp;INDEX(Конструктор!$J$2:$J$1212,$K614),""))</f>
        <v/>
      </c>
      <c r="D614">
        <f>IF($K614="","",INDEX(Конструктор!$E$2:$E$1212,$K614))</f>
        <v/>
      </c>
      <c r="E614" s="10">
        <f>IF($K614="","",INDEX(Конструктор!$H$2:$H$1212,$K614))</f>
        <v/>
      </c>
      <c r="F614" s="10">
        <f>IF($K614="","",INDEX(Конструктор!$L$2:$L$1212,$K614))</f>
        <v/>
      </c>
      <c r="G614" s="10">
        <f>IF($K614="","",INDEX(Конструктор!$M$2:$M$1212,$K614))</f>
        <v/>
      </c>
      <c r="H614" s="10">
        <f>IF($K614="","",INDEX(Конструктор!$N$2:$N$1212,$K614))</f>
        <v/>
      </c>
      <c r="I614" s="10">
        <f>IF($K614="","",INDEX(Конструктор!$O$2:$O$1212,$K614))</f>
        <v/>
      </c>
      <c r="J614" s="10">
        <f>IF($K614="","",INDEX(Конструктор!$P$2:$P$1212,$K614))</f>
        <v/>
      </c>
      <c r="K614">
        <f>IFERROR(MATCH(594,Конструктор!$T$2:$T$1212,0),"")</f>
        <v/>
      </c>
      <c r="L614">
        <f>IF($K614="","","показать")</f>
        <v/>
      </c>
    </row>
    <row r="615" hidden="1">
      <c r="A615">
        <f>IF($K615="","",595)</f>
        <v/>
      </c>
      <c r="B615">
        <f>IF($K615="","",INDEX(Конструктор!$C$2:$C$1212,$K615))</f>
        <v/>
      </c>
      <c r="C615" s="8">
        <f>IF($K615="","",INDEX(Конструктор!$D$2:$D$1212,$K615)&amp;IF(INDEX(Конструктор!$J$2:$J$1212,$K615)&lt;&gt;""," — "&amp;INDEX(Конструктор!$J$2:$J$1212,$K615),""))</f>
        <v/>
      </c>
      <c r="D615">
        <f>IF($K615="","",INDEX(Конструктор!$E$2:$E$1212,$K615))</f>
        <v/>
      </c>
      <c r="E615" s="10">
        <f>IF($K615="","",INDEX(Конструктор!$H$2:$H$1212,$K615))</f>
        <v/>
      </c>
      <c r="F615" s="10">
        <f>IF($K615="","",INDEX(Конструктор!$L$2:$L$1212,$K615))</f>
        <v/>
      </c>
      <c r="G615" s="10">
        <f>IF($K615="","",INDEX(Конструктор!$M$2:$M$1212,$K615))</f>
        <v/>
      </c>
      <c r="H615" s="10">
        <f>IF($K615="","",INDEX(Конструктор!$N$2:$N$1212,$K615))</f>
        <v/>
      </c>
      <c r="I615" s="10">
        <f>IF($K615="","",INDEX(Конструктор!$O$2:$O$1212,$K615))</f>
        <v/>
      </c>
      <c r="J615" s="10">
        <f>IF($K615="","",INDEX(Конструктор!$P$2:$P$1212,$K615))</f>
        <v/>
      </c>
      <c r="K615">
        <f>IFERROR(MATCH(595,Конструктор!$T$2:$T$1212,0),"")</f>
        <v/>
      </c>
      <c r="L615">
        <f>IF($K615="","","показать")</f>
        <v/>
      </c>
    </row>
    <row r="616" hidden="1">
      <c r="A616">
        <f>IF($K616="","",596)</f>
        <v/>
      </c>
      <c r="B616">
        <f>IF($K616="","",INDEX(Конструктор!$C$2:$C$1212,$K616))</f>
        <v/>
      </c>
      <c r="C616" s="8">
        <f>IF($K616="","",INDEX(Конструктор!$D$2:$D$1212,$K616)&amp;IF(INDEX(Конструктор!$J$2:$J$1212,$K616)&lt;&gt;""," — "&amp;INDEX(Конструктор!$J$2:$J$1212,$K616),""))</f>
        <v/>
      </c>
      <c r="D616">
        <f>IF($K616="","",INDEX(Конструктор!$E$2:$E$1212,$K616))</f>
        <v/>
      </c>
      <c r="E616" s="10">
        <f>IF($K616="","",INDEX(Конструктор!$H$2:$H$1212,$K616))</f>
        <v/>
      </c>
      <c r="F616" s="10">
        <f>IF($K616="","",INDEX(Конструктор!$L$2:$L$1212,$K616))</f>
        <v/>
      </c>
      <c r="G616" s="10">
        <f>IF($K616="","",INDEX(Конструктор!$M$2:$M$1212,$K616))</f>
        <v/>
      </c>
      <c r="H616" s="10">
        <f>IF($K616="","",INDEX(Конструктор!$N$2:$N$1212,$K616))</f>
        <v/>
      </c>
      <c r="I616" s="10">
        <f>IF($K616="","",INDEX(Конструктор!$O$2:$O$1212,$K616))</f>
        <v/>
      </c>
      <c r="J616" s="10">
        <f>IF($K616="","",INDEX(Конструктор!$P$2:$P$1212,$K616))</f>
        <v/>
      </c>
      <c r="K616">
        <f>IFERROR(MATCH(596,Конструктор!$T$2:$T$1212,0),"")</f>
        <v/>
      </c>
      <c r="L616">
        <f>IF($K616="","","показать")</f>
        <v/>
      </c>
    </row>
    <row r="617" hidden="1">
      <c r="A617">
        <f>IF($K617="","",597)</f>
        <v/>
      </c>
      <c r="B617">
        <f>IF($K617="","",INDEX(Конструктор!$C$2:$C$1212,$K617))</f>
        <v/>
      </c>
      <c r="C617" s="8">
        <f>IF($K617="","",INDEX(Конструктор!$D$2:$D$1212,$K617)&amp;IF(INDEX(Конструктор!$J$2:$J$1212,$K617)&lt;&gt;""," — "&amp;INDEX(Конструктор!$J$2:$J$1212,$K617),""))</f>
        <v/>
      </c>
      <c r="D617">
        <f>IF($K617="","",INDEX(Конструктор!$E$2:$E$1212,$K617))</f>
        <v/>
      </c>
      <c r="E617" s="10">
        <f>IF($K617="","",INDEX(Конструктор!$H$2:$H$1212,$K617))</f>
        <v/>
      </c>
      <c r="F617" s="10">
        <f>IF($K617="","",INDEX(Конструктор!$L$2:$L$1212,$K617))</f>
        <v/>
      </c>
      <c r="G617" s="10">
        <f>IF($K617="","",INDEX(Конструктор!$M$2:$M$1212,$K617))</f>
        <v/>
      </c>
      <c r="H617" s="10">
        <f>IF($K617="","",INDEX(Конструктор!$N$2:$N$1212,$K617))</f>
        <v/>
      </c>
      <c r="I617" s="10">
        <f>IF($K617="","",INDEX(Конструктор!$O$2:$O$1212,$K617))</f>
        <v/>
      </c>
      <c r="J617" s="10">
        <f>IF($K617="","",INDEX(Конструктор!$P$2:$P$1212,$K617))</f>
        <v/>
      </c>
      <c r="K617">
        <f>IFERROR(MATCH(597,Конструктор!$T$2:$T$1212,0),"")</f>
        <v/>
      </c>
      <c r="L617">
        <f>IF($K617="","","показать")</f>
        <v/>
      </c>
    </row>
    <row r="618" hidden="1">
      <c r="A618">
        <f>IF($K618="","",598)</f>
        <v/>
      </c>
      <c r="B618">
        <f>IF($K618="","",INDEX(Конструктор!$C$2:$C$1212,$K618))</f>
        <v/>
      </c>
      <c r="C618" s="8">
        <f>IF($K618="","",INDEX(Конструктор!$D$2:$D$1212,$K618)&amp;IF(INDEX(Конструктор!$J$2:$J$1212,$K618)&lt;&gt;""," — "&amp;INDEX(Конструктор!$J$2:$J$1212,$K618),""))</f>
        <v/>
      </c>
      <c r="D618">
        <f>IF($K618="","",INDEX(Конструктор!$E$2:$E$1212,$K618))</f>
        <v/>
      </c>
      <c r="E618" s="10">
        <f>IF($K618="","",INDEX(Конструктор!$H$2:$H$1212,$K618))</f>
        <v/>
      </c>
      <c r="F618" s="10">
        <f>IF($K618="","",INDEX(Конструктор!$L$2:$L$1212,$K618))</f>
        <v/>
      </c>
      <c r="G618" s="10">
        <f>IF($K618="","",INDEX(Конструктор!$M$2:$M$1212,$K618))</f>
        <v/>
      </c>
      <c r="H618" s="10">
        <f>IF($K618="","",INDEX(Конструктор!$N$2:$N$1212,$K618))</f>
        <v/>
      </c>
      <c r="I618" s="10">
        <f>IF($K618="","",INDEX(Конструктор!$O$2:$O$1212,$K618))</f>
        <v/>
      </c>
      <c r="J618" s="10">
        <f>IF($K618="","",INDEX(Конструктор!$P$2:$P$1212,$K618))</f>
        <v/>
      </c>
      <c r="K618">
        <f>IFERROR(MATCH(598,Конструктор!$T$2:$T$1212,0),"")</f>
        <v/>
      </c>
      <c r="L618">
        <f>IF($K618="","","показать")</f>
        <v/>
      </c>
    </row>
    <row r="619" hidden="1">
      <c r="A619">
        <f>IF($K619="","",599)</f>
        <v/>
      </c>
      <c r="B619">
        <f>IF($K619="","",INDEX(Конструктор!$C$2:$C$1212,$K619))</f>
        <v/>
      </c>
      <c r="C619" s="8">
        <f>IF($K619="","",INDEX(Конструктор!$D$2:$D$1212,$K619)&amp;IF(INDEX(Конструктор!$J$2:$J$1212,$K619)&lt;&gt;""," — "&amp;INDEX(Конструктор!$J$2:$J$1212,$K619),""))</f>
        <v/>
      </c>
      <c r="D619">
        <f>IF($K619="","",INDEX(Конструктор!$E$2:$E$1212,$K619))</f>
        <v/>
      </c>
      <c r="E619" s="10">
        <f>IF($K619="","",INDEX(Конструктор!$H$2:$H$1212,$K619))</f>
        <v/>
      </c>
      <c r="F619" s="10">
        <f>IF($K619="","",INDEX(Конструктор!$L$2:$L$1212,$K619))</f>
        <v/>
      </c>
      <c r="G619" s="10">
        <f>IF($K619="","",INDEX(Конструктор!$M$2:$M$1212,$K619))</f>
        <v/>
      </c>
      <c r="H619" s="10">
        <f>IF($K619="","",INDEX(Конструктор!$N$2:$N$1212,$K619))</f>
        <v/>
      </c>
      <c r="I619" s="10">
        <f>IF($K619="","",INDEX(Конструктор!$O$2:$O$1212,$K619))</f>
        <v/>
      </c>
      <c r="J619" s="10">
        <f>IF($K619="","",INDEX(Конструктор!$P$2:$P$1212,$K619))</f>
        <v/>
      </c>
      <c r="K619">
        <f>IFERROR(MATCH(599,Конструктор!$T$2:$T$1212,0),"")</f>
        <v/>
      </c>
      <c r="L619">
        <f>IF($K619="","","показать")</f>
        <v/>
      </c>
    </row>
    <row r="620" hidden="1">
      <c r="A620">
        <f>IF($K620="","",600)</f>
        <v/>
      </c>
      <c r="B620">
        <f>IF($K620="","",INDEX(Конструктор!$C$2:$C$1212,$K620))</f>
        <v/>
      </c>
      <c r="C620" s="8">
        <f>IF($K620="","",INDEX(Конструктор!$D$2:$D$1212,$K620)&amp;IF(INDEX(Конструктор!$J$2:$J$1212,$K620)&lt;&gt;""," — "&amp;INDEX(Конструктор!$J$2:$J$1212,$K620),""))</f>
        <v/>
      </c>
      <c r="D620">
        <f>IF($K620="","",INDEX(Конструктор!$E$2:$E$1212,$K620))</f>
        <v/>
      </c>
      <c r="E620" s="10">
        <f>IF($K620="","",INDEX(Конструктор!$H$2:$H$1212,$K620))</f>
        <v/>
      </c>
      <c r="F620" s="10">
        <f>IF($K620="","",INDEX(Конструктор!$L$2:$L$1212,$K620))</f>
        <v/>
      </c>
      <c r="G620" s="10">
        <f>IF($K620="","",INDEX(Конструктор!$M$2:$M$1212,$K620))</f>
        <v/>
      </c>
      <c r="H620" s="10">
        <f>IF($K620="","",INDEX(Конструктор!$N$2:$N$1212,$K620))</f>
        <v/>
      </c>
      <c r="I620" s="10">
        <f>IF($K620="","",INDEX(Конструктор!$O$2:$O$1212,$K620))</f>
        <v/>
      </c>
      <c r="J620" s="10">
        <f>IF($K620="","",INDEX(Конструктор!$P$2:$P$1212,$K620))</f>
        <v/>
      </c>
      <c r="K620">
        <f>IFERROR(MATCH(600,Конструктор!$T$2:$T$1212,0),"")</f>
        <v/>
      </c>
      <c r="L620">
        <f>IF($K620="","","показать")</f>
        <v/>
      </c>
    </row>
    <row r="621" hidden="1">
      <c r="A621">
        <f>IF($K621="","",601)</f>
        <v/>
      </c>
      <c r="B621">
        <f>IF($K621="","",INDEX(Конструктор!$C$2:$C$1212,$K621))</f>
        <v/>
      </c>
      <c r="C621" s="8">
        <f>IF($K621="","",INDEX(Конструктор!$D$2:$D$1212,$K621)&amp;IF(INDEX(Конструктор!$J$2:$J$1212,$K621)&lt;&gt;""," — "&amp;INDEX(Конструктор!$J$2:$J$1212,$K621),""))</f>
        <v/>
      </c>
      <c r="D621">
        <f>IF($K621="","",INDEX(Конструктор!$E$2:$E$1212,$K621))</f>
        <v/>
      </c>
      <c r="E621" s="10">
        <f>IF($K621="","",INDEX(Конструктор!$H$2:$H$1212,$K621))</f>
        <v/>
      </c>
      <c r="F621" s="10">
        <f>IF($K621="","",INDEX(Конструктор!$L$2:$L$1212,$K621))</f>
        <v/>
      </c>
      <c r="G621" s="10">
        <f>IF($K621="","",INDEX(Конструктор!$M$2:$M$1212,$K621))</f>
        <v/>
      </c>
      <c r="H621" s="10">
        <f>IF($K621="","",INDEX(Конструктор!$N$2:$N$1212,$K621))</f>
        <v/>
      </c>
      <c r="I621" s="10">
        <f>IF($K621="","",INDEX(Конструктор!$O$2:$O$1212,$K621))</f>
        <v/>
      </c>
      <c r="J621" s="10">
        <f>IF($K621="","",INDEX(Конструктор!$P$2:$P$1212,$K621))</f>
        <v/>
      </c>
      <c r="K621">
        <f>IFERROR(MATCH(601,Конструктор!$T$2:$T$1212,0),"")</f>
        <v/>
      </c>
      <c r="L621">
        <f>IF($K621="","","показать")</f>
        <v/>
      </c>
    </row>
    <row r="622" hidden="1">
      <c r="A622">
        <f>IF($K622="","",602)</f>
        <v/>
      </c>
      <c r="B622">
        <f>IF($K622="","",INDEX(Конструктор!$C$2:$C$1212,$K622))</f>
        <v/>
      </c>
      <c r="C622" s="8">
        <f>IF($K622="","",INDEX(Конструктор!$D$2:$D$1212,$K622)&amp;IF(INDEX(Конструктор!$J$2:$J$1212,$K622)&lt;&gt;""," — "&amp;INDEX(Конструктор!$J$2:$J$1212,$K622),""))</f>
        <v/>
      </c>
      <c r="D622">
        <f>IF($K622="","",INDEX(Конструктор!$E$2:$E$1212,$K622))</f>
        <v/>
      </c>
      <c r="E622" s="10">
        <f>IF($K622="","",INDEX(Конструктор!$H$2:$H$1212,$K622))</f>
        <v/>
      </c>
      <c r="F622" s="10">
        <f>IF($K622="","",INDEX(Конструктор!$L$2:$L$1212,$K622))</f>
        <v/>
      </c>
      <c r="G622" s="10">
        <f>IF($K622="","",INDEX(Конструктор!$M$2:$M$1212,$K622))</f>
        <v/>
      </c>
      <c r="H622" s="10">
        <f>IF($K622="","",INDEX(Конструктор!$N$2:$N$1212,$K622))</f>
        <v/>
      </c>
      <c r="I622" s="10">
        <f>IF($K622="","",INDEX(Конструктор!$O$2:$O$1212,$K622))</f>
        <v/>
      </c>
      <c r="J622" s="10">
        <f>IF($K622="","",INDEX(Конструктор!$P$2:$P$1212,$K622))</f>
        <v/>
      </c>
      <c r="K622">
        <f>IFERROR(MATCH(602,Конструктор!$T$2:$T$1212,0),"")</f>
        <v/>
      </c>
      <c r="L622">
        <f>IF($K622="","","показать")</f>
        <v/>
      </c>
    </row>
    <row r="623" hidden="1">
      <c r="A623">
        <f>IF($K623="","",603)</f>
        <v/>
      </c>
      <c r="B623">
        <f>IF($K623="","",INDEX(Конструктор!$C$2:$C$1212,$K623))</f>
        <v/>
      </c>
      <c r="C623" s="8">
        <f>IF($K623="","",INDEX(Конструктор!$D$2:$D$1212,$K623)&amp;IF(INDEX(Конструктор!$J$2:$J$1212,$K623)&lt;&gt;""," — "&amp;INDEX(Конструктор!$J$2:$J$1212,$K623),""))</f>
        <v/>
      </c>
      <c r="D623">
        <f>IF($K623="","",INDEX(Конструктор!$E$2:$E$1212,$K623))</f>
        <v/>
      </c>
      <c r="E623" s="10">
        <f>IF($K623="","",INDEX(Конструктор!$H$2:$H$1212,$K623))</f>
        <v/>
      </c>
      <c r="F623" s="10">
        <f>IF($K623="","",INDEX(Конструктор!$L$2:$L$1212,$K623))</f>
        <v/>
      </c>
      <c r="G623" s="10">
        <f>IF($K623="","",INDEX(Конструктор!$M$2:$M$1212,$K623))</f>
        <v/>
      </c>
      <c r="H623" s="10">
        <f>IF($K623="","",INDEX(Конструктор!$N$2:$N$1212,$K623))</f>
        <v/>
      </c>
      <c r="I623" s="10">
        <f>IF($K623="","",INDEX(Конструктор!$O$2:$O$1212,$K623))</f>
        <v/>
      </c>
      <c r="J623" s="10">
        <f>IF($K623="","",INDEX(Конструктор!$P$2:$P$1212,$K623))</f>
        <v/>
      </c>
      <c r="K623">
        <f>IFERROR(MATCH(603,Конструктор!$T$2:$T$1212,0),"")</f>
        <v/>
      </c>
      <c r="L623">
        <f>IF($K623="","","показать")</f>
        <v/>
      </c>
    </row>
    <row r="624" hidden="1">
      <c r="A624">
        <f>IF($K624="","",604)</f>
        <v/>
      </c>
      <c r="B624">
        <f>IF($K624="","",INDEX(Конструктор!$C$2:$C$1212,$K624))</f>
        <v/>
      </c>
      <c r="C624" s="8">
        <f>IF($K624="","",INDEX(Конструктор!$D$2:$D$1212,$K624)&amp;IF(INDEX(Конструктор!$J$2:$J$1212,$K624)&lt;&gt;""," — "&amp;INDEX(Конструктор!$J$2:$J$1212,$K624),""))</f>
        <v/>
      </c>
      <c r="D624">
        <f>IF($K624="","",INDEX(Конструктор!$E$2:$E$1212,$K624))</f>
        <v/>
      </c>
      <c r="E624" s="10">
        <f>IF($K624="","",INDEX(Конструктор!$H$2:$H$1212,$K624))</f>
        <v/>
      </c>
      <c r="F624" s="10">
        <f>IF($K624="","",INDEX(Конструктор!$L$2:$L$1212,$K624))</f>
        <v/>
      </c>
      <c r="G624" s="10">
        <f>IF($K624="","",INDEX(Конструктор!$M$2:$M$1212,$K624))</f>
        <v/>
      </c>
      <c r="H624" s="10">
        <f>IF($K624="","",INDEX(Конструктор!$N$2:$N$1212,$K624))</f>
        <v/>
      </c>
      <c r="I624" s="10">
        <f>IF($K624="","",INDEX(Конструктор!$O$2:$O$1212,$K624))</f>
        <v/>
      </c>
      <c r="J624" s="10">
        <f>IF($K624="","",INDEX(Конструктор!$P$2:$P$1212,$K624))</f>
        <v/>
      </c>
      <c r="K624">
        <f>IFERROR(MATCH(604,Конструктор!$T$2:$T$1212,0),"")</f>
        <v/>
      </c>
      <c r="L624">
        <f>IF($K624="","","показать")</f>
        <v/>
      </c>
    </row>
    <row r="625" hidden="1">
      <c r="A625">
        <f>IF($K625="","",605)</f>
        <v/>
      </c>
      <c r="B625">
        <f>IF($K625="","",INDEX(Конструктор!$C$2:$C$1212,$K625))</f>
        <v/>
      </c>
      <c r="C625" s="8">
        <f>IF($K625="","",INDEX(Конструктор!$D$2:$D$1212,$K625)&amp;IF(INDEX(Конструктор!$J$2:$J$1212,$K625)&lt;&gt;""," — "&amp;INDEX(Конструктор!$J$2:$J$1212,$K625),""))</f>
        <v/>
      </c>
      <c r="D625">
        <f>IF($K625="","",INDEX(Конструктор!$E$2:$E$1212,$K625))</f>
        <v/>
      </c>
      <c r="E625" s="10">
        <f>IF($K625="","",INDEX(Конструктор!$H$2:$H$1212,$K625))</f>
        <v/>
      </c>
      <c r="F625" s="10">
        <f>IF($K625="","",INDEX(Конструктор!$L$2:$L$1212,$K625))</f>
        <v/>
      </c>
      <c r="G625" s="10">
        <f>IF($K625="","",INDEX(Конструктор!$M$2:$M$1212,$K625))</f>
        <v/>
      </c>
      <c r="H625" s="10">
        <f>IF($K625="","",INDEX(Конструктор!$N$2:$N$1212,$K625))</f>
        <v/>
      </c>
      <c r="I625" s="10">
        <f>IF($K625="","",INDEX(Конструктор!$O$2:$O$1212,$K625))</f>
        <v/>
      </c>
      <c r="J625" s="10">
        <f>IF($K625="","",INDEX(Конструктор!$P$2:$P$1212,$K625))</f>
        <v/>
      </c>
      <c r="K625">
        <f>IFERROR(MATCH(605,Конструктор!$T$2:$T$1212,0),"")</f>
        <v/>
      </c>
      <c r="L625">
        <f>IF($K625="","","показать")</f>
        <v/>
      </c>
    </row>
    <row r="626" hidden="1">
      <c r="A626">
        <f>IF($K626="","",606)</f>
        <v/>
      </c>
      <c r="B626">
        <f>IF($K626="","",INDEX(Конструктор!$C$2:$C$1212,$K626))</f>
        <v/>
      </c>
      <c r="C626" s="8">
        <f>IF($K626="","",INDEX(Конструктор!$D$2:$D$1212,$K626)&amp;IF(INDEX(Конструктор!$J$2:$J$1212,$K626)&lt;&gt;""," — "&amp;INDEX(Конструктор!$J$2:$J$1212,$K626),""))</f>
        <v/>
      </c>
      <c r="D626">
        <f>IF($K626="","",INDEX(Конструктор!$E$2:$E$1212,$K626))</f>
        <v/>
      </c>
      <c r="E626" s="10">
        <f>IF($K626="","",INDEX(Конструктор!$H$2:$H$1212,$K626))</f>
        <v/>
      </c>
      <c r="F626" s="10">
        <f>IF($K626="","",INDEX(Конструктор!$L$2:$L$1212,$K626))</f>
        <v/>
      </c>
      <c r="G626" s="10">
        <f>IF($K626="","",INDEX(Конструктор!$M$2:$M$1212,$K626))</f>
        <v/>
      </c>
      <c r="H626" s="10">
        <f>IF($K626="","",INDEX(Конструктор!$N$2:$N$1212,$K626))</f>
        <v/>
      </c>
      <c r="I626" s="10">
        <f>IF($K626="","",INDEX(Конструктор!$O$2:$O$1212,$K626))</f>
        <v/>
      </c>
      <c r="J626" s="10">
        <f>IF($K626="","",INDEX(Конструктор!$P$2:$P$1212,$K626))</f>
        <v/>
      </c>
      <c r="K626">
        <f>IFERROR(MATCH(606,Конструктор!$T$2:$T$1212,0),"")</f>
        <v/>
      </c>
      <c r="L626">
        <f>IF($K626="","","показать")</f>
        <v/>
      </c>
    </row>
    <row r="627" hidden="1">
      <c r="A627">
        <f>IF($K627="","",607)</f>
        <v/>
      </c>
      <c r="B627">
        <f>IF($K627="","",INDEX(Конструктор!$C$2:$C$1212,$K627))</f>
        <v/>
      </c>
      <c r="C627" s="8">
        <f>IF($K627="","",INDEX(Конструктор!$D$2:$D$1212,$K627)&amp;IF(INDEX(Конструктор!$J$2:$J$1212,$K627)&lt;&gt;""," — "&amp;INDEX(Конструктор!$J$2:$J$1212,$K627),""))</f>
        <v/>
      </c>
      <c r="D627">
        <f>IF($K627="","",INDEX(Конструктор!$E$2:$E$1212,$K627))</f>
        <v/>
      </c>
      <c r="E627" s="10">
        <f>IF($K627="","",INDEX(Конструктор!$H$2:$H$1212,$K627))</f>
        <v/>
      </c>
      <c r="F627" s="10">
        <f>IF($K627="","",INDEX(Конструктор!$L$2:$L$1212,$K627))</f>
        <v/>
      </c>
      <c r="G627" s="10">
        <f>IF($K627="","",INDEX(Конструктор!$M$2:$M$1212,$K627))</f>
        <v/>
      </c>
      <c r="H627" s="10">
        <f>IF($K627="","",INDEX(Конструктор!$N$2:$N$1212,$K627))</f>
        <v/>
      </c>
      <c r="I627" s="10">
        <f>IF($K627="","",INDEX(Конструктор!$O$2:$O$1212,$K627))</f>
        <v/>
      </c>
      <c r="J627" s="10">
        <f>IF($K627="","",INDEX(Конструктор!$P$2:$P$1212,$K627))</f>
        <v/>
      </c>
      <c r="K627">
        <f>IFERROR(MATCH(607,Конструктор!$T$2:$T$1212,0),"")</f>
        <v/>
      </c>
      <c r="L627">
        <f>IF($K627="","","показать")</f>
        <v/>
      </c>
    </row>
    <row r="628" hidden="1">
      <c r="A628">
        <f>IF($K628="","",608)</f>
        <v/>
      </c>
      <c r="B628">
        <f>IF($K628="","",INDEX(Конструктор!$C$2:$C$1212,$K628))</f>
        <v/>
      </c>
      <c r="C628" s="8">
        <f>IF($K628="","",INDEX(Конструктор!$D$2:$D$1212,$K628)&amp;IF(INDEX(Конструктор!$J$2:$J$1212,$K628)&lt;&gt;""," — "&amp;INDEX(Конструктор!$J$2:$J$1212,$K628),""))</f>
        <v/>
      </c>
      <c r="D628">
        <f>IF($K628="","",INDEX(Конструктор!$E$2:$E$1212,$K628))</f>
        <v/>
      </c>
      <c r="E628" s="10">
        <f>IF($K628="","",INDEX(Конструктор!$H$2:$H$1212,$K628))</f>
        <v/>
      </c>
      <c r="F628" s="10">
        <f>IF($K628="","",INDEX(Конструктор!$L$2:$L$1212,$K628))</f>
        <v/>
      </c>
      <c r="G628" s="10">
        <f>IF($K628="","",INDEX(Конструктор!$M$2:$M$1212,$K628))</f>
        <v/>
      </c>
      <c r="H628" s="10">
        <f>IF($K628="","",INDEX(Конструктор!$N$2:$N$1212,$K628))</f>
        <v/>
      </c>
      <c r="I628" s="10">
        <f>IF($K628="","",INDEX(Конструктор!$O$2:$O$1212,$K628))</f>
        <v/>
      </c>
      <c r="J628" s="10">
        <f>IF($K628="","",INDEX(Конструктор!$P$2:$P$1212,$K628))</f>
        <v/>
      </c>
      <c r="K628">
        <f>IFERROR(MATCH(608,Конструктор!$T$2:$T$1212,0),"")</f>
        <v/>
      </c>
      <c r="L628">
        <f>IF($K628="","","показать")</f>
        <v/>
      </c>
    </row>
    <row r="629" hidden="1">
      <c r="A629">
        <f>IF($K629="","",609)</f>
        <v/>
      </c>
      <c r="B629">
        <f>IF($K629="","",INDEX(Конструктор!$C$2:$C$1212,$K629))</f>
        <v/>
      </c>
      <c r="C629" s="8">
        <f>IF($K629="","",INDEX(Конструктор!$D$2:$D$1212,$K629)&amp;IF(INDEX(Конструктор!$J$2:$J$1212,$K629)&lt;&gt;""," — "&amp;INDEX(Конструктор!$J$2:$J$1212,$K629),""))</f>
        <v/>
      </c>
      <c r="D629">
        <f>IF($K629="","",INDEX(Конструктор!$E$2:$E$1212,$K629))</f>
        <v/>
      </c>
      <c r="E629" s="10">
        <f>IF($K629="","",INDEX(Конструктор!$H$2:$H$1212,$K629))</f>
        <v/>
      </c>
      <c r="F629" s="10">
        <f>IF($K629="","",INDEX(Конструктор!$L$2:$L$1212,$K629))</f>
        <v/>
      </c>
      <c r="G629" s="10">
        <f>IF($K629="","",INDEX(Конструктор!$M$2:$M$1212,$K629))</f>
        <v/>
      </c>
      <c r="H629" s="10">
        <f>IF($K629="","",INDEX(Конструктор!$N$2:$N$1212,$K629))</f>
        <v/>
      </c>
      <c r="I629" s="10">
        <f>IF($K629="","",INDEX(Конструктор!$O$2:$O$1212,$K629))</f>
        <v/>
      </c>
      <c r="J629" s="10">
        <f>IF($K629="","",INDEX(Конструктор!$P$2:$P$1212,$K629))</f>
        <v/>
      </c>
      <c r="K629">
        <f>IFERROR(MATCH(609,Конструктор!$T$2:$T$1212,0),"")</f>
        <v/>
      </c>
      <c r="L629">
        <f>IF($K629="","","показать")</f>
        <v/>
      </c>
    </row>
    <row r="630" hidden="1">
      <c r="A630">
        <f>IF($K630="","",610)</f>
        <v/>
      </c>
      <c r="B630">
        <f>IF($K630="","",INDEX(Конструктор!$C$2:$C$1212,$K630))</f>
        <v/>
      </c>
      <c r="C630" s="8">
        <f>IF($K630="","",INDEX(Конструктор!$D$2:$D$1212,$K630)&amp;IF(INDEX(Конструктор!$J$2:$J$1212,$K630)&lt;&gt;""," — "&amp;INDEX(Конструктор!$J$2:$J$1212,$K630),""))</f>
        <v/>
      </c>
      <c r="D630">
        <f>IF($K630="","",INDEX(Конструктор!$E$2:$E$1212,$K630))</f>
        <v/>
      </c>
      <c r="E630" s="10">
        <f>IF($K630="","",INDEX(Конструктор!$H$2:$H$1212,$K630))</f>
        <v/>
      </c>
      <c r="F630" s="10">
        <f>IF($K630="","",INDEX(Конструктор!$L$2:$L$1212,$K630))</f>
        <v/>
      </c>
      <c r="G630" s="10">
        <f>IF($K630="","",INDEX(Конструктор!$M$2:$M$1212,$K630))</f>
        <v/>
      </c>
      <c r="H630" s="10">
        <f>IF($K630="","",INDEX(Конструктор!$N$2:$N$1212,$K630))</f>
        <v/>
      </c>
      <c r="I630" s="10">
        <f>IF($K630="","",INDEX(Конструктор!$O$2:$O$1212,$K630))</f>
        <v/>
      </c>
      <c r="J630" s="10">
        <f>IF($K630="","",INDEX(Конструктор!$P$2:$P$1212,$K630))</f>
        <v/>
      </c>
      <c r="K630">
        <f>IFERROR(MATCH(610,Конструктор!$T$2:$T$1212,0),"")</f>
        <v/>
      </c>
      <c r="L630">
        <f>IF($K630="","","показать")</f>
        <v/>
      </c>
    </row>
    <row r="631" hidden="1">
      <c r="A631">
        <f>IF($K631="","",611)</f>
        <v/>
      </c>
      <c r="B631">
        <f>IF($K631="","",INDEX(Конструктор!$C$2:$C$1212,$K631))</f>
        <v/>
      </c>
      <c r="C631" s="8">
        <f>IF($K631="","",INDEX(Конструктор!$D$2:$D$1212,$K631)&amp;IF(INDEX(Конструктор!$J$2:$J$1212,$K631)&lt;&gt;""," — "&amp;INDEX(Конструктор!$J$2:$J$1212,$K631),""))</f>
        <v/>
      </c>
      <c r="D631">
        <f>IF($K631="","",INDEX(Конструктор!$E$2:$E$1212,$K631))</f>
        <v/>
      </c>
      <c r="E631" s="10">
        <f>IF($K631="","",INDEX(Конструктор!$H$2:$H$1212,$K631))</f>
        <v/>
      </c>
      <c r="F631" s="10">
        <f>IF($K631="","",INDEX(Конструктор!$L$2:$L$1212,$K631))</f>
        <v/>
      </c>
      <c r="G631" s="10">
        <f>IF($K631="","",INDEX(Конструктор!$M$2:$M$1212,$K631))</f>
        <v/>
      </c>
      <c r="H631" s="10">
        <f>IF($K631="","",INDEX(Конструктор!$N$2:$N$1212,$K631))</f>
        <v/>
      </c>
      <c r="I631" s="10">
        <f>IF($K631="","",INDEX(Конструктор!$O$2:$O$1212,$K631))</f>
        <v/>
      </c>
      <c r="J631" s="10">
        <f>IF($K631="","",INDEX(Конструктор!$P$2:$P$1212,$K631))</f>
        <v/>
      </c>
      <c r="K631">
        <f>IFERROR(MATCH(611,Конструктор!$T$2:$T$1212,0),"")</f>
        <v/>
      </c>
      <c r="L631">
        <f>IF($K631="","","показать")</f>
        <v/>
      </c>
    </row>
    <row r="632" hidden="1">
      <c r="A632">
        <f>IF($K632="","",612)</f>
        <v/>
      </c>
      <c r="B632">
        <f>IF($K632="","",INDEX(Конструктор!$C$2:$C$1212,$K632))</f>
        <v/>
      </c>
      <c r="C632" s="8">
        <f>IF($K632="","",INDEX(Конструктор!$D$2:$D$1212,$K632)&amp;IF(INDEX(Конструктор!$J$2:$J$1212,$K632)&lt;&gt;""," — "&amp;INDEX(Конструктор!$J$2:$J$1212,$K632),""))</f>
        <v/>
      </c>
      <c r="D632">
        <f>IF($K632="","",INDEX(Конструктор!$E$2:$E$1212,$K632))</f>
        <v/>
      </c>
      <c r="E632" s="10">
        <f>IF($K632="","",INDEX(Конструктор!$H$2:$H$1212,$K632))</f>
        <v/>
      </c>
      <c r="F632" s="10">
        <f>IF($K632="","",INDEX(Конструктор!$L$2:$L$1212,$K632))</f>
        <v/>
      </c>
      <c r="G632" s="10">
        <f>IF($K632="","",INDEX(Конструктор!$M$2:$M$1212,$K632))</f>
        <v/>
      </c>
      <c r="H632" s="10">
        <f>IF($K632="","",INDEX(Конструктор!$N$2:$N$1212,$K632))</f>
        <v/>
      </c>
      <c r="I632" s="10">
        <f>IF($K632="","",INDEX(Конструктор!$O$2:$O$1212,$K632))</f>
        <v/>
      </c>
      <c r="J632" s="10">
        <f>IF($K632="","",INDEX(Конструктор!$P$2:$P$1212,$K632))</f>
        <v/>
      </c>
      <c r="K632">
        <f>IFERROR(MATCH(612,Конструктор!$T$2:$T$1212,0),"")</f>
        <v/>
      </c>
      <c r="L632">
        <f>IF($K632="","","показать")</f>
        <v/>
      </c>
    </row>
    <row r="633" hidden="1">
      <c r="A633">
        <f>IF($K633="","",613)</f>
        <v/>
      </c>
      <c r="B633">
        <f>IF($K633="","",INDEX(Конструктор!$C$2:$C$1212,$K633))</f>
        <v/>
      </c>
      <c r="C633" s="8">
        <f>IF($K633="","",INDEX(Конструктор!$D$2:$D$1212,$K633)&amp;IF(INDEX(Конструктор!$J$2:$J$1212,$K633)&lt;&gt;""," — "&amp;INDEX(Конструктор!$J$2:$J$1212,$K633),""))</f>
        <v/>
      </c>
      <c r="D633">
        <f>IF($K633="","",INDEX(Конструктор!$E$2:$E$1212,$K633))</f>
        <v/>
      </c>
      <c r="E633" s="10">
        <f>IF($K633="","",INDEX(Конструктор!$H$2:$H$1212,$K633))</f>
        <v/>
      </c>
      <c r="F633" s="10">
        <f>IF($K633="","",INDEX(Конструктор!$L$2:$L$1212,$K633))</f>
        <v/>
      </c>
      <c r="G633" s="10">
        <f>IF($K633="","",INDEX(Конструктор!$M$2:$M$1212,$K633))</f>
        <v/>
      </c>
      <c r="H633" s="10">
        <f>IF($K633="","",INDEX(Конструктор!$N$2:$N$1212,$K633))</f>
        <v/>
      </c>
      <c r="I633" s="10">
        <f>IF($K633="","",INDEX(Конструктор!$O$2:$O$1212,$K633))</f>
        <v/>
      </c>
      <c r="J633" s="10">
        <f>IF($K633="","",INDEX(Конструктор!$P$2:$P$1212,$K633))</f>
        <v/>
      </c>
      <c r="K633">
        <f>IFERROR(MATCH(613,Конструктор!$T$2:$T$1212,0),"")</f>
        <v/>
      </c>
      <c r="L633">
        <f>IF($K633="","","показать")</f>
        <v/>
      </c>
    </row>
    <row r="634" hidden="1">
      <c r="A634">
        <f>IF($K634="","",614)</f>
        <v/>
      </c>
      <c r="B634">
        <f>IF($K634="","",INDEX(Конструктор!$C$2:$C$1212,$K634))</f>
        <v/>
      </c>
      <c r="C634" s="8">
        <f>IF($K634="","",INDEX(Конструктор!$D$2:$D$1212,$K634)&amp;IF(INDEX(Конструктор!$J$2:$J$1212,$K634)&lt;&gt;""," — "&amp;INDEX(Конструктор!$J$2:$J$1212,$K634),""))</f>
        <v/>
      </c>
      <c r="D634">
        <f>IF($K634="","",INDEX(Конструктор!$E$2:$E$1212,$K634))</f>
        <v/>
      </c>
      <c r="E634" s="10">
        <f>IF($K634="","",INDEX(Конструктор!$H$2:$H$1212,$K634))</f>
        <v/>
      </c>
      <c r="F634" s="10">
        <f>IF($K634="","",INDEX(Конструктор!$L$2:$L$1212,$K634))</f>
        <v/>
      </c>
      <c r="G634" s="10">
        <f>IF($K634="","",INDEX(Конструктор!$M$2:$M$1212,$K634))</f>
        <v/>
      </c>
      <c r="H634" s="10">
        <f>IF($K634="","",INDEX(Конструктор!$N$2:$N$1212,$K634))</f>
        <v/>
      </c>
      <c r="I634" s="10">
        <f>IF($K634="","",INDEX(Конструктор!$O$2:$O$1212,$K634))</f>
        <v/>
      </c>
      <c r="J634" s="10">
        <f>IF($K634="","",INDEX(Конструктор!$P$2:$P$1212,$K634))</f>
        <v/>
      </c>
      <c r="K634">
        <f>IFERROR(MATCH(614,Конструктор!$T$2:$T$1212,0),"")</f>
        <v/>
      </c>
      <c r="L634">
        <f>IF($K634="","","показать")</f>
        <v/>
      </c>
    </row>
    <row r="635" hidden="1">
      <c r="A635">
        <f>IF($K635="","",615)</f>
        <v/>
      </c>
      <c r="B635">
        <f>IF($K635="","",INDEX(Конструктор!$C$2:$C$1212,$K635))</f>
        <v/>
      </c>
      <c r="C635" s="8">
        <f>IF($K635="","",INDEX(Конструктор!$D$2:$D$1212,$K635)&amp;IF(INDEX(Конструктор!$J$2:$J$1212,$K635)&lt;&gt;""," — "&amp;INDEX(Конструктор!$J$2:$J$1212,$K635),""))</f>
        <v/>
      </c>
      <c r="D635">
        <f>IF($K635="","",INDEX(Конструктор!$E$2:$E$1212,$K635))</f>
        <v/>
      </c>
      <c r="E635" s="10">
        <f>IF($K635="","",INDEX(Конструктор!$H$2:$H$1212,$K635))</f>
        <v/>
      </c>
      <c r="F635" s="10">
        <f>IF($K635="","",INDEX(Конструктор!$L$2:$L$1212,$K635))</f>
        <v/>
      </c>
      <c r="G635" s="10">
        <f>IF($K635="","",INDEX(Конструктор!$M$2:$M$1212,$K635))</f>
        <v/>
      </c>
      <c r="H635" s="10">
        <f>IF($K635="","",INDEX(Конструктор!$N$2:$N$1212,$K635))</f>
        <v/>
      </c>
      <c r="I635" s="10">
        <f>IF($K635="","",INDEX(Конструктор!$O$2:$O$1212,$K635))</f>
        <v/>
      </c>
      <c r="J635" s="10">
        <f>IF($K635="","",INDEX(Конструктор!$P$2:$P$1212,$K635))</f>
        <v/>
      </c>
      <c r="K635">
        <f>IFERROR(MATCH(615,Конструктор!$T$2:$T$1212,0),"")</f>
        <v/>
      </c>
      <c r="L635">
        <f>IF($K635="","","показать")</f>
        <v/>
      </c>
    </row>
    <row r="636" hidden="1">
      <c r="A636">
        <f>IF($K636="","",616)</f>
        <v/>
      </c>
      <c r="B636">
        <f>IF($K636="","",INDEX(Конструктор!$C$2:$C$1212,$K636))</f>
        <v/>
      </c>
      <c r="C636" s="8">
        <f>IF($K636="","",INDEX(Конструктор!$D$2:$D$1212,$K636)&amp;IF(INDEX(Конструктор!$J$2:$J$1212,$K636)&lt;&gt;""," — "&amp;INDEX(Конструктор!$J$2:$J$1212,$K636),""))</f>
        <v/>
      </c>
      <c r="D636">
        <f>IF($K636="","",INDEX(Конструктор!$E$2:$E$1212,$K636))</f>
        <v/>
      </c>
      <c r="E636" s="10">
        <f>IF($K636="","",INDEX(Конструктор!$H$2:$H$1212,$K636))</f>
        <v/>
      </c>
      <c r="F636" s="10">
        <f>IF($K636="","",INDEX(Конструктор!$L$2:$L$1212,$K636))</f>
        <v/>
      </c>
      <c r="G636" s="10">
        <f>IF($K636="","",INDEX(Конструктор!$M$2:$M$1212,$K636))</f>
        <v/>
      </c>
      <c r="H636" s="10">
        <f>IF($K636="","",INDEX(Конструктор!$N$2:$N$1212,$K636))</f>
        <v/>
      </c>
      <c r="I636" s="10">
        <f>IF($K636="","",INDEX(Конструктор!$O$2:$O$1212,$K636))</f>
        <v/>
      </c>
      <c r="J636" s="10">
        <f>IF($K636="","",INDEX(Конструктор!$P$2:$P$1212,$K636))</f>
        <v/>
      </c>
      <c r="K636">
        <f>IFERROR(MATCH(616,Конструктор!$T$2:$T$1212,0),"")</f>
        <v/>
      </c>
      <c r="L636">
        <f>IF($K636="","","показать")</f>
        <v/>
      </c>
    </row>
    <row r="637" hidden="1">
      <c r="A637">
        <f>IF($K637="","",617)</f>
        <v/>
      </c>
      <c r="B637">
        <f>IF($K637="","",INDEX(Конструктор!$C$2:$C$1212,$K637))</f>
        <v/>
      </c>
      <c r="C637" s="8">
        <f>IF($K637="","",INDEX(Конструктор!$D$2:$D$1212,$K637)&amp;IF(INDEX(Конструктор!$J$2:$J$1212,$K637)&lt;&gt;""," — "&amp;INDEX(Конструктор!$J$2:$J$1212,$K637),""))</f>
        <v/>
      </c>
      <c r="D637">
        <f>IF($K637="","",INDEX(Конструктор!$E$2:$E$1212,$K637))</f>
        <v/>
      </c>
      <c r="E637" s="10">
        <f>IF($K637="","",INDEX(Конструктор!$H$2:$H$1212,$K637))</f>
        <v/>
      </c>
      <c r="F637" s="10">
        <f>IF($K637="","",INDEX(Конструктор!$L$2:$L$1212,$K637))</f>
        <v/>
      </c>
      <c r="G637" s="10">
        <f>IF($K637="","",INDEX(Конструктор!$M$2:$M$1212,$K637))</f>
        <v/>
      </c>
      <c r="H637" s="10">
        <f>IF($K637="","",INDEX(Конструктор!$N$2:$N$1212,$K637))</f>
        <v/>
      </c>
      <c r="I637" s="10">
        <f>IF($K637="","",INDEX(Конструктор!$O$2:$O$1212,$K637))</f>
        <v/>
      </c>
      <c r="J637" s="10">
        <f>IF($K637="","",INDEX(Конструктор!$P$2:$P$1212,$K637))</f>
        <v/>
      </c>
      <c r="K637">
        <f>IFERROR(MATCH(617,Конструктор!$T$2:$T$1212,0),"")</f>
        <v/>
      </c>
      <c r="L637">
        <f>IF($K637="","","показать")</f>
        <v/>
      </c>
    </row>
    <row r="638" hidden="1">
      <c r="A638">
        <f>IF($K638="","",618)</f>
        <v/>
      </c>
      <c r="B638">
        <f>IF($K638="","",INDEX(Конструктор!$C$2:$C$1212,$K638))</f>
        <v/>
      </c>
      <c r="C638" s="8">
        <f>IF($K638="","",INDEX(Конструктор!$D$2:$D$1212,$K638)&amp;IF(INDEX(Конструктор!$J$2:$J$1212,$K638)&lt;&gt;""," — "&amp;INDEX(Конструктор!$J$2:$J$1212,$K638),""))</f>
        <v/>
      </c>
      <c r="D638">
        <f>IF($K638="","",INDEX(Конструктор!$E$2:$E$1212,$K638))</f>
        <v/>
      </c>
      <c r="E638" s="10">
        <f>IF($K638="","",INDEX(Конструктор!$H$2:$H$1212,$K638))</f>
        <v/>
      </c>
      <c r="F638" s="10">
        <f>IF($K638="","",INDEX(Конструктор!$L$2:$L$1212,$K638))</f>
        <v/>
      </c>
      <c r="G638" s="10">
        <f>IF($K638="","",INDEX(Конструктор!$M$2:$M$1212,$K638))</f>
        <v/>
      </c>
      <c r="H638" s="10">
        <f>IF($K638="","",INDEX(Конструктор!$N$2:$N$1212,$K638))</f>
        <v/>
      </c>
      <c r="I638" s="10">
        <f>IF($K638="","",INDEX(Конструктор!$O$2:$O$1212,$K638))</f>
        <v/>
      </c>
      <c r="J638" s="10">
        <f>IF($K638="","",INDEX(Конструктор!$P$2:$P$1212,$K638))</f>
        <v/>
      </c>
      <c r="K638">
        <f>IFERROR(MATCH(618,Конструктор!$T$2:$T$1212,0),"")</f>
        <v/>
      </c>
      <c r="L638">
        <f>IF($K638="","","показать")</f>
        <v/>
      </c>
    </row>
    <row r="639" hidden="1">
      <c r="A639">
        <f>IF($K639="","",619)</f>
        <v/>
      </c>
      <c r="B639">
        <f>IF($K639="","",INDEX(Конструктор!$C$2:$C$1212,$K639))</f>
        <v/>
      </c>
      <c r="C639" s="8">
        <f>IF($K639="","",INDEX(Конструктор!$D$2:$D$1212,$K639)&amp;IF(INDEX(Конструктор!$J$2:$J$1212,$K639)&lt;&gt;""," — "&amp;INDEX(Конструктор!$J$2:$J$1212,$K639),""))</f>
        <v/>
      </c>
      <c r="D639">
        <f>IF($K639="","",INDEX(Конструктор!$E$2:$E$1212,$K639))</f>
        <v/>
      </c>
      <c r="E639" s="10">
        <f>IF($K639="","",INDEX(Конструктор!$H$2:$H$1212,$K639))</f>
        <v/>
      </c>
      <c r="F639" s="10">
        <f>IF($K639="","",INDEX(Конструктор!$L$2:$L$1212,$K639))</f>
        <v/>
      </c>
      <c r="G639" s="10">
        <f>IF($K639="","",INDEX(Конструктор!$M$2:$M$1212,$K639))</f>
        <v/>
      </c>
      <c r="H639" s="10">
        <f>IF($K639="","",INDEX(Конструктор!$N$2:$N$1212,$K639))</f>
        <v/>
      </c>
      <c r="I639" s="10">
        <f>IF($K639="","",INDEX(Конструктор!$O$2:$O$1212,$K639))</f>
        <v/>
      </c>
      <c r="J639" s="10">
        <f>IF($K639="","",INDEX(Конструктор!$P$2:$P$1212,$K639))</f>
        <v/>
      </c>
      <c r="K639">
        <f>IFERROR(MATCH(619,Конструктор!$T$2:$T$1212,0),"")</f>
        <v/>
      </c>
      <c r="L639">
        <f>IF($K639="","","показать")</f>
        <v/>
      </c>
    </row>
    <row r="640" hidden="1">
      <c r="A640">
        <f>IF($K640="","",620)</f>
        <v/>
      </c>
      <c r="B640">
        <f>IF($K640="","",INDEX(Конструктор!$C$2:$C$1212,$K640))</f>
        <v/>
      </c>
      <c r="C640" s="8">
        <f>IF($K640="","",INDEX(Конструктор!$D$2:$D$1212,$K640)&amp;IF(INDEX(Конструктор!$J$2:$J$1212,$K640)&lt;&gt;""," — "&amp;INDEX(Конструктор!$J$2:$J$1212,$K640),""))</f>
        <v/>
      </c>
      <c r="D640">
        <f>IF($K640="","",INDEX(Конструктор!$E$2:$E$1212,$K640))</f>
        <v/>
      </c>
      <c r="E640" s="10">
        <f>IF($K640="","",INDEX(Конструктор!$H$2:$H$1212,$K640))</f>
        <v/>
      </c>
      <c r="F640" s="10">
        <f>IF($K640="","",INDEX(Конструктор!$L$2:$L$1212,$K640))</f>
        <v/>
      </c>
      <c r="G640" s="10">
        <f>IF($K640="","",INDEX(Конструктор!$M$2:$M$1212,$K640))</f>
        <v/>
      </c>
      <c r="H640" s="10">
        <f>IF($K640="","",INDEX(Конструктор!$N$2:$N$1212,$K640))</f>
        <v/>
      </c>
      <c r="I640" s="10">
        <f>IF($K640="","",INDEX(Конструктор!$O$2:$O$1212,$K640))</f>
        <v/>
      </c>
      <c r="J640" s="10">
        <f>IF($K640="","",INDEX(Конструктор!$P$2:$P$1212,$K640))</f>
        <v/>
      </c>
      <c r="K640">
        <f>IFERROR(MATCH(620,Конструктор!$T$2:$T$1212,0),"")</f>
        <v/>
      </c>
      <c r="L640">
        <f>IF($K640="","","показать")</f>
        <v/>
      </c>
    </row>
    <row r="641" hidden="1">
      <c r="A641">
        <f>IF($K641="","",621)</f>
        <v/>
      </c>
      <c r="B641">
        <f>IF($K641="","",INDEX(Конструктор!$C$2:$C$1212,$K641))</f>
        <v/>
      </c>
      <c r="C641" s="8">
        <f>IF($K641="","",INDEX(Конструктор!$D$2:$D$1212,$K641)&amp;IF(INDEX(Конструктор!$J$2:$J$1212,$K641)&lt;&gt;""," — "&amp;INDEX(Конструктор!$J$2:$J$1212,$K641),""))</f>
        <v/>
      </c>
      <c r="D641">
        <f>IF($K641="","",INDEX(Конструктор!$E$2:$E$1212,$K641))</f>
        <v/>
      </c>
      <c r="E641" s="10">
        <f>IF($K641="","",INDEX(Конструктор!$H$2:$H$1212,$K641))</f>
        <v/>
      </c>
      <c r="F641" s="10">
        <f>IF($K641="","",INDEX(Конструктор!$L$2:$L$1212,$K641))</f>
        <v/>
      </c>
      <c r="G641" s="10">
        <f>IF($K641="","",INDEX(Конструктор!$M$2:$M$1212,$K641))</f>
        <v/>
      </c>
      <c r="H641" s="10">
        <f>IF($K641="","",INDEX(Конструктор!$N$2:$N$1212,$K641))</f>
        <v/>
      </c>
      <c r="I641" s="10">
        <f>IF($K641="","",INDEX(Конструктор!$O$2:$O$1212,$K641))</f>
        <v/>
      </c>
      <c r="J641" s="10">
        <f>IF($K641="","",INDEX(Конструктор!$P$2:$P$1212,$K641))</f>
        <v/>
      </c>
      <c r="K641">
        <f>IFERROR(MATCH(621,Конструктор!$T$2:$T$1212,0),"")</f>
        <v/>
      </c>
      <c r="L641">
        <f>IF($K641="","","показать")</f>
        <v/>
      </c>
    </row>
    <row r="642" hidden="1">
      <c r="A642">
        <f>IF($K642="","",622)</f>
        <v/>
      </c>
      <c r="B642">
        <f>IF($K642="","",INDEX(Конструктор!$C$2:$C$1212,$K642))</f>
        <v/>
      </c>
      <c r="C642" s="8">
        <f>IF($K642="","",INDEX(Конструктор!$D$2:$D$1212,$K642)&amp;IF(INDEX(Конструктор!$J$2:$J$1212,$K642)&lt;&gt;""," — "&amp;INDEX(Конструктор!$J$2:$J$1212,$K642),""))</f>
        <v/>
      </c>
      <c r="D642">
        <f>IF($K642="","",INDEX(Конструктор!$E$2:$E$1212,$K642))</f>
        <v/>
      </c>
      <c r="E642" s="10">
        <f>IF($K642="","",INDEX(Конструктор!$H$2:$H$1212,$K642))</f>
        <v/>
      </c>
      <c r="F642" s="10">
        <f>IF($K642="","",INDEX(Конструктор!$L$2:$L$1212,$K642))</f>
        <v/>
      </c>
      <c r="G642" s="10">
        <f>IF($K642="","",INDEX(Конструктор!$M$2:$M$1212,$K642))</f>
        <v/>
      </c>
      <c r="H642" s="10">
        <f>IF($K642="","",INDEX(Конструктор!$N$2:$N$1212,$K642))</f>
        <v/>
      </c>
      <c r="I642" s="10">
        <f>IF($K642="","",INDEX(Конструктор!$O$2:$O$1212,$K642))</f>
        <v/>
      </c>
      <c r="J642" s="10">
        <f>IF($K642="","",INDEX(Конструктор!$P$2:$P$1212,$K642))</f>
        <v/>
      </c>
      <c r="K642">
        <f>IFERROR(MATCH(622,Конструктор!$T$2:$T$1212,0),"")</f>
        <v/>
      </c>
      <c r="L642">
        <f>IF($K642="","","показать")</f>
        <v/>
      </c>
    </row>
    <row r="643" hidden="1">
      <c r="A643">
        <f>IF($K643="","",623)</f>
        <v/>
      </c>
      <c r="B643">
        <f>IF($K643="","",INDEX(Конструктор!$C$2:$C$1212,$K643))</f>
        <v/>
      </c>
      <c r="C643" s="8">
        <f>IF($K643="","",INDEX(Конструктор!$D$2:$D$1212,$K643)&amp;IF(INDEX(Конструктор!$J$2:$J$1212,$K643)&lt;&gt;""," — "&amp;INDEX(Конструктор!$J$2:$J$1212,$K643),""))</f>
        <v/>
      </c>
      <c r="D643">
        <f>IF($K643="","",INDEX(Конструктор!$E$2:$E$1212,$K643))</f>
        <v/>
      </c>
      <c r="E643" s="10">
        <f>IF($K643="","",INDEX(Конструктор!$H$2:$H$1212,$K643))</f>
        <v/>
      </c>
      <c r="F643" s="10">
        <f>IF($K643="","",INDEX(Конструктор!$L$2:$L$1212,$K643))</f>
        <v/>
      </c>
      <c r="G643" s="10">
        <f>IF($K643="","",INDEX(Конструктор!$M$2:$M$1212,$K643))</f>
        <v/>
      </c>
      <c r="H643" s="10">
        <f>IF($K643="","",INDEX(Конструктор!$N$2:$N$1212,$K643))</f>
        <v/>
      </c>
      <c r="I643" s="10">
        <f>IF($K643="","",INDEX(Конструктор!$O$2:$O$1212,$K643))</f>
        <v/>
      </c>
      <c r="J643" s="10">
        <f>IF($K643="","",INDEX(Конструктор!$P$2:$P$1212,$K643))</f>
        <v/>
      </c>
      <c r="K643">
        <f>IFERROR(MATCH(623,Конструктор!$T$2:$T$1212,0),"")</f>
        <v/>
      </c>
      <c r="L643">
        <f>IF($K643="","","показать")</f>
        <v/>
      </c>
    </row>
    <row r="644" hidden="1">
      <c r="A644">
        <f>IF($K644="","",624)</f>
        <v/>
      </c>
      <c r="B644">
        <f>IF($K644="","",INDEX(Конструктор!$C$2:$C$1212,$K644))</f>
        <v/>
      </c>
      <c r="C644" s="8">
        <f>IF($K644="","",INDEX(Конструктор!$D$2:$D$1212,$K644)&amp;IF(INDEX(Конструктор!$J$2:$J$1212,$K644)&lt;&gt;""," — "&amp;INDEX(Конструктор!$J$2:$J$1212,$K644),""))</f>
        <v/>
      </c>
      <c r="D644">
        <f>IF($K644="","",INDEX(Конструктор!$E$2:$E$1212,$K644))</f>
        <v/>
      </c>
      <c r="E644" s="10">
        <f>IF($K644="","",INDEX(Конструктор!$H$2:$H$1212,$K644))</f>
        <v/>
      </c>
      <c r="F644" s="10">
        <f>IF($K644="","",INDEX(Конструктор!$L$2:$L$1212,$K644))</f>
        <v/>
      </c>
      <c r="G644" s="10">
        <f>IF($K644="","",INDEX(Конструктор!$M$2:$M$1212,$K644))</f>
        <v/>
      </c>
      <c r="H644" s="10">
        <f>IF($K644="","",INDEX(Конструктор!$N$2:$N$1212,$K644))</f>
        <v/>
      </c>
      <c r="I644" s="10">
        <f>IF($K644="","",INDEX(Конструктор!$O$2:$O$1212,$K644))</f>
        <v/>
      </c>
      <c r="J644" s="10">
        <f>IF($K644="","",INDEX(Конструктор!$P$2:$P$1212,$K644))</f>
        <v/>
      </c>
      <c r="K644">
        <f>IFERROR(MATCH(624,Конструктор!$T$2:$T$1212,0),"")</f>
        <v/>
      </c>
      <c r="L644">
        <f>IF($K644="","","показать")</f>
        <v/>
      </c>
    </row>
    <row r="645" hidden="1">
      <c r="A645">
        <f>IF($K645="","",625)</f>
        <v/>
      </c>
      <c r="B645">
        <f>IF($K645="","",INDEX(Конструктор!$C$2:$C$1212,$K645))</f>
        <v/>
      </c>
      <c r="C645" s="8">
        <f>IF($K645="","",INDEX(Конструктор!$D$2:$D$1212,$K645)&amp;IF(INDEX(Конструктор!$J$2:$J$1212,$K645)&lt;&gt;""," — "&amp;INDEX(Конструктор!$J$2:$J$1212,$K645),""))</f>
        <v/>
      </c>
      <c r="D645">
        <f>IF($K645="","",INDEX(Конструктор!$E$2:$E$1212,$K645))</f>
        <v/>
      </c>
      <c r="E645" s="10">
        <f>IF($K645="","",INDEX(Конструктор!$H$2:$H$1212,$K645))</f>
        <v/>
      </c>
      <c r="F645" s="10">
        <f>IF($K645="","",INDEX(Конструктор!$L$2:$L$1212,$K645))</f>
        <v/>
      </c>
      <c r="G645" s="10">
        <f>IF($K645="","",INDEX(Конструктор!$M$2:$M$1212,$K645))</f>
        <v/>
      </c>
      <c r="H645" s="10">
        <f>IF($K645="","",INDEX(Конструктор!$N$2:$N$1212,$K645))</f>
        <v/>
      </c>
      <c r="I645" s="10">
        <f>IF($K645="","",INDEX(Конструктор!$O$2:$O$1212,$K645))</f>
        <v/>
      </c>
      <c r="J645" s="10">
        <f>IF($K645="","",INDEX(Конструктор!$P$2:$P$1212,$K645))</f>
        <v/>
      </c>
      <c r="K645">
        <f>IFERROR(MATCH(625,Конструктор!$T$2:$T$1212,0),"")</f>
        <v/>
      </c>
      <c r="L645">
        <f>IF($K645="","","показать")</f>
        <v/>
      </c>
    </row>
    <row r="646" hidden="1">
      <c r="A646">
        <f>IF($K646="","",626)</f>
        <v/>
      </c>
      <c r="B646">
        <f>IF($K646="","",INDEX(Конструктор!$C$2:$C$1212,$K646))</f>
        <v/>
      </c>
      <c r="C646" s="8">
        <f>IF($K646="","",INDEX(Конструктор!$D$2:$D$1212,$K646)&amp;IF(INDEX(Конструктор!$J$2:$J$1212,$K646)&lt;&gt;""," — "&amp;INDEX(Конструктор!$J$2:$J$1212,$K646),""))</f>
        <v/>
      </c>
      <c r="D646">
        <f>IF($K646="","",INDEX(Конструктор!$E$2:$E$1212,$K646))</f>
        <v/>
      </c>
      <c r="E646" s="10">
        <f>IF($K646="","",INDEX(Конструктор!$H$2:$H$1212,$K646))</f>
        <v/>
      </c>
      <c r="F646" s="10">
        <f>IF($K646="","",INDEX(Конструктор!$L$2:$L$1212,$K646))</f>
        <v/>
      </c>
      <c r="G646" s="10">
        <f>IF($K646="","",INDEX(Конструктор!$M$2:$M$1212,$K646))</f>
        <v/>
      </c>
      <c r="H646" s="10">
        <f>IF($K646="","",INDEX(Конструктор!$N$2:$N$1212,$K646))</f>
        <v/>
      </c>
      <c r="I646" s="10">
        <f>IF($K646="","",INDEX(Конструктор!$O$2:$O$1212,$K646))</f>
        <v/>
      </c>
      <c r="J646" s="10">
        <f>IF($K646="","",INDEX(Конструктор!$P$2:$P$1212,$K646))</f>
        <v/>
      </c>
      <c r="K646">
        <f>IFERROR(MATCH(626,Конструктор!$T$2:$T$1212,0),"")</f>
        <v/>
      </c>
      <c r="L646">
        <f>IF($K646="","","показать")</f>
        <v/>
      </c>
    </row>
    <row r="647" hidden="1">
      <c r="A647">
        <f>IF($K647="","",627)</f>
        <v/>
      </c>
      <c r="B647">
        <f>IF($K647="","",INDEX(Конструктор!$C$2:$C$1212,$K647))</f>
        <v/>
      </c>
      <c r="C647" s="8">
        <f>IF($K647="","",INDEX(Конструктор!$D$2:$D$1212,$K647)&amp;IF(INDEX(Конструктор!$J$2:$J$1212,$K647)&lt;&gt;""," — "&amp;INDEX(Конструктор!$J$2:$J$1212,$K647),""))</f>
        <v/>
      </c>
      <c r="D647">
        <f>IF($K647="","",INDEX(Конструктор!$E$2:$E$1212,$K647))</f>
        <v/>
      </c>
      <c r="E647" s="10">
        <f>IF($K647="","",INDEX(Конструктор!$H$2:$H$1212,$K647))</f>
        <v/>
      </c>
      <c r="F647" s="10">
        <f>IF($K647="","",INDEX(Конструктор!$L$2:$L$1212,$K647))</f>
        <v/>
      </c>
      <c r="G647" s="10">
        <f>IF($K647="","",INDEX(Конструктор!$M$2:$M$1212,$K647))</f>
        <v/>
      </c>
      <c r="H647" s="10">
        <f>IF($K647="","",INDEX(Конструктор!$N$2:$N$1212,$K647))</f>
        <v/>
      </c>
      <c r="I647" s="10">
        <f>IF($K647="","",INDEX(Конструктор!$O$2:$O$1212,$K647))</f>
        <v/>
      </c>
      <c r="J647" s="10">
        <f>IF($K647="","",INDEX(Конструктор!$P$2:$P$1212,$K647))</f>
        <v/>
      </c>
      <c r="K647">
        <f>IFERROR(MATCH(627,Конструктор!$T$2:$T$1212,0),"")</f>
        <v/>
      </c>
      <c r="L647">
        <f>IF($K647="","","показать")</f>
        <v/>
      </c>
    </row>
    <row r="648" hidden="1">
      <c r="A648">
        <f>IF($K648="","",628)</f>
        <v/>
      </c>
      <c r="B648">
        <f>IF($K648="","",INDEX(Конструктор!$C$2:$C$1212,$K648))</f>
        <v/>
      </c>
      <c r="C648" s="8">
        <f>IF($K648="","",INDEX(Конструктор!$D$2:$D$1212,$K648)&amp;IF(INDEX(Конструктор!$J$2:$J$1212,$K648)&lt;&gt;""," — "&amp;INDEX(Конструктор!$J$2:$J$1212,$K648),""))</f>
        <v/>
      </c>
      <c r="D648">
        <f>IF($K648="","",INDEX(Конструктор!$E$2:$E$1212,$K648))</f>
        <v/>
      </c>
      <c r="E648" s="10">
        <f>IF($K648="","",INDEX(Конструктор!$H$2:$H$1212,$K648))</f>
        <v/>
      </c>
      <c r="F648" s="10">
        <f>IF($K648="","",INDEX(Конструктор!$L$2:$L$1212,$K648))</f>
        <v/>
      </c>
      <c r="G648" s="10">
        <f>IF($K648="","",INDEX(Конструктор!$M$2:$M$1212,$K648))</f>
        <v/>
      </c>
      <c r="H648" s="10">
        <f>IF($K648="","",INDEX(Конструктор!$N$2:$N$1212,$K648))</f>
        <v/>
      </c>
      <c r="I648" s="10">
        <f>IF($K648="","",INDEX(Конструктор!$O$2:$O$1212,$K648))</f>
        <v/>
      </c>
      <c r="J648" s="10">
        <f>IF($K648="","",INDEX(Конструктор!$P$2:$P$1212,$K648))</f>
        <v/>
      </c>
      <c r="K648">
        <f>IFERROR(MATCH(628,Конструктор!$T$2:$T$1212,0),"")</f>
        <v/>
      </c>
      <c r="L648">
        <f>IF($K648="","","показать")</f>
        <v/>
      </c>
    </row>
    <row r="649" hidden="1">
      <c r="A649">
        <f>IF($K649="","",629)</f>
        <v/>
      </c>
      <c r="B649">
        <f>IF($K649="","",INDEX(Конструктор!$C$2:$C$1212,$K649))</f>
        <v/>
      </c>
      <c r="C649" s="8">
        <f>IF($K649="","",INDEX(Конструктор!$D$2:$D$1212,$K649)&amp;IF(INDEX(Конструктор!$J$2:$J$1212,$K649)&lt;&gt;""," — "&amp;INDEX(Конструктор!$J$2:$J$1212,$K649),""))</f>
        <v/>
      </c>
      <c r="D649">
        <f>IF($K649="","",INDEX(Конструктор!$E$2:$E$1212,$K649))</f>
        <v/>
      </c>
      <c r="E649" s="10">
        <f>IF($K649="","",INDEX(Конструктор!$H$2:$H$1212,$K649))</f>
        <v/>
      </c>
      <c r="F649" s="10">
        <f>IF($K649="","",INDEX(Конструктор!$L$2:$L$1212,$K649))</f>
        <v/>
      </c>
      <c r="G649" s="10">
        <f>IF($K649="","",INDEX(Конструктор!$M$2:$M$1212,$K649))</f>
        <v/>
      </c>
      <c r="H649" s="10">
        <f>IF($K649="","",INDEX(Конструктор!$N$2:$N$1212,$K649))</f>
        <v/>
      </c>
      <c r="I649" s="10">
        <f>IF($K649="","",INDEX(Конструктор!$O$2:$O$1212,$K649))</f>
        <v/>
      </c>
      <c r="J649" s="10">
        <f>IF($K649="","",INDEX(Конструктор!$P$2:$P$1212,$K649))</f>
        <v/>
      </c>
      <c r="K649">
        <f>IFERROR(MATCH(629,Конструктор!$T$2:$T$1212,0),"")</f>
        <v/>
      </c>
      <c r="L649">
        <f>IF($K649="","","показать")</f>
        <v/>
      </c>
    </row>
    <row r="650" hidden="1">
      <c r="A650">
        <f>IF($K650="","",630)</f>
        <v/>
      </c>
      <c r="B650">
        <f>IF($K650="","",INDEX(Конструктор!$C$2:$C$1212,$K650))</f>
        <v/>
      </c>
      <c r="C650" s="8">
        <f>IF($K650="","",INDEX(Конструктор!$D$2:$D$1212,$K650)&amp;IF(INDEX(Конструктор!$J$2:$J$1212,$K650)&lt;&gt;""," — "&amp;INDEX(Конструктор!$J$2:$J$1212,$K650),""))</f>
        <v/>
      </c>
      <c r="D650">
        <f>IF($K650="","",INDEX(Конструктор!$E$2:$E$1212,$K650))</f>
        <v/>
      </c>
      <c r="E650" s="10">
        <f>IF($K650="","",INDEX(Конструктор!$H$2:$H$1212,$K650))</f>
        <v/>
      </c>
      <c r="F650" s="10">
        <f>IF($K650="","",INDEX(Конструктор!$L$2:$L$1212,$K650))</f>
        <v/>
      </c>
      <c r="G650" s="10">
        <f>IF($K650="","",INDEX(Конструктор!$M$2:$M$1212,$K650))</f>
        <v/>
      </c>
      <c r="H650" s="10">
        <f>IF($K650="","",INDEX(Конструктор!$N$2:$N$1212,$K650))</f>
        <v/>
      </c>
      <c r="I650" s="10">
        <f>IF($K650="","",INDEX(Конструктор!$O$2:$O$1212,$K650))</f>
        <v/>
      </c>
      <c r="J650" s="10">
        <f>IF($K650="","",INDEX(Конструктор!$P$2:$P$1212,$K650))</f>
        <v/>
      </c>
      <c r="K650">
        <f>IFERROR(MATCH(630,Конструктор!$T$2:$T$1212,0),"")</f>
        <v/>
      </c>
      <c r="L650">
        <f>IF($K650="","","показать")</f>
        <v/>
      </c>
    </row>
    <row r="651" hidden="1">
      <c r="A651">
        <f>IF($K651="","",631)</f>
        <v/>
      </c>
      <c r="B651">
        <f>IF($K651="","",INDEX(Конструктор!$C$2:$C$1212,$K651))</f>
        <v/>
      </c>
      <c r="C651" s="8">
        <f>IF($K651="","",INDEX(Конструктор!$D$2:$D$1212,$K651)&amp;IF(INDEX(Конструктор!$J$2:$J$1212,$K651)&lt;&gt;""," — "&amp;INDEX(Конструктор!$J$2:$J$1212,$K651),""))</f>
        <v/>
      </c>
      <c r="D651">
        <f>IF($K651="","",INDEX(Конструктор!$E$2:$E$1212,$K651))</f>
        <v/>
      </c>
      <c r="E651" s="10">
        <f>IF($K651="","",INDEX(Конструктор!$H$2:$H$1212,$K651))</f>
        <v/>
      </c>
      <c r="F651" s="10">
        <f>IF($K651="","",INDEX(Конструктор!$L$2:$L$1212,$K651))</f>
        <v/>
      </c>
      <c r="G651" s="10">
        <f>IF($K651="","",INDEX(Конструктор!$M$2:$M$1212,$K651))</f>
        <v/>
      </c>
      <c r="H651" s="10">
        <f>IF($K651="","",INDEX(Конструктор!$N$2:$N$1212,$K651))</f>
        <v/>
      </c>
      <c r="I651" s="10">
        <f>IF($K651="","",INDEX(Конструктор!$O$2:$O$1212,$K651))</f>
        <v/>
      </c>
      <c r="J651" s="10">
        <f>IF($K651="","",INDEX(Конструктор!$P$2:$P$1212,$K651))</f>
        <v/>
      </c>
      <c r="K651">
        <f>IFERROR(MATCH(631,Конструктор!$T$2:$T$1212,0),"")</f>
        <v/>
      </c>
      <c r="L651">
        <f>IF($K651="","","показать")</f>
        <v/>
      </c>
    </row>
    <row r="652" hidden="1">
      <c r="A652">
        <f>IF($K652="","",632)</f>
        <v/>
      </c>
      <c r="B652">
        <f>IF($K652="","",INDEX(Конструктор!$C$2:$C$1212,$K652))</f>
        <v/>
      </c>
      <c r="C652" s="8">
        <f>IF($K652="","",INDEX(Конструктор!$D$2:$D$1212,$K652)&amp;IF(INDEX(Конструктор!$J$2:$J$1212,$K652)&lt;&gt;""," — "&amp;INDEX(Конструктор!$J$2:$J$1212,$K652),""))</f>
        <v/>
      </c>
      <c r="D652">
        <f>IF($K652="","",INDEX(Конструктор!$E$2:$E$1212,$K652))</f>
        <v/>
      </c>
      <c r="E652" s="10">
        <f>IF($K652="","",INDEX(Конструктор!$H$2:$H$1212,$K652))</f>
        <v/>
      </c>
      <c r="F652" s="10">
        <f>IF($K652="","",INDEX(Конструктор!$L$2:$L$1212,$K652))</f>
        <v/>
      </c>
      <c r="G652" s="10">
        <f>IF($K652="","",INDEX(Конструктор!$M$2:$M$1212,$K652))</f>
        <v/>
      </c>
      <c r="H652" s="10">
        <f>IF($K652="","",INDEX(Конструктор!$N$2:$N$1212,$K652))</f>
        <v/>
      </c>
      <c r="I652" s="10">
        <f>IF($K652="","",INDEX(Конструктор!$O$2:$O$1212,$K652))</f>
        <v/>
      </c>
      <c r="J652" s="10">
        <f>IF($K652="","",INDEX(Конструктор!$P$2:$P$1212,$K652))</f>
        <v/>
      </c>
      <c r="K652">
        <f>IFERROR(MATCH(632,Конструктор!$T$2:$T$1212,0),"")</f>
        <v/>
      </c>
      <c r="L652">
        <f>IF($K652="","","показать")</f>
        <v/>
      </c>
    </row>
    <row r="653" hidden="1">
      <c r="A653">
        <f>IF($K653="","",633)</f>
        <v/>
      </c>
      <c r="B653">
        <f>IF($K653="","",INDEX(Конструктор!$C$2:$C$1212,$K653))</f>
        <v/>
      </c>
      <c r="C653" s="8">
        <f>IF($K653="","",INDEX(Конструктор!$D$2:$D$1212,$K653)&amp;IF(INDEX(Конструктор!$J$2:$J$1212,$K653)&lt;&gt;""," — "&amp;INDEX(Конструктор!$J$2:$J$1212,$K653),""))</f>
        <v/>
      </c>
      <c r="D653">
        <f>IF($K653="","",INDEX(Конструктор!$E$2:$E$1212,$K653))</f>
        <v/>
      </c>
      <c r="E653" s="10">
        <f>IF($K653="","",INDEX(Конструктор!$H$2:$H$1212,$K653))</f>
        <v/>
      </c>
      <c r="F653" s="10">
        <f>IF($K653="","",INDEX(Конструктор!$L$2:$L$1212,$K653))</f>
        <v/>
      </c>
      <c r="G653" s="10">
        <f>IF($K653="","",INDEX(Конструктор!$M$2:$M$1212,$K653))</f>
        <v/>
      </c>
      <c r="H653" s="10">
        <f>IF($K653="","",INDEX(Конструктор!$N$2:$N$1212,$K653))</f>
        <v/>
      </c>
      <c r="I653" s="10">
        <f>IF($K653="","",INDEX(Конструктор!$O$2:$O$1212,$K653))</f>
        <v/>
      </c>
      <c r="J653" s="10">
        <f>IF($K653="","",INDEX(Конструктор!$P$2:$P$1212,$K653))</f>
        <v/>
      </c>
      <c r="K653">
        <f>IFERROR(MATCH(633,Конструктор!$T$2:$T$1212,0),"")</f>
        <v/>
      </c>
      <c r="L653">
        <f>IF($K653="","","показать")</f>
        <v/>
      </c>
    </row>
    <row r="654" hidden="1">
      <c r="A654">
        <f>IF($K654="","",634)</f>
        <v/>
      </c>
      <c r="B654">
        <f>IF($K654="","",INDEX(Конструктор!$C$2:$C$1212,$K654))</f>
        <v/>
      </c>
      <c r="C654" s="8">
        <f>IF($K654="","",INDEX(Конструктор!$D$2:$D$1212,$K654)&amp;IF(INDEX(Конструктор!$J$2:$J$1212,$K654)&lt;&gt;""," — "&amp;INDEX(Конструктор!$J$2:$J$1212,$K654),""))</f>
        <v/>
      </c>
      <c r="D654">
        <f>IF($K654="","",INDEX(Конструктор!$E$2:$E$1212,$K654))</f>
        <v/>
      </c>
      <c r="E654" s="10">
        <f>IF($K654="","",INDEX(Конструктор!$H$2:$H$1212,$K654))</f>
        <v/>
      </c>
      <c r="F654" s="10">
        <f>IF($K654="","",INDEX(Конструктор!$L$2:$L$1212,$K654))</f>
        <v/>
      </c>
      <c r="G654" s="10">
        <f>IF($K654="","",INDEX(Конструктор!$M$2:$M$1212,$K654))</f>
        <v/>
      </c>
      <c r="H654" s="10">
        <f>IF($K654="","",INDEX(Конструктор!$N$2:$N$1212,$K654))</f>
        <v/>
      </c>
      <c r="I654" s="10">
        <f>IF($K654="","",INDEX(Конструктор!$O$2:$O$1212,$K654))</f>
        <v/>
      </c>
      <c r="J654" s="10">
        <f>IF($K654="","",INDEX(Конструктор!$P$2:$P$1212,$K654))</f>
        <v/>
      </c>
      <c r="K654">
        <f>IFERROR(MATCH(634,Конструктор!$T$2:$T$1212,0),"")</f>
        <v/>
      </c>
      <c r="L654">
        <f>IF($K654="","","показать")</f>
        <v/>
      </c>
    </row>
    <row r="655" hidden="1">
      <c r="A655">
        <f>IF($K655="","",635)</f>
        <v/>
      </c>
      <c r="B655">
        <f>IF($K655="","",INDEX(Конструктор!$C$2:$C$1212,$K655))</f>
        <v/>
      </c>
      <c r="C655" s="8">
        <f>IF($K655="","",INDEX(Конструктор!$D$2:$D$1212,$K655)&amp;IF(INDEX(Конструктор!$J$2:$J$1212,$K655)&lt;&gt;""," — "&amp;INDEX(Конструктор!$J$2:$J$1212,$K655),""))</f>
        <v/>
      </c>
      <c r="D655">
        <f>IF($K655="","",INDEX(Конструктор!$E$2:$E$1212,$K655))</f>
        <v/>
      </c>
      <c r="E655" s="10">
        <f>IF($K655="","",INDEX(Конструктор!$H$2:$H$1212,$K655))</f>
        <v/>
      </c>
      <c r="F655" s="10">
        <f>IF($K655="","",INDEX(Конструктор!$L$2:$L$1212,$K655))</f>
        <v/>
      </c>
      <c r="G655" s="10">
        <f>IF($K655="","",INDEX(Конструктор!$M$2:$M$1212,$K655))</f>
        <v/>
      </c>
      <c r="H655" s="10">
        <f>IF($K655="","",INDEX(Конструктор!$N$2:$N$1212,$K655))</f>
        <v/>
      </c>
      <c r="I655" s="10">
        <f>IF($K655="","",INDEX(Конструктор!$O$2:$O$1212,$K655))</f>
        <v/>
      </c>
      <c r="J655" s="10">
        <f>IF($K655="","",INDEX(Конструктор!$P$2:$P$1212,$K655))</f>
        <v/>
      </c>
      <c r="K655">
        <f>IFERROR(MATCH(635,Конструктор!$T$2:$T$1212,0),"")</f>
        <v/>
      </c>
      <c r="L655">
        <f>IF($K655="","","показать")</f>
        <v/>
      </c>
    </row>
    <row r="656" hidden="1">
      <c r="A656">
        <f>IF($K656="","",636)</f>
        <v/>
      </c>
      <c r="B656">
        <f>IF($K656="","",INDEX(Конструктор!$C$2:$C$1212,$K656))</f>
        <v/>
      </c>
      <c r="C656" s="8">
        <f>IF($K656="","",INDEX(Конструктор!$D$2:$D$1212,$K656)&amp;IF(INDEX(Конструктор!$J$2:$J$1212,$K656)&lt;&gt;""," — "&amp;INDEX(Конструктор!$J$2:$J$1212,$K656),""))</f>
        <v/>
      </c>
      <c r="D656">
        <f>IF($K656="","",INDEX(Конструктор!$E$2:$E$1212,$K656))</f>
        <v/>
      </c>
      <c r="E656" s="10">
        <f>IF($K656="","",INDEX(Конструктор!$H$2:$H$1212,$K656))</f>
        <v/>
      </c>
      <c r="F656" s="10">
        <f>IF($K656="","",INDEX(Конструктор!$L$2:$L$1212,$K656))</f>
        <v/>
      </c>
      <c r="G656" s="10">
        <f>IF($K656="","",INDEX(Конструктор!$M$2:$M$1212,$K656))</f>
        <v/>
      </c>
      <c r="H656" s="10">
        <f>IF($K656="","",INDEX(Конструктор!$N$2:$N$1212,$K656))</f>
        <v/>
      </c>
      <c r="I656" s="10">
        <f>IF($K656="","",INDEX(Конструктор!$O$2:$O$1212,$K656))</f>
        <v/>
      </c>
      <c r="J656" s="10">
        <f>IF($K656="","",INDEX(Конструктор!$P$2:$P$1212,$K656))</f>
        <v/>
      </c>
      <c r="K656">
        <f>IFERROR(MATCH(636,Конструктор!$T$2:$T$1212,0),"")</f>
        <v/>
      </c>
      <c r="L656">
        <f>IF($K656="","","показать")</f>
        <v/>
      </c>
    </row>
    <row r="657" hidden="1">
      <c r="A657">
        <f>IF($K657="","",637)</f>
        <v/>
      </c>
      <c r="B657">
        <f>IF($K657="","",INDEX(Конструктор!$C$2:$C$1212,$K657))</f>
        <v/>
      </c>
      <c r="C657" s="8">
        <f>IF($K657="","",INDEX(Конструктор!$D$2:$D$1212,$K657)&amp;IF(INDEX(Конструктор!$J$2:$J$1212,$K657)&lt;&gt;""," — "&amp;INDEX(Конструктор!$J$2:$J$1212,$K657),""))</f>
        <v/>
      </c>
      <c r="D657">
        <f>IF($K657="","",INDEX(Конструктор!$E$2:$E$1212,$K657))</f>
        <v/>
      </c>
      <c r="E657" s="10">
        <f>IF($K657="","",INDEX(Конструктор!$H$2:$H$1212,$K657))</f>
        <v/>
      </c>
      <c r="F657" s="10">
        <f>IF($K657="","",INDEX(Конструктор!$L$2:$L$1212,$K657))</f>
        <v/>
      </c>
      <c r="G657" s="10">
        <f>IF($K657="","",INDEX(Конструктор!$M$2:$M$1212,$K657))</f>
        <v/>
      </c>
      <c r="H657" s="10">
        <f>IF($K657="","",INDEX(Конструктор!$N$2:$N$1212,$K657))</f>
        <v/>
      </c>
      <c r="I657" s="10">
        <f>IF($K657="","",INDEX(Конструктор!$O$2:$O$1212,$K657))</f>
        <v/>
      </c>
      <c r="J657" s="10">
        <f>IF($K657="","",INDEX(Конструктор!$P$2:$P$1212,$K657))</f>
        <v/>
      </c>
      <c r="K657">
        <f>IFERROR(MATCH(637,Конструктор!$T$2:$T$1212,0),"")</f>
        <v/>
      </c>
      <c r="L657">
        <f>IF($K657="","","показать")</f>
        <v/>
      </c>
    </row>
    <row r="658" hidden="1">
      <c r="A658">
        <f>IF($K658="","",638)</f>
        <v/>
      </c>
      <c r="B658">
        <f>IF($K658="","",INDEX(Конструктор!$C$2:$C$1212,$K658))</f>
        <v/>
      </c>
      <c r="C658" s="8">
        <f>IF($K658="","",INDEX(Конструктор!$D$2:$D$1212,$K658)&amp;IF(INDEX(Конструктор!$J$2:$J$1212,$K658)&lt;&gt;""," — "&amp;INDEX(Конструктор!$J$2:$J$1212,$K658),""))</f>
        <v/>
      </c>
      <c r="D658">
        <f>IF($K658="","",INDEX(Конструктор!$E$2:$E$1212,$K658))</f>
        <v/>
      </c>
      <c r="E658" s="10">
        <f>IF($K658="","",INDEX(Конструктор!$H$2:$H$1212,$K658))</f>
        <v/>
      </c>
      <c r="F658" s="10">
        <f>IF($K658="","",INDEX(Конструктор!$L$2:$L$1212,$K658))</f>
        <v/>
      </c>
      <c r="G658" s="10">
        <f>IF($K658="","",INDEX(Конструктор!$M$2:$M$1212,$K658))</f>
        <v/>
      </c>
      <c r="H658" s="10">
        <f>IF($K658="","",INDEX(Конструктор!$N$2:$N$1212,$K658))</f>
        <v/>
      </c>
      <c r="I658" s="10">
        <f>IF($K658="","",INDEX(Конструктор!$O$2:$O$1212,$K658))</f>
        <v/>
      </c>
      <c r="J658" s="10">
        <f>IF($K658="","",INDEX(Конструктор!$P$2:$P$1212,$K658))</f>
        <v/>
      </c>
      <c r="K658">
        <f>IFERROR(MATCH(638,Конструктор!$T$2:$T$1212,0),"")</f>
        <v/>
      </c>
      <c r="L658">
        <f>IF($K658="","","показать")</f>
        <v/>
      </c>
    </row>
    <row r="659" hidden="1">
      <c r="A659">
        <f>IF($K659="","",639)</f>
        <v/>
      </c>
      <c r="B659">
        <f>IF($K659="","",INDEX(Конструктор!$C$2:$C$1212,$K659))</f>
        <v/>
      </c>
      <c r="C659" s="8">
        <f>IF($K659="","",INDEX(Конструктор!$D$2:$D$1212,$K659)&amp;IF(INDEX(Конструктор!$J$2:$J$1212,$K659)&lt;&gt;""," — "&amp;INDEX(Конструктор!$J$2:$J$1212,$K659),""))</f>
        <v/>
      </c>
      <c r="D659">
        <f>IF($K659="","",INDEX(Конструктор!$E$2:$E$1212,$K659))</f>
        <v/>
      </c>
      <c r="E659" s="10">
        <f>IF($K659="","",INDEX(Конструктор!$H$2:$H$1212,$K659))</f>
        <v/>
      </c>
      <c r="F659" s="10">
        <f>IF($K659="","",INDEX(Конструктор!$L$2:$L$1212,$K659))</f>
        <v/>
      </c>
      <c r="G659" s="10">
        <f>IF($K659="","",INDEX(Конструктор!$M$2:$M$1212,$K659))</f>
        <v/>
      </c>
      <c r="H659" s="10">
        <f>IF($K659="","",INDEX(Конструктор!$N$2:$N$1212,$K659))</f>
        <v/>
      </c>
      <c r="I659" s="10">
        <f>IF($K659="","",INDEX(Конструктор!$O$2:$O$1212,$K659))</f>
        <v/>
      </c>
      <c r="J659" s="10">
        <f>IF($K659="","",INDEX(Конструктор!$P$2:$P$1212,$K659))</f>
        <v/>
      </c>
      <c r="K659">
        <f>IFERROR(MATCH(639,Конструктор!$T$2:$T$1212,0),"")</f>
        <v/>
      </c>
      <c r="L659">
        <f>IF($K659="","","показать")</f>
        <v/>
      </c>
    </row>
    <row r="660" hidden="1">
      <c r="A660">
        <f>IF($K660="","",640)</f>
        <v/>
      </c>
      <c r="B660">
        <f>IF($K660="","",INDEX(Конструктор!$C$2:$C$1212,$K660))</f>
        <v/>
      </c>
      <c r="C660" s="8">
        <f>IF($K660="","",INDEX(Конструктор!$D$2:$D$1212,$K660)&amp;IF(INDEX(Конструктор!$J$2:$J$1212,$K660)&lt;&gt;""," — "&amp;INDEX(Конструктор!$J$2:$J$1212,$K660),""))</f>
        <v/>
      </c>
      <c r="D660">
        <f>IF($K660="","",INDEX(Конструктор!$E$2:$E$1212,$K660))</f>
        <v/>
      </c>
      <c r="E660" s="10">
        <f>IF($K660="","",INDEX(Конструктор!$H$2:$H$1212,$K660))</f>
        <v/>
      </c>
      <c r="F660" s="10">
        <f>IF($K660="","",INDEX(Конструктор!$L$2:$L$1212,$K660))</f>
        <v/>
      </c>
      <c r="G660" s="10">
        <f>IF($K660="","",INDEX(Конструктор!$M$2:$M$1212,$K660))</f>
        <v/>
      </c>
      <c r="H660" s="10">
        <f>IF($K660="","",INDEX(Конструктор!$N$2:$N$1212,$K660))</f>
        <v/>
      </c>
      <c r="I660" s="10">
        <f>IF($K660="","",INDEX(Конструктор!$O$2:$O$1212,$K660))</f>
        <v/>
      </c>
      <c r="J660" s="10">
        <f>IF($K660="","",INDEX(Конструктор!$P$2:$P$1212,$K660))</f>
        <v/>
      </c>
      <c r="K660">
        <f>IFERROR(MATCH(640,Конструктор!$T$2:$T$1212,0),"")</f>
        <v/>
      </c>
      <c r="L660">
        <f>IF($K660="","","показать")</f>
        <v/>
      </c>
    </row>
    <row r="661" hidden="1">
      <c r="A661">
        <f>IF($K661="","",641)</f>
        <v/>
      </c>
      <c r="B661">
        <f>IF($K661="","",INDEX(Конструктор!$C$2:$C$1212,$K661))</f>
        <v/>
      </c>
      <c r="C661" s="8">
        <f>IF($K661="","",INDEX(Конструктор!$D$2:$D$1212,$K661)&amp;IF(INDEX(Конструктор!$J$2:$J$1212,$K661)&lt;&gt;""," — "&amp;INDEX(Конструктор!$J$2:$J$1212,$K661),""))</f>
        <v/>
      </c>
      <c r="D661">
        <f>IF($K661="","",INDEX(Конструктор!$E$2:$E$1212,$K661))</f>
        <v/>
      </c>
      <c r="E661" s="10">
        <f>IF($K661="","",INDEX(Конструктор!$H$2:$H$1212,$K661))</f>
        <v/>
      </c>
      <c r="F661" s="10">
        <f>IF($K661="","",INDEX(Конструктор!$L$2:$L$1212,$K661))</f>
        <v/>
      </c>
      <c r="G661" s="10">
        <f>IF($K661="","",INDEX(Конструктор!$M$2:$M$1212,$K661))</f>
        <v/>
      </c>
      <c r="H661" s="10">
        <f>IF($K661="","",INDEX(Конструктор!$N$2:$N$1212,$K661))</f>
        <v/>
      </c>
      <c r="I661" s="10">
        <f>IF($K661="","",INDEX(Конструктор!$O$2:$O$1212,$K661))</f>
        <v/>
      </c>
      <c r="J661" s="10">
        <f>IF($K661="","",INDEX(Конструктор!$P$2:$P$1212,$K661))</f>
        <v/>
      </c>
      <c r="K661">
        <f>IFERROR(MATCH(641,Конструктор!$T$2:$T$1212,0),"")</f>
        <v/>
      </c>
      <c r="L661">
        <f>IF($K661="","","показать")</f>
        <v/>
      </c>
    </row>
    <row r="662" hidden="1">
      <c r="A662">
        <f>IF($K662="","",642)</f>
        <v/>
      </c>
      <c r="B662">
        <f>IF($K662="","",INDEX(Конструктор!$C$2:$C$1212,$K662))</f>
        <v/>
      </c>
      <c r="C662" s="8">
        <f>IF($K662="","",INDEX(Конструктор!$D$2:$D$1212,$K662)&amp;IF(INDEX(Конструктор!$J$2:$J$1212,$K662)&lt;&gt;""," — "&amp;INDEX(Конструктор!$J$2:$J$1212,$K662),""))</f>
        <v/>
      </c>
      <c r="D662">
        <f>IF($K662="","",INDEX(Конструктор!$E$2:$E$1212,$K662))</f>
        <v/>
      </c>
      <c r="E662" s="10">
        <f>IF($K662="","",INDEX(Конструктор!$H$2:$H$1212,$K662))</f>
        <v/>
      </c>
      <c r="F662" s="10">
        <f>IF($K662="","",INDEX(Конструктор!$L$2:$L$1212,$K662))</f>
        <v/>
      </c>
      <c r="G662" s="10">
        <f>IF($K662="","",INDEX(Конструктор!$M$2:$M$1212,$K662))</f>
        <v/>
      </c>
      <c r="H662" s="10">
        <f>IF($K662="","",INDEX(Конструктор!$N$2:$N$1212,$K662))</f>
        <v/>
      </c>
      <c r="I662" s="10">
        <f>IF($K662="","",INDEX(Конструктор!$O$2:$O$1212,$K662))</f>
        <v/>
      </c>
      <c r="J662" s="10">
        <f>IF($K662="","",INDEX(Конструктор!$P$2:$P$1212,$K662))</f>
        <v/>
      </c>
      <c r="K662">
        <f>IFERROR(MATCH(642,Конструктор!$T$2:$T$1212,0),"")</f>
        <v/>
      </c>
      <c r="L662">
        <f>IF($K662="","","показать")</f>
        <v/>
      </c>
    </row>
    <row r="663" hidden="1">
      <c r="A663">
        <f>IF($K663="","",643)</f>
        <v/>
      </c>
      <c r="B663">
        <f>IF($K663="","",INDEX(Конструктор!$C$2:$C$1212,$K663))</f>
        <v/>
      </c>
      <c r="C663" s="8">
        <f>IF($K663="","",INDEX(Конструктор!$D$2:$D$1212,$K663)&amp;IF(INDEX(Конструктор!$J$2:$J$1212,$K663)&lt;&gt;""," — "&amp;INDEX(Конструктор!$J$2:$J$1212,$K663),""))</f>
        <v/>
      </c>
      <c r="D663">
        <f>IF($K663="","",INDEX(Конструктор!$E$2:$E$1212,$K663))</f>
        <v/>
      </c>
      <c r="E663" s="10">
        <f>IF($K663="","",INDEX(Конструктор!$H$2:$H$1212,$K663))</f>
        <v/>
      </c>
      <c r="F663" s="10">
        <f>IF($K663="","",INDEX(Конструктор!$L$2:$L$1212,$K663))</f>
        <v/>
      </c>
      <c r="G663" s="10">
        <f>IF($K663="","",INDEX(Конструктор!$M$2:$M$1212,$K663))</f>
        <v/>
      </c>
      <c r="H663" s="10">
        <f>IF($K663="","",INDEX(Конструктор!$N$2:$N$1212,$K663))</f>
        <v/>
      </c>
      <c r="I663" s="10">
        <f>IF($K663="","",INDEX(Конструктор!$O$2:$O$1212,$K663))</f>
        <v/>
      </c>
      <c r="J663" s="10">
        <f>IF($K663="","",INDEX(Конструктор!$P$2:$P$1212,$K663))</f>
        <v/>
      </c>
      <c r="K663">
        <f>IFERROR(MATCH(643,Конструктор!$T$2:$T$1212,0),"")</f>
        <v/>
      </c>
      <c r="L663">
        <f>IF($K663="","","показать")</f>
        <v/>
      </c>
    </row>
    <row r="664" hidden="1">
      <c r="A664">
        <f>IF($K664="","",644)</f>
        <v/>
      </c>
      <c r="B664">
        <f>IF($K664="","",INDEX(Конструктор!$C$2:$C$1212,$K664))</f>
        <v/>
      </c>
      <c r="C664" s="8">
        <f>IF($K664="","",INDEX(Конструктор!$D$2:$D$1212,$K664)&amp;IF(INDEX(Конструктор!$J$2:$J$1212,$K664)&lt;&gt;""," — "&amp;INDEX(Конструктор!$J$2:$J$1212,$K664),""))</f>
        <v/>
      </c>
      <c r="D664">
        <f>IF($K664="","",INDEX(Конструктор!$E$2:$E$1212,$K664))</f>
        <v/>
      </c>
      <c r="E664" s="10">
        <f>IF($K664="","",INDEX(Конструктор!$H$2:$H$1212,$K664))</f>
        <v/>
      </c>
      <c r="F664" s="10">
        <f>IF($K664="","",INDEX(Конструктор!$L$2:$L$1212,$K664))</f>
        <v/>
      </c>
      <c r="G664" s="10">
        <f>IF($K664="","",INDEX(Конструктор!$M$2:$M$1212,$K664))</f>
        <v/>
      </c>
      <c r="H664" s="10">
        <f>IF($K664="","",INDEX(Конструктор!$N$2:$N$1212,$K664))</f>
        <v/>
      </c>
      <c r="I664" s="10">
        <f>IF($K664="","",INDEX(Конструктор!$O$2:$O$1212,$K664))</f>
        <v/>
      </c>
      <c r="J664" s="10">
        <f>IF($K664="","",INDEX(Конструктор!$P$2:$P$1212,$K664))</f>
        <v/>
      </c>
      <c r="K664">
        <f>IFERROR(MATCH(644,Конструктор!$T$2:$T$1212,0),"")</f>
        <v/>
      </c>
      <c r="L664">
        <f>IF($K664="","","показать")</f>
        <v/>
      </c>
    </row>
    <row r="665" hidden="1">
      <c r="A665">
        <f>IF($K665="","",645)</f>
        <v/>
      </c>
      <c r="B665">
        <f>IF($K665="","",INDEX(Конструктор!$C$2:$C$1212,$K665))</f>
        <v/>
      </c>
      <c r="C665" s="8">
        <f>IF($K665="","",INDEX(Конструктор!$D$2:$D$1212,$K665)&amp;IF(INDEX(Конструктор!$J$2:$J$1212,$K665)&lt;&gt;""," — "&amp;INDEX(Конструктор!$J$2:$J$1212,$K665),""))</f>
        <v/>
      </c>
      <c r="D665">
        <f>IF($K665="","",INDEX(Конструктор!$E$2:$E$1212,$K665))</f>
        <v/>
      </c>
      <c r="E665" s="10">
        <f>IF($K665="","",INDEX(Конструктор!$H$2:$H$1212,$K665))</f>
        <v/>
      </c>
      <c r="F665" s="10">
        <f>IF($K665="","",INDEX(Конструктор!$L$2:$L$1212,$K665))</f>
        <v/>
      </c>
      <c r="G665" s="10">
        <f>IF($K665="","",INDEX(Конструктор!$M$2:$M$1212,$K665))</f>
        <v/>
      </c>
      <c r="H665" s="10">
        <f>IF($K665="","",INDEX(Конструктор!$N$2:$N$1212,$K665))</f>
        <v/>
      </c>
      <c r="I665" s="10">
        <f>IF($K665="","",INDEX(Конструктор!$O$2:$O$1212,$K665))</f>
        <v/>
      </c>
      <c r="J665" s="10">
        <f>IF($K665="","",INDEX(Конструктор!$P$2:$P$1212,$K665))</f>
        <v/>
      </c>
      <c r="K665">
        <f>IFERROR(MATCH(645,Конструктор!$T$2:$T$1212,0),"")</f>
        <v/>
      </c>
      <c r="L665">
        <f>IF($K665="","","показать")</f>
        <v/>
      </c>
    </row>
    <row r="666" hidden="1">
      <c r="A666">
        <f>IF($K666="","",646)</f>
        <v/>
      </c>
      <c r="B666">
        <f>IF($K666="","",INDEX(Конструктор!$C$2:$C$1212,$K666))</f>
        <v/>
      </c>
      <c r="C666" s="8">
        <f>IF($K666="","",INDEX(Конструктор!$D$2:$D$1212,$K666)&amp;IF(INDEX(Конструктор!$J$2:$J$1212,$K666)&lt;&gt;""," — "&amp;INDEX(Конструктор!$J$2:$J$1212,$K666),""))</f>
        <v/>
      </c>
      <c r="D666">
        <f>IF($K666="","",INDEX(Конструктор!$E$2:$E$1212,$K666))</f>
        <v/>
      </c>
      <c r="E666" s="10">
        <f>IF($K666="","",INDEX(Конструктор!$H$2:$H$1212,$K666))</f>
        <v/>
      </c>
      <c r="F666" s="10">
        <f>IF($K666="","",INDEX(Конструктор!$L$2:$L$1212,$K666))</f>
        <v/>
      </c>
      <c r="G666" s="10">
        <f>IF($K666="","",INDEX(Конструктор!$M$2:$M$1212,$K666))</f>
        <v/>
      </c>
      <c r="H666" s="10">
        <f>IF($K666="","",INDEX(Конструктор!$N$2:$N$1212,$K666))</f>
        <v/>
      </c>
      <c r="I666" s="10">
        <f>IF($K666="","",INDEX(Конструктор!$O$2:$O$1212,$K666))</f>
        <v/>
      </c>
      <c r="J666" s="10">
        <f>IF($K666="","",INDEX(Конструктор!$P$2:$P$1212,$K666))</f>
        <v/>
      </c>
      <c r="K666">
        <f>IFERROR(MATCH(646,Конструктор!$T$2:$T$1212,0),"")</f>
        <v/>
      </c>
      <c r="L666">
        <f>IF($K666="","","показать")</f>
        <v/>
      </c>
    </row>
    <row r="667" hidden="1">
      <c r="A667">
        <f>IF($K667="","",647)</f>
        <v/>
      </c>
      <c r="B667">
        <f>IF($K667="","",INDEX(Конструктор!$C$2:$C$1212,$K667))</f>
        <v/>
      </c>
      <c r="C667" s="8">
        <f>IF($K667="","",INDEX(Конструктор!$D$2:$D$1212,$K667)&amp;IF(INDEX(Конструктор!$J$2:$J$1212,$K667)&lt;&gt;""," — "&amp;INDEX(Конструктор!$J$2:$J$1212,$K667),""))</f>
        <v/>
      </c>
      <c r="D667">
        <f>IF($K667="","",INDEX(Конструктор!$E$2:$E$1212,$K667))</f>
        <v/>
      </c>
      <c r="E667" s="10">
        <f>IF($K667="","",INDEX(Конструктор!$H$2:$H$1212,$K667))</f>
        <v/>
      </c>
      <c r="F667" s="10">
        <f>IF($K667="","",INDEX(Конструктор!$L$2:$L$1212,$K667))</f>
        <v/>
      </c>
      <c r="G667" s="10">
        <f>IF($K667="","",INDEX(Конструктор!$M$2:$M$1212,$K667))</f>
        <v/>
      </c>
      <c r="H667" s="10">
        <f>IF($K667="","",INDEX(Конструктор!$N$2:$N$1212,$K667))</f>
        <v/>
      </c>
      <c r="I667" s="10">
        <f>IF($K667="","",INDEX(Конструктор!$O$2:$O$1212,$K667))</f>
        <v/>
      </c>
      <c r="J667" s="10">
        <f>IF($K667="","",INDEX(Конструктор!$P$2:$P$1212,$K667))</f>
        <v/>
      </c>
      <c r="K667">
        <f>IFERROR(MATCH(647,Конструктор!$T$2:$T$1212,0),"")</f>
        <v/>
      </c>
      <c r="L667">
        <f>IF($K667="","","показать")</f>
        <v/>
      </c>
    </row>
    <row r="668" hidden="1">
      <c r="A668">
        <f>IF($K668="","",648)</f>
        <v/>
      </c>
      <c r="B668">
        <f>IF($K668="","",INDEX(Конструктор!$C$2:$C$1212,$K668))</f>
        <v/>
      </c>
      <c r="C668" s="8">
        <f>IF($K668="","",INDEX(Конструктор!$D$2:$D$1212,$K668)&amp;IF(INDEX(Конструктор!$J$2:$J$1212,$K668)&lt;&gt;""," — "&amp;INDEX(Конструктор!$J$2:$J$1212,$K668),""))</f>
        <v/>
      </c>
      <c r="D668">
        <f>IF($K668="","",INDEX(Конструктор!$E$2:$E$1212,$K668))</f>
        <v/>
      </c>
      <c r="E668" s="10">
        <f>IF($K668="","",INDEX(Конструктор!$H$2:$H$1212,$K668))</f>
        <v/>
      </c>
      <c r="F668" s="10">
        <f>IF($K668="","",INDEX(Конструктор!$L$2:$L$1212,$K668))</f>
        <v/>
      </c>
      <c r="G668" s="10">
        <f>IF($K668="","",INDEX(Конструктор!$M$2:$M$1212,$K668))</f>
        <v/>
      </c>
      <c r="H668" s="10">
        <f>IF($K668="","",INDEX(Конструктор!$N$2:$N$1212,$K668))</f>
        <v/>
      </c>
      <c r="I668" s="10">
        <f>IF($K668="","",INDEX(Конструктор!$O$2:$O$1212,$K668))</f>
        <v/>
      </c>
      <c r="J668" s="10">
        <f>IF($K668="","",INDEX(Конструктор!$P$2:$P$1212,$K668))</f>
        <v/>
      </c>
      <c r="K668">
        <f>IFERROR(MATCH(648,Конструктор!$T$2:$T$1212,0),"")</f>
        <v/>
      </c>
      <c r="L668">
        <f>IF($K668="","","показать")</f>
        <v/>
      </c>
    </row>
    <row r="669" hidden="1">
      <c r="A669">
        <f>IF($K669="","",649)</f>
        <v/>
      </c>
      <c r="B669">
        <f>IF($K669="","",INDEX(Конструктор!$C$2:$C$1212,$K669))</f>
        <v/>
      </c>
      <c r="C669" s="8">
        <f>IF($K669="","",INDEX(Конструктор!$D$2:$D$1212,$K669)&amp;IF(INDEX(Конструктор!$J$2:$J$1212,$K669)&lt;&gt;""," — "&amp;INDEX(Конструктор!$J$2:$J$1212,$K669),""))</f>
        <v/>
      </c>
      <c r="D669">
        <f>IF($K669="","",INDEX(Конструктор!$E$2:$E$1212,$K669))</f>
        <v/>
      </c>
      <c r="E669" s="10">
        <f>IF($K669="","",INDEX(Конструктор!$H$2:$H$1212,$K669))</f>
        <v/>
      </c>
      <c r="F669" s="10">
        <f>IF($K669="","",INDEX(Конструктор!$L$2:$L$1212,$K669))</f>
        <v/>
      </c>
      <c r="G669" s="10">
        <f>IF($K669="","",INDEX(Конструктор!$M$2:$M$1212,$K669))</f>
        <v/>
      </c>
      <c r="H669" s="10">
        <f>IF($K669="","",INDEX(Конструктор!$N$2:$N$1212,$K669))</f>
        <v/>
      </c>
      <c r="I669" s="10">
        <f>IF($K669="","",INDEX(Конструктор!$O$2:$O$1212,$K669))</f>
        <v/>
      </c>
      <c r="J669" s="10">
        <f>IF($K669="","",INDEX(Конструктор!$P$2:$P$1212,$K669))</f>
        <v/>
      </c>
      <c r="K669">
        <f>IFERROR(MATCH(649,Конструктор!$T$2:$T$1212,0),"")</f>
        <v/>
      </c>
      <c r="L669">
        <f>IF($K669="","","показать")</f>
        <v/>
      </c>
    </row>
    <row r="670" hidden="1">
      <c r="A670">
        <f>IF($K670="","",650)</f>
        <v/>
      </c>
      <c r="B670">
        <f>IF($K670="","",INDEX(Конструктор!$C$2:$C$1212,$K670))</f>
        <v/>
      </c>
      <c r="C670" s="8">
        <f>IF($K670="","",INDEX(Конструктор!$D$2:$D$1212,$K670)&amp;IF(INDEX(Конструктор!$J$2:$J$1212,$K670)&lt;&gt;""," — "&amp;INDEX(Конструктор!$J$2:$J$1212,$K670),""))</f>
        <v/>
      </c>
      <c r="D670">
        <f>IF($K670="","",INDEX(Конструктор!$E$2:$E$1212,$K670))</f>
        <v/>
      </c>
      <c r="E670" s="10">
        <f>IF($K670="","",INDEX(Конструктор!$H$2:$H$1212,$K670))</f>
        <v/>
      </c>
      <c r="F670" s="10">
        <f>IF($K670="","",INDEX(Конструктор!$L$2:$L$1212,$K670))</f>
        <v/>
      </c>
      <c r="G670" s="10">
        <f>IF($K670="","",INDEX(Конструктор!$M$2:$M$1212,$K670))</f>
        <v/>
      </c>
      <c r="H670" s="10">
        <f>IF($K670="","",INDEX(Конструктор!$N$2:$N$1212,$K670))</f>
        <v/>
      </c>
      <c r="I670" s="10">
        <f>IF($K670="","",INDEX(Конструктор!$O$2:$O$1212,$K670))</f>
        <v/>
      </c>
      <c r="J670" s="10">
        <f>IF($K670="","",INDEX(Конструктор!$P$2:$P$1212,$K670))</f>
        <v/>
      </c>
      <c r="K670">
        <f>IFERROR(MATCH(650,Конструктор!$T$2:$T$1212,0),"")</f>
        <v/>
      </c>
      <c r="L670">
        <f>IF($K670="","","показать")</f>
        <v/>
      </c>
    </row>
    <row r="671" hidden="1">
      <c r="A671">
        <f>IF($K671="","",651)</f>
        <v/>
      </c>
      <c r="B671">
        <f>IF($K671="","",INDEX(Конструктор!$C$2:$C$1212,$K671))</f>
        <v/>
      </c>
      <c r="C671" s="8">
        <f>IF($K671="","",INDEX(Конструктор!$D$2:$D$1212,$K671)&amp;IF(INDEX(Конструктор!$J$2:$J$1212,$K671)&lt;&gt;""," — "&amp;INDEX(Конструктор!$J$2:$J$1212,$K671),""))</f>
        <v/>
      </c>
      <c r="D671">
        <f>IF($K671="","",INDEX(Конструктор!$E$2:$E$1212,$K671))</f>
        <v/>
      </c>
      <c r="E671" s="10">
        <f>IF($K671="","",INDEX(Конструктор!$H$2:$H$1212,$K671))</f>
        <v/>
      </c>
      <c r="F671" s="10">
        <f>IF($K671="","",INDEX(Конструктор!$L$2:$L$1212,$K671))</f>
        <v/>
      </c>
      <c r="G671" s="10">
        <f>IF($K671="","",INDEX(Конструктор!$M$2:$M$1212,$K671))</f>
        <v/>
      </c>
      <c r="H671" s="10">
        <f>IF($K671="","",INDEX(Конструктор!$N$2:$N$1212,$K671))</f>
        <v/>
      </c>
      <c r="I671" s="10">
        <f>IF($K671="","",INDEX(Конструктор!$O$2:$O$1212,$K671))</f>
        <v/>
      </c>
      <c r="J671" s="10">
        <f>IF($K671="","",INDEX(Конструктор!$P$2:$P$1212,$K671))</f>
        <v/>
      </c>
      <c r="K671">
        <f>IFERROR(MATCH(651,Конструктор!$T$2:$T$1212,0),"")</f>
        <v/>
      </c>
      <c r="L671">
        <f>IF($K671="","","показать")</f>
        <v/>
      </c>
    </row>
    <row r="672" hidden="1">
      <c r="A672">
        <f>IF($K672="","",652)</f>
        <v/>
      </c>
      <c r="B672">
        <f>IF($K672="","",INDEX(Конструктор!$C$2:$C$1212,$K672))</f>
        <v/>
      </c>
      <c r="C672" s="8">
        <f>IF($K672="","",INDEX(Конструктор!$D$2:$D$1212,$K672)&amp;IF(INDEX(Конструктор!$J$2:$J$1212,$K672)&lt;&gt;""," — "&amp;INDEX(Конструктор!$J$2:$J$1212,$K672),""))</f>
        <v/>
      </c>
      <c r="D672">
        <f>IF($K672="","",INDEX(Конструктор!$E$2:$E$1212,$K672))</f>
        <v/>
      </c>
      <c r="E672" s="10">
        <f>IF($K672="","",INDEX(Конструктор!$H$2:$H$1212,$K672))</f>
        <v/>
      </c>
      <c r="F672" s="10">
        <f>IF($K672="","",INDEX(Конструктор!$L$2:$L$1212,$K672))</f>
        <v/>
      </c>
      <c r="G672" s="10">
        <f>IF($K672="","",INDEX(Конструктор!$M$2:$M$1212,$K672))</f>
        <v/>
      </c>
      <c r="H672" s="10">
        <f>IF($K672="","",INDEX(Конструктор!$N$2:$N$1212,$K672))</f>
        <v/>
      </c>
      <c r="I672" s="10">
        <f>IF($K672="","",INDEX(Конструктор!$O$2:$O$1212,$K672))</f>
        <v/>
      </c>
      <c r="J672" s="10">
        <f>IF($K672="","",INDEX(Конструктор!$P$2:$P$1212,$K672))</f>
        <v/>
      </c>
      <c r="K672">
        <f>IFERROR(MATCH(652,Конструктор!$T$2:$T$1212,0),"")</f>
        <v/>
      </c>
      <c r="L672">
        <f>IF($K672="","","показать")</f>
        <v/>
      </c>
    </row>
    <row r="673" hidden="1">
      <c r="A673">
        <f>IF($K673="","",653)</f>
        <v/>
      </c>
      <c r="B673">
        <f>IF($K673="","",INDEX(Конструктор!$C$2:$C$1212,$K673))</f>
        <v/>
      </c>
      <c r="C673" s="8">
        <f>IF($K673="","",INDEX(Конструктор!$D$2:$D$1212,$K673)&amp;IF(INDEX(Конструктор!$J$2:$J$1212,$K673)&lt;&gt;""," — "&amp;INDEX(Конструктор!$J$2:$J$1212,$K673),""))</f>
        <v/>
      </c>
      <c r="D673">
        <f>IF($K673="","",INDEX(Конструктор!$E$2:$E$1212,$K673))</f>
        <v/>
      </c>
      <c r="E673" s="10">
        <f>IF($K673="","",INDEX(Конструктор!$H$2:$H$1212,$K673))</f>
        <v/>
      </c>
      <c r="F673" s="10">
        <f>IF($K673="","",INDEX(Конструктор!$L$2:$L$1212,$K673))</f>
        <v/>
      </c>
      <c r="G673" s="10">
        <f>IF($K673="","",INDEX(Конструктор!$M$2:$M$1212,$K673))</f>
        <v/>
      </c>
      <c r="H673" s="10">
        <f>IF($K673="","",INDEX(Конструктор!$N$2:$N$1212,$K673))</f>
        <v/>
      </c>
      <c r="I673" s="10">
        <f>IF($K673="","",INDEX(Конструктор!$O$2:$O$1212,$K673))</f>
        <v/>
      </c>
      <c r="J673" s="10">
        <f>IF($K673="","",INDEX(Конструктор!$P$2:$P$1212,$K673))</f>
        <v/>
      </c>
      <c r="K673">
        <f>IFERROR(MATCH(653,Конструктор!$T$2:$T$1212,0),"")</f>
        <v/>
      </c>
      <c r="L673">
        <f>IF($K673="","","показать")</f>
        <v/>
      </c>
    </row>
    <row r="674" hidden="1">
      <c r="A674">
        <f>IF($K674="","",654)</f>
        <v/>
      </c>
      <c r="B674">
        <f>IF($K674="","",INDEX(Конструктор!$C$2:$C$1212,$K674))</f>
        <v/>
      </c>
      <c r="C674" s="8">
        <f>IF($K674="","",INDEX(Конструктор!$D$2:$D$1212,$K674)&amp;IF(INDEX(Конструктор!$J$2:$J$1212,$K674)&lt;&gt;""," — "&amp;INDEX(Конструктор!$J$2:$J$1212,$K674),""))</f>
        <v/>
      </c>
      <c r="D674">
        <f>IF($K674="","",INDEX(Конструктор!$E$2:$E$1212,$K674))</f>
        <v/>
      </c>
      <c r="E674" s="10">
        <f>IF($K674="","",INDEX(Конструктор!$H$2:$H$1212,$K674))</f>
        <v/>
      </c>
      <c r="F674" s="10">
        <f>IF($K674="","",INDEX(Конструктор!$L$2:$L$1212,$K674))</f>
        <v/>
      </c>
      <c r="G674" s="10">
        <f>IF($K674="","",INDEX(Конструктор!$M$2:$M$1212,$K674))</f>
        <v/>
      </c>
      <c r="H674" s="10">
        <f>IF($K674="","",INDEX(Конструктор!$N$2:$N$1212,$K674))</f>
        <v/>
      </c>
      <c r="I674" s="10">
        <f>IF($K674="","",INDEX(Конструктор!$O$2:$O$1212,$K674))</f>
        <v/>
      </c>
      <c r="J674" s="10">
        <f>IF($K674="","",INDEX(Конструктор!$P$2:$P$1212,$K674))</f>
        <v/>
      </c>
      <c r="K674">
        <f>IFERROR(MATCH(654,Конструктор!$T$2:$T$1212,0),"")</f>
        <v/>
      </c>
      <c r="L674">
        <f>IF($K674="","","показать")</f>
        <v/>
      </c>
    </row>
    <row r="675" hidden="1">
      <c r="A675">
        <f>IF($K675="","",655)</f>
        <v/>
      </c>
      <c r="B675">
        <f>IF($K675="","",INDEX(Конструктор!$C$2:$C$1212,$K675))</f>
        <v/>
      </c>
      <c r="C675" s="8">
        <f>IF($K675="","",INDEX(Конструктор!$D$2:$D$1212,$K675)&amp;IF(INDEX(Конструктор!$J$2:$J$1212,$K675)&lt;&gt;""," — "&amp;INDEX(Конструктор!$J$2:$J$1212,$K675),""))</f>
        <v/>
      </c>
      <c r="D675">
        <f>IF($K675="","",INDEX(Конструктор!$E$2:$E$1212,$K675))</f>
        <v/>
      </c>
      <c r="E675" s="10">
        <f>IF($K675="","",INDEX(Конструктор!$H$2:$H$1212,$K675))</f>
        <v/>
      </c>
      <c r="F675" s="10">
        <f>IF($K675="","",INDEX(Конструктор!$L$2:$L$1212,$K675))</f>
        <v/>
      </c>
      <c r="G675" s="10">
        <f>IF($K675="","",INDEX(Конструктор!$M$2:$M$1212,$K675))</f>
        <v/>
      </c>
      <c r="H675" s="10">
        <f>IF($K675="","",INDEX(Конструктор!$N$2:$N$1212,$K675))</f>
        <v/>
      </c>
      <c r="I675" s="10">
        <f>IF($K675="","",INDEX(Конструктор!$O$2:$O$1212,$K675))</f>
        <v/>
      </c>
      <c r="J675" s="10">
        <f>IF($K675="","",INDEX(Конструктор!$P$2:$P$1212,$K675))</f>
        <v/>
      </c>
      <c r="K675">
        <f>IFERROR(MATCH(655,Конструктор!$T$2:$T$1212,0),"")</f>
        <v/>
      </c>
      <c r="L675">
        <f>IF($K675="","","показать")</f>
        <v/>
      </c>
    </row>
    <row r="676" hidden="1">
      <c r="A676">
        <f>IF($K676="","",656)</f>
        <v/>
      </c>
      <c r="B676">
        <f>IF($K676="","",INDEX(Конструктор!$C$2:$C$1212,$K676))</f>
        <v/>
      </c>
      <c r="C676" s="8">
        <f>IF($K676="","",INDEX(Конструктор!$D$2:$D$1212,$K676)&amp;IF(INDEX(Конструктор!$J$2:$J$1212,$K676)&lt;&gt;""," — "&amp;INDEX(Конструктор!$J$2:$J$1212,$K676),""))</f>
        <v/>
      </c>
      <c r="D676">
        <f>IF($K676="","",INDEX(Конструктор!$E$2:$E$1212,$K676))</f>
        <v/>
      </c>
      <c r="E676" s="10">
        <f>IF($K676="","",INDEX(Конструктор!$H$2:$H$1212,$K676))</f>
        <v/>
      </c>
      <c r="F676" s="10">
        <f>IF($K676="","",INDEX(Конструктор!$L$2:$L$1212,$K676))</f>
        <v/>
      </c>
      <c r="G676" s="10">
        <f>IF($K676="","",INDEX(Конструктор!$M$2:$M$1212,$K676))</f>
        <v/>
      </c>
      <c r="H676" s="10">
        <f>IF($K676="","",INDEX(Конструктор!$N$2:$N$1212,$K676))</f>
        <v/>
      </c>
      <c r="I676" s="10">
        <f>IF($K676="","",INDEX(Конструктор!$O$2:$O$1212,$K676))</f>
        <v/>
      </c>
      <c r="J676" s="10">
        <f>IF($K676="","",INDEX(Конструктор!$P$2:$P$1212,$K676))</f>
        <v/>
      </c>
      <c r="K676">
        <f>IFERROR(MATCH(656,Конструктор!$T$2:$T$1212,0),"")</f>
        <v/>
      </c>
      <c r="L676">
        <f>IF($K676="","","показать")</f>
        <v/>
      </c>
    </row>
    <row r="677" hidden="1">
      <c r="A677">
        <f>IF($K677="","",657)</f>
        <v/>
      </c>
      <c r="B677">
        <f>IF($K677="","",INDEX(Конструктор!$C$2:$C$1212,$K677))</f>
        <v/>
      </c>
      <c r="C677" s="8">
        <f>IF($K677="","",INDEX(Конструктор!$D$2:$D$1212,$K677)&amp;IF(INDEX(Конструктор!$J$2:$J$1212,$K677)&lt;&gt;""," — "&amp;INDEX(Конструктор!$J$2:$J$1212,$K677),""))</f>
        <v/>
      </c>
      <c r="D677">
        <f>IF($K677="","",INDEX(Конструктор!$E$2:$E$1212,$K677))</f>
        <v/>
      </c>
      <c r="E677" s="10">
        <f>IF($K677="","",INDEX(Конструктор!$H$2:$H$1212,$K677))</f>
        <v/>
      </c>
      <c r="F677" s="10">
        <f>IF($K677="","",INDEX(Конструктор!$L$2:$L$1212,$K677))</f>
        <v/>
      </c>
      <c r="G677" s="10">
        <f>IF($K677="","",INDEX(Конструктор!$M$2:$M$1212,$K677))</f>
        <v/>
      </c>
      <c r="H677" s="10">
        <f>IF($K677="","",INDEX(Конструктор!$N$2:$N$1212,$K677))</f>
        <v/>
      </c>
      <c r="I677" s="10">
        <f>IF($K677="","",INDEX(Конструктор!$O$2:$O$1212,$K677))</f>
        <v/>
      </c>
      <c r="J677" s="10">
        <f>IF($K677="","",INDEX(Конструктор!$P$2:$P$1212,$K677))</f>
        <v/>
      </c>
      <c r="K677">
        <f>IFERROR(MATCH(657,Конструктор!$T$2:$T$1212,0),"")</f>
        <v/>
      </c>
      <c r="L677">
        <f>IF($K677="","","показать")</f>
        <v/>
      </c>
    </row>
    <row r="678" hidden="1">
      <c r="A678">
        <f>IF($K678="","",658)</f>
        <v/>
      </c>
      <c r="B678">
        <f>IF($K678="","",INDEX(Конструктор!$C$2:$C$1212,$K678))</f>
        <v/>
      </c>
      <c r="C678" s="8">
        <f>IF($K678="","",INDEX(Конструктор!$D$2:$D$1212,$K678)&amp;IF(INDEX(Конструктор!$J$2:$J$1212,$K678)&lt;&gt;""," — "&amp;INDEX(Конструктор!$J$2:$J$1212,$K678),""))</f>
        <v/>
      </c>
      <c r="D678">
        <f>IF($K678="","",INDEX(Конструктор!$E$2:$E$1212,$K678))</f>
        <v/>
      </c>
      <c r="E678" s="10">
        <f>IF($K678="","",INDEX(Конструктор!$H$2:$H$1212,$K678))</f>
        <v/>
      </c>
      <c r="F678" s="10">
        <f>IF($K678="","",INDEX(Конструктор!$L$2:$L$1212,$K678))</f>
        <v/>
      </c>
      <c r="G678" s="10">
        <f>IF($K678="","",INDEX(Конструктор!$M$2:$M$1212,$K678))</f>
        <v/>
      </c>
      <c r="H678" s="10">
        <f>IF($K678="","",INDEX(Конструктор!$N$2:$N$1212,$K678))</f>
        <v/>
      </c>
      <c r="I678" s="10">
        <f>IF($K678="","",INDEX(Конструктор!$O$2:$O$1212,$K678))</f>
        <v/>
      </c>
      <c r="J678" s="10">
        <f>IF($K678="","",INDEX(Конструктор!$P$2:$P$1212,$K678))</f>
        <v/>
      </c>
      <c r="K678">
        <f>IFERROR(MATCH(658,Конструктор!$T$2:$T$1212,0),"")</f>
        <v/>
      </c>
      <c r="L678">
        <f>IF($K678="","","показать")</f>
        <v/>
      </c>
    </row>
    <row r="679" hidden="1">
      <c r="A679">
        <f>IF($K679="","",659)</f>
        <v/>
      </c>
      <c r="B679">
        <f>IF($K679="","",INDEX(Конструктор!$C$2:$C$1212,$K679))</f>
        <v/>
      </c>
      <c r="C679" s="8">
        <f>IF($K679="","",INDEX(Конструктор!$D$2:$D$1212,$K679)&amp;IF(INDEX(Конструктор!$J$2:$J$1212,$K679)&lt;&gt;""," — "&amp;INDEX(Конструктор!$J$2:$J$1212,$K679),""))</f>
        <v/>
      </c>
      <c r="D679">
        <f>IF($K679="","",INDEX(Конструктор!$E$2:$E$1212,$K679))</f>
        <v/>
      </c>
      <c r="E679" s="10">
        <f>IF($K679="","",INDEX(Конструктор!$H$2:$H$1212,$K679))</f>
        <v/>
      </c>
      <c r="F679" s="10">
        <f>IF($K679="","",INDEX(Конструктор!$L$2:$L$1212,$K679))</f>
        <v/>
      </c>
      <c r="G679" s="10">
        <f>IF($K679="","",INDEX(Конструктор!$M$2:$M$1212,$K679))</f>
        <v/>
      </c>
      <c r="H679" s="10">
        <f>IF($K679="","",INDEX(Конструктор!$N$2:$N$1212,$K679))</f>
        <v/>
      </c>
      <c r="I679" s="10">
        <f>IF($K679="","",INDEX(Конструктор!$O$2:$O$1212,$K679))</f>
        <v/>
      </c>
      <c r="J679" s="10">
        <f>IF($K679="","",INDEX(Конструктор!$P$2:$P$1212,$K679))</f>
        <v/>
      </c>
      <c r="K679">
        <f>IFERROR(MATCH(659,Конструктор!$T$2:$T$1212,0),"")</f>
        <v/>
      </c>
      <c r="L679">
        <f>IF($K679="","","показать")</f>
        <v/>
      </c>
    </row>
    <row r="680" hidden="1">
      <c r="A680">
        <f>IF($K680="","",660)</f>
        <v/>
      </c>
      <c r="B680">
        <f>IF($K680="","",INDEX(Конструктор!$C$2:$C$1212,$K680))</f>
        <v/>
      </c>
      <c r="C680" s="8">
        <f>IF($K680="","",INDEX(Конструктор!$D$2:$D$1212,$K680)&amp;IF(INDEX(Конструктор!$J$2:$J$1212,$K680)&lt;&gt;""," — "&amp;INDEX(Конструктор!$J$2:$J$1212,$K680),""))</f>
        <v/>
      </c>
      <c r="D680">
        <f>IF($K680="","",INDEX(Конструктор!$E$2:$E$1212,$K680))</f>
        <v/>
      </c>
      <c r="E680" s="10">
        <f>IF($K680="","",INDEX(Конструктор!$H$2:$H$1212,$K680))</f>
        <v/>
      </c>
      <c r="F680" s="10">
        <f>IF($K680="","",INDEX(Конструктор!$L$2:$L$1212,$K680))</f>
        <v/>
      </c>
      <c r="G680" s="10">
        <f>IF($K680="","",INDEX(Конструктор!$M$2:$M$1212,$K680))</f>
        <v/>
      </c>
      <c r="H680" s="10">
        <f>IF($K680="","",INDEX(Конструктор!$N$2:$N$1212,$K680))</f>
        <v/>
      </c>
      <c r="I680" s="10">
        <f>IF($K680="","",INDEX(Конструктор!$O$2:$O$1212,$K680))</f>
        <v/>
      </c>
      <c r="J680" s="10">
        <f>IF($K680="","",INDEX(Конструктор!$P$2:$P$1212,$K680))</f>
        <v/>
      </c>
      <c r="K680">
        <f>IFERROR(MATCH(660,Конструктор!$T$2:$T$1212,0),"")</f>
        <v/>
      </c>
      <c r="L680">
        <f>IF($K680="","","показать")</f>
        <v/>
      </c>
    </row>
    <row r="681" hidden="1">
      <c r="A681">
        <f>IF($K681="","",661)</f>
        <v/>
      </c>
      <c r="B681">
        <f>IF($K681="","",INDEX(Конструктор!$C$2:$C$1212,$K681))</f>
        <v/>
      </c>
      <c r="C681" s="8">
        <f>IF($K681="","",INDEX(Конструктор!$D$2:$D$1212,$K681)&amp;IF(INDEX(Конструктор!$J$2:$J$1212,$K681)&lt;&gt;""," — "&amp;INDEX(Конструктор!$J$2:$J$1212,$K681),""))</f>
        <v/>
      </c>
      <c r="D681">
        <f>IF($K681="","",INDEX(Конструктор!$E$2:$E$1212,$K681))</f>
        <v/>
      </c>
      <c r="E681" s="10">
        <f>IF($K681="","",INDEX(Конструктор!$H$2:$H$1212,$K681))</f>
        <v/>
      </c>
      <c r="F681" s="10">
        <f>IF($K681="","",INDEX(Конструктор!$L$2:$L$1212,$K681))</f>
        <v/>
      </c>
      <c r="G681" s="10">
        <f>IF($K681="","",INDEX(Конструктор!$M$2:$M$1212,$K681))</f>
        <v/>
      </c>
      <c r="H681" s="10">
        <f>IF($K681="","",INDEX(Конструктор!$N$2:$N$1212,$K681))</f>
        <v/>
      </c>
      <c r="I681" s="10">
        <f>IF($K681="","",INDEX(Конструктор!$O$2:$O$1212,$K681))</f>
        <v/>
      </c>
      <c r="J681" s="10">
        <f>IF($K681="","",INDEX(Конструктор!$P$2:$P$1212,$K681))</f>
        <v/>
      </c>
      <c r="K681">
        <f>IFERROR(MATCH(661,Конструктор!$T$2:$T$1212,0),"")</f>
        <v/>
      </c>
      <c r="L681">
        <f>IF($K681="","","показать")</f>
        <v/>
      </c>
    </row>
    <row r="682" hidden="1">
      <c r="A682">
        <f>IF($K682="","",662)</f>
        <v/>
      </c>
      <c r="B682">
        <f>IF($K682="","",INDEX(Конструктор!$C$2:$C$1212,$K682))</f>
        <v/>
      </c>
      <c r="C682" s="8">
        <f>IF($K682="","",INDEX(Конструктор!$D$2:$D$1212,$K682)&amp;IF(INDEX(Конструктор!$J$2:$J$1212,$K682)&lt;&gt;""," — "&amp;INDEX(Конструктор!$J$2:$J$1212,$K682),""))</f>
        <v/>
      </c>
      <c r="D682">
        <f>IF($K682="","",INDEX(Конструктор!$E$2:$E$1212,$K682))</f>
        <v/>
      </c>
      <c r="E682" s="10">
        <f>IF($K682="","",INDEX(Конструктор!$H$2:$H$1212,$K682))</f>
        <v/>
      </c>
      <c r="F682" s="10">
        <f>IF($K682="","",INDEX(Конструктор!$L$2:$L$1212,$K682))</f>
        <v/>
      </c>
      <c r="G682" s="10">
        <f>IF($K682="","",INDEX(Конструктор!$M$2:$M$1212,$K682))</f>
        <v/>
      </c>
      <c r="H682" s="10">
        <f>IF($K682="","",INDEX(Конструктор!$N$2:$N$1212,$K682))</f>
        <v/>
      </c>
      <c r="I682" s="10">
        <f>IF($K682="","",INDEX(Конструктор!$O$2:$O$1212,$K682))</f>
        <v/>
      </c>
      <c r="J682" s="10">
        <f>IF($K682="","",INDEX(Конструктор!$P$2:$P$1212,$K682))</f>
        <v/>
      </c>
      <c r="K682">
        <f>IFERROR(MATCH(662,Конструктор!$T$2:$T$1212,0),"")</f>
        <v/>
      </c>
      <c r="L682">
        <f>IF($K682="","","показать")</f>
        <v/>
      </c>
    </row>
    <row r="683" hidden="1">
      <c r="A683">
        <f>IF($K683="","",663)</f>
        <v/>
      </c>
      <c r="B683">
        <f>IF($K683="","",INDEX(Конструктор!$C$2:$C$1212,$K683))</f>
        <v/>
      </c>
      <c r="C683" s="8">
        <f>IF($K683="","",INDEX(Конструктор!$D$2:$D$1212,$K683)&amp;IF(INDEX(Конструктор!$J$2:$J$1212,$K683)&lt;&gt;""," — "&amp;INDEX(Конструктор!$J$2:$J$1212,$K683),""))</f>
        <v/>
      </c>
      <c r="D683">
        <f>IF($K683="","",INDEX(Конструктор!$E$2:$E$1212,$K683))</f>
        <v/>
      </c>
      <c r="E683" s="10">
        <f>IF($K683="","",INDEX(Конструктор!$H$2:$H$1212,$K683))</f>
        <v/>
      </c>
      <c r="F683" s="10">
        <f>IF($K683="","",INDEX(Конструктор!$L$2:$L$1212,$K683))</f>
        <v/>
      </c>
      <c r="G683" s="10">
        <f>IF($K683="","",INDEX(Конструктор!$M$2:$M$1212,$K683))</f>
        <v/>
      </c>
      <c r="H683" s="10">
        <f>IF($K683="","",INDEX(Конструктор!$N$2:$N$1212,$K683))</f>
        <v/>
      </c>
      <c r="I683" s="10">
        <f>IF($K683="","",INDEX(Конструктор!$O$2:$O$1212,$K683))</f>
        <v/>
      </c>
      <c r="J683" s="10">
        <f>IF($K683="","",INDEX(Конструктор!$P$2:$P$1212,$K683))</f>
        <v/>
      </c>
      <c r="K683">
        <f>IFERROR(MATCH(663,Конструктор!$T$2:$T$1212,0),"")</f>
        <v/>
      </c>
      <c r="L683">
        <f>IF($K683="","","показать")</f>
        <v/>
      </c>
    </row>
    <row r="684" hidden="1">
      <c r="A684">
        <f>IF($K684="","",664)</f>
        <v/>
      </c>
      <c r="B684">
        <f>IF($K684="","",INDEX(Конструктор!$C$2:$C$1212,$K684))</f>
        <v/>
      </c>
      <c r="C684" s="8">
        <f>IF($K684="","",INDEX(Конструктор!$D$2:$D$1212,$K684)&amp;IF(INDEX(Конструктор!$J$2:$J$1212,$K684)&lt;&gt;""," — "&amp;INDEX(Конструктор!$J$2:$J$1212,$K684),""))</f>
        <v/>
      </c>
      <c r="D684">
        <f>IF($K684="","",INDEX(Конструктор!$E$2:$E$1212,$K684))</f>
        <v/>
      </c>
      <c r="E684" s="10">
        <f>IF($K684="","",INDEX(Конструктор!$H$2:$H$1212,$K684))</f>
        <v/>
      </c>
      <c r="F684" s="10">
        <f>IF($K684="","",INDEX(Конструктор!$L$2:$L$1212,$K684))</f>
        <v/>
      </c>
      <c r="G684" s="10">
        <f>IF($K684="","",INDEX(Конструктор!$M$2:$M$1212,$K684))</f>
        <v/>
      </c>
      <c r="H684" s="10">
        <f>IF($K684="","",INDEX(Конструктор!$N$2:$N$1212,$K684))</f>
        <v/>
      </c>
      <c r="I684" s="10">
        <f>IF($K684="","",INDEX(Конструктор!$O$2:$O$1212,$K684))</f>
        <v/>
      </c>
      <c r="J684" s="10">
        <f>IF($K684="","",INDEX(Конструктор!$P$2:$P$1212,$K684))</f>
        <v/>
      </c>
      <c r="K684">
        <f>IFERROR(MATCH(664,Конструктор!$T$2:$T$1212,0),"")</f>
        <v/>
      </c>
      <c r="L684">
        <f>IF($K684="","","показать")</f>
        <v/>
      </c>
    </row>
    <row r="685" hidden="1">
      <c r="A685">
        <f>IF($K685="","",665)</f>
        <v/>
      </c>
      <c r="B685">
        <f>IF($K685="","",INDEX(Конструктор!$C$2:$C$1212,$K685))</f>
        <v/>
      </c>
      <c r="C685" s="8">
        <f>IF($K685="","",INDEX(Конструктор!$D$2:$D$1212,$K685)&amp;IF(INDEX(Конструктор!$J$2:$J$1212,$K685)&lt;&gt;""," — "&amp;INDEX(Конструктор!$J$2:$J$1212,$K685),""))</f>
        <v/>
      </c>
      <c r="D685">
        <f>IF($K685="","",INDEX(Конструктор!$E$2:$E$1212,$K685))</f>
        <v/>
      </c>
      <c r="E685" s="10">
        <f>IF($K685="","",INDEX(Конструктор!$H$2:$H$1212,$K685))</f>
        <v/>
      </c>
      <c r="F685" s="10">
        <f>IF($K685="","",INDEX(Конструктор!$L$2:$L$1212,$K685))</f>
        <v/>
      </c>
      <c r="G685" s="10">
        <f>IF($K685="","",INDEX(Конструктор!$M$2:$M$1212,$K685))</f>
        <v/>
      </c>
      <c r="H685" s="10">
        <f>IF($K685="","",INDEX(Конструктор!$N$2:$N$1212,$K685))</f>
        <v/>
      </c>
      <c r="I685" s="10">
        <f>IF($K685="","",INDEX(Конструктор!$O$2:$O$1212,$K685))</f>
        <v/>
      </c>
      <c r="J685" s="10">
        <f>IF($K685="","",INDEX(Конструктор!$P$2:$P$1212,$K685))</f>
        <v/>
      </c>
      <c r="K685">
        <f>IFERROR(MATCH(665,Конструктор!$T$2:$T$1212,0),"")</f>
        <v/>
      </c>
      <c r="L685">
        <f>IF($K685="","","показать")</f>
        <v/>
      </c>
    </row>
    <row r="686" hidden="1">
      <c r="A686">
        <f>IF($K686="","",666)</f>
        <v/>
      </c>
      <c r="B686">
        <f>IF($K686="","",INDEX(Конструктор!$C$2:$C$1212,$K686))</f>
        <v/>
      </c>
      <c r="C686" s="8">
        <f>IF($K686="","",INDEX(Конструктор!$D$2:$D$1212,$K686)&amp;IF(INDEX(Конструктор!$J$2:$J$1212,$K686)&lt;&gt;""," — "&amp;INDEX(Конструктор!$J$2:$J$1212,$K686),""))</f>
        <v/>
      </c>
      <c r="D686">
        <f>IF($K686="","",INDEX(Конструктор!$E$2:$E$1212,$K686))</f>
        <v/>
      </c>
      <c r="E686" s="10">
        <f>IF($K686="","",INDEX(Конструктор!$H$2:$H$1212,$K686))</f>
        <v/>
      </c>
      <c r="F686" s="10">
        <f>IF($K686="","",INDEX(Конструктор!$L$2:$L$1212,$K686))</f>
        <v/>
      </c>
      <c r="G686" s="10">
        <f>IF($K686="","",INDEX(Конструктор!$M$2:$M$1212,$K686))</f>
        <v/>
      </c>
      <c r="H686" s="10">
        <f>IF($K686="","",INDEX(Конструктор!$N$2:$N$1212,$K686))</f>
        <v/>
      </c>
      <c r="I686" s="10">
        <f>IF($K686="","",INDEX(Конструктор!$O$2:$O$1212,$K686))</f>
        <v/>
      </c>
      <c r="J686" s="10">
        <f>IF($K686="","",INDEX(Конструктор!$P$2:$P$1212,$K686))</f>
        <v/>
      </c>
      <c r="K686">
        <f>IFERROR(MATCH(666,Конструктор!$T$2:$T$1212,0),"")</f>
        <v/>
      </c>
      <c r="L686">
        <f>IF($K686="","","показать")</f>
        <v/>
      </c>
    </row>
    <row r="687" hidden="1">
      <c r="A687">
        <f>IF($K687="","",667)</f>
        <v/>
      </c>
      <c r="B687">
        <f>IF($K687="","",INDEX(Конструктор!$C$2:$C$1212,$K687))</f>
        <v/>
      </c>
      <c r="C687" s="8">
        <f>IF($K687="","",INDEX(Конструктор!$D$2:$D$1212,$K687)&amp;IF(INDEX(Конструктор!$J$2:$J$1212,$K687)&lt;&gt;""," — "&amp;INDEX(Конструктор!$J$2:$J$1212,$K687),""))</f>
        <v/>
      </c>
      <c r="D687">
        <f>IF($K687="","",INDEX(Конструктор!$E$2:$E$1212,$K687))</f>
        <v/>
      </c>
      <c r="E687" s="10">
        <f>IF($K687="","",INDEX(Конструктор!$H$2:$H$1212,$K687))</f>
        <v/>
      </c>
      <c r="F687" s="10">
        <f>IF($K687="","",INDEX(Конструктор!$L$2:$L$1212,$K687))</f>
        <v/>
      </c>
      <c r="G687" s="10">
        <f>IF($K687="","",INDEX(Конструктор!$M$2:$M$1212,$K687))</f>
        <v/>
      </c>
      <c r="H687" s="10">
        <f>IF($K687="","",INDEX(Конструктор!$N$2:$N$1212,$K687))</f>
        <v/>
      </c>
      <c r="I687" s="10">
        <f>IF($K687="","",INDEX(Конструктор!$O$2:$O$1212,$K687))</f>
        <v/>
      </c>
      <c r="J687" s="10">
        <f>IF($K687="","",INDEX(Конструктор!$P$2:$P$1212,$K687))</f>
        <v/>
      </c>
      <c r="K687">
        <f>IFERROR(MATCH(667,Конструктор!$T$2:$T$1212,0),"")</f>
        <v/>
      </c>
      <c r="L687">
        <f>IF($K687="","","показать")</f>
        <v/>
      </c>
    </row>
    <row r="688" hidden="1">
      <c r="A688">
        <f>IF($K688="","",668)</f>
        <v/>
      </c>
      <c r="B688">
        <f>IF($K688="","",INDEX(Конструктор!$C$2:$C$1212,$K688))</f>
        <v/>
      </c>
      <c r="C688" s="8">
        <f>IF($K688="","",INDEX(Конструктор!$D$2:$D$1212,$K688)&amp;IF(INDEX(Конструктор!$J$2:$J$1212,$K688)&lt;&gt;""," — "&amp;INDEX(Конструктор!$J$2:$J$1212,$K688),""))</f>
        <v/>
      </c>
      <c r="D688">
        <f>IF($K688="","",INDEX(Конструктор!$E$2:$E$1212,$K688))</f>
        <v/>
      </c>
      <c r="E688" s="10">
        <f>IF($K688="","",INDEX(Конструктор!$H$2:$H$1212,$K688))</f>
        <v/>
      </c>
      <c r="F688" s="10">
        <f>IF($K688="","",INDEX(Конструктор!$L$2:$L$1212,$K688))</f>
        <v/>
      </c>
      <c r="G688" s="10">
        <f>IF($K688="","",INDEX(Конструктор!$M$2:$M$1212,$K688))</f>
        <v/>
      </c>
      <c r="H688" s="10">
        <f>IF($K688="","",INDEX(Конструктор!$N$2:$N$1212,$K688))</f>
        <v/>
      </c>
      <c r="I688" s="10">
        <f>IF($K688="","",INDEX(Конструктор!$O$2:$O$1212,$K688))</f>
        <v/>
      </c>
      <c r="J688" s="10">
        <f>IF($K688="","",INDEX(Конструктор!$P$2:$P$1212,$K688))</f>
        <v/>
      </c>
      <c r="K688">
        <f>IFERROR(MATCH(668,Конструктор!$T$2:$T$1212,0),"")</f>
        <v/>
      </c>
      <c r="L688">
        <f>IF($K688="","","показать")</f>
        <v/>
      </c>
    </row>
    <row r="689" hidden="1">
      <c r="A689">
        <f>IF($K689="","",669)</f>
        <v/>
      </c>
      <c r="B689">
        <f>IF($K689="","",INDEX(Конструктор!$C$2:$C$1212,$K689))</f>
        <v/>
      </c>
      <c r="C689" s="8">
        <f>IF($K689="","",INDEX(Конструктор!$D$2:$D$1212,$K689)&amp;IF(INDEX(Конструктор!$J$2:$J$1212,$K689)&lt;&gt;""," — "&amp;INDEX(Конструктор!$J$2:$J$1212,$K689),""))</f>
        <v/>
      </c>
      <c r="D689">
        <f>IF($K689="","",INDEX(Конструктор!$E$2:$E$1212,$K689))</f>
        <v/>
      </c>
      <c r="E689" s="10">
        <f>IF($K689="","",INDEX(Конструктор!$H$2:$H$1212,$K689))</f>
        <v/>
      </c>
      <c r="F689" s="10">
        <f>IF($K689="","",INDEX(Конструктор!$L$2:$L$1212,$K689))</f>
        <v/>
      </c>
      <c r="G689" s="10">
        <f>IF($K689="","",INDEX(Конструктор!$M$2:$M$1212,$K689))</f>
        <v/>
      </c>
      <c r="H689" s="10">
        <f>IF($K689="","",INDEX(Конструктор!$N$2:$N$1212,$K689))</f>
        <v/>
      </c>
      <c r="I689" s="10">
        <f>IF($K689="","",INDEX(Конструктор!$O$2:$O$1212,$K689))</f>
        <v/>
      </c>
      <c r="J689" s="10">
        <f>IF($K689="","",INDEX(Конструктор!$P$2:$P$1212,$K689))</f>
        <v/>
      </c>
      <c r="K689">
        <f>IFERROR(MATCH(669,Конструктор!$T$2:$T$1212,0),"")</f>
        <v/>
      </c>
      <c r="L689">
        <f>IF($K689="","","показать")</f>
        <v/>
      </c>
    </row>
    <row r="690" hidden="1">
      <c r="A690">
        <f>IF($K690="","",670)</f>
        <v/>
      </c>
      <c r="B690">
        <f>IF($K690="","",INDEX(Конструктор!$C$2:$C$1212,$K690))</f>
        <v/>
      </c>
      <c r="C690" s="8">
        <f>IF($K690="","",INDEX(Конструктор!$D$2:$D$1212,$K690)&amp;IF(INDEX(Конструктор!$J$2:$J$1212,$K690)&lt;&gt;""," — "&amp;INDEX(Конструктор!$J$2:$J$1212,$K690),""))</f>
        <v/>
      </c>
      <c r="D690">
        <f>IF($K690="","",INDEX(Конструктор!$E$2:$E$1212,$K690))</f>
        <v/>
      </c>
      <c r="E690" s="10">
        <f>IF($K690="","",INDEX(Конструктор!$H$2:$H$1212,$K690))</f>
        <v/>
      </c>
      <c r="F690" s="10">
        <f>IF($K690="","",INDEX(Конструктор!$L$2:$L$1212,$K690))</f>
        <v/>
      </c>
      <c r="G690" s="10">
        <f>IF($K690="","",INDEX(Конструктор!$M$2:$M$1212,$K690))</f>
        <v/>
      </c>
      <c r="H690" s="10">
        <f>IF($K690="","",INDEX(Конструктор!$N$2:$N$1212,$K690))</f>
        <v/>
      </c>
      <c r="I690" s="10">
        <f>IF($K690="","",INDEX(Конструктор!$O$2:$O$1212,$K690))</f>
        <v/>
      </c>
      <c r="J690" s="10">
        <f>IF($K690="","",INDEX(Конструктор!$P$2:$P$1212,$K690))</f>
        <v/>
      </c>
      <c r="K690">
        <f>IFERROR(MATCH(670,Конструктор!$T$2:$T$1212,0),"")</f>
        <v/>
      </c>
      <c r="L690">
        <f>IF($K690="","","показать")</f>
        <v/>
      </c>
    </row>
    <row r="691" hidden="1">
      <c r="A691">
        <f>IF($K691="","",671)</f>
        <v/>
      </c>
      <c r="B691">
        <f>IF($K691="","",INDEX(Конструктор!$C$2:$C$1212,$K691))</f>
        <v/>
      </c>
      <c r="C691" s="8">
        <f>IF($K691="","",INDEX(Конструктор!$D$2:$D$1212,$K691)&amp;IF(INDEX(Конструктор!$J$2:$J$1212,$K691)&lt;&gt;""," — "&amp;INDEX(Конструктор!$J$2:$J$1212,$K691),""))</f>
        <v/>
      </c>
      <c r="D691">
        <f>IF($K691="","",INDEX(Конструктор!$E$2:$E$1212,$K691))</f>
        <v/>
      </c>
      <c r="E691" s="10">
        <f>IF($K691="","",INDEX(Конструктор!$H$2:$H$1212,$K691))</f>
        <v/>
      </c>
      <c r="F691" s="10">
        <f>IF($K691="","",INDEX(Конструктор!$L$2:$L$1212,$K691))</f>
        <v/>
      </c>
      <c r="G691" s="10">
        <f>IF($K691="","",INDEX(Конструктор!$M$2:$M$1212,$K691))</f>
        <v/>
      </c>
      <c r="H691" s="10">
        <f>IF($K691="","",INDEX(Конструктор!$N$2:$N$1212,$K691))</f>
        <v/>
      </c>
      <c r="I691" s="10">
        <f>IF($K691="","",INDEX(Конструктор!$O$2:$O$1212,$K691))</f>
        <v/>
      </c>
      <c r="J691" s="10">
        <f>IF($K691="","",INDEX(Конструктор!$P$2:$P$1212,$K691))</f>
        <v/>
      </c>
      <c r="K691">
        <f>IFERROR(MATCH(671,Конструктор!$T$2:$T$1212,0),"")</f>
        <v/>
      </c>
      <c r="L691">
        <f>IF($K691="","","показать")</f>
        <v/>
      </c>
    </row>
    <row r="692" hidden="1">
      <c r="A692">
        <f>IF($K692="","",672)</f>
        <v/>
      </c>
      <c r="B692">
        <f>IF($K692="","",INDEX(Конструктор!$C$2:$C$1212,$K692))</f>
        <v/>
      </c>
      <c r="C692" s="8">
        <f>IF($K692="","",INDEX(Конструктор!$D$2:$D$1212,$K692)&amp;IF(INDEX(Конструктор!$J$2:$J$1212,$K692)&lt;&gt;""," — "&amp;INDEX(Конструктор!$J$2:$J$1212,$K692),""))</f>
        <v/>
      </c>
      <c r="D692">
        <f>IF($K692="","",INDEX(Конструктор!$E$2:$E$1212,$K692))</f>
        <v/>
      </c>
      <c r="E692" s="10">
        <f>IF($K692="","",INDEX(Конструктор!$H$2:$H$1212,$K692))</f>
        <v/>
      </c>
      <c r="F692" s="10">
        <f>IF($K692="","",INDEX(Конструктор!$L$2:$L$1212,$K692))</f>
        <v/>
      </c>
      <c r="G692" s="10">
        <f>IF($K692="","",INDEX(Конструктор!$M$2:$M$1212,$K692))</f>
        <v/>
      </c>
      <c r="H692" s="10">
        <f>IF($K692="","",INDEX(Конструктор!$N$2:$N$1212,$K692))</f>
        <v/>
      </c>
      <c r="I692" s="10">
        <f>IF($K692="","",INDEX(Конструктор!$O$2:$O$1212,$K692))</f>
        <v/>
      </c>
      <c r="J692" s="10">
        <f>IF($K692="","",INDEX(Конструктор!$P$2:$P$1212,$K692))</f>
        <v/>
      </c>
      <c r="K692">
        <f>IFERROR(MATCH(672,Конструктор!$T$2:$T$1212,0),"")</f>
        <v/>
      </c>
      <c r="L692">
        <f>IF($K692="","","показать")</f>
        <v/>
      </c>
    </row>
    <row r="693" hidden="1">
      <c r="A693">
        <f>IF($K693="","",673)</f>
        <v/>
      </c>
      <c r="B693">
        <f>IF($K693="","",INDEX(Конструктор!$C$2:$C$1212,$K693))</f>
        <v/>
      </c>
      <c r="C693" s="8">
        <f>IF($K693="","",INDEX(Конструктор!$D$2:$D$1212,$K693)&amp;IF(INDEX(Конструктор!$J$2:$J$1212,$K693)&lt;&gt;""," — "&amp;INDEX(Конструктор!$J$2:$J$1212,$K693),""))</f>
        <v/>
      </c>
      <c r="D693">
        <f>IF($K693="","",INDEX(Конструктор!$E$2:$E$1212,$K693))</f>
        <v/>
      </c>
      <c r="E693" s="10">
        <f>IF($K693="","",INDEX(Конструктор!$H$2:$H$1212,$K693))</f>
        <v/>
      </c>
      <c r="F693" s="10">
        <f>IF($K693="","",INDEX(Конструктор!$L$2:$L$1212,$K693))</f>
        <v/>
      </c>
      <c r="G693" s="10">
        <f>IF($K693="","",INDEX(Конструктор!$M$2:$M$1212,$K693))</f>
        <v/>
      </c>
      <c r="H693" s="10">
        <f>IF($K693="","",INDEX(Конструктор!$N$2:$N$1212,$K693))</f>
        <v/>
      </c>
      <c r="I693" s="10">
        <f>IF($K693="","",INDEX(Конструктор!$O$2:$O$1212,$K693))</f>
        <v/>
      </c>
      <c r="J693" s="10">
        <f>IF($K693="","",INDEX(Конструктор!$P$2:$P$1212,$K693))</f>
        <v/>
      </c>
      <c r="K693">
        <f>IFERROR(MATCH(673,Конструктор!$T$2:$T$1212,0),"")</f>
        <v/>
      </c>
      <c r="L693">
        <f>IF($K693="","","показать")</f>
        <v/>
      </c>
    </row>
    <row r="694" hidden="1">
      <c r="A694">
        <f>IF($K694="","",674)</f>
        <v/>
      </c>
      <c r="B694">
        <f>IF($K694="","",INDEX(Конструктор!$C$2:$C$1212,$K694))</f>
        <v/>
      </c>
      <c r="C694" s="8">
        <f>IF($K694="","",INDEX(Конструктор!$D$2:$D$1212,$K694)&amp;IF(INDEX(Конструктор!$J$2:$J$1212,$K694)&lt;&gt;""," — "&amp;INDEX(Конструктор!$J$2:$J$1212,$K694),""))</f>
        <v/>
      </c>
      <c r="D694">
        <f>IF($K694="","",INDEX(Конструктор!$E$2:$E$1212,$K694))</f>
        <v/>
      </c>
      <c r="E694" s="10">
        <f>IF($K694="","",INDEX(Конструктор!$H$2:$H$1212,$K694))</f>
        <v/>
      </c>
      <c r="F694" s="10">
        <f>IF($K694="","",INDEX(Конструктор!$L$2:$L$1212,$K694))</f>
        <v/>
      </c>
      <c r="G694" s="10">
        <f>IF($K694="","",INDEX(Конструктор!$M$2:$M$1212,$K694))</f>
        <v/>
      </c>
      <c r="H694" s="10">
        <f>IF($K694="","",INDEX(Конструктор!$N$2:$N$1212,$K694))</f>
        <v/>
      </c>
      <c r="I694" s="10">
        <f>IF($K694="","",INDEX(Конструктор!$O$2:$O$1212,$K694))</f>
        <v/>
      </c>
      <c r="J694" s="10">
        <f>IF($K694="","",INDEX(Конструктор!$P$2:$P$1212,$K694))</f>
        <v/>
      </c>
      <c r="K694">
        <f>IFERROR(MATCH(674,Конструктор!$T$2:$T$1212,0),"")</f>
        <v/>
      </c>
      <c r="L694">
        <f>IF($K694="","","показать")</f>
        <v/>
      </c>
    </row>
    <row r="695" hidden="1">
      <c r="A695">
        <f>IF($K695="","",675)</f>
        <v/>
      </c>
      <c r="B695">
        <f>IF($K695="","",INDEX(Конструктор!$C$2:$C$1212,$K695))</f>
        <v/>
      </c>
      <c r="C695" s="8">
        <f>IF($K695="","",INDEX(Конструктор!$D$2:$D$1212,$K695)&amp;IF(INDEX(Конструктор!$J$2:$J$1212,$K695)&lt;&gt;""," — "&amp;INDEX(Конструктор!$J$2:$J$1212,$K695),""))</f>
        <v/>
      </c>
      <c r="D695">
        <f>IF($K695="","",INDEX(Конструктор!$E$2:$E$1212,$K695))</f>
        <v/>
      </c>
      <c r="E695" s="10">
        <f>IF($K695="","",INDEX(Конструктор!$H$2:$H$1212,$K695))</f>
        <v/>
      </c>
      <c r="F695" s="10">
        <f>IF($K695="","",INDEX(Конструктор!$L$2:$L$1212,$K695))</f>
        <v/>
      </c>
      <c r="G695" s="10">
        <f>IF($K695="","",INDEX(Конструктор!$M$2:$M$1212,$K695))</f>
        <v/>
      </c>
      <c r="H695" s="10">
        <f>IF($K695="","",INDEX(Конструктор!$N$2:$N$1212,$K695))</f>
        <v/>
      </c>
      <c r="I695" s="10">
        <f>IF($K695="","",INDEX(Конструктор!$O$2:$O$1212,$K695))</f>
        <v/>
      </c>
      <c r="J695" s="10">
        <f>IF($K695="","",INDEX(Конструктор!$P$2:$P$1212,$K695))</f>
        <v/>
      </c>
      <c r="K695">
        <f>IFERROR(MATCH(675,Конструктор!$T$2:$T$1212,0),"")</f>
        <v/>
      </c>
      <c r="L695">
        <f>IF($K695="","","показать")</f>
        <v/>
      </c>
    </row>
    <row r="696" hidden="1">
      <c r="A696">
        <f>IF($K696="","",676)</f>
        <v/>
      </c>
      <c r="B696">
        <f>IF($K696="","",INDEX(Конструктор!$C$2:$C$1212,$K696))</f>
        <v/>
      </c>
      <c r="C696" s="8">
        <f>IF($K696="","",INDEX(Конструктор!$D$2:$D$1212,$K696)&amp;IF(INDEX(Конструктор!$J$2:$J$1212,$K696)&lt;&gt;""," — "&amp;INDEX(Конструктор!$J$2:$J$1212,$K696),""))</f>
        <v/>
      </c>
      <c r="D696">
        <f>IF($K696="","",INDEX(Конструктор!$E$2:$E$1212,$K696))</f>
        <v/>
      </c>
      <c r="E696" s="10">
        <f>IF($K696="","",INDEX(Конструктор!$H$2:$H$1212,$K696))</f>
        <v/>
      </c>
      <c r="F696" s="10">
        <f>IF($K696="","",INDEX(Конструктор!$L$2:$L$1212,$K696))</f>
        <v/>
      </c>
      <c r="G696" s="10">
        <f>IF($K696="","",INDEX(Конструктор!$M$2:$M$1212,$K696))</f>
        <v/>
      </c>
      <c r="H696" s="10">
        <f>IF($K696="","",INDEX(Конструктор!$N$2:$N$1212,$K696))</f>
        <v/>
      </c>
      <c r="I696" s="10">
        <f>IF($K696="","",INDEX(Конструктор!$O$2:$O$1212,$K696))</f>
        <v/>
      </c>
      <c r="J696" s="10">
        <f>IF($K696="","",INDEX(Конструктор!$P$2:$P$1212,$K696))</f>
        <v/>
      </c>
      <c r="K696">
        <f>IFERROR(MATCH(676,Конструктор!$T$2:$T$1212,0),"")</f>
        <v/>
      </c>
      <c r="L696">
        <f>IF($K696="","","показать")</f>
        <v/>
      </c>
    </row>
    <row r="697" hidden="1">
      <c r="A697">
        <f>IF($K697="","",677)</f>
        <v/>
      </c>
      <c r="B697">
        <f>IF($K697="","",INDEX(Конструктор!$C$2:$C$1212,$K697))</f>
        <v/>
      </c>
      <c r="C697" s="8">
        <f>IF($K697="","",INDEX(Конструктор!$D$2:$D$1212,$K697)&amp;IF(INDEX(Конструктор!$J$2:$J$1212,$K697)&lt;&gt;""," — "&amp;INDEX(Конструктор!$J$2:$J$1212,$K697),""))</f>
        <v/>
      </c>
      <c r="D697">
        <f>IF($K697="","",INDEX(Конструктор!$E$2:$E$1212,$K697))</f>
        <v/>
      </c>
      <c r="E697" s="10">
        <f>IF($K697="","",INDEX(Конструктор!$H$2:$H$1212,$K697))</f>
        <v/>
      </c>
      <c r="F697" s="10">
        <f>IF($K697="","",INDEX(Конструктор!$L$2:$L$1212,$K697))</f>
        <v/>
      </c>
      <c r="G697" s="10">
        <f>IF($K697="","",INDEX(Конструктор!$M$2:$M$1212,$K697))</f>
        <v/>
      </c>
      <c r="H697" s="10">
        <f>IF($K697="","",INDEX(Конструктор!$N$2:$N$1212,$K697))</f>
        <v/>
      </c>
      <c r="I697" s="10">
        <f>IF($K697="","",INDEX(Конструктор!$O$2:$O$1212,$K697))</f>
        <v/>
      </c>
      <c r="J697" s="10">
        <f>IF($K697="","",INDEX(Конструктор!$P$2:$P$1212,$K697))</f>
        <v/>
      </c>
      <c r="K697">
        <f>IFERROR(MATCH(677,Конструктор!$T$2:$T$1212,0),"")</f>
        <v/>
      </c>
      <c r="L697">
        <f>IF($K697="","","показать")</f>
        <v/>
      </c>
    </row>
    <row r="698" hidden="1">
      <c r="A698">
        <f>IF($K698="","",678)</f>
        <v/>
      </c>
      <c r="B698">
        <f>IF($K698="","",INDEX(Конструктор!$C$2:$C$1212,$K698))</f>
        <v/>
      </c>
      <c r="C698" s="8">
        <f>IF($K698="","",INDEX(Конструктор!$D$2:$D$1212,$K698)&amp;IF(INDEX(Конструктор!$J$2:$J$1212,$K698)&lt;&gt;""," — "&amp;INDEX(Конструктор!$J$2:$J$1212,$K698),""))</f>
        <v/>
      </c>
      <c r="D698">
        <f>IF($K698="","",INDEX(Конструктор!$E$2:$E$1212,$K698))</f>
        <v/>
      </c>
      <c r="E698" s="10">
        <f>IF($K698="","",INDEX(Конструктор!$H$2:$H$1212,$K698))</f>
        <v/>
      </c>
      <c r="F698" s="10">
        <f>IF($K698="","",INDEX(Конструктор!$L$2:$L$1212,$K698))</f>
        <v/>
      </c>
      <c r="G698" s="10">
        <f>IF($K698="","",INDEX(Конструктор!$M$2:$M$1212,$K698))</f>
        <v/>
      </c>
      <c r="H698" s="10">
        <f>IF($K698="","",INDEX(Конструктор!$N$2:$N$1212,$K698))</f>
        <v/>
      </c>
      <c r="I698" s="10">
        <f>IF($K698="","",INDEX(Конструктор!$O$2:$O$1212,$K698))</f>
        <v/>
      </c>
      <c r="J698" s="10">
        <f>IF($K698="","",INDEX(Конструктор!$P$2:$P$1212,$K698))</f>
        <v/>
      </c>
      <c r="K698">
        <f>IFERROR(MATCH(678,Конструктор!$T$2:$T$1212,0),"")</f>
        <v/>
      </c>
      <c r="L698">
        <f>IF($K698="","","показать")</f>
        <v/>
      </c>
    </row>
    <row r="699" hidden="1">
      <c r="A699">
        <f>IF($K699="","",679)</f>
        <v/>
      </c>
      <c r="B699">
        <f>IF($K699="","",INDEX(Конструктор!$C$2:$C$1212,$K699))</f>
        <v/>
      </c>
      <c r="C699" s="8">
        <f>IF($K699="","",INDEX(Конструктор!$D$2:$D$1212,$K699)&amp;IF(INDEX(Конструктор!$J$2:$J$1212,$K699)&lt;&gt;""," — "&amp;INDEX(Конструктор!$J$2:$J$1212,$K699),""))</f>
        <v/>
      </c>
      <c r="D699">
        <f>IF($K699="","",INDEX(Конструктор!$E$2:$E$1212,$K699))</f>
        <v/>
      </c>
      <c r="E699" s="10">
        <f>IF($K699="","",INDEX(Конструктор!$H$2:$H$1212,$K699))</f>
        <v/>
      </c>
      <c r="F699" s="10">
        <f>IF($K699="","",INDEX(Конструктор!$L$2:$L$1212,$K699))</f>
        <v/>
      </c>
      <c r="G699" s="10">
        <f>IF($K699="","",INDEX(Конструктор!$M$2:$M$1212,$K699))</f>
        <v/>
      </c>
      <c r="H699" s="10">
        <f>IF($K699="","",INDEX(Конструктор!$N$2:$N$1212,$K699))</f>
        <v/>
      </c>
      <c r="I699" s="10">
        <f>IF($K699="","",INDEX(Конструктор!$O$2:$O$1212,$K699))</f>
        <v/>
      </c>
      <c r="J699" s="10">
        <f>IF($K699="","",INDEX(Конструктор!$P$2:$P$1212,$K699))</f>
        <v/>
      </c>
      <c r="K699">
        <f>IFERROR(MATCH(679,Конструктор!$T$2:$T$1212,0),"")</f>
        <v/>
      </c>
      <c r="L699">
        <f>IF($K699="","","показать")</f>
        <v/>
      </c>
    </row>
    <row r="700" hidden="1">
      <c r="A700">
        <f>IF($K700="","",680)</f>
        <v/>
      </c>
      <c r="B700">
        <f>IF($K700="","",INDEX(Конструктор!$C$2:$C$1212,$K700))</f>
        <v/>
      </c>
      <c r="C700" s="8">
        <f>IF($K700="","",INDEX(Конструктор!$D$2:$D$1212,$K700)&amp;IF(INDEX(Конструктор!$J$2:$J$1212,$K700)&lt;&gt;""," — "&amp;INDEX(Конструктор!$J$2:$J$1212,$K700),""))</f>
        <v/>
      </c>
      <c r="D700">
        <f>IF($K700="","",INDEX(Конструктор!$E$2:$E$1212,$K700))</f>
        <v/>
      </c>
      <c r="E700" s="10">
        <f>IF($K700="","",INDEX(Конструктор!$H$2:$H$1212,$K700))</f>
        <v/>
      </c>
      <c r="F700" s="10">
        <f>IF($K700="","",INDEX(Конструктор!$L$2:$L$1212,$K700))</f>
        <v/>
      </c>
      <c r="G700" s="10">
        <f>IF($K700="","",INDEX(Конструктор!$M$2:$M$1212,$K700))</f>
        <v/>
      </c>
      <c r="H700" s="10">
        <f>IF($K700="","",INDEX(Конструктор!$N$2:$N$1212,$K700))</f>
        <v/>
      </c>
      <c r="I700" s="10">
        <f>IF($K700="","",INDEX(Конструктор!$O$2:$O$1212,$K700))</f>
        <v/>
      </c>
      <c r="J700" s="10">
        <f>IF($K700="","",INDEX(Конструктор!$P$2:$P$1212,$K700))</f>
        <v/>
      </c>
      <c r="K700">
        <f>IFERROR(MATCH(680,Конструктор!$T$2:$T$1212,0),"")</f>
        <v/>
      </c>
      <c r="L700">
        <f>IF($K700="","","показать")</f>
        <v/>
      </c>
    </row>
    <row r="701" hidden="1">
      <c r="A701">
        <f>IF($K701="","",681)</f>
        <v/>
      </c>
      <c r="B701">
        <f>IF($K701="","",INDEX(Конструктор!$C$2:$C$1212,$K701))</f>
        <v/>
      </c>
      <c r="C701" s="8">
        <f>IF($K701="","",INDEX(Конструктор!$D$2:$D$1212,$K701)&amp;IF(INDEX(Конструктор!$J$2:$J$1212,$K701)&lt;&gt;""," — "&amp;INDEX(Конструктор!$J$2:$J$1212,$K701),""))</f>
        <v/>
      </c>
      <c r="D701">
        <f>IF($K701="","",INDEX(Конструктор!$E$2:$E$1212,$K701))</f>
        <v/>
      </c>
      <c r="E701" s="10">
        <f>IF($K701="","",INDEX(Конструктор!$H$2:$H$1212,$K701))</f>
        <v/>
      </c>
      <c r="F701" s="10">
        <f>IF($K701="","",INDEX(Конструктор!$L$2:$L$1212,$K701))</f>
        <v/>
      </c>
      <c r="G701" s="10">
        <f>IF($K701="","",INDEX(Конструктор!$M$2:$M$1212,$K701))</f>
        <v/>
      </c>
      <c r="H701" s="10">
        <f>IF($K701="","",INDEX(Конструктор!$N$2:$N$1212,$K701))</f>
        <v/>
      </c>
      <c r="I701" s="10">
        <f>IF($K701="","",INDEX(Конструктор!$O$2:$O$1212,$K701))</f>
        <v/>
      </c>
      <c r="J701" s="10">
        <f>IF($K701="","",INDEX(Конструктор!$P$2:$P$1212,$K701))</f>
        <v/>
      </c>
      <c r="K701">
        <f>IFERROR(MATCH(681,Конструктор!$T$2:$T$1212,0),"")</f>
        <v/>
      </c>
      <c r="L701">
        <f>IF($K701="","","показать")</f>
        <v/>
      </c>
    </row>
    <row r="702" hidden="1">
      <c r="A702">
        <f>IF($K702="","",682)</f>
        <v/>
      </c>
      <c r="B702">
        <f>IF($K702="","",INDEX(Конструктор!$C$2:$C$1212,$K702))</f>
        <v/>
      </c>
      <c r="C702" s="8">
        <f>IF($K702="","",INDEX(Конструктор!$D$2:$D$1212,$K702)&amp;IF(INDEX(Конструктор!$J$2:$J$1212,$K702)&lt;&gt;""," — "&amp;INDEX(Конструктор!$J$2:$J$1212,$K702),""))</f>
        <v/>
      </c>
      <c r="D702">
        <f>IF($K702="","",INDEX(Конструктор!$E$2:$E$1212,$K702))</f>
        <v/>
      </c>
      <c r="E702" s="10">
        <f>IF($K702="","",INDEX(Конструктор!$H$2:$H$1212,$K702))</f>
        <v/>
      </c>
      <c r="F702" s="10">
        <f>IF($K702="","",INDEX(Конструктор!$L$2:$L$1212,$K702))</f>
        <v/>
      </c>
      <c r="G702" s="10">
        <f>IF($K702="","",INDEX(Конструктор!$M$2:$M$1212,$K702))</f>
        <v/>
      </c>
      <c r="H702" s="10">
        <f>IF($K702="","",INDEX(Конструктор!$N$2:$N$1212,$K702))</f>
        <v/>
      </c>
      <c r="I702" s="10">
        <f>IF($K702="","",INDEX(Конструктор!$O$2:$O$1212,$K702))</f>
        <v/>
      </c>
      <c r="J702" s="10">
        <f>IF($K702="","",INDEX(Конструктор!$P$2:$P$1212,$K702))</f>
        <v/>
      </c>
      <c r="K702">
        <f>IFERROR(MATCH(682,Конструктор!$T$2:$T$1212,0),"")</f>
        <v/>
      </c>
      <c r="L702">
        <f>IF($K702="","","показать")</f>
        <v/>
      </c>
    </row>
    <row r="703" hidden="1">
      <c r="A703">
        <f>IF($K703="","",683)</f>
        <v/>
      </c>
      <c r="B703">
        <f>IF($K703="","",INDEX(Конструктор!$C$2:$C$1212,$K703))</f>
        <v/>
      </c>
      <c r="C703" s="8">
        <f>IF($K703="","",INDEX(Конструктор!$D$2:$D$1212,$K703)&amp;IF(INDEX(Конструктор!$J$2:$J$1212,$K703)&lt;&gt;""," — "&amp;INDEX(Конструктор!$J$2:$J$1212,$K703),""))</f>
        <v/>
      </c>
      <c r="D703">
        <f>IF($K703="","",INDEX(Конструктор!$E$2:$E$1212,$K703))</f>
        <v/>
      </c>
      <c r="E703" s="10">
        <f>IF($K703="","",INDEX(Конструктор!$H$2:$H$1212,$K703))</f>
        <v/>
      </c>
      <c r="F703" s="10">
        <f>IF($K703="","",INDEX(Конструктор!$L$2:$L$1212,$K703))</f>
        <v/>
      </c>
      <c r="G703" s="10">
        <f>IF($K703="","",INDEX(Конструктор!$M$2:$M$1212,$K703))</f>
        <v/>
      </c>
      <c r="H703" s="10">
        <f>IF($K703="","",INDEX(Конструктор!$N$2:$N$1212,$K703))</f>
        <v/>
      </c>
      <c r="I703" s="10">
        <f>IF($K703="","",INDEX(Конструктор!$O$2:$O$1212,$K703))</f>
        <v/>
      </c>
      <c r="J703" s="10">
        <f>IF($K703="","",INDEX(Конструктор!$P$2:$P$1212,$K703))</f>
        <v/>
      </c>
      <c r="K703">
        <f>IFERROR(MATCH(683,Конструктор!$T$2:$T$1212,0),"")</f>
        <v/>
      </c>
      <c r="L703">
        <f>IF($K703="","","показать")</f>
        <v/>
      </c>
    </row>
    <row r="704" hidden="1">
      <c r="A704">
        <f>IF($K704="","",684)</f>
        <v/>
      </c>
      <c r="B704">
        <f>IF($K704="","",INDEX(Конструктор!$C$2:$C$1212,$K704))</f>
        <v/>
      </c>
      <c r="C704" s="8">
        <f>IF($K704="","",INDEX(Конструктор!$D$2:$D$1212,$K704)&amp;IF(INDEX(Конструктор!$J$2:$J$1212,$K704)&lt;&gt;""," — "&amp;INDEX(Конструктор!$J$2:$J$1212,$K704),""))</f>
        <v/>
      </c>
      <c r="D704">
        <f>IF($K704="","",INDEX(Конструктор!$E$2:$E$1212,$K704))</f>
        <v/>
      </c>
      <c r="E704" s="10">
        <f>IF($K704="","",INDEX(Конструктор!$H$2:$H$1212,$K704))</f>
        <v/>
      </c>
      <c r="F704" s="10">
        <f>IF($K704="","",INDEX(Конструктор!$L$2:$L$1212,$K704))</f>
        <v/>
      </c>
      <c r="G704" s="10">
        <f>IF($K704="","",INDEX(Конструктор!$M$2:$M$1212,$K704))</f>
        <v/>
      </c>
      <c r="H704" s="10">
        <f>IF($K704="","",INDEX(Конструктор!$N$2:$N$1212,$K704))</f>
        <v/>
      </c>
      <c r="I704" s="10">
        <f>IF($K704="","",INDEX(Конструктор!$O$2:$O$1212,$K704))</f>
        <v/>
      </c>
      <c r="J704" s="10">
        <f>IF($K704="","",INDEX(Конструктор!$P$2:$P$1212,$K704))</f>
        <v/>
      </c>
      <c r="K704">
        <f>IFERROR(MATCH(684,Конструктор!$T$2:$T$1212,0),"")</f>
        <v/>
      </c>
      <c r="L704">
        <f>IF($K704="","","показать")</f>
        <v/>
      </c>
    </row>
    <row r="705" hidden="1">
      <c r="A705">
        <f>IF($K705="","",685)</f>
        <v/>
      </c>
      <c r="B705">
        <f>IF($K705="","",INDEX(Конструктор!$C$2:$C$1212,$K705))</f>
        <v/>
      </c>
      <c r="C705" s="8">
        <f>IF($K705="","",INDEX(Конструктор!$D$2:$D$1212,$K705)&amp;IF(INDEX(Конструктор!$J$2:$J$1212,$K705)&lt;&gt;""," — "&amp;INDEX(Конструктор!$J$2:$J$1212,$K705),""))</f>
        <v/>
      </c>
      <c r="D705">
        <f>IF($K705="","",INDEX(Конструктор!$E$2:$E$1212,$K705))</f>
        <v/>
      </c>
      <c r="E705" s="10">
        <f>IF($K705="","",INDEX(Конструктор!$H$2:$H$1212,$K705))</f>
        <v/>
      </c>
      <c r="F705" s="10">
        <f>IF($K705="","",INDEX(Конструктор!$L$2:$L$1212,$K705))</f>
        <v/>
      </c>
      <c r="G705" s="10">
        <f>IF($K705="","",INDEX(Конструктор!$M$2:$M$1212,$K705))</f>
        <v/>
      </c>
      <c r="H705" s="10">
        <f>IF($K705="","",INDEX(Конструктор!$N$2:$N$1212,$K705))</f>
        <v/>
      </c>
      <c r="I705" s="10">
        <f>IF($K705="","",INDEX(Конструктор!$O$2:$O$1212,$K705))</f>
        <v/>
      </c>
      <c r="J705" s="10">
        <f>IF($K705="","",INDEX(Конструктор!$P$2:$P$1212,$K705))</f>
        <v/>
      </c>
      <c r="K705">
        <f>IFERROR(MATCH(685,Конструктор!$T$2:$T$1212,0),"")</f>
        <v/>
      </c>
      <c r="L705">
        <f>IF($K705="","","показать")</f>
        <v/>
      </c>
    </row>
    <row r="706" hidden="1">
      <c r="A706">
        <f>IF($K706="","",686)</f>
        <v/>
      </c>
      <c r="B706">
        <f>IF($K706="","",INDEX(Конструктор!$C$2:$C$1212,$K706))</f>
        <v/>
      </c>
      <c r="C706" s="8">
        <f>IF($K706="","",INDEX(Конструктор!$D$2:$D$1212,$K706)&amp;IF(INDEX(Конструктор!$J$2:$J$1212,$K706)&lt;&gt;""," — "&amp;INDEX(Конструктор!$J$2:$J$1212,$K706),""))</f>
        <v/>
      </c>
      <c r="D706">
        <f>IF($K706="","",INDEX(Конструктор!$E$2:$E$1212,$K706))</f>
        <v/>
      </c>
      <c r="E706" s="10">
        <f>IF($K706="","",INDEX(Конструктор!$H$2:$H$1212,$K706))</f>
        <v/>
      </c>
      <c r="F706" s="10">
        <f>IF($K706="","",INDEX(Конструктор!$L$2:$L$1212,$K706))</f>
        <v/>
      </c>
      <c r="G706" s="10">
        <f>IF($K706="","",INDEX(Конструктор!$M$2:$M$1212,$K706))</f>
        <v/>
      </c>
      <c r="H706" s="10">
        <f>IF($K706="","",INDEX(Конструктор!$N$2:$N$1212,$K706))</f>
        <v/>
      </c>
      <c r="I706" s="10">
        <f>IF($K706="","",INDEX(Конструктор!$O$2:$O$1212,$K706))</f>
        <v/>
      </c>
      <c r="J706" s="10">
        <f>IF($K706="","",INDEX(Конструктор!$P$2:$P$1212,$K706))</f>
        <v/>
      </c>
      <c r="K706">
        <f>IFERROR(MATCH(686,Конструктор!$T$2:$T$1212,0),"")</f>
        <v/>
      </c>
      <c r="L706">
        <f>IF($K706="","","показать")</f>
        <v/>
      </c>
    </row>
    <row r="707" hidden="1">
      <c r="A707">
        <f>IF($K707="","",687)</f>
        <v/>
      </c>
      <c r="B707">
        <f>IF($K707="","",INDEX(Конструктор!$C$2:$C$1212,$K707))</f>
        <v/>
      </c>
      <c r="C707" s="8">
        <f>IF($K707="","",INDEX(Конструктор!$D$2:$D$1212,$K707)&amp;IF(INDEX(Конструктор!$J$2:$J$1212,$K707)&lt;&gt;""," — "&amp;INDEX(Конструктор!$J$2:$J$1212,$K707),""))</f>
        <v/>
      </c>
      <c r="D707">
        <f>IF($K707="","",INDEX(Конструктор!$E$2:$E$1212,$K707))</f>
        <v/>
      </c>
      <c r="E707" s="10">
        <f>IF($K707="","",INDEX(Конструктор!$H$2:$H$1212,$K707))</f>
        <v/>
      </c>
      <c r="F707" s="10">
        <f>IF($K707="","",INDEX(Конструктор!$L$2:$L$1212,$K707))</f>
        <v/>
      </c>
      <c r="G707" s="10">
        <f>IF($K707="","",INDEX(Конструктор!$M$2:$M$1212,$K707))</f>
        <v/>
      </c>
      <c r="H707" s="10">
        <f>IF($K707="","",INDEX(Конструктор!$N$2:$N$1212,$K707))</f>
        <v/>
      </c>
      <c r="I707" s="10">
        <f>IF($K707="","",INDEX(Конструктор!$O$2:$O$1212,$K707))</f>
        <v/>
      </c>
      <c r="J707" s="10">
        <f>IF($K707="","",INDEX(Конструктор!$P$2:$P$1212,$K707))</f>
        <v/>
      </c>
      <c r="K707">
        <f>IFERROR(MATCH(687,Конструктор!$T$2:$T$1212,0),"")</f>
        <v/>
      </c>
      <c r="L707">
        <f>IF($K707="","","показать")</f>
        <v/>
      </c>
    </row>
    <row r="708" hidden="1">
      <c r="A708">
        <f>IF($K708="","",688)</f>
        <v/>
      </c>
      <c r="B708">
        <f>IF($K708="","",INDEX(Конструктор!$C$2:$C$1212,$K708))</f>
        <v/>
      </c>
      <c r="C708" s="8">
        <f>IF($K708="","",INDEX(Конструктор!$D$2:$D$1212,$K708)&amp;IF(INDEX(Конструктор!$J$2:$J$1212,$K708)&lt;&gt;""," — "&amp;INDEX(Конструктор!$J$2:$J$1212,$K708),""))</f>
        <v/>
      </c>
      <c r="D708">
        <f>IF($K708="","",INDEX(Конструктор!$E$2:$E$1212,$K708))</f>
        <v/>
      </c>
      <c r="E708" s="10">
        <f>IF($K708="","",INDEX(Конструктор!$H$2:$H$1212,$K708))</f>
        <v/>
      </c>
      <c r="F708" s="10">
        <f>IF($K708="","",INDEX(Конструктор!$L$2:$L$1212,$K708))</f>
        <v/>
      </c>
      <c r="G708" s="10">
        <f>IF($K708="","",INDEX(Конструктор!$M$2:$M$1212,$K708))</f>
        <v/>
      </c>
      <c r="H708" s="10">
        <f>IF($K708="","",INDEX(Конструктор!$N$2:$N$1212,$K708))</f>
        <v/>
      </c>
      <c r="I708" s="10">
        <f>IF($K708="","",INDEX(Конструктор!$O$2:$O$1212,$K708))</f>
        <v/>
      </c>
      <c r="J708" s="10">
        <f>IF($K708="","",INDEX(Конструктор!$P$2:$P$1212,$K708))</f>
        <v/>
      </c>
      <c r="K708">
        <f>IFERROR(MATCH(688,Конструктор!$T$2:$T$1212,0),"")</f>
        <v/>
      </c>
      <c r="L708">
        <f>IF($K708="","","показать")</f>
        <v/>
      </c>
    </row>
    <row r="709" hidden="1">
      <c r="A709">
        <f>IF($K709="","",689)</f>
        <v/>
      </c>
      <c r="B709">
        <f>IF($K709="","",INDEX(Конструктор!$C$2:$C$1212,$K709))</f>
        <v/>
      </c>
      <c r="C709" s="8">
        <f>IF($K709="","",INDEX(Конструктор!$D$2:$D$1212,$K709)&amp;IF(INDEX(Конструктор!$J$2:$J$1212,$K709)&lt;&gt;""," — "&amp;INDEX(Конструктор!$J$2:$J$1212,$K709),""))</f>
        <v/>
      </c>
      <c r="D709">
        <f>IF($K709="","",INDEX(Конструктор!$E$2:$E$1212,$K709))</f>
        <v/>
      </c>
      <c r="E709" s="10">
        <f>IF($K709="","",INDEX(Конструктор!$H$2:$H$1212,$K709))</f>
        <v/>
      </c>
      <c r="F709" s="10">
        <f>IF($K709="","",INDEX(Конструктор!$L$2:$L$1212,$K709))</f>
        <v/>
      </c>
      <c r="G709" s="10">
        <f>IF($K709="","",INDEX(Конструктор!$M$2:$M$1212,$K709))</f>
        <v/>
      </c>
      <c r="H709" s="10">
        <f>IF($K709="","",INDEX(Конструктор!$N$2:$N$1212,$K709))</f>
        <v/>
      </c>
      <c r="I709" s="10">
        <f>IF($K709="","",INDEX(Конструктор!$O$2:$O$1212,$K709))</f>
        <v/>
      </c>
      <c r="J709" s="10">
        <f>IF($K709="","",INDEX(Конструктор!$P$2:$P$1212,$K709))</f>
        <v/>
      </c>
      <c r="K709">
        <f>IFERROR(MATCH(689,Конструктор!$T$2:$T$1212,0),"")</f>
        <v/>
      </c>
      <c r="L709">
        <f>IF($K709="","","показать")</f>
        <v/>
      </c>
    </row>
    <row r="710" hidden="1">
      <c r="A710">
        <f>IF($K710="","",690)</f>
        <v/>
      </c>
      <c r="B710">
        <f>IF($K710="","",INDEX(Конструктор!$C$2:$C$1212,$K710))</f>
        <v/>
      </c>
      <c r="C710" s="8">
        <f>IF($K710="","",INDEX(Конструктор!$D$2:$D$1212,$K710)&amp;IF(INDEX(Конструктор!$J$2:$J$1212,$K710)&lt;&gt;""," — "&amp;INDEX(Конструктор!$J$2:$J$1212,$K710),""))</f>
        <v/>
      </c>
      <c r="D710">
        <f>IF($K710="","",INDEX(Конструктор!$E$2:$E$1212,$K710))</f>
        <v/>
      </c>
      <c r="E710" s="10">
        <f>IF($K710="","",INDEX(Конструктор!$H$2:$H$1212,$K710))</f>
        <v/>
      </c>
      <c r="F710" s="10">
        <f>IF($K710="","",INDEX(Конструктор!$L$2:$L$1212,$K710))</f>
        <v/>
      </c>
      <c r="G710" s="10">
        <f>IF($K710="","",INDEX(Конструктор!$M$2:$M$1212,$K710))</f>
        <v/>
      </c>
      <c r="H710" s="10">
        <f>IF($K710="","",INDEX(Конструктор!$N$2:$N$1212,$K710))</f>
        <v/>
      </c>
      <c r="I710" s="10">
        <f>IF($K710="","",INDEX(Конструктор!$O$2:$O$1212,$K710))</f>
        <v/>
      </c>
      <c r="J710" s="10">
        <f>IF($K710="","",INDEX(Конструктор!$P$2:$P$1212,$K710))</f>
        <v/>
      </c>
      <c r="K710">
        <f>IFERROR(MATCH(690,Конструктор!$T$2:$T$1212,0),"")</f>
        <v/>
      </c>
      <c r="L710">
        <f>IF($K710="","","показать")</f>
        <v/>
      </c>
    </row>
    <row r="711" hidden="1">
      <c r="A711">
        <f>IF($K711="","",691)</f>
        <v/>
      </c>
      <c r="B711">
        <f>IF($K711="","",INDEX(Конструктор!$C$2:$C$1212,$K711))</f>
        <v/>
      </c>
      <c r="C711" s="8">
        <f>IF($K711="","",INDEX(Конструктор!$D$2:$D$1212,$K711)&amp;IF(INDEX(Конструктор!$J$2:$J$1212,$K711)&lt;&gt;""," — "&amp;INDEX(Конструктор!$J$2:$J$1212,$K711),""))</f>
        <v/>
      </c>
      <c r="D711">
        <f>IF($K711="","",INDEX(Конструктор!$E$2:$E$1212,$K711))</f>
        <v/>
      </c>
      <c r="E711" s="10">
        <f>IF($K711="","",INDEX(Конструктор!$H$2:$H$1212,$K711))</f>
        <v/>
      </c>
      <c r="F711" s="10">
        <f>IF($K711="","",INDEX(Конструктор!$L$2:$L$1212,$K711))</f>
        <v/>
      </c>
      <c r="G711" s="10">
        <f>IF($K711="","",INDEX(Конструктор!$M$2:$M$1212,$K711))</f>
        <v/>
      </c>
      <c r="H711" s="10">
        <f>IF($K711="","",INDEX(Конструктор!$N$2:$N$1212,$K711))</f>
        <v/>
      </c>
      <c r="I711" s="10">
        <f>IF($K711="","",INDEX(Конструктор!$O$2:$O$1212,$K711))</f>
        <v/>
      </c>
      <c r="J711" s="10">
        <f>IF($K711="","",INDEX(Конструктор!$P$2:$P$1212,$K711))</f>
        <v/>
      </c>
      <c r="K711">
        <f>IFERROR(MATCH(691,Конструктор!$T$2:$T$1212,0),"")</f>
        <v/>
      </c>
      <c r="L711">
        <f>IF($K711="","","показать")</f>
        <v/>
      </c>
    </row>
    <row r="712" hidden="1">
      <c r="A712">
        <f>IF($K712="","",692)</f>
        <v/>
      </c>
      <c r="B712">
        <f>IF($K712="","",INDEX(Конструктор!$C$2:$C$1212,$K712))</f>
        <v/>
      </c>
      <c r="C712" s="8">
        <f>IF($K712="","",INDEX(Конструктор!$D$2:$D$1212,$K712)&amp;IF(INDEX(Конструктор!$J$2:$J$1212,$K712)&lt;&gt;""," — "&amp;INDEX(Конструктор!$J$2:$J$1212,$K712),""))</f>
        <v/>
      </c>
      <c r="D712">
        <f>IF($K712="","",INDEX(Конструктор!$E$2:$E$1212,$K712))</f>
        <v/>
      </c>
      <c r="E712" s="10">
        <f>IF($K712="","",INDEX(Конструктор!$H$2:$H$1212,$K712))</f>
        <v/>
      </c>
      <c r="F712" s="10">
        <f>IF($K712="","",INDEX(Конструктор!$L$2:$L$1212,$K712))</f>
        <v/>
      </c>
      <c r="G712" s="10">
        <f>IF($K712="","",INDEX(Конструктор!$M$2:$M$1212,$K712))</f>
        <v/>
      </c>
      <c r="H712" s="10">
        <f>IF($K712="","",INDEX(Конструктор!$N$2:$N$1212,$K712))</f>
        <v/>
      </c>
      <c r="I712" s="10">
        <f>IF($K712="","",INDEX(Конструктор!$O$2:$O$1212,$K712))</f>
        <v/>
      </c>
      <c r="J712" s="10">
        <f>IF($K712="","",INDEX(Конструктор!$P$2:$P$1212,$K712))</f>
        <v/>
      </c>
      <c r="K712">
        <f>IFERROR(MATCH(692,Конструктор!$T$2:$T$1212,0),"")</f>
        <v/>
      </c>
      <c r="L712">
        <f>IF($K712="","","показать")</f>
        <v/>
      </c>
    </row>
    <row r="713" hidden="1">
      <c r="A713">
        <f>IF($K713="","",693)</f>
        <v/>
      </c>
      <c r="B713">
        <f>IF($K713="","",INDEX(Конструктор!$C$2:$C$1212,$K713))</f>
        <v/>
      </c>
      <c r="C713" s="8">
        <f>IF($K713="","",INDEX(Конструктор!$D$2:$D$1212,$K713)&amp;IF(INDEX(Конструктор!$J$2:$J$1212,$K713)&lt;&gt;""," — "&amp;INDEX(Конструктор!$J$2:$J$1212,$K713),""))</f>
        <v/>
      </c>
      <c r="D713">
        <f>IF($K713="","",INDEX(Конструктор!$E$2:$E$1212,$K713))</f>
        <v/>
      </c>
      <c r="E713" s="10">
        <f>IF($K713="","",INDEX(Конструктор!$H$2:$H$1212,$K713))</f>
        <v/>
      </c>
      <c r="F713" s="10">
        <f>IF($K713="","",INDEX(Конструктор!$L$2:$L$1212,$K713))</f>
        <v/>
      </c>
      <c r="G713" s="10">
        <f>IF($K713="","",INDEX(Конструктор!$M$2:$M$1212,$K713))</f>
        <v/>
      </c>
      <c r="H713" s="10">
        <f>IF($K713="","",INDEX(Конструктор!$N$2:$N$1212,$K713))</f>
        <v/>
      </c>
      <c r="I713" s="10">
        <f>IF($K713="","",INDEX(Конструктор!$O$2:$O$1212,$K713))</f>
        <v/>
      </c>
      <c r="J713" s="10">
        <f>IF($K713="","",INDEX(Конструктор!$P$2:$P$1212,$K713))</f>
        <v/>
      </c>
      <c r="K713">
        <f>IFERROR(MATCH(693,Конструктор!$T$2:$T$1212,0),"")</f>
        <v/>
      </c>
      <c r="L713">
        <f>IF($K713="","","показать")</f>
        <v/>
      </c>
    </row>
    <row r="714" hidden="1">
      <c r="A714">
        <f>IF($K714="","",694)</f>
        <v/>
      </c>
      <c r="B714">
        <f>IF($K714="","",INDEX(Конструктор!$C$2:$C$1212,$K714))</f>
        <v/>
      </c>
      <c r="C714" s="8">
        <f>IF($K714="","",INDEX(Конструктор!$D$2:$D$1212,$K714)&amp;IF(INDEX(Конструктор!$J$2:$J$1212,$K714)&lt;&gt;""," — "&amp;INDEX(Конструктор!$J$2:$J$1212,$K714),""))</f>
        <v/>
      </c>
      <c r="D714">
        <f>IF($K714="","",INDEX(Конструктор!$E$2:$E$1212,$K714))</f>
        <v/>
      </c>
      <c r="E714" s="10">
        <f>IF($K714="","",INDEX(Конструктор!$H$2:$H$1212,$K714))</f>
        <v/>
      </c>
      <c r="F714" s="10">
        <f>IF($K714="","",INDEX(Конструктор!$L$2:$L$1212,$K714))</f>
        <v/>
      </c>
      <c r="G714" s="10">
        <f>IF($K714="","",INDEX(Конструктор!$M$2:$M$1212,$K714))</f>
        <v/>
      </c>
      <c r="H714" s="10">
        <f>IF($K714="","",INDEX(Конструктор!$N$2:$N$1212,$K714))</f>
        <v/>
      </c>
      <c r="I714" s="10">
        <f>IF($K714="","",INDEX(Конструктор!$O$2:$O$1212,$K714))</f>
        <v/>
      </c>
      <c r="J714" s="10">
        <f>IF($K714="","",INDEX(Конструктор!$P$2:$P$1212,$K714))</f>
        <v/>
      </c>
      <c r="K714">
        <f>IFERROR(MATCH(694,Конструктор!$T$2:$T$1212,0),"")</f>
        <v/>
      </c>
      <c r="L714">
        <f>IF($K714="","","показать")</f>
        <v/>
      </c>
    </row>
    <row r="715" hidden="1">
      <c r="A715">
        <f>IF($K715="","",695)</f>
        <v/>
      </c>
      <c r="B715">
        <f>IF($K715="","",INDEX(Конструктор!$C$2:$C$1212,$K715))</f>
        <v/>
      </c>
      <c r="C715" s="8">
        <f>IF($K715="","",INDEX(Конструктор!$D$2:$D$1212,$K715)&amp;IF(INDEX(Конструктор!$J$2:$J$1212,$K715)&lt;&gt;""," — "&amp;INDEX(Конструктор!$J$2:$J$1212,$K715),""))</f>
        <v/>
      </c>
      <c r="D715">
        <f>IF($K715="","",INDEX(Конструктор!$E$2:$E$1212,$K715))</f>
        <v/>
      </c>
      <c r="E715" s="10">
        <f>IF($K715="","",INDEX(Конструктор!$H$2:$H$1212,$K715))</f>
        <v/>
      </c>
      <c r="F715" s="10">
        <f>IF($K715="","",INDEX(Конструктор!$L$2:$L$1212,$K715))</f>
        <v/>
      </c>
      <c r="G715" s="10">
        <f>IF($K715="","",INDEX(Конструктор!$M$2:$M$1212,$K715))</f>
        <v/>
      </c>
      <c r="H715" s="10">
        <f>IF($K715="","",INDEX(Конструктор!$N$2:$N$1212,$K715))</f>
        <v/>
      </c>
      <c r="I715" s="10">
        <f>IF($K715="","",INDEX(Конструктор!$O$2:$O$1212,$K715))</f>
        <v/>
      </c>
      <c r="J715" s="10">
        <f>IF($K715="","",INDEX(Конструктор!$P$2:$P$1212,$K715))</f>
        <v/>
      </c>
      <c r="K715">
        <f>IFERROR(MATCH(695,Конструктор!$T$2:$T$1212,0),"")</f>
        <v/>
      </c>
      <c r="L715">
        <f>IF($K715="","","показать")</f>
        <v/>
      </c>
    </row>
    <row r="716" hidden="1">
      <c r="A716">
        <f>IF($K716="","",696)</f>
        <v/>
      </c>
      <c r="B716">
        <f>IF($K716="","",INDEX(Конструктор!$C$2:$C$1212,$K716))</f>
        <v/>
      </c>
      <c r="C716" s="8">
        <f>IF($K716="","",INDEX(Конструктор!$D$2:$D$1212,$K716)&amp;IF(INDEX(Конструктор!$J$2:$J$1212,$K716)&lt;&gt;""," — "&amp;INDEX(Конструктор!$J$2:$J$1212,$K716),""))</f>
        <v/>
      </c>
      <c r="D716">
        <f>IF($K716="","",INDEX(Конструктор!$E$2:$E$1212,$K716))</f>
        <v/>
      </c>
      <c r="E716" s="10">
        <f>IF($K716="","",INDEX(Конструктор!$H$2:$H$1212,$K716))</f>
        <v/>
      </c>
      <c r="F716" s="10">
        <f>IF($K716="","",INDEX(Конструктор!$L$2:$L$1212,$K716))</f>
        <v/>
      </c>
      <c r="G716" s="10">
        <f>IF($K716="","",INDEX(Конструктор!$M$2:$M$1212,$K716))</f>
        <v/>
      </c>
      <c r="H716" s="10">
        <f>IF($K716="","",INDEX(Конструктор!$N$2:$N$1212,$K716))</f>
        <v/>
      </c>
      <c r="I716" s="10">
        <f>IF($K716="","",INDEX(Конструктор!$O$2:$O$1212,$K716))</f>
        <v/>
      </c>
      <c r="J716" s="10">
        <f>IF($K716="","",INDEX(Конструктор!$P$2:$P$1212,$K716))</f>
        <v/>
      </c>
      <c r="K716">
        <f>IFERROR(MATCH(696,Конструктор!$T$2:$T$1212,0),"")</f>
        <v/>
      </c>
      <c r="L716">
        <f>IF($K716="","","показать")</f>
        <v/>
      </c>
    </row>
    <row r="717" hidden="1">
      <c r="A717">
        <f>IF($K717="","",697)</f>
        <v/>
      </c>
      <c r="B717">
        <f>IF($K717="","",INDEX(Конструктор!$C$2:$C$1212,$K717))</f>
        <v/>
      </c>
      <c r="C717" s="8">
        <f>IF($K717="","",INDEX(Конструктор!$D$2:$D$1212,$K717)&amp;IF(INDEX(Конструктор!$J$2:$J$1212,$K717)&lt;&gt;""," — "&amp;INDEX(Конструктор!$J$2:$J$1212,$K717),""))</f>
        <v/>
      </c>
      <c r="D717">
        <f>IF($K717="","",INDEX(Конструктор!$E$2:$E$1212,$K717))</f>
        <v/>
      </c>
      <c r="E717" s="10">
        <f>IF($K717="","",INDEX(Конструктор!$H$2:$H$1212,$K717))</f>
        <v/>
      </c>
      <c r="F717" s="10">
        <f>IF($K717="","",INDEX(Конструктор!$L$2:$L$1212,$K717))</f>
        <v/>
      </c>
      <c r="G717" s="10">
        <f>IF($K717="","",INDEX(Конструктор!$M$2:$M$1212,$K717))</f>
        <v/>
      </c>
      <c r="H717" s="10">
        <f>IF($K717="","",INDEX(Конструктор!$N$2:$N$1212,$K717))</f>
        <v/>
      </c>
      <c r="I717" s="10">
        <f>IF($K717="","",INDEX(Конструктор!$O$2:$O$1212,$K717))</f>
        <v/>
      </c>
      <c r="J717" s="10">
        <f>IF($K717="","",INDEX(Конструктор!$P$2:$P$1212,$K717))</f>
        <v/>
      </c>
      <c r="K717">
        <f>IFERROR(MATCH(697,Конструктор!$T$2:$T$1212,0),"")</f>
        <v/>
      </c>
      <c r="L717">
        <f>IF($K717="","","показать")</f>
        <v/>
      </c>
    </row>
    <row r="718" hidden="1">
      <c r="A718">
        <f>IF($K718="","",698)</f>
        <v/>
      </c>
      <c r="B718">
        <f>IF($K718="","",INDEX(Конструктор!$C$2:$C$1212,$K718))</f>
        <v/>
      </c>
      <c r="C718" s="8">
        <f>IF($K718="","",INDEX(Конструктор!$D$2:$D$1212,$K718)&amp;IF(INDEX(Конструктор!$J$2:$J$1212,$K718)&lt;&gt;""," — "&amp;INDEX(Конструктор!$J$2:$J$1212,$K718),""))</f>
        <v/>
      </c>
      <c r="D718">
        <f>IF($K718="","",INDEX(Конструктор!$E$2:$E$1212,$K718))</f>
        <v/>
      </c>
      <c r="E718" s="10">
        <f>IF($K718="","",INDEX(Конструктор!$H$2:$H$1212,$K718))</f>
        <v/>
      </c>
      <c r="F718" s="10">
        <f>IF($K718="","",INDEX(Конструктор!$L$2:$L$1212,$K718))</f>
        <v/>
      </c>
      <c r="G718" s="10">
        <f>IF($K718="","",INDEX(Конструктор!$M$2:$M$1212,$K718))</f>
        <v/>
      </c>
      <c r="H718" s="10">
        <f>IF($K718="","",INDEX(Конструктор!$N$2:$N$1212,$K718))</f>
        <v/>
      </c>
      <c r="I718" s="10">
        <f>IF($K718="","",INDEX(Конструктор!$O$2:$O$1212,$K718))</f>
        <v/>
      </c>
      <c r="J718" s="10">
        <f>IF($K718="","",INDEX(Конструктор!$P$2:$P$1212,$K718))</f>
        <v/>
      </c>
      <c r="K718">
        <f>IFERROR(MATCH(698,Конструктор!$T$2:$T$1212,0),"")</f>
        <v/>
      </c>
      <c r="L718">
        <f>IF($K718="","","показать")</f>
        <v/>
      </c>
    </row>
    <row r="719" hidden="1">
      <c r="A719">
        <f>IF($K719="","",699)</f>
        <v/>
      </c>
      <c r="B719">
        <f>IF($K719="","",INDEX(Конструктор!$C$2:$C$1212,$K719))</f>
        <v/>
      </c>
      <c r="C719" s="8">
        <f>IF($K719="","",INDEX(Конструктор!$D$2:$D$1212,$K719)&amp;IF(INDEX(Конструктор!$J$2:$J$1212,$K719)&lt;&gt;""," — "&amp;INDEX(Конструктор!$J$2:$J$1212,$K719),""))</f>
        <v/>
      </c>
      <c r="D719">
        <f>IF($K719="","",INDEX(Конструктор!$E$2:$E$1212,$K719))</f>
        <v/>
      </c>
      <c r="E719" s="10">
        <f>IF($K719="","",INDEX(Конструктор!$H$2:$H$1212,$K719))</f>
        <v/>
      </c>
      <c r="F719" s="10">
        <f>IF($K719="","",INDEX(Конструктор!$L$2:$L$1212,$K719))</f>
        <v/>
      </c>
      <c r="G719" s="10">
        <f>IF($K719="","",INDEX(Конструктор!$M$2:$M$1212,$K719))</f>
        <v/>
      </c>
      <c r="H719" s="10">
        <f>IF($K719="","",INDEX(Конструктор!$N$2:$N$1212,$K719))</f>
        <v/>
      </c>
      <c r="I719" s="10">
        <f>IF($K719="","",INDEX(Конструктор!$O$2:$O$1212,$K719))</f>
        <v/>
      </c>
      <c r="J719" s="10">
        <f>IF($K719="","",INDEX(Конструктор!$P$2:$P$1212,$K719))</f>
        <v/>
      </c>
      <c r="K719">
        <f>IFERROR(MATCH(699,Конструктор!$T$2:$T$1212,0),"")</f>
        <v/>
      </c>
      <c r="L719">
        <f>IF($K719="","","показать")</f>
        <v/>
      </c>
    </row>
    <row r="720" hidden="1">
      <c r="A720">
        <f>IF($K720="","",700)</f>
        <v/>
      </c>
      <c r="B720">
        <f>IF($K720="","",INDEX(Конструктор!$C$2:$C$1212,$K720))</f>
        <v/>
      </c>
      <c r="C720" s="8">
        <f>IF($K720="","",INDEX(Конструктор!$D$2:$D$1212,$K720)&amp;IF(INDEX(Конструктор!$J$2:$J$1212,$K720)&lt;&gt;""," — "&amp;INDEX(Конструктор!$J$2:$J$1212,$K720),""))</f>
        <v/>
      </c>
      <c r="D720">
        <f>IF($K720="","",INDEX(Конструктор!$E$2:$E$1212,$K720))</f>
        <v/>
      </c>
      <c r="E720" s="10">
        <f>IF($K720="","",INDEX(Конструктор!$H$2:$H$1212,$K720))</f>
        <v/>
      </c>
      <c r="F720" s="10">
        <f>IF($K720="","",INDEX(Конструктор!$L$2:$L$1212,$K720))</f>
        <v/>
      </c>
      <c r="G720" s="10">
        <f>IF($K720="","",INDEX(Конструктор!$M$2:$M$1212,$K720))</f>
        <v/>
      </c>
      <c r="H720" s="10">
        <f>IF($K720="","",INDEX(Конструктор!$N$2:$N$1212,$K720))</f>
        <v/>
      </c>
      <c r="I720" s="10">
        <f>IF($K720="","",INDEX(Конструктор!$O$2:$O$1212,$K720))</f>
        <v/>
      </c>
      <c r="J720" s="10">
        <f>IF($K720="","",INDEX(Конструктор!$P$2:$P$1212,$K720))</f>
        <v/>
      </c>
      <c r="K720">
        <f>IFERROR(MATCH(700,Конструктор!$T$2:$T$1212,0),"")</f>
        <v/>
      </c>
      <c r="L720">
        <f>IF($K720="","","показать")</f>
        <v/>
      </c>
    </row>
    <row r="721" hidden="1">
      <c r="A721">
        <f>IF($K721="","",701)</f>
        <v/>
      </c>
      <c r="B721">
        <f>IF($K721="","",INDEX(Конструктор!$C$2:$C$1212,$K721))</f>
        <v/>
      </c>
      <c r="C721" s="8">
        <f>IF($K721="","",INDEX(Конструктор!$D$2:$D$1212,$K721)&amp;IF(INDEX(Конструктор!$J$2:$J$1212,$K721)&lt;&gt;""," — "&amp;INDEX(Конструктор!$J$2:$J$1212,$K721),""))</f>
        <v/>
      </c>
      <c r="D721">
        <f>IF($K721="","",INDEX(Конструктор!$E$2:$E$1212,$K721))</f>
        <v/>
      </c>
      <c r="E721" s="10">
        <f>IF($K721="","",INDEX(Конструктор!$H$2:$H$1212,$K721))</f>
        <v/>
      </c>
      <c r="F721" s="10">
        <f>IF($K721="","",INDEX(Конструктор!$L$2:$L$1212,$K721))</f>
        <v/>
      </c>
      <c r="G721" s="10">
        <f>IF($K721="","",INDEX(Конструктор!$M$2:$M$1212,$K721))</f>
        <v/>
      </c>
      <c r="H721" s="10">
        <f>IF($K721="","",INDEX(Конструктор!$N$2:$N$1212,$K721))</f>
        <v/>
      </c>
      <c r="I721" s="10">
        <f>IF($K721="","",INDEX(Конструктор!$O$2:$O$1212,$K721))</f>
        <v/>
      </c>
      <c r="J721" s="10">
        <f>IF($K721="","",INDEX(Конструктор!$P$2:$P$1212,$K721))</f>
        <v/>
      </c>
      <c r="K721">
        <f>IFERROR(MATCH(701,Конструктор!$T$2:$T$1212,0),"")</f>
        <v/>
      </c>
      <c r="L721">
        <f>IF($K721="","","показать")</f>
        <v/>
      </c>
    </row>
    <row r="722" hidden="1">
      <c r="A722">
        <f>IF($K722="","",702)</f>
        <v/>
      </c>
      <c r="B722">
        <f>IF($K722="","",INDEX(Конструктор!$C$2:$C$1212,$K722))</f>
        <v/>
      </c>
      <c r="C722" s="8">
        <f>IF($K722="","",INDEX(Конструктор!$D$2:$D$1212,$K722)&amp;IF(INDEX(Конструктор!$J$2:$J$1212,$K722)&lt;&gt;""," — "&amp;INDEX(Конструктор!$J$2:$J$1212,$K722),""))</f>
        <v/>
      </c>
      <c r="D722">
        <f>IF($K722="","",INDEX(Конструктор!$E$2:$E$1212,$K722))</f>
        <v/>
      </c>
      <c r="E722" s="10">
        <f>IF($K722="","",INDEX(Конструктор!$H$2:$H$1212,$K722))</f>
        <v/>
      </c>
      <c r="F722" s="10">
        <f>IF($K722="","",INDEX(Конструктор!$L$2:$L$1212,$K722))</f>
        <v/>
      </c>
      <c r="G722" s="10">
        <f>IF($K722="","",INDEX(Конструктор!$M$2:$M$1212,$K722))</f>
        <v/>
      </c>
      <c r="H722" s="10">
        <f>IF($K722="","",INDEX(Конструктор!$N$2:$N$1212,$K722))</f>
        <v/>
      </c>
      <c r="I722" s="10">
        <f>IF($K722="","",INDEX(Конструктор!$O$2:$O$1212,$K722))</f>
        <v/>
      </c>
      <c r="J722" s="10">
        <f>IF($K722="","",INDEX(Конструктор!$P$2:$P$1212,$K722))</f>
        <v/>
      </c>
      <c r="K722">
        <f>IFERROR(MATCH(702,Конструктор!$T$2:$T$1212,0),"")</f>
        <v/>
      </c>
      <c r="L722">
        <f>IF($K722="","","показать")</f>
        <v/>
      </c>
    </row>
    <row r="723" hidden="1">
      <c r="A723">
        <f>IF($K723="","",703)</f>
        <v/>
      </c>
      <c r="B723">
        <f>IF($K723="","",INDEX(Конструктор!$C$2:$C$1212,$K723))</f>
        <v/>
      </c>
      <c r="C723" s="8">
        <f>IF($K723="","",INDEX(Конструктор!$D$2:$D$1212,$K723)&amp;IF(INDEX(Конструктор!$J$2:$J$1212,$K723)&lt;&gt;""," — "&amp;INDEX(Конструктор!$J$2:$J$1212,$K723),""))</f>
        <v/>
      </c>
      <c r="D723">
        <f>IF($K723="","",INDEX(Конструктор!$E$2:$E$1212,$K723))</f>
        <v/>
      </c>
      <c r="E723" s="10">
        <f>IF($K723="","",INDEX(Конструктор!$H$2:$H$1212,$K723))</f>
        <v/>
      </c>
      <c r="F723" s="10">
        <f>IF($K723="","",INDEX(Конструктор!$L$2:$L$1212,$K723))</f>
        <v/>
      </c>
      <c r="G723" s="10">
        <f>IF($K723="","",INDEX(Конструктор!$M$2:$M$1212,$K723))</f>
        <v/>
      </c>
      <c r="H723" s="10">
        <f>IF($K723="","",INDEX(Конструктор!$N$2:$N$1212,$K723))</f>
        <v/>
      </c>
      <c r="I723" s="10">
        <f>IF($K723="","",INDEX(Конструктор!$O$2:$O$1212,$K723))</f>
        <v/>
      </c>
      <c r="J723" s="10">
        <f>IF($K723="","",INDEX(Конструктор!$P$2:$P$1212,$K723))</f>
        <v/>
      </c>
      <c r="K723">
        <f>IFERROR(MATCH(703,Конструктор!$T$2:$T$1212,0),"")</f>
        <v/>
      </c>
      <c r="L723">
        <f>IF($K723="","","показать")</f>
        <v/>
      </c>
    </row>
    <row r="724" hidden="1">
      <c r="A724">
        <f>IF($K724="","",704)</f>
        <v/>
      </c>
      <c r="B724">
        <f>IF($K724="","",INDEX(Конструктор!$C$2:$C$1212,$K724))</f>
        <v/>
      </c>
      <c r="C724" s="8">
        <f>IF($K724="","",INDEX(Конструктор!$D$2:$D$1212,$K724)&amp;IF(INDEX(Конструктор!$J$2:$J$1212,$K724)&lt;&gt;""," — "&amp;INDEX(Конструктор!$J$2:$J$1212,$K724),""))</f>
        <v/>
      </c>
      <c r="D724">
        <f>IF($K724="","",INDEX(Конструктор!$E$2:$E$1212,$K724))</f>
        <v/>
      </c>
      <c r="E724" s="10">
        <f>IF($K724="","",INDEX(Конструктор!$H$2:$H$1212,$K724))</f>
        <v/>
      </c>
      <c r="F724" s="10">
        <f>IF($K724="","",INDEX(Конструктор!$L$2:$L$1212,$K724))</f>
        <v/>
      </c>
      <c r="G724" s="10">
        <f>IF($K724="","",INDEX(Конструктор!$M$2:$M$1212,$K724))</f>
        <v/>
      </c>
      <c r="H724" s="10">
        <f>IF($K724="","",INDEX(Конструктор!$N$2:$N$1212,$K724))</f>
        <v/>
      </c>
      <c r="I724" s="10">
        <f>IF($K724="","",INDEX(Конструктор!$O$2:$O$1212,$K724))</f>
        <v/>
      </c>
      <c r="J724" s="10">
        <f>IF($K724="","",INDEX(Конструктор!$P$2:$P$1212,$K724))</f>
        <v/>
      </c>
      <c r="K724">
        <f>IFERROR(MATCH(704,Конструктор!$T$2:$T$1212,0),"")</f>
        <v/>
      </c>
      <c r="L724">
        <f>IF($K724="","","показать")</f>
        <v/>
      </c>
    </row>
    <row r="725" hidden="1">
      <c r="A725">
        <f>IF($K725="","",705)</f>
        <v/>
      </c>
      <c r="B725">
        <f>IF($K725="","",INDEX(Конструктор!$C$2:$C$1212,$K725))</f>
        <v/>
      </c>
      <c r="C725" s="8">
        <f>IF($K725="","",INDEX(Конструктор!$D$2:$D$1212,$K725)&amp;IF(INDEX(Конструктор!$J$2:$J$1212,$K725)&lt;&gt;""," — "&amp;INDEX(Конструктор!$J$2:$J$1212,$K725),""))</f>
        <v/>
      </c>
      <c r="D725">
        <f>IF($K725="","",INDEX(Конструктор!$E$2:$E$1212,$K725))</f>
        <v/>
      </c>
      <c r="E725" s="10">
        <f>IF($K725="","",INDEX(Конструктор!$H$2:$H$1212,$K725))</f>
        <v/>
      </c>
      <c r="F725" s="10">
        <f>IF($K725="","",INDEX(Конструктор!$L$2:$L$1212,$K725))</f>
        <v/>
      </c>
      <c r="G725" s="10">
        <f>IF($K725="","",INDEX(Конструктор!$M$2:$M$1212,$K725))</f>
        <v/>
      </c>
      <c r="H725" s="10">
        <f>IF($K725="","",INDEX(Конструктор!$N$2:$N$1212,$K725))</f>
        <v/>
      </c>
      <c r="I725" s="10">
        <f>IF($K725="","",INDEX(Конструктор!$O$2:$O$1212,$K725))</f>
        <v/>
      </c>
      <c r="J725" s="10">
        <f>IF($K725="","",INDEX(Конструктор!$P$2:$P$1212,$K725))</f>
        <v/>
      </c>
      <c r="K725">
        <f>IFERROR(MATCH(705,Конструктор!$T$2:$T$1212,0),"")</f>
        <v/>
      </c>
      <c r="L725">
        <f>IF($K725="","","показать")</f>
        <v/>
      </c>
    </row>
    <row r="726" hidden="1">
      <c r="A726">
        <f>IF($K726="","",706)</f>
        <v/>
      </c>
      <c r="B726">
        <f>IF($K726="","",INDEX(Конструктор!$C$2:$C$1212,$K726))</f>
        <v/>
      </c>
      <c r="C726" s="8">
        <f>IF($K726="","",INDEX(Конструктор!$D$2:$D$1212,$K726)&amp;IF(INDEX(Конструктор!$J$2:$J$1212,$K726)&lt;&gt;""," — "&amp;INDEX(Конструктор!$J$2:$J$1212,$K726),""))</f>
        <v/>
      </c>
      <c r="D726">
        <f>IF($K726="","",INDEX(Конструктор!$E$2:$E$1212,$K726))</f>
        <v/>
      </c>
      <c r="E726" s="10">
        <f>IF($K726="","",INDEX(Конструктор!$H$2:$H$1212,$K726))</f>
        <v/>
      </c>
      <c r="F726" s="10">
        <f>IF($K726="","",INDEX(Конструктор!$L$2:$L$1212,$K726))</f>
        <v/>
      </c>
      <c r="G726" s="10">
        <f>IF($K726="","",INDEX(Конструктор!$M$2:$M$1212,$K726))</f>
        <v/>
      </c>
      <c r="H726" s="10">
        <f>IF($K726="","",INDEX(Конструктор!$N$2:$N$1212,$K726))</f>
        <v/>
      </c>
      <c r="I726" s="10">
        <f>IF($K726="","",INDEX(Конструктор!$O$2:$O$1212,$K726))</f>
        <v/>
      </c>
      <c r="J726" s="10">
        <f>IF($K726="","",INDEX(Конструктор!$P$2:$P$1212,$K726))</f>
        <v/>
      </c>
      <c r="K726">
        <f>IFERROR(MATCH(706,Конструктор!$T$2:$T$1212,0),"")</f>
        <v/>
      </c>
      <c r="L726">
        <f>IF($K726="","","показать")</f>
        <v/>
      </c>
    </row>
    <row r="727" hidden="1">
      <c r="A727">
        <f>IF($K727="","",707)</f>
        <v/>
      </c>
      <c r="B727">
        <f>IF($K727="","",INDEX(Конструктор!$C$2:$C$1212,$K727))</f>
        <v/>
      </c>
      <c r="C727" s="8">
        <f>IF($K727="","",INDEX(Конструктор!$D$2:$D$1212,$K727)&amp;IF(INDEX(Конструктор!$J$2:$J$1212,$K727)&lt;&gt;""," — "&amp;INDEX(Конструктор!$J$2:$J$1212,$K727),""))</f>
        <v/>
      </c>
      <c r="D727">
        <f>IF($K727="","",INDEX(Конструктор!$E$2:$E$1212,$K727))</f>
        <v/>
      </c>
      <c r="E727" s="10">
        <f>IF($K727="","",INDEX(Конструктор!$H$2:$H$1212,$K727))</f>
        <v/>
      </c>
      <c r="F727" s="10">
        <f>IF($K727="","",INDEX(Конструктор!$L$2:$L$1212,$K727))</f>
        <v/>
      </c>
      <c r="G727" s="10">
        <f>IF($K727="","",INDEX(Конструктор!$M$2:$M$1212,$K727))</f>
        <v/>
      </c>
      <c r="H727" s="10">
        <f>IF($K727="","",INDEX(Конструктор!$N$2:$N$1212,$K727))</f>
        <v/>
      </c>
      <c r="I727" s="10">
        <f>IF($K727="","",INDEX(Конструктор!$O$2:$O$1212,$K727))</f>
        <v/>
      </c>
      <c r="J727" s="10">
        <f>IF($K727="","",INDEX(Конструктор!$P$2:$P$1212,$K727))</f>
        <v/>
      </c>
      <c r="K727">
        <f>IFERROR(MATCH(707,Конструктор!$T$2:$T$1212,0),"")</f>
        <v/>
      </c>
      <c r="L727">
        <f>IF($K727="","","показать")</f>
        <v/>
      </c>
    </row>
    <row r="728" hidden="1">
      <c r="A728">
        <f>IF($K728="","",708)</f>
        <v/>
      </c>
      <c r="B728">
        <f>IF($K728="","",INDEX(Конструктор!$C$2:$C$1212,$K728))</f>
        <v/>
      </c>
      <c r="C728" s="8">
        <f>IF($K728="","",INDEX(Конструктор!$D$2:$D$1212,$K728)&amp;IF(INDEX(Конструктор!$J$2:$J$1212,$K728)&lt;&gt;""," — "&amp;INDEX(Конструктор!$J$2:$J$1212,$K728),""))</f>
        <v/>
      </c>
      <c r="D728">
        <f>IF($K728="","",INDEX(Конструктор!$E$2:$E$1212,$K728))</f>
        <v/>
      </c>
      <c r="E728" s="10">
        <f>IF($K728="","",INDEX(Конструктор!$H$2:$H$1212,$K728))</f>
        <v/>
      </c>
      <c r="F728" s="10">
        <f>IF($K728="","",INDEX(Конструктор!$L$2:$L$1212,$K728))</f>
        <v/>
      </c>
      <c r="G728" s="10">
        <f>IF($K728="","",INDEX(Конструктор!$M$2:$M$1212,$K728))</f>
        <v/>
      </c>
      <c r="H728" s="10">
        <f>IF($K728="","",INDEX(Конструктор!$N$2:$N$1212,$K728))</f>
        <v/>
      </c>
      <c r="I728" s="10">
        <f>IF($K728="","",INDEX(Конструктор!$O$2:$O$1212,$K728))</f>
        <v/>
      </c>
      <c r="J728" s="10">
        <f>IF($K728="","",INDEX(Конструктор!$P$2:$P$1212,$K728))</f>
        <v/>
      </c>
      <c r="K728">
        <f>IFERROR(MATCH(708,Конструктор!$T$2:$T$1212,0),"")</f>
        <v/>
      </c>
      <c r="L728">
        <f>IF($K728="","","показать")</f>
        <v/>
      </c>
    </row>
    <row r="729" hidden="1">
      <c r="A729">
        <f>IF($K729="","",709)</f>
        <v/>
      </c>
      <c r="B729">
        <f>IF($K729="","",INDEX(Конструктор!$C$2:$C$1212,$K729))</f>
        <v/>
      </c>
      <c r="C729" s="8">
        <f>IF($K729="","",INDEX(Конструктор!$D$2:$D$1212,$K729)&amp;IF(INDEX(Конструктор!$J$2:$J$1212,$K729)&lt;&gt;""," — "&amp;INDEX(Конструктор!$J$2:$J$1212,$K729),""))</f>
        <v/>
      </c>
      <c r="D729">
        <f>IF($K729="","",INDEX(Конструктор!$E$2:$E$1212,$K729))</f>
        <v/>
      </c>
      <c r="E729" s="10">
        <f>IF($K729="","",INDEX(Конструктор!$H$2:$H$1212,$K729))</f>
        <v/>
      </c>
      <c r="F729" s="10">
        <f>IF($K729="","",INDEX(Конструктор!$L$2:$L$1212,$K729))</f>
        <v/>
      </c>
      <c r="G729" s="10">
        <f>IF($K729="","",INDEX(Конструктор!$M$2:$M$1212,$K729))</f>
        <v/>
      </c>
      <c r="H729" s="10">
        <f>IF($K729="","",INDEX(Конструктор!$N$2:$N$1212,$K729))</f>
        <v/>
      </c>
      <c r="I729" s="10">
        <f>IF($K729="","",INDEX(Конструктор!$O$2:$O$1212,$K729))</f>
        <v/>
      </c>
      <c r="J729" s="10">
        <f>IF($K729="","",INDEX(Конструктор!$P$2:$P$1212,$K729))</f>
        <v/>
      </c>
      <c r="K729">
        <f>IFERROR(MATCH(709,Конструктор!$T$2:$T$1212,0),"")</f>
        <v/>
      </c>
      <c r="L729">
        <f>IF($K729="","","показать")</f>
        <v/>
      </c>
    </row>
    <row r="730" hidden="1">
      <c r="A730">
        <f>IF($K730="","",710)</f>
        <v/>
      </c>
      <c r="B730">
        <f>IF($K730="","",INDEX(Конструктор!$C$2:$C$1212,$K730))</f>
        <v/>
      </c>
      <c r="C730" s="8">
        <f>IF($K730="","",INDEX(Конструктор!$D$2:$D$1212,$K730)&amp;IF(INDEX(Конструктор!$J$2:$J$1212,$K730)&lt;&gt;""," — "&amp;INDEX(Конструктор!$J$2:$J$1212,$K730),""))</f>
        <v/>
      </c>
      <c r="D730">
        <f>IF($K730="","",INDEX(Конструктор!$E$2:$E$1212,$K730))</f>
        <v/>
      </c>
      <c r="E730" s="10">
        <f>IF($K730="","",INDEX(Конструктор!$H$2:$H$1212,$K730))</f>
        <v/>
      </c>
      <c r="F730" s="10">
        <f>IF($K730="","",INDEX(Конструктор!$L$2:$L$1212,$K730))</f>
        <v/>
      </c>
      <c r="G730" s="10">
        <f>IF($K730="","",INDEX(Конструктор!$M$2:$M$1212,$K730))</f>
        <v/>
      </c>
      <c r="H730" s="10">
        <f>IF($K730="","",INDEX(Конструктор!$N$2:$N$1212,$K730))</f>
        <v/>
      </c>
      <c r="I730" s="10">
        <f>IF($K730="","",INDEX(Конструктор!$O$2:$O$1212,$K730))</f>
        <v/>
      </c>
      <c r="J730" s="10">
        <f>IF($K730="","",INDEX(Конструктор!$P$2:$P$1212,$K730))</f>
        <v/>
      </c>
      <c r="K730">
        <f>IFERROR(MATCH(710,Конструктор!$T$2:$T$1212,0),"")</f>
        <v/>
      </c>
      <c r="L730">
        <f>IF($K730="","","показать")</f>
        <v/>
      </c>
    </row>
    <row r="731" hidden="1">
      <c r="A731">
        <f>IF($K731="","",711)</f>
        <v/>
      </c>
      <c r="B731">
        <f>IF($K731="","",INDEX(Конструктор!$C$2:$C$1212,$K731))</f>
        <v/>
      </c>
      <c r="C731" s="8">
        <f>IF($K731="","",INDEX(Конструктор!$D$2:$D$1212,$K731)&amp;IF(INDEX(Конструктор!$J$2:$J$1212,$K731)&lt;&gt;""," — "&amp;INDEX(Конструктор!$J$2:$J$1212,$K731),""))</f>
        <v/>
      </c>
      <c r="D731">
        <f>IF($K731="","",INDEX(Конструктор!$E$2:$E$1212,$K731))</f>
        <v/>
      </c>
      <c r="E731" s="10">
        <f>IF($K731="","",INDEX(Конструктор!$H$2:$H$1212,$K731))</f>
        <v/>
      </c>
      <c r="F731" s="10">
        <f>IF($K731="","",INDEX(Конструктор!$L$2:$L$1212,$K731))</f>
        <v/>
      </c>
      <c r="G731" s="10">
        <f>IF($K731="","",INDEX(Конструктор!$M$2:$M$1212,$K731))</f>
        <v/>
      </c>
      <c r="H731" s="10">
        <f>IF($K731="","",INDEX(Конструктор!$N$2:$N$1212,$K731))</f>
        <v/>
      </c>
      <c r="I731" s="10">
        <f>IF($K731="","",INDEX(Конструктор!$O$2:$O$1212,$K731))</f>
        <v/>
      </c>
      <c r="J731" s="10">
        <f>IF($K731="","",INDEX(Конструктор!$P$2:$P$1212,$K731))</f>
        <v/>
      </c>
      <c r="K731">
        <f>IFERROR(MATCH(711,Конструктор!$T$2:$T$1212,0),"")</f>
        <v/>
      </c>
      <c r="L731">
        <f>IF($K731="","","показать")</f>
        <v/>
      </c>
    </row>
    <row r="732" hidden="1">
      <c r="A732">
        <f>IF($K732="","",712)</f>
        <v/>
      </c>
      <c r="B732">
        <f>IF($K732="","",INDEX(Конструктор!$C$2:$C$1212,$K732))</f>
        <v/>
      </c>
      <c r="C732" s="8">
        <f>IF($K732="","",INDEX(Конструктор!$D$2:$D$1212,$K732)&amp;IF(INDEX(Конструктор!$J$2:$J$1212,$K732)&lt;&gt;""," — "&amp;INDEX(Конструктор!$J$2:$J$1212,$K732),""))</f>
        <v/>
      </c>
      <c r="D732">
        <f>IF($K732="","",INDEX(Конструктор!$E$2:$E$1212,$K732))</f>
        <v/>
      </c>
      <c r="E732" s="10">
        <f>IF($K732="","",INDEX(Конструктор!$H$2:$H$1212,$K732))</f>
        <v/>
      </c>
      <c r="F732" s="10">
        <f>IF($K732="","",INDEX(Конструктор!$L$2:$L$1212,$K732))</f>
        <v/>
      </c>
      <c r="G732" s="10">
        <f>IF($K732="","",INDEX(Конструктор!$M$2:$M$1212,$K732))</f>
        <v/>
      </c>
      <c r="H732" s="10">
        <f>IF($K732="","",INDEX(Конструктор!$N$2:$N$1212,$K732))</f>
        <v/>
      </c>
      <c r="I732" s="10">
        <f>IF($K732="","",INDEX(Конструктор!$O$2:$O$1212,$K732))</f>
        <v/>
      </c>
      <c r="J732" s="10">
        <f>IF($K732="","",INDEX(Конструктор!$P$2:$P$1212,$K732))</f>
        <v/>
      </c>
      <c r="K732">
        <f>IFERROR(MATCH(712,Конструктор!$T$2:$T$1212,0),"")</f>
        <v/>
      </c>
      <c r="L732">
        <f>IF($K732="","","показать")</f>
        <v/>
      </c>
    </row>
    <row r="733" hidden="1">
      <c r="A733">
        <f>IF($K733="","",713)</f>
        <v/>
      </c>
      <c r="B733">
        <f>IF($K733="","",INDEX(Конструктор!$C$2:$C$1212,$K733))</f>
        <v/>
      </c>
      <c r="C733" s="8">
        <f>IF($K733="","",INDEX(Конструктор!$D$2:$D$1212,$K733)&amp;IF(INDEX(Конструктор!$J$2:$J$1212,$K733)&lt;&gt;""," — "&amp;INDEX(Конструктор!$J$2:$J$1212,$K733),""))</f>
        <v/>
      </c>
      <c r="D733">
        <f>IF($K733="","",INDEX(Конструктор!$E$2:$E$1212,$K733))</f>
        <v/>
      </c>
      <c r="E733" s="10">
        <f>IF($K733="","",INDEX(Конструктор!$H$2:$H$1212,$K733))</f>
        <v/>
      </c>
      <c r="F733" s="10">
        <f>IF($K733="","",INDEX(Конструктор!$L$2:$L$1212,$K733))</f>
        <v/>
      </c>
      <c r="G733" s="10">
        <f>IF($K733="","",INDEX(Конструктор!$M$2:$M$1212,$K733))</f>
        <v/>
      </c>
      <c r="H733" s="10">
        <f>IF($K733="","",INDEX(Конструктор!$N$2:$N$1212,$K733))</f>
        <v/>
      </c>
      <c r="I733" s="10">
        <f>IF($K733="","",INDEX(Конструктор!$O$2:$O$1212,$K733))</f>
        <v/>
      </c>
      <c r="J733" s="10">
        <f>IF($K733="","",INDEX(Конструктор!$P$2:$P$1212,$K733))</f>
        <v/>
      </c>
      <c r="K733">
        <f>IFERROR(MATCH(713,Конструктор!$T$2:$T$1212,0),"")</f>
        <v/>
      </c>
      <c r="L733">
        <f>IF($K733="","","показать")</f>
        <v/>
      </c>
    </row>
    <row r="734" hidden="1">
      <c r="A734">
        <f>IF($K734="","",714)</f>
        <v/>
      </c>
      <c r="B734">
        <f>IF($K734="","",INDEX(Конструктор!$C$2:$C$1212,$K734))</f>
        <v/>
      </c>
      <c r="C734" s="8">
        <f>IF($K734="","",INDEX(Конструктор!$D$2:$D$1212,$K734)&amp;IF(INDEX(Конструктор!$J$2:$J$1212,$K734)&lt;&gt;""," — "&amp;INDEX(Конструктор!$J$2:$J$1212,$K734),""))</f>
        <v/>
      </c>
      <c r="D734">
        <f>IF($K734="","",INDEX(Конструктор!$E$2:$E$1212,$K734))</f>
        <v/>
      </c>
      <c r="E734" s="10">
        <f>IF($K734="","",INDEX(Конструктор!$H$2:$H$1212,$K734))</f>
        <v/>
      </c>
      <c r="F734" s="10">
        <f>IF($K734="","",INDEX(Конструктор!$L$2:$L$1212,$K734))</f>
        <v/>
      </c>
      <c r="G734" s="10">
        <f>IF($K734="","",INDEX(Конструктор!$M$2:$M$1212,$K734))</f>
        <v/>
      </c>
      <c r="H734" s="10">
        <f>IF($K734="","",INDEX(Конструктор!$N$2:$N$1212,$K734))</f>
        <v/>
      </c>
      <c r="I734" s="10">
        <f>IF($K734="","",INDEX(Конструктор!$O$2:$O$1212,$K734))</f>
        <v/>
      </c>
      <c r="J734" s="10">
        <f>IF($K734="","",INDEX(Конструктор!$P$2:$P$1212,$K734))</f>
        <v/>
      </c>
      <c r="K734">
        <f>IFERROR(MATCH(714,Конструктор!$T$2:$T$1212,0),"")</f>
        <v/>
      </c>
      <c r="L734">
        <f>IF($K734="","","показать")</f>
        <v/>
      </c>
    </row>
    <row r="735" hidden="1">
      <c r="A735">
        <f>IF($K735="","",715)</f>
        <v/>
      </c>
      <c r="B735">
        <f>IF($K735="","",INDEX(Конструктор!$C$2:$C$1212,$K735))</f>
        <v/>
      </c>
      <c r="C735" s="8">
        <f>IF($K735="","",INDEX(Конструктор!$D$2:$D$1212,$K735)&amp;IF(INDEX(Конструктор!$J$2:$J$1212,$K735)&lt;&gt;""," — "&amp;INDEX(Конструктор!$J$2:$J$1212,$K735),""))</f>
        <v/>
      </c>
      <c r="D735">
        <f>IF($K735="","",INDEX(Конструктор!$E$2:$E$1212,$K735))</f>
        <v/>
      </c>
      <c r="E735" s="10">
        <f>IF($K735="","",INDEX(Конструктор!$H$2:$H$1212,$K735))</f>
        <v/>
      </c>
      <c r="F735" s="10">
        <f>IF($K735="","",INDEX(Конструктор!$L$2:$L$1212,$K735))</f>
        <v/>
      </c>
      <c r="G735" s="10">
        <f>IF($K735="","",INDEX(Конструктор!$M$2:$M$1212,$K735))</f>
        <v/>
      </c>
      <c r="H735" s="10">
        <f>IF($K735="","",INDEX(Конструктор!$N$2:$N$1212,$K735))</f>
        <v/>
      </c>
      <c r="I735" s="10">
        <f>IF($K735="","",INDEX(Конструктор!$O$2:$O$1212,$K735))</f>
        <v/>
      </c>
      <c r="J735" s="10">
        <f>IF($K735="","",INDEX(Конструктор!$P$2:$P$1212,$K735))</f>
        <v/>
      </c>
      <c r="K735">
        <f>IFERROR(MATCH(715,Конструктор!$T$2:$T$1212,0),"")</f>
        <v/>
      </c>
      <c r="L735">
        <f>IF($K735="","","показать")</f>
        <v/>
      </c>
    </row>
    <row r="736" hidden="1">
      <c r="A736">
        <f>IF($K736="","",716)</f>
        <v/>
      </c>
      <c r="B736">
        <f>IF($K736="","",INDEX(Конструктор!$C$2:$C$1212,$K736))</f>
        <v/>
      </c>
      <c r="C736" s="8">
        <f>IF($K736="","",INDEX(Конструктор!$D$2:$D$1212,$K736)&amp;IF(INDEX(Конструктор!$J$2:$J$1212,$K736)&lt;&gt;""," — "&amp;INDEX(Конструктор!$J$2:$J$1212,$K736),""))</f>
        <v/>
      </c>
      <c r="D736">
        <f>IF($K736="","",INDEX(Конструктор!$E$2:$E$1212,$K736))</f>
        <v/>
      </c>
      <c r="E736" s="10">
        <f>IF($K736="","",INDEX(Конструктор!$H$2:$H$1212,$K736))</f>
        <v/>
      </c>
      <c r="F736" s="10">
        <f>IF($K736="","",INDEX(Конструктор!$L$2:$L$1212,$K736))</f>
        <v/>
      </c>
      <c r="G736" s="10">
        <f>IF($K736="","",INDEX(Конструктор!$M$2:$M$1212,$K736))</f>
        <v/>
      </c>
      <c r="H736" s="10">
        <f>IF($K736="","",INDEX(Конструктор!$N$2:$N$1212,$K736))</f>
        <v/>
      </c>
      <c r="I736" s="10">
        <f>IF($K736="","",INDEX(Конструктор!$O$2:$O$1212,$K736))</f>
        <v/>
      </c>
      <c r="J736" s="10">
        <f>IF($K736="","",INDEX(Конструктор!$P$2:$P$1212,$K736))</f>
        <v/>
      </c>
      <c r="K736">
        <f>IFERROR(MATCH(716,Конструктор!$T$2:$T$1212,0),"")</f>
        <v/>
      </c>
      <c r="L736">
        <f>IF($K736="","","показать")</f>
        <v/>
      </c>
    </row>
    <row r="737" hidden="1">
      <c r="A737">
        <f>IF($K737="","",717)</f>
        <v/>
      </c>
      <c r="B737">
        <f>IF($K737="","",INDEX(Конструктор!$C$2:$C$1212,$K737))</f>
        <v/>
      </c>
      <c r="C737" s="8">
        <f>IF($K737="","",INDEX(Конструктор!$D$2:$D$1212,$K737)&amp;IF(INDEX(Конструктор!$J$2:$J$1212,$K737)&lt;&gt;""," — "&amp;INDEX(Конструктор!$J$2:$J$1212,$K737),""))</f>
        <v/>
      </c>
      <c r="D737">
        <f>IF($K737="","",INDEX(Конструктор!$E$2:$E$1212,$K737))</f>
        <v/>
      </c>
      <c r="E737" s="10">
        <f>IF($K737="","",INDEX(Конструктор!$H$2:$H$1212,$K737))</f>
        <v/>
      </c>
      <c r="F737" s="10">
        <f>IF($K737="","",INDEX(Конструктор!$L$2:$L$1212,$K737))</f>
        <v/>
      </c>
      <c r="G737" s="10">
        <f>IF($K737="","",INDEX(Конструктор!$M$2:$M$1212,$K737))</f>
        <v/>
      </c>
      <c r="H737" s="10">
        <f>IF($K737="","",INDEX(Конструктор!$N$2:$N$1212,$K737))</f>
        <v/>
      </c>
      <c r="I737" s="10">
        <f>IF($K737="","",INDEX(Конструктор!$O$2:$O$1212,$K737))</f>
        <v/>
      </c>
      <c r="J737" s="10">
        <f>IF($K737="","",INDEX(Конструктор!$P$2:$P$1212,$K737))</f>
        <v/>
      </c>
      <c r="K737">
        <f>IFERROR(MATCH(717,Конструктор!$T$2:$T$1212,0),"")</f>
        <v/>
      </c>
      <c r="L737">
        <f>IF($K737="","","показать")</f>
        <v/>
      </c>
    </row>
    <row r="738" hidden="1">
      <c r="A738">
        <f>IF($K738="","",718)</f>
        <v/>
      </c>
      <c r="B738">
        <f>IF($K738="","",INDEX(Конструктор!$C$2:$C$1212,$K738))</f>
        <v/>
      </c>
      <c r="C738" s="8">
        <f>IF($K738="","",INDEX(Конструктор!$D$2:$D$1212,$K738)&amp;IF(INDEX(Конструктор!$J$2:$J$1212,$K738)&lt;&gt;""," — "&amp;INDEX(Конструктор!$J$2:$J$1212,$K738),""))</f>
        <v/>
      </c>
      <c r="D738">
        <f>IF($K738="","",INDEX(Конструктор!$E$2:$E$1212,$K738))</f>
        <v/>
      </c>
      <c r="E738" s="10">
        <f>IF($K738="","",INDEX(Конструктор!$H$2:$H$1212,$K738))</f>
        <v/>
      </c>
      <c r="F738" s="10">
        <f>IF($K738="","",INDEX(Конструктор!$L$2:$L$1212,$K738))</f>
        <v/>
      </c>
      <c r="G738" s="10">
        <f>IF($K738="","",INDEX(Конструктор!$M$2:$M$1212,$K738))</f>
        <v/>
      </c>
      <c r="H738" s="10">
        <f>IF($K738="","",INDEX(Конструктор!$N$2:$N$1212,$K738))</f>
        <v/>
      </c>
      <c r="I738" s="10">
        <f>IF($K738="","",INDEX(Конструктор!$O$2:$O$1212,$K738))</f>
        <v/>
      </c>
      <c r="J738" s="10">
        <f>IF($K738="","",INDEX(Конструктор!$P$2:$P$1212,$K738))</f>
        <v/>
      </c>
      <c r="K738">
        <f>IFERROR(MATCH(718,Конструктор!$T$2:$T$1212,0),"")</f>
        <v/>
      </c>
      <c r="L738">
        <f>IF($K738="","","показать")</f>
        <v/>
      </c>
    </row>
    <row r="739" hidden="1">
      <c r="A739">
        <f>IF($K739="","",719)</f>
        <v/>
      </c>
      <c r="B739">
        <f>IF($K739="","",INDEX(Конструктор!$C$2:$C$1212,$K739))</f>
        <v/>
      </c>
      <c r="C739" s="8">
        <f>IF($K739="","",INDEX(Конструктор!$D$2:$D$1212,$K739)&amp;IF(INDEX(Конструктор!$J$2:$J$1212,$K739)&lt;&gt;""," — "&amp;INDEX(Конструктор!$J$2:$J$1212,$K739),""))</f>
        <v/>
      </c>
      <c r="D739">
        <f>IF($K739="","",INDEX(Конструктор!$E$2:$E$1212,$K739))</f>
        <v/>
      </c>
      <c r="E739" s="10">
        <f>IF($K739="","",INDEX(Конструктор!$H$2:$H$1212,$K739))</f>
        <v/>
      </c>
      <c r="F739" s="10">
        <f>IF($K739="","",INDEX(Конструктор!$L$2:$L$1212,$K739))</f>
        <v/>
      </c>
      <c r="G739" s="10">
        <f>IF($K739="","",INDEX(Конструктор!$M$2:$M$1212,$K739))</f>
        <v/>
      </c>
      <c r="H739" s="10">
        <f>IF($K739="","",INDEX(Конструктор!$N$2:$N$1212,$K739))</f>
        <v/>
      </c>
      <c r="I739" s="10">
        <f>IF($K739="","",INDEX(Конструктор!$O$2:$O$1212,$K739))</f>
        <v/>
      </c>
      <c r="J739" s="10">
        <f>IF($K739="","",INDEX(Конструктор!$P$2:$P$1212,$K739))</f>
        <v/>
      </c>
      <c r="K739">
        <f>IFERROR(MATCH(719,Конструктор!$T$2:$T$1212,0),"")</f>
        <v/>
      </c>
      <c r="L739">
        <f>IF($K739="","","показать")</f>
        <v/>
      </c>
    </row>
    <row r="740" hidden="1">
      <c r="A740">
        <f>IF($K740="","",720)</f>
        <v/>
      </c>
      <c r="B740">
        <f>IF($K740="","",INDEX(Конструктор!$C$2:$C$1212,$K740))</f>
        <v/>
      </c>
      <c r="C740" s="8">
        <f>IF($K740="","",INDEX(Конструктор!$D$2:$D$1212,$K740)&amp;IF(INDEX(Конструктор!$J$2:$J$1212,$K740)&lt;&gt;""," — "&amp;INDEX(Конструктор!$J$2:$J$1212,$K740),""))</f>
        <v/>
      </c>
      <c r="D740">
        <f>IF($K740="","",INDEX(Конструктор!$E$2:$E$1212,$K740))</f>
        <v/>
      </c>
      <c r="E740" s="10">
        <f>IF($K740="","",INDEX(Конструктор!$H$2:$H$1212,$K740))</f>
        <v/>
      </c>
      <c r="F740" s="10">
        <f>IF($K740="","",INDEX(Конструктор!$L$2:$L$1212,$K740))</f>
        <v/>
      </c>
      <c r="G740" s="10">
        <f>IF($K740="","",INDEX(Конструктор!$M$2:$M$1212,$K740))</f>
        <v/>
      </c>
      <c r="H740" s="10">
        <f>IF($K740="","",INDEX(Конструктор!$N$2:$N$1212,$K740))</f>
        <v/>
      </c>
      <c r="I740" s="10">
        <f>IF($K740="","",INDEX(Конструктор!$O$2:$O$1212,$K740))</f>
        <v/>
      </c>
      <c r="J740" s="10">
        <f>IF($K740="","",INDEX(Конструктор!$P$2:$P$1212,$K740))</f>
        <v/>
      </c>
      <c r="K740">
        <f>IFERROR(MATCH(720,Конструктор!$T$2:$T$1212,0),"")</f>
        <v/>
      </c>
      <c r="L740">
        <f>IF($K740="","","показать")</f>
        <v/>
      </c>
    </row>
    <row r="741" hidden="1">
      <c r="A741">
        <f>IF($K741="","",721)</f>
        <v/>
      </c>
      <c r="B741">
        <f>IF($K741="","",INDEX(Конструктор!$C$2:$C$1212,$K741))</f>
        <v/>
      </c>
      <c r="C741" s="8">
        <f>IF($K741="","",INDEX(Конструктор!$D$2:$D$1212,$K741)&amp;IF(INDEX(Конструктор!$J$2:$J$1212,$K741)&lt;&gt;""," — "&amp;INDEX(Конструктор!$J$2:$J$1212,$K741),""))</f>
        <v/>
      </c>
      <c r="D741">
        <f>IF($K741="","",INDEX(Конструктор!$E$2:$E$1212,$K741))</f>
        <v/>
      </c>
      <c r="E741" s="10">
        <f>IF($K741="","",INDEX(Конструктор!$H$2:$H$1212,$K741))</f>
        <v/>
      </c>
      <c r="F741" s="10">
        <f>IF($K741="","",INDEX(Конструктор!$L$2:$L$1212,$K741))</f>
        <v/>
      </c>
      <c r="G741" s="10">
        <f>IF($K741="","",INDEX(Конструктор!$M$2:$M$1212,$K741))</f>
        <v/>
      </c>
      <c r="H741" s="10">
        <f>IF($K741="","",INDEX(Конструктор!$N$2:$N$1212,$K741))</f>
        <v/>
      </c>
      <c r="I741" s="10">
        <f>IF($K741="","",INDEX(Конструктор!$O$2:$O$1212,$K741))</f>
        <v/>
      </c>
      <c r="J741" s="10">
        <f>IF($K741="","",INDEX(Конструктор!$P$2:$P$1212,$K741))</f>
        <v/>
      </c>
      <c r="K741">
        <f>IFERROR(MATCH(721,Конструктор!$T$2:$T$1212,0),"")</f>
        <v/>
      </c>
      <c r="L741">
        <f>IF($K741="","","показать")</f>
        <v/>
      </c>
    </row>
    <row r="742" hidden="1">
      <c r="A742">
        <f>IF($K742="","",722)</f>
        <v/>
      </c>
      <c r="B742">
        <f>IF($K742="","",INDEX(Конструктор!$C$2:$C$1212,$K742))</f>
        <v/>
      </c>
      <c r="C742" s="8">
        <f>IF($K742="","",INDEX(Конструктор!$D$2:$D$1212,$K742)&amp;IF(INDEX(Конструктор!$J$2:$J$1212,$K742)&lt;&gt;""," — "&amp;INDEX(Конструктор!$J$2:$J$1212,$K742),""))</f>
        <v/>
      </c>
      <c r="D742">
        <f>IF($K742="","",INDEX(Конструктор!$E$2:$E$1212,$K742))</f>
        <v/>
      </c>
      <c r="E742" s="10">
        <f>IF($K742="","",INDEX(Конструктор!$H$2:$H$1212,$K742))</f>
        <v/>
      </c>
      <c r="F742" s="10">
        <f>IF($K742="","",INDEX(Конструктор!$L$2:$L$1212,$K742))</f>
        <v/>
      </c>
      <c r="G742" s="10">
        <f>IF($K742="","",INDEX(Конструктор!$M$2:$M$1212,$K742))</f>
        <v/>
      </c>
      <c r="H742" s="10">
        <f>IF($K742="","",INDEX(Конструктор!$N$2:$N$1212,$K742))</f>
        <v/>
      </c>
      <c r="I742" s="10">
        <f>IF($K742="","",INDEX(Конструктор!$O$2:$O$1212,$K742))</f>
        <v/>
      </c>
      <c r="J742" s="10">
        <f>IF($K742="","",INDEX(Конструктор!$P$2:$P$1212,$K742))</f>
        <v/>
      </c>
      <c r="K742">
        <f>IFERROR(MATCH(722,Конструктор!$T$2:$T$1212,0),"")</f>
        <v/>
      </c>
      <c r="L742">
        <f>IF($K742="","","показать")</f>
        <v/>
      </c>
    </row>
    <row r="743" hidden="1">
      <c r="A743">
        <f>IF($K743="","",723)</f>
        <v/>
      </c>
      <c r="B743">
        <f>IF($K743="","",INDEX(Конструктор!$C$2:$C$1212,$K743))</f>
        <v/>
      </c>
      <c r="C743" s="8">
        <f>IF($K743="","",INDEX(Конструктор!$D$2:$D$1212,$K743)&amp;IF(INDEX(Конструктор!$J$2:$J$1212,$K743)&lt;&gt;""," — "&amp;INDEX(Конструктор!$J$2:$J$1212,$K743),""))</f>
        <v/>
      </c>
      <c r="D743">
        <f>IF($K743="","",INDEX(Конструктор!$E$2:$E$1212,$K743))</f>
        <v/>
      </c>
      <c r="E743" s="10">
        <f>IF($K743="","",INDEX(Конструктор!$H$2:$H$1212,$K743))</f>
        <v/>
      </c>
      <c r="F743" s="10">
        <f>IF($K743="","",INDEX(Конструктор!$L$2:$L$1212,$K743))</f>
        <v/>
      </c>
      <c r="G743" s="10">
        <f>IF($K743="","",INDEX(Конструктор!$M$2:$M$1212,$K743))</f>
        <v/>
      </c>
      <c r="H743" s="10">
        <f>IF($K743="","",INDEX(Конструктор!$N$2:$N$1212,$K743))</f>
        <v/>
      </c>
      <c r="I743" s="10">
        <f>IF($K743="","",INDEX(Конструктор!$O$2:$O$1212,$K743))</f>
        <v/>
      </c>
      <c r="J743" s="10">
        <f>IF($K743="","",INDEX(Конструктор!$P$2:$P$1212,$K743))</f>
        <v/>
      </c>
      <c r="K743">
        <f>IFERROR(MATCH(723,Конструктор!$T$2:$T$1212,0),"")</f>
        <v/>
      </c>
      <c r="L743">
        <f>IF($K743="","","показать")</f>
        <v/>
      </c>
    </row>
    <row r="744" hidden="1">
      <c r="A744">
        <f>IF($K744="","",724)</f>
        <v/>
      </c>
      <c r="B744">
        <f>IF($K744="","",INDEX(Конструктор!$C$2:$C$1212,$K744))</f>
        <v/>
      </c>
      <c r="C744" s="8">
        <f>IF($K744="","",INDEX(Конструктор!$D$2:$D$1212,$K744)&amp;IF(INDEX(Конструктор!$J$2:$J$1212,$K744)&lt;&gt;""," — "&amp;INDEX(Конструктор!$J$2:$J$1212,$K744),""))</f>
        <v/>
      </c>
      <c r="D744">
        <f>IF($K744="","",INDEX(Конструктор!$E$2:$E$1212,$K744))</f>
        <v/>
      </c>
      <c r="E744" s="10">
        <f>IF($K744="","",INDEX(Конструктор!$H$2:$H$1212,$K744))</f>
        <v/>
      </c>
      <c r="F744" s="10">
        <f>IF($K744="","",INDEX(Конструктор!$L$2:$L$1212,$K744))</f>
        <v/>
      </c>
      <c r="G744" s="10">
        <f>IF($K744="","",INDEX(Конструктор!$M$2:$M$1212,$K744))</f>
        <v/>
      </c>
      <c r="H744" s="10">
        <f>IF($K744="","",INDEX(Конструктор!$N$2:$N$1212,$K744))</f>
        <v/>
      </c>
      <c r="I744" s="10">
        <f>IF($K744="","",INDEX(Конструктор!$O$2:$O$1212,$K744))</f>
        <v/>
      </c>
      <c r="J744" s="10">
        <f>IF($K744="","",INDEX(Конструктор!$P$2:$P$1212,$K744))</f>
        <v/>
      </c>
      <c r="K744">
        <f>IFERROR(MATCH(724,Конструктор!$T$2:$T$1212,0),"")</f>
        <v/>
      </c>
      <c r="L744">
        <f>IF($K744="","","показать")</f>
        <v/>
      </c>
    </row>
    <row r="745" hidden="1">
      <c r="A745">
        <f>IF($K745="","",725)</f>
        <v/>
      </c>
      <c r="B745">
        <f>IF($K745="","",INDEX(Конструктор!$C$2:$C$1212,$K745))</f>
        <v/>
      </c>
      <c r="C745" s="8">
        <f>IF($K745="","",INDEX(Конструктор!$D$2:$D$1212,$K745)&amp;IF(INDEX(Конструктор!$J$2:$J$1212,$K745)&lt;&gt;""," — "&amp;INDEX(Конструктор!$J$2:$J$1212,$K745),""))</f>
        <v/>
      </c>
      <c r="D745">
        <f>IF($K745="","",INDEX(Конструктор!$E$2:$E$1212,$K745))</f>
        <v/>
      </c>
      <c r="E745" s="10">
        <f>IF($K745="","",INDEX(Конструктор!$H$2:$H$1212,$K745))</f>
        <v/>
      </c>
      <c r="F745" s="10">
        <f>IF($K745="","",INDEX(Конструктор!$L$2:$L$1212,$K745))</f>
        <v/>
      </c>
      <c r="G745" s="10">
        <f>IF($K745="","",INDEX(Конструктор!$M$2:$M$1212,$K745))</f>
        <v/>
      </c>
      <c r="H745" s="10">
        <f>IF($K745="","",INDEX(Конструктор!$N$2:$N$1212,$K745))</f>
        <v/>
      </c>
      <c r="I745" s="10">
        <f>IF($K745="","",INDEX(Конструктор!$O$2:$O$1212,$K745))</f>
        <v/>
      </c>
      <c r="J745" s="10">
        <f>IF($K745="","",INDEX(Конструктор!$P$2:$P$1212,$K745))</f>
        <v/>
      </c>
      <c r="K745">
        <f>IFERROR(MATCH(725,Конструктор!$T$2:$T$1212,0),"")</f>
        <v/>
      </c>
      <c r="L745">
        <f>IF($K745="","","показать")</f>
        <v/>
      </c>
    </row>
    <row r="746" hidden="1">
      <c r="A746">
        <f>IF($K746="","",726)</f>
        <v/>
      </c>
      <c r="B746">
        <f>IF($K746="","",INDEX(Конструктор!$C$2:$C$1212,$K746))</f>
        <v/>
      </c>
      <c r="C746" s="8">
        <f>IF($K746="","",INDEX(Конструктор!$D$2:$D$1212,$K746)&amp;IF(INDEX(Конструктор!$J$2:$J$1212,$K746)&lt;&gt;""," — "&amp;INDEX(Конструктор!$J$2:$J$1212,$K746),""))</f>
        <v/>
      </c>
      <c r="D746">
        <f>IF($K746="","",INDEX(Конструктор!$E$2:$E$1212,$K746))</f>
        <v/>
      </c>
      <c r="E746" s="10">
        <f>IF($K746="","",INDEX(Конструктор!$H$2:$H$1212,$K746))</f>
        <v/>
      </c>
      <c r="F746" s="10">
        <f>IF($K746="","",INDEX(Конструктор!$L$2:$L$1212,$K746))</f>
        <v/>
      </c>
      <c r="G746" s="10">
        <f>IF($K746="","",INDEX(Конструктор!$M$2:$M$1212,$K746))</f>
        <v/>
      </c>
      <c r="H746" s="10">
        <f>IF($K746="","",INDEX(Конструктор!$N$2:$N$1212,$K746))</f>
        <v/>
      </c>
      <c r="I746" s="10">
        <f>IF($K746="","",INDEX(Конструктор!$O$2:$O$1212,$K746))</f>
        <v/>
      </c>
      <c r="J746" s="10">
        <f>IF($K746="","",INDEX(Конструктор!$P$2:$P$1212,$K746))</f>
        <v/>
      </c>
      <c r="K746">
        <f>IFERROR(MATCH(726,Конструктор!$T$2:$T$1212,0),"")</f>
        <v/>
      </c>
      <c r="L746">
        <f>IF($K746="","","показать")</f>
        <v/>
      </c>
    </row>
    <row r="747" hidden="1">
      <c r="A747">
        <f>IF($K747="","",727)</f>
        <v/>
      </c>
      <c r="B747">
        <f>IF($K747="","",INDEX(Конструктор!$C$2:$C$1212,$K747))</f>
        <v/>
      </c>
      <c r="C747" s="8">
        <f>IF($K747="","",INDEX(Конструктор!$D$2:$D$1212,$K747)&amp;IF(INDEX(Конструктор!$J$2:$J$1212,$K747)&lt;&gt;""," — "&amp;INDEX(Конструктор!$J$2:$J$1212,$K747),""))</f>
        <v/>
      </c>
      <c r="D747">
        <f>IF($K747="","",INDEX(Конструктор!$E$2:$E$1212,$K747))</f>
        <v/>
      </c>
      <c r="E747" s="10">
        <f>IF($K747="","",INDEX(Конструктор!$H$2:$H$1212,$K747))</f>
        <v/>
      </c>
      <c r="F747" s="10">
        <f>IF($K747="","",INDEX(Конструктор!$L$2:$L$1212,$K747))</f>
        <v/>
      </c>
      <c r="G747" s="10">
        <f>IF($K747="","",INDEX(Конструктор!$M$2:$M$1212,$K747))</f>
        <v/>
      </c>
      <c r="H747" s="10">
        <f>IF($K747="","",INDEX(Конструктор!$N$2:$N$1212,$K747))</f>
        <v/>
      </c>
      <c r="I747" s="10">
        <f>IF($K747="","",INDEX(Конструктор!$O$2:$O$1212,$K747))</f>
        <v/>
      </c>
      <c r="J747" s="10">
        <f>IF($K747="","",INDEX(Конструктор!$P$2:$P$1212,$K747))</f>
        <v/>
      </c>
      <c r="K747">
        <f>IFERROR(MATCH(727,Конструктор!$T$2:$T$1212,0),"")</f>
        <v/>
      </c>
      <c r="L747">
        <f>IF($K747="","","показать")</f>
        <v/>
      </c>
    </row>
    <row r="748" hidden="1">
      <c r="A748">
        <f>IF($K748="","",728)</f>
        <v/>
      </c>
      <c r="B748">
        <f>IF($K748="","",INDEX(Конструктор!$C$2:$C$1212,$K748))</f>
        <v/>
      </c>
      <c r="C748" s="8">
        <f>IF($K748="","",INDEX(Конструктор!$D$2:$D$1212,$K748)&amp;IF(INDEX(Конструктор!$J$2:$J$1212,$K748)&lt;&gt;""," — "&amp;INDEX(Конструктор!$J$2:$J$1212,$K748),""))</f>
        <v/>
      </c>
      <c r="D748">
        <f>IF($K748="","",INDEX(Конструктор!$E$2:$E$1212,$K748))</f>
        <v/>
      </c>
      <c r="E748" s="10">
        <f>IF($K748="","",INDEX(Конструктор!$H$2:$H$1212,$K748))</f>
        <v/>
      </c>
      <c r="F748" s="10">
        <f>IF($K748="","",INDEX(Конструктор!$L$2:$L$1212,$K748))</f>
        <v/>
      </c>
      <c r="G748" s="10">
        <f>IF($K748="","",INDEX(Конструктор!$M$2:$M$1212,$K748))</f>
        <v/>
      </c>
      <c r="H748" s="10">
        <f>IF($K748="","",INDEX(Конструктор!$N$2:$N$1212,$K748))</f>
        <v/>
      </c>
      <c r="I748" s="10">
        <f>IF($K748="","",INDEX(Конструктор!$O$2:$O$1212,$K748))</f>
        <v/>
      </c>
      <c r="J748" s="10">
        <f>IF($K748="","",INDEX(Конструктор!$P$2:$P$1212,$K748))</f>
        <v/>
      </c>
      <c r="K748">
        <f>IFERROR(MATCH(728,Конструктор!$T$2:$T$1212,0),"")</f>
        <v/>
      </c>
      <c r="L748">
        <f>IF($K748="","","показать")</f>
        <v/>
      </c>
    </row>
    <row r="749" hidden="1">
      <c r="A749">
        <f>IF($K749="","",729)</f>
        <v/>
      </c>
      <c r="B749">
        <f>IF($K749="","",INDEX(Конструктор!$C$2:$C$1212,$K749))</f>
        <v/>
      </c>
      <c r="C749" s="8">
        <f>IF($K749="","",INDEX(Конструктор!$D$2:$D$1212,$K749)&amp;IF(INDEX(Конструктор!$J$2:$J$1212,$K749)&lt;&gt;""," — "&amp;INDEX(Конструктор!$J$2:$J$1212,$K749),""))</f>
        <v/>
      </c>
      <c r="D749">
        <f>IF($K749="","",INDEX(Конструктор!$E$2:$E$1212,$K749))</f>
        <v/>
      </c>
      <c r="E749" s="10">
        <f>IF($K749="","",INDEX(Конструктор!$H$2:$H$1212,$K749))</f>
        <v/>
      </c>
      <c r="F749" s="10">
        <f>IF($K749="","",INDEX(Конструктор!$L$2:$L$1212,$K749))</f>
        <v/>
      </c>
      <c r="G749" s="10">
        <f>IF($K749="","",INDEX(Конструктор!$M$2:$M$1212,$K749))</f>
        <v/>
      </c>
      <c r="H749" s="10">
        <f>IF($K749="","",INDEX(Конструктор!$N$2:$N$1212,$K749))</f>
        <v/>
      </c>
      <c r="I749" s="10">
        <f>IF($K749="","",INDEX(Конструктор!$O$2:$O$1212,$K749))</f>
        <v/>
      </c>
      <c r="J749" s="10">
        <f>IF($K749="","",INDEX(Конструктор!$P$2:$P$1212,$K749))</f>
        <v/>
      </c>
      <c r="K749">
        <f>IFERROR(MATCH(729,Конструктор!$T$2:$T$1212,0),"")</f>
        <v/>
      </c>
      <c r="L749">
        <f>IF($K749="","","показать")</f>
        <v/>
      </c>
    </row>
    <row r="750" hidden="1">
      <c r="A750">
        <f>IF($K750="","",730)</f>
        <v/>
      </c>
      <c r="B750">
        <f>IF($K750="","",INDEX(Конструктор!$C$2:$C$1212,$K750))</f>
        <v/>
      </c>
      <c r="C750" s="8">
        <f>IF($K750="","",INDEX(Конструктор!$D$2:$D$1212,$K750)&amp;IF(INDEX(Конструктор!$J$2:$J$1212,$K750)&lt;&gt;""," — "&amp;INDEX(Конструктор!$J$2:$J$1212,$K750),""))</f>
        <v/>
      </c>
      <c r="D750">
        <f>IF($K750="","",INDEX(Конструктор!$E$2:$E$1212,$K750))</f>
        <v/>
      </c>
      <c r="E750" s="10">
        <f>IF($K750="","",INDEX(Конструктор!$H$2:$H$1212,$K750))</f>
        <v/>
      </c>
      <c r="F750" s="10">
        <f>IF($K750="","",INDEX(Конструктор!$L$2:$L$1212,$K750))</f>
        <v/>
      </c>
      <c r="G750" s="10">
        <f>IF($K750="","",INDEX(Конструктор!$M$2:$M$1212,$K750))</f>
        <v/>
      </c>
      <c r="H750" s="10">
        <f>IF($K750="","",INDEX(Конструктор!$N$2:$N$1212,$K750))</f>
        <v/>
      </c>
      <c r="I750" s="10">
        <f>IF($K750="","",INDEX(Конструктор!$O$2:$O$1212,$K750))</f>
        <v/>
      </c>
      <c r="J750" s="10">
        <f>IF($K750="","",INDEX(Конструктор!$P$2:$P$1212,$K750))</f>
        <v/>
      </c>
      <c r="K750">
        <f>IFERROR(MATCH(730,Конструктор!$T$2:$T$1212,0),"")</f>
        <v/>
      </c>
      <c r="L750">
        <f>IF($K750="","","показать")</f>
        <v/>
      </c>
    </row>
    <row r="751" hidden="1">
      <c r="A751">
        <f>IF($K751="","",731)</f>
        <v/>
      </c>
      <c r="B751">
        <f>IF($K751="","",INDEX(Конструктор!$C$2:$C$1212,$K751))</f>
        <v/>
      </c>
      <c r="C751" s="8">
        <f>IF($K751="","",INDEX(Конструктор!$D$2:$D$1212,$K751)&amp;IF(INDEX(Конструктор!$J$2:$J$1212,$K751)&lt;&gt;""," — "&amp;INDEX(Конструктор!$J$2:$J$1212,$K751),""))</f>
        <v/>
      </c>
      <c r="D751">
        <f>IF($K751="","",INDEX(Конструктор!$E$2:$E$1212,$K751))</f>
        <v/>
      </c>
      <c r="E751" s="10">
        <f>IF($K751="","",INDEX(Конструктор!$H$2:$H$1212,$K751))</f>
        <v/>
      </c>
      <c r="F751" s="10">
        <f>IF($K751="","",INDEX(Конструктор!$L$2:$L$1212,$K751))</f>
        <v/>
      </c>
      <c r="G751" s="10">
        <f>IF($K751="","",INDEX(Конструктор!$M$2:$M$1212,$K751))</f>
        <v/>
      </c>
      <c r="H751" s="10">
        <f>IF($K751="","",INDEX(Конструктор!$N$2:$N$1212,$K751))</f>
        <v/>
      </c>
      <c r="I751" s="10">
        <f>IF($K751="","",INDEX(Конструктор!$O$2:$O$1212,$K751))</f>
        <v/>
      </c>
      <c r="J751" s="10">
        <f>IF($K751="","",INDEX(Конструктор!$P$2:$P$1212,$K751))</f>
        <v/>
      </c>
      <c r="K751">
        <f>IFERROR(MATCH(731,Конструктор!$T$2:$T$1212,0),"")</f>
        <v/>
      </c>
      <c r="L751">
        <f>IF($K751="","","показать")</f>
        <v/>
      </c>
    </row>
    <row r="752" hidden="1">
      <c r="A752">
        <f>IF($K752="","",732)</f>
        <v/>
      </c>
      <c r="B752">
        <f>IF($K752="","",INDEX(Конструктор!$C$2:$C$1212,$K752))</f>
        <v/>
      </c>
      <c r="C752" s="8">
        <f>IF($K752="","",INDEX(Конструктор!$D$2:$D$1212,$K752)&amp;IF(INDEX(Конструктор!$J$2:$J$1212,$K752)&lt;&gt;""," — "&amp;INDEX(Конструктор!$J$2:$J$1212,$K752),""))</f>
        <v/>
      </c>
      <c r="D752">
        <f>IF($K752="","",INDEX(Конструктор!$E$2:$E$1212,$K752))</f>
        <v/>
      </c>
      <c r="E752" s="10">
        <f>IF($K752="","",INDEX(Конструктор!$H$2:$H$1212,$K752))</f>
        <v/>
      </c>
      <c r="F752" s="10">
        <f>IF($K752="","",INDEX(Конструктор!$L$2:$L$1212,$K752))</f>
        <v/>
      </c>
      <c r="G752" s="10">
        <f>IF($K752="","",INDEX(Конструктор!$M$2:$M$1212,$K752))</f>
        <v/>
      </c>
      <c r="H752" s="10">
        <f>IF($K752="","",INDEX(Конструктор!$N$2:$N$1212,$K752))</f>
        <v/>
      </c>
      <c r="I752" s="10">
        <f>IF($K752="","",INDEX(Конструктор!$O$2:$O$1212,$K752))</f>
        <v/>
      </c>
      <c r="J752" s="10">
        <f>IF($K752="","",INDEX(Конструктор!$P$2:$P$1212,$K752))</f>
        <v/>
      </c>
      <c r="K752">
        <f>IFERROR(MATCH(732,Конструктор!$T$2:$T$1212,0),"")</f>
        <v/>
      </c>
      <c r="L752">
        <f>IF($K752="","","показать")</f>
        <v/>
      </c>
    </row>
    <row r="753" hidden="1">
      <c r="A753">
        <f>IF($K753="","",733)</f>
        <v/>
      </c>
      <c r="B753">
        <f>IF($K753="","",INDEX(Конструктор!$C$2:$C$1212,$K753))</f>
        <v/>
      </c>
      <c r="C753" s="8">
        <f>IF($K753="","",INDEX(Конструктор!$D$2:$D$1212,$K753)&amp;IF(INDEX(Конструктор!$J$2:$J$1212,$K753)&lt;&gt;""," — "&amp;INDEX(Конструктор!$J$2:$J$1212,$K753),""))</f>
        <v/>
      </c>
      <c r="D753">
        <f>IF($K753="","",INDEX(Конструктор!$E$2:$E$1212,$K753))</f>
        <v/>
      </c>
      <c r="E753" s="10">
        <f>IF($K753="","",INDEX(Конструктор!$H$2:$H$1212,$K753))</f>
        <v/>
      </c>
      <c r="F753" s="10">
        <f>IF($K753="","",INDEX(Конструктор!$L$2:$L$1212,$K753))</f>
        <v/>
      </c>
      <c r="G753" s="10">
        <f>IF($K753="","",INDEX(Конструктор!$M$2:$M$1212,$K753))</f>
        <v/>
      </c>
      <c r="H753" s="10">
        <f>IF($K753="","",INDEX(Конструктор!$N$2:$N$1212,$K753))</f>
        <v/>
      </c>
      <c r="I753" s="10">
        <f>IF($K753="","",INDEX(Конструктор!$O$2:$O$1212,$K753))</f>
        <v/>
      </c>
      <c r="J753" s="10">
        <f>IF($K753="","",INDEX(Конструктор!$P$2:$P$1212,$K753))</f>
        <v/>
      </c>
      <c r="K753">
        <f>IFERROR(MATCH(733,Конструктор!$T$2:$T$1212,0),"")</f>
        <v/>
      </c>
      <c r="L753">
        <f>IF($K753="","","показать")</f>
        <v/>
      </c>
    </row>
    <row r="754" hidden="1">
      <c r="A754">
        <f>IF($K754="","",734)</f>
        <v/>
      </c>
      <c r="B754">
        <f>IF($K754="","",INDEX(Конструктор!$C$2:$C$1212,$K754))</f>
        <v/>
      </c>
      <c r="C754" s="8">
        <f>IF($K754="","",INDEX(Конструктор!$D$2:$D$1212,$K754)&amp;IF(INDEX(Конструктор!$J$2:$J$1212,$K754)&lt;&gt;""," — "&amp;INDEX(Конструктор!$J$2:$J$1212,$K754),""))</f>
        <v/>
      </c>
      <c r="D754">
        <f>IF($K754="","",INDEX(Конструктор!$E$2:$E$1212,$K754))</f>
        <v/>
      </c>
      <c r="E754" s="10">
        <f>IF($K754="","",INDEX(Конструктор!$H$2:$H$1212,$K754))</f>
        <v/>
      </c>
      <c r="F754" s="10">
        <f>IF($K754="","",INDEX(Конструктор!$L$2:$L$1212,$K754))</f>
        <v/>
      </c>
      <c r="G754" s="10">
        <f>IF($K754="","",INDEX(Конструктор!$M$2:$M$1212,$K754))</f>
        <v/>
      </c>
      <c r="H754" s="10">
        <f>IF($K754="","",INDEX(Конструктор!$N$2:$N$1212,$K754))</f>
        <v/>
      </c>
      <c r="I754" s="10">
        <f>IF($K754="","",INDEX(Конструктор!$O$2:$O$1212,$K754))</f>
        <v/>
      </c>
      <c r="J754" s="10">
        <f>IF($K754="","",INDEX(Конструктор!$P$2:$P$1212,$K754))</f>
        <v/>
      </c>
      <c r="K754">
        <f>IFERROR(MATCH(734,Конструктор!$T$2:$T$1212,0),"")</f>
        <v/>
      </c>
      <c r="L754">
        <f>IF($K754="","","показать")</f>
        <v/>
      </c>
    </row>
    <row r="755" hidden="1">
      <c r="A755">
        <f>IF($K755="","",735)</f>
        <v/>
      </c>
      <c r="B755">
        <f>IF($K755="","",INDEX(Конструктор!$C$2:$C$1212,$K755))</f>
        <v/>
      </c>
      <c r="C755" s="8">
        <f>IF($K755="","",INDEX(Конструктор!$D$2:$D$1212,$K755)&amp;IF(INDEX(Конструктор!$J$2:$J$1212,$K755)&lt;&gt;""," — "&amp;INDEX(Конструктор!$J$2:$J$1212,$K755),""))</f>
        <v/>
      </c>
      <c r="D755">
        <f>IF($K755="","",INDEX(Конструктор!$E$2:$E$1212,$K755))</f>
        <v/>
      </c>
      <c r="E755" s="10">
        <f>IF($K755="","",INDEX(Конструктор!$H$2:$H$1212,$K755))</f>
        <v/>
      </c>
      <c r="F755" s="10">
        <f>IF($K755="","",INDEX(Конструктор!$L$2:$L$1212,$K755))</f>
        <v/>
      </c>
      <c r="G755" s="10">
        <f>IF($K755="","",INDEX(Конструктор!$M$2:$M$1212,$K755))</f>
        <v/>
      </c>
      <c r="H755" s="10">
        <f>IF($K755="","",INDEX(Конструктор!$N$2:$N$1212,$K755))</f>
        <v/>
      </c>
      <c r="I755" s="10">
        <f>IF($K755="","",INDEX(Конструктор!$O$2:$O$1212,$K755))</f>
        <v/>
      </c>
      <c r="J755" s="10">
        <f>IF($K755="","",INDEX(Конструктор!$P$2:$P$1212,$K755))</f>
        <v/>
      </c>
      <c r="K755">
        <f>IFERROR(MATCH(735,Конструктор!$T$2:$T$1212,0),"")</f>
        <v/>
      </c>
      <c r="L755">
        <f>IF($K755="","","показать")</f>
        <v/>
      </c>
    </row>
    <row r="756" hidden="1">
      <c r="A756">
        <f>IF($K756="","",736)</f>
        <v/>
      </c>
      <c r="B756">
        <f>IF($K756="","",INDEX(Конструктор!$C$2:$C$1212,$K756))</f>
        <v/>
      </c>
      <c r="C756" s="8">
        <f>IF($K756="","",INDEX(Конструктор!$D$2:$D$1212,$K756)&amp;IF(INDEX(Конструктор!$J$2:$J$1212,$K756)&lt;&gt;""," — "&amp;INDEX(Конструктор!$J$2:$J$1212,$K756),""))</f>
        <v/>
      </c>
      <c r="D756">
        <f>IF($K756="","",INDEX(Конструктор!$E$2:$E$1212,$K756))</f>
        <v/>
      </c>
      <c r="E756" s="10">
        <f>IF($K756="","",INDEX(Конструктор!$H$2:$H$1212,$K756))</f>
        <v/>
      </c>
      <c r="F756" s="10">
        <f>IF($K756="","",INDEX(Конструктор!$L$2:$L$1212,$K756))</f>
        <v/>
      </c>
      <c r="G756" s="10">
        <f>IF($K756="","",INDEX(Конструктор!$M$2:$M$1212,$K756))</f>
        <v/>
      </c>
      <c r="H756" s="10">
        <f>IF($K756="","",INDEX(Конструктор!$N$2:$N$1212,$K756))</f>
        <v/>
      </c>
      <c r="I756" s="10">
        <f>IF($K756="","",INDEX(Конструктор!$O$2:$O$1212,$K756))</f>
        <v/>
      </c>
      <c r="J756" s="10">
        <f>IF($K756="","",INDEX(Конструктор!$P$2:$P$1212,$K756))</f>
        <v/>
      </c>
      <c r="K756">
        <f>IFERROR(MATCH(736,Конструктор!$T$2:$T$1212,0),"")</f>
        <v/>
      </c>
      <c r="L756">
        <f>IF($K756="","","показать")</f>
        <v/>
      </c>
    </row>
    <row r="757" hidden="1">
      <c r="A757">
        <f>IF($K757="","",737)</f>
        <v/>
      </c>
      <c r="B757">
        <f>IF($K757="","",INDEX(Конструктор!$C$2:$C$1212,$K757))</f>
        <v/>
      </c>
      <c r="C757" s="8">
        <f>IF($K757="","",INDEX(Конструктор!$D$2:$D$1212,$K757)&amp;IF(INDEX(Конструктор!$J$2:$J$1212,$K757)&lt;&gt;""," — "&amp;INDEX(Конструктор!$J$2:$J$1212,$K757),""))</f>
        <v/>
      </c>
      <c r="D757">
        <f>IF($K757="","",INDEX(Конструктор!$E$2:$E$1212,$K757))</f>
        <v/>
      </c>
      <c r="E757" s="10">
        <f>IF($K757="","",INDEX(Конструктор!$H$2:$H$1212,$K757))</f>
        <v/>
      </c>
      <c r="F757" s="10">
        <f>IF($K757="","",INDEX(Конструктор!$L$2:$L$1212,$K757))</f>
        <v/>
      </c>
      <c r="G757" s="10">
        <f>IF($K757="","",INDEX(Конструктор!$M$2:$M$1212,$K757))</f>
        <v/>
      </c>
      <c r="H757" s="10">
        <f>IF($K757="","",INDEX(Конструктор!$N$2:$N$1212,$K757))</f>
        <v/>
      </c>
      <c r="I757" s="10">
        <f>IF($K757="","",INDEX(Конструктор!$O$2:$O$1212,$K757))</f>
        <v/>
      </c>
      <c r="J757" s="10">
        <f>IF($K757="","",INDEX(Конструктор!$P$2:$P$1212,$K757))</f>
        <v/>
      </c>
      <c r="K757">
        <f>IFERROR(MATCH(737,Конструктор!$T$2:$T$1212,0),"")</f>
        <v/>
      </c>
      <c r="L757">
        <f>IF($K757="","","показать")</f>
        <v/>
      </c>
    </row>
    <row r="758" hidden="1">
      <c r="A758">
        <f>IF($K758="","",738)</f>
        <v/>
      </c>
      <c r="B758">
        <f>IF($K758="","",INDEX(Конструктор!$C$2:$C$1212,$K758))</f>
        <v/>
      </c>
      <c r="C758" s="8">
        <f>IF($K758="","",INDEX(Конструктор!$D$2:$D$1212,$K758)&amp;IF(INDEX(Конструктор!$J$2:$J$1212,$K758)&lt;&gt;""," — "&amp;INDEX(Конструктор!$J$2:$J$1212,$K758),""))</f>
        <v/>
      </c>
      <c r="D758">
        <f>IF($K758="","",INDEX(Конструктор!$E$2:$E$1212,$K758))</f>
        <v/>
      </c>
      <c r="E758" s="10">
        <f>IF($K758="","",INDEX(Конструктор!$H$2:$H$1212,$K758))</f>
        <v/>
      </c>
      <c r="F758" s="10">
        <f>IF($K758="","",INDEX(Конструктор!$L$2:$L$1212,$K758))</f>
        <v/>
      </c>
      <c r="G758" s="10">
        <f>IF($K758="","",INDEX(Конструктор!$M$2:$M$1212,$K758))</f>
        <v/>
      </c>
      <c r="H758" s="10">
        <f>IF($K758="","",INDEX(Конструктор!$N$2:$N$1212,$K758))</f>
        <v/>
      </c>
      <c r="I758" s="10">
        <f>IF($K758="","",INDEX(Конструктор!$O$2:$O$1212,$K758))</f>
        <v/>
      </c>
      <c r="J758" s="10">
        <f>IF($K758="","",INDEX(Конструктор!$P$2:$P$1212,$K758))</f>
        <v/>
      </c>
      <c r="K758">
        <f>IFERROR(MATCH(738,Конструктор!$T$2:$T$1212,0),"")</f>
        <v/>
      </c>
      <c r="L758">
        <f>IF($K758="","","показать")</f>
        <v/>
      </c>
    </row>
    <row r="759" hidden="1">
      <c r="A759">
        <f>IF($K759="","",739)</f>
        <v/>
      </c>
      <c r="B759">
        <f>IF($K759="","",INDEX(Конструктор!$C$2:$C$1212,$K759))</f>
        <v/>
      </c>
      <c r="C759" s="8">
        <f>IF($K759="","",INDEX(Конструктор!$D$2:$D$1212,$K759)&amp;IF(INDEX(Конструктор!$J$2:$J$1212,$K759)&lt;&gt;""," — "&amp;INDEX(Конструктор!$J$2:$J$1212,$K759),""))</f>
        <v/>
      </c>
      <c r="D759">
        <f>IF($K759="","",INDEX(Конструктор!$E$2:$E$1212,$K759))</f>
        <v/>
      </c>
      <c r="E759" s="10">
        <f>IF($K759="","",INDEX(Конструктор!$H$2:$H$1212,$K759))</f>
        <v/>
      </c>
      <c r="F759" s="10">
        <f>IF($K759="","",INDEX(Конструктор!$L$2:$L$1212,$K759))</f>
        <v/>
      </c>
      <c r="G759" s="10">
        <f>IF($K759="","",INDEX(Конструктор!$M$2:$M$1212,$K759))</f>
        <v/>
      </c>
      <c r="H759" s="10">
        <f>IF($K759="","",INDEX(Конструктор!$N$2:$N$1212,$K759))</f>
        <v/>
      </c>
      <c r="I759" s="10">
        <f>IF($K759="","",INDEX(Конструктор!$O$2:$O$1212,$K759))</f>
        <v/>
      </c>
      <c r="J759" s="10">
        <f>IF($K759="","",INDEX(Конструктор!$P$2:$P$1212,$K759))</f>
        <v/>
      </c>
      <c r="K759">
        <f>IFERROR(MATCH(739,Конструктор!$T$2:$T$1212,0),"")</f>
        <v/>
      </c>
      <c r="L759">
        <f>IF($K759="","","показать")</f>
        <v/>
      </c>
    </row>
    <row r="760" hidden="1">
      <c r="A760">
        <f>IF($K760="","",740)</f>
        <v/>
      </c>
      <c r="B760">
        <f>IF($K760="","",INDEX(Конструктор!$C$2:$C$1212,$K760))</f>
        <v/>
      </c>
      <c r="C760" s="8">
        <f>IF($K760="","",INDEX(Конструктор!$D$2:$D$1212,$K760)&amp;IF(INDEX(Конструктор!$J$2:$J$1212,$K760)&lt;&gt;""," — "&amp;INDEX(Конструктор!$J$2:$J$1212,$K760),""))</f>
        <v/>
      </c>
      <c r="D760">
        <f>IF($K760="","",INDEX(Конструктор!$E$2:$E$1212,$K760))</f>
        <v/>
      </c>
      <c r="E760" s="10">
        <f>IF($K760="","",INDEX(Конструктор!$H$2:$H$1212,$K760))</f>
        <v/>
      </c>
      <c r="F760" s="10">
        <f>IF($K760="","",INDEX(Конструктор!$L$2:$L$1212,$K760))</f>
        <v/>
      </c>
      <c r="G760" s="10">
        <f>IF($K760="","",INDEX(Конструктор!$M$2:$M$1212,$K760))</f>
        <v/>
      </c>
      <c r="H760" s="10">
        <f>IF($K760="","",INDEX(Конструктор!$N$2:$N$1212,$K760))</f>
        <v/>
      </c>
      <c r="I760" s="10">
        <f>IF($K760="","",INDEX(Конструктор!$O$2:$O$1212,$K760))</f>
        <v/>
      </c>
      <c r="J760" s="10">
        <f>IF($K760="","",INDEX(Конструктор!$P$2:$P$1212,$K760))</f>
        <v/>
      </c>
      <c r="K760">
        <f>IFERROR(MATCH(740,Конструктор!$T$2:$T$1212,0),"")</f>
        <v/>
      </c>
      <c r="L760">
        <f>IF($K760="","","показать")</f>
        <v/>
      </c>
    </row>
    <row r="761" hidden="1">
      <c r="A761">
        <f>IF($K761="","",741)</f>
        <v/>
      </c>
      <c r="B761">
        <f>IF($K761="","",INDEX(Конструктор!$C$2:$C$1212,$K761))</f>
        <v/>
      </c>
      <c r="C761" s="8">
        <f>IF($K761="","",INDEX(Конструктор!$D$2:$D$1212,$K761)&amp;IF(INDEX(Конструктор!$J$2:$J$1212,$K761)&lt;&gt;""," — "&amp;INDEX(Конструктор!$J$2:$J$1212,$K761),""))</f>
        <v/>
      </c>
      <c r="D761">
        <f>IF($K761="","",INDEX(Конструктор!$E$2:$E$1212,$K761))</f>
        <v/>
      </c>
      <c r="E761" s="10">
        <f>IF($K761="","",INDEX(Конструктор!$H$2:$H$1212,$K761))</f>
        <v/>
      </c>
      <c r="F761" s="10">
        <f>IF($K761="","",INDEX(Конструктор!$L$2:$L$1212,$K761))</f>
        <v/>
      </c>
      <c r="G761" s="10">
        <f>IF($K761="","",INDEX(Конструктор!$M$2:$M$1212,$K761))</f>
        <v/>
      </c>
      <c r="H761" s="10">
        <f>IF($K761="","",INDEX(Конструктор!$N$2:$N$1212,$K761))</f>
        <v/>
      </c>
      <c r="I761" s="10">
        <f>IF($K761="","",INDEX(Конструктор!$O$2:$O$1212,$K761))</f>
        <v/>
      </c>
      <c r="J761" s="10">
        <f>IF($K761="","",INDEX(Конструктор!$P$2:$P$1212,$K761))</f>
        <v/>
      </c>
      <c r="K761">
        <f>IFERROR(MATCH(741,Конструктор!$T$2:$T$1212,0),"")</f>
        <v/>
      </c>
      <c r="L761">
        <f>IF($K761="","","показать")</f>
        <v/>
      </c>
    </row>
    <row r="762" hidden="1">
      <c r="A762">
        <f>IF($K762="","",742)</f>
        <v/>
      </c>
      <c r="B762">
        <f>IF($K762="","",INDEX(Конструктор!$C$2:$C$1212,$K762))</f>
        <v/>
      </c>
      <c r="C762" s="8">
        <f>IF($K762="","",INDEX(Конструктор!$D$2:$D$1212,$K762)&amp;IF(INDEX(Конструктор!$J$2:$J$1212,$K762)&lt;&gt;""," — "&amp;INDEX(Конструктор!$J$2:$J$1212,$K762),""))</f>
        <v/>
      </c>
      <c r="D762">
        <f>IF($K762="","",INDEX(Конструктор!$E$2:$E$1212,$K762))</f>
        <v/>
      </c>
      <c r="E762" s="10">
        <f>IF($K762="","",INDEX(Конструктор!$H$2:$H$1212,$K762))</f>
        <v/>
      </c>
      <c r="F762" s="10">
        <f>IF($K762="","",INDEX(Конструктор!$L$2:$L$1212,$K762))</f>
        <v/>
      </c>
      <c r="G762" s="10">
        <f>IF($K762="","",INDEX(Конструктор!$M$2:$M$1212,$K762))</f>
        <v/>
      </c>
      <c r="H762" s="10">
        <f>IF($K762="","",INDEX(Конструктор!$N$2:$N$1212,$K762))</f>
        <v/>
      </c>
      <c r="I762" s="10">
        <f>IF($K762="","",INDEX(Конструктор!$O$2:$O$1212,$K762))</f>
        <v/>
      </c>
      <c r="J762" s="10">
        <f>IF($K762="","",INDEX(Конструктор!$P$2:$P$1212,$K762))</f>
        <v/>
      </c>
      <c r="K762">
        <f>IFERROR(MATCH(742,Конструктор!$T$2:$T$1212,0),"")</f>
        <v/>
      </c>
      <c r="L762">
        <f>IF($K762="","","показать")</f>
        <v/>
      </c>
    </row>
    <row r="763" hidden="1">
      <c r="A763">
        <f>IF($K763="","",743)</f>
        <v/>
      </c>
      <c r="B763">
        <f>IF($K763="","",INDEX(Конструктор!$C$2:$C$1212,$K763))</f>
        <v/>
      </c>
      <c r="C763" s="8">
        <f>IF($K763="","",INDEX(Конструктор!$D$2:$D$1212,$K763)&amp;IF(INDEX(Конструктор!$J$2:$J$1212,$K763)&lt;&gt;""," — "&amp;INDEX(Конструктор!$J$2:$J$1212,$K763),""))</f>
        <v/>
      </c>
      <c r="D763">
        <f>IF($K763="","",INDEX(Конструктор!$E$2:$E$1212,$K763))</f>
        <v/>
      </c>
      <c r="E763" s="10">
        <f>IF($K763="","",INDEX(Конструктор!$H$2:$H$1212,$K763))</f>
        <v/>
      </c>
      <c r="F763" s="10">
        <f>IF($K763="","",INDEX(Конструктор!$L$2:$L$1212,$K763))</f>
        <v/>
      </c>
      <c r="G763" s="10">
        <f>IF($K763="","",INDEX(Конструктор!$M$2:$M$1212,$K763))</f>
        <v/>
      </c>
      <c r="H763" s="10">
        <f>IF($K763="","",INDEX(Конструктор!$N$2:$N$1212,$K763))</f>
        <v/>
      </c>
      <c r="I763" s="10">
        <f>IF($K763="","",INDEX(Конструктор!$O$2:$O$1212,$K763))</f>
        <v/>
      </c>
      <c r="J763" s="10">
        <f>IF($K763="","",INDEX(Конструктор!$P$2:$P$1212,$K763))</f>
        <v/>
      </c>
      <c r="K763">
        <f>IFERROR(MATCH(743,Конструктор!$T$2:$T$1212,0),"")</f>
        <v/>
      </c>
      <c r="L763">
        <f>IF($K763="","","показать")</f>
        <v/>
      </c>
    </row>
    <row r="764" hidden="1">
      <c r="A764">
        <f>IF($K764="","",744)</f>
        <v/>
      </c>
      <c r="B764">
        <f>IF($K764="","",INDEX(Конструктор!$C$2:$C$1212,$K764))</f>
        <v/>
      </c>
      <c r="C764" s="8">
        <f>IF($K764="","",INDEX(Конструктор!$D$2:$D$1212,$K764)&amp;IF(INDEX(Конструктор!$J$2:$J$1212,$K764)&lt;&gt;""," — "&amp;INDEX(Конструктор!$J$2:$J$1212,$K764),""))</f>
        <v/>
      </c>
      <c r="D764">
        <f>IF($K764="","",INDEX(Конструктор!$E$2:$E$1212,$K764))</f>
        <v/>
      </c>
      <c r="E764" s="10">
        <f>IF($K764="","",INDEX(Конструктор!$H$2:$H$1212,$K764))</f>
        <v/>
      </c>
      <c r="F764" s="10">
        <f>IF($K764="","",INDEX(Конструктор!$L$2:$L$1212,$K764))</f>
        <v/>
      </c>
      <c r="G764" s="10">
        <f>IF($K764="","",INDEX(Конструктор!$M$2:$M$1212,$K764))</f>
        <v/>
      </c>
      <c r="H764" s="10">
        <f>IF($K764="","",INDEX(Конструктор!$N$2:$N$1212,$K764))</f>
        <v/>
      </c>
      <c r="I764" s="10">
        <f>IF($K764="","",INDEX(Конструктор!$O$2:$O$1212,$K764))</f>
        <v/>
      </c>
      <c r="J764" s="10">
        <f>IF($K764="","",INDEX(Конструктор!$P$2:$P$1212,$K764))</f>
        <v/>
      </c>
      <c r="K764">
        <f>IFERROR(MATCH(744,Конструктор!$T$2:$T$1212,0),"")</f>
        <v/>
      </c>
      <c r="L764">
        <f>IF($K764="","","показать")</f>
        <v/>
      </c>
    </row>
    <row r="765" hidden="1">
      <c r="A765">
        <f>IF($K765="","",745)</f>
        <v/>
      </c>
      <c r="B765">
        <f>IF($K765="","",INDEX(Конструктор!$C$2:$C$1212,$K765))</f>
        <v/>
      </c>
      <c r="C765" s="8">
        <f>IF($K765="","",INDEX(Конструктор!$D$2:$D$1212,$K765)&amp;IF(INDEX(Конструктор!$J$2:$J$1212,$K765)&lt;&gt;""," — "&amp;INDEX(Конструктор!$J$2:$J$1212,$K765),""))</f>
        <v/>
      </c>
      <c r="D765">
        <f>IF($K765="","",INDEX(Конструктор!$E$2:$E$1212,$K765))</f>
        <v/>
      </c>
      <c r="E765" s="10">
        <f>IF($K765="","",INDEX(Конструктор!$H$2:$H$1212,$K765))</f>
        <v/>
      </c>
      <c r="F765" s="10">
        <f>IF($K765="","",INDEX(Конструктор!$L$2:$L$1212,$K765))</f>
        <v/>
      </c>
      <c r="G765" s="10">
        <f>IF($K765="","",INDEX(Конструктор!$M$2:$M$1212,$K765))</f>
        <v/>
      </c>
      <c r="H765" s="10">
        <f>IF($K765="","",INDEX(Конструктор!$N$2:$N$1212,$K765))</f>
        <v/>
      </c>
      <c r="I765" s="10">
        <f>IF($K765="","",INDEX(Конструктор!$O$2:$O$1212,$K765))</f>
        <v/>
      </c>
      <c r="J765" s="10">
        <f>IF($K765="","",INDEX(Конструктор!$P$2:$P$1212,$K765))</f>
        <v/>
      </c>
      <c r="K765">
        <f>IFERROR(MATCH(745,Конструктор!$T$2:$T$1212,0),"")</f>
        <v/>
      </c>
      <c r="L765">
        <f>IF($K765="","","показать")</f>
        <v/>
      </c>
    </row>
    <row r="766" hidden="1">
      <c r="A766">
        <f>IF($K766="","",746)</f>
        <v/>
      </c>
      <c r="B766">
        <f>IF($K766="","",INDEX(Конструктор!$C$2:$C$1212,$K766))</f>
        <v/>
      </c>
      <c r="C766" s="8">
        <f>IF($K766="","",INDEX(Конструктор!$D$2:$D$1212,$K766)&amp;IF(INDEX(Конструктор!$J$2:$J$1212,$K766)&lt;&gt;""," — "&amp;INDEX(Конструктор!$J$2:$J$1212,$K766),""))</f>
        <v/>
      </c>
      <c r="D766">
        <f>IF($K766="","",INDEX(Конструктор!$E$2:$E$1212,$K766))</f>
        <v/>
      </c>
      <c r="E766" s="10">
        <f>IF($K766="","",INDEX(Конструктор!$H$2:$H$1212,$K766))</f>
        <v/>
      </c>
      <c r="F766" s="10">
        <f>IF($K766="","",INDEX(Конструктор!$L$2:$L$1212,$K766))</f>
        <v/>
      </c>
      <c r="G766" s="10">
        <f>IF($K766="","",INDEX(Конструктор!$M$2:$M$1212,$K766))</f>
        <v/>
      </c>
      <c r="H766" s="10">
        <f>IF($K766="","",INDEX(Конструктор!$N$2:$N$1212,$K766))</f>
        <v/>
      </c>
      <c r="I766" s="10">
        <f>IF($K766="","",INDEX(Конструктор!$O$2:$O$1212,$K766))</f>
        <v/>
      </c>
      <c r="J766" s="10">
        <f>IF($K766="","",INDEX(Конструктор!$P$2:$P$1212,$K766))</f>
        <v/>
      </c>
      <c r="K766">
        <f>IFERROR(MATCH(746,Конструктор!$T$2:$T$1212,0),"")</f>
        <v/>
      </c>
      <c r="L766">
        <f>IF($K766="","","показать")</f>
        <v/>
      </c>
    </row>
    <row r="767" hidden="1">
      <c r="A767">
        <f>IF($K767="","",747)</f>
        <v/>
      </c>
      <c r="B767">
        <f>IF($K767="","",INDEX(Конструктор!$C$2:$C$1212,$K767))</f>
        <v/>
      </c>
      <c r="C767" s="8">
        <f>IF($K767="","",INDEX(Конструктор!$D$2:$D$1212,$K767)&amp;IF(INDEX(Конструктор!$J$2:$J$1212,$K767)&lt;&gt;""," — "&amp;INDEX(Конструктор!$J$2:$J$1212,$K767),""))</f>
        <v/>
      </c>
      <c r="D767">
        <f>IF($K767="","",INDEX(Конструктор!$E$2:$E$1212,$K767))</f>
        <v/>
      </c>
      <c r="E767" s="10">
        <f>IF($K767="","",INDEX(Конструктор!$H$2:$H$1212,$K767))</f>
        <v/>
      </c>
      <c r="F767" s="10">
        <f>IF($K767="","",INDEX(Конструктор!$L$2:$L$1212,$K767))</f>
        <v/>
      </c>
      <c r="G767" s="10">
        <f>IF($K767="","",INDEX(Конструктор!$M$2:$M$1212,$K767))</f>
        <v/>
      </c>
      <c r="H767" s="10">
        <f>IF($K767="","",INDEX(Конструктор!$N$2:$N$1212,$K767))</f>
        <v/>
      </c>
      <c r="I767" s="10">
        <f>IF($K767="","",INDEX(Конструктор!$O$2:$O$1212,$K767))</f>
        <v/>
      </c>
      <c r="J767" s="10">
        <f>IF($K767="","",INDEX(Конструктор!$P$2:$P$1212,$K767))</f>
        <v/>
      </c>
      <c r="K767">
        <f>IFERROR(MATCH(747,Конструктор!$T$2:$T$1212,0),"")</f>
        <v/>
      </c>
      <c r="L767">
        <f>IF($K767="","","показать")</f>
        <v/>
      </c>
    </row>
    <row r="768" hidden="1">
      <c r="A768">
        <f>IF($K768="","",748)</f>
        <v/>
      </c>
      <c r="B768">
        <f>IF($K768="","",INDEX(Конструктор!$C$2:$C$1212,$K768))</f>
        <v/>
      </c>
      <c r="C768" s="8">
        <f>IF($K768="","",INDEX(Конструктор!$D$2:$D$1212,$K768)&amp;IF(INDEX(Конструктор!$J$2:$J$1212,$K768)&lt;&gt;""," — "&amp;INDEX(Конструктор!$J$2:$J$1212,$K768),""))</f>
        <v/>
      </c>
      <c r="D768">
        <f>IF($K768="","",INDEX(Конструктор!$E$2:$E$1212,$K768))</f>
        <v/>
      </c>
      <c r="E768" s="10">
        <f>IF($K768="","",INDEX(Конструктор!$H$2:$H$1212,$K768))</f>
        <v/>
      </c>
      <c r="F768" s="10">
        <f>IF($K768="","",INDEX(Конструктор!$L$2:$L$1212,$K768))</f>
        <v/>
      </c>
      <c r="G768" s="10">
        <f>IF($K768="","",INDEX(Конструктор!$M$2:$M$1212,$K768))</f>
        <v/>
      </c>
      <c r="H768" s="10">
        <f>IF($K768="","",INDEX(Конструктор!$N$2:$N$1212,$K768))</f>
        <v/>
      </c>
      <c r="I768" s="10">
        <f>IF($K768="","",INDEX(Конструктор!$O$2:$O$1212,$K768))</f>
        <v/>
      </c>
      <c r="J768" s="10">
        <f>IF($K768="","",INDEX(Конструктор!$P$2:$P$1212,$K768))</f>
        <v/>
      </c>
      <c r="K768">
        <f>IFERROR(MATCH(748,Конструктор!$T$2:$T$1212,0),"")</f>
        <v/>
      </c>
      <c r="L768">
        <f>IF($K768="","","показать")</f>
        <v/>
      </c>
    </row>
    <row r="769" hidden="1">
      <c r="A769">
        <f>IF($K769="","",749)</f>
        <v/>
      </c>
      <c r="B769">
        <f>IF($K769="","",INDEX(Конструктор!$C$2:$C$1212,$K769))</f>
        <v/>
      </c>
      <c r="C769" s="8">
        <f>IF($K769="","",INDEX(Конструктор!$D$2:$D$1212,$K769)&amp;IF(INDEX(Конструктор!$J$2:$J$1212,$K769)&lt;&gt;""," — "&amp;INDEX(Конструктор!$J$2:$J$1212,$K769),""))</f>
        <v/>
      </c>
      <c r="D769">
        <f>IF($K769="","",INDEX(Конструктор!$E$2:$E$1212,$K769))</f>
        <v/>
      </c>
      <c r="E769" s="10">
        <f>IF($K769="","",INDEX(Конструктор!$H$2:$H$1212,$K769))</f>
        <v/>
      </c>
      <c r="F769" s="10">
        <f>IF($K769="","",INDEX(Конструктор!$L$2:$L$1212,$K769))</f>
        <v/>
      </c>
      <c r="G769" s="10">
        <f>IF($K769="","",INDEX(Конструктор!$M$2:$M$1212,$K769))</f>
        <v/>
      </c>
      <c r="H769" s="10">
        <f>IF($K769="","",INDEX(Конструктор!$N$2:$N$1212,$K769))</f>
        <v/>
      </c>
      <c r="I769" s="10">
        <f>IF($K769="","",INDEX(Конструктор!$O$2:$O$1212,$K769))</f>
        <v/>
      </c>
      <c r="J769" s="10">
        <f>IF($K769="","",INDEX(Конструктор!$P$2:$P$1212,$K769))</f>
        <v/>
      </c>
      <c r="K769">
        <f>IFERROR(MATCH(749,Конструктор!$T$2:$T$1212,0),"")</f>
        <v/>
      </c>
      <c r="L769">
        <f>IF($K769="","","показать")</f>
        <v/>
      </c>
    </row>
    <row r="770" hidden="1">
      <c r="A770">
        <f>IF($K770="","",750)</f>
        <v/>
      </c>
      <c r="B770">
        <f>IF($K770="","",INDEX(Конструктор!$C$2:$C$1212,$K770))</f>
        <v/>
      </c>
      <c r="C770" s="8">
        <f>IF($K770="","",INDEX(Конструктор!$D$2:$D$1212,$K770)&amp;IF(INDEX(Конструктор!$J$2:$J$1212,$K770)&lt;&gt;""," — "&amp;INDEX(Конструктор!$J$2:$J$1212,$K770),""))</f>
        <v/>
      </c>
      <c r="D770">
        <f>IF($K770="","",INDEX(Конструктор!$E$2:$E$1212,$K770))</f>
        <v/>
      </c>
      <c r="E770" s="10">
        <f>IF($K770="","",INDEX(Конструктор!$H$2:$H$1212,$K770))</f>
        <v/>
      </c>
      <c r="F770" s="10">
        <f>IF($K770="","",INDEX(Конструктор!$L$2:$L$1212,$K770))</f>
        <v/>
      </c>
      <c r="G770" s="10">
        <f>IF($K770="","",INDEX(Конструктор!$M$2:$M$1212,$K770))</f>
        <v/>
      </c>
      <c r="H770" s="10">
        <f>IF($K770="","",INDEX(Конструктор!$N$2:$N$1212,$K770))</f>
        <v/>
      </c>
      <c r="I770" s="10">
        <f>IF($K770="","",INDEX(Конструктор!$O$2:$O$1212,$K770))</f>
        <v/>
      </c>
      <c r="J770" s="10">
        <f>IF($K770="","",INDEX(Конструктор!$P$2:$P$1212,$K770))</f>
        <v/>
      </c>
      <c r="K770">
        <f>IFERROR(MATCH(750,Конструктор!$T$2:$T$1212,0),"")</f>
        <v/>
      </c>
      <c r="L770">
        <f>IF($K770="","","показать")</f>
        <v/>
      </c>
    </row>
    <row r="771" hidden="1">
      <c r="A771">
        <f>IF($K771="","",751)</f>
        <v/>
      </c>
      <c r="B771">
        <f>IF($K771="","",INDEX(Конструктор!$C$2:$C$1212,$K771))</f>
        <v/>
      </c>
      <c r="C771" s="8">
        <f>IF($K771="","",INDEX(Конструктор!$D$2:$D$1212,$K771)&amp;IF(INDEX(Конструктор!$J$2:$J$1212,$K771)&lt;&gt;""," — "&amp;INDEX(Конструктор!$J$2:$J$1212,$K771),""))</f>
        <v/>
      </c>
      <c r="D771">
        <f>IF($K771="","",INDEX(Конструктор!$E$2:$E$1212,$K771))</f>
        <v/>
      </c>
      <c r="E771" s="10">
        <f>IF($K771="","",INDEX(Конструктор!$H$2:$H$1212,$K771))</f>
        <v/>
      </c>
      <c r="F771" s="10">
        <f>IF($K771="","",INDEX(Конструктор!$L$2:$L$1212,$K771))</f>
        <v/>
      </c>
      <c r="G771" s="10">
        <f>IF($K771="","",INDEX(Конструктор!$M$2:$M$1212,$K771))</f>
        <v/>
      </c>
      <c r="H771" s="10">
        <f>IF($K771="","",INDEX(Конструктор!$N$2:$N$1212,$K771))</f>
        <v/>
      </c>
      <c r="I771" s="10">
        <f>IF($K771="","",INDEX(Конструктор!$O$2:$O$1212,$K771))</f>
        <v/>
      </c>
      <c r="J771" s="10">
        <f>IF($K771="","",INDEX(Конструктор!$P$2:$P$1212,$K771))</f>
        <v/>
      </c>
      <c r="K771">
        <f>IFERROR(MATCH(751,Конструктор!$T$2:$T$1212,0),"")</f>
        <v/>
      </c>
      <c r="L771">
        <f>IF($K771="","","показать")</f>
        <v/>
      </c>
    </row>
    <row r="772" hidden="1">
      <c r="A772">
        <f>IF($K772="","",752)</f>
        <v/>
      </c>
      <c r="B772">
        <f>IF($K772="","",INDEX(Конструктор!$C$2:$C$1212,$K772))</f>
        <v/>
      </c>
      <c r="C772" s="8">
        <f>IF($K772="","",INDEX(Конструктор!$D$2:$D$1212,$K772)&amp;IF(INDEX(Конструктор!$J$2:$J$1212,$K772)&lt;&gt;""," — "&amp;INDEX(Конструктор!$J$2:$J$1212,$K772),""))</f>
        <v/>
      </c>
      <c r="D772">
        <f>IF($K772="","",INDEX(Конструктор!$E$2:$E$1212,$K772))</f>
        <v/>
      </c>
      <c r="E772" s="10">
        <f>IF($K772="","",INDEX(Конструктор!$H$2:$H$1212,$K772))</f>
        <v/>
      </c>
      <c r="F772" s="10">
        <f>IF($K772="","",INDEX(Конструктор!$L$2:$L$1212,$K772))</f>
        <v/>
      </c>
      <c r="G772" s="10">
        <f>IF($K772="","",INDEX(Конструктор!$M$2:$M$1212,$K772))</f>
        <v/>
      </c>
      <c r="H772" s="10">
        <f>IF($K772="","",INDEX(Конструктор!$N$2:$N$1212,$K772))</f>
        <v/>
      </c>
      <c r="I772" s="10">
        <f>IF($K772="","",INDEX(Конструктор!$O$2:$O$1212,$K772))</f>
        <v/>
      </c>
      <c r="J772" s="10">
        <f>IF($K772="","",INDEX(Конструктор!$P$2:$P$1212,$K772))</f>
        <v/>
      </c>
      <c r="K772">
        <f>IFERROR(MATCH(752,Конструктор!$T$2:$T$1212,0),"")</f>
        <v/>
      </c>
      <c r="L772">
        <f>IF($K772="","","показать")</f>
        <v/>
      </c>
    </row>
    <row r="773" hidden="1">
      <c r="A773">
        <f>IF($K773="","",753)</f>
        <v/>
      </c>
      <c r="B773">
        <f>IF($K773="","",INDEX(Конструктор!$C$2:$C$1212,$K773))</f>
        <v/>
      </c>
      <c r="C773" s="8">
        <f>IF($K773="","",INDEX(Конструктор!$D$2:$D$1212,$K773)&amp;IF(INDEX(Конструктор!$J$2:$J$1212,$K773)&lt;&gt;""," — "&amp;INDEX(Конструктор!$J$2:$J$1212,$K773),""))</f>
        <v/>
      </c>
      <c r="D773">
        <f>IF($K773="","",INDEX(Конструктор!$E$2:$E$1212,$K773))</f>
        <v/>
      </c>
      <c r="E773" s="10">
        <f>IF($K773="","",INDEX(Конструктор!$H$2:$H$1212,$K773))</f>
        <v/>
      </c>
      <c r="F773" s="10">
        <f>IF($K773="","",INDEX(Конструктор!$L$2:$L$1212,$K773))</f>
        <v/>
      </c>
      <c r="G773" s="10">
        <f>IF($K773="","",INDEX(Конструктор!$M$2:$M$1212,$K773))</f>
        <v/>
      </c>
      <c r="H773" s="10">
        <f>IF($K773="","",INDEX(Конструктор!$N$2:$N$1212,$K773))</f>
        <v/>
      </c>
      <c r="I773" s="10">
        <f>IF($K773="","",INDEX(Конструктор!$O$2:$O$1212,$K773))</f>
        <v/>
      </c>
      <c r="J773" s="10">
        <f>IF($K773="","",INDEX(Конструктор!$P$2:$P$1212,$K773))</f>
        <v/>
      </c>
      <c r="K773">
        <f>IFERROR(MATCH(753,Конструктор!$T$2:$T$1212,0),"")</f>
        <v/>
      </c>
      <c r="L773">
        <f>IF($K773="","","показать")</f>
        <v/>
      </c>
    </row>
    <row r="774" hidden="1">
      <c r="A774">
        <f>IF($K774="","",754)</f>
        <v/>
      </c>
      <c r="B774">
        <f>IF($K774="","",INDEX(Конструктор!$C$2:$C$1212,$K774))</f>
        <v/>
      </c>
      <c r="C774" s="8">
        <f>IF($K774="","",INDEX(Конструктор!$D$2:$D$1212,$K774)&amp;IF(INDEX(Конструктор!$J$2:$J$1212,$K774)&lt;&gt;""," — "&amp;INDEX(Конструктор!$J$2:$J$1212,$K774),""))</f>
        <v/>
      </c>
      <c r="D774">
        <f>IF($K774="","",INDEX(Конструктор!$E$2:$E$1212,$K774))</f>
        <v/>
      </c>
      <c r="E774" s="10">
        <f>IF($K774="","",INDEX(Конструктор!$H$2:$H$1212,$K774))</f>
        <v/>
      </c>
      <c r="F774" s="10">
        <f>IF($K774="","",INDEX(Конструктор!$L$2:$L$1212,$K774))</f>
        <v/>
      </c>
      <c r="G774" s="10">
        <f>IF($K774="","",INDEX(Конструктор!$M$2:$M$1212,$K774))</f>
        <v/>
      </c>
      <c r="H774" s="10">
        <f>IF($K774="","",INDEX(Конструктор!$N$2:$N$1212,$K774))</f>
        <v/>
      </c>
      <c r="I774" s="10">
        <f>IF($K774="","",INDEX(Конструктор!$O$2:$O$1212,$K774))</f>
        <v/>
      </c>
      <c r="J774" s="10">
        <f>IF($K774="","",INDEX(Конструктор!$P$2:$P$1212,$K774))</f>
        <v/>
      </c>
      <c r="K774">
        <f>IFERROR(MATCH(754,Конструктор!$T$2:$T$1212,0),"")</f>
        <v/>
      </c>
      <c r="L774">
        <f>IF($K774="","","показать")</f>
        <v/>
      </c>
    </row>
    <row r="775" hidden="1">
      <c r="A775">
        <f>IF($K775="","",755)</f>
        <v/>
      </c>
      <c r="B775">
        <f>IF($K775="","",INDEX(Конструктор!$C$2:$C$1212,$K775))</f>
        <v/>
      </c>
      <c r="C775" s="8">
        <f>IF($K775="","",INDEX(Конструктор!$D$2:$D$1212,$K775)&amp;IF(INDEX(Конструктор!$J$2:$J$1212,$K775)&lt;&gt;""," — "&amp;INDEX(Конструктор!$J$2:$J$1212,$K775),""))</f>
        <v/>
      </c>
      <c r="D775">
        <f>IF($K775="","",INDEX(Конструктор!$E$2:$E$1212,$K775))</f>
        <v/>
      </c>
      <c r="E775" s="10">
        <f>IF($K775="","",INDEX(Конструктор!$H$2:$H$1212,$K775))</f>
        <v/>
      </c>
      <c r="F775" s="10">
        <f>IF($K775="","",INDEX(Конструктор!$L$2:$L$1212,$K775))</f>
        <v/>
      </c>
      <c r="G775" s="10">
        <f>IF($K775="","",INDEX(Конструктор!$M$2:$M$1212,$K775))</f>
        <v/>
      </c>
      <c r="H775" s="10">
        <f>IF($K775="","",INDEX(Конструктор!$N$2:$N$1212,$K775))</f>
        <v/>
      </c>
      <c r="I775" s="10">
        <f>IF($K775="","",INDEX(Конструктор!$O$2:$O$1212,$K775))</f>
        <v/>
      </c>
      <c r="J775" s="10">
        <f>IF($K775="","",INDEX(Конструктор!$P$2:$P$1212,$K775))</f>
        <v/>
      </c>
      <c r="K775">
        <f>IFERROR(MATCH(755,Конструктор!$T$2:$T$1212,0),"")</f>
        <v/>
      </c>
      <c r="L775">
        <f>IF($K775="","","показать")</f>
        <v/>
      </c>
    </row>
    <row r="776" hidden="1">
      <c r="A776">
        <f>IF($K776="","",756)</f>
        <v/>
      </c>
      <c r="B776">
        <f>IF($K776="","",INDEX(Конструктор!$C$2:$C$1212,$K776))</f>
        <v/>
      </c>
      <c r="C776" s="8">
        <f>IF($K776="","",INDEX(Конструктор!$D$2:$D$1212,$K776)&amp;IF(INDEX(Конструктор!$J$2:$J$1212,$K776)&lt;&gt;""," — "&amp;INDEX(Конструктор!$J$2:$J$1212,$K776),""))</f>
        <v/>
      </c>
      <c r="D776">
        <f>IF($K776="","",INDEX(Конструктор!$E$2:$E$1212,$K776))</f>
        <v/>
      </c>
      <c r="E776" s="10">
        <f>IF($K776="","",INDEX(Конструктор!$H$2:$H$1212,$K776))</f>
        <v/>
      </c>
      <c r="F776" s="10">
        <f>IF($K776="","",INDEX(Конструктор!$L$2:$L$1212,$K776))</f>
        <v/>
      </c>
      <c r="G776" s="10">
        <f>IF($K776="","",INDEX(Конструктор!$M$2:$M$1212,$K776))</f>
        <v/>
      </c>
      <c r="H776" s="10">
        <f>IF($K776="","",INDEX(Конструктор!$N$2:$N$1212,$K776))</f>
        <v/>
      </c>
      <c r="I776" s="10">
        <f>IF($K776="","",INDEX(Конструктор!$O$2:$O$1212,$K776))</f>
        <v/>
      </c>
      <c r="J776" s="10">
        <f>IF($K776="","",INDEX(Конструктор!$P$2:$P$1212,$K776))</f>
        <v/>
      </c>
      <c r="K776">
        <f>IFERROR(MATCH(756,Конструктор!$T$2:$T$1212,0),"")</f>
        <v/>
      </c>
      <c r="L776">
        <f>IF($K776="","","показать")</f>
        <v/>
      </c>
    </row>
    <row r="777" hidden="1">
      <c r="A777">
        <f>IF($K777="","",757)</f>
        <v/>
      </c>
      <c r="B777">
        <f>IF($K777="","",INDEX(Конструктор!$C$2:$C$1212,$K777))</f>
        <v/>
      </c>
      <c r="C777" s="8">
        <f>IF($K777="","",INDEX(Конструктор!$D$2:$D$1212,$K777)&amp;IF(INDEX(Конструктор!$J$2:$J$1212,$K777)&lt;&gt;""," — "&amp;INDEX(Конструктор!$J$2:$J$1212,$K777),""))</f>
        <v/>
      </c>
      <c r="D777">
        <f>IF($K777="","",INDEX(Конструктор!$E$2:$E$1212,$K777))</f>
        <v/>
      </c>
      <c r="E777" s="10">
        <f>IF($K777="","",INDEX(Конструктор!$H$2:$H$1212,$K777))</f>
        <v/>
      </c>
      <c r="F777" s="10">
        <f>IF($K777="","",INDEX(Конструктор!$L$2:$L$1212,$K777))</f>
        <v/>
      </c>
      <c r="G777" s="10">
        <f>IF($K777="","",INDEX(Конструктор!$M$2:$M$1212,$K777))</f>
        <v/>
      </c>
      <c r="H777" s="10">
        <f>IF($K777="","",INDEX(Конструктор!$N$2:$N$1212,$K777))</f>
        <v/>
      </c>
      <c r="I777" s="10">
        <f>IF($K777="","",INDEX(Конструктор!$O$2:$O$1212,$K777))</f>
        <v/>
      </c>
      <c r="J777" s="10">
        <f>IF($K777="","",INDEX(Конструктор!$P$2:$P$1212,$K777))</f>
        <v/>
      </c>
      <c r="K777">
        <f>IFERROR(MATCH(757,Конструктор!$T$2:$T$1212,0),"")</f>
        <v/>
      </c>
      <c r="L777">
        <f>IF($K777="","","показать")</f>
        <v/>
      </c>
    </row>
    <row r="778" hidden="1">
      <c r="A778">
        <f>IF($K778="","",758)</f>
        <v/>
      </c>
      <c r="B778">
        <f>IF($K778="","",INDEX(Конструктор!$C$2:$C$1212,$K778))</f>
        <v/>
      </c>
      <c r="C778" s="8">
        <f>IF($K778="","",INDEX(Конструктор!$D$2:$D$1212,$K778)&amp;IF(INDEX(Конструктор!$J$2:$J$1212,$K778)&lt;&gt;""," — "&amp;INDEX(Конструктор!$J$2:$J$1212,$K778),""))</f>
        <v/>
      </c>
      <c r="D778">
        <f>IF($K778="","",INDEX(Конструктор!$E$2:$E$1212,$K778))</f>
        <v/>
      </c>
      <c r="E778" s="10">
        <f>IF($K778="","",INDEX(Конструктор!$H$2:$H$1212,$K778))</f>
        <v/>
      </c>
      <c r="F778" s="10">
        <f>IF($K778="","",INDEX(Конструктор!$L$2:$L$1212,$K778))</f>
        <v/>
      </c>
      <c r="G778" s="10">
        <f>IF($K778="","",INDEX(Конструктор!$M$2:$M$1212,$K778))</f>
        <v/>
      </c>
      <c r="H778" s="10">
        <f>IF($K778="","",INDEX(Конструктор!$N$2:$N$1212,$K778))</f>
        <v/>
      </c>
      <c r="I778" s="10">
        <f>IF($K778="","",INDEX(Конструктор!$O$2:$O$1212,$K778))</f>
        <v/>
      </c>
      <c r="J778" s="10">
        <f>IF($K778="","",INDEX(Конструктор!$P$2:$P$1212,$K778))</f>
        <v/>
      </c>
      <c r="K778">
        <f>IFERROR(MATCH(758,Конструктор!$T$2:$T$1212,0),"")</f>
        <v/>
      </c>
      <c r="L778">
        <f>IF($K778="","","показать")</f>
        <v/>
      </c>
    </row>
    <row r="779" hidden="1">
      <c r="A779">
        <f>IF($K779="","",759)</f>
        <v/>
      </c>
      <c r="B779">
        <f>IF($K779="","",INDEX(Конструктор!$C$2:$C$1212,$K779))</f>
        <v/>
      </c>
      <c r="C779" s="8">
        <f>IF($K779="","",INDEX(Конструктор!$D$2:$D$1212,$K779)&amp;IF(INDEX(Конструктор!$J$2:$J$1212,$K779)&lt;&gt;""," — "&amp;INDEX(Конструктор!$J$2:$J$1212,$K779),""))</f>
        <v/>
      </c>
      <c r="D779">
        <f>IF($K779="","",INDEX(Конструктор!$E$2:$E$1212,$K779))</f>
        <v/>
      </c>
      <c r="E779" s="10">
        <f>IF($K779="","",INDEX(Конструктор!$H$2:$H$1212,$K779))</f>
        <v/>
      </c>
      <c r="F779" s="10">
        <f>IF($K779="","",INDEX(Конструктор!$L$2:$L$1212,$K779))</f>
        <v/>
      </c>
      <c r="G779" s="10">
        <f>IF($K779="","",INDEX(Конструктор!$M$2:$M$1212,$K779))</f>
        <v/>
      </c>
      <c r="H779" s="10">
        <f>IF($K779="","",INDEX(Конструктор!$N$2:$N$1212,$K779))</f>
        <v/>
      </c>
      <c r="I779" s="10">
        <f>IF($K779="","",INDEX(Конструктор!$O$2:$O$1212,$K779))</f>
        <v/>
      </c>
      <c r="J779" s="10">
        <f>IF($K779="","",INDEX(Конструктор!$P$2:$P$1212,$K779))</f>
        <v/>
      </c>
      <c r="K779">
        <f>IFERROR(MATCH(759,Конструктор!$T$2:$T$1212,0),"")</f>
        <v/>
      </c>
      <c r="L779">
        <f>IF($K779="","","показать")</f>
        <v/>
      </c>
    </row>
    <row r="780" hidden="1">
      <c r="A780">
        <f>IF($K780="","",760)</f>
        <v/>
      </c>
      <c r="B780">
        <f>IF($K780="","",INDEX(Конструктор!$C$2:$C$1212,$K780))</f>
        <v/>
      </c>
      <c r="C780" s="8">
        <f>IF($K780="","",INDEX(Конструктор!$D$2:$D$1212,$K780)&amp;IF(INDEX(Конструктор!$J$2:$J$1212,$K780)&lt;&gt;""," — "&amp;INDEX(Конструктор!$J$2:$J$1212,$K780),""))</f>
        <v/>
      </c>
      <c r="D780">
        <f>IF($K780="","",INDEX(Конструктор!$E$2:$E$1212,$K780))</f>
        <v/>
      </c>
      <c r="E780" s="10">
        <f>IF($K780="","",INDEX(Конструктор!$H$2:$H$1212,$K780))</f>
        <v/>
      </c>
      <c r="F780" s="10">
        <f>IF($K780="","",INDEX(Конструктор!$L$2:$L$1212,$K780))</f>
        <v/>
      </c>
      <c r="G780" s="10">
        <f>IF($K780="","",INDEX(Конструктор!$M$2:$M$1212,$K780))</f>
        <v/>
      </c>
      <c r="H780" s="10">
        <f>IF($K780="","",INDEX(Конструктор!$N$2:$N$1212,$K780))</f>
        <v/>
      </c>
      <c r="I780" s="10">
        <f>IF($K780="","",INDEX(Конструктор!$O$2:$O$1212,$K780))</f>
        <v/>
      </c>
      <c r="J780" s="10">
        <f>IF($K780="","",INDEX(Конструктор!$P$2:$P$1212,$K780))</f>
        <v/>
      </c>
      <c r="K780">
        <f>IFERROR(MATCH(760,Конструктор!$T$2:$T$1212,0),"")</f>
        <v/>
      </c>
      <c r="L780">
        <f>IF($K780="","","показать")</f>
        <v/>
      </c>
    </row>
    <row r="781" hidden="1">
      <c r="A781">
        <f>IF($K781="","",761)</f>
        <v/>
      </c>
      <c r="B781">
        <f>IF($K781="","",INDEX(Конструктор!$C$2:$C$1212,$K781))</f>
        <v/>
      </c>
      <c r="C781" s="8">
        <f>IF($K781="","",INDEX(Конструктор!$D$2:$D$1212,$K781)&amp;IF(INDEX(Конструктор!$J$2:$J$1212,$K781)&lt;&gt;""," — "&amp;INDEX(Конструктор!$J$2:$J$1212,$K781),""))</f>
        <v/>
      </c>
      <c r="D781">
        <f>IF($K781="","",INDEX(Конструктор!$E$2:$E$1212,$K781))</f>
        <v/>
      </c>
      <c r="E781" s="10">
        <f>IF($K781="","",INDEX(Конструктор!$H$2:$H$1212,$K781))</f>
        <v/>
      </c>
      <c r="F781" s="10">
        <f>IF($K781="","",INDEX(Конструктор!$L$2:$L$1212,$K781))</f>
        <v/>
      </c>
      <c r="G781" s="10">
        <f>IF($K781="","",INDEX(Конструктор!$M$2:$M$1212,$K781))</f>
        <v/>
      </c>
      <c r="H781" s="10">
        <f>IF($K781="","",INDEX(Конструктор!$N$2:$N$1212,$K781))</f>
        <v/>
      </c>
      <c r="I781" s="10">
        <f>IF($K781="","",INDEX(Конструктор!$O$2:$O$1212,$K781))</f>
        <v/>
      </c>
      <c r="J781" s="10">
        <f>IF($K781="","",INDEX(Конструктор!$P$2:$P$1212,$K781))</f>
        <v/>
      </c>
      <c r="K781">
        <f>IFERROR(MATCH(761,Конструктор!$T$2:$T$1212,0),"")</f>
        <v/>
      </c>
      <c r="L781">
        <f>IF($K781="","","показать")</f>
        <v/>
      </c>
    </row>
    <row r="782" hidden="1">
      <c r="A782">
        <f>IF($K782="","",762)</f>
        <v/>
      </c>
      <c r="B782">
        <f>IF($K782="","",INDEX(Конструктор!$C$2:$C$1212,$K782))</f>
        <v/>
      </c>
      <c r="C782" s="8">
        <f>IF($K782="","",INDEX(Конструктор!$D$2:$D$1212,$K782)&amp;IF(INDEX(Конструктор!$J$2:$J$1212,$K782)&lt;&gt;""," — "&amp;INDEX(Конструктор!$J$2:$J$1212,$K782),""))</f>
        <v/>
      </c>
      <c r="D782">
        <f>IF($K782="","",INDEX(Конструктор!$E$2:$E$1212,$K782))</f>
        <v/>
      </c>
      <c r="E782" s="10">
        <f>IF($K782="","",INDEX(Конструктор!$H$2:$H$1212,$K782))</f>
        <v/>
      </c>
      <c r="F782" s="10">
        <f>IF($K782="","",INDEX(Конструктор!$L$2:$L$1212,$K782))</f>
        <v/>
      </c>
      <c r="G782" s="10">
        <f>IF($K782="","",INDEX(Конструктор!$M$2:$M$1212,$K782))</f>
        <v/>
      </c>
      <c r="H782" s="10">
        <f>IF($K782="","",INDEX(Конструктор!$N$2:$N$1212,$K782))</f>
        <v/>
      </c>
      <c r="I782" s="10">
        <f>IF($K782="","",INDEX(Конструктор!$O$2:$O$1212,$K782))</f>
        <v/>
      </c>
      <c r="J782" s="10">
        <f>IF($K782="","",INDEX(Конструктор!$P$2:$P$1212,$K782))</f>
        <v/>
      </c>
      <c r="K782">
        <f>IFERROR(MATCH(762,Конструктор!$T$2:$T$1212,0),"")</f>
        <v/>
      </c>
      <c r="L782">
        <f>IF($K782="","","показать")</f>
        <v/>
      </c>
    </row>
    <row r="783" hidden="1">
      <c r="A783">
        <f>IF($K783="","",763)</f>
        <v/>
      </c>
      <c r="B783">
        <f>IF($K783="","",INDEX(Конструктор!$C$2:$C$1212,$K783))</f>
        <v/>
      </c>
      <c r="C783" s="8">
        <f>IF($K783="","",INDEX(Конструктор!$D$2:$D$1212,$K783)&amp;IF(INDEX(Конструктор!$J$2:$J$1212,$K783)&lt;&gt;""," — "&amp;INDEX(Конструктор!$J$2:$J$1212,$K783),""))</f>
        <v/>
      </c>
      <c r="D783">
        <f>IF($K783="","",INDEX(Конструктор!$E$2:$E$1212,$K783))</f>
        <v/>
      </c>
      <c r="E783" s="10">
        <f>IF($K783="","",INDEX(Конструктор!$H$2:$H$1212,$K783))</f>
        <v/>
      </c>
      <c r="F783" s="10">
        <f>IF($K783="","",INDEX(Конструктор!$L$2:$L$1212,$K783))</f>
        <v/>
      </c>
      <c r="G783" s="10">
        <f>IF($K783="","",INDEX(Конструктор!$M$2:$M$1212,$K783))</f>
        <v/>
      </c>
      <c r="H783" s="10">
        <f>IF($K783="","",INDEX(Конструктор!$N$2:$N$1212,$K783))</f>
        <v/>
      </c>
      <c r="I783" s="10">
        <f>IF($K783="","",INDEX(Конструктор!$O$2:$O$1212,$K783))</f>
        <v/>
      </c>
      <c r="J783" s="10">
        <f>IF($K783="","",INDEX(Конструктор!$P$2:$P$1212,$K783))</f>
        <v/>
      </c>
      <c r="K783">
        <f>IFERROR(MATCH(763,Конструктор!$T$2:$T$1212,0),"")</f>
        <v/>
      </c>
      <c r="L783">
        <f>IF($K783="","","показать")</f>
        <v/>
      </c>
    </row>
    <row r="784" hidden="1">
      <c r="A784">
        <f>IF($K784="","",764)</f>
        <v/>
      </c>
      <c r="B784">
        <f>IF($K784="","",INDEX(Конструктор!$C$2:$C$1212,$K784))</f>
        <v/>
      </c>
      <c r="C784" s="8">
        <f>IF($K784="","",INDEX(Конструктор!$D$2:$D$1212,$K784)&amp;IF(INDEX(Конструктор!$J$2:$J$1212,$K784)&lt;&gt;""," — "&amp;INDEX(Конструктор!$J$2:$J$1212,$K784),""))</f>
        <v/>
      </c>
      <c r="D784">
        <f>IF($K784="","",INDEX(Конструктор!$E$2:$E$1212,$K784))</f>
        <v/>
      </c>
      <c r="E784" s="10">
        <f>IF($K784="","",INDEX(Конструктор!$H$2:$H$1212,$K784))</f>
        <v/>
      </c>
      <c r="F784" s="10">
        <f>IF($K784="","",INDEX(Конструктор!$L$2:$L$1212,$K784))</f>
        <v/>
      </c>
      <c r="G784" s="10">
        <f>IF($K784="","",INDEX(Конструктор!$M$2:$M$1212,$K784))</f>
        <v/>
      </c>
      <c r="H784" s="10">
        <f>IF($K784="","",INDEX(Конструктор!$N$2:$N$1212,$K784))</f>
        <v/>
      </c>
      <c r="I784" s="10">
        <f>IF($K784="","",INDEX(Конструктор!$O$2:$O$1212,$K784))</f>
        <v/>
      </c>
      <c r="J784" s="10">
        <f>IF($K784="","",INDEX(Конструктор!$P$2:$P$1212,$K784))</f>
        <v/>
      </c>
      <c r="K784">
        <f>IFERROR(MATCH(764,Конструктор!$T$2:$T$1212,0),"")</f>
        <v/>
      </c>
      <c r="L784">
        <f>IF($K784="","","показать")</f>
        <v/>
      </c>
    </row>
    <row r="785" hidden="1">
      <c r="A785">
        <f>IF($K785="","",765)</f>
        <v/>
      </c>
      <c r="B785">
        <f>IF($K785="","",INDEX(Конструктор!$C$2:$C$1212,$K785))</f>
        <v/>
      </c>
      <c r="C785" s="8">
        <f>IF($K785="","",INDEX(Конструктор!$D$2:$D$1212,$K785)&amp;IF(INDEX(Конструктор!$J$2:$J$1212,$K785)&lt;&gt;""," — "&amp;INDEX(Конструктор!$J$2:$J$1212,$K785),""))</f>
        <v/>
      </c>
      <c r="D785">
        <f>IF($K785="","",INDEX(Конструктор!$E$2:$E$1212,$K785))</f>
        <v/>
      </c>
      <c r="E785" s="10">
        <f>IF($K785="","",INDEX(Конструктор!$H$2:$H$1212,$K785))</f>
        <v/>
      </c>
      <c r="F785" s="10">
        <f>IF($K785="","",INDEX(Конструктор!$L$2:$L$1212,$K785))</f>
        <v/>
      </c>
      <c r="G785" s="10">
        <f>IF($K785="","",INDEX(Конструктор!$M$2:$M$1212,$K785))</f>
        <v/>
      </c>
      <c r="H785" s="10">
        <f>IF($K785="","",INDEX(Конструктор!$N$2:$N$1212,$K785))</f>
        <v/>
      </c>
      <c r="I785" s="10">
        <f>IF($K785="","",INDEX(Конструктор!$O$2:$O$1212,$K785))</f>
        <v/>
      </c>
      <c r="J785" s="10">
        <f>IF($K785="","",INDEX(Конструктор!$P$2:$P$1212,$K785))</f>
        <v/>
      </c>
      <c r="K785">
        <f>IFERROR(MATCH(765,Конструктор!$T$2:$T$1212,0),"")</f>
        <v/>
      </c>
      <c r="L785">
        <f>IF($K785="","","показать")</f>
        <v/>
      </c>
    </row>
    <row r="786" hidden="1">
      <c r="A786">
        <f>IF($K786="","",766)</f>
        <v/>
      </c>
      <c r="B786">
        <f>IF($K786="","",INDEX(Конструктор!$C$2:$C$1212,$K786))</f>
        <v/>
      </c>
      <c r="C786" s="8">
        <f>IF($K786="","",INDEX(Конструктор!$D$2:$D$1212,$K786)&amp;IF(INDEX(Конструктор!$J$2:$J$1212,$K786)&lt;&gt;""," — "&amp;INDEX(Конструктор!$J$2:$J$1212,$K786),""))</f>
        <v/>
      </c>
      <c r="D786">
        <f>IF($K786="","",INDEX(Конструктор!$E$2:$E$1212,$K786))</f>
        <v/>
      </c>
      <c r="E786" s="10">
        <f>IF($K786="","",INDEX(Конструктор!$H$2:$H$1212,$K786))</f>
        <v/>
      </c>
      <c r="F786" s="10">
        <f>IF($K786="","",INDEX(Конструктор!$L$2:$L$1212,$K786))</f>
        <v/>
      </c>
      <c r="G786" s="10">
        <f>IF($K786="","",INDEX(Конструктор!$M$2:$M$1212,$K786))</f>
        <v/>
      </c>
      <c r="H786" s="10">
        <f>IF($K786="","",INDEX(Конструктор!$N$2:$N$1212,$K786))</f>
        <v/>
      </c>
      <c r="I786" s="10">
        <f>IF($K786="","",INDEX(Конструктор!$O$2:$O$1212,$K786))</f>
        <v/>
      </c>
      <c r="J786" s="10">
        <f>IF($K786="","",INDEX(Конструктор!$P$2:$P$1212,$K786))</f>
        <v/>
      </c>
      <c r="K786">
        <f>IFERROR(MATCH(766,Конструктор!$T$2:$T$1212,0),"")</f>
        <v/>
      </c>
      <c r="L786">
        <f>IF($K786="","","показать")</f>
        <v/>
      </c>
    </row>
    <row r="787" hidden="1">
      <c r="A787">
        <f>IF($K787="","",767)</f>
        <v/>
      </c>
      <c r="B787">
        <f>IF($K787="","",INDEX(Конструктор!$C$2:$C$1212,$K787))</f>
        <v/>
      </c>
      <c r="C787" s="8">
        <f>IF($K787="","",INDEX(Конструктор!$D$2:$D$1212,$K787)&amp;IF(INDEX(Конструктор!$J$2:$J$1212,$K787)&lt;&gt;""," — "&amp;INDEX(Конструктор!$J$2:$J$1212,$K787),""))</f>
        <v/>
      </c>
      <c r="D787">
        <f>IF($K787="","",INDEX(Конструктор!$E$2:$E$1212,$K787))</f>
        <v/>
      </c>
      <c r="E787" s="10">
        <f>IF($K787="","",INDEX(Конструктор!$H$2:$H$1212,$K787))</f>
        <v/>
      </c>
      <c r="F787" s="10">
        <f>IF($K787="","",INDEX(Конструктор!$L$2:$L$1212,$K787))</f>
        <v/>
      </c>
      <c r="G787" s="10">
        <f>IF($K787="","",INDEX(Конструктор!$M$2:$M$1212,$K787))</f>
        <v/>
      </c>
      <c r="H787" s="10">
        <f>IF($K787="","",INDEX(Конструктор!$N$2:$N$1212,$K787))</f>
        <v/>
      </c>
      <c r="I787" s="10">
        <f>IF($K787="","",INDEX(Конструктор!$O$2:$O$1212,$K787))</f>
        <v/>
      </c>
      <c r="J787" s="10">
        <f>IF($K787="","",INDEX(Конструктор!$P$2:$P$1212,$K787))</f>
        <v/>
      </c>
      <c r="K787">
        <f>IFERROR(MATCH(767,Конструктор!$T$2:$T$1212,0),"")</f>
        <v/>
      </c>
      <c r="L787">
        <f>IF($K787="","","показать")</f>
        <v/>
      </c>
    </row>
    <row r="788" hidden="1">
      <c r="A788">
        <f>IF($K788="","",768)</f>
        <v/>
      </c>
      <c r="B788">
        <f>IF($K788="","",INDEX(Конструктор!$C$2:$C$1212,$K788))</f>
        <v/>
      </c>
      <c r="C788" s="8">
        <f>IF($K788="","",INDEX(Конструктор!$D$2:$D$1212,$K788)&amp;IF(INDEX(Конструктор!$J$2:$J$1212,$K788)&lt;&gt;""," — "&amp;INDEX(Конструктор!$J$2:$J$1212,$K788),""))</f>
        <v/>
      </c>
      <c r="D788">
        <f>IF($K788="","",INDEX(Конструктор!$E$2:$E$1212,$K788))</f>
        <v/>
      </c>
      <c r="E788" s="10">
        <f>IF($K788="","",INDEX(Конструктор!$H$2:$H$1212,$K788))</f>
        <v/>
      </c>
      <c r="F788" s="10">
        <f>IF($K788="","",INDEX(Конструктор!$L$2:$L$1212,$K788))</f>
        <v/>
      </c>
      <c r="G788" s="10">
        <f>IF($K788="","",INDEX(Конструктор!$M$2:$M$1212,$K788))</f>
        <v/>
      </c>
      <c r="H788" s="10">
        <f>IF($K788="","",INDEX(Конструктор!$N$2:$N$1212,$K788))</f>
        <v/>
      </c>
      <c r="I788" s="10">
        <f>IF($K788="","",INDEX(Конструктор!$O$2:$O$1212,$K788))</f>
        <v/>
      </c>
      <c r="J788" s="10">
        <f>IF($K788="","",INDEX(Конструктор!$P$2:$P$1212,$K788))</f>
        <v/>
      </c>
      <c r="K788">
        <f>IFERROR(MATCH(768,Конструктор!$T$2:$T$1212,0),"")</f>
        <v/>
      </c>
      <c r="L788">
        <f>IF($K788="","","показать")</f>
        <v/>
      </c>
    </row>
    <row r="789" hidden="1">
      <c r="A789">
        <f>IF($K789="","",769)</f>
        <v/>
      </c>
      <c r="B789">
        <f>IF($K789="","",INDEX(Конструктор!$C$2:$C$1212,$K789))</f>
        <v/>
      </c>
      <c r="C789" s="8">
        <f>IF($K789="","",INDEX(Конструктор!$D$2:$D$1212,$K789)&amp;IF(INDEX(Конструктор!$J$2:$J$1212,$K789)&lt;&gt;""," — "&amp;INDEX(Конструктор!$J$2:$J$1212,$K789),""))</f>
        <v/>
      </c>
      <c r="D789">
        <f>IF($K789="","",INDEX(Конструктор!$E$2:$E$1212,$K789))</f>
        <v/>
      </c>
      <c r="E789" s="10">
        <f>IF($K789="","",INDEX(Конструктор!$H$2:$H$1212,$K789))</f>
        <v/>
      </c>
      <c r="F789" s="10">
        <f>IF($K789="","",INDEX(Конструктор!$L$2:$L$1212,$K789))</f>
        <v/>
      </c>
      <c r="G789" s="10">
        <f>IF($K789="","",INDEX(Конструктор!$M$2:$M$1212,$K789))</f>
        <v/>
      </c>
      <c r="H789" s="10">
        <f>IF($K789="","",INDEX(Конструктор!$N$2:$N$1212,$K789))</f>
        <v/>
      </c>
      <c r="I789" s="10">
        <f>IF($K789="","",INDEX(Конструктор!$O$2:$O$1212,$K789))</f>
        <v/>
      </c>
      <c r="J789" s="10">
        <f>IF($K789="","",INDEX(Конструктор!$P$2:$P$1212,$K789))</f>
        <v/>
      </c>
      <c r="K789">
        <f>IFERROR(MATCH(769,Конструктор!$T$2:$T$1212,0),"")</f>
        <v/>
      </c>
      <c r="L789">
        <f>IF($K789="","","показать")</f>
        <v/>
      </c>
    </row>
    <row r="790" hidden="1">
      <c r="A790">
        <f>IF($K790="","",770)</f>
        <v/>
      </c>
      <c r="B790">
        <f>IF($K790="","",INDEX(Конструктор!$C$2:$C$1212,$K790))</f>
        <v/>
      </c>
      <c r="C790" s="8">
        <f>IF($K790="","",INDEX(Конструктор!$D$2:$D$1212,$K790)&amp;IF(INDEX(Конструктор!$J$2:$J$1212,$K790)&lt;&gt;""," — "&amp;INDEX(Конструктор!$J$2:$J$1212,$K790),""))</f>
        <v/>
      </c>
      <c r="D790">
        <f>IF($K790="","",INDEX(Конструктор!$E$2:$E$1212,$K790))</f>
        <v/>
      </c>
      <c r="E790" s="10">
        <f>IF($K790="","",INDEX(Конструктор!$H$2:$H$1212,$K790))</f>
        <v/>
      </c>
      <c r="F790" s="10">
        <f>IF($K790="","",INDEX(Конструктор!$L$2:$L$1212,$K790))</f>
        <v/>
      </c>
      <c r="G790" s="10">
        <f>IF($K790="","",INDEX(Конструктор!$M$2:$M$1212,$K790))</f>
        <v/>
      </c>
      <c r="H790" s="10">
        <f>IF($K790="","",INDEX(Конструктор!$N$2:$N$1212,$K790))</f>
        <v/>
      </c>
      <c r="I790" s="10">
        <f>IF($K790="","",INDEX(Конструктор!$O$2:$O$1212,$K790))</f>
        <v/>
      </c>
      <c r="J790" s="10">
        <f>IF($K790="","",INDEX(Конструктор!$P$2:$P$1212,$K790))</f>
        <v/>
      </c>
      <c r="K790">
        <f>IFERROR(MATCH(770,Конструктор!$T$2:$T$1212,0),"")</f>
        <v/>
      </c>
      <c r="L790">
        <f>IF($K790="","","показать")</f>
        <v/>
      </c>
    </row>
    <row r="791" hidden="1">
      <c r="A791">
        <f>IF($K791="","",771)</f>
        <v/>
      </c>
      <c r="B791">
        <f>IF($K791="","",INDEX(Конструктор!$C$2:$C$1212,$K791))</f>
        <v/>
      </c>
      <c r="C791" s="8">
        <f>IF($K791="","",INDEX(Конструктор!$D$2:$D$1212,$K791)&amp;IF(INDEX(Конструктор!$J$2:$J$1212,$K791)&lt;&gt;""," — "&amp;INDEX(Конструктор!$J$2:$J$1212,$K791),""))</f>
        <v/>
      </c>
      <c r="D791">
        <f>IF($K791="","",INDEX(Конструктор!$E$2:$E$1212,$K791))</f>
        <v/>
      </c>
      <c r="E791" s="10">
        <f>IF($K791="","",INDEX(Конструктор!$H$2:$H$1212,$K791))</f>
        <v/>
      </c>
      <c r="F791" s="10">
        <f>IF($K791="","",INDEX(Конструктор!$L$2:$L$1212,$K791))</f>
        <v/>
      </c>
      <c r="G791" s="10">
        <f>IF($K791="","",INDEX(Конструктор!$M$2:$M$1212,$K791))</f>
        <v/>
      </c>
      <c r="H791" s="10">
        <f>IF($K791="","",INDEX(Конструктор!$N$2:$N$1212,$K791))</f>
        <v/>
      </c>
      <c r="I791" s="10">
        <f>IF($K791="","",INDEX(Конструктор!$O$2:$O$1212,$K791))</f>
        <v/>
      </c>
      <c r="J791" s="10">
        <f>IF($K791="","",INDEX(Конструктор!$P$2:$P$1212,$K791))</f>
        <v/>
      </c>
      <c r="K791">
        <f>IFERROR(MATCH(771,Конструктор!$T$2:$T$1212,0),"")</f>
        <v/>
      </c>
      <c r="L791">
        <f>IF($K791="","","показать")</f>
        <v/>
      </c>
    </row>
    <row r="792" hidden="1">
      <c r="A792">
        <f>IF($K792="","",772)</f>
        <v/>
      </c>
      <c r="B792">
        <f>IF($K792="","",INDEX(Конструктор!$C$2:$C$1212,$K792))</f>
        <v/>
      </c>
      <c r="C792" s="8">
        <f>IF($K792="","",INDEX(Конструктор!$D$2:$D$1212,$K792)&amp;IF(INDEX(Конструктор!$J$2:$J$1212,$K792)&lt;&gt;""," — "&amp;INDEX(Конструктор!$J$2:$J$1212,$K792),""))</f>
        <v/>
      </c>
      <c r="D792">
        <f>IF($K792="","",INDEX(Конструктор!$E$2:$E$1212,$K792))</f>
        <v/>
      </c>
      <c r="E792" s="10">
        <f>IF($K792="","",INDEX(Конструктор!$H$2:$H$1212,$K792))</f>
        <v/>
      </c>
      <c r="F792" s="10">
        <f>IF($K792="","",INDEX(Конструктор!$L$2:$L$1212,$K792))</f>
        <v/>
      </c>
      <c r="G792" s="10">
        <f>IF($K792="","",INDEX(Конструктор!$M$2:$M$1212,$K792))</f>
        <v/>
      </c>
      <c r="H792" s="10">
        <f>IF($K792="","",INDEX(Конструктор!$N$2:$N$1212,$K792))</f>
        <v/>
      </c>
      <c r="I792" s="10">
        <f>IF($K792="","",INDEX(Конструктор!$O$2:$O$1212,$K792))</f>
        <v/>
      </c>
      <c r="J792" s="10">
        <f>IF($K792="","",INDEX(Конструктор!$P$2:$P$1212,$K792))</f>
        <v/>
      </c>
      <c r="K792">
        <f>IFERROR(MATCH(772,Конструктор!$T$2:$T$1212,0),"")</f>
        <v/>
      </c>
      <c r="L792">
        <f>IF($K792="","","показать")</f>
        <v/>
      </c>
    </row>
    <row r="793" hidden="1">
      <c r="A793">
        <f>IF($K793="","",773)</f>
        <v/>
      </c>
      <c r="B793">
        <f>IF($K793="","",INDEX(Конструктор!$C$2:$C$1212,$K793))</f>
        <v/>
      </c>
      <c r="C793" s="8">
        <f>IF($K793="","",INDEX(Конструктор!$D$2:$D$1212,$K793)&amp;IF(INDEX(Конструктор!$J$2:$J$1212,$K793)&lt;&gt;""," — "&amp;INDEX(Конструктор!$J$2:$J$1212,$K793),""))</f>
        <v/>
      </c>
      <c r="D793">
        <f>IF($K793="","",INDEX(Конструктор!$E$2:$E$1212,$K793))</f>
        <v/>
      </c>
      <c r="E793" s="10">
        <f>IF($K793="","",INDEX(Конструктор!$H$2:$H$1212,$K793))</f>
        <v/>
      </c>
      <c r="F793" s="10">
        <f>IF($K793="","",INDEX(Конструктор!$L$2:$L$1212,$K793))</f>
        <v/>
      </c>
      <c r="G793" s="10">
        <f>IF($K793="","",INDEX(Конструктор!$M$2:$M$1212,$K793))</f>
        <v/>
      </c>
      <c r="H793" s="10">
        <f>IF($K793="","",INDEX(Конструктор!$N$2:$N$1212,$K793))</f>
        <v/>
      </c>
      <c r="I793" s="10">
        <f>IF($K793="","",INDEX(Конструктор!$O$2:$O$1212,$K793))</f>
        <v/>
      </c>
      <c r="J793" s="10">
        <f>IF($K793="","",INDEX(Конструктор!$P$2:$P$1212,$K793))</f>
        <v/>
      </c>
      <c r="K793">
        <f>IFERROR(MATCH(773,Конструктор!$T$2:$T$1212,0),"")</f>
        <v/>
      </c>
      <c r="L793">
        <f>IF($K793="","","показать")</f>
        <v/>
      </c>
    </row>
    <row r="794" hidden="1">
      <c r="A794">
        <f>IF($K794="","",774)</f>
        <v/>
      </c>
      <c r="B794">
        <f>IF($K794="","",INDEX(Конструктор!$C$2:$C$1212,$K794))</f>
        <v/>
      </c>
      <c r="C794" s="8">
        <f>IF($K794="","",INDEX(Конструктор!$D$2:$D$1212,$K794)&amp;IF(INDEX(Конструктор!$J$2:$J$1212,$K794)&lt;&gt;""," — "&amp;INDEX(Конструктор!$J$2:$J$1212,$K794),""))</f>
        <v/>
      </c>
      <c r="D794">
        <f>IF($K794="","",INDEX(Конструктор!$E$2:$E$1212,$K794))</f>
        <v/>
      </c>
      <c r="E794" s="10">
        <f>IF($K794="","",INDEX(Конструктор!$H$2:$H$1212,$K794))</f>
        <v/>
      </c>
      <c r="F794" s="10">
        <f>IF($K794="","",INDEX(Конструктор!$L$2:$L$1212,$K794))</f>
        <v/>
      </c>
      <c r="G794" s="10">
        <f>IF($K794="","",INDEX(Конструктор!$M$2:$M$1212,$K794))</f>
        <v/>
      </c>
      <c r="H794" s="10">
        <f>IF($K794="","",INDEX(Конструктор!$N$2:$N$1212,$K794))</f>
        <v/>
      </c>
      <c r="I794" s="10">
        <f>IF($K794="","",INDEX(Конструктор!$O$2:$O$1212,$K794))</f>
        <v/>
      </c>
      <c r="J794" s="10">
        <f>IF($K794="","",INDEX(Конструктор!$P$2:$P$1212,$K794))</f>
        <v/>
      </c>
      <c r="K794">
        <f>IFERROR(MATCH(774,Конструктор!$T$2:$T$1212,0),"")</f>
        <v/>
      </c>
      <c r="L794">
        <f>IF($K794="","","показать")</f>
        <v/>
      </c>
    </row>
    <row r="795" hidden="1">
      <c r="A795">
        <f>IF($K795="","",775)</f>
        <v/>
      </c>
      <c r="B795">
        <f>IF($K795="","",INDEX(Конструктор!$C$2:$C$1212,$K795))</f>
        <v/>
      </c>
      <c r="C795" s="8">
        <f>IF($K795="","",INDEX(Конструктор!$D$2:$D$1212,$K795)&amp;IF(INDEX(Конструктор!$J$2:$J$1212,$K795)&lt;&gt;""," — "&amp;INDEX(Конструктор!$J$2:$J$1212,$K795),""))</f>
        <v/>
      </c>
      <c r="D795">
        <f>IF($K795="","",INDEX(Конструктор!$E$2:$E$1212,$K795))</f>
        <v/>
      </c>
      <c r="E795" s="10">
        <f>IF($K795="","",INDEX(Конструктор!$H$2:$H$1212,$K795))</f>
        <v/>
      </c>
      <c r="F795" s="10">
        <f>IF($K795="","",INDEX(Конструктор!$L$2:$L$1212,$K795))</f>
        <v/>
      </c>
      <c r="G795" s="10">
        <f>IF($K795="","",INDEX(Конструктор!$M$2:$M$1212,$K795))</f>
        <v/>
      </c>
      <c r="H795" s="10">
        <f>IF($K795="","",INDEX(Конструктор!$N$2:$N$1212,$K795))</f>
        <v/>
      </c>
      <c r="I795" s="10">
        <f>IF($K795="","",INDEX(Конструктор!$O$2:$O$1212,$K795))</f>
        <v/>
      </c>
      <c r="J795" s="10">
        <f>IF($K795="","",INDEX(Конструктор!$P$2:$P$1212,$K795))</f>
        <v/>
      </c>
      <c r="K795">
        <f>IFERROR(MATCH(775,Конструктор!$T$2:$T$1212,0),"")</f>
        <v/>
      </c>
      <c r="L795">
        <f>IF($K795="","","показать")</f>
        <v/>
      </c>
    </row>
    <row r="796" hidden="1">
      <c r="A796">
        <f>IF($K796="","",776)</f>
        <v/>
      </c>
      <c r="B796">
        <f>IF($K796="","",INDEX(Конструктор!$C$2:$C$1212,$K796))</f>
        <v/>
      </c>
      <c r="C796" s="8">
        <f>IF($K796="","",INDEX(Конструктор!$D$2:$D$1212,$K796)&amp;IF(INDEX(Конструктор!$J$2:$J$1212,$K796)&lt;&gt;""," — "&amp;INDEX(Конструктор!$J$2:$J$1212,$K796),""))</f>
        <v/>
      </c>
      <c r="D796">
        <f>IF($K796="","",INDEX(Конструктор!$E$2:$E$1212,$K796))</f>
        <v/>
      </c>
      <c r="E796" s="10">
        <f>IF($K796="","",INDEX(Конструктор!$H$2:$H$1212,$K796))</f>
        <v/>
      </c>
      <c r="F796" s="10">
        <f>IF($K796="","",INDEX(Конструктор!$L$2:$L$1212,$K796))</f>
        <v/>
      </c>
      <c r="G796" s="10">
        <f>IF($K796="","",INDEX(Конструктор!$M$2:$M$1212,$K796))</f>
        <v/>
      </c>
      <c r="H796" s="10">
        <f>IF($K796="","",INDEX(Конструктор!$N$2:$N$1212,$K796))</f>
        <v/>
      </c>
      <c r="I796" s="10">
        <f>IF($K796="","",INDEX(Конструктор!$O$2:$O$1212,$K796))</f>
        <v/>
      </c>
      <c r="J796" s="10">
        <f>IF($K796="","",INDEX(Конструктор!$P$2:$P$1212,$K796))</f>
        <v/>
      </c>
      <c r="K796">
        <f>IFERROR(MATCH(776,Конструктор!$T$2:$T$1212,0),"")</f>
        <v/>
      </c>
      <c r="L796">
        <f>IF($K796="","","показать")</f>
        <v/>
      </c>
    </row>
    <row r="797" hidden="1">
      <c r="A797">
        <f>IF($K797="","",777)</f>
        <v/>
      </c>
      <c r="B797">
        <f>IF($K797="","",INDEX(Конструктор!$C$2:$C$1212,$K797))</f>
        <v/>
      </c>
      <c r="C797" s="8">
        <f>IF($K797="","",INDEX(Конструктор!$D$2:$D$1212,$K797)&amp;IF(INDEX(Конструктор!$J$2:$J$1212,$K797)&lt;&gt;""," — "&amp;INDEX(Конструктор!$J$2:$J$1212,$K797),""))</f>
        <v/>
      </c>
      <c r="D797">
        <f>IF($K797="","",INDEX(Конструктор!$E$2:$E$1212,$K797))</f>
        <v/>
      </c>
      <c r="E797" s="10">
        <f>IF($K797="","",INDEX(Конструктор!$H$2:$H$1212,$K797))</f>
        <v/>
      </c>
      <c r="F797" s="10">
        <f>IF($K797="","",INDEX(Конструктор!$L$2:$L$1212,$K797))</f>
        <v/>
      </c>
      <c r="G797" s="10">
        <f>IF($K797="","",INDEX(Конструктор!$M$2:$M$1212,$K797))</f>
        <v/>
      </c>
      <c r="H797" s="10">
        <f>IF($K797="","",INDEX(Конструктор!$N$2:$N$1212,$K797))</f>
        <v/>
      </c>
      <c r="I797" s="10">
        <f>IF($K797="","",INDEX(Конструктор!$O$2:$O$1212,$K797))</f>
        <v/>
      </c>
      <c r="J797" s="10">
        <f>IF($K797="","",INDEX(Конструктор!$P$2:$P$1212,$K797))</f>
        <v/>
      </c>
      <c r="K797">
        <f>IFERROR(MATCH(777,Конструктор!$T$2:$T$1212,0),"")</f>
        <v/>
      </c>
      <c r="L797">
        <f>IF($K797="","","показать")</f>
        <v/>
      </c>
    </row>
    <row r="798" hidden="1">
      <c r="A798">
        <f>IF($K798="","",778)</f>
        <v/>
      </c>
      <c r="B798">
        <f>IF($K798="","",INDEX(Конструктор!$C$2:$C$1212,$K798))</f>
        <v/>
      </c>
      <c r="C798" s="8">
        <f>IF($K798="","",INDEX(Конструктор!$D$2:$D$1212,$K798)&amp;IF(INDEX(Конструктор!$J$2:$J$1212,$K798)&lt;&gt;""," — "&amp;INDEX(Конструктор!$J$2:$J$1212,$K798),""))</f>
        <v/>
      </c>
      <c r="D798">
        <f>IF($K798="","",INDEX(Конструктор!$E$2:$E$1212,$K798))</f>
        <v/>
      </c>
      <c r="E798" s="10">
        <f>IF($K798="","",INDEX(Конструктор!$H$2:$H$1212,$K798))</f>
        <v/>
      </c>
      <c r="F798" s="10">
        <f>IF($K798="","",INDEX(Конструктор!$L$2:$L$1212,$K798))</f>
        <v/>
      </c>
      <c r="G798" s="10">
        <f>IF($K798="","",INDEX(Конструктор!$M$2:$M$1212,$K798))</f>
        <v/>
      </c>
      <c r="H798" s="10">
        <f>IF($K798="","",INDEX(Конструктор!$N$2:$N$1212,$K798))</f>
        <v/>
      </c>
      <c r="I798" s="10">
        <f>IF($K798="","",INDEX(Конструктор!$O$2:$O$1212,$K798))</f>
        <v/>
      </c>
      <c r="J798" s="10">
        <f>IF($K798="","",INDEX(Конструктор!$P$2:$P$1212,$K798))</f>
        <v/>
      </c>
      <c r="K798">
        <f>IFERROR(MATCH(778,Конструктор!$T$2:$T$1212,0),"")</f>
        <v/>
      </c>
      <c r="L798">
        <f>IF($K798="","","показать")</f>
        <v/>
      </c>
    </row>
    <row r="799" hidden="1">
      <c r="A799">
        <f>IF($K799="","",779)</f>
        <v/>
      </c>
      <c r="B799">
        <f>IF($K799="","",INDEX(Конструктор!$C$2:$C$1212,$K799))</f>
        <v/>
      </c>
      <c r="C799" s="8">
        <f>IF($K799="","",INDEX(Конструктор!$D$2:$D$1212,$K799)&amp;IF(INDEX(Конструктор!$J$2:$J$1212,$K799)&lt;&gt;""," — "&amp;INDEX(Конструктор!$J$2:$J$1212,$K799),""))</f>
        <v/>
      </c>
      <c r="D799">
        <f>IF($K799="","",INDEX(Конструктор!$E$2:$E$1212,$K799))</f>
        <v/>
      </c>
      <c r="E799" s="10">
        <f>IF($K799="","",INDEX(Конструктор!$H$2:$H$1212,$K799))</f>
        <v/>
      </c>
      <c r="F799" s="10">
        <f>IF($K799="","",INDEX(Конструктор!$L$2:$L$1212,$K799))</f>
        <v/>
      </c>
      <c r="G799" s="10">
        <f>IF($K799="","",INDEX(Конструктор!$M$2:$M$1212,$K799))</f>
        <v/>
      </c>
      <c r="H799" s="10">
        <f>IF($K799="","",INDEX(Конструктор!$N$2:$N$1212,$K799))</f>
        <v/>
      </c>
      <c r="I799" s="10">
        <f>IF($K799="","",INDEX(Конструктор!$O$2:$O$1212,$K799))</f>
        <v/>
      </c>
      <c r="J799" s="10">
        <f>IF($K799="","",INDEX(Конструктор!$P$2:$P$1212,$K799))</f>
        <v/>
      </c>
      <c r="K799">
        <f>IFERROR(MATCH(779,Конструктор!$T$2:$T$1212,0),"")</f>
        <v/>
      </c>
      <c r="L799">
        <f>IF($K799="","","показать")</f>
        <v/>
      </c>
    </row>
    <row r="800" hidden="1">
      <c r="A800">
        <f>IF($K800="","",780)</f>
        <v/>
      </c>
      <c r="B800">
        <f>IF($K800="","",INDEX(Конструктор!$C$2:$C$1212,$K800))</f>
        <v/>
      </c>
      <c r="C800" s="8">
        <f>IF($K800="","",INDEX(Конструктор!$D$2:$D$1212,$K800)&amp;IF(INDEX(Конструктор!$J$2:$J$1212,$K800)&lt;&gt;""," — "&amp;INDEX(Конструктор!$J$2:$J$1212,$K800),""))</f>
        <v/>
      </c>
      <c r="D800">
        <f>IF($K800="","",INDEX(Конструктор!$E$2:$E$1212,$K800))</f>
        <v/>
      </c>
      <c r="E800" s="10">
        <f>IF($K800="","",INDEX(Конструктор!$H$2:$H$1212,$K800))</f>
        <v/>
      </c>
      <c r="F800" s="10">
        <f>IF($K800="","",INDEX(Конструктор!$L$2:$L$1212,$K800))</f>
        <v/>
      </c>
      <c r="G800" s="10">
        <f>IF($K800="","",INDEX(Конструктор!$M$2:$M$1212,$K800))</f>
        <v/>
      </c>
      <c r="H800" s="10">
        <f>IF($K800="","",INDEX(Конструктор!$N$2:$N$1212,$K800))</f>
        <v/>
      </c>
      <c r="I800" s="10">
        <f>IF($K800="","",INDEX(Конструктор!$O$2:$O$1212,$K800))</f>
        <v/>
      </c>
      <c r="J800" s="10">
        <f>IF($K800="","",INDEX(Конструктор!$P$2:$P$1212,$K800))</f>
        <v/>
      </c>
      <c r="K800">
        <f>IFERROR(MATCH(780,Конструктор!$T$2:$T$1212,0),"")</f>
        <v/>
      </c>
      <c r="L800">
        <f>IF($K800="","","показать")</f>
        <v/>
      </c>
    </row>
    <row r="801" hidden="1">
      <c r="A801">
        <f>IF($K801="","",781)</f>
        <v/>
      </c>
      <c r="B801">
        <f>IF($K801="","",INDEX(Конструктор!$C$2:$C$1212,$K801))</f>
        <v/>
      </c>
      <c r="C801" s="8">
        <f>IF($K801="","",INDEX(Конструктор!$D$2:$D$1212,$K801)&amp;IF(INDEX(Конструктор!$J$2:$J$1212,$K801)&lt;&gt;""," — "&amp;INDEX(Конструктор!$J$2:$J$1212,$K801),""))</f>
        <v/>
      </c>
      <c r="D801">
        <f>IF($K801="","",INDEX(Конструктор!$E$2:$E$1212,$K801))</f>
        <v/>
      </c>
      <c r="E801" s="10">
        <f>IF($K801="","",INDEX(Конструктор!$H$2:$H$1212,$K801))</f>
        <v/>
      </c>
      <c r="F801" s="10">
        <f>IF($K801="","",INDEX(Конструктор!$L$2:$L$1212,$K801))</f>
        <v/>
      </c>
      <c r="G801" s="10">
        <f>IF($K801="","",INDEX(Конструктор!$M$2:$M$1212,$K801))</f>
        <v/>
      </c>
      <c r="H801" s="10">
        <f>IF($K801="","",INDEX(Конструктор!$N$2:$N$1212,$K801))</f>
        <v/>
      </c>
      <c r="I801" s="10">
        <f>IF($K801="","",INDEX(Конструктор!$O$2:$O$1212,$K801))</f>
        <v/>
      </c>
      <c r="J801" s="10">
        <f>IF($K801="","",INDEX(Конструктор!$P$2:$P$1212,$K801))</f>
        <v/>
      </c>
      <c r="K801">
        <f>IFERROR(MATCH(781,Конструктор!$T$2:$T$1212,0),"")</f>
        <v/>
      </c>
      <c r="L801">
        <f>IF($K801="","","показать")</f>
        <v/>
      </c>
    </row>
    <row r="802" hidden="1">
      <c r="A802">
        <f>IF($K802="","",782)</f>
        <v/>
      </c>
      <c r="B802">
        <f>IF($K802="","",INDEX(Конструктор!$C$2:$C$1212,$K802))</f>
        <v/>
      </c>
      <c r="C802" s="8">
        <f>IF($K802="","",INDEX(Конструктор!$D$2:$D$1212,$K802)&amp;IF(INDEX(Конструктор!$J$2:$J$1212,$K802)&lt;&gt;""," — "&amp;INDEX(Конструктор!$J$2:$J$1212,$K802),""))</f>
        <v/>
      </c>
      <c r="D802">
        <f>IF($K802="","",INDEX(Конструктор!$E$2:$E$1212,$K802))</f>
        <v/>
      </c>
      <c r="E802" s="10">
        <f>IF($K802="","",INDEX(Конструктор!$H$2:$H$1212,$K802))</f>
        <v/>
      </c>
      <c r="F802" s="10">
        <f>IF($K802="","",INDEX(Конструктор!$L$2:$L$1212,$K802))</f>
        <v/>
      </c>
      <c r="G802" s="10">
        <f>IF($K802="","",INDEX(Конструктор!$M$2:$M$1212,$K802))</f>
        <v/>
      </c>
      <c r="H802" s="10">
        <f>IF($K802="","",INDEX(Конструктор!$N$2:$N$1212,$K802))</f>
        <v/>
      </c>
      <c r="I802" s="10">
        <f>IF($K802="","",INDEX(Конструктор!$O$2:$O$1212,$K802))</f>
        <v/>
      </c>
      <c r="J802" s="10">
        <f>IF($K802="","",INDEX(Конструктор!$P$2:$P$1212,$K802))</f>
        <v/>
      </c>
      <c r="K802">
        <f>IFERROR(MATCH(782,Конструктор!$T$2:$T$1212,0),"")</f>
        <v/>
      </c>
      <c r="L802">
        <f>IF($K802="","","показать")</f>
        <v/>
      </c>
    </row>
    <row r="803" hidden="1">
      <c r="A803">
        <f>IF($K803="","",783)</f>
        <v/>
      </c>
      <c r="B803">
        <f>IF($K803="","",INDEX(Конструктор!$C$2:$C$1212,$K803))</f>
        <v/>
      </c>
      <c r="C803" s="8">
        <f>IF($K803="","",INDEX(Конструктор!$D$2:$D$1212,$K803)&amp;IF(INDEX(Конструктор!$J$2:$J$1212,$K803)&lt;&gt;""," — "&amp;INDEX(Конструктор!$J$2:$J$1212,$K803),""))</f>
        <v/>
      </c>
      <c r="D803">
        <f>IF($K803="","",INDEX(Конструктор!$E$2:$E$1212,$K803))</f>
        <v/>
      </c>
      <c r="E803" s="10">
        <f>IF($K803="","",INDEX(Конструктор!$H$2:$H$1212,$K803))</f>
        <v/>
      </c>
      <c r="F803" s="10">
        <f>IF($K803="","",INDEX(Конструктор!$L$2:$L$1212,$K803))</f>
        <v/>
      </c>
      <c r="G803" s="10">
        <f>IF($K803="","",INDEX(Конструктор!$M$2:$M$1212,$K803))</f>
        <v/>
      </c>
      <c r="H803" s="10">
        <f>IF($K803="","",INDEX(Конструктор!$N$2:$N$1212,$K803))</f>
        <v/>
      </c>
      <c r="I803" s="10">
        <f>IF($K803="","",INDEX(Конструктор!$O$2:$O$1212,$K803))</f>
        <v/>
      </c>
      <c r="J803" s="10">
        <f>IF($K803="","",INDEX(Конструктор!$P$2:$P$1212,$K803))</f>
        <v/>
      </c>
      <c r="K803">
        <f>IFERROR(MATCH(783,Конструктор!$T$2:$T$1212,0),"")</f>
        <v/>
      </c>
      <c r="L803">
        <f>IF($K803="","","показать")</f>
        <v/>
      </c>
    </row>
    <row r="804" hidden="1">
      <c r="A804">
        <f>IF($K804="","",784)</f>
        <v/>
      </c>
      <c r="B804">
        <f>IF($K804="","",INDEX(Конструктор!$C$2:$C$1212,$K804))</f>
        <v/>
      </c>
      <c r="C804" s="8">
        <f>IF($K804="","",INDEX(Конструктор!$D$2:$D$1212,$K804)&amp;IF(INDEX(Конструктор!$J$2:$J$1212,$K804)&lt;&gt;""," — "&amp;INDEX(Конструктор!$J$2:$J$1212,$K804),""))</f>
        <v/>
      </c>
      <c r="D804">
        <f>IF($K804="","",INDEX(Конструктор!$E$2:$E$1212,$K804))</f>
        <v/>
      </c>
      <c r="E804" s="10">
        <f>IF($K804="","",INDEX(Конструктор!$H$2:$H$1212,$K804))</f>
        <v/>
      </c>
      <c r="F804" s="10">
        <f>IF($K804="","",INDEX(Конструктор!$L$2:$L$1212,$K804))</f>
        <v/>
      </c>
      <c r="G804" s="10">
        <f>IF($K804="","",INDEX(Конструктор!$M$2:$M$1212,$K804))</f>
        <v/>
      </c>
      <c r="H804" s="10">
        <f>IF($K804="","",INDEX(Конструктор!$N$2:$N$1212,$K804))</f>
        <v/>
      </c>
      <c r="I804" s="10">
        <f>IF($K804="","",INDEX(Конструктор!$O$2:$O$1212,$K804))</f>
        <v/>
      </c>
      <c r="J804" s="10">
        <f>IF($K804="","",INDEX(Конструктор!$P$2:$P$1212,$K804))</f>
        <v/>
      </c>
      <c r="K804">
        <f>IFERROR(MATCH(784,Конструктор!$T$2:$T$1212,0),"")</f>
        <v/>
      </c>
      <c r="L804">
        <f>IF($K804="","","показать")</f>
        <v/>
      </c>
    </row>
    <row r="805" hidden="1">
      <c r="A805">
        <f>IF($K805="","",785)</f>
        <v/>
      </c>
      <c r="B805">
        <f>IF($K805="","",INDEX(Конструктор!$C$2:$C$1212,$K805))</f>
        <v/>
      </c>
      <c r="C805" s="8">
        <f>IF($K805="","",INDEX(Конструктор!$D$2:$D$1212,$K805)&amp;IF(INDEX(Конструктор!$J$2:$J$1212,$K805)&lt;&gt;""," — "&amp;INDEX(Конструктор!$J$2:$J$1212,$K805),""))</f>
        <v/>
      </c>
      <c r="D805">
        <f>IF($K805="","",INDEX(Конструктор!$E$2:$E$1212,$K805))</f>
        <v/>
      </c>
      <c r="E805" s="10">
        <f>IF($K805="","",INDEX(Конструктор!$H$2:$H$1212,$K805))</f>
        <v/>
      </c>
      <c r="F805" s="10">
        <f>IF($K805="","",INDEX(Конструктор!$L$2:$L$1212,$K805))</f>
        <v/>
      </c>
      <c r="G805" s="10">
        <f>IF($K805="","",INDEX(Конструктор!$M$2:$M$1212,$K805))</f>
        <v/>
      </c>
      <c r="H805" s="10">
        <f>IF($K805="","",INDEX(Конструктор!$N$2:$N$1212,$K805))</f>
        <v/>
      </c>
      <c r="I805" s="10">
        <f>IF($K805="","",INDEX(Конструктор!$O$2:$O$1212,$K805))</f>
        <v/>
      </c>
      <c r="J805" s="10">
        <f>IF($K805="","",INDEX(Конструктор!$P$2:$P$1212,$K805))</f>
        <v/>
      </c>
      <c r="K805">
        <f>IFERROR(MATCH(785,Конструктор!$T$2:$T$1212,0),"")</f>
        <v/>
      </c>
      <c r="L805">
        <f>IF($K805="","","показать")</f>
        <v/>
      </c>
    </row>
    <row r="806" hidden="1">
      <c r="A806">
        <f>IF($K806="","",786)</f>
        <v/>
      </c>
      <c r="B806">
        <f>IF($K806="","",INDEX(Конструктор!$C$2:$C$1212,$K806))</f>
        <v/>
      </c>
      <c r="C806" s="8">
        <f>IF($K806="","",INDEX(Конструктор!$D$2:$D$1212,$K806)&amp;IF(INDEX(Конструктор!$J$2:$J$1212,$K806)&lt;&gt;""," — "&amp;INDEX(Конструктор!$J$2:$J$1212,$K806),""))</f>
        <v/>
      </c>
      <c r="D806">
        <f>IF($K806="","",INDEX(Конструктор!$E$2:$E$1212,$K806))</f>
        <v/>
      </c>
      <c r="E806" s="10">
        <f>IF($K806="","",INDEX(Конструктор!$H$2:$H$1212,$K806))</f>
        <v/>
      </c>
      <c r="F806" s="10">
        <f>IF($K806="","",INDEX(Конструктор!$L$2:$L$1212,$K806))</f>
        <v/>
      </c>
      <c r="G806" s="10">
        <f>IF($K806="","",INDEX(Конструктор!$M$2:$M$1212,$K806))</f>
        <v/>
      </c>
      <c r="H806" s="10">
        <f>IF($K806="","",INDEX(Конструктор!$N$2:$N$1212,$K806))</f>
        <v/>
      </c>
      <c r="I806" s="10">
        <f>IF($K806="","",INDEX(Конструктор!$O$2:$O$1212,$K806))</f>
        <v/>
      </c>
      <c r="J806" s="10">
        <f>IF($K806="","",INDEX(Конструктор!$P$2:$P$1212,$K806))</f>
        <v/>
      </c>
      <c r="K806">
        <f>IFERROR(MATCH(786,Конструктор!$T$2:$T$1212,0),"")</f>
        <v/>
      </c>
      <c r="L806">
        <f>IF($K806="","","показать")</f>
        <v/>
      </c>
    </row>
    <row r="807" hidden="1">
      <c r="A807">
        <f>IF($K807="","",787)</f>
        <v/>
      </c>
      <c r="B807">
        <f>IF($K807="","",INDEX(Конструктор!$C$2:$C$1212,$K807))</f>
        <v/>
      </c>
      <c r="C807" s="8">
        <f>IF($K807="","",INDEX(Конструктор!$D$2:$D$1212,$K807)&amp;IF(INDEX(Конструктор!$J$2:$J$1212,$K807)&lt;&gt;""," — "&amp;INDEX(Конструктор!$J$2:$J$1212,$K807),""))</f>
        <v/>
      </c>
      <c r="D807">
        <f>IF($K807="","",INDEX(Конструктор!$E$2:$E$1212,$K807))</f>
        <v/>
      </c>
      <c r="E807" s="10">
        <f>IF($K807="","",INDEX(Конструктор!$H$2:$H$1212,$K807))</f>
        <v/>
      </c>
      <c r="F807" s="10">
        <f>IF($K807="","",INDEX(Конструктор!$L$2:$L$1212,$K807))</f>
        <v/>
      </c>
      <c r="G807" s="10">
        <f>IF($K807="","",INDEX(Конструктор!$M$2:$M$1212,$K807))</f>
        <v/>
      </c>
      <c r="H807" s="10">
        <f>IF($K807="","",INDEX(Конструктор!$N$2:$N$1212,$K807))</f>
        <v/>
      </c>
      <c r="I807" s="10">
        <f>IF($K807="","",INDEX(Конструктор!$O$2:$O$1212,$K807))</f>
        <v/>
      </c>
      <c r="J807" s="10">
        <f>IF($K807="","",INDEX(Конструктор!$P$2:$P$1212,$K807))</f>
        <v/>
      </c>
      <c r="K807">
        <f>IFERROR(MATCH(787,Конструктор!$T$2:$T$1212,0),"")</f>
        <v/>
      </c>
      <c r="L807">
        <f>IF($K807="","","показать")</f>
        <v/>
      </c>
    </row>
    <row r="808" hidden="1">
      <c r="A808">
        <f>IF($K808="","",788)</f>
        <v/>
      </c>
      <c r="B808">
        <f>IF($K808="","",INDEX(Конструктор!$C$2:$C$1212,$K808))</f>
        <v/>
      </c>
      <c r="C808" s="8">
        <f>IF($K808="","",INDEX(Конструктор!$D$2:$D$1212,$K808)&amp;IF(INDEX(Конструктор!$J$2:$J$1212,$K808)&lt;&gt;""," — "&amp;INDEX(Конструктор!$J$2:$J$1212,$K808),""))</f>
        <v/>
      </c>
      <c r="D808">
        <f>IF($K808="","",INDEX(Конструктор!$E$2:$E$1212,$K808))</f>
        <v/>
      </c>
      <c r="E808" s="10">
        <f>IF($K808="","",INDEX(Конструктор!$H$2:$H$1212,$K808))</f>
        <v/>
      </c>
      <c r="F808" s="10">
        <f>IF($K808="","",INDEX(Конструктор!$L$2:$L$1212,$K808))</f>
        <v/>
      </c>
      <c r="G808" s="10">
        <f>IF($K808="","",INDEX(Конструктор!$M$2:$M$1212,$K808))</f>
        <v/>
      </c>
      <c r="H808" s="10">
        <f>IF($K808="","",INDEX(Конструктор!$N$2:$N$1212,$K808))</f>
        <v/>
      </c>
      <c r="I808" s="10">
        <f>IF($K808="","",INDEX(Конструктор!$O$2:$O$1212,$K808))</f>
        <v/>
      </c>
      <c r="J808" s="10">
        <f>IF($K808="","",INDEX(Конструктор!$P$2:$P$1212,$K808))</f>
        <v/>
      </c>
      <c r="K808">
        <f>IFERROR(MATCH(788,Конструктор!$T$2:$T$1212,0),"")</f>
        <v/>
      </c>
      <c r="L808">
        <f>IF($K808="","","показать")</f>
        <v/>
      </c>
    </row>
    <row r="809" hidden="1">
      <c r="A809">
        <f>IF($K809="","",789)</f>
        <v/>
      </c>
      <c r="B809">
        <f>IF($K809="","",INDEX(Конструктор!$C$2:$C$1212,$K809))</f>
        <v/>
      </c>
      <c r="C809" s="8">
        <f>IF($K809="","",INDEX(Конструктор!$D$2:$D$1212,$K809)&amp;IF(INDEX(Конструктор!$J$2:$J$1212,$K809)&lt;&gt;""," — "&amp;INDEX(Конструктор!$J$2:$J$1212,$K809),""))</f>
        <v/>
      </c>
      <c r="D809">
        <f>IF($K809="","",INDEX(Конструктор!$E$2:$E$1212,$K809))</f>
        <v/>
      </c>
      <c r="E809" s="10">
        <f>IF($K809="","",INDEX(Конструктор!$H$2:$H$1212,$K809))</f>
        <v/>
      </c>
      <c r="F809" s="10">
        <f>IF($K809="","",INDEX(Конструктор!$L$2:$L$1212,$K809))</f>
        <v/>
      </c>
      <c r="G809" s="10">
        <f>IF($K809="","",INDEX(Конструктор!$M$2:$M$1212,$K809))</f>
        <v/>
      </c>
      <c r="H809" s="10">
        <f>IF($K809="","",INDEX(Конструктор!$N$2:$N$1212,$K809))</f>
        <v/>
      </c>
      <c r="I809" s="10">
        <f>IF($K809="","",INDEX(Конструктор!$O$2:$O$1212,$K809))</f>
        <v/>
      </c>
      <c r="J809" s="10">
        <f>IF($K809="","",INDEX(Конструктор!$P$2:$P$1212,$K809))</f>
        <v/>
      </c>
      <c r="K809">
        <f>IFERROR(MATCH(789,Конструктор!$T$2:$T$1212,0),"")</f>
        <v/>
      </c>
      <c r="L809">
        <f>IF($K809="","","показать")</f>
        <v/>
      </c>
    </row>
    <row r="810" hidden="1">
      <c r="A810">
        <f>IF($K810="","",790)</f>
        <v/>
      </c>
      <c r="B810">
        <f>IF($K810="","",INDEX(Конструктор!$C$2:$C$1212,$K810))</f>
        <v/>
      </c>
      <c r="C810" s="8">
        <f>IF($K810="","",INDEX(Конструктор!$D$2:$D$1212,$K810)&amp;IF(INDEX(Конструктор!$J$2:$J$1212,$K810)&lt;&gt;""," — "&amp;INDEX(Конструктор!$J$2:$J$1212,$K810),""))</f>
        <v/>
      </c>
      <c r="D810">
        <f>IF($K810="","",INDEX(Конструктор!$E$2:$E$1212,$K810))</f>
        <v/>
      </c>
      <c r="E810" s="10">
        <f>IF($K810="","",INDEX(Конструктор!$H$2:$H$1212,$K810))</f>
        <v/>
      </c>
      <c r="F810" s="10">
        <f>IF($K810="","",INDEX(Конструктор!$L$2:$L$1212,$K810))</f>
        <v/>
      </c>
      <c r="G810" s="10">
        <f>IF($K810="","",INDEX(Конструктор!$M$2:$M$1212,$K810))</f>
        <v/>
      </c>
      <c r="H810" s="10">
        <f>IF($K810="","",INDEX(Конструктор!$N$2:$N$1212,$K810))</f>
        <v/>
      </c>
      <c r="I810" s="10">
        <f>IF($K810="","",INDEX(Конструктор!$O$2:$O$1212,$K810))</f>
        <v/>
      </c>
      <c r="J810" s="10">
        <f>IF($K810="","",INDEX(Конструктор!$P$2:$P$1212,$K810))</f>
        <v/>
      </c>
      <c r="K810">
        <f>IFERROR(MATCH(790,Конструктор!$T$2:$T$1212,0),"")</f>
        <v/>
      </c>
      <c r="L810">
        <f>IF($K810="","","показать")</f>
        <v/>
      </c>
    </row>
    <row r="811" hidden="1">
      <c r="A811">
        <f>IF($K811="","",791)</f>
        <v/>
      </c>
      <c r="B811">
        <f>IF($K811="","",INDEX(Конструктор!$C$2:$C$1212,$K811))</f>
        <v/>
      </c>
      <c r="C811" s="8">
        <f>IF($K811="","",INDEX(Конструктор!$D$2:$D$1212,$K811)&amp;IF(INDEX(Конструктор!$J$2:$J$1212,$K811)&lt;&gt;""," — "&amp;INDEX(Конструктор!$J$2:$J$1212,$K811),""))</f>
        <v/>
      </c>
      <c r="D811">
        <f>IF($K811="","",INDEX(Конструктор!$E$2:$E$1212,$K811))</f>
        <v/>
      </c>
      <c r="E811" s="10">
        <f>IF($K811="","",INDEX(Конструктор!$H$2:$H$1212,$K811))</f>
        <v/>
      </c>
      <c r="F811" s="10">
        <f>IF($K811="","",INDEX(Конструктор!$L$2:$L$1212,$K811))</f>
        <v/>
      </c>
      <c r="G811" s="10">
        <f>IF($K811="","",INDEX(Конструктор!$M$2:$M$1212,$K811))</f>
        <v/>
      </c>
      <c r="H811" s="10">
        <f>IF($K811="","",INDEX(Конструктор!$N$2:$N$1212,$K811))</f>
        <v/>
      </c>
      <c r="I811" s="10">
        <f>IF($K811="","",INDEX(Конструктор!$O$2:$O$1212,$K811))</f>
        <v/>
      </c>
      <c r="J811" s="10">
        <f>IF($K811="","",INDEX(Конструктор!$P$2:$P$1212,$K811))</f>
        <v/>
      </c>
      <c r="K811">
        <f>IFERROR(MATCH(791,Конструктор!$T$2:$T$1212,0),"")</f>
        <v/>
      </c>
      <c r="L811">
        <f>IF($K811="","","показать")</f>
        <v/>
      </c>
    </row>
    <row r="812" hidden="1">
      <c r="A812">
        <f>IF($K812="","",792)</f>
        <v/>
      </c>
      <c r="B812">
        <f>IF($K812="","",INDEX(Конструктор!$C$2:$C$1212,$K812))</f>
        <v/>
      </c>
      <c r="C812" s="8">
        <f>IF($K812="","",INDEX(Конструктор!$D$2:$D$1212,$K812)&amp;IF(INDEX(Конструктор!$J$2:$J$1212,$K812)&lt;&gt;""," — "&amp;INDEX(Конструктор!$J$2:$J$1212,$K812),""))</f>
        <v/>
      </c>
      <c r="D812">
        <f>IF($K812="","",INDEX(Конструктор!$E$2:$E$1212,$K812))</f>
        <v/>
      </c>
      <c r="E812" s="10">
        <f>IF($K812="","",INDEX(Конструктор!$H$2:$H$1212,$K812))</f>
        <v/>
      </c>
      <c r="F812" s="10">
        <f>IF($K812="","",INDEX(Конструктор!$L$2:$L$1212,$K812))</f>
        <v/>
      </c>
      <c r="G812" s="10">
        <f>IF($K812="","",INDEX(Конструктор!$M$2:$M$1212,$K812))</f>
        <v/>
      </c>
      <c r="H812" s="10">
        <f>IF($K812="","",INDEX(Конструктор!$N$2:$N$1212,$K812))</f>
        <v/>
      </c>
      <c r="I812" s="10">
        <f>IF($K812="","",INDEX(Конструктор!$O$2:$O$1212,$K812))</f>
        <v/>
      </c>
      <c r="J812" s="10">
        <f>IF($K812="","",INDEX(Конструктор!$P$2:$P$1212,$K812))</f>
        <v/>
      </c>
      <c r="K812">
        <f>IFERROR(MATCH(792,Конструктор!$T$2:$T$1212,0),"")</f>
        <v/>
      </c>
      <c r="L812">
        <f>IF($K812="","","показать")</f>
        <v/>
      </c>
    </row>
    <row r="813" hidden="1">
      <c r="A813">
        <f>IF($K813="","",793)</f>
        <v/>
      </c>
      <c r="B813">
        <f>IF($K813="","",INDEX(Конструктор!$C$2:$C$1212,$K813))</f>
        <v/>
      </c>
      <c r="C813" s="8">
        <f>IF($K813="","",INDEX(Конструктор!$D$2:$D$1212,$K813)&amp;IF(INDEX(Конструктор!$J$2:$J$1212,$K813)&lt;&gt;""," — "&amp;INDEX(Конструктор!$J$2:$J$1212,$K813),""))</f>
        <v/>
      </c>
      <c r="D813">
        <f>IF($K813="","",INDEX(Конструктор!$E$2:$E$1212,$K813))</f>
        <v/>
      </c>
      <c r="E813" s="10">
        <f>IF($K813="","",INDEX(Конструктор!$H$2:$H$1212,$K813))</f>
        <v/>
      </c>
      <c r="F813" s="10">
        <f>IF($K813="","",INDEX(Конструктор!$L$2:$L$1212,$K813))</f>
        <v/>
      </c>
      <c r="G813" s="10">
        <f>IF($K813="","",INDEX(Конструктор!$M$2:$M$1212,$K813))</f>
        <v/>
      </c>
      <c r="H813" s="10">
        <f>IF($K813="","",INDEX(Конструктор!$N$2:$N$1212,$K813))</f>
        <v/>
      </c>
      <c r="I813" s="10">
        <f>IF($K813="","",INDEX(Конструктор!$O$2:$O$1212,$K813))</f>
        <v/>
      </c>
      <c r="J813" s="10">
        <f>IF($K813="","",INDEX(Конструктор!$P$2:$P$1212,$K813))</f>
        <v/>
      </c>
      <c r="K813">
        <f>IFERROR(MATCH(793,Конструктор!$T$2:$T$1212,0),"")</f>
        <v/>
      </c>
      <c r="L813">
        <f>IF($K813="","","показать")</f>
        <v/>
      </c>
    </row>
    <row r="814" hidden="1">
      <c r="A814">
        <f>IF($K814="","",794)</f>
        <v/>
      </c>
      <c r="B814">
        <f>IF($K814="","",INDEX(Конструктор!$C$2:$C$1212,$K814))</f>
        <v/>
      </c>
      <c r="C814" s="8">
        <f>IF($K814="","",INDEX(Конструктор!$D$2:$D$1212,$K814)&amp;IF(INDEX(Конструктор!$J$2:$J$1212,$K814)&lt;&gt;""," — "&amp;INDEX(Конструктор!$J$2:$J$1212,$K814),""))</f>
        <v/>
      </c>
      <c r="D814">
        <f>IF($K814="","",INDEX(Конструктор!$E$2:$E$1212,$K814))</f>
        <v/>
      </c>
      <c r="E814" s="10">
        <f>IF($K814="","",INDEX(Конструктор!$H$2:$H$1212,$K814))</f>
        <v/>
      </c>
      <c r="F814" s="10">
        <f>IF($K814="","",INDEX(Конструктор!$L$2:$L$1212,$K814))</f>
        <v/>
      </c>
      <c r="G814" s="10">
        <f>IF($K814="","",INDEX(Конструктор!$M$2:$M$1212,$K814))</f>
        <v/>
      </c>
      <c r="H814" s="10">
        <f>IF($K814="","",INDEX(Конструктор!$N$2:$N$1212,$K814))</f>
        <v/>
      </c>
      <c r="I814" s="10">
        <f>IF($K814="","",INDEX(Конструктор!$O$2:$O$1212,$K814))</f>
        <v/>
      </c>
      <c r="J814" s="10">
        <f>IF($K814="","",INDEX(Конструктор!$P$2:$P$1212,$K814))</f>
        <v/>
      </c>
      <c r="K814">
        <f>IFERROR(MATCH(794,Конструктор!$T$2:$T$1212,0),"")</f>
        <v/>
      </c>
      <c r="L814">
        <f>IF($K814="","","показать")</f>
        <v/>
      </c>
    </row>
    <row r="815" hidden="1">
      <c r="A815">
        <f>IF($K815="","",795)</f>
        <v/>
      </c>
      <c r="B815">
        <f>IF($K815="","",INDEX(Конструктор!$C$2:$C$1212,$K815))</f>
        <v/>
      </c>
      <c r="C815" s="8">
        <f>IF($K815="","",INDEX(Конструктор!$D$2:$D$1212,$K815)&amp;IF(INDEX(Конструктор!$J$2:$J$1212,$K815)&lt;&gt;""," — "&amp;INDEX(Конструктор!$J$2:$J$1212,$K815),""))</f>
        <v/>
      </c>
      <c r="D815">
        <f>IF($K815="","",INDEX(Конструктор!$E$2:$E$1212,$K815))</f>
        <v/>
      </c>
      <c r="E815" s="10">
        <f>IF($K815="","",INDEX(Конструктор!$H$2:$H$1212,$K815))</f>
        <v/>
      </c>
      <c r="F815" s="10">
        <f>IF($K815="","",INDEX(Конструктор!$L$2:$L$1212,$K815))</f>
        <v/>
      </c>
      <c r="G815" s="10">
        <f>IF($K815="","",INDEX(Конструктор!$M$2:$M$1212,$K815))</f>
        <v/>
      </c>
      <c r="H815" s="10">
        <f>IF($K815="","",INDEX(Конструктор!$N$2:$N$1212,$K815))</f>
        <v/>
      </c>
      <c r="I815" s="10">
        <f>IF($K815="","",INDEX(Конструктор!$O$2:$O$1212,$K815))</f>
        <v/>
      </c>
      <c r="J815" s="10">
        <f>IF($K815="","",INDEX(Конструктор!$P$2:$P$1212,$K815))</f>
        <v/>
      </c>
      <c r="K815">
        <f>IFERROR(MATCH(795,Конструктор!$T$2:$T$1212,0),"")</f>
        <v/>
      </c>
      <c r="L815">
        <f>IF($K815="","","показать")</f>
        <v/>
      </c>
    </row>
    <row r="816" hidden="1">
      <c r="A816">
        <f>IF($K816="","",796)</f>
        <v/>
      </c>
      <c r="B816">
        <f>IF($K816="","",INDEX(Конструктор!$C$2:$C$1212,$K816))</f>
        <v/>
      </c>
      <c r="C816" s="8">
        <f>IF($K816="","",INDEX(Конструктор!$D$2:$D$1212,$K816)&amp;IF(INDEX(Конструктор!$J$2:$J$1212,$K816)&lt;&gt;""," — "&amp;INDEX(Конструктор!$J$2:$J$1212,$K816),""))</f>
        <v/>
      </c>
      <c r="D816">
        <f>IF($K816="","",INDEX(Конструктор!$E$2:$E$1212,$K816))</f>
        <v/>
      </c>
      <c r="E816" s="10">
        <f>IF($K816="","",INDEX(Конструктор!$H$2:$H$1212,$K816))</f>
        <v/>
      </c>
      <c r="F816" s="10">
        <f>IF($K816="","",INDEX(Конструктор!$L$2:$L$1212,$K816))</f>
        <v/>
      </c>
      <c r="G816" s="10">
        <f>IF($K816="","",INDEX(Конструктор!$M$2:$M$1212,$K816))</f>
        <v/>
      </c>
      <c r="H816" s="10">
        <f>IF($K816="","",INDEX(Конструктор!$N$2:$N$1212,$K816))</f>
        <v/>
      </c>
      <c r="I816" s="10">
        <f>IF($K816="","",INDEX(Конструктор!$O$2:$O$1212,$K816))</f>
        <v/>
      </c>
      <c r="J816" s="10">
        <f>IF($K816="","",INDEX(Конструктор!$P$2:$P$1212,$K816))</f>
        <v/>
      </c>
      <c r="K816">
        <f>IFERROR(MATCH(796,Конструктор!$T$2:$T$1212,0),"")</f>
        <v/>
      </c>
      <c r="L816">
        <f>IF($K816="","","показать")</f>
        <v/>
      </c>
    </row>
    <row r="817" hidden="1">
      <c r="A817">
        <f>IF($K817="","",797)</f>
        <v/>
      </c>
      <c r="B817">
        <f>IF($K817="","",INDEX(Конструктор!$C$2:$C$1212,$K817))</f>
        <v/>
      </c>
      <c r="C817" s="8">
        <f>IF($K817="","",INDEX(Конструктор!$D$2:$D$1212,$K817)&amp;IF(INDEX(Конструктор!$J$2:$J$1212,$K817)&lt;&gt;""," — "&amp;INDEX(Конструктор!$J$2:$J$1212,$K817),""))</f>
        <v/>
      </c>
      <c r="D817">
        <f>IF($K817="","",INDEX(Конструктор!$E$2:$E$1212,$K817))</f>
        <v/>
      </c>
      <c r="E817" s="10">
        <f>IF($K817="","",INDEX(Конструктор!$H$2:$H$1212,$K817))</f>
        <v/>
      </c>
      <c r="F817" s="10">
        <f>IF($K817="","",INDEX(Конструктор!$L$2:$L$1212,$K817))</f>
        <v/>
      </c>
      <c r="G817" s="10">
        <f>IF($K817="","",INDEX(Конструктор!$M$2:$M$1212,$K817))</f>
        <v/>
      </c>
      <c r="H817" s="10">
        <f>IF($K817="","",INDEX(Конструктор!$N$2:$N$1212,$K817))</f>
        <v/>
      </c>
      <c r="I817" s="10">
        <f>IF($K817="","",INDEX(Конструктор!$O$2:$O$1212,$K817))</f>
        <v/>
      </c>
      <c r="J817" s="10">
        <f>IF($K817="","",INDEX(Конструктор!$P$2:$P$1212,$K817))</f>
        <v/>
      </c>
      <c r="K817">
        <f>IFERROR(MATCH(797,Конструктор!$T$2:$T$1212,0),"")</f>
        <v/>
      </c>
      <c r="L817">
        <f>IF($K817="","","показать")</f>
        <v/>
      </c>
    </row>
    <row r="818" hidden="1">
      <c r="A818">
        <f>IF($K818="","",798)</f>
        <v/>
      </c>
      <c r="B818">
        <f>IF($K818="","",INDEX(Конструктор!$C$2:$C$1212,$K818))</f>
        <v/>
      </c>
      <c r="C818" s="8">
        <f>IF($K818="","",INDEX(Конструктор!$D$2:$D$1212,$K818)&amp;IF(INDEX(Конструктор!$J$2:$J$1212,$K818)&lt;&gt;""," — "&amp;INDEX(Конструктор!$J$2:$J$1212,$K818),""))</f>
        <v/>
      </c>
      <c r="D818">
        <f>IF($K818="","",INDEX(Конструктор!$E$2:$E$1212,$K818))</f>
        <v/>
      </c>
      <c r="E818" s="10">
        <f>IF($K818="","",INDEX(Конструктор!$H$2:$H$1212,$K818))</f>
        <v/>
      </c>
      <c r="F818" s="10">
        <f>IF($K818="","",INDEX(Конструктор!$L$2:$L$1212,$K818))</f>
        <v/>
      </c>
      <c r="G818" s="10">
        <f>IF($K818="","",INDEX(Конструктор!$M$2:$M$1212,$K818))</f>
        <v/>
      </c>
      <c r="H818" s="10">
        <f>IF($K818="","",INDEX(Конструктор!$N$2:$N$1212,$K818))</f>
        <v/>
      </c>
      <c r="I818" s="10">
        <f>IF($K818="","",INDEX(Конструктор!$O$2:$O$1212,$K818))</f>
        <v/>
      </c>
      <c r="J818" s="10">
        <f>IF($K818="","",INDEX(Конструктор!$P$2:$P$1212,$K818))</f>
        <v/>
      </c>
      <c r="K818">
        <f>IFERROR(MATCH(798,Конструктор!$T$2:$T$1212,0),"")</f>
        <v/>
      </c>
      <c r="L818">
        <f>IF($K818="","","показать")</f>
        <v/>
      </c>
    </row>
    <row r="819" hidden="1">
      <c r="A819">
        <f>IF($K819="","",799)</f>
        <v/>
      </c>
      <c r="B819">
        <f>IF($K819="","",INDEX(Конструктор!$C$2:$C$1212,$K819))</f>
        <v/>
      </c>
      <c r="C819" s="8">
        <f>IF($K819="","",INDEX(Конструктор!$D$2:$D$1212,$K819)&amp;IF(INDEX(Конструктор!$J$2:$J$1212,$K819)&lt;&gt;""," — "&amp;INDEX(Конструктор!$J$2:$J$1212,$K819),""))</f>
        <v/>
      </c>
      <c r="D819">
        <f>IF($K819="","",INDEX(Конструктор!$E$2:$E$1212,$K819))</f>
        <v/>
      </c>
      <c r="E819" s="10">
        <f>IF($K819="","",INDEX(Конструктор!$H$2:$H$1212,$K819))</f>
        <v/>
      </c>
      <c r="F819" s="10">
        <f>IF($K819="","",INDEX(Конструктор!$L$2:$L$1212,$K819))</f>
        <v/>
      </c>
      <c r="G819" s="10">
        <f>IF($K819="","",INDEX(Конструктор!$M$2:$M$1212,$K819))</f>
        <v/>
      </c>
      <c r="H819" s="10">
        <f>IF($K819="","",INDEX(Конструктор!$N$2:$N$1212,$K819))</f>
        <v/>
      </c>
      <c r="I819" s="10">
        <f>IF($K819="","",INDEX(Конструктор!$O$2:$O$1212,$K819))</f>
        <v/>
      </c>
      <c r="J819" s="10">
        <f>IF($K819="","",INDEX(Конструктор!$P$2:$P$1212,$K819))</f>
        <v/>
      </c>
      <c r="K819">
        <f>IFERROR(MATCH(799,Конструктор!$T$2:$T$1212,0),"")</f>
        <v/>
      </c>
      <c r="L819">
        <f>IF($K819="","","показать")</f>
        <v/>
      </c>
    </row>
    <row r="820" hidden="1">
      <c r="A820">
        <f>IF($K820="","",800)</f>
        <v/>
      </c>
      <c r="B820">
        <f>IF($K820="","",INDEX(Конструктор!$C$2:$C$1212,$K820))</f>
        <v/>
      </c>
      <c r="C820" s="8">
        <f>IF($K820="","",INDEX(Конструктор!$D$2:$D$1212,$K820)&amp;IF(INDEX(Конструктор!$J$2:$J$1212,$K820)&lt;&gt;""," — "&amp;INDEX(Конструктор!$J$2:$J$1212,$K820),""))</f>
        <v/>
      </c>
      <c r="D820">
        <f>IF($K820="","",INDEX(Конструктор!$E$2:$E$1212,$K820))</f>
        <v/>
      </c>
      <c r="E820" s="10">
        <f>IF($K820="","",INDEX(Конструктор!$H$2:$H$1212,$K820))</f>
        <v/>
      </c>
      <c r="F820" s="10">
        <f>IF($K820="","",INDEX(Конструктор!$L$2:$L$1212,$K820))</f>
        <v/>
      </c>
      <c r="G820" s="10">
        <f>IF($K820="","",INDEX(Конструктор!$M$2:$M$1212,$K820))</f>
        <v/>
      </c>
      <c r="H820" s="10">
        <f>IF($K820="","",INDEX(Конструктор!$N$2:$N$1212,$K820))</f>
        <v/>
      </c>
      <c r="I820" s="10">
        <f>IF($K820="","",INDEX(Конструктор!$O$2:$O$1212,$K820))</f>
        <v/>
      </c>
      <c r="J820" s="10">
        <f>IF($K820="","",INDEX(Конструктор!$P$2:$P$1212,$K820))</f>
        <v/>
      </c>
      <c r="K820">
        <f>IFERROR(MATCH(800,Конструктор!$T$2:$T$1212,0),"")</f>
        <v/>
      </c>
      <c r="L820">
        <f>IF($K820="","","показать")</f>
        <v/>
      </c>
    </row>
    <row r="821" hidden="1">
      <c r="A821">
        <f>IF($K821="","",801)</f>
        <v/>
      </c>
      <c r="B821">
        <f>IF($K821="","",INDEX(Конструктор!$C$2:$C$1212,$K821))</f>
        <v/>
      </c>
      <c r="C821" s="8">
        <f>IF($K821="","",INDEX(Конструктор!$D$2:$D$1212,$K821)&amp;IF(INDEX(Конструктор!$J$2:$J$1212,$K821)&lt;&gt;""," — "&amp;INDEX(Конструктор!$J$2:$J$1212,$K821),""))</f>
        <v/>
      </c>
      <c r="D821">
        <f>IF($K821="","",INDEX(Конструктор!$E$2:$E$1212,$K821))</f>
        <v/>
      </c>
      <c r="E821" s="10">
        <f>IF($K821="","",INDEX(Конструктор!$H$2:$H$1212,$K821))</f>
        <v/>
      </c>
      <c r="F821" s="10">
        <f>IF($K821="","",INDEX(Конструктор!$L$2:$L$1212,$K821))</f>
        <v/>
      </c>
      <c r="G821" s="10">
        <f>IF($K821="","",INDEX(Конструктор!$M$2:$M$1212,$K821))</f>
        <v/>
      </c>
      <c r="H821" s="10">
        <f>IF($K821="","",INDEX(Конструктор!$N$2:$N$1212,$K821))</f>
        <v/>
      </c>
      <c r="I821" s="10">
        <f>IF($K821="","",INDEX(Конструктор!$O$2:$O$1212,$K821))</f>
        <v/>
      </c>
      <c r="J821" s="10">
        <f>IF($K821="","",INDEX(Конструктор!$P$2:$P$1212,$K821))</f>
        <v/>
      </c>
      <c r="K821">
        <f>IFERROR(MATCH(801,Конструктор!$T$2:$T$1212,0),"")</f>
        <v/>
      </c>
      <c r="L821">
        <f>IF($K821="","","показать")</f>
        <v/>
      </c>
    </row>
    <row r="822" hidden="1">
      <c r="A822">
        <f>IF($K822="","",802)</f>
        <v/>
      </c>
      <c r="B822">
        <f>IF($K822="","",INDEX(Конструктор!$C$2:$C$1212,$K822))</f>
        <v/>
      </c>
      <c r="C822" s="8">
        <f>IF($K822="","",INDEX(Конструктор!$D$2:$D$1212,$K822)&amp;IF(INDEX(Конструктор!$J$2:$J$1212,$K822)&lt;&gt;""," — "&amp;INDEX(Конструктор!$J$2:$J$1212,$K822),""))</f>
        <v/>
      </c>
      <c r="D822">
        <f>IF($K822="","",INDEX(Конструктор!$E$2:$E$1212,$K822))</f>
        <v/>
      </c>
      <c r="E822" s="10">
        <f>IF($K822="","",INDEX(Конструктор!$H$2:$H$1212,$K822))</f>
        <v/>
      </c>
      <c r="F822" s="10">
        <f>IF($K822="","",INDEX(Конструктор!$L$2:$L$1212,$K822))</f>
        <v/>
      </c>
      <c r="G822" s="10">
        <f>IF($K822="","",INDEX(Конструктор!$M$2:$M$1212,$K822))</f>
        <v/>
      </c>
      <c r="H822" s="10">
        <f>IF($K822="","",INDEX(Конструктор!$N$2:$N$1212,$K822))</f>
        <v/>
      </c>
      <c r="I822" s="10">
        <f>IF($K822="","",INDEX(Конструктор!$O$2:$O$1212,$K822))</f>
        <v/>
      </c>
      <c r="J822" s="10">
        <f>IF($K822="","",INDEX(Конструктор!$P$2:$P$1212,$K822))</f>
        <v/>
      </c>
      <c r="K822">
        <f>IFERROR(MATCH(802,Конструктор!$T$2:$T$1212,0),"")</f>
        <v/>
      </c>
      <c r="L822">
        <f>IF($K822="","","показать")</f>
        <v/>
      </c>
    </row>
    <row r="823" hidden="1">
      <c r="A823">
        <f>IF($K823="","",803)</f>
        <v/>
      </c>
      <c r="B823">
        <f>IF($K823="","",INDEX(Конструктор!$C$2:$C$1212,$K823))</f>
        <v/>
      </c>
      <c r="C823" s="8">
        <f>IF($K823="","",INDEX(Конструктор!$D$2:$D$1212,$K823)&amp;IF(INDEX(Конструктор!$J$2:$J$1212,$K823)&lt;&gt;""," — "&amp;INDEX(Конструктор!$J$2:$J$1212,$K823),""))</f>
        <v/>
      </c>
      <c r="D823">
        <f>IF($K823="","",INDEX(Конструктор!$E$2:$E$1212,$K823))</f>
        <v/>
      </c>
      <c r="E823" s="10">
        <f>IF($K823="","",INDEX(Конструктор!$H$2:$H$1212,$K823))</f>
        <v/>
      </c>
      <c r="F823" s="10">
        <f>IF($K823="","",INDEX(Конструктор!$L$2:$L$1212,$K823))</f>
        <v/>
      </c>
      <c r="G823" s="10">
        <f>IF($K823="","",INDEX(Конструктор!$M$2:$M$1212,$K823))</f>
        <v/>
      </c>
      <c r="H823" s="10">
        <f>IF($K823="","",INDEX(Конструктор!$N$2:$N$1212,$K823))</f>
        <v/>
      </c>
      <c r="I823" s="10">
        <f>IF($K823="","",INDEX(Конструктор!$O$2:$O$1212,$K823))</f>
        <v/>
      </c>
      <c r="J823" s="10">
        <f>IF($K823="","",INDEX(Конструктор!$P$2:$P$1212,$K823))</f>
        <v/>
      </c>
      <c r="K823">
        <f>IFERROR(MATCH(803,Конструктор!$T$2:$T$1212,0),"")</f>
        <v/>
      </c>
      <c r="L823">
        <f>IF($K823="","","показать")</f>
        <v/>
      </c>
    </row>
    <row r="824" hidden="1">
      <c r="A824">
        <f>IF($K824="","",804)</f>
        <v/>
      </c>
      <c r="B824">
        <f>IF($K824="","",INDEX(Конструктор!$C$2:$C$1212,$K824))</f>
        <v/>
      </c>
      <c r="C824" s="8">
        <f>IF($K824="","",INDEX(Конструктор!$D$2:$D$1212,$K824)&amp;IF(INDEX(Конструктор!$J$2:$J$1212,$K824)&lt;&gt;""," — "&amp;INDEX(Конструктор!$J$2:$J$1212,$K824),""))</f>
        <v/>
      </c>
      <c r="D824">
        <f>IF($K824="","",INDEX(Конструктор!$E$2:$E$1212,$K824))</f>
        <v/>
      </c>
      <c r="E824" s="10">
        <f>IF($K824="","",INDEX(Конструктор!$H$2:$H$1212,$K824))</f>
        <v/>
      </c>
      <c r="F824" s="10">
        <f>IF($K824="","",INDEX(Конструктор!$L$2:$L$1212,$K824))</f>
        <v/>
      </c>
      <c r="G824" s="10">
        <f>IF($K824="","",INDEX(Конструктор!$M$2:$M$1212,$K824))</f>
        <v/>
      </c>
      <c r="H824" s="10">
        <f>IF($K824="","",INDEX(Конструктор!$N$2:$N$1212,$K824))</f>
        <v/>
      </c>
      <c r="I824" s="10">
        <f>IF($K824="","",INDEX(Конструктор!$O$2:$O$1212,$K824))</f>
        <v/>
      </c>
      <c r="J824" s="10">
        <f>IF($K824="","",INDEX(Конструктор!$P$2:$P$1212,$K824))</f>
        <v/>
      </c>
      <c r="K824">
        <f>IFERROR(MATCH(804,Конструктор!$T$2:$T$1212,0),"")</f>
        <v/>
      </c>
      <c r="L824">
        <f>IF($K824="","","показать")</f>
        <v/>
      </c>
    </row>
    <row r="825" hidden="1">
      <c r="A825">
        <f>IF($K825="","",805)</f>
        <v/>
      </c>
      <c r="B825">
        <f>IF($K825="","",INDEX(Конструктор!$C$2:$C$1212,$K825))</f>
        <v/>
      </c>
      <c r="C825" s="8">
        <f>IF($K825="","",INDEX(Конструктор!$D$2:$D$1212,$K825)&amp;IF(INDEX(Конструктор!$J$2:$J$1212,$K825)&lt;&gt;""," — "&amp;INDEX(Конструктор!$J$2:$J$1212,$K825),""))</f>
        <v/>
      </c>
      <c r="D825">
        <f>IF($K825="","",INDEX(Конструктор!$E$2:$E$1212,$K825))</f>
        <v/>
      </c>
      <c r="E825" s="10">
        <f>IF($K825="","",INDEX(Конструктор!$H$2:$H$1212,$K825))</f>
        <v/>
      </c>
      <c r="F825" s="10">
        <f>IF($K825="","",INDEX(Конструктор!$L$2:$L$1212,$K825))</f>
        <v/>
      </c>
      <c r="G825" s="10">
        <f>IF($K825="","",INDEX(Конструктор!$M$2:$M$1212,$K825))</f>
        <v/>
      </c>
      <c r="H825" s="10">
        <f>IF($K825="","",INDEX(Конструктор!$N$2:$N$1212,$K825))</f>
        <v/>
      </c>
      <c r="I825" s="10">
        <f>IF($K825="","",INDEX(Конструктор!$O$2:$O$1212,$K825))</f>
        <v/>
      </c>
      <c r="J825" s="10">
        <f>IF($K825="","",INDEX(Конструктор!$P$2:$P$1212,$K825))</f>
        <v/>
      </c>
      <c r="K825">
        <f>IFERROR(MATCH(805,Конструктор!$T$2:$T$1212,0),"")</f>
        <v/>
      </c>
      <c r="L825">
        <f>IF($K825="","","показать")</f>
        <v/>
      </c>
    </row>
    <row r="826" hidden="1">
      <c r="A826">
        <f>IF($K826="","",806)</f>
        <v/>
      </c>
      <c r="B826">
        <f>IF($K826="","",INDEX(Конструктор!$C$2:$C$1212,$K826))</f>
        <v/>
      </c>
      <c r="C826" s="8">
        <f>IF($K826="","",INDEX(Конструктор!$D$2:$D$1212,$K826)&amp;IF(INDEX(Конструктор!$J$2:$J$1212,$K826)&lt;&gt;""," — "&amp;INDEX(Конструктор!$J$2:$J$1212,$K826),""))</f>
        <v/>
      </c>
      <c r="D826">
        <f>IF($K826="","",INDEX(Конструктор!$E$2:$E$1212,$K826))</f>
        <v/>
      </c>
      <c r="E826" s="10">
        <f>IF($K826="","",INDEX(Конструктор!$H$2:$H$1212,$K826))</f>
        <v/>
      </c>
      <c r="F826" s="10">
        <f>IF($K826="","",INDEX(Конструктор!$L$2:$L$1212,$K826))</f>
        <v/>
      </c>
      <c r="G826" s="10">
        <f>IF($K826="","",INDEX(Конструктор!$M$2:$M$1212,$K826))</f>
        <v/>
      </c>
      <c r="H826" s="10">
        <f>IF($K826="","",INDEX(Конструктор!$N$2:$N$1212,$K826))</f>
        <v/>
      </c>
      <c r="I826" s="10">
        <f>IF($K826="","",INDEX(Конструктор!$O$2:$O$1212,$K826))</f>
        <v/>
      </c>
      <c r="J826" s="10">
        <f>IF($K826="","",INDEX(Конструктор!$P$2:$P$1212,$K826))</f>
        <v/>
      </c>
      <c r="K826">
        <f>IFERROR(MATCH(806,Конструктор!$T$2:$T$1212,0),"")</f>
        <v/>
      </c>
      <c r="L826">
        <f>IF($K826="","","показать")</f>
        <v/>
      </c>
    </row>
    <row r="827" hidden="1">
      <c r="A827">
        <f>IF($K827="","",807)</f>
        <v/>
      </c>
      <c r="B827">
        <f>IF($K827="","",INDEX(Конструктор!$C$2:$C$1212,$K827))</f>
        <v/>
      </c>
      <c r="C827" s="8">
        <f>IF($K827="","",INDEX(Конструктор!$D$2:$D$1212,$K827)&amp;IF(INDEX(Конструктор!$J$2:$J$1212,$K827)&lt;&gt;""," — "&amp;INDEX(Конструктор!$J$2:$J$1212,$K827),""))</f>
        <v/>
      </c>
      <c r="D827">
        <f>IF($K827="","",INDEX(Конструктор!$E$2:$E$1212,$K827))</f>
        <v/>
      </c>
      <c r="E827" s="10">
        <f>IF($K827="","",INDEX(Конструктор!$H$2:$H$1212,$K827))</f>
        <v/>
      </c>
      <c r="F827" s="10">
        <f>IF($K827="","",INDEX(Конструктор!$L$2:$L$1212,$K827))</f>
        <v/>
      </c>
      <c r="G827" s="10">
        <f>IF($K827="","",INDEX(Конструктор!$M$2:$M$1212,$K827))</f>
        <v/>
      </c>
      <c r="H827" s="10">
        <f>IF($K827="","",INDEX(Конструктор!$N$2:$N$1212,$K827))</f>
        <v/>
      </c>
      <c r="I827" s="10">
        <f>IF($K827="","",INDEX(Конструктор!$O$2:$O$1212,$K827))</f>
        <v/>
      </c>
      <c r="J827" s="10">
        <f>IF($K827="","",INDEX(Конструктор!$P$2:$P$1212,$K827))</f>
        <v/>
      </c>
      <c r="K827">
        <f>IFERROR(MATCH(807,Конструктор!$T$2:$T$1212,0),"")</f>
        <v/>
      </c>
      <c r="L827">
        <f>IF($K827="","","показать")</f>
        <v/>
      </c>
    </row>
    <row r="828" hidden="1">
      <c r="A828">
        <f>IF($K828="","",808)</f>
        <v/>
      </c>
      <c r="B828">
        <f>IF($K828="","",INDEX(Конструктор!$C$2:$C$1212,$K828))</f>
        <v/>
      </c>
      <c r="C828" s="8">
        <f>IF($K828="","",INDEX(Конструктор!$D$2:$D$1212,$K828)&amp;IF(INDEX(Конструктор!$J$2:$J$1212,$K828)&lt;&gt;""," — "&amp;INDEX(Конструктор!$J$2:$J$1212,$K828),""))</f>
        <v/>
      </c>
      <c r="D828">
        <f>IF($K828="","",INDEX(Конструктор!$E$2:$E$1212,$K828))</f>
        <v/>
      </c>
      <c r="E828" s="10">
        <f>IF($K828="","",INDEX(Конструктор!$H$2:$H$1212,$K828))</f>
        <v/>
      </c>
      <c r="F828" s="10">
        <f>IF($K828="","",INDEX(Конструктор!$L$2:$L$1212,$K828))</f>
        <v/>
      </c>
      <c r="G828" s="10">
        <f>IF($K828="","",INDEX(Конструктор!$M$2:$M$1212,$K828))</f>
        <v/>
      </c>
      <c r="H828" s="10">
        <f>IF($K828="","",INDEX(Конструктор!$N$2:$N$1212,$K828))</f>
        <v/>
      </c>
      <c r="I828" s="10">
        <f>IF($K828="","",INDEX(Конструктор!$O$2:$O$1212,$K828))</f>
        <v/>
      </c>
      <c r="J828" s="10">
        <f>IF($K828="","",INDEX(Конструктор!$P$2:$P$1212,$K828))</f>
        <v/>
      </c>
      <c r="K828">
        <f>IFERROR(MATCH(808,Конструктор!$T$2:$T$1212,0),"")</f>
        <v/>
      </c>
      <c r="L828">
        <f>IF($K828="","","показать")</f>
        <v/>
      </c>
    </row>
    <row r="829" hidden="1">
      <c r="A829">
        <f>IF($K829="","",809)</f>
        <v/>
      </c>
      <c r="B829">
        <f>IF($K829="","",INDEX(Конструктор!$C$2:$C$1212,$K829))</f>
        <v/>
      </c>
      <c r="C829" s="8">
        <f>IF($K829="","",INDEX(Конструктор!$D$2:$D$1212,$K829)&amp;IF(INDEX(Конструктор!$J$2:$J$1212,$K829)&lt;&gt;""," — "&amp;INDEX(Конструктор!$J$2:$J$1212,$K829),""))</f>
        <v/>
      </c>
      <c r="D829">
        <f>IF($K829="","",INDEX(Конструктор!$E$2:$E$1212,$K829))</f>
        <v/>
      </c>
      <c r="E829" s="10">
        <f>IF($K829="","",INDEX(Конструктор!$H$2:$H$1212,$K829))</f>
        <v/>
      </c>
      <c r="F829" s="10">
        <f>IF($K829="","",INDEX(Конструктор!$L$2:$L$1212,$K829))</f>
        <v/>
      </c>
      <c r="G829" s="10">
        <f>IF($K829="","",INDEX(Конструктор!$M$2:$M$1212,$K829))</f>
        <v/>
      </c>
      <c r="H829" s="10">
        <f>IF($K829="","",INDEX(Конструктор!$N$2:$N$1212,$K829))</f>
        <v/>
      </c>
      <c r="I829" s="10">
        <f>IF($K829="","",INDEX(Конструктор!$O$2:$O$1212,$K829))</f>
        <v/>
      </c>
      <c r="J829" s="10">
        <f>IF($K829="","",INDEX(Конструктор!$P$2:$P$1212,$K829))</f>
        <v/>
      </c>
      <c r="K829">
        <f>IFERROR(MATCH(809,Конструктор!$T$2:$T$1212,0),"")</f>
        <v/>
      </c>
      <c r="L829">
        <f>IF($K829="","","показать")</f>
        <v/>
      </c>
    </row>
    <row r="830" hidden="1">
      <c r="A830">
        <f>IF($K830="","",810)</f>
        <v/>
      </c>
      <c r="B830">
        <f>IF($K830="","",INDEX(Конструктор!$C$2:$C$1212,$K830))</f>
        <v/>
      </c>
      <c r="C830" s="8">
        <f>IF($K830="","",INDEX(Конструктор!$D$2:$D$1212,$K830)&amp;IF(INDEX(Конструктор!$J$2:$J$1212,$K830)&lt;&gt;""," — "&amp;INDEX(Конструктор!$J$2:$J$1212,$K830),""))</f>
        <v/>
      </c>
      <c r="D830">
        <f>IF($K830="","",INDEX(Конструктор!$E$2:$E$1212,$K830))</f>
        <v/>
      </c>
      <c r="E830" s="10">
        <f>IF($K830="","",INDEX(Конструктор!$H$2:$H$1212,$K830))</f>
        <v/>
      </c>
      <c r="F830" s="10">
        <f>IF($K830="","",INDEX(Конструктор!$L$2:$L$1212,$K830))</f>
        <v/>
      </c>
      <c r="G830" s="10">
        <f>IF($K830="","",INDEX(Конструктор!$M$2:$M$1212,$K830))</f>
        <v/>
      </c>
      <c r="H830" s="10">
        <f>IF($K830="","",INDEX(Конструктор!$N$2:$N$1212,$K830))</f>
        <v/>
      </c>
      <c r="I830" s="10">
        <f>IF($K830="","",INDEX(Конструктор!$O$2:$O$1212,$K830))</f>
        <v/>
      </c>
      <c r="J830" s="10">
        <f>IF($K830="","",INDEX(Конструктор!$P$2:$P$1212,$K830))</f>
        <v/>
      </c>
      <c r="K830">
        <f>IFERROR(MATCH(810,Конструктор!$T$2:$T$1212,0),"")</f>
        <v/>
      </c>
      <c r="L830">
        <f>IF($K830="","","показать")</f>
        <v/>
      </c>
    </row>
    <row r="831" hidden="1">
      <c r="A831">
        <f>IF($K831="","",811)</f>
        <v/>
      </c>
      <c r="B831">
        <f>IF($K831="","",INDEX(Конструктор!$C$2:$C$1212,$K831))</f>
        <v/>
      </c>
      <c r="C831" s="8">
        <f>IF($K831="","",INDEX(Конструктор!$D$2:$D$1212,$K831)&amp;IF(INDEX(Конструктор!$J$2:$J$1212,$K831)&lt;&gt;""," — "&amp;INDEX(Конструктор!$J$2:$J$1212,$K831),""))</f>
        <v/>
      </c>
      <c r="D831">
        <f>IF($K831="","",INDEX(Конструктор!$E$2:$E$1212,$K831))</f>
        <v/>
      </c>
      <c r="E831" s="10">
        <f>IF($K831="","",INDEX(Конструктор!$H$2:$H$1212,$K831))</f>
        <v/>
      </c>
      <c r="F831" s="10">
        <f>IF($K831="","",INDEX(Конструктор!$L$2:$L$1212,$K831))</f>
        <v/>
      </c>
      <c r="G831" s="10">
        <f>IF($K831="","",INDEX(Конструктор!$M$2:$M$1212,$K831))</f>
        <v/>
      </c>
      <c r="H831" s="10">
        <f>IF($K831="","",INDEX(Конструктор!$N$2:$N$1212,$K831))</f>
        <v/>
      </c>
      <c r="I831" s="10">
        <f>IF($K831="","",INDEX(Конструктор!$O$2:$O$1212,$K831))</f>
        <v/>
      </c>
      <c r="J831" s="10">
        <f>IF($K831="","",INDEX(Конструктор!$P$2:$P$1212,$K831))</f>
        <v/>
      </c>
      <c r="K831">
        <f>IFERROR(MATCH(811,Конструктор!$T$2:$T$1212,0),"")</f>
        <v/>
      </c>
      <c r="L831">
        <f>IF($K831="","","показать")</f>
        <v/>
      </c>
    </row>
    <row r="832" hidden="1">
      <c r="A832">
        <f>IF($K832="","",812)</f>
        <v/>
      </c>
      <c r="B832">
        <f>IF($K832="","",INDEX(Конструктор!$C$2:$C$1212,$K832))</f>
        <v/>
      </c>
      <c r="C832" s="8">
        <f>IF($K832="","",INDEX(Конструктор!$D$2:$D$1212,$K832)&amp;IF(INDEX(Конструктор!$J$2:$J$1212,$K832)&lt;&gt;""," — "&amp;INDEX(Конструктор!$J$2:$J$1212,$K832),""))</f>
        <v/>
      </c>
      <c r="D832">
        <f>IF($K832="","",INDEX(Конструктор!$E$2:$E$1212,$K832))</f>
        <v/>
      </c>
      <c r="E832" s="10">
        <f>IF($K832="","",INDEX(Конструктор!$H$2:$H$1212,$K832))</f>
        <v/>
      </c>
      <c r="F832" s="10">
        <f>IF($K832="","",INDEX(Конструктор!$L$2:$L$1212,$K832))</f>
        <v/>
      </c>
      <c r="G832" s="10">
        <f>IF($K832="","",INDEX(Конструктор!$M$2:$M$1212,$K832))</f>
        <v/>
      </c>
      <c r="H832" s="10">
        <f>IF($K832="","",INDEX(Конструктор!$N$2:$N$1212,$K832))</f>
        <v/>
      </c>
      <c r="I832" s="10">
        <f>IF($K832="","",INDEX(Конструктор!$O$2:$O$1212,$K832))</f>
        <v/>
      </c>
      <c r="J832" s="10">
        <f>IF($K832="","",INDEX(Конструктор!$P$2:$P$1212,$K832))</f>
        <v/>
      </c>
      <c r="K832">
        <f>IFERROR(MATCH(812,Конструктор!$T$2:$T$1212,0),"")</f>
        <v/>
      </c>
      <c r="L832">
        <f>IF($K832="","","показать")</f>
        <v/>
      </c>
    </row>
    <row r="833" hidden="1">
      <c r="A833">
        <f>IF($K833="","",813)</f>
        <v/>
      </c>
      <c r="B833">
        <f>IF($K833="","",INDEX(Конструктор!$C$2:$C$1212,$K833))</f>
        <v/>
      </c>
      <c r="C833" s="8">
        <f>IF($K833="","",INDEX(Конструктор!$D$2:$D$1212,$K833)&amp;IF(INDEX(Конструктор!$J$2:$J$1212,$K833)&lt;&gt;""," — "&amp;INDEX(Конструктор!$J$2:$J$1212,$K833),""))</f>
        <v/>
      </c>
      <c r="D833">
        <f>IF($K833="","",INDEX(Конструктор!$E$2:$E$1212,$K833))</f>
        <v/>
      </c>
      <c r="E833" s="10">
        <f>IF($K833="","",INDEX(Конструктор!$H$2:$H$1212,$K833))</f>
        <v/>
      </c>
      <c r="F833" s="10">
        <f>IF($K833="","",INDEX(Конструктор!$L$2:$L$1212,$K833))</f>
        <v/>
      </c>
      <c r="G833" s="10">
        <f>IF($K833="","",INDEX(Конструктор!$M$2:$M$1212,$K833))</f>
        <v/>
      </c>
      <c r="H833" s="10">
        <f>IF($K833="","",INDEX(Конструктор!$N$2:$N$1212,$K833))</f>
        <v/>
      </c>
      <c r="I833" s="10">
        <f>IF($K833="","",INDEX(Конструктор!$O$2:$O$1212,$K833))</f>
        <v/>
      </c>
      <c r="J833" s="10">
        <f>IF($K833="","",INDEX(Конструктор!$P$2:$P$1212,$K833))</f>
        <v/>
      </c>
      <c r="K833">
        <f>IFERROR(MATCH(813,Конструктор!$T$2:$T$1212,0),"")</f>
        <v/>
      </c>
      <c r="L833">
        <f>IF($K833="","","показать")</f>
        <v/>
      </c>
    </row>
    <row r="834" hidden="1">
      <c r="A834">
        <f>IF($K834="","",814)</f>
        <v/>
      </c>
      <c r="B834">
        <f>IF($K834="","",INDEX(Конструктор!$C$2:$C$1212,$K834))</f>
        <v/>
      </c>
      <c r="C834" s="8">
        <f>IF($K834="","",INDEX(Конструктор!$D$2:$D$1212,$K834)&amp;IF(INDEX(Конструктор!$J$2:$J$1212,$K834)&lt;&gt;""," — "&amp;INDEX(Конструктор!$J$2:$J$1212,$K834),""))</f>
        <v/>
      </c>
      <c r="D834">
        <f>IF($K834="","",INDEX(Конструктор!$E$2:$E$1212,$K834))</f>
        <v/>
      </c>
      <c r="E834" s="10">
        <f>IF($K834="","",INDEX(Конструктор!$H$2:$H$1212,$K834))</f>
        <v/>
      </c>
      <c r="F834" s="10">
        <f>IF($K834="","",INDEX(Конструктор!$L$2:$L$1212,$K834))</f>
        <v/>
      </c>
      <c r="G834" s="10">
        <f>IF($K834="","",INDEX(Конструктор!$M$2:$M$1212,$K834))</f>
        <v/>
      </c>
      <c r="H834" s="10">
        <f>IF($K834="","",INDEX(Конструктор!$N$2:$N$1212,$K834))</f>
        <v/>
      </c>
      <c r="I834" s="10">
        <f>IF($K834="","",INDEX(Конструктор!$O$2:$O$1212,$K834))</f>
        <v/>
      </c>
      <c r="J834" s="10">
        <f>IF($K834="","",INDEX(Конструктор!$P$2:$P$1212,$K834))</f>
        <v/>
      </c>
      <c r="K834">
        <f>IFERROR(MATCH(814,Конструктор!$T$2:$T$1212,0),"")</f>
        <v/>
      </c>
      <c r="L834">
        <f>IF($K834="","","показать")</f>
        <v/>
      </c>
    </row>
    <row r="835" hidden="1">
      <c r="A835">
        <f>IF($K835="","",815)</f>
        <v/>
      </c>
      <c r="B835">
        <f>IF($K835="","",INDEX(Конструктор!$C$2:$C$1212,$K835))</f>
        <v/>
      </c>
      <c r="C835" s="8">
        <f>IF($K835="","",INDEX(Конструктор!$D$2:$D$1212,$K835)&amp;IF(INDEX(Конструктор!$J$2:$J$1212,$K835)&lt;&gt;""," — "&amp;INDEX(Конструктор!$J$2:$J$1212,$K835),""))</f>
        <v/>
      </c>
      <c r="D835">
        <f>IF($K835="","",INDEX(Конструктор!$E$2:$E$1212,$K835))</f>
        <v/>
      </c>
      <c r="E835" s="10">
        <f>IF($K835="","",INDEX(Конструктор!$H$2:$H$1212,$K835))</f>
        <v/>
      </c>
      <c r="F835" s="10">
        <f>IF($K835="","",INDEX(Конструктор!$L$2:$L$1212,$K835))</f>
        <v/>
      </c>
      <c r="G835" s="10">
        <f>IF($K835="","",INDEX(Конструктор!$M$2:$M$1212,$K835))</f>
        <v/>
      </c>
      <c r="H835" s="10">
        <f>IF($K835="","",INDEX(Конструктор!$N$2:$N$1212,$K835))</f>
        <v/>
      </c>
      <c r="I835" s="10">
        <f>IF($K835="","",INDEX(Конструктор!$O$2:$O$1212,$K835))</f>
        <v/>
      </c>
      <c r="J835" s="10">
        <f>IF($K835="","",INDEX(Конструктор!$P$2:$P$1212,$K835))</f>
        <v/>
      </c>
      <c r="K835">
        <f>IFERROR(MATCH(815,Конструктор!$T$2:$T$1212,0),"")</f>
        <v/>
      </c>
      <c r="L835">
        <f>IF($K835="","","показать")</f>
        <v/>
      </c>
    </row>
    <row r="836" hidden="1">
      <c r="A836">
        <f>IF($K836="","",816)</f>
        <v/>
      </c>
      <c r="B836">
        <f>IF($K836="","",INDEX(Конструктор!$C$2:$C$1212,$K836))</f>
        <v/>
      </c>
      <c r="C836" s="8">
        <f>IF($K836="","",INDEX(Конструктор!$D$2:$D$1212,$K836)&amp;IF(INDEX(Конструктор!$J$2:$J$1212,$K836)&lt;&gt;""," — "&amp;INDEX(Конструктор!$J$2:$J$1212,$K836),""))</f>
        <v/>
      </c>
      <c r="D836">
        <f>IF($K836="","",INDEX(Конструктор!$E$2:$E$1212,$K836))</f>
        <v/>
      </c>
      <c r="E836" s="10">
        <f>IF($K836="","",INDEX(Конструктор!$H$2:$H$1212,$K836))</f>
        <v/>
      </c>
      <c r="F836" s="10">
        <f>IF($K836="","",INDEX(Конструктор!$L$2:$L$1212,$K836))</f>
        <v/>
      </c>
      <c r="G836" s="10">
        <f>IF($K836="","",INDEX(Конструктор!$M$2:$M$1212,$K836))</f>
        <v/>
      </c>
      <c r="H836" s="10">
        <f>IF($K836="","",INDEX(Конструктор!$N$2:$N$1212,$K836))</f>
        <v/>
      </c>
      <c r="I836" s="10">
        <f>IF($K836="","",INDEX(Конструктор!$O$2:$O$1212,$K836))</f>
        <v/>
      </c>
      <c r="J836" s="10">
        <f>IF($K836="","",INDEX(Конструктор!$P$2:$P$1212,$K836))</f>
        <v/>
      </c>
      <c r="K836">
        <f>IFERROR(MATCH(816,Конструктор!$T$2:$T$1212,0),"")</f>
        <v/>
      </c>
      <c r="L836">
        <f>IF($K836="","","показать")</f>
        <v/>
      </c>
    </row>
    <row r="837" hidden="1">
      <c r="A837">
        <f>IF($K837="","",817)</f>
        <v/>
      </c>
      <c r="B837">
        <f>IF($K837="","",INDEX(Конструктор!$C$2:$C$1212,$K837))</f>
        <v/>
      </c>
      <c r="C837" s="8">
        <f>IF($K837="","",INDEX(Конструктор!$D$2:$D$1212,$K837)&amp;IF(INDEX(Конструктор!$J$2:$J$1212,$K837)&lt;&gt;""," — "&amp;INDEX(Конструктор!$J$2:$J$1212,$K837),""))</f>
        <v/>
      </c>
      <c r="D837">
        <f>IF($K837="","",INDEX(Конструктор!$E$2:$E$1212,$K837))</f>
        <v/>
      </c>
      <c r="E837" s="10">
        <f>IF($K837="","",INDEX(Конструктор!$H$2:$H$1212,$K837))</f>
        <v/>
      </c>
      <c r="F837" s="10">
        <f>IF($K837="","",INDEX(Конструктор!$L$2:$L$1212,$K837))</f>
        <v/>
      </c>
      <c r="G837" s="10">
        <f>IF($K837="","",INDEX(Конструктор!$M$2:$M$1212,$K837))</f>
        <v/>
      </c>
      <c r="H837" s="10">
        <f>IF($K837="","",INDEX(Конструктор!$N$2:$N$1212,$K837))</f>
        <v/>
      </c>
      <c r="I837" s="10">
        <f>IF($K837="","",INDEX(Конструктор!$O$2:$O$1212,$K837))</f>
        <v/>
      </c>
      <c r="J837" s="10">
        <f>IF($K837="","",INDEX(Конструктор!$P$2:$P$1212,$K837))</f>
        <v/>
      </c>
      <c r="K837">
        <f>IFERROR(MATCH(817,Конструктор!$T$2:$T$1212,0),"")</f>
        <v/>
      </c>
      <c r="L837">
        <f>IF($K837="","","показать")</f>
        <v/>
      </c>
    </row>
    <row r="838" hidden="1">
      <c r="A838">
        <f>IF($K838="","",818)</f>
        <v/>
      </c>
      <c r="B838">
        <f>IF($K838="","",INDEX(Конструктор!$C$2:$C$1212,$K838))</f>
        <v/>
      </c>
      <c r="C838" s="8">
        <f>IF($K838="","",INDEX(Конструктор!$D$2:$D$1212,$K838)&amp;IF(INDEX(Конструктор!$J$2:$J$1212,$K838)&lt;&gt;""," — "&amp;INDEX(Конструктор!$J$2:$J$1212,$K838),""))</f>
        <v/>
      </c>
      <c r="D838">
        <f>IF($K838="","",INDEX(Конструктор!$E$2:$E$1212,$K838))</f>
        <v/>
      </c>
      <c r="E838" s="10">
        <f>IF($K838="","",INDEX(Конструктор!$H$2:$H$1212,$K838))</f>
        <v/>
      </c>
      <c r="F838" s="10">
        <f>IF($K838="","",INDEX(Конструктор!$L$2:$L$1212,$K838))</f>
        <v/>
      </c>
      <c r="G838" s="10">
        <f>IF($K838="","",INDEX(Конструктор!$M$2:$M$1212,$K838))</f>
        <v/>
      </c>
      <c r="H838" s="10">
        <f>IF($K838="","",INDEX(Конструктор!$N$2:$N$1212,$K838))</f>
        <v/>
      </c>
      <c r="I838" s="10">
        <f>IF($K838="","",INDEX(Конструктор!$O$2:$O$1212,$K838))</f>
        <v/>
      </c>
      <c r="J838" s="10">
        <f>IF($K838="","",INDEX(Конструктор!$P$2:$P$1212,$K838))</f>
        <v/>
      </c>
      <c r="K838">
        <f>IFERROR(MATCH(818,Конструктор!$T$2:$T$1212,0),"")</f>
        <v/>
      </c>
      <c r="L838">
        <f>IF($K838="","","показать")</f>
        <v/>
      </c>
    </row>
    <row r="839" hidden="1">
      <c r="A839">
        <f>IF($K839="","",819)</f>
        <v/>
      </c>
      <c r="B839">
        <f>IF($K839="","",INDEX(Конструктор!$C$2:$C$1212,$K839))</f>
        <v/>
      </c>
      <c r="C839" s="8">
        <f>IF($K839="","",INDEX(Конструктор!$D$2:$D$1212,$K839)&amp;IF(INDEX(Конструктор!$J$2:$J$1212,$K839)&lt;&gt;""," — "&amp;INDEX(Конструктор!$J$2:$J$1212,$K839),""))</f>
        <v/>
      </c>
      <c r="D839">
        <f>IF($K839="","",INDEX(Конструктор!$E$2:$E$1212,$K839))</f>
        <v/>
      </c>
      <c r="E839" s="10">
        <f>IF($K839="","",INDEX(Конструктор!$H$2:$H$1212,$K839))</f>
        <v/>
      </c>
      <c r="F839" s="10">
        <f>IF($K839="","",INDEX(Конструктор!$L$2:$L$1212,$K839))</f>
        <v/>
      </c>
      <c r="G839" s="10">
        <f>IF($K839="","",INDEX(Конструктор!$M$2:$M$1212,$K839))</f>
        <v/>
      </c>
      <c r="H839" s="10">
        <f>IF($K839="","",INDEX(Конструктор!$N$2:$N$1212,$K839))</f>
        <v/>
      </c>
      <c r="I839" s="10">
        <f>IF($K839="","",INDEX(Конструктор!$O$2:$O$1212,$K839))</f>
        <v/>
      </c>
      <c r="J839" s="10">
        <f>IF($K839="","",INDEX(Конструктор!$P$2:$P$1212,$K839))</f>
        <v/>
      </c>
      <c r="K839">
        <f>IFERROR(MATCH(819,Конструктор!$T$2:$T$1212,0),"")</f>
        <v/>
      </c>
      <c r="L839">
        <f>IF($K839="","","показать")</f>
        <v/>
      </c>
    </row>
    <row r="840" hidden="1">
      <c r="A840">
        <f>IF($K840="","",820)</f>
        <v/>
      </c>
      <c r="B840">
        <f>IF($K840="","",INDEX(Конструктор!$C$2:$C$1212,$K840))</f>
        <v/>
      </c>
      <c r="C840" s="8">
        <f>IF($K840="","",INDEX(Конструктор!$D$2:$D$1212,$K840)&amp;IF(INDEX(Конструктор!$J$2:$J$1212,$K840)&lt;&gt;""," — "&amp;INDEX(Конструктор!$J$2:$J$1212,$K840),""))</f>
        <v/>
      </c>
      <c r="D840">
        <f>IF($K840="","",INDEX(Конструктор!$E$2:$E$1212,$K840))</f>
        <v/>
      </c>
      <c r="E840" s="10">
        <f>IF($K840="","",INDEX(Конструктор!$H$2:$H$1212,$K840))</f>
        <v/>
      </c>
      <c r="F840" s="10">
        <f>IF($K840="","",INDEX(Конструктор!$L$2:$L$1212,$K840))</f>
        <v/>
      </c>
      <c r="G840" s="10">
        <f>IF($K840="","",INDEX(Конструктор!$M$2:$M$1212,$K840))</f>
        <v/>
      </c>
      <c r="H840" s="10">
        <f>IF($K840="","",INDEX(Конструктор!$N$2:$N$1212,$K840))</f>
        <v/>
      </c>
      <c r="I840" s="10">
        <f>IF($K840="","",INDEX(Конструктор!$O$2:$O$1212,$K840))</f>
        <v/>
      </c>
      <c r="J840" s="10">
        <f>IF($K840="","",INDEX(Конструктор!$P$2:$P$1212,$K840))</f>
        <v/>
      </c>
      <c r="K840">
        <f>IFERROR(MATCH(820,Конструктор!$T$2:$T$1212,0),"")</f>
        <v/>
      </c>
      <c r="L840">
        <f>IF($K840="","","показать")</f>
        <v/>
      </c>
    </row>
    <row r="841" hidden="1">
      <c r="A841">
        <f>IF($K841="","",821)</f>
        <v/>
      </c>
      <c r="B841">
        <f>IF($K841="","",INDEX(Конструктор!$C$2:$C$1212,$K841))</f>
        <v/>
      </c>
      <c r="C841" s="8">
        <f>IF($K841="","",INDEX(Конструктор!$D$2:$D$1212,$K841)&amp;IF(INDEX(Конструктор!$J$2:$J$1212,$K841)&lt;&gt;""," — "&amp;INDEX(Конструктор!$J$2:$J$1212,$K841),""))</f>
        <v/>
      </c>
      <c r="D841">
        <f>IF($K841="","",INDEX(Конструктор!$E$2:$E$1212,$K841))</f>
        <v/>
      </c>
      <c r="E841" s="10">
        <f>IF($K841="","",INDEX(Конструктор!$H$2:$H$1212,$K841))</f>
        <v/>
      </c>
      <c r="F841" s="10">
        <f>IF($K841="","",INDEX(Конструктор!$L$2:$L$1212,$K841))</f>
        <v/>
      </c>
      <c r="G841" s="10">
        <f>IF($K841="","",INDEX(Конструктор!$M$2:$M$1212,$K841))</f>
        <v/>
      </c>
      <c r="H841" s="10">
        <f>IF($K841="","",INDEX(Конструктор!$N$2:$N$1212,$K841))</f>
        <v/>
      </c>
      <c r="I841" s="10">
        <f>IF($K841="","",INDEX(Конструктор!$O$2:$O$1212,$K841))</f>
        <v/>
      </c>
      <c r="J841" s="10">
        <f>IF($K841="","",INDEX(Конструктор!$P$2:$P$1212,$K841))</f>
        <v/>
      </c>
      <c r="K841">
        <f>IFERROR(MATCH(821,Конструктор!$T$2:$T$1212,0),"")</f>
        <v/>
      </c>
      <c r="L841">
        <f>IF($K841="","","показать")</f>
        <v/>
      </c>
    </row>
    <row r="842" hidden="1">
      <c r="A842">
        <f>IF($K842="","",822)</f>
        <v/>
      </c>
      <c r="B842">
        <f>IF($K842="","",INDEX(Конструктор!$C$2:$C$1212,$K842))</f>
        <v/>
      </c>
      <c r="C842" s="8">
        <f>IF($K842="","",INDEX(Конструктор!$D$2:$D$1212,$K842)&amp;IF(INDEX(Конструктор!$J$2:$J$1212,$K842)&lt;&gt;""," — "&amp;INDEX(Конструктор!$J$2:$J$1212,$K842),""))</f>
        <v/>
      </c>
      <c r="D842">
        <f>IF($K842="","",INDEX(Конструктор!$E$2:$E$1212,$K842))</f>
        <v/>
      </c>
      <c r="E842" s="10">
        <f>IF($K842="","",INDEX(Конструктор!$H$2:$H$1212,$K842))</f>
        <v/>
      </c>
      <c r="F842" s="10">
        <f>IF($K842="","",INDEX(Конструктор!$L$2:$L$1212,$K842))</f>
        <v/>
      </c>
      <c r="G842" s="10">
        <f>IF($K842="","",INDEX(Конструктор!$M$2:$M$1212,$K842))</f>
        <v/>
      </c>
      <c r="H842" s="10">
        <f>IF($K842="","",INDEX(Конструктор!$N$2:$N$1212,$K842))</f>
        <v/>
      </c>
      <c r="I842" s="10">
        <f>IF($K842="","",INDEX(Конструктор!$O$2:$O$1212,$K842))</f>
        <v/>
      </c>
      <c r="J842" s="10">
        <f>IF($K842="","",INDEX(Конструктор!$P$2:$P$1212,$K842))</f>
        <v/>
      </c>
      <c r="K842">
        <f>IFERROR(MATCH(822,Конструктор!$T$2:$T$1212,0),"")</f>
        <v/>
      </c>
      <c r="L842">
        <f>IF($K842="","","показать")</f>
        <v/>
      </c>
    </row>
    <row r="843" hidden="1">
      <c r="A843">
        <f>IF($K843="","",823)</f>
        <v/>
      </c>
      <c r="B843">
        <f>IF($K843="","",INDEX(Конструктор!$C$2:$C$1212,$K843))</f>
        <v/>
      </c>
      <c r="C843" s="8">
        <f>IF($K843="","",INDEX(Конструктор!$D$2:$D$1212,$K843)&amp;IF(INDEX(Конструктор!$J$2:$J$1212,$K843)&lt;&gt;""," — "&amp;INDEX(Конструктор!$J$2:$J$1212,$K843),""))</f>
        <v/>
      </c>
      <c r="D843">
        <f>IF($K843="","",INDEX(Конструктор!$E$2:$E$1212,$K843))</f>
        <v/>
      </c>
      <c r="E843" s="10">
        <f>IF($K843="","",INDEX(Конструктор!$H$2:$H$1212,$K843))</f>
        <v/>
      </c>
      <c r="F843" s="10">
        <f>IF($K843="","",INDEX(Конструктор!$L$2:$L$1212,$K843))</f>
        <v/>
      </c>
      <c r="G843" s="10">
        <f>IF($K843="","",INDEX(Конструктор!$M$2:$M$1212,$K843))</f>
        <v/>
      </c>
      <c r="H843" s="10">
        <f>IF($K843="","",INDEX(Конструктор!$N$2:$N$1212,$K843))</f>
        <v/>
      </c>
      <c r="I843" s="10">
        <f>IF($K843="","",INDEX(Конструктор!$O$2:$O$1212,$K843))</f>
        <v/>
      </c>
      <c r="J843" s="10">
        <f>IF($K843="","",INDEX(Конструктор!$P$2:$P$1212,$K843))</f>
        <v/>
      </c>
      <c r="K843">
        <f>IFERROR(MATCH(823,Конструктор!$T$2:$T$1212,0),"")</f>
        <v/>
      </c>
      <c r="L843">
        <f>IF($K843="","","показать")</f>
        <v/>
      </c>
    </row>
    <row r="844" hidden="1">
      <c r="A844">
        <f>IF($K844="","",824)</f>
        <v/>
      </c>
      <c r="B844">
        <f>IF($K844="","",INDEX(Конструктор!$C$2:$C$1212,$K844))</f>
        <v/>
      </c>
      <c r="C844" s="8">
        <f>IF($K844="","",INDEX(Конструктор!$D$2:$D$1212,$K844)&amp;IF(INDEX(Конструктор!$J$2:$J$1212,$K844)&lt;&gt;""," — "&amp;INDEX(Конструктор!$J$2:$J$1212,$K844),""))</f>
        <v/>
      </c>
      <c r="D844">
        <f>IF($K844="","",INDEX(Конструктор!$E$2:$E$1212,$K844))</f>
        <v/>
      </c>
      <c r="E844" s="10">
        <f>IF($K844="","",INDEX(Конструктор!$H$2:$H$1212,$K844))</f>
        <v/>
      </c>
      <c r="F844" s="10">
        <f>IF($K844="","",INDEX(Конструктор!$L$2:$L$1212,$K844))</f>
        <v/>
      </c>
      <c r="G844" s="10">
        <f>IF($K844="","",INDEX(Конструктор!$M$2:$M$1212,$K844))</f>
        <v/>
      </c>
      <c r="H844" s="10">
        <f>IF($K844="","",INDEX(Конструктор!$N$2:$N$1212,$K844))</f>
        <v/>
      </c>
      <c r="I844" s="10">
        <f>IF($K844="","",INDEX(Конструктор!$O$2:$O$1212,$K844))</f>
        <v/>
      </c>
      <c r="J844" s="10">
        <f>IF($K844="","",INDEX(Конструктор!$P$2:$P$1212,$K844))</f>
        <v/>
      </c>
      <c r="K844">
        <f>IFERROR(MATCH(824,Конструктор!$T$2:$T$1212,0),"")</f>
        <v/>
      </c>
      <c r="L844">
        <f>IF($K844="","","показать")</f>
        <v/>
      </c>
    </row>
    <row r="845" hidden="1">
      <c r="A845">
        <f>IF($K845="","",825)</f>
        <v/>
      </c>
      <c r="B845">
        <f>IF($K845="","",INDEX(Конструктор!$C$2:$C$1212,$K845))</f>
        <v/>
      </c>
      <c r="C845" s="8">
        <f>IF($K845="","",INDEX(Конструктор!$D$2:$D$1212,$K845)&amp;IF(INDEX(Конструктор!$J$2:$J$1212,$K845)&lt;&gt;""," — "&amp;INDEX(Конструктор!$J$2:$J$1212,$K845),""))</f>
        <v/>
      </c>
      <c r="D845">
        <f>IF($K845="","",INDEX(Конструктор!$E$2:$E$1212,$K845))</f>
        <v/>
      </c>
      <c r="E845" s="10">
        <f>IF($K845="","",INDEX(Конструктор!$H$2:$H$1212,$K845))</f>
        <v/>
      </c>
      <c r="F845" s="10">
        <f>IF($K845="","",INDEX(Конструктор!$L$2:$L$1212,$K845))</f>
        <v/>
      </c>
      <c r="G845" s="10">
        <f>IF($K845="","",INDEX(Конструктор!$M$2:$M$1212,$K845))</f>
        <v/>
      </c>
      <c r="H845" s="10">
        <f>IF($K845="","",INDEX(Конструктор!$N$2:$N$1212,$K845))</f>
        <v/>
      </c>
      <c r="I845" s="10">
        <f>IF($K845="","",INDEX(Конструктор!$O$2:$O$1212,$K845))</f>
        <v/>
      </c>
      <c r="J845" s="10">
        <f>IF($K845="","",INDEX(Конструктор!$P$2:$P$1212,$K845))</f>
        <v/>
      </c>
      <c r="K845">
        <f>IFERROR(MATCH(825,Конструктор!$T$2:$T$1212,0),"")</f>
        <v/>
      </c>
      <c r="L845">
        <f>IF($K845="","","показать")</f>
        <v/>
      </c>
    </row>
    <row r="846" hidden="1">
      <c r="A846">
        <f>IF($K846="","",826)</f>
        <v/>
      </c>
      <c r="B846">
        <f>IF($K846="","",INDEX(Конструктор!$C$2:$C$1212,$K846))</f>
        <v/>
      </c>
      <c r="C846" s="8">
        <f>IF($K846="","",INDEX(Конструктор!$D$2:$D$1212,$K846)&amp;IF(INDEX(Конструктор!$J$2:$J$1212,$K846)&lt;&gt;""," — "&amp;INDEX(Конструктор!$J$2:$J$1212,$K846),""))</f>
        <v/>
      </c>
      <c r="D846">
        <f>IF($K846="","",INDEX(Конструктор!$E$2:$E$1212,$K846))</f>
        <v/>
      </c>
      <c r="E846" s="10">
        <f>IF($K846="","",INDEX(Конструктор!$H$2:$H$1212,$K846))</f>
        <v/>
      </c>
      <c r="F846" s="10">
        <f>IF($K846="","",INDEX(Конструктор!$L$2:$L$1212,$K846))</f>
        <v/>
      </c>
      <c r="G846" s="10">
        <f>IF($K846="","",INDEX(Конструктор!$M$2:$M$1212,$K846))</f>
        <v/>
      </c>
      <c r="H846" s="10">
        <f>IF($K846="","",INDEX(Конструктор!$N$2:$N$1212,$K846))</f>
        <v/>
      </c>
      <c r="I846" s="10">
        <f>IF($K846="","",INDEX(Конструктор!$O$2:$O$1212,$K846))</f>
        <v/>
      </c>
      <c r="J846" s="10">
        <f>IF($K846="","",INDEX(Конструктор!$P$2:$P$1212,$K846))</f>
        <v/>
      </c>
      <c r="K846">
        <f>IFERROR(MATCH(826,Конструктор!$T$2:$T$1212,0),"")</f>
        <v/>
      </c>
      <c r="L846">
        <f>IF($K846="","","показать")</f>
        <v/>
      </c>
    </row>
    <row r="847" hidden="1">
      <c r="A847">
        <f>IF($K847="","",827)</f>
        <v/>
      </c>
      <c r="B847">
        <f>IF($K847="","",INDEX(Конструктор!$C$2:$C$1212,$K847))</f>
        <v/>
      </c>
      <c r="C847" s="8">
        <f>IF($K847="","",INDEX(Конструктор!$D$2:$D$1212,$K847)&amp;IF(INDEX(Конструктор!$J$2:$J$1212,$K847)&lt;&gt;""," — "&amp;INDEX(Конструктор!$J$2:$J$1212,$K847),""))</f>
        <v/>
      </c>
      <c r="D847">
        <f>IF($K847="","",INDEX(Конструктор!$E$2:$E$1212,$K847))</f>
        <v/>
      </c>
      <c r="E847" s="10">
        <f>IF($K847="","",INDEX(Конструктор!$H$2:$H$1212,$K847))</f>
        <v/>
      </c>
      <c r="F847" s="10">
        <f>IF($K847="","",INDEX(Конструктор!$L$2:$L$1212,$K847))</f>
        <v/>
      </c>
      <c r="G847" s="10">
        <f>IF($K847="","",INDEX(Конструктор!$M$2:$M$1212,$K847))</f>
        <v/>
      </c>
      <c r="H847" s="10">
        <f>IF($K847="","",INDEX(Конструктор!$N$2:$N$1212,$K847))</f>
        <v/>
      </c>
      <c r="I847" s="10">
        <f>IF($K847="","",INDEX(Конструктор!$O$2:$O$1212,$K847))</f>
        <v/>
      </c>
      <c r="J847" s="10">
        <f>IF($K847="","",INDEX(Конструктор!$P$2:$P$1212,$K847))</f>
        <v/>
      </c>
      <c r="K847">
        <f>IFERROR(MATCH(827,Конструктор!$T$2:$T$1212,0),"")</f>
        <v/>
      </c>
      <c r="L847">
        <f>IF($K847="","","показать")</f>
        <v/>
      </c>
    </row>
    <row r="848" hidden="1">
      <c r="A848">
        <f>IF($K848="","",828)</f>
        <v/>
      </c>
      <c r="B848">
        <f>IF($K848="","",INDEX(Конструктор!$C$2:$C$1212,$K848))</f>
        <v/>
      </c>
      <c r="C848" s="8">
        <f>IF($K848="","",INDEX(Конструктор!$D$2:$D$1212,$K848)&amp;IF(INDEX(Конструктор!$J$2:$J$1212,$K848)&lt;&gt;""," — "&amp;INDEX(Конструктор!$J$2:$J$1212,$K848),""))</f>
        <v/>
      </c>
      <c r="D848">
        <f>IF($K848="","",INDEX(Конструктор!$E$2:$E$1212,$K848))</f>
        <v/>
      </c>
      <c r="E848" s="10">
        <f>IF($K848="","",INDEX(Конструктор!$H$2:$H$1212,$K848))</f>
        <v/>
      </c>
      <c r="F848" s="10">
        <f>IF($K848="","",INDEX(Конструктор!$L$2:$L$1212,$K848))</f>
        <v/>
      </c>
      <c r="G848" s="10">
        <f>IF($K848="","",INDEX(Конструктор!$M$2:$M$1212,$K848))</f>
        <v/>
      </c>
      <c r="H848" s="10">
        <f>IF($K848="","",INDEX(Конструктор!$N$2:$N$1212,$K848))</f>
        <v/>
      </c>
      <c r="I848" s="10">
        <f>IF($K848="","",INDEX(Конструктор!$O$2:$O$1212,$K848))</f>
        <v/>
      </c>
      <c r="J848" s="10">
        <f>IF($K848="","",INDEX(Конструктор!$P$2:$P$1212,$K848))</f>
        <v/>
      </c>
      <c r="K848">
        <f>IFERROR(MATCH(828,Конструктор!$T$2:$T$1212,0),"")</f>
        <v/>
      </c>
      <c r="L848">
        <f>IF($K848="","","показать")</f>
        <v/>
      </c>
    </row>
    <row r="849" hidden="1">
      <c r="A849">
        <f>IF($K849="","",829)</f>
        <v/>
      </c>
      <c r="B849">
        <f>IF($K849="","",INDEX(Конструктор!$C$2:$C$1212,$K849))</f>
        <v/>
      </c>
      <c r="C849" s="8">
        <f>IF($K849="","",INDEX(Конструктор!$D$2:$D$1212,$K849)&amp;IF(INDEX(Конструктор!$J$2:$J$1212,$K849)&lt;&gt;""," — "&amp;INDEX(Конструктор!$J$2:$J$1212,$K849),""))</f>
        <v/>
      </c>
      <c r="D849">
        <f>IF($K849="","",INDEX(Конструктор!$E$2:$E$1212,$K849))</f>
        <v/>
      </c>
      <c r="E849" s="10">
        <f>IF($K849="","",INDEX(Конструктор!$H$2:$H$1212,$K849))</f>
        <v/>
      </c>
      <c r="F849" s="10">
        <f>IF($K849="","",INDEX(Конструктор!$L$2:$L$1212,$K849))</f>
        <v/>
      </c>
      <c r="G849" s="10">
        <f>IF($K849="","",INDEX(Конструктор!$M$2:$M$1212,$K849))</f>
        <v/>
      </c>
      <c r="H849" s="10">
        <f>IF($K849="","",INDEX(Конструктор!$N$2:$N$1212,$K849))</f>
        <v/>
      </c>
      <c r="I849" s="10">
        <f>IF($K849="","",INDEX(Конструктор!$O$2:$O$1212,$K849))</f>
        <v/>
      </c>
      <c r="J849" s="10">
        <f>IF($K849="","",INDEX(Конструктор!$P$2:$P$1212,$K849))</f>
        <v/>
      </c>
      <c r="K849">
        <f>IFERROR(MATCH(829,Конструктор!$T$2:$T$1212,0),"")</f>
        <v/>
      </c>
      <c r="L849">
        <f>IF($K849="","","показать")</f>
        <v/>
      </c>
    </row>
    <row r="850" hidden="1">
      <c r="A850">
        <f>IF($K850="","",830)</f>
        <v/>
      </c>
      <c r="B850">
        <f>IF($K850="","",INDEX(Конструктор!$C$2:$C$1212,$K850))</f>
        <v/>
      </c>
      <c r="C850" s="8">
        <f>IF($K850="","",INDEX(Конструктор!$D$2:$D$1212,$K850)&amp;IF(INDEX(Конструктор!$J$2:$J$1212,$K850)&lt;&gt;""," — "&amp;INDEX(Конструктор!$J$2:$J$1212,$K850),""))</f>
        <v/>
      </c>
      <c r="D850">
        <f>IF($K850="","",INDEX(Конструктор!$E$2:$E$1212,$K850))</f>
        <v/>
      </c>
      <c r="E850" s="10">
        <f>IF($K850="","",INDEX(Конструктор!$H$2:$H$1212,$K850))</f>
        <v/>
      </c>
      <c r="F850" s="10">
        <f>IF($K850="","",INDEX(Конструктор!$L$2:$L$1212,$K850))</f>
        <v/>
      </c>
      <c r="G850" s="10">
        <f>IF($K850="","",INDEX(Конструктор!$M$2:$M$1212,$K850))</f>
        <v/>
      </c>
      <c r="H850" s="10">
        <f>IF($K850="","",INDEX(Конструктор!$N$2:$N$1212,$K850))</f>
        <v/>
      </c>
      <c r="I850" s="10">
        <f>IF($K850="","",INDEX(Конструктор!$O$2:$O$1212,$K850))</f>
        <v/>
      </c>
      <c r="J850" s="10">
        <f>IF($K850="","",INDEX(Конструктор!$P$2:$P$1212,$K850))</f>
        <v/>
      </c>
      <c r="K850">
        <f>IFERROR(MATCH(830,Конструктор!$T$2:$T$1212,0),"")</f>
        <v/>
      </c>
      <c r="L850">
        <f>IF($K850="","","показать")</f>
        <v/>
      </c>
    </row>
    <row r="851" hidden="1">
      <c r="A851">
        <f>IF($K851="","",831)</f>
        <v/>
      </c>
      <c r="B851">
        <f>IF($K851="","",INDEX(Конструктор!$C$2:$C$1212,$K851))</f>
        <v/>
      </c>
      <c r="C851" s="8">
        <f>IF($K851="","",INDEX(Конструктор!$D$2:$D$1212,$K851)&amp;IF(INDEX(Конструктор!$J$2:$J$1212,$K851)&lt;&gt;""," — "&amp;INDEX(Конструктор!$J$2:$J$1212,$K851),""))</f>
        <v/>
      </c>
      <c r="D851">
        <f>IF($K851="","",INDEX(Конструктор!$E$2:$E$1212,$K851))</f>
        <v/>
      </c>
      <c r="E851" s="10">
        <f>IF($K851="","",INDEX(Конструктор!$H$2:$H$1212,$K851))</f>
        <v/>
      </c>
      <c r="F851" s="10">
        <f>IF($K851="","",INDEX(Конструктор!$L$2:$L$1212,$K851))</f>
        <v/>
      </c>
      <c r="G851" s="10">
        <f>IF($K851="","",INDEX(Конструктор!$M$2:$M$1212,$K851))</f>
        <v/>
      </c>
      <c r="H851" s="10">
        <f>IF($K851="","",INDEX(Конструктор!$N$2:$N$1212,$K851))</f>
        <v/>
      </c>
      <c r="I851" s="10">
        <f>IF($K851="","",INDEX(Конструктор!$O$2:$O$1212,$K851))</f>
        <v/>
      </c>
      <c r="J851" s="10">
        <f>IF($K851="","",INDEX(Конструктор!$P$2:$P$1212,$K851))</f>
        <v/>
      </c>
      <c r="K851">
        <f>IFERROR(MATCH(831,Конструктор!$T$2:$T$1212,0),"")</f>
        <v/>
      </c>
      <c r="L851">
        <f>IF($K851="","","показать")</f>
        <v/>
      </c>
    </row>
    <row r="852" hidden="1">
      <c r="A852">
        <f>IF($K852="","",832)</f>
        <v/>
      </c>
      <c r="B852">
        <f>IF($K852="","",INDEX(Конструктор!$C$2:$C$1212,$K852))</f>
        <v/>
      </c>
      <c r="C852" s="8">
        <f>IF($K852="","",INDEX(Конструктор!$D$2:$D$1212,$K852)&amp;IF(INDEX(Конструктор!$J$2:$J$1212,$K852)&lt;&gt;""," — "&amp;INDEX(Конструктор!$J$2:$J$1212,$K852),""))</f>
        <v/>
      </c>
      <c r="D852">
        <f>IF($K852="","",INDEX(Конструктор!$E$2:$E$1212,$K852))</f>
        <v/>
      </c>
      <c r="E852" s="10">
        <f>IF($K852="","",INDEX(Конструктор!$H$2:$H$1212,$K852))</f>
        <v/>
      </c>
      <c r="F852" s="10">
        <f>IF($K852="","",INDEX(Конструктор!$L$2:$L$1212,$K852))</f>
        <v/>
      </c>
      <c r="G852" s="10">
        <f>IF($K852="","",INDEX(Конструктор!$M$2:$M$1212,$K852))</f>
        <v/>
      </c>
      <c r="H852" s="10">
        <f>IF($K852="","",INDEX(Конструктор!$N$2:$N$1212,$K852))</f>
        <v/>
      </c>
      <c r="I852" s="10">
        <f>IF($K852="","",INDEX(Конструктор!$O$2:$O$1212,$K852))</f>
        <v/>
      </c>
      <c r="J852" s="10">
        <f>IF($K852="","",INDEX(Конструктор!$P$2:$P$1212,$K852))</f>
        <v/>
      </c>
      <c r="K852">
        <f>IFERROR(MATCH(832,Конструктор!$T$2:$T$1212,0),"")</f>
        <v/>
      </c>
      <c r="L852">
        <f>IF($K852="","","показать")</f>
        <v/>
      </c>
    </row>
    <row r="853" hidden="1">
      <c r="A853">
        <f>IF($K853="","",833)</f>
        <v/>
      </c>
      <c r="B853">
        <f>IF($K853="","",INDEX(Конструктор!$C$2:$C$1212,$K853))</f>
        <v/>
      </c>
      <c r="C853" s="8">
        <f>IF($K853="","",INDEX(Конструктор!$D$2:$D$1212,$K853)&amp;IF(INDEX(Конструктор!$J$2:$J$1212,$K853)&lt;&gt;""," — "&amp;INDEX(Конструктор!$J$2:$J$1212,$K853),""))</f>
        <v/>
      </c>
      <c r="D853">
        <f>IF($K853="","",INDEX(Конструктор!$E$2:$E$1212,$K853))</f>
        <v/>
      </c>
      <c r="E853" s="10">
        <f>IF($K853="","",INDEX(Конструктор!$H$2:$H$1212,$K853))</f>
        <v/>
      </c>
      <c r="F853" s="10">
        <f>IF($K853="","",INDEX(Конструктор!$L$2:$L$1212,$K853))</f>
        <v/>
      </c>
      <c r="G853" s="10">
        <f>IF($K853="","",INDEX(Конструктор!$M$2:$M$1212,$K853))</f>
        <v/>
      </c>
      <c r="H853" s="10">
        <f>IF($K853="","",INDEX(Конструктор!$N$2:$N$1212,$K853))</f>
        <v/>
      </c>
      <c r="I853" s="10">
        <f>IF($K853="","",INDEX(Конструктор!$O$2:$O$1212,$K853))</f>
        <v/>
      </c>
      <c r="J853" s="10">
        <f>IF($K853="","",INDEX(Конструктор!$P$2:$P$1212,$K853))</f>
        <v/>
      </c>
      <c r="K853">
        <f>IFERROR(MATCH(833,Конструктор!$T$2:$T$1212,0),"")</f>
        <v/>
      </c>
      <c r="L853">
        <f>IF($K853="","","показать")</f>
        <v/>
      </c>
    </row>
    <row r="854" hidden="1">
      <c r="A854">
        <f>IF($K854="","",834)</f>
        <v/>
      </c>
      <c r="B854">
        <f>IF($K854="","",INDEX(Конструктор!$C$2:$C$1212,$K854))</f>
        <v/>
      </c>
      <c r="C854" s="8">
        <f>IF($K854="","",INDEX(Конструктор!$D$2:$D$1212,$K854)&amp;IF(INDEX(Конструктор!$J$2:$J$1212,$K854)&lt;&gt;""," — "&amp;INDEX(Конструктор!$J$2:$J$1212,$K854),""))</f>
        <v/>
      </c>
      <c r="D854">
        <f>IF($K854="","",INDEX(Конструктор!$E$2:$E$1212,$K854))</f>
        <v/>
      </c>
      <c r="E854" s="10">
        <f>IF($K854="","",INDEX(Конструктор!$H$2:$H$1212,$K854))</f>
        <v/>
      </c>
      <c r="F854" s="10">
        <f>IF($K854="","",INDEX(Конструктор!$L$2:$L$1212,$K854))</f>
        <v/>
      </c>
      <c r="G854" s="10">
        <f>IF($K854="","",INDEX(Конструктор!$M$2:$M$1212,$K854))</f>
        <v/>
      </c>
      <c r="H854" s="10">
        <f>IF($K854="","",INDEX(Конструктор!$N$2:$N$1212,$K854))</f>
        <v/>
      </c>
      <c r="I854" s="10">
        <f>IF($K854="","",INDEX(Конструктор!$O$2:$O$1212,$K854))</f>
        <v/>
      </c>
      <c r="J854" s="10">
        <f>IF($K854="","",INDEX(Конструктор!$P$2:$P$1212,$K854))</f>
        <v/>
      </c>
      <c r="K854">
        <f>IFERROR(MATCH(834,Конструктор!$T$2:$T$1212,0),"")</f>
        <v/>
      </c>
      <c r="L854">
        <f>IF($K854="","","показать")</f>
        <v/>
      </c>
    </row>
    <row r="855" hidden="1">
      <c r="A855">
        <f>IF($K855="","",835)</f>
        <v/>
      </c>
      <c r="B855">
        <f>IF($K855="","",INDEX(Конструктор!$C$2:$C$1212,$K855))</f>
        <v/>
      </c>
      <c r="C855" s="8">
        <f>IF($K855="","",INDEX(Конструктор!$D$2:$D$1212,$K855)&amp;IF(INDEX(Конструктор!$J$2:$J$1212,$K855)&lt;&gt;""," — "&amp;INDEX(Конструктор!$J$2:$J$1212,$K855),""))</f>
        <v/>
      </c>
      <c r="D855">
        <f>IF($K855="","",INDEX(Конструктор!$E$2:$E$1212,$K855))</f>
        <v/>
      </c>
      <c r="E855" s="10">
        <f>IF($K855="","",INDEX(Конструктор!$H$2:$H$1212,$K855))</f>
        <v/>
      </c>
      <c r="F855" s="10">
        <f>IF($K855="","",INDEX(Конструктор!$L$2:$L$1212,$K855))</f>
        <v/>
      </c>
      <c r="G855" s="10">
        <f>IF($K855="","",INDEX(Конструктор!$M$2:$M$1212,$K855))</f>
        <v/>
      </c>
      <c r="H855" s="10">
        <f>IF($K855="","",INDEX(Конструктор!$N$2:$N$1212,$K855))</f>
        <v/>
      </c>
      <c r="I855" s="10">
        <f>IF($K855="","",INDEX(Конструктор!$O$2:$O$1212,$K855))</f>
        <v/>
      </c>
      <c r="J855" s="10">
        <f>IF($K855="","",INDEX(Конструктор!$P$2:$P$1212,$K855))</f>
        <v/>
      </c>
      <c r="K855">
        <f>IFERROR(MATCH(835,Конструктор!$T$2:$T$1212,0),"")</f>
        <v/>
      </c>
      <c r="L855">
        <f>IF($K855="","","показать")</f>
        <v/>
      </c>
    </row>
    <row r="856" hidden="1">
      <c r="A856">
        <f>IF($K856="","",836)</f>
        <v/>
      </c>
      <c r="B856">
        <f>IF($K856="","",INDEX(Конструктор!$C$2:$C$1212,$K856))</f>
        <v/>
      </c>
      <c r="C856" s="8">
        <f>IF($K856="","",INDEX(Конструктор!$D$2:$D$1212,$K856)&amp;IF(INDEX(Конструктор!$J$2:$J$1212,$K856)&lt;&gt;""," — "&amp;INDEX(Конструктор!$J$2:$J$1212,$K856),""))</f>
        <v/>
      </c>
      <c r="D856">
        <f>IF($K856="","",INDEX(Конструктор!$E$2:$E$1212,$K856))</f>
        <v/>
      </c>
      <c r="E856" s="10">
        <f>IF($K856="","",INDEX(Конструктор!$H$2:$H$1212,$K856))</f>
        <v/>
      </c>
      <c r="F856" s="10">
        <f>IF($K856="","",INDEX(Конструктор!$L$2:$L$1212,$K856))</f>
        <v/>
      </c>
      <c r="G856" s="10">
        <f>IF($K856="","",INDEX(Конструктор!$M$2:$M$1212,$K856))</f>
        <v/>
      </c>
      <c r="H856" s="10">
        <f>IF($K856="","",INDEX(Конструктор!$N$2:$N$1212,$K856))</f>
        <v/>
      </c>
      <c r="I856" s="10">
        <f>IF($K856="","",INDEX(Конструктор!$O$2:$O$1212,$K856))</f>
        <v/>
      </c>
      <c r="J856" s="10">
        <f>IF($K856="","",INDEX(Конструктор!$P$2:$P$1212,$K856))</f>
        <v/>
      </c>
      <c r="K856">
        <f>IFERROR(MATCH(836,Конструктор!$T$2:$T$1212,0),"")</f>
        <v/>
      </c>
      <c r="L856">
        <f>IF($K856="","","показать")</f>
        <v/>
      </c>
    </row>
    <row r="857" hidden="1">
      <c r="A857">
        <f>IF($K857="","",837)</f>
        <v/>
      </c>
      <c r="B857">
        <f>IF($K857="","",INDEX(Конструктор!$C$2:$C$1212,$K857))</f>
        <v/>
      </c>
      <c r="C857" s="8">
        <f>IF($K857="","",INDEX(Конструктор!$D$2:$D$1212,$K857)&amp;IF(INDEX(Конструктор!$J$2:$J$1212,$K857)&lt;&gt;""," — "&amp;INDEX(Конструктор!$J$2:$J$1212,$K857),""))</f>
        <v/>
      </c>
      <c r="D857">
        <f>IF($K857="","",INDEX(Конструктор!$E$2:$E$1212,$K857))</f>
        <v/>
      </c>
      <c r="E857" s="10">
        <f>IF($K857="","",INDEX(Конструктор!$H$2:$H$1212,$K857))</f>
        <v/>
      </c>
      <c r="F857" s="10">
        <f>IF($K857="","",INDEX(Конструктор!$L$2:$L$1212,$K857))</f>
        <v/>
      </c>
      <c r="G857" s="10">
        <f>IF($K857="","",INDEX(Конструктор!$M$2:$M$1212,$K857))</f>
        <v/>
      </c>
      <c r="H857" s="10">
        <f>IF($K857="","",INDEX(Конструктор!$N$2:$N$1212,$K857))</f>
        <v/>
      </c>
      <c r="I857" s="10">
        <f>IF($K857="","",INDEX(Конструктор!$O$2:$O$1212,$K857))</f>
        <v/>
      </c>
      <c r="J857" s="10">
        <f>IF($K857="","",INDEX(Конструктор!$P$2:$P$1212,$K857))</f>
        <v/>
      </c>
      <c r="K857">
        <f>IFERROR(MATCH(837,Конструктор!$T$2:$T$1212,0),"")</f>
        <v/>
      </c>
      <c r="L857">
        <f>IF($K857="","","показать")</f>
        <v/>
      </c>
    </row>
    <row r="858" hidden="1">
      <c r="A858">
        <f>IF($K858="","",838)</f>
        <v/>
      </c>
      <c r="B858">
        <f>IF($K858="","",INDEX(Конструктор!$C$2:$C$1212,$K858))</f>
        <v/>
      </c>
      <c r="C858" s="8">
        <f>IF($K858="","",INDEX(Конструктор!$D$2:$D$1212,$K858)&amp;IF(INDEX(Конструктор!$J$2:$J$1212,$K858)&lt;&gt;""," — "&amp;INDEX(Конструктор!$J$2:$J$1212,$K858),""))</f>
        <v/>
      </c>
      <c r="D858">
        <f>IF($K858="","",INDEX(Конструктор!$E$2:$E$1212,$K858))</f>
        <v/>
      </c>
      <c r="E858" s="10">
        <f>IF($K858="","",INDEX(Конструктор!$H$2:$H$1212,$K858))</f>
        <v/>
      </c>
      <c r="F858" s="10">
        <f>IF($K858="","",INDEX(Конструктор!$L$2:$L$1212,$K858))</f>
        <v/>
      </c>
      <c r="G858" s="10">
        <f>IF($K858="","",INDEX(Конструктор!$M$2:$M$1212,$K858))</f>
        <v/>
      </c>
      <c r="H858" s="10">
        <f>IF($K858="","",INDEX(Конструктор!$N$2:$N$1212,$K858))</f>
        <v/>
      </c>
      <c r="I858" s="10">
        <f>IF($K858="","",INDEX(Конструктор!$O$2:$O$1212,$K858))</f>
        <v/>
      </c>
      <c r="J858" s="10">
        <f>IF($K858="","",INDEX(Конструктор!$P$2:$P$1212,$K858))</f>
        <v/>
      </c>
      <c r="K858">
        <f>IFERROR(MATCH(838,Конструктор!$T$2:$T$1212,0),"")</f>
        <v/>
      </c>
      <c r="L858">
        <f>IF($K858="","","показать")</f>
        <v/>
      </c>
    </row>
    <row r="859" hidden="1">
      <c r="A859">
        <f>IF($K859="","",839)</f>
        <v/>
      </c>
      <c r="B859">
        <f>IF($K859="","",INDEX(Конструктор!$C$2:$C$1212,$K859))</f>
        <v/>
      </c>
      <c r="C859" s="8">
        <f>IF($K859="","",INDEX(Конструктор!$D$2:$D$1212,$K859)&amp;IF(INDEX(Конструктор!$J$2:$J$1212,$K859)&lt;&gt;""," — "&amp;INDEX(Конструктор!$J$2:$J$1212,$K859),""))</f>
        <v/>
      </c>
      <c r="D859">
        <f>IF($K859="","",INDEX(Конструктор!$E$2:$E$1212,$K859))</f>
        <v/>
      </c>
      <c r="E859" s="10">
        <f>IF($K859="","",INDEX(Конструктор!$H$2:$H$1212,$K859))</f>
        <v/>
      </c>
      <c r="F859" s="10">
        <f>IF($K859="","",INDEX(Конструктор!$L$2:$L$1212,$K859))</f>
        <v/>
      </c>
      <c r="G859" s="10">
        <f>IF($K859="","",INDEX(Конструктор!$M$2:$M$1212,$K859))</f>
        <v/>
      </c>
      <c r="H859" s="10">
        <f>IF($K859="","",INDEX(Конструктор!$N$2:$N$1212,$K859))</f>
        <v/>
      </c>
      <c r="I859" s="10">
        <f>IF($K859="","",INDEX(Конструктор!$O$2:$O$1212,$K859))</f>
        <v/>
      </c>
      <c r="J859" s="10">
        <f>IF($K859="","",INDEX(Конструктор!$P$2:$P$1212,$K859))</f>
        <v/>
      </c>
      <c r="K859">
        <f>IFERROR(MATCH(839,Конструктор!$T$2:$T$1212,0),"")</f>
        <v/>
      </c>
      <c r="L859">
        <f>IF($K859="","","показать")</f>
        <v/>
      </c>
    </row>
    <row r="860" hidden="1">
      <c r="A860">
        <f>IF($K860="","",840)</f>
        <v/>
      </c>
      <c r="B860">
        <f>IF($K860="","",INDEX(Конструктор!$C$2:$C$1212,$K860))</f>
        <v/>
      </c>
      <c r="C860" s="8">
        <f>IF($K860="","",INDEX(Конструктор!$D$2:$D$1212,$K860)&amp;IF(INDEX(Конструктор!$J$2:$J$1212,$K860)&lt;&gt;""," — "&amp;INDEX(Конструктор!$J$2:$J$1212,$K860),""))</f>
        <v/>
      </c>
      <c r="D860">
        <f>IF($K860="","",INDEX(Конструктор!$E$2:$E$1212,$K860))</f>
        <v/>
      </c>
      <c r="E860" s="10">
        <f>IF($K860="","",INDEX(Конструктор!$H$2:$H$1212,$K860))</f>
        <v/>
      </c>
      <c r="F860" s="10">
        <f>IF($K860="","",INDEX(Конструктор!$L$2:$L$1212,$K860))</f>
        <v/>
      </c>
      <c r="G860" s="10">
        <f>IF($K860="","",INDEX(Конструктор!$M$2:$M$1212,$K860))</f>
        <v/>
      </c>
      <c r="H860" s="10">
        <f>IF($K860="","",INDEX(Конструктор!$N$2:$N$1212,$K860))</f>
        <v/>
      </c>
      <c r="I860" s="10">
        <f>IF($K860="","",INDEX(Конструктор!$O$2:$O$1212,$K860))</f>
        <v/>
      </c>
      <c r="J860" s="10">
        <f>IF($K860="","",INDEX(Конструктор!$P$2:$P$1212,$K860))</f>
        <v/>
      </c>
      <c r="K860">
        <f>IFERROR(MATCH(840,Конструктор!$T$2:$T$1212,0),"")</f>
        <v/>
      </c>
      <c r="L860">
        <f>IF($K860="","","показать")</f>
        <v/>
      </c>
    </row>
    <row r="861" hidden="1">
      <c r="A861">
        <f>IF($K861="","",841)</f>
        <v/>
      </c>
      <c r="B861">
        <f>IF($K861="","",INDEX(Конструктор!$C$2:$C$1212,$K861))</f>
        <v/>
      </c>
      <c r="C861" s="8">
        <f>IF($K861="","",INDEX(Конструктор!$D$2:$D$1212,$K861)&amp;IF(INDEX(Конструктор!$J$2:$J$1212,$K861)&lt;&gt;""," — "&amp;INDEX(Конструктор!$J$2:$J$1212,$K861),""))</f>
        <v/>
      </c>
      <c r="D861">
        <f>IF($K861="","",INDEX(Конструктор!$E$2:$E$1212,$K861))</f>
        <v/>
      </c>
      <c r="E861" s="10">
        <f>IF($K861="","",INDEX(Конструктор!$H$2:$H$1212,$K861))</f>
        <v/>
      </c>
      <c r="F861" s="10">
        <f>IF($K861="","",INDEX(Конструктор!$L$2:$L$1212,$K861))</f>
        <v/>
      </c>
      <c r="G861" s="10">
        <f>IF($K861="","",INDEX(Конструктор!$M$2:$M$1212,$K861))</f>
        <v/>
      </c>
      <c r="H861" s="10">
        <f>IF($K861="","",INDEX(Конструктор!$N$2:$N$1212,$K861))</f>
        <v/>
      </c>
      <c r="I861" s="10">
        <f>IF($K861="","",INDEX(Конструктор!$O$2:$O$1212,$K861))</f>
        <v/>
      </c>
      <c r="J861" s="10">
        <f>IF($K861="","",INDEX(Конструктор!$P$2:$P$1212,$K861))</f>
        <v/>
      </c>
      <c r="K861">
        <f>IFERROR(MATCH(841,Конструктор!$T$2:$T$1212,0),"")</f>
        <v/>
      </c>
      <c r="L861">
        <f>IF($K861="","","показать")</f>
        <v/>
      </c>
    </row>
    <row r="862" hidden="1">
      <c r="A862">
        <f>IF($K862="","",842)</f>
        <v/>
      </c>
      <c r="B862">
        <f>IF($K862="","",INDEX(Конструктор!$C$2:$C$1212,$K862))</f>
        <v/>
      </c>
      <c r="C862" s="8">
        <f>IF($K862="","",INDEX(Конструктор!$D$2:$D$1212,$K862)&amp;IF(INDEX(Конструктор!$J$2:$J$1212,$K862)&lt;&gt;""," — "&amp;INDEX(Конструктор!$J$2:$J$1212,$K862),""))</f>
        <v/>
      </c>
      <c r="D862">
        <f>IF($K862="","",INDEX(Конструктор!$E$2:$E$1212,$K862))</f>
        <v/>
      </c>
      <c r="E862" s="10">
        <f>IF($K862="","",INDEX(Конструктор!$H$2:$H$1212,$K862))</f>
        <v/>
      </c>
      <c r="F862" s="10">
        <f>IF($K862="","",INDEX(Конструктор!$L$2:$L$1212,$K862))</f>
        <v/>
      </c>
      <c r="G862" s="10">
        <f>IF($K862="","",INDEX(Конструктор!$M$2:$M$1212,$K862))</f>
        <v/>
      </c>
      <c r="H862" s="10">
        <f>IF($K862="","",INDEX(Конструктор!$N$2:$N$1212,$K862))</f>
        <v/>
      </c>
      <c r="I862" s="10">
        <f>IF($K862="","",INDEX(Конструктор!$O$2:$O$1212,$K862))</f>
        <v/>
      </c>
      <c r="J862" s="10">
        <f>IF($K862="","",INDEX(Конструктор!$P$2:$P$1212,$K862))</f>
        <v/>
      </c>
      <c r="K862">
        <f>IFERROR(MATCH(842,Конструктор!$T$2:$T$1212,0),"")</f>
        <v/>
      </c>
      <c r="L862">
        <f>IF($K862="","","показать")</f>
        <v/>
      </c>
    </row>
    <row r="863" hidden="1">
      <c r="A863">
        <f>IF($K863="","",843)</f>
        <v/>
      </c>
      <c r="B863">
        <f>IF($K863="","",INDEX(Конструктор!$C$2:$C$1212,$K863))</f>
        <v/>
      </c>
      <c r="C863" s="8">
        <f>IF($K863="","",INDEX(Конструктор!$D$2:$D$1212,$K863)&amp;IF(INDEX(Конструктор!$J$2:$J$1212,$K863)&lt;&gt;""," — "&amp;INDEX(Конструктор!$J$2:$J$1212,$K863),""))</f>
        <v/>
      </c>
      <c r="D863">
        <f>IF($K863="","",INDEX(Конструктор!$E$2:$E$1212,$K863))</f>
        <v/>
      </c>
      <c r="E863" s="10">
        <f>IF($K863="","",INDEX(Конструктор!$H$2:$H$1212,$K863))</f>
        <v/>
      </c>
      <c r="F863" s="10">
        <f>IF($K863="","",INDEX(Конструктор!$L$2:$L$1212,$K863))</f>
        <v/>
      </c>
      <c r="G863" s="10">
        <f>IF($K863="","",INDEX(Конструктор!$M$2:$M$1212,$K863))</f>
        <v/>
      </c>
      <c r="H863" s="10">
        <f>IF($K863="","",INDEX(Конструктор!$N$2:$N$1212,$K863))</f>
        <v/>
      </c>
      <c r="I863" s="10">
        <f>IF($K863="","",INDEX(Конструктор!$O$2:$O$1212,$K863))</f>
        <v/>
      </c>
      <c r="J863" s="10">
        <f>IF($K863="","",INDEX(Конструктор!$P$2:$P$1212,$K863))</f>
        <v/>
      </c>
      <c r="K863">
        <f>IFERROR(MATCH(843,Конструктор!$T$2:$T$1212,0),"")</f>
        <v/>
      </c>
      <c r="L863">
        <f>IF($K863="","","показать")</f>
        <v/>
      </c>
    </row>
    <row r="864" hidden="1">
      <c r="A864">
        <f>IF($K864="","",844)</f>
        <v/>
      </c>
      <c r="B864">
        <f>IF($K864="","",INDEX(Конструктор!$C$2:$C$1212,$K864))</f>
        <v/>
      </c>
      <c r="C864" s="8">
        <f>IF($K864="","",INDEX(Конструктор!$D$2:$D$1212,$K864)&amp;IF(INDEX(Конструктор!$J$2:$J$1212,$K864)&lt;&gt;""," — "&amp;INDEX(Конструктор!$J$2:$J$1212,$K864),""))</f>
        <v/>
      </c>
      <c r="D864">
        <f>IF($K864="","",INDEX(Конструктор!$E$2:$E$1212,$K864))</f>
        <v/>
      </c>
      <c r="E864" s="10">
        <f>IF($K864="","",INDEX(Конструктор!$H$2:$H$1212,$K864))</f>
        <v/>
      </c>
      <c r="F864" s="10">
        <f>IF($K864="","",INDEX(Конструктор!$L$2:$L$1212,$K864))</f>
        <v/>
      </c>
      <c r="G864" s="10">
        <f>IF($K864="","",INDEX(Конструктор!$M$2:$M$1212,$K864))</f>
        <v/>
      </c>
      <c r="H864" s="10">
        <f>IF($K864="","",INDEX(Конструктор!$N$2:$N$1212,$K864))</f>
        <v/>
      </c>
      <c r="I864" s="10">
        <f>IF($K864="","",INDEX(Конструктор!$O$2:$O$1212,$K864))</f>
        <v/>
      </c>
      <c r="J864" s="10">
        <f>IF($K864="","",INDEX(Конструктор!$P$2:$P$1212,$K864))</f>
        <v/>
      </c>
      <c r="K864">
        <f>IFERROR(MATCH(844,Конструктор!$T$2:$T$1212,0),"")</f>
        <v/>
      </c>
      <c r="L864">
        <f>IF($K864="","","показать")</f>
        <v/>
      </c>
    </row>
    <row r="865" hidden="1">
      <c r="A865">
        <f>IF($K865="","",845)</f>
        <v/>
      </c>
      <c r="B865">
        <f>IF($K865="","",INDEX(Конструктор!$C$2:$C$1212,$K865))</f>
        <v/>
      </c>
      <c r="C865" s="8">
        <f>IF($K865="","",INDEX(Конструктор!$D$2:$D$1212,$K865)&amp;IF(INDEX(Конструктор!$J$2:$J$1212,$K865)&lt;&gt;""," — "&amp;INDEX(Конструктор!$J$2:$J$1212,$K865),""))</f>
        <v/>
      </c>
      <c r="D865">
        <f>IF($K865="","",INDEX(Конструктор!$E$2:$E$1212,$K865))</f>
        <v/>
      </c>
      <c r="E865" s="10">
        <f>IF($K865="","",INDEX(Конструктор!$H$2:$H$1212,$K865))</f>
        <v/>
      </c>
      <c r="F865" s="10">
        <f>IF($K865="","",INDEX(Конструктор!$L$2:$L$1212,$K865))</f>
        <v/>
      </c>
      <c r="G865" s="10">
        <f>IF($K865="","",INDEX(Конструктор!$M$2:$M$1212,$K865))</f>
        <v/>
      </c>
      <c r="H865" s="10">
        <f>IF($K865="","",INDEX(Конструктор!$N$2:$N$1212,$K865))</f>
        <v/>
      </c>
      <c r="I865" s="10">
        <f>IF($K865="","",INDEX(Конструктор!$O$2:$O$1212,$K865))</f>
        <v/>
      </c>
      <c r="J865" s="10">
        <f>IF($K865="","",INDEX(Конструктор!$P$2:$P$1212,$K865))</f>
        <v/>
      </c>
      <c r="K865">
        <f>IFERROR(MATCH(845,Конструктор!$T$2:$T$1212,0),"")</f>
        <v/>
      </c>
      <c r="L865">
        <f>IF($K865="","","показать")</f>
        <v/>
      </c>
    </row>
    <row r="866" hidden="1">
      <c r="A866">
        <f>IF($K866="","",846)</f>
        <v/>
      </c>
      <c r="B866">
        <f>IF($K866="","",INDEX(Конструктор!$C$2:$C$1212,$K866))</f>
        <v/>
      </c>
      <c r="C866" s="8">
        <f>IF($K866="","",INDEX(Конструктор!$D$2:$D$1212,$K866)&amp;IF(INDEX(Конструктор!$J$2:$J$1212,$K866)&lt;&gt;""," — "&amp;INDEX(Конструктор!$J$2:$J$1212,$K866),""))</f>
        <v/>
      </c>
      <c r="D866">
        <f>IF($K866="","",INDEX(Конструктор!$E$2:$E$1212,$K866))</f>
        <v/>
      </c>
      <c r="E866" s="10">
        <f>IF($K866="","",INDEX(Конструктор!$H$2:$H$1212,$K866))</f>
        <v/>
      </c>
      <c r="F866" s="10">
        <f>IF($K866="","",INDEX(Конструктор!$L$2:$L$1212,$K866))</f>
        <v/>
      </c>
      <c r="G866" s="10">
        <f>IF($K866="","",INDEX(Конструктор!$M$2:$M$1212,$K866))</f>
        <v/>
      </c>
      <c r="H866" s="10">
        <f>IF($K866="","",INDEX(Конструктор!$N$2:$N$1212,$K866))</f>
        <v/>
      </c>
      <c r="I866" s="10">
        <f>IF($K866="","",INDEX(Конструктор!$O$2:$O$1212,$K866))</f>
        <v/>
      </c>
      <c r="J866" s="10">
        <f>IF($K866="","",INDEX(Конструктор!$P$2:$P$1212,$K866))</f>
        <v/>
      </c>
      <c r="K866">
        <f>IFERROR(MATCH(846,Конструктор!$T$2:$T$1212,0),"")</f>
        <v/>
      </c>
      <c r="L866">
        <f>IF($K866="","","показать")</f>
        <v/>
      </c>
    </row>
    <row r="867" hidden="1">
      <c r="A867">
        <f>IF($K867="","",847)</f>
        <v/>
      </c>
      <c r="B867">
        <f>IF($K867="","",INDEX(Конструктор!$C$2:$C$1212,$K867))</f>
        <v/>
      </c>
      <c r="C867" s="8">
        <f>IF($K867="","",INDEX(Конструктор!$D$2:$D$1212,$K867)&amp;IF(INDEX(Конструктор!$J$2:$J$1212,$K867)&lt;&gt;""," — "&amp;INDEX(Конструктор!$J$2:$J$1212,$K867),""))</f>
        <v/>
      </c>
      <c r="D867">
        <f>IF($K867="","",INDEX(Конструктор!$E$2:$E$1212,$K867))</f>
        <v/>
      </c>
      <c r="E867" s="10">
        <f>IF($K867="","",INDEX(Конструктор!$H$2:$H$1212,$K867))</f>
        <v/>
      </c>
      <c r="F867" s="10">
        <f>IF($K867="","",INDEX(Конструктор!$L$2:$L$1212,$K867))</f>
        <v/>
      </c>
      <c r="G867" s="10">
        <f>IF($K867="","",INDEX(Конструктор!$M$2:$M$1212,$K867))</f>
        <v/>
      </c>
      <c r="H867" s="10">
        <f>IF($K867="","",INDEX(Конструктор!$N$2:$N$1212,$K867))</f>
        <v/>
      </c>
      <c r="I867" s="10">
        <f>IF($K867="","",INDEX(Конструктор!$O$2:$O$1212,$K867))</f>
        <v/>
      </c>
      <c r="J867" s="10">
        <f>IF($K867="","",INDEX(Конструктор!$P$2:$P$1212,$K867))</f>
        <v/>
      </c>
      <c r="K867">
        <f>IFERROR(MATCH(847,Конструктор!$T$2:$T$1212,0),"")</f>
        <v/>
      </c>
      <c r="L867">
        <f>IF($K867="","","показать")</f>
        <v/>
      </c>
    </row>
    <row r="868" hidden="1">
      <c r="A868">
        <f>IF($K868="","",848)</f>
        <v/>
      </c>
      <c r="B868">
        <f>IF($K868="","",INDEX(Конструктор!$C$2:$C$1212,$K868))</f>
        <v/>
      </c>
      <c r="C868" s="8">
        <f>IF($K868="","",INDEX(Конструктор!$D$2:$D$1212,$K868)&amp;IF(INDEX(Конструктор!$J$2:$J$1212,$K868)&lt;&gt;""," — "&amp;INDEX(Конструктор!$J$2:$J$1212,$K868),""))</f>
        <v/>
      </c>
      <c r="D868">
        <f>IF($K868="","",INDEX(Конструктор!$E$2:$E$1212,$K868))</f>
        <v/>
      </c>
      <c r="E868" s="10">
        <f>IF($K868="","",INDEX(Конструктор!$H$2:$H$1212,$K868))</f>
        <v/>
      </c>
      <c r="F868" s="10">
        <f>IF($K868="","",INDEX(Конструктор!$L$2:$L$1212,$K868))</f>
        <v/>
      </c>
      <c r="G868" s="10">
        <f>IF($K868="","",INDEX(Конструктор!$M$2:$M$1212,$K868))</f>
        <v/>
      </c>
      <c r="H868" s="10">
        <f>IF($K868="","",INDEX(Конструктор!$N$2:$N$1212,$K868))</f>
        <v/>
      </c>
      <c r="I868" s="10">
        <f>IF($K868="","",INDEX(Конструктор!$O$2:$O$1212,$K868))</f>
        <v/>
      </c>
      <c r="J868" s="10">
        <f>IF($K868="","",INDEX(Конструктор!$P$2:$P$1212,$K868))</f>
        <v/>
      </c>
      <c r="K868">
        <f>IFERROR(MATCH(848,Конструктор!$T$2:$T$1212,0),"")</f>
        <v/>
      </c>
      <c r="L868">
        <f>IF($K868="","","показать")</f>
        <v/>
      </c>
    </row>
    <row r="869" hidden="1">
      <c r="A869">
        <f>IF($K869="","",849)</f>
        <v/>
      </c>
      <c r="B869">
        <f>IF($K869="","",INDEX(Конструктор!$C$2:$C$1212,$K869))</f>
        <v/>
      </c>
      <c r="C869" s="8">
        <f>IF($K869="","",INDEX(Конструктор!$D$2:$D$1212,$K869)&amp;IF(INDEX(Конструктор!$J$2:$J$1212,$K869)&lt;&gt;""," — "&amp;INDEX(Конструктор!$J$2:$J$1212,$K869),""))</f>
        <v/>
      </c>
      <c r="D869">
        <f>IF($K869="","",INDEX(Конструктор!$E$2:$E$1212,$K869))</f>
        <v/>
      </c>
      <c r="E869" s="10">
        <f>IF($K869="","",INDEX(Конструктор!$H$2:$H$1212,$K869))</f>
        <v/>
      </c>
      <c r="F869" s="10">
        <f>IF($K869="","",INDEX(Конструктор!$L$2:$L$1212,$K869))</f>
        <v/>
      </c>
      <c r="G869" s="10">
        <f>IF($K869="","",INDEX(Конструктор!$M$2:$M$1212,$K869))</f>
        <v/>
      </c>
      <c r="H869" s="10">
        <f>IF($K869="","",INDEX(Конструктор!$N$2:$N$1212,$K869))</f>
        <v/>
      </c>
      <c r="I869" s="10">
        <f>IF($K869="","",INDEX(Конструктор!$O$2:$O$1212,$K869))</f>
        <v/>
      </c>
      <c r="J869" s="10">
        <f>IF($K869="","",INDEX(Конструктор!$P$2:$P$1212,$K869))</f>
        <v/>
      </c>
      <c r="K869">
        <f>IFERROR(MATCH(849,Конструктор!$T$2:$T$1212,0),"")</f>
        <v/>
      </c>
      <c r="L869">
        <f>IF($K869="","","показать")</f>
        <v/>
      </c>
    </row>
    <row r="870" hidden="1">
      <c r="A870">
        <f>IF($K870="","",850)</f>
        <v/>
      </c>
      <c r="B870">
        <f>IF($K870="","",INDEX(Конструктор!$C$2:$C$1212,$K870))</f>
        <v/>
      </c>
      <c r="C870" s="8">
        <f>IF($K870="","",INDEX(Конструктор!$D$2:$D$1212,$K870)&amp;IF(INDEX(Конструктор!$J$2:$J$1212,$K870)&lt;&gt;""," — "&amp;INDEX(Конструктор!$J$2:$J$1212,$K870),""))</f>
        <v/>
      </c>
      <c r="D870">
        <f>IF($K870="","",INDEX(Конструктор!$E$2:$E$1212,$K870))</f>
        <v/>
      </c>
      <c r="E870" s="10">
        <f>IF($K870="","",INDEX(Конструктор!$H$2:$H$1212,$K870))</f>
        <v/>
      </c>
      <c r="F870" s="10">
        <f>IF($K870="","",INDEX(Конструктор!$L$2:$L$1212,$K870))</f>
        <v/>
      </c>
      <c r="G870" s="10">
        <f>IF($K870="","",INDEX(Конструктор!$M$2:$M$1212,$K870))</f>
        <v/>
      </c>
      <c r="H870" s="10">
        <f>IF($K870="","",INDEX(Конструктор!$N$2:$N$1212,$K870))</f>
        <v/>
      </c>
      <c r="I870" s="10">
        <f>IF($K870="","",INDEX(Конструктор!$O$2:$O$1212,$K870))</f>
        <v/>
      </c>
      <c r="J870" s="10">
        <f>IF($K870="","",INDEX(Конструктор!$P$2:$P$1212,$K870))</f>
        <v/>
      </c>
      <c r="K870">
        <f>IFERROR(MATCH(850,Конструктор!$T$2:$T$1212,0),"")</f>
        <v/>
      </c>
      <c r="L870">
        <f>IF($K870="","","показать")</f>
        <v/>
      </c>
    </row>
    <row r="871" hidden="1">
      <c r="A871">
        <f>IF($K871="","",851)</f>
        <v/>
      </c>
      <c r="B871">
        <f>IF($K871="","",INDEX(Конструктор!$C$2:$C$1212,$K871))</f>
        <v/>
      </c>
      <c r="C871" s="8">
        <f>IF($K871="","",INDEX(Конструктор!$D$2:$D$1212,$K871)&amp;IF(INDEX(Конструктор!$J$2:$J$1212,$K871)&lt;&gt;""," — "&amp;INDEX(Конструктор!$J$2:$J$1212,$K871),""))</f>
        <v/>
      </c>
      <c r="D871">
        <f>IF($K871="","",INDEX(Конструктор!$E$2:$E$1212,$K871))</f>
        <v/>
      </c>
      <c r="E871" s="10">
        <f>IF($K871="","",INDEX(Конструктор!$H$2:$H$1212,$K871))</f>
        <v/>
      </c>
      <c r="F871" s="10">
        <f>IF($K871="","",INDEX(Конструктор!$L$2:$L$1212,$K871))</f>
        <v/>
      </c>
      <c r="G871" s="10">
        <f>IF($K871="","",INDEX(Конструктор!$M$2:$M$1212,$K871))</f>
        <v/>
      </c>
      <c r="H871" s="10">
        <f>IF($K871="","",INDEX(Конструктор!$N$2:$N$1212,$K871))</f>
        <v/>
      </c>
      <c r="I871" s="10">
        <f>IF($K871="","",INDEX(Конструктор!$O$2:$O$1212,$K871))</f>
        <v/>
      </c>
      <c r="J871" s="10">
        <f>IF($K871="","",INDEX(Конструктор!$P$2:$P$1212,$K871))</f>
        <v/>
      </c>
      <c r="K871">
        <f>IFERROR(MATCH(851,Конструктор!$T$2:$T$1212,0),"")</f>
        <v/>
      </c>
      <c r="L871">
        <f>IF($K871="","","показать")</f>
        <v/>
      </c>
    </row>
    <row r="872" hidden="1">
      <c r="A872">
        <f>IF($K872="","",852)</f>
        <v/>
      </c>
      <c r="B872">
        <f>IF($K872="","",INDEX(Конструктор!$C$2:$C$1212,$K872))</f>
        <v/>
      </c>
      <c r="C872" s="8">
        <f>IF($K872="","",INDEX(Конструктор!$D$2:$D$1212,$K872)&amp;IF(INDEX(Конструктор!$J$2:$J$1212,$K872)&lt;&gt;""," — "&amp;INDEX(Конструктор!$J$2:$J$1212,$K872),""))</f>
        <v/>
      </c>
      <c r="D872">
        <f>IF($K872="","",INDEX(Конструктор!$E$2:$E$1212,$K872))</f>
        <v/>
      </c>
      <c r="E872" s="10">
        <f>IF($K872="","",INDEX(Конструктор!$H$2:$H$1212,$K872))</f>
        <v/>
      </c>
      <c r="F872" s="10">
        <f>IF($K872="","",INDEX(Конструктор!$L$2:$L$1212,$K872))</f>
        <v/>
      </c>
      <c r="G872" s="10">
        <f>IF($K872="","",INDEX(Конструктор!$M$2:$M$1212,$K872))</f>
        <v/>
      </c>
      <c r="H872" s="10">
        <f>IF($K872="","",INDEX(Конструктор!$N$2:$N$1212,$K872))</f>
        <v/>
      </c>
      <c r="I872" s="10">
        <f>IF($K872="","",INDEX(Конструктор!$O$2:$O$1212,$K872))</f>
        <v/>
      </c>
      <c r="J872" s="10">
        <f>IF($K872="","",INDEX(Конструктор!$P$2:$P$1212,$K872))</f>
        <v/>
      </c>
      <c r="K872">
        <f>IFERROR(MATCH(852,Конструктор!$T$2:$T$1212,0),"")</f>
        <v/>
      </c>
      <c r="L872">
        <f>IF($K872="","","показать")</f>
        <v/>
      </c>
    </row>
    <row r="873" hidden="1">
      <c r="A873">
        <f>IF($K873="","",853)</f>
        <v/>
      </c>
      <c r="B873">
        <f>IF($K873="","",INDEX(Конструктор!$C$2:$C$1212,$K873))</f>
        <v/>
      </c>
      <c r="C873" s="8">
        <f>IF($K873="","",INDEX(Конструктор!$D$2:$D$1212,$K873)&amp;IF(INDEX(Конструктор!$J$2:$J$1212,$K873)&lt;&gt;""," — "&amp;INDEX(Конструктор!$J$2:$J$1212,$K873),""))</f>
        <v/>
      </c>
      <c r="D873">
        <f>IF($K873="","",INDEX(Конструктор!$E$2:$E$1212,$K873))</f>
        <v/>
      </c>
      <c r="E873" s="10">
        <f>IF($K873="","",INDEX(Конструктор!$H$2:$H$1212,$K873))</f>
        <v/>
      </c>
      <c r="F873" s="10">
        <f>IF($K873="","",INDEX(Конструктор!$L$2:$L$1212,$K873))</f>
        <v/>
      </c>
      <c r="G873" s="10">
        <f>IF($K873="","",INDEX(Конструктор!$M$2:$M$1212,$K873))</f>
        <v/>
      </c>
      <c r="H873" s="10">
        <f>IF($K873="","",INDEX(Конструктор!$N$2:$N$1212,$K873))</f>
        <v/>
      </c>
      <c r="I873" s="10">
        <f>IF($K873="","",INDEX(Конструктор!$O$2:$O$1212,$K873))</f>
        <v/>
      </c>
      <c r="J873" s="10">
        <f>IF($K873="","",INDEX(Конструктор!$P$2:$P$1212,$K873))</f>
        <v/>
      </c>
      <c r="K873">
        <f>IFERROR(MATCH(853,Конструктор!$T$2:$T$1212,0),"")</f>
        <v/>
      </c>
      <c r="L873">
        <f>IF($K873="","","показать")</f>
        <v/>
      </c>
    </row>
    <row r="874" hidden="1">
      <c r="A874">
        <f>IF($K874="","",854)</f>
        <v/>
      </c>
      <c r="B874">
        <f>IF($K874="","",INDEX(Конструктор!$C$2:$C$1212,$K874))</f>
        <v/>
      </c>
      <c r="C874" s="8">
        <f>IF($K874="","",INDEX(Конструктор!$D$2:$D$1212,$K874)&amp;IF(INDEX(Конструктор!$J$2:$J$1212,$K874)&lt;&gt;""," — "&amp;INDEX(Конструктор!$J$2:$J$1212,$K874),""))</f>
        <v/>
      </c>
      <c r="D874">
        <f>IF($K874="","",INDEX(Конструктор!$E$2:$E$1212,$K874))</f>
        <v/>
      </c>
      <c r="E874" s="10">
        <f>IF($K874="","",INDEX(Конструктор!$H$2:$H$1212,$K874))</f>
        <v/>
      </c>
      <c r="F874" s="10">
        <f>IF($K874="","",INDEX(Конструктор!$L$2:$L$1212,$K874))</f>
        <v/>
      </c>
      <c r="G874" s="10">
        <f>IF($K874="","",INDEX(Конструктор!$M$2:$M$1212,$K874))</f>
        <v/>
      </c>
      <c r="H874" s="10">
        <f>IF($K874="","",INDEX(Конструктор!$N$2:$N$1212,$K874))</f>
        <v/>
      </c>
      <c r="I874" s="10">
        <f>IF($K874="","",INDEX(Конструктор!$O$2:$O$1212,$K874))</f>
        <v/>
      </c>
      <c r="J874" s="10">
        <f>IF($K874="","",INDEX(Конструктор!$P$2:$P$1212,$K874))</f>
        <v/>
      </c>
      <c r="K874">
        <f>IFERROR(MATCH(854,Конструктор!$T$2:$T$1212,0),"")</f>
        <v/>
      </c>
      <c r="L874">
        <f>IF($K874="","","показать")</f>
        <v/>
      </c>
    </row>
    <row r="875" hidden="1">
      <c r="A875">
        <f>IF($K875="","",855)</f>
        <v/>
      </c>
      <c r="B875">
        <f>IF($K875="","",INDEX(Конструктор!$C$2:$C$1212,$K875))</f>
        <v/>
      </c>
      <c r="C875" s="8">
        <f>IF($K875="","",INDEX(Конструктор!$D$2:$D$1212,$K875)&amp;IF(INDEX(Конструктор!$J$2:$J$1212,$K875)&lt;&gt;""," — "&amp;INDEX(Конструктор!$J$2:$J$1212,$K875),""))</f>
        <v/>
      </c>
      <c r="D875">
        <f>IF($K875="","",INDEX(Конструктор!$E$2:$E$1212,$K875))</f>
        <v/>
      </c>
      <c r="E875" s="10">
        <f>IF($K875="","",INDEX(Конструктор!$H$2:$H$1212,$K875))</f>
        <v/>
      </c>
      <c r="F875" s="10">
        <f>IF($K875="","",INDEX(Конструктор!$L$2:$L$1212,$K875))</f>
        <v/>
      </c>
      <c r="G875" s="10">
        <f>IF($K875="","",INDEX(Конструктор!$M$2:$M$1212,$K875))</f>
        <v/>
      </c>
      <c r="H875" s="10">
        <f>IF($K875="","",INDEX(Конструктор!$N$2:$N$1212,$K875))</f>
        <v/>
      </c>
      <c r="I875" s="10">
        <f>IF($K875="","",INDEX(Конструктор!$O$2:$O$1212,$K875))</f>
        <v/>
      </c>
      <c r="J875" s="10">
        <f>IF($K875="","",INDEX(Конструктор!$P$2:$P$1212,$K875))</f>
        <v/>
      </c>
      <c r="K875">
        <f>IFERROR(MATCH(855,Конструктор!$T$2:$T$1212,0),"")</f>
        <v/>
      </c>
      <c r="L875">
        <f>IF($K875="","","показать")</f>
        <v/>
      </c>
    </row>
    <row r="876" hidden="1">
      <c r="A876">
        <f>IF($K876="","",856)</f>
        <v/>
      </c>
      <c r="B876">
        <f>IF($K876="","",INDEX(Конструктор!$C$2:$C$1212,$K876))</f>
        <v/>
      </c>
      <c r="C876" s="8">
        <f>IF($K876="","",INDEX(Конструктор!$D$2:$D$1212,$K876)&amp;IF(INDEX(Конструктор!$J$2:$J$1212,$K876)&lt;&gt;""," — "&amp;INDEX(Конструктор!$J$2:$J$1212,$K876),""))</f>
        <v/>
      </c>
      <c r="D876">
        <f>IF($K876="","",INDEX(Конструктор!$E$2:$E$1212,$K876))</f>
        <v/>
      </c>
      <c r="E876" s="10">
        <f>IF($K876="","",INDEX(Конструктор!$H$2:$H$1212,$K876))</f>
        <v/>
      </c>
      <c r="F876" s="10">
        <f>IF($K876="","",INDEX(Конструктор!$L$2:$L$1212,$K876))</f>
        <v/>
      </c>
      <c r="G876" s="10">
        <f>IF($K876="","",INDEX(Конструктор!$M$2:$M$1212,$K876))</f>
        <v/>
      </c>
      <c r="H876" s="10">
        <f>IF($K876="","",INDEX(Конструктор!$N$2:$N$1212,$K876))</f>
        <v/>
      </c>
      <c r="I876" s="10">
        <f>IF($K876="","",INDEX(Конструктор!$O$2:$O$1212,$K876))</f>
        <v/>
      </c>
      <c r="J876" s="10">
        <f>IF($K876="","",INDEX(Конструктор!$P$2:$P$1212,$K876))</f>
        <v/>
      </c>
      <c r="K876">
        <f>IFERROR(MATCH(856,Конструктор!$T$2:$T$1212,0),"")</f>
        <v/>
      </c>
      <c r="L876">
        <f>IF($K876="","","показать")</f>
        <v/>
      </c>
    </row>
    <row r="877" hidden="1">
      <c r="A877">
        <f>IF($K877="","",857)</f>
        <v/>
      </c>
      <c r="B877">
        <f>IF($K877="","",INDEX(Конструктор!$C$2:$C$1212,$K877))</f>
        <v/>
      </c>
      <c r="C877" s="8">
        <f>IF($K877="","",INDEX(Конструктор!$D$2:$D$1212,$K877)&amp;IF(INDEX(Конструктор!$J$2:$J$1212,$K877)&lt;&gt;""," — "&amp;INDEX(Конструктор!$J$2:$J$1212,$K877),""))</f>
        <v/>
      </c>
      <c r="D877">
        <f>IF($K877="","",INDEX(Конструктор!$E$2:$E$1212,$K877))</f>
        <v/>
      </c>
      <c r="E877" s="10">
        <f>IF($K877="","",INDEX(Конструктор!$H$2:$H$1212,$K877))</f>
        <v/>
      </c>
      <c r="F877" s="10">
        <f>IF($K877="","",INDEX(Конструктор!$L$2:$L$1212,$K877))</f>
        <v/>
      </c>
      <c r="G877" s="10">
        <f>IF($K877="","",INDEX(Конструктор!$M$2:$M$1212,$K877))</f>
        <v/>
      </c>
      <c r="H877" s="10">
        <f>IF($K877="","",INDEX(Конструктор!$N$2:$N$1212,$K877))</f>
        <v/>
      </c>
      <c r="I877" s="10">
        <f>IF($K877="","",INDEX(Конструктор!$O$2:$O$1212,$K877))</f>
        <v/>
      </c>
      <c r="J877" s="10">
        <f>IF($K877="","",INDEX(Конструктор!$P$2:$P$1212,$K877))</f>
        <v/>
      </c>
      <c r="K877">
        <f>IFERROR(MATCH(857,Конструктор!$T$2:$T$1212,0),"")</f>
        <v/>
      </c>
      <c r="L877">
        <f>IF($K877="","","показать")</f>
        <v/>
      </c>
    </row>
    <row r="878" hidden="1">
      <c r="A878">
        <f>IF($K878="","",858)</f>
        <v/>
      </c>
      <c r="B878">
        <f>IF($K878="","",INDEX(Конструктор!$C$2:$C$1212,$K878))</f>
        <v/>
      </c>
      <c r="C878" s="8">
        <f>IF($K878="","",INDEX(Конструктор!$D$2:$D$1212,$K878)&amp;IF(INDEX(Конструктор!$J$2:$J$1212,$K878)&lt;&gt;""," — "&amp;INDEX(Конструктор!$J$2:$J$1212,$K878),""))</f>
        <v/>
      </c>
      <c r="D878">
        <f>IF($K878="","",INDEX(Конструктор!$E$2:$E$1212,$K878))</f>
        <v/>
      </c>
      <c r="E878" s="10">
        <f>IF($K878="","",INDEX(Конструктор!$H$2:$H$1212,$K878))</f>
        <v/>
      </c>
      <c r="F878" s="10">
        <f>IF($K878="","",INDEX(Конструктор!$L$2:$L$1212,$K878))</f>
        <v/>
      </c>
      <c r="G878" s="10">
        <f>IF($K878="","",INDEX(Конструктор!$M$2:$M$1212,$K878))</f>
        <v/>
      </c>
      <c r="H878" s="10">
        <f>IF($K878="","",INDEX(Конструктор!$N$2:$N$1212,$K878))</f>
        <v/>
      </c>
      <c r="I878" s="10">
        <f>IF($K878="","",INDEX(Конструктор!$O$2:$O$1212,$K878))</f>
        <v/>
      </c>
      <c r="J878" s="10">
        <f>IF($K878="","",INDEX(Конструктор!$P$2:$P$1212,$K878))</f>
        <v/>
      </c>
      <c r="K878">
        <f>IFERROR(MATCH(858,Конструктор!$T$2:$T$1212,0),"")</f>
        <v/>
      </c>
      <c r="L878">
        <f>IF($K878="","","показать")</f>
        <v/>
      </c>
    </row>
    <row r="879" hidden="1">
      <c r="A879">
        <f>IF($K879="","",859)</f>
        <v/>
      </c>
      <c r="B879">
        <f>IF($K879="","",INDEX(Конструктор!$C$2:$C$1212,$K879))</f>
        <v/>
      </c>
      <c r="C879" s="8">
        <f>IF($K879="","",INDEX(Конструктор!$D$2:$D$1212,$K879)&amp;IF(INDEX(Конструктор!$J$2:$J$1212,$K879)&lt;&gt;""," — "&amp;INDEX(Конструктор!$J$2:$J$1212,$K879),""))</f>
        <v/>
      </c>
      <c r="D879">
        <f>IF($K879="","",INDEX(Конструктор!$E$2:$E$1212,$K879))</f>
        <v/>
      </c>
      <c r="E879" s="10">
        <f>IF($K879="","",INDEX(Конструктор!$H$2:$H$1212,$K879))</f>
        <v/>
      </c>
      <c r="F879" s="10">
        <f>IF($K879="","",INDEX(Конструктор!$L$2:$L$1212,$K879))</f>
        <v/>
      </c>
      <c r="G879" s="10">
        <f>IF($K879="","",INDEX(Конструктор!$M$2:$M$1212,$K879))</f>
        <v/>
      </c>
      <c r="H879" s="10">
        <f>IF($K879="","",INDEX(Конструктор!$N$2:$N$1212,$K879))</f>
        <v/>
      </c>
      <c r="I879" s="10">
        <f>IF($K879="","",INDEX(Конструктор!$O$2:$O$1212,$K879))</f>
        <v/>
      </c>
      <c r="J879" s="10">
        <f>IF($K879="","",INDEX(Конструктор!$P$2:$P$1212,$K879))</f>
        <v/>
      </c>
      <c r="K879">
        <f>IFERROR(MATCH(859,Конструктор!$T$2:$T$1212,0),"")</f>
        <v/>
      </c>
      <c r="L879">
        <f>IF($K879="","","показать")</f>
        <v/>
      </c>
    </row>
    <row r="880" hidden="1">
      <c r="A880">
        <f>IF($K880="","",860)</f>
        <v/>
      </c>
      <c r="B880">
        <f>IF($K880="","",INDEX(Конструктор!$C$2:$C$1212,$K880))</f>
        <v/>
      </c>
      <c r="C880" s="8">
        <f>IF($K880="","",INDEX(Конструктор!$D$2:$D$1212,$K880)&amp;IF(INDEX(Конструктор!$J$2:$J$1212,$K880)&lt;&gt;""," — "&amp;INDEX(Конструктор!$J$2:$J$1212,$K880),""))</f>
        <v/>
      </c>
      <c r="D880">
        <f>IF($K880="","",INDEX(Конструктор!$E$2:$E$1212,$K880))</f>
        <v/>
      </c>
      <c r="E880" s="10">
        <f>IF($K880="","",INDEX(Конструктор!$H$2:$H$1212,$K880))</f>
        <v/>
      </c>
      <c r="F880" s="10">
        <f>IF($K880="","",INDEX(Конструктор!$L$2:$L$1212,$K880))</f>
        <v/>
      </c>
      <c r="G880" s="10">
        <f>IF($K880="","",INDEX(Конструктор!$M$2:$M$1212,$K880))</f>
        <v/>
      </c>
      <c r="H880" s="10">
        <f>IF($K880="","",INDEX(Конструктор!$N$2:$N$1212,$K880))</f>
        <v/>
      </c>
      <c r="I880" s="10">
        <f>IF($K880="","",INDEX(Конструктор!$O$2:$O$1212,$K880))</f>
        <v/>
      </c>
      <c r="J880" s="10">
        <f>IF($K880="","",INDEX(Конструктор!$P$2:$P$1212,$K880))</f>
        <v/>
      </c>
      <c r="K880">
        <f>IFERROR(MATCH(860,Конструктор!$T$2:$T$1212,0),"")</f>
        <v/>
      </c>
      <c r="L880">
        <f>IF($K880="","","показать")</f>
        <v/>
      </c>
    </row>
    <row r="881" hidden="1">
      <c r="A881">
        <f>IF($K881="","",861)</f>
        <v/>
      </c>
      <c r="B881">
        <f>IF($K881="","",INDEX(Конструктор!$C$2:$C$1212,$K881))</f>
        <v/>
      </c>
      <c r="C881" s="8">
        <f>IF($K881="","",INDEX(Конструктор!$D$2:$D$1212,$K881)&amp;IF(INDEX(Конструктор!$J$2:$J$1212,$K881)&lt;&gt;""," — "&amp;INDEX(Конструктор!$J$2:$J$1212,$K881),""))</f>
        <v/>
      </c>
      <c r="D881">
        <f>IF($K881="","",INDEX(Конструктор!$E$2:$E$1212,$K881))</f>
        <v/>
      </c>
      <c r="E881" s="10">
        <f>IF($K881="","",INDEX(Конструктор!$H$2:$H$1212,$K881))</f>
        <v/>
      </c>
      <c r="F881" s="10">
        <f>IF($K881="","",INDEX(Конструктор!$L$2:$L$1212,$K881))</f>
        <v/>
      </c>
      <c r="G881" s="10">
        <f>IF($K881="","",INDEX(Конструктор!$M$2:$M$1212,$K881))</f>
        <v/>
      </c>
      <c r="H881" s="10">
        <f>IF($K881="","",INDEX(Конструктор!$N$2:$N$1212,$K881))</f>
        <v/>
      </c>
      <c r="I881" s="10">
        <f>IF($K881="","",INDEX(Конструктор!$O$2:$O$1212,$K881))</f>
        <v/>
      </c>
      <c r="J881" s="10">
        <f>IF($K881="","",INDEX(Конструктор!$P$2:$P$1212,$K881))</f>
        <v/>
      </c>
      <c r="K881">
        <f>IFERROR(MATCH(861,Конструктор!$T$2:$T$1212,0),"")</f>
        <v/>
      </c>
      <c r="L881">
        <f>IF($K881="","","показать")</f>
        <v/>
      </c>
    </row>
    <row r="882" hidden="1">
      <c r="A882">
        <f>IF($K882="","",862)</f>
        <v/>
      </c>
      <c r="B882">
        <f>IF($K882="","",INDEX(Конструктор!$C$2:$C$1212,$K882))</f>
        <v/>
      </c>
      <c r="C882" s="8">
        <f>IF($K882="","",INDEX(Конструктор!$D$2:$D$1212,$K882)&amp;IF(INDEX(Конструктор!$J$2:$J$1212,$K882)&lt;&gt;""," — "&amp;INDEX(Конструктор!$J$2:$J$1212,$K882),""))</f>
        <v/>
      </c>
      <c r="D882">
        <f>IF($K882="","",INDEX(Конструктор!$E$2:$E$1212,$K882))</f>
        <v/>
      </c>
      <c r="E882" s="10">
        <f>IF($K882="","",INDEX(Конструктор!$H$2:$H$1212,$K882))</f>
        <v/>
      </c>
      <c r="F882" s="10">
        <f>IF($K882="","",INDEX(Конструктор!$L$2:$L$1212,$K882))</f>
        <v/>
      </c>
      <c r="G882" s="10">
        <f>IF($K882="","",INDEX(Конструктор!$M$2:$M$1212,$K882))</f>
        <v/>
      </c>
      <c r="H882" s="10">
        <f>IF($K882="","",INDEX(Конструктор!$N$2:$N$1212,$K882))</f>
        <v/>
      </c>
      <c r="I882" s="10">
        <f>IF($K882="","",INDEX(Конструктор!$O$2:$O$1212,$K882))</f>
        <v/>
      </c>
      <c r="J882" s="10">
        <f>IF($K882="","",INDEX(Конструктор!$P$2:$P$1212,$K882))</f>
        <v/>
      </c>
      <c r="K882">
        <f>IFERROR(MATCH(862,Конструктор!$T$2:$T$1212,0),"")</f>
        <v/>
      </c>
      <c r="L882">
        <f>IF($K882="","","показать")</f>
        <v/>
      </c>
    </row>
    <row r="883" hidden="1">
      <c r="A883">
        <f>IF($K883="","",863)</f>
        <v/>
      </c>
      <c r="B883">
        <f>IF($K883="","",INDEX(Конструктор!$C$2:$C$1212,$K883))</f>
        <v/>
      </c>
      <c r="C883" s="8">
        <f>IF($K883="","",INDEX(Конструктор!$D$2:$D$1212,$K883)&amp;IF(INDEX(Конструктор!$J$2:$J$1212,$K883)&lt;&gt;""," — "&amp;INDEX(Конструктор!$J$2:$J$1212,$K883),""))</f>
        <v/>
      </c>
      <c r="D883">
        <f>IF($K883="","",INDEX(Конструктор!$E$2:$E$1212,$K883))</f>
        <v/>
      </c>
      <c r="E883" s="10">
        <f>IF($K883="","",INDEX(Конструктор!$H$2:$H$1212,$K883))</f>
        <v/>
      </c>
      <c r="F883" s="10">
        <f>IF($K883="","",INDEX(Конструктор!$L$2:$L$1212,$K883))</f>
        <v/>
      </c>
      <c r="G883" s="10">
        <f>IF($K883="","",INDEX(Конструктор!$M$2:$M$1212,$K883))</f>
        <v/>
      </c>
      <c r="H883" s="10">
        <f>IF($K883="","",INDEX(Конструктор!$N$2:$N$1212,$K883))</f>
        <v/>
      </c>
      <c r="I883" s="10">
        <f>IF($K883="","",INDEX(Конструктор!$O$2:$O$1212,$K883))</f>
        <v/>
      </c>
      <c r="J883" s="10">
        <f>IF($K883="","",INDEX(Конструктор!$P$2:$P$1212,$K883))</f>
        <v/>
      </c>
      <c r="K883">
        <f>IFERROR(MATCH(863,Конструктор!$T$2:$T$1212,0),"")</f>
        <v/>
      </c>
      <c r="L883">
        <f>IF($K883="","","показать")</f>
        <v/>
      </c>
    </row>
    <row r="884" hidden="1">
      <c r="A884">
        <f>IF($K884="","",864)</f>
        <v/>
      </c>
      <c r="B884">
        <f>IF($K884="","",INDEX(Конструктор!$C$2:$C$1212,$K884))</f>
        <v/>
      </c>
      <c r="C884" s="8">
        <f>IF($K884="","",INDEX(Конструктор!$D$2:$D$1212,$K884)&amp;IF(INDEX(Конструктор!$J$2:$J$1212,$K884)&lt;&gt;""," — "&amp;INDEX(Конструктор!$J$2:$J$1212,$K884),""))</f>
        <v/>
      </c>
      <c r="D884">
        <f>IF($K884="","",INDEX(Конструктор!$E$2:$E$1212,$K884))</f>
        <v/>
      </c>
      <c r="E884" s="10">
        <f>IF($K884="","",INDEX(Конструктор!$H$2:$H$1212,$K884))</f>
        <v/>
      </c>
      <c r="F884" s="10">
        <f>IF($K884="","",INDEX(Конструктор!$L$2:$L$1212,$K884))</f>
        <v/>
      </c>
      <c r="G884" s="10">
        <f>IF($K884="","",INDEX(Конструктор!$M$2:$M$1212,$K884))</f>
        <v/>
      </c>
      <c r="H884" s="10">
        <f>IF($K884="","",INDEX(Конструктор!$N$2:$N$1212,$K884))</f>
        <v/>
      </c>
      <c r="I884" s="10">
        <f>IF($K884="","",INDEX(Конструктор!$O$2:$O$1212,$K884))</f>
        <v/>
      </c>
      <c r="J884" s="10">
        <f>IF($K884="","",INDEX(Конструктор!$P$2:$P$1212,$K884))</f>
        <v/>
      </c>
      <c r="K884">
        <f>IFERROR(MATCH(864,Конструктор!$T$2:$T$1212,0),"")</f>
        <v/>
      </c>
      <c r="L884">
        <f>IF($K884="","","показать")</f>
        <v/>
      </c>
    </row>
    <row r="885" hidden="1">
      <c r="A885">
        <f>IF($K885="","",865)</f>
        <v/>
      </c>
      <c r="B885">
        <f>IF($K885="","",INDEX(Конструктор!$C$2:$C$1212,$K885))</f>
        <v/>
      </c>
      <c r="C885" s="8">
        <f>IF($K885="","",INDEX(Конструктор!$D$2:$D$1212,$K885)&amp;IF(INDEX(Конструктор!$J$2:$J$1212,$K885)&lt;&gt;""," — "&amp;INDEX(Конструктор!$J$2:$J$1212,$K885),""))</f>
        <v/>
      </c>
      <c r="D885">
        <f>IF($K885="","",INDEX(Конструктор!$E$2:$E$1212,$K885))</f>
        <v/>
      </c>
      <c r="E885" s="10">
        <f>IF($K885="","",INDEX(Конструктор!$H$2:$H$1212,$K885))</f>
        <v/>
      </c>
      <c r="F885" s="10">
        <f>IF($K885="","",INDEX(Конструктор!$L$2:$L$1212,$K885))</f>
        <v/>
      </c>
      <c r="G885" s="10">
        <f>IF($K885="","",INDEX(Конструктор!$M$2:$M$1212,$K885))</f>
        <v/>
      </c>
      <c r="H885" s="10">
        <f>IF($K885="","",INDEX(Конструктор!$N$2:$N$1212,$K885))</f>
        <v/>
      </c>
      <c r="I885" s="10">
        <f>IF($K885="","",INDEX(Конструктор!$O$2:$O$1212,$K885))</f>
        <v/>
      </c>
      <c r="J885" s="10">
        <f>IF($K885="","",INDEX(Конструктор!$P$2:$P$1212,$K885))</f>
        <v/>
      </c>
      <c r="K885">
        <f>IFERROR(MATCH(865,Конструктор!$T$2:$T$1212,0),"")</f>
        <v/>
      </c>
      <c r="L885">
        <f>IF($K885="","","показать")</f>
        <v/>
      </c>
    </row>
    <row r="886" hidden="1">
      <c r="A886">
        <f>IF($K886="","",866)</f>
        <v/>
      </c>
      <c r="B886">
        <f>IF($K886="","",INDEX(Конструктор!$C$2:$C$1212,$K886))</f>
        <v/>
      </c>
      <c r="C886" s="8">
        <f>IF($K886="","",INDEX(Конструктор!$D$2:$D$1212,$K886)&amp;IF(INDEX(Конструктор!$J$2:$J$1212,$K886)&lt;&gt;""," — "&amp;INDEX(Конструктор!$J$2:$J$1212,$K886),""))</f>
        <v/>
      </c>
      <c r="D886">
        <f>IF($K886="","",INDEX(Конструктор!$E$2:$E$1212,$K886))</f>
        <v/>
      </c>
      <c r="E886" s="10">
        <f>IF($K886="","",INDEX(Конструктор!$H$2:$H$1212,$K886))</f>
        <v/>
      </c>
      <c r="F886" s="10">
        <f>IF($K886="","",INDEX(Конструктор!$L$2:$L$1212,$K886))</f>
        <v/>
      </c>
      <c r="G886" s="10">
        <f>IF($K886="","",INDEX(Конструктор!$M$2:$M$1212,$K886))</f>
        <v/>
      </c>
      <c r="H886" s="10">
        <f>IF($K886="","",INDEX(Конструктор!$N$2:$N$1212,$K886))</f>
        <v/>
      </c>
      <c r="I886" s="10">
        <f>IF($K886="","",INDEX(Конструктор!$O$2:$O$1212,$K886))</f>
        <v/>
      </c>
      <c r="J886" s="10">
        <f>IF($K886="","",INDEX(Конструктор!$P$2:$P$1212,$K886))</f>
        <v/>
      </c>
      <c r="K886">
        <f>IFERROR(MATCH(866,Конструктор!$T$2:$T$1212,0),"")</f>
        <v/>
      </c>
      <c r="L886">
        <f>IF($K886="","","показать")</f>
        <v/>
      </c>
    </row>
    <row r="887" hidden="1">
      <c r="A887">
        <f>IF($K887="","",867)</f>
        <v/>
      </c>
      <c r="B887">
        <f>IF($K887="","",INDEX(Конструктор!$C$2:$C$1212,$K887))</f>
        <v/>
      </c>
      <c r="C887" s="8">
        <f>IF($K887="","",INDEX(Конструктор!$D$2:$D$1212,$K887)&amp;IF(INDEX(Конструктор!$J$2:$J$1212,$K887)&lt;&gt;""," — "&amp;INDEX(Конструктор!$J$2:$J$1212,$K887),""))</f>
        <v/>
      </c>
      <c r="D887">
        <f>IF($K887="","",INDEX(Конструктор!$E$2:$E$1212,$K887))</f>
        <v/>
      </c>
      <c r="E887" s="10">
        <f>IF($K887="","",INDEX(Конструктор!$H$2:$H$1212,$K887))</f>
        <v/>
      </c>
      <c r="F887" s="10">
        <f>IF($K887="","",INDEX(Конструктор!$L$2:$L$1212,$K887))</f>
        <v/>
      </c>
      <c r="G887" s="10">
        <f>IF($K887="","",INDEX(Конструктор!$M$2:$M$1212,$K887))</f>
        <v/>
      </c>
      <c r="H887" s="10">
        <f>IF($K887="","",INDEX(Конструктор!$N$2:$N$1212,$K887))</f>
        <v/>
      </c>
      <c r="I887" s="10">
        <f>IF($K887="","",INDEX(Конструктор!$O$2:$O$1212,$K887))</f>
        <v/>
      </c>
      <c r="J887" s="10">
        <f>IF($K887="","",INDEX(Конструктор!$P$2:$P$1212,$K887))</f>
        <v/>
      </c>
      <c r="K887">
        <f>IFERROR(MATCH(867,Конструктор!$T$2:$T$1212,0),"")</f>
        <v/>
      </c>
      <c r="L887">
        <f>IF($K887="","","показать")</f>
        <v/>
      </c>
    </row>
    <row r="888" hidden="1">
      <c r="A888">
        <f>IF($K888="","",868)</f>
        <v/>
      </c>
      <c r="B888">
        <f>IF($K888="","",INDEX(Конструктор!$C$2:$C$1212,$K888))</f>
        <v/>
      </c>
      <c r="C888" s="8">
        <f>IF($K888="","",INDEX(Конструктор!$D$2:$D$1212,$K888)&amp;IF(INDEX(Конструктор!$J$2:$J$1212,$K888)&lt;&gt;""," — "&amp;INDEX(Конструктор!$J$2:$J$1212,$K888),""))</f>
        <v/>
      </c>
      <c r="D888">
        <f>IF($K888="","",INDEX(Конструктор!$E$2:$E$1212,$K888))</f>
        <v/>
      </c>
      <c r="E888" s="10">
        <f>IF($K888="","",INDEX(Конструктор!$H$2:$H$1212,$K888))</f>
        <v/>
      </c>
      <c r="F888" s="10">
        <f>IF($K888="","",INDEX(Конструктор!$L$2:$L$1212,$K888))</f>
        <v/>
      </c>
      <c r="G888" s="10">
        <f>IF($K888="","",INDEX(Конструктор!$M$2:$M$1212,$K888))</f>
        <v/>
      </c>
      <c r="H888" s="10">
        <f>IF($K888="","",INDEX(Конструктор!$N$2:$N$1212,$K888))</f>
        <v/>
      </c>
      <c r="I888" s="10">
        <f>IF($K888="","",INDEX(Конструктор!$O$2:$O$1212,$K888))</f>
        <v/>
      </c>
      <c r="J888" s="10">
        <f>IF($K888="","",INDEX(Конструктор!$P$2:$P$1212,$K888))</f>
        <v/>
      </c>
      <c r="K888">
        <f>IFERROR(MATCH(868,Конструктор!$T$2:$T$1212,0),"")</f>
        <v/>
      </c>
      <c r="L888">
        <f>IF($K888="","","показать")</f>
        <v/>
      </c>
    </row>
    <row r="889" hidden="1">
      <c r="A889">
        <f>IF($K889="","",869)</f>
        <v/>
      </c>
      <c r="B889">
        <f>IF($K889="","",INDEX(Конструктор!$C$2:$C$1212,$K889))</f>
        <v/>
      </c>
      <c r="C889" s="8">
        <f>IF($K889="","",INDEX(Конструктор!$D$2:$D$1212,$K889)&amp;IF(INDEX(Конструктор!$J$2:$J$1212,$K889)&lt;&gt;""," — "&amp;INDEX(Конструктор!$J$2:$J$1212,$K889),""))</f>
        <v/>
      </c>
      <c r="D889">
        <f>IF($K889="","",INDEX(Конструктор!$E$2:$E$1212,$K889))</f>
        <v/>
      </c>
      <c r="E889" s="10">
        <f>IF($K889="","",INDEX(Конструктор!$H$2:$H$1212,$K889))</f>
        <v/>
      </c>
      <c r="F889" s="10">
        <f>IF($K889="","",INDEX(Конструктор!$L$2:$L$1212,$K889))</f>
        <v/>
      </c>
      <c r="G889" s="10">
        <f>IF($K889="","",INDEX(Конструктор!$M$2:$M$1212,$K889))</f>
        <v/>
      </c>
      <c r="H889" s="10">
        <f>IF($K889="","",INDEX(Конструктор!$N$2:$N$1212,$K889))</f>
        <v/>
      </c>
      <c r="I889" s="10">
        <f>IF($K889="","",INDEX(Конструктор!$O$2:$O$1212,$K889))</f>
        <v/>
      </c>
      <c r="J889" s="10">
        <f>IF($K889="","",INDEX(Конструктор!$P$2:$P$1212,$K889))</f>
        <v/>
      </c>
      <c r="K889">
        <f>IFERROR(MATCH(869,Конструктор!$T$2:$T$1212,0),"")</f>
        <v/>
      </c>
      <c r="L889">
        <f>IF($K889="","","показать")</f>
        <v/>
      </c>
    </row>
    <row r="890" hidden="1">
      <c r="A890">
        <f>IF($K890="","",870)</f>
        <v/>
      </c>
      <c r="B890">
        <f>IF($K890="","",INDEX(Конструктор!$C$2:$C$1212,$K890))</f>
        <v/>
      </c>
      <c r="C890" s="8">
        <f>IF($K890="","",INDEX(Конструктор!$D$2:$D$1212,$K890)&amp;IF(INDEX(Конструктор!$J$2:$J$1212,$K890)&lt;&gt;""," — "&amp;INDEX(Конструктор!$J$2:$J$1212,$K890),""))</f>
        <v/>
      </c>
      <c r="D890">
        <f>IF($K890="","",INDEX(Конструктор!$E$2:$E$1212,$K890))</f>
        <v/>
      </c>
      <c r="E890" s="10">
        <f>IF($K890="","",INDEX(Конструктор!$H$2:$H$1212,$K890))</f>
        <v/>
      </c>
      <c r="F890" s="10">
        <f>IF($K890="","",INDEX(Конструктор!$L$2:$L$1212,$K890))</f>
        <v/>
      </c>
      <c r="G890" s="10">
        <f>IF($K890="","",INDEX(Конструктор!$M$2:$M$1212,$K890))</f>
        <v/>
      </c>
      <c r="H890" s="10">
        <f>IF($K890="","",INDEX(Конструктор!$N$2:$N$1212,$K890))</f>
        <v/>
      </c>
      <c r="I890" s="10">
        <f>IF($K890="","",INDEX(Конструктор!$O$2:$O$1212,$K890))</f>
        <v/>
      </c>
      <c r="J890" s="10">
        <f>IF($K890="","",INDEX(Конструктор!$P$2:$P$1212,$K890))</f>
        <v/>
      </c>
      <c r="K890">
        <f>IFERROR(MATCH(870,Конструктор!$T$2:$T$1212,0),"")</f>
        <v/>
      </c>
      <c r="L890">
        <f>IF($K890="","","показать")</f>
        <v/>
      </c>
    </row>
    <row r="891" hidden="1">
      <c r="A891">
        <f>IF($K891="","",871)</f>
        <v/>
      </c>
      <c r="B891">
        <f>IF($K891="","",INDEX(Конструктор!$C$2:$C$1212,$K891))</f>
        <v/>
      </c>
      <c r="C891" s="8">
        <f>IF($K891="","",INDEX(Конструктор!$D$2:$D$1212,$K891)&amp;IF(INDEX(Конструктор!$J$2:$J$1212,$K891)&lt;&gt;""," — "&amp;INDEX(Конструктор!$J$2:$J$1212,$K891),""))</f>
        <v/>
      </c>
      <c r="D891">
        <f>IF($K891="","",INDEX(Конструктор!$E$2:$E$1212,$K891))</f>
        <v/>
      </c>
      <c r="E891" s="10">
        <f>IF($K891="","",INDEX(Конструктор!$H$2:$H$1212,$K891))</f>
        <v/>
      </c>
      <c r="F891" s="10">
        <f>IF($K891="","",INDEX(Конструктор!$L$2:$L$1212,$K891))</f>
        <v/>
      </c>
      <c r="G891" s="10">
        <f>IF($K891="","",INDEX(Конструктор!$M$2:$M$1212,$K891))</f>
        <v/>
      </c>
      <c r="H891" s="10">
        <f>IF($K891="","",INDEX(Конструктор!$N$2:$N$1212,$K891))</f>
        <v/>
      </c>
      <c r="I891" s="10">
        <f>IF($K891="","",INDEX(Конструктор!$O$2:$O$1212,$K891))</f>
        <v/>
      </c>
      <c r="J891" s="10">
        <f>IF($K891="","",INDEX(Конструктор!$P$2:$P$1212,$K891))</f>
        <v/>
      </c>
      <c r="K891">
        <f>IFERROR(MATCH(871,Конструктор!$T$2:$T$1212,0),"")</f>
        <v/>
      </c>
      <c r="L891">
        <f>IF($K891="","","показать")</f>
        <v/>
      </c>
    </row>
    <row r="892" hidden="1">
      <c r="A892">
        <f>IF($K892="","",872)</f>
        <v/>
      </c>
      <c r="B892">
        <f>IF($K892="","",INDEX(Конструктор!$C$2:$C$1212,$K892))</f>
        <v/>
      </c>
      <c r="C892" s="8">
        <f>IF($K892="","",INDEX(Конструктор!$D$2:$D$1212,$K892)&amp;IF(INDEX(Конструктор!$J$2:$J$1212,$K892)&lt;&gt;""," — "&amp;INDEX(Конструктор!$J$2:$J$1212,$K892),""))</f>
        <v/>
      </c>
      <c r="D892">
        <f>IF($K892="","",INDEX(Конструктор!$E$2:$E$1212,$K892))</f>
        <v/>
      </c>
      <c r="E892" s="10">
        <f>IF($K892="","",INDEX(Конструктор!$H$2:$H$1212,$K892))</f>
        <v/>
      </c>
      <c r="F892" s="10">
        <f>IF($K892="","",INDEX(Конструктор!$L$2:$L$1212,$K892))</f>
        <v/>
      </c>
      <c r="G892" s="10">
        <f>IF($K892="","",INDEX(Конструктор!$M$2:$M$1212,$K892))</f>
        <v/>
      </c>
      <c r="H892" s="10">
        <f>IF($K892="","",INDEX(Конструктор!$N$2:$N$1212,$K892))</f>
        <v/>
      </c>
      <c r="I892" s="10">
        <f>IF($K892="","",INDEX(Конструктор!$O$2:$O$1212,$K892))</f>
        <v/>
      </c>
      <c r="J892" s="10">
        <f>IF($K892="","",INDEX(Конструктор!$P$2:$P$1212,$K892))</f>
        <v/>
      </c>
      <c r="K892">
        <f>IFERROR(MATCH(872,Конструктор!$T$2:$T$1212,0),"")</f>
        <v/>
      </c>
      <c r="L892">
        <f>IF($K892="","","показать")</f>
        <v/>
      </c>
    </row>
    <row r="893" hidden="1">
      <c r="A893">
        <f>IF($K893="","",873)</f>
        <v/>
      </c>
      <c r="B893">
        <f>IF($K893="","",INDEX(Конструктор!$C$2:$C$1212,$K893))</f>
        <v/>
      </c>
      <c r="C893" s="8">
        <f>IF($K893="","",INDEX(Конструктор!$D$2:$D$1212,$K893)&amp;IF(INDEX(Конструктор!$J$2:$J$1212,$K893)&lt;&gt;""," — "&amp;INDEX(Конструктор!$J$2:$J$1212,$K893),""))</f>
        <v/>
      </c>
      <c r="D893">
        <f>IF($K893="","",INDEX(Конструктор!$E$2:$E$1212,$K893))</f>
        <v/>
      </c>
      <c r="E893" s="10">
        <f>IF($K893="","",INDEX(Конструктор!$H$2:$H$1212,$K893))</f>
        <v/>
      </c>
      <c r="F893" s="10">
        <f>IF($K893="","",INDEX(Конструктор!$L$2:$L$1212,$K893))</f>
        <v/>
      </c>
      <c r="G893" s="10">
        <f>IF($K893="","",INDEX(Конструктор!$M$2:$M$1212,$K893))</f>
        <v/>
      </c>
      <c r="H893" s="10">
        <f>IF($K893="","",INDEX(Конструктор!$N$2:$N$1212,$K893))</f>
        <v/>
      </c>
      <c r="I893" s="10">
        <f>IF($K893="","",INDEX(Конструктор!$O$2:$O$1212,$K893))</f>
        <v/>
      </c>
      <c r="J893" s="10">
        <f>IF($K893="","",INDEX(Конструктор!$P$2:$P$1212,$K893))</f>
        <v/>
      </c>
      <c r="K893">
        <f>IFERROR(MATCH(873,Конструктор!$T$2:$T$1212,0),"")</f>
        <v/>
      </c>
      <c r="L893">
        <f>IF($K893="","","показать")</f>
        <v/>
      </c>
    </row>
    <row r="894" hidden="1">
      <c r="A894">
        <f>IF($K894="","",874)</f>
        <v/>
      </c>
      <c r="B894">
        <f>IF($K894="","",INDEX(Конструктор!$C$2:$C$1212,$K894))</f>
        <v/>
      </c>
      <c r="C894" s="8">
        <f>IF($K894="","",INDEX(Конструктор!$D$2:$D$1212,$K894)&amp;IF(INDEX(Конструктор!$J$2:$J$1212,$K894)&lt;&gt;""," — "&amp;INDEX(Конструктор!$J$2:$J$1212,$K894),""))</f>
        <v/>
      </c>
      <c r="D894">
        <f>IF($K894="","",INDEX(Конструктор!$E$2:$E$1212,$K894))</f>
        <v/>
      </c>
      <c r="E894" s="10">
        <f>IF($K894="","",INDEX(Конструктор!$H$2:$H$1212,$K894))</f>
        <v/>
      </c>
      <c r="F894" s="10">
        <f>IF($K894="","",INDEX(Конструктор!$L$2:$L$1212,$K894))</f>
        <v/>
      </c>
      <c r="G894" s="10">
        <f>IF($K894="","",INDEX(Конструктор!$M$2:$M$1212,$K894))</f>
        <v/>
      </c>
      <c r="H894" s="10">
        <f>IF($K894="","",INDEX(Конструктор!$N$2:$N$1212,$K894))</f>
        <v/>
      </c>
      <c r="I894" s="10">
        <f>IF($K894="","",INDEX(Конструктор!$O$2:$O$1212,$K894))</f>
        <v/>
      </c>
      <c r="J894" s="10">
        <f>IF($K894="","",INDEX(Конструктор!$P$2:$P$1212,$K894))</f>
        <v/>
      </c>
      <c r="K894">
        <f>IFERROR(MATCH(874,Конструктор!$T$2:$T$1212,0),"")</f>
        <v/>
      </c>
      <c r="L894">
        <f>IF($K894="","","показать")</f>
        <v/>
      </c>
    </row>
    <row r="895" hidden="1">
      <c r="A895">
        <f>IF($K895="","",875)</f>
        <v/>
      </c>
      <c r="B895">
        <f>IF($K895="","",INDEX(Конструктор!$C$2:$C$1212,$K895))</f>
        <v/>
      </c>
      <c r="C895" s="8">
        <f>IF($K895="","",INDEX(Конструктор!$D$2:$D$1212,$K895)&amp;IF(INDEX(Конструктор!$J$2:$J$1212,$K895)&lt;&gt;""," — "&amp;INDEX(Конструктор!$J$2:$J$1212,$K895),""))</f>
        <v/>
      </c>
      <c r="D895">
        <f>IF($K895="","",INDEX(Конструктор!$E$2:$E$1212,$K895))</f>
        <v/>
      </c>
      <c r="E895" s="10">
        <f>IF($K895="","",INDEX(Конструктор!$H$2:$H$1212,$K895))</f>
        <v/>
      </c>
      <c r="F895" s="10">
        <f>IF($K895="","",INDEX(Конструктор!$L$2:$L$1212,$K895))</f>
        <v/>
      </c>
      <c r="G895" s="10">
        <f>IF($K895="","",INDEX(Конструктор!$M$2:$M$1212,$K895))</f>
        <v/>
      </c>
      <c r="H895" s="10">
        <f>IF($K895="","",INDEX(Конструктор!$N$2:$N$1212,$K895))</f>
        <v/>
      </c>
      <c r="I895" s="10">
        <f>IF($K895="","",INDEX(Конструктор!$O$2:$O$1212,$K895))</f>
        <v/>
      </c>
      <c r="J895" s="10">
        <f>IF($K895="","",INDEX(Конструктор!$P$2:$P$1212,$K895))</f>
        <v/>
      </c>
      <c r="K895">
        <f>IFERROR(MATCH(875,Конструктор!$T$2:$T$1212,0),"")</f>
        <v/>
      </c>
      <c r="L895">
        <f>IF($K895="","","показать")</f>
        <v/>
      </c>
    </row>
    <row r="896" hidden="1">
      <c r="A896">
        <f>IF($K896="","",876)</f>
        <v/>
      </c>
      <c r="B896">
        <f>IF($K896="","",INDEX(Конструктор!$C$2:$C$1212,$K896))</f>
        <v/>
      </c>
      <c r="C896" s="8">
        <f>IF($K896="","",INDEX(Конструктор!$D$2:$D$1212,$K896)&amp;IF(INDEX(Конструктор!$J$2:$J$1212,$K896)&lt;&gt;""," — "&amp;INDEX(Конструктор!$J$2:$J$1212,$K896),""))</f>
        <v/>
      </c>
      <c r="D896">
        <f>IF($K896="","",INDEX(Конструктор!$E$2:$E$1212,$K896))</f>
        <v/>
      </c>
      <c r="E896" s="10">
        <f>IF($K896="","",INDEX(Конструктор!$H$2:$H$1212,$K896))</f>
        <v/>
      </c>
      <c r="F896" s="10">
        <f>IF($K896="","",INDEX(Конструктор!$L$2:$L$1212,$K896))</f>
        <v/>
      </c>
      <c r="G896" s="10">
        <f>IF($K896="","",INDEX(Конструктор!$M$2:$M$1212,$K896))</f>
        <v/>
      </c>
      <c r="H896" s="10">
        <f>IF($K896="","",INDEX(Конструктор!$N$2:$N$1212,$K896))</f>
        <v/>
      </c>
      <c r="I896" s="10">
        <f>IF($K896="","",INDEX(Конструктор!$O$2:$O$1212,$K896))</f>
        <v/>
      </c>
      <c r="J896" s="10">
        <f>IF($K896="","",INDEX(Конструктор!$P$2:$P$1212,$K896))</f>
        <v/>
      </c>
      <c r="K896">
        <f>IFERROR(MATCH(876,Конструктор!$T$2:$T$1212,0),"")</f>
        <v/>
      </c>
      <c r="L896">
        <f>IF($K896="","","показать")</f>
        <v/>
      </c>
    </row>
    <row r="897" hidden="1">
      <c r="A897">
        <f>IF($K897="","",877)</f>
        <v/>
      </c>
      <c r="B897">
        <f>IF($K897="","",INDEX(Конструктор!$C$2:$C$1212,$K897))</f>
        <v/>
      </c>
      <c r="C897" s="8">
        <f>IF($K897="","",INDEX(Конструктор!$D$2:$D$1212,$K897)&amp;IF(INDEX(Конструктор!$J$2:$J$1212,$K897)&lt;&gt;""," — "&amp;INDEX(Конструктор!$J$2:$J$1212,$K897),""))</f>
        <v/>
      </c>
      <c r="D897">
        <f>IF($K897="","",INDEX(Конструктор!$E$2:$E$1212,$K897))</f>
        <v/>
      </c>
      <c r="E897" s="10">
        <f>IF($K897="","",INDEX(Конструктор!$H$2:$H$1212,$K897))</f>
        <v/>
      </c>
      <c r="F897" s="10">
        <f>IF($K897="","",INDEX(Конструктор!$L$2:$L$1212,$K897))</f>
        <v/>
      </c>
      <c r="G897" s="10">
        <f>IF($K897="","",INDEX(Конструктор!$M$2:$M$1212,$K897))</f>
        <v/>
      </c>
      <c r="H897" s="10">
        <f>IF($K897="","",INDEX(Конструктор!$N$2:$N$1212,$K897))</f>
        <v/>
      </c>
      <c r="I897" s="10">
        <f>IF($K897="","",INDEX(Конструктор!$O$2:$O$1212,$K897))</f>
        <v/>
      </c>
      <c r="J897" s="10">
        <f>IF($K897="","",INDEX(Конструктор!$P$2:$P$1212,$K897))</f>
        <v/>
      </c>
      <c r="K897">
        <f>IFERROR(MATCH(877,Конструктор!$T$2:$T$1212,0),"")</f>
        <v/>
      </c>
      <c r="L897">
        <f>IF($K897="","","показать")</f>
        <v/>
      </c>
    </row>
    <row r="898" hidden="1">
      <c r="A898">
        <f>IF($K898="","",878)</f>
        <v/>
      </c>
      <c r="B898">
        <f>IF($K898="","",INDEX(Конструктор!$C$2:$C$1212,$K898))</f>
        <v/>
      </c>
      <c r="C898" s="8">
        <f>IF($K898="","",INDEX(Конструктор!$D$2:$D$1212,$K898)&amp;IF(INDEX(Конструктор!$J$2:$J$1212,$K898)&lt;&gt;""," — "&amp;INDEX(Конструктор!$J$2:$J$1212,$K898),""))</f>
        <v/>
      </c>
      <c r="D898">
        <f>IF($K898="","",INDEX(Конструктор!$E$2:$E$1212,$K898))</f>
        <v/>
      </c>
      <c r="E898" s="10">
        <f>IF($K898="","",INDEX(Конструктор!$H$2:$H$1212,$K898))</f>
        <v/>
      </c>
      <c r="F898" s="10">
        <f>IF($K898="","",INDEX(Конструктор!$L$2:$L$1212,$K898))</f>
        <v/>
      </c>
      <c r="G898" s="10">
        <f>IF($K898="","",INDEX(Конструктор!$M$2:$M$1212,$K898))</f>
        <v/>
      </c>
      <c r="H898" s="10">
        <f>IF($K898="","",INDEX(Конструктор!$N$2:$N$1212,$K898))</f>
        <v/>
      </c>
      <c r="I898" s="10">
        <f>IF($K898="","",INDEX(Конструктор!$O$2:$O$1212,$K898))</f>
        <v/>
      </c>
      <c r="J898" s="10">
        <f>IF($K898="","",INDEX(Конструктор!$P$2:$P$1212,$K898))</f>
        <v/>
      </c>
      <c r="K898">
        <f>IFERROR(MATCH(878,Конструктор!$T$2:$T$1212,0),"")</f>
        <v/>
      </c>
      <c r="L898">
        <f>IF($K898="","","показать")</f>
        <v/>
      </c>
    </row>
    <row r="899" hidden="1">
      <c r="A899">
        <f>IF($K899="","",879)</f>
        <v/>
      </c>
      <c r="B899">
        <f>IF($K899="","",INDEX(Конструктор!$C$2:$C$1212,$K899))</f>
        <v/>
      </c>
      <c r="C899" s="8">
        <f>IF($K899="","",INDEX(Конструктор!$D$2:$D$1212,$K899)&amp;IF(INDEX(Конструктор!$J$2:$J$1212,$K899)&lt;&gt;""," — "&amp;INDEX(Конструктор!$J$2:$J$1212,$K899),""))</f>
        <v/>
      </c>
      <c r="D899">
        <f>IF($K899="","",INDEX(Конструктор!$E$2:$E$1212,$K899))</f>
        <v/>
      </c>
      <c r="E899" s="10">
        <f>IF($K899="","",INDEX(Конструктор!$H$2:$H$1212,$K899))</f>
        <v/>
      </c>
      <c r="F899" s="10">
        <f>IF($K899="","",INDEX(Конструктор!$L$2:$L$1212,$K899))</f>
        <v/>
      </c>
      <c r="G899" s="10">
        <f>IF($K899="","",INDEX(Конструктор!$M$2:$M$1212,$K899))</f>
        <v/>
      </c>
      <c r="H899" s="10">
        <f>IF($K899="","",INDEX(Конструктор!$N$2:$N$1212,$K899))</f>
        <v/>
      </c>
      <c r="I899" s="10">
        <f>IF($K899="","",INDEX(Конструктор!$O$2:$O$1212,$K899))</f>
        <v/>
      </c>
      <c r="J899" s="10">
        <f>IF($K899="","",INDEX(Конструктор!$P$2:$P$1212,$K899))</f>
        <v/>
      </c>
      <c r="K899">
        <f>IFERROR(MATCH(879,Конструктор!$T$2:$T$1212,0),"")</f>
        <v/>
      </c>
      <c r="L899">
        <f>IF($K899="","","показать")</f>
        <v/>
      </c>
    </row>
    <row r="900" hidden="1">
      <c r="A900">
        <f>IF($K900="","",880)</f>
        <v/>
      </c>
      <c r="B900">
        <f>IF($K900="","",INDEX(Конструктор!$C$2:$C$1212,$K900))</f>
        <v/>
      </c>
      <c r="C900" s="8">
        <f>IF($K900="","",INDEX(Конструктор!$D$2:$D$1212,$K900)&amp;IF(INDEX(Конструктор!$J$2:$J$1212,$K900)&lt;&gt;""," — "&amp;INDEX(Конструктор!$J$2:$J$1212,$K900),""))</f>
        <v/>
      </c>
      <c r="D900">
        <f>IF($K900="","",INDEX(Конструктор!$E$2:$E$1212,$K900))</f>
        <v/>
      </c>
      <c r="E900" s="10">
        <f>IF($K900="","",INDEX(Конструктор!$H$2:$H$1212,$K900))</f>
        <v/>
      </c>
      <c r="F900" s="10">
        <f>IF($K900="","",INDEX(Конструктор!$L$2:$L$1212,$K900))</f>
        <v/>
      </c>
      <c r="G900" s="10">
        <f>IF($K900="","",INDEX(Конструктор!$M$2:$M$1212,$K900))</f>
        <v/>
      </c>
      <c r="H900" s="10">
        <f>IF($K900="","",INDEX(Конструктор!$N$2:$N$1212,$K900))</f>
        <v/>
      </c>
      <c r="I900" s="10">
        <f>IF($K900="","",INDEX(Конструктор!$O$2:$O$1212,$K900))</f>
        <v/>
      </c>
      <c r="J900" s="10">
        <f>IF($K900="","",INDEX(Конструктор!$P$2:$P$1212,$K900))</f>
        <v/>
      </c>
      <c r="K900">
        <f>IFERROR(MATCH(880,Конструктор!$T$2:$T$1212,0),"")</f>
        <v/>
      </c>
      <c r="L900">
        <f>IF($K900="","","показать")</f>
        <v/>
      </c>
    </row>
    <row r="901" hidden="1">
      <c r="A901">
        <f>IF($K901="","",881)</f>
        <v/>
      </c>
      <c r="B901">
        <f>IF($K901="","",INDEX(Конструктор!$C$2:$C$1212,$K901))</f>
        <v/>
      </c>
      <c r="C901" s="8">
        <f>IF($K901="","",INDEX(Конструктор!$D$2:$D$1212,$K901)&amp;IF(INDEX(Конструктор!$J$2:$J$1212,$K901)&lt;&gt;""," — "&amp;INDEX(Конструктор!$J$2:$J$1212,$K901),""))</f>
        <v/>
      </c>
      <c r="D901">
        <f>IF($K901="","",INDEX(Конструктор!$E$2:$E$1212,$K901))</f>
        <v/>
      </c>
      <c r="E901" s="10">
        <f>IF($K901="","",INDEX(Конструктор!$H$2:$H$1212,$K901))</f>
        <v/>
      </c>
      <c r="F901" s="10">
        <f>IF($K901="","",INDEX(Конструктор!$L$2:$L$1212,$K901))</f>
        <v/>
      </c>
      <c r="G901" s="10">
        <f>IF($K901="","",INDEX(Конструктор!$M$2:$M$1212,$K901))</f>
        <v/>
      </c>
      <c r="H901" s="10">
        <f>IF($K901="","",INDEX(Конструктор!$N$2:$N$1212,$K901))</f>
        <v/>
      </c>
      <c r="I901" s="10">
        <f>IF($K901="","",INDEX(Конструктор!$O$2:$O$1212,$K901))</f>
        <v/>
      </c>
      <c r="J901" s="10">
        <f>IF($K901="","",INDEX(Конструктор!$P$2:$P$1212,$K901))</f>
        <v/>
      </c>
      <c r="K901">
        <f>IFERROR(MATCH(881,Конструктор!$T$2:$T$1212,0),"")</f>
        <v/>
      </c>
      <c r="L901">
        <f>IF($K901="","","показать")</f>
        <v/>
      </c>
    </row>
    <row r="902" hidden="1">
      <c r="A902">
        <f>IF($K902="","",882)</f>
        <v/>
      </c>
      <c r="B902">
        <f>IF($K902="","",INDEX(Конструктор!$C$2:$C$1212,$K902))</f>
        <v/>
      </c>
      <c r="C902" s="8">
        <f>IF($K902="","",INDEX(Конструктор!$D$2:$D$1212,$K902)&amp;IF(INDEX(Конструктор!$J$2:$J$1212,$K902)&lt;&gt;""," — "&amp;INDEX(Конструктор!$J$2:$J$1212,$K902),""))</f>
        <v/>
      </c>
      <c r="D902">
        <f>IF($K902="","",INDEX(Конструктор!$E$2:$E$1212,$K902))</f>
        <v/>
      </c>
      <c r="E902" s="10">
        <f>IF($K902="","",INDEX(Конструктор!$H$2:$H$1212,$K902))</f>
        <v/>
      </c>
      <c r="F902" s="10">
        <f>IF($K902="","",INDEX(Конструктор!$L$2:$L$1212,$K902))</f>
        <v/>
      </c>
      <c r="G902" s="10">
        <f>IF($K902="","",INDEX(Конструктор!$M$2:$M$1212,$K902))</f>
        <v/>
      </c>
      <c r="H902" s="10">
        <f>IF($K902="","",INDEX(Конструктор!$N$2:$N$1212,$K902))</f>
        <v/>
      </c>
      <c r="I902" s="10">
        <f>IF($K902="","",INDEX(Конструктор!$O$2:$O$1212,$K902))</f>
        <v/>
      </c>
      <c r="J902" s="10">
        <f>IF($K902="","",INDEX(Конструктор!$P$2:$P$1212,$K902))</f>
        <v/>
      </c>
      <c r="K902">
        <f>IFERROR(MATCH(882,Конструктор!$T$2:$T$1212,0),"")</f>
        <v/>
      </c>
      <c r="L902">
        <f>IF($K902="","","показать")</f>
        <v/>
      </c>
    </row>
    <row r="903" hidden="1">
      <c r="A903">
        <f>IF($K903="","",883)</f>
        <v/>
      </c>
      <c r="B903">
        <f>IF($K903="","",INDEX(Конструктор!$C$2:$C$1212,$K903))</f>
        <v/>
      </c>
      <c r="C903" s="8">
        <f>IF($K903="","",INDEX(Конструктор!$D$2:$D$1212,$K903)&amp;IF(INDEX(Конструктор!$J$2:$J$1212,$K903)&lt;&gt;""," — "&amp;INDEX(Конструктор!$J$2:$J$1212,$K903),""))</f>
        <v/>
      </c>
      <c r="D903">
        <f>IF($K903="","",INDEX(Конструктор!$E$2:$E$1212,$K903))</f>
        <v/>
      </c>
      <c r="E903" s="10">
        <f>IF($K903="","",INDEX(Конструктор!$H$2:$H$1212,$K903))</f>
        <v/>
      </c>
      <c r="F903" s="10">
        <f>IF($K903="","",INDEX(Конструктор!$L$2:$L$1212,$K903))</f>
        <v/>
      </c>
      <c r="G903" s="10">
        <f>IF($K903="","",INDEX(Конструктор!$M$2:$M$1212,$K903))</f>
        <v/>
      </c>
      <c r="H903" s="10">
        <f>IF($K903="","",INDEX(Конструктор!$N$2:$N$1212,$K903))</f>
        <v/>
      </c>
      <c r="I903" s="10">
        <f>IF($K903="","",INDEX(Конструктор!$O$2:$O$1212,$K903))</f>
        <v/>
      </c>
      <c r="J903" s="10">
        <f>IF($K903="","",INDEX(Конструктор!$P$2:$P$1212,$K903))</f>
        <v/>
      </c>
      <c r="K903">
        <f>IFERROR(MATCH(883,Конструктор!$T$2:$T$1212,0),"")</f>
        <v/>
      </c>
      <c r="L903">
        <f>IF($K903="","","показать")</f>
        <v/>
      </c>
    </row>
    <row r="904" hidden="1">
      <c r="A904">
        <f>IF($K904="","",884)</f>
        <v/>
      </c>
      <c r="B904">
        <f>IF($K904="","",INDEX(Конструктор!$C$2:$C$1212,$K904))</f>
        <v/>
      </c>
      <c r="C904" s="8">
        <f>IF($K904="","",INDEX(Конструктор!$D$2:$D$1212,$K904)&amp;IF(INDEX(Конструктор!$J$2:$J$1212,$K904)&lt;&gt;""," — "&amp;INDEX(Конструктор!$J$2:$J$1212,$K904),""))</f>
        <v/>
      </c>
      <c r="D904">
        <f>IF($K904="","",INDEX(Конструктор!$E$2:$E$1212,$K904))</f>
        <v/>
      </c>
      <c r="E904" s="10">
        <f>IF($K904="","",INDEX(Конструктор!$H$2:$H$1212,$K904))</f>
        <v/>
      </c>
      <c r="F904" s="10">
        <f>IF($K904="","",INDEX(Конструктор!$L$2:$L$1212,$K904))</f>
        <v/>
      </c>
      <c r="G904" s="10">
        <f>IF($K904="","",INDEX(Конструктор!$M$2:$M$1212,$K904))</f>
        <v/>
      </c>
      <c r="H904" s="10">
        <f>IF($K904="","",INDEX(Конструктор!$N$2:$N$1212,$K904))</f>
        <v/>
      </c>
      <c r="I904" s="10">
        <f>IF($K904="","",INDEX(Конструктор!$O$2:$O$1212,$K904))</f>
        <v/>
      </c>
      <c r="J904" s="10">
        <f>IF($K904="","",INDEX(Конструктор!$P$2:$P$1212,$K904))</f>
        <v/>
      </c>
      <c r="K904">
        <f>IFERROR(MATCH(884,Конструктор!$T$2:$T$1212,0),"")</f>
        <v/>
      </c>
      <c r="L904">
        <f>IF($K904="","","показать")</f>
        <v/>
      </c>
    </row>
    <row r="905" hidden="1">
      <c r="A905">
        <f>IF($K905="","",885)</f>
        <v/>
      </c>
      <c r="B905">
        <f>IF($K905="","",INDEX(Конструктор!$C$2:$C$1212,$K905))</f>
        <v/>
      </c>
      <c r="C905" s="8">
        <f>IF($K905="","",INDEX(Конструктор!$D$2:$D$1212,$K905)&amp;IF(INDEX(Конструктор!$J$2:$J$1212,$K905)&lt;&gt;""," — "&amp;INDEX(Конструктор!$J$2:$J$1212,$K905),""))</f>
        <v/>
      </c>
      <c r="D905">
        <f>IF($K905="","",INDEX(Конструктор!$E$2:$E$1212,$K905))</f>
        <v/>
      </c>
      <c r="E905" s="10">
        <f>IF($K905="","",INDEX(Конструктор!$H$2:$H$1212,$K905))</f>
        <v/>
      </c>
      <c r="F905" s="10">
        <f>IF($K905="","",INDEX(Конструктор!$L$2:$L$1212,$K905))</f>
        <v/>
      </c>
      <c r="G905" s="10">
        <f>IF($K905="","",INDEX(Конструктор!$M$2:$M$1212,$K905))</f>
        <v/>
      </c>
      <c r="H905" s="10">
        <f>IF($K905="","",INDEX(Конструктор!$N$2:$N$1212,$K905))</f>
        <v/>
      </c>
      <c r="I905" s="10">
        <f>IF($K905="","",INDEX(Конструктор!$O$2:$O$1212,$K905))</f>
        <v/>
      </c>
      <c r="J905" s="10">
        <f>IF($K905="","",INDEX(Конструктор!$P$2:$P$1212,$K905))</f>
        <v/>
      </c>
      <c r="K905">
        <f>IFERROR(MATCH(885,Конструктор!$T$2:$T$1212,0),"")</f>
        <v/>
      </c>
      <c r="L905">
        <f>IF($K905="","","показать")</f>
        <v/>
      </c>
    </row>
    <row r="906" hidden="1">
      <c r="A906">
        <f>IF($K906="","",886)</f>
        <v/>
      </c>
      <c r="B906">
        <f>IF($K906="","",INDEX(Конструктор!$C$2:$C$1212,$K906))</f>
        <v/>
      </c>
      <c r="C906" s="8">
        <f>IF($K906="","",INDEX(Конструктор!$D$2:$D$1212,$K906)&amp;IF(INDEX(Конструктор!$J$2:$J$1212,$K906)&lt;&gt;""," — "&amp;INDEX(Конструктор!$J$2:$J$1212,$K906),""))</f>
        <v/>
      </c>
      <c r="D906">
        <f>IF($K906="","",INDEX(Конструктор!$E$2:$E$1212,$K906))</f>
        <v/>
      </c>
      <c r="E906" s="10">
        <f>IF($K906="","",INDEX(Конструктор!$H$2:$H$1212,$K906))</f>
        <v/>
      </c>
      <c r="F906" s="10">
        <f>IF($K906="","",INDEX(Конструктор!$L$2:$L$1212,$K906))</f>
        <v/>
      </c>
      <c r="G906" s="10">
        <f>IF($K906="","",INDEX(Конструктор!$M$2:$M$1212,$K906))</f>
        <v/>
      </c>
      <c r="H906" s="10">
        <f>IF($K906="","",INDEX(Конструктор!$N$2:$N$1212,$K906))</f>
        <v/>
      </c>
      <c r="I906" s="10">
        <f>IF($K906="","",INDEX(Конструктор!$O$2:$O$1212,$K906))</f>
        <v/>
      </c>
      <c r="J906" s="10">
        <f>IF($K906="","",INDEX(Конструктор!$P$2:$P$1212,$K906))</f>
        <v/>
      </c>
      <c r="K906">
        <f>IFERROR(MATCH(886,Конструктор!$T$2:$T$1212,0),"")</f>
        <v/>
      </c>
      <c r="L906">
        <f>IF($K906="","","показать")</f>
        <v/>
      </c>
    </row>
    <row r="907" hidden="1">
      <c r="A907">
        <f>IF($K907="","",887)</f>
        <v/>
      </c>
      <c r="B907">
        <f>IF($K907="","",INDEX(Конструктор!$C$2:$C$1212,$K907))</f>
        <v/>
      </c>
      <c r="C907" s="8">
        <f>IF($K907="","",INDEX(Конструктор!$D$2:$D$1212,$K907)&amp;IF(INDEX(Конструктор!$J$2:$J$1212,$K907)&lt;&gt;""," — "&amp;INDEX(Конструктор!$J$2:$J$1212,$K907),""))</f>
        <v/>
      </c>
      <c r="D907">
        <f>IF($K907="","",INDEX(Конструктор!$E$2:$E$1212,$K907))</f>
        <v/>
      </c>
      <c r="E907" s="10">
        <f>IF($K907="","",INDEX(Конструктор!$H$2:$H$1212,$K907))</f>
        <v/>
      </c>
      <c r="F907" s="10">
        <f>IF($K907="","",INDEX(Конструктор!$L$2:$L$1212,$K907))</f>
        <v/>
      </c>
      <c r="G907" s="10">
        <f>IF($K907="","",INDEX(Конструктор!$M$2:$M$1212,$K907))</f>
        <v/>
      </c>
      <c r="H907" s="10">
        <f>IF($K907="","",INDEX(Конструктор!$N$2:$N$1212,$K907))</f>
        <v/>
      </c>
      <c r="I907" s="10">
        <f>IF($K907="","",INDEX(Конструктор!$O$2:$O$1212,$K907))</f>
        <v/>
      </c>
      <c r="J907" s="10">
        <f>IF($K907="","",INDEX(Конструктор!$P$2:$P$1212,$K907))</f>
        <v/>
      </c>
      <c r="K907">
        <f>IFERROR(MATCH(887,Конструктор!$T$2:$T$1212,0),"")</f>
        <v/>
      </c>
      <c r="L907">
        <f>IF($K907="","","показать")</f>
        <v/>
      </c>
    </row>
    <row r="908" hidden="1">
      <c r="A908">
        <f>IF($K908="","",888)</f>
        <v/>
      </c>
      <c r="B908">
        <f>IF($K908="","",INDEX(Конструктор!$C$2:$C$1212,$K908))</f>
        <v/>
      </c>
      <c r="C908" s="8">
        <f>IF($K908="","",INDEX(Конструктор!$D$2:$D$1212,$K908)&amp;IF(INDEX(Конструктор!$J$2:$J$1212,$K908)&lt;&gt;""," — "&amp;INDEX(Конструктор!$J$2:$J$1212,$K908),""))</f>
        <v/>
      </c>
      <c r="D908">
        <f>IF($K908="","",INDEX(Конструктор!$E$2:$E$1212,$K908))</f>
        <v/>
      </c>
      <c r="E908" s="10">
        <f>IF($K908="","",INDEX(Конструктор!$H$2:$H$1212,$K908))</f>
        <v/>
      </c>
      <c r="F908" s="10">
        <f>IF($K908="","",INDEX(Конструктор!$L$2:$L$1212,$K908))</f>
        <v/>
      </c>
      <c r="G908" s="10">
        <f>IF($K908="","",INDEX(Конструктор!$M$2:$M$1212,$K908))</f>
        <v/>
      </c>
      <c r="H908" s="10">
        <f>IF($K908="","",INDEX(Конструктор!$N$2:$N$1212,$K908))</f>
        <v/>
      </c>
      <c r="I908" s="10">
        <f>IF($K908="","",INDEX(Конструктор!$O$2:$O$1212,$K908))</f>
        <v/>
      </c>
      <c r="J908" s="10">
        <f>IF($K908="","",INDEX(Конструктор!$P$2:$P$1212,$K908))</f>
        <v/>
      </c>
      <c r="K908">
        <f>IFERROR(MATCH(888,Конструктор!$T$2:$T$1212,0),"")</f>
        <v/>
      </c>
      <c r="L908">
        <f>IF($K908="","","показать")</f>
        <v/>
      </c>
    </row>
    <row r="909" hidden="1">
      <c r="A909">
        <f>IF($K909="","",889)</f>
        <v/>
      </c>
      <c r="B909">
        <f>IF($K909="","",INDEX(Конструктор!$C$2:$C$1212,$K909))</f>
        <v/>
      </c>
      <c r="C909" s="8">
        <f>IF($K909="","",INDEX(Конструктор!$D$2:$D$1212,$K909)&amp;IF(INDEX(Конструктор!$J$2:$J$1212,$K909)&lt;&gt;""," — "&amp;INDEX(Конструктор!$J$2:$J$1212,$K909),""))</f>
        <v/>
      </c>
      <c r="D909">
        <f>IF($K909="","",INDEX(Конструктор!$E$2:$E$1212,$K909))</f>
        <v/>
      </c>
      <c r="E909" s="10">
        <f>IF($K909="","",INDEX(Конструктор!$H$2:$H$1212,$K909))</f>
        <v/>
      </c>
      <c r="F909" s="10">
        <f>IF($K909="","",INDEX(Конструктор!$L$2:$L$1212,$K909))</f>
        <v/>
      </c>
      <c r="G909" s="10">
        <f>IF($K909="","",INDEX(Конструктор!$M$2:$M$1212,$K909))</f>
        <v/>
      </c>
      <c r="H909" s="10">
        <f>IF($K909="","",INDEX(Конструктор!$N$2:$N$1212,$K909))</f>
        <v/>
      </c>
      <c r="I909" s="10">
        <f>IF($K909="","",INDEX(Конструктор!$O$2:$O$1212,$K909))</f>
        <v/>
      </c>
      <c r="J909" s="10">
        <f>IF($K909="","",INDEX(Конструктор!$P$2:$P$1212,$K909))</f>
        <v/>
      </c>
      <c r="K909">
        <f>IFERROR(MATCH(889,Конструктор!$T$2:$T$1212,0),"")</f>
        <v/>
      </c>
      <c r="L909">
        <f>IF($K909="","","показать")</f>
        <v/>
      </c>
    </row>
    <row r="910" hidden="1">
      <c r="A910">
        <f>IF($K910="","",890)</f>
        <v/>
      </c>
      <c r="B910">
        <f>IF($K910="","",INDEX(Конструктор!$C$2:$C$1212,$K910))</f>
        <v/>
      </c>
      <c r="C910" s="8">
        <f>IF($K910="","",INDEX(Конструктор!$D$2:$D$1212,$K910)&amp;IF(INDEX(Конструктор!$J$2:$J$1212,$K910)&lt;&gt;""," — "&amp;INDEX(Конструктор!$J$2:$J$1212,$K910),""))</f>
        <v/>
      </c>
      <c r="D910">
        <f>IF($K910="","",INDEX(Конструктор!$E$2:$E$1212,$K910))</f>
        <v/>
      </c>
      <c r="E910" s="10">
        <f>IF($K910="","",INDEX(Конструктор!$H$2:$H$1212,$K910))</f>
        <v/>
      </c>
      <c r="F910" s="10">
        <f>IF($K910="","",INDEX(Конструктор!$L$2:$L$1212,$K910))</f>
        <v/>
      </c>
      <c r="G910" s="10">
        <f>IF($K910="","",INDEX(Конструктор!$M$2:$M$1212,$K910))</f>
        <v/>
      </c>
      <c r="H910" s="10">
        <f>IF($K910="","",INDEX(Конструктор!$N$2:$N$1212,$K910))</f>
        <v/>
      </c>
      <c r="I910" s="10">
        <f>IF($K910="","",INDEX(Конструктор!$O$2:$O$1212,$K910))</f>
        <v/>
      </c>
      <c r="J910" s="10">
        <f>IF($K910="","",INDEX(Конструктор!$P$2:$P$1212,$K910))</f>
        <v/>
      </c>
      <c r="K910">
        <f>IFERROR(MATCH(890,Конструктор!$T$2:$T$1212,0),"")</f>
        <v/>
      </c>
      <c r="L910">
        <f>IF($K910="","","показать")</f>
        <v/>
      </c>
    </row>
    <row r="911" hidden="1">
      <c r="A911">
        <f>IF($K911="","",891)</f>
        <v/>
      </c>
      <c r="B911">
        <f>IF($K911="","",INDEX(Конструктор!$C$2:$C$1212,$K911))</f>
        <v/>
      </c>
      <c r="C911" s="8">
        <f>IF($K911="","",INDEX(Конструктор!$D$2:$D$1212,$K911)&amp;IF(INDEX(Конструктор!$J$2:$J$1212,$K911)&lt;&gt;""," — "&amp;INDEX(Конструктор!$J$2:$J$1212,$K911),""))</f>
        <v/>
      </c>
      <c r="D911">
        <f>IF($K911="","",INDEX(Конструктор!$E$2:$E$1212,$K911))</f>
        <v/>
      </c>
      <c r="E911" s="10">
        <f>IF($K911="","",INDEX(Конструктор!$H$2:$H$1212,$K911))</f>
        <v/>
      </c>
      <c r="F911" s="10">
        <f>IF($K911="","",INDEX(Конструктор!$L$2:$L$1212,$K911))</f>
        <v/>
      </c>
      <c r="G911" s="10">
        <f>IF($K911="","",INDEX(Конструктор!$M$2:$M$1212,$K911))</f>
        <v/>
      </c>
      <c r="H911" s="10">
        <f>IF($K911="","",INDEX(Конструктор!$N$2:$N$1212,$K911))</f>
        <v/>
      </c>
      <c r="I911" s="10">
        <f>IF($K911="","",INDEX(Конструктор!$O$2:$O$1212,$K911))</f>
        <v/>
      </c>
      <c r="J911" s="10">
        <f>IF($K911="","",INDEX(Конструктор!$P$2:$P$1212,$K911))</f>
        <v/>
      </c>
      <c r="K911">
        <f>IFERROR(MATCH(891,Конструктор!$T$2:$T$1212,0),"")</f>
        <v/>
      </c>
      <c r="L911">
        <f>IF($K911="","","показать")</f>
        <v/>
      </c>
    </row>
    <row r="912" hidden="1">
      <c r="A912">
        <f>IF($K912="","",892)</f>
        <v/>
      </c>
      <c r="B912">
        <f>IF($K912="","",INDEX(Конструктор!$C$2:$C$1212,$K912))</f>
        <v/>
      </c>
      <c r="C912" s="8">
        <f>IF($K912="","",INDEX(Конструктор!$D$2:$D$1212,$K912)&amp;IF(INDEX(Конструктор!$J$2:$J$1212,$K912)&lt;&gt;""," — "&amp;INDEX(Конструктор!$J$2:$J$1212,$K912),""))</f>
        <v/>
      </c>
      <c r="D912">
        <f>IF($K912="","",INDEX(Конструктор!$E$2:$E$1212,$K912))</f>
        <v/>
      </c>
      <c r="E912" s="10">
        <f>IF($K912="","",INDEX(Конструктор!$H$2:$H$1212,$K912))</f>
        <v/>
      </c>
      <c r="F912" s="10">
        <f>IF($K912="","",INDEX(Конструктор!$L$2:$L$1212,$K912))</f>
        <v/>
      </c>
      <c r="G912" s="10">
        <f>IF($K912="","",INDEX(Конструктор!$M$2:$M$1212,$K912))</f>
        <v/>
      </c>
      <c r="H912" s="10">
        <f>IF($K912="","",INDEX(Конструктор!$N$2:$N$1212,$K912))</f>
        <v/>
      </c>
      <c r="I912" s="10">
        <f>IF($K912="","",INDEX(Конструктор!$O$2:$O$1212,$K912))</f>
        <v/>
      </c>
      <c r="J912" s="10">
        <f>IF($K912="","",INDEX(Конструктор!$P$2:$P$1212,$K912))</f>
        <v/>
      </c>
      <c r="K912">
        <f>IFERROR(MATCH(892,Конструктор!$T$2:$T$1212,0),"")</f>
        <v/>
      </c>
      <c r="L912">
        <f>IF($K912="","","показать")</f>
        <v/>
      </c>
    </row>
    <row r="913" hidden="1">
      <c r="A913">
        <f>IF($K913="","",893)</f>
        <v/>
      </c>
      <c r="B913">
        <f>IF($K913="","",INDEX(Конструктор!$C$2:$C$1212,$K913))</f>
        <v/>
      </c>
      <c r="C913" s="8">
        <f>IF($K913="","",INDEX(Конструктор!$D$2:$D$1212,$K913)&amp;IF(INDEX(Конструктор!$J$2:$J$1212,$K913)&lt;&gt;""," — "&amp;INDEX(Конструктор!$J$2:$J$1212,$K913),""))</f>
        <v/>
      </c>
      <c r="D913">
        <f>IF($K913="","",INDEX(Конструктор!$E$2:$E$1212,$K913))</f>
        <v/>
      </c>
      <c r="E913" s="10">
        <f>IF($K913="","",INDEX(Конструктор!$H$2:$H$1212,$K913))</f>
        <v/>
      </c>
      <c r="F913" s="10">
        <f>IF($K913="","",INDEX(Конструктор!$L$2:$L$1212,$K913))</f>
        <v/>
      </c>
      <c r="G913" s="10">
        <f>IF($K913="","",INDEX(Конструктор!$M$2:$M$1212,$K913))</f>
        <v/>
      </c>
      <c r="H913" s="10">
        <f>IF($K913="","",INDEX(Конструктор!$N$2:$N$1212,$K913))</f>
        <v/>
      </c>
      <c r="I913" s="10">
        <f>IF($K913="","",INDEX(Конструктор!$O$2:$O$1212,$K913))</f>
        <v/>
      </c>
      <c r="J913" s="10">
        <f>IF($K913="","",INDEX(Конструктор!$P$2:$P$1212,$K913))</f>
        <v/>
      </c>
      <c r="K913">
        <f>IFERROR(MATCH(893,Конструктор!$T$2:$T$1212,0),"")</f>
        <v/>
      </c>
      <c r="L913">
        <f>IF($K913="","","показать")</f>
        <v/>
      </c>
    </row>
    <row r="914" hidden="1">
      <c r="A914">
        <f>IF($K914="","",894)</f>
        <v/>
      </c>
      <c r="B914">
        <f>IF($K914="","",INDEX(Конструктор!$C$2:$C$1212,$K914))</f>
        <v/>
      </c>
      <c r="C914" s="8">
        <f>IF($K914="","",INDEX(Конструктор!$D$2:$D$1212,$K914)&amp;IF(INDEX(Конструктор!$J$2:$J$1212,$K914)&lt;&gt;""," — "&amp;INDEX(Конструктор!$J$2:$J$1212,$K914),""))</f>
        <v/>
      </c>
      <c r="D914">
        <f>IF($K914="","",INDEX(Конструктор!$E$2:$E$1212,$K914))</f>
        <v/>
      </c>
      <c r="E914" s="10">
        <f>IF($K914="","",INDEX(Конструктор!$H$2:$H$1212,$K914))</f>
        <v/>
      </c>
      <c r="F914" s="10">
        <f>IF($K914="","",INDEX(Конструктор!$L$2:$L$1212,$K914))</f>
        <v/>
      </c>
      <c r="G914" s="10">
        <f>IF($K914="","",INDEX(Конструктор!$M$2:$M$1212,$K914))</f>
        <v/>
      </c>
      <c r="H914" s="10">
        <f>IF($K914="","",INDEX(Конструктор!$N$2:$N$1212,$K914))</f>
        <v/>
      </c>
      <c r="I914" s="10">
        <f>IF($K914="","",INDEX(Конструктор!$O$2:$O$1212,$K914))</f>
        <v/>
      </c>
      <c r="J914" s="10">
        <f>IF($K914="","",INDEX(Конструктор!$P$2:$P$1212,$K914))</f>
        <v/>
      </c>
      <c r="K914">
        <f>IFERROR(MATCH(894,Конструктор!$T$2:$T$1212,0),"")</f>
        <v/>
      </c>
      <c r="L914">
        <f>IF($K914="","","показать")</f>
        <v/>
      </c>
    </row>
    <row r="915" hidden="1">
      <c r="A915">
        <f>IF($K915="","",895)</f>
        <v/>
      </c>
      <c r="B915">
        <f>IF($K915="","",INDEX(Конструктор!$C$2:$C$1212,$K915))</f>
        <v/>
      </c>
      <c r="C915" s="8">
        <f>IF($K915="","",INDEX(Конструктор!$D$2:$D$1212,$K915)&amp;IF(INDEX(Конструктор!$J$2:$J$1212,$K915)&lt;&gt;""," — "&amp;INDEX(Конструктор!$J$2:$J$1212,$K915),""))</f>
        <v/>
      </c>
      <c r="D915">
        <f>IF($K915="","",INDEX(Конструктор!$E$2:$E$1212,$K915))</f>
        <v/>
      </c>
      <c r="E915" s="10">
        <f>IF($K915="","",INDEX(Конструктор!$H$2:$H$1212,$K915))</f>
        <v/>
      </c>
      <c r="F915" s="10">
        <f>IF($K915="","",INDEX(Конструктор!$L$2:$L$1212,$K915))</f>
        <v/>
      </c>
      <c r="G915" s="10">
        <f>IF($K915="","",INDEX(Конструктор!$M$2:$M$1212,$K915))</f>
        <v/>
      </c>
      <c r="H915" s="10">
        <f>IF($K915="","",INDEX(Конструктор!$N$2:$N$1212,$K915))</f>
        <v/>
      </c>
      <c r="I915" s="10">
        <f>IF($K915="","",INDEX(Конструктор!$O$2:$O$1212,$K915))</f>
        <v/>
      </c>
      <c r="J915" s="10">
        <f>IF($K915="","",INDEX(Конструктор!$P$2:$P$1212,$K915))</f>
        <v/>
      </c>
      <c r="K915">
        <f>IFERROR(MATCH(895,Конструктор!$T$2:$T$1212,0),"")</f>
        <v/>
      </c>
      <c r="L915">
        <f>IF($K915="","","показать")</f>
        <v/>
      </c>
    </row>
    <row r="916" hidden="1">
      <c r="A916">
        <f>IF($K916="","",896)</f>
        <v/>
      </c>
      <c r="B916">
        <f>IF($K916="","",INDEX(Конструктор!$C$2:$C$1212,$K916))</f>
        <v/>
      </c>
      <c r="C916" s="8">
        <f>IF($K916="","",INDEX(Конструктор!$D$2:$D$1212,$K916)&amp;IF(INDEX(Конструктор!$J$2:$J$1212,$K916)&lt;&gt;""," — "&amp;INDEX(Конструктор!$J$2:$J$1212,$K916),""))</f>
        <v/>
      </c>
      <c r="D916">
        <f>IF($K916="","",INDEX(Конструктор!$E$2:$E$1212,$K916))</f>
        <v/>
      </c>
      <c r="E916" s="10">
        <f>IF($K916="","",INDEX(Конструктор!$H$2:$H$1212,$K916))</f>
        <v/>
      </c>
      <c r="F916" s="10">
        <f>IF($K916="","",INDEX(Конструктор!$L$2:$L$1212,$K916))</f>
        <v/>
      </c>
      <c r="G916" s="10">
        <f>IF($K916="","",INDEX(Конструктор!$M$2:$M$1212,$K916))</f>
        <v/>
      </c>
      <c r="H916" s="10">
        <f>IF($K916="","",INDEX(Конструктор!$N$2:$N$1212,$K916))</f>
        <v/>
      </c>
      <c r="I916" s="10">
        <f>IF($K916="","",INDEX(Конструктор!$O$2:$O$1212,$K916))</f>
        <v/>
      </c>
      <c r="J916" s="10">
        <f>IF($K916="","",INDEX(Конструктор!$P$2:$P$1212,$K916))</f>
        <v/>
      </c>
      <c r="K916">
        <f>IFERROR(MATCH(896,Конструктор!$T$2:$T$1212,0),"")</f>
        <v/>
      </c>
      <c r="L916">
        <f>IF($K916="","","показать")</f>
        <v/>
      </c>
    </row>
    <row r="917" hidden="1">
      <c r="A917">
        <f>IF($K917="","",897)</f>
        <v/>
      </c>
      <c r="B917">
        <f>IF($K917="","",INDEX(Конструктор!$C$2:$C$1212,$K917))</f>
        <v/>
      </c>
      <c r="C917" s="8">
        <f>IF($K917="","",INDEX(Конструктор!$D$2:$D$1212,$K917)&amp;IF(INDEX(Конструктор!$J$2:$J$1212,$K917)&lt;&gt;""," — "&amp;INDEX(Конструктор!$J$2:$J$1212,$K917),""))</f>
        <v/>
      </c>
      <c r="D917">
        <f>IF($K917="","",INDEX(Конструктор!$E$2:$E$1212,$K917))</f>
        <v/>
      </c>
      <c r="E917" s="10">
        <f>IF($K917="","",INDEX(Конструктор!$H$2:$H$1212,$K917))</f>
        <v/>
      </c>
      <c r="F917" s="10">
        <f>IF($K917="","",INDEX(Конструктор!$L$2:$L$1212,$K917))</f>
        <v/>
      </c>
      <c r="G917" s="10">
        <f>IF($K917="","",INDEX(Конструктор!$M$2:$M$1212,$K917))</f>
        <v/>
      </c>
      <c r="H917" s="10">
        <f>IF($K917="","",INDEX(Конструктор!$N$2:$N$1212,$K917))</f>
        <v/>
      </c>
      <c r="I917" s="10">
        <f>IF($K917="","",INDEX(Конструктор!$O$2:$O$1212,$K917))</f>
        <v/>
      </c>
      <c r="J917" s="10">
        <f>IF($K917="","",INDEX(Конструктор!$P$2:$P$1212,$K917))</f>
        <v/>
      </c>
      <c r="K917">
        <f>IFERROR(MATCH(897,Конструктор!$T$2:$T$1212,0),"")</f>
        <v/>
      </c>
      <c r="L917">
        <f>IF($K917="","","показать")</f>
        <v/>
      </c>
    </row>
    <row r="918" hidden="1">
      <c r="A918">
        <f>IF($K918="","",898)</f>
        <v/>
      </c>
      <c r="B918">
        <f>IF($K918="","",INDEX(Конструктор!$C$2:$C$1212,$K918))</f>
        <v/>
      </c>
      <c r="C918" s="8">
        <f>IF($K918="","",INDEX(Конструктор!$D$2:$D$1212,$K918)&amp;IF(INDEX(Конструктор!$J$2:$J$1212,$K918)&lt;&gt;""," — "&amp;INDEX(Конструктор!$J$2:$J$1212,$K918),""))</f>
        <v/>
      </c>
      <c r="D918">
        <f>IF($K918="","",INDEX(Конструктор!$E$2:$E$1212,$K918))</f>
        <v/>
      </c>
      <c r="E918" s="10">
        <f>IF($K918="","",INDEX(Конструктор!$H$2:$H$1212,$K918))</f>
        <v/>
      </c>
      <c r="F918" s="10">
        <f>IF($K918="","",INDEX(Конструктор!$L$2:$L$1212,$K918))</f>
        <v/>
      </c>
      <c r="G918" s="10">
        <f>IF($K918="","",INDEX(Конструктор!$M$2:$M$1212,$K918))</f>
        <v/>
      </c>
      <c r="H918" s="10">
        <f>IF($K918="","",INDEX(Конструктор!$N$2:$N$1212,$K918))</f>
        <v/>
      </c>
      <c r="I918" s="10">
        <f>IF($K918="","",INDEX(Конструктор!$O$2:$O$1212,$K918))</f>
        <v/>
      </c>
      <c r="J918" s="10">
        <f>IF($K918="","",INDEX(Конструктор!$P$2:$P$1212,$K918))</f>
        <v/>
      </c>
      <c r="K918">
        <f>IFERROR(MATCH(898,Конструктор!$T$2:$T$1212,0),"")</f>
        <v/>
      </c>
      <c r="L918">
        <f>IF($K918="","","показать")</f>
        <v/>
      </c>
    </row>
    <row r="919" hidden="1">
      <c r="A919">
        <f>IF($K919="","",899)</f>
        <v/>
      </c>
      <c r="B919">
        <f>IF($K919="","",INDEX(Конструктор!$C$2:$C$1212,$K919))</f>
        <v/>
      </c>
      <c r="C919" s="8">
        <f>IF($K919="","",INDEX(Конструктор!$D$2:$D$1212,$K919)&amp;IF(INDEX(Конструктор!$J$2:$J$1212,$K919)&lt;&gt;""," — "&amp;INDEX(Конструктор!$J$2:$J$1212,$K919),""))</f>
        <v/>
      </c>
      <c r="D919">
        <f>IF($K919="","",INDEX(Конструктор!$E$2:$E$1212,$K919))</f>
        <v/>
      </c>
      <c r="E919" s="10">
        <f>IF($K919="","",INDEX(Конструктор!$H$2:$H$1212,$K919))</f>
        <v/>
      </c>
      <c r="F919" s="10">
        <f>IF($K919="","",INDEX(Конструктор!$L$2:$L$1212,$K919))</f>
        <v/>
      </c>
      <c r="G919" s="10">
        <f>IF($K919="","",INDEX(Конструктор!$M$2:$M$1212,$K919))</f>
        <v/>
      </c>
      <c r="H919" s="10">
        <f>IF($K919="","",INDEX(Конструктор!$N$2:$N$1212,$K919))</f>
        <v/>
      </c>
      <c r="I919" s="10">
        <f>IF($K919="","",INDEX(Конструктор!$O$2:$O$1212,$K919))</f>
        <v/>
      </c>
      <c r="J919" s="10">
        <f>IF($K919="","",INDEX(Конструктор!$P$2:$P$1212,$K919))</f>
        <v/>
      </c>
      <c r="K919">
        <f>IFERROR(MATCH(899,Конструктор!$T$2:$T$1212,0),"")</f>
        <v/>
      </c>
      <c r="L919">
        <f>IF($K919="","","показать")</f>
        <v/>
      </c>
    </row>
    <row r="920" hidden="1">
      <c r="A920">
        <f>IF($K920="","",900)</f>
        <v/>
      </c>
      <c r="B920">
        <f>IF($K920="","",INDEX(Конструктор!$C$2:$C$1212,$K920))</f>
        <v/>
      </c>
      <c r="C920" s="8">
        <f>IF($K920="","",INDEX(Конструктор!$D$2:$D$1212,$K920)&amp;IF(INDEX(Конструктор!$J$2:$J$1212,$K920)&lt;&gt;""," — "&amp;INDEX(Конструктор!$J$2:$J$1212,$K920),""))</f>
        <v/>
      </c>
      <c r="D920">
        <f>IF($K920="","",INDEX(Конструктор!$E$2:$E$1212,$K920))</f>
        <v/>
      </c>
      <c r="E920" s="10">
        <f>IF($K920="","",INDEX(Конструктор!$H$2:$H$1212,$K920))</f>
        <v/>
      </c>
      <c r="F920" s="10">
        <f>IF($K920="","",INDEX(Конструктор!$L$2:$L$1212,$K920))</f>
        <v/>
      </c>
      <c r="G920" s="10">
        <f>IF($K920="","",INDEX(Конструктор!$M$2:$M$1212,$K920))</f>
        <v/>
      </c>
      <c r="H920" s="10">
        <f>IF($K920="","",INDEX(Конструктор!$N$2:$N$1212,$K920))</f>
        <v/>
      </c>
      <c r="I920" s="10">
        <f>IF($K920="","",INDEX(Конструктор!$O$2:$O$1212,$K920))</f>
        <v/>
      </c>
      <c r="J920" s="10">
        <f>IF($K920="","",INDEX(Конструктор!$P$2:$P$1212,$K920))</f>
        <v/>
      </c>
      <c r="K920">
        <f>IFERROR(MATCH(900,Конструктор!$T$2:$T$1212,0),"")</f>
        <v/>
      </c>
      <c r="L920">
        <f>IF($K920="","","показать")</f>
        <v/>
      </c>
    </row>
    <row r="921" hidden="1">
      <c r="A921">
        <f>IF($K921="","",901)</f>
        <v/>
      </c>
      <c r="B921">
        <f>IF($K921="","",INDEX(Конструктор!$C$2:$C$1212,$K921))</f>
        <v/>
      </c>
      <c r="C921" s="8">
        <f>IF($K921="","",INDEX(Конструктор!$D$2:$D$1212,$K921)&amp;IF(INDEX(Конструктор!$J$2:$J$1212,$K921)&lt;&gt;""," — "&amp;INDEX(Конструктор!$J$2:$J$1212,$K921),""))</f>
        <v/>
      </c>
      <c r="D921">
        <f>IF($K921="","",INDEX(Конструктор!$E$2:$E$1212,$K921))</f>
        <v/>
      </c>
      <c r="E921" s="10">
        <f>IF($K921="","",INDEX(Конструктор!$H$2:$H$1212,$K921))</f>
        <v/>
      </c>
      <c r="F921" s="10">
        <f>IF($K921="","",INDEX(Конструктор!$L$2:$L$1212,$K921))</f>
        <v/>
      </c>
      <c r="G921" s="10">
        <f>IF($K921="","",INDEX(Конструктор!$M$2:$M$1212,$K921))</f>
        <v/>
      </c>
      <c r="H921" s="10">
        <f>IF($K921="","",INDEX(Конструктор!$N$2:$N$1212,$K921))</f>
        <v/>
      </c>
      <c r="I921" s="10">
        <f>IF($K921="","",INDEX(Конструктор!$O$2:$O$1212,$K921))</f>
        <v/>
      </c>
      <c r="J921" s="10">
        <f>IF($K921="","",INDEX(Конструктор!$P$2:$P$1212,$K921))</f>
        <v/>
      </c>
      <c r="K921">
        <f>IFERROR(MATCH(901,Конструктор!$T$2:$T$1212,0),"")</f>
        <v/>
      </c>
      <c r="L921">
        <f>IF($K921="","","показать")</f>
        <v/>
      </c>
    </row>
    <row r="922" hidden="1">
      <c r="A922">
        <f>IF($K922="","",902)</f>
        <v/>
      </c>
      <c r="B922">
        <f>IF($K922="","",INDEX(Конструктор!$C$2:$C$1212,$K922))</f>
        <v/>
      </c>
      <c r="C922" s="8">
        <f>IF($K922="","",INDEX(Конструктор!$D$2:$D$1212,$K922)&amp;IF(INDEX(Конструктор!$J$2:$J$1212,$K922)&lt;&gt;""," — "&amp;INDEX(Конструктор!$J$2:$J$1212,$K922),""))</f>
        <v/>
      </c>
      <c r="D922">
        <f>IF($K922="","",INDEX(Конструктор!$E$2:$E$1212,$K922))</f>
        <v/>
      </c>
      <c r="E922" s="10">
        <f>IF($K922="","",INDEX(Конструктор!$H$2:$H$1212,$K922))</f>
        <v/>
      </c>
      <c r="F922" s="10">
        <f>IF($K922="","",INDEX(Конструктор!$L$2:$L$1212,$K922))</f>
        <v/>
      </c>
      <c r="G922" s="10">
        <f>IF($K922="","",INDEX(Конструктор!$M$2:$M$1212,$K922))</f>
        <v/>
      </c>
      <c r="H922" s="10">
        <f>IF($K922="","",INDEX(Конструктор!$N$2:$N$1212,$K922))</f>
        <v/>
      </c>
      <c r="I922" s="10">
        <f>IF($K922="","",INDEX(Конструктор!$O$2:$O$1212,$K922))</f>
        <v/>
      </c>
      <c r="J922" s="10">
        <f>IF($K922="","",INDEX(Конструктор!$P$2:$P$1212,$K922))</f>
        <v/>
      </c>
      <c r="K922">
        <f>IFERROR(MATCH(902,Конструктор!$T$2:$T$1212,0),"")</f>
        <v/>
      </c>
      <c r="L922">
        <f>IF($K922="","","показать")</f>
        <v/>
      </c>
    </row>
    <row r="923" hidden="1">
      <c r="A923">
        <f>IF($K923="","",903)</f>
        <v/>
      </c>
      <c r="B923">
        <f>IF($K923="","",INDEX(Конструктор!$C$2:$C$1212,$K923))</f>
        <v/>
      </c>
      <c r="C923" s="8">
        <f>IF($K923="","",INDEX(Конструктор!$D$2:$D$1212,$K923)&amp;IF(INDEX(Конструктор!$J$2:$J$1212,$K923)&lt;&gt;""," — "&amp;INDEX(Конструктор!$J$2:$J$1212,$K923),""))</f>
        <v/>
      </c>
      <c r="D923">
        <f>IF($K923="","",INDEX(Конструктор!$E$2:$E$1212,$K923))</f>
        <v/>
      </c>
      <c r="E923" s="10">
        <f>IF($K923="","",INDEX(Конструктор!$H$2:$H$1212,$K923))</f>
        <v/>
      </c>
      <c r="F923" s="10">
        <f>IF($K923="","",INDEX(Конструктор!$L$2:$L$1212,$K923))</f>
        <v/>
      </c>
      <c r="G923" s="10">
        <f>IF($K923="","",INDEX(Конструктор!$M$2:$M$1212,$K923))</f>
        <v/>
      </c>
      <c r="H923" s="10">
        <f>IF($K923="","",INDEX(Конструктор!$N$2:$N$1212,$K923))</f>
        <v/>
      </c>
      <c r="I923" s="10">
        <f>IF($K923="","",INDEX(Конструктор!$O$2:$O$1212,$K923))</f>
        <v/>
      </c>
      <c r="J923" s="10">
        <f>IF($K923="","",INDEX(Конструктор!$P$2:$P$1212,$K923))</f>
        <v/>
      </c>
      <c r="K923">
        <f>IFERROR(MATCH(903,Конструктор!$T$2:$T$1212,0),"")</f>
        <v/>
      </c>
      <c r="L923">
        <f>IF($K923="","","показать")</f>
        <v/>
      </c>
    </row>
    <row r="924" hidden="1">
      <c r="A924">
        <f>IF($K924="","",904)</f>
        <v/>
      </c>
      <c r="B924">
        <f>IF($K924="","",INDEX(Конструктор!$C$2:$C$1212,$K924))</f>
        <v/>
      </c>
      <c r="C924" s="8">
        <f>IF($K924="","",INDEX(Конструктор!$D$2:$D$1212,$K924)&amp;IF(INDEX(Конструктор!$J$2:$J$1212,$K924)&lt;&gt;""," — "&amp;INDEX(Конструктор!$J$2:$J$1212,$K924),""))</f>
        <v/>
      </c>
      <c r="D924">
        <f>IF($K924="","",INDEX(Конструктор!$E$2:$E$1212,$K924))</f>
        <v/>
      </c>
      <c r="E924" s="10">
        <f>IF($K924="","",INDEX(Конструктор!$H$2:$H$1212,$K924))</f>
        <v/>
      </c>
      <c r="F924" s="10">
        <f>IF($K924="","",INDEX(Конструктор!$L$2:$L$1212,$K924))</f>
        <v/>
      </c>
      <c r="G924" s="10">
        <f>IF($K924="","",INDEX(Конструктор!$M$2:$M$1212,$K924))</f>
        <v/>
      </c>
      <c r="H924" s="10">
        <f>IF($K924="","",INDEX(Конструктор!$N$2:$N$1212,$K924))</f>
        <v/>
      </c>
      <c r="I924" s="10">
        <f>IF($K924="","",INDEX(Конструктор!$O$2:$O$1212,$K924))</f>
        <v/>
      </c>
      <c r="J924" s="10">
        <f>IF($K924="","",INDEX(Конструктор!$P$2:$P$1212,$K924))</f>
        <v/>
      </c>
      <c r="K924">
        <f>IFERROR(MATCH(904,Конструктор!$T$2:$T$1212,0),"")</f>
        <v/>
      </c>
      <c r="L924">
        <f>IF($K924="","","показать")</f>
        <v/>
      </c>
    </row>
    <row r="925" hidden="1">
      <c r="A925">
        <f>IF($K925="","",905)</f>
        <v/>
      </c>
      <c r="B925">
        <f>IF($K925="","",INDEX(Конструктор!$C$2:$C$1212,$K925))</f>
        <v/>
      </c>
      <c r="C925" s="8">
        <f>IF($K925="","",INDEX(Конструктор!$D$2:$D$1212,$K925)&amp;IF(INDEX(Конструктор!$J$2:$J$1212,$K925)&lt;&gt;""," — "&amp;INDEX(Конструктор!$J$2:$J$1212,$K925),""))</f>
        <v/>
      </c>
      <c r="D925">
        <f>IF($K925="","",INDEX(Конструктор!$E$2:$E$1212,$K925))</f>
        <v/>
      </c>
      <c r="E925" s="10">
        <f>IF($K925="","",INDEX(Конструктор!$H$2:$H$1212,$K925))</f>
        <v/>
      </c>
      <c r="F925" s="10">
        <f>IF($K925="","",INDEX(Конструктор!$L$2:$L$1212,$K925))</f>
        <v/>
      </c>
      <c r="G925" s="10">
        <f>IF($K925="","",INDEX(Конструктор!$M$2:$M$1212,$K925))</f>
        <v/>
      </c>
      <c r="H925" s="10">
        <f>IF($K925="","",INDEX(Конструктор!$N$2:$N$1212,$K925))</f>
        <v/>
      </c>
      <c r="I925" s="10">
        <f>IF($K925="","",INDEX(Конструктор!$O$2:$O$1212,$K925))</f>
        <v/>
      </c>
      <c r="J925" s="10">
        <f>IF($K925="","",INDEX(Конструктор!$P$2:$P$1212,$K925))</f>
        <v/>
      </c>
      <c r="K925">
        <f>IFERROR(MATCH(905,Конструктор!$T$2:$T$1212,0),"")</f>
        <v/>
      </c>
      <c r="L925">
        <f>IF($K925="","","показать")</f>
        <v/>
      </c>
    </row>
    <row r="926" hidden="1">
      <c r="A926">
        <f>IF($K926="","",906)</f>
        <v/>
      </c>
      <c r="B926">
        <f>IF($K926="","",INDEX(Конструктор!$C$2:$C$1212,$K926))</f>
        <v/>
      </c>
      <c r="C926" s="8">
        <f>IF($K926="","",INDEX(Конструктор!$D$2:$D$1212,$K926)&amp;IF(INDEX(Конструктор!$J$2:$J$1212,$K926)&lt;&gt;""," — "&amp;INDEX(Конструктор!$J$2:$J$1212,$K926),""))</f>
        <v/>
      </c>
      <c r="D926">
        <f>IF($K926="","",INDEX(Конструктор!$E$2:$E$1212,$K926))</f>
        <v/>
      </c>
      <c r="E926" s="10">
        <f>IF($K926="","",INDEX(Конструктор!$H$2:$H$1212,$K926))</f>
        <v/>
      </c>
      <c r="F926" s="10">
        <f>IF($K926="","",INDEX(Конструктор!$L$2:$L$1212,$K926))</f>
        <v/>
      </c>
      <c r="G926" s="10">
        <f>IF($K926="","",INDEX(Конструктор!$M$2:$M$1212,$K926))</f>
        <v/>
      </c>
      <c r="H926" s="10">
        <f>IF($K926="","",INDEX(Конструктор!$N$2:$N$1212,$K926))</f>
        <v/>
      </c>
      <c r="I926" s="10">
        <f>IF($K926="","",INDEX(Конструктор!$O$2:$O$1212,$K926))</f>
        <v/>
      </c>
      <c r="J926" s="10">
        <f>IF($K926="","",INDEX(Конструктор!$P$2:$P$1212,$K926))</f>
        <v/>
      </c>
      <c r="K926">
        <f>IFERROR(MATCH(906,Конструктор!$T$2:$T$1212,0),"")</f>
        <v/>
      </c>
      <c r="L926">
        <f>IF($K926="","","показать")</f>
        <v/>
      </c>
    </row>
    <row r="927" hidden="1">
      <c r="A927">
        <f>IF($K927="","",907)</f>
        <v/>
      </c>
      <c r="B927">
        <f>IF($K927="","",INDEX(Конструктор!$C$2:$C$1212,$K927))</f>
        <v/>
      </c>
      <c r="C927" s="8">
        <f>IF($K927="","",INDEX(Конструктор!$D$2:$D$1212,$K927)&amp;IF(INDEX(Конструктор!$J$2:$J$1212,$K927)&lt;&gt;""," — "&amp;INDEX(Конструктор!$J$2:$J$1212,$K927),""))</f>
        <v/>
      </c>
      <c r="D927">
        <f>IF($K927="","",INDEX(Конструктор!$E$2:$E$1212,$K927))</f>
        <v/>
      </c>
      <c r="E927" s="10">
        <f>IF($K927="","",INDEX(Конструктор!$H$2:$H$1212,$K927))</f>
        <v/>
      </c>
      <c r="F927" s="10">
        <f>IF($K927="","",INDEX(Конструктор!$L$2:$L$1212,$K927))</f>
        <v/>
      </c>
      <c r="G927" s="10">
        <f>IF($K927="","",INDEX(Конструктор!$M$2:$M$1212,$K927))</f>
        <v/>
      </c>
      <c r="H927" s="10">
        <f>IF($K927="","",INDEX(Конструктор!$N$2:$N$1212,$K927))</f>
        <v/>
      </c>
      <c r="I927" s="10">
        <f>IF($K927="","",INDEX(Конструктор!$O$2:$O$1212,$K927))</f>
        <v/>
      </c>
      <c r="J927" s="10">
        <f>IF($K927="","",INDEX(Конструктор!$P$2:$P$1212,$K927))</f>
        <v/>
      </c>
      <c r="K927">
        <f>IFERROR(MATCH(907,Конструктор!$T$2:$T$1212,0),"")</f>
        <v/>
      </c>
      <c r="L927">
        <f>IF($K927="","","показать")</f>
        <v/>
      </c>
    </row>
    <row r="928" hidden="1">
      <c r="A928">
        <f>IF($K928="","",908)</f>
        <v/>
      </c>
      <c r="B928">
        <f>IF($K928="","",INDEX(Конструктор!$C$2:$C$1212,$K928))</f>
        <v/>
      </c>
      <c r="C928" s="8">
        <f>IF($K928="","",INDEX(Конструктор!$D$2:$D$1212,$K928)&amp;IF(INDEX(Конструктор!$J$2:$J$1212,$K928)&lt;&gt;""," — "&amp;INDEX(Конструктор!$J$2:$J$1212,$K928),""))</f>
        <v/>
      </c>
      <c r="D928">
        <f>IF($K928="","",INDEX(Конструктор!$E$2:$E$1212,$K928))</f>
        <v/>
      </c>
      <c r="E928" s="10">
        <f>IF($K928="","",INDEX(Конструктор!$H$2:$H$1212,$K928))</f>
        <v/>
      </c>
      <c r="F928" s="10">
        <f>IF($K928="","",INDEX(Конструктор!$L$2:$L$1212,$K928))</f>
        <v/>
      </c>
      <c r="G928" s="10">
        <f>IF($K928="","",INDEX(Конструктор!$M$2:$M$1212,$K928))</f>
        <v/>
      </c>
      <c r="H928" s="10">
        <f>IF($K928="","",INDEX(Конструктор!$N$2:$N$1212,$K928))</f>
        <v/>
      </c>
      <c r="I928" s="10">
        <f>IF($K928="","",INDEX(Конструктор!$O$2:$O$1212,$K928))</f>
        <v/>
      </c>
      <c r="J928" s="10">
        <f>IF($K928="","",INDEX(Конструктор!$P$2:$P$1212,$K928))</f>
        <v/>
      </c>
      <c r="K928">
        <f>IFERROR(MATCH(908,Конструктор!$T$2:$T$1212,0),"")</f>
        <v/>
      </c>
      <c r="L928">
        <f>IF($K928="","","показать")</f>
        <v/>
      </c>
    </row>
    <row r="929" hidden="1">
      <c r="A929">
        <f>IF($K929="","",909)</f>
        <v/>
      </c>
      <c r="B929">
        <f>IF($K929="","",INDEX(Конструктор!$C$2:$C$1212,$K929))</f>
        <v/>
      </c>
      <c r="C929" s="8">
        <f>IF($K929="","",INDEX(Конструктор!$D$2:$D$1212,$K929)&amp;IF(INDEX(Конструктор!$J$2:$J$1212,$K929)&lt;&gt;""," — "&amp;INDEX(Конструктор!$J$2:$J$1212,$K929),""))</f>
        <v/>
      </c>
      <c r="D929">
        <f>IF($K929="","",INDEX(Конструктор!$E$2:$E$1212,$K929))</f>
        <v/>
      </c>
      <c r="E929" s="10">
        <f>IF($K929="","",INDEX(Конструктор!$H$2:$H$1212,$K929))</f>
        <v/>
      </c>
      <c r="F929" s="10">
        <f>IF($K929="","",INDEX(Конструктор!$L$2:$L$1212,$K929))</f>
        <v/>
      </c>
      <c r="G929" s="10">
        <f>IF($K929="","",INDEX(Конструктор!$M$2:$M$1212,$K929))</f>
        <v/>
      </c>
      <c r="H929" s="10">
        <f>IF($K929="","",INDEX(Конструктор!$N$2:$N$1212,$K929))</f>
        <v/>
      </c>
      <c r="I929" s="10">
        <f>IF($K929="","",INDEX(Конструктор!$O$2:$O$1212,$K929))</f>
        <v/>
      </c>
      <c r="J929" s="10">
        <f>IF($K929="","",INDEX(Конструктор!$P$2:$P$1212,$K929))</f>
        <v/>
      </c>
      <c r="K929">
        <f>IFERROR(MATCH(909,Конструктор!$T$2:$T$1212,0),"")</f>
        <v/>
      </c>
      <c r="L929">
        <f>IF($K929="","","показать")</f>
        <v/>
      </c>
    </row>
    <row r="930" hidden="1">
      <c r="A930">
        <f>IF($K930="","",910)</f>
        <v/>
      </c>
      <c r="B930">
        <f>IF($K930="","",INDEX(Конструктор!$C$2:$C$1212,$K930))</f>
        <v/>
      </c>
      <c r="C930" s="8">
        <f>IF($K930="","",INDEX(Конструктор!$D$2:$D$1212,$K930)&amp;IF(INDEX(Конструктор!$J$2:$J$1212,$K930)&lt;&gt;""," — "&amp;INDEX(Конструктор!$J$2:$J$1212,$K930),""))</f>
        <v/>
      </c>
      <c r="D930">
        <f>IF($K930="","",INDEX(Конструктор!$E$2:$E$1212,$K930))</f>
        <v/>
      </c>
      <c r="E930" s="10">
        <f>IF($K930="","",INDEX(Конструктор!$H$2:$H$1212,$K930))</f>
        <v/>
      </c>
      <c r="F930" s="10">
        <f>IF($K930="","",INDEX(Конструктор!$L$2:$L$1212,$K930))</f>
        <v/>
      </c>
      <c r="G930" s="10">
        <f>IF($K930="","",INDEX(Конструктор!$M$2:$M$1212,$K930))</f>
        <v/>
      </c>
      <c r="H930" s="10">
        <f>IF($K930="","",INDEX(Конструктор!$N$2:$N$1212,$K930))</f>
        <v/>
      </c>
      <c r="I930" s="10">
        <f>IF($K930="","",INDEX(Конструктор!$O$2:$O$1212,$K930))</f>
        <v/>
      </c>
      <c r="J930" s="10">
        <f>IF($K930="","",INDEX(Конструктор!$P$2:$P$1212,$K930))</f>
        <v/>
      </c>
      <c r="K930">
        <f>IFERROR(MATCH(910,Конструктор!$T$2:$T$1212,0),"")</f>
        <v/>
      </c>
      <c r="L930">
        <f>IF($K930="","","показать")</f>
        <v/>
      </c>
    </row>
    <row r="931" hidden="1">
      <c r="A931">
        <f>IF($K931="","",911)</f>
        <v/>
      </c>
      <c r="B931">
        <f>IF($K931="","",INDEX(Конструктор!$C$2:$C$1212,$K931))</f>
        <v/>
      </c>
      <c r="C931" s="8">
        <f>IF($K931="","",INDEX(Конструктор!$D$2:$D$1212,$K931)&amp;IF(INDEX(Конструктор!$J$2:$J$1212,$K931)&lt;&gt;""," — "&amp;INDEX(Конструктор!$J$2:$J$1212,$K931),""))</f>
        <v/>
      </c>
      <c r="D931">
        <f>IF($K931="","",INDEX(Конструктор!$E$2:$E$1212,$K931))</f>
        <v/>
      </c>
      <c r="E931" s="10">
        <f>IF($K931="","",INDEX(Конструктор!$H$2:$H$1212,$K931))</f>
        <v/>
      </c>
      <c r="F931" s="10">
        <f>IF($K931="","",INDEX(Конструктор!$L$2:$L$1212,$K931))</f>
        <v/>
      </c>
      <c r="G931" s="10">
        <f>IF($K931="","",INDEX(Конструктор!$M$2:$M$1212,$K931))</f>
        <v/>
      </c>
      <c r="H931" s="10">
        <f>IF($K931="","",INDEX(Конструктор!$N$2:$N$1212,$K931))</f>
        <v/>
      </c>
      <c r="I931" s="10">
        <f>IF($K931="","",INDEX(Конструктор!$O$2:$O$1212,$K931))</f>
        <v/>
      </c>
      <c r="J931" s="10">
        <f>IF($K931="","",INDEX(Конструктор!$P$2:$P$1212,$K931))</f>
        <v/>
      </c>
      <c r="K931">
        <f>IFERROR(MATCH(911,Конструктор!$T$2:$T$1212,0),"")</f>
        <v/>
      </c>
      <c r="L931">
        <f>IF($K931="","","показать")</f>
        <v/>
      </c>
    </row>
    <row r="932" hidden="1">
      <c r="A932">
        <f>IF($K932="","",912)</f>
        <v/>
      </c>
      <c r="B932">
        <f>IF($K932="","",INDEX(Конструктор!$C$2:$C$1212,$K932))</f>
        <v/>
      </c>
      <c r="C932" s="8">
        <f>IF($K932="","",INDEX(Конструктор!$D$2:$D$1212,$K932)&amp;IF(INDEX(Конструктор!$J$2:$J$1212,$K932)&lt;&gt;""," — "&amp;INDEX(Конструктор!$J$2:$J$1212,$K932),""))</f>
        <v/>
      </c>
      <c r="D932">
        <f>IF($K932="","",INDEX(Конструктор!$E$2:$E$1212,$K932))</f>
        <v/>
      </c>
      <c r="E932" s="10">
        <f>IF($K932="","",INDEX(Конструктор!$H$2:$H$1212,$K932))</f>
        <v/>
      </c>
      <c r="F932" s="10">
        <f>IF($K932="","",INDEX(Конструктор!$L$2:$L$1212,$K932))</f>
        <v/>
      </c>
      <c r="G932" s="10">
        <f>IF($K932="","",INDEX(Конструктор!$M$2:$M$1212,$K932))</f>
        <v/>
      </c>
      <c r="H932" s="10">
        <f>IF($K932="","",INDEX(Конструктор!$N$2:$N$1212,$K932))</f>
        <v/>
      </c>
      <c r="I932" s="10">
        <f>IF($K932="","",INDEX(Конструктор!$O$2:$O$1212,$K932))</f>
        <v/>
      </c>
      <c r="J932" s="10">
        <f>IF($K932="","",INDEX(Конструктор!$P$2:$P$1212,$K932))</f>
        <v/>
      </c>
      <c r="K932">
        <f>IFERROR(MATCH(912,Конструктор!$T$2:$T$1212,0),"")</f>
        <v/>
      </c>
      <c r="L932">
        <f>IF($K932="","","показать")</f>
        <v/>
      </c>
    </row>
    <row r="933" hidden="1">
      <c r="A933">
        <f>IF($K933="","",913)</f>
        <v/>
      </c>
      <c r="B933">
        <f>IF($K933="","",INDEX(Конструктор!$C$2:$C$1212,$K933))</f>
        <v/>
      </c>
      <c r="C933" s="8">
        <f>IF($K933="","",INDEX(Конструктор!$D$2:$D$1212,$K933)&amp;IF(INDEX(Конструктор!$J$2:$J$1212,$K933)&lt;&gt;""," — "&amp;INDEX(Конструктор!$J$2:$J$1212,$K933),""))</f>
        <v/>
      </c>
      <c r="D933">
        <f>IF($K933="","",INDEX(Конструктор!$E$2:$E$1212,$K933))</f>
        <v/>
      </c>
      <c r="E933" s="10">
        <f>IF($K933="","",INDEX(Конструктор!$H$2:$H$1212,$K933))</f>
        <v/>
      </c>
      <c r="F933" s="10">
        <f>IF($K933="","",INDEX(Конструктор!$L$2:$L$1212,$K933))</f>
        <v/>
      </c>
      <c r="G933" s="10">
        <f>IF($K933="","",INDEX(Конструктор!$M$2:$M$1212,$K933))</f>
        <v/>
      </c>
      <c r="H933" s="10">
        <f>IF($K933="","",INDEX(Конструктор!$N$2:$N$1212,$K933))</f>
        <v/>
      </c>
      <c r="I933" s="10">
        <f>IF($K933="","",INDEX(Конструктор!$O$2:$O$1212,$K933))</f>
        <v/>
      </c>
      <c r="J933" s="10">
        <f>IF($K933="","",INDEX(Конструктор!$P$2:$P$1212,$K933))</f>
        <v/>
      </c>
      <c r="K933">
        <f>IFERROR(MATCH(913,Конструктор!$T$2:$T$1212,0),"")</f>
        <v/>
      </c>
      <c r="L933">
        <f>IF($K933="","","показать")</f>
        <v/>
      </c>
    </row>
    <row r="934" hidden="1">
      <c r="A934">
        <f>IF($K934="","",914)</f>
        <v/>
      </c>
      <c r="B934">
        <f>IF($K934="","",INDEX(Конструктор!$C$2:$C$1212,$K934))</f>
        <v/>
      </c>
      <c r="C934" s="8">
        <f>IF($K934="","",INDEX(Конструктор!$D$2:$D$1212,$K934)&amp;IF(INDEX(Конструктор!$J$2:$J$1212,$K934)&lt;&gt;""," — "&amp;INDEX(Конструктор!$J$2:$J$1212,$K934),""))</f>
        <v/>
      </c>
      <c r="D934">
        <f>IF($K934="","",INDEX(Конструктор!$E$2:$E$1212,$K934))</f>
        <v/>
      </c>
      <c r="E934" s="10">
        <f>IF($K934="","",INDEX(Конструктор!$H$2:$H$1212,$K934))</f>
        <v/>
      </c>
      <c r="F934" s="10">
        <f>IF($K934="","",INDEX(Конструктор!$L$2:$L$1212,$K934))</f>
        <v/>
      </c>
      <c r="G934" s="10">
        <f>IF($K934="","",INDEX(Конструктор!$M$2:$M$1212,$K934))</f>
        <v/>
      </c>
      <c r="H934" s="10">
        <f>IF($K934="","",INDEX(Конструктор!$N$2:$N$1212,$K934))</f>
        <v/>
      </c>
      <c r="I934" s="10">
        <f>IF($K934="","",INDEX(Конструктор!$O$2:$O$1212,$K934))</f>
        <v/>
      </c>
      <c r="J934" s="10">
        <f>IF($K934="","",INDEX(Конструктор!$P$2:$P$1212,$K934))</f>
        <v/>
      </c>
      <c r="K934">
        <f>IFERROR(MATCH(914,Конструктор!$T$2:$T$1212,0),"")</f>
        <v/>
      </c>
      <c r="L934">
        <f>IF($K934="","","показать")</f>
        <v/>
      </c>
    </row>
    <row r="935" hidden="1">
      <c r="A935">
        <f>IF($K935="","",915)</f>
        <v/>
      </c>
      <c r="B935">
        <f>IF($K935="","",INDEX(Конструктор!$C$2:$C$1212,$K935))</f>
        <v/>
      </c>
      <c r="C935" s="8">
        <f>IF($K935="","",INDEX(Конструктор!$D$2:$D$1212,$K935)&amp;IF(INDEX(Конструктор!$J$2:$J$1212,$K935)&lt;&gt;""," — "&amp;INDEX(Конструктор!$J$2:$J$1212,$K935),""))</f>
        <v/>
      </c>
      <c r="D935">
        <f>IF($K935="","",INDEX(Конструктор!$E$2:$E$1212,$K935))</f>
        <v/>
      </c>
      <c r="E935" s="10">
        <f>IF($K935="","",INDEX(Конструктор!$H$2:$H$1212,$K935))</f>
        <v/>
      </c>
      <c r="F935" s="10">
        <f>IF($K935="","",INDEX(Конструктор!$L$2:$L$1212,$K935))</f>
        <v/>
      </c>
      <c r="G935" s="10">
        <f>IF($K935="","",INDEX(Конструктор!$M$2:$M$1212,$K935))</f>
        <v/>
      </c>
      <c r="H935" s="10">
        <f>IF($K935="","",INDEX(Конструктор!$N$2:$N$1212,$K935))</f>
        <v/>
      </c>
      <c r="I935" s="10">
        <f>IF($K935="","",INDEX(Конструктор!$O$2:$O$1212,$K935))</f>
        <v/>
      </c>
      <c r="J935" s="10">
        <f>IF($K935="","",INDEX(Конструктор!$P$2:$P$1212,$K935))</f>
        <v/>
      </c>
      <c r="K935">
        <f>IFERROR(MATCH(915,Конструктор!$T$2:$T$1212,0),"")</f>
        <v/>
      </c>
      <c r="L935">
        <f>IF($K935="","","показать")</f>
        <v/>
      </c>
    </row>
    <row r="936" hidden="1">
      <c r="A936">
        <f>IF($K936="","",916)</f>
        <v/>
      </c>
      <c r="B936">
        <f>IF($K936="","",INDEX(Конструктор!$C$2:$C$1212,$K936))</f>
        <v/>
      </c>
      <c r="C936" s="8">
        <f>IF($K936="","",INDEX(Конструктор!$D$2:$D$1212,$K936)&amp;IF(INDEX(Конструктор!$J$2:$J$1212,$K936)&lt;&gt;""," — "&amp;INDEX(Конструктор!$J$2:$J$1212,$K936),""))</f>
        <v/>
      </c>
      <c r="D936">
        <f>IF($K936="","",INDEX(Конструктор!$E$2:$E$1212,$K936))</f>
        <v/>
      </c>
      <c r="E936" s="10">
        <f>IF($K936="","",INDEX(Конструктор!$H$2:$H$1212,$K936))</f>
        <v/>
      </c>
      <c r="F936" s="10">
        <f>IF($K936="","",INDEX(Конструктор!$L$2:$L$1212,$K936))</f>
        <v/>
      </c>
      <c r="G936" s="10">
        <f>IF($K936="","",INDEX(Конструктор!$M$2:$M$1212,$K936))</f>
        <v/>
      </c>
      <c r="H936" s="10">
        <f>IF($K936="","",INDEX(Конструктор!$N$2:$N$1212,$K936))</f>
        <v/>
      </c>
      <c r="I936" s="10">
        <f>IF($K936="","",INDEX(Конструктор!$O$2:$O$1212,$K936))</f>
        <v/>
      </c>
      <c r="J936" s="10">
        <f>IF($K936="","",INDEX(Конструктор!$P$2:$P$1212,$K936))</f>
        <v/>
      </c>
      <c r="K936">
        <f>IFERROR(MATCH(916,Конструктор!$T$2:$T$1212,0),"")</f>
        <v/>
      </c>
      <c r="L936">
        <f>IF($K936="","","показать")</f>
        <v/>
      </c>
    </row>
    <row r="937" hidden="1">
      <c r="A937">
        <f>IF($K937="","",917)</f>
        <v/>
      </c>
      <c r="B937">
        <f>IF($K937="","",INDEX(Конструктор!$C$2:$C$1212,$K937))</f>
        <v/>
      </c>
      <c r="C937" s="8">
        <f>IF($K937="","",INDEX(Конструктор!$D$2:$D$1212,$K937)&amp;IF(INDEX(Конструктор!$J$2:$J$1212,$K937)&lt;&gt;""," — "&amp;INDEX(Конструктор!$J$2:$J$1212,$K937),""))</f>
        <v/>
      </c>
      <c r="D937">
        <f>IF($K937="","",INDEX(Конструктор!$E$2:$E$1212,$K937))</f>
        <v/>
      </c>
      <c r="E937" s="10">
        <f>IF($K937="","",INDEX(Конструктор!$H$2:$H$1212,$K937))</f>
        <v/>
      </c>
      <c r="F937" s="10">
        <f>IF($K937="","",INDEX(Конструктор!$L$2:$L$1212,$K937))</f>
        <v/>
      </c>
      <c r="G937" s="10">
        <f>IF($K937="","",INDEX(Конструктор!$M$2:$M$1212,$K937))</f>
        <v/>
      </c>
      <c r="H937" s="10">
        <f>IF($K937="","",INDEX(Конструктор!$N$2:$N$1212,$K937))</f>
        <v/>
      </c>
      <c r="I937" s="10">
        <f>IF($K937="","",INDEX(Конструктор!$O$2:$O$1212,$K937))</f>
        <v/>
      </c>
      <c r="J937" s="10">
        <f>IF($K937="","",INDEX(Конструктор!$P$2:$P$1212,$K937))</f>
        <v/>
      </c>
      <c r="K937">
        <f>IFERROR(MATCH(917,Конструктор!$T$2:$T$1212,0),"")</f>
        <v/>
      </c>
      <c r="L937">
        <f>IF($K937="","","показать")</f>
        <v/>
      </c>
    </row>
    <row r="938" hidden="1">
      <c r="A938">
        <f>IF($K938="","",918)</f>
        <v/>
      </c>
      <c r="B938">
        <f>IF($K938="","",INDEX(Конструктор!$C$2:$C$1212,$K938))</f>
        <v/>
      </c>
      <c r="C938" s="8">
        <f>IF($K938="","",INDEX(Конструктор!$D$2:$D$1212,$K938)&amp;IF(INDEX(Конструктор!$J$2:$J$1212,$K938)&lt;&gt;""," — "&amp;INDEX(Конструктор!$J$2:$J$1212,$K938),""))</f>
        <v/>
      </c>
      <c r="D938">
        <f>IF($K938="","",INDEX(Конструктор!$E$2:$E$1212,$K938))</f>
        <v/>
      </c>
      <c r="E938" s="10">
        <f>IF($K938="","",INDEX(Конструктор!$H$2:$H$1212,$K938))</f>
        <v/>
      </c>
      <c r="F938" s="10">
        <f>IF($K938="","",INDEX(Конструктор!$L$2:$L$1212,$K938))</f>
        <v/>
      </c>
      <c r="G938" s="10">
        <f>IF($K938="","",INDEX(Конструктор!$M$2:$M$1212,$K938))</f>
        <v/>
      </c>
      <c r="H938" s="10">
        <f>IF($K938="","",INDEX(Конструктор!$N$2:$N$1212,$K938))</f>
        <v/>
      </c>
      <c r="I938" s="10">
        <f>IF($K938="","",INDEX(Конструктор!$O$2:$O$1212,$K938))</f>
        <v/>
      </c>
      <c r="J938" s="10">
        <f>IF($K938="","",INDEX(Конструктор!$P$2:$P$1212,$K938))</f>
        <v/>
      </c>
      <c r="K938">
        <f>IFERROR(MATCH(918,Конструктор!$T$2:$T$1212,0),"")</f>
        <v/>
      </c>
      <c r="L938">
        <f>IF($K938="","","показать")</f>
        <v/>
      </c>
    </row>
    <row r="939" hidden="1">
      <c r="A939">
        <f>IF($K939="","",919)</f>
        <v/>
      </c>
      <c r="B939">
        <f>IF($K939="","",INDEX(Конструктор!$C$2:$C$1212,$K939))</f>
        <v/>
      </c>
      <c r="C939" s="8">
        <f>IF($K939="","",INDEX(Конструктор!$D$2:$D$1212,$K939)&amp;IF(INDEX(Конструктор!$J$2:$J$1212,$K939)&lt;&gt;""," — "&amp;INDEX(Конструктор!$J$2:$J$1212,$K939),""))</f>
        <v/>
      </c>
      <c r="D939">
        <f>IF($K939="","",INDEX(Конструктор!$E$2:$E$1212,$K939))</f>
        <v/>
      </c>
      <c r="E939" s="10">
        <f>IF($K939="","",INDEX(Конструктор!$H$2:$H$1212,$K939))</f>
        <v/>
      </c>
      <c r="F939" s="10">
        <f>IF($K939="","",INDEX(Конструктор!$L$2:$L$1212,$K939))</f>
        <v/>
      </c>
      <c r="G939" s="10">
        <f>IF($K939="","",INDEX(Конструктор!$M$2:$M$1212,$K939))</f>
        <v/>
      </c>
      <c r="H939" s="10">
        <f>IF($K939="","",INDEX(Конструктор!$N$2:$N$1212,$K939))</f>
        <v/>
      </c>
      <c r="I939" s="10">
        <f>IF($K939="","",INDEX(Конструктор!$O$2:$O$1212,$K939))</f>
        <v/>
      </c>
      <c r="J939" s="10">
        <f>IF($K939="","",INDEX(Конструктор!$P$2:$P$1212,$K939))</f>
        <v/>
      </c>
      <c r="K939">
        <f>IFERROR(MATCH(919,Конструктор!$T$2:$T$1212,0),"")</f>
        <v/>
      </c>
      <c r="L939">
        <f>IF($K939="","","показать")</f>
        <v/>
      </c>
    </row>
    <row r="940" hidden="1">
      <c r="A940">
        <f>IF($K940="","",920)</f>
        <v/>
      </c>
      <c r="B940">
        <f>IF($K940="","",INDEX(Конструктор!$C$2:$C$1212,$K940))</f>
        <v/>
      </c>
      <c r="C940" s="8">
        <f>IF($K940="","",INDEX(Конструктор!$D$2:$D$1212,$K940)&amp;IF(INDEX(Конструктор!$J$2:$J$1212,$K940)&lt;&gt;""," — "&amp;INDEX(Конструктор!$J$2:$J$1212,$K940),""))</f>
        <v/>
      </c>
      <c r="D940">
        <f>IF($K940="","",INDEX(Конструктор!$E$2:$E$1212,$K940))</f>
        <v/>
      </c>
      <c r="E940" s="10">
        <f>IF($K940="","",INDEX(Конструктор!$H$2:$H$1212,$K940))</f>
        <v/>
      </c>
      <c r="F940" s="10">
        <f>IF($K940="","",INDEX(Конструктор!$L$2:$L$1212,$K940))</f>
        <v/>
      </c>
      <c r="G940" s="10">
        <f>IF($K940="","",INDEX(Конструктор!$M$2:$M$1212,$K940))</f>
        <v/>
      </c>
      <c r="H940" s="10">
        <f>IF($K940="","",INDEX(Конструктор!$N$2:$N$1212,$K940))</f>
        <v/>
      </c>
      <c r="I940" s="10">
        <f>IF($K940="","",INDEX(Конструктор!$O$2:$O$1212,$K940))</f>
        <v/>
      </c>
      <c r="J940" s="10">
        <f>IF($K940="","",INDEX(Конструктор!$P$2:$P$1212,$K940))</f>
        <v/>
      </c>
      <c r="K940">
        <f>IFERROR(MATCH(920,Конструктор!$T$2:$T$1212,0),"")</f>
        <v/>
      </c>
      <c r="L940">
        <f>IF($K940="","","показать")</f>
        <v/>
      </c>
    </row>
    <row r="941" hidden="1">
      <c r="A941">
        <f>IF($K941="","",921)</f>
        <v/>
      </c>
      <c r="B941">
        <f>IF($K941="","",INDEX(Конструктор!$C$2:$C$1212,$K941))</f>
        <v/>
      </c>
      <c r="C941" s="8">
        <f>IF($K941="","",INDEX(Конструктор!$D$2:$D$1212,$K941)&amp;IF(INDEX(Конструктор!$J$2:$J$1212,$K941)&lt;&gt;""," — "&amp;INDEX(Конструктор!$J$2:$J$1212,$K941),""))</f>
        <v/>
      </c>
      <c r="D941">
        <f>IF($K941="","",INDEX(Конструктор!$E$2:$E$1212,$K941))</f>
        <v/>
      </c>
      <c r="E941" s="10">
        <f>IF($K941="","",INDEX(Конструктор!$H$2:$H$1212,$K941))</f>
        <v/>
      </c>
      <c r="F941" s="10">
        <f>IF($K941="","",INDEX(Конструктор!$L$2:$L$1212,$K941))</f>
        <v/>
      </c>
      <c r="G941" s="10">
        <f>IF($K941="","",INDEX(Конструктор!$M$2:$M$1212,$K941))</f>
        <v/>
      </c>
      <c r="H941" s="10">
        <f>IF($K941="","",INDEX(Конструктор!$N$2:$N$1212,$K941))</f>
        <v/>
      </c>
      <c r="I941" s="10">
        <f>IF($K941="","",INDEX(Конструктор!$O$2:$O$1212,$K941))</f>
        <v/>
      </c>
      <c r="J941" s="10">
        <f>IF($K941="","",INDEX(Конструктор!$P$2:$P$1212,$K941))</f>
        <v/>
      </c>
      <c r="K941">
        <f>IFERROR(MATCH(921,Конструктор!$T$2:$T$1212,0),"")</f>
        <v/>
      </c>
      <c r="L941">
        <f>IF($K941="","","показать")</f>
        <v/>
      </c>
    </row>
    <row r="942" hidden="1">
      <c r="A942">
        <f>IF($K942="","",922)</f>
        <v/>
      </c>
      <c r="B942">
        <f>IF($K942="","",INDEX(Конструктор!$C$2:$C$1212,$K942))</f>
        <v/>
      </c>
      <c r="C942" s="8">
        <f>IF($K942="","",INDEX(Конструктор!$D$2:$D$1212,$K942)&amp;IF(INDEX(Конструктор!$J$2:$J$1212,$K942)&lt;&gt;""," — "&amp;INDEX(Конструктор!$J$2:$J$1212,$K942),""))</f>
        <v/>
      </c>
      <c r="D942">
        <f>IF($K942="","",INDEX(Конструктор!$E$2:$E$1212,$K942))</f>
        <v/>
      </c>
      <c r="E942" s="10">
        <f>IF($K942="","",INDEX(Конструктор!$H$2:$H$1212,$K942))</f>
        <v/>
      </c>
      <c r="F942" s="10">
        <f>IF($K942="","",INDEX(Конструктор!$L$2:$L$1212,$K942))</f>
        <v/>
      </c>
      <c r="G942" s="10">
        <f>IF($K942="","",INDEX(Конструктор!$M$2:$M$1212,$K942))</f>
        <v/>
      </c>
      <c r="H942" s="10">
        <f>IF($K942="","",INDEX(Конструктор!$N$2:$N$1212,$K942))</f>
        <v/>
      </c>
      <c r="I942" s="10">
        <f>IF($K942="","",INDEX(Конструктор!$O$2:$O$1212,$K942))</f>
        <v/>
      </c>
      <c r="J942" s="10">
        <f>IF($K942="","",INDEX(Конструктор!$P$2:$P$1212,$K942))</f>
        <v/>
      </c>
      <c r="K942">
        <f>IFERROR(MATCH(922,Конструктор!$T$2:$T$1212,0),"")</f>
        <v/>
      </c>
      <c r="L942">
        <f>IF($K942="","","показать")</f>
        <v/>
      </c>
    </row>
    <row r="943" hidden="1">
      <c r="A943">
        <f>IF($K943="","",923)</f>
        <v/>
      </c>
      <c r="B943">
        <f>IF($K943="","",INDEX(Конструктор!$C$2:$C$1212,$K943))</f>
        <v/>
      </c>
      <c r="C943" s="8">
        <f>IF($K943="","",INDEX(Конструктор!$D$2:$D$1212,$K943)&amp;IF(INDEX(Конструктор!$J$2:$J$1212,$K943)&lt;&gt;""," — "&amp;INDEX(Конструктор!$J$2:$J$1212,$K943),""))</f>
        <v/>
      </c>
      <c r="D943">
        <f>IF($K943="","",INDEX(Конструктор!$E$2:$E$1212,$K943))</f>
        <v/>
      </c>
      <c r="E943" s="10">
        <f>IF($K943="","",INDEX(Конструктор!$H$2:$H$1212,$K943))</f>
        <v/>
      </c>
      <c r="F943" s="10">
        <f>IF($K943="","",INDEX(Конструктор!$L$2:$L$1212,$K943))</f>
        <v/>
      </c>
      <c r="G943" s="10">
        <f>IF($K943="","",INDEX(Конструктор!$M$2:$M$1212,$K943))</f>
        <v/>
      </c>
      <c r="H943" s="10">
        <f>IF($K943="","",INDEX(Конструктор!$N$2:$N$1212,$K943))</f>
        <v/>
      </c>
      <c r="I943" s="10">
        <f>IF($K943="","",INDEX(Конструктор!$O$2:$O$1212,$K943))</f>
        <v/>
      </c>
      <c r="J943" s="10">
        <f>IF($K943="","",INDEX(Конструктор!$P$2:$P$1212,$K943))</f>
        <v/>
      </c>
      <c r="K943">
        <f>IFERROR(MATCH(923,Конструктор!$T$2:$T$1212,0),"")</f>
        <v/>
      </c>
      <c r="L943">
        <f>IF($K943="","","показать")</f>
        <v/>
      </c>
    </row>
    <row r="944" hidden="1">
      <c r="A944">
        <f>IF($K944="","",924)</f>
        <v/>
      </c>
      <c r="B944">
        <f>IF($K944="","",INDEX(Конструктор!$C$2:$C$1212,$K944))</f>
        <v/>
      </c>
      <c r="C944" s="8">
        <f>IF($K944="","",INDEX(Конструктор!$D$2:$D$1212,$K944)&amp;IF(INDEX(Конструктор!$J$2:$J$1212,$K944)&lt;&gt;""," — "&amp;INDEX(Конструктор!$J$2:$J$1212,$K944),""))</f>
        <v/>
      </c>
      <c r="D944">
        <f>IF($K944="","",INDEX(Конструктор!$E$2:$E$1212,$K944))</f>
        <v/>
      </c>
      <c r="E944" s="10">
        <f>IF($K944="","",INDEX(Конструктор!$H$2:$H$1212,$K944))</f>
        <v/>
      </c>
      <c r="F944" s="10">
        <f>IF($K944="","",INDEX(Конструктор!$L$2:$L$1212,$K944))</f>
        <v/>
      </c>
      <c r="G944" s="10">
        <f>IF($K944="","",INDEX(Конструктор!$M$2:$M$1212,$K944))</f>
        <v/>
      </c>
      <c r="H944" s="10">
        <f>IF($K944="","",INDEX(Конструктор!$N$2:$N$1212,$K944))</f>
        <v/>
      </c>
      <c r="I944" s="10">
        <f>IF($K944="","",INDEX(Конструктор!$O$2:$O$1212,$K944))</f>
        <v/>
      </c>
      <c r="J944" s="10">
        <f>IF($K944="","",INDEX(Конструктор!$P$2:$P$1212,$K944))</f>
        <v/>
      </c>
      <c r="K944">
        <f>IFERROR(MATCH(924,Конструктор!$T$2:$T$1212,0),"")</f>
        <v/>
      </c>
      <c r="L944">
        <f>IF($K944="","","показать")</f>
        <v/>
      </c>
    </row>
    <row r="945" hidden="1">
      <c r="A945">
        <f>IF($K945="","",925)</f>
        <v/>
      </c>
      <c r="B945">
        <f>IF($K945="","",INDEX(Конструктор!$C$2:$C$1212,$K945))</f>
        <v/>
      </c>
      <c r="C945" s="8">
        <f>IF($K945="","",INDEX(Конструктор!$D$2:$D$1212,$K945)&amp;IF(INDEX(Конструктор!$J$2:$J$1212,$K945)&lt;&gt;""," — "&amp;INDEX(Конструктор!$J$2:$J$1212,$K945),""))</f>
        <v/>
      </c>
      <c r="D945">
        <f>IF($K945="","",INDEX(Конструктор!$E$2:$E$1212,$K945))</f>
        <v/>
      </c>
      <c r="E945" s="10">
        <f>IF($K945="","",INDEX(Конструктор!$H$2:$H$1212,$K945))</f>
        <v/>
      </c>
      <c r="F945" s="10">
        <f>IF($K945="","",INDEX(Конструктор!$L$2:$L$1212,$K945))</f>
        <v/>
      </c>
      <c r="G945" s="10">
        <f>IF($K945="","",INDEX(Конструктор!$M$2:$M$1212,$K945))</f>
        <v/>
      </c>
      <c r="H945" s="10">
        <f>IF($K945="","",INDEX(Конструктор!$N$2:$N$1212,$K945))</f>
        <v/>
      </c>
      <c r="I945" s="10">
        <f>IF($K945="","",INDEX(Конструктор!$O$2:$O$1212,$K945))</f>
        <v/>
      </c>
      <c r="J945" s="10">
        <f>IF($K945="","",INDEX(Конструктор!$P$2:$P$1212,$K945))</f>
        <v/>
      </c>
      <c r="K945">
        <f>IFERROR(MATCH(925,Конструктор!$T$2:$T$1212,0),"")</f>
        <v/>
      </c>
      <c r="L945">
        <f>IF($K945="","","показать")</f>
        <v/>
      </c>
    </row>
    <row r="946" hidden="1">
      <c r="A946">
        <f>IF($K946="","",926)</f>
        <v/>
      </c>
      <c r="B946">
        <f>IF($K946="","",INDEX(Конструктор!$C$2:$C$1212,$K946))</f>
        <v/>
      </c>
      <c r="C946" s="8">
        <f>IF($K946="","",INDEX(Конструктор!$D$2:$D$1212,$K946)&amp;IF(INDEX(Конструктор!$J$2:$J$1212,$K946)&lt;&gt;""," — "&amp;INDEX(Конструктор!$J$2:$J$1212,$K946),""))</f>
        <v/>
      </c>
      <c r="D946">
        <f>IF($K946="","",INDEX(Конструктор!$E$2:$E$1212,$K946))</f>
        <v/>
      </c>
      <c r="E946" s="10">
        <f>IF($K946="","",INDEX(Конструктор!$H$2:$H$1212,$K946))</f>
        <v/>
      </c>
      <c r="F946" s="10">
        <f>IF($K946="","",INDEX(Конструктор!$L$2:$L$1212,$K946))</f>
        <v/>
      </c>
      <c r="G946" s="10">
        <f>IF($K946="","",INDEX(Конструктор!$M$2:$M$1212,$K946))</f>
        <v/>
      </c>
      <c r="H946" s="10">
        <f>IF($K946="","",INDEX(Конструктор!$N$2:$N$1212,$K946))</f>
        <v/>
      </c>
      <c r="I946" s="10">
        <f>IF($K946="","",INDEX(Конструктор!$O$2:$O$1212,$K946))</f>
        <v/>
      </c>
      <c r="J946" s="10">
        <f>IF($K946="","",INDEX(Конструктор!$P$2:$P$1212,$K946))</f>
        <v/>
      </c>
      <c r="K946">
        <f>IFERROR(MATCH(926,Конструктор!$T$2:$T$1212,0),"")</f>
        <v/>
      </c>
      <c r="L946">
        <f>IF($K946="","","показать")</f>
        <v/>
      </c>
    </row>
    <row r="947" hidden="1">
      <c r="A947">
        <f>IF($K947="","",927)</f>
        <v/>
      </c>
      <c r="B947">
        <f>IF($K947="","",INDEX(Конструктор!$C$2:$C$1212,$K947))</f>
        <v/>
      </c>
      <c r="C947" s="8">
        <f>IF($K947="","",INDEX(Конструктор!$D$2:$D$1212,$K947)&amp;IF(INDEX(Конструктор!$J$2:$J$1212,$K947)&lt;&gt;""," — "&amp;INDEX(Конструктор!$J$2:$J$1212,$K947),""))</f>
        <v/>
      </c>
      <c r="D947">
        <f>IF($K947="","",INDEX(Конструктор!$E$2:$E$1212,$K947))</f>
        <v/>
      </c>
      <c r="E947" s="10">
        <f>IF($K947="","",INDEX(Конструктор!$H$2:$H$1212,$K947))</f>
        <v/>
      </c>
      <c r="F947" s="10">
        <f>IF($K947="","",INDEX(Конструктор!$L$2:$L$1212,$K947))</f>
        <v/>
      </c>
      <c r="G947" s="10">
        <f>IF($K947="","",INDEX(Конструктор!$M$2:$M$1212,$K947))</f>
        <v/>
      </c>
      <c r="H947" s="10">
        <f>IF($K947="","",INDEX(Конструктор!$N$2:$N$1212,$K947))</f>
        <v/>
      </c>
      <c r="I947" s="10">
        <f>IF($K947="","",INDEX(Конструктор!$O$2:$O$1212,$K947))</f>
        <v/>
      </c>
      <c r="J947" s="10">
        <f>IF($K947="","",INDEX(Конструктор!$P$2:$P$1212,$K947))</f>
        <v/>
      </c>
      <c r="K947">
        <f>IFERROR(MATCH(927,Конструктор!$T$2:$T$1212,0),"")</f>
        <v/>
      </c>
      <c r="L947">
        <f>IF($K947="","","показать")</f>
        <v/>
      </c>
    </row>
    <row r="948" hidden="1">
      <c r="A948">
        <f>IF($K948="","",928)</f>
        <v/>
      </c>
      <c r="B948">
        <f>IF($K948="","",INDEX(Конструктор!$C$2:$C$1212,$K948))</f>
        <v/>
      </c>
      <c r="C948" s="8">
        <f>IF($K948="","",INDEX(Конструктор!$D$2:$D$1212,$K948)&amp;IF(INDEX(Конструктор!$J$2:$J$1212,$K948)&lt;&gt;""," — "&amp;INDEX(Конструктор!$J$2:$J$1212,$K948),""))</f>
        <v/>
      </c>
      <c r="D948">
        <f>IF($K948="","",INDEX(Конструктор!$E$2:$E$1212,$K948))</f>
        <v/>
      </c>
      <c r="E948" s="10">
        <f>IF($K948="","",INDEX(Конструктор!$H$2:$H$1212,$K948))</f>
        <v/>
      </c>
      <c r="F948" s="10">
        <f>IF($K948="","",INDEX(Конструктор!$L$2:$L$1212,$K948))</f>
        <v/>
      </c>
      <c r="G948" s="10">
        <f>IF($K948="","",INDEX(Конструктор!$M$2:$M$1212,$K948))</f>
        <v/>
      </c>
      <c r="H948" s="10">
        <f>IF($K948="","",INDEX(Конструктор!$N$2:$N$1212,$K948))</f>
        <v/>
      </c>
      <c r="I948" s="10">
        <f>IF($K948="","",INDEX(Конструктор!$O$2:$O$1212,$K948))</f>
        <v/>
      </c>
      <c r="J948" s="10">
        <f>IF($K948="","",INDEX(Конструктор!$P$2:$P$1212,$K948))</f>
        <v/>
      </c>
      <c r="K948">
        <f>IFERROR(MATCH(928,Конструктор!$T$2:$T$1212,0),"")</f>
        <v/>
      </c>
      <c r="L948">
        <f>IF($K948="","","показать")</f>
        <v/>
      </c>
    </row>
    <row r="949" hidden="1">
      <c r="A949">
        <f>IF($K949="","",929)</f>
        <v/>
      </c>
      <c r="B949">
        <f>IF($K949="","",INDEX(Конструктор!$C$2:$C$1212,$K949))</f>
        <v/>
      </c>
      <c r="C949" s="8">
        <f>IF($K949="","",INDEX(Конструктор!$D$2:$D$1212,$K949)&amp;IF(INDEX(Конструктор!$J$2:$J$1212,$K949)&lt;&gt;""," — "&amp;INDEX(Конструктор!$J$2:$J$1212,$K949),""))</f>
        <v/>
      </c>
      <c r="D949">
        <f>IF($K949="","",INDEX(Конструктор!$E$2:$E$1212,$K949))</f>
        <v/>
      </c>
      <c r="E949" s="10">
        <f>IF($K949="","",INDEX(Конструктор!$H$2:$H$1212,$K949))</f>
        <v/>
      </c>
      <c r="F949" s="10">
        <f>IF($K949="","",INDEX(Конструктор!$L$2:$L$1212,$K949))</f>
        <v/>
      </c>
      <c r="G949" s="10">
        <f>IF($K949="","",INDEX(Конструктор!$M$2:$M$1212,$K949))</f>
        <v/>
      </c>
      <c r="H949" s="10">
        <f>IF($K949="","",INDEX(Конструктор!$N$2:$N$1212,$K949))</f>
        <v/>
      </c>
      <c r="I949" s="10">
        <f>IF($K949="","",INDEX(Конструктор!$O$2:$O$1212,$K949))</f>
        <v/>
      </c>
      <c r="J949" s="10">
        <f>IF($K949="","",INDEX(Конструктор!$P$2:$P$1212,$K949))</f>
        <v/>
      </c>
      <c r="K949">
        <f>IFERROR(MATCH(929,Конструктор!$T$2:$T$1212,0),"")</f>
        <v/>
      </c>
      <c r="L949">
        <f>IF($K949="","","показать")</f>
        <v/>
      </c>
    </row>
    <row r="950" hidden="1">
      <c r="A950">
        <f>IF($K950="","",930)</f>
        <v/>
      </c>
      <c r="B950">
        <f>IF($K950="","",INDEX(Конструктор!$C$2:$C$1212,$K950))</f>
        <v/>
      </c>
      <c r="C950" s="8">
        <f>IF($K950="","",INDEX(Конструктор!$D$2:$D$1212,$K950)&amp;IF(INDEX(Конструктор!$J$2:$J$1212,$K950)&lt;&gt;""," — "&amp;INDEX(Конструктор!$J$2:$J$1212,$K950),""))</f>
        <v/>
      </c>
      <c r="D950">
        <f>IF($K950="","",INDEX(Конструктор!$E$2:$E$1212,$K950))</f>
        <v/>
      </c>
      <c r="E950" s="10">
        <f>IF($K950="","",INDEX(Конструктор!$H$2:$H$1212,$K950))</f>
        <v/>
      </c>
      <c r="F950" s="10">
        <f>IF($K950="","",INDEX(Конструктор!$L$2:$L$1212,$K950))</f>
        <v/>
      </c>
      <c r="G950" s="10">
        <f>IF($K950="","",INDEX(Конструктор!$M$2:$M$1212,$K950))</f>
        <v/>
      </c>
      <c r="H950" s="10">
        <f>IF($K950="","",INDEX(Конструктор!$N$2:$N$1212,$K950))</f>
        <v/>
      </c>
      <c r="I950" s="10">
        <f>IF($K950="","",INDEX(Конструктор!$O$2:$O$1212,$K950))</f>
        <v/>
      </c>
      <c r="J950" s="10">
        <f>IF($K950="","",INDEX(Конструктор!$P$2:$P$1212,$K950))</f>
        <v/>
      </c>
      <c r="K950">
        <f>IFERROR(MATCH(930,Конструктор!$T$2:$T$1212,0),"")</f>
        <v/>
      </c>
      <c r="L950">
        <f>IF($K950="","","показать")</f>
        <v/>
      </c>
    </row>
    <row r="951" hidden="1">
      <c r="A951">
        <f>IF($K951="","",931)</f>
        <v/>
      </c>
      <c r="B951">
        <f>IF($K951="","",INDEX(Конструктор!$C$2:$C$1212,$K951))</f>
        <v/>
      </c>
      <c r="C951" s="8">
        <f>IF($K951="","",INDEX(Конструктор!$D$2:$D$1212,$K951)&amp;IF(INDEX(Конструктор!$J$2:$J$1212,$K951)&lt;&gt;""," — "&amp;INDEX(Конструктор!$J$2:$J$1212,$K951),""))</f>
        <v/>
      </c>
      <c r="D951">
        <f>IF($K951="","",INDEX(Конструктор!$E$2:$E$1212,$K951))</f>
        <v/>
      </c>
      <c r="E951" s="10">
        <f>IF($K951="","",INDEX(Конструктор!$H$2:$H$1212,$K951))</f>
        <v/>
      </c>
      <c r="F951" s="10">
        <f>IF($K951="","",INDEX(Конструктор!$L$2:$L$1212,$K951))</f>
        <v/>
      </c>
      <c r="G951" s="10">
        <f>IF($K951="","",INDEX(Конструктор!$M$2:$M$1212,$K951))</f>
        <v/>
      </c>
      <c r="H951" s="10">
        <f>IF($K951="","",INDEX(Конструктор!$N$2:$N$1212,$K951))</f>
        <v/>
      </c>
      <c r="I951" s="10">
        <f>IF($K951="","",INDEX(Конструктор!$O$2:$O$1212,$K951))</f>
        <v/>
      </c>
      <c r="J951" s="10">
        <f>IF($K951="","",INDEX(Конструктор!$P$2:$P$1212,$K951))</f>
        <v/>
      </c>
      <c r="K951">
        <f>IFERROR(MATCH(931,Конструктор!$T$2:$T$1212,0),"")</f>
        <v/>
      </c>
      <c r="L951">
        <f>IF($K951="","","показать")</f>
        <v/>
      </c>
    </row>
    <row r="952" hidden="1">
      <c r="A952">
        <f>IF($K952="","",932)</f>
        <v/>
      </c>
      <c r="B952">
        <f>IF($K952="","",INDEX(Конструктор!$C$2:$C$1212,$K952))</f>
        <v/>
      </c>
      <c r="C952" s="8">
        <f>IF($K952="","",INDEX(Конструктор!$D$2:$D$1212,$K952)&amp;IF(INDEX(Конструктор!$J$2:$J$1212,$K952)&lt;&gt;""," — "&amp;INDEX(Конструктор!$J$2:$J$1212,$K952),""))</f>
        <v/>
      </c>
      <c r="D952">
        <f>IF($K952="","",INDEX(Конструктор!$E$2:$E$1212,$K952))</f>
        <v/>
      </c>
      <c r="E952" s="10">
        <f>IF($K952="","",INDEX(Конструктор!$H$2:$H$1212,$K952))</f>
        <v/>
      </c>
      <c r="F952" s="10">
        <f>IF($K952="","",INDEX(Конструктор!$L$2:$L$1212,$K952))</f>
        <v/>
      </c>
      <c r="G952" s="10">
        <f>IF($K952="","",INDEX(Конструктор!$M$2:$M$1212,$K952))</f>
        <v/>
      </c>
      <c r="H952" s="10">
        <f>IF($K952="","",INDEX(Конструктор!$N$2:$N$1212,$K952))</f>
        <v/>
      </c>
      <c r="I952" s="10">
        <f>IF($K952="","",INDEX(Конструктор!$O$2:$O$1212,$K952))</f>
        <v/>
      </c>
      <c r="J952" s="10">
        <f>IF($K952="","",INDEX(Конструктор!$P$2:$P$1212,$K952))</f>
        <v/>
      </c>
      <c r="K952">
        <f>IFERROR(MATCH(932,Конструктор!$T$2:$T$1212,0),"")</f>
        <v/>
      </c>
      <c r="L952">
        <f>IF($K952="","","показать")</f>
        <v/>
      </c>
    </row>
    <row r="953" hidden="1">
      <c r="A953">
        <f>IF($K953="","",933)</f>
        <v/>
      </c>
      <c r="B953">
        <f>IF($K953="","",INDEX(Конструктор!$C$2:$C$1212,$K953))</f>
        <v/>
      </c>
      <c r="C953" s="8">
        <f>IF($K953="","",INDEX(Конструктор!$D$2:$D$1212,$K953)&amp;IF(INDEX(Конструктор!$J$2:$J$1212,$K953)&lt;&gt;""," — "&amp;INDEX(Конструктор!$J$2:$J$1212,$K953),""))</f>
        <v/>
      </c>
      <c r="D953">
        <f>IF($K953="","",INDEX(Конструктор!$E$2:$E$1212,$K953))</f>
        <v/>
      </c>
      <c r="E953" s="10">
        <f>IF($K953="","",INDEX(Конструктор!$H$2:$H$1212,$K953))</f>
        <v/>
      </c>
      <c r="F953" s="10">
        <f>IF($K953="","",INDEX(Конструктор!$L$2:$L$1212,$K953))</f>
        <v/>
      </c>
      <c r="G953" s="10">
        <f>IF($K953="","",INDEX(Конструктор!$M$2:$M$1212,$K953))</f>
        <v/>
      </c>
      <c r="H953" s="10">
        <f>IF($K953="","",INDEX(Конструктор!$N$2:$N$1212,$K953))</f>
        <v/>
      </c>
      <c r="I953" s="10">
        <f>IF($K953="","",INDEX(Конструктор!$O$2:$O$1212,$K953))</f>
        <v/>
      </c>
      <c r="J953" s="10">
        <f>IF($K953="","",INDEX(Конструктор!$P$2:$P$1212,$K953))</f>
        <v/>
      </c>
      <c r="K953">
        <f>IFERROR(MATCH(933,Конструктор!$T$2:$T$1212,0),"")</f>
        <v/>
      </c>
      <c r="L953">
        <f>IF($K953="","","показать")</f>
        <v/>
      </c>
    </row>
    <row r="954" hidden="1">
      <c r="A954">
        <f>IF($K954="","",934)</f>
        <v/>
      </c>
      <c r="B954">
        <f>IF($K954="","",INDEX(Конструктор!$C$2:$C$1212,$K954))</f>
        <v/>
      </c>
      <c r="C954" s="8">
        <f>IF($K954="","",INDEX(Конструктор!$D$2:$D$1212,$K954)&amp;IF(INDEX(Конструктор!$J$2:$J$1212,$K954)&lt;&gt;""," — "&amp;INDEX(Конструктор!$J$2:$J$1212,$K954),""))</f>
        <v/>
      </c>
      <c r="D954">
        <f>IF($K954="","",INDEX(Конструктор!$E$2:$E$1212,$K954))</f>
        <v/>
      </c>
      <c r="E954" s="10">
        <f>IF($K954="","",INDEX(Конструктор!$H$2:$H$1212,$K954))</f>
        <v/>
      </c>
      <c r="F954" s="10">
        <f>IF($K954="","",INDEX(Конструктор!$L$2:$L$1212,$K954))</f>
        <v/>
      </c>
      <c r="G954" s="10">
        <f>IF($K954="","",INDEX(Конструктор!$M$2:$M$1212,$K954))</f>
        <v/>
      </c>
      <c r="H954" s="10">
        <f>IF($K954="","",INDEX(Конструктор!$N$2:$N$1212,$K954))</f>
        <v/>
      </c>
      <c r="I954" s="10">
        <f>IF($K954="","",INDEX(Конструктор!$O$2:$O$1212,$K954))</f>
        <v/>
      </c>
      <c r="J954" s="10">
        <f>IF($K954="","",INDEX(Конструктор!$P$2:$P$1212,$K954))</f>
        <v/>
      </c>
      <c r="K954">
        <f>IFERROR(MATCH(934,Конструктор!$T$2:$T$1212,0),"")</f>
        <v/>
      </c>
      <c r="L954">
        <f>IF($K954="","","показать")</f>
        <v/>
      </c>
    </row>
    <row r="955" hidden="1">
      <c r="A955">
        <f>IF($K955="","",935)</f>
        <v/>
      </c>
      <c r="B955">
        <f>IF($K955="","",INDEX(Конструктор!$C$2:$C$1212,$K955))</f>
        <v/>
      </c>
      <c r="C955" s="8">
        <f>IF($K955="","",INDEX(Конструктор!$D$2:$D$1212,$K955)&amp;IF(INDEX(Конструктор!$J$2:$J$1212,$K955)&lt;&gt;""," — "&amp;INDEX(Конструктор!$J$2:$J$1212,$K955),""))</f>
        <v/>
      </c>
      <c r="D955">
        <f>IF($K955="","",INDEX(Конструктор!$E$2:$E$1212,$K955))</f>
        <v/>
      </c>
      <c r="E955" s="10">
        <f>IF($K955="","",INDEX(Конструктор!$H$2:$H$1212,$K955))</f>
        <v/>
      </c>
      <c r="F955" s="10">
        <f>IF($K955="","",INDEX(Конструктор!$L$2:$L$1212,$K955))</f>
        <v/>
      </c>
      <c r="G955" s="10">
        <f>IF($K955="","",INDEX(Конструктор!$M$2:$M$1212,$K955))</f>
        <v/>
      </c>
      <c r="H955" s="10">
        <f>IF($K955="","",INDEX(Конструктор!$N$2:$N$1212,$K955))</f>
        <v/>
      </c>
      <c r="I955" s="10">
        <f>IF($K955="","",INDEX(Конструктор!$O$2:$O$1212,$K955))</f>
        <v/>
      </c>
      <c r="J955" s="10">
        <f>IF($K955="","",INDEX(Конструктор!$P$2:$P$1212,$K955))</f>
        <v/>
      </c>
      <c r="K955">
        <f>IFERROR(MATCH(935,Конструктор!$T$2:$T$1212,0),"")</f>
        <v/>
      </c>
      <c r="L955">
        <f>IF($K955="","","показать")</f>
        <v/>
      </c>
    </row>
    <row r="956" hidden="1">
      <c r="A956">
        <f>IF($K956="","",936)</f>
        <v/>
      </c>
      <c r="B956">
        <f>IF($K956="","",INDEX(Конструктор!$C$2:$C$1212,$K956))</f>
        <v/>
      </c>
      <c r="C956" s="8">
        <f>IF($K956="","",INDEX(Конструктор!$D$2:$D$1212,$K956)&amp;IF(INDEX(Конструктор!$J$2:$J$1212,$K956)&lt;&gt;""," — "&amp;INDEX(Конструктор!$J$2:$J$1212,$K956),""))</f>
        <v/>
      </c>
      <c r="D956">
        <f>IF($K956="","",INDEX(Конструктор!$E$2:$E$1212,$K956))</f>
        <v/>
      </c>
      <c r="E956" s="10">
        <f>IF($K956="","",INDEX(Конструктор!$H$2:$H$1212,$K956))</f>
        <v/>
      </c>
      <c r="F956" s="10">
        <f>IF($K956="","",INDEX(Конструктор!$L$2:$L$1212,$K956))</f>
        <v/>
      </c>
      <c r="G956" s="10">
        <f>IF($K956="","",INDEX(Конструктор!$M$2:$M$1212,$K956))</f>
        <v/>
      </c>
      <c r="H956" s="10">
        <f>IF($K956="","",INDEX(Конструктор!$N$2:$N$1212,$K956))</f>
        <v/>
      </c>
      <c r="I956" s="10">
        <f>IF($K956="","",INDEX(Конструктор!$O$2:$O$1212,$K956))</f>
        <v/>
      </c>
      <c r="J956" s="10">
        <f>IF($K956="","",INDEX(Конструктор!$P$2:$P$1212,$K956))</f>
        <v/>
      </c>
      <c r="K956">
        <f>IFERROR(MATCH(936,Конструктор!$T$2:$T$1212,0),"")</f>
        <v/>
      </c>
      <c r="L956">
        <f>IF($K956="","","показать")</f>
        <v/>
      </c>
    </row>
    <row r="957" hidden="1">
      <c r="A957">
        <f>IF($K957="","",937)</f>
        <v/>
      </c>
      <c r="B957">
        <f>IF($K957="","",INDEX(Конструктор!$C$2:$C$1212,$K957))</f>
        <v/>
      </c>
      <c r="C957" s="8">
        <f>IF($K957="","",INDEX(Конструктор!$D$2:$D$1212,$K957)&amp;IF(INDEX(Конструктор!$J$2:$J$1212,$K957)&lt;&gt;""," — "&amp;INDEX(Конструктор!$J$2:$J$1212,$K957),""))</f>
        <v/>
      </c>
      <c r="D957">
        <f>IF($K957="","",INDEX(Конструктор!$E$2:$E$1212,$K957))</f>
        <v/>
      </c>
      <c r="E957" s="10">
        <f>IF($K957="","",INDEX(Конструктор!$H$2:$H$1212,$K957))</f>
        <v/>
      </c>
      <c r="F957" s="10">
        <f>IF($K957="","",INDEX(Конструктор!$L$2:$L$1212,$K957))</f>
        <v/>
      </c>
      <c r="G957" s="10">
        <f>IF($K957="","",INDEX(Конструктор!$M$2:$M$1212,$K957))</f>
        <v/>
      </c>
      <c r="H957" s="10">
        <f>IF($K957="","",INDEX(Конструктор!$N$2:$N$1212,$K957))</f>
        <v/>
      </c>
      <c r="I957" s="10">
        <f>IF($K957="","",INDEX(Конструктор!$O$2:$O$1212,$K957))</f>
        <v/>
      </c>
      <c r="J957" s="10">
        <f>IF($K957="","",INDEX(Конструктор!$P$2:$P$1212,$K957))</f>
        <v/>
      </c>
      <c r="K957">
        <f>IFERROR(MATCH(937,Конструктор!$T$2:$T$1212,0),"")</f>
        <v/>
      </c>
      <c r="L957">
        <f>IF($K957="","","показать")</f>
        <v/>
      </c>
    </row>
    <row r="958" hidden="1">
      <c r="A958">
        <f>IF($K958="","",938)</f>
        <v/>
      </c>
      <c r="B958">
        <f>IF($K958="","",INDEX(Конструктор!$C$2:$C$1212,$K958))</f>
        <v/>
      </c>
      <c r="C958" s="8">
        <f>IF($K958="","",INDEX(Конструктор!$D$2:$D$1212,$K958)&amp;IF(INDEX(Конструктор!$J$2:$J$1212,$K958)&lt;&gt;""," — "&amp;INDEX(Конструктор!$J$2:$J$1212,$K958),""))</f>
        <v/>
      </c>
      <c r="D958">
        <f>IF($K958="","",INDEX(Конструктор!$E$2:$E$1212,$K958))</f>
        <v/>
      </c>
      <c r="E958" s="10">
        <f>IF($K958="","",INDEX(Конструктор!$H$2:$H$1212,$K958))</f>
        <v/>
      </c>
      <c r="F958" s="10">
        <f>IF($K958="","",INDEX(Конструктор!$L$2:$L$1212,$K958))</f>
        <v/>
      </c>
      <c r="G958" s="10">
        <f>IF($K958="","",INDEX(Конструктор!$M$2:$M$1212,$K958))</f>
        <v/>
      </c>
      <c r="H958" s="10">
        <f>IF($K958="","",INDEX(Конструктор!$N$2:$N$1212,$K958))</f>
        <v/>
      </c>
      <c r="I958" s="10">
        <f>IF($K958="","",INDEX(Конструктор!$O$2:$O$1212,$K958))</f>
        <v/>
      </c>
      <c r="J958" s="10">
        <f>IF($K958="","",INDEX(Конструктор!$P$2:$P$1212,$K958))</f>
        <v/>
      </c>
      <c r="K958">
        <f>IFERROR(MATCH(938,Конструктор!$T$2:$T$1212,0),"")</f>
        <v/>
      </c>
      <c r="L958">
        <f>IF($K958="","","показать")</f>
        <v/>
      </c>
    </row>
    <row r="959" hidden="1">
      <c r="A959">
        <f>IF($K959="","",939)</f>
        <v/>
      </c>
      <c r="B959">
        <f>IF($K959="","",INDEX(Конструктор!$C$2:$C$1212,$K959))</f>
        <v/>
      </c>
      <c r="C959" s="8">
        <f>IF($K959="","",INDEX(Конструктор!$D$2:$D$1212,$K959)&amp;IF(INDEX(Конструктор!$J$2:$J$1212,$K959)&lt;&gt;""," — "&amp;INDEX(Конструктор!$J$2:$J$1212,$K959),""))</f>
        <v/>
      </c>
      <c r="D959">
        <f>IF($K959="","",INDEX(Конструктор!$E$2:$E$1212,$K959))</f>
        <v/>
      </c>
      <c r="E959" s="10">
        <f>IF($K959="","",INDEX(Конструктор!$H$2:$H$1212,$K959))</f>
        <v/>
      </c>
      <c r="F959" s="10">
        <f>IF($K959="","",INDEX(Конструктор!$L$2:$L$1212,$K959))</f>
        <v/>
      </c>
      <c r="G959" s="10">
        <f>IF($K959="","",INDEX(Конструктор!$M$2:$M$1212,$K959))</f>
        <v/>
      </c>
      <c r="H959" s="10">
        <f>IF($K959="","",INDEX(Конструктор!$N$2:$N$1212,$K959))</f>
        <v/>
      </c>
      <c r="I959" s="10">
        <f>IF($K959="","",INDEX(Конструктор!$O$2:$O$1212,$K959))</f>
        <v/>
      </c>
      <c r="J959" s="10">
        <f>IF($K959="","",INDEX(Конструктор!$P$2:$P$1212,$K959))</f>
        <v/>
      </c>
      <c r="K959">
        <f>IFERROR(MATCH(939,Конструктор!$T$2:$T$1212,0),"")</f>
        <v/>
      </c>
      <c r="L959">
        <f>IF($K959="","","показать")</f>
        <v/>
      </c>
    </row>
    <row r="960" hidden="1">
      <c r="A960">
        <f>IF($K960="","",940)</f>
        <v/>
      </c>
      <c r="B960">
        <f>IF($K960="","",INDEX(Конструктор!$C$2:$C$1212,$K960))</f>
        <v/>
      </c>
      <c r="C960" s="8">
        <f>IF($K960="","",INDEX(Конструктор!$D$2:$D$1212,$K960)&amp;IF(INDEX(Конструктор!$J$2:$J$1212,$K960)&lt;&gt;""," — "&amp;INDEX(Конструктор!$J$2:$J$1212,$K960),""))</f>
        <v/>
      </c>
      <c r="D960">
        <f>IF($K960="","",INDEX(Конструктор!$E$2:$E$1212,$K960))</f>
        <v/>
      </c>
      <c r="E960" s="10">
        <f>IF($K960="","",INDEX(Конструктор!$H$2:$H$1212,$K960))</f>
        <v/>
      </c>
      <c r="F960" s="10">
        <f>IF($K960="","",INDEX(Конструктор!$L$2:$L$1212,$K960))</f>
        <v/>
      </c>
      <c r="G960" s="10">
        <f>IF($K960="","",INDEX(Конструктор!$M$2:$M$1212,$K960))</f>
        <v/>
      </c>
      <c r="H960" s="10">
        <f>IF($K960="","",INDEX(Конструктор!$N$2:$N$1212,$K960))</f>
        <v/>
      </c>
      <c r="I960" s="10">
        <f>IF($K960="","",INDEX(Конструктор!$O$2:$O$1212,$K960))</f>
        <v/>
      </c>
      <c r="J960" s="10">
        <f>IF($K960="","",INDEX(Конструктор!$P$2:$P$1212,$K960))</f>
        <v/>
      </c>
      <c r="K960">
        <f>IFERROR(MATCH(940,Конструктор!$T$2:$T$1212,0),"")</f>
        <v/>
      </c>
      <c r="L960">
        <f>IF($K960="","","показать")</f>
        <v/>
      </c>
    </row>
    <row r="961" hidden="1">
      <c r="A961">
        <f>IF($K961="","",941)</f>
        <v/>
      </c>
      <c r="B961">
        <f>IF($K961="","",INDEX(Конструктор!$C$2:$C$1212,$K961))</f>
        <v/>
      </c>
      <c r="C961" s="8">
        <f>IF($K961="","",INDEX(Конструктор!$D$2:$D$1212,$K961)&amp;IF(INDEX(Конструктор!$J$2:$J$1212,$K961)&lt;&gt;""," — "&amp;INDEX(Конструктор!$J$2:$J$1212,$K961),""))</f>
        <v/>
      </c>
      <c r="D961">
        <f>IF($K961="","",INDEX(Конструктор!$E$2:$E$1212,$K961))</f>
        <v/>
      </c>
      <c r="E961" s="10">
        <f>IF($K961="","",INDEX(Конструктор!$H$2:$H$1212,$K961))</f>
        <v/>
      </c>
      <c r="F961" s="10">
        <f>IF($K961="","",INDEX(Конструктор!$L$2:$L$1212,$K961))</f>
        <v/>
      </c>
      <c r="G961" s="10">
        <f>IF($K961="","",INDEX(Конструктор!$M$2:$M$1212,$K961))</f>
        <v/>
      </c>
      <c r="H961" s="10">
        <f>IF($K961="","",INDEX(Конструктор!$N$2:$N$1212,$K961))</f>
        <v/>
      </c>
      <c r="I961" s="10">
        <f>IF($K961="","",INDEX(Конструктор!$O$2:$O$1212,$K961))</f>
        <v/>
      </c>
      <c r="J961" s="10">
        <f>IF($K961="","",INDEX(Конструктор!$P$2:$P$1212,$K961))</f>
        <v/>
      </c>
      <c r="K961">
        <f>IFERROR(MATCH(941,Конструктор!$T$2:$T$1212,0),"")</f>
        <v/>
      </c>
      <c r="L961">
        <f>IF($K961="","","показать")</f>
        <v/>
      </c>
    </row>
    <row r="962" hidden="1">
      <c r="A962">
        <f>IF($K962="","",942)</f>
        <v/>
      </c>
      <c r="B962">
        <f>IF($K962="","",INDEX(Конструктор!$C$2:$C$1212,$K962))</f>
        <v/>
      </c>
      <c r="C962" s="8">
        <f>IF($K962="","",INDEX(Конструктор!$D$2:$D$1212,$K962)&amp;IF(INDEX(Конструктор!$J$2:$J$1212,$K962)&lt;&gt;""," — "&amp;INDEX(Конструктор!$J$2:$J$1212,$K962),""))</f>
        <v/>
      </c>
      <c r="D962">
        <f>IF($K962="","",INDEX(Конструктор!$E$2:$E$1212,$K962))</f>
        <v/>
      </c>
      <c r="E962" s="10">
        <f>IF($K962="","",INDEX(Конструктор!$H$2:$H$1212,$K962))</f>
        <v/>
      </c>
      <c r="F962" s="10">
        <f>IF($K962="","",INDEX(Конструктор!$L$2:$L$1212,$K962))</f>
        <v/>
      </c>
      <c r="G962" s="10">
        <f>IF($K962="","",INDEX(Конструктор!$M$2:$M$1212,$K962))</f>
        <v/>
      </c>
      <c r="H962" s="10">
        <f>IF($K962="","",INDEX(Конструктор!$N$2:$N$1212,$K962))</f>
        <v/>
      </c>
      <c r="I962" s="10">
        <f>IF($K962="","",INDEX(Конструктор!$O$2:$O$1212,$K962))</f>
        <v/>
      </c>
      <c r="J962" s="10">
        <f>IF($K962="","",INDEX(Конструктор!$P$2:$P$1212,$K962))</f>
        <v/>
      </c>
      <c r="K962">
        <f>IFERROR(MATCH(942,Конструктор!$T$2:$T$1212,0),"")</f>
        <v/>
      </c>
      <c r="L962">
        <f>IF($K962="","","показать")</f>
        <v/>
      </c>
    </row>
    <row r="963" hidden="1">
      <c r="A963">
        <f>IF($K963="","",943)</f>
        <v/>
      </c>
      <c r="B963">
        <f>IF($K963="","",INDEX(Конструктор!$C$2:$C$1212,$K963))</f>
        <v/>
      </c>
      <c r="C963" s="8">
        <f>IF($K963="","",INDEX(Конструктор!$D$2:$D$1212,$K963)&amp;IF(INDEX(Конструктор!$J$2:$J$1212,$K963)&lt;&gt;""," — "&amp;INDEX(Конструктор!$J$2:$J$1212,$K963),""))</f>
        <v/>
      </c>
      <c r="D963">
        <f>IF($K963="","",INDEX(Конструктор!$E$2:$E$1212,$K963))</f>
        <v/>
      </c>
      <c r="E963" s="10">
        <f>IF($K963="","",INDEX(Конструктор!$H$2:$H$1212,$K963))</f>
        <v/>
      </c>
      <c r="F963" s="10">
        <f>IF($K963="","",INDEX(Конструктор!$L$2:$L$1212,$K963))</f>
        <v/>
      </c>
      <c r="G963" s="10">
        <f>IF($K963="","",INDEX(Конструктор!$M$2:$M$1212,$K963))</f>
        <v/>
      </c>
      <c r="H963" s="10">
        <f>IF($K963="","",INDEX(Конструктор!$N$2:$N$1212,$K963))</f>
        <v/>
      </c>
      <c r="I963" s="10">
        <f>IF($K963="","",INDEX(Конструктор!$O$2:$O$1212,$K963))</f>
        <v/>
      </c>
      <c r="J963" s="10">
        <f>IF($K963="","",INDEX(Конструктор!$P$2:$P$1212,$K963))</f>
        <v/>
      </c>
      <c r="K963">
        <f>IFERROR(MATCH(943,Конструктор!$T$2:$T$1212,0),"")</f>
        <v/>
      </c>
      <c r="L963">
        <f>IF($K963="","","показать")</f>
        <v/>
      </c>
    </row>
    <row r="964" hidden="1">
      <c r="A964">
        <f>IF($K964="","",944)</f>
        <v/>
      </c>
      <c r="B964">
        <f>IF($K964="","",INDEX(Конструктор!$C$2:$C$1212,$K964))</f>
        <v/>
      </c>
      <c r="C964" s="8">
        <f>IF($K964="","",INDEX(Конструктор!$D$2:$D$1212,$K964)&amp;IF(INDEX(Конструктор!$J$2:$J$1212,$K964)&lt;&gt;""," — "&amp;INDEX(Конструктор!$J$2:$J$1212,$K964),""))</f>
        <v/>
      </c>
      <c r="D964">
        <f>IF($K964="","",INDEX(Конструктор!$E$2:$E$1212,$K964))</f>
        <v/>
      </c>
      <c r="E964" s="10">
        <f>IF($K964="","",INDEX(Конструктор!$H$2:$H$1212,$K964))</f>
        <v/>
      </c>
      <c r="F964" s="10">
        <f>IF($K964="","",INDEX(Конструктор!$L$2:$L$1212,$K964))</f>
        <v/>
      </c>
      <c r="G964" s="10">
        <f>IF($K964="","",INDEX(Конструктор!$M$2:$M$1212,$K964))</f>
        <v/>
      </c>
      <c r="H964" s="10">
        <f>IF($K964="","",INDEX(Конструктор!$N$2:$N$1212,$K964))</f>
        <v/>
      </c>
      <c r="I964" s="10">
        <f>IF($K964="","",INDEX(Конструктор!$O$2:$O$1212,$K964))</f>
        <v/>
      </c>
      <c r="J964" s="10">
        <f>IF($K964="","",INDEX(Конструктор!$P$2:$P$1212,$K964))</f>
        <v/>
      </c>
      <c r="K964">
        <f>IFERROR(MATCH(944,Конструктор!$T$2:$T$1212,0),"")</f>
        <v/>
      </c>
      <c r="L964">
        <f>IF($K964="","","показать")</f>
        <v/>
      </c>
    </row>
    <row r="965" hidden="1">
      <c r="A965">
        <f>IF($K965="","",945)</f>
        <v/>
      </c>
      <c r="B965">
        <f>IF($K965="","",INDEX(Конструктор!$C$2:$C$1212,$K965))</f>
        <v/>
      </c>
      <c r="C965" s="8">
        <f>IF($K965="","",INDEX(Конструктор!$D$2:$D$1212,$K965)&amp;IF(INDEX(Конструктор!$J$2:$J$1212,$K965)&lt;&gt;""," — "&amp;INDEX(Конструктор!$J$2:$J$1212,$K965),""))</f>
        <v/>
      </c>
      <c r="D965">
        <f>IF($K965="","",INDEX(Конструктор!$E$2:$E$1212,$K965))</f>
        <v/>
      </c>
      <c r="E965" s="10">
        <f>IF($K965="","",INDEX(Конструктор!$H$2:$H$1212,$K965))</f>
        <v/>
      </c>
      <c r="F965" s="10">
        <f>IF($K965="","",INDEX(Конструктор!$L$2:$L$1212,$K965))</f>
        <v/>
      </c>
      <c r="G965" s="10">
        <f>IF($K965="","",INDEX(Конструктор!$M$2:$M$1212,$K965))</f>
        <v/>
      </c>
      <c r="H965" s="10">
        <f>IF($K965="","",INDEX(Конструктор!$N$2:$N$1212,$K965))</f>
        <v/>
      </c>
      <c r="I965" s="10">
        <f>IF($K965="","",INDEX(Конструктор!$O$2:$O$1212,$K965))</f>
        <v/>
      </c>
      <c r="J965" s="10">
        <f>IF($K965="","",INDEX(Конструктор!$P$2:$P$1212,$K965))</f>
        <v/>
      </c>
      <c r="K965">
        <f>IFERROR(MATCH(945,Конструктор!$T$2:$T$1212,0),"")</f>
        <v/>
      </c>
      <c r="L965">
        <f>IF($K965="","","показать")</f>
        <v/>
      </c>
    </row>
    <row r="966" hidden="1">
      <c r="A966">
        <f>IF($K966="","",946)</f>
        <v/>
      </c>
      <c r="B966">
        <f>IF($K966="","",INDEX(Конструктор!$C$2:$C$1212,$K966))</f>
        <v/>
      </c>
      <c r="C966" s="8">
        <f>IF($K966="","",INDEX(Конструктор!$D$2:$D$1212,$K966)&amp;IF(INDEX(Конструктор!$J$2:$J$1212,$K966)&lt;&gt;""," — "&amp;INDEX(Конструктор!$J$2:$J$1212,$K966),""))</f>
        <v/>
      </c>
      <c r="D966">
        <f>IF($K966="","",INDEX(Конструктор!$E$2:$E$1212,$K966))</f>
        <v/>
      </c>
      <c r="E966" s="10">
        <f>IF($K966="","",INDEX(Конструктор!$H$2:$H$1212,$K966))</f>
        <v/>
      </c>
      <c r="F966" s="10">
        <f>IF($K966="","",INDEX(Конструктор!$L$2:$L$1212,$K966))</f>
        <v/>
      </c>
      <c r="G966" s="10">
        <f>IF($K966="","",INDEX(Конструктор!$M$2:$M$1212,$K966))</f>
        <v/>
      </c>
      <c r="H966" s="10">
        <f>IF($K966="","",INDEX(Конструктор!$N$2:$N$1212,$K966))</f>
        <v/>
      </c>
      <c r="I966" s="10">
        <f>IF($K966="","",INDEX(Конструктор!$O$2:$O$1212,$K966))</f>
        <v/>
      </c>
      <c r="J966" s="10">
        <f>IF($K966="","",INDEX(Конструктор!$P$2:$P$1212,$K966))</f>
        <v/>
      </c>
      <c r="K966">
        <f>IFERROR(MATCH(946,Конструктор!$T$2:$T$1212,0),"")</f>
        <v/>
      </c>
      <c r="L966">
        <f>IF($K966="","","показать")</f>
        <v/>
      </c>
    </row>
    <row r="967" hidden="1">
      <c r="A967">
        <f>IF($K967="","",947)</f>
        <v/>
      </c>
      <c r="B967">
        <f>IF($K967="","",INDEX(Конструктор!$C$2:$C$1212,$K967))</f>
        <v/>
      </c>
      <c r="C967" s="8">
        <f>IF($K967="","",INDEX(Конструктор!$D$2:$D$1212,$K967)&amp;IF(INDEX(Конструктор!$J$2:$J$1212,$K967)&lt;&gt;""," — "&amp;INDEX(Конструктор!$J$2:$J$1212,$K967),""))</f>
        <v/>
      </c>
      <c r="D967">
        <f>IF($K967="","",INDEX(Конструктор!$E$2:$E$1212,$K967))</f>
        <v/>
      </c>
      <c r="E967" s="10">
        <f>IF($K967="","",INDEX(Конструктор!$H$2:$H$1212,$K967))</f>
        <v/>
      </c>
      <c r="F967" s="10">
        <f>IF($K967="","",INDEX(Конструктор!$L$2:$L$1212,$K967))</f>
        <v/>
      </c>
      <c r="G967" s="10">
        <f>IF($K967="","",INDEX(Конструктор!$M$2:$M$1212,$K967))</f>
        <v/>
      </c>
      <c r="H967" s="10">
        <f>IF($K967="","",INDEX(Конструктор!$N$2:$N$1212,$K967))</f>
        <v/>
      </c>
      <c r="I967" s="10">
        <f>IF($K967="","",INDEX(Конструктор!$O$2:$O$1212,$K967))</f>
        <v/>
      </c>
      <c r="J967" s="10">
        <f>IF($K967="","",INDEX(Конструктор!$P$2:$P$1212,$K967))</f>
        <v/>
      </c>
      <c r="K967">
        <f>IFERROR(MATCH(947,Конструктор!$T$2:$T$1212,0),"")</f>
        <v/>
      </c>
      <c r="L967">
        <f>IF($K967="","","показать")</f>
        <v/>
      </c>
    </row>
    <row r="968" hidden="1">
      <c r="A968">
        <f>IF($K968="","",948)</f>
        <v/>
      </c>
      <c r="B968">
        <f>IF($K968="","",INDEX(Конструктор!$C$2:$C$1212,$K968))</f>
        <v/>
      </c>
      <c r="C968" s="8">
        <f>IF($K968="","",INDEX(Конструктор!$D$2:$D$1212,$K968)&amp;IF(INDEX(Конструктор!$J$2:$J$1212,$K968)&lt;&gt;""," — "&amp;INDEX(Конструктор!$J$2:$J$1212,$K968),""))</f>
        <v/>
      </c>
      <c r="D968">
        <f>IF($K968="","",INDEX(Конструктор!$E$2:$E$1212,$K968))</f>
        <v/>
      </c>
      <c r="E968" s="10">
        <f>IF($K968="","",INDEX(Конструктор!$H$2:$H$1212,$K968))</f>
        <v/>
      </c>
      <c r="F968" s="10">
        <f>IF($K968="","",INDEX(Конструктор!$L$2:$L$1212,$K968))</f>
        <v/>
      </c>
      <c r="G968" s="10">
        <f>IF($K968="","",INDEX(Конструктор!$M$2:$M$1212,$K968))</f>
        <v/>
      </c>
      <c r="H968" s="10">
        <f>IF($K968="","",INDEX(Конструктор!$N$2:$N$1212,$K968))</f>
        <v/>
      </c>
      <c r="I968" s="10">
        <f>IF($K968="","",INDEX(Конструктор!$O$2:$O$1212,$K968))</f>
        <v/>
      </c>
      <c r="J968" s="10">
        <f>IF($K968="","",INDEX(Конструктор!$P$2:$P$1212,$K968))</f>
        <v/>
      </c>
      <c r="K968">
        <f>IFERROR(MATCH(948,Конструктор!$T$2:$T$1212,0),"")</f>
        <v/>
      </c>
      <c r="L968">
        <f>IF($K968="","","показать")</f>
        <v/>
      </c>
    </row>
    <row r="969" hidden="1">
      <c r="A969">
        <f>IF($K969="","",949)</f>
        <v/>
      </c>
      <c r="B969">
        <f>IF($K969="","",INDEX(Конструктор!$C$2:$C$1212,$K969))</f>
        <v/>
      </c>
      <c r="C969" s="8">
        <f>IF($K969="","",INDEX(Конструктор!$D$2:$D$1212,$K969)&amp;IF(INDEX(Конструктор!$J$2:$J$1212,$K969)&lt;&gt;""," — "&amp;INDEX(Конструктор!$J$2:$J$1212,$K969),""))</f>
        <v/>
      </c>
      <c r="D969">
        <f>IF($K969="","",INDEX(Конструктор!$E$2:$E$1212,$K969))</f>
        <v/>
      </c>
      <c r="E969" s="10">
        <f>IF($K969="","",INDEX(Конструктор!$H$2:$H$1212,$K969))</f>
        <v/>
      </c>
      <c r="F969" s="10">
        <f>IF($K969="","",INDEX(Конструктор!$L$2:$L$1212,$K969))</f>
        <v/>
      </c>
      <c r="G969" s="10">
        <f>IF($K969="","",INDEX(Конструктор!$M$2:$M$1212,$K969))</f>
        <v/>
      </c>
      <c r="H969" s="10">
        <f>IF($K969="","",INDEX(Конструктор!$N$2:$N$1212,$K969))</f>
        <v/>
      </c>
      <c r="I969" s="10">
        <f>IF($K969="","",INDEX(Конструктор!$O$2:$O$1212,$K969))</f>
        <v/>
      </c>
      <c r="J969" s="10">
        <f>IF($K969="","",INDEX(Конструктор!$P$2:$P$1212,$K969))</f>
        <v/>
      </c>
      <c r="K969">
        <f>IFERROR(MATCH(949,Конструктор!$T$2:$T$1212,0),"")</f>
        <v/>
      </c>
      <c r="L969">
        <f>IF($K969="","","показать")</f>
        <v/>
      </c>
    </row>
    <row r="970" hidden="1">
      <c r="A970">
        <f>IF($K970="","",950)</f>
        <v/>
      </c>
      <c r="B970">
        <f>IF($K970="","",INDEX(Конструктор!$C$2:$C$1212,$K970))</f>
        <v/>
      </c>
      <c r="C970" s="8">
        <f>IF($K970="","",INDEX(Конструктор!$D$2:$D$1212,$K970)&amp;IF(INDEX(Конструктор!$J$2:$J$1212,$K970)&lt;&gt;""," — "&amp;INDEX(Конструктор!$J$2:$J$1212,$K970),""))</f>
        <v/>
      </c>
      <c r="D970">
        <f>IF($K970="","",INDEX(Конструктор!$E$2:$E$1212,$K970))</f>
        <v/>
      </c>
      <c r="E970" s="10">
        <f>IF($K970="","",INDEX(Конструктор!$H$2:$H$1212,$K970))</f>
        <v/>
      </c>
      <c r="F970" s="10">
        <f>IF($K970="","",INDEX(Конструктор!$L$2:$L$1212,$K970))</f>
        <v/>
      </c>
      <c r="G970" s="10">
        <f>IF($K970="","",INDEX(Конструктор!$M$2:$M$1212,$K970))</f>
        <v/>
      </c>
      <c r="H970" s="10">
        <f>IF($K970="","",INDEX(Конструктор!$N$2:$N$1212,$K970))</f>
        <v/>
      </c>
      <c r="I970" s="10">
        <f>IF($K970="","",INDEX(Конструктор!$O$2:$O$1212,$K970))</f>
        <v/>
      </c>
      <c r="J970" s="10">
        <f>IF($K970="","",INDEX(Конструктор!$P$2:$P$1212,$K970))</f>
        <v/>
      </c>
      <c r="K970">
        <f>IFERROR(MATCH(950,Конструктор!$T$2:$T$1212,0),"")</f>
        <v/>
      </c>
      <c r="L970">
        <f>IF($K970="","","показать")</f>
        <v/>
      </c>
    </row>
    <row r="971" hidden="1">
      <c r="A971">
        <f>IF($K971="","",951)</f>
        <v/>
      </c>
      <c r="B971">
        <f>IF($K971="","",INDEX(Конструктор!$C$2:$C$1212,$K971))</f>
        <v/>
      </c>
      <c r="C971" s="8">
        <f>IF($K971="","",INDEX(Конструктор!$D$2:$D$1212,$K971)&amp;IF(INDEX(Конструктор!$J$2:$J$1212,$K971)&lt;&gt;""," — "&amp;INDEX(Конструктор!$J$2:$J$1212,$K971),""))</f>
        <v/>
      </c>
      <c r="D971">
        <f>IF($K971="","",INDEX(Конструктор!$E$2:$E$1212,$K971))</f>
        <v/>
      </c>
      <c r="E971" s="10">
        <f>IF($K971="","",INDEX(Конструктор!$H$2:$H$1212,$K971))</f>
        <v/>
      </c>
      <c r="F971" s="10">
        <f>IF($K971="","",INDEX(Конструктор!$L$2:$L$1212,$K971))</f>
        <v/>
      </c>
      <c r="G971" s="10">
        <f>IF($K971="","",INDEX(Конструктор!$M$2:$M$1212,$K971))</f>
        <v/>
      </c>
      <c r="H971" s="10">
        <f>IF($K971="","",INDEX(Конструктор!$N$2:$N$1212,$K971))</f>
        <v/>
      </c>
      <c r="I971" s="10">
        <f>IF($K971="","",INDEX(Конструктор!$O$2:$O$1212,$K971))</f>
        <v/>
      </c>
      <c r="J971" s="10">
        <f>IF($K971="","",INDEX(Конструктор!$P$2:$P$1212,$K971))</f>
        <v/>
      </c>
      <c r="K971">
        <f>IFERROR(MATCH(951,Конструктор!$T$2:$T$1212,0),"")</f>
        <v/>
      </c>
      <c r="L971">
        <f>IF($K971="","","показать")</f>
        <v/>
      </c>
    </row>
    <row r="972" hidden="1">
      <c r="A972">
        <f>IF($K972="","",952)</f>
        <v/>
      </c>
      <c r="B972">
        <f>IF($K972="","",INDEX(Конструктор!$C$2:$C$1212,$K972))</f>
        <v/>
      </c>
      <c r="C972" s="8">
        <f>IF($K972="","",INDEX(Конструктор!$D$2:$D$1212,$K972)&amp;IF(INDEX(Конструктор!$J$2:$J$1212,$K972)&lt;&gt;""," — "&amp;INDEX(Конструктор!$J$2:$J$1212,$K972),""))</f>
        <v/>
      </c>
      <c r="D972">
        <f>IF($K972="","",INDEX(Конструктор!$E$2:$E$1212,$K972))</f>
        <v/>
      </c>
      <c r="E972" s="10">
        <f>IF($K972="","",INDEX(Конструктор!$H$2:$H$1212,$K972))</f>
        <v/>
      </c>
      <c r="F972" s="10">
        <f>IF($K972="","",INDEX(Конструктор!$L$2:$L$1212,$K972))</f>
        <v/>
      </c>
      <c r="G972" s="10">
        <f>IF($K972="","",INDEX(Конструктор!$M$2:$M$1212,$K972))</f>
        <v/>
      </c>
      <c r="H972" s="10">
        <f>IF($K972="","",INDEX(Конструктор!$N$2:$N$1212,$K972))</f>
        <v/>
      </c>
      <c r="I972" s="10">
        <f>IF($K972="","",INDEX(Конструктор!$O$2:$O$1212,$K972))</f>
        <v/>
      </c>
      <c r="J972" s="10">
        <f>IF($K972="","",INDEX(Конструктор!$P$2:$P$1212,$K972))</f>
        <v/>
      </c>
      <c r="K972">
        <f>IFERROR(MATCH(952,Конструктор!$T$2:$T$1212,0),"")</f>
        <v/>
      </c>
      <c r="L972">
        <f>IF($K972="","","показать")</f>
        <v/>
      </c>
    </row>
    <row r="973" hidden="1">
      <c r="A973">
        <f>IF($K973="","",953)</f>
        <v/>
      </c>
      <c r="B973">
        <f>IF($K973="","",INDEX(Конструктор!$C$2:$C$1212,$K973))</f>
        <v/>
      </c>
      <c r="C973" s="8">
        <f>IF($K973="","",INDEX(Конструктор!$D$2:$D$1212,$K973)&amp;IF(INDEX(Конструктор!$J$2:$J$1212,$K973)&lt;&gt;""," — "&amp;INDEX(Конструктор!$J$2:$J$1212,$K973),""))</f>
        <v/>
      </c>
      <c r="D973">
        <f>IF($K973="","",INDEX(Конструктор!$E$2:$E$1212,$K973))</f>
        <v/>
      </c>
      <c r="E973" s="10">
        <f>IF($K973="","",INDEX(Конструктор!$H$2:$H$1212,$K973))</f>
        <v/>
      </c>
      <c r="F973" s="10">
        <f>IF($K973="","",INDEX(Конструктор!$L$2:$L$1212,$K973))</f>
        <v/>
      </c>
      <c r="G973" s="10">
        <f>IF($K973="","",INDEX(Конструктор!$M$2:$M$1212,$K973))</f>
        <v/>
      </c>
      <c r="H973" s="10">
        <f>IF($K973="","",INDEX(Конструктор!$N$2:$N$1212,$K973))</f>
        <v/>
      </c>
      <c r="I973" s="10">
        <f>IF($K973="","",INDEX(Конструктор!$O$2:$O$1212,$K973))</f>
        <v/>
      </c>
      <c r="J973" s="10">
        <f>IF($K973="","",INDEX(Конструктор!$P$2:$P$1212,$K973))</f>
        <v/>
      </c>
      <c r="K973">
        <f>IFERROR(MATCH(953,Конструктор!$T$2:$T$1212,0),"")</f>
        <v/>
      </c>
      <c r="L973">
        <f>IF($K973="","","показать")</f>
        <v/>
      </c>
    </row>
    <row r="974" hidden="1">
      <c r="A974">
        <f>IF($K974="","",954)</f>
        <v/>
      </c>
      <c r="B974">
        <f>IF($K974="","",INDEX(Конструктор!$C$2:$C$1212,$K974))</f>
        <v/>
      </c>
      <c r="C974" s="8">
        <f>IF($K974="","",INDEX(Конструктор!$D$2:$D$1212,$K974)&amp;IF(INDEX(Конструктор!$J$2:$J$1212,$K974)&lt;&gt;""," — "&amp;INDEX(Конструктор!$J$2:$J$1212,$K974),""))</f>
        <v/>
      </c>
      <c r="D974">
        <f>IF($K974="","",INDEX(Конструктор!$E$2:$E$1212,$K974))</f>
        <v/>
      </c>
      <c r="E974" s="10">
        <f>IF($K974="","",INDEX(Конструктор!$H$2:$H$1212,$K974))</f>
        <v/>
      </c>
      <c r="F974" s="10">
        <f>IF($K974="","",INDEX(Конструктор!$L$2:$L$1212,$K974))</f>
        <v/>
      </c>
      <c r="G974" s="10">
        <f>IF($K974="","",INDEX(Конструктор!$M$2:$M$1212,$K974))</f>
        <v/>
      </c>
      <c r="H974" s="10">
        <f>IF($K974="","",INDEX(Конструктор!$N$2:$N$1212,$K974))</f>
        <v/>
      </c>
      <c r="I974" s="10">
        <f>IF($K974="","",INDEX(Конструктор!$O$2:$O$1212,$K974))</f>
        <v/>
      </c>
      <c r="J974" s="10">
        <f>IF($K974="","",INDEX(Конструктор!$P$2:$P$1212,$K974))</f>
        <v/>
      </c>
      <c r="K974">
        <f>IFERROR(MATCH(954,Конструктор!$T$2:$T$1212,0),"")</f>
        <v/>
      </c>
      <c r="L974">
        <f>IF($K974="","","показать")</f>
        <v/>
      </c>
    </row>
    <row r="975" hidden="1">
      <c r="A975">
        <f>IF($K975="","",955)</f>
        <v/>
      </c>
      <c r="B975">
        <f>IF($K975="","",INDEX(Конструктор!$C$2:$C$1212,$K975))</f>
        <v/>
      </c>
      <c r="C975" s="8">
        <f>IF($K975="","",INDEX(Конструктор!$D$2:$D$1212,$K975)&amp;IF(INDEX(Конструктор!$J$2:$J$1212,$K975)&lt;&gt;""," — "&amp;INDEX(Конструктор!$J$2:$J$1212,$K975),""))</f>
        <v/>
      </c>
      <c r="D975">
        <f>IF($K975="","",INDEX(Конструктор!$E$2:$E$1212,$K975))</f>
        <v/>
      </c>
      <c r="E975" s="10">
        <f>IF($K975="","",INDEX(Конструктор!$H$2:$H$1212,$K975))</f>
        <v/>
      </c>
      <c r="F975" s="10">
        <f>IF($K975="","",INDEX(Конструктор!$L$2:$L$1212,$K975))</f>
        <v/>
      </c>
      <c r="G975" s="10">
        <f>IF($K975="","",INDEX(Конструктор!$M$2:$M$1212,$K975))</f>
        <v/>
      </c>
      <c r="H975" s="10">
        <f>IF($K975="","",INDEX(Конструктор!$N$2:$N$1212,$K975))</f>
        <v/>
      </c>
      <c r="I975" s="10">
        <f>IF($K975="","",INDEX(Конструктор!$O$2:$O$1212,$K975))</f>
        <v/>
      </c>
      <c r="J975" s="10">
        <f>IF($K975="","",INDEX(Конструктор!$P$2:$P$1212,$K975))</f>
        <v/>
      </c>
      <c r="K975">
        <f>IFERROR(MATCH(955,Конструктор!$T$2:$T$1212,0),"")</f>
        <v/>
      </c>
      <c r="L975">
        <f>IF($K975="","","показать")</f>
        <v/>
      </c>
    </row>
    <row r="976" hidden="1">
      <c r="A976">
        <f>IF($K976="","",956)</f>
        <v/>
      </c>
      <c r="B976">
        <f>IF($K976="","",INDEX(Конструктор!$C$2:$C$1212,$K976))</f>
        <v/>
      </c>
      <c r="C976" s="8">
        <f>IF($K976="","",INDEX(Конструктор!$D$2:$D$1212,$K976)&amp;IF(INDEX(Конструктор!$J$2:$J$1212,$K976)&lt;&gt;""," — "&amp;INDEX(Конструктор!$J$2:$J$1212,$K976),""))</f>
        <v/>
      </c>
      <c r="D976">
        <f>IF($K976="","",INDEX(Конструктор!$E$2:$E$1212,$K976))</f>
        <v/>
      </c>
      <c r="E976" s="10">
        <f>IF($K976="","",INDEX(Конструктор!$H$2:$H$1212,$K976))</f>
        <v/>
      </c>
      <c r="F976" s="10">
        <f>IF($K976="","",INDEX(Конструктор!$L$2:$L$1212,$K976))</f>
        <v/>
      </c>
      <c r="G976" s="10">
        <f>IF($K976="","",INDEX(Конструктор!$M$2:$M$1212,$K976))</f>
        <v/>
      </c>
      <c r="H976" s="10">
        <f>IF($K976="","",INDEX(Конструктор!$N$2:$N$1212,$K976))</f>
        <v/>
      </c>
      <c r="I976" s="10">
        <f>IF($K976="","",INDEX(Конструктор!$O$2:$O$1212,$K976))</f>
        <v/>
      </c>
      <c r="J976" s="10">
        <f>IF($K976="","",INDEX(Конструктор!$P$2:$P$1212,$K976))</f>
        <v/>
      </c>
      <c r="K976">
        <f>IFERROR(MATCH(956,Конструктор!$T$2:$T$1212,0),"")</f>
        <v/>
      </c>
      <c r="L976">
        <f>IF($K976="","","показать")</f>
        <v/>
      </c>
    </row>
    <row r="977" hidden="1">
      <c r="A977">
        <f>IF($K977="","",957)</f>
        <v/>
      </c>
      <c r="B977">
        <f>IF($K977="","",INDEX(Конструктор!$C$2:$C$1212,$K977))</f>
        <v/>
      </c>
      <c r="C977" s="8">
        <f>IF($K977="","",INDEX(Конструктор!$D$2:$D$1212,$K977)&amp;IF(INDEX(Конструктор!$J$2:$J$1212,$K977)&lt;&gt;""," — "&amp;INDEX(Конструктор!$J$2:$J$1212,$K977),""))</f>
        <v/>
      </c>
      <c r="D977">
        <f>IF($K977="","",INDEX(Конструктор!$E$2:$E$1212,$K977))</f>
        <v/>
      </c>
      <c r="E977" s="10">
        <f>IF($K977="","",INDEX(Конструктор!$H$2:$H$1212,$K977))</f>
        <v/>
      </c>
      <c r="F977" s="10">
        <f>IF($K977="","",INDEX(Конструктор!$L$2:$L$1212,$K977))</f>
        <v/>
      </c>
      <c r="G977" s="10">
        <f>IF($K977="","",INDEX(Конструктор!$M$2:$M$1212,$K977))</f>
        <v/>
      </c>
      <c r="H977" s="10">
        <f>IF($K977="","",INDEX(Конструктор!$N$2:$N$1212,$K977))</f>
        <v/>
      </c>
      <c r="I977" s="10">
        <f>IF($K977="","",INDEX(Конструктор!$O$2:$O$1212,$K977))</f>
        <v/>
      </c>
      <c r="J977" s="10">
        <f>IF($K977="","",INDEX(Конструктор!$P$2:$P$1212,$K977))</f>
        <v/>
      </c>
      <c r="K977">
        <f>IFERROR(MATCH(957,Конструктор!$T$2:$T$1212,0),"")</f>
        <v/>
      </c>
      <c r="L977">
        <f>IF($K977="","","показать")</f>
        <v/>
      </c>
    </row>
    <row r="978" hidden="1">
      <c r="A978">
        <f>IF($K978="","",958)</f>
        <v/>
      </c>
      <c r="B978">
        <f>IF($K978="","",INDEX(Конструктор!$C$2:$C$1212,$K978))</f>
        <v/>
      </c>
      <c r="C978" s="8">
        <f>IF($K978="","",INDEX(Конструктор!$D$2:$D$1212,$K978)&amp;IF(INDEX(Конструктор!$J$2:$J$1212,$K978)&lt;&gt;""," — "&amp;INDEX(Конструктор!$J$2:$J$1212,$K978),""))</f>
        <v/>
      </c>
      <c r="D978">
        <f>IF($K978="","",INDEX(Конструктор!$E$2:$E$1212,$K978))</f>
        <v/>
      </c>
      <c r="E978" s="10">
        <f>IF($K978="","",INDEX(Конструктор!$H$2:$H$1212,$K978))</f>
        <v/>
      </c>
      <c r="F978" s="10">
        <f>IF($K978="","",INDEX(Конструктор!$L$2:$L$1212,$K978))</f>
        <v/>
      </c>
      <c r="G978" s="10">
        <f>IF($K978="","",INDEX(Конструктор!$M$2:$M$1212,$K978))</f>
        <v/>
      </c>
      <c r="H978" s="10">
        <f>IF($K978="","",INDEX(Конструктор!$N$2:$N$1212,$K978))</f>
        <v/>
      </c>
      <c r="I978" s="10">
        <f>IF($K978="","",INDEX(Конструктор!$O$2:$O$1212,$K978))</f>
        <v/>
      </c>
      <c r="J978" s="10">
        <f>IF($K978="","",INDEX(Конструктор!$P$2:$P$1212,$K978))</f>
        <v/>
      </c>
      <c r="K978">
        <f>IFERROR(MATCH(958,Конструктор!$T$2:$T$1212,0),"")</f>
        <v/>
      </c>
      <c r="L978">
        <f>IF($K978="","","показать")</f>
        <v/>
      </c>
    </row>
    <row r="979" hidden="1">
      <c r="A979">
        <f>IF($K979="","",959)</f>
        <v/>
      </c>
      <c r="B979">
        <f>IF($K979="","",INDEX(Конструктор!$C$2:$C$1212,$K979))</f>
        <v/>
      </c>
      <c r="C979" s="8">
        <f>IF($K979="","",INDEX(Конструктор!$D$2:$D$1212,$K979)&amp;IF(INDEX(Конструктор!$J$2:$J$1212,$K979)&lt;&gt;""," — "&amp;INDEX(Конструктор!$J$2:$J$1212,$K979),""))</f>
        <v/>
      </c>
      <c r="D979">
        <f>IF($K979="","",INDEX(Конструктор!$E$2:$E$1212,$K979))</f>
        <v/>
      </c>
      <c r="E979" s="10">
        <f>IF($K979="","",INDEX(Конструктор!$H$2:$H$1212,$K979))</f>
        <v/>
      </c>
      <c r="F979" s="10">
        <f>IF($K979="","",INDEX(Конструктор!$L$2:$L$1212,$K979))</f>
        <v/>
      </c>
      <c r="G979" s="10">
        <f>IF($K979="","",INDEX(Конструктор!$M$2:$M$1212,$K979))</f>
        <v/>
      </c>
      <c r="H979" s="10">
        <f>IF($K979="","",INDEX(Конструктор!$N$2:$N$1212,$K979))</f>
        <v/>
      </c>
      <c r="I979" s="10">
        <f>IF($K979="","",INDEX(Конструктор!$O$2:$O$1212,$K979))</f>
        <v/>
      </c>
      <c r="J979" s="10">
        <f>IF($K979="","",INDEX(Конструктор!$P$2:$P$1212,$K979))</f>
        <v/>
      </c>
      <c r="K979">
        <f>IFERROR(MATCH(959,Конструктор!$T$2:$T$1212,0),"")</f>
        <v/>
      </c>
      <c r="L979">
        <f>IF($K979="","","показать")</f>
        <v/>
      </c>
    </row>
    <row r="980" hidden="1">
      <c r="A980">
        <f>IF($K980="","",960)</f>
        <v/>
      </c>
      <c r="B980">
        <f>IF($K980="","",INDEX(Конструктор!$C$2:$C$1212,$K980))</f>
        <v/>
      </c>
      <c r="C980" s="8">
        <f>IF($K980="","",INDEX(Конструктор!$D$2:$D$1212,$K980)&amp;IF(INDEX(Конструктор!$J$2:$J$1212,$K980)&lt;&gt;""," — "&amp;INDEX(Конструктор!$J$2:$J$1212,$K980),""))</f>
        <v/>
      </c>
      <c r="D980">
        <f>IF($K980="","",INDEX(Конструктор!$E$2:$E$1212,$K980))</f>
        <v/>
      </c>
      <c r="E980" s="10">
        <f>IF($K980="","",INDEX(Конструктор!$H$2:$H$1212,$K980))</f>
        <v/>
      </c>
      <c r="F980" s="10">
        <f>IF($K980="","",INDEX(Конструктор!$L$2:$L$1212,$K980))</f>
        <v/>
      </c>
      <c r="G980" s="10">
        <f>IF($K980="","",INDEX(Конструктор!$M$2:$M$1212,$K980))</f>
        <v/>
      </c>
      <c r="H980" s="10">
        <f>IF($K980="","",INDEX(Конструктор!$N$2:$N$1212,$K980))</f>
        <v/>
      </c>
      <c r="I980" s="10">
        <f>IF($K980="","",INDEX(Конструктор!$O$2:$O$1212,$K980))</f>
        <v/>
      </c>
      <c r="J980" s="10">
        <f>IF($K980="","",INDEX(Конструктор!$P$2:$P$1212,$K980))</f>
        <v/>
      </c>
      <c r="K980">
        <f>IFERROR(MATCH(960,Конструктор!$T$2:$T$1212,0),"")</f>
        <v/>
      </c>
      <c r="L980">
        <f>IF($K980="","","показать")</f>
        <v/>
      </c>
    </row>
    <row r="981" hidden="1">
      <c r="A981">
        <f>IF($K981="","",961)</f>
        <v/>
      </c>
      <c r="B981">
        <f>IF($K981="","",INDEX(Конструктор!$C$2:$C$1212,$K981))</f>
        <v/>
      </c>
      <c r="C981" s="8">
        <f>IF($K981="","",INDEX(Конструктор!$D$2:$D$1212,$K981)&amp;IF(INDEX(Конструктор!$J$2:$J$1212,$K981)&lt;&gt;""," — "&amp;INDEX(Конструктор!$J$2:$J$1212,$K981),""))</f>
        <v/>
      </c>
      <c r="D981">
        <f>IF($K981="","",INDEX(Конструктор!$E$2:$E$1212,$K981))</f>
        <v/>
      </c>
      <c r="E981" s="10">
        <f>IF($K981="","",INDEX(Конструктор!$H$2:$H$1212,$K981))</f>
        <v/>
      </c>
      <c r="F981" s="10">
        <f>IF($K981="","",INDEX(Конструктор!$L$2:$L$1212,$K981))</f>
        <v/>
      </c>
      <c r="G981" s="10">
        <f>IF($K981="","",INDEX(Конструктор!$M$2:$M$1212,$K981))</f>
        <v/>
      </c>
      <c r="H981" s="10">
        <f>IF($K981="","",INDEX(Конструктор!$N$2:$N$1212,$K981))</f>
        <v/>
      </c>
      <c r="I981" s="10">
        <f>IF($K981="","",INDEX(Конструктор!$O$2:$O$1212,$K981))</f>
        <v/>
      </c>
      <c r="J981" s="10">
        <f>IF($K981="","",INDEX(Конструктор!$P$2:$P$1212,$K981))</f>
        <v/>
      </c>
      <c r="K981">
        <f>IFERROR(MATCH(961,Конструктор!$T$2:$T$1212,0),"")</f>
        <v/>
      </c>
      <c r="L981">
        <f>IF($K981="","","показать")</f>
        <v/>
      </c>
    </row>
    <row r="982" hidden="1">
      <c r="A982">
        <f>IF($K982="","",962)</f>
        <v/>
      </c>
      <c r="B982">
        <f>IF($K982="","",INDEX(Конструктор!$C$2:$C$1212,$K982))</f>
        <v/>
      </c>
      <c r="C982" s="8">
        <f>IF($K982="","",INDEX(Конструктор!$D$2:$D$1212,$K982)&amp;IF(INDEX(Конструктор!$J$2:$J$1212,$K982)&lt;&gt;""," — "&amp;INDEX(Конструктор!$J$2:$J$1212,$K982),""))</f>
        <v/>
      </c>
      <c r="D982">
        <f>IF($K982="","",INDEX(Конструктор!$E$2:$E$1212,$K982))</f>
        <v/>
      </c>
      <c r="E982" s="10">
        <f>IF($K982="","",INDEX(Конструктор!$H$2:$H$1212,$K982))</f>
        <v/>
      </c>
      <c r="F982" s="10">
        <f>IF($K982="","",INDEX(Конструктор!$L$2:$L$1212,$K982))</f>
        <v/>
      </c>
      <c r="G982" s="10">
        <f>IF($K982="","",INDEX(Конструктор!$M$2:$M$1212,$K982))</f>
        <v/>
      </c>
      <c r="H982" s="10">
        <f>IF($K982="","",INDEX(Конструктор!$N$2:$N$1212,$K982))</f>
        <v/>
      </c>
      <c r="I982" s="10">
        <f>IF($K982="","",INDEX(Конструктор!$O$2:$O$1212,$K982))</f>
        <v/>
      </c>
      <c r="J982" s="10">
        <f>IF($K982="","",INDEX(Конструктор!$P$2:$P$1212,$K982))</f>
        <v/>
      </c>
      <c r="K982">
        <f>IFERROR(MATCH(962,Конструктор!$T$2:$T$1212,0),"")</f>
        <v/>
      </c>
      <c r="L982">
        <f>IF($K982="","","показать")</f>
        <v/>
      </c>
    </row>
    <row r="983" hidden="1">
      <c r="A983">
        <f>IF($K983="","",963)</f>
        <v/>
      </c>
      <c r="B983">
        <f>IF($K983="","",INDEX(Конструктор!$C$2:$C$1212,$K983))</f>
        <v/>
      </c>
      <c r="C983" s="8">
        <f>IF($K983="","",INDEX(Конструктор!$D$2:$D$1212,$K983)&amp;IF(INDEX(Конструктор!$J$2:$J$1212,$K983)&lt;&gt;""," — "&amp;INDEX(Конструктор!$J$2:$J$1212,$K983),""))</f>
        <v/>
      </c>
      <c r="D983">
        <f>IF($K983="","",INDEX(Конструктор!$E$2:$E$1212,$K983))</f>
        <v/>
      </c>
      <c r="E983" s="10">
        <f>IF($K983="","",INDEX(Конструктор!$H$2:$H$1212,$K983))</f>
        <v/>
      </c>
      <c r="F983" s="10">
        <f>IF($K983="","",INDEX(Конструктор!$L$2:$L$1212,$K983))</f>
        <v/>
      </c>
      <c r="G983" s="10">
        <f>IF($K983="","",INDEX(Конструктор!$M$2:$M$1212,$K983))</f>
        <v/>
      </c>
      <c r="H983" s="10">
        <f>IF($K983="","",INDEX(Конструктор!$N$2:$N$1212,$K983))</f>
        <v/>
      </c>
      <c r="I983" s="10">
        <f>IF($K983="","",INDEX(Конструктор!$O$2:$O$1212,$K983))</f>
        <v/>
      </c>
      <c r="J983" s="10">
        <f>IF($K983="","",INDEX(Конструктор!$P$2:$P$1212,$K983))</f>
        <v/>
      </c>
      <c r="K983">
        <f>IFERROR(MATCH(963,Конструктор!$T$2:$T$1212,0),"")</f>
        <v/>
      </c>
      <c r="L983">
        <f>IF($K983="","","показать")</f>
        <v/>
      </c>
    </row>
    <row r="984" hidden="1">
      <c r="A984">
        <f>IF($K984="","",964)</f>
        <v/>
      </c>
      <c r="B984">
        <f>IF($K984="","",INDEX(Конструктор!$C$2:$C$1212,$K984))</f>
        <v/>
      </c>
      <c r="C984" s="8">
        <f>IF($K984="","",INDEX(Конструктор!$D$2:$D$1212,$K984)&amp;IF(INDEX(Конструктор!$J$2:$J$1212,$K984)&lt;&gt;""," — "&amp;INDEX(Конструктор!$J$2:$J$1212,$K984),""))</f>
        <v/>
      </c>
      <c r="D984">
        <f>IF($K984="","",INDEX(Конструктор!$E$2:$E$1212,$K984))</f>
        <v/>
      </c>
      <c r="E984" s="10">
        <f>IF($K984="","",INDEX(Конструктор!$H$2:$H$1212,$K984))</f>
        <v/>
      </c>
      <c r="F984" s="10">
        <f>IF($K984="","",INDEX(Конструктор!$L$2:$L$1212,$K984))</f>
        <v/>
      </c>
      <c r="G984" s="10">
        <f>IF($K984="","",INDEX(Конструктор!$M$2:$M$1212,$K984))</f>
        <v/>
      </c>
      <c r="H984" s="10">
        <f>IF($K984="","",INDEX(Конструктор!$N$2:$N$1212,$K984))</f>
        <v/>
      </c>
      <c r="I984" s="10">
        <f>IF($K984="","",INDEX(Конструктор!$O$2:$O$1212,$K984))</f>
        <v/>
      </c>
      <c r="J984" s="10">
        <f>IF($K984="","",INDEX(Конструктор!$P$2:$P$1212,$K984))</f>
        <v/>
      </c>
      <c r="K984">
        <f>IFERROR(MATCH(964,Конструктор!$T$2:$T$1212,0),"")</f>
        <v/>
      </c>
      <c r="L984">
        <f>IF($K984="","","показать")</f>
        <v/>
      </c>
    </row>
    <row r="985" hidden="1">
      <c r="A985">
        <f>IF($K985="","",965)</f>
        <v/>
      </c>
      <c r="B985">
        <f>IF($K985="","",INDEX(Конструктор!$C$2:$C$1212,$K985))</f>
        <v/>
      </c>
      <c r="C985" s="8">
        <f>IF($K985="","",INDEX(Конструктор!$D$2:$D$1212,$K985)&amp;IF(INDEX(Конструктор!$J$2:$J$1212,$K985)&lt;&gt;""," — "&amp;INDEX(Конструктор!$J$2:$J$1212,$K985),""))</f>
        <v/>
      </c>
      <c r="D985">
        <f>IF($K985="","",INDEX(Конструктор!$E$2:$E$1212,$K985))</f>
        <v/>
      </c>
      <c r="E985" s="10">
        <f>IF($K985="","",INDEX(Конструктор!$H$2:$H$1212,$K985))</f>
        <v/>
      </c>
      <c r="F985" s="10">
        <f>IF($K985="","",INDEX(Конструктор!$L$2:$L$1212,$K985))</f>
        <v/>
      </c>
      <c r="G985" s="10">
        <f>IF($K985="","",INDEX(Конструктор!$M$2:$M$1212,$K985))</f>
        <v/>
      </c>
      <c r="H985" s="10">
        <f>IF($K985="","",INDEX(Конструктор!$N$2:$N$1212,$K985))</f>
        <v/>
      </c>
      <c r="I985" s="10">
        <f>IF($K985="","",INDEX(Конструктор!$O$2:$O$1212,$K985))</f>
        <v/>
      </c>
      <c r="J985" s="10">
        <f>IF($K985="","",INDEX(Конструктор!$P$2:$P$1212,$K985))</f>
        <v/>
      </c>
      <c r="K985">
        <f>IFERROR(MATCH(965,Конструктор!$T$2:$T$1212,0),"")</f>
        <v/>
      </c>
      <c r="L985">
        <f>IF($K985="","","показать")</f>
        <v/>
      </c>
    </row>
    <row r="986" hidden="1">
      <c r="A986">
        <f>IF($K986="","",966)</f>
        <v/>
      </c>
      <c r="B986">
        <f>IF($K986="","",INDEX(Конструктор!$C$2:$C$1212,$K986))</f>
        <v/>
      </c>
      <c r="C986" s="8">
        <f>IF($K986="","",INDEX(Конструктор!$D$2:$D$1212,$K986)&amp;IF(INDEX(Конструктор!$J$2:$J$1212,$K986)&lt;&gt;""," — "&amp;INDEX(Конструктор!$J$2:$J$1212,$K986),""))</f>
        <v/>
      </c>
      <c r="D986">
        <f>IF($K986="","",INDEX(Конструктор!$E$2:$E$1212,$K986))</f>
        <v/>
      </c>
      <c r="E986" s="10">
        <f>IF($K986="","",INDEX(Конструктор!$H$2:$H$1212,$K986))</f>
        <v/>
      </c>
      <c r="F986" s="10">
        <f>IF($K986="","",INDEX(Конструктор!$L$2:$L$1212,$K986))</f>
        <v/>
      </c>
      <c r="G986" s="10">
        <f>IF($K986="","",INDEX(Конструктор!$M$2:$M$1212,$K986))</f>
        <v/>
      </c>
      <c r="H986" s="10">
        <f>IF($K986="","",INDEX(Конструктор!$N$2:$N$1212,$K986))</f>
        <v/>
      </c>
      <c r="I986" s="10">
        <f>IF($K986="","",INDEX(Конструктор!$O$2:$O$1212,$K986))</f>
        <v/>
      </c>
      <c r="J986" s="10">
        <f>IF($K986="","",INDEX(Конструктор!$P$2:$P$1212,$K986))</f>
        <v/>
      </c>
      <c r="K986">
        <f>IFERROR(MATCH(966,Конструктор!$T$2:$T$1212,0),"")</f>
        <v/>
      </c>
      <c r="L986">
        <f>IF($K986="","","показать")</f>
        <v/>
      </c>
    </row>
    <row r="987" hidden="1">
      <c r="A987">
        <f>IF($K987="","",967)</f>
        <v/>
      </c>
      <c r="B987">
        <f>IF($K987="","",INDEX(Конструктор!$C$2:$C$1212,$K987))</f>
        <v/>
      </c>
      <c r="C987" s="8">
        <f>IF($K987="","",INDEX(Конструктор!$D$2:$D$1212,$K987)&amp;IF(INDEX(Конструктор!$J$2:$J$1212,$K987)&lt;&gt;""," — "&amp;INDEX(Конструктор!$J$2:$J$1212,$K987),""))</f>
        <v/>
      </c>
      <c r="D987">
        <f>IF($K987="","",INDEX(Конструктор!$E$2:$E$1212,$K987))</f>
        <v/>
      </c>
      <c r="E987" s="10">
        <f>IF($K987="","",INDEX(Конструктор!$H$2:$H$1212,$K987))</f>
        <v/>
      </c>
      <c r="F987" s="10">
        <f>IF($K987="","",INDEX(Конструктор!$L$2:$L$1212,$K987))</f>
        <v/>
      </c>
      <c r="G987" s="10">
        <f>IF($K987="","",INDEX(Конструктор!$M$2:$M$1212,$K987))</f>
        <v/>
      </c>
      <c r="H987" s="10">
        <f>IF($K987="","",INDEX(Конструктор!$N$2:$N$1212,$K987))</f>
        <v/>
      </c>
      <c r="I987" s="10">
        <f>IF($K987="","",INDEX(Конструктор!$O$2:$O$1212,$K987))</f>
        <v/>
      </c>
      <c r="J987" s="10">
        <f>IF($K987="","",INDEX(Конструктор!$P$2:$P$1212,$K987))</f>
        <v/>
      </c>
      <c r="K987">
        <f>IFERROR(MATCH(967,Конструктор!$T$2:$T$1212,0),"")</f>
        <v/>
      </c>
      <c r="L987">
        <f>IF($K987="","","показать")</f>
        <v/>
      </c>
    </row>
    <row r="988" hidden="1">
      <c r="A988">
        <f>IF($K988="","",968)</f>
        <v/>
      </c>
      <c r="B988">
        <f>IF($K988="","",INDEX(Конструктор!$C$2:$C$1212,$K988))</f>
        <v/>
      </c>
      <c r="C988" s="8">
        <f>IF($K988="","",INDEX(Конструктор!$D$2:$D$1212,$K988)&amp;IF(INDEX(Конструктор!$J$2:$J$1212,$K988)&lt;&gt;""," — "&amp;INDEX(Конструктор!$J$2:$J$1212,$K988),""))</f>
        <v/>
      </c>
      <c r="D988">
        <f>IF($K988="","",INDEX(Конструктор!$E$2:$E$1212,$K988))</f>
        <v/>
      </c>
      <c r="E988" s="10">
        <f>IF($K988="","",INDEX(Конструктор!$H$2:$H$1212,$K988))</f>
        <v/>
      </c>
      <c r="F988" s="10">
        <f>IF($K988="","",INDEX(Конструктор!$L$2:$L$1212,$K988))</f>
        <v/>
      </c>
      <c r="G988" s="10">
        <f>IF($K988="","",INDEX(Конструктор!$M$2:$M$1212,$K988))</f>
        <v/>
      </c>
      <c r="H988" s="10">
        <f>IF($K988="","",INDEX(Конструктор!$N$2:$N$1212,$K988))</f>
        <v/>
      </c>
      <c r="I988" s="10">
        <f>IF($K988="","",INDEX(Конструктор!$O$2:$O$1212,$K988))</f>
        <v/>
      </c>
      <c r="J988" s="10">
        <f>IF($K988="","",INDEX(Конструктор!$P$2:$P$1212,$K988))</f>
        <v/>
      </c>
      <c r="K988">
        <f>IFERROR(MATCH(968,Конструктор!$T$2:$T$1212,0),"")</f>
        <v/>
      </c>
      <c r="L988">
        <f>IF($K988="","","показать")</f>
        <v/>
      </c>
    </row>
    <row r="989" hidden="1">
      <c r="A989">
        <f>IF($K989="","",969)</f>
        <v/>
      </c>
      <c r="B989">
        <f>IF($K989="","",INDEX(Конструктор!$C$2:$C$1212,$K989))</f>
        <v/>
      </c>
      <c r="C989" s="8">
        <f>IF($K989="","",INDEX(Конструктор!$D$2:$D$1212,$K989)&amp;IF(INDEX(Конструктор!$J$2:$J$1212,$K989)&lt;&gt;""," — "&amp;INDEX(Конструктор!$J$2:$J$1212,$K989),""))</f>
        <v/>
      </c>
      <c r="D989">
        <f>IF($K989="","",INDEX(Конструктор!$E$2:$E$1212,$K989))</f>
        <v/>
      </c>
      <c r="E989" s="10">
        <f>IF($K989="","",INDEX(Конструктор!$H$2:$H$1212,$K989))</f>
        <v/>
      </c>
      <c r="F989" s="10">
        <f>IF($K989="","",INDEX(Конструктор!$L$2:$L$1212,$K989))</f>
        <v/>
      </c>
      <c r="G989" s="10">
        <f>IF($K989="","",INDEX(Конструктор!$M$2:$M$1212,$K989))</f>
        <v/>
      </c>
      <c r="H989" s="10">
        <f>IF($K989="","",INDEX(Конструктор!$N$2:$N$1212,$K989))</f>
        <v/>
      </c>
      <c r="I989" s="10">
        <f>IF($K989="","",INDEX(Конструктор!$O$2:$O$1212,$K989))</f>
        <v/>
      </c>
      <c r="J989" s="10">
        <f>IF($K989="","",INDEX(Конструктор!$P$2:$P$1212,$K989))</f>
        <v/>
      </c>
      <c r="K989">
        <f>IFERROR(MATCH(969,Конструктор!$T$2:$T$1212,0),"")</f>
        <v/>
      </c>
      <c r="L989">
        <f>IF($K989="","","показать")</f>
        <v/>
      </c>
    </row>
    <row r="990" hidden="1">
      <c r="A990">
        <f>IF($K990="","",970)</f>
        <v/>
      </c>
      <c r="B990">
        <f>IF($K990="","",INDEX(Конструктор!$C$2:$C$1212,$K990))</f>
        <v/>
      </c>
      <c r="C990" s="8">
        <f>IF($K990="","",INDEX(Конструктор!$D$2:$D$1212,$K990)&amp;IF(INDEX(Конструктор!$J$2:$J$1212,$K990)&lt;&gt;""," — "&amp;INDEX(Конструктор!$J$2:$J$1212,$K990),""))</f>
        <v/>
      </c>
      <c r="D990">
        <f>IF($K990="","",INDEX(Конструктор!$E$2:$E$1212,$K990))</f>
        <v/>
      </c>
      <c r="E990" s="10">
        <f>IF($K990="","",INDEX(Конструктор!$H$2:$H$1212,$K990))</f>
        <v/>
      </c>
      <c r="F990" s="10">
        <f>IF($K990="","",INDEX(Конструктор!$L$2:$L$1212,$K990))</f>
        <v/>
      </c>
      <c r="G990" s="10">
        <f>IF($K990="","",INDEX(Конструктор!$M$2:$M$1212,$K990))</f>
        <v/>
      </c>
      <c r="H990" s="10">
        <f>IF($K990="","",INDEX(Конструктор!$N$2:$N$1212,$K990))</f>
        <v/>
      </c>
      <c r="I990" s="10">
        <f>IF($K990="","",INDEX(Конструктор!$O$2:$O$1212,$K990))</f>
        <v/>
      </c>
      <c r="J990" s="10">
        <f>IF($K990="","",INDEX(Конструктор!$P$2:$P$1212,$K990))</f>
        <v/>
      </c>
      <c r="K990">
        <f>IFERROR(MATCH(970,Конструктор!$T$2:$T$1212,0),"")</f>
        <v/>
      </c>
      <c r="L990">
        <f>IF($K990="","","показать")</f>
        <v/>
      </c>
    </row>
    <row r="991" hidden="1">
      <c r="A991">
        <f>IF($K991="","",971)</f>
        <v/>
      </c>
      <c r="B991">
        <f>IF($K991="","",INDEX(Конструктор!$C$2:$C$1212,$K991))</f>
        <v/>
      </c>
      <c r="C991" s="8">
        <f>IF($K991="","",INDEX(Конструктор!$D$2:$D$1212,$K991)&amp;IF(INDEX(Конструктор!$J$2:$J$1212,$K991)&lt;&gt;""," — "&amp;INDEX(Конструктор!$J$2:$J$1212,$K991),""))</f>
        <v/>
      </c>
      <c r="D991">
        <f>IF($K991="","",INDEX(Конструктор!$E$2:$E$1212,$K991))</f>
        <v/>
      </c>
      <c r="E991" s="10">
        <f>IF($K991="","",INDEX(Конструктор!$H$2:$H$1212,$K991))</f>
        <v/>
      </c>
      <c r="F991" s="10">
        <f>IF($K991="","",INDEX(Конструктор!$L$2:$L$1212,$K991))</f>
        <v/>
      </c>
      <c r="G991" s="10">
        <f>IF($K991="","",INDEX(Конструктор!$M$2:$M$1212,$K991))</f>
        <v/>
      </c>
      <c r="H991" s="10">
        <f>IF($K991="","",INDEX(Конструктор!$N$2:$N$1212,$K991))</f>
        <v/>
      </c>
      <c r="I991" s="10">
        <f>IF($K991="","",INDEX(Конструктор!$O$2:$O$1212,$K991))</f>
        <v/>
      </c>
      <c r="J991" s="10">
        <f>IF($K991="","",INDEX(Конструктор!$P$2:$P$1212,$K991))</f>
        <v/>
      </c>
      <c r="K991">
        <f>IFERROR(MATCH(971,Конструктор!$T$2:$T$1212,0),"")</f>
        <v/>
      </c>
      <c r="L991">
        <f>IF($K991="","","показать")</f>
        <v/>
      </c>
    </row>
    <row r="992" hidden="1">
      <c r="A992">
        <f>IF($K992="","",972)</f>
        <v/>
      </c>
      <c r="B992">
        <f>IF($K992="","",INDEX(Конструктор!$C$2:$C$1212,$K992))</f>
        <v/>
      </c>
      <c r="C992" s="8">
        <f>IF($K992="","",INDEX(Конструктор!$D$2:$D$1212,$K992)&amp;IF(INDEX(Конструктор!$J$2:$J$1212,$K992)&lt;&gt;""," — "&amp;INDEX(Конструктор!$J$2:$J$1212,$K992),""))</f>
        <v/>
      </c>
      <c r="D992">
        <f>IF($K992="","",INDEX(Конструктор!$E$2:$E$1212,$K992))</f>
        <v/>
      </c>
      <c r="E992" s="10">
        <f>IF($K992="","",INDEX(Конструктор!$H$2:$H$1212,$K992))</f>
        <v/>
      </c>
      <c r="F992" s="10">
        <f>IF($K992="","",INDEX(Конструктор!$L$2:$L$1212,$K992))</f>
        <v/>
      </c>
      <c r="G992" s="10">
        <f>IF($K992="","",INDEX(Конструктор!$M$2:$M$1212,$K992))</f>
        <v/>
      </c>
      <c r="H992" s="10">
        <f>IF($K992="","",INDEX(Конструктор!$N$2:$N$1212,$K992))</f>
        <v/>
      </c>
      <c r="I992" s="10">
        <f>IF($K992="","",INDEX(Конструктор!$O$2:$O$1212,$K992))</f>
        <v/>
      </c>
      <c r="J992" s="10">
        <f>IF($K992="","",INDEX(Конструктор!$P$2:$P$1212,$K992))</f>
        <v/>
      </c>
      <c r="K992">
        <f>IFERROR(MATCH(972,Конструктор!$T$2:$T$1212,0),"")</f>
        <v/>
      </c>
      <c r="L992">
        <f>IF($K992="","","показать")</f>
        <v/>
      </c>
    </row>
    <row r="993" hidden="1">
      <c r="A993">
        <f>IF($K993="","",973)</f>
        <v/>
      </c>
      <c r="B993">
        <f>IF($K993="","",INDEX(Конструктор!$C$2:$C$1212,$K993))</f>
        <v/>
      </c>
      <c r="C993" s="8">
        <f>IF($K993="","",INDEX(Конструктор!$D$2:$D$1212,$K993)&amp;IF(INDEX(Конструктор!$J$2:$J$1212,$K993)&lt;&gt;""," — "&amp;INDEX(Конструктор!$J$2:$J$1212,$K993),""))</f>
        <v/>
      </c>
      <c r="D993">
        <f>IF($K993="","",INDEX(Конструктор!$E$2:$E$1212,$K993))</f>
        <v/>
      </c>
      <c r="E993" s="10">
        <f>IF($K993="","",INDEX(Конструктор!$H$2:$H$1212,$K993))</f>
        <v/>
      </c>
      <c r="F993" s="10">
        <f>IF($K993="","",INDEX(Конструктор!$L$2:$L$1212,$K993))</f>
        <v/>
      </c>
      <c r="G993" s="10">
        <f>IF($K993="","",INDEX(Конструктор!$M$2:$M$1212,$K993))</f>
        <v/>
      </c>
      <c r="H993" s="10">
        <f>IF($K993="","",INDEX(Конструктор!$N$2:$N$1212,$K993))</f>
        <v/>
      </c>
      <c r="I993" s="10">
        <f>IF($K993="","",INDEX(Конструктор!$O$2:$O$1212,$K993))</f>
        <v/>
      </c>
      <c r="J993" s="10">
        <f>IF($K993="","",INDEX(Конструктор!$P$2:$P$1212,$K993))</f>
        <v/>
      </c>
      <c r="K993">
        <f>IFERROR(MATCH(973,Конструктор!$T$2:$T$1212,0),"")</f>
        <v/>
      </c>
      <c r="L993">
        <f>IF($K993="","","показать")</f>
        <v/>
      </c>
    </row>
    <row r="994" hidden="1">
      <c r="A994">
        <f>IF($K994="","",974)</f>
        <v/>
      </c>
      <c r="B994">
        <f>IF($K994="","",INDEX(Конструктор!$C$2:$C$1212,$K994))</f>
        <v/>
      </c>
      <c r="C994" s="8">
        <f>IF($K994="","",INDEX(Конструктор!$D$2:$D$1212,$K994)&amp;IF(INDEX(Конструктор!$J$2:$J$1212,$K994)&lt;&gt;""," — "&amp;INDEX(Конструктор!$J$2:$J$1212,$K994),""))</f>
        <v/>
      </c>
      <c r="D994">
        <f>IF($K994="","",INDEX(Конструктор!$E$2:$E$1212,$K994))</f>
        <v/>
      </c>
      <c r="E994" s="10">
        <f>IF($K994="","",INDEX(Конструктор!$H$2:$H$1212,$K994))</f>
        <v/>
      </c>
      <c r="F994" s="10">
        <f>IF($K994="","",INDEX(Конструктор!$L$2:$L$1212,$K994))</f>
        <v/>
      </c>
      <c r="G994" s="10">
        <f>IF($K994="","",INDEX(Конструктор!$M$2:$M$1212,$K994))</f>
        <v/>
      </c>
      <c r="H994" s="10">
        <f>IF($K994="","",INDEX(Конструктор!$N$2:$N$1212,$K994))</f>
        <v/>
      </c>
      <c r="I994" s="10">
        <f>IF($K994="","",INDEX(Конструктор!$O$2:$O$1212,$K994))</f>
        <v/>
      </c>
      <c r="J994" s="10">
        <f>IF($K994="","",INDEX(Конструктор!$P$2:$P$1212,$K994))</f>
        <v/>
      </c>
      <c r="K994">
        <f>IFERROR(MATCH(974,Конструктор!$T$2:$T$1212,0),"")</f>
        <v/>
      </c>
      <c r="L994">
        <f>IF($K994="","","показать")</f>
        <v/>
      </c>
    </row>
    <row r="995" hidden="1">
      <c r="A995">
        <f>IF($K995="","",975)</f>
        <v/>
      </c>
      <c r="B995">
        <f>IF($K995="","",INDEX(Конструктор!$C$2:$C$1212,$K995))</f>
        <v/>
      </c>
      <c r="C995" s="8">
        <f>IF($K995="","",INDEX(Конструктор!$D$2:$D$1212,$K995)&amp;IF(INDEX(Конструктор!$J$2:$J$1212,$K995)&lt;&gt;""," — "&amp;INDEX(Конструктор!$J$2:$J$1212,$K995),""))</f>
        <v/>
      </c>
      <c r="D995">
        <f>IF($K995="","",INDEX(Конструктор!$E$2:$E$1212,$K995))</f>
        <v/>
      </c>
      <c r="E995" s="10">
        <f>IF($K995="","",INDEX(Конструктор!$H$2:$H$1212,$K995))</f>
        <v/>
      </c>
      <c r="F995" s="10">
        <f>IF($K995="","",INDEX(Конструктор!$L$2:$L$1212,$K995))</f>
        <v/>
      </c>
      <c r="G995" s="10">
        <f>IF($K995="","",INDEX(Конструктор!$M$2:$M$1212,$K995))</f>
        <v/>
      </c>
      <c r="H995" s="10">
        <f>IF($K995="","",INDEX(Конструктор!$N$2:$N$1212,$K995))</f>
        <v/>
      </c>
      <c r="I995" s="10">
        <f>IF($K995="","",INDEX(Конструктор!$O$2:$O$1212,$K995))</f>
        <v/>
      </c>
      <c r="J995" s="10">
        <f>IF($K995="","",INDEX(Конструктор!$P$2:$P$1212,$K995))</f>
        <v/>
      </c>
      <c r="K995">
        <f>IFERROR(MATCH(975,Конструктор!$T$2:$T$1212,0),"")</f>
        <v/>
      </c>
      <c r="L995">
        <f>IF($K995="","","показать")</f>
        <v/>
      </c>
    </row>
    <row r="996" hidden="1">
      <c r="A996">
        <f>IF($K996="","",976)</f>
        <v/>
      </c>
      <c r="B996">
        <f>IF($K996="","",INDEX(Конструктор!$C$2:$C$1212,$K996))</f>
        <v/>
      </c>
      <c r="C996" s="8">
        <f>IF($K996="","",INDEX(Конструктор!$D$2:$D$1212,$K996)&amp;IF(INDEX(Конструктор!$J$2:$J$1212,$K996)&lt;&gt;""," — "&amp;INDEX(Конструктор!$J$2:$J$1212,$K996),""))</f>
        <v/>
      </c>
      <c r="D996">
        <f>IF($K996="","",INDEX(Конструктор!$E$2:$E$1212,$K996))</f>
        <v/>
      </c>
      <c r="E996" s="10">
        <f>IF($K996="","",INDEX(Конструктор!$H$2:$H$1212,$K996))</f>
        <v/>
      </c>
      <c r="F996" s="10">
        <f>IF($K996="","",INDEX(Конструктор!$L$2:$L$1212,$K996))</f>
        <v/>
      </c>
      <c r="G996" s="10">
        <f>IF($K996="","",INDEX(Конструктор!$M$2:$M$1212,$K996))</f>
        <v/>
      </c>
      <c r="H996" s="10">
        <f>IF($K996="","",INDEX(Конструктор!$N$2:$N$1212,$K996))</f>
        <v/>
      </c>
      <c r="I996" s="10">
        <f>IF($K996="","",INDEX(Конструктор!$O$2:$O$1212,$K996))</f>
        <v/>
      </c>
      <c r="J996" s="10">
        <f>IF($K996="","",INDEX(Конструктор!$P$2:$P$1212,$K996))</f>
        <v/>
      </c>
      <c r="K996">
        <f>IFERROR(MATCH(976,Конструктор!$T$2:$T$1212,0),"")</f>
        <v/>
      </c>
      <c r="L996">
        <f>IF($K996="","","показать")</f>
        <v/>
      </c>
    </row>
    <row r="997" hidden="1">
      <c r="A997">
        <f>IF($K997="","",977)</f>
        <v/>
      </c>
      <c r="B997">
        <f>IF($K997="","",INDEX(Конструктор!$C$2:$C$1212,$K997))</f>
        <v/>
      </c>
      <c r="C997" s="8">
        <f>IF($K997="","",INDEX(Конструктор!$D$2:$D$1212,$K997)&amp;IF(INDEX(Конструктор!$J$2:$J$1212,$K997)&lt;&gt;""," — "&amp;INDEX(Конструктор!$J$2:$J$1212,$K997),""))</f>
        <v/>
      </c>
      <c r="D997">
        <f>IF($K997="","",INDEX(Конструктор!$E$2:$E$1212,$K997))</f>
        <v/>
      </c>
      <c r="E997" s="10">
        <f>IF($K997="","",INDEX(Конструктор!$H$2:$H$1212,$K997))</f>
        <v/>
      </c>
      <c r="F997" s="10">
        <f>IF($K997="","",INDEX(Конструктор!$L$2:$L$1212,$K997))</f>
        <v/>
      </c>
      <c r="G997" s="10">
        <f>IF($K997="","",INDEX(Конструктор!$M$2:$M$1212,$K997))</f>
        <v/>
      </c>
      <c r="H997" s="10">
        <f>IF($K997="","",INDEX(Конструктор!$N$2:$N$1212,$K997))</f>
        <v/>
      </c>
      <c r="I997" s="10">
        <f>IF($K997="","",INDEX(Конструктор!$O$2:$O$1212,$K997))</f>
        <v/>
      </c>
      <c r="J997" s="10">
        <f>IF($K997="","",INDEX(Конструктор!$P$2:$P$1212,$K997))</f>
        <v/>
      </c>
      <c r="K997">
        <f>IFERROR(MATCH(977,Конструктор!$T$2:$T$1212,0),"")</f>
        <v/>
      </c>
      <c r="L997">
        <f>IF($K997="","","показать")</f>
        <v/>
      </c>
    </row>
    <row r="998" hidden="1">
      <c r="A998">
        <f>IF($K998="","",978)</f>
        <v/>
      </c>
      <c r="B998">
        <f>IF($K998="","",INDEX(Конструктор!$C$2:$C$1212,$K998))</f>
        <v/>
      </c>
      <c r="C998" s="8">
        <f>IF($K998="","",INDEX(Конструктор!$D$2:$D$1212,$K998)&amp;IF(INDEX(Конструктор!$J$2:$J$1212,$K998)&lt;&gt;""," — "&amp;INDEX(Конструктор!$J$2:$J$1212,$K998),""))</f>
        <v/>
      </c>
      <c r="D998">
        <f>IF($K998="","",INDEX(Конструктор!$E$2:$E$1212,$K998))</f>
        <v/>
      </c>
      <c r="E998" s="10">
        <f>IF($K998="","",INDEX(Конструктор!$H$2:$H$1212,$K998))</f>
        <v/>
      </c>
      <c r="F998" s="10">
        <f>IF($K998="","",INDEX(Конструктор!$L$2:$L$1212,$K998))</f>
        <v/>
      </c>
      <c r="G998" s="10">
        <f>IF($K998="","",INDEX(Конструктор!$M$2:$M$1212,$K998))</f>
        <v/>
      </c>
      <c r="H998" s="10">
        <f>IF($K998="","",INDEX(Конструктор!$N$2:$N$1212,$K998))</f>
        <v/>
      </c>
      <c r="I998" s="10">
        <f>IF($K998="","",INDEX(Конструктор!$O$2:$O$1212,$K998))</f>
        <v/>
      </c>
      <c r="J998" s="10">
        <f>IF($K998="","",INDEX(Конструктор!$P$2:$P$1212,$K998))</f>
        <v/>
      </c>
      <c r="K998">
        <f>IFERROR(MATCH(978,Конструктор!$T$2:$T$1212,0),"")</f>
        <v/>
      </c>
      <c r="L998">
        <f>IF($K998="","","показать")</f>
        <v/>
      </c>
    </row>
    <row r="999" hidden="1">
      <c r="A999">
        <f>IF($K999="","",979)</f>
        <v/>
      </c>
      <c r="B999">
        <f>IF($K999="","",INDEX(Конструктор!$C$2:$C$1212,$K999))</f>
        <v/>
      </c>
      <c r="C999" s="8">
        <f>IF($K999="","",INDEX(Конструктор!$D$2:$D$1212,$K999)&amp;IF(INDEX(Конструктор!$J$2:$J$1212,$K999)&lt;&gt;""," — "&amp;INDEX(Конструктор!$J$2:$J$1212,$K999),""))</f>
        <v/>
      </c>
      <c r="D999">
        <f>IF($K999="","",INDEX(Конструктор!$E$2:$E$1212,$K999))</f>
        <v/>
      </c>
      <c r="E999" s="10">
        <f>IF($K999="","",INDEX(Конструктор!$H$2:$H$1212,$K999))</f>
        <v/>
      </c>
      <c r="F999" s="10">
        <f>IF($K999="","",INDEX(Конструктор!$L$2:$L$1212,$K999))</f>
        <v/>
      </c>
      <c r="G999" s="10">
        <f>IF($K999="","",INDEX(Конструктор!$M$2:$M$1212,$K999))</f>
        <v/>
      </c>
      <c r="H999" s="10">
        <f>IF($K999="","",INDEX(Конструктор!$N$2:$N$1212,$K999))</f>
        <v/>
      </c>
      <c r="I999" s="10">
        <f>IF($K999="","",INDEX(Конструктор!$O$2:$O$1212,$K999))</f>
        <v/>
      </c>
      <c r="J999" s="10">
        <f>IF($K999="","",INDEX(Конструктор!$P$2:$P$1212,$K999))</f>
        <v/>
      </c>
      <c r="K999">
        <f>IFERROR(MATCH(979,Конструктор!$T$2:$T$1212,0),"")</f>
        <v/>
      </c>
      <c r="L999">
        <f>IF($K999="","","показать")</f>
        <v/>
      </c>
    </row>
    <row r="1000" hidden="1">
      <c r="A1000">
        <f>IF($K1000="","",980)</f>
        <v/>
      </c>
      <c r="B1000">
        <f>IF($K1000="","",INDEX(Конструктор!$C$2:$C$1212,$K1000))</f>
        <v/>
      </c>
      <c r="C1000" s="8">
        <f>IF($K1000="","",INDEX(Конструктор!$D$2:$D$1212,$K1000)&amp;IF(INDEX(Конструктор!$J$2:$J$1212,$K1000)&lt;&gt;""," — "&amp;INDEX(Конструктор!$J$2:$J$1212,$K1000),""))</f>
        <v/>
      </c>
      <c r="D1000">
        <f>IF($K1000="","",INDEX(Конструктор!$E$2:$E$1212,$K1000))</f>
        <v/>
      </c>
      <c r="E1000" s="10">
        <f>IF($K1000="","",INDEX(Конструктор!$H$2:$H$1212,$K1000))</f>
        <v/>
      </c>
      <c r="F1000" s="10">
        <f>IF($K1000="","",INDEX(Конструктор!$L$2:$L$1212,$K1000))</f>
        <v/>
      </c>
      <c r="G1000" s="10">
        <f>IF($K1000="","",INDEX(Конструктор!$M$2:$M$1212,$K1000))</f>
        <v/>
      </c>
      <c r="H1000" s="10">
        <f>IF($K1000="","",INDEX(Конструктор!$N$2:$N$1212,$K1000))</f>
        <v/>
      </c>
      <c r="I1000" s="10">
        <f>IF($K1000="","",INDEX(Конструктор!$O$2:$O$1212,$K1000))</f>
        <v/>
      </c>
      <c r="J1000" s="10">
        <f>IF($K1000="","",INDEX(Конструктор!$P$2:$P$1212,$K1000))</f>
        <v/>
      </c>
      <c r="K1000">
        <f>IFERROR(MATCH(980,Конструктор!$T$2:$T$1212,0),"")</f>
        <v/>
      </c>
      <c r="L1000">
        <f>IF($K1000="","","показать")</f>
        <v/>
      </c>
    </row>
    <row r="1001" hidden="1">
      <c r="A1001">
        <f>IF($K1001="","",981)</f>
        <v/>
      </c>
      <c r="B1001">
        <f>IF($K1001="","",INDEX(Конструктор!$C$2:$C$1212,$K1001))</f>
        <v/>
      </c>
      <c r="C1001" s="8">
        <f>IF($K1001="","",INDEX(Конструктор!$D$2:$D$1212,$K1001)&amp;IF(INDEX(Конструктор!$J$2:$J$1212,$K1001)&lt;&gt;""," — "&amp;INDEX(Конструктор!$J$2:$J$1212,$K1001),""))</f>
        <v/>
      </c>
      <c r="D1001">
        <f>IF($K1001="","",INDEX(Конструктор!$E$2:$E$1212,$K1001))</f>
        <v/>
      </c>
      <c r="E1001" s="10">
        <f>IF($K1001="","",INDEX(Конструктор!$H$2:$H$1212,$K1001))</f>
        <v/>
      </c>
      <c r="F1001" s="10">
        <f>IF($K1001="","",INDEX(Конструктор!$L$2:$L$1212,$K1001))</f>
        <v/>
      </c>
      <c r="G1001" s="10">
        <f>IF($K1001="","",INDEX(Конструктор!$M$2:$M$1212,$K1001))</f>
        <v/>
      </c>
      <c r="H1001" s="10">
        <f>IF($K1001="","",INDEX(Конструктор!$N$2:$N$1212,$K1001))</f>
        <v/>
      </c>
      <c r="I1001" s="10">
        <f>IF($K1001="","",INDEX(Конструктор!$O$2:$O$1212,$K1001))</f>
        <v/>
      </c>
      <c r="J1001" s="10">
        <f>IF($K1001="","",INDEX(Конструктор!$P$2:$P$1212,$K1001))</f>
        <v/>
      </c>
      <c r="K1001">
        <f>IFERROR(MATCH(981,Конструктор!$T$2:$T$1212,0),"")</f>
        <v/>
      </c>
      <c r="L1001">
        <f>IF($K1001="","","показать")</f>
        <v/>
      </c>
    </row>
    <row r="1002" hidden="1">
      <c r="A1002">
        <f>IF($K1002="","",982)</f>
        <v/>
      </c>
      <c r="B1002">
        <f>IF($K1002="","",INDEX(Конструктор!$C$2:$C$1212,$K1002))</f>
        <v/>
      </c>
      <c r="C1002" s="8">
        <f>IF($K1002="","",INDEX(Конструктор!$D$2:$D$1212,$K1002)&amp;IF(INDEX(Конструктор!$J$2:$J$1212,$K1002)&lt;&gt;""," — "&amp;INDEX(Конструктор!$J$2:$J$1212,$K1002),""))</f>
        <v/>
      </c>
      <c r="D1002">
        <f>IF($K1002="","",INDEX(Конструктор!$E$2:$E$1212,$K1002))</f>
        <v/>
      </c>
      <c r="E1002" s="10">
        <f>IF($K1002="","",INDEX(Конструктор!$H$2:$H$1212,$K1002))</f>
        <v/>
      </c>
      <c r="F1002" s="10">
        <f>IF($K1002="","",INDEX(Конструктор!$L$2:$L$1212,$K1002))</f>
        <v/>
      </c>
      <c r="G1002" s="10">
        <f>IF($K1002="","",INDEX(Конструктор!$M$2:$M$1212,$K1002))</f>
        <v/>
      </c>
      <c r="H1002" s="10">
        <f>IF($K1002="","",INDEX(Конструктор!$N$2:$N$1212,$K1002))</f>
        <v/>
      </c>
      <c r="I1002" s="10">
        <f>IF($K1002="","",INDEX(Конструктор!$O$2:$O$1212,$K1002))</f>
        <v/>
      </c>
      <c r="J1002" s="10">
        <f>IF($K1002="","",INDEX(Конструктор!$P$2:$P$1212,$K1002))</f>
        <v/>
      </c>
      <c r="K1002">
        <f>IFERROR(MATCH(982,Конструктор!$T$2:$T$1212,0),"")</f>
        <v/>
      </c>
      <c r="L1002">
        <f>IF($K1002="","","показать")</f>
        <v/>
      </c>
    </row>
    <row r="1003" hidden="1">
      <c r="A1003">
        <f>IF($K1003="","",983)</f>
        <v/>
      </c>
      <c r="B1003">
        <f>IF($K1003="","",INDEX(Конструктор!$C$2:$C$1212,$K1003))</f>
        <v/>
      </c>
      <c r="C1003" s="8">
        <f>IF($K1003="","",INDEX(Конструктор!$D$2:$D$1212,$K1003)&amp;IF(INDEX(Конструктор!$J$2:$J$1212,$K1003)&lt;&gt;""," — "&amp;INDEX(Конструктор!$J$2:$J$1212,$K1003),""))</f>
        <v/>
      </c>
      <c r="D1003">
        <f>IF($K1003="","",INDEX(Конструктор!$E$2:$E$1212,$K1003))</f>
        <v/>
      </c>
      <c r="E1003" s="10">
        <f>IF($K1003="","",INDEX(Конструктор!$H$2:$H$1212,$K1003))</f>
        <v/>
      </c>
      <c r="F1003" s="10">
        <f>IF($K1003="","",INDEX(Конструктор!$L$2:$L$1212,$K1003))</f>
        <v/>
      </c>
      <c r="G1003" s="10">
        <f>IF($K1003="","",INDEX(Конструктор!$M$2:$M$1212,$K1003))</f>
        <v/>
      </c>
      <c r="H1003" s="10">
        <f>IF($K1003="","",INDEX(Конструктор!$N$2:$N$1212,$K1003))</f>
        <v/>
      </c>
      <c r="I1003" s="10">
        <f>IF($K1003="","",INDEX(Конструктор!$O$2:$O$1212,$K1003))</f>
        <v/>
      </c>
      <c r="J1003" s="10">
        <f>IF($K1003="","",INDEX(Конструктор!$P$2:$P$1212,$K1003))</f>
        <v/>
      </c>
      <c r="K1003">
        <f>IFERROR(MATCH(983,Конструктор!$T$2:$T$1212,0),"")</f>
        <v/>
      </c>
      <c r="L1003">
        <f>IF($K1003="","","показать")</f>
        <v/>
      </c>
    </row>
    <row r="1004" hidden="1">
      <c r="A1004">
        <f>IF($K1004="","",984)</f>
        <v/>
      </c>
      <c r="B1004">
        <f>IF($K1004="","",INDEX(Конструктор!$C$2:$C$1212,$K1004))</f>
        <v/>
      </c>
      <c r="C1004" s="8">
        <f>IF($K1004="","",INDEX(Конструктор!$D$2:$D$1212,$K1004)&amp;IF(INDEX(Конструктор!$J$2:$J$1212,$K1004)&lt;&gt;""," — "&amp;INDEX(Конструктор!$J$2:$J$1212,$K1004),""))</f>
        <v/>
      </c>
      <c r="D1004">
        <f>IF($K1004="","",INDEX(Конструктор!$E$2:$E$1212,$K1004))</f>
        <v/>
      </c>
      <c r="E1004" s="10">
        <f>IF($K1004="","",INDEX(Конструктор!$H$2:$H$1212,$K1004))</f>
        <v/>
      </c>
      <c r="F1004" s="10">
        <f>IF($K1004="","",INDEX(Конструктор!$L$2:$L$1212,$K1004))</f>
        <v/>
      </c>
      <c r="G1004" s="10">
        <f>IF($K1004="","",INDEX(Конструктор!$M$2:$M$1212,$K1004))</f>
        <v/>
      </c>
      <c r="H1004" s="10">
        <f>IF($K1004="","",INDEX(Конструктор!$N$2:$N$1212,$K1004))</f>
        <v/>
      </c>
      <c r="I1004" s="10">
        <f>IF($K1004="","",INDEX(Конструктор!$O$2:$O$1212,$K1004))</f>
        <v/>
      </c>
      <c r="J1004" s="10">
        <f>IF($K1004="","",INDEX(Конструктор!$P$2:$P$1212,$K1004))</f>
        <v/>
      </c>
      <c r="K1004">
        <f>IFERROR(MATCH(984,Конструктор!$T$2:$T$1212,0),"")</f>
        <v/>
      </c>
      <c r="L1004">
        <f>IF($K1004="","","показать")</f>
        <v/>
      </c>
    </row>
    <row r="1005" hidden="1">
      <c r="A1005">
        <f>IF($K1005="","",985)</f>
        <v/>
      </c>
      <c r="B1005">
        <f>IF($K1005="","",INDEX(Конструктор!$C$2:$C$1212,$K1005))</f>
        <v/>
      </c>
      <c r="C1005" s="8">
        <f>IF($K1005="","",INDEX(Конструктор!$D$2:$D$1212,$K1005)&amp;IF(INDEX(Конструктор!$J$2:$J$1212,$K1005)&lt;&gt;""," — "&amp;INDEX(Конструктор!$J$2:$J$1212,$K1005),""))</f>
        <v/>
      </c>
      <c r="D1005">
        <f>IF($K1005="","",INDEX(Конструктор!$E$2:$E$1212,$K1005))</f>
        <v/>
      </c>
      <c r="E1005" s="10">
        <f>IF($K1005="","",INDEX(Конструктор!$H$2:$H$1212,$K1005))</f>
        <v/>
      </c>
      <c r="F1005" s="10">
        <f>IF($K1005="","",INDEX(Конструктор!$L$2:$L$1212,$K1005))</f>
        <v/>
      </c>
      <c r="G1005" s="10">
        <f>IF($K1005="","",INDEX(Конструктор!$M$2:$M$1212,$K1005))</f>
        <v/>
      </c>
      <c r="H1005" s="10">
        <f>IF($K1005="","",INDEX(Конструктор!$N$2:$N$1212,$K1005))</f>
        <v/>
      </c>
      <c r="I1005" s="10">
        <f>IF($K1005="","",INDEX(Конструктор!$O$2:$O$1212,$K1005))</f>
        <v/>
      </c>
      <c r="J1005" s="10">
        <f>IF($K1005="","",INDEX(Конструктор!$P$2:$P$1212,$K1005))</f>
        <v/>
      </c>
      <c r="K1005">
        <f>IFERROR(MATCH(985,Конструктор!$T$2:$T$1212,0),"")</f>
        <v/>
      </c>
      <c r="L1005">
        <f>IF($K1005="","","показать")</f>
        <v/>
      </c>
    </row>
    <row r="1006" hidden="1">
      <c r="A1006">
        <f>IF($K1006="","",986)</f>
        <v/>
      </c>
      <c r="B1006">
        <f>IF($K1006="","",INDEX(Конструктор!$C$2:$C$1212,$K1006))</f>
        <v/>
      </c>
      <c r="C1006" s="8">
        <f>IF($K1006="","",INDEX(Конструктор!$D$2:$D$1212,$K1006)&amp;IF(INDEX(Конструктор!$J$2:$J$1212,$K1006)&lt;&gt;""," — "&amp;INDEX(Конструктор!$J$2:$J$1212,$K1006),""))</f>
        <v/>
      </c>
      <c r="D1006">
        <f>IF($K1006="","",INDEX(Конструктор!$E$2:$E$1212,$K1006))</f>
        <v/>
      </c>
      <c r="E1006" s="10">
        <f>IF($K1006="","",INDEX(Конструктор!$H$2:$H$1212,$K1006))</f>
        <v/>
      </c>
      <c r="F1006" s="10">
        <f>IF($K1006="","",INDEX(Конструктор!$L$2:$L$1212,$K1006))</f>
        <v/>
      </c>
      <c r="G1006" s="10">
        <f>IF($K1006="","",INDEX(Конструктор!$M$2:$M$1212,$K1006))</f>
        <v/>
      </c>
      <c r="H1006" s="10">
        <f>IF($K1006="","",INDEX(Конструктор!$N$2:$N$1212,$K1006))</f>
        <v/>
      </c>
      <c r="I1006" s="10">
        <f>IF($K1006="","",INDEX(Конструктор!$O$2:$O$1212,$K1006))</f>
        <v/>
      </c>
      <c r="J1006" s="10">
        <f>IF($K1006="","",INDEX(Конструктор!$P$2:$P$1212,$K1006))</f>
        <v/>
      </c>
      <c r="K1006">
        <f>IFERROR(MATCH(986,Конструктор!$T$2:$T$1212,0),"")</f>
        <v/>
      </c>
      <c r="L1006">
        <f>IF($K1006="","","показать")</f>
        <v/>
      </c>
    </row>
    <row r="1007" hidden="1">
      <c r="A1007">
        <f>IF($K1007="","",987)</f>
        <v/>
      </c>
      <c r="B1007">
        <f>IF($K1007="","",INDEX(Конструктор!$C$2:$C$1212,$K1007))</f>
        <v/>
      </c>
      <c r="C1007" s="8">
        <f>IF($K1007="","",INDEX(Конструктор!$D$2:$D$1212,$K1007)&amp;IF(INDEX(Конструктор!$J$2:$J$1212,$K1007)&lt;&gt;""," — "&amp;INDEX(Конструктор!$J$2:$J$1212,$K1007),""))</f>
        <v/>
      </c>
      <c r="D1007">
        <f>IF($K1007="","",INDEX(Конструктор!$E$2:$E$1212,$K1007))</f>
        <v/>
      </c>
      <c r="E1007" s="10">
        <f>IF($K1007="","",INDEX(Конструктор!$H$2:$H$1212,$K1007))</f>
        <v/>
      </c>
      <c r="F1007" s="10">
        <f>IF($K1007="","",INDEX(Конструктор!$L$2:$L$1212,$K1007))</f>
        <v/>
      </c>
      <c r="G1007" s="10">
        <f>IF($K1007="","",INDEX(Конструктор!$M$2:$M$1212,$K1007))</f>
        <v/>
      </c>
      <c r="H1007" s="10">
        <f>IF($K1007="","",INDEX(Конструктор!$N$2:$N$1212,$K1007))</f>
        <v/>
      </c>
      <c r="I1007" s="10">
        <f>IF($K1007="","",INDEX(Конструктор!$O$2:$O$1212,$K1007))</f>
        <v/>
      </c>
      <c r="J1007" s="10">
        <f>IF($K1007="","",INDEX(Конструктор!$P$2:$P$1212,$K1007))</f>
        <v/>
      </c>
      <c r="K1007">
        <f>IFERROR(MATCH(987,Конструктор!$T$2:$T$1212,0),"")</f>
        <v/>
      </c>
      <c r="L1007">
        <f>IF($K1007="","","показать")</f>
        <v/>
      </c>
    </row>
    <row r="1008" hidden="1">
      <c r="A1008">
        <f>IF($K1008="","",988)</f>
        <v/>
      </c>
      <c r="B1008">
        <f>IF($K1008="","",INDEX(Конструктор!$C$2:$C$1212,$K1008))</f>
        <v/>
      </c>
      <c r="C1008" s="8">
        <f>IF($K1008="","",INDEX(Конструктор!$D$2:$D$1212,$K1008)&amp;IF(INDEX(Конструктор!$J$2:$J$1212,$K1008)&lt;&gt;""," — "&amp;INDEX(Конструктор!$J$2:$J$1212,$K1008),""))</f>
        <v/>
      </c>
      <c r="D1008">
        <f>IF($K1008="","",INDEX(Конструктор!$E$2:$E$1212,$K1008))</f>
        <v/>
      </c>
      <c r="E1008" s="10">
        <f>IF($K1008="","",INDEX(Конструктор!$H$2:$H$1212,$K1008))</f>
        <v/>
      </c>
      <c r="F1008" s="10">
        <f>IF($K1008="","",INDEX(Конструктор!$L$2:$L$1212,$K1008))</f>
        <v/>
      </c>
      <c r="G1008" s="10">
        <f>IF($K1008="","",INDEX(Конструктор!$M$2:$M$1212,$K1008))</f>
        <v/>
      </c>
      <c r="H1008" s="10">
        <f>IF($K1008="","",INDEX(Конструктор!$N$2:$N$1212,$K1008))</f>
        <v/>
      </c>
      <c r="I1008" s="10">
        <f>IF($K1008="","",INDEX(Конструктор!$O$2:$O$1212,$K1008))</f>
        <v/>
      </c>
      <c r="J1008" s="10">
        <f>IF($K1008="","",INDEX(Конструктор!$P$2:$P$1212,$K1008))</f>
        <v/>
      </c>
      <c r="K1008">
        <f>IFERROR(MATCH(988,Конструктор!$T$2:$T$1212,0),"")</f>
        <v/>
      </c>
      <c r="L1008">
        <f>IF($K1008="","","показать")</f>
        <v/>
      </c>
    </row>
    <row r="1009" hidden="1">
      <c r="A1009">
        <f>IF($K1009="","",989)</f>
        <v/>
      </c>
      <c r="B1009">
        <f>IF($K1009="","",INDEX(Конструктор!$C$2:$C$1212,$K1009))</f>
        <v/>
      </c>
      <c r="C1009" s="8">
        <f>IF($K1009="","",INDEX(Конструктор!$D$2:$D$1212,$K1009)&amp;IF(INDEX(Конструктор!$J$2:$J$1212,$K1009)&lt;&gt;""," — "&amp;INDEX(Конструктор!$J$2:$J$1212,$K1009),""))</f>
        <v/>
      </c>
      <c r="D1009">
        <f>IF($K1009="","",INDEX(Конструктор!$E$2:$E$1212,$K1009))</f>
        <v/>
      </c>
      <c r="E1009" s="10">
        <f>IF($K1009="","",INDEX(Конструктор!$H$2:$H$1212,$K1009))</f>
        <v/>
      </c>
      <c r="F1009" s="10">
        <f>IF($K1009="","",INDEX(Конструктор!$L$2:$L$1212,$K1009))</f>
        <v/>
      </c>
      <c r="G1009" s="10">
        <f>IF($K1009="","",INDEX(Конструктор!$M$2:$M$1212,$K1009))</f>
        <v/>
      </c>
      <c r="H1009" s="10">
        <f>IF($K1009="","",INDEX(Конструктор!$N$2:$N$1212,$K1009))</f>
        <v/>
      </c>
      <c r="I1009" s="10">
        <f>IF($K1009="","",INDEX(Конструктор!$O$2:$O$1212,$K1009))</f>
        <v/>
      </c>
      <c r="J1009" s="10">
        <f>IF($K1009="","",INDEX(Конструктор!$P$2:$P$1212,$K1009))</f>
        <v/>
      </c>
      <c r="K1009">
        <f>IFERROR(MATCH(989,Конструктор!$T$2:$T$1212,0),"")</f>
        <v/>
      </c>
      <c r="L1009">
        <f>IF($K1009="","","показать")</f>
        <v/>
      </c>
    </row>
    <row r="1010" hidden="1">
      <c r="A1010">
        <f>IF($K1010="","",990)</f>
        <v/>
      </c>
      <c r="B1010">
        <f>IF($K1010="","",INDEX(Конструктор!$C$2:$C$1212,$K1010))</f>
        <v/>
      </c>
      <c r="C1010" s="8">
        <f>IF($K1010="","",INDEX(Конструктор!$D$2:$D$1212,$K1010)&amp;IF(INDEX(Конструктор!$J$2:$J$1212,$K1010)&lt;&gt;""," — "&amp;INDEX(Конструктор!$J$2:$J$1212,$K1010),""))</f>
        <v/>
      </c>
      <c r="D1010">
        <f>IF($K1010="","",INDEX(Конструктор!$E$2:$E$1212,$K1010))</f>
        <v/>
      </c>
      <c r="E1010" s="10">
        <f>IF($K1010="","",INDEX(Конструктор!$H$2:$H$1212,$K1010))</f>
        <v/>
      </c>
      <c r="F1010" s="10">
        <f>IF($K1010="","",INDEX(Конструктор!$L$2:$L$1212,$K1010))</f>
        <v/>
      </c>
      <c r="G1010" s="10">
        <f>IF($K1010="","",INDEX(Конструктор!$M$2:$M$1212,$K1010))</f>
        <v/>
      </c>
      <c r="H1010" s="10">
        <f>IF($K1010="","",INDEX(Конструктор!$N$2:$N$1212,$K1010))</f>
        <v/>
      </c>
      <c r="I1010" s="10">
        <f>IF($K1010="","",INDEX(Конструктор!$O$2:$O$1212,$K1010))</f>
        <v/>
      </c>
      <c r="J1010" s="10">
        <f>IF($K1010="","",INDEX(Конструктор!$P$2:$P$1212,$K1010))</f>
        <v/>
      </c>
      <c r="K1010">
        <f>IFERROR(MATCH(990,Конструктор!$T$2:$T$1212,0),"")</f>
        <v/>
      </c>
      <c r="L1010">
        <f>IF($K1010="","","показать")</f>
        <v/>
      </c>
    </row>
    <row r="1011" hidden="1">
      <c r="A1011">
        <f>IF($K1011="","",991)</f>
        <v/>
      </c>
      <c r="B1011">
        <f>IF($K1011="","",INDEX(Конструктор!$C$2:$C$1212,$K1011))</f>
        <v/>
      </c>
      <c r="C1011" s="8">
        <f>IF($K1011="","",INDEX(Конструктор!$D$2:$D$1212,$K1011)&amp;IF(INDEX(Конструктор!$J$2:$J$1212,$K1011)&lt;&gt;""," — "&amp;INDEX(Конструктор!$J$2:$J$1212,$K1011),""))</f>
        <v/>
      </c>
      <c r="D1011">
        <f>IF($K1011="","",INDEX(Конструктор!$E$2:$E$1212,$K1011))</f>
        <v/>
      </c>
      <c r="E1011" s="10">
        <f>IF($K1011="","",INDEX(Конструктор!$H$2:$H$1212,$K1011))</f>
        <v/>
      </c>
      <c r="F1011" s="10">
        <f>IF($K1011="","",INDEX(Конструктор!$L$2:$L$1212,$K1011))</f>
        <v/>
      </c>
      <c r="G1011" s="10">
        <f>IF($K1011="","",INDEX(Конструктор!$M$2:$M$1212,$K1011))</f>
        <v/>
      </c>
      <c r="H1011" s="10">
        <f>IF($K1011="","",INDEX(Конструктор!$N$2:$N$1212,$K1011))</f>
        <v/>
      </c>
      <c r="I1011" s="10">
        <f>IF($K1011="","",INDEX(Конструктор!$O$2:$O$1212,$K1011))</f>
        <v/>
      </c>
      <c r="J1011" s="10">
        <f>IF($K1011="","",INDEX(Конструктор!$P$2:$P$1212,$K1011))</f>
        <v/>
      </c>
      <c r="K1011">
        <f>IFERROR(MATCH(991,Конструктор!$T$2:$T$1212,0),"")</f>
        <v/>
      </c>
      <c r="L1011">
        <f>IF($K1011="","","показать")</f>
        <v/>
      </c>
    </row>
    <row r="1012" hidden="1">
      <c r="A1012">
        <f>IF($K1012="","",992)</f>
        <v/>
      </c>
      <c r="B1012">
        <f>IF($K1012="","",INDEX(Конструктор!$C$2:$C$1212,$K1012))</f>
        <v/>
      </c>
      <c r="C1012" s="8">
        <f>IF($K1012="","",INDEX(Конструктор!$D$2:$D$1212,$K1012)&amp;IF(INDEX(Конструктор!$J$2:$J$1212,$K1012)&lt;&gt;""," — "&amp;INDEX(Конструктор!$J$2:$J$1212,$K1012),""))</f>
        <v/>
      </c>
      <c r="D1012">
        <f>IF($K1012="","",INDEX(Конструктор!$E$2:$E$1212,$K1012))</f>
        <v/>
      </c>
      <c r="E1012" s="10">
        <f>IF($K1012="","",INDEX(Конструктор!$H$2:$H$1212,$K1012))</f>
        <v/>
      </c>
      <c r="F1012" s="10">
        <f>IF($K1012="","",INDEX(Конструктор!$L$2:$L$1212,$K1012))</f>
        <v/>
      </c>
      <c r="G1012" s="10">
        <f>IF($K1012="","",INDEX(Конструктор!$M$2:$M$1212,$K1012))</f>
        <v/>
      </c>
      <c r="H1012" s="10">
        <f>IF($K1012="","",INDEX(Конструктор!$N$2:$N$1212,$K1012))</f>
        <v/>
      </c>
      <c r="I1012" s="10">
        <f>IF($K1012="","",INDEX(Конструктор!$O$2:$O$1212,$K1012))</f>
        <v/>
      </c>
      <c r="J1012" s="10">
        <f>IF($K1012="","",INDEX(Конструктор!$P$2:$P$1212,$K1012))</f>
        <v/>
      </c>
      <c r="K1012">
        <f>IFERROR(MATCH(992,Конструктор!$T$2:$T$1212,0),"")</f>
        <v/>
      </c>
      <c r="L1012">
        <f>IF($K1012="","","показать")</f>
        <v/>
      </c>
    </row>
    <row r="1013" hidden="1">
      <c r="A1013">
        <f>IF($K1013="","",993)</f>
        <v/>
      </c>
      <c r="B1013">
        <f>IF($K1013="","",INDEX(Конструктор!$C$2:$C$1212,$K1013))</f>
        <v/>
      </c>
      <c r="C1013" s="8">
        <f>IF($K1013="","",INDEX(Конструктор!$D$2:$D$1212,$K1013)&amp;IF(INDEX(Конструктор!$J$2:$J$1212,$K1013)&lt;&gt;""," — "&amp;INDEX(Конструктор!$J$2:$J$1212,$K1013),""))</f>
        <v/>
      </c>
      <c r="D1013">
        <f>IF($K1013="","",INDEX(Конструктор!$E$2:$E$1212,$K1013))</f>
        <v/>
      </c>
      <c r="E1013" s="10">
        <f>IF($K1013="","",INDEX(Конструктор!$H$2:$H$1212,$K1013))</f>
        <v/>
      </c>
      <c r="F1013" s="10">
        <f>IF($K1013="","",INDEX(Конструктор!$L$2:$L$1212,$K1013))</f>
        <v/>
      </c>
      <c r="G1013" s="10">
        <f>IF($K1013="","",INDEX(Конструктор!$M$2:$M$1212,$K1013))</f>
        <v/>
      </c>
      <c r="H1013" s="10">
        <f>IF($K1013="","",INDEX(Конструктор!$N$2:$N$1212,$K1013))</f>
        <v/>
      </c>
      <c r="I1013" s="10">
        <f>IF($K1013="","",INDEX(Конструктор!$O$2:$O$1212,$K1013))</f>
        <v/>
      </c>
      <c r="J1013" s="10">
        <f>IF($K1013="","",INDEX(Конструктор!$P$2:$P$1212,$K1013))</f>
        <v/>
      </c>
      <c r="K1013">
        <f>IFERROR(MATCH(993,Конструктор!$T$2:$T$1212,0),"")</f>
        <v/>
      </c>
      <c r="L1013">
        <f>IF($K1013="","","показать")</f>
        <v/>
      </c>
    </row>
    <row r="1014" hidden="1">
      <c r="A1014">
        <f>IF($K1014="","",994)</f>
        <v/>
      </c>
      <c r="B1014">
        <f>IF($K1014="","",INDEX(Конструктор!$C$2:$C$1212,$K1014))</f>
        <v/>
      </c>
      <c r="C1014" s="8">
        <f>IF($K1014="","",INDEX(Конструктор!$D$2:$D$1212,$K1014)&amp;IF(INDEX(Конструктор!$J$2:$J$1212,$K1014)&lt;&gt;""," — "&amp;INDEX(Конструктор!$J$2:$J$1212,$K1014),""))</f>
        <v/>
      </c>
      <c r="D1014">
        <f>IF($K1014="","",INDEX(Конструктор!$E$2:$E$1212,$K1014))</f>
        <v/>
      </c>
      <c r="E1014" s="10">
        <f>IF($K1014="","",INDEX(Конструктор!$H$2:$H$1212,$K1014))</f>
        <v/>
      </c>
      <c r="F1014" s="10">
        <f>IF($K1014="","",INDEX(Конструктор!$L$2:$L$1212,$K1014))</f>
        <v/>
      </c>
      <c r="G1014" s="10">
        <f>IF($K1014="","",INDEX(Конструктор!$M$2:$M$1212,$K1014))</f>
        <v/>
      </c>
      <c r="H1014" s="10">
        <f>IF($K1014="","",INDEX(Конструктор!$N$2:$N$1212,$K1014))</f>
        <v/>
      </c>
      <c r="I1014" s="10">
        <f>IF($K1014="","",INDEX(Конструктор!$O$2:$O$1212,$K1014))</f>
        <v/>
      </c>
      <c r="J1014" s="10">
        <f>IF($K1014="","",INDEX(Конструктор!$P$2:$P$1212,$K1014))</f>
        <v/>
      </c>
      <c r="K1014">
        <f>IFERROR(MATCH(994,Конструктор!$T$2:$T$1212,0),"")</f>
        <v/>
      </c>
      <c r="L1014">
        <f>IF($K1014="","","показать")</f>
        <v/>
      </c>
    </row>
    <row r="1015" hidden="1">
      <c r="A1015">
        <f>IF($K1015="","",995)</f>
        <v/>
      </c>
      <c r="B1015">
        <f>IF($K1015="","",INDEX(Конструктор!$C$2:$C$1212,$K1015))</f>
        <v/>
      </c>
      <c r="C1015" s="8">
        <f>IF($K1015="","",INDEX(Конструктор!$D$2:$D$1212,$K1015)&amp;IF(INDEX(Конструктор!$J$2:$J$1212,$K1015)&lt;&gt;""," — "&amp;INDEX(Конструктор!$J$2:$J$1212,$K1015),""))</f>
        <v/>
      </c>
      <c r="D1015">
        <f>IF($K1015="","",INDEX(Конструктор!$E$2:$E$1212,$K1015))</f>
        <v/>
      </c>
      <c r="E1015" s="10">
        <f>IF($K1015="","",INDEX(Конструктор!$H$2:$H$1212,$K1015))</f>
        <v/>
      </c>
      <c r="F1015" s="10">
        <f>IF($K1015="","",INDEX(Конструктор!$L$2:$L$1212,$K1015))</f>
        <v/>
      </c>
      <c r="G1015" s="10">
        <f>IF($K1015="","",INDEX(Конструктор!$M$2:$M$1212,$K1015))</f>
        <v/>
      </c>
      <c r="H1015" s="10">
        <f>IF($K1015="","",INDEX(Конструктор!$N$2:$N$1212,$K1015))</f>
        <v/>
      </c>
      <c r="I1015" s="10">
        <f>IF($K1015="","",INDEX(Конструктор!$O$2:$O$1212,$K1015))</f>
        <v/>
      </c>
      <c r="J1015" s="10">
        <f>IF($K1015="","",INDEX(Конструктор!$P$2:$P$1212,$K1015))</f>
        <v/>
      </c>
      <c r="K1015">
        <f>IFERROR(MATCH(995,Конструктор!$T$2:$T$1212,0),"")</f>
        <v/>
      </c>
      <c r="L1015">
        <f>IF($K1015="","","показать")</f>
        <v/>
      </c>
    </row>
    <row r="1016" hidden="1">
      <c r="A1016">
        <f>IF($K1016="","",996)</f>
        <v/>
      </c>
      <c r="B1016">
        <f>IF($K1016="","",INDEX(Конструктор!$C$2:$C$1212,$K1016))</f>
        <v/>
      </c>
      <c r="C1016" s="8">
        <f>IF($K1016="","",INDEX(Конструктор!$D$2:$D$1212,$K1016)&amp;IF(INDEX(Конструктор!$J$2:$J$1212,$K1016)&lt;&gt;""," — "&amp;INDEX(Конструктор!$J$2:$J$1212,$K1016),""))</f>
        <v/>
      </c>
      <c r="D1016">
        <f>IF($K1016="","",INDEX(Конструктор!$E$2:$E$1212,$K1016))</f>
        <v/>
      </c>
      <c r="E1016" s="10">
        <f>IF($K1016="","",INDEX(Конструктор!$H$2:$H$1212,$K1016))</f>
        <v/>
      </c>
      <c r="F1016" s="10">
        <f>IF($K1016="","",INDEX(Конструктор!$L$2:$L$1212,$K1016))</f>
        <v/>
      </c>
      <c r="G1016" s="10">
        <f>IF($K1016="","",INDEX(Конструктор!$M$2:$M$1212,$K1016))</f>
        <v/>
      </c>
      <c r="H1016" s="10">
        <f>IF($K1016="","",INDEX(Конструктор!$N$2:$N$1212,$K1016))</f>
        <v/>
      </c>
      <c r="I1016" s="10">
        <f>IF($K1016="","",INDEX(Конструктор!$O$2:$O$1212,$K1016))</f>
        <v/>
      </c>
      <c r="J1016" s="10">
        <f>IF($K1016="","",INDEX(Конструктор!$P$2:$P$1212,$K1016))</f>
        <v/>
      </c>
      <c r="K1016">
        <f>IFERROR(MATCH(996,Конструктор!$T$2:$T$1212,0),"")</f>
        <v/>
      </c>
      <c r="L1016">
        <f>IF($K1016="","","показать")</f>
        <v/>
      </c>
    </row>
    <row r="1017" hidden="1">
      <c r="A1017">
        <f>IF($K1017="","",997)</f>
        <v/>
      </c>
      <c r="B1017">
        <f>IF($K1017="","",INDEX(Конструктор!$C$2:$C$1212,$K1017))</f>
        <v/>
      </c>
      <c r="C1017" s="8">
        <f>IF($K1017="","",INDEX(Конструктор!$D$2:$D$1212,$K1017)&amp;IF(INDEX(Конструктор!$J$2:$J$1212,$K1017)&lt;&gt;""," — "&amp;INDEX(Конструктор!$J$2:$J$1212,$K1017),""))</f>
        <v/>
      </c>
      <c r="D1017">
        <f>IF($K1017="","",INDEX(Конструктор!$E$2:$E$1212,$K1017))</f>
        <v/>
      </c>
      <c r="E1017" s="10">
        <f>IF($K1017="","",INDEX(Конструктор!$H$2:$H$1212,$K1017))</f>
        <v/>
      </c>
      <c r="F1017" s="10">
        <f>IF($K1017="","",INDEX(Конструктор!$L$2:$L$1212,$K1017))</f>
        <v/>
      </c>
      <c r="G1017" s="10">
        <f>IF($K1017="","",INDEX(Конструктор!$M$2:$M$1212,$K1017))</f>
        <v/>
      </c>
      <c r="H1017" s="10">
        <f>IF($K1017="","",INDEX(Конструктор!$N$2:$N$1212,$K1017))</f>
        <v/>
      </c>
      <c r="I1017" s="10">
        <f>IF($K1017="","",INDEX(Конструктор!$O$2:$O$1212,$K1017))</f>
        <v/>
      </c>
      <c r="J1017" s="10">
        <f>IF($K1017="","",INDEX(Конструктор!$P$2:$P$1212,$K1017))</f>
        <v/>
      </c>
      <c r="K1017">
        <f>IFERROR(MATCH(997,Конструктор!$T$2:$T$1212,0),"")</f>
        <v/>
      </c>
      <c r="L1017">
        <f>IF($K1017="","","показать")</f>
        <v/>
      </c>
    </row>
    <row r="1018" hidden="1">
      <c r="A1018">
        <f>IF($K1018="","",998)</f>
        <v/>
      </c>
      <c r="B1018">
        <f>IF($K1018="","",INDEX(Конструктор!$C$2:$C$1212,$K1018))</f>
        <v/>
      </c>
      <c r="C1018" s="8">
        <f>IF($K1018="","",INDEX(Конструктор!$D$2:$D$1212,$K1018)&amp;IF(INDEX(Конструктор!$J$2:$J$1212,$K1018)&lt;&gt;""," — "&amp;INDEX(Конструктор!$J$2:$J$1212,$K1018),""))</f>
        <v/>
      </c>
      <c r="D1018">
        <f>IF($K1018="","",INDEX(Конструктор!$E$2:$E$1212,$K1018))</f>
        <v/>
      </c>
      <c r="E1018" s="10">
        <f>IF($K1018="","",INDEX(Конструктор!$H$2:$H$1212,$K1018))</f>
        <v/>
      </c>
      <c r="F1018" s="10">
        <f>IF($K1018="","",INDEX(Конструктор!$L$2:$L$1212,$K1018))</f>
        <v/>
      </c>
      <c r="G1018" s="10">
        <f>IF($K1018="","",INDEX(Конструктор!$M$2:$M$1212,$K1018))</f>
        <v/>
      </c>
      <c r="H1018" s="10">
        <f>IF($K1018="","",INDEX(Конструктор!$N$2:$N$1212,$K1018))</f>
        <v/>
      </c>
      <c r="I1018" s="10">
        <f>IF($K1018="","",INDEX(Конструктор!$O$2:$O$1212,$K1018))</f>
        <v/>
      </c>
      <c r="J1018" s="10">
        <f>IF($K1018="","",INDEX(Конструктор!$P$2:$P$1212,$K1018))</f>
        <v/>
      </c>
      <c r="K1018">
        <f>IFERROR(MATCH(998,Конструктор!$T$2:$T$1212,0),"")</f>
        <v/>
      </c>
      <c r="L1018">
        <f>IF($K1018="","","показать")</f>
        <v/>
      </c>
    </row>
    <row r="1019" hidden="1">
      <c r="A1019">
        <f>IF($K1019="","",999)</f>
        <v/>
      </c>
      <c r="B1019">
        <f>IF($K1019="","",INDEX(Конструктор!$C$2:$C$1212,$K1019))</f>
        <v/>
      </c>
      <c r="C1019" s="8">
        <f>IF($K1019="","",INDEX(Конструктор!$D$2:$D$1212,$K1019)&amp;IF(INDEX(Конструктор!$J$2:$J$1212,$K1019)&lt;&gt;""," — "&amp;INDEX(Конструктор!$J$2:$J$1212,$K1019),""))</f>
        <v/>
      </c>
      <c r="D1019">
        <f>IF($K1019="","",INDEX(Конструктор!$E$2:$E$1212,$K1019))</f>
        <v/>
      </c>
      <c r="E1019" s="10">
        <f>IF($K1019="","",INDEX(Конструктор!$H$2:$H$1212,$K1019))</f>
        <v/>
      </c>
      <c r="F1019" s="10">
        <f>IF($K1019="","",INDEX(Конструктор!$L$2:$L$1212,$K1019))</f>
        <v/>
      </c>
      <c r="G1019" s="10">
        <f>IF($K1019="","",INDEX(Конструктор!$M$2:$M$1212,$K1019))</f>
        <v/>
      </c>
      <c r="H1019" s="10">
        <f>IF($K1019="","",INDEX(Конструктор!$N$2:$N$1212,$K1019))</f>
        <v/>
      </c>
      <c r="I1019" s="10">
        <f>IF($K1019="","",INDEX(Конструктор!$O$2:$O$1212,$K1019))</f>
        <v/>
      </c>
      <c r="J1019" s="10">
        <f>IF($K1019="","",INDEX(Конструктор!$P$2:$P$1212,$K1019))</f>
        <v/>
      </c>
      <c r="K1019">
        <f>IFERROR(MATCH(999,Конструктор!$T$2:$T$1212,0),"")</f>
        <v/>
      </c>
      <c r="L1019">
        <f>IF($K1019="","","показать")</f>
        <v/>
      </c>
    </row>
    <row r="1020" hidden="1">
      <c r="A1020">
        <f>IF($K1020="","",1000)</f>
        <v/>
      </c>
      <c r="B1020">
        <f>IF($K1020="","",INDEX(Конструктор!$C$2:$C$1212,$K1020))</f>
        <v/>
      </c>
      <c r="C1020" s="8">
        <f>IF($K1020="","",INDEX(Конструктор!$D$2:$D$1212,$K1020)&amp;IF(INDEX(Конструктор!$J$2:$J$1212,$K1020)&lt;&gt;""," — "&amp;INDEX(Конструктор!$J$2:$J$1212,$K1020),""))</f>
        <v/>
      </c>
      <c r="D1020">
        <f>IF($K1020="","",INDEX(Конструктор!$E$2:$E$1212,$K1020))</f>
        <v/>
      </c>
      <c r="E1020" s="10">
        <f>IF($K1020="","",INDEX(Конструктор!$H$2:$H$1212,$K1020))</f>
        <v/>
      </c>
      <c r="F1020" s="10">
        <f>IF($K1020="","",INDEX(Конструктор!$L$2:$L$1212,$K1020))</f>
        <v/>
      </c>
      <c r="G1020" s="10">
        <f>IF($K1020="","",INDEX(Конструктор!$M$2:$M$1212,$K1020))</f>
        <v/>
      </c>
      <c r="H1020" s="10">
        <f>IF($K1020="","",INDEX(Конструктор!$N$2:$N$1212,$K1020))</f>
        <v/>
      </c>
      <c r="I1020" s="10">
        <f>IF($K1020="","",INDEX(Конструктор!$O$2:$O$1212,$K1020))</f>
        <v/>
      </c>
      <c r="J1020" s="10">
        <f>IF($K1020="","",INDEX(Конструктор!$P$2:$P$1212,$K1020))</f>
        <v/>
      </c>
      <c r="K1020">
        <f>IFERROR(MATCH(1000,Конструктор!$T$2:$T$1212,0),"")</f>
        <v/>
      </c>
      <c r="L1020">
        <f>IF($K1020="","","показать")</f>
        <v/>
      </c>
    </row>
    <row r="1021">
      <c r="B1021" t="inlineStr">
        <is>
          <t>Итого работы:</t>
        </is>
      </c>
      <c r="H1021" s="10">
        <f>'Свод+ТЭП'!$E$18</f>
        <v/>
      </c>
      <c r="L1021" t="inlineStr">
        <is>
          <t>показать</t>
        </is>
      </c>
    </row>
    <row r="1022">
      <c r="B1022" t="inlineStr">
        <is>
          <t>Итого материалы и оборудование:</t>
        </is>
      </c>
      <c r="I1022" s="10">
        <f>'Свод+ТЭП'!$E$19</f>
        <v/>
      </c>
      <c r="L1022" t="inlineStr">
        <is>
          <t>показать</t>
        </is>
      </c>
    </row>
    <row r="1023">
      <c r="B1023" t="inlineStr">
        <is>
          <t>Транспортные расходы (% от стоимости материалов):</t>
        </is>
      </c>
      <c r="J1023" s="10">
        <f>'Свод+ТЭП'!$E$20</f>
        <v/>
      </c>
      <c r="L1023" t="inlineStr">
        <is>
          <t>показать</t>
        </is>
      </c>
    </row>
    <row r="1024">
      <c r="B1024" t="inlineStr">
        <is>
          <t>Такелаж / вертикальный транспорт:</t>
        </is>
      </c>
      <c r="J1024" s="10">
        <f>'Свод+ТЭП'!$E$21</f>
        <v/>
      </c>
      <c r="L1024" t="inlineStr">
        <is>
          <t>показать</t>
        </is>
      </c>
    </row>
    <row r="1025">
      <c r="B1025" t="inlineStr">
        <is>
          <t>Резерв на непредвиденные:</t>
        </is>
      </c>
      <c r="J1025" s="10">
        <f>'Свод+ТЭП'!$E$22</f>
        <v/>
      </c>
      <c r="L1025" t="inlineStr">
        <is>
          <t>показать</t>
        </is>
      </c>
    </row>
    <row r="1026">
      <c r="B1026" s="2" t="inlineStr">
        <is>
          <t>ВСЕГО*:</t>
        </is>
      </c>
      <c r="J1026" s="14">
        <f>'Свод+ТЭП'!$E$23</f>
        <v/>
      </c>
      <c r="L1026" t="inlineStr">
        <is>
          <t>показать</t>
        </is>
      </c>
    </row>
    <row r="1027">
      <c r="B1027" t="inlineStr">
        <is>
          <t>в том числе НДС:</t>
        </is>
      </c>
      <c r="J1027" s="10">
        <f>'Свод+ТЭП'!$E$24</f>
        <v/>
      </c>
      <c r="L1027" t="inlineStr">
        <is>
          <t>показать</t>
        </is>
      </c>
    </row>
    <row r="1028">
      <c r="L1028" t="inlineStr">
        <is>
          <t>показать</t>
        </is>
      </c>
    </row>
    <row r="1029">
      <c r="A1029" t="inlineStr">
        <is>
          <t>* с учётом всех налогов, сборов и пошлин, предусмотренных действующим законодательством РФ</t>
        </is>
      </c>
      <c r="L1029" t="inlineStr">
        <is>
          <t>показать</t>
        </is>
      </c>
    </row>
    <row r="1030">
      <c r="L1030" t="inlineStr">
        <is>
          <t>показать</t>
        </is>
      </c>
    </row>
    <row r="1031">
      <c r="A1031" t="inlineStr">
        <is>
          <t>От Заказчика: _______________________</t>
        </is>
      </c>
      <c r="G1031" t="inlineStr">
        <is>
          <t>От Подрядчика: _______________________</t>
        </is>
      </c>
      <c r="L1031" t="inlineStr">
        <is>
          <t>показать</t>
        </is>
      </c>
    </row>
  </sheetData>
  <autoFilter ref="A20:L1031">
    <filterColumn colId="11" hiddenButton="0" showButton="1">
      <filters blank="0">
        <filter val="показать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6" customWidth="1" min="3" max="3"/>
    <col width="16" customWidth="1" min="4" max="4"/>
    <col width="18" customWidth="1" min="5" max="5"/>
    <col width="9" customWidth="1" min="6" max="6"/>
    <col width="14" customWidth="1" min="7" max="7"/>
  </cols>
  <sheetData>
    <row r="1">
      <c r="A1" s="15" t="inlineStr">
        <is>
          <t>СВОД ПО РАЗДЕЛАМ</t>
        </is>
      </c>
    </row>
    <row r="3">
      <c r="A3" s="3" t="inlineStr">
        <is>
          <t>Раздел</t>
        </is>
      </c>
      <c r="B3" s="3" t="inlineStr">
        <is>
          <t>Наименование</t>
        </is>
      </c>
      <c r="C3" s="3" t="inlineStr">
        <is>
          <t>Работы, ₽</t>
        </is>
      </c>
      <c r="D3" s="3" t="inlineStr">
        <is>
          <t>Материалы, ₽</t>
        </is>
      </c>
      <c r="E3" s="3" t="inlineStr">
        <is>
          <t>Всего, ₽</t>
        </is>
      </c>
      <c r="F3" s="3" t="inlineStr">
        <is>
          <t>Доля</t>
        </is>
      </c>
      <c r="G3" s="3" t="inlineStr">
        <is>
          <t>₽/м²</t>
        </is>
      </c>
    </row>
    <row r="4">
      <c r="A4" t="inlineStr">
        <is>
          <t>Р1</t>
        </is>
      </c>
      <c r="B4" t="inlineStr">
        <is>
          <t>Проектные работы и согласования</t>
        </is>
      </c>
      <c r="C4" s="10">
        <f>SUMIFS(Конструктор!$N$2:$N$1212,Конструктор!$A$2:$A$1212,$A4)</f>
        <v/>
      </c>
      <c r="D4" s="10">
        <f>SUMIFS(Конструктор!$O$2:$O$1212,Конструктор!$A$2:$A$1212,$A4)</f>
        <v/>
      </c>
      <c r="E4" s="10">
        <f>C4+D4</f>
        <v/>
      </c>
      <c r="F4" s="16">
        <f>IF($E$16=0,0,E4/$E$16)</f>
        <v/>
      </c>
      <c r="G4" s="10">
        <f>IF(S_общая=0,0,E4/S_общая)</f>
        <v/>
      </c>
    </row>
    <row r="5">
      <c r="A5" t="inlineStr">
        <is>
          <t>Р2</t>
        </is>
      </c>
      <c r="B5" t="inlineStr">
        <is>
          <t>Демонтажные работы</t>
        </is>
      </c>
      <c r="C5" s="10">
        <f>SUMIFS(Конструктор!$N$2:$N$1212,Конструктор!$A$2:$A$1212,$A5)</f>
        <v/>
      </c>
      <c r="D5" s="10">
        <f>SUMIFS(Конструктор!$O$2:$O$1212,Конструктор!$A$2:$A$1212,$A5)</f>
        <v/>
      </c>
      <c r="E5" s="10">
        <f>C5+D5</f>
        <v/>
      </c>
      <c r="F5" s="16">
        <f>IF($E$16=0,0,E5/$E$16)</f>
        <v/>
      </c>
      <c r="G5" s="10">
        <f>IF(S_общая=0,0,E5/S_общая)</f>
        <v/>
      </c>
    </row>
    <row r="6">
      <c r="A6" t="inlineStr">
        <is>
          <t>Р3</t>
        </is>
      </c>
      <c r="B6" t="inlineStr">
        <is>
          <t>Внутренние строительные работы</t>
        </is>
      </c>
      <c r="C6" s="10">
        <f>SUMIFS(Конструктор!$N$2:$N$1212,Конструктор!$A$2:$A$1212,$A6)</f>
        <v/>
      </c>
      <c r="D6" s="10">
        <f>SUMIFS(Конструктор!$O$2:$O$1212,Конструктор!$A$2:$A$1212,$A6)</f>
        <v/>
      </c>
      <c r="E6" s="10">
        <f>C6+D6</f>
        <v/>
      </c>
      <c r="F6" s="16">
        <f>IF($E$16=0,0,E6/$E$16)</f>
        <v/>
      </c>
      <c r="G6" s="10">
        <f>IF(S_общая=0,0,E6/S_общая)</f>
        <v/>
      </c>
    </row>
    <row r="7">
      <c r="A7" t="inlineStr">
        <is>
          <t>Р4</t>
        </is>
      </c>
      <c r="B7" t="inlineStr">
        <is>
          <t>Наружные строительные работы</t>
        </is>
      </c>
      <c r="C7" s="10">
        <f>SUMIFS(Конструктор!$N$2:$N$1212,Конструктор!$A$2:$A$1212,$A7)</f>
        <v/>
      </c>
      <c r="D7" s="10">
        <f>SUMIFS(Конструктор!$O$2:$O$1212,Конструктор!$A$2:$A$1212,$A7)</f>
        <v/>
      </c>
      <c r="E7" s="10">
        <f>C7+D7</f>
        <v/>
      </c>
      <c r="F7" s="16">
        <f>IF($E$16=0,0,E7/$E$16)</f>
        <v/>
      </c>
      <c r="G7" s="10">
        <f>IF(S_общая=0,0,E7/S_общая)</f>
        <v/>
      </c>
    </row>
    <row r="8">
      <c r="A8" t="inlineStr">
        <is>
          <t>Р5</t>
        </is>
      </c>
      <c r="B8" t="inlineStr">
        <is>
          <t>Водоснабжение и канализация</t>
        </is>
      </c>
      <c r="C8" s="10">
        <f>SUMIFS(Конструктор!$N$2:$N$1212,Конструктор!$A$2:$A$1212,$A8)</f>
        <v/>
      </c>
      <c r="D8" s="10">
        <f>SUMIFS(Конструктор!$O$2:$O$1212,Конструктор!$A$2:$A$1212,$A8)</f>
        <v/>
      </c>
      <c r="E8" s="10">
        <f>C8+D8</f>
        <v/>
      </c>
      <c r="F8" s="16">
        <f>IF($E$16=0,0,E8/$E$16)</f>
        <v/>
      </c>
      <c r="G8" s="10">
        <f>IF(S_общая=0,0,E8/S_общая)</f>
        <v/>
      </c>
    </row>
    <row r="9">
      <c r="A9" t="inlineStr">
        <is>
          <t>Р6</t>
        </is>
      </c>
      <c r="B9" t="inlineStr">
        <is>
          <t>Отопление</t>
        </is>
      </c>
      <c r="C9" s="10">
        <f>SUMIFS(Конструктор!$N$2:$N$1212,Конструктор!$A$2:$A$1212,$A9)</f>
        <v/>
      </c>
      <c r="D9" s="10">
        <f>SUMIFS(Конструктор!$O$2:$O$1212,Конструктор!$A$2:$A$1212,$A9)</f>
        <v/>
      </c>
      <c r="E9" s="10">
        <f>C9+D9</f>
        <v/>
      </c>
      <c r="F9" s="16">
        <f>IF($E$16=0,0,E9/$E$16)</f>
        <v/>
      </c>
      <c r="G9" s="10">
        <f>IF(S_общая=0,0,E9/S_общая)</f>
        <v/>
      </c>
    </row>
    <row r="10">
      <c r="A10" t="inlineStr">
        <is>
          <t>Р7</t>
        </is>
      </c>
      <c r="B10" t="inlineStr">
        <is>
          <t>Вентиляция</t>
        </is>
      </c>
      <c r="C10" s="10">
        <f>SUMIFS(Конструктор!$N$2:$N$1212,Конструктор!$A$2:$A$1212,$A10)</f>
        <v/>
      </c>
      <c r="D10" s="10">
        <f>SUMIFS(Конструктор!$O$2:$O$1212,Конструктор!$A$2:$A$1212,$A10)</f>
        <v/>
      </c>
      <c r="E10" s="10">
        <f>C10+D10</f>
        <v/>
      </c>
      <c r="F10" s="16">
        <f>IF($E$16=0,0,E10/$E$16)</f>
        <v/>
      </c>
      <c r="G10" s="10">
        <f>IF(S_общая=0,0,E10/S_общая)</f>
        <v/>
      </c>
    </row>
    <row r="11">
      <c r="A11" t="inlineStr">
        <is>
          <t>Р8</t>
        </is>
      </c>
      <c r="B11" t="inlineStr">
        <is>
          <t>Кондиционирование</t>
        </is>
      </c>
      <c r="C11" s="10">
        <f>SUMIFS(Конструктор!$N$2:$N$1212,Конструктор!$A$2:$A$1212,$A11)</f>
        <v/>
      </c>
      <c r="D11" s="10">
        <f>SUMIFS(Конструктор!$O$2:$O$1212,Конструктор!$A$2:$A$1212,$A11)</f>
        <v/>
      </c>
      <c r="E11" s="10">
        <f>C11+D11</f>
        <v/>
      </c>
      <c r="F11" s="16">
        <f>IF($E$16=0,0,E11/$E$16)</f>
        <v/>
      </c>
      <c r="G11" s="10">
        <f>IF(S_общая=0,0,E11/S_общая)</f>
        <v/>
      </c>
    </row>
    <row r="12">
      <c r="A12" t="inlineStr">
        <is>
          <t>Р9</t>
        </is>
      </c>
      <c r="B12" t="inlineStr">
        <is>
          <t>Электротехнические работы</t>
        </is>
      </c>
      <c r="C12" s="10">
        <f>SUMIFS(Конструктор!$N$2:$N$1212,Конструктор!$A$2:$A$1212,$A12)</f>
        <v/>
      </c>
      <c r="D12" s="10">
        <f>SUMIFS(Конструктор!$O$2:$O$1212,Конструктор!$A$2:$A$1212,$A12)</f>
        <v/>
      </c>
      <c r="E12" s="10">
        <f>C12+D12</f>
        <v/>
      </c>
      <c r="F12" s="16">
        <f>IF($E$16=0,0,E12/$E$16)</f>
        <v/>
      </c>
      <c r="G12" s="10">
        <f>IF(S_общая=0,0,E12/S_общая)</f>
        <v/>
      </c>
    </row>
    <row r="13">
      <c r="A13" t="inlineStr">
        <is>
          <t>Р10</t>
        </is>
      </c>
      <c r="B13" t="inlineStr">
        <is>
          <t>Адаптация для МГН</t>
        </is>
      </c>
      <c r="C13" s="10">
        <f>SUMIFS(Конструктор!$N$2:$N$1212,Конструктор!$A$2:$A$1212,$A13)</f>
        <v/>
      </c>
      <c r="D13" s="10">
        <f>SUMIFS(Конструктор!$O$2:$O$1212,Конструктор!$A$2:$A$1212,$A13)</f>
        <v/>
      </c>
      <c r="E13" s="10">
        <f>C13+D13</f>
        <v/>
      </c>
      <c r="F13" s="16">
        <f>IF($E$16=0,0,E13/$E$16)</f>
        <v/>
      </c>
      <c r="G13" s="10">
        <f>IF(S_общая=0,0,E13/S_общая)</f>
        <v/>
      </c>
    </row>
    <row r="14">
      <c r="A14" t="inlineStr">
        <is>
          <t>Р11</t>
        </is>
      </c>
      <c r="B14" t="inlineStr">
        <is>
          <t>Слаботочные системы и безопасность</t>
        </is>
      </c>
      <c r="C14" s="10">
        <f>SUMIFS(Конструктор!$N$2:$N$1212,Конструктор!$A$2:$A$1212,$A14)</f>
        <v/>
      </c>
      <c r="D14" s="10">
        <f>SUMIFS(Конструктор!$O$2:$O$1212,Конструктор!$A$2:$A$1212,$A14)</f>
        <v/>
      </c>
      <c r="E14" s="10">
        <f>C14+D14</f>
        <v/>
      </c>
      <c r="F14" s="16">
        <f>IF($E$16=0,0,E14/$E$16)</f>
        <v/>
      </c>
      <c r="G14" s="10">
        <f>IF(S_общая=0,0,E14/S_общая)</f>
        <v/>
      </c>
    </row>
    <row r="15">
      <c r="A15" t="inlineStr">
        <is>
          <t>Р12</t>
        </is>
      </c>
      <c r="B15" t="inlineStr">
        <is>
          <t>Лимитированные и прочие затраты</t>
        </is>
      </c>
      <c r="C15" s="10">
        <f>SUMIFS(Конструктор!$N$2:$N$1212,Конструктор!$A$2:$A$1212,$A15)</f>
        <v/>
      </c>
      <c r="D15" s="10">
        <f>SUMIFS(Конструктор!$O$2:$O$1212,Конструктор!$A$2:$A$1212,$A15)</f>
        <v/>
      </c>
      <c r="E15" s="10">
        <f>C15+D15</f>
        <v/>
      </c>
      <c r="F15" s="16">
        <f>IF($E$16=0,0,E15/$E$16)</f>
        <v/>
      </c>
      <c r="G15" s="10">
        <f>IF(S_общая=0,0,E15/S_общая)</f>
        <v/>
      </c>
    </row>
    <row r="16">
      <c r="B16" s="2" t="inlineStr">
        <is>
          <t>ИТОГО по разделам</t>
        </is>
      </c>
      <c r="C16" s="14">
        <f>SUM(C4:C15)</f>
        <v/>
      </c>
      <c r="D16" s="14">
        <f>SUM(D4:D15)</f>
        <v/>
      </c>
      <c r="E16" s="14">
        <f>SUM(E4:E15)</f>
        <v/>
      </c>
      <c r="F16" s="16" t="n"/>
      <c r="G16" s="14">
        <f>IF(S_общая=0,0,E16/S_общая)</f>
        <v/>
      </c>
    </row>
    <row r="18">
      <c r="B18" t="inlineStr">
        <is>
          <t>Итого работы, ₽</t>
        </is>
      </c>
      <c r="E18" s="10">
        <f>SUM(C4:C15)</f>
        <v/>
      </c>
    </row>
    <row r="19">
      <c r="B19" t="inlineStr">
        <is>
          <t>Итого материалы и оборудование, ₽</t>
        </is>
      </c>
      <c r="E19" s="10">
        <f>SUM(D4:D15)</f>
        <v/>
      </c>
    </row>
    <row r="20">
      <c r="B20" t="inlineStr">
        <is>
          <t>Транспортные расходы (% от стоимости материалов), ₽</t>
        </is>
      </c>
      <c r="E20" s="10">
        <f>ROUND(E19*ПроцТранспорт/100,2)</f>
        <v/>
      </c>
    </row>
    <row r="21">
      <c r="B21" t="inlineStr">
        <is>
          <t>Такелаж / вертикальный транспорт, ₽</t>
        </is>
      </c>
      <c r="E21" s="10">
        <f>ROUND((E18+E19)*ПроцТакелаж/100,2)</f>
        <v/>
      </c>
    </row>
    <row r="22">
      <c r="B22" t="inlineStr">
        <is>
          <t>Резерв на непредвиденные, ₽</t>
        </is>
      </c>
      <c r="E22" s="10">
        <f>ROUND((E18+E19)*ПроцРезерв/100,2)</f>
        <v/>
      </c>
    </row>
    <row r="23">
      <c r="B23" s="2" t="inlineStr">
        <is>
          <t>ВСЕГО*, ₽</t>
        </is>
      </c>
      <c r="E23" s="14">
        <f>E18+E19+E20+E21+E22</f>
        <v/>
      </c>
    </row>
    <row r="24">
      <c r="B24" t="inlineStr">
        <is>
          <t>в том числе НДС, ₽</t>
        </is>
      </c>
      <c r="E24" s="10">
        <f>IF(РежимЦены="с НДС в цене",ROUND(E23*СтавкаНДС/(100+СтавкаНДС),2),ROUND(E23*СтавкаНДС/100,2))</f>
        <v/>
      </c>
    </row>
    <row r="25">
      <c r="B25" s="2" t="inlineStr">
        <is>
          <t>ВСЕГО с НДС сверху, ₽ (режим «без НДС»)</t>
        </is>
      </c>
      <c r="E25" s="14">
        <f>IF(РежимЦены="без НДС",E23+E24,E23)</f>
        <v/>
      </c>
    </row>
    <row r="27">
      <c r="A27" s="17" t="inlineStr">
        <is>
          <t>ТЭП</t>
        </is>
      </c>
    </row>
    <row r="28">
      <c r="B28" t="inlineStr">
        <is>
          <t>Площадь объекта S_общая, м²</t>
        </is>
      </c>
      <c r="E28" s="10">
        <f>S_общая</f>
        <v/>
      </c>
    </row>
    <row r="29">
      <c r="B29" t="inlineStr">
        <is>
          <t>Стоимость 1 м² всего, ₽</t>
        </is>
      </c>
      <c r="E29" s="10">
        <f>IF(S_общая=0,0,E23/S_общая)</f>
        <v/>
      </c>
    </row>
    <row r="30">
      <c r="B30" t="inlineStr">
        <is>
          <t>Стоимость 1 м² — работы, ₽</t>
        </is>
      </c>
      <c r="E30" s="10">
        <f>IF(S_общая=0,0,E18/S_общая)</f>
        <v/>
      </c>
    </row>
    <row r="31">
      <c r="B31" t="inlineStr">
        <is>
          <t>Стоимость 1 м² — материалы и оборуд., ₽</t>
        </is>
      </c>
      <c r="E31" s="10">
        <f>IF(S_общая=0,0,E19/S_общая)</f>
        <v/>
      </c>
    </row>
    <row r="32">
      <c r="B32" t="inlineStr">
        <is>
          <t>Доля работ</t>
        </is>
      </c>
      <c r="E32" s="16">
        <f>IF((E18+E19)=0,0,E18/(E18+E19))</f>
        <v/>
      </c>
    </row>
    <row r="33">
      <c r="B33" t="inlineStr">
        <is>
          <t>Доля материалов и оборудования</t>
        </is>
      </c>
      <c r="E33" s="16">
        <f>IF((E18+E19)=0,0,E19/(E18+E19))</f>
        <v/>
      </c>
    </row>
    <row r="34">
      <c r="B34" t="inlineStr">
        <is>
          <t>Позиций в смете (объём &gt; 0)</t>
        </is>
      </c>
      <c r="E34" s="18">
        <f>SUMPRODUCT((Конструктор!$P$2:$P$1212&gt;0)*(Конструктор!$R$2:$R$1212="да"))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</cols>
  <sheetData>
    <row r="1">
      <c r="A1" s="15" t="inlineStr">
        <is>
          <t>КОНТРОЛЬ ЦЕЛОСТНОСТИ</t>
        </is>
      </c>
    </row>
    <row r="3">
      <c r="A3" s="3" t="inlineStr">
        <is>
          <t>Проверка</t>
        </is>
      </c>
      <c r="B3" s="3" t="inlineStr">
        <is>
          <t>Результат</t>
        </is>
      </c>
      <c r="C3" s="3" t="inlineStr">
        <is>
          <t>Норма</t>
        </is>
      </c>
    </row>
    <row r="4">
      <c r="A4" t="inlineStr">
        <is>
          <t>Строк с несоответствием группы материала</t>
        </is>
      </c>
      <c r="B4">
        <f>COUNTIF(Конструктор!$K$2:$K$1212,"!! не та группа")</f>
        <v/>
      </c>
      <c r="C4">
        <f> 0</f>
        <v/>
      </c>
    </row>
    <row r="5">
      <c r="A5" t="inlineStr">
        <is>
          <t>Объём введён в строке без кода работы (переполнен буфер / рассинхрон)</t>
        </is>
      </c>
      <c r="B5">
        <f>SUMPRODUCT((Конструктор!$C$2:$C$1212="")*(Конструктор!$H$2:$H$1212&lt;&gt;"")*(Конструктор!$H$2:$H$1212&lt;&gt;0))</f>
        <v/>
      </c>
      <c r="C5">
        <f> 0</f>
        <v/>
      </c>
    </row>
    <row r="6">
      <c r="A6" t="inlineStr">
        <is>
          <t>Работа требует материал, объём есть, материал не выбран</t>
        </is>
      </c>
      <c r="B6">
        <f>SUMPRODUCT((Конструктор!$F$2:$F$1212&lt;&gt;"")*(Конструктор!$I$2:$I$1212="")*(Конструктор!$H$2:$H$1212&gt;0))</f>
        <v/>
      </c>
      <c r="C6">
        <f> 0 / осознанно</f>
        <v/>
      </c>
    </row>
    <row r="7">
      <c r="A7" t="inlineStr">
        <is>
          <t>Драйвер S_пол, а объём больше S_пол</t>
        </is>
      </c>
      <c r="B7">
        <f>SUMPRODUCT((Конструктор!$G$2:$G$1212="S_пол")*(Конструктор!$H$2:$H$1212&gt;S_пол)*(S_пол&gt;0))</f>
        <v/>
      </c>
      <c r="C7">
        <f> 0</f>
        <v/>
      </c>
    </row>
    <row r="8">
      <c r="A8" t="inlineStr">
        <is>
          <t>Свод по разделам = сумме по Конструктору</t>
        </is>
      </c>
      <c r="B8">
        <f>ROUND('Свод+ТЭП'!$E$16-SUM(Конструктор!$P$2:$P$1212),2)</f>
        <v/>
      </c>
      <c r="C8">
        <f> 0</f>
        <v/>
      </c>
    </row>
    <row r="9">
      <c r="A9" t="inlineStr">
        <is>
          <t>Хватает ли буфера Конструктора для справочника</t>
        </is>
      </c>
      <c r="B9">
        <f>IF(COUNTA(спр_Работы!$A$2:$A$6000)&lt;= 1211,"ок","увеличить буфер")</f>
        <v/>
      </c>
      <c r="C9" t="inlineStr">
        <is>
          <t>ок</t>
        </is>
      </c>
    </row>
    <row r="10">
      <c r="A10" t="inlineStr">
        <is>
          <t>Смета помещается в лист расшифровки</t>
        </is>
      </c>
      <c r="B10">
        <f>IF(SUMPRODUCT((Конструктор!$P$2:$P$1212&gt;0)*(Конструктор!$R$2:$R$1212="да"))&lt;= 1000,"ок","увеличить лист")</f>
        <v/>
      </c>
      <c r="C10" t="inlineStr">
        <is>
          <t>ок</t>
        </is>
      </c>
    </row>
    <row r="11">
      <c r="A11" t="inlineStr">
        <is>
          <t>Дата цен не старше 180 дней</t>
        </is>
      </c>
      <c r="B11">
        <f>IF(TODAY()-ДатаЦен&gt;180,"УСТАРЕЛО","ок")</f>
        <v/>
      </c>
      <c r="C11" t="inlineStr">
        <is>
          <t>ок</t>
        </is>
      </c>
    </row>
    <row r="12">
      <c r="A12" t="inlineStr">
        <is>
          <t>Ставка НДС из 5/7/20</t>
        </is>
      </c>
      <c r="B12">
        <f>IF(OR(СтавкаНДС=5,СтавкаНДС=7,СтавкаНДС=20),"ок","проверить")</f>
        <v/>
      </c>
      <c r="C12" t="inlineStr">
        <is>
          <t>ок</t>
        </is>
      </c>
    </row>
    <row r="13">
      <c r="A13" t="inlineStr">
        <is>
          <t>Курс USD задан</t>
        </is>
      </c>
      <c r="B13">
        <f>IF(КурсUSD&gt;0,"ок","задать")</f>
        <v/>
      </c>
      <c r="C13" t="inlineStr">
        <is>
          <t>ок</t>
        </is>
      </c>
    </row>
    <row r="14">
      <c r="A14" t="inlineStr">
        <is>
          <t>Позиций с объёмом &gt; 0</t>
        </is>
      </c>
      <c r="B14">
        <f>SUMPRODUCT((Конструктор!$P$2:$P$1212&gt;0)*(Конструктор!$R$2:$R$1212="да"))</f>
        <v/>
      </c>
      <c r="C14" t="inlineStr">
        <is>
          <t>&gt; 0</t>
        </is>
      </c>
    </row>
  </sheetData>
  <conditionalFormatting sqref="B4:B14">
    <cfRule type="expression" priority="1" dxfId="1">
      <formula>AND(ISNUMBER($B4),$B4&lt;&gt;0,$A4&lt;&gt;"Позиций с объёмом &gt; 0")</formula>
    </cfRule>
    <cfRule type="expression" priority="2" dxfId="1">
      <formula>OR($B4="УСТАРЕЛО",$B4="проверить",$B4="задать",$B4="увеличить буфер",$B4="увеличить лист")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8" customWidth="1" min="2" max="2"/>
    <col width="9" customWidth="1" min="3" max="3"/>
    <col width="8" customWidth="1" min="4" max="4"/>
    <col width="22" customWidth="1" min="5" max="5"/>
    <col width="10" customWidth="1" min="6" max="6"/>
    <col width="16" customWidth="1" min="7" max="7"/>
    <col width="13" customWidth="1" min="8" max="8"/>
    <col width="14" customWidth="1" min="9" max="9"/>
    <col width="11" customWidth="1" min="10" max="10"/>
    <col width="18" customWidth="1" min="11" max="11"/>
    <col width="15" customWidth="1" min="12" max="12"/>
    <col width="14" customWidth="1" min="13" max="13"/>
    <col width="11" customWidth="1" min="14" max="14"/>
    <col width="8" customWidth="1" min="15" max="15"/>
    <col width="12" customWidth="1" min="16" max="16"/>
    <col width="26" customWidth="1" min="17" max="17"/>
    <col width="18" customWidth="1" min="18" max="18"/>
    <col width="24" customWidth="1" min="19" max="19"/>
  </cols>
  <sheetData>
    <row r="1">
      <c r="A1" s="3" t="inlineStr">
        <is>
          <t>Код_работы</t>
        </is>
      </c>
      <c r="B1" s="3" t="inlineStr">
        <is>
          <t>Наименование_работы</t>
        </is>
      </c>
      <c r="C1" s="3" t="inlineStr">
        <is>
          <t>Ед_изм</t>
        </is>
      </c>
      <c r="D1" s="3" t="inlineStr">
        <is>
          <t>Раздел</t>
        </is>
      </c>
      <c r="E1" s="3" t="inlineStr">
        <is>
          <t>Раздел_наимен</t>
        </is>
      </c>
      <c r="F1" s="3" t="inlineStr">
        <is>
          <t>Подраздел</t>
        </is>
      </c>
      <c r="G1" s="3" t="inlineStr">
        <is>
          <t>Группа_материалов</t>
        </is>
      </c>
      <c r="H1" s="3" t="inlineStr">
        <is>
          <t>Цена_работ_ЕР</t>
        </is>
      </c>
      <c r="I1" s="3" t="inlineStr">
        <is>
          <t>Вспом_материалы_%</t>
        </is>
      </c>
      <c r="J1" s="3" t="inlineStr">
        <is>
          <t>Тип</t>
        </is>
      </c>
      <c r="K1" s="3" t="inlineStr">
        <is>
          <t>Драйвер_объёма</t>
        </is>
      </c>
      <c r="L1" s="3" t="inlineStr">
        <is>
          <t>Требует_материал</t>
        </is>
      </c>
      <c r="M1" s="3" t="inlineStr">
        <is>
          <t>Источник_цены</t>
        </is>
      </c>
      <c r="N1" s="3" t="inlineStr">
        <is>
          <t>Дата_цены</t>
        </is>
      </c>
      <c r="O1" s="3" t="inlineStr">
        <is>
          <t>Версия</t>
        </is>
      </c>
      <c r="P1" s="3" t="inlineStr">
        <is>
          <t>Строк_в_ТС_ЕР</t>
        </is>
      </c>
      <c r="Q1" s="3" t="inlineStr">
        <is>
          <t>Строки_источники</t>
        </is>
      </c>
      <c r="R1" s="3" t="inlineStr">
        <is>
          <t>Проверить_наименование</t>
        </is>
      </c>
      <c r="S1" s="3" t="inlineStr">
        <is>
          <t>Комментарий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8" customWidth="1" min="2" max="2"/>
    <col width="20" customWidth="1" min="3" max="3"/>
    <col width="16" customWidth="1" min="4" max="4"/>
    <col width="22" customWidth="1" min="5" max="5"/>
    <col width="8" customWidth="1" min="6" max="6"/>
    <col width="16" customWidth="1" min="7" max="7"/>
    <col width="14" customWidth="1" min="8" max="8"/>
    <col width="14" customWidth="1" min="9" max="9"/>
    <col width="8" customWidth="1" min="10" max="10"/>
    <col width="10" customWidth="1" min="11" max="11"/>
    <col width="10" customWidth="1" min="12" max="12"/>
    <col width="12" customWidth="1" min="13" max="13"/>
    <col width="20" customWidth="1" min="14" max="14"/>
    <col width="30" customWidth="1" min="15" max="15"/>
  </cols>
  <sheetData>
    <row r="1">
      <c r="A1" s="3" t="inlineStr">
        <is>
          <t>Код_материала</t>
        </is>
      </c>
      <c r="B1" s="3" t="inlineStr">
        <is>
          <t>Наименование</t>
        </is>
      </c>
      <c r="C1" s="3" t="inlineStr">
        <is>
          <t>Артикул</t>
        </is>
      </c>
      <c r="D1" s="3" t="inlineStr">
        <is>
          <t>Производитель</t>
        </is>
      </c>
      <c r="E1" s="3" t="inlineStr">
        <is>
          <t>Поставщик</t>
        </is>
      </c>
      <c r="F1" s="3" t="inlineStr">
        <is>
          <t>Ед_изм</t>
        </is>
      </c>
      <c r="G1" s="3" t="inlineStr">
        <is>
          <t>Группа_материалов</t>
        </is>
      </c>
      <c r="H1" s="3" t="inlineStr">
        <is>
          <t>Цена_подрядчик</t>
        </is>
      </c>
      <c r="I1" s="3" t="inlineStr">
        <is>
          <t>Цена_Банк</t>
        </is>
      </c>
      <c r="J1" s="3" t="inlineStr">
        <is>
          <t>Валюта</t>
        </is>
      </c>
      <c r="K1" s="3" t="inlineStr">
        <is>
          <t>Коэф_к_цене</t>
        </is>
      </c>
      <c r="L1" s="3" t="inlineStr">
        <is>
          <t>Статус</t>
        </is>
      </c>
      <c r="M1" s="3" t="inlineStr">
        <is>
          <t>Дата_цены</t>
        </is>
      </c>
      <c r="N1" s="3" t="inlineStr">
        <is>
          <t>Источник_лист</t>
        </is>
      </c>
      <c r="O1" s="3" t="inlineStr">
        <is>
          <t>Комментарий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2026-08-31T07:45:54Z</dcterms:created>
  <dcterms:modified xmlns:dcterms="http://purl.org/dc/terms/" xmlns:xsi="http://www.w3.org/2001/XMLSchema-instance" xsi:type="dcterms:W3CDTF">2026-08-31T07:45:54Z</dcterms:modified>
</cp:coreProperties>
</file>